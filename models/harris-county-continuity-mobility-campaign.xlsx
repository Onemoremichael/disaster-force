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7c3ca0579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b8273a38ea65468b"/>
    <x:sheet xmlns:r="http://schemas.openxmlformats.org/officeDocument/2006/relationships" name="Read Me" sheetId="2" r:id="R3f366fbd514d487c"/>
    <x:sheet xmlns:r="http://schemas.openxmlformats.org/officeDocument/2006/relationships" name="Assumptions" sheetId="3" r:id="R837d330352214dc6"/>
    <x:sheet xmlns:r="http://schemas.openxmlformats.org/officeDocument/2006/relationships" name="Architectures" sheetId="4" r:id="R1c2ad7aceb264291"/>
    <x:sheet xmlns:r="http://schemas.openxmlformats.org/officeDocument/2006/relationships" name="Base Results" sheetId="5" r:id="Rd44e1a35cebe4d7b"/>
    <x:sheet xmlns:r="http://schemas.openxmlformats.org/officeDocument/2006/relationships" name="Service Clock" sheetId="6" r:id="R7bb3877bfb1443d8"/>
    <x:sheet xmlns:r="http://schemas.openxmlformats.org/officeDocument/2006/relationships" name="Network Recovery" sheetId="7" r:id="R28389bf460a94e08"/>
    <x:sheet xmlns:r="http://schemas.openxmlformats.org/officeDocument/2006/relationships" name="Exposure" sheetId="8" r:id="Ra07d1fd1c2594ba7"/>
    <x:sheet xmlns:r="http://schemas.openxmlformats.org/officeDocument/2006/relationships" name="CTN Nodes" sheetId="9" r:id="R8f533bc9c7f14abc"/>
    <x:sheet xmlns:r="http://schemas.openxmlformats.org/officeDocument/2006/relationships" name="Tract Inputs" sheetId="10" r:id="R33094bced5a24609"/>
    <x:sheet xmlns:r="http://schemas.openxmlformats.org/officeDocument/2006/relationships" name="Tract Outcomes" sheetId="11" r:id="Ra4e2cfac7ac544cf"/>
    <x:sheet xmlns:r="http://schemas.openxmlformats.org/officeDocument/2006/relationships" name="Trial Summary" sheetId="12" r:id="R621cbc1218234eee"/>
    <x:sheet xmlns:r="http://schemas.openxmlformats.org/officeDocument/2006/relationships" name="Trials" sheetId="13" r:id="Re099f0afd12041ad"/>
    <x:sheet xmlns:r="http://schemas.openxmlformats.org/officeDocument/2006/relationships" name="Failure Sensitivity" sheetId="14" r:id="R5f0cc95e2f6c4bc4"/>
    <x:sheet xmlns:r="http://schemas.openxmlformats.org/officeDocument/2006/relationships" name="Finance" sheetId="15" r:id="Re2e7381d70834794"/>
    <x:sheet xmlns:r="http://schemas.openxmlformats.org/officeDocument/2006/relationships" name="Workforce" sheetId="16" r:id="R4a1000889f464b5d"/>
    <x:sheet xmlns:r="http://schemas.openxmlformats.org/officeDocument/2006/relationships" name="Technology" sheetId="17" r:id="Rbd82ccc791464e6a"/>
    <x:sheet xmlns:r="http://schemas.openxmlformats.org/officeDocument/2006/relationships" name="Evidence Gates" sheetId="18" r:id="R7dc85d4c86c34ae4"/>
    <x:sheet xmlns:r="http://schemas.openxmlformats.org/officeDocument/2006/relationships" name="Sources" sheetId="19" r:id="R3baf63f4072e47fa"/>
    <x:sheet xmlns:r="http://schemas.openxmlformats.org/officeDocument/2006/relationships" name="Checks" sheetId="20" r:id="R7461b8f9e6fc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0.0"/>
    <x:numFmt numFmtId="202" formatCode="$#,##0.0"/>
    <x:numFmt numFmtId="203" formatCode="#,##0.0"/>
    <x:numFmt numFmtId="204" formatCode="#,##0"/>
    <x:numFmt numFmtId="205" formatCode="0.00000"/>
    <x:numFmt numFmtId="206" formatCode="#,##0.000"/>
    <x:numFmt numFmtId="207" formatCode="0.000"/>
    <x:numFmt numFmtId="208" formatCode="$#,##0.000"/>
  </x:numFmts>
  <x:fonts count="9">
    <x:font>
      <x:sz val="11"/>
      <x:name val="Carlito"/>
    </x:font>
    <x:font>
      <x:b/>
      <x:sz val="18"/>
      <x:color rgb="FF17242E"/>
      <x:name val="Aptos"/>
    </x:font>
    <x:font>
      <x:i/>
      <x:sz val="10"/>
      <x:color rgb="FF60717D"/>
      <x:name val="Aptos"/>
    </x:font>
    <x:font>
      <x:b/>
      <x:sz val="11"/>
      <x:color rgb="FF15384C"/>
      <x:name val="Aptos"/>
    </x:font>
    <x:font>
      <x:i/>
      <x:sz val="9"/>
      <x:color rgb="FF17242E"/>
      <x:name val="Aptos"/>
    </x:font>
    <x:font>
      <x:b/>
      <x:sz val="9"/>
      <x:color rgb="FFFFFFFF"/>
      <x:name val="Aptos"/>
    </x:font>
    <x:font>
      <x:sz val="9"/>
      <x:color rgb="FF17242E"/>
      <x:name val="Aptos"/>
    </x:font>
    <x:font>
      <x:sz val="9"/>
      <x:color rgb="FF008000"/>
      <x:name val="Aptos"/>
    </x:font>
    <x:font>
      <x:sz val="9"/>
      <x:color rgb="FF0000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E7EEF2"/>
      </x:patternFill>
    </x:fill>
    <x:fill>
      <x:patternFill patternType="solid">
        <x:fgColor rgb="FFFCE4D6"/>
      </x:patternFill>
    </x:fill>
    <x:fill>
      <x:patternFill patternType="solid">
        <x:fgColor rgb="FF15384C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7">
    <x:border/>
    <x:border>
      <x:bottom style="thin">
        <x:color rgb="FF15384C"/>
      </x:bottom>
    </x:border>
    <x:border>
      <x:right style="thin">
        <x:color rgb="FFFFFFFF"/>
      </x:right>
      <x:bottom style="thin">
        <x:color rgb="FF15384C"/>
      </x:bottom>
    </x:border>
    <x:border>
      <x:left style="thin">
        <x:color rgb="FFFFFFFF"/>
      </x:left>
      <x:right style="thin">
        <x:color rgb="FFFFFFFF"/>
      </x:right>
      <x:bottom style="thin">
        <x:color rgb="FF15384C"/>
      </x:bottom>
    </x:border>
    <x:border>
      <x:left style="thin">
        <x:color rgb="FFFFFFFF"/>
      </x:left>
      <x:bottom style="thin">
        <x:color rgb="FF15384C"/>
      </x:bottom>
    </x:border>
    <x:border>
      <x:bottom style="thin">
        <x:color rgb="FFD5DEE3"/>
      </x:bottom>
    </x:border>
    <x:border>
      <x:top style="thin">
        <x:color rgb="FFD5DEE3"/>
      </x:top>
      <x:bottom style="thin">
        <x:color rgb="FFD5DEE3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200" fontId="7" fillId="5" borderId="5" xfId="0" applyNumberFormat="1" applyFont="1" applyFill="1" applyBorder="1" applyAlignment="1">
      <x:alignment vertical="top" wrapText="1"/>
    </x:xf>
    <x:xf numFmtId="200" fontId="6" fillId="5" borderId="5" xfId="0" applyNumberFormat="1" applyFont="1" applyFill="1" applyBorder="1" applyAlignment="1">
      <x:alignment vertical="top" wrapText="1"/>
    </x:xf>
    <x:xf numFmtId="200" fontId="7" fillId="0" borderId="6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7" fillId="5" borderId="6" xfId="0" applyNumberFormat="1" applyFont="1" applyFill="1" applyBorder="1" applyAlignment="1">
      <x:alignment vertical="top" wrapText="1"/>
    </x:xf>
    <x:xf numFmtId="200" fontId="6" fillId="5" borderId="6" xfId="0" applyNumberFormat="1" applyFont="1" applyFill="1" applyBorder="1" applyAlignment="1">
      <x:alignment vertical="top" wrapText="1"/>
    </x:xf>
    <x:xf numFmtId="201" fontId="6" fillId="5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5" borderId="6" xfId="0" applyNumberFormat="1" applyFont="1" applyFill="1" applyBorder="1" applyAlignment="1">
      <x:alignment vertical="top" wrapText="1"/>
    </x:xf>
    <x:xf numFmtId="202" fontId="7" fillId="5" borderId="5" xfId="0" applyNumberFormat="1" applyFont="1" applyFill="1" applyBorder="1" applyAlignment="1">
      <x:alignment vertical="top" wrapText="1"/>
    </x:xf>
    <x:xf numFmtId="202" fontId="7" fillId="0" borderId="6" xfId="0" applyNumberFormat="1" applyFont="1" applyFill="1" applyBorder="1" applyAlignment="1">
      <x:alignment vertical="top" wrapText="1"/>
    </x:xf>
    <x:xf numFmtId="202" fontId="7" fillId="5" borderId="6" xfId="0" applyNumberFormat="1" applyFont="1" applyFill="1" applyBorder="1" applyAlignment="1">
      <x:alignment vertical="top" wrapText="1"/>
    </x:xf>
    <x:xf numFmtId="203" fontId="7" fillId="5" borderId="5" xfId="0" applyNumberFormat="1" applyFont="1" applyFill="1" applyBorder="1" applyAlignment="1">
      <x:alignment vertical="top" wrapText="1"/>
    </x:xf>
    <x:xf numFmtId="203" fontId="7" fillId="0" borderId="6" xfId="0" applyNumberFormat="1" applyFont="1" applyFill="1" applyBorder="1" applyAlignment="1">
      <x:alignment vertical="top" wrapText="1"/>
    </x:xf>
    <x:xf numFmtId="203" fontId="7" fillId="5" borderId="6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200" fontId="8" fillId="6" borderId="6" xfId="0" applyNumberFormat="1" applyFont="1" applyFill="1" applyBorder="1" applyAlignment="1">
      <x:alignment vertical="top" wrapText="1"/>
    </x:xf>
    <x:xf numFmtId="200" fontId="8" fillId="6" borderId="5" xfId="0" applyNumberFormat="1" applyFont="1" applyFill="1" applyBorder="1" applyAlignment="1">
      <x:alignment vertical="top" wrapText="1"/>
    </x:xf>
    <x:xf numFmtId="204" fontId="6" fillId="5" borderId="5" xfId="0" applyNumberFormat="1" applyFont="1" applyFill="1" applyBorder="1" applyAlignment="1">
      <x:alignment vertical="top" wrapText="1"/>
    </x:xf>
    <x:xf numFmtId="204" fontId="6" fillId="0" borderId="6" xfId="0" applyNumberFormat="1" applyFont="1" applyFill="1" applyBorder="1" applyAlignment="1">
      <x:alignment vertical="top" wrapText="1"/>
    </x:xf>
    <x:xf numFmtId="204" fontId="6" fillId="5" borderId="6" xfId="0" applyNumberFormat="1" applyFont="1" applyFill="1" applyBorder="1" applyAlignment="1">
      <x:alignment vertical="top" wrapText="1"/>
    </x:xf>
    <x:xf numFmtId="203" fontId="6" fillId="5" borderId="5" xfId="0" applyNumberFormat="1" applyFont="1" applyFill="1" applyBorder="1" applyAlignment="1">
      <x:alignment vertical="top" wrapText="1"/>
    </x:xf>
    <x:xf numFmtId="203" fontId="6" fillId="0" borderId="6" xfId="0" applyNumberFormat="1" applyFont="1" applyFill="1" applyBorder="1" applyAlignment="1">
      <x:alignment vertical="top" wrapText="1"/>
    </x:xf>
    <x:xf numFmtId="203" fontId="6" fillId="5" borderId="6" xfId="0" applyNumberFormat="1" applyFont="1" applyFill="1" applyBorder="1" applyAlignment="1">
      <x:alignment vertical="top" wrapText="1"/>
    </x:xf>
    <x:xf numFmtId="205" fontId="6" fillId="5" borderId="5" xfId="0" applyNumberFormat="1" applyFont="1" applyFill="1" applyBorder="1" applyAlignment="1">
      <x:alignment vertical="top" wrapText="1"/>
    </x:xf>
    <x:xf numFmtId="205" fontId="6" fillId="0" borderId="6" xfId="0" applyNumberFormat="1" applyFont="1" applyFill="1" applyBorder="1" applyAlignment="1">
      <x:alignment vertical="top" wrapText="1"/>
    </x:xf>
    <x:xf numFmtId="205" fontId="6" fillId="5" borderId="6" xfId="0" applyNumberFormat="1" applyFont="1" applyFill="1" applyBorder="1" applyAlignment="1">
      <x:alignment vertical="top" wrapText="1"/>
    </x:xf>
    <x:xf numFmtId="206" fontId="6" fillId="5" borderId="5" xfId="0" applyNumberFormat="1" applyFont="1" applyFill="1" applyBorder="1" applyAlignment="1">
      <x:alignment vertical="top" wrapText="1"/>
    </x:xf>
    <x:xf numFmtId="206" fontId="6" fillId="0" borderId="6" xfId="0" applyNumberFormat="1" applyFont="1" applyFill="1" applyBorder="1" applyAlignment="1">
      <x:alignment vertical="top" wrapText="1"/>
    </x:xf>
    <x:xf numFmtId="206" fontId="6" fillId="5" borderId="6" xfId="0" applyNumberFormat="1" applyFont="1" applyFill="1" applyBorder="1" applyAlignment="1">
      <x:alignment vertical="top" wrapText="1"/>
    </x:xf>
    <x:xf numFmtId="207" fontId="6" fillId="5" borderId="5" xfId="0" applyNumberFormat="1" applyFont="1" applyFill="1" applyBorder="1" applyAlignment="1">
      <x:alignment vertical="top" wrapText="1"/>
    </x:xf>
    <x:xf numFmtId="207" fontId="6" fillId="0" borderId="6" xfId="0" applyNumberFormat="1" applyFont="1" applyFill="1" applyBorder="1" applyAlignment="1">
      <x:alignment vertical="top" wrapText="1"/>
    </x:xf>
    <x:xf numFmtId="207" fontId="6" fillId="5" borderId="6" xfId="0" applyNumberFormat="1" applyFont="1" applyFill="1" applyBorder="1" applyAlignment="1">
      <x:alignment vertical="top" wrapText="1"/>
    </x:xf>
    <x:xf numFmtId="208" fontId="6" fillId="5" borderId="5" xfId="0" applyNumberFormat="1" applyFont="1" applyFill="1" applyBorder="1" applyAlignment="1">
      <x:alignment vertical="top" wrapText="1"/>
    </x:xf>
    <x:xf numFmtId="208" fontId="6" fillId="0" borderId="6" xfId="0" applyNumberFormat="1" applyFont="1" applyFill="1" applyBorder="1" applyAlignment="1">
      <x:alignment vertical="top" wrapText="1"/>
    </x:xf>
    <x:xf numFmtId="208" fontId="6" fillId="5" borderId="6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a4912c92d4720" /><Relationship Type="http://schemas.openxmlformats.org/officeDocument/2006/relationships/theme" Target="/xl/theme/theme1.xml" Id="R79566905290440a7" /><Relationship Type="http://schemas.openxmlformats.org/officeDocument/2006/relationships/sharedStrings" Target="/xl/sharedStrings.xml" Id="Rc26553eebb38427f" /><Relationship Type="http://schemas.openxmlformats.org/officeDocument/2006/relationships/worksheet" Target="/xl/worksheets/sheet1.xml" Id="Rb8273a38ea65468b" /><Relationship Type="http://schemas.openxmlformats.org/officeDocument/2006/relationships/worksheet" Target="/xl/worksheets/sheet2.xml" Id="R3f366fbd514d487c" /><Relationship Type="http://schemas.openxmlformats.org/officeDocument/2006/relationships/worksheet" Target="/xl/worksheets/sheet3.xml" Id="R837d330352214dc6" /><Relationship Type="http://schemas.openxmlformats.org/officeDocument/2006/relationships/worksheet" Target="/xl/worksheets/sheet4.xml" Id="R1c2ad7aceb264291" /><Relationship Type="http://schemas.openxmlformats.org/officeDocument/2006/relationships/worksheet" Target="/xl/worksheets/sheet5.xml" Id="Rd44e1a35cebe4d7b" /><Relationship Type="http://schemas.openxmlformats.org/officeDocument/2006/relationships/worksheet" Target="/xl/worksheets/sheet6.xml" Id="R7bb3877bfb1443d8" /><Relationship Type="http://schemas.openxmlformats.org/officeDocument/2006/relationships/worksheet" Target="/xl/worksheets/sheet7.xml" Id="R28389bf460a94e08" /><Relationship Type="http://schemas.openxmlformats.org/officeDocument/2006/relationships/worksheet" Target="/xl/worksheets/sheet8.xml" Id="Ra07d1fd1c2594ba7" /><Relationship Type="http://schemas.openxmlformats.org/officeDocument/2006/relationships/worksheet" Target="/xl/worksheets/sheet9.xml" Id="R8f533bc9c7f14abc" /><Relationship Type="http://schemas.openxmlformats.org/officeDocument/2006/relationships/worksheet" Target="/xl/worksheets/sheet10.xml" Id="R33094bced5a24609" /><Relationship Type="http://schemas.openxmlformats.org/officeDocument/2006/relationships/worksheet" Target="/xl/worksheets/sheet11.xml" Id="Ra4e2cfac7ac544cf" /><Relationship Type="http://schemas.openxmlformats.org/officeDocument/2006/relationships/worksheet" Target="/xl/worksheets/sheet12.xml" Id="R621cbc1218234eee" /><Relationship Type="http://schemas.openxmlformats.org/officeDocument/2006/relationships/worksheet" Target="/xl/worksheets/sheet13.xml" Id="Re099f0afd12041ad" /><Relationship Type="http://schemas.openxmlformats.org/officeDocument/2006/relationships/worksheet" Target="/xl/worksheets/sheet14.xml" Id="R5f0cc95e2f6c4bc4" /><Relationship Type="http://schemas.openxmlformats.org/officeDocument/2006/relationships/worksheet" Target="/xl/worksheets/sheet15.xml" Id="Re2e7381d70834794" /><Relationship Type="http://schemas.openxmlformats.org/officeDocument/2006/relationships/worksheet" Target="/xl/worksheets/sheet16.xml" Id="R4a1000889f464b5d" /><Relationship Type="http://schemas.openxmlformats.org/officeDocument/2006/relationships/worksheet" Target="/xl/worksheets/sheet17.xml" Id="Rbd82ccc791464e6a" /><Relationship Type="http://schemas.openxmlformats.org/officeDocument/2006/relationships/worksheet" Target="/xl/worksheets/sheet18.xml" Id="R7dc85d4c86c34ae4" /><Relationship Type="http://schemas.openxmlformats.org/officeDocument/2006/relationships/worksheet" Target="/xl/worksheets/sheet19.xml" Id="R3baf63f4072e47fa" /><Relationship Type="http://schemas.openxmlformats.org/officeDocument/2006/relationships/worksheet" Target="/xl/worksheets/sheet20.xml" Id="R7461b8f9e6fc44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6d9ce511664f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Service closure by architecture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M0 closure</c:v>
          </c:tx>
          <c:marker>
            <c:symbol val="none"/>
          </c:marker>
          <c:cat>
            <c:strRef>
              <c:f>'Service Clock'!$A$5:$A$33</c:f>
              <c:strCache>
                <c:ptCount val="0"/>
              </c:strCache>
            </c:strRef>
          </c:cat>
          <c:val>
            <c:numRef>
              <c:f>'Service Clock'!$B$5:$B$33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B1 closure</c:v>
          </c:tx>
          <c:marker>
            <c:symbol val="none"/>
          </c:marker>
          <c:cat>
            <c:strRef>
              <c:f>'Service Clock'!$A$5:$A$33</c:f>
              <c:strCache>
                <c:ptCount val="0"/>
              </c:strCache>
            </c:strRef>
          </c:cat>
          <c:val>
            <c:numRef>
              <c:f>'Service Clock'!$C$5:$C$33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P2 closure</c:v>
          </c:tx>
          <c:marker>
            <c:symbol val="none"/>
          </c:marker>
          <c:cat>
            <c:strRef>
              <c:f>'Service Clock'!$A$5:$A$33</c:f>
              <c:strCache>
                <c:ptCount val="0"/>
              </c:strCache>
            </c:strRef>
          </c:cat>
          <c:val>
            <c:numRef>
              <c:f>'Service Clock'!$D$5:$D$33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H3 closure</c:v>
          </c:tx>
          <c:marker>
            <c:symbol val="none"/>
          </c:marker>
          <c:cat>
            <c:strRef>
              <c:f>'Service Clock'!$A$5:$A$33</c:f>
              <c:strCache>
                <c:ptCount val="0"/>
              </c:strCache>
            </c:strRef>
          </c:cat>
          <c:val>
            <c:numRef>
              <c:f>'Service Clock'!$E$5:$E$33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6d9ce511664f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2b2fba7d5e54c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9" customHeight="1">
      <x:c r="A1" s="2" t="str">
        <x:v>Harris County continuity and mobility campaign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6" t="str">
        <x:v>A seven-day, tract-scale design-reference compound coastal-flood and lifeline-loss campaign. Generated results are architecture tests, not a historical replay or probability forecast.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3" customHeight="1">
      <x:c r="A4" s="9" t="str">
        <x:v>Decision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5" ht="48" customHeight="1">
      <x:c r="A5" s="13" t="str">
        <x:v>Advance H3 only as the next test architecture. Its protected-local system plus assured neighborhood collection mesh wins all 300 paired broad worlds, but passes the complete admission rule in only 55.3%. No architecture is admitted as a national reference from this campaign.</x:v>
      </x:c>
      <x:c r="B5" s="13"/>
      <x:c r="C5" s="13"/>
      <x:c r="D5" s="13"/>
      <x:c r="E5" s="13"/>
      <x:c r="F5" s="13"/>
      <x:c r="G5" s="13"/>
      <x:c r="H5" s="13"/>
      <x:c r="I5" s="13"/>
      <x:c r="J5" s="13"/>
    </x:row>
    <x:row r="7" ht="23" customHeight="1">
      <x:c r="A7" s="9" t="str">
        <x:v>Broad-world result</x:v>
      </x:c>
      <x:c r="B7" s="9"/>
      <x:c r="C7" s="9"/>
      <x:c r="D7" s="9"/>
      <x:c r="E7" s="9"/>
      <x:c r="F7" s="9"/>
      <x:c r="G7" s="9"/>
      <x:c r="H7" s="9"/>
      <x:c r="I7" s="9"/>
      <x:c r="J7" s="9"/>
    </x:row>
    <x:row r="8" ht="34" customHeight="1">
      <x:c r="A8" s="25" t="str">
        <x:v>Architecture</x:v>
      </x:c>
      <x:c r="B8" s="26" t="str">
        <x:v>Name</x:v>
      </x:c>
      <x:c r="C8" s="26" t="str">
        <x:v>Success</x:v>
      </x:c>
      <x:c r="D8" s="26" t="str">
        <x:v>Mean closure</x:v>
      </x:c>
      <x:c r="E8" s="26" t="str">
        <x:v>P05 closure</x:v>
      </x:c>
      <x:c r="F8" s="26" t="str">
        <x:v>Mean priority</x:v>
      </x:c>
      <x:c r="G8" s="26" t="str">
        <x:v>Mean bottom decile</x:v>
      </x:c>
      <x:c r="H8" s="26" t="str">
        <x:v>P95 unprotected h/person</x:v>
      </x:c>
      <x:c r="I8" s="26" t="str">
        <x:v>Capital $B</x:v>
      </x:c>
      <x:c r="J8" s="27" t="str">
        <x:v>Disposition</x:v>
      </x:c>
    </x:row>
    <x:row r="9" ht="32.400001525878906" hidden="0" customHeight="1">
      <x:c r="A9" s="35" t="str">
        <x:v>M0</x:v>
      </x:c>
      <x:c r="B9" s="35" t="str">
        <x:v>Movement-led surge</x:v>
      </x:c>
      <x:c r="C9" s="40" t="n">
        <x:f>'Trial Summary'!C5</x:f>
        <x:v>0</x:v>
      </x:c>
      <x:c r="D9" s="40" t="n">
        <x:f>'Trial Summary'!D5</x:f>
        <x:v>0.6611361718579173</x:v>
      </x:c>
      <x:c r="E9" s="41" t="n">
        <x:v>0.5609882605945458</x:v>
      </x:c>
      <x:c r="F9" s="40" t="n">
        <x:f>'Trial Summary'!F5</x:f>
        <x:v>0.676587372880934</x:v>
      </x:c>
      <x:c r="G9" s="40" t="n">
        <x:f>'Trial Summary'!H5</x:f>
        <x:v>0.11546657045907262</x:v>
      </x:c>
      <x:c r="H9" s="46" t="n">
        <x:v>120.64294044961757</x:v>
      </x:c>
      <x:c r="I9" s="49" t="n">
        <x:f>'Finance'!B57</x:f>
        <x:v>116.15764050676484</x:v>
      </x:c>
      <x:c r="J9" s="37" t="str">
        <x:f>IF(C9&gt;=0.95,"ADMIT",IF(A9="H3","TEST / REDESIGN","RETAIN AS SUBSYSTEM"))</x:f>
        <x:v>RETAIN AS SUBSYSTEM</x:v>
      </x:c>
    </x:row>
    <x:row r="10" ht="43.20000076293945" hidden="0" customHeight="1">
      <x:c r="A10" s="34" t="str">
        <x:v>B1</x:v>
      </x:c>
      <x:c r="B10" s="34" t="str">
        <x:v>Balanced continuity and movement</x:v>
      </x:c>
      <x:c r="C10" s="42" t="n">
        <x:f>'Trial Summary'!C6</x:f>
        <x:v>0.006666666666666667</x:v>
      </x:c>
      <x:c r="D10" s="42" t="n">
        <x:f>'Trial Summary'!D6</x:f>
        <x:v>0.8067857538054065</x:v>
      </x:c>
      <x:c r="E10" s="43" t="n">
        <x:v>0.7185755535951646</x:v>
      </x:c>
      <x:c r="F10" s="42" t="n">
        <x:f>'Trial Summary'!F6</x:f>
        <x:v>0.8215546303903422</x:v>
      </x:c>
      <x:c r="G10" s="42" t="n">
        <x:f>'Trial Summary'!H6</x:f>
        <x:v>0.4221575184379843</x:v>
      </x:c>
      <x:c r="H10" s="47" t="n">
        <x:v>86.72400267745655</x:v>
      </x:c>
      <x:c r="I10" s="50" t="n">
        <x:f>'Finance'!B58</x:f>
        <x:v>97.79951368921255</x:v>
      </x:c>
      <x:c r="J10" s="38" t="str">
        <x:f>IF(C10&gt;=0.95,"ADMIT",IF(A10="H3","TEST / REDESIGN","RETAIN AS SUBSYSTEM"))</x:f>
        <x:v>RETAIN AS SUBSYSTEM</x:v>
      </x:c>
    </x:row>
    <x:row r="11" ht="32.400001525878906" hidden="0" customHeight="1">
      <x:c r="A11" s="36" t="str">
        <x:v>P2</x:v>
      </x:c>
      <x:c r="B11" s="36" t="str">
        <x:v>Protected-local selective movement</x:v>
      </x:c>
      <x:c r="C11" s="44" t="n">
        <x:f>'Trial Summary'!C7</x:f>
        <x:v>0.11666666666666667</x:v>
      </x:c>
      <x:c r="D11" s="44" t="n">
        <x:f>'Trial Summary'!D7</x:f>
        <x:v>0.8624861316728095</x:v>
      </x:c>
      <x:c r="E11" s="45" t="n">
        <x:v>0.7552610337106909</x:v>
      </x:c>
      <x:c r="F11" s="44" t="n">
        <x:f>'Trial Summary'!F7</x:f>
        <x:v>0.8742008527055875</x:v>
      </x:c>
      <x:c r="G11" s="44" t="n">
        <x:f>'Trial Summary'!H7</x:f>
        <x:v>0.5500159225311824</x:v>
      </x:c>
      <x:c r="H11" s="48" t="n">
        <x:v>65.00034359826783</x:v>
      </x:c>
      <x:c r="I11" s="51" t="n">
        <x:f>'Finance'!B59</x:f>
        <x:v>87.68659550982272</x:v>
      </x:c>
      <x:c r="J11" s="39" t="str">
        <x:f>IF(C11&gt;=0.95,"ADMIT",IF(A11="H3","TEST / REDESIGN","RETAIN AS SUBSYSTEM"))</x:f>
        <x:v>RETAIN AS SUBSYSTEM</x:v>
      </x:c>
    </x:row>
    <x:row r="12" ht="43.20000076293945" hidden="0" customHeight="1">
      <x:c r="A12" s="34" t="str">
        <x:v>H3</x:v>
      </x:c>
      <x:c r="B12" s="34" t="str">
        <x:v>Protected-local assured neighborhood mesh</x:v>
      </x:c>
      <x:c r="C12" s="42" t="n">
        <x:f>'Trial Summary'!C8</x:f>
        <x:v>0.5533333333333333</x:v>
      </x:c>
      <x:c r="D12" s="42" t="n">
        <x:f>'Trial Summary'!D8</x:f>
        <x:v>0.944437241311757</x:v>
      </x:c>
      <x:c r="E12" s="43" t="n">
        <x:v>0.8174033242334197</x:v>
      </x:c>
      <x:c r="F12" s="42" t="n">
        <x:f>'Trial Summary'!F8</x:f>
        <x:v>0.9454461706457332</x:v>
      </x:c>
      <x:c r="G12" s="42" t="n">
        <x:f>'Trial Summary'!H8</x:f>
        <x:v>0.749626474024282</x:v>
      </x:c>
      <x:c r="H12" s="47" t="n">
        <x:v>52.45637452031404</x:v>
      </x:c>
      <x:c r="I12" s="50" t="n">
        <x:f>'Finance'!B60</x:f>
        <x:v>115.31810080251552</x:v>
      </x:c>
      <x:c r="J12" s="38" t="str">
        <x:f>IF(C12&gt;=0.95,"ADMIT",IF(A12="H3","TEST / REDESIGN","RETAIN AS SUBSYSTEM"))</x:f>
        <x:v>TEST / REDESIGN</x:v>
      </x:c>
    </x:row>
    <x:row r="15" ht="23" customHeight="1">
      <x:c r="A15" s="9" t="str">
        <x:v>Reference-campaign result</x:v>
      </x:c>
      <x:c r="B15" s="9"/>
      <x:c r="C15" s="9"/>
      <x:c r="D15" s="9"/>
      <x:c r="E15" s="9"/>
      <x:c r="F15" s="9"/>
      <x:c r="G15" s="9"/>
      <x:c r="H15" s="9"/>
      <x:c r="I15" s="9"/>
      <x:c r="J15" s="9"/>
    </x:row>
    <x:row r="16" ht="34" customHeight="1">
      <x:c r="A16" s="25" t="str">
        <x:v>Architecture</x:v>
      </x:c>
      <x:c r="B16" s="26" t="str">
        <x:v>Closure 72h</x:v>
      </x:c>
      <x:c r="C16" s="26" t="str">
        <x:v>Closure 168h</x:v>
      </x:c>
      <x:c r="D16" s="26" t="str">
        <x:v>Priority 168h</x:v>
      </x:c>
      <x:c r="E16" s="26" t="str">
        <x:v>Bottom decile</x:v>
      </x:c>
      <x:c r="F16" s="26" t="str">
        <x:v>Peak collection queue</x:v>
      </x:c>
      <x:c r="G16" s="26" t="str">
        <x:v>Network stranded 168h</x:v>
      </x:c>
      <x:c r="H16" s="26" t="str">
        <x:v>Displaced day 7</x:v>
      </x:c>
      <x:c r="I16" s="26" t="str">
        <x:v>Unprotected h/person</x:v>
      </x:c>
      <x:c r="J16" s="27" t="str">
        <x:v>Result</x:v>
      </x:c>
    </x:row>
    <x:row r="17" ht="15" hidden="0" customHeight="1">
      <x:c r="A17" s="37" t="str">
        <x:f>'Base Results'!A5</x:f>
        <x:v>M0</x:v>
      </x:c>
      <x:c r="B17" s="40" t="n">
        <x:f>'Base Results'!K5</x:f>
        <x:v>0.3439947171989673</x:v>
      </x:c>
      <x:c r="C17" s="40" t="n">
        <x:f>'Base Results'!H5</x:f>
        <x:v>0.7981049764586413</x:v>
      </x:c>
      <x:c r="D17" s="40" t="n">
        <x:f>'Base Results'!I5</x:f>
        <x:v>0.7987370826583021</x:v>
      </x:c>
      <x:c r="E17" s="40" t="n">
        <x:f>'Base Results'!J5</x:f>
        <x:v>0.1788414226130456</x:v>
      </x:c>
      <x:c r="F17" s="52" t="n">
        <x:f>'Base Results'!N5</x:f>
        <x:v>266681.90594642784</x:v>
      </x:c>
      <x:c r="G17" s="52" t="n">
        <x:f>'Base Results'!Q5</x:f>
        <x:v>2013.733973865655</x:v>
      </x:c>
      <x:c r="H17" s="52" t="n">
        <x:f>'Base Results'!R5</x:f>
        <x:v>224623.67985986336</x:v>
      </x:c>
      <x:c r="I17" s="52" t="n">
        <x:f>'Base Results'!M5</x:f>
        <x:v>103.93093210849537</x:v>
      </x:c>
      <x:c r="J17" s="37" t="str">
        <x:f>'Base Results'!U5</x:f>
        <x:v>FAIL</x:v>
      </x:c>
    </x:row>
    <x:row r="18" ht="15" hidden="0" customHeight="1">
      <x:c r="A18" s="38" t="str">
        <x:f>'Base Results'!A6</x:f>
        <x:v>B1</x:v>
      </x:c>
      <x:c r="B18" s="42" t="n">
        <x:f>'Base Results'!K6</x:f>
        <x:v>0.6587451149710063</x:v>
      </x:c>
      <x:c r="C18" s="42" t="n">
        <x:f>'Base Results'!H6</x:f>
        <x:v>0.9912929233209921</x:v>
      </x:c>
      <x:c r="D18" s="42" t="n">
        <x:f>'Base Results'!I6</x:f>
        <x:v>0.9949834264249533</x:v>
      </x:c>
      <x:c r="E18" s="42" t="n">
        <x:f>'Base Results'!J6</x:f>
        <x:v>0.9129292332099229</x:v>
      </x:c>
      <x:c r="F18" s="53" t="n">
        <x:f>'Base Results'!N6</x:f>
        <x:v>145935.7308049797</x:v>
      </x:c>
      <x:c r="G18" s="53" t="n">
        <x:f>'Base Results'!Q6</x:f>
        <x:v>1566.6742390051927</x:v>
      </x:c>
      <x:c r="H18" s="53" t="n">
        <x:f>'Base Results'!R6</x:f>
        <x:v>122249.82198379892</x:v>
      </x:c>
      <x:c r="I18" s="53" t="n">
        <x:f>'Base Results'!M6</x:f>
        <x:v>56.87366914050572</x:v>
      </x:c>
      <x:c r="J18" s="38" t="str">
        <x:f>'Base Results'!U6</x:f>
        <x:v>PASS</x:v>
      </x:c>
    </x:row>
    <x:row r="19" ht="15" hidden="0" customHeight="1">
      <x:c r="A19" s="39" t="str">
        <x:f>'Base Results'!A7</x:f>
        <x:v>P2</x:v>
      </x:c>
      <x:c r="B19" s="44" t="n">
        <x:f>'Base Results'!K7</x:f>
        <x:v>0.8213713936686496</x:v>
      </x:c>
      <x:c r="C19" s="44" t="n">
        <x:f>'Base Results'!H7</x:f>
        <x:v>0.9973047556610725</x:v>
      </x:c>
      <x:c r="D19" s="44" t="n">
        <x:f>'Base Results'!I7</x:f>
        <x:v>0.9983022661278259</x:v>
      </x:c>
      <x:c r="E19" s="44" t="n">
        <x:f>'Base Results'!J7</x:f>
        <x:v>0.9730475566107245</x:v>
      </x:c>
      <x:c r="F19" s="54" t="n">
        <x:f>'Base Results'!N7</x:f>
        <x:v>79583.84714913616</x:v>
      </x:c>
      <x:c r="G19" s="54" t="n">
        <x:f>'Base Results'!Q7</x:f>
        <x:v>1296.5467501922446</x:v>
      </x:c>
      <x:c r="H19" s="54" t="n">
        <x:f>'Base Results'!R7</x:f>
        <x:v>59400.89566197555</x:v>
      </x:c>
      <x:c r="I19" s="54" t="n">
        <x:f>'Base Results'!M7</x:f>
        <x:v>29.633662629509352</x:v>
      </x:c>
      <x:c r="J19" s="39" t="str">
        <x:f>'Base Results'!U7</x:f>
        <x:v>PASS</x:v>
      </x:c>
    </x:row>
    <x:row r="20" ht="15" hidden="0" customHeight="1">
      <x:c r="A20" s="38" t="str">
        <x:f>'Base Results'!A8</x:f>
        <x:v>H3</x:v>
      </x:c>
      <x:c r="B20" s="42" t="n">
        <x:f>'Base Results'!K8</x:f>
        <x:v>0.8364400890016047</x:v>
      </x:c>
      <x:c r="C20" s="42" t="n">
        <x:f>'Base Results'!H8</x:f>
        <x:v>0.9973677919655333</x:v>
      </x:c>
      <x:c r="D20" s="42" t="n">
        <x:f>'Base Results'!I8</x:f>
        <x:v>0.9983421020171229</x:v>
      </x:c>
      <x:c r="E20" s="42" t="n">
        <x:f>'Base Results'!J8</x:f>
        <x:v>0.9736779196553336</x:v>
      </x:c>
      <x:c r="F20" s="53" t="n">
        <x:f>'Base Results'!N8</x:f>
        <x:v>73749.80500401302</x:v>
      </x:c>
      <x:c r="G20" s="53" t="n">
        <x:f>'Base Results'!Q8</x:f>
        <x:v>1266.2231485385728</x:v>
      </x:c>
      <x:c r="H20" s="53" t="n">
        <x:f>'Base Results'!R8</x:f>
        <x:v>36255.38687058512</x:v>
      </x:c>
      <x:c r="I20" s="53" t="n">
        <x:f>'Base Results'!M8</x:f>
        <x:v>24.1148609254655</x:v>
      </x:c>
      <x:c r="J20" s="38" t="str">
        <x:f>'Base Results'!U8</x:f>
        <x:v>PASS</x:v>
      </x:c>
    </x:row>
    <x:row r="23" ht="23" customHeight="1">
      <x:c r="A23" s="9" t="str">
        <x:v>Design consequence</x:v>
      </x:c>
      <x:c r="B23" s="9"/>
      <x:c r="C23" s="9"/>
      <x:c r="D23" s="9"/>
      <x:c r="E23" s="9"/>
      <x:c r="F23" s="9"/>
      <x:c r="G23" s="9"/>
      <x:c r="H23" s="9"/>
      <x:c r="I23" s="9"/>
      <x:c r="J23" s="9"/>
    </x:row>
    <x:row r="24" ht="21.600000381469727" hidden="0" customHeight="1">
      <x:c r="A24" s="35" t="str">
        <x:v>1</x:v>
      </x:c>
      <x:c r="B24" s="35" t="str">
        <x:v>The reference network becomes nearly connected by hour 120, but the early collection queue still governs exposure. Route recovery and collection capacity must be designed as one neighborhood force.</x:v>
      </x:c>
      <x:c r="C24" s="35"/>
      <x:c r="D24" s="35"/>
      <x:c r="E24" s="35"/>
      <x:c r="F24" s="35"/>
      <x:c r="G24" s="35"/>
      <x:c r="H24" s="35"/>
      <x:c r="I24" s="35"/>
      <x:c r="J24" s="35"/>
    </x:row>
    <x:row r="25" ht="21.600000381469727" hidden="0" customHeight="1">
      <x:c r="A25" s="34" t="str">
        <x:v>2</x:v>
      </x:c>
      <x:c r="B25" s="34" t="str">
        <x:v>Movement-led M0 sends 318,401 people into the chain because local protection is absent. It reaches 79.8% closure in the reference case and passes none of the broad worlds.</x:v>
      </x:c>
      <x:c r="C25" s="34"/>
      <x:c r="D25" s="34"/>
      <x:c r="E25" s="34"/>
      <x:c r="F25" s="34"/>
      <x:c r="G25" s="34"/>
      <x:c r="H25" s="34"/>
      <x:c r="I25" s="34"/>
      <x:c r="J25" s="34"/>
    </x:row>
    <x:row r="26" ht="21.600000381469727" hidden="0" customHeight="1">
      <x:c r="A26" s="36" t="str">
        <x:v>3</x:v>
      </x:c>
      <x:c r="B26" s="36" t="str">
        <x:v>Protected-local P2 cuts reference displaced population at day seven to 59,401 and mean unprotected time to 29.6 hours, yet passes only 11.7% of broad worlds.</x:v>
      </x:c>
      <x:c r="C26" s="36"/>
      <x:c r="D26" s="36"/>
      <x:c r="E26" s="36"/>
      <x:c r="F26" s="36"/>
      <x:c r="G26" s="36"/>
      <x:c r="H26" s="36"/>
      <x:c r="I26" s="36"/>
      <x:c r="J26" s="36"/>
    </x:row>
    <x:row r="27" ht="21.600000381469727" hidden="0" customHeight="1">
      <x:c r="A27" s="34" t="str">
        <x:v>4</x:v>
      </x:c>
      <x:c r="B27" s="34" t="str">
        <x:v>H3 adds faster local activation, building access, collection capacity, route assurance, and one more transfer node. It cuts reference unprotected time to 24.1 hours but still fails 44.7% of broad worlds.</x:v>
      </x:c>
      <x:c r="C27" s="34"/>
      <x:c r="D27" s="34"/>
      <x:c r="E27" s="34"/>
      <x:c r="F27" s="34"/>
      <x:c r="G27" s="34"/>
      <x:c r="H27" s="34"/>
      <x:c r="I27" s="34"/>
      <x:c r="J27" s="34"/>
    </x:row>
    <x:row r="28" ht="21.600000381469727" hidden="0" customHeight="1">
      <x:c r="A28" s="36" t="str">
        <x:v>5</x:v>
      </x:c>
      <x:c r="B28" s="36" t="str">
        <x:v>The next formation is a Neighborhood Continuity and Access Cell linking a protected district, vertical extraction, accessible pickup, local route assurance, and a CTN interface. A larger line-haul fleet does not address the governing failure.</x:v>
      </x:c>
      <x:c r="C28" s="36"/>
      <x:c r="D28" s="36"/>
      <x:c r="E28" s="36"/>
      <x:c r="F28" s="36"/>
      <x:c r="G28" s="36"/>
      <x:c r="H28" s="36"/>
      <x:c r="I28" s="36"/>
      <x:c r="J28" s="36"/>
    </x:row>
  </x:sheetData>
  <x:mergeCells>
    <x:mergeCell ref="A1:J1"/>
    <x:mergeCell ref="A2:J2"/>
    <x:mergeCell ref="A4:J4"/>
    <x:mergeCell ref="A5:J5"/>
    <x:mergeCell ref="A7:J7"/>
    <x:mergeCell ref="A15:J15"/>
    <x:mergeCell ref="A23:J23"/>
    <x:mergeCell ref="B24:J24"/>
    <x:mergeCell ref="B25:J25"/>
    <x:mergeCell ref="B26:J26"/>
    <x:mergeCell ref="B27:J27"/>
    <x:mergeCell ref="B28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58" hidden="0" customWidth="1"/>
    <x:col min="4" max="4" width="35" hidden="0" customWidth="1"/>
    <x:col min="5" max="5" width="25" hidden="0" customWidth="1"/>
    <x:col min="6" max="6" width="25" hidden="0" customWidth="1"/>
  </x:cols>
  <x:sheetData>
    <x:row r="1" ht="29" customHeight="1">
      <x:c r="A1" s="2" t="str">
        <x:v>Model purpose and use</x:v>
      </x:c>
      <x:c r="B1" s="2"/>
      <x:c r="C1" s="2"/>
      <x:c r="D1" s="2"/>
      <x:c r="E1" s="2"/>
      <x:c r="F1" s="2"/>
    </x:row>
    <x:row r="2" ht="34" customHeight="1">
      <x:c r="A2" s="6" t="str">
        <x:v>Read this sheet before interpreting architecture rankings, route reach, or cost.</x:v>
      </x:c>
      <x:c r="B2" s="6"/>
      <x:c r="C2" s="6"/>
      <x:c r="D2" s="6"/>
      <x:c r="E2" s="6"/>
      <x:c r="F2" s="6"/>
    </x:row>
    <x:row r="4" ht="34" customHeight="1">
      <x:c r="A4" s="25" t="str">
        <x:v>Topic</x:v>
      </x:c>
      <x:c r="B4" s="26" t="str">
        <x:v>Statement</x:v>
      </x:c>
      <x:c r="C4" s="26" t="str">
        <x:v>Why it matters</x:v>
      </x:c>
      <x:c r="D4" s="26" t="str">
        <x:v>Workbook location</x:v>
      </x:c>
      <x:c r="E4" s="26" t="str">
        <x:v>Authority</x:v>
      </x:c>
      <x:c r="F4" s="27" t="str">
        <x:v>Status</x:v>
      </x:c>
    </x:row>
    <x:row r="5" ht="108" hidden="0" customHeight="1">
      <x:c r="A5" s="35" t="str">
        <x:v>Decision</x:v>
      </x:c>
      <x:c r="B5" s="35" t="str">
        <x:v>Test the boundary between protected-local continuity and selective movement in one metropolitan campaign.</x:v>
      </x:c>
      <x:c r="C5" s="35" t="str">
        <x:v>National averages hide building access, collection, queues, destination admission, and return.</x:v>
      </x:c>
      <x:c r="D5" s="35" t="str">
        <x:v>Executive; Base Results; Trial Summary</x:v>
      </x:c>
      <x:c r="E5" s="35" t="str">
        <x:v>design study</x:v>
      </x:c>
      <x:c r="F5" s="35" t="str">
        <x:v>R1/R2 with R2+ arithmetic</x:v>
      </x:c>
    </x:row>
    <x:row r="6" ht="118.80000305175781" hidden="0" customHeight="1">
      <x:c r="A6" s="34" t="str">
        <x:v>Campaign</x:v>
      </x:c>
      <x:c r="B6" s="34" t="str">
        <x:v>Compound coastal flood and lifeline loss over Harris County; 481,050 people require service over seven days.</x:v>
      </x:c>
      <x:c r="C6" s="34" t="str">
        <x:v>This is not Hurricane Harvey, a forecast, or an official evacuation plan.</x:v>
      </x:c>
      <x:c r="D6" s="34" t="str">
        <x:v>Assumptions; Exposure</x:v>
      </x:c>
      <x:c r="E6" s="34" t="str">
        <x:v>declared design reference</x:v>
      </x:c>
      <x:c r="F6" s="34" t="str">
        <x:v>assumption</x:v>
      </x:c>
    </x:row>
    <x:row r="7" ht="97.19999694824219" hidden="0" customHeight="1">
      <x:c r="A7" s="36" t="str">
        <x:v>Observed geography</x:v>
      </x:c>
      <x:c r="B7" s="36" t="str">
        <x:v>1,111 tract records, 65,144 TIGER road features split into 667,739 segments and 584,857 graph nodes.</x:v>
      </x:c>
      <x:c r="C7" s="36" t="str">
        <x:v>Geometry makes collection routable rather than a centroid-distance screen.</x:v>
      </x:c>
      <x:c r="D7" s="36" t="str">
        <x:v>Tract Inputs; Network Recovery</x:v>
      </x:c>
      <x:c r="E7" s="36" t="str">
        <x:v>Census</x:v>
      </x:c>
      <x:c r="F7" s="36" t="str">
        <x:v>source-backed geometry</x:v>
      </x:c>
    </x:row>
    <x:row r="8" ht="129.60000610351562" hidden="0" customHeight="1">
      <x:c r="A8" s="34" t="str">
        <x:v>Flood layer</x:v>
      </x:c>
      <x:c r="B8" s="34" t="str">
        <x:v>10,802 FEMA NFHL polygons classify internal points and road samples as high, moderate, or low mapped exposure.</x:v>
      </x:c>
      <x:c r="C8" s="34" t="str">
        <x:v>NFHL is regulatory hazard information, not event depth or road failure probability.</x:v>
      </x:c>
      <x:c r="D8" s="34" t="str">
        <x:v>Exposure; Sources</x:v>
      </x:c>
      <x:c r="E8" s="34" t="str">
        <x:v>FEMA</x:v>
      </x:c>
      <x:c r="F8" s="34" t="str">
        <x:v>bounded use</x:v>
      </x:c>
    </x:row>
    <x:row r="9" ht="118.80000305175781" hidden="0" customHeight="1">
      <x:c r="A9" s="36" t="str">
        <x:v>Evacuation routes</x:v>
      </x:c>
      <x:c r="B9" s="36" t="str">
        <x:v>33 TxDOT features mark designated corridors and receive an assumed 30% restoration-time preference.</x:v>
      </x:c>
      <x:c r="C9" s="36" t="str">
        <x:v>Designation does not prove flood survival, control activation, or throughput.</x:v>
      </x:c>
      <x:c r="D9" s="36" t="str">
        <x:v>Network Recovery; Sources</x:v>
      </x:c>
      <x:c r="E9" s="36" t="str">
        <x:v>TxDOT plus assumption</x:v>
      </x:c>
      <x:c r="F9" s="36" t="str">
        <x:v>open</x:v>
      </x:c>
    </x:row>
    <x:row r="10" ht="97.19999694824219" hidden="0" customHeight="1">
      <x:c r="A10" s="34" t="str">
        <x:v>Building proxy</x:v>
      </x:c>
      <x:c r="B10" s="34" t="str">
        <x:v>ACS B25024 share of housing units in structures with 20 or more units modifies vertical-access delay.</x:v>
      </x:c>
      <x:c r="C10" s="34" t="str">
        <x:v>Housing units are not residents, stories, elevators, outage state, or assistance need.</x:v>
      </x:c>
      <x:c r="D10" s="34" t="str">
        <x:v>Tract Inputs</x:v>
      </x:c>
      <x:c r="E10" s="34" t="str">
        <x:v>Census plus assumption</x:v>
      </x:c>
      <x:c r="F10" s="34" t="str">
        <x:v>proxy only</x:v>
      </x:c>
    </x:row>
    <x:row r="11" ht="97.19999694824219" hidden="0" customHeight="1">
      <x:c r="A11" s="36" t="str">
        <x:v>Simulation</x:v>
      </x:c>
      <x:c r="B11" s="36" t="str">
        <x:v>Six-hour steps, 300 paired Latin-hypercube worlds per architecture, fixed seed 360905.</x:v>
      </x:c>
      <x:c r="C11" s="36" t="str">
        <x:v>World counts test robustness across declared ranges; they are not probabilities.</x:v>
      </x:c>
      <x:c r="D11" s="36" t="str">
        <x:v>Assumptions; Trials</x:v>
      </x:c>
      <x:c r="E11" s="36" t="str">
        <x:v>generated experiment</x:v>
      </x:c>
      <x:c r="F11" s="36" t="str">
        <x:v>reproducible</x:v>
      </x:c>
    </x:row>
    <x:row r="12" ht="151.1999969482422" hidden="0" customHeight="1">
      <x:c r="A12" s="34" t="str">
        <x:v>Admission</x:v>
      </x:c>
      <x:c r="B12" s="34" t="str">
        <x:v>Closure &gt;=95%, priority closure &gt;=95%, bottom demand decile &gt;=80%, and mean unprotected time &lt;=60 hours in the same world.</x:v>
      </x:c>
      <x:c r="C12" s="34" t="str">
        <x:v>One national mean cannot hide the tail or long exposure.</x:v>
      </x:c>
      <x:c r="D12" s="34" t="str">
        <x:v>Assumptions; Checks</x:v>
      </x:c>
      <x:c r="E12" s="34" t="str">
        <x:v>design rule</x:v>
      </x:c>
      <x:c r="F12" s="34" t="str">
        <x:v>provisional</x:v>
      </x:c>
    </x:row>
    <x:row r="13" ht="97.19999694824219" hidden="0" customHeight="1">
      <x:c r="A13" s="36" t="str">
        <x:v>Finance</x:v>
      </x:c>
      <x:c r="B13" s="36" t="str">
        <x:v>Campaign-attributable capital, operations, and workforce use declared unit factors.</x:v>
      </x:c>
      <x:c r="C13" s="36" t="str">
        <x:v>Values show scale and architecture tradeoffs, not independent estimates or Department-additive budgets.</x:v>
      </x:c>
      <x:c r="D13" s="36" t="str">
        <x:v>Finance; Workforce</x:v>
      </x:c>
      <x:c r="E13" s="36" t="str">
        <x:v>design assumptions</x:v>
      </x:c>
      <x:c r="F13" s="36" t="str">
        <x:v>open</x:v>
      </x:c>
    </x:row>
    <x:row r="14" ht="54" hidden="0" customHeight="1">
      <x:c r="A14" s="34" t="str">
        <x:v>Rendering</x:v>
      </x:c>
      <x:c r="B14" s="34" t="str">
        <x:v>All 18 evidence gates remain open.</x:v>
      </x:c>
      <x:c r="C14" s="34" t="str">
        <x:v>No vehicle, node, or district rendering is authorized.</x:v>
      </x:c>
      <x:c r="D14" s="34" t="str">
        <x:v>Evidence Gates; Checks</x:v>
      </x:c>
      <x:c r="E14" s="34" t="str">
        <x:v>governance rule</x:v>
      </x:c>
      <x:c r="F14" s="34" t="str">
        <x:v>blocked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4E8D0"/>
  </x:sheetPr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6" hidden="0" customWidth="1"/>
  </x:cols>
  <x:sheetData>
    <x:row r="1" ht="29" customHeight="1">
      <x:c r="A1" s="2" t="str">
        <x:v>Campaign assumptions</x:v>
      </x:c>
      <x:c r="B1" s="2"/>
      <x:c r="C1" s="2"/>
      <x:c r="D1" s="2"/>
      <x:c r="E1" s="2"/>
      <x:c r="F1" s="2"/>
      <x:c r="G1" s="2"/>
    </x:row>
    <x:row r="2" ht="34" customHeight="1">
      <x:c r="A2" s="6" t="str">
        <x:v>Yellow cells record the generated run. Editing them does not rerun the external road graph or simulation; regenerate the workbook to change outcomes.</x:v>
      </x:c>
      <x:c r="B2" s="6"/>
      <x:c r="C2" s="6"/>
      <x:c r="D2" s="6"/>
      <x:c r="E2" s="6"/>
      <x:c r="F2" s="6"/>
      <x:c r="G2" s="6"/>
    </x:row>
    <x:row r="4" ht="23" customHeight="1">
      <x:c r="A4" s="9" t="str">
        <x:v>Campaign frame</x:v>
      </x:c>
      <x:c r="B4" s="9"/>
      <x:c r="C4" s="9"/>
      <x:c r="D4" s="9"/>
      <x:c r="E4" s="9"/>
      <x:c r="F4" s="9"/>
      <x:c r="G4" s="9"/>
    </x:row>
    <x:row r="5" ht="34" customHeight="1">
      <x:c r="A5" s="25" t="str">
        <x:v>Control</x:v>
      </x:c>
      <x:c r="B5" s="26" t="str">
        <x:v>Value</x:v>
      </x:c>
      <x:c r="C5" s="26" t="str">
        <x:v>Unit</x:v>
      </x:c>
      <x:c r="D5" s="26" t="str">
        <x:v>Class</x:v>
      </x:c>
      <x:c r="E5" s="26" t="str">
        <x:v>Low</x:v>
      </x:c>
      <x:c r="F5" s="26" t="str">
        <x:v>High</x:v>
      </x:c>
      <x:c r="G5" s="27" t="str">
        <x:v>Boundary</x:v>
      </x:c>
    </x:row>
    <x:row r="6" ht="21.600000381469727" hidden="0" customHeight="1">
      <x:c r="A6" s="35" t="str">
        <x:v>County tract population</x:v>
      </x:c>
      <x:c r="B6" s="57" t="n">
        <x:v>4810498</x:v>
      </x:c>
      <x:c r="C6" s="35" t="str">
        <x:v>people</x:v>
      </x:c>
      <x:c r="D6" s="35" t="str">
        <x:v>source aggregate</x:v>
      </x:c>
      <x:c r="E6" s="35"/>
      <x:c r="F6" s="35"/>
      <x:c r="G6" s="35" t="str">
        <x:v>ACS/Gazetteer tract set</x:v>
      </x:c>
    </x:row>
    <x:row r="7" ht="43.20000076293945" hidden="0" customHeight="1">
      <x:c r="A7" s="34" t="str">
        <x:v>Campaign service demand</x:v>
      </x:c>
      <x:c r="B7" s="58" t="n">
        <x:v>481049.80000000005</x:v>
      </x:c>
      <x:c r="C7" s="34" t="str">
        <x:v>people</x:v>
      </x:c>
      <x:c r="D7" s="34" t="str">
        <x:v>design reference</x:v>
      </x:c>
      <x:c r="E7" s="34"/>
      <x:c r="F7" s="34"/>
      <x:c r="G7" s="34" t="str">
        <x:v>10% of population after spatial weighting</x:v>
      </x:c>
    </x:row>
    <x:row r="8" ht="32.400001525878906" hidden="0" customHeight="1">
      <x:c r="A8" s="36" t="str">
        <x:v>Campaign duration</x:v>
      </x:c>
      <x:c r="B8" s="58" t="n">
        <x:v>168</x:v>
      </x:c>
      <x:c r="C8" s="36" t="str">
        <x:v>hours</x:v>
      </x:c>
      <x:c r="D8" s="36" t="str">
        <x:v>method</x:v>
      </x:c>
      <x:c r="E8" s="36"/>
      <x:c r="F8" s="36"/>
      <x:c r="G8" s="36" t="str">
        <x:v>seven-day service screen</x:v>
      </x:c>
    </x:row>
    <x:row r="9" ht="43.20000076293945" hidden="0" customHeight="1">
      <x:c r="A9" s="34" t="str">
        <x:v>Time step</x:v>
      </x:c>
      <x:c r="B9" s="58" t="n">
        <x:v>6</x:v>
      </x:c>
      <x:c r="C9" s="34" t="str">
        <x:v>hours</x:v>
      </x:c>
      <x:c r="D9" s="34" t="str">
        <x:v>method</x:v>
      </x:c>
      <x:c r="E9" s="34"/>
      <x:c r="F9" s="34"/>
      <x:c r="G9" s="34" t="str">
        <x:v>queues are six-hour approximations</x:v>
      </x:c>
    </x:row>
    <x:row r="10" ht="21.600000381469727" hidden="0" customHeight="1">
      <x:c r="A10" s="36" t="str">
        <x:v>Trials per architecture</x:v>
      </x:c>
      <x:c r="B10" s="58" t="n">
        <x:v>300</x:v>
      </x:c>
      <x:c r="C10" s="36" t="str">
        <x:v>worlds</x:v>
      </x:c>
      <x:c r="D10" s="36" t="str">
        <x:v>method</x:v>
      </x:c>
      <x:c r="E10" s="36"/>
      <x:c r="F10" s="36"/>
      <x:c r="G10" s="36" t="str">
        <x:v>paired broad worlds</x:v>
      </x:c>
    </x:row>
    <x:row r="11" ht="21.600000381469727" hidden="0" customHeight="1">
      <x:c r="A11" s="34" t="str">
        <x:v>Seed</x:v>
      </x:c>
      <x:c r="B11" s="58" t="n">
        <x:v>360905</x:v>
      </x:c>
      <x:c r="C11" s="34" t="str">
        <x:v>integer</x:v>
      </x:c>
      <x:c r="D11" s="34" t="str">
        <x:v>method</x:v>
      </x:c>
      <x:c r="E11" s="34"/>
      <x:c r="F11" s="34"/>
      <x:c r="G11" s="34" t="str">
        <x:v>reproducibility only</x:v>
      </x:c>
    </x:row>
    <x:row r="12" ht="21.600000381469727" hidden="0" customHeight="1">
      <x:c r="A12" s="36" t="str">
        <x:v>Admission total closure</x:v>
      </x:c>
      <x:c r="B12" s="59" t="n">
        <x:v>0.95</x:v>
      </x:c>
      <x:c r="C12" s="36" t="str">
        <x:v>fraction</x:v>
      </x:c>
      <x:c r="D12" s="36" t="str">
        <x:v>design rule</x:v>
      </x:c>
      <x:c r="E12" s="36"/>
      <x:c r="F12" s="36"/>
      <x:c r="G12" s="36" t="str">
        <x:v>same-world joint test</x:v>
      </x:c>
    </x:row>
    <x:row r="13" ht="32.400001525878906" hidden="0" customHeight="1">
      <x:c r="A13" s="34" t="str">
        <x:v>Admission priority closure</x:v>
      </x:c>
      <x:c r="B13" s="59" t="n">
        <x:v>0.95</x:v>
      </x:c>
      <x:c r="C13" s="34" t="str">
        <x:v>fraction</x:v>
      </x:c>
      <x:c r="D13" s="34" t="str">
        <x:v>design rule</x:v>
      </x:c>
      <x:c r="E13" s="34"/>
      <x:c r="F13" s="34"/>
      <x:c r="G13" s="34" t="str">
        <x:v>disability and zero-vehicle burden proxy</x:v>
      </x:c>
    </x:row>
    <x:row r="14" ht="32.400001525878906" hidden="0" customHeight="1">
      <x:c r="A14" s="36" t="str">
        <x:v>Admission bottom decile</x:v>
      </x:c>
      <x:c r="B14" s="59" t="n">
        <x:v>0.8</x:v>
      </x:c>
      <x:c r="C14" s="36" t="str">
        <x:v>fraction</x:v>
      </x:c>
      <x:c r="D14" s="36" t="str">
        <x:v>design rule</x:v>
      </x:c>
      <x:c r="E14" s="36"/>
      <x:c r="F14" s="36"/>
      <x:c r="G14" s="36" t="str">
        <x:v>population-weighted demand tail</x:v>
      </x:c>
    </x:row>
    <x:row r="15" ht="43.20000076293945" hidden="0" customHeight="1">
      <x:c r="A15" s="34" t="str">
        <x:v>Maximum mean unprotected time</x:v>
      </x:c>
      <x:c r="B15" s="58" t="n">
        <x:v>60</x:v>
      </x:c>
      <x:c r="C15" s="34" t="str">
        <x:v>hours/person</x:v>
      </x:c>
      <x:c r="D15" s="34" t="str">
        <x:v>design rule</x:v>
      </x:c>
      <x:c r="E15" s="34"/>
      <x:c r="F15" s="34"/>
      <x:c r="G15" s="34" t="str">
        <x:v>same-world joint test</x:v>
      </x:c>
    </x:row>
    <x:row r="16" ht="54" hidden="0" customHeight="1">
      <x:c r="A16" s="36" t="str">
        <x:v>Collection route cutoff</x:v>
      </x:c>
      <x:c r="B16" s="58" t="n">
        <x:v>150</x:v>
      </x:c>
      <x:c r="C16" s="36" t="str">
        <x:v>minutes</x:v>
      </x:c>
      <x:c r="D16" s="36" t="str">
        <x:v>assumption</x:v>
      </x:c>
      <x:c r="E16" s="36"/>
      <x:c r="F16" s="36"/>
      <x:c r="G16" s="36" t="str">
        <x:v>travel time before congestion and pickup dwell</x:v>
      </x:c>
    </x:row>
    <x:row r="17" ht="32.400001525878906" hidden="0" customHeight="1">
      <x:c r="A17" s="34" t="str">
        <x:v>CTN peak throughput</x:v>
      </x:c>
      <x:c r="B17" s="58" t="n">
        <x:v>1000</x:v>
      </x:c>
      <x:c r="C17" s="34" t="str">
        <x:v>people/hour/node</x:v>
      </x:c>
      <x:c r="D17" s="34" t="str">
        <x:v>Pass 34 configuration</x:v>
      </x:c>
      <x:c r="E17" s="34"/>
      <x:c r="F17" s="34"/>
      <x:c r="G17" s="34" t="str">
        <x:v>queue distribution unvalidated</x:v>
      </x:c>
    </x:row>
    <x:row r="18" ht="32.400001525878906" hidden="0" customHeight="1">
      <x:c r="A18" s="36" t="str">
        <x:v>UCM occupants</x:v>
      </x:c>
      <x:c r="B18" s="58" t="n">
        <x:v>8</x:v>
      </x:c>
      <x:c r="C18" s="36" t="str">
        <x:v>people/module</x:v>
      </x:c>
      <x:c r="D18" s="36" t="str">
        <x:v>Pass 34 configuration</x:v>
      </x:c>
      <x:c r="E18" s="36"/>
      <x:c r="F18" s="36"/>
      <x:c r="G18" s="36" t="str">
        <x:v>configuration matrix unbuilt</x:v>
      </x:c>
    </x:row>
    <x:row r="19" ht="21.600000381469727" hidden="0" customHeight="1">
      <x:c r="A19" s="34" t="str">
        <x:v>Rendering authorization</x:v>
      </x:c>
      <x:c r="B19" s="58" t="n">
        <x:v>0</x:v>
      </x:c>
      <x:c r="C19" s="34" t="str">
        <x:v>binary</x:v>
      </x:c>
      <x:c r="D19" s="34" t="str">
        <x:v>governance</x:v>
      </x:c>
      <x:c r="E19" s="34"/>
      <x:c r="F19" s="34"/>
      <x:c r="G19" s="34" t="str">
        <x:v>18 evidence gates open</x:v>
      </x:c>
    </x:row>
    <x:row r="22" ht="23" customHeight="1">
      <x:c r="A22" s="9" t="str">
        <x:v>Broad-world ranges</x:v>
      </x:c>
      <x:c r="B22" s="9"/>
      <x:c r="C22" s="9"/>
      <x:c r="D22" s="9"/>
      <x:c r="E22" s="9"/>
      <x:c r="F22" s="9"/>
      <x:c r="G22" s="9"/>
    </x:row>
    <x:row r="23" ht="34" customHeight="1">
      <x:c r="A23" s="25" t="str">
        <x:v>Parameter</x:v>
      </x:c>
      <x:c r="B23" s="26" t="str">
        <x:v>Reference</x:v>
      </x:c>
      <x:c r="C23" s="26" t="str">
        <x:v>Unit</x:v>
      </x:c>
      <x:c r="D23" s="26" t="str">
        <x:v>Low</x:v>
      </x:c>
      <x:c r="E23" s="26" t="str">
        <x:v>High</x:v>
      </x:c>
      <x:c r="F23" s="26" t="str">
        <x:v>Sampling</x:v>
      </x:c>
      <x:c r="G23" s="27" t="str">
        <x:v>Interpretation</x:v>
      </x:c>
    </x:row>
    <x:row r="24" ht="21.600000381469727" hidden="0" customHeight="1">
      <x:c r="A24" s="35" t="str">
        <x:v>Demand multiplier</x:v>
      </x:c>
      <x:c r="B24" s="57" t="n">
        <x:v>1</x:v>
      </x:c>
      <x:c r="C24" s="57" t="str">
        <x:v>multiplier</x:v>
      </x:c>
      <x:c r="D24" s="57" t="n">
        <x:v>0.9</x:v>
      </x:c>
      <x:c r="E24" s="57" t="n">
        <x:v>1.2</x:v>
      </x:c>
      <x:c r="F24" s="35" t="str">
        <x:v>Latin hypercube</x:v>
      </x:c>
      <x:c r="G24" s="35" t="str">
        <x:v>total service demand</x:v>
      </x:c>
    </x:row>
    <x:row r="25" ht="32.400001525878906" hidden="0" customHeight="1">
      <x:c r="A25" s="34" t="str">
        <x:v>Mandatory movement shift</x:v>
      </x:c>
      <x:c r="B25" s="58" t="n">
        <x:v>0</x:v>
      </x:c>
      <x:c r="C25" s="58" t="str">
        <x:v>fraction points</x:v>
      </x:c>
      <x:c r="D25" s="58" t="n">
        <x:v>-0.04</x:v>
      </x:c>
      <x:c r="E25" s="58" t="n">
        <x:v>0.1</x:v>
      </x:c>
      <x:c r="F25" s="34" t="str">
        <x:v>Latin hypercube</x:v>
      </x:c>
      <x:c r="G25" s="34" t="str">
        <x:v>hazard-driven movement share</x:v>
      </x:c>
    </x:row>
    <x:row r="26" ht="32.400001525878906" hidden="0" customHeight="1">
      <x:c r="A26" s="36" t="str">
        <x:v>Local protection realization</x:v>
      </x:c>
      <x:c r="B26" s="58" t="n">
        <x:v>1</x:v>
      </x:c>
      <x:c r="C26" s="58" t="str">
        <x:v>multiplier</x:v>
      </x:c>
      <x:c r="D26" s="58" t="n">
        <x:v>0.72</x:v>
      </x:c>
      <x:c r="E26" s="58" t="n">
        <x:v>1.05</x:v>
      </x:c>
      <x:c r="F26" s="36" t="str">
        <x:v>Latin hypercube</x:v>
      </x:c>
      <x:c r="G26" s="36" t="str">
        <x:v>realized protected-local capacity</x:v>
      </x:c>
    </x:row>
    <x:row r="27" ht="21.600000381469727" hidden="0" customHeight="1">
      <x:c r="A27" s="34" t="str">
        <x:v>Road travel factor</x:v>
      </x:c>
      <x:c r="B27" s="58" t="n">
        <x:v>1</x:v>
      </x:c>
      <x:c r="C27" s="58" t="str">
        <x:v>multiplier</x:v>
      </x:c>
      <x:c r="D27" s="58" t="n">
        <x:v>0.9</x:v>
      </x:c>
      <x:c r="E27" s="58" t="n">
        <x:v>1.35</x:v>
      </x:c>
      <x:c r="F27" s="34" t="str">
        <x:v>Latin hypercube</x:v>
      </x:c>
      <x:c r="G27" s="34" t="str">
        <x:v>available-route travel time</x:v>
      </x:c>
    </x:row>
    <x:row r="28" ht="43.20000076293945" hidden="0" customHeight="1">
      <x:c r="A28" s="36" t="str">
        <x:v>Collection capacity</x:v>
      </x:c>
      <x:c r="B28" s="58" t="n">
        <x:v>1</x:v>
      </x:c>
      <x:c r="C28" s="58" t="str">
        <x:v>multiplier</x:v>
      </x:c>
      <x:c r="D28" s="58" t="n">
        <x:v>0.72</x:v>
      </x:c>
      <x:c r="E28" s="58" t="n">
        <x:v>1.08</x:v>
      </x:c>
      <x:c r="F28" s="36" t="str">
        <x:v>Latin hypercube</x:v>
      </x:c>
      <x:c r="G28" s="36" t="str">
        <x:v>place-weighted building-to-node flow</x:v>
      </x:c>
    </x:row>
    <x:row r="29" ht="21.600000381469727" hidden="0" customHeight="1">
      <x:c r="A29" s="34" t="str">
        <x:v>CTN capacity</x:v>
      </x:c>
      <x:c r="B29" s="58" t="n">
        <x:v>1</x:v>
      </x:c>
      <x:c r="C29" s="58" t="str">
        <x:v>multiplier</x:v>
      </x:c>
      <x:c r="D29" s="58" t="n">
        <x:v>0.75</x:v>
      </x:c>
      <x:c r="E29" s="58" t="n">
        <x:v>1.05</x:v>
      </x:c>
      <x:c r="F29" s="34" t="str">
        <x:v>Latin hypercube</x:v>
      </x:c>
      <x:c r="G29" s="34" t="str">
        <x:v>node processing</x:v>
      </x:c>
    </x:row>
    <x:row r="30" ht="32.400001525878906" hidden="0" customHeight="1">
      <x:c r="A30" s="36" t="str">
        <x:v>Line-haul capacity</x:v>
      </x:c>
      <x:c r="B30" s="58" t="n">
        <x:v>1</x:v>
      </x:c>
      <x:c r="C30" s="58" t="str">
        <x:v>multiplier</x:v>
      </x:c>
      <x:c r="D30" s="58" t="n">
        <x:v>0.72</x:v>
      </x:c>
      <x:c r="E30" s="58" t="n">
        <x:v>1.08</x:v>
      </x:c>
      <x:c r="F30" s="36" t="str">
        <x:v>Latin hypercube</x:v>
      </x:c>
      <x:c r="G30" s="36" t="str">
        <x:v>node-to-destination movement</x:v>
      </x:c>
    </x:row>
    <x:row r="31" ht="32.400001525878906" hidden="0" customHeight="1">
      <x:c r="A31" s="34" t="str">
        <x:v>Destination acceptance</x:v>
      </x:c>
      <x:c r="B31" s="58" t="n">
        <x:v>1</x:v>
      </x:c>
      <x:c r="C31" s="58" t="str">
        <x:v>multiplier</x:v>
      </x:c>
      <x:c r="D31" s="58" t="n">
        <x:v>0.72</x:v>
      </x:c>
      <x:c r="E31" s="58" t="n">
        <x:v>1</x:v>
      </x:c>
      <x:c r="F31" s="34" t="str">
        <x:v>Latin hypercube</x:v>
      </x:c>
      <x:c r="G31" s="34" t="str">
        <x:v>admitted receiver capacity</x:v>
      </x:c>
    </x:row>
    <x:row r="32" ht="32.400001525878906" hidden="0" customHeight="1">
      <x:c r="A32" s="36" t="str">
        <x:v>UCM realization</x:v>
      </x:c>
      <x:c r="B32" s="58" t="n">
        <x:v>1</x:v>
      </x:c>
      <x:c r="C32" s="58" t="str">
        <x:v>multiplier</x:v>
      </x:c>
      <x:c r="D32" s="58" t="n">
        <x:v>0.78</x:v>
      </x:c>
      <x:c r="E32" s="58" t="n">
        <x:v>1.05</x:v>
      </x:c>
      <x:c r="F32" s="36" t="str">
        <x:v>Latin hypercube</x:v>
      </x:c>
      <x:c r="G32" s="36" t="str">
        <x:v>selective continuity-module flow</x:v>
      </x:c>
    </x:row>
    <x:row r="33" ht="21.600000381469727" hidden="0" customHeight="1">
      <x:c r="A33" s="34" t="str">
        <x:v>Restoration realization</x:v>
      </x:c>
      <x:c r="B33" s="58" t="n">
        <x:v>1</x:v>
      </x:c>
      <x:c r="C33" s="58" t="str">
        <x:v>multiplier</x:v>
      </x:c>
      <x:c r="D33" s="58" t="n">
        <x:v>0.75</x:v>
      </x:c>
      <x:c r="E33" s="58" t="n">
        <x:v>1.1</x:v>
      </x:c>
      <x:c r="F33" s="34" t="str">
        <x:v>Latin hypercube</x:v>
      </x:c>
      <x:c r="G33" s="34" t="str">
        <x:v>origin lifeline restoration</x:v>
      </x:c>
    </x:row>
    <x:row r="34" ht="21.600000381469727" hidden="0" customHeight="1">
      <x:c r="A34" s="36" t="str">
        <x:v>Return capacity</x:v>
      </x:c>
      <x:c r="B34" s="58" t="n">
        <x:v>1</x:v>
      </x:c>
      <x:c r="C34" s="58" t="str">
        <x:v>multiplier</x:v>
      </x:c>
      <x:c r="D34" s="58" t="n">
        <x:v>0.75</x:v>
      </x:c>
      <x:c r="E34" s="58" t="n">
        <x:v>1.05</x:v>
      </x:c>
      <x:c r="F34" s="36" t="str">
        <x:v>Latin hypercube</x:v>
      </x:c>
      <x:c r="G34" s="36" t="str">
        <x:v>reverse movement</x:v>
      </x:c>
    </x:row>
    <x:row r="35" ht="43.20000076293945" hidden="0" customHeight="1">
      <x:c r="A35" s="34" t="str">
        <x:v>Network case</x:v>
      </x:c>
      <x:c r="B35" s="58" t="str">
        <x:v>reference</x:v>
      </x:c>
      <x:c r="C35" s="58" t="str">
        <x:v>category</x:v>
      </x:c>
      <x:c r="D35" s="58" t="str">
        <x:v>25% fast</x:v>
      </x:c>
      <x:c r="E35" s="58" t="str">
        <x:v>50% reference / 25% slow</x:v>
      </x:c>
      <x:c r="F35" s="34" t="str">
        <x:v>stratified draw</x:v>
      </x:c>
      <x:c r="G35" s="34" t="str">
        <x:v>assumed road restoration clock</x:v>
      </x:c>
    </x:row>
  </x:sheetData>
  <x:mergeCells>
    <x:mergeCell ref="A1:G1"/>
    <x:mergeCell ref="A2:G2"/>
    <x:mergeCell ref="A4:G4"/>
    <x:mergeCell ref="A22:G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0" hidden="0" customWidth="1"/>
  </x:cols>
  <x:sheetData>
    <x:row r="1" ht="29" customHeight="1">
      <x:c r="A1" s="2" t="str">
        <x:v>Architecture definitions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4" customHeight="1">
      <x:c r="A2" s="6" t="str">
        <x:v>M0, B1, and P2 are initial rivals. H3 is an explicitly post-result corrective rival and requires independent replication.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34" customHeight="1">
      <x:c r="A4" s="25" t="str">
        <x:v>ID</x:v>
      </x:c>
      <x:c r="B4" s="26" t="str">
        <x:v>Name</x:v>
      </x:c>
      <x:c r="C4" s="26" t="str">
        <x:v>Design status</x:v>
      </x:c>
      <x:c r="D4" s="26" t="str">
        <x:v>Local eligible share</x:v>
      </x:c>
      <x:c r="E4" s="26" t="str">
        <x:v>Vertical penalty</x:v>
      </x:c>
      <x:c r="F4" s="26" t="str">
        <x:v>Local start h</x:v>
      </x:c>
      <x:c r="G4" s="26" t="str">
        <x:v>Local full h</x:v>
      </x:c>
      <x:c r="H4" s="26" t="str">
        <x:v>Active CTN</x:v>
      </x:c>
      <x:c r="I4" s="26" t="str">
        <x:v>CTN activation h</x:v>
      </x:c>
      <x:c r="J4" s="26" t="str">
        <x:v>Collection people/h</x:v>
      </x:c>
      <x:c r="K4" s="26" t="str">
        <x:v>Line-haul people/h</x:v>
      </x:c>
      <x:c r="L4" s="26" t="str">
        <x:v>Destination people</x:v>
      </x:c>
      <x:c r="M4" s="26" t="str">
        <x:v>UCM modules</x:v>
      </x:c>
      <x:c r="N4" s="26" t="str">
        <x:v>Route groups</x:v>
      </x:c>
      <x:c r="O4" s="26" t="str">
        <x:v>Return people/h</x:v>
      </x:c>
      <x:c r="P4" s="26" t="str">
        <x:v>Extraction factor</x:v>
      </x:c>
      <x:c r="Q4" s="26" t="str">
        <x:v>High restore days</x:v>
      </x:c>
      <x:c r="R4" s="27" t="str">
        <x:v>Moderate / low days</x:v>
      </x:c>
    </x:row>
    <x:row r="5" ht="21.600000381469727" hidden="0" customHeight="1">
      <x:c r="A5" s="35" t="str">
        <x:v>M0</x:v>
      </x:c>
      <x:c r="B5" s="35" t="str">
        <x:v>Movement-led surge</x:v>
      </x:c>
      <x:c r="C5" s="35" t="str">
        <x:v>initial rival</x:v>
      </x:c>
      <x:c r="D5" s="60" t="n">
        <x:v>0.2</x:v>
      </x:c>
      <x:c r="E5" s="60" t="n">
        <x:v>0.45</x:v>
      </x:c>
      <x:c r="F5" s="57" t="n">
        <x:v>24</x:v>
      </x:c>
      <x:c r="G5" s="57" t="n">
        <x:v>72</x:v>
      </x:c>
      <x:c r="H5" s="57" t="n">
        <x:v>7</x:v>
      </x:c>
      <x:c r="I5" s="57" t="n">
        <x:v>12</x:v>
      </x:c>
      <x:c r="J5" s="57" t="n">
        <x:v>2800</x:v>
      </x:c>
      <x:c r="K5" s="57" t="n">
        <x:v>3200</x:v>
      </x:c>
      <x:c r="L5" s="57" t="n">
        <x:v>420000</x:v>
      </x:c>
      <x:c r="M5" s="57" t="n">
        <x:v>650</x:v>
      </x:c>
      <x:c r="N5" s="57" t="n">
        <x:v>10</x:v>
      </x:c>
      <x:c r="O5" s="57" t="n">
        <x:v>1200</x:v>
      </x:c>
      <x:c r="P5" s="57" t="n">
        <x:v>1</x:v>
      </x:c>
      <x:c r="Q5" s="57" t="n">
        <x:v>21</x:v>
      </x:c>
      <x:c r="R5" s="35" t="str">
        <x:v>10 / 5</x:v>
      </x:c>
    </x:row>
    <x:row r="6" ht="43.20000076293945" hidden="0" customHeight="1">
      <x:c r="A6" s="34" t="str">
        <x:v>B1</x:v>
      </x:c>
      <x:c r="B6" s="34" t="str">
        <x:v>Balanced continuity and movement</x:v>
      </x:c>
      <x:c r="C6" s="34" t="str">
        <x:v>initial rival</x:v>
      </x:c>
      <x:c r="D6" s="59" t="n">
        <x:v>0.65</x:v>
      </x:c>
      <x:c r="E6" s="59" t="n">
        <x:v>0.2</x:v>
      </x:c>
      <x:c r="F6" s="58" t="n">
        <x:v>6</x:v>
      </x:c>
      <x:c r="G6" s="58" t="n">
        <x:v>36</x:v>
      </x:c>
      <x:c r="H6" s="58" t="n">
        <x:v>5</x:v>
      </x:c>
      <x:c r="I6" s="58" t="n">
        <x:v>12</x:v>
      </x:c>
      <x:c r="J6" s="58" t="n">
        <x:v>1800</x:v>
      </x:c>
      <x:c r="K6" s="58" t="n">
        <x:v>2100</x:v>
      </x:c>
      <x:c r="L6" s="58" t="n">
        <x:v>250000</x:v>
      </x:c>
      <x:c r="M6" s="58" t="n">
        <x:v>450</x:v>
      </x:c>
      <x:c r="N6" s="58" t="n">
        <x:v>8</x:v>
      </x:c>
      <x:c r="O6" s="58" t="n">
        <x:v>900</x:v>
      </x:c>
      <x:c r="P6" s="58" t="n">
        <x:v>0.65</x:v>
      </x:c>
      <x:c r="Q6" s="58" t="n">
        <x:v>14</x:v>
      </x:c>
      <x:c r="R6" s="34" t="str">
        <x:v>7 / 3</x:v>
      </x:c>
    </x:row>
    <x:row r="7" ht="32.400001525878906" hidden="0" customHeight="1">
      <x:c r="A7" s="36" t="str">
        <x:v>P2</x:v>
      </x:c>
      <x:c r="B7" s="36" t="str">
        <x:v>Protected-local selective movement</x:v>
      </x:c>
      <x:c r="C7" s="36" t="str">
        <x:v>initial rival</x:v>
      </x:c>
      <x:c r="D7" s="59" t="n">
        <x:v>0.92</x:v>
      </x:c>
      <x:c r="E7" s="59" t="n">
        <x:v>0.05</x:v>
      </x:c>
      <x:c r="F7" s="58" t="n">
        <x:v>0</x:v>
      </x:c>
      <x:c r="G7" s="58" t="n">
        <x:v>18</x:v>
      </x:c>
      <x:c r="H7" s="58" t="n">
        <x:v>4</x:v>
      </x:c>
      <x:c r="I7" s="58" t="n">
        <x:v>6</x:v>
      </x:c>
      <x:c r="J7" s="58" t="n">
        <x:v>1150</x:v>
      </x:c>
      <x:c r="K7" s="58" t="n">
        <x:v>1400</x:v>
      </x:c>
      <x:c r="L7" s="58" t="n">
        <x:v>150000</x:v>
      </x:c>
      <x:c r="M7" s="58" t="n">
        <x:v>320</x:v>
      </x:c>
      <x:c r="N7" s="58" t="n">
        <x:v>8</x:v>
      </x:c>
      <x:c r="O7" s="58" t="n">
        <x:v>650</x:v>
      </x:c>
      <x:c r="P7" s="58" t="n">
        <x:v>0.45</x:v>
      </x:c>
      <x:c r="Q7" s="58" t="n">
        <x:v>10</x:v>
      </x:c>
      <x:c r="R7" s="36" t="str">
        <x:v>5 / 2</x:v>
      </x:c>
    </x:row>
    <x:row r="8" ht="43.20000076293945" hidden="0" customHeight="1">
      <x:c r="A8" s="34" t="str">
        <x:v>H3</x:v>
      </x:c>
      <x:c r="B8" s="34" t="str">
        <x:v>Protected-local assured neighborhood mesh</x:v>
      </x:c>
      <x:c r="C8" s="34" t="str">
        <x:v>post-result corrective rival</x:v>
      </x:c>
      <x:c r="D8" s="59" t="n">
        <x:v>0.95</x:v>
      </x:c>
      <x:c r="E8" s="59" t="n">
        <x:v>0.02</x:v>
      </x:c>
      <x:c r="F8" s="58" t="n">
        <x:v>0</x:v>
      </x:c>
      <x:c r="G8" s="58" t="n">
        <x:v>12</x:v>
      </x:c>
      <x:c r="H8" s="58" t="n">
        <x:v>5</x:v>
      </x:c>
      <x:c r="I8" s="58" t="n">
        <x:v>6</x:v>
      </x:c>
      <x:c r="J8" s="58" t="n">
        <x:v>1800</x:v>
      </x:c>
      <x:c r="K8" s="58" t="n">
        <x:v>2000</x:v>
      </x:c>
      <x:c r="L8" s="58" t="n">
        <x:v>250000</x:v>
      </x:c>
      <x:c r="M8" s="58" t="n">
        <x:v>550</x:v>
      </x:c>
      <x:c r="N8" s="58" t="n">
        <x:v>14</x:v>
      </x:c>
      <x:c r="O8" s="58" t="n">
        <x:v>900</x:v>
      </x:c>
      <x:c r="P8" s="58" t="n">
        <x:v>0.3</x:v>
      </x:c>
      <x:c r="Q8" s="58" t="n">
        <x:v>7</x:v>
      </x:c>
      <x:c r="R8" s="34" t="str">
        <x:v>3 / 1</x:v>
      </x:c>
    </x:row>
    <x:row r="10" ht="42" customHeight="1">
      <x:c r="A10" s="13" t="str">
        <x:v>H3 does not prove that a neighborhood mesh is sufficient. It tests the correction implied by the initial run: combine faster protected-local activation with vertical access, greater collection throughput, more UCM capacity, route assurance, and one additional CTN.</x:v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</x:row>
  </x:sheetData>
  <x:mergeCells>
    <x:mergeCell ref="A1:R1"/>
    <x:mergeCell ref="A2:R2"/>
    <x:mergeCell ref="A10:R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4" hidden="0" customWidth="1"/>
  </x:cols>
  <x:sheetData>
    <x:row r="1" ht="29" customHeight="1">
      <x:c r="A1" s="2" t="str">
        <x:v>Reference-campaign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4" customHeight="1">
      <x:c r="A2" s="6" t="str">
        <x:v>One deterministic design-reference run. Closure credits only active local protection plus people admitted to destinations.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4" customHeight="1">
      <x:c r="A4" s="25" t="str">
        <x:v>Architecture</x:v>
      </x:c>
      <x:c r="B4" s="26" t="str">
        <x:v>Demand</x:v>
      </x:c>
      <x:c r="C4" s="26" t="str">
        <x:v>Eventual local</x:v>
      </x:c>
      <x:c r="D4" s="26" t="str">
        <x:v>Movement demand</x:v>
      </x:c>
      <x:c r="E4" s="26" t="str">
        <x:v>Mandatory movement</x:v>
      </x:c>
      <x:c r="F4" s="26" t="str">
        <x:v>Protection-shortfall movement</x:v>
      </x:c>
      <x:c r="G4" s="26" t="str">
        <x:v>Arrived 168h</x:v>
      </x:c>
      <x:c r="H4" s="26" t="str">
        <x:v>Closure 168h</x:v>
      </x:c>
      <x:c r="I4" s="26" t="str">
        <x:v>Priority closure</x:v>
      </x:c>
      <x:c r="J4" s="26" t="str">
        <x:v>Bottom decile</x:v>
      </x:c>
      <x:c r="K4" s="26" t="str">
        <x:v>Closure 72h</x:v>
      </x:c>
      <x:c r="L4" s="26" t="str">
        <x:v>Unprotected person-hours</x:v>
      </x:c>
      <x:c r="M4" s="26" t="str">
        <x:v>Unprotected h/person</x:v>
      </x:c>
      <x:c r="N4" s="26" t="str">
        <x:v>Peak collection queue</x:v>
      </x:c>
      <x:c r="O4" s="26" t="str">
        <x:v>Peak CTN queue</x:v>
      </x:c>
      <x:c r="P4" s="26" t="str">
        <x:v>Peak line-haul queue</x:v>
      </x:c>
      <x:c r="Q4" s="26" t="str">
        <x:v>Network stranded 168h</x:v>
      </x:c>
      <x:c r="R4" s="26" t="str">
        <x:v>Displaced day 7</x:v>
      </x:c>
      <x:c r="S4" s="26" t="str">
        <x:v>Returned day 30</x:v>
      </x:c>
      <x:c r="T4" s="26" t="str">
        <x:v>Unresolved return day 30</x:v>
      </x:c>
      <x:c r="U4" s="27" t="str">
        <x:v>Result</x:v>
      </x:c>
    </x:row>
    <x:row r="5" ht="15" hidden="0" customHeight="1">
      <x:c r="A5" s="35" t="str">
        <x:v>M0</x:v>
      </x:c>
      <x:c r="B5" s="61" t="n">
        <x:v>481049.80000000005</x:v>
      </x:c>
      <x:c r="C5" s="61" t="n">
        <x:v>72904.55944457071</x:v>
      </x:c>
      <x:c r="D5" s="61" t="n">
        <x:v>408145.24055542925</x:v>
      </x:c>
      <x:c r="E5" s="61" t="n">
        <x:v>89744.04864270845</x:v>
      </x:c>
      <x:c r="F5" s="61" t="n">
        <x:v>318401.1919127208</x:v>
      </x:c>
      <x:c r="G5" s="61" t="n">
        <x:v>311023.6798598634</x:v>
      </x:c>
      <x:c r="H5" s="41" t="n">
        <x:f>MIN(1,(C5+G5)/B5)</x:f>
        <x:v>0.7981049764586413</x:v>
      </x:c>
      <x:c r="I5" s="41" t="n">
        <x:v>0.7987370826583021</x:v>
      </x:c>
      <x:c r="J5" s="41" t="n">
        <x:v>0.1788414226130456</x:v>
      </x:c>
      <x:c r="K5" s="41" t="n">
        <x:v>0.3439947171989673</x:v>
      </x:c>
      <x:c r="L5" s="64" t="n">
        <x:v>49995954.10460528</x:v>
      </x:c>
      <x:c r="M5" s="64" t="n">
        <x:f>L5/B5</x:f>
        <x:v>103.93093210849537</x:v>
      </x:c>
      <x:c r="N5" s="64" t="n">
        <x:v>266681.90594642784</x:v>
      </x:c>
      <x:c r="O5" s="64" t="n">
        <x:v>45980.12335258469</x:v>
      </x:c>
      <x:c r="P5" s="64" t="n">
        <x:v>0</x:v>
      </x:c>
      <x:c r="Q5" s="64" t="n">
        <x:v>2013.733973865655</x:v>
      </x:c>
      <x:c r="R5" s="64" t="n">
        <x:v>224623.67985986336</x:v>
      </x:c>
      <x:c r="S5" s="64" t="n">
        <x:v>311023.67985986365</x:v>
      </x:c>
      <x:c r="T5" s="64" t="n">
        <x:v>0</x:v>
      </x:c>
      <x:c r="U5" s="35" t="str">
        <x:f>IF(AND(H5&gt;=0.95,I5&gt;=0.95,J5&gt;=0.8,M5&lt;=60),"PASS","FAIL")</x:f>
        <x:v>FAIL</x:v>
      </x:c>
    </x:row>
    <x:row r="6" ht="15" hidden="0" customHeight="1">
      <x:c r="A6" s="34" t="str">
        <x:v>B1</x:v>
      </x:c>
      <x:c r="B6" s="62" t="n">
        <x:v>481049.80000000005</x:v>
      </x:c>
      <x:c r="C6" s="62" t="n">
        <x:v>246611.44052117964</x:v>
      </x:c>
      <x:c r="D6" s="62" t="n">
        <x:v>234438.35947882035</x:v>
      </x:c>
      <x:c r="E6" s="62" t="n">
        <x:v>89744.04864270845</x:v>
      </x:c>
      <x:c r="F6" s="62" t="n">
        <x:v>144694.3108361119</x:v>
      </x:c>
      <x:c r="G6" s="62" t="n">
        <x:v>230249.821983799</x:v>
      </x:c>
      <x:c r="H6" s="43" t="n">
        <x:f>MIN(1,(C6+G6)/B6)</x:f>
        <x:v>0.9912929233209921</x:v>
      </x:c>
      <x:c r="I6" s="43" t="n">
        <x:v>0.9949834264249533</x:v>
      </x:c>
      <x:c r="J6" s="43" t="n">
        <x:v>0.9129292332099229</x:v>
      </x:c>
      <x:c r="K6" s="43" t="n">
        <x:v>0.6587451149710063</x:v>
      </x:c>
      <x:c r="L6" s="65" t="n">
        <x:v>27359067.16530645</x:v>
      </x:c>
      <x:c r="M6" s="65" t="n">
        <x:f>L6/B6</x:f>
        <x:v>56.87366914050572</x:v>
      </x:c>
      <x:c r="N6" s="65" t="n">
        <x:v>145935.7308049797</x:v>
      </x:c>
      <x:c r="O6" s="65" t="n">
        <x:v>4746.388103279448</x:v>
      </x:c>
      <x:c r="P6" s="65" t="n">
        <x:v>364.58970326856576</x:v>
      </x:c>
      <x:c r="Q6" s="65" t="n">
        <x:v>1566.6742390051927</x:v>
      </x:c>
      <x:c r="R6" s="65" t="n">
        <x:v>122249.82198379892</x:v>
      </x:c>
      <x:c r="S6" s="65" t="n">
        <x:v>230249.82198379916</x:v>
      </x:c>
      <x:c r="T6" s="65" t="n">
        <x:v>0</x:v>
      </x:c>
      <x:c r="U6" s="34" t="str">
        <x:f>IF(AND(H6&gt;=0.95,I6&gt;=0.95,J6&gt;=0.8,M6&lt;=60),"PASS","FAIL")</x:f>
        <x:v>PASS</x:v>
      </x:c>
    </x:row>
    <x:row r="7" ht="15" hidden="0" customHeight="1">
      <x:c r="A7" s="36" t="str">
        <x:v>P2</x:v>
      </x:c>
      <x:c r="B7" s="63" t="n">
        <x:v>481049.80000000005</x:v>
      </x:c>
      <x:c r="C7" s="63" t="n">
        <x:v>357263.4781594102</x:v>
      </x:c>
      <x:c r="D7" s="63" t="n">
        <x:v>123786.32184058987</x:v>
      </x:c>
      <x:c r="E7" s="63" t="n">
        <x:v>89744.04864270845</x:v>
      </x:c>
      <x:c r="F7" s="63" t="n">
        <x:v>34042.273197881426</x:v>
      </x:c>
      <x:c r="G7" s="63" t="n">
        <x:v>122489.77509039761</x:v>
      </x:c>
      <x:c r="H7" s="45" t="n">
        <x:f>MIN(1,(C7+G7)/B7)</x:f>
        <x:v>0.9973047556610725</x:v>
      </x:c>
      <x:c r="I7" s="45" t="n">
        <x:v>0.9983022661278259</x:v>
      </x:c>
      <x:c r="J7" s="45" t="n">
        <x:v>0.9730475566107245</x:v>
      </x:c>
      <x:c r="K7" s="45" t="n">
        <x:v>0.8213713936686496</x:v>
      </x:c>
      <x:c r="L7" s="66" t="n">
        <x:v>14255267.48119295</x:v>
      </x:c>
      <x:c r="M7" s="66" t="n">
        <x:f>L7/B7</x:f>
        <x:v>29.633662629509352</x:v>
      </x:c>
      <x:c r="N7" s="66" t="n">
        <x:v>79583.84714913616</x:v>
      </x:c>
      <x:c r="O7" s="66" t="n">
        <x:v>0</x:v>
      </x:c>
      <x:c r="P7" s="66" t="n">
        <x:v>0</x:v>
      </x:c>
      <x:c r="Q7" s="66" t="n">
        <x:v>1296.5467501922446</x:v>
      </x:c>
      <x:c r="R7" s="66" t="n">
        <x:v>59400.89566197555</x:v>
      </x:c>
      <x:c r="S7" s="66" t="n">
        <x:v>122489.77509039758</x:v>
      </x:c>
      <x:c r="T7" s="66" t="n">
        <x:v>2.9103830456733704e-11</x:v>
      </x:c>
      <x:c r="U7" s="36" t="str">
        <x:f>IF(AND(H7&gt;=0.95,I7&gt;=0.95,J7&gt;=0.8,M7&lt;=60),"PASS","FAIL")</x:f>
        <x:v>PASS</x:v>
      </x:c>
    </x:row>
    <x:row r="8" ht="15" hidden="0" customHeight="1">
      <x:c r="A8" s="34" t="str">
        <x:v>H3</x:v>
      </x:c>
      <x:c r="B8" s="62" t="n">
        <x:v>481049.80000000005</x:v>
      </x:c>
      <x:c r="C8" s="62" t="n">
        <x:v>370609.6279481951</x:v>
      </x:c>
      <x:c r="D8" s="62" t="n">
        <x:v>110440.17205180487</x:v>
      </x:c>
      <x:c r="E8" s="62" t="n">
        <x:v>89744.04864270845</x:v>
      </x:c>
      <x:c r="F8" s="62" t="n">
        <x:v>20696.123409096435</x:v>
      </x:c>
      <x:c r="G8" s="62" t="n">
        <x:v>109173.94890326631</x:v>
      </x:c>
      <x:c r="H8" s="43" t="n">
        <x:f>MIN(1,(C8+G8)/B8)</x:f>
        <x:v>0.9973677919655333</x:v>
      </x:c>
      <x:c r="I8" s="43" t="n">
        <x:v>0.9983421020171229</x:v>
      </x:c>
      <x:c r="J8" s="43" t="n">
        <x:v>0.9736779196553336</x:v>
      </x:c>
      <x:c r="K8" s="43" t="n">
        <x:v>0.8364400890016047</x:v>
      </x:c>
      <x:c r="L8" s="65" t="n">
        <x:v>11600449.025222994</x:v>
      </x:c>
      <x:c r="M8" s="65" t="n">
        <x:f>L8/B8</x:f>
        <x:v>24.1148609254655</x:v>
      </x:c>
      <x:c r="N8" s="65" t="n">
        <x:v>73749.80500401302</x:v>
      </x:c>
      <x:c r="O8" s="65" t="n">
        <x:v>2342.938233709599</x:v>
      </x:c>
      <x:c r="P8" s="65" t="n">
        <x:v>0</x:v>
      </x:c>
      <x:c r="Q8" s="65" t="n">
        <x:v>1266.2231485385728</x:v>
      </x:c>
      <x:c r="R8" s="65" t="n">
        <x:v>36255.38687058512</x:v>
      </x:c>
      <x:c r="S8" s="65" t="n">
        <x:v>109173.94890326624</x:v>
      </x:c>
      <x:c r="T8" s="65" t="n">
        <x:v>7.275957614183426e-11</x:v>
      </x:c>
      <x:c r="U8" s="34" t="str">
        <x:f>IF(AND(H8&gt;=0.95,I8&gt;=0.95,J8&gt;=0.8,M8&lt;=60),"PASS","FAIL")</x:f>
        <x:v>PASS</x:v>
      </x:c>
    </x:row>
  </x:sheetData>
  <x:mergeCells>
    <x:mergeCell ref="A1:U1"/>
    <x:mergeCell ref="A2:U2"/>
  </x:mergeCells>
  <x:conditionalFormatting sqref="U5:U8">
    <x:cfRule type="expression" dxfId="2" priority="1">
      <x:formula>U5="PASS"</x:formula>
    </x:cfRule>
    <x:cfRule type="expression" dxfId="3" priority="2">
      <x:formula>U5="FAIL"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9" customHeight="1">
      <x:c r="A1" s="2" t="str">
        <x:v>Seven-day service clock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6" t="str">
        <x:v>Six-hour generated observations show active local service, admitted arrivals, queues, and unprotected population.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25" t="str">
        <x:v>Hour</x:v>
      </x:c>
      <x:c r="B4" s="26" t="str">
        <x:v>M0 closure</x:v>
      </x:c>
      <x:c r="C4" s="26" t="str">
        <x:v>B1 closure</x:v>
      </x:c>
      <x:c r="D4" s="26" t="str">
        <x:v>P2 closure</x:v>
      </x:c>
      <x:c r="E4" s="26" t="str">
        <x:v>H3 closure</x:v>
      </x:c>
      <x:c r="F4" s="26" t="str">
        <x:v>M0 unprotected</x:v>
      </x:c>
      <x:c r="G4" s="26" t="str">
        <x:v>B1 unprotected</x:v>
      </x:c>
      <x:c r="H4" s="26" t="str">
        <x:v>P2 unprotected</x:v>
      </x:c>
      <x:c r="I4" s="26" t="str">
        <x:v>H3 unprotected</x:v>
      </x:c>
      <x:c r="J4" s="26" t="str">
        <x:v>M0 collection queue</x:v>
      </x:c>
      <x:c r="K4" s="26" t="str">
        <x:v>B1 collection queue</x:v>
      </x:c>
      <x:c r="L4" s="26" t="str">
        <x:v>P2 collection queue</x:v>
      </x:c>
      <x:c r="M4" s="27" t="str">
        <x:v>H3 collection queue</x:v>
      </x:c>
    </x:row>
    <x:row r="5" ht="15" hidden="0" customHeight="1">
      <x:c r="A5" s="35" t="n">
        <x:v>0</x:v>
      </x:c>
      <x:c r="B5" s="41" t="n">
        <x:v>0</x:v>
      </x:c>
      <x:c r="C5" s="41" t="n">
        <x:v>0</x:v>
      </x:c>
      <x:c r="D5" s="41" t="n">
        <x:v>0</x:v>
      </x:c>
      <x:c r="E5" s="41" t="n">
        <x:v>0</x:v>
      </x:c>
      <x:c r="F5" s="61" t="n">
        <x:v>481049.80000000005</x:v>
      </x:c>
      <x:c r="G5" s="61" t="n">
        <x:v>481049.80000000005</x:v>
      </x:c>
      <x:c r="H5" s="61" t="n">
        <x:v>481049.80000000005</x:v>
      </x:c>
      <x:c r="I5" s="61" t="n">
        <x:v>481049.80000000005</x:v>
      </x:c>
      <x:c r="J5" s="61" t="n">
        <x:v>0</x:v>
      </x:c>
      <x:c r="K5" s="61" t="n">
        <x:v>0</x:v>
      </x:c>
      <x:c r="L5" s="61" t="n">
        <x:v>0</x:v>
      </x:c>
      <x:c r="M5" s="61" t="n">
        <x:v>0</x:v>
      </x:c>
    </x:row>
    <x:row r="6" ht="15" hidden="0" customHeight="1">
      <x:c r="A6" s="34" t="n">
        <x:v>6</x:v>
      </x:c>
      <x:c r="B6" s="43" t="n">
        <x:v>0</x:v>
      </x:c>
      <x:c r="C6" s="43" t="n">
        <x:v>0</x:v>
      </x:c>
      <x:c r="D6" s="43" t="n">
        <x:v>0.2475582071817444</x:v>
      </x:c>
      <x:c r="E6" s="43" t="n">
        <x:v>0.38520921113385254</x:v>
      </x:c>
      <x:c r="F6" s="62" t="n">
        <x:v>481049.80000000005</x:v>
      </x:c>
      <x:c r="G6" s="62" t="n">
        <x:v>481049.80000000005</x:v>
      </x:c>
      <x:c r="H6" s="62" t="n">
        <x:v>361961.9739468633</x:v>
      </x:c>
      <x:c r="I6" s="62" t="n">
        <x:v>295744.98602590244</x:v>
      </x:c>
      <x:c r="J6" s="62" t="n">
        <x:v>8608.738678121757</x:v>
      </x:c>
      <x:c r="K6" s="62" t="n">
        <x:v>9779.750684768955</x:v>
      </x:c>
      <x:c r="L6" s="62" t="n">
        <x:v>9460.939803223999</x:v>
      </x:c>
      <x:c r="M6" s="62" t="n">
        <x:v>10728.559655051113</x:v>
      </x:c>
    </x:row>
    <x:row r="7" ht="15" hidden="0" customHeight="1">
      <x:c r="A7" s="36" t="n">
        <x:v>12</x:v>
      </x:c>
      <x:c r="B7" s="45" t="n">
        <x:v>0</x:v>
      </x:c>
      <x:c r="C7" s="45" t="n">
        <x:v>0.10253052408344403</x:v>
      </x:c>
      <x:c r="D7" s="45" t="n">
        <x:v>0.4964116060460824</x:v>
      </x:c>
      <x:c r="E7" s="45" t="n">
        <x:v>0.7718913068999081</x:v>
      </x:c>
      <x:c r="F7" s="63" t="n">
        <x:v>481049.80000000005</x:v>
      </x:c>
      <x:c r="G7" s="63" t="n">
        <x:v>431727.51189576404</x:v>
      </x:c>
      <x:c r="H7" s="63" t="n">
        <x:v>242251.0961938532</x:v>
      </x:c>
      <x:c r="I7" s="63" t="n">
        <x:v>109731.6411940605</x:v>
      </x:c>
      <x:c r="J7" s="63" t="n">
        <x:v>27869.20455512585</x:v>
      </x:c>
      <x:c r="K7" s="63" t="n">
        <x:v>26064.673194712763</x:v>
      </x:c>
      <x:c r="L7" s="63" t="n">
        <x:v>23630.712433331297</x:v>
      </x:c>
      <x:c r="M7" s="63" t="n">
        <x:v>24598.705694641147</x:v>
      </x:c>
    </x:row>
    <x:row r="8" ht="15" hidden="0" customHeight="1">
      <x:c r="A8" s="34" t="n">
        <x:v>18</x:v>
      </x:c>
      <x:c r="B8" s="43" t="n">
        <x:v>0.0038051138199166573</x:v>
      </x:c>
      <x:c r="C8" s="43" t="n">
        <x:v>0.20864083655136187</x:v>
      </x:c>
      <x:c r="D8" s="43" t="n">
        <x:v>0.7459125199027647</x:v>
      </x:c>
      <x:c r="E8" s="43" t="n">
        <x:v>0.7737835360728356</x:v>
      </x:c>
      <x:c r="F8" s="62" t="n">
        <x:v>479219.3507579519</x:v>
      </x:c>
      <x:c r="G8" s="62" t="n">
        <x:v>380683.1673051347</x:v>
      </x:c>
      <x:c r="H8" s="62" t="n">
        <x:v>122228.73148327903</x:v>
      </x:c>
      <x:c r="I8" s="62" t="n">
        <x:v>108821.38472886963</x:v>
      </x:c>
      <x:c r="J8" s="62" t="n">
        <x:v>53927.50167167821</x:v>
      </x:c>
      <x:c r="K8" s="62" t="n">
        <x:v>46786.589213210624</x:v>
      </x:c>
      <x:c r="L8" s="62" t="n">
        <x:v>40101.86120035628</x:v>
      </x:c>
      <x:c r="M8" s="62" t="n">
        <x:v>40815.17543141326</x:v>
      </x:c>
    </x:row>
    <x:row r="9" ht="15" hidden="0" customHeight="1">
      <x:c r="A9" s="36" t="n">
        <x:v>24</x:v>
      </x:c>
      <x:c r="B9" s="45" t="n">
        <x:v>0.007232019969159082</x:v>
      </x:c>
      <x:c r="C9" s="45" t="n">
        <x:v>0.31388572724550534</x:v>
      </x:c>
      <x:c r="D9" s="45" t="n">
        <x:v>0.7480825735234249</x:v>
      </x:c>
      <x:c r="E9" s="45" t="n">
        <x:v>0.7759074400214901</x:v>
      </x:c>
      <x:c r="F9" s="63" t="n">
        <x:v>477570.83824024</x:v>
      </x:c>
      <x:c r="G9" s="63" t="n">
        <x:v>330055.13368569507</x:v>
      </x:c>
      <x:c r="H9" s="63" t="n">
        <x:v>121184.82762307113</x:v>
      </x:c>
      <x:c r="I9" s="63" t="n">
        <x:v>107799.68115915012</x:v>
      </x:c>
      <x:c r="J9" s="63" t="n">
        <x:v>85393.94345699169</x:v>
      </x:c>
      <x:c r="K9" s="63" t="n">
        <x:v>69938.55045530057</x:v>
      </x:c>
      <x:c r="L9" s="63" t="n">
        <x:v>57320.04521158892</x:v>
      </x:c>
      <x:c r="M9" s="63" t="n">
        <x:v>57294.9093382155</x:v>
      </x:c>
    </x:row>
    <x:row r="10" ht="15" hidden="0" customHeight="1">
      <x:c r="A10" s="34" t="n">
        <x:v>30</x:v>
      </x:c>
      <x:c r="B10" s="43" t="n">
        <x:v>0.03166800645219577</x:v>
      </x:c>
      <x:c r="C10" s="43" t="n">
        <x:v>0.4205981027833334</x:v>
      </x:c>
      <x:c r="D10" s="43" t="n">
        <x:v>0.7513401924688726</x:v>
      </x:c>
      <x:c r="E10" s="43" t="n">
        <x:v>0.7790782651752916</x:v>
      </x:c>
      <x:c r="F10" s="62" t="n">
        <x:v>465815.9118297725</x:v>
      </x:c>
      <x:c r="G10" s="62" t="n">
        <x:v>278721.166775698</x:v>
      </x:c>
      <x:c r="H10" s="62" t="n">
        <x:v>119617.75068088727</x:v>
      </x:c>
      <x:c r="I10" s="62" t="n">
        <x:v>106274.35635307894</x:v>
      </x:c>
      <x:c r="J10" s="62" t="n">
        <x:v>114524.18343226559</x:v>
      </x:c>
      <x:c r="K10" s="62" t="n">
        <x:v>87383.68460363461</x:v>
      </x:c>
      <x:c r="L10" s="62" t="n">
        <x:v>66688.24389581333</x:v>
      </x:c>
      <x:c r="M10" s="62" t="n">
        <x:v>64548.968468536055</x:v>
      </x:c>
    </x:row>
    <x:row r="11" ht="15" hidden="0" customHeight="1">
      <x:c r="A11" s="36" t="n">
        <x:v>36</x:v>
      </x:c>
      <x:c r="B11" s="45" t="n">
        <x:v>0.06932019560958605</x:v>
      </x:c>
      <x:c r="C11" s="45" t="n">
        <x:v>0.5355349040520906</x:v>
      </x:c>
      <x:c r="D11" s="45" t="n">
        <x:v>0.7569695759367899</x:v>
      </x:c>
      <x:c r="E11" s="45" t="n">
        <x:v>0.7840172710661706</x:v>
      </x:c>
      <x:c r="F11" s="63" t="n">
        <x:v>447703.3337660477</x:v>
      </x:c>
      <x:c r="G11" s="63" t="n">
        <x:v>223430.8415127226</x:v>
      </x:c>
      <x:c r="H11" s="63" t="n">
        <x:v>116909.73688952238</x:v>
      </x:c>
      <x:c r="I11" s="63" t="n">
        <x:v>103898.44855707278</x:v>
      </x:c>
      <x:c r="J11" s="63" t="n">
        <x:v>139819.8578249305</x:v>
      </x:c>
      <x:c r="K11" s="63" t="n">
        <x:v>99419.46523765719</x:v>
      </x:c>
      <x:c r="L11" s="63" t="n">
        <x:v>71994.1390430796</x:v>
      </x:c>
      <x:c r="M11" s="63" t="n">
        <x:v>69002.66928437023</x:v>
      </x:c>
    </x:row>
    <x:row r="12" ht="15" hidden="0" customHeight="1">
      <x:c r="A12" s="34" t="n">
        <x:v>42</x:v>
      </x:c>
      <x:c r="B12" s="43" t="n">
        <x:v>0.12069003821186437</x:v>
      </x:c>
      <x:c r="C12" s="43" t="n">
        <x:v>0.5556259202069489</x:v>
      </x:c>
      <x:c r="D12" s="43" t="n">
        <x:v>0.764290587046066</x:v>
      </x:c>
      <x:c r="E12" s="43" t="n">
        <x:v>0.7897698636049766</x:v>
      </x:c>
      <x:c r="F12" s="62" t="n">
        <x:v>422991.8812561903</x:v>
      </x:c>
      <x:c r="G12" s="62" t="n">
        <x:v>213766.06220963126</x:v>
      </x:c>
      <x:c r="H12" s="62" t="n">
        <x:v>113387.96595960736</x:v>
      </x:c>
      <x:c r="I12" s="62" t="n">
        <x:v>101131.16506679868</x:v>
      </x:c>
      <x:c r="J12" s="62" t="n">
        <x:v>166068.90999140526</x:v>
      </x:c>
      <x:c r="K12" s="62" t="n">
        <x:v>111221.11334573502</x:v>
      </x:c>
      <x:c r="L12" s="62" t="n">
        <x:v>77238.34636957539</x:v>
      </x:c>
      <x:c r="M12" s="62" t="n">
        <x:v>73456.37010020443</x:v>
      </x:c>
    </x:row>
    <x:row r="13" ht="15" hidden="0" customHeight="1">
      <x:c r="A13" s="36" t="n">
        <x:v>48</x:v>
      </x:c>
      <x:c r="B13" s="45" t="n">
        <x:v>0.17089859343000488</x:v>
      </x:c>
      <x:c r="C13" s="45" t="n">
        <x:v>0.5764583190168093</x:v>
      </x:c>
      <x:c r="D13" s="45" t="n">
        <x:v>0.7716689982932317</x:v>
      </x:c>
      <x:c r="E13" s="45" t="n">
        <x:v>0.7955224561437826</x:v>
      </x:c>
      <x:c r="F13" s="63" t="n">
        <x:v>398839.0658102148</x:v>
      </x:c>
      <x:c r="G13" s="63" t="n">
        <x:v>203744.64092862763</x:v>
      </x:c>
      <x:c r="H13" s="63" t="n">
        <x:v>109838.58270484052</x:v>
      </x:c>
      <x:c r="I13" s="63" t="n">
        <x:v>98363.88157652458</x:v>
      </x:c>
      <x:c r="J13" s="63" t="n">
        <x:v>192543.76304975356</x:v>
      </x:c>
      <x:c r="K13" s="63" t="n">
        <x:v>122916.19745365303</x:v>
      </x:c>
      <x:c r="L13" s="63" t="n">
        <x:v>79555.34759952343</x:v>
      </x:c>
      <x:c r="M13" s="63" t="n">
        <x:v>70538.6247478294</x:v>
      </x:c>
    </x:row>
    <x:row r="14" ht="15" hidden="0" customHeight="1">
      <x:c r="A14" s="34" t="n">
        <x:v>54</x:v>
      </x:c>
      <x:c r="B14" s="43" t="n">
        <x:v>0.2145790941948079</x:v>
      </x:c>
      <x:c r="C14" s="43" t="n">
        <x:v>0.5936273903049728</x:v>
      </x:c>
      <x:c r="D14" s="43" t="n">
        <x:v>0.7851324470906632</x:v>
      </x:c>
      <x:c r="E14" s="43" t="n">
        <x:v>0.8148211911550111</x:v>
      </x:c>
      <x:c r="F14" s="62" t="n">
        <x:v>377826.56965340645</x:v>
      </x:c>
      <x:c r="G14" s="62" t="n">
        <x:v>195485.4626192709</x:v>
      </x:c>
      <x:c r="H14" s="62" t="n">
        <x:v>103361.9933535259</x:v>
      </x:c>
      <x:c r="I14" s="62" t="n">
        <x:v>89080.22895912011</x:v>
      </x:c>
      <x:c r="J14" s="62" t="n">
        <x:v>216382.31016752988</x:v>
      </x:c>
      <x:c r="K14" s="62" t="n">
        <x:v>131161.96026558848</x:v>
      </x:c>
      <x:c r="L14" s="62" t="n">
        <x:v>79583.84714913616</x:v>
      </x:c>
      <x:c r="M14" s="62" t="n">
        <x:v>71624.45037444003</x:v>
      </x:c>
    </x:row>
    <x:row r="15" ht="15" hidden="0" customHeight="1">
      <x:c r="A15" s="36" t="n">
        <x:v>60</x:v>
      </x:c>
      <x:c r="B15" s="45" t="n">
        <x:v>0.2539978152682223</x:v>
      </x:c>
      <x:c r="C15" s="45" t="n">
        <x:v>0.6132527731239218</x:v>
      </x:c>
      <x:c r="D15" s="45" t="n">
        <x:v>0.7984874032874207</x:v>
      </x:c>
      <x:c r="E15" s="45" t="n">
        <x:v>0.8242432196411797</x:v>
      </x:c>
      <x:c r="F15" s="63" t="n">
        <x:v>358864.2017647847</x:v>
      </x:c>
      <x:c r="G15" s="63" t="n">
        <x:v>186044.676139292</x:v>
      </x:c>
      <x:c r="H15" s="63" t="n">
        <x:v>96937.59434606692</x:v>
      </x:c>
      <x:c r="I15" s="63" t="n">
        <x:v>84547.76404025435</x:v>
      </x:c>
      <x:c r="J15" s="63" t="n">
        <x:v>233061.67566441093</x:v>
      </x:c>
      <x:c r="K15" s="63" t="n">
        <x:v>136232.8405770698</x:v>
      </x:c>
      <x:c r="L15" s="63" t="n">
        <x:v>78254.67577613654</x:v>
      </x:c>
      <x:c r="M15" s="63" t="n">
        <x:v>72687.12768922652</x:v>
      </x:c>
    </x:row>
    <x:row r="16" ht="15" hidden="0" customHeight="1">
      <x:c r="A16" s="34" t="n">
        <x:v>66</x:v>
      </x:c>
      <x:c r="B16" s="43" t="n">
        <x:v>0.3006427541937645</x:v>
      </x:c>
      <x:c r="C16" s="43" t="n">
        <x:v>0.634298737702912</x:v>
      </x:c>
      <x:c r="D16" s="43" t="n">
        <x:v>0.8120241755797857</x:v>
      </x:c>
      <x:c r="E16" s="43" t="n">
        <x:v>0.8303416543213924</x:v>
      </x:c>
      <x:c r="F16" s="62" t="n">
        <x:v>336425.66322364035</x:v>
      </x:c>
      <x:c r="G16" s="62" t="n">
        <x:v>175920.51908776173</x:v>
      </x:c>
      <x:c r="H16" s="62" t="n">
        <x:v>90425.73274217921</x:v>
      </x:c>
      <x:c r="I16" s="62" t="n">
        <x:v>81614.11325702505</x:v>
      </x:c>
      <x:c r="J16" s="62" t="n">
        <x:v>247829.51144472478</x:v>
      </x:c>
      <x:c r="K16" s="62" t="n">
        <x:v>140975.07541388267</x:v>
      </x:c>
      <x:c r="L16" s="62" t="n">
        <x:v>78921.86635435524</x:v>
      </x:c>
      <x:c r="M16" s="62" t="n">
        <x:v>73749.80500401302</x:v>
      </x:c>
    </x:row>
    <x:row r="17" ht="15" hidden="0" customHeight="1">
      <x:c r="A17" s="36" t="n">
        <x:v>72</x:v>
      </x:c>
      <x:c r="B17" s="45" t="n">
        <x:v>0.3439947171989673</x:v>
      </x:c>
      <x:c r="C17" s="45" t="n">
        <x:v>0.6587451149710063</x:v>
      </x:c>
      <x:c r="D17" s="45" t="n">
        <x:v>0.8213713936686496</x:v>
      </x:c>
      <x:c r="E17" s="45" t="n">
        <x:v>0.8364400890016047</x:v>
      </x:c>
      <x:c r="F17" s="63" t="n">
        <x:v>315571.2100903802</x:v>
      </x:c>
      <x:c r="G17" s="63" t="n">
        <x:v>164160.5941922204</x:v>
      </x:c>
      <x:c r="H17" s="63" t="n">
        <x:v>85929.25534997482</x:v>
      </x:c>
      <x:c r="I17" s="63" t="n">
        <x:v>78680.46247379576</x:v>
      </x:c>
      <x:c r="J17" s="63" t="n">
        <x:v>263630.4653549298</x:v>
      </x:c>
      <x:c r="K17" s="63" t="n">
        <x:v>145935.7308049797</x:v>
      </x:c>
      <x:c r="L17" s="63" t="n">
        <x:v>77684.29052985003</x:v>
      </x:c>
      <x:c r="M17" s="63" t="n">
        <x:v>67645.3484630434</x:v>
      </x:c>
    </x:row>
    <x:row r="18" ht="15" hidden="0" customHeight="1">
      <x:c r="A18" s="34" t="n">
        <x:v>78</x:v>
      </x:c>
      <x:c r="B18" s="43" t="n">
        <x:v>0.3666908613891148</x:v>
      </x:c>
      <x:c r="C18" s="43" t="n">
        <x:v>0.677155609898658</x:v>
      </x:c>
      <x:c r="D18" s="43" t="n">
        <x:v>0.834678215114014</x:v>
      </x:c>
      <x:c r="E18" s="43" t="n">
        <x:v>0.85716078186169</x:v>
      </x:c>
      <x:c r="F18" s="62" t="n">
        <x:v>304653.23446693853</x:v>
      </x:c>
      <x:c r="G18" s="62" t="n">
        <x:v>155304.22928937257</x:v>
      </x:c>
      <x:c r="H18" s="62" t="n">
        <x:v>79528.01155504653</x:v>
      </x:c>
      <x:c r="I18" s="62" t="n">
        <x:v>68712.77731759037</x:v>
      </x:c>
      <x:c r="J18" s="62" t="n">
        <x:v>266681.90594642784</x:v>
      </x:c>
      <x:c r="K18" s="62" t="n">
        <x:v>142849.90826818053</x:v>
      </x:c>
      <x:c r="L18" s="62" t="n">
        <x:v>72972.31265720844</x:v>
      </x:c>
      <x:c r="M18" s="62" t="n">
        <x:v>63461.63292853418</x:v>
      </x:c>
    </x:row>
    <x:row r="19" ht="15" hidden="0" customHeight="1">
      <x:c r="A19" s="36" t="n">
        <x:v>84</x:v>
      </x:c>
      <x:c r="B19" s="45" t="n">
        <x:v>0.3974379864032317</x:v>
      </x:c>
      <x:c r="C19" s="45" t="n">
        <x:v>0.701134791242326</x:v>
      </x:c>
      <x:c r="D19" s="45" t="n">
        <x:v>0.848231333893524</x:v>
      </x:c>
      <x:c r="E19" s="45" t="n">
        <x:v>0.8680767917821932</x:v>
      </x:c>
      <x:c r="F19" s="63" t="n">
        <x:v>289862.33612832264</x:v>
      </x:c>
      <x:c r="G19" s="63" t="n">
        <x:v>143769.04889983727</x:v>
      </x:c>
      <x:c r="H19" s="63" t="n">
        <x:v>73008.28647678703</x:v>
      </x:c>
      <x:c r="I19" s="63" t="n">
        <x:v>63461.63292853418</x:v>
      </x:c>
      <x:c r="J19" s="63" t="n">
        <x:v>254506.70484004935</x:v>
      </x:c>
      <x:c r="K19" s="63" t="n">
        <x:v>133263.50611049612</x:v>
      </x:c>
      <x:c r="L19" s="63" t="n">
        <x:v>67592.1615891483</x:v>
      </x:c>
      <x:c r="M19" s="63" t="n">
        <x:v>63461.63292853418</x:v>
      </x:c>
    </x:row>
    <x:row r="20" ht="15" hidden="0" customHeight="1">
      <x:c r="A20" s="34" t="n">
        <x:v>90</x:v>
      </x:c>
      <x:c r="B20" s="43" t="n">
        <x:v>0.43016575901305426</x:v>
      </x:c>
      <x:c r="C20" s="43" t="n">
        <x:v>0.722966412631712</x:v>
      </x:c>
      <x:c r="D20" s="43" t="n">
        <x:v>0.859490303105524</x:v>
      </x:c>
      <x:c r="E20" s="43" t="n">
        <x:v>0.8680767917821932</x:v>
      </x:c>
      <x:c r="F20" s="62" t="n">
        <x:v>274118.647659922</x:v>
      </x:c>
      <x:c r="G20" s="62" t="n">
        <x:v>133266.9517967974</x:v>
      </x:c>
      <x:c r="H20" s="62" t="n">
        <x:v>67592.1615891483</x:v>
      </x:c>
      <x:c r="I20" s="62" t="n">
        <x:v>63461.63292853418</x:v>
      </x:c>
      <x:c r="J20" s="62" t="n">
        <x:v>239376.59708567933</x:v>
      </x:c>
      <x:c r="K20" s="62" t="n">
        <x:v>123040.48827458665</x:v>
      </x:c>
      <x:c r="L20" s="62" t="n">
        <x:v>67592.1615891483</x:v>
      </x:c>
      <x:c r="M20" s="62" t="n">
        <x:v>63461.63292853418</x:v>
      </x:c>
    </x:row>
    <x:row r="21" ht="15" hidden="0" customHeight="1">
      <x:c r="A21" s="36" t="n">
        <x:v>96</x:v>
      </x:c>
      <x:c r="B21" s="45" t="n">
        <x:v>0.4561509912415264</x:v>
      </x:c>
      <x:c r="C21" s="45" t="n">
        <x:v>0.7442250505569554</x:v>
      </x:c>
      <x:c r="D21" s="45" t="n">
        <x:v>0.859490303105524</x:v>
      </x:c>
      <x:c r="E21" s="45" t="n">
        <x:v>0.8680767917821932</x:v>
      </x:c>
      <x:c r="F21" s="63" t="n">
        <x:v>261618.45689346193</x:v>
      </x:c>
      <x:c r="G21" s="63" t="n">
        <x:v>123040.48827458665</x:v>
      </x:c>
      <x:c r="H21" s="63" t="n">
        <x:v>67592.1615891483</x:v>
      </x:c>
      <x:c r="I21" s="63" t="n">
        <x:v>63461.63292853418</x:v>
      </x:c>
      <x:c r="J21" s="63" t="n">
        <x:v>224107.09491327667</x:v>
      </x:c>
      <x:c r="K21" s="63" t="n">
        <x:v>113003.67704378105</x:v>
      </x:c>
      <x:c r="L21" s="63" t="n">
        <x:v>61235.002724180755</x:v>
      </x:c>
      <x:c r="M21" s="63" t="n">
        <x:v>53408.89742984696</x:v>
      </x:c>
    </x:row>
    <x:row r="22" ht="15" hidden="0" customHeight="1">
      <x:c r="A22" s="34" t="n">
        <x:v>102</x:v>
      </x:c>
      <x:c r="B22" s="43" t="n">
        <x:v>0.4801489693675294</x:v>
      </x:c>
      <x:c r="C22" s="43" t="n">
        <x:v>0.7638099865846132</x:v>
      </x:c>
      <x:c r="D22" s="43" t="n">
        <x:v>0.8727054813780594</x:v>
      </x:c>
      <x:c r="E22" s="43" t="n">
        <x:v>0.8862814858532645</x:v>
      </x:c>
      <x:c r="F22" s="62" t="n">
        <x:v>250074.23431554384</x:v>
      </x:c>
      <x:c r="G22" s="62" t="n">
        <x:v>113619.15871546911</x:v>
      </x:c>
      <x:c r="H22" s="62" t="n">
        <x:v>61235.002724180755</x:v>
      </x:c>
      <x:c r="I22" s="62" t="n">
        <x:v>54704.26848658428</x:v>
      </x:c>
      <x:c r="J22" s="62" t="n">
        <x:v>209609.84131294812</x:v>
      </x:c>
      <x:c r="K22" s="62" t="n">
        <x:v>102952.82738633243</x:v>
      </x:c>
      <x:c r="L22" s="62" t="n">
        <x:v>54726.58163509829</x:v>
      </x:c>
      <x:c r="M22" s="62" t="n">
        <x:v>48882.69098551902</x:v>
      </x:c>
    </x:row>
    <x:row r="23" ht="15" hidden="0" customHeight="1">
      <x:c r="A23" s="36" t="n">
        <x:v>108</x:v>
      </x:c>
      <x:c r="B23" s="45" t="n">
        <x:v>0.49470685972771844</x:v>
      </x:c>
      <x:c r="C23" s="45" t="n">
        <x:v>0.7772854075398513</x:v>
      </x:c>
      <x:c r="D23" s="45" t="n">
        <x:v>0.8862351015734788</x:v>
      </x:c>
      <x:c r="E23" s="45" t="n">
        <x:v>0.8983833046276726</x:v>
      </x:c>
      <x:c r="F23" s="63" t="n">
        <x:v>243071.16406935296</x:v>
      </x:c>
      <x:c r="G23" s="63" t="n">
        <x:v>107136.81016003597</x:v>
      </x:c>
      <x:c r="H23" s="63" t="n">
        <x:v>54726.58163509829</x:v>
      </x:c>
      <x:c r="I23" s="63" t="n">
        <x:v>48882.69098551902</x:v>
      </x:c>
      <x:c r="J23" s="63" t="n">
        <x:v>193826.77849352828</x:v>
      </x:c>
      <x:c r="K23" s="63" t="n">
        <x:v>92764.66340195085</x:v>
      </x:c>
      <x:c r="L23" s="63" t="n">
        <x:v>51792.71133122943</x:v>
      </x:c>
      <x:c r="M23" s="63" t="n">
        <x:v>48882.69098551902</x:v>
      </x:c>
    </x:row>
    <x:row r="24" ht="15" hidden="0" customHeight="1">
      <x:c r="A24" s="34" t="n">
        <x:v>114</x:v>
      </x:c>
      <x:c r="B24" s="43" t="n">
        <x:v>0.5202452199590303</x:v>
      </x:c>
      <x:c r="C24" s="43" t="n">
        <x:v>0.800892238824545</x:v>
      </x:c>
      <x:c r="D24" s="43" t="n">
        <x:v>0.892333992590311</x:v>
      </x:c>
      <x:c r="E24" s="43" t="n">
        <x:v>0.8983833046276726</x:v>
      </x:c>
      <x:c r="F24" s="62" t="n">
        <x:v>230785.94098775246</x:v>
      </x:c>
      <x:c r="G24" s="62" t="n">
        <x:v>95780.7486919004</x:v>
      </x:c>
      <x:c r="H24" s="62" t="n">
        <x:v>51792.71133122943</x:v>
      </x:c>
      <x:c r="I24" s="62" t="n">
        <x:v>48882.69098551902</x:v>
      </x:c>
      <x:c r="J24" s="62" t="n">
        <x:v>177936.06085775478</x:v>
      </x:c>
      <x:c r="K24" s="62" t="n">
        <x:v>82628.55036067861</x:v>
      </x:c>
      <x:c r="L24" s="62" t="n">
        <x:v>51792.71133122943</x:v>
      </x:c>
      <x:c r="M24" s="62" t="n">
        <x:v>48882.69098551902</x:v>
      </x:c>
    </x:row>
    <x:row r="25" ht="15" hidden="0" customHeight="1">
      <x:c r="A25" s="36" t="n">
        <x:v>120</x:v>
      </x:c>
      <x:c r="B25" s="45" t="n">
        <x:v>0.5535435062107941</x:v>
      </x:c>
      <x:c r="C25" s="45" t="n">
        <x:v>0.8222734056887782</x:v>
      </x:c>
      <x:c r="D25" s="45" t="n">
        <x:v>0.892333992590311</x:v>
      </x:c>
      <x:c r="E25" s="45" t="n">
        <x:v>0.8983833046276726</x:v>
      </x:c>
      <x:c r="F25" s="63" t="n">
        <x:v>214767.8070459987</x:v>
      </x:c>
      <x:c r="G25" s="63" t="n">
        <x:v>85495.3426480944</x:v>
      </x:c>
      <x:c r="H25" s="63" t="n">
        <x:v>51792.71133122943</x:v>
      </x:c>
      <x:c r="I25" s="63" t="n">
        <x:v>48882.69098551902</x:v>
      </x:c>
      <x:c r="J25" s="63" t="n">
        <x:v>164367.37822346587</x:v>
      </x:c>
      <x:c r="K25" s="63" t="n">
        <x:v>73888.13184704413</x:v>
      </x:c>
      <x:c r="L25" s="63" t="n">
        <x:v>45629.04523941559</x:v>
      </x:c>
      <x:c r="M25" s="63" t="n">
        <x:v>39049.37234915698</x:v>
      </x:c>
    </x:row>
    <x:row r="26" ht="15" hidden="0" customHeight="1">
      <x:c r="A26" s="34" t="n">
        <x:v>126</x:v>
      </x:c>
      <x:c r="B26" s="43" t="n">
        <x:v>0.5795656008084786</x:v>
      </x:c>
      <x:c r="C26" s="43" t="n">
        <x:v>0.8402854562480964</x:v>
      </x:c>
      <x:c r="D26" s="43" t="n">
        <x:v>0.905146940629815</x:v>
      </x:c>
      <x:c r="E26" s="43" t="n">
        <x:v>0.9155744703617715</x:v>
      </x:c>
      <x:c r="F26" s="62" t="n">
        <x:v>202249.8836442015</x:v>
      </x:c>
      <x:c r="G26" s="62" t="n">
        <x:v>76830.6493289445</x:v>
      </x:c>
      <x:c r="H26" s="62" t="n">
        <x:v>45629.04523941559</x:v>
      </x:c>
      <x:c r="I26" s="62" t="n">
        <x:v>40612.88414736386</x:v>
      </x:c>
      <x:c r="J26" s="62" t="n">
        <x:v>148904.202014368</x:v>
      </x:c>
      <x:c r="K26" s="62" t="n">
        <x:v>64045.66441165019</x:v>
      </x:c>
      <x:c r="L26" s="62" t="n">
        <x:v>39216.57168333135</x:v>
      </x:c>
      <x:c r="M26" s="62" t="n">
        <x:v>28959.536048315113</x:v>
      </x:c>
    </x:row>
    <x:row r="27" ht="15" hidden="0" customHeight="1">
      <x:c r="A27" s="36" t="n">
        <x:v>132</x:v>
      </x:c>
      <x:c r="B27" s="45" t="n">
        <x:v>0.602923259823213</x:v>
      </x:c>
      <x:c r="C27" s="45" t="n">
        <x:v>0.8571293548584803</x:v>
      </x:c>
      <x:c r="D27" s="45" t="n">
        <x:v>0.9184771063550357</x:v>
      </x:c>
      <x:c r="E27" s="45" t="n">
        <x:v>0.9358932784608607</x:v>
      </x:c>
      <x:c r="F27" s="63" t="n">
        <x:v>191013.6864466953</x:v>
      </x:c>
      <x:c r="G27" s="63" t="n">
        <x:v>68727.89527119903</x:v>
      </x:c>
      <x:c r="H27" s="63" t="n">
        <x:v>39216.57168333135</x:v>
      </x:c>
      <x:c r="I27" s="63" t="n">
        <x:v>30838.5255750586</x:v>
      </x:c>
      <x:c r="J27" s="63" t="n">
        <x:v>133023.46820097519</x:v>
      </x:c>
      <x:c r="K27" s="63" t="n">
        <x:v>53864.40036280187</x:v>
      </x:c>
      <x:c r="L27" s="63" t="n">
        <x:v>32766.088301781936</x:v>
      </x:c>
      <x:c r="M27" s="63" t="n">
        <x:v>18706.865459012883</x:v>
      </x:c>
    </x:row>
    <x:row r="28" ht="15" hidden="0" customHeight="1">
      <x:c r="A28" s="34" t="n">
        <x:v>138</x:v>
      </x:c>
      <x:c r="B28" s="43" t="n">
        <x:v>0.6379850695807489</x:v>
      </x:c>
      <x:c r="C28" s="43" t="n">
        <x:v>0.8783685202546885</x:v>
      </x:c>
      <x:c r="D28" s="43" t="n">
        <x:v>0.9318862864057276</x:v>
      </x:c>
      <x:c r="E28" s="43" t="n">
        <x:v>0.958542631669172</x:v>
      </x:c>
      <x:c r="F28" s="62" t="n">
        <x:v>174147.2098751946</x:v>
      </x:c>
      <x:c r="G28" s="62" t="n">
        <x:v>58510.799005186105</x:v>
      </x:c>
      <x:c r="H28" s="62" t="n">
        <x:v>32766.088301781936</x:v>
      </x:c>
      <x:c r="I28" s="62" t="n">
        <x:v>19943.058744071102</x:v>
      </x:c>
      <x:c r="J28" s="62" t="n">
        <x:v>117134.77836985895</x:v>
      </x:c>
      <x:c r="K28" s="62" t="n">
        <x:v>43572.54287845506</x:v>
      </x:c>
      <x:c r="L28" s="62" t="n">
        <x:v>26275.378361844323</x:v>
      </x:c>
      <x:c r="M28" s="62" t="n">
        <x:v>8467.74063815509</x:v>
      </x:c>
    </x:row>
    <x:row r="29" ht="15" hidden="0" customHeight="1">
      <x:c r="A29" s="36" t="n">
        <x:v>144</x:v>
      </x:c>
      <x:c r="B29" s="45" t="n">
        <x:v>0.6658786071380202</x:v>
      </x:c>
      <x:c r="C29" s="45" t="n">
        <x:v>0.900710828993811</x:v>
      </x:c>
      <x:c r="D29" s="45" t="n">
        <x:v>0.9453790888971488</x:v>
      </x:c>
      <x:c r="E29" s="45" t="n">
        <x:v>0.9775269028864274</x:v>
      </x:c>
      <x:c r="F29" s="63" t="n">
        <x:v>160729.02921197683</x:v>
      </x:c>
      <x:c r="G29" s="63" t="n">
        <x:v>47763.035854692935</x:v>
      </x:c>
      <x:c r="H29" s="63" t="n">
        <x:v>26275.378361844327</x:v>
      </x:c>
      <x:c r="I29" s="63" t="n">
        <x:v>10810.67887186469</x:v>
      </x:c>
      <x:c r="J29" s="63" t="n">
        <x:v>102443.35356940322</x:v>
      </x:c>
      <x:c r="K29" s="63" t="n">
        <x:v>33404.24775038459</x:v>
      </x:c>
      <x:c r="L29" s="63" t="n">
        <x:v>19696.829019482495</x:v>
      </x:c>
      <x:c r="M29" s="63" t="n">
        <x:v>1266.2231485385728</x:v>
      </x:c>
    </x:row>
    <x:row r="30" ht="15" hidden="0" customHeight="1">
      <x:c r="A30" s="34" t="n">
        <x:v>150</x:v>
      </x:c>
      <x:c r="B30" s="43" t="n">
        <x:v>0.6928258865181517</x:v>
      </x:c>
      <x:c r="C30" s="43" t="n">
        <x:v>0.9206929597441594</x:v>
      </x:c>
      <x:c r="D30" s="43" t="n">
        <x:v>0.9590544907835268</x:v>
      </x:c>
      <x:c r="E30" s="43" t="n">
        <x:v>0.9973677919655333</x:v>
      </x:c>
      <x:c r="F30" s="62" t="n">
        <x:v>147766.0458556204</x:v>
      </x:c>
      <x:c r="G30" s="62" t="n">
        <x:v>38150.63585366403</x:v>
      </x:c>
      <x:c r="H30" s="62" t="n">
        <x:v>19696.829019482495</x:v>
      </x:c>
      <x:c r="I30" s="62" t="n">
        <x:v>1266.2231485385732</x:v>
      </x:c>
      <x:c r="J30" s="62" t="n">
        <x:v>86718.21472395565</x:v>
      </x:c>
      <x:c r="K30" s="62" t="n">
        <x:v>23261.560780002015</x:v>
      </x:c>
      <x:c r="L30" s="62" t="n">
        <x:v>13065.948050816713</x:v>
      </x:c>
      <x:c r="M30" s="62" t="n">
        <x:v>1266.2231485385728</x:v>
      </x:c>
    </x:row>
    <x:row r="31" ht="15" hidden="0" customHeight="1">
      <x:c r="A31" s="36" t="n">
        <x:v>156</x:v>
      </x:c>
      <x:c r="B31" s="45" t="n">
        <x:v>0.7241484393579617</x:v>
      </x:c>
      <x:c r="C31" s="45" t="n">
        <x:v>0.9429614080602737</x:v>
      </x:c>
      <x:c r="D31" s="45" t="n">
        <x:v>0.972838678966675</x:v>
      </x:c>
      <x:c r="E31" s="45" t="n">
        <x:v>0.9973677919655333</x:v>
      </x:c>
      <x:c r="F31" s="63" t="n">
        <x:v>132698.33807654033</x:v>
      </x:c>
      <x:c r="G31" s="63" t="n">
        <x:v>27438.40324488689</x:v>
      </x:c>
      <x:c r="H31" s="63" t="n">
        <x:v>13065.948050816713</x:v>
      </x:c>
      <x:c r="I31" s="63" t="n">
        <x:v>1266.2231485385732</x:v>
      </x:c>
      <x:c r="J31" s="63" t="n">
        <x:v>70864.3408838242</x:v>
      </x:c>
      <x:c r="K31" s="63" t="n">
        <x:v>13200.276384730772</x:v>
      </x:c>
      <x:c r="L31" s="63" t="n">
        <x:v>6628.636619754544</x:v>
      </x:c>
      <x:c r="M31" s="63" t="n">
        <x:v>1266.2231485385728</x:v>
      </x:c>
    </x:row>
    <x:row r="32" ht="15" hidden="0" customHeight="1">
      <x:c r="A32" s="34" t="n">
        <x:v>162</x:v>
      </x:c>
      <x:c r="B32" s="43" t="n">
        <x:v>0.760827640571734</x:v>
      </x:c>
      <x:c r="C32" s="43" t="n">
        <x:v>0.9666724387587997</x:v>
      </x:c>
      <x:c r="D32" s="43" t="n">
        <x:v>0.9862204773398625</x:v>
      </x:c>
      <x:c r="E32" s="43" t="n">
        <x:v>0.9973677919655333</x:v>
      </x:c>
      <x:c r="F32" s="62" t="n">
        <x:v>115053.8156684954</x:v>
      </x:c>
      <x:c r="G32" s="62" t="n">
        <x:v>16032.21666956712</x:v>
      </x:c>
      <x:c r="H32" s="62" t="n">
        <x:v>6628.636619754545</x:v>
      </x:c>
      <x:c r="I32" s="62" t="n">
        <x:v>1266.2231485385732</x:v>
      </x:c>
      <x:c r="J32" s="62" t="n">
        <x:v>54995.73424213705</x:v>
      </x:c>
      <x:c r="K32" s="62" t="n">
        <x:v>2976.400547392286</x:v>
      </x:c>
      <x:c r="L32" s="62" t="n">
        <x:v>1296.5467501922446</x:v>
      </x:c>
      <x:c r="M32" s="62" t="n">
        <x:v>1266.2231485385728</x:v>
      </x:c>
    </x:row>
    <x:row r="33" ht="15" hidden="0" customHeight="1">
      <x:c r="A33" s="36" t="n">
        <x:v>168</x:v>
      </x:c>
      <x:c r="B33" s="45" t="n">
        <x:v>0.7981049764586412</x:v>
      </x:c>
      <x:c r="C33" s="45" t="n">
        <x:v>0.9912929233209922</x:v>
      </x:c>
      <x:c r="D33" s="45" t="n">
        <x:v>0.9973047556610724</x:v>
      </x:c>
      <x:c r="E33" s="45" t="n">
        <x:v>0.9973677919655333</x:v>
      </x:c>
      <x:c r="F33" s="63" t="n">
        <x:v>97121.56069556587</x:v>
      </x:c>
      <x:c r="G33" s="63" t="n">
        <x:v>4188.5374950213245</x:v>
      </x:c>
      <x:c r="H33" s="63" t="n">
        <x:v>1296.546750192245</x:v>
      </x:c>
      <x:c r="I33" s="63" t="n">
        <x:v>1266.2231485385732</x:v>
      </x:c>
      <x:c r="J33" s="63" t="n">
        <x:v>39055.08317218916</x:v>
      </x:c>
      <x:c r="K33" s="63" t="n">
        <x:v>1566.6742390051927</x:v>
      </x:c>
      <x:c r="L33" s="63" t="n">
        <x:v>1296.5467501922446</x:v>
      </x:c>
      <x:c r="M33" s="63" t="n">
        <x:v>1266.2231485385728</x:v>
      </x:c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22b2fba7d5e54c6c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21" hidden="0" customWidth="1"/>
    <x:col min="6" max="6" width="21" hidden="0" customWidth="1"/>
    <x:col min="7" max="7" width="21" hidden="0" customWidth="1"/>
    <x:col min="8" max="8" width="62" hidden="0" customWidth="1"/>
  </x:cols>
  <x:sheetData>
    <x:row r="1" ht="29" customHeight="1">
      <x:c r="A1" s="2" t="str">
        <x:v>Damaged-road recovery screen</x:v>
      </x:c>
      <x:c r="B1" s="2"/>
      <x:c r="C1" s="2"/>
      <x:c r="D1" s="2"/>
      <x:c r="E1" s="2"/>
      <x:c r="F1" s="2"/>
      <x:c r="G1" s="2"/>
      <x:c r="H1" s="2"/>
    </x:row>
    <x:row r="2" ht="34" customHeight="1">
      <x:c r="A2" s="6" t="str">
        <x:v>TIGER road geometry is gated by assumed NFHL exposure restoration clocks. TxDOT designation changes priority, not physical survival.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25" t="str">
        <x:v>Architecture</x:v>
      </x:c>
      <x:c r="B4" s="26" t="str">
        <x:v>Network case</x:v>
      </x:c>
      <x:c r="C4" s="26" t="str">
        <x:v>Hour</x:v>
      </x:c>
      <x:c r="D4" s="26" t="str">
        <x:v>Reachable tracts</x:v>
      </x:c>
      <x:c r="E4" s="26" t="str">
        <x:v>Reachable demand share</x:v>
      </x:c>
      <x:c r="F4" s="26" t="str">
        <x:v>Median minutes</x:v>
      </x:c>
      <x:c r="G4" s="26" t="str">
        <x:v>P90 minutes</x:v>
      </x:c>
      <x:c r="H4" s="27" t="str">
        <x:v>Interpretation</x:v>
      </x:c>
    </x:row>
    <x:row r="5" ht="86.4000015258789" hidden="0" customHeight="1">
      <x:c r="A5" s="35" t="str">
        <x:v>M0</x:v>
      </x:c>
      <x:c r="B5" s="35" t="str">
        <x:v>fast</x:v>
      </x:c>
      <x:c r="C5" s="35" t="n">
        <x:v>0</x:v>
      </x:c>
      <x:c r="D5" s="35" t="n">
        <x:v>531</x:v>
      </x:c>
      <x:c r="E5" s="41" t="n">
        <x:v>0.4168292486850669</x:v>
      </x:c>
      <x:c r="F5" s="46" t="n">
        <x:v>31.571644409850304</x:v>
      </x:c>
      <x:c r="G5" s="46" t="n">
        <x:v>38.39589623266355</x:v>
      </x:c>
      <x:c r="H5" s="35" t="str">
        <x:v>graph reach only; no traffic, direction, bridge, control, pickup dwell, or capacity</x:v>
      </x:c>
    </x:row>
    <x:row r="6" ht="86.4000015258789" hidden="0" customHeight="1">
      <x:c r="A6" s="34" t="str">
        <x:v>M0</x:v>
      </x:c>
      <x:c r="B6" s="34" t="str">
        <x:v>fast</x:v>
      </x:c>
      <x:c r="C6" s="34" t="n">
        <x:v>12</x:v>
      </x:c>
      <x:c r="D6" s="34" t="n">
        <x:v>532</x:v>
      </x:c>
      <x:c r="E6" s="43" t="n">
        <x:v>0.41837026599476607</x:v>
      </x:c>
      <x:c r="F6" s="47" t="n">
        <x:v>31.36310433022335</x:v>
      </x:c>
      <x:c r="G6" s="47" t="n">
        <x:v>38.373974300982084</x:v>
      </x:c>
      <x:c r="H6" s="34" t="str">
        <x:v>graph reach only; no traffic, direction, bridge, control, pickup dwell, or capacity</x:v>
      </x:c>
    </x:row>
    <x:row r="7" ht="86.4000015258789" hidden="0" customHeight="1">
      <x:c r="A7" s="36" t="str">
        <x:v>M0</x:v>
      </x:c>
      <x:c r="B7" s="36" t="str">
        <x:v>fast</x:v>
      </x:c>
      <x:c r="C7" s="36" t="n">
        <x:v>24</x:v>
      </x:c>
      <x:c r="D7" s="36" t="n">
        <x:v>553</x:v>
      </x:c>
      <x:c r="E7" s="45" t="n">
        <x:v>0.43599903294755127</x:v>
      </x:c>
      <x:c r="F7" s="48" t="n">
        <x:v>22.95844515441832</x:v>
      </x:c>
      <x:c r="G7" s="48" t="n">
        <x:v>31.850835784999063</x:v>
      </x:c>
      <x:c r="H7" s="36" t="str">
        <x:v>graph reach only; no traffic, direction, bridge, control, pickup dwell, or capacity</x:v>
      </x:c>
    </x:row>
    <x:row r="8" ht="86.4000015258789" hidden="0" customHeight="1">
      <x:c r="A8" s="34" t="str">
        <x:v>M0</x:v>
      </x:c>
      <x:c r="B8" s="34" t="str">
        <x:v>fast</x:v>
      </x:c>
      <x:c r="C8" s="34" t="n">
        <x:v>48</x:v>
      </x:c>
      <x:c r="D8" s="34" t="n">
        <x:v>774</x:v>
      </x:c>
      <x:c r="E8" s="43" t="n">
        <x:v>0.6387272636021746</x:v>
      </x:c>
      <x:c r="F8" s="47" t="n">
        <x:v>21.26795136398878</x:v>
      </x:c>
      <x:c r="G8" s="47" t="n">
        <x:v>30.032330202710913</x:v>
      </x:c>
      <x:c r="H8" s="34" t="str">
        <x:v>graph reach only; no traffic, direction, bridge, control, pickup dwell, or capacity</x:v>
      </x:c>
    </x:row>
    <x:row r="9" ht="86.4000015258789" hidden="0" customHeight="1">
      <x:c r="A9" s="36" t="str">
        <x:v>M0</x:v>
      </x:c>
      <x:c r="B9" s="36" t="str">
        <x:v>fast</x:v>
      </x:c>
      <x:c r="C9" s="36" t="n">
        <x:v>72</x:v>
      </x:c>
      <x:c r="D9" s="36" t="n">
        <x:v>1108</x:v>
      </x:c>
      <x:c r="E9" s="45" t="n">
        <x:v>0.9940283755332096</x:v>
      </x:c>
      <x:c r="F9" s="48" t="n">
        <x:v>19.443176323930288</x:v>
      </x:c>
      <x:c r="G9" s="48" t="n">
        <x:v>26.136141036524194</x:v>
      </x:c>
      <x:c r="H9" s="36" t="str">
        <x:v>graph reach only; no traffic, direction, bridge, control, pickup dwell, or capacity</x:v>
      </x:c>
    </x:row>
    <x:row r="10" ht="86.4000015258789" hidden="0" customHeight="1">
      <x:c r="A10" s="34" t="str">
        <x:v>M0</x:v>
      </x:c>
      <x:c r="B10" s="34" t="str">
        <x:v>fast</x:v>
      </x:c>
      <x:c r="C10" s="34" t="n">
        <x:v>96</x:v>
      </x:c>
      <x:c r="D10" s="34" t="n">
        <x:v>1109</x:v>
      </x:c>
      <x:c r="E10" s="43" t="n">
        <x:v>0.995403465091386</x:v>
      </x:c>
      <x:c r="F10" s="47" t="n">
        <x:v>19.45325258316066</x:v>
      </x:c>
      <x:c r="G10" s="47" t="n">
        <x:v>26.135701981428497</x:v>
      </x:c>
      <x:c r="H10" s="34" t="str">
        <x:v>graph reach only; no traffic, direction, bridge, control, pickup dwell, or capacity</x:v>
      </x:c>
    </x:row>
    <x:row r="11" ht="86.4000015258789" hidden="0" customHeight="1">
      <x:c r="A11" s="36" t="str">
        <x:v>M0</x:v>
      </x:c>
      <x:c r="B11" s="36" t="str">
        <x:v>fast</x:v>
      </x:c>
      <x:c r="C11" s="36" t="n">
        <x:v>120</x:v>
      </x:c>
      <x:c r="D11" s="36" t="n">
        <x:v>1109</x:v>
      </x:c>
      <x:c r="E11" s="45" t="n">
        <x:v>0.995403465091386</x:v>
      </x:c>
      <x:c r="F11" s="48" t="n">
        <x:v>19.45325258316066</x:v>
      </x:c>
      <x:c r="G11" s="48" t="n">
        <x:v>26.135701981428497</x:v>
      </x:c>
      <x:c r="H11" s="36" t="str">
        <x:v>graph reach only; no traffic, direction, bridge, control, pickup dwell, or capacity</x:v>
      </x:c>
    </x:row>
    <x:row r="12" ht="86.4000015258789" hidden="0" customHeight="1">
      <x:c r="A12" s="34" t="str">
        <x:v>M0</x:v>
      </x:c>
      <x:c r="B12" s="34" t="str">
        <x:v>fast</x:v>
      </x:c>
      <x:c r="C12" s="34" t="n">
        <x:v>168</x:v>
      </x:c>
      <x:c r="D12" s="34" t="n">
        <x:v>1109</x:v>
      </x:c>
      <x:c r="E12" s="43" t="n">
        <x:v>0.995403465091386</x:v>
      </x:c>
      <x:c r="F12" s="47" t="n">
        <x:v>19.45325258316066</x:v>
      </x:c>
      <x:c r="G12" s="47" t="n">
        <x:v>26.135701981428497</x:v>
      </x:c>
      <x:c r="H12" s="34" t="str">
        <x:v>graph reach only; no traffic, direction, bridge, control, pickup dwell, or capacity</x:v>
      </x:c>
    </x:row>
    <x:row r="13" ht="86.4000015258789" hidden="0" customHeight="1">
      <x:c r="A13" s="36" t="str">
        <x:v>M0</x:v>
      </x:c>
      <x:c r="B13" s="36" t="str">
        <x:v>reference</x:v>
      </x:c>
      <x:c r="C13" s="36" t="n">
        <x:v>0</x:v>
      </x:c>
      <x:c r="D13" s="36" t="n">
        <x:v>531</x:v>
      </x:c>
      <x:c r="E13" s="45" t="n">
        <x:v>0.4168292486850669</x:v>
      </x:c>
      <x:c r="F13" s="48" t="n">
        <x:v>31.571644409850304</x:v>
      </x:c>
      <x:c r="G13" s="48" t="n">
        <x:v>38.39589623266355</x:v>
      </x:c>
      <x:c r="H13" s="36" t="str">
        <x:v>graph reach only; no traffic, direction, bridge, control, pickup dwell, or capacity</x:v>
      </x:c>
    </x:row>
    <x:row r="14" ht="86.4000015258789" hidden="0" customHeight="1">
      <x:c r="A14" s="34" t="str">
        <x:v>M0</x:v>
      </x:c>
      <x:c r="B14" s="34" t="str">
        <x:v>reference</x:v>
      </x:c>
      <x:c r="C14" s="34" t="n">
        <x:v>12</x:v>
      </x:c>
      <x:c r="D14" s="34" t="n">
        <x:v>531</x:v>
      </x:c>
      <x:c r="E14" s="43" t="n">
        <x:v>0.4168292486850669</x:v>
      </x:c>
      <x:c r="F14" s="47" t="n">
        <x:v>31.440211475910374</x:v>
      </x:c>
      <x:c r="G14" s="47" t="n">
        <x:v>38.32463079406478</x:v>
      </x:c>
      <x:c r="H14" s="34" t="str">
        <x:v>graph reach only; no traffic, direction, bridge, control, pickup dwell, or capacity</x:v>
      </x:c>
    </x:row>
    <x:row r="15" ht="86.4000015258789" hidden="0" customHeight="1">
      <x:c r="A15" s="36" t="str">
        <x:v>M0</x:v>
      </x:c>
      <x:c r="B15" s="36" t="str">
        <x:v>reference</x:v>
      </x:c>
      <x:c r="C15" s="36" t="n">
        <x:v>24</x:v>
      </x:c>
      <x:c r="D15" s="36" t="n">
        <x:v>535</x:v>
      </x:c>
      <x:c r="E15" s="45" t="n">
        <x:v>0.4220108999558093</x:v>
      </x:c>
      <x:c r="F15" s="48" t="n">
        <x:v>31.188406619900725</x:v>
      </x:c>
      <x:c r="G15" s="48" t="n">
        <x:v>38.424038869130456</x:v>
      </x:c>
      <x:c r="H15" s="36" t="str">
        <x:v>graph reach only; no traffic, direction, bridge, control, pickup dwell, or capacity</x:v>
      </x:c>
    </x:row>
    <x:row r="16" ht="86.4000015258789" hidden="0" customHeight="1">
      <x:c r="A16" s="34" t="str">
        <x:v>M0</x:v>
      </x:c>
      <x:c r="B16" s="34" t="str">
        <x:v>reference</x:v>
      </x:c>
      <x:c r="C16" s="34" t="n">
        <x:v>48</x:v>
      </x:c>
      <x:c r="D16" s="34" t="n">
        <x:v>645</x:v>
      </x:c>
      <x:c r="E16" s="43" t="n">
        <x:v>0.5172274828923036</x:v>
      </x:c>
      <x:c r="F16" s="47" t="n">
        <x:v>21.768930490572796</x:v>
      </x:c>
      <x:c r="G16" s="47" t="n">
        <x:v>31.55074963301024</x:v>
      </x:c>
      <x:c r="H16" s="34" t="str">
        <x:v>graph reach only; no traffic, direction, bridge, control, pickup dwell, or capacity</x:v>
      </x:c>
    </x:row>
    <x:row r="17" ht="86.4000015258789" hidden="0" customHeight="1">
      <x:c r="A17" s="36" t="str">
        <x:v>M0</x:v>
      </x:c>
      <x:c r="B17" s="36" t="str">
        <x:v>reference</x:v>
      </x:c>
      <x:c r="C17" s="36" t="n">
        <x:v>72</x:v>
      </x:c>
      <x:c r="D17" s="36" t="n">
        <x:v>767</x:v>
      </x:c>
      <x:c r="E17" s="45" t="n">
        <x:v>0.6338292674093584</x:v>
      </x:c>
      <x:c r="F17" s="48" t="n">
        <x:v>21.30341629647199</x:v>
      </x:c>
      <x:c r="G17" s="48" t="n">
        <x:v>30.20458808466936</x:v>
      </x:c>
      <x:c r="H17" s="36" t="str">
        <x:v>graph reach only; no traffic, direction, bridge, control, pickup dwell, or capacity</x:v>
      </x:c>
    </x:row>
    <x:row r="18" ht="86.4000015258789" hidden="0" customHeight="1">
      <x:c r="A18" s="34" t="str">
        <x:v>M0</x:v>
      </x:c>
      <x:c r="B18" s="34" t="str">
        <x:v>reference</x:v>
      </x:c>
      <x:c r="C18" s="34" t="n">
        <x:v>96</x:v>
      </x:c>
      <x:c r="D18" s="34" t="n">
        <x:v>869</x:v>
      </x:c>
      <x:c r="E18" s="43" t="n">
        <x:v>0.7341803700917042</x:v>
      </x:c>
      <x:c r="F18" s="47" t="n">
        <x:v>21.03156632975523</x:v>
      </x:c>
      <x:c r="G18" s="47" t="n">
        <x:v>29.783087360617746</x:v>
      </x:c>
      <x:c r="H18" s="34" t="str">
        <x:v>graph reach only; no traffic, direction, bridge, control, pickup dwell, or capacity</x:v>
      </x:c>
    </x:row>
    <x:row r="19" ht="86.4000015258789" hidden="0" customHeight="1">
      <x:c r="A19" s="36" t="str">
        <x:v>M0</x:v>
      </x:c>
      <x:c r="B19" s="36" t="str">
        <x:v>reference</x:v>
      </x:c>
      <x:c r="C19" s="36" t="n">
        <x:v>120</x:v>
      </x:c>
      <x:c r="D19" s="36" t="n">
        <x:v>1109</x:v>
      </x:c>
      <x:c r="E19" s="45" t="n">
        <x:v>0.995403465091386</x:v>
      </x:c>
      <x:c r="F19" s="48" t="n">
        <x:v>19.45325258316066</x:v>
      </x:c>
      <x:c r="G19" s="48" t="n">
        <x:v>26.135701981428497</x:v>
      </x:c>
      <x:c r="H19" s="36" t="str">
        <x:v>graph reach only; no traffic, direction, bridge, control, pickup dwell, or capacity</x:v>
      </x:c>
    </x:row>
    <x:row r="20" ht="86.4000015258789" hidden="0" customHeight="1">
      <x:c r="A20" s="34" t="str">
        <x:v>M0</x:v>
      </x:c>
      <x:c r="B20" s="34" t="str">
        <x:v>reference</x:v>
      </x:c>
      <x:c r="C20" s="34" t="n">
        <x:v>168</x:v>
      </x:c>
      <x:c r="D20" s="34" t="n">
        <x:v>1109</x:v>
      </x:c>
      <x:c r="E20" s="43" t="n">
        <x:v>0.995403465091386</x:v>
      </x:c>
      <x:c r="F20" s="47" t="n">
        <x:v>19.45325258316066</x:v>
      </x:c>
      <x:c r="G20" s="47" t="n">
        <x:v>26.135701981428497</x:v>
      </x:c>
      <x:c r="H20" s="34" t="str">
        <x:v>graph reach only; no traffic, direction, bridge, control, pickup dwell, or capacity</x:v>
      </x:c>
    </x:row>
    <x:row r="21" ht="86.4000015258789" hidden="0" customHeight="1">
      <x:c r="A21" s="36" t="str">
        <x:v>M0</x:v>
      </x:c>
      <x:c r="B21" s="36" t="str">
        <x:v>slow</x:v>
      </x:c>
      <x:c r="C21" s="36" t="n">
        <x:v>0</x:v>
      </x:c>
      <x:c r="D21" s="36" t="n">
        <x:v>531</x:v>
      </x:c>
      <x:c r="E21" s="45" t="n">
        <x:v>0.4168292486850669</x:v>
      </x:c>
      <x:c r="F21" s="48" t="n">
        <x:v>31.571644409850304</x:v>
      </x:c>
      <x:c r="G21" s="48" t="n">
        <x:v>38.39589623266355</x:v>
      </x:c>
      <x:c r="H21" s="36" t="str">
        <x:v>graph reach only; no traffic, direction, bridge, control, pickup dwell, or capacity</x:v>
      </x:c>
    </x:row>
    <x:row r="22" ht="86.4000015258789" hidden="0" customHeight="1">
      <x:c r="A22" s="34" t="str">
        <x:v>M0</x:v>
      </x:c>
      <x:c r="B22" s="34" t="str">
        <x:v>slow</x:v>
      </x:c>
      <x:c r="C22" s="34" t="n">
        <x:v>12</x:v>
      </x:c>
      <x:c r="D22" s="34" t="n">
        <x:v>531</x:v>
      </x:c>
      <x:c r="E22" s="43" t="n">
        <x:v>0.4168292486850669</x:v>
      </x:c>
      <x:c r="F22" s="47" t="n">
        <x:v>31.571644409850304</x:v>
      </x:c>
      <x:c r="G22" s="47" t="n">
        <x:v>38.39589623266355</x:v>
      </x:c>
      <x:c r="H22" s="34" t="str">
        <x:v>graph reach only; no traffic, direction, bridge, control, pickup dwell, or capacity</x:v>
      </x:c>
    </x:row>
    <x:row r="23" ht="86.4000015258789" hidden="0" customHeight="1">
      <x:c r="A23" s="36" t="str">
        <x:v>M0</x:v>
      </x:c>
      <x:c r="B23" s="36" t="str">
        <x:v>slow</x:v>
      </x:c>
      <x:c r="C23" s="36" t="n">
        <x:v>24</x:v>
      </x:c>
      <x:c r="D23" s="36" t="n">
        <x:v>531</x:v>
      </x:c>
      <x:c r="E23" s="45" t="n">
        <x:v>0.4168292486850669</x:v>
      </x:c>
      <x:c r="F23" s="48" t="n">
        <x:v>31.440211475910374</x:v>
      </x:c>
      <x:c r="G23" s="48" t="n">
        <x:v>38.324565014049945</x:v>
      </x:c>
      <x:c r="H23" s="36" t="str">
        <x:v>graph reach only; no traffic, direction, bridge, control, pickup dwell, or capacity</x:v>
      </x:c>
    </x:row>
    <x:row r="24" ht="86.4000015258789" hidden="0" customHeight="1">
      <x:c r="A24" s="34" t="str">
        <x:v>M0</x:v>
      </x:c>
      <x:c r="B24" s="34" t="str">
        <x:v>slow</x:v>
      </x:c>
      <x:c r="C24" s="34" t="n">
        <x:v>48</x:v>
      </x:c>
      <x:c r="D24" s="34" t="n">
        <x:v>535</x:v>
      </x:c>
      <x:c r="E24" s="43" t="n">
        <x:v>0.4220108999558093</x:v>
      </x:c>
      <x:c r="F24" s="47" t="n">
        <x:v>31.071182024221294</x:v>
      </x:c>
      <x:c r="G24" s="47" t="n">
        <x:v>38.35750453867137</x:v>
      </x:c>
      <x:c r="H24" s="34" t="str">
        <x:v>graph reach only; no traffic, direction, bridge, control, pickup dwell, or capacity</x:v>
      </x:c>
    </x:row>
    <x:row r="25" ht="86.4000015258789" hidden="0" customHeight="1">
      <x:c r="A25" s="36" t="str">
        <x:v>M0</x:v>
      </x:c>
      <x:c r="B25" s="36" t="str">
        <x:v>slow</x:v>
      </x:c>
      <x:c r="C25" s="36" t="n">
        <x:v>72</x:v>
      </x:c>
      <x:c r="D25" s="36" t="n">
        <x:v>611</x:v>
      </x:c>
      <x:c r="E25" s="45" t="n">
        <x:v>0.48550863965190816</x:v>
      </x:c>
      <x:c r="F25" s="48" t="n">
        <x:v>22.157370621043412</x:v>
      </x:c>
      <x:c r="G25" s="48" t="n">
        <x:v>31.83767726216435</x:v>
      </x:c>
      <x:c r="H25" s="36" t="str">
        <x:v>graph reach only; no traffic, direction, bridge, control, pickup dwell, or capacity</x:v>
      </x:c>
    </x:row>
    <x:row r="26" ht="86.4000015258789" hidden="0" customHeight="1">
      <x:c r="A26" s="34" t="str">
        <x:v>M0</x:v>
      </x:c>
      <x:c r="B26" s="34" t="str">
        <x:v>slow</x:v>
      </x:c>
      <x:c r="C26" s="34" t="n">
        <x:v>96</x:v>
      </x:c>
      <x:c r="D26" s="34" t="n">
        <x:v>767</x:v>
      </x:c>
      <x:c r="E26" s="43" t="n">
        <x:v>0.6338292674093584</x:v>
      </x:c>
      <x:c r="F26" s="47" t="n">
        <x:v>21.315137978494302</x:v>
      </x:c>
      <x:c r="G26" s="47" t="n">
        <x:v>30.20458808466936</x:v>
      </x:c>
      <x:c r="H26" s="34" t="str">
        <x:v>graph reach only; no traffic, direction, bridge, control, pickup dwell, or capacity</x:v>
      </x:c>
    </x:row>
    <x:row r="27" ht="86.4000015258789" hidden="0" customHeight="1">
      <x:c r="A27" s="36" t="str">
        <x:v>M0</x:v>
      </x:c>
      <x:c r="B27" s="36" t="str">
        <x:v>slow</x:v>
      </x:c>
      <x:c r="C27" s="36" t="n">
        <x:v>120</x:v>
      </x:c>
      <x:c r="D27" s="36" t="n">
        <x:v>784</x:v>
      </x:c>
      <x:c r="E27" s="45" t="n">
        <x:v>0.6484506336117872</x:v>
      </x:c>
      <x:c r="F27" s="48" t="n">
        <x:v>21.253012301038964</x:v>
      </x:c>
      <x:c r="G27" s="48" t="n">
        <x:v>29.99569807937719</x:v>
      </x:c>
      <x:c r="H27" s="36" t="str">
        <x:v>graph reach only; no traffic, direction, bridge, control, pickup dwell, or capacity</x:v>
      </x:c>
    </x:row>
    <x:row r="28" ht="86.4000015258789" hidden="0" customHeight="1">
      <x:c r="A28" s="34" t="str">
        <x:v>M0</x:v>
      </x:c>
      <x:c r="B28" s="34" t="str">
        <x:v>slow</x:v>
      </x:c>
      <x:c r="C28" s="34" t="n">
        <x:v>168</x:v>
      </x:c>
      <x:c r="D28" s="34" t="n">
        <x:v>1108</x:v>
      </x:c>
      <x:c r="E28" s="43" t="n">
        <x:v>0.9940283755332096</x:v>
      </x:c>
      <x:c r="F28" s="47" t="n">
        <x:v>19.443176323930288</x:v>
      </x:c>
      <x:c r="G28" s="47" t="n">
        <x:v>26.136141036524194</x:v>
      </x:c>
      <x:c r="H28" s="34" t="str">
        <x:v>graph reach only; no traffic, direction, bridge, control, pickup dwell, or capacity</x:v>
      </x:c>
    </x:row>
    <x:row r="29" ht="86.4000015258789" hidden="0" customHeight="1">
      <x:c r="A29" s="36" t="str">
        <x:v>B1</x:v>
      </x:c>
      <x:c r="B29" s="36" t="str">
        <x:v>fast</x:v>
      </x:c>
      <x:c r="C29" s="36" t="n">
        <x:v>0</x:v>
      </x:c>
      <x:c r="D29" s="36" t="n">
        <x:v>530</x:v>
      </x:c>
      <x:c r="E29" s="45" t="n">
        <x:v>0.41292922072782745</x:v>
      </x:c>
      <x:c r="F29" s="48" t="n">
        <x:v>32.58432579444619</x:v>
      </x:c>
      <x:c r="G29" s="48" t="n">
        <x:v>39.758677453255196</x:v>
      </x:c>
      <x:c r="H29" s="36" t="str">
        <x:v>graph reach only; no traffic, direction, bridge, control, pickup dwell, or capacity</x:v>
      </x:c>
    </x:row>
    <x:row r="30" ht="86.4000015258789" hidden="0" customHeight="1">
      <x:c r="A30" s="34" t="str">
        <x:v>B1</x:v>
      </x:c>
      <x:c r="B30" s="34" t="str">
        <x:v>fast</x:v>
      </x:c>
      <x:c r="C30" s="34" t="n">
        <x:v>12</x:v>
      </x:c>
      <x:c r="D30" s="34" t="n">
        <x:v>531</x:v>
      </x:c>
      <x:c r="E30" s="43" t="n">
        <x:v>0.41447023803752664</x:v>
      </x:c>
      <x:c r="F30" s="47" t="n">
        <x:v>32.42000433117822</x:v>
      </x:c>
      <x:c r="G30" s="47" t="n">
        <x:v>39.54103728826101</x:v>
      </x:c>
      <x:c r="H30" s="34" t="str">
        <x:v>graph reach only; no traffic, direction, bridge, control, pickup dwell, or capacity</x:v>
      </x:c>
    </x:row>
    <x:row r="31" ht="86.4000015258789" hidden="0" customHeight="1">
      <x:c r="A31" s="36" t="str">
        <x:v>B1</x:v>
      </x:c>
      <x:c r="B31" s="36" t="str">
        <x:v>fast</x:v>
      </x:c>
      <x:c r="C31" s="36" t="n">
        <x:v>24</x:v>
      </x:c>
      <x:c r="D31" s="36" t="n">
        <x:v>552</x:v>
      </x:c>
      <x:c r="E31" s="45" t="n">
        <x:v>0.43209900499031184</x:v>
      </x:c>
      <x:c r="F31" s="48" t="n">
        <x:v>23.613180791550956</x:v>
      </x:c>
      <x:c r="G31" s="48" t="n">
        <x:v>32.744685902154885</x:v>
      </x:c>
      <x:c r="H31" s="36" t="str">
        <x:v>graph reach only; no traffic, direction, bridge, control, pickup dwell, or capacity</x:v>
      </x:c>
    </x:row>
    <x:row r="32" ht="86.4000015258789" hidden="0" customHeight="1">
      <x:c r="A32" s="34" t="str">
        <x:v>B1</x:v>
      </x:c>
      <x:c r="B32" s="34" t="str">
        <x:v>fast</x:v>
      </x:c>
      <x:c r="C32" s="34" t="n">
        <x:v>48</x:v>
      </x:c>
      <x:c r="D32" s="34" t="n">
        <x:v>773</x:v>
      </x:c>
      <x:c r="E32" s="43" t="n">
        <x:v>0.6348272356449352</x:v>
      </x:c>
      <x:c r="F32" s="47" t="n">
        <x:v>21.770021882573065</x:v>
      </x:c>
      <x:c r="G32" s="47" t="n">
        <x:v>31.14671193589331</x:v>
      </x:c>
      <x:c r="H32" s="34" t="str">
        <x:v>graph reach only; no traffic, direction, bridge, control, pickup dwell, or capacity</x:v>
      </x:c>
    </x:row>
    <x:row r="33" ht="86.4000015258789" hidden="0" customHeight="1">
      <x:c r="A33" s="36" t="str">
        <x:v>B1</x:v>
      </x:c>
      <x:c r="B33" s="36" t="str">
        <x:v>fast</x:v>
      </x:c>
      <x:c r="C33" s="36" t="n">
        <x:v>72</x:v>
      </x:c>
      <x:c r="D33" s="36" t="n">
        <x:v>1108</x:v>
      </x:c>
      <x:c r="E33" s="45" t="n">
        <x:v>0.9940283755332096</x:v>
      </x:c>
      <x:c r="F33" s="48" t="n">
        <x:v>20.718283194616234</x:v>
      </x:c>
      <x:c r="G33" s="48" t="n">
        <x:v>29.675033459111802</x:v>
      </x:c>
      <x:c r="H33" s="36" t="str">
        <x:v>graph reach only; no traffic, direction, bridge, control, pickup dwell, or capacity</x:v>
      </x:c>
    </x:row>
    <x:row r="34" ht="86.4000015258789" hidden="0" customHeight="1">
      <x:c r="A34" s="34" t="str">
        <x:v>B1</x:v>
      </x:c>
      <x:c r="B34" s="34" t="str">
        <x:v>fast</x:v>
      </x:c>
      <x:c r="C34" s="34" t="n">
        <x:v>96</x:v>
      </x:c>
      <x:c r="D34" s="34" t="n">
        <x:v>1109</x:v>
      </x:c>
      <x:c r="E34" s="43" t="n">
        <x:v>0.995403465091386</x:v>
      </x:c>
      <x:c r="F34" s="47" t="n">
        <x:v>20.726925025059607</x:v>
      </x:c>
      <x:c r="G34" s="47" t="n">
        <x:v>29.66645122758093</x:v>
      </x:c>
      <x:c r="H34" s="34" t="str">
        <x:v>graph reach only; no traffic, direction, bridge, control, pickup dwell, or capacity</x:v>
      </x:c>
    </x:row>
    <x:row r="35" ht="86.4000015258789" hidden="0" customHeight="1">
      <x:c r="A35" s="36" t="str">
        <x:v>B1</x:v>
      </x:c>
      <x:c r="B35" s="36" t="str">
        <x:v>fast</x:v>
      </x:c>
      <x:c r="C35" s="36" t="n">
        <x:v>120</x:v>
      </x:c>
      <x:c r="D35" s="36" t="n">
        <x:v>1109</x:v>
      </x:c>
      <x:c r="E35" s="45" t="n">
        <x:v>0.995403465091386</x:v>
      </x:c>
      <x:c r="F35" s="48" t="n">
        <x:v>20.726925025059607</x:v>
      </x:c>
      <x:c r="G35" s="48" t="n">
        <x:v>29.66645122758093</x:v>
      </x:c>
      <x:c r="H35" s="36" t="str">
        <x:v>graph reach only; no traffic, direction, bridge, control, pickup dwell, or capacity</x:v>
      </x:c>
    </x:row>
    <x:row r="36" ht="86.4000015258789" hidden="0" customHeight="1">
      <x:c r="A36" s="34" t="str">
        <x:v>B1</x:v>
      </x:c>
      <x:c r="B36" s="34" t="str">
        <x:v>fast</x:v>
      </x:c>
      <x:c r="C36" s="34" t="n">
        <x:v>168</x:v>
      </x:c>
      <x:c r="D36" s="34" t="n">
        <x:v>1109</x:v>
      </x:c>
      <x:c r="E36" s="43" t="n">
        <x:v>0.995403465091386</x:v>
      </x:c>
      <x:c r="F36" s="47" t="n">
        <x:v>20.726925025059607</x:v>
      </x:c>
      <x:c r="G36" s="47" t="n">
        <x:v>29.66645122758093</x:v>
      </x:c>
      <x:c r="H36" s="34" t="str">
        <x:v>graph reach only; no traffic, direction, bridge, control, pickup dwell, or capacity</x:v>
      </x:c>
    </x:row>
    <x:row r="37" ht="86.4000015258789" hidden="0" customHeight="1">
      <x:c r="A37" s="36" t="str">
        <x:v>B1</x:v>
      </x:c>
      <x:c r="B37" s="36" t="str">
        <x:v>reference</x:v>
      </x:c>
      <x:c r="C37" s="36" t="n">
        <x:v>0</x:v>
      </x:c>
      <x:c r="D37" s="36" t="n">
        <x:v>530</x:v>
      </x:c>
      <x:c r="E37" s="45" t="n">
        <x:v>0.41292922072782745</x:v>
      </x:c>
      <x:c r="F37" s="48" t="n">
        <x:v>32.58432579444619</x:v>
      </x:c>
      <x:c r="G37" s="48" t="n">
        <x:v>39.758677453255196</x:v>
      </x:c>
      <x:c r="H37" s="36" t="str">
        <x:v>graph reach only; no traffic, direction, bridge, control, pickup dwell, or capacity</x:v>
      </x:c>
    </x:row>
    <x:row r="38" ht="86.4000015258789" hidden="0" customHeight="1">
      <x:c r="A38" s="34" t="str">
        <x:v>B1</x:v>
      </x:c>
      <x:c r="B38" s="34" t="str">
        <x:v>reference</x:v>
      </x:c>
      <x:c r="C38" s="34" t="n">
        <x:v>12</x:v>
      </x:c>
      <x:c r="D38" s="34" t="n">
        <x:v>530</x:v>
      </x:c>
      <x:c r="E38" s="43" t="n">
        <x:v>0.41292922072782745</x:v>
      </x:c>
      <x:c r="F38" s="47" t="n">
        <x:v>32.404790909109465</x:v>
      </x:c>
      <x:c r="G38" s="47" t="n">
        <x:v>39.758677453255196</x:v>
      </x:c>
      <x:c r="H38" s="34" t="str">
        <x:v>graph reach only; no traffic, direction, bridge, control, pickup dwell, or capacity</x:v>
      </x:c>
    </x:row>
    <x:row r="39" ht="86.4000015258789" hidden="0" customHeight="1">
      <x:c r="A39" s="36" t="str">
        <x:v>B1</x:v>
      </x:c>
      <x:c r="B39" s="36" t="str">
        <x:v>reference</x:v>
      </x:c>
      <x:c r="C39" s="36" t="n">
        <x:v>24</x:v>
      </x:c>
      <x:c r="D39" s="36" t="n">
        <x:v>534</x:v>
      </x:c>
      <x:c r="E39" s="45" t="n">
        <x:v>0.4181108719985699</x:v>
      </x:c>
      <x:c r="F39" s="48" t="n">
        <x:v>32.128716003174574</x:v>
      </x:c>
      <x:c r="G39" s="48" t="n">
        <x:v>39.37362586213864</x:v>
      </x:c>
      <x:c r="H39" s="36" t="str">
        <x:v>graph reach only; no traffic, direction, bridge, control, pickup dwell, or capacity</x:v>
      </x:c>
    </x:row>
    <x:row r="40" ht="86.4000015258789" hidden="0" customHeight="1">
      <x:c r="A40" s="34" t="str">
        <x:v>B1</x:v>
      </x:c>
      <x:c r="B40" s="34" t="str">
        <x:v>reference</x:v>
      </x:c>
      <x:c r="C40" s="34" t="n">
        <x:v>48</x:v>
      </x:c>
      <x:c r="D40" s="34" t="n">
        <x:v>644</x:v>
      </x:c>
      <x:c r="E40" s="43" t="n">
        <x:v>0.5133274549350642</x:v>
      </x:c>
      <x:c r="F40" s="47" t="n">
        <x:v>22.40120739201263</x:v>
      </x:c>
      <x:c r="G40" s="47" t="n">
        <x:v>32.56947645212335</x:v>
      </x:c>
      <x:c r="H40" s="34" t="str">
        <x:v>graph reach only; no traffic, direction, bridge, control, pickup dwell, or capacity</x:v>
      </x:c>
    </x:row>
    <x:row r="41" ht="86.4000015258789" hidden="0" customHeight="1">
      <x:c r="A41" s="36" t="str">
        <x:v>B1</x:v>
      </x:c>
      <x:c r="B41" s="36" t="str">
        <x:v>reference</x:v>
      </x:c>
      <x:c r="C41" s="36" t="n">
        <x:v>72</x:v>
      </x:c>
      <x:c r="D41" s="36" t="n">
        <x:v>766</x:v>
      </x:c>
      <x:c r="E41" s="45" t="n">
        <x:v>0.6299292394521192</x:v>
      </x:c>
      <x:c r="F41" s="48" t="n">
        <x:v>21.923032674621588</x:v>
      </x:c>
      <x:c r="G41" s="48" t="n">
        <x:v>31.164729314901045</x:v>
      </x:c>
      <x:c r="H41" s="36" t="str">
        <x:v>graph reach only; no traffic, direction, bridge, control, pickup dwell, or capacity</x:v>
      </x:c>
    </x:row>
    <x:row r="42" ht="86.4000015258789" hidden="0" customHeight="1">
      <x:c r="A42" s="34" t="str">
        <x:v>B1</x:v>
      </x:c>
      <x:c r="B42" s="34" t="str">
        <x:v>reference</x:v>
      </x:c>
      <x:c r="C42" s="34" t="n">
        <x:v>96</x:v>
      </x:c>
      <x:c r="D42" s="34" t="n">
        <x:v>868</x:v>
      </x:c>
      <x:c r="E42" s="43" t="n">
        <x:v>0.7302803421344648</x:v>
      </x:c>
      <x:c r="F42" s="47" t="n">
        <x:v>21.58989392090174</x:v>
      </x:c>
      <x:c r="G42" s="47" t="n">
        <x:v>30.815395292969747</x:v>
      </x:c>
      <x:c r="H42" s="34" t="str">
        <x:v>graph reach only; no traffic, direction, bridge, control, pickup dwell, or capacity</x:v>
      </x:c>
    </x:row>
    <x:row r="43" ht="86.4000015258789" hidden="0" customHeight="1">
      <x:c r="A43" s="36" t="str">
        <x:v>B1</x:v>
      </x:c>
      <x:c r="B43" s="36" t="str">
        <x:v>reference</x:v>
      </x:c>
      <x:c r="C43" s="36" t="n">
        <x:v>120</x:v>
      </x:c>
      <x:c r="D43" s="36" t="n">
        <x:v>1109</x:v>
      </x:c>
      <x:c r="E43" s="45" t="n">
        <x:v>0.995403465091386</x:v>
      </x:c>
      <x:c r="F43" s="48" t="n">
        <x:v>20.726925025059607</x:v>
      </x:c>
      <x:c r="G43" s="48" t="n">
        <x:v>29.66645122758093</x:v>
      </x:c>
      <x:c r="H43" s="36" t="str">
        <x:v>graph reach only; no traffic, direction, bridge, control, pickup dwell, or capacity</x:v>
      </x:c>
    </x:row>
    <x:row r="44" ht="86.4000015258789" hidden="0" customHeight="1">
      <x:c r="A44" s="34" t="str">
        <x:v>B1</x:v>
      </x:c>
      <x:c r="B44" s="34" t="str">
        <x:v>reference</x:v>
      </x:c>
      <x:c r="C44" s="34" t="n">
        <x:v>168</x:v>
      </x:c>
      <x:c r="D44" s="34" t="n">
        <x:v>1109</x:v>
      </x:c>
      <x:c r="E44" s="43" t="n">
        <x:v>0.995403465091386</x:v>
      </x:c>
      <x:c r="F44" s="47" t="n">
        <x:v>20.726925025059607</x:v>
      </x:c>
      <x:c r="G44" s="47" t="n">
        <x:v>29.66645122758093</x:v>
      </x:c>
      <x:c r="H44" s="34" t="str">
        <x:v>graph reach only; no traffic, direction, bridge, control, pickup dwell, or capacity</x:v>
      </x:c>
    </x:row>
    <x:row r="45" ht="86.4000015258789" hidden="0" customHeight="1">
      <x:c r="A45" s="36" t="str">
        <x:v>B1</x:v>
      </x:c>
      <x:c r="B45" s="36" t="str">
        <x:v>slow</x:v>
      </x:c>
      <x:c r="C45" s="36" t="n">
        <x:v>0</x:v>
      </x:c>
      <x:c r="D45" s="36" t="n">
        <x:v>530</x:v>
      </x:c>
      <x:c r="E45" s="45" t="n">
        <x:v>0.41292922072782745</x:v>
      </x:c>
      <x:c r="F45" s="48" t="n">
        <x:v>32.58432579444619</x:v>
      </x:c>
      <x:c r="G45" s="48" t="n">
        <x:v>39.758677453255196</x:v>
      </x:c>
      <x:c r="H45" s="36" t="str">
        <x:v>graph reach only; no traffic, direction, bridge, control, pickup dwell, or capacity</x:v>
      </x:c>
    </x:row>
    <x:row r="46" ht="86.4000015258789" hidden="0" customHeight="1">
      <x:c r="A46" s="34" t="str">
        <x:v>B1</x:v>
      </x:c>
      <x:c r="B46" s="34" t="str">
        <x:v>slow</x:v>
      </x:c>
      <x:c r="C46" s="34" t="n">
        <x:v>12</x:v>
      </x:c>
      <x:c r="D46" s="34" t="n">
        <x:v>530</x:v>
      </x:c>
      <x:c r="E46" s="43" t="n">
        <x:v>0.41292922072782745</x:v>
      </x:c>
      <x:c r="F46" s="47" t="n">
        <x:v>32.58432579444619</x:v>
      </x:c>
      <x:c r="G46" s="47" t="n">
        <x:v>39.758677453255196</x:v>
      </x:c>
      <x:c r="H46" s="34" t="str">
        <x:v>graph reach only; no traffic, direction, bridge, control, pickup dwell, or capacity</x:v>
      </x:c>
    </x:row>
    <x:row r="47" ht="86.4000015258789" hidden="0" customHeight="1">
      <x:c r="A47" s="36" t="str">
        <x:v>B1</x:v>
      </x:c>
      <x:c r="B47" s="36" t="str">
        <x:v>slow</x:v>
      </x:c>
      <x:c r="C47" s="36" t="n">
        <x:v>24</x:v>
      </x:c>
      <x:c r="D47" s="36" t="n">
        <x:v>530</x:v>
      </x:c>
      <x:c r="E47" s="45" t="n">
        <x:v>0.41292922072782745</x:v>
      </x:c>
      <x:c r="F47" s="48" t="n">
        <x:v>32.399674262336916</x:v>
      </x:c>
      <x:c r="G47" s="48" t="n">
        <x:v>39.75861167324036</x:v>
      </x:c>
      <x:c r="H47" s="36" t="str">
        <x:v>graph reach only; no traffic, direction, bridge, control, pickup dwell, or capacity</x:v>
      </x:c>
    </x:row>
    <x:row r="48" ht="86.4000015258789" hidden="0" customHeight="1">
      <x:c r="A48" s="34" t="str">
        <x:v>B1</x:v>
      </x:c>
      <x:c r="B48" s="34" t="str">
        <x:v>slow</x:v>
      </x:c>
      <x:c r="C48" s="34" t="n">
        <x:v>48</x:v>
      </x:c>
      <x:c r="D48" s="34" t="n">
        <x:v>534</x:v>
      </x:c>
      <x:c r="E48" s="43" t="n">
        <x:v>0.4181108719985699</x:v>
      </x:c>
      <x:c r="F48" s="47" t="n">
        <x:v>31.96484721754879</x:v>
      </x:c>
      <x:c r="G48" s="47" t="n">
        <x:v>39.37362586213864</x:v>
      </x:c>
      <x:c r="H48" s="34" t="str">
        <x:v>graph reach only; no traffic, direction, bridge, control, pickup dwell, or capacity</x:v>
      </x:c>
    </x:row>
    <x:row r="49" ht="86.4000015258789" hidden="0" customHeight="1">
      <x:c r="A49" s="36" t="str">
        <x:v>B1</x:v>
      </x:c>
      <x:c r="B49" s="36" t="str">
        <x:v>slow</x:v>
      </x:c>
      <x:c r="C49" s="36" t="n">
        <x:v>72</x:v>
      </x:c>
      <x:c r="D49" s="36" t="n">
        <x:v>610</x:v>
      </x:c>
      <x:c r="E49" s="45" t="n">
        <x:v>0.48160861169466873</x:v>
      </x:c>
      <x:c r="F49" s="48" t="n">
        <x:v>22.654355358968314</x:v>
      </x:c>
      <x:c r="G49" s="48" t="n">
        <x:v>32.73463703372067</x:v>
      </x:c>
      <x:c r="H49" s="36" t="str">
        <x:v>graph reach only; no traffic, direction, bridge, control, pickup dwell, or capacity</x:v>
      </x:c>
    </x:row>
    <x:row r="50" ht="86.4000015258789" hidden="0" customHeight="1">
      <x:c r="A50" s="34" t="str">
        <x:v>B1</x:v>
      </x:c>
      <x:c r="B50" s="34" t="str">
        <x:v>slow</x:v>
      </x:c>
      <x:c r="C50" s="34" t="n">
        <x:v>96</x:v>
      </x:c>
      <x:c r="D50" s="34" t="n">
        <x:v>766</x:v>
      </x:c>
      <x:c r="E50" s="43" t="n">
        <x:v>0.6299292394521192</x:v>
      </x:c>
      <x:c r="F50" s="47" t="n">
        <x:v>21.970255260207153</x:v>
      </x:c>
      <x:c r="G50" s="47" t="n">
        <x:v>31.164729314901045</x:v>
      </x:c>
      <x:c r="H50" s="34" t="str">
        <x:v>graph reach only; no traffic, direction, bridge, control, pickup dwell, or capacity</x:v>
      </x:c>
    </x:row>
    <x:row r="51" ht="86.4000015258789" hidden="0" customHeight="1">
      <x:c r="A51" s="36" t="str">
        <x:v>B1</x:v>
      </x:c>
      <x:c r="B51" s="36" t="str">
        <x:v>slow</x:v>
      </x:c>
      <x:c r="C51" s="36" t="n">
        <x:v>120</x:v>
      </x:c>
      <x:c r="D51" s="36" t="n">
        <x:v>783</x:v>
      </x:c>
      <x:c r="E51" s="45" t="n">
        <x:v>0.6445506056545478</x:v>
      </x:c>
      <x:c r="F51" s="48" t="n">
        <x:v>21.73797462837796</x:v>
      </x:c>
      <x:c r="G51" s="48" t="n">
        <x:v>31.142154179819986</x:v>
      </x:c>
      <x:c r="H51" s="36" t="str">
        <x:v>graph reach only; no traffic, direction, bridge, control, pickup dwell, or capacity</x:v>
      </x:c>
    </x:row>
    <x:row r="52" ht="86.4000015258789" hidden="0" customHeight="1">
      <x:c r="A52" s="34" t="str">
        <x:v>B1</x:v>
      </x:c>
      <x:c r="B52" s="34" t="str">
        <x:v>slow</x:v>
      </x:c>
      <x:c r="C52" s="34" t="n">
        <x:v>168</x:v>
      </x:c>
      <x:c r="D52" s="34" t="n">
        <x:v>1108</x:v>
      </x:c>
      <x:c r="E52" s="43" t="n">
        <x:v>0.9940283755332096</x:v>
      </x:c>
      <x:c r="F52" s="47" t="n">
        <x:v>20.718283194616234</x:v>
      </x:c>
      <x:c r="G52" s="47" t="n">
        <x:v>29.675033459111802</x:v>
      </x:c>
      <x:c r="H52" s="34" t="str">
        <x:v>graph reach only; no traffic, direction, bridge, control, pickup dwell, or capacity</x:v>
      </x:c>
    </x:row>
    <x:row r="53" ht="86.4000015258789" hidden="0" customHeight="1">
      <x:c r="A53" s="36" t="str">
        <x:v>P2</x:v>
      </x:c>
      <x:c r="B53" s="36" t="str">
        <x:v>fast</x:v>
      </x:c>
      <x:c r="C53" s="36" t="n">
        <x:v>0</x:v>
      </x:c>
      <x:c r="D53" s="36" t="n">
        <x:v>530</x:v>
      </x:c>
      <x:c r="E53" s="45" t="n">
        <x:v>0.41292922072782745</x:v>
      </x:c>
      <x:c r="F53" s="48" t="n">
        <x:v>33.09268472801553</x:v>
      </x:c>
      <x:c r="G53" s="48" t="n">
        <x:v>40.54351163204451</x:v>
      </x:c>
      <x:c r="H53" s="36" t="str">
        <x:v>graph reach only; no traffic, direction, bridge, control, pickup dwell, or capacity</x:v>
      </x:c>
    </x:row>
    <x:row r="54" ht="86.4000015258789" hidden="0" customHeight="1">
      <x:c r="A54" s="34" t="str">
        <x:v>P2</x:v>
      </x:c>
      <x:c r="B54" s="34" t="str">
        <x:v>fast</x:v>
      </x:c>
      <x:c r="C54" s="34" t="n">
        <x:v>12</x:v>
      </x:c>
      <x:c r="D54" s="34" t="n">
        <x:v>531</x:v>
      </x:c>
      <x:c r="E54" s="43" t="n">
        <x:v>0.41447023803752664</x:v>
      </x:c>
      <x:c r="F54" s="47" t="n">
        <x:v>32.91789129618361</x:v>
      </x:c>
      <x:c r="G54" s="47" t="n">
        <x:v>40.256599350773946</x:v>
      </x:c>
      <x:c r="H54" s="34" t="str">
        <x:v>graph reach only; no traffic, direction, bridge, control, pickup dwell, or capacity</x:v>
      </x:c>
    </x:row>
    <x:row r="55" ht="86.4000015258789" hidden="0" customHeight="1">
      <x:c r="A55" s="36" t="str">
        <x:v>P2</x:v>
      </x:c>
      <x:c r="B55" s="36" t="str">
        <x:v>fast</x:v>
      </x:c>
      <x:c r="C55" s="36" t="n">
        <x:v>24</x:v>
      </x:c>
      <x:c r="D55" s="36" t="n">
        <x:v>552</x:v>
      </x:c>
      <x:c r="E55" s="45" t="n">
        <x:v>0.43209900499031184</x:v>
      </x:c>
      <x:c r="F55" s="48" t="n">
        <x:v>23.759975765114795</x:v>
      </x:c>
      <x:c r="G55" s="48" t="n">
        <x:v>34.905304583314276</x:v>
      </x:c>
      <x:c r="H55" s="36" t="str">
        <x:v>graph reach only; no traffic, direction, bridge, control, pickup dwell, or capacity</x:v>
      </x:c>
    </x:row>
    <x:row r="56" ht="86.4000015258789" hidden="0" customHeight="1">
      <x:c r="A56" s="34" t="str">
        <x:v>P2</x:v>
      </x:c>
      <x:c r="B56" s="34" t="str">
        <x:v>fast</x:v>
      </x:c>
      <x:c r="C56" s="34" t="n">
        <x:v>48</x:v>
      </x:c>
      <x:c r="D56" s="34" t="n">
        <x:v>773</x:v>
      </x:c>
      <x:c r="E56" s="43" t="n">
        <x:v>0.6348272356449352</x:v>
      </x:c>
      <x:c r="F56" s="47" t="n">
        <x:v>22.036986976792274</x:v>
      </x:c>
      <x:c r="G56" s="47" t="n">
        <x:v>32.4871334189541</x:v>
      </x:c>
      <x:c r="H56" s="34" t="str">
        <x:v>graph reach only; no traffic, direction, bridge, control, pickup dwell, or capacity</x:v>
      </x:c>
    </x:row>
    <x:row r="57" ht="86.4000015258789" hidden="0" customHeight="1">
      <x:c r="A57" s="36" t="str">
        <x:v>P2</x:v>
      </x:c>
      <x:c r="B57" s="36" t="str">
        <x:v>fast</x:v>
      </x:c>
      <x:c r="C57" s="36" t="n">
        <x:v>72</x:v>
      </x:c>
      <x:c r="D57" s="36" t="n">
        <x:v>1108</x:v>
      </x:c>
      <x:c r="E57" s="45" t="n">
        <x:v>0.9940283755332096</x:v>
      </x:c>
      <x:c r="F57" s="48" t="n">
        <x:v>20.7884461059635</x:v>
      </x:c>
      <x:c r="G57" s="48" t="n">
        <x:v>30.472241775132552</x:v>
      </x:c>
      <x:c r="H57" s="36" t="str">
        <x:v>graph reach only; no traffic, direction, bridge, control, pickup dwell, or capacity</x:v>
      </x:c>
    </x:row>
    <x:row r="58" ht="86.4000015258789" hidden="0" customHeight="1">
      <x:c r="A58" s="34" t="str">
        <x:v>P2</x:v>
      </x:c>
      <x:c r="B58" s="34" t="str">
        <x:v>fast</x:v>
      </x:c>
      <x:c r="C58" s="34" t="n">
        <x:v>96</x:v>
      </x:c>
      <x:c r="D58" s="34" t="n">
        <x:v>1109</x:v>
      </x:c>
      <x:c r="E58" s="43" t="n">
        <x:v>0.995403465091386</x:v>
      </x:c>
      <x:c r="F58" s="47" t="n">
        <x:v>20.808337942519827</x:v>
      </x:c>
      <x:c r="G58" s="47" t="n">
        <x:v>30.47011447406474</x:v>
      </x:c>
      <x:c r="H58" s="34" t="str">
        <x:v>graph reach only; no traffic, direction, bridge, control, pickup dwell, or capacity</x:v>
      </x:c>
    </x:row>
    <x:row r="59" ht="86.4000015258789" hidden="0" customHeight="1">
      <x:c r="A59" s="36" t="str">
        <x:v>P2</x:v>
      </x:c>
      <x:c r="B59" s="36" t="str">
        <x:v>fast</x:v>
      </x:c>
      <x:c r="C59" s="36" t="n">
        <x:v>120</x:v>
      </x:c>
      <x:c r="D59" s="36" t="n">
        <x:v>1109</x:v>
      </x:c>
      <x:c r="E59" s="45" t="n">
        <x:v>0.995403465091386</x:v>
      </x:c>
      <x:c r="F59" s="48" t="n">
        <x:v>20.808337942519827</x:v>
      </x:c>
      <x:c r="G59" s="48" t="n">
        <x:v>30.47011447406474</x:v>
      </x:c>
      <x:c r="H59" s="36" t="str">
        <x:v>graph reach only; no traffic, direction, bridge, control, pickup dwell, or capacity</x:v>
      </x:c>
    </x:row>
    <x:row r="60" ht="86.4000015258789" hidden="0" customHeight="1">
      <x:c r="A60" s="34" t="str">
        <x:v>P2</x:v>
      </x:c>
      <x:c r="B60" s="34" t="str">
        <x:v>fast</x:v>
      </x:c>
      <x:c r="C60" s="34" t="n">
        <x:v>168</x:v>
      </x:c>
      <x:c r="D60" s="34" t="n">
        <x:v>1109</x:v>
      </x:c>
      <x:c r="E60" s="43" t="n">
        <x:v>0.995403465091386</x:v>
      </x:c>
      <x:c r="F60" s="47" t="n">
        <x:v>20.808337942519827</x:v>
      </x:c>
      <x:c r="G60" s="47" t="n">
        <x:v>30.47011447406474</x:v>
      </x:c>
      <x:c r="H60" s="34" t="str">
        <x:v>graph reach only; no traffic, direction, bridge, control, pickup dwell, or capacity</x:v>
      </x:c>
    </x:row>
    <x:row r="61" ht="86.4000015258789" hidden="0" customHeight="1">
      <x:c r="A61" s="36" t="str">
        <x:v>P2</x:v>
      </x:c>
      <x:c r="B61" s="36" t="str">
        <x:v>reference</x:v>
      </x:c>
      <x:c r="C61" s="36" t="n">
        <x:v>0</x:v>
      </x:c>
      <x:c r="D61" s="36" t="n">
        <x:v>530</x:v>
      </x:c>
      <x:c r="E61" s="45" t="n">
        <x:v>0.41292922072782745</x:v>
      </x:c>
      <x:c r="F61" s="48" t="n">
        <x:v>33.09268472801553</x:v>
      </x:c>
      <x:c r="G61" s="48" t="n">
        <x:v>40.54351163204451</x:v>
      </x:c>
      <x:c r="H61" s="36" t="str">
        <x:v>graph reach only; no traffic, direction, bridge, control, pickup dwell, or capacity</x:v>
      </x:c>
    </x:row>
    <x:row r="62" ht="86.4000015258789" hidden="0" customHeight="1">
      <x:c r="A62" s="34" t="str">
        <x:v>P2</x:v>
      </x:c>
      <x:c r="B62" s="34" t="str">
        <x:v>reference</x:v>
      </x:c>
      <x:c r="C62" s="34" t="n">
        <x:v>12</x:v>
      </x:c>
      <x:c r="D62" s="34" t="n">
        <x:v>530</x:v>
      </x:c>
      <x:c r="E62" s="43" t="n">
        <x:v>0.41292922072782745</x:v>
      </x:c>
      <x:c r="F62" s="47" t="n">
        <x:v>32.91159540278198</x:v>
      </x:c>
      <x:c r="G62" s="47" t="n">
        <x:v>40.54351163204451</x:v>
      </x:c>
      <x:c r="H62" s="34" t="str">
        <x:v>graph reach only; no traffic, direction, bridge, control, pickup dwell, or capacity</x:v>
      </x:c>
    </x:row>
    <x:row r="63" ht="86.4000015258789" hidden="0" customHeight="1">
      <x:c r="A63" s="36" t="str">
        <x:v>P2</x:v>
      </x:c>
      <x:c r="B63" s="36" t="str">
        <x:v>reference</x:v>
      </x:c>
      <x:c r="C63" s="36" t="n">
        <x:v>24</x:v>
      </x:c>
      <x:c r="D63" s="36" t="n">
        <x:v>534</x:v>
      </x:c>
      <x:c r="E63" s="45" t="n">
        <x:v>0.4181108719985699</x:v>
      </x:c>
      <x:c r="F63" s="48" t="n">
        <x:v>32.62859086182085</x:v>
      </x:c>
      <x:c r="G63" s="48" t="n">
        <x:v>40.160533276175656</x:v>
      </x:c>
      <x:c r="H63" s="36" t="str">
        <x:v>graph reach only; no traffic, direction, bridge, control, pickup dwell, or capacity</x:v>
      </x:c>
    </x:row>
    <x:row r="64" ht="86.4000015258789" hidden="0" customHeight="1">
      <x:c r="A64" s="34" t="str">
        <x:v>P2</x:v>
      </x:c>
      <x:c r="B64" s="34" t="str">
        <x:v>reference</x:v>
      </x:c>
      <x:c r="C64" s="34" t="n">
        <x:v>48</x:v>
      </x:c>
      <x:c r="D64" s="34" t="n">
        <x:v>644</x:v>
      </x:c>
      <x:c r="E64" s="43" t="n">
        <x:v>0.5133274549350642</x:v>
      </x:c>
      <x:c r="F64" s="47" t="n">
        <x:v>22.455630516836152</x:v>
      </x:c>
      <x:c r="G64" s="47" t="n">
        <x:v>34.143065000069534</x:v>
      </x:c>
      <x:c r="H64" s="34" t="str">
        <x:v>graph reach only; no traffic, direction, bridge, control, pickup dwell, or capacity</x:v>
      </x:c>
    </x:row>
    <x:row r="65" ht="86.4000015258789" hidden="0" customHeight="1">
      <x:c r="A65" s="36" t="str">
        <x:v>P2</x:v>
      </x:c>
      <x:c r="B65" s="36" t="str">
        <x:v>reference</x:v>
      </x:c>
      <x:c r="C65" s="36" t="n">
        <x:v>72</x:v>
      </x:c>
      <x:c r="D65" s="36" t="n">
        <x:v>766</x:v>
      </x:c>
      <x:c r="E65" s="45" t="n">
        <x:v>0.6299292394521192</x:v>
      </x:c>
      <x:c r="F65" s="48" t="n">
        <x:v>22.089973652853978</x:v>
      </x:c>
      <x:c r="G65" s="48" t="n">
        <x:v>32.49209812548969</x:v>
      </x:c>
      <x:c r="H65" s="36" t="str">
        <x:v>graph reach only; no traffic, direction, bridge, control, pickup dwell, or capacity</x:v>
      </x:c>
    </x:row>
    <x:row r="66" ht="86.4000015258789" hidden="0" customHeight="1">
      <x:c r="A66" s="34" t="str">
        <x:v>P2</x:v>
      </x:c>
      <x:c r="B66" s="34" t="str">
        <x:v>reference</x:v>
      </x:c>
      <x:c r="C66" s="34" t="n">
        <x:v>96</x:v>
      </x:c>
      <x:c r="D66" s="34" t="n">
        <x:v>868</x:v>
      </x:c>
      <x:c r="E66" s="43" t="n">
        <x:v>0.7302803421344648</x:v>
      </x:c>
      <x:c r="F66" s="47" t="n">
        <x:v>21.63572293722216</x:v>
      </x:c>
      <x:c r="G66" s="47" t="n">
        <x:v>32.15959299301056</x:v>
      </x:c>
      <x:c r="H66" s="34" t="str">
        <x:v>graph reach only; no traffic, direction, bridge, control, pickup dwell, or capacity</x:v>
      </x:c>
    </x:row>
    <x:row r="67" ht="86.4000015258789" hidden="0" customHeight="1">
      <x:c r="A67" s="36" t="str">
        <x:v>P2</x:v>
      </x:c>
      <x:c r="B67" s="36" t="str">
        <x:v>reference</x:v>
      </x:c>
      <x:c r="C67" s="36" t="n">
        <x:v>120</x:v>
      </x:c>
      <x:c r="D67" s="36" t="n">
        <x:v>1109</x:v>
      </x:c>
      <x:c r="E67" s="45" t="n">
        <x:v>0.995403465091386</x:v>
      </x:c>
      <x:c r="F67" s="48" t="n">
        <x:v>20.808337942519827</x:v>
      </x:c>
      <x:c r="G67" s="48" t="n">
        <x:v>30.47011447406474</x:v>
      </x:c>
      <x:c r="H67" s="36" t="str">
        <x:v>graph reach only; no traffic, direction, bridge, control, pickup dwell, or capacity</x:v>
      </x:c>
    </x:row>
    <x:row r="68" ht="86.4000015258789" hidden="0" customHeight="1">
      <x:c r="A68" s="34" t="str">
        <x:v>P2</x:v>
      </x:c>
      <x:c r="B68" s="34" t="str">
        <x:v>reference</x:v>
      </x:c>
      <x:c r="C68" s="34" t="n">
        <x:v>168</x:v>
      </x:c>
      <x:c r="D68" s="34" t="n">
        <x:v>1109</x:v>
      </x:c>
      <x:c r="E68" s="43" t="n">
        <x:v>0.995403465091386</x:v>
      </x:c>
      <x:c r="F68" s="47" t="n">
        <x:v>20.808337942519827</x:v>
      </x:c>
      <x:c r="G68" s="47" t="n">
        <x:v>30.47011447406474</x:v>
      </x:c>
      <x:c r="H68" s="34" t="str">
        <x:v>graph reach only; no traffic, direction, bridge, control, pickup dwell, or capacity</x:v>
      </x:c>
    </x:row>
    <x:row r="69" ht="86.4000015258789" hidden="0" customHeight="1">
      <x:c r="A69" s="36" t="str">
        <x:v>P2</x:v>
      </x:c>
      <x:c r="B69" s="36" t="str">
        <x:v>slow</x:v>
      </x:c>
      <x:c r="C69" s="36" t="n">
        <x:v>0</x:v>
      </x:c>
      <x:c r="D69" s="36" t="n">
        <x:v>530</x:v>
      </x:c>
      <x:c r="E69" s="45" t="n">
        <x:v>0.41292922072782745</x:v>
      </x:c>
      <x:c r="F69" s="48" t="n">
        <x:v>33.09268472801553</x:v>
      </x:c>
      <x:c r="G69" s="48" t="n">
        <x:v>40.54351163204451</x:v>
      </x:c>
      <x:c r="H69" s="36" t="str">
        <x:v>graph reach only; no traffic, direction, bridge, control, pickup dwell, or capacity</x:v>
      </x:c>
    </x:row>
    <x:row r="70" ht="86.4000015258789" hidden="0" customHeight="1">
      <x:c r="A70" s="34" t="str">
        <x:v>P2</x:v>
      </x:c>
      <x:c r="B70" s="34" t="str">
        <x:v>slow</x:v>
      </x:c>
      <x:c r="C70" s="34" t="n">
        <x:v>12</x:v>
      </x:c>
      <x:c r="D70" s="34" t="n">
        <x:v>530</x:v>
      </x:c>
      <x:c r="E70" s="43" t="n">
        <x:v>0.41292922072782745</x:v>
      </x:c>
      <x:c r="F70" s="47" t="n">
        <x:v>33.09268472801553</x:v>
      </x:c>
      <x:c r="G70" s="47" t="n">
        <x:v>40.54351163204451</x:v>
      </x:c>
      <x:c r="H70" s="34" t="str">
        <x:v>graph reach only; no traffic, direction, bridge, control, pickup dwell, or capacity</x:v>
      </x:c>
    </x:row>
    <x:row r="71" ht="86.4000015258789" hidden="0" customHeight="1">
      <x:c r="A71" s="36" t="str">
        <x:v>P2</x:v>
      </x:c>
      <x:c r="B71" s="36" t="str">
        <x:v>slow</x:v>
      </x:c>
      <x:c r="C71" s="36" t="n">
        <x:v>24</x:v>
      </x:c>
      <x:c r="D71" s="36" t="n">
        <x:v>530</x:v>
      </x:c>
      <x:c r="E71" s="45" t="n">
        <x:v>0.41292922072782745</x:v>
      </x:c>
      <x:c r="F71" s="48" t="n">
        <x:v>32.91159540278198</x:v>
      </x:c>
      <x:c r="G71" s="48" t="n">
        <x:v>40.54351163204451</x:v>
      </x:c>
      <x:c r="H71" s="36" t="str">
        <x:v>graph reach only; no traffic, direction, bridge, control, pickup dwell, or capacity</x:v>
      </x:c>
    </x:row>
    <x:row r="72" ht="86.4000015258789" hidden="0" customHeight="1">
      <x:c r="A72" s="34" t="str">
        <x:v>P2</x:v>
      </x:c>
      <x:c r="B72" s="34" t="str">
        <x:v>slow</x:v>
      </x:c>
      <x:c r="C72" s="34" t="n">
        <x:v>48</x:v>
      </x:c>
      <x:c r="D72" s="34" t="n">
        <x:v>534</x:v>
      </x:c>
      <x:c r="E72" s="43" t="n">
        <x:v>0.4181108719985699</x:v>
      </x:c>
      <x:c r="F72" s="47" t="n">
        <x:v>32.43591826079542</x:v>
      </x:c>
      <x:c r="G72" s="47" t="n">
        <x:v>40.160533276175656</x:v>
      </x:c>
      <x:c r="H72" s="34" t="str">
        <x:v>graph reach only; no traffic, direction, bridge, control, pickup dwell, or capacity</x:v>
      </x:c>
    </x:row>
    <x:row r="73" ht="86.4000015258789" hidden="0" customHeight="1">
      <x:c r="A73" s="36" t="str">
        <x:v>P2</x:v>
      </x:c>
      <x:c r="B73" s="36" t="str">
        <x:v>slow</x:v>
      </x:c>
      <x:c r="C73" s="36" t="n">
        <x:v>72</x:v>
      </x:c>
      <x:c r="D73" s="36" t="n">
        <x:v>610</x:v>
      </x:c>
      <x:c r="E73" s="45" t="n">
        <x:v>0.48160861169466873</x:v>
      </x:c>
      <x:c r="F73" s="48" t="n">
        <x:v>22.84387183954164</x:v>
      </x:c>
      <x:c r="G73" s="48" t="n">
        <x:v>34.42673040203128</x:v>
      </x:c>
      <x:c r="H73" s="36" t="str">
        <x:v>graph reach only; no traffic, direction, bridge, control, pickup dwell, or capacity</x:v>
      </x:c>
    </x:row>
    <x:row r="74" ht="86.4000015258789" hidden="0" customHeight="1">
      <x:c r="A74" s="34" t="str">
        <x:v>P2</x:v>
      </x:c>
      <x:c r="B74" s="34" t="str">
        <x:v>slow</x:v>
      </x:c>
      <x:c r="C74" s="34" t="n">
        <x:v>96</x:v>
      </x:c>
      <x:c r="D74" s="34" t="n">
        <x:v>766</x:v>
      </x:c>
      <x:c r="E74" s="43" t="n">
        <x:v>0.6299292394521192</x:v>
      </x:c>
      <x:c r="F74" s="47" t="n">
        <x:v>22.089973652853978</x:v>
      </x:c>
      <x:c r="G74" s="47" t="n">
        <x:v>32.49209812548969</x:v>
      </x:c>
      <x:c r="H74" s="34" t="str">
        <x:v>graph reach only; no traffic, direction, bridge, control, pickup dwell, or capacity</x:v>
      </x:c>
    </x:row>
    <x:row r="75" ht="86.4000015258789" hidden="0" customHeight="1">
      <x:c r="A75" s="36" t="str">
        <x:v>P2</x:v>
      </x:c>
      <x:c r="B75" s="36" t="str">
        <x:v>slow</x:v>
      </x:c>
      <x:c r="C75" s="36" t="n">
        <x:v>120</x:v>
      </x:c>
      <x:c r="D75" s="36" t="n">
        <x:v>783</x:v>
      </x:c>
      <x:c r="E75" s="45" t="n">
        <x:v>0.6445506056545478</x:v>
      </x:c>
      <x:c r="F75" s="48" t="n">
        <x:v>21.930208610373448</x:v>
      </x:c>
      <x:c r="G75" s="48" t="n">
        <x:v>32.48252004799026</x:v>
      </x:c>
      <x:c r="H75" s="36" t="str">
        <x:v>graph reach only; no traffic, direction, bridge, control, pickup dwell, or capacity</x:v>
      </x:c>
    </x:row>
    <x:row r="76" ht="86.4000015258789" hidden="0" customHeight="1">
      <x:c r="A76" s="34" t="str">
        <x:v>P2</x:v>
      </x:c>
      <x:c r="B76" s="34" t="str">
        <x:v>slow</x:v>
      </x:c>
      <x:c r="C76" s="34" t="n">
        <x:v>168</x:v>
      </x:c>
      <x:c r="D76" s="34" t="n">
        <x:v>1108</x:v>
      </x:c>
      <x:c r="E76" s="43" t="n">
        <x:v>0.9940283755332096</x:v>
      </x:c>
      <x:c r="F76" s="47" t="n">
        <x:v>20.7884461059635</x:v>
      </x:c>
      <x:c r="G76" s="47" t="n">
        <x:v>30.472241775132552</x:v>
      </x:c>
      <x:c r="H76" s="34" t="str">
        <x:v>graph reach only; no traffic, direction, bridge, control, pickup dwell, or capacity</x:v>
      </x:c>
    </x:row>
    <x:row r="77" ht="86.4000015258789" hidden="0" customHeight="1">
      <x:c r="A77" s="36" t="str">
        <x:v>H3</x:v>
      </x:c>
      <x:c r="B77" s="36" t="str">
        <x:v>fast</x:v>
      </x:c>
      <x:c r="C77" s="36" t="n">
        <x:v>0</x:v>
      </x:c>
      <x:c r="D77" s="36" t="n">
        <x:v>530</x:v>
      </x:c>
      <x:c r="E77" s="45" t="n">
        <x:v>0.41292922072782745</x:v>
      </x:c>
      <x:c r="F77" s="48" t="n">
        <x:v>32.58432579444619</x:v>
      </x:c>
      <x:c r="G77" s="48" t="n">
        <x:v>39.758677453255196</x:v>
      </x:c>
      <x:c r="H77" s="36" t="str">
        <x:v>graph reach only; no traffic, direction, bridge, control, pickup dwell, or capacity</x:v>
      </x:c>
    </x:row>
    <x:row r="78" ht="86.4000015258789" hidden="0" customHeight="1">
      <x:c r="A78" s="34" t="str">
        <x:v>H3</x:v>
      </x:c>
      <x:c r="B78" s="34" t="str">
        <x:v>fast</x:v>
      </x:c>
      <x:c r="C78" s="34" t="n">
        <x:v>12</x:v>
      </x:c>
      <x:c r="D78" s="34" t="n">
        <x:v>531</x:v>
      </x:c>
      <x:c r="E78" s="43" t="n">
        <x:v>0.41447023803752664</x:v>
      </x:c>
      <x:c r="F78" s="47" t="n">
        <x:v>32.42000433117822</x:v>
      </x:c>
      <x:c r="G78" s="47" t="n">
        <x:v>39.54103728826101</x:v>
      </x:c>
      <x:c r="H78" s="34" t="str">
        <x:v>graph reach only; no traffic, direction, bridge, control, pickup dwell, or capacity</x:v>
      </x:c>
    </x:row>
    <x:row r="79" ht="86.4000015258789" hidden="0" customHeight="1">
      <x:c r="A79" s="36" t="str">
        <x:v>H3</x:v>
      </x:c>
      <x:c r="B79" s="36" t="str">
        <x:v>fast</x:v>
      </x:c>
      <x:c r="C79" s="36" t="n">
        <x:v>24</x:v>
      </x:c>
      <x:c r="D79" s="36" t="n">
        <x:v>552</x:v>
      </x:c>
      <x:c r="E79" s="45" t="n">
        <x:v>0.43209900499031184</x:v>
      </x:c>
      <x:c r="F79" s="48" t="n">
        <x:v>23.613180791550956</x:v>
      </x:c>
      <x:c r="G79" s="48" t="n">
        <x:v>32.744685902154885</x:v>
      </x:c>
      <x:c r="H79" s="36" t="str">
        <x:v>graph reach only; no traffic, direction, bridge, control, pickup dwell, or capacity</x:v>
      </x:c>
    </x:row>
    <x:row r="80" ht="86.4000015258789" hidden="0" customHeight="1">
      <x:c r="A80" s="34" t="str">
        <x:v>H3</x:v>
      </x:c>
      <x:c r="B80" s="34" t="str">
        <x:v>fast</x:v>
      </x:c>
      <x:c r="C80" s="34" t="n">
        <x:v>48</x:v>
      </x:c>
      <x:c r="D80" s="34" t="n">
        <x:v>773</x:v>
      </x:c>
      <x:c r="E80" s="43" t="n">
        <x:v>0.6348272356449352</x:v>
      </x:c>
      <x:c r="F80" s="47" t="n">
        <x:v>21.770021882573065</x:v>
      </x:c>
      <x:c r="G80" s="47" t="n">
        <x:v>31.14671193589331</x:v>
      </x:c>
      <x:c r="H80" s="34" t="str">
        <x:v>graph reach only; no traffic, direction, bridge, control, pickup dwell, or capacity</x:v>
      </x:c>
    </x:row>
    <x:row r="81" ht="86.4000015258789" hidden="0" customHeight="1">
      <x:c r="A81" s="36" t="str">
        <x:v>H3</x:v>
      </x:c>
      <x:c r="B81" s="36" t="str">
        <x:v>fast</x:v>
      </x:c>
      <x:c r="C81" s="36" t="n">
        <x:v>72</x:v>
      </x:c>
      <x:c r="D81" s="36" t="n">
        <x:v>1108</x:v>
      </x:c>
      <x:c r="E81" s="45" t="n">
        <x:v>0.9940283755332096</x:v>
      </x:c>
      <x:c r="F81" s="48" t="n">
        <x:v>20.718283194616234</x:v>
      </x:c>
      <x:c r="G81" s="48" t="n">
        <x:v>29.675033459111802</x:v>
      </x:c>
      <x:c r="H81" s="36" t="str">
        <x:v>graph reach only; no traffic, direction, bridge, control, pickup dwell, or capacity</x:v>
      </x:c>
    </x:row>
    <x:row r="82" ht="86.4000015258789" hidden="0" customHeight="1">
      <x:c r="A82" s="34" t="str">
        <x:v>H3</x:v>
      </x:c>
      <x:c r="B82" s="34" t="str">
        <x:v>fast</x:v>
      </x:c>
      <x:c r="C82" s="34" t="n">
        <x:v>96</x:v>
      </x:c>
      <x:c r="D82" s="34" t="n">
        <x:v>1109</x:v>
      </x:c>
      <x:c r="E82" s="43" t="n">
        <x:v>0.995403465091386</x:v>
      </x:c>
      <x:c r="F82" s="47" t="n">
        <x:v>20.726925025059607</x:v>
      </x:c>
      <x:c r="G82" s="47" t="n">
        <x:v>29.66645122758093</x:v>
      </x:c>
      <x:c r="H82" s="34" t="str">
        <x:v>graph reach only; no traffic, direction, bridge, control, pickup dwell, or capacity</x:v>
      </x:c>
    </x:row>
    <x:row r="83" ht="86.4000015258789" hidden="0" customHeight="1">
      <x:c r="A83" s="36" t="str">
        <x:v>H3</x:v>
      </x:c>
      <x:c r="B83" s="36" t="str">
        <x:v>fast</x:v>
      </x:c>
      <x:c r="C83" s="36" t="n">
        <x:v>120</x:v>
      </x:c>
      <x:c r="D83" s="36" t="n">
        <x:v>1109</x:v>
      </x:c>
      <x:c r="E83" s="45" t="n">
        <x:v>0.995403465091386</x:v>
      </x:c>
      <x:c r="F83" s="48" t="n">
        <x:v>20.726925025059607</x:v>
      </x:c>
      <x:c r="G83" s="48" t="n">
        <x:v>29.66645122758093</x:v>
      </x:c>
      <x:c r="H83" s="36" t="str">
        <x:v>graph reach only; no traffic, direction, bridge, control, pickup dwell, or capacity</x:v>
      </x:c>
    </x:row>
    <x:row r="84" ht="86.4000015258789" hidden="0" customHeight="1">
      <x:c r="A84" s="34" t="str">
        <x:v>H3</x:v>
      </x:c>
      <x:c r="B84" s="34" t="str">
        <x:v>fast</x:v>
      </x:c>
      <x:c r="C84" s="34" t="n">
        <x:v>168</x:v>
      </x:c>
      <x:c r="D84" s="34" t="n">
        <x:v>1109</x:v>
      </x:c>
      <x:c r="E84" s="43" t="n">
        <x:v>0.995403465091386</x:v>
      </x:c>
      <x:c r="F84" s="47" t="n">
        <x:v>20.726925025059607</x:v>
      </x:c>
      <x:c r="G84" s="47" t="n">
        <x:v>29.66645122758093</x:v>
      </x:c>
      <x:c r="H84" s="34" t="str">
        <x:v>graph reach only; no traffic, direction, bridge, control, pickup dwell, or capacity</x:v>
      </x:c>
    </x:row>
    <x:row r="85" ht="86.4000015258789" hidden="0" customHeight="1">
      <x:c r="A85" s="36" t="str">
        <x:v>H3</x:v>
      </x:c>
      <x:c r="B85" s="36" t="str">
        <x:v>reference</x:v>
      </x:c>
      <x:c r="C85" s="36" t="n">
        <x:v>0</x:v>
      </x:c>
      <x:c r="D85" s="36" t="n">
        <x:v>530</x:v>
      </x:c>
      <x:c r="E85" s="45" t="n">
        <x:v>0.41292922072782745</x:v>
      </x:c>
      <x:c r="F85" s="48" t="n">
        <x:v>32.58432579444619</x:v>
      </x:c>
      <x:c r="G85" s="48" t="n">
        <x:v>39.758677453255196</x:v>
      </x:c>
      <x:c r="H85" s="36" t="str">
        <x:v>graph reach only; no traffic, direction, bridge, control, pickup dwell, or capacity</x:v>
      </x:c>
    </x:row>
    <x:row r="86" ht="86.4000015258789" hidden="0" customHeight="1">
      <x:c r="A86" s="34" t="str">
        <x:v>H3</x:v>
      </x:c>
      <x:c r="B86" s="34" t="str">
        <x:v>reference</x:v>
      </x:c>
      <x:c r="C86" s="34" t="n">
        <x:v>12</x:v>
      </x:c>
      <x:c r="D86" s="34" t="n">
        <x:v>530</x:v>
      </x:c>
      <x:c r="E86" s="43" t="n">
        <x:v>0.41292922072782745</x:v>
      </x:c>
      <x:c r="F86" s="47" t="n">
        <x:v>32.404790909109465</x:v>
      </x:c>
      <x:c r="G86" s="47" t="n">
        <x:v>39.758677453255196</x:v>
      </x:c>
      <x:c r="H86" s="34" t="str">
        <x:v>graph reach only; no traffic, direction, bridge, control, pickup dwell, or capacity</x:v>
      </x:c>
    </x:row>
    <x:row r="87" ht="86.4000015258789" hidden="0" customHeight="1">
      <x:c r="A87" s="36" t="str">
        <x:v>H3</x:v>
      </x:c>
      <x:c r="B87" s="36" t="str">
        <x:v>reference</x:v>
      </x:c>
      <x:c r="C87" s="36" t="n">
        <x:v>24</x:v>
      </x:c>
      <x:c r="D87" s="36" t="n">
        <x:v>534</x:v>
      </x:c>
      <x:c r="E87" s="45" t="n">
        <x:v>0.4181108719985699</x:v>
      </x:c>
      <x:c r="F87" s="48" t="n">
        <x:v>32.128716003174574</x:v>
      </x:c>
      <x:c r="G87" s="48" t="n">
        <x:v>39.37362586213864</x:v>
      </x:c>
      <x:c r="H87" s="36" t="str">
        <x:v>graph reach only; no traffic, direction, bridge, control, pickup dwell, or capacity</x:v>
      </x:c>
    </x:row>
    <x:row r="88" ht="86.4000015258789" hidden="0" customHeight="1">
      <x:c r="A88" s="34" t="str">
        <x:v>H3</x:v>
      </x:c>
      <x:c r="B88" s="34" t="str">
        <x:v>reference</x:v>
      </x:c>
      <x:c r="C88" s="34" t="n">
        <x:v>48</x:v>
      </x:c>
      <x:c r="D88" s="34" t="n">
        <x:v>644</x:v>
      </x:c>
      <x:c r="E88" s="43" t="n">
        <x:v>0.5133274549350642</x:v>
      </x:c>
      <x:c r="F88" s="47" t="n">
        <x:v>22.40120739201263</x:v>
      </x:c>
      <x:c r="G88" s="47" t="n">
        <x:v>32.56947645212335</x:v>
      </x:c>
      <x:c r="H88" s="34" t="str">
        <x:v>graph reach only; no traffic, direction, bridge, control, pickup dwell, or capacity</x:v>
      </x:c>
    </x:row>
    <x:row r="89" ht="86.4000015258789" hidden="0" customHeight="1">
      <x:c r="A89" s="36" t="str">
        <x:v>H3</x:v>
      </x:c>
      <x:c r="B89" s="36" t="str">
        <x:v>reference</x:v>
      </x:c>
      <x:c r="C89" s="36" t="n">
        <x:v>72</x:v>
      </x:c>
      <x:c r="D89" s="36" t="n">
        <x:v>766</x:v>
      </x:c>
      <x:c r="E89" s="45" t="n">
        <x:v>0.6299292394521192</x:v>
      </x:c>
      <x:c r="F89" s="48" t="n">
        <x:v>21.923032674621588</x:v>
      </x:c>
      <x:c r="G89" s="48" t="n">
        <x:v>31.164729314901045</x:v>
      </x:c>
      <x:c r="H89" s="36" t="str">
        <x:v>graph reach only; no traffic, direction, bridge, control, pickup dwell, or capacity</x:v>
      </x:c>
    </x:row>
    <x:row r="90" ht="86.4000015258789" hidden="0" customHeight="1">
      <x:c r="A90" s="34" t="str">
        <x:v>H3</x:v>
      </x:c>
      <x:c r="B90" s="34" t="str">
        <x:v>reference</x:v>
      </x:c>
      <x:c r="C90" s="34" t="n">
        <x:v>96</x:v>
      </x:c>
      <x:c r="D90" s="34" t="n">
        <x:v>868</x:v>
      </x:c>
      <x:c r="E90" s="43" t="n">
        <x:v>0.7302803421344648</x:v>
      </x:c>
      <x:c r="F90" s="47" t="n">
        <x:v>21.58989392090174</x:v>
      </x:c>
      <x:c r="G90" s="47" t="n">
        <x:v>30.815395292969747</x:v>
      </x:c>
      <x:c r="H90" s="34" t="str">
        <x:v>graph reach only; no traffic, direction, bridge, control, pickup dwell, or capacity</x:v>
      </x:c>
    </x:row>
    <x:row r="91" ht="86.4000015258789" hidden="0" customHeight="1">
      <x:c r="A91" s="36" t="str">
        <x:v>H3</x:v>
      </x:c>
      <x:c r="B91" s="36" t="str">
        <x:v>reference</x:v>
      </x:c>
      <x:c r="C91" s="36" t="n">
        <x:v>120</x:v>
      </x:c>
      <x:c r="D91" s="36" t="n">
        <x:v>1109</x:v>
      </x:c>
      <x:c r="E91" s="45" t="n">
        <x:v>0.995403465091386</x:v>
      </x:c>
      <x:c r="F91" s="48" t="n">
        <x:v>20.726925025059607</x:v>
      </x:c>
      <x:c r="G91" s="48" t="n">
        <x:v>29.66645122758093</x:v>
      </x:c>
      <x:c r="H91" s="36" t="str">
        <x:v>graph reach only; no traffic, direction, bridge, control, pickup dwell, or capacity</x:v>
      </x:c>
    </x:row>
    <x:row r="92" ht="86.4000015258789" hidden="0" customHeight="1">
      <x:c r="A92" s="34" t="str">
        <x:v>H3</x:v>
      </x:c>
      <x:c r="B92" s="34" t="str">
        <x:v>reference</x:v>
      </x:c>
      <x:c r="C92" s="34" t="n">
        <x:v>168</x:v>
      </x:c>
      <x:c r="D92" s="34" t="n">
        <x:v>1109</x:v>
      </x:c>
      <x:c r="E92" s="43" t="n">
        <x:v>0.995403465091386</x:v>
      </x:c>
      <x:c r="F92" s="47" t="n">
        <x:v>20.726925025059607</x:v>
      </x:c>
      <x:c r="G92" s="47" t="n">
        <x:v>29.66645122758093</x:v>
      </x:c>
      <x:c r="H92" s="34" t="str">
        <x:v>graph reach only; no traffic, direction, bridge, control, pickup dwell, or capacity</x:v>
      </x:c>
    </x:row>
    <x:row r="93" ht="86.4000015258789" hidden="0" customHeight="1">
      <x:c r="A93" s="36" t="str">
        <x:v>H3</x:v>
      </x:c>
      <x:c r="B93" s="36" t="str">
        <x:v>slow</x:v>
      </x:c>
      <x:c r="C93" s="36" t="n">
        <x:v>0</x:v>
      </x:c>
      <x:c r="D93" s="36" t="n">
        <x:v>530</x:v>
      </x:c>
      <x:c r="E93" s="45" t="n">
        <x:v>0.41292922072782745</x:v>
      </x:c>
      <x:c r="F93" s="48" t="n">
        <x:v>32.58432579444619</x:v>
      </x:c>
      <x:c r="G93" s="48" t="n">
        <x:v>39.758677453255196</x:v>
      </x:c>
      <x:c r="H93" s="36" t="str">
        <x:v>graph reach only; no traffic, direction, bridge, control, pickup dwell, or capacity</x:v>
      </x:c>
    </x:row>
    <x:row r="94" ht="86.4000015258789" hidden="0" customHeight="1">
      <x:c r="A94" s="34" t="str">
        <x:v>H3</x:v>
      </x:c>
      <x:c r="B94" s="34" t="str">
        <x:v>slow</x:v>
      </x:c>
      <x:c r="C94" s="34" t="n">
        <x:v>12</x:v>
      </x:c>
      <x:c r="D94" s="34" t="n">
        <x:v>530</x:v>
      </x:c>
      <x:c r="E94" s="43" t="n">
        <x:v>0.41292922072782745</x:v>
      </x:c>
      <x:c r="F94" s="47" t="n">
        <x:v>32.58432579444619</x:v>
      </x:c>
      <x:c r="G94" s="47" t="n">
        <x:v>39.758677453255196</x:v>
      </x:c>
      <x:c r="H94" s="34" t="str">
        <x:v>graph reach only; no traffic, direction, bridge, control, pickup dwell, or capacity</x:v>
      </x:c>
    </x:row>
    <x:row r="95" ht="86.4000015258789" hidden="0" customHeight="1">
      <x:c r="A95" s="36" t="str">
        <x:v>H3</x:v>
      </x:c>
      <x:c r="B95" s="36" t="str">
        <x:v>slow</x:v>
      </x:c>
      <x:c r="C95" s="36" t="n">
        <x:v>24</x:v>
      </x:c>
      <x:c r="D95" s="36" t="n">
        <x:v>530</x:v>
      </x:c>
      <x:c r="E95" s="45" t="n">
        <x:v>0.41292922072782745</x:v>
      </x:c>
      <x:c r="F95" s="48" t="n">
        <x:v>32.399674262336916</x:v>
      </x:c>
      <x:c r="G95" s="48" t="n">
        <x:v>39.75861167324036</x:v>
      </x:c>
      <x:c r="H95" s="36" t="str">
        <x:v>graph reach only; no traffic, direction, bridge, control, pickup dwell, or capacity</x:v>
      </x:c>
    </x:row>
    <x:row r="96" ht="86.4000015258789" hidden="0" customHeight="1">
      <x:c r="A96" s="34" t="str">
        <x:v>H3</x:v>
      </x:c>
      <x:c r="B96" s="34" t="str">
        <x:v>slow</x:v>
      </x:c>
      <x:c r="C96" s="34" t="n">
        <x:v>48</x:v>
      </x:c>
      <x:c r="D96" s="34" t="n">
        <x:v>534</x:v>
      </x:c>
      <x:c r="E96" s="43" t="n">
        <x:v>0.4181108719985699</x:v>
      </x:c>
      <x:c r="F96" s="47" t="n">
        <x:v>31.96484721754879</x:v>
      </x:c>
      <x:c r="G96" s="47" t="n">
        <x:v>39.37362586213864</x:v>
      </x:c>
      <x:c r="H96" s="34" t="str">
        <x:v>graph reach only; no traffic, direction, bridge, control, pickup dwell, or capacity</x:v>
      </x:c>
    </x:row>
    <x:row r="97" ht="86.4000015258789" hidden="0" customHeight="1">
      <x:c r="A97" s="36" t="str">
        <x:v>H3</x:v>
      </x:c>
      <x:c r="B97" s="36" t="str">
        <x:v>slow</x:v>
      </x:c>
      <x:c r="C97" s="36" t="n">
        <x:v>72</x:v>
      </x:c>
      <x:c r="D97" s="36" t="n">
        <x:v>610</x:v>
      </x:c>
      <x:c r="E97" s="45" t="n">
        <x:v>0.48160861169466873</x:v>
      </x:c>
      <x:c r="F97" s="48" t="n">
        <x:v>22.654355358968314</x:v>
      </x:c>
      <x:c r="G97" s="48" t="n">
        <x:v>32.73463703372067</x:v>
      </x:c>
      <x:c r="H97" s="36" t="str">
        <x:v>graph reach only; no traffic, direction, bridge, control, pickup dwell, or capacity</x:v>
      </x:c>
    </x:row>
    <x:row r="98" ht="86.4000015258789" hidden="0" customHeight="1">
      <x:c r="A98" s="34" t="str">
        <x:v>H3</x:v>
      </x:c>
      <x:c r="B98" s="34" t="str">
        <x:v>slow</x:v>
      </x:c>
      <x:c r="C98" s="34" t="n">
        <x:v>96</x:v>
      </x:c>
      <x:c r="D98" s="34" t="n">
        <x:v>766</x:v>
      </x:c>
      <x:c r="E98" s="43" t="n">
        <x:v>0.6299292394521192</x:v>
      </x:c>
      <x:c r="F98" s="47" t="n">
        <x:v>21.970255260207153</x:v>
      </x:c>
      <x:c r="G98" s="47" t="n">
        <x:v>31.164729314901045</x:v>
      </x:c>
      <x:c r="H98" s="34" t="str">
        <x:v>graph reach only; no traffic, direction, bridge, control, pickup dwell, or capacity</x:v>
      </x:c>
    </x:row>
    <x:row r="99" ht="86.4000015258789" hidden="0" customHeight="1">
      <x:c r="A99" s="36" t="str">
        <x:v>H3</x:v>
      </x:c>
      <x:c r="B99" s="36" t="str">
        <x:v>slow</x:v>
      </x:c>
      <x:c r="C99" s="36" t="n">
        <x:v>120</x:v>
      </x:c>
      <x:c r="D99" s="36" t="n">
        <x:v>783</x:v>
      </x:c>
      <x:c r="E99" s="45" t="n">
        <x:v>0.6445506056545478</x:v>
      </x:c>
      <x:c r="F99" s="48" t="n">
        <x:v>21.73797462837796</x:v>
      </x:c>
      <x:c r="G99" s="48" t="n">
        <x:v>31.142154179819986</x:v>
      </x:c>
      <x:c r="H99" s="36" t="str">
        <x:v>graph reach only; no traffic, direction, bridge, control, pickup dwell, or capacity</x:v>
      </x:c>
    </x:row>
    <x:row r="100" ht="86.4000015258789" hidden="0" customHeight="1">
      <x:c r="A100" s="34" t="str">
        <x:v>H3</x:v>
      </x:c>
      <x:c r="B100" s="34" t="str">
        <x:v>slow</x:v>
      </x:c>
      <x:c r="C100" s="34" t="n">
        <x:v>168</x:v>
      </x:c>
      <x:c r="D100" s="34" t="n">
        <x:v>1108</x:v>
      </x:c>
      <x:c r="E100" s="43" t="n">
        <x:v>0.9940283755332096</x:v>
      </x:c>
      <x:c r="F100" s="47" t="n">
        <x:v>20.718283194616234</x:v>
      </x:c>
      <x:c r="G100" s="47" t="n">
        <x:v>29.675033459111802</x:v>
      </x:c>
      <x:c r="H100" s="34" t="str">
        <x:v>graph reach only; no traffic, direction, bridge, control, pickup dwell, or capacity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29" customHeight="1">
      <x:c r="A1" s="2" t="str">
        <x:v>Mapped exposure and demand</x:v>
      </x:c>
      <x:c r="B1" s="2"/>
      <x:c r="C1" s="2"/>
      <x:c r="D1" s="2"/>
      <x:c r="E1" s="2"/>
      <x:c r="F1" s="2"/>
      <x:c r="G1" s="2"/>
      <x:c r="H1" s="2"/>
    </x:row>
    <x:row r="2" ht="34" customHeight="1">
      <x:c r="A2" s="6" t="str">
        <x:v>FEMA NFHL classifications at tract internal points allocate demand spatially. They do not describe a particular storm or parcel.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25" t="str">
        <x:v>Mapped flood exposure</x:v>
      </x:c>
      <x:c r="B4" s="26" t="str">
        <x:v>Tracts</x:v>
      </x:c>
      <x:c r="C4" s="26" t="str">
        <x:v>Population</x:v>
      </x:c>
      <x:c r="D4" s="26" t="str">
        <x:v>Campaign demand</x:v>
      </x:c>
      <x:c r="E4" s="26" t="str">
        <x:v>Disability share</x:v>
      </x:c>
      <x:c r="F4" s="26" t="str">
        <x:v>Zero-vehicle share</x:v>
      </x:c>
      <x:c r="G4" s="26" t="str">
        <x:v>20+ unit proxy share</x:v>
      </x:c>
      <x:c r="H4" s="27" t="str">
        <x:v>Boundary</x:v>
      </x:c>
    </x:row>
    <x:row r="5" ht="64.80000305175781" hidden="0" customHeight="1">
      <x:c r="A5" s="35" t="str">
        <x:v>high</x:v>
      </x:c>
      <x:c r="B5" s="35" t="n">
        <x:v>147</x:v>
      </x:c>
      <x:c r="C5" s="61" t="n">
        <x:v>592762</x:v>
      </x:c>
      <x:c r="D5" s="61" t="n">
        <x:v>103042.0798005723</x:v>
      </x:c>
      <x:c r="E5" s="41" t="n">
        <x:v>0.1097590601286857</x:v>
      </x:c>
      <x:c r="F5" s="41" t="n">
        <x:v>0.04936804316066144</x:v>
      </x:c>
      <x:c r="G5" s="41" t="n">
        <x:v>0.1708792087596668</x:v>
      </x:c>
      <x:c r="H5" s="35" t="str">
        <x:v>internal-point classification; tract heterogeneity remains unmodeled</x:v>
      </x:c>
    </x:row>
    <x:row r="6" ht="64.80000305175781" hidden="0" customHeight="1">
      <x:c r="A6" s="34" t="str">
        <x:v>moderate</x:v>
      </x:c>
      <x:c r="B6" s="34" t="n">
        <x:v>148</x:v>
      </x:c>
      <x:c r="C6" s="62" t="n">
        <x:v>606042</x:v>
      </x:c>
      <x:c r="D6" s="62" t="n">
        <x:v>86587.01283690016</x:v>
      </x:c>
      <x:c r="E6" s="43" t="n">
        <x:v>0.11128931658201907</x:v>
      </x:c>
      <x:c r="F6" s="43" t="n">
        <x:v>0.052125100240577385</x:v>
      </x:c>
      <x:c r="G6" s="43" t="n">
        <x:v>0.18854882005171023</x:v>
      </x:c>
      <x:c r="H6" s="34" t="str">
        <x:v>internal-point classification; tract heterogeneity remains unmodeled</x:v>
      </x:c>
    </x:row>
    <x:row r="7" ht="64.80000305175781" hidden="0" customHeight="1">
      <x:c r="A7" s="36" t="str">
        <x:v>low</x:v>
      </x:c>
      <x:c r="B7" s="36" t="n">
        <x:v>816</x:v>
      </x:c>
      <x:c r="C7" s="63" t="n">
        <x:v>3611694</x:v>
      </x:c>
      <x:c r="D7" s="63" t="n">
        <x:v>291420.70736252755</x:v>
      </x:c>
      <x:c r="E7" s="45" t="n">
        <x:v>0.109374714469166</x:v>
      </x:c>
      <x:c r="F7" s="45" t="n">
        <x:v>0.047533235096882516</x:v>
      </x:c>
      <x:c r="G7" s="45" t="n">
        <x:v>0.18636141333337028</x:v>
      </x:c>
      <x:c r="H7" s="36" t="str">
        <x:v>internal-point classification; tract heterogeneity remains unmodeled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50" hidden="0" customWidth="1"/>
    <x:col min="8" max="8" width="50" hidden="0" customWidth="1"/>
  </x:cols>
  <x:sheetData>
    <x:row r="1" ht="29" customHeight="1">
      <x:c r="A1" s="2" t="str">
        <x:v>Analytical transfer-node candidates</x:v>
      </x:c>
      <x:c r="B1" s="2"/>
      <x:c r="C1" s="2"/>
      <x:c r="D1" s="2"/>
      <x:c r="E1" s="2"/>
      <x:c r="F1" s="2"/>
      <x:c r="G1" s="2"/>
      <x:c r="H1" s="2"/>
    </x:row>
    <x:row r="2" ht="34" customHeight="1">
      <x:c r="A2" s="6" t="str">
        <x:v>Pass 34 weighted farthest-first nodes are retained only to test network geometry. They are not parcel, facility, or siting recommendations.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25" t="str">
        <x:v>Node</x:v>
      </x:c>
      <x:c r="B4" s="26" t="str">
        <x:v>Source tract</x:v>
      </x:c>
      <x:c r="C4" s="26" t="str">
        <x:v>Latitude</x:v>
      </x:c>
      <x:c r="D4" s="26" t="str">
        <x:v>Longitude</x:v>
      </x:c>
      <x:c r="E4" s="26" t="str">
        <x:v>Road snap km</x:v>
      </x:c>
      <x:c r="F4" s="26" t="str">
        <x:v>Status</x:v>
      </x:c>
      <x:c r="G4" s="26" t="str">
        <x:v>Missing before siting</x:v>
      </x:c>
      <x:c r="H4" s="27" t="str">
        <x:v>Role in campaign</x:v>
      </x:c>
    </x:row>
    <x:row r="5" ht="86.4000015258789" hidden="0" customHeight="1">
      <x:c r="A5" s="35" t="str">
        <x:v>N01</x:v>
      </x:c>
      <x:c r="B5" s="35" t="str">
        <x:v>48201542902</x:v>
      </x:c>
      <x:c r="C5" s="67" t="n">
        <x:v>29.8387065</x:v>
      </x:c>
      <x:c r="D5" s="67" t="n">
        <x:v>-95.800019</x:v>
      </x:c>
      <x:c r="E5" s="67" t="n">
        <x:v>0.21226770446681062</x:v>
      </x:c>
      <x:c r="F5" s="35" t="str">
        <x:v>analytical candidate only</x:v>
      </x:c>
      <x:c r="G5" s="35" t="str">
        <x:v>parcel, ownership, flood, utilities, access, equity, environment, host consent</x:v>
      </x:c>
      <x:c r="H5" s="35" t="str">
        <x:v>active in architectures with 1 or more nodes</x:v>
      </x:c>
    </x:row>
    <x:row r="6" ht="86.4000015258789" hidden="0" customHeight="1">
      <x:c r="A6" s="34" t="str">
        <x:v>N02</x:v>
      </x:c>
      <x:c r="B6" s="34" t="str">
        <x:v>48201250408</x:v>
      </x:c>
      <x:c r="C6" s="68" t="n">
        <x:v>29.9554647</x:v>
      </x:c>
      <x:c r="D6" s="68" t="n">
        <x:v>-95.194833</x:v>
      </x:c>
      <x:c r="E6" s="68" t="n">
        <x:v>0.044608922579234635</x:v>
      </x:c>
      <x:c r="F6" s="34" t="str">
        <x:v>analytical candidate only</x:v>
      </x:c>
      <x:c r="G6" s="34" t="str">
        <x:v>parcel, ownership, flood, utilities, access, equity, environment, host consent</x:v>
      </x:c>
      <x:c r="H6" s="34" t="str">
        <x:v>active in architectures with 2 or more nodes</x:v>
      </x:c>
    </x:row>
    <x:row r="7" ht="86.4000015258789" hidden="0" customHeight="1">
      <x:c r="A7" s="36" t="str">
        <x:v>N03</x:v>
      </x:c>
      <x:c r="B7" s="36" t="str">
        <x:v>48201555303</x:v>
      </x:c>
      <x:c r="C7" s="69" t="n">
        <x:v>30.1348325</x:v>
      </x:c>
      <x:c r="D7" s="69" t="n">
        <x:v>-95.5687953</x:v>
      </x:c>
      <x:c r="E7" s="69" t="n">
        <x:v>0.0342557425370345</x:v>
      </x:c>
      <x:c r="F7" s="36" t="str">
        <x:v>analytical candidate only</x:v>
      </x:c>
      <x:c r="G7" s="36" t="str">
        <x:v>parcel, ownership, flood, utilities, access, equity, environment, host consent</x:v>
      </x:c>
      <x:c r="H7" s="36" t="str">
        <x:v>active in architectures with 3 or more nodes</x:v>
      </x:c>
    </x:row>
    <x:row r="8" ht="86.4000015258789" hidden="0" customHeight="1">
      <x:c r="A8" s="34" t="str">
        <x:v>N04</x:v>
      </x:c>
      <x:c r="B8" s="34" t="str">
        <x:v>48201330802</x:v>
      </x:c>
      <x:c r="C8" s="68" t="n">
        <x:v>29.5951606</x:v>
      </x:c>
      <x:c r="D8" s="68" t="n">
        <x:v>-95.3870003</x:v>
      </x:c>
      <x:c r="E8" s="68" t="n">
        <x:v>0.02276803053735911</x:v>
      </x:c>
      <x:c r="F8" s="34" t="str">
        <x:v>analytical candidate only</x:v>
      </x:c>
      <x:c r="G8" s="34" t="str">
        <x:v>parcel, ownership, flood, utilities, access, equity, environment, host consent</x:v>
      </x:c>
      <x:c r="H8" s="34" t="str">
        <x:v>active in architectures with 4 or more nodes</x:v>
      </x:c>
    </x:row>
    <x:row r="9" ht="86.4000015258789" hidden="0" customHeight="1">
      <x:c r="A9" s="36" t="str">
        <x:v>N05</x:v>
      </x:c>
      <x:c r="B9" s="36" t="str">
        <x:v>48201556000</x:v>
      </x:c>
      <x:c r="C9" s="69" t="n">
        <x:v>30.0771931</x:v>
      </x:c>
      <x:c r="D9" s="69" t="n">
        <x:v>-95.8554199</x:v>
      </x:c>
      <x:c r="E9" s="69" t="n">
        <x:v>0.4514719907070728</x:v>
      </x:c>
      <x:c r="F9" s="36" t="str">
        <x:v>analytical candidate only</x:v>
      </x:c>
      <x:c r="G9" s="36" t="str">
        <x:v>parcel, ownership, flood, utilities, access, equity, environment, host consent</x:v>
      </x:c>
      <x:c r="H9" s="36" t="str">
        <x:v>active in architectures with 5 or more nodes</x:v>
      </x:c>
    </x:row>
    <x:row r="10" ht="86.4000015258789" hidden="0" customHeight="1">
      <x:c r="A10" s="34" t="str">
        <x:v>N06</x:v>
      </x:c>
      <x:c r="B10" s="34" t="str">
        <x:v>48201543007</x:v>
      </x:c>
      <x:c r="C10" s="68" t="n">
        <x:v>29.947897</x:v>
      </x:c>
      <x:c r="D10" s="68" t="n">
        <x:v>-95.7035418</x:v>
      </x:c>
      <x:c r="E10" s="68" t="n">
        <x:v>0.04600824729258013</x:v>
      </x:c>
      <x:c r="F10" s="34" t="str">
        <x:v>analytical candidate only</x:v>
      </x:c>
      <x:c r="G10" s="34" t="str">
        <x:v>parcel, ownership, flood, utilities, access, equity, environment, host consent</x:v>
      </x:c>
      <x:c r="H10" s="34" t="str">
        <x:v>active in architectures with 6 or more nodes</x:v>
      </x:c>
    </x:row>
    <x:row r="11" ht="86.4000015258789" hidden="0" customHeight="1">
      <x:c r="A11" s="36" t="str">
        <x:v>N07</x:v>
      </x:c>
      <x:c r="B11" s="36" t="str">
        <x:v>48201253800</x:v>
      </x:c>
      <x:c r="C11" s="69" t="n">
        <x:v>29.766428</x:v>
      </x:c>
      <x:c r="D11" s="69" t="n">
        <x:v>-94.9479552</x:v>
      </x:c>
      <x:c r="E11" s="69" t="n">
        <x:v>0.029302844200132964</x:v>
      </x:c>
      <x:c r="F11" s="36" t="str">
        <x:v>analytical candidate only</x:v>
      </x:c>
      <x:c r="G11" s="36" t="str">
        <x:v>parcel, ownership, flood, utilities, access, equity, environment, host consent</x:v>
      </x:c>
      <x:c r="H11" s="36" t="str">
        <x:v>active in architectures with 7 or more nodes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58" hidden="0" customWidth="1"/>
  </x:cols>
  <x:sheetData>
    <x:row r="1" ht="29" customHeight="1">
      <x:c r="A1" s="2" t="str">
        <x:v>Tract inputs and network assignment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4" customHeight="1">
      <x:c r="A2" s="6" t="str">
        <x:v>One row per Harris County tract. Survey estimates and internal points are ecological screening inputs, not individual classifications.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34" customHeight="1">
      <x:c r="A4" s="25" t="str">
        <x:v>GEOID</x:v>
      </x:c>
      <x:c r="B4" s="26" t="str">
        <x:v>Population</x:v>
      </x:c>
      <x:c r="C4" s="26" t="str">
        <x:v>Disabled</x:v>
      </x:c>
      <x:c r="D4" s="26" t="str">
        <x:v>Zero-vehicle people est.</x:v>
      </x:c>
      <x:c r="E4" s="26" t="str">
        <x:v>Disabled share</x:v>
      </x:c>
      <x:c r="F4" s="26" t="str">
        <x:v>Zero-vehicle share</x:v>
      </x:c>
      <x:c r="G4" s="26" t="str">
        <x:v>Housing units</x:v>
      </x:c>
      <x:c r="H4" s="26" t="str">
        <x:v>Units in 20+ structures</x:v>
      </x:c>
      <x:c r="I4" s="26" t="str">
        <x:v>Vertical proxy share</x:v>
      </x:c>
      <x:c r="J4" s="26" t="str">
        <x:v>Flood exposure</x:v>
      </x:c>
      <x:c r="K4" s="26" t="str">
        <x:v>Latitude</x:v>
      </x:c>
      <x:c r="L4" s="26" t="str">
        <x:v>Longitude</x:v>
      </x:c>
      <x:c r="M4" s="26" t="str">
        <x:v>Land sq mi</x:v>
      </x:c>
      <x:c r="N4" s="26" t="str">
        <x:v>Road snap km</x:v>
      </x:c>
      <x:c r="O4" s="26" t="str">
        <x:v>Reference route min 168h</x:v>
      </x:c>
      <x:c r="P4" s="26" t="str">
        <x:v>Reference CTN index</x:v>
      </x:c>
      <x:c r="Q4" s="26" t="str">
        <x:v>Base campaign demand</x:v>
      </x:c>
      <x:c r="R4" s="27" t="str">
        <x:v>Boundary</x:v>
      </x:c>
    </x:row>
    <x:row r="5" ht="86.4000015258789" hidden="0" customHeight="1">
      <x:c r="A5" s="35" t="str">
        <x:v>48201100001</x:v>
      </x:c>
      <x:c r="B5" s="61" t="n">
        <x:v>4943</x:v>
      </x:c>
      <x:c r="C5" s="61" t="n">
        <x:v>370</x:v>
      </x:c>
      <x:c r="D5" s="61" t="n">
        <x:v>892.5</x:v>
      </x:c>
      <x:c r="E5" s="41" t="n">
        <x:v>0.07485332793849889</x:v>
      </x:c>
      <x:c r="F5" s="41" t="n">
        <x:v>0.18055836536516284</x:v>
      </x:c>
      <x:c r="G5" s="64" t="n">
        <x:v>4502</x:v>
      </x:c>
      <x:c r="H5" s="64" t="n">
        <x:v>4147</x:v>
      </x:c>
      <x:c r="I5" s="64" t="n">
        <x:v>0.9211461572634385</x:v>
      </x:c>
      <x:c r="J5" s="35" t="str">
        <x:v>low</x:v>
      </x:c>
      <x:c r="K5" s="70" t="n">
        <x:v>29.7547559</x:v>
      </x:c>
      <x:c r="L5" s="70" t="n">
        <x:v>-95.3621919</x:v>
      </x:c>
      <x:c r="M5" s="70" t="n">
        <x:v>0.985</x:v>
      </x:c>
      <x:c r="N5" s="70" t="n">
        <x:v>0.070752183536931</x:v>
      </x:c>
      <x:c r="O5" s="70" t="n">
        <x:v>13.362291176500046</x:v>
      </x:c>
      <x:c r="P5" s="70" t="n">
        <x:v>3</x:v>
      </x:c>
      <x:c r="Q5" s="70" t="n">
        <x:v>401.32694262519794</x:v>
      </x:c>
      <x:c r="R5" s="35" t="str">
        <x:v>tract internal point; no person, address, building, parcel, or route condition</x:v>
      </x:c>
    </x:row>
    <x:row r="6" ht="86.4000015258789" hidden="0" customHeight="1">
      <x:c r="A6" s="34" t="str">
        <x:v>48201210400</x:v>
      </x:c>
      <x:c r="B6" s="62" t="n">
        <x:v>3614</x:v>
      </x:c>
      <x:c r="C6" s="62" t="n">
        <x:v>751</x:v>
      </x:c>
      <x:c r="D6" s="62" t="n">
        <x:v>492.5</x:v>
      </x:c>
      <x:c r="E6" s="43" t="n">
        <x:v>0.20780298837852795</x:v>
      </x:c>
      <x:c r="F6" s="43" t="n">
        <x:v>0.13627559490868843</x:v>
      </x:c>
      <x:c r="G6" s="65" t="n">
        <x:v>1780</x:v>
      </x:c>
      <x:c r="H6" s="65" t="n">
        <x:v>200</x:v>
      </x:c>
      <x:c r="I6" s="65" t="n">
        <x:v>0.11235955056179775</x:v>
      </x:c>
      <x:c r="J6" s="34" t="str">
        <x:v>low</x:v>
      </x:c>
      <x:c r="K6" s="71" t="n">
        <x:v>29.7864417</x:v>
      </x:c>
      <x:c r="L6" s="71" t="n">
        <x:v>-95.3621992</x:v>
      </x:c>
      <x:c r="M6" s="71" t="n">
        <x:v>0.7</x:v>
      </x:c>
      <x:c r="N6" s="71" t="n">
        <x:v>0.0259774699283295</x:v>
      </x:c>
      <x:c r="O6" s="71" t="n">
        <x:v>16.766206542828638</x:v>
      </x:c>
      <x:c r="P6" s="71" t="n">
        <x:v>3</x:v>
      </x:c>
      <x:c r="Q6" s="71" t="n">
        <x:v>299.7190167645652</x:v>
      </x:c>
      <x:c r="R6" s="34" t="str">
        <x:v>tract internal point; no person, address, building, parcel, or route condition</x:v>
      </x:c>
    </x:row>
    <x:row r="7" ht="86.4000015258789" hidden="0" customHeight="1">
      <x:c r="A7" s="36" t="str">
        <x:v>48201210500</x:v>
      </x:c>
      <x:c r="B7" s="63" t="n">
        <x:v>4767</x:v>
      </x:c>
      <x:c r="C7" s="63" t="n">
        <x:v>1161</x:v>
      </x:c>
      <x:c r="D7" s="63" t="n">
        <x:v>540.5</x:v>
      </x:c>
      <x:c r="E7" s="45" t="n">
        <x:v>0.24354940213971052</x:v>
      </x:c>
      <x:c r="F7" s="45" t="n">
        <x:v>0.11338367946297462</x:v>
      </x:c>
      <x:c r="G7" s="66" t="n">
        <x:v>2130</x:v>
      </x:c>
      <x:c r="H7" s="66" t="n">
        <x:v>199</x:v>
      </x:c>
      <x:c r="I7" s="66" t="n">
        <x:v>0.09342723004694836</x:v>
      </x:c>
      <x:c r="J7" s="36" t="str">
        <x:v>low</x:v>
      </x:c>
      <x:c r="K7" s="72" t="n">
        <x:v>29.7952549</x:v>
      </x:c>
      <x:c r="L7" s="72" t="n">
        <x:v>-95.3603917</x:v>
      </x:c>
      <x:c r="M7" s="72" t="n">
        <x:v>0.832</x:v>
      </x:c>
      <x:c r="N7" s="72" t="n">
        <x:v>0.04934031043124077</x:v>
      </x:c>
      <x:c r="O7" s="72" t="n">
        <x:v>18.42053037406917</x:v>
      </x:c>
      <x:c r="P7" s="72" t="n">
        <x:v>3</x:v>
      </x:c>
      <x:c r="Q7" s="72" t="n">
        <x:v>397.1613949220625</x:v>
      </x:c>
      <x:c r="R7" s="36" t="str">
        <x:v>tract internal point; no person, address, building, parcel, or route condition</x:v>
      </x:c>
    </x:row>
    <x:row r="8" ht="86.4000015258789" hidden="0" customHeight="1">
      <x:c r="A8" s="34" t="str">
        <x:v>48201210600</x:v>
      </x:c>
      <x:c r="B8" s="62" t="n">
        <x:v>5415</x:v>
      </x:c>
      <x:c r="C8" s="62" t="n">
        <x:v>1113</x:v>
      </x:c>
      <x:c r="D8" s="62" t="n">
        <x:v>691</x:v>
      </x:c>
      <x:c r="E8" s="43" t="n">
        <x:v>0.20554016620498616</x:v>
      </x:c>
      <x:c r="F8" s="43" t="n">
        <x:v>0.1276084949215143</x:v>
      </x:c>
      <x:c r="G8" s="65" t="n">
        <x:v>2574</x:v>
      </x:c>
      <x:c r="H8" s="65" t="n">
        <x:v>127</x:v>
      </x:c>
      <x:c r="I8" s="65" t="n">
        <x:v>0.049339549339549336</x:v>
      </x:c>
      <x:c r="J8" s="34" t="str">
        <x:v>low</x:v>
      </x:c>
      <x:c r="K8" s="71" t="n">
        <x:v>29.8070404</x:v>
      </x:c>
      <x:c r="L8" s="71" t="n">
        <x:v>-95.3653598</x:v>
      </x:c>
      <x:c r="M8" s="71" t="n">
        <x:v>0.901</x:v>
      </x:c>
      <x:c r="N8" s="71" t="n">
        <x:v>0.008901490517531318</x:v>
      </x:c>
      <x:c r="O8" s="71" t="n">
        <x:v>18.17062982137293</x:v>
      </x:c>
      <x:c r="P8" s="71" t="n">
        <x:v>3</x:v>
      </x:c>
      <x:c r="Q8" s="71" t="n">
        <x:v>448.51945429213555</x:v>
      </x:c>
      <x:c r="R8" s="34" t="str">
        <x:v>tract internal point; no person, address, building, parcel, or route condition</x:v>
      </x:c>
    </x:row>
    <x:row r="9" ht="86.4000015258789" hidden="0" customHeight="1">
      <x:c r="A9" s="36" t="str">
        <x:v>48201210700</x:v>
      </x:c>
      <x:c r="B9" s="63" t="n">
        <x:v>2208</x:v>
      </x:c>
      <x:c r="C9" s="63" t="n">
        <x:v>449</x:v>
      </x:c>
      <x:c r="D9" s="63" t="n">
        <x:v>70</x:v>
      </x:c>
      <x:c r="E9" s="45" t="n">
        <x:v>0.2033514492753623</x:v>
      </x:c>
      <x:c r="F9" s="45" t="n">
        <x:v>0.03170289855072464</x:v>
      </x:c>
      <x:c r="G9" s="66" t="n">
        <x:v>1128</x:v>
      </x:c>
      <x:c r="H9" s="66" t="n">
        <x:v>70</x:v>
      </x:c>
      <x:c r="I9" s="66" t="n">
        <x:v>0.06205673758865248</x:v>
      </x:c>
      <x:c r="J9" s="36" t="str">
        <x:v>low</x:v>
      </x:c>
      <x:c r="K9" s="72" t="n">
        <x:v>29.8067305</x:v>
      </x:c>
      <x:c r="L9" s="72" t="n">
        <x:v>-95.3535208</x:v>
      </x:c>
      <x:c r="M9" s="72" t="n">
        <x:v>0.438</x:v>
      </x:c>
      <x:c r="N9" s="72" t="n">
        <x:v>0.011112873248105209</x:v>
      </x:c>
      <x:c r="O9" s="72" t="n">
        <x:v>18.98219448971695</x:v>
      </x:c>
      <x:c r="P9" s="72" t="n">
        <x:v>3</x:v>
      </x:c>
      <x:c r="Q9" s="72" t="n">
        <x:v>181.14630841861566</x:v>
      </x:c>
      <x:c r="R9" s="36" t="str">
        <x:v>tract internal point; no person, address, building, parcel, or route condition</x:v>
      </x:c>
    </x:row>
    <x:row r="10" ht="86.4000015258789" hidden="0" customHeight="1">
      <x:c r="A10" s="34" t="str">
        <x:v>48201210800</x:v>
      </x:c>
      <x:c r="B10" s="62" t="n">
        <x:v>2250</x:v>
      </x:c>
      <x:c r="C10" s="62" t="n">
        <x:v>416</x:v>
      </x:c>
      <x:c r="D10" s="62" t="n">
        <x:v>200</x:v>
      </x:c>
      <x:c r="E10" s="43" t="n">
        <x:v>0.18488888888888888</x:v>
      </x:c>
      <x:c r="F10" s="43" t="n">
        <x:v>0.08888888888888889</x:v>
      </x:c>
      <x:c r="G10" s="65" t="n">
        <x:v>1141</x:v>
      </x:c>
      <x:c r="H10" s="65" t="n">
        <x:v>142</x:v>
      </x:c>
      <x:c r="I10" s="65" t="n">
        <x:v>0.12445223488168274</x:v>
      </x:c>
      <x:c r="J10" s="34" t="str">
        <x:v>low</x:v>
      </x:c>
      <x:c r="K10" s="71" t="n">
        <x:v>29.7943827</x:v>
      </x:c>
      <x:c r="L10" s="71" t="n">
        <x:v>-95.3450894</x:v>
      </x:c>
      <x:c r="M10" s="71" t="n">
        <x:v>1.416</x:v>
      </x:c>
      <x:c r="N10" s="71" t="n">
        <x:v>0.07653105904130743</x:v>
      </x:c>
      <x:c r="O10" s="71" t="n">
        <x:v>16.834356884389205</x:v>
      </x:c>
      <x:c r="P10" s="71" t="n">
        <x:v>3</x:v>
      </x:c>
      <x:c r="Q10" s="71" t="n">
        <x:v>184.95031801921485</x:v>
      </x:c>
      <x:c r="R10" s="34" t="str">
        <x:v>tract internal point; no person, address, building, parcel, or route condition</x:v>
      </x:c>
    </x:row>
    <x:row r="11" ht="86.4000015258789" hidden="0" customHeight="1">
      <x:c r="A11" s="36" t="str">
        <x:v>48201210900</x:v>
      </x:c>
      <x:c r="B11" s="63" t="n">
        <x:v>1802</x:v>
      </x:c>
      <x:c r="C11" s="63" t="n">
        <x:v>201</x:v>
      </x:c>
      <x:c r="D11" s="63" t="n">
        <x:v>159</x:v>
      </x:c>
      <x:c r="E11" s="45" t="n">
        <x:v>0.11154273029966703</x:v>
      </x:c>
      <x:c r="F11" s="45" t="n">
        <x:v>0.08823529411764706</x:v>
      </x:c>
      <x:c r="G11" s="66" t="n">
        <x:v>741</x:v>
      </x:c>
      <x:c r="H11" s="66" t="n">
        <x:v>0</x:v>
      </x:c>
      <x:c r="I11" s="66" t="n">
        <x:v>0</x:v>
      </x:c>
      <x:c r="J11" s="36" t="str">
        <x:v>high</x:v>
      </x:c>
      <x:c r="K11" s="72" t="n">
        <x:v>29.8041585</x:v>
      </x:c>
      <x:c r="L11" s="72" t="n">
        <x:v>-95.3312426</x:v>
      </x:c>
      <x:c r="M11" s="72" t="n">
        <x:v>0.487</x:v>
      </x:c>
      <x:c r="N11" s="72" t="n">
        <x:v>0.04597590118077307</x:v>
      </x:c>
      <x:c r="O11" s="72" t="n">
        <x:v>18.313614322505835</x:v>
      </x:c>
      <x:c r="P11" s="72" t="n">
        <x:v>3</x:v>
      </x:c>
      <x:c r="Q11" s="72" t="n">
        <x:v>314.54298583670305</x:v>
      </x:c>
      <x:c r="R11" s="36" t="str">
        <x:v>tract internal point; no person, address, building, parcel, or route condition</x:v>
      </x:c>
    </x:row>
    <x:row r="12" ht="86.4000015258789" hidden="0" customHeight="1">
      <x:c r="A12" s="34" t="str">
        <x:v>48201211000</x:v>
      </x:c>
      <x:c r="B12" s="62" t="n">
        <x:v>1674</x:v>
      </x:c>
      <x:c r="C12" s="62" t="n">
        <x:v>433</x:v>
      </x:c>
      <x:c r="D12" s="62" t="n">
        <x:v>212</x:v>
      </x:c>
      <x:c r="E12" s="43" t="n">
        <x:v>0.2586618876941458</x:v>
      </x:c>
      <x:c r="F12" s="43" t="n">
        <x:v>0.12664277180406214</x:v>
      </x:c>
      <x:c r="G12" s="65" t="n">
        <x:v>893</x:v>
      </x:c>
      <x:c r="H12" s="65" t="n">
        <x:v>7</x:v>
      </x:c>
      <x:c r="I12" s="65" t="n">
        <x:v>0.007838745800671893</x:v>
      </x:c>
      <x:c r="J12" s="34" t="str">
        <x:v>high</x:v>
      </x:c>
      <x:c r="K12" s="71" t="n">
        <x:v>29.7970912</x:v>
      </x:c>
      <x:c r="L12" s="71" t="n">
        <x:v>-95.3321489</x:v>
      </x:c>
      <x:c r="M12" s="71" t="n">
        <x:v>0.432</x:v>
      </x:c>
      <x:c r="N12" s="71" t="n">
        <x:v>0.04461973163273091</x:v>
      </x:c>
      <x:c r="O12" s="71" t="n">
        <x:v>17.476469515392303</x:v>
      </x:c>
      <x:c r="P12" s="71" t="n">
        <x:v>3</x:v>
      </x:c>
      <x:c r="Q12" s="71" t="n">
        <x:v>301.62676506314926</x:v>
      </x:c>
      <x:c r="R12" s="34" t="str">
        <x:v>tract internal point; no person, address, building, parcel, or route condition</x:v>
      </x:c>
    </x:row>
    <x:row r="13" ht="86.4000015258789" hidden="0" customHeight="1">
      <x:c r="A13" s="36" t="str">
        <x:v>48201211101</x:v>
      </x:c>
      <x:c r="B13" s="63" t="n">
        <x:v>2954</x:v>
      </x:c>
      <x:c r="C13" s="63" t="n">
        <x:v>438</x:v>
      </x:c>
      <x:c r="D13" s="63" t="n">
        <x:v>484</x:v>
      </x:c>
      <x:c r="E13" s="45" t="n">
        <x:v>0.14827352742044686</x:v>
      </x:c>
      <x:c r="F13" s="45" t="n">
        <x:v>0.16384563303994584</x:v>
      </x:c>
      <x:c r="G13" s="66" t="n">
        <x:v>1180</x:v>
      </x:c>
      <x:c r="H13" s="66" t="n">
        <x:v>89</x:v>
      </x:c>
      <x:c r="I13" s="66" t="n">
        <x:v>0.07542372881355933</x:v>
      </x:c>
      <x:c r="J13" s="36" t="str">
        <x:v>moderate</x:v>
      </x:c>
      <x:c r="K13" s="72" t="n">
        <x:v>29.7870574</x:v>
      </x:c>
      <x:c r="L13" s="72" t="n">
        <x:v>-95.3359408</x:v>
      </x:c>
      <x:c r="M13" s="72" t="n">
        <x:v>0.494</x:v>
      </x:c>
      <x:c r="N13" s="72" t="n">
        <x:v>0.015282230570687432</x:v>
      </x:c>
      <x:c r="O13" s="72" t="n">
        <x:v>16.151472370815405</x:v>
      </x:c>
      <x:c r="P13" s="72" t="n">
        <x:v>3</x:v>
      </x:c>
      <x:c r="Q13" s="72" t="n">
        <x:v>429.67412955273994</x:v>
      </x:c>
      <x:c r="R13" s="36" t="str">
        <x:v>tract internal point; no person, address, building, parcel, or route condition</x:v>
      </x:c>
    </x:row>
    <x:row r="14" ht="86.4000015258789" hidden="0" customHeight="1">
      <x:c r="A14" s="34" t="str">
        <x:v>48201211102</x:v>
      </x:c>
      <x:c r="B14" s="62" t="n">
        <x:v>2401</x:v>
      </x:c>
      <x:c r="C14" s="62" t="n">
        <x:v>362</x:v>
      </x:c>
      <x:c r="D14" s="62" t="n">
        <x:v>111</x:v>
      </x:c>
      <x:c r="E14" s="43" t="n">
        <x:v>0.15077051228654728</x:v>
      </x:c>
      <x:c r="F14" s="43" t="n">
        <x:v>0.04623073719283632</x:v>
      </x:c>
      <x:c r="G14" s="65" t="n">
        <x:v>901</x:v>
      </x:c>
      <x:c r="H14" s="65" t="n">
        <x:v>46</x:v>
      </x:c>
      <x:c r="I14" s="65" t="n">
        <x:v>0.051054384017758046</x:v>
      </x:c>
      <x:c r="J14" s="34" t="str">
        <x:v>moderate</x:v>
      </x:c>
      <x:c r="K14" s="71" t="n">
        <x:v>29.7870675</x:v>
      </x:c>
      <x:c r="L14" s="71" t="n">
        <x:v>-95.3275202</x:v>
      </x:c>
      <x:c r="M14" s="71" t="n">
        <x:v>0.432</x:v>
      </x:c>
      <x:c r="N14" s="71" t="n">
        <x:v>0.0719116978933213</x:v>
      </x:c>
      <x:c r="O14" s="71" t="n">
        <x:v>17.350646539978126</x:v>
      </x:c>
      <x:c r="P14" s="71" t="n">
        <x:v>3</x:v>
      </x:c>
      <x:c r="Q14" s="71" t="n">
        <x:v>345.4774675966933</x:v>
      </x:c>
      <x:c r="R14" s="34" t="str">
        <x:v>tract internal point; no person, address, building, parcel, or route condition</x:v>
      </x:c>
    </x:row>
    <x:row r="15" ht="86.4000015258789" hidden="0" customHeight="1">
      <x:c r="A15" s="36" t="str">
        <x:v>48201211200</x:v>
      </x:c>
      <x:c r="B15" s="63" t="n">
        <x:v>2330</x:v>
      </x:c>
      <x:c r="C15" s="63" t="n">
        <x:v>442</x:v>
      </x:c>
      <x:c r="D15" s="63" t="n">
        <x:v>393</x:v>
      </x:c>
      <x:c r="E15" s="45" t="n">
        <x:v>0.18969957081545064</x:v>
      </x:c>
      <x:c r="F15" s="45" t="n">
        <x:v>0.1686695278969957</x:v>
      </x:c>
      <x:c r="G15" s="66" t="n">
        <x:v>1323</x:v>
      </x:c>
      <x:c r="H15" s="66" t="n">
        <x:v>202</x:v>
      </x:c>
      <x:c r="I15" s="66" t="n">
        <x:v>0.15268329554043839</x:v>
      </x:c>
      <x:c r="J15" s="36" t="str">
        <x:v>high</x:v>
      </x:c>
      <x:c r="K15" s="72" t="n">
        <x:v>29.7981731</x:v>
      </x:c>
      <x:c r="L15" s="72" t="n">
        <x:v>-95.3203735</x:v>
      </x:c>
      <x:c r="M15" s="72" t="n">
        <x:v>0.657</x:v>
      </x:c>
      <x:c r="N15" s="72" t="n">
        <x:v>0.13314227178041785</x:v>
      </x:c>
      <x:c r="O15" s="72" t="n">
        <x:v>19.429451193937627</x:v>
      </x:c>
      <x:c r="P15" s="72" t="n">
        <x:v>3</x:v>
      </x:c>
      <x:c r="Q15" s="72" t="n">
        <x:v>416.044505834382</x:v>
      </x:c>
      <x:c r="R15" s="36" t="str">
        <x:v>tract internal point; no person, address, building, parcel, or route condition</x:v>
      </x:c>
    </x:row>
    <x:row r="16" ht="86.4000015258789" hidden="0" customHeight="1">
      <x:c r="A16" s="34" t="str">
        <x:v>48201211301</x:v>
      </x:c>
      <x:c r="B16" s="62" t="n">
        <x:v>2676</x:v>
      </x:c>
      <x:c r="C16" s="62" t="n">
        <x:v>569</x:v>
      </x:c>
      <x:c r="D16" s="62" t="n">
        <x:v>650.5</x:v>
      </x:c>
      <x:c r="E16" s="43" t="n">
        <x:v>0.2126307922272048</x:v>
      </x:c>
      <x:c r="F16" s="43" t="n">
        <x:v>0.24308669656203288</x:v>
      </x:c>
      <x:c r="G16" s="65" t="n">
        <x:v>1119</x:v>
      </x:c>
      <x:c r="H16" s="65" t="n">
        <x:v>28</x:v>
      </x:c>
      <x:c r="I16" s="65" t="n">
        <x:v>0.025022341376228777</x:v>
      </x:c>
      <x:c r="J16" s="34" t="str">
        <x:v>low</x:v>
      </x:c>
      <x:c r="K16" s="71" t="n">
        <x:v>29.7764213</x:v>
      </x:c>
      <x:c r="L16" s="71" t="n">
        <x:v>-95.3335041</x:v>
      </x:c>
      <x:c r="M16" s="71" t="n">
        <x:v>0.444</x:v>
      </x:c>
      <x:c r="N16" s="71" t="n">
        <x:v>0.0634643170926593</x:v>
      </x:c>
      <x:c r="O16" s="71" t="n">
        <x:v>15.574867008545208</x:v>
      </x:c>
      <x:c r="P16" s="71" t="n">
        <x:v>3</x:v>
      </x:c>
      <x:c r="Q16" s="71" t="n">
        <x:v>224.3776200055905</x:v>
      </x:c>
      <x:c r="R16" s="34" t="str">
        <x:v>tract internal point; no person, address, building, parcel, or route condition</x:v>
      </x:c>
    </x:row>
    <x:row r="17" ht="86.4000015258789" hidden="0" customHeight="1">
      <x:c r="A17" s="36" t="str">
        <x:v>48201211302</x:v>
      </x:c>
      <x:c r="B17" s="63" t="n">
        <x:v>2075</x:v>
      </x:c>
      <x:c r="C17" s="63" t="n">
        <x:v>502</x:v>
      </x:c>
      <x:c r="D17" s="63" t="n">
        <x:v>625.5</x:v>
      </x:c>
      <x:c r="E17" s="45" t="n">
        <x:v>0.2419277108433735</x:v>
      </x:c>
      <x:c r="F17" s="45" t="n">
        <x:v>0.3014457831325301</x:v>
      </x:c>
      <x:c r="G17" s="66" t="n">
        <x:v>1363</x:v>
      </x:c>
      <x:c r="H17" s="66" t="n">
        <x:v>311</x:v>
      </x:c>
      <x:c r="I17" s="66" t="n">
        <x:v>0.22817314746881878</x:v>
      </x:c>
      <x:c r="J17" s="36" t="str">
        <x:v>low</x:v>
      </x:c>
      <x:c r="K17" s="72" t="n">
        <x:v>29.7781578</x:v>
      </x:c>
      <x:c r="L17" s="72" t="n">
        <x:v>-95.3230968</x:v>
      </x:c>
      <x:c r="M17" s="72" t="n">
        <x:v>0.612</x:v>
      </x:c>
      <x:c r="N17" s="72" t="n">
        <x:v>0.032634292605677566</x:v>
      </x:c>
      <x:c r="O17" s="72" t="n">
        <x:v>16.53929778268891</x:v>
      </x:c>
      <x:c r="P17" s="72" t="n">
        <x:v>3</x:v>
      </x:c>
      <x:c r="Q17" s="72" t="n">
        <x:v>175.89221664588723</x:v>
      </x:c>
      <x:c r="R17" s="36" t="str">
        <x:v>tract internal point; no person, address, building, parcel, or route condition</x:v>
      </x:c>
    </x:row>
    <x:row r="18" ht="86.4000015258789" hidden="0" customHeight="1">
      <x:c r="A18" s="34" t="str">
        <x:v>48201211400</x:v>
      </x:c>
      <x:c r="B18" s="62" t="n">
        <x:v>4291</x:v>
      </x:c>
      <x:c r="C18" s="62" t="n">
        <x:v>702</x:v>
      </x:c>
      <x:c r="D18" s="62" t="n">
        <x:v>734</x:v>
      </x:c>
      <x:c r="E18" s="43" t="n">
        <x:v>0.16359822885108366</x:v>
      </x:c>
      <x:c r="F18" s="43" t="n">
        <x:v>0.1710556979725006</x:v>
      </x:c>
      <x:c r="G18" s="65" t="n">
        <x:v>2032</x:v>
      </x:c>
      <x:c r="H18" s="65" t="n">
        <x:v>174</x:v>
      </x:c>
      <x:c r="I18" s="65" t="n">
        <x:v>0.08562992125984252</x:v>
      </x:c>
      <x:c r="J18" s="34" t="str">
        <x:v>low</x:v>
      </x:c>
      <x:c r="K18" s="71" t="n">
        <x:v>29.7658176</x:v>
      </x:c>
      <x:c r="L18" s="71" t="n">
        <x:v>-95.3288618</x:v>
      </x:c>
      <x:c r="M18" s="71" t="n">
        <x:v>1.393</x:v>
      </x:c>
      <x:c r="N18" s="71" t="n">
        <x:v>0.04328765563353681</x:v>
      </x:c>
      <x:c r="O18" s="71" t="n">
        <x:v>16.072494149274213</x:v>
      </x:c>
      <x:c r="P18" s="71" t="n">
        <x:v>3</x:v>
      </x:c>
      <x:c r="Q18" s="71" t="n">
        <x:v>354.0558357185785</x:v>
      </x:c>
      <x:c r="R18" s="34" t="str">
        <x:v>tract internal point; no person, address, building, parcel, or route condition</x:v>
      </x:c>
    </x:row>
    <x:row r="19" ht="86.4000015258789" hidden="0" customHeight="1">
      <x:c r="A19" s="36" t="str">
        <x:v>48201211501</x:v>
      </x:c>
      <x:c r="B19" s="63" t="n">
        <x:v>3129</x:v>
      </x:c>
      <x:c r="C19" s="63" t="n">
        <x:v>421</x:v>
      </x:c>
      <x:c r="D19" s="63" t="n">
        <x:v>340.5</x:v>
      </x:c>
      <x:c r="E19" s="45" t="n">
        <x:v>0.13454777884308086</x:v>
      </x:c>
      <x:c r="F19" s="45" t="n">
        <x:v>0.10882070949185044</x:v>
      </x:c>
      <x:c r="G19" s="66" t="n">
        <x:v>1079</x:v>
      </x:c>
      <x:c r="H19" s="66" t="n">
        <x:v>31</x:v>
      </x:c>
      <x:c r="I19" s="66" t="n">
        <x:v>0.028730305838739572</x:v>
      </x:c>
      <x:c r="J19" s="36" t="str">
        <x:v>low</x:v>
      </x:c>
      <x:c r="K19" s="72" t="n">
        <x:v>29.7638631</x:v>
      </x:c>
      <x:c r="L19" s="72" t="n">
        <x:v>-95.2929525</x:v>
      </x:c>
      <x:c r="M19" s="72" t="n">
        <x:v>1.419</x:v>
      </x:c>
      <x:c r="N19" s="72" t="n">
        <x:v>0.160063780885095</x:v>
      </x:c>
      <x:c r="O19" s="72" t="n">
        <x:v>18.9662251286017</x:v>
      </x:c>
      <x:c r="P19" s="72" t="n">
        <x:v>3</x:v>
      </x:c>
      <x:c r="Q19" s="72" t="n">
        <x:v>255.21839205672933</x:v>
      </x:c>
      <x:c r="R19" s="36" t="str">
        <x:v>tract internal point; no person, address, building, parcel, or route condition</x:v>
      </x:c>
    </x:row>
    <x:row r="20" ht="86.4000015258789" hidden="0" customHeight="1">
      <x:c r="A20" s="34" t="str">
        <x:v>48201211502</x:v>
      </x:c>
      <x:c r="B20" s="62" t="n">
        <x:v>2805</x:v>
      </x:c>
      <x:c r="C20" s="62" t="n">
        <x:v>324</x:v>
      </x:c>
      <x:c r="D20" s="62" t="n">
        <x:v>138</x:v>
      </x:c>
      <x:c r="E20" s="43" t="n">
        <x:v>0.11550802139037433</x:v>
      </x:c>
      <x:c r="F20" s="43" t="n">
        <x:v>0.04919786096256684</x:v>
      </x:c>
      <x:c r="G20" s="65" t="n">
        <x:v>937</x:v>
      </x:c>
      <x:c r="H20" s="65" t="n">
        <x:v>31</x:v>
      </x:c>
      <x:c r="I20" s="65" t="n">
        <x:v>0.033084311632870865</x:v>
      </x:c>
      <x:c r="J20" s="34" t="str">
        <x:v>low</x:v>
      </x:c>
      <x:c r="K20" s="71" t="n">
        <x:v>29.7646425</x:v>
      </x:c>
      <x:c r="L20" s="71" t="n">
        <x:v>-95.307671</x:v>
      </x:c>
      <x:c r="M20" s="71" t="n">
        <x:v>0.922</x:v>
      </x:c>
      <x:c r="N20" s="71" t="n">
        <x:v>0.0338747991084122</x:v>
      </x:c>
      <x:c r="O20" s="71" t="n">
        <x:v>17.961938480036896</x:v>
      </x:c>
      <x:c r="P20" s="71" t="n">
        <x:v>3</x:v>
      </x:c>
      <x:c r="Q20" s="71" t="n">
        <x:v>226.63723314644227</x:v>
      </x:c>
      <x:c r="R20" s="34" t="str">
        <x:v>tract internal point; no person, address, building, parcel, or route condition</x:v>
      </x:c>
    </x:row>
    <x:row r="21" ht="86.4000015258789" hidden="0" customHeight="1">
      <x:c r="A21" s="36" t="str">
        <x:v>48201211600</x:v>
      </x:c>
      <x:c r="B21" s="63" t="n">
        <x:v>2802</x:v>
      </x:c>
      <x:c r="C21" s="63" t="n">
        <x:v>496</x:v>
      </x:c>
      <x:c r="D21" s="63" t="n">
        <x:v>234</x:v>
      </x:c>
      <x:c r="E21" s="45" t="n">
        <x:v>0.17701641684511063</x:v>
      </x:c>
      <x:c r="F21" s="45" t="n">
        <x:v>0.0835117773019272</x:v>
      </x:c>
      <x:c r="G21" s="66" t="n">
        <x:v>1168</x:v>
      </x:c>
      <x:c r="H21" s="66" t="n">
        <x:v>194</x:v>
      </x:c>
      <x:c r="I21" s="66" t="n">
        <x:v>0.1660958904109589</x:v>
      </x:c>
      <x:c r="J21" s="36" t="str">
        <x:v>low</x:v>
      </x:c>
      <x:c r="K21" s="72" t="n">
        <x:v>29.7809192</x:v>
      </x:c>
      <x:c r="L21" s="72" t="n">
        <x:v>-95.3115924</x:v>
      </x:c>
      <x:c r="M21" s="72" t="n">
        <x:v>0.455</x:v>
      </x:c>
      <x:c r="N21" s="72" t="n">
        <x:v>0.0859001558500882</x:v>
      </x:c>
      <x:c r="O21" s="72" t="n">
        <x:v>17.504733183909124</x:v>
      </x:c>
      <x:c r="P21" s="72" t="n">
        <x:v>3</x:v>
      </x:c>
      <x:c r="Q21" s="72" t="n">
        <x:v>229.8596379733961</x:v>
      </x:c>
      <x:c r="R21" s="36" t="str">
        <x:v>tract internal point; no person, address, building, parcel, or route condition</x:v>
      </x:c>
    </x:row>
    <x:row r="22" ht="86.4000015258789" hidden="0" customHeight="1">
      <x:c r="A22" s="34" t="str">
        <x:v>48201211700</x:v>
      </x:c>
      <x:c r="B22" s="62" t="n">
        <x:v>3838</x:v>
      </x:c>
      <x:c r="C22" s="62" t="n">
        <x:v>580</x:v>
      </x:c>
      <x:c r="D22" s="62" t="n">
        <x:v>97.5</x:v>
      </x:c>
      <x:c r="E22" s="43" t="n">
        <x:v>0.15112037519541427</x:v>
      </x:c>
      <x:c r="F22" s="43" t="n">
        <x:v>0.025403856175091194</x:v>
      </x:c>
      <x:c r="G22" s="65" t="n">
        <x:v>1564</x:v>
      </x:c>
      <x:c r="H22" s="65" t="n">
        <x:v>74</x:v>
      </x:c>
      <x:c r="I22" s="65" t="n">
        <x:v>0.04731457800511509</x:v>
      </x:c>
      <x:c r="J22" s="34" t="str">
        <x:v>moderate</x:v>
      </x:c>
      <x:c r="K22" s="71" t="n">
        <x:v>29.7965959</x:v>
      </x:c>
      <x:c r="L22" s="71" t="n">
        <x:v>-95.3043165</x:v>
      </x:c>
      <x:c r="M22" s="71" t="n">
        <x:v>1.715</x:v>
      </x:c>
      <x:c r="N22" s="71" t="n">
        <x:v>0.046490080669362006</x:v>
      </x:c>
      <x:c r="O22" s="71" t="n">
        <x:v>21.43317884859165</x:v>
      </x:c>
      <x:c r="P22" s="71" t="n">
        <x:v>3</x:v>
      </x:c>
      <x:c r="Q22" s="71" t="n">
        <x:v>551.1717899723859</x:v>
      </x:c>
      <x:c r="R22" s="34" t="str">
        <x:v>tract internal point; no person, address, building, parcel, or route condition</x:v>
      </x:c>
    </x:row>
    <x:row r="23" ht="86.4000015258789" hidden="0" customHeight="1">
      <x:c r="A23" s="36" t="str">
        <x:v>48201211900</x:v>
      </x:c>
      <x:c r="B23" s="63" t="n">
        <x:v>4150</x:v>
      </x:c>
      <x:c r="C23" s="63" t="n">
        <x:v>809</x:v>
      </x:c>
      <x:c r="D23" s="63" t="n">
        <x:v>178</x:v>
      </x:c>
      <x:c r="E23" s="45" t="n">
        <x:v>0.19493975903614458</x:v>
      </x:c>
      <x:c r="F23" s="45" t="n">
        <x:v>0.042891566265060244</x:v>
      </x:c>
      <x:c r="G23" s="66" t="n">
        <x:v>1770</x:v>
      </x:c>
      <x:c r="H23" s="66" t="n">
        <x:v>50</x:v>
      </x:c>
      <x:c r="I23" s="66" t="n">
        <x:v>0.02824858757062147</x:v>
      </x:c>
      <x:c r="J23" s="36" t="str">
        <x:v>low</x:v>
      </x:c>
      <x:c r="K23" s="72" t="n">
        <x:v>29.783817</x:v>
      </x:c>
      <x:c r="L23" s="72" t="n">
        <x:v>-95.2995098</x:v>
      </x:c>
      <x:c r="M23" s="72" t="n">
        <x:v>0.482</x:v>
      </x:c>
      <x:c r="N23" s="72" t="n">
        <x:v>0.06293854883049006</x:v>
      </x:c>
      <x:c r="O23" s="72" t="n">
        <x:v>18.78739224178352</x:v>
      </x:c>
      <x:c r="P23" s="72" t="n">
        <x:v>3</x:v>
      </x:c>
      <x:c r="Q23" s="72" t="n">
        <x:v>340.2859497263269</x:v>
      </x:c>
      <x:c r="R23" s="36" t="str">
        <x:v>tract internal point; no person, address, building, parcel, or route condition</x:v>
      </x:c>
    </x:row>
    <x:row r="24" ht="86.4000015258789" hidden="0" customHeight="1">
      <x:c r="A24" s="34" t="str">
        <x:v>48201212300</x:v>
      </x:c>
      <x:c r="B24" s="62" t="n">
        <x:v>4731</x:v>
      </x:c>
      <x:c r="C24" s="62" t="n">
        <x:v>889</x:v>
      </x:c>
      <x:c r="D24" s="62" t="n">
        <x:v>656</x:v>
      </x:c>
      <x:c r="E24" s="43" t="n">
        <x:v>0.18790953286831535</x:v>
      </x:c>
      <x:c r="F24" s="43" t="n">
        <x:v>0.1386599027689706</x:v>
      </x:c>
      <x:c r="G24" s="65" t="n">
        <x:v>2621</x:v>
      </x:c>
      <x:c r="H24" s="65" t="n">
        <x:v>690</x:v>
      </x:c>
      <x:c r="I24" s="65" t="n">
        <x:v>0.2632582983594048</x:v>
      </x:c>
      <x:c r="J24" s="34" t="str">
        <x:v>low</x:v>
      </x:c>
      <x:c r="K24" s="71" t="n">
        <x:v>29.7747755</x:v>
      </x:c>
      <x:c r="L24" s="71" t="n">
        <x:v>-95.3550489</x:v>
      </x:c>
      <x:c r="M24" s="71" t="n">
        <x:v>1.262</x:v>
      </x:c>
      <x:c r="N24" s="71" t="n">
        <x:v>0.05102134757082942</x:v>
      </x:c>
      <x:c r="O24" s="71" t="n">
        <x:v>16.144117877731965</x:v>
      </x:c>
      <x:c r="P24" s="71" t="n">
        <x:v>3</x:v>
      </x:c>
      <x:c r="Q24" s="71" t="n">
        <x:v>390.9641602731525</x:v>
      </x:c>
      <x:c r="R24" s="34" t="str">
        <x:v>tract internal point; no person, address, building, parcel, or route condition</x:v>
      </x:c>
    </x:row>
    <x:row r="25" ht="86.4000015258789" hidden="0" customHeight="1">
      <x:c r="A25" s="36" t="str">
        <x:v>48201212400</x:v>
      </x:c>
      <x:c r="B25" s="63" t="n">
        <x:v>2871</x:v>
      </x:c>
      <x:c r="C25" s="63" t="n">
        <x:v>733</x:v>
      </x:c>
      <x:c r="D25" s="63" t="n">
        <x:v>116</x:v>
      </x:c>
      <x:c r="E25" s="45" t="n">
        <x:v>0.2553117380703588</x:v>
      </x:c>
      <x:c r="F25" s="45" t="n">
        <x:v>0.04040404040404041</x:v>
      </x:c>
      <x:c r="G25" s="66" t="n">
        <x:v>981</x:v>
      </x:c>
      <x:c r="H25" s="66" t="n">
        <x:v>0</x:v>
      </x:c>
      <x:c r="I25" s="66" t="n">
        <x:v>0</x:v>
      </x:c>
      <x:c r="J25" s="36" t="str">
        <x:v>low</x:v>
      </x:c>
      <x:c r="K25" s="72" t="n">
        <x:v>29.7863474</x:v>
      </x:c>
      <x:c r="L25" s="72" t="n">
        <x:v>-95.2850878</x:v>
      </x:c>
      <x:c r="M25" s="72" t="n">
        <x:v>3.137</x:v>
      </x:c>
      <x:c r="N25" s="72" t="n">
        <x:v>0.14033272464053076</x:v>
      </x:c>
      <x:c r="O25" s="72" t="n">
        <x:v>19.75991638636599</x:v>
      </x:c>
      <x:c r="P25" s="72" t="n">
        <x:v>3</x:v>
      </x:c>
      <x:c r="Q25" s="72" t="n">
        <x:v>238.08070004411252</x:v>
      </x:c>
      <x:c r="R25" s="36" t="str">
        <x:v>tract internal point; no person, address, building, parcel, or route condition</x:v>
      </x:c>
    </x:row>
    <x:row r="26" ht="86.4000015258789" hidden="0" customHeight="1">
      <x:c r="A26" s="34" t="str">
        <x:v>48201212500</x:v>
      </x:c>
      <x:c r="B26" s="62" t="n">
        <x:v>3456</x:v>
      </x:c>
      <x:c r="C26" s="62" t="n">
        <x:v>739</x:v>
      </x:c>
      <x:c r="D26" s="62" t="n">
        <x:v>364</x:v>
      </x:c>
      <x:c r="E26" s="43" t="n">
        <x:v>0.21383101851851852</x:v>
      </x:c>
      <x:c r="F26" s="43" t="n">
        <x:v>0.10532407407407407</x:v>
      </x:c>
      <x:c r="G26" s="65" t="n">
        <x:v>1657</x:v>
      </x:c>
      <x:c r="H26" s="65" t="n">
        <x:v>37</x:v>
      </x:c>
      <x:c r="I26" s="65" t="n">
        <x:v>0.022329511164755584</x:v>
      </x:c>
      <x:c r="J26" s="34" t="str">
        <x:v>low</x:v>
      </x:c>
      <x:c r="K26" s="71" t="n">
        <x:v>29.7520836</x:v>
      </x:c>
      <x:c r="L26" s="71" t="n">
        <x:v>-95.2767055</x:v>
      </x:c>
      <x:c r="M26" s="71" t="n">
        <x:v>4.162</x:v>
      </x:c>
      <x:c r="N26" s="71" t="n">
        <x:v>0.4040543407960508</x:v>
      </x:c>
      <x:c r="O26" s="71" t="n">
        <x:v>22.10195755345352</x:v>
      </x:c>
      <x:c r="P26" s="71" t="n">
        <x:v>3</x:v>
      </x:c>
      <x:c r="Q26" s="71" t="n">
        <x:v>286.10239148969316</x:v>
      </x:c>
      <x:c r="R26" s="34" t="str">
        <x:v>tract internal point; no person, address, building, parcel, or route condition</x:v>
      </x:c>
    </x:row>
    <x:row r="27" ht="86.4000015258789" hidden="0" customHeight="1">
      <x:c r="A27" s="36" t="str">
        <x:v>48201220100</x:v>
      </x:c>
      <x:c r="B27" s="63" t="n">
        <x:v>1524</x:v>
      </x:c>
      <x:c r="C27" s="63" t="n">
        <x:v>326</x:v>
      </x:c>
      <x:c r="D27" s="63" t="n">
        <x:v>0</x:v>
      </x:c>
      <x:c r="E27" s="45" t="n">
        <x:v>0.21391076115485563</x:v>
      </x:c>
      <x:c r="F27" s="45" t="n">
        <x:v>0</x:v>
      </x:c>
      <x:c r="G27" s="66" t="n">
        <x:v>689</x:v>
      </x:c>
      <x:c r="H27" s="66" t="n">
        <x:v>0</x:v>
      </x:c>
      <x:c r="I27" s="66" t="n">
        <x:v>0</x:v>
      </x:c>
      <x:c r="J27" s="36" t="str">
        <x:v>low</x:v>
      </x:c>
      <x:c r="K27" s="72" t="n">
        <x:v>29.8151628</x:v>
      </x:c>
      <x:c r="L27" s="72" t="n">
        <x:v>-95.3434635</x:v>
      </x:c>
      <x:c r="M27" s="72" t="n">
        <x:v>0.68</x:v>
      </x:c>
      <x:c r="N27" s="72" t="n">
        <x:v>0.10122910989887669</x:v>
      </x:c>
      <x:c r="O27" s="72" t="n">
        <x:v>18.352699085496443</x:v>
      </x:c>
      <x:c r="P27" s="72" t="n">
        <x:v>3</x:v>
      </x:c>
      <x:c r="Q27" s="72" t="n">
        <x:v>124.90355490231863</x:v>
      </x:c>
      <x:c r="R27" s="36" t="str">
        <x:v>tract internal point; no person, address, building, parcel, or route condition</x:v>
      </x:c>
    </x:row>
    <x:row r="28" ht="86.4000015258789" hidden="0" customHeight="1">
      <x:c r="A28" s="34" t="str">
        <x:v>48201220200</x:v>
      </x:c>
      <x:c r="B28" s="62" t="n">
        <x:v>2405</x:v>
      </x:c>
      <x:c r="C28" s="62" t="n">
        <x:v>292</x:v>
      </x:c>
      <x:c r="D28" s="62" t="n">
        <x:v>132</x:v>
      </x:c>
      <x:c r="E28" s="43" t="n">
        <x:v>0.12141372141372142</x:v>
      </x:c>
      <x:c r="F28" s="43" t="n">
        <x:v>0.05488565488565489</x:v>
      </x:c>
      <x:c r="G28" s="65" t="n">
        <x:v>848</x:v>
      </x:c>
      <x:c r="H28" s="65" t="n">
        <x:v>9</x:v>
      </x:c>
      <x:c r="I28" s="65" t="n">
        <x:v>0.01061320754716981</x:v>
      </x:c>
      <x:c r="J28" s="34" t="str">
        <x:v>low</x:v>
      </x:c>
      <x:c r="K28" s="71" t="n">
        <x:v>29.8165562</x:v>
      </x:c>
      <x:c r="L28" s="71" t="n">
        <x:v>-95.3649369</x:v>
      </x:c>
      <x:c r="M28" s="71" t="n">
        <x:v>0.575</x:v>
      </x:c>
      <x:c r="N28" s="71" t="n">
        <x:v>0.054980020583053665</x:v>
      </x:c>
      <x:c r="O28" s="71" t="n">
        <x:v>18.99822855013325</x:v>
      </x:c>
      <x:c r="P28" s="71" t="n">
        <x:v>3</x:v>
      </x:c>
      <x:c r="Q28" s="71" t="n">
        <x:v>194.64897059594912</x:v>
      </x:c>
      <x:c r="R28" s="34" t="str">
        <x:v>tract internal point; no person, address, building, parcel, or route condition</x:v>
      </x:c>
    </x:row>
    <x:row r="29" ht="86.4000015258789" hidden="0" customHeight="1">
      <x:c r="A29" s="36" t="str">
        <x:v>48201220300</x:v>
      </x:c>
      <x:c r="B29" s="63" t="n">
        <x:v>3773</x:v>
      </x:c>
      <x:c r="C29" s="63" t="n">
        <x:v>610</x:v>
      </x:c>
      <x:c r="D29" s="63" t="n">
        <x:v>163</x:v>
      </x:c>
      <x:c r="E29" s="45" t="n">
        <x:v>0.1616750596342433</x:v>
      </x:c>
      <x:c r="F29" s="45" t="n">
        <x:v>0.04320169626292075</x:v>
      </x:c>
      <x:c r="G29" s="66" t="n">
        <x:v>1374</x:v>
      </x:c>
      <x:c r="H29" s="66" t="n">
        <x:v>72</x:v>
      </x:c>
      <x:c r="I29" s="66" t="n">
        <x:v>0.05240174672489083</x:v>
      </x:c>
      <x:c r="J29" s="36" t="str">
        <x:v>low</x:v>
      </x:c>
      <x:c r="K29" s="72" t="n">
        <x:v>29.8242369</x:v>
      </x:c>
      <x:c r="L29" s="72" t="n">
        <x:v>-95.3656588</x:v>
      </x:c>
      <x:c r="M29" s="72" t="n">
        <x:v>0.768</x:v>
      </x:c>
      <x:c r="N29" s="72" t="n">
        <x:v>0.01855881992855899</x:v>
      </x:c>
      <x:c r="O29" s="72" t="n">
        <x:v>20.177515346591242</x:v>
      </x:c>
      <x:c r="P29" s="72" t="n">
        <x:v>3</x:v>
      </x:c>
      <x:c r="Q29" s="72" t="n">
        <x:v>307.40956096742946</x:v>
      </x:c>
      <x:c r="R29" s="36" t="str">
        <x:v>tract internal point; no person, address, building, parcel, or route condition</x:v>
      </x:c>
    </x:row>
    <x:row r="30" ht="86.4000015258789" hidden="0" customHeight="1">
      <x:c r="A30" s="34" t="str">
        <x:v>48201220400</x:v>
      </x:c>
      <x:c r="B30" s="62" t="n">
        <x:v>4176</x:v>
      </x:c>
      <x:c r="C30" s="62" t="n">
        <x:v>730</x:v>
      </x:c>
      <x:c r="D30" s="62" t="n">
        <x:v>391.5</x:v>
      </x:c>
      <x:c r="E30" s="43" t="n">
        <x:v>0.17480842911877395</x:v>
      </x:c>
      <x:c r="F30" s="43" t="n">
        <x:v>0.09375</x:v>
      </x:c>
      <x:c r="G30" s="65" t="n">
        <x:v>1714</x:v>
      </x:c>
      <x:c r="H30" s="65" t="n">
        <x:v>254</x:v>
      </x:c>
      <x:c r="I30" s="65" t="n">
        <x:v>0.14819136522753792</x:v>
      </x:c>
      <x:c r="J30" s="34" t="str">
        <x:v>low</x:v>
      </x:c>
      <x:c r="K30" s="71" t="n">
        <x:v>29.831578</x:v>
      </x:c>
      <x:c r="L30" s="71" t="n">
        <x:v>-95.3663222</x:v>
      </x:c>
      <x:c r="M30" s="71" t="n">
        <x:v>0.742</x:v>
      </x:c>
      <x:c r="N30" s="71" t="n">
        <x:v>0.050793576088674776</x:v>
      </x:c>
      <x:c r="O30" s="71" t="n">
        <x:v>21.370833413884654</x:v>
      </x:c>
      <x:c r="P30" s="71" t="n">
        <x:v>3</x:v>
      </x:c>
      <x:c r="Q30" s="71" t="n">
        <x:v>342.7656295382877</x:v>
      </x:c>
      <x:c r="R30" s="34" t="str">
        <x:v>tract internal point; no person, address, building, parcel, or route condition</x:v>
      </x:c>
    </x:row>
    <x:row r="31" ht="86.4000015258789" hidden="0" customHeight="1">
      <x:c r="A31" s="36" t="str">
        <x:v>48201220500</x:v>
      </x:c>
      <x:c r="B31" s="63" t="n">
        <x:v>3371</x:v>
      </x:c>
      <x:c r="C31" s="63" t="n">
        <x:v>790</x:v>
      </x:c>
      <x:c r="D31" s="63" t="n">
        <x:v>537</x:v>
      </x:c>
      <x:c r="E31" s="45" t="n">
        <x:v>0.23435182438445565</x:v>
      </x:c>
      <x:c r="F31" s="45" t="n">
        <x:v>0.1592999110056363</x:v>
      </x:c>
      <x:c r="G31" s="66" t="n">
        <x:v>1745</x:v>
      </x:c>
      <x:c r="H31" s="66" t="n">
        <x:v>773</x:v>
      </x:c>
      <x:c r="I31" s="66" t="n">
        <x:v>0.44297994269340973</x:v>
      </x:c>
      <x:c r="J31" s="36" t="str">
        <x:v>low</x:v>
      </x:c>
      <x:c r="K31" s="72" t="n">
        <x:v>29.8362058</x:v>
      </x:c>
      <x:c r="L31" s="72" t="n">
        <x:v>-95.3814642</x:v>
      </x:c>
      <x:c r="M31" s="72" t="n">
        <x:v>0.928</x:v>
      </x:c>
      <x:c r="N31" s="72" t="n">
        <x:v>0.08050702660526145</x:v>
      </x:c>
      <x:c r="O31" s="72" t="n">
        <x:v>20.515433385981005</x:v>
      </x:c>
      <x:c r="P31" s="72" t="n">
        <x:v>3</x:v>
      </x:c>
      <x:c r="Q31" s="72" t="n">
        <x:v>281.58316520798957</x:v>
      </x:c>
      <x:c r="R31" s="36" t="str">
        <x:v>tract internal point; no person, address, building, parcel, or route condition</x:v>
      </x:c>
    </x:row>
    <x:row r="32" ht="86.4000015258789" hidden="0" customHeight="1">
      <x:c r="A32" s="34" t="str">
        <x:v>48201220600</x:v>
      </x:c>
      <x:c r="B32" s="62" t="n">
        <x:v>3168</x:v>
      </x:c>
      <x:c r="C32" s="62" t="n">
        <x:v>267</x:v>
      </x:c>
      <x:c r="D32" s="62" t="n">
        <x:v>409.5</x:v>
      </x:c>
      <x:c r="E32" s="43" t="n">
        <x:v>0.08428030303030302</x:v>
      </x:c>
      <x:c r="F32" s="43" t="n">
        <x:v>0.12926136363636365</x:v>
      </x:c>
      <x:c r="G32" s="65" t="n">
        <x:v>1057</x:v>
      </x:c>
      <x:c r="H32" s="65" t="n">
        <x:v>187</x:v>
      </x:c>
      <x:c r="I32" s="65" t="n">
        <x:v>0.17691579943235572</x:v>
      </x:c>
      <x:c r="J32" s="34" t="str">
        <x:v>low</x:v>
      </x:c>
      <x:c r="K32" s="71" t="n">
        <x:v>29.8418052</x:v>
      </x:c>
      <x:c r="L32" s="71" t="n">
        <x:v>-95.3668801</x:v>
      </x:c>
      <x:c r="M32" s="71" t="n">
        <x:v>0.641</x:v>
      </x:c>
      <x:c r="N32" s="71" t="n">
        <x:v>0.028226802176793627</x:v>
      </x:c>
      <x:c r="O32" s="71" t="n">
        <x:v>21.770021882573065</x:v>
      </x:c>
      <x:c r="P32" s="71" t="n">
        <x:v>3</x:v>
      </x:c>
      <x:c r="Q32" s="71" t="n">
        <x:v>256.4051801759245</x:v>
      </x:c>
      <x:c r="R32" s="34" t="str">
        <x:v>tract internal point; no person, address, building, parcel, or route condition</x:v>
      </x:c>
    </x:row>
    <x:row r="33" ht="86.4000015258789" hidden="0" customHeight="1">
      <x:c r="A33" s="36" t="str">
        <x:v>48201220701</x:v>
      </x:c>
      <x:c r="B33" s="63" t="n">
        <x:v>3498</x:v>
      </x:c>
      <x:c r="C33" s="63" t="n">
        <x:v>258</x:v>
      </x:c>
      <x:c r="D33" s="63" t="n">
        <x:v>361</x:v>
      </x:c>
      <x:c r="E33" s="45" t="n">
        <x:v>0.07375643224699828</x:v>
      </x:c>
      <x:c r="F33" s="45" t="n">
        <x:v>0.10320182961692395</x:v>
      </x:c>
      <x:c r="G33" s="66" t="n">
        <x:v>1036</x:v>
      </x:c>
      <x:c r="H33" s="66" t="n">
        <x:v>377</x:v>
      </x:c>
      <x:c r="I33" s="66" t="n">
        <x:v>0.3638996138996139</x:v>
      </x:c>
      <x:c r="J33" s="36" t="str">
        <x:v>low</x:v>
      </x:c>
      <x:c r="K33" s="72" t="n">
        <x:v>29.8413115</x:v>
      </x:c>
      <x:c r="L33" s="72" t="n">
        <x:v>-95.350702</x:v>
      </x:c>
      <x:c r="M33" s="72" t="n">
        <x:v>0.791</x:v>
      </x:c>
      <x:c r="N33" s="72" t="n">
        <x:v>0.10000467968578335</x:v>
      </x:c>
      <x:c r="O33" s="72" t="n">
        <x:v>21.315137978494302</x:v>
      </x:c>
      <x:c r="P33" s="72" t="n">
        <x:v>3</x:v>
      </x:c>
      <x:c r="Q33" s="72" t="n">
        <x:v>281.81895092703496</x:v>
      </x:c>
      <x:c r="R33" s="36" t="str">
        <x:v>tract internal point; no person, address, building, parcel, or route condition</x:v>
      </x:c>
    </x:row>
    <x:row r="34" ht="86.4000015258789" hidden="0" customHeight="1">
      <x:c r="A34" s="34" t="str">
        <x:v>48201220702</x:v>
      </x:c>
      <x:c r="B34" s="62" t="n">
        <x:v>3805</x:v>
      </x:c>
      <x:c r="C34" s="62" t="n">
        <x:v>626</x:v>
      </x:c>
      <x:c r="D34" s="62" t="n">
        <x:v>146</x:v>
      </x:c>
      <x:c r="E34" s="43" t="n">
        <x:v>0.1645203679369251</x:v>
      </x:c>
      <x:c r="F34" s="43" t="n">
        <x:v>0.038370565045992115</x:v>
      </x:c>
      <x:c r="G34" s="65" t="n">
        <x:v>1346</x:v>
      </x:c>
      <x:c r="H34" s="65" t="n">
        <x:v>255</x:v>
      </x:c>
      <x:c r="I34" s="65" t="n">
        <x:v>0.18945022288261515</x:v>
      </x:c>
      <x:c r="J34" s="34" t="str">
        <x:v>low</x:v>
      </x:c>
      <x:c r="K34" s="71" t="n">
        <x:v>29.8274619</x:v>
      </x:c>
      <x:c r="L34" s="71" t="n">
        <x:v>-95.3485071</x:v>
      </x:c>
      <x:c r="M34" s="71" t="n">
        <x:v>0.806</x:v>
      </x:c>
      <x:c r="N34" s="71" t="n">
        <x:v>0.03207703525755253</x:v>
      </x:c>
      <x:c r="O34" s="71" t="n">
        <x:v>20.27544215340501</x:v>
      </x:c>
      <x:c r="P34" s="71" t="n">
        <x:v>3</x:v>
      </x:c>
      <x:c r="Q34" s="71" t="n">
        <x:v>310.0425014967699</x:v>
      </x:c>
      <x:c r="R34" s="34" t="str">
        <x:v>tract internal point; no person, address, building, parcel, or route condition</x:v>
      </x:c>
    </x:row>
    <x:row r="35" ht="86.4000015258789" hidden="0" customHeight="1">
      <x:c r="A35" s="36" t="str">
        <x:v>48201220800</x:v>
      </x:c>
      <x:c r="B35" s="63" t="n">
        <x:v>3927</x:v>
      </x:c>
      <x:c r="C35" s="63" t="n">
        <x:v>447</x:v>
      </x:c>
      <x:c r="D35" s="63" t="n">
        <x:v>429</x:v>
      </x:c>
      <x:c r="E35" s="45" t="n">
        <x:v>0.11382734912146678</x:v>
      </x:c>
      <x:c r="F35" s="45" t="n">
        <x:v>0.1092436974789916</x:v>
      </x:c>
      <x:c r="G35" s="66" t="n">
        <x:v>1344</x:v>
      </x:c>
      <x:c r="H35" s="66" t="n">
        <x:v>429</x:v>
      </x:c>
      <x:c r="I35" s="66" t="n">
        <x:v>0.31919642857142855</x:v>
      </x:c>
      <x:c r="J35" s="36" t="str">
        <x:v>low</x:v>
      </x:c>
      <x:c r="K35" s="72" t="n">
        <x:v>29.8308466</x:v>
      </x:c>
      <x:c r="L35" s="72" t="n">
        <x:v>-95.3387038</x:v>
      </x:c>
      <x:c r="M35" s="72" t="n">
        <x:v>0.67</x:v>
      </x:c>
      <x:c r="N35" s="72" t="n">
        <x:v>0.02865369474326745</x:v>
      </x:c>
      <x:c r="O35" s="72" t="n">
        <x:v>19.323224202385315</x:v>
      </x:c>
      <x:c r="P35" s="72" t="n">
        <x:v>3</x:v>
      </x:c>
      <x:c r="Q35" s="72" t="n">
        <x:v>319.04165644033606</x:v>
      </x:c>
      <x:c r="R35" s="36" t="str">
        <x:v>tract internal point; no person, address, building, parcel, or route condition</x:v>
      </x:c>
    </x:row>
    <x:row r="36" ht="86.4000015258789" hidden="0" customHeight="1">
      <x:c r="A36" s="34" t="str">
        <x:v>48201220900</x:v>
      </x:c>
      <x:c r="B36" s="62" t="n">
        <x:v>1790</x:v>
      </x:c>
      <x:c r="C36" s="62" t="n">
        <x:v>401</x:v>
      </x:c>
      <x:c r="D36" s="62" t="n">
        <x:v>134</x:v>
      </x:c>
      <x:c r="E36" s="43" t="n">
        <x:v>0.2240223463687151</x:v>
      </x:c>
      <x:c r="F36" s="43" t="n">
        <x:v>0.07486033519553073</x:v>
      </x:c>
      <x:c r="G36" s="65" t="n">
        <x:v>737</x:v>
      </x:c>
      <x:c r="H36" s="65" t="n">
        <x:v>73</x:v>
      </x:c>
      <x:c r="I36" s="65" t="n">
        <x:v>0.09905020352781546</x:v>
      </x:c>
      <x:c r="J36" s="34" t="str">
        <x:v>low</x:v>
      </x:c>
      <x:c r="K36" s="71" t="n">
        <x:v>29.8488405</x:v>
      </x:c>
      <x:c r="L36" s="71" t="n">
        <x:v>-95.3376376</x:v>
      </x:c>
      <x:c r="M36" s="71" t="n">
        <x:v>0.578</x:v>
      </x:c>
      <x:c r="N36" s="71" t="n">
        <x:v>0.05703027468678808</x:v>
      </x:c>
      <x:c r="O36" s="71" t="n">
        <x:v>19.395074905615946</x:v>
      </x:c>
      <x:c r="P36" s="71" t="n">
        <x:v>1</x:v>
      </x:c>
      <x:c r="Q36" s="71" t="n">
        <x:v>148.0419934646409</x:v>
      </x:c>
      <x:c r="R36" s="34" t="str">
        <x:v>tract internal point; no person, address, building, parcel, or route condition</x:v>
      </x:c>
    </x:row>
    <x:row r="37" ht="86.4000015258789" hidden="0" customHeight="1">
      <x:c r="A37" s="36" t="str">
        <x:v>48201221000</x:v>
      </x:c>
      <x:c r="B37" s="63" t="n">
        <x:v>3508</x:v>
      </x:c>
      <x:c r="C37" s="63" t="n">
        <x:v>404</x:v>
      </x:c>
      <x:c r="D37" s="63" t="n">
        <x:v>121</x:v>
      </x:c>
      <x:c r="E37" s="45" t="n">
        <x:v>0.11516533637400228</x:v>
      </x:c>
      <x:c r="F37" s="45" t="n">
        <x:v>0.034492588369441274</x:v>
      </x:c>
      <x:c r="G37" s="66" t="n">
        <x:v>1198</x:v>
      </x:c>
      <x:c r="H37" s="66" t="n">
        <x:v>165</x:v>
      </x:c>
      <x:c r="I37" s="66" t="n">
        <x:v>0.13772954924874792</x:v>
      </x:c>
      <x:c r="J37" s="36" t="str">
        <x:v>moderate</x:v>
      </x:c>
      <x:c r="K37" s="72" t="n">
        <x:v>29.8603325</x:v>
      </x:c>
      <x:c r="L37" s="72" t="n">
        <x:v>-95.3448895</x:v>
      </x:c>
      <x:c r="M37" s="72" t="n">
        <x:v>0.959</x:v>
      </x:c>
      <x:c r="N37" s="72" t="n">
        <x:v>0.076457747534843</x:v>
      </x:c>
      <x:c r="O37" s="72" t="n">
        <x:v>19.90964818835436</x:v>
      </x:c>
      <x:c r="P37" s="72" t="n">
        <x:v>1</x:v>
      </x:c>
      <x:c r="Q37" s="72" t="n">
        <x:v>500.71636670112014</x:v>
      </x:c>
      <x:c r="R37" s="36" t="str">
        <x:v>tract internal point; no person, address, building, parcel, or route condition</x:v>
      </x:c>
    </x:row>
    <x:row r="38" ht="86.4000015258789" hidden="0" customHeight="1">
      <x:c r="A38" s="34" t="str">
        <x:v>48201221100</x:v>
      </x:c>
      <x:c r="B38" s="62" t="n">
        <x:v>3233</x:v>
      </x:c>
      <x:c r="C38" s="62" t="n">
        <x:v>484</x:v>
      </x:c>
      <x:c r="D38" s="62" t="n">
        <x:v>247</x:v>
      </x:c>
      <x:c r="E38" s="43" t="n">
        <x:v>0.14970615527373957</x:v>
      </x:c>
      <x:c r="F38" s="43" t="n">
        <x:v>0.0763996288277142</x:v>
      </x:c>
      <x:c r="G38" s="65" t="n">
        <x:v>1127</x:v>
      </x:c>
      <x:c r="H38" s="65" t="n">
        <x:v>0</x:v>
      </x:c>
      <x:c r="I38" s="65" t="n">
        <x:v>0</x:v>
      </x:c>
      <x:c r="J38" s="34" t="str">
        <x:v>low</x:v>
      </x:c>
      <x:c r="K38" s="71" t="n">
        <x:v>29.860055</x:v>
      </x:c>
      <x:c r="L38" s="71" t="n">
        <x:v>-95.3546869</x:v>
      </x:c>
      <x:c r="M38" s="71" t="n">
        <x:v>1.182</x:v>
      </x:c>
      <x:c r="N38" s="71" t="n">
        <x:v>0.18266298246288806</x:v>
      </x:c>
      <x:c r="O38" s="71" t="n">
        <x:v>21.30469604730658</x:v>
      </x:c>
      <x:c r="P38" s="71" t="n">
        <x:v>1</x:v>
      </x:c>
      <x:c r="Q38" s="71" t="n">
        <x:v>263.64773151260255</x:v>
      </x:c>
      <x:c r="R38" s="34" t="str">
        <x:v>tract internal point; no person, address, building, parcel, or route condition</x:v>
      </x:c>
    </x:row>
    <x:row r="39" ht="86.4000015258789" hidden="0" customHeight="1">
      <x:c r="A39" s="36" t="str">
        <x:v>48201221200</x:v>
      </x:c>
      <x:c r="B39" s="63" t="n">
        <x:v>5407</x:v>
      </x:c>
      <x:c r="C39" s="63" t="n">
        <x:v>652</x:v>
      </x:c>
      <x:c r="D39" s="63" t="n">
        <x:v>40</x:v>
      </x:c>
      <x:c r="E39" s="45" t="n">
        <x:v>0.12058442759385982</x:v>
      </x:c>
      <x:c r="F39" s="45" t="n">
        <x:v>0.007397817643795081</x:v>
      </x:c>
      <x:c r="G39" s="66" t="n">
        <x:v>1629</x:v>
      </x:c>
      <x:c r="H39" s="66" t="n">
        <x:v>0</x:v>
      </x:c>
      <x:c r="I39" s="66" t="n">
        <x:v>0</x:v>
      </x:c>
      <x:c r="J39" s="36" t="str">
        <x:v>low</x:v>
      </x:c>
      <x:c r="K39" s="72" t="n">
        <x:v>29.8645953</x:v>
      </x:c>
      <x:c r="L39" s="72" t="n">
        <x:v>-95.3740348</x:v>
      </x:c>
      <x:c r="M39" s="72" t="n">
        <x:v>0.965</x:v>
      </x:c>
      <x:c r="N39" s="72" t="n">
        <x:v>0.023651707019662713</x:v>
      </x:c>
      <x:c r="O39" s="72" t="n">
        <x:v>23.645388116534996</x:v>
      </x:c>
      <x:c r="P39" s="72" t="n">
        <x:v>3</x:v>
      </x:c>
      <x:c r="Q39" s="72" t="n">
        <x:v>435.52766117273376</x:v>
      </x:c>
      <x:c r="R39" s="36" t="str">
        <x:v>tract internal point; no person, address, building, parcel, or route condition</x:v>
      </x:c>
    </x:row>
    <x:row r="40" ht="86.4000015258789" hidden="0" customHeight="1">
      <x:c r="A40" s="34" t="str">
        <x:v>48201221301</x:v>
      </x:c>
      <x:c r="B40" s="62" t="n">
        <x:v>4052</x:v>
      </x:c>
      <x:c r="C40" s="62" t="n">
        <x:v>699</x:v>
      </x:c>
      <x:c r="D40" s="62" t="n">
        <x:v>67</x:v>
      </x:c>
      <x:c r="E40" s="43" t="n">
        <x:v>0.17250740375123397</x:v>
      </x:c>
      <x:c r="F40" s="43" t="n">
        <x:v>0.016535044422507403</x:v>
      </x:c>
      <x:c r="G40" s="65" t="n">
        <x:v>1234</x:v>
      </x:c>
      <x:c r="H40" s="65" t="n">
        <x:v>0</x:v>
      </x:c>
      <x:c r="I40" s="65" t="n">
        <x:v>0</x:v>
      </x:c>
      <x:c r="J40" s="34" t="str">
        <x:v>low</x:v>
      </x:c>
      <x:c r="K40" s="71" t="n">
        <x:v>29.8524559</x:v>
      </x:c>
      <x:c r="L40" s="71" t="n">
        <x:v>-95.3782561</x:v>
      </x:c>
      <x:c r="M40" s="71" t="n">
        <x:v>0.721</x:v>
      </x:c>
      <x:c r="N40" s="71" t="n">
        <x:v>0.16008725787702857</x:v>
      </x:c>
      <x:c r="O40" s="71" t="n">
        <x:v>23.418787841807653</x:v>
      </x:c>
      <x:c r="P40" s="71" t="n">
        <x:v>3</x:v>
      </x:c>
      <x:c r="Q40" s="71" t="n">
        <x:v>329.98211380404285</x:v>
      </x:c>
      <x:c r="R40" s="34" t="str">
        <x:v>tract internal point; no person, address, building, parcel, or route condition</x:v>
      </x:c>
    </x:row>
    <x:row r="41" ht="86.4000015258789" hidden="0" customHeight="1">
      <x:c r="A41" s="36" t="str">
        <x:v>48201221302</x:v>
      </x:c>
      <x:c r="B41" s="63" t="n">
        <x:v>3464</x:v>
      </x:c>
      <x:c r="C41" s="63" t="n">
        <x:v>177</x:v>
      </x:c>
      <x:c r="D41" s="63" t="n">
        <x:v>0</x:v>
      </x:c>
      <x:c r="E41" s="45" t="n">
        <x:v>0.05109699769053118</x:v>
      </x:c>
      <x:c r="F41" s="45" t="n">
        <x:v>0</x:v>
      </x:c>
      <x:c r="G41" s="66" t="n">
        <x:v>1157</x:v>
      </x:c>
      <x:c r="H41" s="66" t="n">
        <x:v>118</x:v>
      </x:c>
      <x:c r="I41" s="66" t="n">
        <x:v>0.10198789974070872</x:v>
      </x:c>
      <x:c r="J41" s="36" t="str">
        <x:v>low</x:v>
      </x:c>
      <x:c r="K41" s="72" t="n">
        <x:v>29.8523203</x:v>
      </x:c>
      <x:c r="L41" s="72" t="n">
        <x:v>-95.3662381</x:v>
      </x:c>
      <x:c r="M41" s="72" t="n">
        <x:v>0.604</x:v>
      </x:c>
      <x:c r="N41" s="72" t="n">
        <x:v>0.07379851768453663</x:v>
      </x:c>
      <x:c r="O41" s="72" t="n">
        <x:v>22.297802243302378</x:v>
      </x:c>
      <x:c r="P41" s="72" t="n">
        <x:v>3</x:v>
      </x:c>
      <x:c r="Q41" s="72" t="n">
        <x:v>275.03618174249544</x:v>
      </x:c>
      <x:c r="R41" s="36" t="str">
        <x:v>tract internal point; no person, address, building, parcel, or route condition</x:v>
      </x:c>
    </x:row>
    <x:row r="42" ht="86.4000015258789" hidden="0" customHeight="1">
      <x:c r="A42" s="34" t="str">
        <x:v>48201221400</x:v>
      </x:c>
      <x:c r="B42" s="62" t="n">
        <x:v>5666</x:v>
      </x:c>
      <x:c r="C42" s="62" t="n">
        <x:v>766</x:v>
      </x:c>
      <x:c r="D42" s="62" t="n">
        <x:v>741.5</x:v>
      </x:c>
      <x:c r="E42" s="43" t="n">
        <x:v>0.1351923755735969</x:v>
      </x:c>
      <x:c r="F42" s="43" t="n">
        <x:v>0.13086833745146487</x:v>
      </x:c>
      <x:c r="G42" s="65" t="n">
        <x:v>2084</x:v>
      </x:c>
      <x:c r="H42" s="65" t="n">
        <x:v>800</x:v>
      </x:c>
      <x:c r="I42" s="65" t="n">
        <x:v>0.3838771593090211</x:v>
      </x:c>
      <x:c r="J42" s="34" t="str">
        <x:v>low</x:v>
      </x:c>
      <x:c r="K42" s="71" t="n">
        <x:v>29.8534357</x:v>
      </x:c>
      <x:c r="L42" s="71" t="n">
        <x:v>-95.391567</x:v>
      </x:c>
      <x:c r="M42" s="71" t="n">
        <x:v>0.78</x:v>
      </x:c>
      <x:c r="N42" s="71" t="n">
        <x:v>0.058036142127023765</x:v>
      </x:c>
      <x:c r="O42" s="71" t="n">
        <x:v>21.805410301463976</x:v>
      </x:c>
      <x:c r="P42" s="71" t="n">
        <x:v>3</x:v>
      </x:c>
      <x:c r="Q42" s="71" t="n">
        <x:v>463.18925577874376</x:v>
      </x:c>
      <x:c r="R42" s="34" t="str">
        <x:v>tract internal point; no person, address, building, parcel, or route condition</x:v>
      </x:c>
    </x:row>
    <x:row r="43" ht="86.4000015258789" hidden="0" customHeight="1">
      <x:c r="A43" s="36" t="str">
        <x:v>48201221501</x:v>
      </x:c>
      <x:c r="B43" s="63" t="n">
        <x:v>4732</x:v>
      </x:c>
      <x:c r="C43" s="63" t="n">
        <x:v>669</x:v>
      </x:c>
      <x:c r="D43" s="63" t="n">
        <x:v>404.5</x:v>
      </x:c>
      <x:c r="E43" s="45" t="n">
        <x:v>0.14137785291631447</x:v>
      </x:c>
      <x:c r="F43" s="45" t="n">
        <x:v>0.08548182586644125</x:v>
      </x:c>
      <x:c r="G43" s="66" t="n">
        <x:v>1525</x:v>
      </x:c>
      <x:c r="H43" s="66" t="n">
        <x:v>126</x:v>
      </x:c>
      <x:c r="I43" s="66" t="n">
        <x:v>0.08262295081967214</x:v>
      </x:c>
      <x:c r="J43" s="36" t="str">
        <x:v>low</x:v>
      </x:c>
      <x:c r="K43" s="72" t="n">
        <x:v>29.8620041</x:v>
      </x:c>
      <x:c r="L43" s="72" t="n">
        <x:v>-95.3929558</x:v>
      </x:c>
      <x:c r="M43" s="72" t="n">
        <x:v>0.671</x:v>
      </x:c>
      <x:c r="N43" s="72" t="n">
        <x:v>0.07430672369911162</x:v>
      </x:c>
      <x:c r="O43" s="72" t="n">
        <x:v>23.10196814521555</x:v>
      </x:c>
      <x:c r="P43" s="72" t="n">
        <x:v>3</x:v>
      </x:c>
      <x:c r="Q43" s="72" t="n">
        <x:v>385.6078946888377</x:v>
      </x:c>
      <x:c r="R43" s="36" t="str">
        <x:v>tract internal point; no person, address, building, parcel, or route condition</x:v>
      </x:c>
    </x:row>
    <x:row r="44" ht="86.4000015258789" hidden="0" customHeight="1">
      <x:c r="A44" s="34" t="str">
        <x:v>48201221502</x:v>
      </x:c>
      <x:c r="B44" s="62" t="n">
        <x:v>2953</x:v>
      </x:c>
      <x:c r="C44" s="62" t="n">
        <x:v>237</x:v>
      </x:c>
      <x:c r="D44" s="62" t="n">
        <x:v>309</x:v>
      </x:c>
      <x:c r="E44" s="43" t="n">
        <x:v>0.08025736539112767</x:v>
      </x:c>
      <x:c r="F44" s="43" t="n">
        <x:v>0.10463934981374873</x:v>
      </x:c>
      <x:c r="G44" s="65" t="n">
        <x:v>1047</x:v>
      </x:c>
      <x:c r="H44" s="65" t="n">
        <x:v>566</x:v>
      </x:c>
      <x:c r="I44" s="65" t="n">
        <x:v>0.5405921680993314</x:v>
      </x:c>
      <x:c r="J44" s="34" t="str">
        <x:v>low</x:v>
      </x:c>
      <x:c r="K44" s="71" t="n">
        <x:v>29.8672178</x:v>
      </x:c>
      <x:c r="L44" s="71" t="n">
        <x:v>-95.4021729</x:v>
      </x:c>
      <x:c r="M44" s="71" t="n">
        <x:v>0.201</x:v>
      </x:c>
      <x:c r="N44" s="71" t="n">
        <x:v>0.09788151491217395</x:v>
      </x:c>
      <x:c r="O44" s="71" t="n">
        <x:v>23.78239319513749</x:v>
      </x:c>
      <x:c r="P44" s="71" t="n">
        <x:v>3</x:v>
      </x:c>
      <x:c r="Q44" s="71" t="n">
        <x:v>238.24575004744432</x:v>
      </x:c>
      <x:c r="R44" s="34" t="str">
        <x:v>tract internal point; no person, address, building, parcel, or route condition</x:v>
      </x:c>
    </x:row>
    <x:row r="45" ht="86.4000015258789" hidden="0" customHeight="1">
      <x:c r="A45" s="36" t="str">
        <x:v>48201221601</x:v>
      </x:c>
      <x:c r="B45" s="63" t="n">
        <x:v>3264</x:v>
      </x:c>
      <x:c r="C45" s="63" t="n">
        <x:v>221</x:v>
      </x:c>
      <x:c r="D45" s="63" t="n">
        <x:v>16</x:v>
      </x:c>
      <x:c r="E45" s="45" t="n">
        <x:v>0.06770833333333333</x:v>
      </x:c>
      <x:c r="F45" s="45" t="n">
        <x:v>0.004901960784313725</x:v>
      </x:c>
      <x:c r="G45" s="66" t="n">
        <x:v>781</x:v>
      </x:c>
      <x:c r="H45" s="66" t="n">
        <x:v>12</x:v>
      </x:c>
      <x:c r="I45" s="66" t="n">
        <x:v>0.015364916773367477</x:v>
      </x:c>
      <x:c r="J45" s="36" t="str">
        <x:v>high</x:v>
      </x:c>
      <x:c r="K45" s="72" t="n">
        <x:v>29.8927029</x:v>
      </x:c>
      <x:c r="L45" s="72" t="n">
        <x:v>-95.4068945</x:v>
      </x:c>
      <x:c r="M45" s="72" t="n">
        <x:v>0.454</x:v>
      </x:c>
      <x:c r="N45" s="72" t="n">
        <x:v>0.04215053353565494</x:v>
      </x:c>
      <x:c r="O45" s="72" t="n">
        <x:v>23.56380344380174</x:v>
      </x:c>
      <x:c r="P45" s="72" t="n">
        <x:v>1</x:v>
      </x:c>
      <x:c r="Q45" s="72" t="n">
        <x:v>560.2897446436251</x:v>
      </x:c>
      <x:c r="R45" s="36" t="str">
        <x:v>tract internal point; no person, address, building, parcel, or route condition</x:v>
      </x:c>
    </x:row>
    <x:row r="46" ht="86.4000015258789" hidden="0" customHeight="1">
      <x:c r="A46" s="34" t="str">
        <x:v>48201221602</x:v>
      </x:c>
      <x:c r="B46" s="62" t="n">
        <x:v>5586</x:v>
      </x:c>
      <x:c r="C46" s="62" t="n">
        <x:v>500</x:v>
      </x:c>
      <x:c r="D46" s="62" t="n">
        <x:v>67</x:v>
      </x:c>
      <x:c r="E46" s="43" t="n">
        <x:v>0.08950948800572861</x:v>
      </x:c>
      <x:c r="F46" s="43" t="n">
        <x:v>0.011994271392767633</x:v>
      </x:c>
      <x:c r="G46" s="65" t="n">
        <x:v>1754</x:v>
      </x:c>
      <x:c r="H46" s="65" t="n">
        <x:v>0</x:v>
      </x:c>
      <x:c r="I46" s="65" t="n">
        <x:v>0</x:v>
      </x:c>
      <x:c r="J46" s="34" t="str">
        <x:v>low</x:v>
      </x:c>
      <x:c r="K46" s="71" t="n">
        <x:v>29.8792764</x:v>
      </x:c>
      <x:c r="L46" s="71" t="n">
        <x:v>-95.4010173</x:v>
      </x:c>
      <x:c r="M46" s="71" t="n">
        <x:v>1.77</x:v>
      </x:c>
      <x:c r="N46" s="71" t="n">
        <x:v>0.07653504282103447</x:v>
      </x:c>
      <x:c r="O46" s="71" t="n">
        <x:v>24.949354530230774</x:v>
      </x:c>
      <x:c r="P46" s="71" t="n">
        <x:v>3</x:v>
      </x:c>
      <x:c r="Q46" s="71" t="n">
        <x:v>447.41912093659033</x:v>
      </x:c>
      <x:c r="R46" s="34" t="str">
        <x:v>tract internal point; no person, address, building, parcel, or route condition</x:v>
      </x:c>
    </x:row>
    <x:row r="47" ht="86.4000015258789" hidden="0" customHeight="1">
      <x:c r="A47" s="36" t="str">
        <x:v>48201221701</x:v>
      </x:c>
      <x:c r="B47" s="63" t="n">
        <x:v>5311</x:v>
      </x:c>
      <x:c r="C47" s="63" t="n">
        <x:v>194</x:v>
      </x:c>
      <x:c r="D47" s="63" t="n">
        <x:v>607.5</x:v>
      </x:c>
      <x:c r="E47" s="45" t="n">
        <x:v>0.03652796083600075</x:v>
      </x:c>
      <x:c r="F47" s="45" t="n">
        <x:v>0.11438523818489926</x:v>
      </x:c>
      <x:c r="G47" s="66" t="n">
        <x:v>1361</x:v>
      </x:c>
      <x:c r="H47" s="66" t="n">
        <x:v>0</x:v>
      </x:c>
      <x:c r="I47" s="66" t="n">
        <x:v>0</x:v>
      </x:c>
      <x:c r="J47" s="36" t="str">
        <x:v>moderate</x:v>
      </x:c>
      <x:c r="K47" s="72" t="n">
        <x:v>29.8768807</x:v>
      </x:c>
      <x:c r="L47" s="72" t="n">
        <x:v>-95.3797448</x:v>
      </x:c>
      <x:c r="M47" s="72" t="n">
        <x:v>1.117</x:v>
      </x:c>
      <x:c r="N47" s="72" t="n">
        <x:v>0.1416551897547995</x:v>
      </x:c>
      <x:c r="O47" s="72" t="n">
        <x:v>24.440173352701507</x:v>
      </x:c>
      <x:c r="P47" s="72" t="n">
        <x:v>1</x:v>
      </x:c>
      <x:c r="Q47" s="72" t="n">
        <x:v>752.3538387221931</x:v>
      </x:c>
      <x:c r="R47" s="36" t="str">
        <x:v>tract internal point; no person, address, building, parcel, or route condition</x:v>
      </x:c>
    </x:row>
    <x:row r="48" ht="86.4000015258789" hidden="0" customHeight="1">
      <x:c r="A48" s="34" t="str">
        <x:v>48201221702</x:v>
      </x:c>
      <x:c r="B48" s="62" t="n">
        <x:v>2959</x:v>
      </x:c>
      <x:c r="C48" s="62" t="n">
        <x:v>88</x:v>
      </x:c>
      <x:c r="D48" s="62" t="n">
        <x:v>0</x:v>
      </x:c>
      <x:c r="E48" s="43" t="n">
        <x:v>0.02973977695167286</x:v>
      </x:c>
      <x:c r="F48" s="43" t="n">
        <x:v>0</x:v>
      </x:c>
      <x:c r="G48" s="65" t="n">
        <x:v>923</x:v>
      </x:c>
      <x:c r="H48" s="65" t="n">
        <x:v>9</x:v>
      </x:c>
      <x:c r="I48" s="65" t="n">
        <x:v>0.009750812567713976</x:v>
      </x:c>
      <x:c r="J48" s="34" t="str">
        <x:v>high</x:v>
      </x:c>
      <x:c r="K48" s="71" t="n">
        <x:v>29.8877924</x:v>
      </x:c>
      <x:c r="L48" s="71" t="n">
        <x:v>-95.3825019</x:v>
      </x:c>
      <x:c r="M48" s="71" t="n">
        <x:v>0.937</x:v>
      </x:c>
      <x:c r="N48" s="71" t="n">
        <x:v>0.024299486178472954</x:v>
      </x:c>
      <x:c r="O48" s="71" t="n">
        <x:v>22.584627208320075</x:v>
      </x:c>
      <x:c r="P48" s="71" t="n">
        <x:v>1</x:v>
      </x:c>
      <x:c r="Q48" s="71" t="n">
        <x:v>503.88496401783027</x:v>
      </x:c>
      <x:c r="R48" s="34" t="str">
        <x:v>tract internal point; no person, address, building, parcel, or route condition</x:v>
      </x:c>
    </x:row>
    <x:row r="49" ht="86.4000015258789" hidden="0" customHeight="1">
      <x:c r="A49" s="36" t="str">
        <x:v>48201221800</x:v>
      </x:c>
      <x:c r="B49" s="63" t="n">
        <x:v>4032</x:v>
      </x:c>
      <x:c r="C49" s="63" t="n">
        <x:v>508</x:v>
      </x:c>
      <x:c r="D49" s="63" t="n">
        <x:v>123</x:v>
      </x:c>
      <x:c r="E49" s="45" t="n">
        <x:v>0.1259920634920635</x:v>
      </x:c>
      <x:c r="F49" s="45" t="n">
        <x:v>0.03050595238095238</x:v>
      </x:c>
      <x:c r="G49" s="66" t="n">
        <x:v>1322</x:v>
      </x:c>
      <x:c r="H49" s="66" t="n">
        <x:v>42</x:v>
      </x:c>
      <x:c r="I49" s="66" t="n">
        <x:v>0.03177004538577912</x:v>
      </x:c>
      <x:c r="J49" s="36" t="str">
        <x:v>moderate</x:v>
      </x:c>
      <x:c r="K49" s="72" t="n">
        <x:v>29.882525</x:v>
      </x:c>
      <x:c r="L49" s="72" t="n">
        <x:v>-95.3610554</x:v>
      </x:c>
      <x:c r="M49" s="72" t="n">
        <x:v>1.213</x:v>
      </x:c>
      <x:c r="N49" s="72" t="n">
        <x:v>0.041515095464453755</x:v>
      </x:c>
      <x:c r="O49" s="72" t="n">
        <x:v>22.818561422782853</x:v>
      </x:c>
      <x:c r="P49" s="72" t="n">
        <x:v>1</x:v>
      </x:c>
      <x:c r="Q49" s="72" t="n">
        <x:v>576.50031511738</x:v>
      </x:c>
      <x:c r="R49" s="36" t="str">
        <x:v>tract internal point; no person, address, building, parcel, or route condition</x:v>
      </x:c>
    </x:row>
    <x:row r="50" ht="86.4000015258789" hidden="0" customHeight="1">
      <x:c r="A50" s="34" t="str">
        <x:v>48201221900</x:v>
      </x:c>
      <x:c r="B50" s="62" t="n">
        <x:v>4854</x:v>
      </x:c>
      <x:c r="C50" s="62" t="n">
        <x:v>489</x:v>
      </x:c>
      <x:c r="D50" s="62" t="n">
        <x:v>45</x:v>
      </x:c>
      <x:c r="E50" s="43" t="n">
        <x:v>0.10074165636588381</x:v>
      </x:c>
      <x:c r="F50" s="43" t="n">
        <x:v>0.009270704573547589</x:v>
      </x:c>
      <x:c r="G50" s="65" t="n">
        <x:v>1233</x:v>
      </x:c>
      <x:c r="H50" s="65" t="n">
        <x:v>0</x:v>
      </x:c>
      <x:c r="I50" s="65" t="n">
        <x:v>0</x:v>
      </x:c>
      <x:c r="J50" s="34" t="str">
        <x:v>high</x:v>
      </x:c>
      <x:c r="K50" s="71" t="n">
        <x:v>29.8818677</x:v>
      </x:c>
      <x:c r="L50" s="71" t="n">
        <x:v>-95.3491038</x:v>
      </x:c>
      <x:c r="M50" s="71" t="n">
        <x:v>1.029</x:v>
      </x:c>
      <x:c r="N50" s="71" t="n">
        <x:v>0.01947420979223279</x:v>
      </x:c>
      <x:c r="O50" s="71" t="n">
        <x:v>20.09913388462448</x:v>
      </x:c>
      <x:c r="P50" s="71" t="n">
        <x:v>1</x:v>
      </x:c>
      <x:c r="Q50" s="71" t="n">
        <x:v>839.0126477059638</x:v>
      </x:c>
      <x:c r="R50" s="34" t="str">
        <x:v>tract internal point; no person, address, building, parcel, or route condition</x:v>
      </x:c>
    </x:row>
    <x:row r="51" ht="86.4000015258789" hidden="0" customHeight="1">
      <x:c r="A51" s="36" t="str">
        <x:v>48201222000</x:v>
      </x:c>
      <x:c r="B51" s="63" t="n">
        <x:v>2028</x:v>
      </x:c>
      <x:c r="C51" s="63" t="n">
        <x:v>423</x:v>
      </x:c>
      <x:c r="D51" s="63" t="n">
        <x:v>9</x:v>
      </x:c>
      <x:c r="E51" s="45" t="n">
        <x:v>0.20857988165680474</x:v>
      </x:c>
      <x:c r="F51" s="45" t="n">
        <x:v>0.004437869822485207</x:v>
      </x:c>
      <x:c r="G51" s="66" t="n">
        <x:v>543</x:v>
      </x:c>
      <x:c r="H51" s="66" t="n">
        <x:v>0</x:v>
      </x:c>
      <x:c r="I51" s="66" t="n">
        <x:v>0</x:v>
      </x:c>
      <x:c r="J51" s="36" t="str">
        <x:v>high</x:v>
      </x:c>
      <x:c r="K51" s="72" t="n">
        <x:v>29.8680795</x:v>
      </x:c>
      <x:c r="L51" s="72" t="n">
        <x:v>-95.336921</x:v>
      </x:c>
      <x:c r="M51" s="72" t="n">
        <x:v>0.439</x:v>
      </x:c>
      <x:c r="N51" s="72" t="n">
        <x:v>0.1466216933384998</x:v>
      </x:c>
      <x:c r="O51" s="72" t="n">
        <x:v>18.85397715096403</x:v>
      </x:c>
      <x:c r="P51" s="72" t="n">
        <x:v>1</x:v>
      </x:c>
      <x:c r="Q51" s="72" t="n">
        <x:v>357.77762260689525</x:v>
      </x:c>
      <x:c r="R51" s="36" t="str">
        <x:v>tract internal point; no person, address, building, parcel, or route condition</x:v>
      </x:c>
    </x:row>
    <x:row r="52" ht="86.4000015258789" hidden="0" customHeight="1">
      <x:c r="A52" s="34" t="str">
        <x:v>48201222100</x:v>
      </x:c>
      <x:c r="B52" s="62" t="n">
        <x:v>4966</x:v>
      </x:c>
      <x:c r="C52" s="62" t="n">
        <x:v>331</x:v>
      </x:c>
      <x:c r="D52" s="62" t="n">
        <x:v>96</x:v>
      </x:c>
      <x:c r="E52" s="43" t="n">
        <x:v>0.0666532420459122</x:v>
      </x:c>
      <x:c r="F52" s="43" t="n">
        <x:v>0.019331453886427707</x:v>
      </x:c>
      <x:c r="G52" s="65" t="n">
        <x:v>1470</x:v>
      </x:c>
      <x:c r="H52" s="65" t="n">
        <x:v>0</x:v>
      </x:c>
      <x:c r="I52" s="65" t="n">
        <x:v>0</x:v>
      </x:c>
      <x:c r="J52" s="34" t="str">
        <x:v>high</x:v>
      </x:c>
      <x:c r="K52" s="71" t="n">
        <x:v>29.8789474</x:v>
      </x:c>
      <x:c r="L52" s="71" t="n">
        <x:v>-95.3349019</x:v>
      </x:c>
      <x:c r="M52" s="71" t="n">
        <x:v>0.879</x:v>
      </x:c>
      <x:c r="N52" s="71" t="n">
        <x:v>0.0630846338070984</x:v>
      </x:c>
      <x:c r="O52" s="71" t="n">
        <x:v>17.913811170896924</x:v>
      </x:c>
      <x:c r="P52" s="71" t="n">
        <x:v>1</x:v>
      </x:c>
      <x:c r="Q52" s="71" t="n">
        <x:v>853.4862633827511</x:v>
      </x:c>
      <x:c r="R52" s="34" t="str">
        <x:v>tract internal point; no person, address, building, parcel, or route condition</x:v>
      </x:c>
    </x:row>
    <x:row r="53" ht="86.4000015258789" hidden="0" customHeight="1">
      <x:c r="A53" s="36" t="str">
        <x:v>48201222200</x:v>
      </x:c>
      <x:c r="B53" s="63" t="n">
        <x:v>3378</x:v>
      </x:c>
      <x:c r="C53" s="63" t="n">
        <x:v>444</x:v>
      </x:c>
      <x:c r="D53" s="63" t="n">
        <x:v>334</x:v>
      </x:c>
      <x:c r="E53" s="45" t="n">
        <x:v>0.13143872113676733</x:v>
      </x:c>
      <x:c r="F53" s="45" t="n">
        <x:v>0.09887507400828893</x:v>
      </x:c>
      <x:c r="G53" s="66" t="n">
        <x:v>1482</x:v>
      </x:c>
      <x:c r="H53" s="66" t="n">
        <x:v>238</x:v>
      </x:c>
      <x:c r="I53" s="66" t="n">
        <x:v>0.16059379217273953</x:v>
      </x:c>
      <x:c r="J53" s="36" t="str">
        <x:v>low</x:v>
      </x:c>
      <x:c r="K53" s="72" t="n">
        <x:v>29.8931361</x:v>
      </x:c>
      <x:c r="L53" s="72" t="n">
        <x:v>-95.3251662</x:v>
      </x:c>
      <x:c r="M53" s="72" t="n">
        <x:v>1.155</x:v>
      </x:c>
      <x:c r="N53" s="72" t="n">
        <x:v>0.12075395091441979</x:v>
      </x:c>
      <x:c r="O53" s="72" t="n">
        <x:v>17.553527304495738</x:v>
      </x:c>
      <x:c r="P53" s="72" t="n">
        <x:v>1</x:v>
      </x:c>
      <x:c r="Q53" s="72" t="n">
        <x:v>275.099057934241</x:v>
      </x:c>
      <x:c r="R53" s="36" t="str">
        <x:v>tract internal point; no person, address, building, parcel, or route condition</x:v>
      </x:c>
    </x:row>
    <x:row r="54" ht="86.4000015258789" hidden="0" customHeight="1">
      <x:c r="A54" s="34" t="str">
        <x:v>48201222300</x:v>
      </x:c>
      <x:c r="B54" s="62" t="n">
        <x:v>4721</x:v>
      </x:c>
      <x:c r="C54" s="62" t="n">
        <x:v>428</x:v>
      </x:c>
      <x:c r="D54" s="62" t="n">
        <x:v>75</x:v>
      </x:c>
      <x:c r="E54" s="43" t="n">
        <x:v>0.0906587587375556</x:v>
      </x:c>
      <x:c r="F54" s="43" t="n">
        <x:v>0.015886464732048296</x:v>
      </x:c>
      <x:c r="G54" s="65" t="n">
        <x:v>1493</x:v>
      </x:c>
      <x:c r="H54" s="65" t="n">
        <x:v>0</x:v>
      </x:c>
      <x:c r="I54" s="65" t="n">
        <x:v>0</x:v>
      </x:c>
      <x:c r="J54" s="34" t="str">
        <x:v>high</x:v>
      </x:c>
      <x:c r="K54" s="71" t="n">
        <x:v>29.8959119</x:v>
      </x:c>
      <x:c r="L54" s="71" t="n">
        <x:v>-95.3513748</x:v>
      </x:c>
      <x:c r="M54" s="71" t="n">
        <x:v>1.929</x:v>
      </x:c>
      <x:c r="N54" s="71" t="n">
        <x:v>0.3339263942840445</x:v>
      </x:c>
      <x:c r="O54" s="71" t="n">
        <x:v>23.04894166130254</x:v>
      </x:c>
      <x:c r="P54" s="71" t="n">
        <x:v>1</x:v>
      </x:c>
      <x:c r="Q54" s="71" t="n">
        <x:v>814.9407395277285</x:v>
      </x:c>
      <x:c r="R54" s="34" t="str">
        <x:v>tract internal point; no person, address, building, parcel, or route condition</x:v>
      </x:c>
    </x:row>
    <x:row r="55" ht="86.4000015258789" hidden="0" customHeight="1">
      <x:c r="A55" s="36" t="str">
        <x:v>48201222401</x:v>
      </x:c>
      <x:c r="B55" s="63" t="n">
        <x:v>3332</x:v>
      </x:c>
      <x:c r="C55" s="63" t="n">
        <x:v>233</x:v>
      </x:c>
      <x:c r="D55" s="63" t="n">
        <x:v>0</x:v>
      </x:c>
      <x:c r="E55" s="45" t="n">
        <x:v>0.0699279711884754</x:v>
      </x:c>
      <x:c r="F55" s="45" t="n">
        <x:v>0</x:v>
      </x:c>
      <x:c r="G55" s="66" t="n">
        <x:v>987</x:v>
      </x:c>
      <x:c r="H55" s="66" t="n">
        <x:v>0</x:v>
      </x:c>
      <x:c r="I55" s="66" t="n">
        <x:v>0</x:v>
      </x:c>
      <x:c r="J55" s="36" t="str">
        <x:v>low</x:v>
      </x:c>
      <x:c r="K55" s="72" t="n">
        <x:v>29.9005904</x:v>
      </x:c>
      <x:c r="L55" s="72" t="n">
        <x:v>-95.3964095</x:v>
      </x:c>
      <x:c r="M55" s="72" t="n">
        <x:v>1.952</x:v>
      </x:c>
      <x:c r="N55" s="72" t="n">
        <x:v>0.035301910327982106</x:v>
      </x:c>
      <x:c r="O55" s="72" t="n">
        <x:v>24.51251904450273</x:v>
      </x:c>
      <x:c r="P55" s="72" t="n">
        <x:v>1</x:v>
      </x:c>
      <x:c r="Q55" s="72" t="n">
        <x:v>265.54187678893396</x:v>
      </x:c>
      <x:c r="R55" s="36" t="str">
        <x:v>tract internal point; no person, address, building, parcel, or route condition</x:v>
      </x:c>
    </x:row>
    <x:row r="56" ht="86.4000015258789" hidden="0" customHeight="1">
      <x:c r="A56" s="34" t="str">
        <x:v>48201222402</x:v>
      </x:c>
      <x:c r="B56" s="62" t="n">
        <x:v>7301</x:v>
      </x:c>
      <x:c r="C56" s="62" t="n">
        <x:v>455</x:v>
      </x:c>
      <x:c r="D56" s="62" t="n">
        <x:v>261.5</x:v>
      </x:c>
      <x:c r="E56" s="43" t="n">
        <x:v>0.062320230105465</x:v>
      </x:c>
      <x:c r="F56" s="43" t="n">
        <x:v>0.03581701136830571</x:v>
      </x:c>
      <x:c r="G56" s="65" t="n">
        <x:v>2147</x:v>
      </x:c>
      <x:c r="H56" s="65" t="n">
        <x:v>26</x:v>
      </x:c>
      <x:c r="I56" s="65" t="n">
        <x:v>0.012109920819748486</x:v>
      </x:c>
      <x:c r="J56" s="34" t="str">
        <x:v>low</x:v>
      </x:c>
      <x:c r="K56" s="71" t="n">
        <x:v>29.9111893</x:v>
      </x:c>
      <x:c r="L56" s="71" t="n">
        <x:v>-95.3889139</x:v>
      </x:c>
      <x:c r="M56" s="71" t="n">
        <x:v>1.572</x:v>
      </x:c>
      <x:c r="N56" s="71" t="n">
        <x:v>0.12046491381086132</x:v>
      </x:c>
      <x:c r="O56" s="71" t="n">
        <x:v>22.063750781025327</x:v>
      </x:c>
      <x:c r="P56" s="71" t="n">
        <x:v>1</x:v>
      </x:c>
      <x:c r="Q56" s="71" t="n">
        <x:v>583.0312772455544</x:v>
      </x:c>
      <x:c r="R56" s="34" t="str">
        <x:v>tract internal point; no person, address, building, parcel, or route condition</x:v>
      </x:c>
    </x:row>
    <x:row r="57" ht="86.4000015258789" hidden="0" customHeight="1">
      <x:c r="A57" s="36" t="str">
        <x:v>48201222501</x:v>
      </x:c>
      <x:c r="B57" s="63" t="n">
        <x:v>3447</x:v>
      </x:c>
      <x:c r="C57" s="63" t="n">
        <x:v>105</x:v>
      </x:c>
      <x:c r="D57" s="63" t="n">
        <x:v>149</x:v>
      </x:c>
      <x:c r="E57" s="45" t="n">
        <x:v>0.030461270670147953</x:v>
      </x:c>
      <x:c r="F57" s="45" t="n">
        <x:v>0.04322599361763853</x:v>
      </x:c>
      <x:c r="G57" s="66" t="n">
        <x:v>1031</x:v>
      </x:c>
      <x:c r="H57" s="66" t="n">
        <x:v>154</x:v>
      </x:c>
      <x:c r="I57" s="66" t="n">
        <x:v>0.14936954413191075</x:v>
      </x:c>
      <x:c r="J57" s="36" t="str">
        <x:v>low</x:v>
      </x:c>
      <x:c r="K57" s="72" t="n">
        <x:v>29.9283143</x:v>
      </x:c>
      <x:c r="L57" s="72" t="n">
        <x:v>-95.4058397</x:v>
      </x:c>
      <x:c r="M57" s="72" t="n">
        <x:v>0.351</x:v>
      </x:c>
      <x:c r="N57" s="72" t="n">
        <x:v>0.02467866740520998</x:v>
      </x:c>
      <x:c r="O57" s="72" t="n">
        <x:v>20.397400614565687</x:v>
      </x:c>
      <x:c r="P57" s="72" t="n">
        <x:v>1</x:v>
      </x:c>
      <x:c r="Q57" s="72" t="n">
        <x:v>273.7393602877458</x:v>
      </x:c>
      <x:c r="R57" s="36" t="str">
        <x:v>tract internal point; no person, address, building, parcel, or route condition</x:v>
      </x:c>
    </x:row>
    <x:row r="58" ht="86.4000015258789" hidden="0" customHeight="1">
      <x:c r="A58" s="34" t="str">
        <x:v>48201222502</x:v>
      </x:c>
      <x:c r="B58" s="62" t="n">
        <x:v>3959</x:v>
      </x:c>
      <x:c r="C58" s="62" t="n">
        <x:v>193</x:v>
      </x:c>
      <x:c r="D58" s="62" t="n">
        <x:v>14</x:v>
      </x:c>
      <x:c r="E58" s="43" t="n">
        <x:v>0.04874968426370296</x:v>
      </x:c>
      <x:c r="F58" s="43" t="n">
        <x:v>0.0035362465269007325</x:v>
      </x:c>
      <x:c r="G58" s="65" t="n">
        <x:v>1081</x:v>
      </x:c>
      <x:c r="H58" s="65" t="n">
        <x:v>0</x:v>
      </x:c>
      <x:c r="I58" s="65" t="n">
        <x:v>0</x:v>
      </x:c>
      <x:c r="J58" s="34" t="str">
        <x:v>moderate</x:v>
      </x:c>
      <x:c r="K58" s="71" t="n">
        <x:v>29.9253365</x:v>
      </x:c>
      <x:c r="L58" s="71" t="n">
        <x:v>-95.3885504</x:v>
      </x:c>
      <x:c r="M58" s="71" t="n">
        <x:v>1.302</x:v>
      </x:c>
      <x:c r="N58" s="71" t="n">
        <x:v>0.12049410770292476</x:v>
      </x:c>
      <x:c r="O58" s="71" t="n">
        <x:v>19.92986190026453</x:v>
      </x:c>
      <x:c r="P58" s="71" t="n">
        <x:v>1</x:v>
      </x:c>
      <x:c r="Q58" s="71" t="n">
        <x:v>556.0734123240799</x:v>
      </x:c>
      <x:c r="R58" s="34" t="str">
        <x:v>tract internal point; no person, address, building, parcel, or route condition</x:v>
      </x:c>
    </x:row>
    <x:row r="59" ht="86.4000015258789" hidden="0" customHeight="1">
      <x:c r="A59" s="36" t="str">
        <x:v>48201222504</x:v>
      </x:c>
      <x:c r="B59" s="63" t="n">
        <x:v>3319</x:v>
      </x:c>
      <x:c r="C59" s="63" t="n">
        <x:v>120</x:v>
      </x:c>
      <x:c r="D59" s="63" t="n">
        <x:v>180</x:v>
      </x:c>
      <x:c r="E59" s="45" t="n">
        <x:v>0.036155468514612835</x:v>
      </x:c>
      <x:c r="F59" s="45" t="n">
        <x:v>0.05423320277191925</x:v>
      </x:c>
      <x:c r="G59" s="66" t="n">
        <x:v>1057</x:v>
      </x:c>
      <x:c r="H59" s="66" t="n">
        <x:v>160</x:v>
      </x:c>
      <x:c r="I59" s="66" t="n">
        <x:v>0.15137180700094607</x:v>
      </x:c>
      <x:c r="J59" s="36" t="str">
        <x:v>low</x:v>
      </x:c>
      <x:c r="K59" s="72" t="n">
        <x:v>29.9230752</x:v>
      </x:c>
      <x:c r="L59" s="72" t="n">
        <x:v>-95.404839</x:v>
      </x:c>
      <x:c r="M59" s="72" t="n">
        <x:v>0.114</x:v>
      </x:c>
      <x:c r="N59" s="72" t="n">
        <x:v>0.08114042404986313</x:v>
      </x:c>
      <x:c r="O59" s="72" t="n">
        <x:v>21.620566551962472</x:v>
      </x:c>
      <x:c r="P59" s="72" t="n">
        <x:v>1</x:v>
      </x:c>
      <x:c r="Q59" s="72" t="n">
        <x:v>264.15860057053413</x:v>
      </x:c>
      <x:c r="R59" s="36" t="str">
        <x:v>tract internal point; no person, address, building, parcel, or route condition</x:v>
      </x:c>
    </x:row>
    <x:row r="60" ht="86.4000015258789" hidden="0" customHeight="1">
      <x:c r="A60" s="34" t="str">
        <x:v>48201222505</x:v>
      </x:c>
      <x:c r="B60" s="62" t="n">
        <x:v>3304</x:v>
      </x:c>
      <x:c r="C60" s="62" t="n">
        <x:v>326</x:v>
      </x:c>
      <x:c r="D60" s="62" t="n">
        <x:v>139.5</x:v>
      </x:c>
      <x:c r="E60" s="43" t="n">
        <x:v>0.0986682808716707</x:v>
      </x:c>
      <x:c r="F60" s="43" t="n">
        <x:v>0.04222154963680387</x:v>
      </x:c>
      <x:c r="G60" s="65" t="n">
        <x:v>887</x:v>
      </x:c>
      <x:c r="H60" s="65" t="n">
        <x:v>0</x:v>
      </x:c>
      <x:c r="I60" s="65" t="n">
        <x:v>0</x:v>
      </x:c>
      <x:c r="J60" s="34" t="str">
        <x:v>low</x:v>
      </x:c>
      <x:c r="K60" s="71" t="n">
        <x:v>29.9203357</x:v>
      </x:c>
      <x:c r="L60" s="71" t="n">
        <x:v>-95.4033164</x:v>
      </x:c>
      <x:c r="M60" s="71" t="n">
        <x:v>0.544</x:v>
      </x:c>
      <x:c r="N60" s="71" t="n">
        <x:v>0.0075028915123881</x:v>
      </x:c>
      <x:c r="O60" s="71" t="n">
        <x:v>21.667951848007583</x:v>
      </x:c>
      <x:c r="P60" s="71" t="n">
        <x:v>1</x:v>
      </x:c>
      <x:c r="Q60" s="71" t="n">
        <x:v>265.89948512948604</x:v>
      </x:c>
      <x:c r="R60" s="34" t="str">
        <x:v>tract internal point; no person, address, building, parcel, or route condition</x:v>
      </x:c>
    </x:row>
    <x:row r="61" ht="86.4000015258789" hidden="0" customHeight="1">
      <x:c r="A61" s="36" t="str">
        <x:v>48201222601</x:v>
      </x:c>
      <x:c r="B61" s="63" t="n">
        <x:v>2269</x:v>
      </x:c>
      <x:c r="C61" s="63" t="n">
        <x:v>86</x:v>
      </x:c>
      <x:c r="D61" s="63" t="n">
        <x:v>608.5</x:v>
      </x:c>
      <x:c r="E61" s="45" t="n">
        <x:v>0.0379021595416483</x:v>
      </x:c>
      <x:c r="F61" s="45" t="n">
        <x:v>0.26817981489643017</x:v>
      </x:c>
      <x:c r="G61" s="66" t="n">
        <x:v>716</x:v>
      </x:c>
      <x:c r="H61" s="66" t="n">
        <x:v>203</x:v>
      </x:c>
      <x:c r="I61" s="66" t="n">
        <x:v>0.2835195530726257</x:v>
      </x:c>
      <x:c r="J61" s="36" t="str">
        <x:v>low</x:v>
      </x:c>
      <x:c r="K61" s="72" t="n">
        <x:v>29.9350797</x:v>
      </x:c>
      <x:c r="L61" s="72" t="n">
        <x:v>-95.3903481</x:v>
      </x:c>
      <x:c r="M61" s="72" t="n">
        <x:v>0.525</x:v>
      </x:c>
      <x:c r="N61" s="72" t="n">
        <x:v>0.31137769947518257</x:v>
      </x:c>
      <x:c r="O61" s="72" t="n">
        <x:v>19.63097315569679</x:v>
      </x:c>
      <x:c r="P61" s="72" t="n">
        <x:v>1</x:v>
      </x:c>
      <x:c r="Q61" s="72" t="n">
        <x:v>184.4669572951718</x:v>
      </x:c>
      <x:c r="R61" s="36" t="str">
        <x:v>tract internal point; no person, address, building, parcel, or route condition</x:v>
      </x:c>
    </x:row>
    <x:row r="62" ht="86.4000015258789" hidden="0" customHeight="1">
      <x:c r="A62" s="34" t="str">
        <x:v>48201222602</x:v>
      </x:c>
      <x:c r="B62" s="62" t="n">
        <x:v>2320</x:v>
      </x:c>
      <x:c r="C62" s="62" t="n">
        <x:v>321</x:v>
      </x:c>
      <x:c r="D62" s="62" t="n">
        <x:v>506</x:v>
      </x:c>
      <x:c r="E62" s="43" t="n">
        <x:v>0.13836206896551725</x:v>
      </x:c>
      <x:c r="F62" s="43" t="n">
        <x:v>0.21810344827586206</x:v>
      </x:c>
      <x:c r="G62" s="65" t="n">
        <x:v>1303</x:v>
      </x:c>
      <x:c r="H62" s="65" t="n">
        <x:v>377</x:v>
      </x:c>
      <x:c r="I62" s="65" t="n">
        <x:v>0.2893323100537222</x:v>
      </x:c>
      <x:c r="J62" s="34" t="str">
        <x:v>low</x:v>
      </x:c>
      <x:c r="K62" s="71" t="n">
        <x:v>29.9364914</x:v>
      </x:c>
      <x:c r="L62" s="71" t="n">
        <x:v>-95.4060248</x:v>
      </x:c>
      <x:c r="M62" s="71" t="n">
        <x:v>0.481</x:v>
      </x:c>
      <x:c r="N62" s="71" t="n">
        <x:v>0.13652327390328356</x:v>
      </x:c>
      <x:c r="O62" s="71" t="n">
        <x:v>19.9842420251398</x:v>
      </x:c>
      <x:c r="P62" s="71" t="n">
        <x:v>1</x:v>
      </x:c>
      <x:c r="Q62" s="71" t="n">
        <x:v>191.36368957724983</x:v>
      </x:c>
      <x:c r="R62" s="34" t="str">
        <x:v>tract internal point; no person, address, building, parcel, or route condition</x:v>
      </x:c>
    </x:row>
    <x:row r="63" ht="86.4000015258789" hidden="0" customHeight="1">
      <x:c r="A63" s="36" t="str">
        <x:v>48201222701</x:v>
      </x:c>
      <x:c r="B63" s="63" t="n">
        <x:v>2706</x:v>
      </x:c>
      <x:c r="C63" s="63" t="n">
        <x:v>472</x:v>
      </x:c>
      <x:c r="D63" s="63" t="n">
        <x:v>328.5</x:v>
      </x:c>
      <x:c r="E63" s="45" t="n">
        <x:v>0.17442719881744273</x:v>
      </x:c>
      <x:c r="F63" s="45" t="n">
        <x:v>0.12139689578713969</x:v>
      </x:c>
      <x:c r="G63" s="66" t="n">
        <x:v>1013</x:v>
      </x:c>
      <x:c r="H63" s="66" t="n">
        <x:v>341</x:v>
      </x:c>
      <x:c r="I63" s="66" t="n">
        <x:v>0.3366238894373149</x:v>
      </x:c>
      <x:c r="J63" s="36" t="str">
        <x:v>low</x:v>
      </x:c>
      <x:c r="K63" s="72" t="n">
        <x:v>29.9351146</x:v>
      </x:c>
      <x:c r="L63" s="72" t="n">
        <x:v>-95.3049006</x:v>
      </x:c>
      <x:c r="M63" s="72" t="n">
        <x:v>0.414</x:v>
      </x:c>
      <x:c r="N63" s="72" t="n">
        <x:v>0.1286330085225469</x:v>
      </x:c>
      <x:c r="O63" s="72" t="n">
        <x:v>13.032382336209817</x:v>
      </x:c>
      <x:c r="P63" s="72" t="n">
        <x:v>1</x:v>
      </x:c>
      <x:c r="Q63" s="72" t="n">
        <x:v>222.67996282846357</x:v>
      </x:c>
      <x:c r="R63" s="36" t="str">
        <x:v>tract internal point; no person, address, building, parcel, or route condition</x:v>
      </x:c>
    </x:row>
    <x:row r="64" ht="86.4000015258789" hidden="0" customHeight="1">
      <x:c r="A64" s="34" t="str">
        <x:v>48201222702</x:v>
      </x:c>
      <x:c r="B64" s="62" t="n">
        <x:v>3218</x:v>
      </x:c>
      <x:c r="C64" s="62" t="n">
        <x:v>1039</x:v>
      </x:c>
      <x:c r="D64" s="62" t="n">
        <x:v>216</x:v>
      </x:c>
      <x:c r="E64" s="43" t="n">
        <x:v>0.3228713486637663</x:v>
      </x:c>
      <x:c r="F64" s="43" t="n">
        <x:v>0.06712243629583592</x:v>
      </x:c>
      <x:c r="G64" s="65" t="n">
        <x:v>1802</x:v>
      </x:c>
      <x:c r="H64" s="65" t="n">
        <x:v>715</x:v>
      </x:c>
      <x:c r="I64" s="65" t="n">
        <x:v>0.39678135405105436</x:v>
      </x:c>
      <x:c r="J64" s="34" t="str">
        <x:v>moderate</x:v>
      </x:c>
      <x:c r="K64" s="71" t="n">
        <x:v>29.9351531</x:v>
      </x:c>
      <x:c r="L64" s="71" t="n">
        <x:v>-95.3408688</x:v>
      </x:c>
      <x:c r="M64" s="71" t="n">
        <x:v>2.325</x:v>
      </x:c>
      <x:c r="N64" s="71" t="n">
        <x:v>0.13893551085732486</x:v>
      </x:c>
      <x:c r="O64" s="71" t="n">
        <x:v>17.236233414543012</x:v>
      </x:c>
      <x:c r="P64" s="71" t="n">
        <x:v>1</x:v>
      </x:c>
      <x:c r="Q64" s="71" t="n">
        <x:v>479.3717133398433</x:v>
      </x:c>
      <x:c r="R64" s="34" t="str">
        <x:v>tract internal point; no person, address, building, parcel, or route condition</x:v>
      </x:c>
    </x:row>
    <x:row r="65" ht="86.4000015258789" hidden="0" customHeight="1">
      <x:c r="A65" s="36" t="str">
        <x:v>48201222800</x:v>
      </x:c>
      <x:c r="B65" s="63" t="n">
        <x:v>4090</x:v>
      </x:c>
      <x:c r="C65" s="63" t="n">
        <x:v>219</x:v>
      </x:c>
      <x:c r="D65" s="63" t="n">
        <x:v>0</x:v>
      </x:c>
      <x:c r="E65" s="45" t="n">
        <x:v>0.05354523227383863</x:v>
      </x:c>
      <x:c r="F65" s="45" t="n">
        <x:v>0</x:v>
      </x:c>
      <x:c r="G65" s="66" t="n">
        <x:v>1002</x:v>
      </x:c>
      <x:c r="H65" s="66" t="n">
        <x:v>0</x:v>
      </x:c>
      <x:c r="I65" s="66" t="n">
        <x:v>0</x:v>
      </x:c>
      <x:c r="J65" s="36" t="str">
        <x:v>low</x:v>
      </x:c>
      <x:c r="K65" s="72" t="n">
        <x:v>29.9234175</x:v>
      </x:c>
      <x:c r="L65" s="72" t="n">
        <x:v>-95.3657928</x:v>
      </x:c>
      <x:c r="M65" s="72" t="n">
        <x:v>2.612</x:v>
      </x:c>
      <x:c r="N65" s="72" t="n">
        <x:v>0.1956659814775294</x:v>
      </x:c>
      <x:c r="O65" s="72" t="n">
        <x:v>20.09498864327744</x:v>
      </x:c>
      <x:c r="P65" s="72" t="n">
        <x:v>1</x:v>
      </x:c>
      <x:c r="Q65" s="72" t="n">
        <x:v>324.8970017966302</x:v>
      </x:c>
      <x:c r="R65" s="36" t="str">
        <x:v>tract internal point; no person, address, building, parcel, or route condition</x:v>
      </x:c>
    </x:row>
    <x:row r="66" ht="86.4000015258789" hidden="0" customHeight="1">
      <x:c r="A66" s="34" t="str">
        <x:v>48201222900</x:v>
      </x:c>
      <x:c r="B66" s="62" t="n">
        <x:v>7872</x:v>
      </x:c>
      <x:c r="C66" s="62" t="n">
        <x:v>657</x:v>
      </x:c>
      <x:c r="D66" s="62" t="n">
        <x:v>154.5</x:v>
      </x:c>
      <x:c r="E66" s="43" t="n">
        <x:v>0.08346036585365854</x:v>
      </x:c>
      <x:c r="F66" s="43" t="n">
        <x:v>0.019626524390243903</x:v>
      </x:c>
      <x:c r="G66" s="65" t="n">
        <x:v>2292</x:v>
      </x:c>
      <x:c r="H66" s="65" t="n">
        <x:v>0</x:v>
      </x:c>
      <x:c r="I66" s="65" t="n">
        <x:v>0</x:v>
      </x:c>
      <x:c r="J66" s="34" t="str">
        <x:v>high</x:v>
      </x:c>
      <x:c r="K66" s="71" t="n">
        <x:v>29.9142916</x:v>
      </x:c>
      <x:c r="L66" s="71" t="n">
        <x:v>-95.3450125</x:v>
      </x:c>
      <x:c r="M66" s="71" t="n">
        <x:v>2.241</x:v>
      </x:c>
      <x:c r="N66" s="71" t="n">
        <x:v>0.04544338231934188</x:v>
      </x:c>
      <x:c r="O66" s="71" t="n">
        <x:v>19.18993767432001</x:v>
      </x:c>
      <x:c r="P66" s="71" t="n">
        <x:v>1</x:v>
      </x:c>
      <x:c r="Q66" s="71" t="n">
        <x:v>1357.4474043251957</x:v>
      </x:c>
      <x:c r="R66" s="34" t="str">
        <x:v>tract internal point; no person, address, building, parcel, or route condition</x:v>
      </x:c>
    </x:row>
    <x:row r="67" ht="86.4000015258789" hidden="0" customHeight="1">
      <x:c r="A67" s="36" t="str">
        <x:v>48201223001</x:v>
      </x:c>
      <x:c r="B67" s="63" t="n">
        <x:v>4050</x:v>
      </x:c>
      <x:c r="C67" s="63" t="n">
        <x:v>347</x:v>
      </x:c>
      <x:c r="D67" s="63" t="n">
        <x:v>288.5</x:v>
      </x:c>
      <x:c r="E67" s="45" t="n">
        <x:v>0.08567901234567901</x:v>
      </x:c>
      <x:c r="F67" s="45" t="n">
        <x:v>0.07123456790123457</x:v>
      </x:c>
      <x:c r="G67" s="66" t="n">
        <x:v>1163</x:v>
      </x:c>
      <x:c r="H67" s="66" t="n">
        <x:v>119</x:v>
      </x:c>
      <x:c r="I67" s="66" t="n">
        <x:v>0.10232158211521926</x:v>
      </x:c>
      <x:c r="J67" s="36" t="str">
        <x:v>high</x:v>
      </x:c>
      <x:c r="K67" s="72" t="n">
        <x:v>29.9164122</x:v>
      </x:c>
      <x:c r="L67" s="72" t="n">
        <x:v>-95.3150362</x:v>
      </x:c>
      <x:c r="M67" s="72" t="n">
        <x:v>1.198</x:v>
      </x:c>
      <x:c r="N67" s="72" t="n">
        <x:v>0.31420204196854457</x:v>
      </x:c>
      <x:c r="O67" s="72" t="n">
        <x:v>16.919127907584475</x:v>
      </x:c>
      <x:c r="P67" s="72" t="n">
        <x:v>1</x:v>
      </x:c>
      <x:c r="Q67" s="72" t="n">
        <x:v>702.2242834062232</x:v>
      </x:c>
      <x:c r="R67" s="36" t="str">
        <x:v>tract internal point; no person, address, building, parcel, or route condition</x:v>
      </x:c>
    </x:row>
    <x:row r="68" ht="86.4000015258789" hidden="0" customHeight="1">
      <x:c r="A68" s="34" t="str">
        <x:v>48201223002</x:v>
      </x:c>
      <x:c r="B68" s="62" t="n">
        <x:v>2739</x:v>
      </x:c>
      <x:c r="C68" s="62" t="n">
        <x:v>365</x:v>
      </x:c>
      <x:c r="D68" s="62" t="n">
        <x:v>287</x:v>
      </x:c>
      <x:c r="E68" s="43" t="n">
        <x:v>0.13326031398320554</x:v>
      </x:c>
      <x:c r="F68" s="43" t="n">
        <x:v>0.10478276743336984</x:v>
      </x:c>
      <x:c r="G68" s="65" t="n">
        <x:v>1094</x:v>
      </x:c>
      <x:c r="H68" s="65" t="n">
        <x:v>343</x:v>
      </x:c>
      <x:c r="I68" s="65" t="n">
        <x:v>0.31352833638025596</x:v>
      </x:c>
      <x:c r="J68" s="34" t="str">
        <x:v>moderate</x:v>
      </x:c>
      <x:c r="K68" s="71" t="n">
        <x:v>29.906774</x:v>
      </x:c>
      <x:c r="L68" s="71" t="n">
        <x:v>-95.327696</x:v>
      </x:c>
      <x:c r="M68" s="71" t="n">
        <x:v>0.286</x:v>
      </x:c>
      <x:c r="N68" s="71" t="n">
        <x:v>0.015185004852887103</x:v>
      </x:c>
      <x:c r="O68" s="71" t="n">
        <x:v>16.914946937207265</x:v>
      </x:c>
      <x:c r="P68" s="71" t="n">
        <x:v>1</x:v>
      </x:c>
      <x:c r="Q68" s="71" t="n">
        <x:v>395.0081876441645</x:v>
      </x:c>
      <x:c r="R68" s="34" t="str">
        <x:v>tract internal point; no person, address, building, parcel, or route condition</x:v>
      </x:c>
    </x:row>
    <x:row r="69" ht="86.4000015258789" hidden="0" customHeight="1">
      <x:c r="A69" s="36" t="str">
        <x:v>48201223100</x:v>
      </x:c>
      <x:c r="B69" s="63" t="n">
        <x:v>2157</x:v>
      </x:c>
      <x:c r="C69" s="63" t="n">
        <x:v>360</x:v>
      </x:c>
      <x:c r="D69" s="63" t="n">
        <x:v>4</x:v>
      </x:c>
      <x:c r="E69" s="45" t="n">
        <x:v>0.16689847009735745</x:v>
      </x:c>
      <x:c r="F69" s="45" t="n">
        <x:v>0.0018544274455261937</x:v>
      </x:c>
      <x:c r="G69" s="66" t="n">
        <x:v>676</x:v>
      </x:c>
      <x:c r="H69" s="66" t="n">
        <x:v>0</x:v>
      </x:c>
      <x:c r="I69" s="66" t="n">
        <x:v>0</x:v>
      </x:c>
      <x:c r="J69" s="36" t="str">
        <x:v>moderate</x:v>
      </x:c>
      <x:c r="K69" s="72" t="n">
        <x:v>29.923702</x:v>
      </x:c>
      <x:c r="L69" s="72" t="n">
        <x:v>-95.3245866</x:v>
      </x:c>
      <x:c r="M69" s="72" t="n">
        <x:v>1.835</x:v>
      </x:c>
      <x:c r="N69" s="72" t="n">
        <x:v>0.18938617802702917</x:v>
      </x:c>
      <x:c r="O69" s="72" t="n">
        <x:v>17.90890278382427</x:v>
      </x:c>
      <x:c r="P69" s="72" t="n">
        <x:v>1</x:v>
      </x:c>
      <x:c r="Q69" s="72" t="n">
        <x:v>310.00501761322926</x:v>
      </x:c>
      <x:c r="R69" s="36" t="str">
        <x:v>tract internal point; no person, address, building, parcel, or route condition</x:v>
      </x:c>
    </x:row>
    <x:row r="70" ht="86.4000015258789" hidden="0" customHeight="1">
      <x:c r="A70" s="34" t="str">
        <x:v>48201230100</x:v>
      </x:c>
      <x:c r="B70" s="62" t="n">
        <x:v>1783</x:v>
      </x:c>
      <x:c r="C70" s="62" t="n">
        <x:v>236</x:v>
      </x:c>
      <x:c r="D70" s="62" t="n">
        <x:v>207</x:v>
      </x:c>
      <x:c r="E70" s="43" t="n">
        <x:v>0.13236118900729107</x:v>
      </x:c>
      <x:c r="F70" s="43" t="n">
        <x:v>0.1160964666292765</x:v>
      </x:c>
      <x:c r="G70" s="65" t="n">
        <x:v>731</x:v>
      </x:c>
      <x:c r="H70" s="65" t="n">
        <x:v>89</x:v>
      </x:c>
      <x:c r="I70" s="65" t="n">
        <x:v>0.12175102599179206</x:v>
      </x:c>
      <x:c r="J70" s="34" t="str">
        <x:v>low</x:v>
      </x:c>
      <x:c r="K70" s="71" t="n">
        <x:v>29.8138484</x:v>
      </x:c>
      <x:c r="L70" s="71" t="n">
        <x:v>-95.330229</x:v>
      </x:c>
      <x:c r="M70" s="71" t="n">
        <x:v>0.526</x:v>
      </x:c>
      <x:c r="N70" s="71" t="n">
        <x:v>0.1506573375668618</x:v>
      </x:c>
      <x:c r="O70" s="71" t="n">
        <x:v>18.812347214270165</x:v>
      </x:c>
      <x:c r="P70" s="71" t="n">
        <x:v>3</x:v>
      </x:c>
      <x:c r="Q70" s="71" t="n">
        <x:v>145.47192912704602</x:v>
      </x:c>
      <x:c r="R70" s="34" t="str">
        <x:v>tract internal point; no person, address, building, parcel, or route condition</x:v>
      </x:c>
    </x:row>
    <x:row r="71" ht="86.4000015258789" hidden="0" customHeight="1">
      <x:c r="A71" s="36" t="str">
        <x:v>48201230200</x:v>
      </x:c>
      <x:c r="B71" s="63" t="n">
        <x:v>5263</x:v>
      </x:c>
      <x:c r="C71" s="63" t="n">
        <x:v>782</x:v>
      </x:c>
      <x:c r="D71" s="63" t="n">
        <x:v>319</x:v>
      </x:c>
      <x:c r="E71" s="45" t="n">
        <x:v>0.148584457533726</x:v>
      </x:c>
      <x:c r="F71" s="45" t="n">
        <x:v>0.06061181835455064</x:v>
      </x:c>
      <x:c r="G71" s="66" t="n">
        <x:v>2102</x:v>
      </x:c>
      <x:c r="H71" s="66" t="n">
        <x:v>151</x:v>
      </x:c>
      <x:c r="I71" s="66" t="n">
        <x:v>0.07183634633682208</x:v>
      </x:c>
      <x:c r="J71" s="36" t="str">
        <x:v>low</x:v>
      </x:c>
      <x:c r="K71" s="72" t="n">
        <x:v>29.8199173</x:v>
      </x:c>
      <x:c r="L71" s="72" t="n">
        <x:v>-95.3073371</x:v>
      </x:c>
      <x:c r="M71" s="72" t="n">
        <x:v>3.003</x:v>
      </x:c>
      <x:c r="N71" s="72" t="n">
        <x:v>0.05644426047520578</x:v>
      </x:c>
      <x:c r="O71" s="72" t="n">
        <x:v>22.112157606155826</x:v>
      </x:c>
      <x:c r="P71" s="72" t="n">
        <x:v>3</x:v>
      </x:c>
      <x:c r="Q71" s="72" t="n">
        <x:v>428.44623007740347</x:v>
      </x:c>
      <x:c r="R71" s="36" t="str">
        <x:v>tract internal point; no person, address, building, parcel, or route condition</x:v>
      </x:c>
    </x:row>
    <x:row r="72" ht="86.4000015258789" hidden="0" customHeight="1">
      <x:c r="A72" s="34" t="str">
        <x:v>48201230300</x:v>
      </x:c>
      <x:c r="B72" s="62" t="n">
        <x:v>2155</x:v>
      </x:c>
      <x:c r="C72" s="62" t="n">
        <x:v>444</x:v>
      </x:c>
      <x:c r="D72" s="62" t="n">
        <x:v>78</x:v>
      </x:c>
      <x:c r="E72" s="43" t="n">
        <x:v>0.2060324825986079</x:v>
      </x:c>
      <x:c r="F72" s="43" t="n">
        <x:v>0.03619489559164733</x:v>
      </x:c>
      <x:c r="G72" s="65" t="n">
        <x:v>968</x:v>
      </x:c>
      <x:c r="H72" s="65" t="n">
        <x:v>0</x:v>
      </x:c>
      <x:c r="I72" s="65" t="n">
        <x:v>0</x:v>
      </x:c>
      <x:c r="J72" s="34" t="str">
        <x:v>low</x:v>
      </x:c>
      <x:c r="K72" s="71" t="n">
        <x:v>29.8347332</x:v>
      </x:c>
      <x:c r="L72" s="71" t="n">
        <x:v>-95.3127198</x:v>
      </x:c>
      <x:c r="M72" s="71" t="n">
        <x:v>0.674</x:v>
      </x:c>
      <x:c r="N72" s="71" t="n">
        <x:v>0.06346585814688004</x:v>
      </x:c>
      <x:c r="O72" s="71" t="n">
        <x:v>22.396385998558866</x:v>
      </x:c>
      <x:c r="P72" s="71" t="n">
        <x:v>3</x:v>
      </x:c>
      <x:c r="Q72" s="71" t="n">
        <x:v>176.96504166754386</x:v>
      </x:c>
      <x:c r="R72" s="34" t="str">
        <x:v>tract internal point; no person, address, building, parcel, or route condition</x:v>
      </x:c>
    </x:row>
    <x:row r="73" ht="86.4000015258789" hidden="0" customHeight="1">
      <x:c r="A73" s="36" t="str">
        <x:v>48201230400</x:v>
      </x:c>
      <x:c r="B73" s="63" t="n">
        <x:v>4227</x:v>
      </x:c>
      <x:c r="C73" s="63" t="n">
        <x:v>450</x:v>
      </x:c>
      <x:c r="D73" s="63" t="n">
        <x:v>184</x:v>
      </x:c>
      <x:c r="E73" s="45" t="n">
        <x:v>0.10645848119233499</x:v>
      </x:c>
      <x:c r="F73" s="45" t="n">
        <x:v>0.043529690087532526</x:v>
      </x:c>
      <x:c r="G73" s="66" t="n">
        <x:v>1496</x:v>
      </x:c>
      <x:c r="H73" s="66" t="n">
        <x:v>34</x:v>
      </x:c>
      <x:c r="I73" s="66" t="n">
        <x:v>0.022727272727272728</x:v>
      </x:c>
      <x:c r="J73" s="36" t="str">
        <x:v>low</x:v>
      </x:c>
      <x:c r="K73" s="72" t="n">
        <x:v>29.8305873</x:v>
      </x:c>
      <x:c r="L73" s="72" t="n">
        <x:v>-95.325201</x:v>
      </x:c>
      <x:c r="M73" s="72" t="n">
        <x:v>1.109</x:v>
      </x:c>
      <x:c r="N73" s="72" t="n">
        <x:v>0.022156825849263238</x:v>
      </x:c>
      <x:c r="O73" s="72" t="n">
        <x:v>20.11245459961449</x:v>
      </x:c>
      <x:c r="P73" s="72" t="n">
        <x:v>3</x:v>
      </x:c>
      <x:c r="Q73" s="72" t="n">
        <x:v>340.74180211648144</x:v>
      </x:c>
      <x:c r="R73" s="36" t="str">
        <x:v>tract internal point; no person, address, building, parcel, or route condition</x:v>
      </x:c>
    </x:row>
    <x:row r="74" ht="86.4000015258789" hidden="0" customHeight="1">
      <x:c r="A74" s="34" t="str">
        <x:v>48201230500</x:v>
      </x:c>
      <x:c r="B74" s="62" t="n">
        <x:v>3566</x:v>
      </x:c>
      <x:c r="C74" s="62" t="n">
        <x:v>889</x:v>
      </x:c>
      <x:c r="D74" s="62" t="n">
        <x:v>251</x:v>
      </x:c>
      <x:c r="E74" s="43" t="n">
        <x:v>0.249298934380258</x:v>
      </x:c>
      <x:c r="F74" s="43" t="n">
        <x:v>0.07038698822209759</x:v>
      </x:c>
      <x:c r="G74" s="65" t="n">
        <x:v>1416</x:v>
      </x:c>
      <x:c r="H74" s="65" t="n">
        <x:v>0</x:v>
      </x:c>
      <x:c r="I74" s="65" t="n">
        <x:v>0</x:v>
      </x:c>
      <x:c r="J74" s="34" t="str">
        <x:v>low</x:v>
      </x:c>
      <x:c r="K74" s="71" t="n">
        <x:v>29.8484539</x:v>
      </x:c>
      <x:c r="L74" s="71" t="n">
        <x:v>-95.3283761</x:v>
      </x:c>
      <x:c r="M74" s="71" t="n">
        <x:v>1.336</x:v>
      </x:c>
      <x:c r="N74" s="71" t="n">
        <x:v>0.04605501786649505</x:v>
      </x:c>
      <x:c r="O74" s="71" t="n">
        <x:v>19.324418245408364</x:v>
      </x:c>
      <x:c r="P74" s="71" t="n">
        <x:v>1</x:v>
      </x:c>
      <x:c r="Q74" s="71" t="n">
        <x:v>296.21759883674093</x:v>
      </x:c>
      <x:c r="R74" s="34" t="str">
        <x:v>tract internal point; no person, address, building, parcel, or route condition</x:v>
      </x:c>
    </x:row>
    <x:row r="75" ht="86.4000015258789" hidden="0" customHeight="1">
      <x:c r="A75" s="36" t="str">
        <x:v>48201230600</x:v>
      </x:c>
      <x:c r="B75" s="63" t="n">
        <x:v>3076</x:v>
      </x:c>
      <x:c r="C75" s="63" t="n">
        <x:v>517</x:v>
      </x:c>
      <x:c r="D75" s="63" t="n">
        <x:v>62</x:v>
      </x:c>
      <x:c r="E75" s="45" t="n">
        <x:v>0.16807542262678804</x:v>
      </x:c>
      <x:c r="F75" s="45" t="n">
        <x:v>0.020156046814044214</x:v>
      </x:c>
      <x:c r="G75" s="66" t="n">
        <x:v>1038</x:v>
      </x:c>
      <x:c r="H75" s="66" t="n">
        <x:v>8</x:v>
      </x:c>
      <x:c r="I75" s="66" t="n">
        <x:v>0.007707129094412331</x:v>
      </x:c>
      <x:c r="J75" s="36" t="str">
        <x:v>low</x:v>
      </x:c>
      <x:c r="K75" s="72" t="n">
        <x:v>29.8448725</x:v>
      </x:c>
      <x:c r="L75" s="72" t="n">
        <x:v>-95.3092658</x:v>
      </x:c>
      <x:c r="M75" s="72" t="n">
        <x:v>0.836</x:v>
      </x:c>
      <x:c r="N75" s="72" t="n">
        <x:v>0.05619934656717707</x:v>
      </x:c>
      <x:c r="O75" s="72" t="n">
        <x:v>22.819488627032737</x:v>
      </x:c>
      <x:c r="P75" s="72" t="n">
        <x:v>1</x:v>
      </x:c>
      <x:c r="Q75" s="72" t="n">
        <x:v>250.37299553034623</x:v>
      </x:c>
      <x:c r="R75" s="36" t="str">
        <x:v>tract internal point; no person, address, building, parcel, or route condition</x:v>
      </x:c>
    </x:row>
    <x:row r="76" ht="86.4000015258789" hidden="0" customHeight="1">
      <x:c r="A76" s="34" t="str">
        <x:v>48201230700</x:v>
      </x:c>
      <x:c r="B76" s="62" t="n">
        <x:v>3446</x:v>
      </x:c>
      <x:c r="C76" s="62" t="n">
        <x:v>425</x:v>
      </x:c>
      <x:c r="D76" s="62" t="n">
        <x:v>248</x:v>
      </x:c>
      <x:c r="E76" s="43" t="n">
        <x:v>0.12333139872315728</x:v>
      </x:c>
      <x:c r="F76" s="43" t="n">
        <x:v>0.07196749854904237</x:v>
      </x:c>
      <x:c r="G76" s="65" t="n">
        <x:v>1295</x:v>
      </x:c>
      <x:c r="H76" s="65" t="n">
        <x:v>54</x:v>
      </x:c>
      <x:c r="I76" s="65" t="n">
        <x:v>0.0416988416988417</x:v>
      </x:c>
      <x:c r="J76" s="34" t="str">
        <x:v>low</x:v>
      </x:c>
      <x:c r="K76" s="71" t="n">
        <x:v>29.8530072</x:v>
      </x:c>
      <x:c r="L76" s="71" t="n">
        <x:v>-95.3099266</x:v>
      </x:c>
      <x:c r="M76" s="71" t="n">
        <x:v>1.042</x:v>
      </x:c>
      <x:c r="N76" s="71" t="n">
        <x:v>0.040401126274405154</x:v>
      </x:c>
      <x:c r="O76" s="71" t="n">
        <x:v>22.320926138483</x:v>
      </x:c>
      <x:c r="P76" s="71" t="n">
        <x:v>1</x:v>
      </x:c>
      <x:c r="Q76" s="71" t="n">
        <x:v>279.4689532605491</x:v>
      </x:c>
      <x:c r="R76" s="34" t="str">
        <x:v>tract internal point; no person, address, building, parcel, or route condition</x:v>
      </x:c>
    </x:row>
    <x:row r="77" ht="86.4000015258789" hidden="0" customHeight="1">
      <x:c r="A77" s="36" t="str">
        <x:v>48201230800</x:v>
      </x:c>
      <x:c r="B77" s="63" t="n">
        <x:v>2351</x:v>
      </x:c>
      <x:c r="C77" s="63" t="n">
        <x:v>419</x:v>
      </x:c>
      <x:c r="D77" s="63" t="n">
        <x:v>106</x:v>
      </x:c>
      <x:c r="E77" s="45" t="n">
        <x:v>0.17822203317737134</x:v>
      </x:c>
      <x:c r="F77" s="45" t="n">
        <x:v>0.045087196937473414</x:v>
      </x:c>
      <x:c r="G77" s="66" t="n">
        <x:v>1007</x:v>
      </x:c>
      <x:c r="H77" s="66" t="n">
        <x:v>32</x:v>
      </x:c>
      <x:c r="I77" s="66" t="n">
        <x:v>0.031777557100297914</x:v>
      </x:c>
      <x:c r="J77" s="36" t="str">
        <x:v>low</x:v>
      </x:c>
      <x:c r="K77" s="72" t="n">
        <x:v>29.8398272</x:v>
      </x:c>
      <x:c r="L77" s="72" t="n">
        <x:v>-95.2937237</x:v>
      </x:c>
      <x:c r="M77" s="72" t="n">
        <x:v>0.715</x:v>
      </x:c>
      <x:c r="N77" s="72" t="n">
        <x:v>0.043395834040637654</x:v>
      </x:c>
      <x:c r="O77" s="72" t="n">
        <x:v>25.379700533050862</x:v>
      </x:c>
      <x:c r="P77" s="72" t="n">
        <x:v>1</x:v>
      </x:c>
      <x:c r="Q77" s="72" t="n">
        <x:v>192.19679911787694</x:v>
      </x:c>
      <x:c r="R77" s="36" t="str">
        <x:v>tract internal point; no person, address, building, parcel, or route condition</x:v>
      </x:c>
    </x:row>
    <x:row r="78" ht="86.4000015258789" hidden="0" customHeight="1">
      <x:c r="A78" s="34" t="str">
        <x:v>48201230900</x:v>
      </x:c>
      <x:c r="B78" s="62" t="n">
        <x:v>4524</x:v>
      </x:c>
      <x:c r="C78" s="62" t="n">
        <x:v>713</x:v>
      </x:c>
      <x:c r="D78" s="62" t="n">
        <x:v>519.5</x:v>
      </x:c>
      <x:c r="E78" s="43" t="n">
        <x:v>0.15760389036251105</x:v>
      </x:c>
      <x:c r="F78" s="43" t="n">
        <x:v>0.11483200707338638</x:v>
      </x:c>
      <x:c r="G78" s="65" t="n">
        <x:v>2010</x:v>
      </x:c>
      <x:c r="H78" s="65" t="n">
        <x:v>252</x:v>
      </x:c>
      <x:c r="I78" s="65" t="n">
        <x:v>0.1253731343283582</x:v>
      </x:c>
      <x:c r="J78" s="34" t="str">
        <x:v>low</x:v>
      </x:c>
      <x:c r="K78" s="71" t="n">
        <x:v>29.818201</x:v>
      </x:c>
      <x:c r="L78" s="71" t="n">
        <x:v>-95.282634</x:v>
      </x:c>
      <x:c r="M78" s="71" t="n">
        <x:v>2.455</x:v>
      </x:c>
      <x:c r="N78" s="71" t="n">
        <x:v>0.1454354385066612</x:v>
      </x:c>
      <x:c r="O78" s="71" t="n">
        <x:v>23.22544368586365</x:v>
      </x:c>
      <x:c r="P78" s="71" t="n">
        <x:v>3</x:v>
      </x:c>
      <x:c r="Q78" s="71" t="n">
        <x:v>370.85556820056354</x:v>
      </x:c>
      <x:c r="R78" s="34" t="str">
        <x:v>tract internal point; no person, address, building, parcel, or route condition</x:v>
      </x:c>
    </x:row>
    <x:row r="79" ht="86.4000015258789" hidden="0" customHeight="1">
      <x:c r="A79" s="36" t="str">
        <x:v>48201231000</x:v>
      </x:c>
      <x:c r="B79" s="63" t="n">
        <x:v>6115</x:v>
      </x:c>
      <x:c r="C79" s="63" t="n">
        <x:v>794</x:v>
      </x:c>
      <x:c r="D79" s="63" t="n">
        <x:v>147.5</x:v>
      </x:c>
      <x:c r="E79" s="45" t="n">
        <x:v>0.12984464431725265</x:v>
      </x:c>
      <x:c r="F79" s="45" t="n">
        <x:v>0.0241210139002453</x:v>
      </x:c>
      <x:c r="G79" s="66" t="n">
        <x:v>1843</x:v>
      </x:c>
      <x:c r="H79" s="66" t="n">
        <x:v>0</x:v>
      </x:c>
      <x:c r="I79" s="66" t="n">
        <x:v>0</x:v>
      </x:c>
      <x:c r="J79" s="36" t="str">
        <x:v>low</x:v>
      </x:c>
      <x:c r="K79" s="72" t="n">
        <x:v>29.8401714</x:v>
      </x:c>
      <x:c r="L79" s="72" t="n">
        <x:v>-95.2786836</x:v>
      </x:c>
      <x:c r="M79" s="72" t="n">
        <x:v>1.591</x:v>
      </x:c>
      <x:c r="N79" s="72" t="n">
        <x:v>0.1159218505123696</x:v>
      </x:c>
      <x:c r="O79" s="72" t="n">
        <x:v>27.265716179862956</x:v>
      </x:c>
      <x:c r="P79" s="72" t="n">
        <x:v>1</x:v>
      </x:c>
      <x:c r="Q79" s="72" t="n">
        <x:v>494.2500945009916</x:v>
      </x:c>
      <x:c r="R79" s="36" t="str">
        <x:v>tract internal point; no person, address, building, parcel, or route condition</x:v>
      </x:c>
    </x:row>
    <x:row r="80" ht="86.4000015258789" hidden="0" customHeight="1">
      <x:c r="A80" s="34" t="str">
        <x:v>48201231100</x:v>
      </x:c>
      <x:c r="B80" s="62" t="n">
        <x:v>5489</x:v>
      </x:c>
      <x:c r="C80" s="62" t="n">
        <x:v>903</x:v>
      </x:c>
      <x:c r="D80" s="62" t="n">
        <x:v>551</x:v>
      </x:c>
      <x:c r="E80" s="43" t="n">
        <x:v>0.16451083986154127</x:v>
      </x:c>
      <x:c r="F80" s="43" t="n">
        <x:v>0.10038258334851521</x:v>
      </x:c>
      <x:c r="G80" s="65" t="n">
        <x:v>1590</x:v>
      </x:c>
      <x:c r="H80" s="65" t="n">
        <x:v>81</x:v>
      </x:c>
      <x:c r="I80" s="65" t="n">
        <x:v>0.0509433962264151</x:v>
      </x:c>
      <x:c r="J80" s="34" t="str">
        <x:v>low</x:v>
      </x:c>
      <x:c r="K80" s="71" t="n">
        <x:v>29.8277499</x:v>
      </x:c>
      <x:c r="L80" s="71" t="n">
        <x:v>-95.2500065</x:v>
      </x:c>
      <x:c r="M80" s="71" t="n">
        <x:v>4.27</x:v>
      </x:c>
      <x:c r="N80" s="71" t="n">
        <x:v>0.25746227613987127</x:v>
      </x:c>
      <x:c r="O80" s="71" t="n">
        <x:v>25.61235709106295</x:v>
      </x:c>
      <x:c r="P80" s="71" t="n">
        <x:v>1</x:v>
      </x:c>
      <x:c r="Q80" s="71" t="n">
        <x:v>449.9341686064079</x:v>
      </x:c>
      <x:c r="R80" s="34" t="str">
        <x:v>tract internal point; no person, address, building, parcel, or route condition</x:v>
      </x:c>
    </x:row>
    <x:row r="81" ht="86.4000015258789" hidden="0" customHeight="1">
      <x:c r="A81" s="36" t="str">
        <x:v>48201231200</x:v>
      </x:c>
      <x:c r="B81" s="63" t="n">
        <x:v>5432</x:v>
      </x:c>
      <x:c r="C81" s="63" t="n">
        <x:v>1244</x:v>
      </x:c>
      <x:c r="D81" s="63" t="n">
        <x:v>747</x:v>
      </x:c>
      <x:c r="E81" s="45" t="n">
        <x:v>0.22901325478645065</x:v>
      </x:c>
      <x:c r="F81" s="45" t="n">
        <x:v>0.13751840942562593</x:v>
      </x:c>
      <x:c r="G81" s="66" t="n">
        <x:v>2827</x:v>
      </x:c>
      <x:c r="H81" s="66" t="n">
        <x:v>408</x:v>
      </x:c>
      <x:c r="I81" s="66" t="n">
        <x:v>0.14432260346657233</x:v>
      </x:c>
      <x:c r="J81" s="36" t="str">
        <x:v>low</x:v>
      </x:c>
      <x:c r="K81" s="72" t="n">
        <x:v>29.875083</x:v>
      </x:c>
      <x:c r="L81" s="72" t="n">
        <x:v>-95.2473537</x:v>
      </x:c>
      <x:c r="M81" s="72" t="n">
        <x:v>5.362</x:v>
      </x:c>
      <x:c r="N81" s="72" t="n">
        <x:v>1.2440807181542781</x:v>
      </x:c>
      <x:c r="O81" s="72" t="n">
        <x:v>22.289560387195813</x:v>
      </x:c>
      <x:c r="P81" s="72" t="n">
        <x:v>1</x:v>
      </x:c>
      <x:c r="Q81" s="72" t="n">
        <x:v>452.3549019886075</x:v>
      </x:c>
      <x:c r="R81" s="36" t="str">
        <x:v>tract internal point; no person, address, building, parcel, or route condition</x:v>
      </x:c>
    </x:row>
    <x:row r="82" ht="86.4000015258789" hidden="0" customHeight="1">
      <x:c r="A82" s="34" t="str">
        <x:v>48201231300</x:v>
      </x:c>
      <x:c r="B82" s="62" t="n">
        <x:v>5360</x:v>
      </x:c>
      <x:c r="C82" s="62" t="n">
        <x:v>839</x:v>
      </x:c>
      <x:c r="D82" s="62" t="n">
        <x:v>729</x:v>
      </x:c>
      <x:c r="E82" s="43" t="n">
        <x:v>0.15652985074626866</x:v>
      </x:c>
      <x:c r="F82" s="43" t="n">
        <x:v>0.13600746268656716</x:v>
      </x:c>
      <x:c r="G82" s="65" t="n">
        <x:v>1947</x:v>
      </x:c>
      <x:c r="H82" s="65" t="n">
        <x:v>140</x:v>
      </x:c>
      <x:c r="I82" s="65" t="n">
        <x:v>0.07190549563430919</x:v>
      </x:c>
      <x:c r="J82" s="34" t="str">
        <x:v>low</x:v>
      </x:c>
      <x:c r="K82" s="71" t="n">
        <x:v>29.8582183</x:v>
      </x:c>
      <x:c r="L82" s="71" t="n">
        <x:v>-95.2726329</x:v>
      </x:c>
      <x:c r="M82" s="71" t="n">
        <x:v>1.857</x:v>
      </x:c>
      <x:c r="N82" s="71" t="n">
        <x:v>0.042146665786702585</x:v>
      </x:c>
      <x:c r="O82" s="71" t="n">
        <x:v>24.763153019649796</x:v>
      </x:c>
      <x:c r="P82" s="71" t="n">
        <x:v>1</x:v>
      </x:c>
      <x:c r="Q82" s="71" t="n">
        <x:v>440.1883588858646</x:v>
      </x:c>
      <x:c r="R82" s="34" t="str">
        <x:v>tract internal point; no person, address, building, parcel, or route condition</x:v>
      </x:c>
    </x:row>
    <x:row r="83" ht="86.4000015258789" hidden="0" customHeight="1">
      <x:c r="A83" s="36" t="str">
        <x:v>48201231400</x:v>
      </x:c>
      <x:c r="B83" s="63" t="n">
        <x:v>3699</x:v>
      </x:c>
      <x:c r="C83" s="63" t="n">
        <x:v>970</x:v>
      </x:c>
      <x:c r="D83" s="63" t="n">
        <x:v>192.5</x:v>
      </x:c>
      <x:c r="E83" s="45" t="n">
        <x:v>0.2622330359556637</x:v>
      </x:c>
      <x:c r="F83" s="45" t="n">
        <x:v>0.05204109218707759</x:v>
      </x:c>
      <x:c r="G83" s="66" t="n">
        <x:v>1327</x:v>
      </x:c>
      <x:c r="H83" s="66" t="n">
        <x:v>0</x:v>
      </x:c>
      <x:c r="I83" s="66" t="n">
        <x:v>0</x:v>
      </x:c>
      <x:c r="J83" s="36" t="str">
        <x:v>low</x:v>
      </x:c>
      <x:c r="K83" s="72" t="n">
        <x:v>29.8637479</x:v>
      </x:c>
      <x:c r="L83" s="72" t="n">
        <x:v>-95.2870796</x:v>
      </x:c>
      <x:c r="M83" s="72" t="n">
        <x:v>1.292</x:v>
      </x:c>
      <x:c r="N83" s="72" t="n">
        <x:v>0.059189412966006015</x:v>
      </x:c>
      <x:c r="O83" s="72" t="n">
        <x:v>24.037978945609368</x:v>
      </x:c>
      <x:c r="P83" s="72" t="n">
        <x:v>1</x:v>
      </x:c>
      <x:c r="Q83" s="72" t="n">
        <x:v>307.4842264451272</x:v>
      </x:c>
      <x:c r="R83" s="36" t="str">
        <x:v>tract internal point; no person, address, building, parcel, or route condition</x:v>
      </x:c>
    </x:row>
    <x:row r="84" ht="86.4000015258789" hidden="0" customHeight="1">
      <x:c r="A84" s="34" t="str">
        <x:v>48201231500</x:v>
      </x:c>
      <x:c r="B84" s="62" t="n">
        <x:v>3193</x:v>
      </x:c>
      <x:c r="C84" s="62" t="n">
        <x:v>504</x:v>
      </x:c>
      <x:c r="D84" s="62" t="n">
        <x:v>101</x:v>
      </x:c>
      <x:c r="E84" s="43" t="n">
        <x:v>0.15784528656435953</x:v>
      </x:c>
      <x:c r="F84" s="43" t="n">
        <x:v>0.031631694331349824</x:v>
      </x:c>
      <x:c r="G84" s="65" t="n">
        <x:v>1038</x:v>
      </x:c>
      <x:c r="H84" s="65" t="n">
        <x:v>6</x:v>
      </x:c>
      <x:c r="I84" s="65" t="n">
        <x:v>0.005780346820809248</x:v>
      </x:c>
      <x:c r="J84" s="34" t="str">
        <x:v>low</x:v>
      </x:c>
      <x:c r="K84" s="71" t="n">
        <x:v>29.859841</x:v>
      </x:c>
      <x:c r="L84" s="71" t="n">
        <x:v>-95.2965469</x:v>
      </x:c>
      <x:c r="M84" s="71" t="n">
        <x:v>0.448</x:v>
      </x:c>
      <x:c r="N84" s="71" t="n">
        <x:v>0.05793378720893228</x:v>
      </x:c>
      <x:c r="O84" s="71" t="n">
        <x:v>23.637261839928374</x:v>
      </x:c>
      <x:c r="P84" s="71" t="n">
        <x:v>1</x:v>
      </x:c>
      <x:c r="Q84" s="71" t="n">
        <x:v>259.67081238470337</x:v>
      </x:c>
      <x:c r="R84" s="34" t="str">
        <x:v>tract internal point; no person, address, building, parcel, or route condition</x:v>
      </x:c>
    </x:row>
    <x:row r="85" ht="86.4000015258789" hidden="0" customHeight="1">
      <x:c r="A85" s="36" t="str">
        <x:v>48201231600</x:v>
      </x:c>
      <x:c r="B85" s="63" t="n">
        <x:v>2767</x:v>
      </x:c>
      <x:c r="C85" s="63" t="n">
        <x:v>771</x:v>
      </x:c>
      <x:c r="D85" s="63" t="n">
        <x:v>107</x:v>
      </x:c>
      <x:c r="E85" s="45" t="n">
        <x:v>0.278641127574991</x:v>
      </x:c>
      <x:c r="F85" s="45" t="n">
        <x:v>0.038670039754246474</x:v>
      </x:c>
      <x:c r="G85" s="66" t="n">
        <x:v>1179</x:v>
      </x:c>
      <x:c r="H85" s="66" t="n">
        <x:v>0</x:v>
      </x:c>
      <x:c r="I85" s="66" t="n">
        <x:v>0</x:v>
      </x:c>
      <x:c r="J85" s="36" t="str">
        <x:v>low</x:v>
      </x:c>
      <x:c r="K85" s="72" t="n">
        <x:v>29.8617444</x:v>
      </x:c>
      <x:c r="L85" s="72" t="n">
        <x:v>-95.3074845</x:v>
      </x:c>
      <x:c r="M85" s="72" t="n">
        <x:v>0.643</x:v>
      </x:c>
      <x:c r="N85" s="72" t="n">
        <x:v>0.10137430916074291</x:v>
      </x:c>
      <x:c r="O85" s="72" t="n">
        <x:v>21.9291921094539</x:v>
      </x:c>
      <x:c r="P85" s="72" t="n">
        <x:v>1</x:v>
      </x:c>
      <x:c r="Q85" s="72" t="n">
        <x:v>230.43338322307326</x:v>
      </x:c>
      <x:c r="R85" s="36" t="str">
        <x:v>tract internal point; no person, address, building, parcel, or route condition</x:v>
      </x:c>
    </x:row>
    <x:row r="86" ht="86.4000015258789" hidden="0" customHeight="1">
      <x:c r="A86" s="34" t="str">
        <x:v>48201231700</x:v>
      </x:c>
      <x:c r="B86" s="62" t="n">
        <x:v>4756</x:v>
      </x:c>
      <x:c r="C86" s="62" t="n">
        <x:v>344</x:v>
      </x:c>
      <x:c r="D86" s="62" t="n">
        <x:v>67</x:v>
      </x:c>
      <x:c r="E86" s="43" t="n">
        <x:v>0.07232968881412952</x:v>
      </x:c>
      <x:c r="F86" s="43" t="n">
        <x:v>0.014087468460891506</x:v>
      </x:c>
      <x:c r="G86" s="65" t="n">
        <x:v>1210</x:v>
      </x:c>
      <x:c r="H86" s="65" t="n">
        <x:v>7</x:v>
      </x:c>
      <x:c r="I86" s="65" t="n">
        <x:v>0.005785123966942148</x:v>
      </x:c>
      <x:c r="J86" s="34" t="str">
        <x:v>high</x:v>
      </x:c>
      <x:c r="K86" s="71" t="n">
        <x:v>29.8761202</x:v>
      </x:c>
      <x:c r="L86" s="71" t="n">
        <x:v>-95.3198604</x:v>
      </x:c>
      <x:c r="M86" s="71" t="n">
        <x:v>1.633</x:v>
      </x:c>
      <x:c r="N86" s="71" t="n">
        <x:v>0.010080040565233967</x:v>
      </x:c>
      <x:c r="O86" s="71" t="n">
        <x:v>17.576762134710254</x:v>
      </x:c>
      <x:c r="P86" s="71" t="n">
        <x:v>1</x:v>
      </x:c>
      <x:c r="Q86" s="71" t="n">
        <x:v>817.8862472794956</x:v>
      </x:c>
      <x:c r="R86" s="34" t="str">
        <x:v>tract internal point; no person, address, building, parcel, or route condition</x:v>
      </x:c>
    </x:row>
    <x:row r="87" ht="86.4000015258789" hidden="0" customHeight="1">
      <x:c r="A87" s="36" t="str">
        <x:v>48201231800</x:v>
      </x:c>
      <x:c r="B87" s="63" t="n">
        <x:v>3251</x:v>
      </x:c>
      <x:c r="C87" s="63" t="n">
        <x:v>363</x:v>
      </x:c>
      <x:c r="D87" s="63" t="n">
        <x:v>6</x:v>
      </x:c>
      <x:c r="E87" s="45" t="n">
        <x:v>0.11165795139956937</x:v>
      </x:c>
      <x:c r="F87" s="45" t="n">
        <x:v>0.001845585973546601</x:v>
      </x:c>
      <x:c r="G87" s="66" t="n">
        <x:v>963</x:v>
      </x:c>
      <x:c r="H87" s="66" t="n">
        <x:v>0</x:v>
      </x:c>
      <x:c r="I87" s="66" t="n">
        <x:v>0</x:v>
      </x:c>
      <x:c r="J87" s="36" t="str">
        <x:v>low</x:v>
      </x:c>
      <x:c r="K87" s="72" t="n">
        <x:v>29.8763695</x:v>
      </x:c>
      <x:c r="L87" s="72" t="n">
        <x:v>-95.3077825</x:v>
      </x:c>
      <x:c r="M87" s="72" t="n">
        <x:v>1.084</x:v>
      </x:c>
      <x:c r="N87" s="72" t="n">
        <x:v>0.1366150004135562</x:v>
      </x:c>
      <x:c r="O87" s="72" t="n">
        <x:v>21.036919598602626</x:v>
      </x:c>
      <x:c r="P87" s="72" t="n">
        <x:v>1</x:v>
      </x:c>
      <x:c r="Q87" s="72" t="n">
        <x:v>261.2662957502439</x:v>
      </x:c>
      <x:c r="R87" s="36" t="str">
        <x:v>tract internal point; no person, address, building, parcel, or route condition</x:v>
      </x:c>
    </x:row>
    <x:row r="88" ht="86.4000015258789" hidden="0" customHeight="1">
      <x:c r="A88" s="34" t="str">
        <x:v>48201231900</x:v>
      </x:c>
      <x:c r="B88" s="62" t="n">
        <x:v>5744</x:v>
      </x:c>
      <x:c r="C88" s="62" t="n">
        <x:v>1666</x:v>
      </x:c>
      <x:c r="D88" s="62" t="n">
        <x:v>283</x:v>
      </x:c>
      <x:c r="E88" s="43" t="n">
        <x:v>0.290041782729805</x:v>
      </x:c>
      <x:c r="F88" s="43" t="n">
        <x:v>0.049268802228412255</x:v>
      </x:c>
      <x:c r="G88" s="65" t="n">
        <x:v>2330</x:v>
      </x:c>
      <x:c r="H88" s="65" t="n">
        <x:v>0</x:v>
      </x:c>
      <x:c r="I88" s="65" t="n">
        <x:v>0</x:v>
      </x:c>
      <x:c r="J88" s="34" t="str">
        <x:v>high</x:v>
      </x:c>
      <x:c r="K88" s="71" t="n">
        <x:v>29.8790854</x:v>
      </x:c>
      <x:c r="L88" s="71" t="n">
        <x:v>-95.2745726</x:v>
      </x:c>
      <x:c r="M88" s="71" t="n">
        <x:v>3.407</x:v>
      </x:c>
      <x:c r="N88" s="71" t="n">
        <x:v>0.5213416677703949</x:v>
      </x:c>
      <x:c r="O88" s="71" t="n">
        <x:v>22.022682802066566</x:v>
      </x:c>
      <x:c r="P88" s="71" t="n">
        <x:v>1</x:v>
      </x:c>
      <x:c r="Q88" s="71" t="n">
        <x:v>1033.5515849663586</x:v>
      </x:c>
      <x:c r="R88" s="34" t="str">
        <x:v>tract internal point; no person, address, building, parcel, or route condition</x:v>
      </x:c>
    </x:row>
    <x:row r="89" ht="86.4000015258789" hidden="0" customHeight="1">
      <x:c r="A89" s="36" t="str">
        <x:v>48201232000</x:v>
      </x:c>
      <x:c r="B89" s="63" t="n">
        <x:v>4849</x:v>
      </x:c>
      <x:c r="C89" s="63" t="n">
        <x:v>446</x:v>
      </x:c>
      <x:c r="D89" s="63" t="n">
        <x:v>51</x:v>
      </x:c>
      <x:c r="E89" s="45" t="n">
        <x:v>0.09197772736646731</x:v>
      </x:c>
      <x:c r="F89" s="45" t="n">
        <x:v>0.010517632501546711</x:v>
      </x:c>
      <x:c r="G89" s="66" t="n">
        <x:v>1423</x:v>
      </x:c>
      <x:c r="H89" s="66" t="n">
        <x:v>0</x:v>
      </x:c>
      <x:c r="I89" s="66" t="n">
        <x:v>0</x:v>
      </x:c>
      <x:c r="J89" s="36" t="str">
        <x:v>moderate</x:v>
      </x:c>
      <x:c r="K89" s="72" t="n">
        <x:v>29.9035599</x:v>
      </x:c>
      <x:c r="L89" s="72" t="n">
        <x:v>-95.2713048</x:v>
      </x:c>
      <x:c r="M89" s="72" t="n">
        <x:v>6.243</x:v>
      </x:c>
      <x:c r="N89" s="72" t="n">
        <x:v>0.43962830821934307</x:v>
      </x:c>
      <x:c r="O89" s="72" t="n">
        <x:v>21.960336672408076</x:v>
      </x:c>
      <x:c r="P89" s="72" t="n">
        <x:v>1</x:v>
      </x:c>
      <x:c r="Q89" s="72" t="n">
        <x:v>687.3812701029317</x:v>
      </x:c>
      <x:c r="R89" s="36" t="str">
        <x:v>tract internal point; no person, address, building, parcel, or route condition</x:v>
      </x:c>
    </x:row>
    <x:row r="90" ht="86.4000015258789" hidden="0" customHeight="1">
      <x:c r="A90" s="34" t="str">
        <x:v>48201232100</x:v>
      </x:c>
      <x:c r="B90" s="62" t="n">
        <x:v>3386</x:v>
      </x:c>
      <x:c r="C90" s="62" t="n">
        <x:v>109</x:v>
      </x:c>
      <x:c r="D90" s="62" t="n">
        <x:v>258</x:v>
      </x:c>
      <x:c r="E90" s="43" t="n">
        <x:v>0.03219137625516834</x:v>
      </x:c>
      <x:c r="F90" s="43" t="n">
        <x:v>0.07619610159480213</x:v>
      </x:c>
      <x:c r="G90" s="65" t="n">
        <x:v>1145</x:v>
      </x:c>
      <x:c r="H90" s="65" t="n">
        <x:v>156</x:v>
      </x:c>
      <x:c r="I90" s="65" t="n">
        <x:v>0.13624454148471615</x:v>
      </x:c>
      <x:c r="J90" s="34" t="str">
        <x:v>low</x:v>
      </x:c>
      <x:c r="K90" s="71" t="n">
        <x:v>29.9054154</x:v>
      </x:c>
      <x:c r="L90" s="71" t="n">
        <x:v>-95.3072963</x:v>
      </x:c>
      <x:c r="M90" s="71" t="n">
        <x:v>1.24</x:v>
      </x:c>
      <x:c r="N90" s="71" t="n">
        <x:v>0.10704969415795547</x:v>
      </x:c>
      <x:c r="O90" s="71" t="n">
        <x:v>15.489216099736826</x:v>
      </x:c>
      <x:c r="P90" s="71" t="n">
        <x:v>1</x:v>
      </x:c>
      <x:c r="Q90" s="71" t="n">
        <x:v>269.864614971433</x:v>
      </x:c>
      <x:c r="R90" s="34" t="str">
        <x:v>tract internal point; no person, address, building, parcel, or route condition</x:v>
      </x:c>
    </x:row>
    <x:row r="91" ht="86.4000015258789" hidden="0" customHeight="1">
      <x:c r="A91" s="36" t="str">
        <x:v>48201232201</x:v>
      </x:c>
      <x:c r="B91" s="63" t="n">
        <x:v>6721</x:v>
      </x:c>
      <x:c r="C91" s="63" t="n">
        <x:v>831</x:v>
      </x:c>
      <x:c r="D91" s="63" t="n">
        <x:v>309</x:v>
      </x:c>
      <x:c r="E91" s="45" t="n">
        <x:v>0.12364231513167684</x:v>
      </x:c>
      <x:c r="F91" s="45" t="n">
        <x:v>0.04597530129445023</x:v>
      </x:c>
      <x:c r="G91" s="66" t="n">
        <x:v>2006</x:v>
      </x:c>
      <x:c r="H91" s="66" t="n">
        <x:v>355</x:v>
      </x:c>
      <x:c r="I91" s="66" t="n">
        <x:v>0.1769690927218345</x:v>
      </x:c>
      <x:c r="J91" s="36" t="str">
        <x:v>moderate</x:v>
      </x:c>
      <x:c r="K91" s="72" t="n">
        <x:v>29.9281658</x:v>
      </x:c>
      <x:c r="L91" s="72" t="n">
        <x:v>-95.2897233</x:v>
      </x:c>
      <x:c r="M91" s="72" t="n">
        <x:v>1.71</x:v>
      </x:c>
      <x:c r="N91" s="72" t="n">
        <x:v>0.195249233316049</x:v>
      </x:c>
      <x:c r="O91" s="72" t="n">
        <x:v>14.329865081232079</x:v>
      </x:c>
      <x:c r="P91" s="72" t="n">
        <x:v>1</x:v>
      </x:c>
      <x:c r="Q91" s="72" t="n">
        <x:v>961.983364290877</x:v>
      </x:c>
      <x:c r="R91" s="36" t="str">
        <x:v>tract internal point; no person, address, building, parcel, or route condition</x:v>
      </x:c>
    </x:row>
    <x:row r="92" ht="86.4000015258789" hidden="0" customHeight="1">
      <x:c r="A92" s="34" t="str">
        <x:v>48201232202</x:v>
      </x:c>
      <x:c r="B92" s="62" t="n">
        <x:v>5736</x:v>
      </x:c>
      <x:c r="C92" s="62" t="n">
        <x:v>703</x:v>
      </x:c>
      <x:c r="D92" s="62" t="n">
        <x:v>0</x:v>
      </x:c>
      <x:c r="E92" s="43" t="n">
        <x:v>0.12255927475592747</x:v>
      </x:c>
      <x:c r="F92" s="43" t="n">
        <x:v>0</x:v>
      </x:c>
      <x:c r="G92" s="65" t="n">
        <x:v>1669</x:v>
      </x:c>
      <x:c r="H92" s="65" t="n">
        <x:v>0</x:v>
      </x:c>
      <x:c r="I92" s="65" t="n">
        <x:v>0</x:v>
      </x:c>
      <x:c r="J92" s="34" t="str">
        <x:v>high</x:v>
      </x:c>
      <x:c r="K92" s="71" t="n">
        <x:v>29.9203668</x:v>
      </x:c>
      <x:c r="L92" s="71" t="n">
        <x:v>-95.2654855</x:v>
      </x:c>
      <x:c r="M92" s="71" t="n">
        <x:v>2.136</x:v>
      </x:c>
      <x:c r="N92" s="71" t="n">
        <x:v>0.04873963676436902</x:v>
      </x:c>
      <x:c r="O92" s="71" t="n">
        <x:v>13.26177078953507</x:v>
      </x:c>
      <x:c r="P92" s="71" t="n">
        <x:v>1</x:v>
      </x:c>
      <x:c r="Q92" s="71" t="n">
        <x:v>994.8029226456969</x:v>
      </x:c>
      <x:c r="R92" s="34" t="str">
        <x:v>tract internal point; no person, address, building, parcel, or route condition</x:v>
      </x:c>
    </x:row>
    <x:row r="93" ht="86.4000015258789" hidden="0" customHeight="1">
      <x:c r="A93" s="36" t="str">
        <x:v>48201232203</x:v>
      </x:c>
      <x:c r="B93" s="63" t="n">
        <x:v>5823</x:v>
      </x:c>
      <x:c r="C93" s="63" t="n">
        <x:v>468</x:v>
      </x:c>
      <x:c r="D93" s="63" t="n">
        <x:v>549</x:v>
      </x:c>
      <x:c r="E93" s="45" t="n">
        <x:v>0.080370942812983</x:v>
      </x:c>
      <x:c r="F93" s="45" t="n">
        <x:v>0.09428129829984544</x:v>
      </x:c>
      <x:c r="G93" s="66" t="n">
        <x:v>3046</x:v>
      </x:c>
      <x:c r="H93" s="66" t="n">
        <x:v>571</x:v>
      </x:c>
      <x:c r="I93" s="66" t="n">
        <x:v>0.18745896257386738</x:v>
      </x:c>
      <x:c r="J93" s="36" t="str">
        <x:v>high</x:v>
      </x:c>
      <x:c r="K93" s="72" t="n">
        <x:v>29.9240272</x:v>
      </x:c>
      <x:c r="L93" s="72" t="n">
        <x:v>-95.2283317</x:v>
      </x:c>
      <x:c r="M93" s="72" t="n">
        <x:v>3.814</x:v>
      </x:c>
      <x:c r="N93" s="72" t="n">
        <x:v>0.9392902289991889</x:v>
      </x:c>
      <x:c r="O93" s="72" t="n">
        <x:v>11.513336820448199</x:v>
      </x:c>
      <x:c r="P93" s="72" t="n">
        <x:v>1</x:v>
      </x:c>
      <x:c r="Q93" s="72" t="n">
        <x:v>1010.8677896366571</x:v>
      </x:c>
      <x:c r="R93" s="36" t="str">
        <x:v>tract internal point; no person, address, building, parcel, or route condition</x:v>
      </x:c>
    </x:row>
    <x:row r="94" ht="86.4000015258789" hidden="0" customHeight="1">
      <x:c r="A94" s="34" t="str">
        <x:v>48201232303</x:v>
      </x:c>
      <x:c r="B94" s="62" t="n">
        <x:v>5492</x:v>
      </x:c>
      <x:c r="C94" s="62" t="n">
        <x:v>619</x:v>
      </x:c>
      <x:c r="D94" s="62" t="n">
        <x:v>269</x:v>
      </x:c>
      <x:c r="E94" s="43" t="n">
        <x:v>0.11270939548434086</x:v>
      </x:c>
      <x:c r="F94" s="43" t="n">
        <x:v>0.04898033503277494</x:v>
      </x:c>
      <x:c r="G94" s="65" t="n">
        <x:v>1994</x:v>
      </x:c>
      <x:c r="H94" s="65" t="n">
        <x:v>422</x:v>
      </x:c>
      <x:c r="I94" s="65" t="n">
        <x:v>0.21163490471414242</x:v>
      </x:c>
      <x:c r="J94" s="34" t="str">
        <x:v>low</x:v>
      </x:c>
      <x:c r="K94" s="71" t="n">
        <x:v>29.9044075</x:v>
      </x:c>
      <x:c r="L94" s="71" t="n">
        <x:v>-95.2151989</x:v>
      </x:c>
      <x:c r="M94" s="71" t="n">
        <x:v>5.089</x:v>
      </x:c>
      <x:c r="N94" s="71" t="n">
        <x:v>0.40138636097411323</x:v>
      </x:c>
      <x:c r="O94" s="71" t="n">
        <x:v>11.768968780664645</x:v>
      </x:c>
      <x:c r="P94" s="71" t="n">
        <x:v>1</x:v>
      </x:c>
      <x:c r="Q94" s="71" t="n">
        <x:v>443.48935895250025</x:v>
      </x:c>
      <x:c r="R94" s="34" t="str">
        <x:v>tract internal point; no person, address, building, parcel, or route condition</x:v>
      </x:c>
    </x:row>
    <x:row r="95" ht="86.4000015258789" hidden="0" customHeight="1">
      <x:c r="A95" s="36" t="str">
        <x:v>48201232304</x:v>
      </x:c>
      <x:c r="B95" s="63" t="n">
        <x:v>7403</x:v>
      </x:c>
      <x:c r="C95" s="63" t="n">
        <x:v>1315</x:v>
      </x:c>
      <x:c r="D95" s="63" t="n">
        <x:v>606</x:v>
      </x:c>
      <x:c r="E95" s="45" t="n">
        <x:v>0.17763069026070513</x:v>
      </x:c>
      <x:c r="F95" s="45" t="n">
        <x:v>0.08185870593002836</x:v>
      </x:c>
      <x:c r="G95" s="66" t="n">
        <x:v>2555</x:v>
      </x:c>
      <x:c r="H95" s="66" t="n">
        <x:v>385</x:v>
      </x:c>
      <x:c r="I95" s="66" t="n">
        <x:v>0.1506849315068493</x:v>
      </x:c>
      <x:c r="J95" s="36" t="str">
        <x:v>low</x:v>
      </x:c>
      <x:c r="K95" s="72" t="n">
        <x:v>29.858073</x:v>
      </x:c>
      <x:c r="L95" s="72" t="n">
        <x:v>-95.2225389</x:v>
      </x:c>
      <x:c r="M95" s="72" t="n">
        <x:v>4.75</x:v>
      </x:c>
      <x:c r="N95" s="72" t="n">
        <x:v>0.03325551320304998</x:v>
      </x:c>
      <x:c r="O95" s="72" t="n">
        <x:v>17.688838728660315</x:v>
      </x:c>
      <x:c r="P95" s="72" t="n">
        <x:v>1</x:v>
      </x:c>
      <x:c r="Q95" s="72" t="n">
        <x:v>607.273978925406</x:v>
      </x:c>
      <x:c r="R95" s="36" t="str">
        <x:v>tract internal point; no person, address, building, parcel, or route condition</x:v>
      </x:c>
    </x:row>
    <x:row r="96" ht="86.4000015258789" hidden="0" customHeight="1">
      <x:c r="A96" s="34" t="str">
        <x:v>48201232305</x:v>
      </x:c>
      <x:c r="B96" s="62" t="n">
        <x:v>11986</x:v>
      </x:c>
      <x:c r="C96" s="62" t="n">
        <x:v>1402</x:v>
      </x:c>
      <x:c r="D96" s="62" t="n">
        <x:v>1149.5</x:v>
      </x:c>
      <x:c r="E96" s="43" t="n">
        <x:v>0.11696979809778074</x:v>
      </x:c>
      <x:c r="F96" s="43" t="n">
        <x:v>0.09590355414650426</x:v>
      </x:c>
      <x:c r="G96" s="65" t="n">
        <x:v>3598</x:v>
      </x:c>
      <x:c r="H96" s="65" t="n">
        <x:v>110</x:v>
      </x:c>
      <x:c r="I96" s="65" t="n">
        <x:v>0.030572540300166758</x:v>
      </x:c>
      <x:c r="J96" s="34" t="str">
        <x:v>low</x:v>
      </x:c>
      <x:c r="K96" s="71" t="n">
        <x:v>29.8754695</x:v>
      </x:c>
      <x:c r="L96" s="71" t="n">
        <x:v>-95.2033898</x:v>
      </x:c>
      <x:c r="M96" s="71" t="n">
        <x:v>2.819</x:v>
      </x:c>
      <x:c r="N96" s="71" t="n">
        <x:v>0.5250446812947838</x:v>
      </x:c>
      <x:c r="O96" s="71" t="n">
        <x:v>14.193182899339094</x:v>
      </x:c>
      <x:c r="P96" s="71" t="n">
        <x:v>1</x:v>
      </x:c>
      <x:c r="Q96" s="71" t="n">
        <x:v>973.1151708342707</x:v>
      </x:c>
      <x:c r="R96" s="34" t="str">
        <x:v>tract internal point; no person, address, building, parcel, or route condition</x:v>
      </x:c>
    </x:row>
    <x:row r="97" ht="86.4000015258789" hidden="0" customHeight="1">
      <x:c r="A97" s="36" t="str">
        <x:v>48201232306</x:v>
      </x:c>
      <x:c r="B97" s="63" t="n">
        <x:v>4202</x:v>
      </x:c>
      <x:c r="C97" s="63" t="n">
        <x:v>176</x:v>
      </x:c>
      <x:c r="D97" s="63" t="n">
        <x:v>101</x:v>
      </x:c>
      <x:c r="E97" s="45" t="n">
        <x:v>0.041884816753926704</x:v>
      </x:c>
      <x:c r="F97" s="45" t="n">
        <x:v>0.024036173250832935</x:v>
      </x:c>
      <x:c r="G97" s="66" t="n">
        <x:v>1267</x:v>
      </x:c>
      <x:c r="H97" s="66" t="n">
        <x:v>0</x:v>
      </x:c>
      <x:c r="I97" s="66" t="n">
        <x:v>0</x:v>
      </x:c>
      <x:c r="J97" s="36" t="str">
        <x:v>low</x:v>
      </x:c>
      <x:c r="K97" s="72" t="n">
        <x:v>29.8442707</x:v>
      </x:c>
      <x:c r="L97" s="72" t="n">
        <x:v>-95.2011225</x:v>
      </x:c>
      <x:c r="M97" s="72" t="n">
        <x:v>1.646</x:v>
      </x:c>
      <x:c r="N97" s="72" t="n">
        <x:v>0.19463936972250453</x:v>
      </x:c>
      <x:c r="O97" s="72" t="n">
        <x:v>16.08013201152034</x:v>
      </x:c>
      <x:c r="P97" s="72" t="n">
        <x:v>1</x:v>
      </x:c>
      <x:c r="Q97" s="72" t="n">
        <x:v>333.81756150051467</x:v>
      </x:c>
      <x:c r="R97" s="36" t="str">
        <x:v>tract internal point; no person, address, building, parcel, or route condition</x:v>
      </x:c>
    </x:row>
    <x:row r="98" ht="86.4000015258789" hidden="0" customHeight="1">
      <x:c r="A98" s="34" t="str">
        <x:v>48201232402</x:v>
      </x:c>
      <x:c r="B98" s="62" t="n">
        <x:v>4646</x:v>
      </x:c>
      <x:c r="C98" s="62" t="n">
        <x:v>692</x:v>
      </x:c>
      <x:c r="D98" s="62" t="n">
        <x:v>250</x:v>
      </x:c>
      <x:c r="E98" s="43" t="n">
        <x:v>0.14894532931554025</x:v>
      </x:c>
      <x:c r="F98" s="43" t="n">
        <x:v>0.05380972879896685</x:v>
      </x:c>
      <x:c r="G98" s="65" t="n">
        <x:v>1438</x:v>
      </x:c>
      <x:c r="H98" s="65" t="n">
        <x:v>59</x:v>
      </x:c>
      <x:c r="I98" s="65" t="n">
        <x:v>0.04102920723226704</x:v>
      </x:c>
      <x:c r="J98" s="34" t="str">
        <x:v>low</x:v>
      </x:c>
      <x:c r="K98" s="71" t="n">
        <x:v>29.8118411</x:v>
      </x:c>
      <x:c r="L98" s="71" t="n">
        <x:v>-95.1879798</x:v>
      </x:c>
      <x:c r="M98" s="71" t="n">
        <x:v>0.542</x:v>
      </x:c>
      <x:c r="N98" s="71" t="n">
        <x:v>0.04453160650553994</x:v>
      </x:c>
      <x:c r="O98" s="71" t="n">
        <x:v>21.328570224462187</x:v>
      </x:c>
      <x:c r="P98" s="71" t="n">
        <x:v>1</x:v>
      </x:c>
      <x:c r="Q98" s="71" t="n">
        <x:v>377.9959457256552</x:v>
      </x:c>
      <x:c r="R98" s="34" t="str">
        <x:v>tract internal point; no person, address, building, parcel, or route condition</x:v>
      </x:c>
    </x:row>
    <x:row r="99" ht="86.4000015258789" hidden="0" customHeight="1">
      <x:c r="A99" s="36" t="str">
        <x:v>48201232403</x:v>
      </x:c>
      <x:c r="B99" s="63" t="n">
        <x:v>4018</x:v>
      </x:c>
      <x:c r="C99" s="63" t="n">
        <x:v>512</x:v>
      </x:c>
      <x:c r="D99" s="63" t="n">
        <x:v>198.5</x:v>
      </x:c>
      <x:c r="E99" s="45" t="n">
        <x:v>0.12742658038825286</x:v>
      </x:c>
      <x:c r="F99" s="45" t="n">
        <x:v>0.049402687904430066</x:v>
      </x:c>
      <x:c r="G99" s="66" t="n">
        <x:v>1433</x:v>
      </x:c>
      <x:c r="H99" s="66" t="n">
        <x:v>149</x:v>
      </x:c>
      <x:c r="I99" s="66" t="n">
        <x:v>0.10397766922540126</x:v>
      </x:c>
      <x:c r="J99" s="36" t="str">
        <x:v>high</x:v>
      </x:c>
      <x:c r="K99" s="72" t="n">
        <x:v>29.8090933</x:v>
      </x:c>
      <x:c r="L99" s="72" t="n">
        <x:v>-95.2052647</x:v>
      </x:c>
      <x:c r="M99" s="72" t="n">
        <x:v>0.781</x:v>
      </x:c>
      <x:c r="N99" s="72" t="n">
        <x:v>0.11035842999744687</x:v>
      </x:c>
      <x:c r="O99" s="72" t="n">
        <x:v>21.704457143814597</x:v>
      </x:c>
      <x:c r="P99" s="72" t="n">
        <x:v>1</x:v>
      </x:c>
      <x:c r="Q99" s="72" t="n">
        <x:v>700.8700269686292</x:v>
      </x:c>
      <x:c r="R99" s="36" t="str">
        <x:v>tract internal point; no person, address, building, parcel, or route condition</x:v>
      </x:c>
    </x:row>
    <x:row r="100" ht="86.4000015258789" hidden="0" customHeight="1">
      <x:c r="A100" s="34" t="str">
        <x:v>48201232404</x:v>
      </x:c>
      <x:c r="B100" s="62" t="n">
        <x:v>3969</x:v>
      </x:c>
      <x:c r="C100" s="62" t="n">
        <x:v>548</x:v>
      </x:c>
      <x:c r="D100" s="62" t="n">
        <x:v>267</x:v>
      </x:c>
      <x:c r="E100" s="43" t="n">
        <x:v>0.1380700428319476</x:v>
      </x:c>
      <x:c r="F100" s="43" t="n">
        <x:v>0.0672713529856387</x:v>
      </x:c>
      <x:c r="G100" s="65" t="n">
        <x:v>1262</x:v>
      </x:c>
      <x:c r="H100" s="65" t="n">
        <x:v>43</x:v>
      </x:c>
      <x:c r="I100" s="65" t="n">
        <x:v>0.03407290015847861</x:v>
      </x:c>
      <x:c r="J100" s="34" t="str">
        <x:v>low</x:v>
      </x:c>
      <x:c r="K100" s="71" t="n">
        <x:v>29.8332625</x:v>
      </x:c>
      <x:c r="L100" s="71" t="n">
        <x:v>-95.192846</x:v>
      </x:c>
      <x:c r="M100" s="71" t="n">
        <x:v>1.459</x:v>
      </x:c>
      <x:c r="N100" s="71" t="n">
        <x:v>0.019802720395780026</x:v>
      </x:c>
      <x:c r="O100" s="71" t="n">
        <x:v>15.63017397636399</x:v>
      </x:c>
      <x:c r="P100" s="71" t="n">
        <x:v>1</x:v>
      </x:c>
      <x:c r="Q100" s="71" t="n">
        <x:v>322.6570374656989</x:v>
      </x:c>
      <x:c r="R100" s="34" t="str">
        <x:v>tract internal point; no person, address, building, parcel, or route condition</x:v>
      </x:c>
    </x:row>
    <x:row r="101" ht="86.4000015258789" hidden="0" customHeight="1">
      <x:c r="A101" s="36" t="str">
        <x:v>48201232405</x:v>
      </x:c>
      <x:c r="B101" s="63" t="n">
        <x:v>6382</x:v>
      </x:c>
      <x:c r="C101" s="63" t="n">
        <x:v>599</x:v>
      </x:c>
      <x:c r="D101" s="63" t="n">
        <x:v>66</x:v>
      </x:c>
      <x:c r="E101" s="45" t="n">
        <x:v>0.09385772485114384</x:v>
      </x:c>
      <x:c r="F101" s="45" t="n">
        <x:v>0.010341585709808837</x:v>
      </x:c>
      <x:c r="G101" s="66" t="n">
        <x:v>2130</x:v>
      </x:c>
      <x:c r="H101" s="66" t="n">
        <x:v>517</x:v>
      </x:c>
      <x:c r="I101" s="66" t="n">
        <x:v>0.24272300469483568</x:v>
      </x:c>
      <x:c r="J101" s="36" t="str">
        <x:v>low</x:v>
      </x:c>
      <x:c r="K101" s="72" t="n">
        <x:v>29.8210792</x:v>
      </x:c>
      <x:c r="L101" s="72" t="n">
        <x:v>-95.1921157</x:v>
      </x:c>
      <x:c r="M101" s="72" t="n">
        <x:v>4.122</x:v>
      </x:c>
      <x:c r="N101" s="72" t="n">
        <x:v>0.323846138457367</x:v>
      </x:c>
      <x:c r="O101" s="72" t="n">
        <x:v>21.66434643453731</x:v>
      </x:c>
      <x:c r="P101" s="72" t="n">
        <x:v>1</x:v>
      </x:c>
      <x:c r="Q101" s="72" t="n">
        <x:v>511.52925794503574</x:v>
      </x:c>
      <x:c r="R101" s="36" t="str">
        <x:v>tract internal point; no person, address, building, parcel, or route condition</x:v>
      </x:c>
    </x:row>
    <x:row r="102" ht="86.4000015258789" hidden="0" customHeight="1">
      <x:c r="A102" s="34" t="str">
        <x:v>48201232500</x:v>
      </x:c>
      <x:c r="B102" s="62" t="n">
        <x:v>3860</x:v>
      </x:c>
      <x:c r="C102" s="62" t="n">
        <x:v>790</x:v>
      </x:c>
      <x:c r="D102" s="62" t="n">
        <x:v>229</x:v>
      </x:c>
      <x:c r="E102" s="43" t="n">
        <x:v>0.20466321243523317</x:v>
      </x:c>
      <x:c r="F102" s="43" t="n">
        <x:v>0.05932642487046632</x:v>
      </x:c>
      <x:c r="G102" s="65" t="n">
        <x:v>1044</x:v>
      </x:c>
      <x:c r="H102" s="65" t="n">
        <x:v>179</x:v>
      </x:c>
      <x:c r="I102" s="65" t="n">
        <x:v>0.171455938697318</x:v>
      </x:c>
      <x:c r="J102" s="34" t="str">
        <x:v>low</x:v>
      </x:c>
      <x:c r="K102" s="71" t="n">
        <x:v>29.8059971</x:v>
      </x:c>
      <x:c r="L102" s="71" t="n">
        <x:v>-95.2502681</x:v>
      </x:c>
      <x:c r="M102" s="71" t="n">
        <x:v>4.42</x:v>
      </x:c>
      <x:c r="N102" s="71" t="n">
        <x:v>0.2901086105925454</x:v>
      </x:c>
      <x:c r="O102" s="71" t="n">
        <x:v>23.99000659084539</x:v>
      </x:c>
      <x:c r="P102" s="71" t="n">
        <x:v>1</x:v>
      </x:c>
      <x:c r="Q102" s="71" t="n">
        <x:v>317.5955040301909</x:v>
      </x:c>
      <x:c r="R102" s="34" t="str">
        <x:v>tract internal point; no person, address, building, parcel, or route condition</x:v>
      </x:c>
    </x:row>
    <x:row r="103" ht="86.4000015258789" hidden="0" customHeight="1">
      <x:c r="A103" s="36" t="str">
        <x:v>48201232600</x:v>
      </x:c>
      <x:c r="B103" s="63" t="n">
        <x:v>2568</x:v>
      </x:c>
      <x:c r="C103" s="63" t="n">
        <x:v>268</x:v>
      </x:c>
      <x:c r="D103" s="63" t="n">
        <x:v>0</x:v>
      </x:c>
      <x:c r="E103" s="45" t="n">
        <x:v>0.1043613707165109</x:v>
      </x:c>
      <x:c r="F103" s="45" t="n">
        <x:v>0</x:v>
      </x:c>
      <x:c r="G103" s="66" t="n">
        <x:v>1057</x:v>
      </x:c>
      <x:c r="H103" s="66" t="n">
        <x:v>0</x:v>
      </x:c>
      <x:c r="I103" s="66" t="n">
        <x:v>0</x:v>
      </x:c>
      <x:c r="J103" s="36" t="str">
        <x:v>low</x:v>
      </x:c>
      <x:c r="K103" s="72" t="n">
        <x:v>29.7844995</x:v>
      </x:c>
      <x:c r="L103" s="72" t="n">
        <x:v>-95.2495802</x:v>
      </x:c>
      <x:c r="M103" s="72" t="n">
        <x:v>2.363</x:v>
      </x:c>
      <x:c r="N103" s="72" t="n">
        <x:v>0.1299658316466783</x:v>
      </x:c>
      <x:c r="O103" s="72" t="n">
        <x:v>20.841766523592206</x:v>
      </x:c>
      <x:c r="P103" s="72" t="n">
        <x:v>3</x:v>
      </x:c>
      <x:c r="Q103" s="72" t="n">
        <x:v>206.04528034981033</x:v>
      </x:c>
      <x:c r="R103" s="36" t="str">
        <x:v>tract internal point; no person, address, building, parcel, or route condition</x:v>
      </x:c>
    </x:row>
    <x:row r="104" ht="86.4000015258789" hidden="0" customHeight="1">
      <x:c r="A104" s="34" t="str">
        <x:v>48201232701</x:v>
      </x:c>
      <x:c r="B104" s="62" t="n">
        <x:v>7076</x:v>
      </x:c>
      <x:c r="C104" s="62" t="n">
        <x:v>1314</x:v>
      </x:c>
      <x:c r="D104" s="62" t="n">
        <x:v>225</x:v>
      </x:c>
      <x:c r="E104" s="43" t="n">
        <x:v>0.18569813453928774</x:v>
      </x:c>
      <x:c r="F104" s="43" t="n">
        <x:v>0.031797625777275296</x:v>
      </x:c>
      <x:c r="G104" s="65" t="n">
        <x:v>2729</x:v>
      </x:c>
      <x:c r="H104" s="65" t="n">
        <x:v>399</x:v>
      </x:c>
      <x:c r="I104" s="65" t="n">
        <x:v>0.1462074019787468</x:v>
      </x:c>
      <x:c r="J104" s="34" t="str">
        <x:v>low</x:v>
      </x:c>
      <x:c r="K104" s="71" t="n">
        <x:v>29.7886493</x:v>
      </x:c>
      <x:c r="L104" s="71" t="n">
        <x:v>-95.2278273</x:v>
      </x:c>
      <x:c r="M104" s="71" t="n">
        <x:v>1.803</x:v>
      </x:c>
      <x:c r="N104" s="71" t="n">
        <x:v>0.2166401005875636</x:v>
      </x:c>
      <x:c r="O104" s="71" t="n">
        <x:v>23.852051220295724</x:v>
      </x:c>
      <x:c r="P104" s="71" t="n">
        <x:v>1</x:v>
      </x:c>
      <x:c r="Q104" s="71" t="n">
        <x:v>578.5631378696439</x:v>
      </x:c>
      <x:c r="R104" s="34" t="str">
        <x:v>tract internal point; no person, address, building, parcel, or route condition</x:v>
      </x:c>
    </x:row>
    <x:row r="105" ht="86.4000015258789" hidden="0" customHeight="1">
      <x:c r="A105" s="36" t="str">
        <x:v>48201232703</x:v>
      </x:c>
      <x:c r="B105" s="63" t="n">
        <x:v>2693</x:v>
      </x:c>
      <x:c r="C105" s="63" t="n">
        <x:v>260</x:v>
      </x:c>
      <x:c r="D105" s="63" t="n">
        <x:v>230</x:v>
      </x:c>
      <x:c r="E105" s="45" t="n">
        <x:v>0.09654660230226514</x:v>
      </x:c>
      <x:c r="F105" s="45" t="n">
        <x:v>0.08540660972892684</x:v>
      </x:c>
      <x:c r="G105" s="66" t="n">
        <x:v>1376</x:v>
      </x:c>
      <x:c r="H105" s="66" t="n">
        <x:v>159</x:v>
      </x:c>
      <x:c r="I105" s="66" t="n">
        <x:v>0.11555232558139535</x:v>
      </x:c>
      <x:c r="J105" s="36" t="str">
        <x:v>moderate</x:v>
      </x:c>
      <x:c r="K105" s="72" t="n">
        <x:v>29.7732559</x:v>
      </x:c>
      <x:c r="L105" s="72" t="n">
        <x:v>-95.2217304</x:v>
      </x:c>
      <x:c r="M105" s="72" t="n">
        <x:v>0.253</x:v>
      </x:c>
      <x:c r="N105" s="72" t="n">
        <x:v>0.043929990909229916</x:v>
      </x:c>
      <x:c r="O105" s="72" t="n">
        <x:v>22.97379134496239</x:v>
      </x:c>
      <x:c r="P105" s="72" t="n">
        <x:v>3</x:v>
      </x:c>
      <x:c r="Q105" s="72" t="n">
        <x:v>384.8990260847845</x:v>
      </x:c>
      <x:c r="R105" s="36" t="str">
        <x:v>tract internal point; no person, address, building, parcel, or route condition</x:v>
      </x:c>
    </x:row>
    <x:row r="106" ht="86.4000015258789" hidden="0" customHeight="1">
      <x:c r="A106" s="34" t="str">
        <x:v>48201232704</x:v>
      </x:c>
      <x:c r="B106" s="62" t="n">
        <x:v>1906</x:v>
      </x:c>
      <x:c r="C106" s="62" t="n">
        <x:v>312</x:v>
      </x:c>
      <x:c r="D106" s="62" t="n">
        <x:v>72</x:v>
      </x:c>
      <x:c r="E106" s="43" t="n">
        <x:v>0.16369359916054566</x:v>
      </x:c>
      <x:c r="F106" s="43" t="n">
        <x:v>0.03777544596012592</x:v>
      </x:c>
      <x:c r="G106" s="65" t="n">
        <x:v>934</x:v>
      </x:c>
      <x:c r="H106" s="65" t="n">
        <x:v>275</x:v>
      </x:c>
      <x:c r="I106" s="65" t="n">
        <x:v>0.2944325481798715</x:v>
      </x:c>
      <x:c r="J106" s="34" t="str">
        <x:v>low</x:v>
      </x:c>
      <x:c r="K106" s="71" t="n">
        <x:v>29.797785</x:v>
      </x:c>
      <x:c r="L106" s="71" t="n">
        <x:v>-95.2118128</x:v>
      </x:c>
      <x:c r="M106" s="71" t="n">
        <x:v>1.43</x:v>
      </x:c>
      <x:c r="N106" s="71" t="n">
        <x:v>0.25198354982081855</x:v>
      </x:c>
      <x:c r="O106" s="71" t="n">
        <x:v>21.070827030183008</x:v>
      </x:c>
      <x:c r="P106" s="71" t="n">
        <x:v>1</x:v>
      </x:c>
      <x:c r="Q106" s="71" t="n">
        <x:v>155.2727555153667</x:v>
      </x:c>
      <x:c r="R106" s="34" t="str">
        <x:v>tract internal point; no person, address, building, parcel, or route condition</x:v>
      </x:c>
    </x:row>
    <x:row r="107" ht="86.4000015258789" hidden="0" customHeight="1">
      <x:c r="A107" s="36" t="str">
        <x:v>48201232801</x:v>
      </x:c>
      <x:c r="B107" s="63" t="n">
        <x:v>2807</x:v>
      </x:c>
      <x:c r="C107" s="63" t="n">
        <x:v>143</x:v>
      </x:c>
      <x:c r="D107" s="63" t="n">
        <x:v>107</x:v>
      </x:c>
      <x:c r="E107" s="45" t="n">
        <x:v>0.050944068400427506</x:v>
      </x:c>
      <x:c r="F107" s="45" t="n">
        <x:v>0.03811898824367652</x:v>
      </x:c>
      <x:c r="G107" s="66" t="n">
        <x:v>1190</x:v>
      </x:c>
      <x:c r="H107" s="66" t="n">
        <x:v>185</x:v>
      </x:c>
      <x:c r="I107" s="66" t="n">
        <x:v>0.15546218487394958</x:v>
      </x:c>
      <x:c r="J107" s="36" t="str">
        <x:v>low</x:v>
      </x:c>
      <x:c r="K107" s="72" t="n">
        <x:v>29.7880273</x:v>
      </x:c>
      <x:c r="L107" s="72" t="n">
        <x:v>-95.1983573</x:v>
      </x:c>
      <x:c r="M107" s="72" t="n">
        <x:v>0.357</x:v>
      </x:c>
      <x:c r="N107" s="72" t="n">
        <x:v>0.01959593144226406</x:v>
      </x:c>
      <x:c r="O107" s="72" t="n">
        <x:v>23.657044617856087</x:v>
      </x:c>
      <x:c r="P107" s="72" t="n">
        <x:v>1</x:v>
      </x:c>
      <x:c r="Q107" s="72" t="n">
        <x:v>223.705630706311</x:v>
      </x:c>
      <x:c r="R107" s="36" t="str">
        <x:v>tract internal point; no person, address, building, parcel, or route condition</x:v>
      </x:c>
    </x:row>
    <x:row r="108" ht="86.4000015258789" hidden="0" customHeight="1">
      <x:c r="A108" s="34" t="str">
        <x:v>48201232802</x:v>
      </x:c>
      <x:c r="B108" s="62" t="n">
        <x:v>2832</x:v>
      </x:c>
      <x:c r="C108" s="62" t="n">
        <x:v>243</x:v>
      </x:c>
      <x:c r="D108" s="62" t="n">
        <x:v>190.5</x:v>
      </x:c>
      <x:c r="E108" s="43" t="n">
        <x:v>0.0858050847457627</x:v>
      </x:c>
      <x:c r="F108" s="43" t="n">
        <x:v>0.06726694915254237</x:v>
      </x:c>
      <x:c r="G108" s="65" t="n">
        <x:v>1044</x:v>
      </x:c>
      <x:c r="H108" s="65" t="n">
        <x:v>224</x:v>
      </x:c>
      <x:c r="I108" s="65" t="n">
        <x:v>0.21455938697318008</x:v>
      </x:c>
      <x:c r="J108" s="34" t="str">
        <x:v>low</x:v>
      </x:c>
      <x:c r="K108" s="71" t="n">
        <x:v>29.7851888</x:v>
      </x:c>
      <x:c r="L108" s="71" t="n">
        <x:v>-95.2076883</x:v>
      </x:c>
      <x:c r="M108" s="71" t="n">
        <x:v>0.408</x:v>
      </x:c>
      <x:c r="N108" s="71" t="n">
        <x:v>0.03550993912055968</x:v>
      </x:c>
      <x:c r="O108" s="71" t="n">
        <x:v>25.11868436542489</x:v>
      </x:c>
      <x:c r="P108" s="71" t="n">
        <x:v>6</x:v>
      </x:c>
      <x:c r="Q108" s="71" t="n">
        <x:v>227.89868674333516</x:v>
      </x:c>
      <x:c r="R108" s="34" t="str">
        <x:v>tract internal point; no person, address, building, parcel, or route condition</x:v>
      </x:c>
    </x:row>
    <x:row r="109" ht="86.4000015258789" hidden="0" customHeight="1">
      <x:c r="A109" s="36" t="str">
        <x:v>48201232901</x:v>
      </x:c>
      <x:c r="B109" s="63" t="n">
        <x:v>4348</x:v>
      </x:c>
      <x:c r="C109" s="63" t="n">
        <x:v>271</x:v>
      </x:c>
      <x:c r="D109" s="63" t="n">
        <x:v>110</x:v>
      </x:c>
      <x:c r="E109" s="45" t="n">
        <x:v>0.06232750689972401</x:v>
      </x:c>
      <x:c r="F109" s="45" t="n">
        <x:v>0.025298988040478382</x:v>
      </x:c>
      <x:c r="G109" s="66" t="n">
        <x:v>1857</x:v>
      </x:c>
      <x:c r="H109" s="66" t="n">
        <x:v>326</x:v>
      </x:c>
      <x:c r="I109" s="66" t="n">
        <x:v>0.17555196553581046</x:v>
      </x:c>
      <x:c r="J109" s="36" t="str">
        <x:v>high</x:v>
      </x:c>
      <x:c r="K109" s="72" t="n">
        <x:v>29.8003936</x:v>
      </x:c>
      <x:c r="L109" s="72" t="n">
        <x:v>-95.1995606</x:v>
      </x:c>
      <x:c r="M109" s="72" t="n">
        <x:v>0.928</x:v>
      </x:c>
      <x:c r="N109" s="72" t="n">
        <x:v>0.12797296747456952</x:v>
      </x:c>
      <x:c r="O109" s="72" t="n">
        <x:v>23.526926896654704</x:v>
      </x:c>
      <x:c r="P109" s="72" t="n">
        <x:v>1</x:v>
      </x:c>
      <x:c r="Q109" s="72" t="n">
        <x:v>747.0755637987935</x:v>
      </x:c>
      <x:c r="R109" s="36" t="str">
        <x:v>tract internal point; no person, address, building, parcel, or route condition</x:v>
      </x:c>
    </x:row>
    <x:row r="110" ht="86.4000015258789" hidden="0" customHeight="1">
      <x:c r="A110" s="34" t="str">
        <x:v>48201232902</x:v>
      </x:c>
      <x:c r="B110" s="62" t="n">
        <x:v>4665</x:v>
      </x:c>
      <x:c r="C110" s="62" t="n">
        <x:v>317</x:v>
      </x:c>
      <x:c r="D110" s="62" t="n">
        <x:v>134</x:v>
      </x:c>
      <x:c r="E110" s="43" t="n">
        <x:v>0.06795284030010718</x:v>
      </x:c>
      <x:c r="F110" s="43" t="n">
        <x:v>0.02872454448017149</x:v>
      </x:c>
      <x:c r="G110" s="65" t="n">
        <x:v>1817</x:v>
      </x:c>
      <x:c r="H110" s="65" t="n">
        <x:v>232</x:v>
      </x:c>
      <x:c r="I110" s="65" t="n">
        <x:v>0.12768299394606494</x:v>
      </x:c>
      <x:c r="J110" s="34" t="str">
        <x:v>low</x:v>
      </x:c>
      <x:c r="K110" s="71" t="n">
        <x:v>29.800392</x:v>
      </x:c>
      <x:c r="L110" s="71" t="n">
        <x:v>-95.1872051</x:v>
      </x:c>
      <x:c r="M110" s="71" t="n">
        <x:v>0.333</x:v>
      </x:c>
      <x:c r="N110" s="71" t="n">
        <x:v>0.012924955562573129</x:v>
      </x:c>
      <x:c r="O110" s="71" t="n">
        <x:v>20.405108313186506</x:v>
      </x:c>
      <x:c r="P110" s="71" t="n">
        <x:v>1</x:v>
      </x:c>
      <x:c r="Q110" s="71" t="n">
        <x:v>372.68290752316545</x:v>
      </x:c>
      <x:c r="R110" s="34" t="str">
        <x:v>tract internal point; no person, address, building, parcel, or route condition</x:v>
      </x:c>
    </x:row>
    <x:row r="111" ht="86.4000015258789" hidden="0" customHeight="1">
      <x:c r="A111" s="36" t="str">
        <x:v>48201233001</x:v>
      </x:c>
      <x:c r="B111" s="63" t="n">
        <x:v>4148</x:v>
      </x:c>
      <x:c r="C111" s="63" t="n">
        <x:v>363</x:v>
      </x:c>
      <x:c r="D111" s="63" t="n">
        <x:v>263</x:v>
      </x:c>
      <x:c r="E111" s="45" t="n">
        <x:v>0.08751205400192864</x:v>
      </x:c>
      <x:c r="F111" s="45" t="n">
        <x:v>0.06340405014464802</x:v>
      </x:c>
      <x:c r="G111" s="66" t="n">
        <x:v>1586</x:v>
      </x:c>
      <x:c r="H111" s="66" t="n">
        <x:v>260</x:v>
      </x:c>
      <x:c r="I111" s="66" t="n">
        <x:v>0.16393442622950818</x:v>
      </x:c>
      <x:c r="J111" s="36" t="str">
        <x:v>low</x:v>
      </x:c>
      <x:c r="K111" s="72" t="n">
        <x:v>29.7971528</x:v>
      </x:c>
      <x:c r="L111" s="72" t="n">
        <x:v>-95.1825606</x:v>
      </x:c>
      <x:c r="M111" s="72" t="n">
        <x:v>0.368</x:v>
      </x:c>
      <x:c r="N111" s="72" t="n">
        <x:v>0.020480287504140857</x:v>
      </x:c>
      <x:c r="O111" s="72" t="n">
        <x:v>20.25181191057334</x:v>
      </x:c>
      <x:c r="P111" s="72" t="n">
        <x:v>1</x:v>
      </x:c>
      <x:c r="Q111" s="72" t="n">
        <x:v>333.786123404642</x:v>
      </x:c>
      <x:c r="R111" s="36" t="str">
        <x:v>tract internal point; no person, address, building, parcel, or route condition</x:v>
      </x:c>
    </x:row>
    <x:row r="112" ht="86.4000015258789" hidden="0" customHeight="1">
      <x:c r="A112" s="34" t="str">
        <x:v>48201233002</x:v>
      </x:c>
      <x:c r="B112" s="62" t="n">
        <x:v>3994</x:v>
      </x:c>
      <x:c r="C112" s="62" t="n">
        <x:v>557</x:v>
      </x:c>
      <x:c r="D112" s="62" t="n">
        <x:v>244</x:v>
      </x:c>
      <x:c r="E112" s="43" t="n">
        <x:v>0.13945918878317476</x:v>
      </x:c>
      <x:c r="F112" s="43" t="n">
        <x:v>0.061091637456184275</x:v>
      </x:c>
      <x:c r="G112" s="65" t="n">
        <x:v>1256</x:v>
      </x:c>
      <x:c r="H112" s="65" t="n">
        <x:v>0</x:v>
      </x:c>
      <x:c r="I112" s="65" t="n">
        <x:v>0</x:v>
      </x:c>
      <x:c r="J112" s="34" t="str">
        <x:v>low</x:v>
      </x:c>
      <x:c r="K112" s="71" t="n">
        <x:v>29.8017233</x:v>
      </x:c>
      <x:c r="L112" s="71" t="n">
        <x:v>-95.1701831</x:v>
      </x:c>
      <x:c r="M112" s="71" t="n">
        <x:v>0.666</x:v>
      </x:c>
      <x:c r="N112" s="71" t="n">
        <x:v>0.015948157997007932</x:v>
      </x:c>
      <x:c r="O112" s="71" t="n">
        <x:v>18.35333146644909</x:v>
      </x:c>
      <x:c r="P112" s="71" t="n">
        <x:v>1</x:v>
      </x:c>
      <x:c r="Q112" s="71" t="n">
        <x:v>324.58262083790305</x:v>
      </x:c>
      <x:c r="R112" s="34" t="str">
        <x:v>tract internal point; no person, address, building, parcel, or route condition</x:v>
      </x:c>
    </x:row>
    <x:row r="113" ht="86.4000015258789" hidden="0" customHeight="1">
      <x:c r="A113" s="36" t="str">
        <x:v>48201233003</x:v>
      </x:c>
      <x:c r="B113" s="63" t="n">
        <x:v>2790</x:v>
      </x:c>
      <x:c r="C113" s="63" t="n">
        <x:v>341</x:v>
      </x:c>
      <x:c r="D113" s="63" t="n">
        <x:v>0</x:v>
      </x:c>
      <x:c r="E113" s="45" t="n">
        <x:v>0.12222222222222222</x:v>
      </x:c>
      <x:c r="F113" s="45" t="n">
        <x:v>0</x:v>
      </x:c>
      <x:c r="G113" s="66" t="n">
        <x:v>839</x:v>
      </x:c>
      <x:c r="H113" s="66" t="n">
        <x:v>0</x:v>
      </x:c>
      <x:c r="I113" s="66" t="n">
        <x:v>0</x:v>
      </x:c>
      <x:c r="J113" s="36" t="str">
        <x:v>low</x:v>
      </x:c>
      <x:c r="K113" s="72" t="n">
        <x:v>29.793671</x:v>
      </x:c>
      <x:c r="L113" s="72" t="n">
        <x:v>-95.1707528</x:v>
      </x:c>
      <x:c r="M113" s="72" t="n">
        <x:v>0.394</x:v>
      </x:c>
      <x:c r="N113" s="72" t="n">
        <x:v>0.011387342805127381</x:v>
      </x:c>
      <x:c r="O113" s="72" t="n">
        <x:v>19.38195559154648</x:v>
      </x:c>
      <x:c r="P113" s="72" t="n">
        <x:v>1</x:v>
      </x:c>
      <x:c r="Q113" s="72" t="n">
        <x:v>224.64091405852452</x:v>
      </x:c>
      <x:c r="R113" s="36" t="str">
        <x:v>tract internal point; no person, address, building, parcel, or route condition</x:v>
      </x:c>
    </x:row>
    <x:row r="114" ht="86.4000015258789" hidden="0" customHeight="1">
      <x:c r="A114" s="34" t="str">
        <x:v>48201233101</x:v>
      </x:c>
      <x:c r="B114" s="62" t="n">
        <x:v>4379</x:v>
      </x:c>
      <x:c r="C114" s="62" t="n">
        <x:v>387</x:v>
      </x:c>
      <x:c r="D114" s="62" t="n">
        <x:v>319</x:v>
      </x:c>
      <x:c r="E114" s="43" t="n">
        <x:v>0.08837634163050925</x:v>
      </x:c>
      <x:c r="F114" s="43" t="n">
        <x:v>0.0728476821192053</x:v>
      </x:c>
      <x:c r="G114" s="65" t="n">
        <x:v>1460</x:v>
      </x:c>
      <x:c r="H114" s="65" t="n">
        <x:v>220</x:v>
      </x:c>
      <x:c r="I114" s="65" t="n">
        <x:v>0.1506849315068493</x:v>
      </x:c>
      <x:c r="J114" s="34" t="str">
        <x:v>low</x:v>
      </x:c>
      <x:c r="K114" s="71" t="n">
        <x:v>29.7875298</x:v>
      </x:c>
      <x:c r="L114" s="71" t="n">
        <x:v>-95.1793273</x:v>
      </x:c>
      <x:c r="M114" s="71" t="n">
        <x:v>0.664</x:v>
      </x:c>
      <x:c r="N114" s="71" t="n">
        <x:v>0.034486607655664185</x:v>
      </x:c>
      <x:c r="O114" s="71" t="n">
        <x:v>20.75395901522738</x:v>
      </x:c>
      <x:c r="P114" s="71" t="n">
        <x:v>1</x:v>
      </x:c>
      <x:c r="Q114" s="71" t="n">
        <x:v>352.7590142638288</x:v>
      </x:c>
      <x:c r="R114" s="34" t="str">
        <x:v>tract internal point; no person, address, building, parcel, or route condition</x:v>
      </x:c>
    </x:row>
    <x:row r="115" ht="86.4000015258789" hidden="0" customHeight="1">
      <x:c r="A115" s="36" t="str">
        <x:v>48201233103</x:v>
      </x:c>
      <x:c r="B115" s="63" t="n">
        <x:v>5036</x:v>
      </x:c>
      <x:c r="C115" s="63" t="n">
        <x:v>544</x:v>
      </x:c>
      <x:c r="D115" s="63" t="n">
        <x:v>115</x:v>
      </x:c>
      <x:c r="E115" s="45" t="n">
        <x:v>0.10802223987291501</x:v>
      </x:c>
      <x:c r="F115" s="45" t="n">
        <x:v>0.02283558379666402</x:v>
      </x:c>
      <x:c r="G115" s="66" t="n">
        <x:v>1697</x:v>
      </x:c>
      <x:c r="H115" s="66" t="n">
        <x:v>70</x:v>
      </x:c>
      <x:c r="I115" s="66" t="n">
        <x:v>0.04124926340601061</x:v>
      </x:c>
      <x:c r="J115" s="36" t="str">
        <x:v>low</x:v>
      </x:c>
      <x:c r="K115" s="72" t="n">
        <x:v>29.7764643</x:v>
      </x:c>
      <x:c r="L115" s="72" t="n">
        <x:v>-95.1762714</x:v>
      </x:c>
      <x:c r="M115" s="72" t="n">
        <x:v>0.63</x:v>
      </x:c>
      <x:c r="N115" s="72" t="n">
        <x:v>0.03777858316797741</x:v>
      </x:c>
      <x:c r="O115" s="72" t="n">
        <x:v>21.26496540093007</x:v>
      </x:c>
      <x:c r="P115" s="72" t="n">
        <x:v>6</x:v>
      </x:c>
      <x:c r="Q115" s="72" t="n">
        <x:v>405.26063437127203</x:v>
      </x:c>
      <x:c r="R115" s="36" t="str">
        <x:v>tract internal point; no person, address, building, parcel, or route condition</x:v>
      </x:c>
    </x:row>
    <x:row r="116" ht="86.4000015258789" hidden="0" customHeight="1">
      <x:c r="A116" s="34" t="str">
        <x:v>48201233104</x:v>
      </x:c>
      <x:c r="B116" s="62" t="n">
        <x:v>2554</x:v>
      </x:c>
      <x:c r="C116" s="62" t="n">
        <x:v>304</x:v>
      </x:c>
      <x:c r="D116" s="62" t="n">
        <x:v>27</x:v>
      </x:c>
      <x:c r="E116" s="43" t="n">
        <x:v>0.11902897415818324</x:v>
      </x:c>
      <x:c r="F116" s="43" t="n">
        <x:v>0.010571652310101801</x:v>
      </x:c>
      <x:c r="G116" s="65" t="n">
        <x:v>859</x:v>
      </x:c>
      <x:c r="H116" s="65" t="n">
        <x:v>0</x:v>
      </x:c>
      <x:c r="I116" s="65" t="n">
        <x:v>0</x:v>
      </x:c>
      <x:c r="J116" s="34" t="str">
        <x:v>moderate</x:v>
      </x:c>
      <x:c r="K116" s="71" t="n">
        <x:v>29.7766026</x:v>
      </x:c>
      <x:c r="L116" s="71" t="n">
        <x:v>-95.1662698</x:v>
      </x:c>
      <x:c r="M116" s="71" t="n">
        <x:v>0.31</x:v>
      </x:c>
      <x:c r="N116" s="71" t="n">
        <x:v>0.022612324140880852</x:v>
      </x:c>
      <x:c r="O116" s="71" t="n">
        <x:v>20.986170563956897</x:v>
      </x:c>
      <x:c r="P116" s="71" t="n">
        <x:v>6</x:v>
      </x:c>
      <x:c r="Q116" s="71" t="n">
        <x:v>363.9715320725879</x:v>
      </x:c>
      <x:c r="R116" s="34" t="str">
        <x:v>tract internal point; no person, address, building, parcel, or route condition</x:v>
      </x:c>
    </x:row>
    <x:row r="117" ht="86.4000015258789" hidden="0" customHeight="1">
      <x:c r="A117" s="36" t="str">
        <x:v>48201233105</x:v>
      </x:c>
      <x:c r="B117" s="63" t="n">
        <x:v>4595</x:v>
      </x:c>
      <x:c r="C117" s="63" t="n">
        <x:v>366</x:v>
      </x:c>
      <x:c r="D117" s="63" t="n">
        <x:v>156.5</x:v>
      </x:c>
      <x:c r="E117" s="45" t="n">
        <x:v>0.07965179542981501</x:v>
      </x:c>
      <x:c r="F117" s="45" t="n">
        <x:v>0.034058759521218715</x:v>
      </x:c>
      <x:c r="G117" s="66" t="n">
        <x:v>1157</x:v>
      </x:c>
      <x:c r="H117" s="66" t="n">
        <x:v>18</x:v>
      </x:c>
      <x:c r="I117" s="66" t="n">
        <x:v>0.015557476231633534</x:v>
      </x:c>
      <x:c r="J117" s="36" t="str">
        <x:v>low</x:v>
      </x:c>
      <x:c r="K117" s="72" t="n">
        <x:v>29.7830028</x:v>
      </x:c>
      <x:c r="L117" s="72" t="n">
        <x:v>-95.1613706</x:v>
      </x:c>
      <x:c r="M117" s="72" t="n">
        <x:v>0.632</x:v>
      </x:c>
      <x:c r="N117" s="72" t="n">
        <x:v>0.02159065235549391</x:v>
      </x:c>
      <x:c r="O117" s="72" t="n">
        <x:v>19.701950242910748</x:v>
      </x:c>
      <x:c r="P117" s="72" t="n">
        <x:v>1</x:v>
      </x:c>
      <x:c r="Q117" s="72" t="n">
        <x:v>368.128313383605</x:v>
      </x:c>
      <x:c r="R117" s="36" t="str">
        <x:v>tract internal point; no person, address, building, parcel, or route condition</x:v>
      </x:c>
    </x:row>
    <x:row r="118" ht="86.4000015258789" hidden="0" customHeight="1">
      <x:c r="A118" s="34" t="str">
        <x:v>48201233200</x:v>
      </x:c>
      <x:c r="B118" s="62" t="n">
        <x:v>6280</x:v>
      </x:c>
      <x:c r="C118" s="62" t="n">
        <x:v>923</x:v>
      </x:c>
      <x:c r="D118" s="62" t="n">
        <x:v>105</x:v>
      </x:c>
      <x:c r="E118" s="43" t="n">
        <x:v>0.14697452229299363</x:v>
      </x:c>
      <x:c r="F118" s="43" t="n">
        <x:v>0.016719745222929936</x:v>
      </x:c>
      <x:c r="G118" s="65" t="n">
        <x:v>1939</x:v>
      </x:c>
      <x:c r="H118" s="65" t="n">
        <x:v>0</x:v>
      </x:c>
      <x:c r="I118" s="65" t="n">
        <x:v>0</x:v>
      </x:c>
      <x:c r="J118" s="34" t="str">
        <x:v>low</x:v>
      </x:c>
      <x:c r="K118" s="71" t="n">
        <x:v>29.7793051</x:v>
      </x:c>
      <x:c r="L118" s="71" t="n">
        <x:v>-95.1927525</x:v>
      </x:c>
      <x:c r="M118" s="71" t="n">
        <x:v>1.215</x:v>
      </x:c>
      <x:c r="N118" s="71" t="n">
        <x:v>0.16376511698273613</x:v>
      </x:c>
      <x:c r="O118" s="71" t="n">
        <x:v>23.62178387408491</x:v>
      </x:c>
      <x:c r="P118" s="71" t="n">
        <x:v>6</x:v>
      </x:c>
      <x:c r="Q118" s="71" t="n">
        <x:v>508.9120364636317</x:v>
      </x:c>
      <x:c r="R118" s="34" t="str">
        <x:v>tract internal point; no person, address, building, parcel, or route condition</x:v>
      </x:c>
    </x:row>
    <x:row r="119" ht="86.4000015258789" hidden="0" customHeight="1">
      <x:c r="A119" s="36" t="str">
        <x:v>48201233300</x:v>
      </x:c>
      <x:c r="B119" s="63" t="n">
        <x:v>4436</x:v>
      </x:c>
      <x:c r="C119" s="63" t="n">
        <x:v>499</x:v>
      </x:c>
      <x:c r="D119" s="63" t="n">
        <x:v>219</x:v>
      </x:c>
      <x:c r="E119" s="45" t="n">
        <x:v>0.1124887285843102</x:v>
      </x:c>
      <x:c r="F119" s="45" t="n">
        <x:v>0.049368800721370606</x:v>
      </x:c>
      <x:c r="G119" s="66" t="n">
        <x:v>1421</x:v>
      </x:c>
      <x:c r="H119" s="66" t="n">
        <x:v>22</x:v>
      </x:c>
      <x:c r="I119" s="66" t="n">
        <x:v>0.015482054890921885</x:v>
      </x:c>
      <x:c r="J119" s="36" t="str">
        <x:v>low</x:v>
      </x:c>
      <x:c r="K119" s="72" t="n">
        <x:v>29.7542552</x:v>
      </x:c>
      <x:c r="L119" s="72" t="n">
        <x:v>-95.2006244</x:v>
      </x:c>
      <x:c r="M119" s="72" t="n">
        <x:v>4.16</x:v>
      </x:c>
      <x:c r="N119" s="72" t="n">
        <x:v>0.40414204827608163</x:v>
      </x:c>
      <x:c r="O119" s="72" t="n">
        <x:v>25.85086089602845</x:v>
      </x:c>
      <x:c r="P119" s="72" t="n">
        <x:v>6</x:v>
      </x:c>
      <x:c r="Q119" s="72" t="n">
        <x:v>358.2135238977458</x:v>
      </x:c>
      <x:c r="R119" s="36" t="str">
        <x:v>tract internal point; no person, address, building, parcel, or route condition</x:v>
      </x:c>
    </x:row>
    <x:row r="120" ht="86.4000015258789" hidden="0" customHeight="1">
      <x:c r="A120" s="34" t="str">
        <x:v>48201233400</x:v>
      </x:c>
      <x:c r="B120" s="62" t="n">
        <x:v>2760</x:v>
      </x:c>
      <x:c r="C120" s="62" t="n">
        <x:v>471</x:v>
      </x:c>
      <x:c r="D120" s="62" t="n">
        <x:v>223.5</x:v>
      </x:c>
      <x:c r="E120" s="43" t="n">
        <x:v>0.17065217391304346</x:v>
      </x:c>
      <x:c r="F120" s="43" t="n">
        <x:v>0.08097826086956522</x:v>
      </x:c>
      <x:c r="G120" s="65" t="n">
        <x:v>1053</x:v>
      </x:c>
      <x:c r="H120" s="65" t="n">
        <x:v>231</x:v>
      </x:c>
      <x:c r="I120" s="65" t="n">
        <x:v>0.21937321937321938</x:v>
      </x:c>
      <x:c r="J120" s="34" t="str">
        <x:v>low</x:v>
      </x:c>
      <x:c r="K120" s="71" t="n">
        <x:v>29.7708371</x:v>
      </x:c>
      <x:c r="L120" s="71" t="n">
        <x:v>-95.2453025</x:v>
      </x:c>
      <x:c r="M120" s="71" t="n">
        <x:v>1.007</x:v>
      </x:c>
      <x:c r="N120" s="71" t="n">
        <x:v>0.049697332783591126</x:v>
      </x:c>
      <x:c r="O120" s="71" t="n">
        <x:v>21.2118693371186</x:v>
      </x:c>
      <x:c r="P120" s="71" t="n">
        <x:v>3</x:v>
      </x:c>
      <x:c r="Q120" s="71" t="n">
        <x:v>226.08313670668554</x:v>
      </x:c>
      <x:c r="R120" s="34" t="str">
        <x:v>tract internal point; no person, address, building, parcel, or route condition</x:v>
      </x:c>
    </x:row>
    <x:row r="121" ht="86.4000015258789" hidden="0" customHeight="1">
      <x:c r="A121" s="36" t="str">
        <x:v>48201233501</x:v>
      </x:c>
      <x:c r="B121" s="63" t="n">
        <x:v>3643</x:v>
      </x:c>
      <x:c r="C121" s="63" t="n">
        <x:v>347</x:v>
      </x:c>
      <x:c r="D121" s="63" t="n">
        <x:v>81</x:v>
      </x:c>
      <x:c r="E121" s="45" t="n">
        <x:v>0.09525116662091683</x:v>
      </x:c>
      <x:c r="F121" s="45" t="n">
        <x:v>0.022234422179522373</x:v>
      </x:c>
      <x:c r="G121" s="66" t="n">
        <x:v>1290</x:v>
      </x:c>
      <x:c r="H121" s="66" t="n">
        <x:v>44</x:v>
      </x:c>
      <x:c r="I121" s="66" t="n">
        <x:v>0.034108527131782945</x:v>
      </x:c>
      <x:c r="J121" s="36" t="str">
        <x:v>low</x:v>
      </x:c>
      <x:c r="K121" s="72" t="n">
        <x:v>29.7646709</x:v>
      </x:c>
      <x:c r="L121" s="72" t="n">
        <x:v>-95.2330995</x:v>
      </x:c>
      <x:c r="M121" s="72" t="n">
        <x:v>0.55</x:v>
      </x:c>
      <x:c r="N121" s="72" t="n">
        <x:v>0.06025337896419014</x:v>
      </x:c>
      <x:c r="O121" s="72" t="n">
        <x:v>22.69349078392055</x:v>
      </x:c>
      <x:c r="P121" s="72" t="n">
        <x:v>3</x:v>
      </x:c>
      <x:c r="Q121" s="72" t="n">
        <x:v>292.41358923614183</x:v>
      </x:c>
      <x:c r="R121" s="36" t="str">
        <x:v>tract internal point; no person, address, building, parcel, or route condition</x:v>
      </x:c>
    </x:row>
    <x:row r="122" ht="86.4000015258789" hidden="0" customHeight="1">
      <x:c r="A122" s="34" t="str">
        <x:v>48201233502</x:v>
      </x:c>
      <x:c r="B122" s="62" t="n">
        <x:v>2943</x:v>
      </x:c>
      <x:c r="C122" s="62" t="n">
        <x:v>518</x:v>
      </x:c>
      <x:c r="D122" s="62" t="n">
        <x:v>40</x:v>
      </x:c>
      <x:c r="E122" s="43" t="n">
        <x:v>0.17601087325857967</x:v>
      </x:c>
      <x:c r="F122" s="43" t="n">
        <x:v>0.013591573224600747</x:v>
      </x:c>
      <x:c r="G122" s="65" t="n">
        <x:v>997</x:v>
      </x:c>
      <x:c r="H122" s="65" t="n">
        <x:v>135</x:v>
      </x:c>
      <x:c r="I122" s="65" t="n">
        <x:v>0.1354062186559679</x:v>
      </x:c>
      <x:c r="J122" s="34" t="str">
        <x:v>low</x:v>
      </x:c>
      <x:c r="K122" s="71" t="n">
        <x:v>29.7625516</x:v>
      </x:c>
      <x:c r="L122" s="71" t="n">
        <x:v>-95.2458797</x:v>
      </x:c>
      <x:c r="M122" s="71" t="n">
        <x:v>0.533</x:v>
      </x:c>
      <x:c r="N122" s="71" t="n">
        <x:v>0.07827669915822273</x:v>
      </x:c>
      <x:c r="O122" s="71" t="n">
        <x:v>22.624021725962766</x:v>
      </x:c>
      <x:c r="P122" s="71" t="n">
        <x:v>3</x:v>
      </x:c>
      <x:c r="Q122" s="71" t="n">
        <x:v>239.7626381733031</x:v>
      </x:c>
      <x:c r="R122" s="34" t="str">
        <x:v>tract internal point; no person, address, building, parcel, or route condition</x:v>
      </x:c>
    </x:row>
    <x:row r="123" ht="86.4000015258789" hidden="0" customHeight="1">
      <x:c r="A123" s="36" t="str">
        <x:v>48201233600</x:v>
      </x:c>
      <x:c r="B123" s="63" t="n">
        <x:v>2115</x:v>
      </x:c>
      <x:c r="C123" s="63" t="n">
        <x:v>372</x:v>
      </x:c>
      <x:c r="D123" s="63" t="n">
        <x:v>229.5</x:v>
      </x:c>
      <x:c r="E123" s="45" t="n">
        <x:v>0.17588652482269504</x:v>
      </x:c>
      <x:c r="F123" s="45" t="n">
        <x:v>0.10851063829787234</x:v>
      </x:c>
      <x:c r="G123" s="66" t="n">
        <x:v>896</x:v>
      </x:c>
      <x:c r="H123" s="66" t="n">
        <x:v>0</x:v>
      </x:c>
      <x:c r="I123" s="66" t="n">
        <x:v>0</x:v>
      </x:c>
      <x:c r="J123" s="36" t="str">
        <x:v>low</x:v>
      </x:c>
      <x:c r="K123" s="72" t="n">
        <x:v>29.7564963</x:v>
      </x:c>
      <x:c r="L123" s="72" t="n">
        <x:v>-95.260864</x:v>
      </x:c>
      <x:c r="M123" s="72" t="n">
        <x:v>1.38</x:v>
      </x:c>
      <x:c r="N123" s="72" t="n">
        <x:v>0.34721479918720993</x:v>
      </x:c>
      <x:c r="O123" s="72" t="n">
        <x:v>21.76820594144002</x:v>
      </x:c>
      <x:c r="P123" s="72" t="n">
        <x:v>3</x:v>
      </x:c>
      <x:c r="Q123" s="72" t="n">
        <x:v>173.88017851003312</x:v>
      </x:c>
      <x:c r="R123" s="36" t="str">
        <x:v>tract internal point; no person, address, building, parcel, or route condition</x:v>
      </x:c>
    </x:row>
    <x:row r="124" ht="86.4000015258789" hidden="0" customHeight="1">
      <x:c r="A124" s="34" t="str">
        <x:v>48201233701</x:v>
      </x:c>
      <x:c r="B124" s="62" t="n">
        <x:v>4630</x:v>
      </x:c>
      <x:c r="C124" s="62" t="n">
        <x:v>646</x:v>
      </x:c>
      <x:c r="D124" s="62" t="n">
        <x:v>126</x:v>
      </x:c>
      <x:c r="E124" s="43" t="n">
        <x:v>0.13952483801295895</x:v>
      </x:c>
      <x:c r="F124" s="43" t="n">
        <x:v>0.027213822894168467</x:v>
      </x:c>
      <x:c r="G124" s="65" t="n">
        <x:v>1525</x:v>
      </x:c>
      <x:c r="H124" s="65" t="n">
        <x:v>0</x:v>
      </x:c>
      <x:c r="I124" s="65" t="n">
        <x:v>0</x:v>
      </x:c>
      <x:c r="J124" s="34" t="str">
        <x:v>low</x:v>
      </x:c>
      <x:c r="K124" s="71" t="n">
        <x:v>29.7357783</x:v>
      </x:c>
      <x:c r="L124" s="71" t="n">
        <x:v>-95.2467911</x:v>
      </x:c>
      <x:c r="M124" s="71" t="n">
        <x:v>2.638</x:v>
      </x:c>
      <x:c r="N124" s="71" t="n">
        <x:v>0.028126558180897966</x:v>
      </x:c>
      <x:c r="O124" s="71" t="n">
        <x:v>20.345161541615255</x:v>
      </x:c>
      <x:c r="P124" s="71" t="n">
        <x:v>3</x:v>
      </x:c>
      <x:c r="Q124" s="71" t="n">
        <x:v>375.0407647136194</x:v>
      </x:c>
      <x:c r="R124" s="34" t="str">
        <x:v>tract internal point; no person, address, building, parcel, or route condition</x:v>
      </x:c>
    </x:row>
    <x:row r="125" ht="86.4000015258789" hidden="0" customHeight="1">
      <x:c r="A125" s="36" t="str">
        <x:v>48201233702</x:v>
      </x:c>
      <x:c r="B125" s="63" t="n">
        <x:v>3057</x:v>
      </x:c>
      <x:c r="C125" s="63" t="n">
        <x:v>260</x:v>
      </x:c>
      <x:c r="D125" s="63" t="n">
        <x:v>38</x:v>
      </x:c>
      <x:c r="E125" s="45" t="n">
        <x:v>0.08505070330389271</x:v>
      </x:c>
      <x:c r="F125" s="45" t="n">
        <x:v>0.012430487405953549</x:v>
      </x:c>
      <x:c r="G125" s="66" t="n">
        <x:v>911</x:v>
      </x:c>
      <x:c r="H125" s="66" t="n">
        <x:v>26</x:v>
      </x:c>
      <x:c r="I125" s="66" t="n">
        <x:v>0.02854006586169045</x:v>
      </x:c>
      <x:c r="J125" s="36" t="str">
        <x:v>low</x:v>
      </x:c>
      <x:c r="K125" s="72" t="n">
        <x:v>29.7473922</x:v>
      </x:c>
      <x:c r="L125" s="72" t="n">
        <x:v>-95.2378885</x:v>
      </x:c>
      <x:c r="M125" s="72" t="n">
        <x:v>0.951</x:v>
      </x:c>
      <x:c r="N125" s="72" t="n">
        <x:v>0.1467103713033693</x:v>
      </x:c>
      <x:c r="O125" s="72" t="n">
        <x:v>23.521766649307438</x:v>
      </x:c>
      <x:c r="P125" s="72" t="n">
        <x:v>3</x:v>
      </x:c>
      <x:c r="Q125" s="72" t="n">
        <x:v>244.65126208151113</x:v>
      </x:c>
      <x:c r="R125" s="36" t="str">
        <x:v>tract internal point; no person, address, building, parcel, or route condition</x:v>
      </x:c>
    </x:row>
    <x:row r="126" ht="86.4000015258789" hidden="0" customHeight="1">
      <x:c r="A126" s="34" t="str">
        <x:v>48201233703</x:v>
      </x:c>
      <x:c r="B126" s="62" t="n">
        <x:v>2699</x:v>
      </x:c>
      <x:c r="C126" s="62" t="n">
        <x:v>709</x:v>
      </x:c>
      <x:c r="D126" s="62" t="n">
        <x:v>85</x:v>
      </x:c>
      <x:c r="E126" s="43" t="n">
        <x:v>0.2626898851426454</x:v>
      </x:c>
      <x:c r="F126" s="43" t="n">
        <x:v>0.031493145609485</x:v>
      </x:c>
      <x:c r="G126" s="65" t="n">
        <x:v>898</x:v>
      </x:c>
      <x:c r="H126" s="65" t="n">
        <x:v>14</x:v>
      </x:c>
      <x:c r="I126" s="65" t="n">
        <x:v>0.015590200445434299</x:v>
      </x:c>
      <x:c r="J126" s="34" t="str">
        <x:v>low</x:v>
      </x:c>
      <x:c r="K126" s="71" t="n">
        <x:v>29.743492</x:v>
      </x:c>
      <x:c r="L126" s="71" t="n">
        <x:v>-95.2215425</x:v>
      </x:c>
      <x:c r="M126" s="71" t="n">
        <x:v>2.619</x:v>
      </x:c>
      <x:c r="N126" s="71" t="n">
        <x:v>0.6177678427105455</x:v>
      </x:c>
      <x:c r="O126" s="71" t="n">
        <x:v>26.796224396057674</x:v>
      </x:c>
      <x:c r="P126" s="71" t="n">
        <x:v>3</x:v>
      </x:c>
      <x:c r="Q126" s="71" t="n">
        <x:v>223.94141642535646</x:v>
      </x:c>
      <x:c r="R126" s="34" t="str">
        <x:v>tract internal point; no person, address, building, parcel, or route condition</x:v>
      </x:c>
    </x:row>
    <x:row r="127" ht="86.4000015258789" hidden="0" customHeight="1">
      <x:c r="A127" s="36" t="str">
        <x:v>48201240101</x:v>
      </x:c>
      <x:c r="B127" s="63" t="n">
        <x:v>2243</x:v>
      </x:c>
      <x:c r="C127" s="63" t="n">
        <x:v>61</x:v>
      </x:c>
      <x:c r="D127" s="63" t="n">
        <x:v>205</x:v>
      </x:c>
      <x:c r="E127" s="45" t="n">
        <x:v>0.02719572001783326</x:v>
      </x:c>
      <x:c r="F127" s="45" t="n">
        <x:v>0.09139545251894783</x:v>
      </x:c>
      <x:c r="G127" s="66" t="n">
        <x:v>841</x:v>
      </x:c>
      <x:c r="H127" s="66" t="n">
        <x:v>318</x:v>
      </x:c>
      <x:c r="I127" s="66" t="n">
        <x:v>0.37812128418549346</x:v>
      </x:c>
      <x:c r="J127" s="36" t="str">
        <x:v>high</x:v>
      </x:c>
      <x:c r="K127" s="72" t="n">
        <x:v>29.9427937</x:v>
      </x:c>
      <x:c r="L127" s="72" t="n">
        <x:v>-95.3917008</x:v>
      </x:c>
      <x:c r="M127" s="72" t="n">
        <x:v>0.634</x:v>
      </x:c>
      <x:c r="N127" s="72" t="n">
        <x:v>0.05282486086000203</x:v>
      </x:c>
      <x:c r="O127" s="72" t="n">
        <x:v>19.543046540199757</x:v>
      </x:c>
      <x:c r="P127" s="72" t="n">
        <x:v>1</x:v>
      </x:c>
      <x:c r="Q127" s="72" t="n">
        <x:v>385.23517187911585</x:v>
      </x:c>
      <x:c r="R127" s="36" t="str">
        <x:v>tract internal point; no person, address, building, parcel, or route condition</x:v>
      </x:c>
    </x:row>
    <x:row r="128" ht="86.4000015258789" hidden="0" customHeight="1">
      <x:c r="A128" s="34" t="str">
        <x:v>48201240102</x:v>
      </x:c>
      <x:c r="B128" s="62" t="n">
        <x:v>1689</x:v>
      </x:c>
      <x:c r="C128" s="62" t="n">
        <x:v>118</x:v>
      </x:c>
      <x:c r="D128" s="62" t="n">
        <x:v>267</x:v>
      </x:c>
      <x:c r="E128" s="43" t="n">
        <x:v>0.06986382474837181</x:v>
      </x:c>
      <x:c r="F128" s="43" t="n">
        <x:v>0.15808170515097691</x:v>
      </x:c>
      <x:c r="G128" s="65" t="n">
        <x:v>868</x:v>
      </x:c>
      <x:c r="H128" s="65" t="n">
        <x:v>200</x:v>
      </x:c>
      <x:c r="I128" s="65" t="n">
        <x:v>0.2304147465437788</x:v>
      </x:c>
      <x:c r="J128" s="34" t="str">
        <x:v>low</x:v>
      </x:c>
      <x:c r="K128" s="71" t="n">
        <x:v>29.9474154</x:v>
      </x:c>
      <x:c r="L128" s="71" t="n">
        <x:v>-95.4104973</x:v>
      </x:c>
      <x:c r="M128" s="71" t="n">
        <x:v>0.742</x:v>
      </x:c>
      <x:c r="N128" s="71" t="n">
        <x:v>0.08573950519750106</x:v>
      </x:c>
      <x:c r="O128" s="71" t="n">
        <x:v>20.5535878826279</x:v>
      </x:c>
      <x:c r="P128" s="71" t="n">
        <x:v>1</x:v>
      </x:c>
      <x:c r="Q128" s="71" t="n">
        <x:v>136.700700378557</x:v>
      </x:c>
      <x:c r="R128" s="34" t="str">
        <x:v>tract internal point; no person, address, building, parcel, or route condition</x:v>
      </x:c>
    </x:row>
    <x:row r="129" ht="86.4000015258789" hidden="0" customHeight="1">
      <x:c r="A129" s="36" t="str">
        <x:v>48201240400</x:v>
      </x:c>
      <x:c r="B129" s="63" t="n">
        <x:v>7620</x:v>
      </x:c>
      <x:c r="C129" s="63" t="n">
        <x:v>631</x:v>
      </x:c>
      <x:c r="D129" s="63" t="n">
        <x:v>429</x:v>
      </x:c>
      <x:c r="E129" s="45" t="n">
        <x:v>0.08280839895013123</x:v>
      </x:c>
      <x:c r="F129" s="45" t="n">
        <x:v>0.0562992125984252</x:v>
      </x:c>
      <x:c r="G129" s="66" t="n">
        <x:v>3020</x:v>
      </x:c>
      <x:c r="H129" s="66" t="n">
        <x:v>291</x:v>
      </x:c>
      <x:c r="I129" s="66" t="n">
        <x:v>0.09635761589403974</x:v>
      </x:c>
      <x:c r="J129" s="36" t="str">
        <x:v>low</x:v>
      </x:c>
      <x:c r="K129" s="72" t="n">
        <x:v>29.9875102</x:v>
      </x:c>
      <x:c r="L129" s="72" t="n">
        <x:v>-95.3732973</x:v>
      </x:c>
      <x:c r="M129" s="72" t="n">
        <x:v>8.068</x:v>
      </x:c>
      <x:c r="N129" s="72" t="n">
        <x:v>0.4376628148297658</x:v>
      </x:c>
      <x:c r="O129" s="72" t="n">
        <x:v>25.762727172294284</x:v>
      </x:c>
      <x:c r="P129" s="72" t="n">
        <x:v>1</x:v>
      </x:c>
      <x:c r="Q129" s="72" t="n">
        <x:v>612.1861814055186</x:v>
      </x:c>
      <x:c r="R129" s="36" t="str">
        <x:v>tract internal point; no person, address, building, parcel, or route condition</x:v>
      </x:c>
    </x:row>
    <x:row r="130" ht="86.4000015258789" hidden="0" customHeight="1">
      <x:c r="A130" s="34" t="str">
        <x:v>48201240503</x:v>
      </x:c>
      <x:c r="B130" s="62" t="n">
        <x:v>2731</x:v>
      </x:c>
      <x:c r="C130" s="62" t="n">
        <x:v>96</x:v>
      </x:c>
      <x:c r="D130" s="62" t="n">
        <x:v>174</x:v>
      </x:c>
      <x:c r="E130" s="43" t="n">
        <x:v>0.03515195898938118</x:v>
      </x:c>
      <x:c r="F130" s="43" t="n">
        <x:v>0.06371292566825339</x:v>
      </x:c>
      <x:c r="G130" s="65" t="n">
        <x:v>1358</x:v>
      </x:c>
      <x:c r="H130" s="65" t="n">
        <x:v>325</x:v>
      </x:c>
      <x:c r="I130" s="65" t="n">
        <x:v>0.23932253313696614</x:v>
      </x:c>
      <x:c r="J130" s="34" t="str">
        <x:v>high</x:v>
      </x:c>
      <x:c r="K130" s="71" t="n">
        <x:v>29.9497216</x:v>
      </x:c>
      <x:c r="L130" s="71" t="n">
        <x:v>-95.3889544</x:v>
      </x:c>
      <x:c r="M130" s="71" t="n">
        <x:v>0.083</x:v>
      </x:c>
      <x:c r="N130" s="71" t="n">
        <x:v>0.08722674204229232</x:v>
      </x:c>
      <x:c r="O130" s="71" t="n">
        <x:v>18.800404598746354</x:v>
      </x:c>
      <x:c r="P130" s="71" t="n">
        <x:v>1</x:v>
      </x:c>
      <x:c r="Q130" s="71" t="n">
        <x:v>468.5050145856839</x:v>
      </x:c>
      <x:c r="R130" s="34" t="str">
        <x:v>tract internal point; no person, address, building, parcel, or route condition</x:v>
      </x:c>
    </x:row>
    <x:row r="131" ht="86.4000015258789" hidden="0" customHeight="1">
      <x:c r="A131" s="36" t="str">
        <x:v>48201240504</x:v>
      </x:c>
      <x:c r="B131" s="63" t="n">
        <x:v>2888</x:v>
      </x:c>
      <x:c r="C131" s="63" t="n">
        <x:v>381</x:v>
      </x:c>
      <x:c r="D131" s="63" t="n">
        <x:v>309</x:v>
      </x:c>
      <x:c r="E131" s="45" t="n">
        <x:v>0.13192520775623268</x:v>
      </x:c>
      <x:c r="F131" s="45" t="n">
        <x:v>0.10699445983379502</x:v>
      </x:c>
      <x:c r="G131" s="66" t="n">
        <x:v>1655</x:v>
      </x:c>
      <x:c r="H131" s="66" t="n">
        <x:v>267</x:v>
      </x:c>
      <x:c r="I131" s="66" t="n">
        <x:v>0.16132930513595167</x:v>
      </x:c>
      <x:c r="J131" s="36" t="str">
        <x:v>high</x:v>
      </x:c>
      <x:c r="K131" s="72" t="n">
        <x:v>29.947808</x:v>
      </x:c>
      <x:c r="L131" s="72" t="n">
        <x:v>-95.3935704</x:v>
      </x:c>
      <x:c r="M131" s="72" t="n">
        <x:v>0.164</x:v>
      </x:c>
      <x:c r="N131" s="72" t="n">
        <x:v>0.04551684498607769</x:v>
      </x:c>
      <x:c r="O131" s="72" t="n">
        <x:v>19.650763615527065</x:v>
      </x:c>
      <x:c r="P131" s="72" t="n">
        <x:v>1</x:v>
      </x:c>
      <x:c r="Q131" s="72" t="n">
        <x:v>507.01668202976674</x:v>
      </x:c>
      <x:c r="R131" s="36" t="str">
        <x:v>tract internal point; no person, address, building, parcel, or route condition</x:v>
      </x:c>
    </x:row>
    <x:row r="132" ht="86.4000015258789" hidden="0" customHeight="1">
      <x:c r="A132" s="34" t="str">
        <x:v>48201240505</x:v>
      </x:c>
      <x:c r="B132" s="62" t="n">
        <x:v>1556</x:v>
      </x:c>
      <x:c r="C132" s="62" t="n">
        <x:v>26</x:v>
      </x:c>
      <x:c r="D132" s="62" t="n">
        <x:v>26</x:v>
      </x:c>
      <x:c r="E132" s="43" t="n">
        <x:v>0.016709511568123392</x:v>
      </x:c>
      <x:c r="F132" s="43" t="n">
        <x:v>0.016709511568123392</x:v>
      </x:c>
      <x:c r="G132" s="65" t="n">
        <x:v>691</x:v>
      </x:c>
      <x:c r="H132" s="65" t="n">
        <x:v>149</x:v>
      </x:c>
      <x:c r="I132" s="65" t="n">
        <x:v>0.21562952243125905</x:v>
      </x:c>
      <x:c r="J132" s="34" t="str">
        <x:v>high</x:v>
      </x:c>
      <x:c r="K132" s="71" t="n">
        <x:v>29.9520504</x:v>
      </x:c>
      <x:c r="L132" s="71" t="n">
        <x:v>-95.3944208</x:v>
      </x:c>
      <x:c r="M132" s="71" t="n">
        <x:v>0.132</x:v>
      </x:c>
      <x:c r="N132" s="71" t="n">
        <x:v>0.05676350654221843</x:v>
      </x:c>
      <x:c r="O132" s="71" t="n">
        <x:v>19.57713490120811</x:v>
      </x:c>
      <x:c r="P132" s="71" t="n">
        <x:v>1</x:v>
      </x:c>
      <x:c r="Q132" s="71" t="n">
        <x:v>264.72327713870953</x:v>
      </x:c>
      <x:c r="R132" s="34" t="str">
        <x:v>tract internal point; no person, address, building, parcel, or route condition</x:v>
      </x:c>
    </x:row>
    <x:row r="133" ht="86.4000015258789" hidden="0" customHeight="1">
      <x:c r="A133" s="36" t="str">
        <x:v>48201240506</x:v>
      </x:c>
      <x:c r="B133" s="63" t="n">
        <x:v>5441</x:v>
      </x:c>
      <x:c r="C133" s="63" t="n">
        <x:v>361</x:v>
      </x:c>
      <x:c r="D133" s="63" t="n">
        <x:v>906</x:v>
      </x:c>
      <x:c r="E133" s="45" t="n">
        <x:v>0.06634809777614409</x:v>
      </x:c>
      <x:c r="F133" s="45" t="n">
        <x:v>0.16651350854622313</x:v>
      </x:c>
      <x:c r="G133" s="66" t="n">
        <x:v>2125</x:v>
      </x:c>
      <x:c r="H133" s="66" t="n">
        <x:v>608</x:v>
      </x:c>
      <x:c r="I133" s="66" t="n">
        <x:v>0.28611764705882353</x:v>
      </x:c>
      <x:c r="J133" s="36" t="str">
        <x:v>low</x:v>
      </x:c>
      <x:c r="K133" s="72" t="n">
        <x:v>29.9598818</x:v>
      </x:c>
      <x:c r="L133" s="72" t="n">
        <x:v>-95.3917467</x:v>
      </x:c>
      <x:c r="M133" s="72" t="n">
        <x:v>1.087</x:v>
      </x:c>
      <x:c r="N133" s="72" t="n">
        <x:v>0.09723643602380021</x:v>
      </x:c>
      <x:c r="O133" s="72" t="n">
        <x:v>20.138555002062873</x:v>
      </x:c>
      <x:c r="P133" s="72" t="n">
        <x:v>1</x:v>
      </x:c>
      <x:c r="Q133" s="72" t="n">
        <x:v>440.43200412887813</x:v>
      </x:c>
      <x:c r="R133" s="36" t="str">
        <x:v>tract internal point; no person, address, building, parcel, or route condition</x:v>
      </x:c>
    </x:row>
    <x:row r="134" ht="86.4000015258789" hidden="0" customHeight="1">
      <x:c r="A134" s="34" t="str">
        <x:v>48201240600</x:v>
      </x:c>
      <x:c r="B134" s="62" t="n">
        <x:v>3500</x:v>
      </x:c>
      <x:c r="C134" s="62" t="n">
        <x:v>186</x:v>
      </x:c>
      <x:c r="D134" s="62" t="n">
        <x:v>661</x:v>
      </x:c>
      <x:c r="E134" s="43" t="n">
        <x:v>0.053142857142857144</x:v>
      </x:c>
      <x:c r="F134" s="43" t="n">
        <x:v>0.18885714285714286</x:v>
      </x:c>
      <x:c r="G134" s="65" t="n">
        <x:v>1241</x:v>
      </x:c>
      <x:c r="H134" s="65" t="n">
        <x:v>201</x:v>
      </x:c>
      <x:c r="I134" s="65" t="n">
        <x:v>0.16196615632554393</x:v>
      </x:c>
      <x:c r="J134" s="34" t="str">
        <x:v>high</x:v>
      </x:c>
      <x:c r="K134" s="71" t="n">
        <x:v>29.9583819</x:v>
      </x:c>
      <x:c r="L134" s="71" t="n">
        <x:v>-95.4082234</x:v>
      </x:c>
      <x:c r="M134" s="71" t="n">
        <x:v>0.995</x:v>
      </x:c>
      <x:c r="N134" s="71" t="n">
        <x:v>0.5674309466946875</x:v>
      </x:c>
      <x:c r="O134" s="71" t="n">
        <x:v>22.96899482588982</x:v>
      </x:c>
      <x:c r="P134" s="71" t="n">
        <x:v>1</x:v>
      </x:c>
      <x:c r="Q134" s="71" t="n">
        <x:v>609.9740276978594</x:v>
      </x:c>
      <x:c r="R134" s="34" t="str">
        <x:v>tract internal point; no person, address, building, parcel, or route condition</x:v>
      </x:c>
    </x:row>
    <x:row r="135" ht="86.4000015258789" hidden="0" customHeight="1">
      <x:c r="A135" s="36" t="str">
        <x:v>48201240703</x:v>
      </x:c>
      <x:c r="B135" s="63" t="n">
        <x:v>6277</x:v>
      </x:c>
      <x:c r="C135" s="63" t="n">
        <x:v>501</x:v>
      </x:c>
      <x:c r="D135" s="63" t="n">
        <x:v>0</x:v>
      </x:c>
      <x:c r="E135" s="45" t="n">
        <x:v>0.07981519834315756</x:v>
      </x:c>
      <x:c r="F135" s="45" t="n">
        <x:v>0</x:v>
      </x:c>
      <x:c r="G135" s="66" t="n">
        <x:v>1897</x:v>
      </x:c>
      <x:c r="H135" s="66" t="n">
        <x:v>206</x:v>
      </x:c>
      <x:c r="I135" s="66" t="n">
        <x:v>0.10859251449657353</x:v>
      </x:c>
      <x:c r="J135" s="36" t="str">
        <x:v>low</x:v>
      </x:c>
      <x:c r="K135" s="72" t="n">
        <x:v>30.0007605</x:v>
      </x:c>
      <x:c r="L135" s="72" t="n">
        <x:v>-95.4126939</x:v>
      </x:c>
      <x:c r="M135" s="72" t="n">
        <x:v>0.842</x:v>
      </x:c>
      <x:c r="N135" s="72" t="n">
        <x:v>0.011813452572600273</x:v>
      </x:c>
      <x:c r="O135" s="72" t="n">
        <x:v>24.660723970776097</x:v>
      </x:c>
      <x:c r="P135" s="72" t="n">
        <x:v>1</x:v>
      </x:c>
      <x:c r="Q135" s="72" t="n">
        <x:v>501.2175624987833</x:v>
      </x:c>
      <x:c r="R135" s="36" t="str">
        <x:v>tract internal point; no person, address, building, parcel, or route condition</x:v>
      </x:c>
    </x:row>
    <x:row r="136" ht="86.4000015258789" hidden="0" customHeight="1">
      <x:c r="A136" s="34" t="str">
        <x:v>48201240704</x:v>
      </x:c>
      <x:c r="B136" s="62" t="n">
        <x:v>4650</x:v>
      </x:c>
      <x:c r="C136" s="62" t="n">
        <x:v>367</x:v>
      </x:c>
      <x:c r="D136" s="62" t="n">
        <x:v>107</x:v>
      </x:c>
      <x:c r="E136" s="43" t="n">
        <x:v>0.0789247311827957</x:v>
      </x:c>
      <x:c r="F136" s="43" t="n">
        <x:v>0.023010752688172043</x:v>
      </x:c>
      <x:c r="G136" s="65" t="n">
        <x:v>1332</x:v>
      </x:c>
      <x:c r="H136" s="65" t="n">
        <x:v>95</x:v>
      </x:c>
      <x:c r="I136" s="65" t="n">
        <x:v>0.07132132132132132</x:v>
      </x:c>
      <x:c r="J136" s="34" t="str">
        <x:v>low</x:v>
      </x:c>
      <x:c r="K136" s="71" t="n">
        <x:v>30.0129474</x:v>
      </x:c>
      <x:c r="L136" s="71" t="n">
        <x:v>-95.4218273</x:v>
      </x:c>
      <x:c r="M136" s="71" t="n">
        <x:v>0.846</x:v>
      </x:c>
      <x:c r="N136" s="71" t="n">
        <x:v>0.032112192100395884</x:v>
      </x:c>
      <x:c r="O136" s="71" t="n">
        <x:v>27.27478703583803</x:v>
      </x:c>
      <x:c r="P136" s="71" t="n">
        <x:v>1</x:v>
      </x:c>
      <x:c r="Q136" s="71" t="n">
        <x:v>372.0777241776156</x:v>
      </x:c>
      <x:c r="R136" s="34" t="str">
        <x:v>tract internal point; no person, address, building, parcel, or route condition</x:v>
      </x:c>
    </x:row>
    <x:row r="137" ht="86.4000015258789" hidden="0" customHeight="1">
      <x:c r="A137" s="36" t="str">
        <x:v>48201240705</x:v>
      </x:c>
      <x:c r="B137" s="63" t="n">
        <x:v>5463</x:v>
      </x:c>
      <x:c r="C137" s="63" t="n">
        <x:v>541</x:v>
      </x:c>
      <x:c r="D137" s="63" t="n">
        <x:v>92</x:v>
      </x:c>
      <x:c r="E137" s="45" t="n">
        <x:v>0.09902983708585027</x:v>
      </x:c>
      <x:c r="F137" s="45" t="n">
        <x:v>0.016840563792787845</x:v>
      </x:c>
      <x:c r="G137" s="66" t="n">
        <x:v>1650</x:v>
      </x:c>
      <x:c r="H137" s="66" t="n">
        <x:v>133</x:v>
      </x:c>
      <x:c r="I137" s="66" t="n">
        <x:v>0.08060606060606061</x:v>
      </x:c>
      <x:c r="J137" s="36" t="str">
        <x:v>low</x:v>
      </x:c>
      <x:c r="K137" s="72" t="n">
        <x:v>30.0147192</x:v>
      </x:c>
      <x:c r="L137" s="72" t="n">
        <x:v>-95.4097904</x:v>
      </x:c>
      <x:c r="M137" s="72" t="n">
        <x:v>1.179</x:v>
      </x:c>
      <x:c r="N137" s="72" t="n">
        <x:v>0.011839226854499832</x:v>
      </x:c>
      <x:c r="O137" s="72" t="n">
        <x:v>26.71738846641635</x:v>
      </x:c>
      <x:c r="P137" s="72" t="n">
        <x:v>1</x:v>
      </x:c>
      <x:c r="Q137" s="72" t="n">
        <x:v>438.59287552032407</x:v>
      </x:c>
      <x:c r="R137" s="36" t="str">
        <x:v>tract internal point; no person, address, building, parcel, or route condition</x:v>
      </x:c>
    </x:row>
    <x:row r="138" ht="86.4000015258789" hidden="0" customHeight="1">
      <x:c r="A138" s="34" t="str">
        <x:v>48201240706</x:v>
      </x:c>
      <x:c r="B138" s="62" t="n">
        <x:v>11268</x:v>
      </x:c>
      <x:c r="C138" s="62" t="n">
        <x:v>655</x:v>
      </x:c>
      <x:c r="D138" s="62" t="n">
        <x:v>351</x:v>
      </x:c>
      <x:c r="E138" s="43" t="n">
        <x:v>0.058129215477458286</x:v>
      </x:c>
      <x:c r="F138" s="43" t="n">
        <x:v>0.031150159744408944</x:v>
      </x:c>
      <x:c r="G138" s="65" t="n">
        <x:v>3274</x:v>
      </x:c>
      <x:c r="H138" s="65" t="n">
        <x:v>0</x:v>
      </x:c>
      <x:c r="I138" s="65" t="n">
        <x:v>0</x:v>
      </x:c>
      <x:c r="J138" s="34" t="str">
        <x:v>low</x:v>
      </x:c>
      <x:c r="K138" s="71" t="n">
        <x:v>29.9798489</x:v>
      </x:c>
      <x:c r="L138" s="71" t="n">
        <x:v>-95.39976</x:v>
      </x:c>
      <x:c r="M138" s="71" t="n">
        <x:v>2.022</x:v>
      </x:c>
      <x:c r="N138" s="71" t="n">
        <x:v>0.026634258521979485</x:v>
      </x:c>
      <x:c r="O138" s="71" t="n">
        <x:v>22.395374483191656</x:v>
      </x:c>
      <x:c r="P138" s="71" t="n">
        <x:v>1</x:v>
      </x:c>
      <x:c r="Q138" s="71" t="n">
        <x:v>898.6658300456842</x:v>
      </x:c>
      <x:c r="R138" s="34" t="str">
        <x:v>tract internal point; no person, address, building, parcel, or route condition</x:v>
      </x:c>
    </x:row>
    <x:row r="139" ht="86.4000015258789" hidden="0" customHeight="1">
      <x:c r="A139" s="36" t="str">
        <x:v>48201240707</x:v>
      </x:c>
      <x:c r="B139" s="63" t="n">
        <x:v>5251</x:v>
      </x:c>
      <x:c r="C139" s="63" t="n">
        <x:v>620</x:v>
      </x:c>
      <x:c r="D139" s="63" t="n">
        <x:v>0</x:v>
      </x:c>
      <x:c r="E139" s="45" t="n">
        <x:v>0.11807274804799085</x:v>
      </x:c>
      <x:c r="F139" s="45" t="n">
        <x:v>0</x:v>
      </x:c>
      <x:c r="G139" s="66" t="n">
        <x:v>1607</x:v>
      </x:c>
      <x:c r="H139" s="66" t="n">
        <x:v>0</x:v>
      </x:c>
      <x:c r="I139" s="66" t="n">
        <x:v>0</x:v>
      </x:c>
      <x:c r="J139" s="36" t="str">
        <x:v>low</x:v>
      </x:c>
      <x:c r="K139" s="72" t="n">
        <x:v>29.9793584</x:v>
      </x:c>
      <x:c r="L139" s="72" t="n">
        <x:v>-95.4147413</x:v>
      </x:c>
      <x:c r="M139" s="72" t="n">
        <x:v>1.947</x:v>
      </x:c>
      <x:c r="N139" s="72" t="n">
        <x:v>0.1589407572022261</x:v>
      </x:c>
      <x:c r="O139" s="72" t="n">
        <x:v>24.010390648060355</x:v>
      </x:c>
      <x:c r="P139" s="72" t="n">
        <x:v>1</x:v>
      </x:c>
      <x:c r="Q139" s="72" t="n">
        <x:v>422.44941328968207</x:v>
      </x:c>
      <x:c r="R139" s="36" t="str">
        <x:v>tract internal point; no person, address, building, parcel, or route condition</x:v>
      </x:c>
    </x:row>
    <x:row r="140" ht="86.4000015258789" hidden="0" customHeight="1">
      <x:c r="A140" s="34" t="str">
        <x:v>48201240802</x:v>
      </x:c>
      <x:c r="B140" s="62" t="n">
        <x:v>8990</x:v>
      </x:c>
      <x:c r="C140" s="62" t="n">
        <x:v>647</x:v>
      </x:c>
      <x:c r="D140" s="62" t="n">
        <x:v>429</x:v>
      </x:c>
      <x:c r="E140" s="43" t="n">
        <x:v>0.07196885428253615</x:v>
      </x:c>
      <x:c r="F140" s="43" t="n">
        <x:v>0.047719688542825364</x:v>
      </x:c>
      <x:c r="G140" s="65" t="n">
        <x:v>2936</x:v>
      </x:c>
      <x:c r="H140" s="65" t="n">
        <x:v>190</x:v>
      </x:c>
      <x:c r="I140" s="65" t="n">
        <x:v>0.06471389645776567</x:v>
      </x:c>
      <x:c r="J140" s="34" t="str">
        <x:v>low</x:v>
      </x:c>
      <x:c r="K140" s="71" t="n">
        <x:v>30.0219364</x:v>
      </x:c>
      <x:c r="L140" s="71" t="n">
        <x:v>-95.3668122</x:v>
      </x:c>
      <x:c r="M140" s="71" t="n">
        <x:v>5.091</x:v>
      </x:c>
      <x:c r="N140" s="71" t="n">
        <x:v>0.23570393153841115</x:v>
      </x:c>
      <x:c r="O140" s="71" t="n">
        <x:v>30.797828178528977</x:v>
      </x:c>
      <x:c r="P140" s="71" t="n">
        <x:v>1</x:v>
      </x:c>
      <x:c r="Q140" s="71" t="n">
        <x:v>720.1131645365681</x:v>
      </x:c>
      <x:c r="R140" s="34" t="str">
        <x:v>tract internal point; no person, address, building, parcel, or route condition</x:v>
      </x:c>
    </x:row>
    <x:row r="141" ht="86.4000015258789" hidden="0" customHeight="1">
      <x:c r="A141" s="36" t="str">
        <x:v>48201240803</x:v>
      </x:c>
      <x:c r="B141" s="63" t="n">
        <x:v>2325</x:v>
      </x:c>
      <x:c r="C141" s="63" t="n">
        <x:v>322</x:v>
      </x:c>
      <x:c r="D141" s="63" t="n">
        <x:v>167.5</x:v>
      </x:c>
      <x:c r="E141" s="45" t="n">
        <x:v>0.13849462365591397</x:v>
      </x:c>
      <x:c r="F141" s="45" t="n">
        <x:v>0.07204301075268817</x:v>
      </x:c>
      <x:c r="G141" s="66" t="n">
        <x:v>1191</x:v>
      </x:c>
      <x:c r="H141" s="66" t="n">
        <x:v>139</x:v>
      </x:c>
      <x:c r="I141" s="66" t="n">
        <x:v>0.11670864819479429</x:v>
      </x:c>
      <x:c r="J141" s="36" t="str">
        <x:v>low</x:v>
      </x:c>
      <x:c r="K141" s="72" t="n">
        <x:v>30.0304915</x:v>
      </x:c>
      <x:c r="L141" s="72" t="n">
        <x:v>-95.4173916</x:v>
      </x:c>
      <x:c r="M141" s="72" t="n">
        <x:v>0.775</x:v>
      </x:c>
      <x:c r="N141" s="72" t="n">
        <x:v>0.09067749297075076</x:v>
      </x:c>
      <x:c r="O141" s="72" t="n">
        <x:v>27.133498774698584</x:v>
      </x:c>
      <x:c r="P141" s="72" t="n">
        <x:v>2</x:v>
      </x:c>
      <x:c r="Q141" s="72" t="n">
        <x:v>189.11193596036622</x:v>
      </x:c>
      <x:c r="R141" s="36" t="str">
        <x:v>tract internal point; no person, address, building, parcel, or route condition</x:v>
      </x:c>
    </x:row>
    <x:row r="142" ht="86.4000015258789" hidden="0" customHeight="1">
      <x:c r="A142" s="34" t="str">
        <x:v>48201240804</x:v>
      </x:c>
      <x:c r="B142" s="62" t="n">
        <x:v>2993</x:v>
      </x:c>
      <x:c r="C142" s="62" t="n">
        <x:v>83</x:v>
      </x:c>
      <x:c r="D142" s="62" t="n">
        <x:v>138</x:v>
      </x:c>
      <x:c r="E142" s="43" t="n">
        <x:v>0.027731373204143</x:v>
      </x:c>
      <x:c r="F142" s="43" t="n">
        <x:v>0.04610758436351487</x:v>
      </x:c>
      <x:c r="G142" s="65" t="n">
        <x:v>1557</x:v>
      </x:c>
      <x:c r="H142" s="65" t="n">
        <x:v>244</x:v>
      </x:c>
      <x:c r="I142" s="65" t="n">
        <x:v>0.1567116249197174</x:v>
      </x:c>
      <x:c r="J142" s="34" t="str">
        <x:v>low</x:v>
      </x:c>
      <x:c r="K142" s="71" t="n">
        <x:v>30.0274141</x:v>
      </x:c>
      <x:c r="L142" s="71" t="n">
        <x:v>-95.425315</x:v>
      </x:c>
      <x:c r="M142" s="71" t="n">
        <x:v>0.346</x:v>
      </x:c>
      <x:c r="N142" s="71" t="n">
        <x:v>0.09232547144138183</x:v>
      </x:c>
      <x:c r="O142" s="71" t="n">
        <x:v>25.643730311064946</x:v>
      </x:c>
      <x:c r="P142" s="71" t="n">
        <x:v>2</x:v>
      </x:c>
      <x:c r="Q142" s="71" t="n">
        <x:v>237.62484765395806</x:v>
      </x:c>
      <x:c r="R142" s="34" t="str">
        <x:v>tract internal point; no person, address, building, parcel, or route condition</x:v>
      </x:c>
    </x:row>
    <x:row r="143" ht="86.4000015258789" hidden="0" customHeight="1">
      <x:c r="A143" s="36" t="str">
        <x:v>48201240903</x:v>
      </x:c>
      <x:c r="B143" s="63" t="n">
        <x:v>6344</x:v>
      </x:c>
      <x:c r="C143" s="63" t="n">
        <x:v>795</x:v>
      </x:c>
      <x:c r="D143" s="63" t="n">
        <x:v>34</x:v>
      </x:c>
      <x:c r="E143" s="45" t="n">
        <x:v>0.12531525851197983</x:v>
      </x:c>
      <x:c r="F143" s="45" t="n">
        <x:v>0.005359394703656999</x:v>
      </x:c>
      <x:c r="G143" s="66" t="n">
        <x:v>1981</x:v>
      </x:c>
      <x:c r="H143" s="66" t="n">
        <x:v>0</x:v>
      </x:c>
      <x:c r="I143" s="66" t="n">
        <x:v>0</x:v>
      </x:c>
      <x:c r="J143" s="36" t="str">
        <x:v>moderate</x:v>
      </x:c>
      <x:c r="K143" s="72" t="n">
        <x:v>30.0272748</x:v>
      </x:c>
      <x:c r="L143" s="72" t="n">
        <x:v>-95.3003066</x:v>
      </x:c>
      <x:c r="M143" s="72" t="n">
        <x:v>1.235</x:v>
      </x:c>
      <x:c r="N143" s="72" t="n">
        <x:v>0.03676037542781095</x:v>
      </x:c>
      <x:c r="O143" s="72" t="n">
        <x:v>24.730554775971047</x:v>
      </x:c>
      <x:c r="P143" s="72" t="n">
        <x:v>1</x:v>
      </x:c>
      <x:c r="Q143" s="72" t="n">
        <x:v>904.7351962854198</x:v>
      </x:c>
      <x:c r="R143" s="36" t="str">
        <x:v>tract internal point; no person, address, building, parcel, or route condition</x:v>
      </x:c>
    </x:row>
    <x:row r="144" ht="86.4000015258789" hidden="0" customHeight="1">
      <x:c r="A144" s="34" t="str">
        <x:v>48201240904</x:v>
      </x:c>
      <x:c r="B144" s="62" t="n">
        <x:v>9142</x:v>
      </x:c>
      <x:c r="C144" s="62" t="n">
        <x:v>638</x:v>
      </x:c>
      <x:c r="D144" s="62" t="n">
        <x:v>52</x:v>
      </x:c>
      <x:c r="E144" s="43" t="n">
        <x:v>0.06978779260555677</x:v>
      </x:c>
      <x:c r="F144" s="43" t="n">
        <x:v>0.0056880332531174796</x:v>
      </x:c>
      <x:c r="G144" s="65" t="n">
        <x:v>3652</x:v>
      </x:c>
      <x:c r="H144" s="65" t="n">
        <x:v>161</x:v>
      </x:c>
      <x:c r="I144" s="65" t="n">
        <x:v>0.04408543263964951</x:v>
      </x:c>
      <x:c r="J144" s="34" t="str">
        <x:v>low</x:v>
      </x:c>
      <x:c r="K144" s="71" t="n">
        <x:v>30.0122897</x:v>
      </x:c>
      <x:c r="L144" s="71" t="n">
        <x:v>-95.2792805</x:v>
      </x:c>
      <x:c r="M144" s="71" t="n">
        <x:v>3.421</x:v>
      </x:c>
      <x:c r="N144" s="71" t="n">
        <x:v>0.22465057274136854</x:v>
      </x:c>
      <x:c r="O144" s="71" t="n">
        <x:v>19.819964645222008</x:v>
      </x:c>
      <x:c r="P144" s="71" t="n">
        <x:v>1</x:v>
      </x:c>
      <x:c r="Q144" s="71" t="n">
        <x:v>728.9551290007707</x:v>
      </x:c>
      <x:c r="R144" s="34" t="str">
        <x:v>tract internal point; no person, address, building, parcel, or route condition</x:v>
      </x:c>
    </x:row>
    <x:row r="145" ht="86.4000015258789" hidden="0" customHeight="1">
      <x:c r="A145" s="36" t="str">
        <x:v>48201240905</x:v>
      </x:c>
      <x:c r="B145" s="63" t="n">
        <x:v>5370</x:v>
      </x:c>
      <x:c r="C145" s="63" t="n">
        <x:v>783</x:v>
      </x:c>
      <x:c r="D145" s="63" t="n">
        <x:v>198</x:v>
      </x:c>
      <x:c r="E145" s="45" t="n">
        <x:v>0.1458100558659218</x:v>
      </x:c>
      <x:c r="F145" s="45" t="n">
        <x:v>0.03687150837988827</x:v>
      </x:c>
      <x:c r="G145" s="66" t="n">
        <x:v>1932</x:v>
      </x:c>
      <x:c r="H145" s="66" t="n">
        <x:v>254</x:v>
      </x:c>
      <x:c r="I145" s="66" t="n">
        <x:v>0.13146997929606624</x:v>
      </x:c>
      <x:c r="J145" s="36" t="str">
        <x:v>low</x:v>
      </x:c>
      <x:c r="K145" s="72" t="n">
        <x:v>30.0122091</x:v>
      </x:c>
      <x:c r="L145" s="72" t="n">
        <x:v>-95.3164752</x:v>
      </x:c>
      <x:c r="M145" s="72" t="n">
        <x:v>0.803</x:v>
      </x:c>
      <x:c r="N145" s="72" t="n">
        <x:v>0.03916527790108237</x:v>
      </x:c>
      <x:c r="O145" s="72" t="n">
        <x:v>24.78852575521071</x:v>
      </x:c>
      <x:c r="P145" s="72" t="n">
        <x:v>1</x:v>
      </x:c>
      <x:c r="Q145" s="72" t="n">
        <x:v>435.92063737114273</x:v>
      </x:c>
      <x:c r="R145" s="36" t="str">
        <x:v>tract internal point; no person, address, building, parcel, or route condition</x:v>
      </x:c>
    </x:row>
    <x:row r="146" ht="86.4000015258789" hidden="0" customHeight="1">
      <x:c r="A146" s="34" t="str">
        <x:v>48201240906</x:v>
      </x:c>
      <x:c r="B146" s="62" t="n">
        <x:v>8398</x:v>
      </x:c>
      <x:c r="C146" s="62" t="n">
        <x:v>935</x:v>
      </x:c>
      <x:c r="D146" s="62" t="n">
        <x:v>41</x:v>
      </x:c>
      <x:c r="E146" s="43" t="n">
        <x:v>0.11133603238866396</x:v>
      </x:c>
      <x:c r="F146" s="43" t="n">
        <x:v>0.004882114789235532</x:v>
      </x:c>
      <x:c r="G146" s="65" t="n">
        <x:v>2652</x:v>
      </x:c>
      <x:c r="H146" s="65" t="n">
        <x:v>97</x:v>
      </x:c>
      <x:c r="I146" s="65" t="n">
        <x:v>0.03657616892911011</x:v>
      </x:c>
      <x:c r="J146" s="34" t="str">
        <x:v>low</x:v>
      </x:c>
      <x:c r="K146" s="71" t="n">
        <x:v>30.0238653</x:v>
      </x:c>
      <x:c r="L146" s="71" t="n">
        <x:v>-95.3170674</x:v>
      </x:c>
      <x:c r="M146" s="71" t="n">
        <x:v>1.423</x:v>
      </x:c>
      <x:c r="N146" s="71" t="n">
        <x:v>0.03921771534987397</x:v>
      </x:c>
      <x:c r="O146" s="71" t="n">
        <x:v>26.55281777127085</x:v>
      </x:c>
      <x:c r="P146" s="71" t="n">
        <x:v>1</x:v>
      </x:c>
      <x:c r="Q146" s="71" t="n">
        <x:v>675.0623731509595</x:v>
      </x:c>
      <x:c r="R146" s="34" t="str">
        <x:v>tract internal point; no person, address, building, parcel, or route condition</x:v>
      </x:c>
    </x:row>
    <x:row r="147" ht="86.4000015258789" hidden="0" customHeight="1">
      <x:c r="A147" s="36" t="str">
        <x:v>48201241001</x:v>
      </x:c>
      <x:c r="B147" s="63" t="n">
        <x:v>3587</x:v>
      </x:c>
      <x:c r="C147" s="63" t="n">
        <x:v>405</x:v>
      </x:c>
      <x:c r="D147" s="63" t="n">
        <x:v>49.5</x:v>
      </x:c>
      <x:c r="E147" s="45" t="n">
        <x:v>0.11290772233063842</x:v>
      </x:c>
      <x:c r="F147" s="45" t="n">
        <x:v>0.01379983272930025</x:v>
      </x:c>
      <x:c r="G147" s="66" t="n">
        <x:v>1442</x:v>
      </x:c>
      <x:c r="H147" s="66" t="n">
        <x:v>20</x:v>
      </x:c>
      <x:c r="I147" s="66" t="n">
        <x:v>0.013869625520110958</x:v>
      </x:c>
      <x:c r="J147" s="36" t="str">
        <x:v>low</x:v>
      </x:c>
      <x:c r="K147" s="72" t="n">
        <x:v>30.0351908</x:v>
      </x:c>
      <x:c r="L147" s="72" t="n">
        <x:v>-95.3443265</x:v>
      </x:c>
      <x:c r="M147" s="72" t="n">
        <x:v>1.354</x:v>
      </x:c>
      <x:c r="N147" s="72" t="n">
        <x:v>0.019859038274175504</x:v>
      </x:c>
      <x:c r="O147" s="72" t="n">
        <x:v>32.39541795210965</x:v>
      </x:c>
      <x:c r="P147" s="72" t="n">
        <x:v>1</x:v>
      </x:c>
      <x:c r="Q147" s="72" t="n">
        <x:v>288.6763855892722</x:v>
      </x:c>
      <x:c r="R147" s="36" t="str">
        <x:v>tract internal point; no person, address, building, parcel, or route condition</x:v>
      </x:c>
    </x:row>
    <x:row r="148" ht="86.4000015258789" hidden="0" customHeight="1">
      <x:c r="A148" s="34" t="str">
        <x:v>48201241002</x:v>
      </x:c>
      <x:c r="B148" s="62" t="n">
        <x:v>5504</x:v>
      </x:c>
      <x:c r="C148" s="62" t="n">
        <x:v>420</x:v>
      </x:c>
      <x:c r="D148" s="62" t="n">
        <x:v>50</x:v>
      </x:c>
      <x:c r="E148" s="43" t="n">
        <x:v>0.07630813953488372</x:v>
      </x:c>
      <x:c r="F148" s="43" t="n">
        <x:v>0.009084302325581396</x:v>
      </x:c>
      <x:c r="G148" s="65" t="n">
        <x:v>1828</x:v>
      </x:c>
      <x:c r="H148" s="65" t="n">
        <x:v>0</x:v>
      </x:c>
      <x:c r="I148" s="65" t="n">
        <x:v>0</x:v>
      </x:c>
      <x:c r="J148" s="34" t="str">
        <x:v>low</x:v>
      </x:c>
      <x:c r="K148" s="71" t="n">
        <x:v>30.0560607</x:v>
      </x:c>
      <x:c r="L148" s="71" t="n">
        <x:v>-95.3374648</x:v>
      </x:c>
      <x:c r="M148" s="71" t="n">
        <x:v>5.262</x:v>
      </x:c>
      <x:c r="N148" s="71" t="n">
        <x:v>0.5402838253410333</x:v>
      </x:c>
      <x:c r="O148" s="71" t="n">
        <x:v>35.339134341192185</x:v>
      </x:c>
      <x:c r="P148" s="71" t="n">
        <x:v>1</x:v>
      </x:c>
      <x:c r="Q148" s="71" t="n">
        <x:v>439.58317554031476</x:v>
      </x:c>
      <x:c r="R148" s="34" t="str">
        <x:v>tract internal point; no person, address, building, parcel, or route condition</x:v>
      </x:c>
    </x:row>
    <x:row r="149" ht="86.4000015258789" hidden="0" customHeight="1">
      <x:c r="A149" s="36" t="str">
        <x:v>48201241101</x:v>
      </x:c>
      <x:c r="B149" s="63" t="n">
        <x:v>4445</x:v>
      </x:c>
      <x:c r="C149" s="63" t="n">
        <x:v>560</x:v>
      </x:c>
      <x:c r="D149" s="63" t="n">
        <x:v>73</x:v>
      </x:c>
      <x:c r="E149" s="45" t="n">
        <x:v>0.12598425196850394</x:v>
      </x:c>
      <x:c r="F149" s="45" t="n">
        <x:v>0.016422947131608547</x:v>
      </x:c>
      <x:c r="G149" s="66" t="n">
        <x:v>1473</x:v>
      </x:c>
      <x:c r="H149" s="66" t="n">
        <x:v>0</x:v>
      </x:c>
      <x:c r="I149" s="66" t="n">
        <x:v>0</x:v>
      </x:c>
      <x:c r="J149" s="36" t="str">
        <x:v>low</x:v>
      </x:c>
      <x:c r="K149" s="72" t="n">
        <x:v>30.0624648</x:v>
      </x:c>
      <x:c r="L149" s="72" t="n">
        <x:v>-95.3891185</x:v>
      </x:c>
      <x:c r="M149" s="72" t="n">
        <x:v>0.79</x:v>
      </x:c>
      <x:c r="N149" s="72" t="n">
        <x:v>0.01183038648773989</x:v>
      </x:c>
      <x:c r="O149" s="72" t="n">
        <x:v>26.46131001065458</x:v>
      </x:c>
      <x:c r="P149" s="72" t="n">
        <x:v>2</x:v>
      </x:c>
      <x:c r="Q149" s="72" t="n">
        <x:v>358.73225247964575</x:v>
      </x:c>
      <x:c r="R149" s="36" t="str">
        <x:v>tract internal point; no person, address, building, parcel, or route condition</x:v>
      </x:c>
    </x:row>
    <x:row r="150" ht="86.4000015258789" hidden="0" customHeight="1">
      <x:c r="A150" s="34" t="str">
        <x:v>48201241103</x:v>
      </x:c>
      <x:c r="B150" s="62" t="n">
        <x:v>5775</x:v>
      </x:c>
      <x:c r="C150" s="62" t="n">
        <x:v>930</x:v>
      </x:c>
      <x:c r="D150" s="62" t="n">
        <x:v>194.5</x:v>
      </x:c>
      <x:c r="E150" s="43" t="n">
        <x:v>0.16103896103896104</x:v>
      </x:c>
      <x:c r="F150" s="43" t="n">
        <x:v>0.03367965367965368</x:v>
      </x:c>
      <x:c r="G150" s="65" t="n">
        <x:v>2331</x:v>
      </x:c>
      <x:c r="H150" s="65" t="n">
        <x:v>119</x:v>
      </x:c>
      <x:c r="I150" s="65" t="n">
        <x:v>0.05105105105105105</x:v>
      </x:c>
      <x:c r="J150" s="34" t="str">
        <x:v>low</x:v>
      </x:c>
      <x:c r="K150" s="71" t="n">
        <x:v>30.0474108</x:v>
      </x:c>
      <x:c r="L150" s="71" t="n">
        <x:v>-95.3807767</x:v>
      </x:c>
      <x:c r="M150" s="71" t="n">
        <x:v>1.074</x:v>
      </x:c>
      <x:c r="N150" s="71" t="n">
        <x:v>0.04180104005207672</x:v>
      </x:c>
      <x:c r="O150" s="71" t="n">
        <x:v>29.18419337585712</x:v>
      </x:c>
      <x:c r="P150" s="71" t="n">
        <x:v>2</x:v>
      </x:c>
      <x:c r="Q150" s="71" t="n">
        <x:v>470.0349011550286</x:v>
      </x:c>
      <x:c r="R150" s="34" t="str">
        <x:v>tract internal point; no person, address, building, parcel, or route condition</x:v>
      </x:c>
    </x:row>
    <x:row r="151" ht="86.4000015258789" hidden="0" customHeight="1">
      <x:c r="A151" s="36" t="str">
        <x:v>48201241104</x:v>
      </x:c>
      <x:c r="B151" s="63" t="n">
        <x:v>11688</x:v>
      </x:c>
      <x:c r="C151" s="63" t="n">
        <x:v>1274</x:v>
      </x:c>
      <x:c r="D151" s="63" t="n">
        <x:v>283.5</x:v>
      </x:c>
      <x:c r="E151" s="45" t="n">
        <x:v>0.10900068446269678</x:v>
      </x:c>
      <x:c r="F151" s="45" t="n">
        <x:v>0.02425564681724846</x:v>
      </x:c>
      <x:c r="G151" s="66" t="n">
        <x:v>3508</x:v>
      </x:c>
      <x:c r="H151" s="66" t="n">
        <x:v>0</x:v>
      </x:c>
      <x:c r="I151" s="66" t="n">
        <x:v>0</x:v>
      </x:c>
      <x:c r="J151" s="36" t="str">
        <x:v>high</x:v>
      </x:c>
      <x:c r="K151" s="72" t="n">
        <x:v>30.0555703</x:v>
      </x:c>
      <x:c r="L151" s="72" t="n">
        <x:v>-95.3649226</x:v>
      </x:c>
      <x:c r="M151" s="72" t="n">
        <x:v>1.823</x:v>
      </x:c>
      <x:c r="N151" s="72" t="n">
        <x:v>0.01613043097411819</x:v>
      </x:c>
      <x:c r="O151" s="72" t="n">
        <x:v>32.02307334601866</x:v>
      </x:c>
      <x:c r="P151" s="72" t="n">
        <x:v>2</x:v>
      </x:c>
      <x:c r="Q151" s="72" t="n">
        <x:v>2026.5008691130981</x:v>
      </x:c>
      <x:c r="R151" s="36" t="str">
        <x:v>tract internal point; no person, address, building, parcel, or route condition</x:v>
      </x:c>
    </x:row>
    <x:row r="152" ht="86.4000015258789" hidden="0" customHeight="1">
      <x:c r="A152" s="34" t="str">
        <x:v>48201241105</x:v>
      </x:c>
      <x:c r="B152" s="62" t="n">
        <x:v>5514</x:v>
      </x:c>
      <x:c r="C152" s="62" t="n">
        <x:v>931</x:v>
      </x:c>
      <x:c r="D152" s="62" t="n">
        <x:v>16</x:v>
      </x:c>
      <x:c r="E152" s="43" t="n">
        <x:v>0.1688429452303228</x:v>
      </x:c>
      <x:c r="F152" s="43" t="n">
        <x:v>0.0029017047515415306</x:v>
      </x:c>
      <x:c r="G152" s="65" t="n">
        <x:v>1815</x:v>
      </x:c>
      <x:c r="H152" s="65" t="n">
        <x:v>0</x:v>
      </x:c>
      <x:c r="I152" s="65" t="n">
        <x:v>0</x:v>
      </x:c>
      <x:c r="J152" s="34" t="str">
        <x:v>low</x:v>
      </x:c>
      <x:c r="K152" s="71" t="n">
        <x:v>30.0439159</x:v>
      </x:c>
      <x:c r="L152" s="71" t="n">
        <x:v>-95.3652759</x:v>
      </x:c>
      <x:c r="M152" s="71" t="n">
        <x:v>0.723</x:v>
      </x:c>
      <x:c r="N152" s="71" t="n">
        <x:v>0.0431889471752179</x:v>
      </x:c>
      <x:c r="O152" s="71" t="n">
        <x:v>32.143453544057444</x:v>
      </x:c>
      <x:c r="P152" s="71" t="n">
        <x:v>2</x:v>
      </x:c>
      <x:c r="Q152" s="71" t="n">
        <x:v>448.1343376176947</x:v>
      </x:c>
      <x:c r="R152" s="34" t="str">
        <x:v>tract internal point; no person, address, building, parcel, or route condition</x:v>
      </x:c>
    </x:row>
    <x:row r="153" ht="86.4000015258789" hidden="0" customHeight="1">
      <x:c r="A153" s="36" t="str">
        <x:v>48201241201</x:v>
      </x:c>
      <x:c r="B153" s="63" t="n">
        <x:v>3062</x:v>
      </x:c>
      <x:c r="C153" s="63" t="n">
        <x:v>391</x:v>
      </x:c>
      <x:c r="D153" s="63" t="n">
        <x:v>39</x:v>
      </x:c>
      <x:c r="E153" s="45" t="n">
        <x:v>0.12769431743958198</x:v>
      </x:c>
      <x:c r="F153" s="45" t="n">
        <x:v>0.012736773350751143</x:v>
      </x:c>
      <x:c r="G153" s="66" t="n">
        <x:v>1158</x:v>
      </x:c>
      <x:c r="H153" s="66" t="n">
        <x:v>126</x:v>
      </x:c>
      <x:c r="I153" s="66" t="n">
        <x:v>0.10880829015544041</x:v>
      </x:c>
      <x:c r="J153" s="36" t="str">
        <x:v>high</x:v>
      </x:c>
      <x:c r="K153" s="72" t="n">
        <x:v>30.0384045</x:v>
      </x:c>
      <x:c r="L153" s="72" t="n">
        <x:v>-95.3889323</x:v>
      </x:c>
      <x:c r="M153" s="72" t="n">
        <x:v>0.662</x:v>
      </x:c>
      <x:c r="N153" s="72" t="n">
        <x:v>0.11712061604982772</x:v>
      </x:c>
      <x:c r="O153" s="72" t="n">
        <x:v>29.94906552561087</x:v>
      </x:c>
      <x:c r="P153" s="72" t="n">
        <x:v>2</x:v>
      </x:c>
      <x:c r="Q153" s="72" t="n">
        <x:v>532.2397081799571</x:v>
      </x:c>
      <x:c r="R153" s="36" t="str">
        <x:v>tract internal point; no person, address, building, parcel, or route condition</x:v>
      </x:c>
    </x:row>
    <x:row r="154" ht="86.4000015258789" hidden="0" customHeight="1">
      <x:c r="A154" s="34" t="str">
        <x:v>48201241202</x:v>
      </x:c>
      <x:c r="B154" s="62" t="n">
        <x:v>5511</x:v>
      </x:c>
      <x:c r="C154" s="62" t="n">
        <x:v>674</x:v>
      </x:c>
      <x:c r="D154" s="62" t="n">
        <x:v>351.5</x:v>
      </x:c>
      <x:c r="E154" s="43" t="n">
        <x:v>0.122300852839775</x:v>
      </x:c>
      <x:c r="F154" s="43" t="n">
        <x:v>0.06378152785338415</x:v>
      </x:c>
      <x:c r="G154" s="65" t="n">
        <x:v>1713</x:v>
      </x:c>
      <x:c r="H154" s="65" t="n">
        <x:v>150</x:v>
      </x:c>
      <x:c r="I154" s="65" t="n">
        <x:v>0.08756567425569177</x:v>
      </x:c>
      <x:c r="J154" s="34" t="str">
        <x:v>low</x:v>
      </x:c>
      <x:c r="K154" s="71" t="n">
        <x:v>30.0506762</x:v>
      </x:c>
      <x:c r="L154" s="71" t="n">
        <x:v>-95.3998062</x:v>
      </x:c>
      <x:c r="M154" s="71" t="n">
        <x:v>1.236</x:v>
      </x:c>
      <x:c r="N154" s="71" t="n">
        <x:v>0.04868351255856923</x:v>
      </x:c>
      <x:c r="O154" s="71" t="n">
        <x:v>27.270399667276816</x:v>
      </x:c>
      <x:c r="P154" s="71" t="n">
        <x:v>2</x:v>
      </x:c>
      <x:c r="Q154" s="71" t="n">
        <x:v>446.4956268703291</x:v>
      </x:c>
      <x:c r="R154" s="34" t="str">
        <x:v>tract internal point; no person, address, building, parcel, or route condition</x:v>
      </x:c>
    </x:row>
    <x:row r="155" ht="86.4000015258789" hidden="0" customHeight="1">
      <x:c r="A155" s="36" t="str">
        <x:v>48201241301</x:v>
      </x:c>
      <x:c r="B155" s="63" t="n">
        <x:v>5161</x:v>
      </x:c>
      <x:c r="C155" s="63" t="n">
        <x:v>386</x:v>
      </x:c>
      <x:c r="D155" s="63" t="n">
        <x:v>0</x:v>
      </x:c>
      <x:c r="E155" s="45" t="n">
        <x:v>0.07479170703352063</x:v>
      </x:c>
      <x:c r="F155" s="45" t="n">
        <x:v>0</x:v>
      </x:c>
      <x:c r="G155" s="66" t="n">
        <x:v>1672</x:v>
      </x:c>
      <x:c r="H155" s="66" t="n">
        <x:v>0</x:v>
      </x:c>
      <x:c r="I155" s="66" t="n">
        <x:v>0</x:v>
      </x:c>
      <x:c r="J155" s="36" t="str">
        <x:v>low</x:v>
      </x:c>
      <x:c r="K155" s="72" t="n">
        <x:v>30.0845763</x:v>
      </x:c>
      <x:c r="L155" s="72" t="n">
        <x:v>-95.4264834</x:v>
      </x:c>
      <x:c r="M155" s="72" t="n">
        <x:v>2.941</x:v>
      </x:c>
      <x:c r="N155" s="72" t="n">
        <x:v>0.04815231413955359</x:v>
      </x:c>
      <x:c r="O155" s="72" t="n">
        <x:v>21.363856467851086</x:v>
      </x:c>
      <x:c r="P155" s="72" t="n">
        <x:v>2</x:v>
      </x:c>
      <x:c r="Q155" s="72" t="n">
        <x:v>411.6975845012116</x:v>
      </x:c>
      <x:c r="R155" s="36" t="str">
        <x:v>tract internal point; no person, address, building, parcel, or route condition</x:v>
      </x:c>
    </x:row>
    <x:row r="156" ht="86.4000015258789" hidden="0" customHeight="1">
      <x:c r="A156" s="34" t="str">
        <x:v>48201241302</x:v>
      </x:c>
      <x:c r="B156" s="62" t="n">
        <x:v>8824</x:v>
      </x:c>
      <x:c r="C156" s="62" t="n">
        <x:v>756</x:v>
      </x:c>
      <x:c r="D156" s="62" t="n">
        <x:v>0</x:v>
      </x:c>
      <x:c r="E156" s="43" t="n">
        <x:v>0.08567543064369901</x:v>
      </x:c>
      <x:c r="F156" s="43" t="n">
        <x:v>0</x:v>
      </x:c>
      <x:c r="G156" s="65" t="n">
        <x:v>3223</x:v>
      </x:c>
      <x:c r="H156" s="65" t="n">
        <x:v>466</x:v>
      </x:c>
      <x:c r="I156" s="65" t="n">
        <x:v>0.14458578963698418</x:v>
      </x:c>
      <x:c r="J156" s="34" t="str">
        <x:v>low</x:v>
      </x:c>
      <x:c r="K156" s="71" t="n">
        <x:v>30.0584637</x:v>
      </x:c>
      <x:c r="L156" s="71" t="n">
        <x:v>-95.4162491</x:v>
      </x:c>
      <x:c r="M156" s="71" t="n">
        <x:v>3.678</x:v>
      </x:c>
      <x:c r="N156" s="71" t="n">
        <x:v>0.05460732555139052</x:v>
      </x:c>
      <x:c r="O156" s="71" t="n">
        <x:v>25.746154341144614</x:v>
      </x:c>
      <x:c r="P156" s="71" t="n">
        <x:v>2</x:v>
      </x:c>
      <x:c r="Q156" s="71" t="n">
        <x:v>705.4079951921032</x:v>
      </x:c>
      <x:c r="R156" s="34" t="str">
        <x:v>tract internal point; no person, address, building, parcel, or route condition</x:v>
      </x:c>
    </x:row>
    <x:row r="157" ht="86.4000015258789" hidden="0" customHeight="1">
      <x:c r="A157" s="36" t="str">
        <x:v>48201241400</x:v>
      </x:c>
      <x:c r="B157" s="63" t="n">
        <x:v>10240</x:v>
      </x:c>
      <x:c r="C157" s="63" t="n">
        <x:v>976</x:v>
      </x:c>
      <x:c r="D157" s="63" t="n">
        <x:v>146</x:v>
      </x:c>
      <x:c r="E157" s="45" t="n">
        <x:v>0.0953125</x:v>
      </x:c>
      <x:c r="F157" s="45" t="n">
        <x:v>0.0142578125</x:v>
      </x:c>
      <x:c r="G157" s="66" t="n">
        <x:v>4076</x:v>
      </x:c>
      <x:c r="H157" s="66" t="n">
        <x:v>684</x:v>
      </x:c>
      <x:c r="I157" s="66" t="n">
        <x:v>0.1678115799803729</x:v>
      </x:c>
      <x:c r="J157" s="36" t="str">
        <x:v>low</x:v>
      </x:c>
      <x:c r="K157" s="72" t="n">
        <x:v>30.0851921</x:v>
      </x:c>
      <x:c r="L157" s="72" t="n">
        <x:v>-95.4057872</x:v>
      </x:c>
      <x:c r="M157" s="72" t="n">
        <x:v>4.199</x:v>
      </x:c>
      <x:c r="N157" s="72" t="n">
        <x:v>0.5301331029871815</x:v>
      </x:c>
      <x:c r="O157" s="72" t="n">
        <x:v>25.212329478407526</x:v>
      </x:c>
      <x:c r="P157" s="72" t="n">
        <x:v>2</x:v>
      </x:c>
      <x:c r="Q157" s="72" t="n">
        <x:v>821.3045356268874</x:v>
      </x:c>
      <x:c r="R157" s="36" t="str">
        <x:v>tract internal point; no person, address, building, parcel, or route condition</x:v>
      </x:c>
    </x:row>
    <x:row r="158" ht="86.4000015258789" hidden="0" customHeight="1">
      <x:c r="A158" s="34" t="str">
        <x:v>48201241501</x:v>
      </x:c>
      <x:c r="B158" s="62" t="n">
        <x:v>4137</x:v>
      </x:c>
      <x:c r="C158" s="62" t="n">
        <x:v>440</x:v>
      </x:c>
      <x:c r="D158" s="62" t="n">
        <x:v>417.5</x:v>
      </x:c>
      <x:c r="E158" s="43" t="n">
        <x:v>0.1063572637176698</x:v>
      </x:c>
      <x:c r="F158" s="43" t="n">
        <x:v>0.10091854000483443</x:v>
      </x:c>
      <x:c r="G158" s="65" t="n">
        <x:v>1941</x:v>
      </x:c>
      <x:c r="H158" s="65" t="n">
        <x:v>370</x:v>
      </x:c>
      <x:c r="I158" s="65" t="n">
        <x:v>0.190623390005152</x:v>
      </x:c>
      <x:c r="J158" s="34" t="str">
        <x:v>high</x:v>
      </x:c>
      <x:c r="K158" s="71" t="n">
        <x:v>29.9830234</x:v>
      </x:c>
      <x:c r="L158" s="71" t="n">
        <x:v>-95.2905315</x:v>
      </x:c>
      <x:c r="M158" s="71" t="n">
        <x:v>5.626</x:v>
      </x:c>
      <x:c r="N158" s="71" t="n">
        <x:v>0.11468588784921221</x:v>
      </x:c>
      <x:c r="O158" s="71" t="n">
        <x:v>16.75660500520375</x:v>
      </x:c>
      <x:c r="P158" s="71" t="n">
        <x:v>1</x:v>
      </x:c>
      <x:c r="Q158" s="71" t="n">
        <x:v>722.2842068880863</x:v>
      </x:c>
      <x:c r="R158" s="34" t="str">
        <x:v>tract internal point; no person, address, building, parcel, or route condition</x:v>
      </x:c>
    </x:row>
    <x:row r="159" ht="86.4000015258789" hidden="0" customHeight="1">
      <x:c r="A159" s="36" t="str">
        <x:v>48201241502</x:v>
      </x:c>
      <x:c r="B159" s="63" t="n">
        <x:v>2390</x:v>
      </x:c>
      <x:c r="C159" s="63" t="n">
        <x:v>332</x:v>
      </x:c>
      <x:c r="D159" s="63" t="n">
        <x:v>168</x:v>
      </x:c>
      <x:c r="E159" s="45" t="n">
        <x:v>0.1389121338912134</x:v>
      </x:c>
      <x:c r="F159" s="45" t="n">
        <x:v>0.07029288702928871</x:v>
      </x:c>
      <x:c r="G159" s="66" t="n">
        <x:v>913</x:v>
      </x:c>
      <x:c r="H159" s="66" t="n">
        <x:v>214</x:v>
      </x:c>
      <x:c r="I159" s="66" t="n">
        <x:v>0.2343921139101862</x:v>
      </x:c>
      <x:c r="J159" s="36" t="str">
        <x:v>low</x:v>
      </x:c>
      <x:c r="K159" s="72" t="n">
        <x:v>29.944954</x:v>
      </x:c>
      <x:c r="L159" s="72" t="n">
        <x:v>-95.2964849</x:v>
      </x:c>
      <x:c r="M159" s="72" t="n">
        <x:v>0.532</x:v>
      </x:c>
      <x:c r="N159" s="72" t="n">
        <x:v>0.08044479321184667</x:v>
      </x:c>
      <x:c r="O159" s="72" t="n">
        <x:v>13.423108553354483</x:v>
      </x:c>
      <x:c r="P159" s="72" t="n">
        <x:v>1</x:v>
      </x:c>
      <x:c r="Q159" s="72" t="n">
        <x:v>194.381746781031</x:v>
      </x:c>
      <x:c r="R159" s="36" t="str">
        <x:v>tract internal point; no person, address, building, parcel, or route condition</x:v>
      </x:c>
    </x:row>
    <x:row r="160" ht="86.4000015258789" hidden="0" customHeight="1">
      <x:c r="A160" s="34" t="str">
        <x:v>48201241503</x:v>
      </x:c>
      <x:c r="B160" s="62" t="n">
        <x:v>2618</x:v>
      </x:c>
      <x:c r="C160" s="62" t="n">
        <x:v>195</x:v>
      </x:c>
      <x:c r="D160" s="62" t="n">
        <x:v>382.5</x:v>
      </x:c>
      <x:c r="E160" s="43" t="n">
        <x:v>0.07448433919022154</x:v>
      </x:c>
      <x:c r="F160" s="43" t="n">
        <x:v>0.1461038961038961</x:v>
      </x:c>
      <x:c r="G160" s="65" t="n">
        <x:v>778</x:v>
      </x:c>
      <x:c r="H160" s="65" t="n">
        <x:v>106</x:v>
      </x:c>
      <x:c r="I160" s="65" t="n">
        <x:v>0.13624678663239073</x:v>
      </x:c>
      <x:c r="J160" s="34" t="str">
        <x:v>low</x:v>
      </x:c>
      <x:c r="K160" s="71" t="n">
        <x:v>29.9589078</x:v>
      </x:c>
      <x:c r="L160" s="71" t="n">
        <x:v>-95.3477716</x:v>
      </x:c>
      <x:c r="M160" s="71" t="n">
        <x:v>6.836</x:v>
      </x:c>
      <x:c r="N160" s="71" t="n">
        <x:v>0.19801896127497112</x:v>
      </x:c>
      <x:c r="O160" s="71" t="n">
        <x:v>23.225990894449914</x:v>
      </x:c>
      <x:c r="P160" s="71" t="n">
        <x:v>1</x:v>
      </x:c>
      <x:c r="Q160" s="71" t="n">
        <x:v>211.83381975237498</x:v>
      </x:c>
      <x:c r="R160" s="34" t="str">
        <x:v>tract internal point; no person, address, building, parcel, or route condition</x:v>
      </x:c>
    </x:row>
    <x:row r="161" ht="86.4000015258789" hidden="0" customHeight="1">
      <x:c r="A161" s="36" t="str">
        <x:v>48201250101</x:v>
      </x:c>
      <x:c r="B161" s="63" t="n">
        <x:v>3983</x:v>
      </x:c>
      <x:c r="C161" s="63" t="n">
        <x:v>414</x:v>
      </x:c>
      <x:c r="D161" s="63" t="n">
        <x:v>31.5</x:v>
      </x:c>
      <x:c r="E161" s="45" t="n">
        <x:v>0.10394175244790359</x:v>
      </x:c>
      <x:c r="F161" s="45" t="n">
        <x:v>0.007908611599297012</x:v>
      </x:c>
      <x:c r="G161" s="66" t="n">
        <x:v>1411</x:v>
      </x:c>
      <x:c r="H161" s="66" t="n">
        <x:v>165</x:v>
      </x:c>
      <x:c r="I161" s="66" t="n">
        <x:v>0.11693834160170093</x:v>
      </x:c>
      <x:c r="J161" s="36" t="str">
        <x:v>low</x:v>
      </x:c>
      <x:c r="K161" s="72" t="n">
        <x:v>29.9610718</x:v>
      </x:c>
      <x:c r="L161" s="72" t="n">
        <x:v>-95.2772815</x:v>
      </x:c>
      <x:c r="M161" s="72" t="n">
        <x:v>3.135</x:v>
      </x:c>
      <x:c r="N161" s="72" t="n">
        <x:v>0.0628759176279757</x:v>
      </x:c>
      <x:c r="O161" s="72" t="n">
        <x:v>15.767397208588772</x:v>
      </x:c>
      <x:c r="P161" s="72" t="n">
        <x:v>1</x:v>
      </x:c>
      <x:c r="Q161" s="72" t="n">
        <x:v>319.80010050326547</x:v>
      </x:c>
      <x:c r="R161" s="36" t="str">
        <x:v>tract internal point; no person, address, building, parcel, or route condition</x:v>
      </x:c>
    </x:row>
    <x:row r="162" ht="86.4000015258789" hidden="0" customHeight="1">
      <x:c r="A162" s="34" t="str">
        <x:v>48201250102</x:v>
      </x:c>
      <x:c r="B162" s="62" t="n">
        <x:v>5431</x:v>
      </x:c>
      <x:c r="C162" s="62" t="n">
        <x:v>562</x:v>
      </x:c>
      <x:c r="D162" s="62" t="n">
        <x:v>0</x:v>
      </x:c>
      <x:c r="E162" s="43" t="n">
        <x:v>0.10348002209537838</x:v>
      </x:c>
      <x:c r="F162" s="43" t="n">
        <x:v>0</x:v>
      </x:c>
      <x:c r="G162" s="65" t="n">
        <x:v>1538</x:v>
      </x:c>
      <x:c r="H162" s="65" t="n">
        <x:v>0</x:v>
      </x:c>
      <x:c r="I162" s="65" t="n">
        <x:v>0</x:v>
      </x:c>
      <x:c r="J162" s="34" t="str">
        <x:v>low</x:v>
      </x:c>
      <x:c r="K162" s="71" t="n">
        <x:v>29.9768873</x:v>
      </x:c>
      <x:c r="L162" s="71" t="n">
        <x:v>-95.247633</x:v>
      </x:c>
      <x:c r="M162" s="71" t="n">
        <x:v>2.331</x:v>
      </x:c>
      <x:c r="N162" s="71" t="n">
        <x:v>0.0905392991315834</x:v>
      </x:c>
      <x:c r="O162" s="71" t="n">
        <x:v>12.051671226052276</x:v>
      </x:c>
      <x:c r="P162" s="71" t="n">
        <x:v>1</x:v>
      </x:c>
      <x:c r="Q162" s="71" t="n">
        <x:v>435.6848516520974</x:v>
      </x:c>
      <x:c r="R162" s="34" t="str">
        <x:v>tract internal point; no person, address, building, parcel, or route condition</x:v>
      </x:c>
    </x:row>
    <x:row r="163" ht="86.4000015258789" hidden="0" customHeight="1">
      <x:c r="A163" s="36" t="str">
        <x:v>48201250201</x:v>
      </x:c>
      <x:c r="B163" s="63" t="n">
        <x:v>7894</x:v>
      </x:c>
      <x:c r="C163" s="63" t="n">
        <x:v>1147</x:v>
      </x:c>
      <x:c r="D163" s="63" t="n">
        <x:v>366</x:v>
      </x:c>
      <x:c r="E163" s="45" t="n">
        <x:v>0.14530022802128198</x:v>
      </x:c>
      <x:c r="F163" s="45" t="n">
        <x:v>0.04636432733721814</x:v>
      </x:c>
      <x:c r="G163" s="66" t="n">
        <x:v>2678</x:v>
      </x:c>
      <x:c r="H163" s="66" t="n">
        <x:v>166</x:v>
      </x:c>
      <x:c r="I163" s="66" t="n">
        <x:v>0.0619865571321882</x:v>
      </x:c>
      <x:c r="J163" s="36" t="str">
        <x:v>low</x:v>
      </x:c>
      <x:c r="K163" s="72" t="n">
        <x:v>29.9501906</x:v>
      </x:c>
      <x:c r="L163" s="72" t="n">
        <x:v>-95.2569333</x:v>
      </x:c>
      <x:c r="M163" s="72" t="n">
        <x:v>1.784</x:v>
      </x:c>
      <x:c r="N163" s="72" t="n">
        <x:v>0.010280341222875865</x:v>
      </x:c>
      <x:c r="O163" s="72" t="n">
        <x:v>11.819486941424113</x:v>
      </x:c>
      <x:c r="P163" s="72" t="n">
        <x:v>1</x:v>
      </x:c>
      <x:c r="Q163" s="72" t="n">
        <x:v>641.3371558034988</x:v>
      </x:c>
      <x:c r="R163" s="36" t="str">
        <x:v>tract internal point; no person, address, building, parcel, or route condition</x:v>
      </x:c>
    </x:row>
    <x:row r="164" ht="86.4000015258789" hidden="0" customHeight="1">
      <x:c r="A164" s="34" t="str">
        <x:v>48201250202</x:v>
      </x:c>
      <x:c r="B164" s="62" t="n">
        <x:v>2312</x:v>
      </x:c>
      <x:c r="C164" s="62" t="n">
        <x:v>171</x:v>
      </x:c>
      <x:c r="D164" s="62" t="n">
        <x:v>8</x:v>
      </x:c>
      <x:c r="E164" s="43" t="n">
        <x:v>0.07396193771626297</x:v>
      </x:c>
      <x:c r="F164" s="43" t="n">
        <x:v>0.0034602076124567475</x:v>
      </x:c>
      <x:c r="G164" s="65" t="n">
        <x:v>832</x:v>
      </x:c>
      <x:c r="H164" s="65" t="n">
        <x:v>229</x:v>
      </x:c>
      <x:c r="I164" s="65" t="n">
        <x:v>0.27524038461538464</x:v>
      </x:c>
      <x:c r="J164" s="34" t="str">
        <x:v>low</x:v>
      </x:c>
      <x:c r="K164" s="71" t="n">
        <x:v>29.9451501</x:v>
      </x:c>
      <x:c r="L164" s="71" t="n">
        <x:v>-95.2714963</x:v>
      </x:c>
      <x:c r="M164" s="71" t="n">
        <x:v>0.525</x:v>
      </x:c>
      <x:c r="N164" s="71" t="n">
        <x:v>0.010537275755642126</x:v>
      </x:c>
      <x:c r="O164" s="71" t="n">
        <x:v>11.39497810430852</x:v>
      </x:c>
      <x:c r="P164" s="71" t="n">
        <x:v>1</x:v>
      </x:c>
      <x:c r="Q164" s="71" t="n">
        <x:v>184.46302753318764</x:v>
      </x:c>
      <x:c r="R164" s="34" t="str">
        <x:v>tract internal point; no person, address, building, parcel, or route condition</x:v>
      </x:c>
    </x:row>
    <x:row r="165" ht="86.4000015258789" hidden="0" customHeight="1">
      <x:c r="A165" s="36" t="str">
        <x:v>48201250303</x:v>
      </x:c>
      <x:c r="B165" s="63" t="n">
        <x:v>3416</x:v>
      </x:c>
      <x:c r="C165" s="63" t="n">
        <x:v>322</x:v>
      </x:c>
      <x:c r="D165" s="63" t="n">
        <x:v>380.5</x:v>
      </x:c>
      <x:c r="E165" s="45" t="n">
        <x:v>0.0942622950819672</x:v>
      </x:c>
      <x:c r="F165" s="45" t="n">
        <x:v>0.11138758782201405</x:v>
      </x:c>
      <x:c r="G165" s="66" t="n">
        <x:v>1324</x:v>
      </x:c>
      <x:c r="H165" s="66" t="n">
        <x:v>244</x:v>
      </x:c>
      <x:c r="I165" s="66" t="n">
        <x:v>0.18429003021148035</x:v>
      </x:c>
      <x:c r="J165" s="36" t="str">
        <x:v>low</x:v>
      </x:c>
      <x:c r="K165" s="72" t="n">
        <x:v>29.9421382</x:v>
      </x:c>
      <x:c r="L165" s="72" t="n">
        <x:v>-95.2416308</x:v>
      </x:c>
      <x:c r="M165" s="72" t="n">
        <x:v>0.805</x:v>
      </x:c>
      <x:c r="N165" s="72" t="n">
        <x:v>0.0026379774515577735</x:v>
      </x:c>
      <x:c r="O165" s="72" t="n">
        <x:v>10.723875259317918</x:v>
      </x:c>
      <x:c r="P165" s="72" t="n">
        <x:v>1</x:v>
      </x:c>
      <x:c r="Q165" s="72" t="n">
        <x:v>276.5334210584338</x:v>
      </x:c>
      <x:c r="R165" s="36" t="str">
        <x:v>tract internal point; no person, address, building, parcel, or route condition</x:v>
      </x:c>
    </x:row>
    <x:row r="166" ht="86.4000015258789" hidden="0" customHeight="1">
      <x:c r="A166" s="34" t="str">
        <x:v>48201250304</x:v>
      </x:c>
      <x:c r="B166" s="62" t="n">
        <x:v>8396</x:v>
      </x:c>
      <x:c r="C166" s="62" t="n">
        <x:v>936</x:v>
      </x:c>
      <x:c r="D166" s="62" t="n">
        <x:v>453</x:v>
      </x:c>
      <x:c r="E166" s="43" t="n">
        <x:v>0.11148165793234874</x:v>
      </x:c>
      <x:c r="F166" s="43" t="n">
        <x:v>0.05395426393520724</x:v>
      </x:c>
      <x:c r="G166" s="65" t="n">
        <x:v>2694</x:v>
      </x:c>
      <x:c r="H166" s="65" t="n">
        <x:v>46</x:v>
      </x:c>
      <x:c r="I166" s="65" t="n">
        <x:v>0.017074981440237565</x:v>
      </x:c>
      <x:c r="J166" s="34" t="str">
        <x:v>high</x:v>
      </x:c>
      <x:c r="K166" s="71" t="n">
        <x:v>29.947089</x:v>
      </x:c>
      <x:c r="L166" s="71" t="n">
        <x:v>-95.2263045</x:v>
      </x:c>
      <x:c r="M166" s="71" t="n">
        <x:v>3.609</x:v>
      </x:c>
      <x:c r="N166" s="71" t="n">
        <x:v>0.2663537991531292</x:v>
      </x:c>
      <x:c r="O166" s="71" t="n">
        <x:v>7.259028954596136</x:v>
      </x:c>
      <x:c r="P166" s="71" t="n">
        <x:v>1</x:v>
      </x:c>
      <x:c r="Q166" s="71" t="n">
        <x:v>1460.6502089726025</x:v>
      </x:c>
      <x:c r="R166" s="34" t="str">
        <x:v>tract internal point; no person, address, building, parcel, or route condition</x:v>
      </x:c>
    </x:row>
    <x:row r="167" ht="86.4000015258789" hidden="0" customHeight="1">
      <x:c r="A167" s="36" t="str">
        <x:v>48201250305</x:v>
      </x:c>
      <x:c r="B167" s="63" t="n">
        <x:v>5680</x:v>
      </x:c>
      <x:c r="C167" s="63" t="n">
        <x:v>1261</x:v>
      </x:c>
      <x:c r="D167" s="63" t="n">
        <x:v>0</x:v>
      </x:c>
      <x:c r="E167" s="45" t="n">
        <x:v>0.22200704225352114</x:v>
      </x:c>
      <x:c r="F167" s="45" t="n">
        <x:v>0</x:v>
      </x:c>
      <x:c r="G167" s="66" t="n">
        <x:v>1982</x:v>
      </x:c>
      <x:c r="H167" s="66" t="n">
        <x:v>222</x:v>
      </x:c>
      <x:c r="I167" s="66" t="n">
        <x:v>0.11200807265388496</x:v>
      </x:c>
      <x:c r="J167" s="36" t="str">
        <x:v>low</x:v>
      </x:c>
      <x:c r="K167" s="72" t="n">
        <x:v>29.9688045</x:v>
      </x:c>
      <x:c r="L167" s="72" t="n">
        <x:v>-95.2133443</x:v>
      </x:c>
      <x:c r="M167" s="72" t="n">
        <x:v>0.915</x:v>
      </x:c>
      <x:c r="N167" s="72" t="n">
        <x:v>0.027333077767363344</x:v>
      </x:c>
      <x:c r="O167" s="72" t="n">
        <x:v>5.131549670955154</x:v>
      </x:c>
      <x:c r="P167" s="72" t="n">
        <x:v>1</x:v>
      </x:c>
      <x:c r="Q167" s="72" t="n">
        <x:v>466.24268084038175</x:v>
      </x:c>
      <x:c r="R167" s="36" t="str">
        <x:v>tract internal point; no person, address, building, parcel, or route condition</x:v>
      </x:c>
    </x:row>
    <x:row r="168" ht="86.4000015258789" hidden="0" customHeight="1">
      <x:c r="A168" s="34" t="str">
        <x:v>48201250306</x:v>
      </x:c>
      <x:c r="B168" s="62" t="n">
        <x:v>3936</x:v>
      </x:c>
      <x:c r="C168" s="62" t="n">
        <x:v>386</x:v>
      </x:c>
      <x:c r="D168" s="62" t="n">
        <x:v>27</x:v>
      </x:c>
      <x:c r="E168" s="43" t="n">
        <x:v>0.09806910569105691</x:v>
      </x:c>
      <x:c r="F168" s="43" t="n">
        <x:v>0.006859756097560976</x:v>
      </x:c>
      <x:c r="G168" s="65" t="n">
        <x:v>1413</x:v>
      </x:c>
      <x:c r="H168" s="65" t="n">
        <x:v>0</x:v>
      </x:c>
      <x:c r="I168" s="65" t="n">
        <x:v>0</x:v>
      </x:c>
      <x:c r="J168" s="34" t="str">
        <x:v>low</x:v>
      </x:c>
      <x:c r="K168" s="71" t="n">
        <x:v>29.968714</x:v>
      </x:c>
      <x:c r="L168" s="71" t="n">
        <x:v>-95.2072885</x:v>
      </x:c>
      <x:c r="M168" s="71" t="n">
        <x:v>0.83</x:v>
      </x:c>
      <x:c r="N168" s="71" t="n">
        <x:v>0.03615254252701321</x:v>
      </x:c>
      <x:c r="O168" s="71" t="n">
        <x:v>5.242468163723078</x:v>
      </x:c>
      <x:c r="P168" s="71" t="n">
        <x:v>1</x:v>
      </x:c>
      <x:c r="Q168" s="71" t="n">
        <x:v>315.63062303814587</x:v>
      </x:c>
      <x:c r="R168" s="34" t="str">
        <x:v>tract internal point; no person, address, building, parcel, or route condition</x:v>
      </x:c>
    </x:row>
    <x:row r="169" ht="86.4000015258789" hidden="0" customHeight="1">
      <x:c r="A169" s="36" t="str">
        <x:v>48201250403</x:v>
      </x:c>
      <x:c r="B169" s="63" t="n">
        <x:v>4543</x:v>
      </x:c>
      <x:c r="C169" s="63" t="n">
        <x:v>581</x:v>
      </x:c>
      <x:c r="D169" s="63" t="n">
        <x:v>65</x:v>
      </x:c>
      <x:c r="E169" s="45" t="n">
        <x:v>0.12788906009244994</x:v>
      </x:c>
      <x:c r="F169" s="45" t="n">
        <x:v>0.014307726172132952</x:v>
      </x:c>
      <x:c r="G169" s="66" t="n">
        <x:v>1911</x:v>
      </x:c>
      <x:c r="H169" s="66" t="n">
        <x:v>320</x:v>
      </x:c>
      <x:c r="I169" s="66" t="n">
        <x:v>0.1674515960230246</x:v>
      </x:c>
      <x:c r="J169" s="36" t="str">
        <x:v>moderate</x:v>
      </x:c>
      <x:c r="K169" s="72" t="n">
        <x:v>30.0011721</x:v>
      </x:c>
      <x:c r="L169" s="72" t="n">
        <x:v>-95.1425237</x:v>
      </x:c>
      <x:c r="M169" s="72" t="n">
        <x:v>0.797</x:v>
      </x:c>
      <x:c r="N169" s="72" t="n">
        <x:v>0.10681420150502063</x:v>
      </x:c>
      <x:c r="O169" s="72" t="n">
        <x:v>14.053344924532295</x:v>
      </x:c>
      <x:c r="P169" s="72" t="n">
        <x:v>1</x:v>
      </x:c>
      <x:c r="Q169" s="72" t="n">
        <x:v>648.7801250013653</x:v>
      </x:c>
      <x:c r="R169" s="36" t="str">
        <x:v>tract internal point; no person, address, building, parcel, or route condition</x:v>
      </x:c>
    </x:row>
    <x:row r="170" ht="86.4000015258789" hidden="0" customHeight="1">
      <x:c r="A170" s="34" t="str">
        <x:v>48201250404</x:v>
      </x:c>
      <x:c r="B170" s="62" t="n">
        <x:v>5041</x:v>
      </x:c>
      <x:c r="C170" s="62" t="n">
        <x:v>628</x:v>
      </x:c>
      <x:c r="D170" s="62" t="n">
        <x:v>0</x:v>
      </x:c>
      <x:c r="E170" s="43" t="n">
        <x:v>0.12457845665542551</x:v>
      </x:c>
      <x:c r="F170" s="43" t="n">
        <x:v>0</x:v>
      </x:c>
      <x:c r="G170" s="65" t="n">
        <x:v>1739</x:v>
      </x:c>
      <x:c r="H170" s="65" t="n">
        <x:v>102</x:v>
      </x:c>
      <x:c r="I170" s="65" t="n">
        <x:v>0.058654399079930995</x:v>
      </x:c>
      <x:c r="J170" s="34" t="str">
        <x:v>low</x:v>
      </x:c>
      <x:c r="K170" s="71" t="n">
        <x:v>29.9895398</x:v>
      </x:c>
      <x:c r="L170" s="71" t="n">
        <x:v>-95.1527245</x:v>
      </x:c>
      <x:c r="M170" s="71" t="n">
        <x:v>1.226</x:v>
      </x:c>
      <x:c r="N170" s="71" t="n">
        <x:v>0.029512378068628126</x:v>
      </x:c>
      <x:c r="O170" s="71" t="n">
        <x:v>12.634155587241802</x:v>
      </x:c>
      <x:c r="P170" s="71" t="n">
        <x:v>1</x:v>
      </x:c>
      <x:c r="Q170" s="71" t="n">
        <x:v>406.0701653399947</x:v>
      </x:c>
      <x:c r="R170" s="34" t="str">
        <x:v>tract internal point; no person, address, building, parcel, or route condition</x:v>
      </x:c>
    </x:row>
    <x:row r="171" ht="86.4000015258789" hidden="0" customHeight="1">
      <x:c r="A171" s="36" t="str">
        <x:v>48201250405</x:v>
      </x:c>
      <x:c r="B171" s="63" t="n">
        <x:v>9951</x:v>
      </x:c>
      <x:c r="C171" s="63" t="n">
        <x:v>1069</x:v>
      </x:c>
      <x:c r="D171" s="63" t="n">
        <x:v>170</x:v>
      </x:c>
      <x:c r="E171" s="45" t="n">
        <x:v>0.10742638930760727</x:v>
      </x:c>
      <x:c r="F171" s="45" t="n">
        <x:v>0.017083710179881417</x:v>
      </x:c>
      <x:c r="G171" s="66" t="n">
        <x:v>2934</x:v>
      </x:c>
      <x:c r="H171" s="66" t="n">
        <x:v>0</x:v>
      </x:c>
      <x:c r="I171" s="66" t="n">
        <x:v>0</x:v>
      </x:c>
      <x:c r="J171" s="36" t="str">
        <x:v>low</x:v>
      </x:c>
      <x:c r="K171" s="72" t="n">
        <x:v>29.9888114</x:v>
      </x:c>
      <x:c r="L171" s="72" t="n">
        <x:v>-95.1692973</x:v>
      </x:c>
      <x:c r="M171" s="72" t="n">
        <x:v>0.993</x:v>
      </x:c>
      <x:c r="N171" s="72" t="n">
        <x:v>0.01148082302981841</x:v>
      </x:c>
      <x:c r="O171" s="72" t="n">
        <x:v>9.161842227723431</x:v>
      </x:c>
      <x:c r="P171" s="72" t="n">
        <x:v>1</x:v>
      </x:c>
      <x:c r="Q171" s="72" t="n">
        <x:v>800.2410113921646</x:v>
      </x:c>
      <x:c r="R171" s="36" t="str">
        <x:v>tract internal point; no person, address, building, parcel, or route condition</x:v>
      </x:c>
    </x:row>
    <x:row r="172" ht="86.4000015258789" hidden="0" customHeight="1">
      <x:c r="A172" s="34" t="str">
        <x:v>48201250406</x:v>
      </x:c>
      <x:c r="B172" s="62" t="n">
        <x:v>4810</x:v>
      </x:c>
      <x:c r="C172" s="62" t="n">
        <x:v>361</x:v>
      </x:c>
      <x:c r="D172" s="62" t="n">
        <x:v>99</x:v>
      </x:c>
      <x:c r="E172" s="43" t="n">
        <x:v>0.07505197505197506</x:v>
      </x:c>
      <x:c r="F172" s="43" t="n">
        <x:v>0.020582120582120583</x:v>
      </x:c>
      <x:c r="G172" s="65" t="n">
        <x:v>1638</x:v>
      </x:c>
      <x:c r="H172" s="65" t="n">
        <x:v>193</x:v>
      </x:c>
      <x:c r="I172" s="65" t="n">
        <x:v>0.11782661782661782</x:v>
      </x:c>
      <x:c r="J172" s="34" t="str">
        <x:v>low</x:v>
      </x:c>
      <x:c r="K172" s="71" t="n">
        <x:v>29.9849665</x:v>
      </x:c>
      <x:c r="L172" s="71" t="n">
        <x:v>-95.1866776</x:v>
      </x:c>
      <x:c r="M172" s="71" t="n">
        <x:v>0.844</x:v>
      </x:c>
      <x:c r="N172" s="71" t="n">
        <x:v>0.030048892395885048</x:v>
      </x:c>
      <x:c r="O172" s="71" t="n">
        <x:v>6.36143949622089</x:v>
      </x:c>
      <x:c r="P172" s="71" t="n">
        <x:v>1</x:v>
      </x:c>
      <x:c r="Q172" s="71" t="n">
        <x:v>384.49577204734015</x:v>
      </x:c>
      <x:c r="R172" s="34" t="str">
        <x:v>tract internal point; no person, address, building, parcel, or route condition</x:v>
      </x:c>
    </x:row>
    <x:row r="173" ht="86.4000015258789" hidden="0" customHeight="1">
      <x:c r="A173" s="36" t="str">
        <x:v>48201250407</x:v>
      </x:c>
      <x:c r="B173" s="63" t="n">
        <x:v>10135</x:v>
      </x:c>
      <x:c r="C173" s="63" t="n">
        <x:v>671</x:v>
      </x:c>
      <x:c r="D173" s="63" t="n">
        <x:v>0</x:v>
      </x:c>
      <x:c r="E173" s="45" t="n">
        <x:v>0.0662062160828811</x:v>
      </x:c>
      <x:c r="F173" s="45" t="n">
        <x:v>0</x:v>
      </x:c>
      <x:c r="G173" s="66" t="n">
        <x:v>3272</x:v>
      </x:c>
      <x:c r="H173" s="66" t="n">
        <x:v>0</x:v>
      </x:c>
      <x:c r="I173" s="66" t="n">
        <x:v>0</x:v>
      </x:c>
      <x:c r="J173" s="36" t="str">
        <x:v>low</x:v>
      </x:c>
      <x:c r="K173" s="72" t="n">
        <x:v>29.9707487</x:v>
      </x:c>
      <x:c r="L173" s="72" t="n">
        <x:v>-95.1906465</x:v>
      </x:c>
      <x:c r="M173" s="72" t="n">
        <x:v>1.632</x:v>
      </x:c>
      <x:c r="N173" s="72" t="n">
        <x:v>0.04045122068617227</x:v>
      </x:c>
      <x:c r="O173" s="72" t="n">
        <x:v>3.8083769995114487</x:v>
      </x:c>
      <x:c r="P173" s="72" t="n">
        <x:v>1</x:v>
      </x:c>
      <x:c r="Q173" s="72" t="n">
        <x:v>807.110235340354</x:v>
      </x:c>
      <x:c r="R173" s="36" t="str">
        <x:v>tract internal point; no person, address, building, parcel, or route condition</x:v>
      </x:c>
    </x:row>
    <x:row r="174" ht="86.4000015258789" hidden="0" customHeight="1">
      <x:c r="A174" s="34" t="str">
        <x:v>48201250408</x:v>
      </x:c>
      <x:c r="B174" s="62" t="n">
        <x:v>17485</x:v>
      </x:c>
      <x:c r="C174" s="62" t="n">
        <x:v>885</x:v>
      </x:c>
      <x:c r="D174" s="62" t="n">
        <x:v>89</x:v>
      </x:c>
      <x:c r="E174" s="43" t="n">
        <x:v>0.05061481269659708</x:v>
      </x:c>
      <x:c r="F174" s="43" t="n">
        <x:v>0.005090077209036317</x:v>
      </x:c>
      <x:c r="G174" s="65" t="n">
        <x:v>6898</x:v>
      </x:c>
      <x:c r="H174" s="65" t="n">
        <x:v>1421</x:v>
      </x:c>
      <x:c r="I174" s="65" t="n">
        <x:v>0.20600173963467672</x:v>
      </x:c>
      <x:c r="J174" s="34" t="str">
        <x:v>low</x:v>
      </x:c>
      <x:c r="K174" s="71" t="n">
        <x:v>29.9554647</x:v>
      </x:c>
      <x:c r="L174" s="71" t="n">
        <x:v>-95.194833</x:v>
      </x:c>
      <x:c r="M174" s="71" t="n">
        <x:v>4.221</x:v>
      </x:c>
      <x:c r="N174" s="71" t="n">
        <x:v>0.044608922579234635</x:v>
      </x:c>
      <x:c r="O174" s="71" t="n">
        <x:v>0.26765353547540777</x:v>
      </x:c>
      <x:c r="P174" s="71" t="n">
        <x:v>1</x:v>
      </x:c>
      <x:c r="Q174" s="71" t="n">
        <x:v>1388.8486208931424</x:v>
      </x:c>
      <x:c r="R174" s="34" t="str">
        <x:v>tract internal point; no person, address, building, parcel, or route condition</x:v>
      </x:c>
    </x:row>
    <x:row r="175" ht="86.4000015258789" hidden="0" customHeight="1">
      <x:c r="A175" s="36" t="str">
        <x:v>48201250500</x:v>
      </x:c>
      <x:c r="B175" s="63" t="n">
        <x:v>5458</x:v>
      </x:c>
      <x:c r="C175" s="63" t="n">
        <x:v>699</x:v>
      </x:c>
      <x:c r="D175" s="63" t="n">
        <x:v>30</x:v>
      </x:c>
      <x:c r="E175" s="45" t="n">
        <x:v>0.12806888970318797</x:v>
      </x:c>
      <x:c r="F175" s="45" t="n">
        <x:v>0.005496518871381458</x:v>
      </x:c>
      <x:c r="G175" s="66" t="n">
        <x:v>2287</x:v>
      </x:c>
      <x:c r="H175" s="66" t="n">
        <x:v>634</x:v>
      </x:c>
      <x:c r="I175" s="66" t="n">
        <x:v>0.2772190642763446</x:v>
      </x:c>
      <x:c r="J175" s="36" t="str">
        <x:v>low</x:v>
      </x:c>
      <x:c r="K175" s="72" t="n">
        <x:v>29.9929597</x:v>
      </x:c>
      <x:c r="L175" s="72" t="n">
        <x:v>-95.1954273</x:v>
      </x:c>
      <x:c r="M175" s="72" t="n">
        <x:v>1.761</x:v>
      </x:c>
      <x:c r="N175" s="72" t="n">
        <x:v>0.09746480225873956</x:v>
      </x:c>
      <x:c r="O175" s="72" t="n">
        <x:v>7.4061216878985165</x:v>
      </x:c>
      <x:c r="P175" s="72" t="n">
        <x:v>1</x:v>
      </x:c>
      <x:c r="Q175" s="72" t="n">
        <x:v>440.1962184098328</x:v>
      </x:c>
      <x:c r="R175" s="36" t="str">
        <x:v>tract internal point; no person, address, building, parcel, or route condition</x:v>
      </x:c>
    </x:row>
    <x:row r="176" ht="86.4000015258789" hidden="0" customHeight="1">
      <x:c r="A176" s="34" t="str">
        <x:v>48201250601</x:v>
      </x:c>
      <x:c r="B176" s="62" t="n">
        <x:v>3344</x:v>
      </x:c>
      <x:c r="C176" s="62" t="n">
        <x:v>402</x:v>
      </x:c>
      <x:c r="D176" s="62" t="n">
        <x:v>438</x:v>
      </x:c>
      <x:c r="E176" s="43" t="n">
        <x:v>0.12021531100478469</x:v>
      </x:c>
      <x:c r="F176" s="43" t="n">
        <x:v>0.13098086124401914</x:v>
      </x:c>
      <x:c r="G176" s="65" t="n">
        <x:v>1715</x:v>
      </x:c>
      <x:c r="H176" s="65" t="n">
        <x:v>244</x:v>
      </x:c>
      <x:c r="I176" s="65" t="n">
        <x:v>0.1422740524781341</x:v>
      </x:c>
      <x:c r="J176" s="34" t="str">
        <x:v>low</x:v>
      </x:c>
      <x:c r="K176" s="71" t="n">
        <x:v>29.9882075</x:v>
      </x:c>
      <x:c r="L176" s="71" t="n">
        <x:v>-95.2643555</x:v>
      </x:c>
      <x:c r="M176" s="71" t="n">
        <x:v>1.677</x:v>
      </x:c>
      <x:c r="N176" s="71" t="n">
        <x:v>0.5345175967716812</x:v>
      </x:c>
      <x:c r="O176" s="71" t="n">
        <x:v>15.765606218818833</x:v>
      </x:c>
      <x:c r="P176" s="71" t="n">
        <x:v>1</x:v>
      </x:c>
      <x:c r="Q176" s="71" t="n">
        <x:v>272.5840102644232</x:v>
      </x:c>
      <x:c r="R176" s="34" t="str">
        <x:v>tract internal point; no person, address, building, parcel, or route condition</x:v>
      </x:c>
    </x:row>
    <x:row r="177" ht="86.4000015258789" hidden="0" customHeight="1">
      <x:c r="A177" s="36" t="str">
        <x:v>48201250602</x:v>
      </x:c>
      <x:c r="B177" s="63" t="n">
        <x:v>4634</x:v>
      </x:c>
      <x:c r="C177" s="63" t="n">
        <x:v>418</x:v>
      </x:c>
      <x:c r="D177" s="63" t="n">
        <x:v>345.5</x:v>
      </x:c>
      <x:c r="E177" s="45" t="n">
        <x:v>0.09020284851100561</x:v>
      </x:c>
      <x:c r="F177" s="45" t="n">
        <x:v>0.07455761760897713</x:v>
      </x:c>
      <x:c r="G177" s="66" t="n">
        <x:v>1728</x:v>
      </x:c>
      <x:c r="H177" s="66" t="n">
        <x:v>210</x:v>
      </x:c>
      <x:c r="I177" s="66" t="n">
        <x:v>0.12152777777777778</x:v>
      </x:c>
      <x:c r="J177" s="36" t="str">
        <x:v>low</x:v>
      </x:c>
      <x:c r="K177" s="72" t="n">
        <x:v>29.9888377</x:v>
      </x:c>
      <x:c r="L177" s="72" t="n">
        <x:v>-95.2342099</x:v>
      </x:c>
      <x:c r="M177" s="72" t="n">
        <x:v>3.736</x:v>
      </x:c>
      <x:c r="N177" s="72" t="n">
        <x:v>0.5445317553806569</x:v>
      </x:c>
      <x:c r="O177" s="72" t="n">
        <x:v>11.134715232660472</x:v>
      </x:c>
      <x:c r="P177" s="72" t="n">
        <x:v>1</x:v>
      </x:c>
      <x:c r="Q177" s="72" t="n">
        <x:v>373.49636825387205</x:v>
      </x:c>
      <x:c r="R177" s="36" t="str">
        <x:v>tract internal point; no person, address, building, parcel, or route condition</x:v>
      </x:c>
    </x:row>
    <x:row r="178" ht="86.4000015258789" hidden="0" customHeight="1">
      <x:c r="A178" s="34" t="str">
        <x:v>48201250701</x:v>
      </x:c>
      <x:c r="B178" s="62" t="n">
        <x:v>7051</x:v>
      </x:c>
      <x:c r="C178" s="62" t="n">
        <x:v>1364</x:v>
      </x:c>
      <x:c r="D178" s="62" t="n">
        <x:v>132</x:v>
      </x:c>
      <x:c r="E178" s="43" t="n">
        <x:v>0.1934477379095164</x:v>
      </x:c>
      <x:c r="F178" s="43" t="n">
        <x:v>0.0187207488299532</x:v>
      </x:c>
      <x:c r="G178" s="65" t="n">
        <x:v>2290</x:v>
      </x:c>
      <x:c r="H178" s="65" t="n">
        <x:v>24</x:v>
      </x:c>
      <x:c r="I178" s="65" t="n">
        <x:v>0.010480349344978166</x:v>
      </x:c>
      <x:c r="J178" s="34" t="str">
        <x:v>high</x:v>
      </x:c>
      <x:c r="K178" s="71" t="n">
        <x:v>30.008984</x:v>
      </x:c>
      <x:c r="L178" s="71" t="n">
        <x:v>-95.2300838</x:v>
      </x:c>
      <x:c r="M178" s="71" t="n">
        <x:v>6.773</x:v>
      </x:c>
      <x:c r="N178" s="71" t="n">
        <x:v>0.2751679805113313</x:v>
      </x:c>
      <x:c r="O178" s="71" t="n">
        <x:v>14.071248657587397</x:v>
      </x:c>
      <x:c r="P178" s="71" t="n">
        <x:v>1</x:v>
      </x:c>
      <x:c r="Q178" s="71" t="n">
        <x:v>1242.0224353285025</x:v>
      </x:c>
      <x:c r="R178" s="34" t="str">
        <x:v>tract internal point; no person, address, building, parcel, or route condition</x:v>
      </x:c>
    </x:row>
    <x:row r="179" ht="86.4000015258789" hidden="0" customHeight="1">
      <x:c r="A179" s="36" t="str">
        <x:v>48201250702</x:v>
      </x:c>
      <x:c r="B179" s="63" t="n">
        <x:v>4093</x:v>
      </x:c>
      <x:c r="C179" s="63" t="n">
        <x:v>415</x:v>
      </x:c>
      <x:c r="D179" s="63" t="n">
        <x:v>58</x:v>
      </x:c>
      <x:c r="E179" s="45" t="n">
        <x:v>0.10139262154898607</x:v>
      </x:c>
      <x:c r="F179" s="45" t="n">
        <x:v>0.014170535059858295</x:v>
      </x:c>
      <x:c r="G179" s="66" t="n">
        <x:v>1683</x:v>
      </x:c>
      <x:c r="H179" s="66" t="n">
        <x:v>20</x:v>
      </x:c>
      <x:c r="I179" s="66" t="n">
        <x:v>0.011883541295306001</x:v>
      </x:c>
      <x:c r="J179" s="36" t="str">
        <x:v>low</x:v>
      </x:c>
      <x:c r="K179" s="72" t="n">
        <x:v>30.0032624</x:v>
      </x:c>
      <x:c r="L179" s="72" t="n">
        <x:v>-95.1784012</x:v>
      </x:c>
      <x:c r="M179" s="72" t="n">
        <x:v>1.172</x:v>
      </x:c>
      <x:c r="N179" s="72" t="n">
        <x:v>0.016516765077464534</x:v>
      </x:c>
      <x:c r="O179" s="72" t="n">
        <x:v>10.456412523875699</x:v>
      </x:c>
      <x:c r="P179" s="72" t="n">
        <x:v>1</x:v>
      </x:c>
      <x:c r="Q179" s="72" t="n">
        <x:v>328.6695733013567</x:v>
      </x:c>
      <x:c r="R179" s="36" t="str">
        <x:v>tract internal point; no person, address, building, parcel, or route condition</x:v>
      </x:c>
    </x:row>
    <x:row r="180" ht="86.4000015258789" hidden="0" customHeight="1">
      <x:c r="A180" s="34" t="str">
        <x:v>48201250801</x:v>
      </x:c>
      <x:c r="B180" s="62" t="n">
        <x:v>3576</x:v>
      </x:c>
      <x:c r="C180" s="62" t="n">
        <x:v>403</x:v>
      </x:c>
      <x:c r="D180" s="62" t="n">
        <x:v>12</x:v>
      </x:c>
      <x:c r="E180" s="43" t="n">
        <x:v>0.11269574944071588</x:v>
      </x:c>
      <x:c r="F180" s="43" t="n">
        <x:v>0.003355704697986577</x:v>
      </x:c>
      <x:c r="G180" s="65" t="n">
        <x:v>1419</x:v>
      </x:c>
      <x:c r="H180" s="65" t="n">
        <x:v>22</x:v>
      </x:c>
      <x:c r="I180" s="65" t="n">
        <x:v>0.015503875968992248</x:v>
      </x:c>
      <x:c r="J180" s="34" t="str">
        <x:v>low</x:v>
      </x:c>
      <x:c r="K180" s="71" t="n">
        <x:v>30.0140464</x:v>
      </x:c>
      <x:c r="L180" s="71" t="n">
        <x:v>-95.1517558</x:v>
      </x:c>
      <x:c r="M180" s="71" t="n">
        <x:v>1.17</x:v>
      </x:c>
      <x:c r="N180" s="71" t="n">
        <x:v>0.06721387922171805</x:v>
      </x:c>
      <x:c r="O180" s="71" t="n">
        <x:v>16.2912600953681</x:v>
      </x:c>
      <x:c r="P180" s="71" t="n">
        <x:v>1</x:v>
      </x:c>
      <x:c r="Q180" s="71" t="n">
        <x:v>287.4856677080929</x:v>
      </x:c>
      <x:c r="R180" s="34" t="str">
        <x:v>tract internal point; no person, address, building, parcel, or route condition</x:v>
      </x:c>
    </x:row>
    <x:row r="181" ht="86.4000015258789" hidden="0" customHeight="1">
      <x:c r="A181" s="36" t="str">
        <x:v>48201250802</x:v>
      </x:c>
      <x:c r="B181" s="63" t="n">
        <x:v>4597</x:v>
      </x:c>
      <x:c r="C181" s="63" t="n">
        <x:v>492</x:v>
      </x:c>
      <x:c r="D181" s="63" t="n">
        <x:v>292</x:v>
      </x:c>
      <x:c r="E181" s="45" t="n">
        <x:v>0.1070263215140309</x:v>
      </x:c>
      <x:c r="F181" s="45" t="n">
        <x:v>0.06351968675222971</x:v>
      </x:c>
      <x:c r="G181" s="66" t="n">
        <x:v>1599</x:v>
      </x:c>
      <x:c r="H181" s="66" t="n">
        <x:v>121</x:v>
      </x:c>
      <x:c r="I181" s="66" t="n">
        <x:v>0.07567229518449031</x:v>
      </x:c>
      <x:c r="J181" s="36" t="str">
        <x:v>moderate</x:v>
      </x:c>
      <x:c r="K181" s="72" t="n">
        <x:v>30.0225516</x:v>
      </x:c>
      <x:c r="L181" s="72" t="n">
        <x:v>-95.1622602</x:v>
      </x:c>
      <x:c r="M181" s="72" t="n">
        <x:v>1.486</x:v>
      </x:c>
      <x:c r="N181" s="72" t="n">
        <x:v>0.06179085765668746</x:v>
      </x:c>
      <x:c r="O181" s="72" t="n">
        <x:v>14.357228544872125</x:v>
      </x:c>
      <x:c r="P181" s="72" t="n">
        <x:v>1</x:v>
      </x:c>
      <x:c r="Q181" s="72" t="n">
        <x:v>656.9703535549756</x:v>
      </x:c>
      <x:c r="R181" s="36" t="str">
        <x:v>tract internal point; no person, address, building, parcel, or route condition</x:v>
      </x:c>
    </x:row>
    <x:row r="182" ht="86.4000015258789" hidden="0" customHeight="1">
      <x:c r="A182" s="34" t="str">
        <x:v>48201250901</x:v>
      </x:c>
      <x:c r="B182" s="62" t="n">
        <x:v>4067</x:v>
      </x:c>
      <x:c r="C182" s="62" t="n">
        <x:v>395</x:v>
      </x:c>
      <x:c r="D182" s="62" t="n">
        <x:v>97</x:v>
      </x:c>
      <x:c r="E182" s="43" t="n">
        <x:v>0.0971231866240472</x:v>
      </x:c>
      <x:c r="F182" s="43" t="n">
        <x:v>0.023850504057044506</x:v>
      </x:c>
      <x:c r="G182" s="65" t="n">
        <x:v>1908</x:v>
      </x:c>
      <x:c r="H182" s="65" t="n">
        <x:v>730</x:v>
      </x:c>
      <x:c r="I182" s="65" t="n">
        <x:v>0.38259958071278827</x:v>
      </x:c>
      <x:c r="J182" s="34" t="str">
        <x:v>high</x:v>
      </x:c>
      <x:c r="K182" s="71" t="n">
        <x:v>30.0439916</x:v>
      </x:c>
      <x:c r="L182" s="71" t="n">
        <x:v>-95.1642092</x:v>
      </x:c>
      <x:c r="M182" s="71" t="n">
        <x:v>1.319</x:v>
      </x:c>
      <x:c r="N182" s="71" t="n">
        <x:v>0.22732374992097965</x:v>
      </x:c>
      <x:c r="O182" s="71" t="n">
        <x:v>22.170963761758024</x:v>
      </x:c>
      <x:c r="P182" s="71" t="n">
        <x:v>1</x:v>
      </x:c>
      <x:c r="Q182" s="71" t="n">
        <x:v>703.4854347137327</x:v>
      </x:c>
      <x:c r="R182" s="34" t="str">
        <x:v>tract internal point; no person, address, building, parcel, or route condition</x:v>
      </x:c>
    </x:row>
    <x:row r="183" ht="86.4000015258789" hidden="0" customHeight="1">
      <x:c r="A183" s="36" t="str">
        <x:v>48201250902</x:v>
      </x:c>
      <x:c r="B183" s="63" t="n">
        <x:v>5704</x:v>
      </x:c>
      <x:c r="C183" s="63" t="n">
        <x:v>192</x:v>
      </x:c>
      <x:c r="D183" s="63" t="n">
        <x:v>0</x:v>
      </x:c>
      <x:c r="E183" s="45" t="n">
        <x:v>0.033660589060308554</x:v>
      </x:c>
      <x:c r="F183" s="45" t="n">
        <x:v>0</x:v>
      </x:c>
      <x:c r="G183" s="66" t="n">
        <x:v>2105</x:v>
      </x:c>
      <x:c r="H183" s="66" t="n">
        <x:v>0</x:v>
      </x:c>
      <x:c r="I183" s="66" t="n">
        <x:v>0</x:v>
      </x:c>
      <x:c r="J183" s="36" t="str">
        <x:v>low</x:v>
      </x:c>
      <x:c r="K183" s="72" t="n">
        <x:v>30.047138</x:v>
      </x:c>
      <x:c r="L183" s="72" t="n">
        <x:v>-95.1440815</x:v>
      </x:c>
      <x:c r="M183" s="72" t="n">
        <x:v>3.128</x:v>
      </x:c>
      <x:c r="N183" s="72" t="n">
        <x:v>0.03292577649796796</x:v>
      </x:c>
      <x:c r="O183" s="72" t="n">
        <x:v>26.39041457580268</x:v>
      </x:c>
      <x:c r="P183" s="72" t="n">
        <x:v>1</x:v>
      </x:c>
      <x:c r="Q183" s="72" t="n">
        <x:v>451.3253043487758</x:v>
      </x:c>
      <x:c r="R183" s="36" t="str">
        <x:v>tract internal point; no person, address, building, parcel, or route condition</x:v>
      </x:c>
    </x:row>
    <x:row r="184" ht="86.4000015258789" hidden="0" customHeight="1">
      <x:c r="A184" s="34" t="str">
        <x:v>48201251000</x:v>
      </x:c>
      <x:c r="B184" s="62" t="n">
        <x:v>3363</x:v>
      </x:c>
      <x:c r="C184" s="62" t="n">
        <x:v>485</x:v>
      </x:c>
      <x:c r="D184" s="62" t="n">
        <x:v>65.5</x:v>
      </x:c>
      <x:c r="E184" s="43" t="n">
        <x:v>0.14421647338685697</x:v>
      </x:c>
      <x:c r="F184" s="43" t="n">
        <x:v>0.019476657746060066</x:v>
      </x:c>
      <x:c r="G184" s="65" t="n">
        <x:v>1644</x:v>
      </x:c>
      <x:c r="H184" s="65" t="n">
        <x:v>367</x:v>
      </x:c>
      <x:c r="I184" s="65" t="n">
        <x:v>0.2232360097323601</x:v>
      </x:c>
      <x:c r="J184" s="34" t="str">
        <x:v>high</x:v>
      </x:c>
      <x:c r="K184" s="71" t="n">
        <x:v>30.0346082</x:v>
      </x:c>
      <x:c r="L184" s="71" t="n">
        <x:v>-95.1886074</x:v>
      </x:c>
      <x:c r="M184" s="71" t="n">
        <x:v>2.989</x:v>
      </x:c>
      <x:c r="N184" s="71" t="n">
        <x:v>0.5215023021736125</x:v>
      </x:c>
      <x:c r="O184" s="71" t="n">
        <x:v>18.03694467836215</x:v>
      </x:c>
      <x:c r="P184" s="71" t="n">
        <x:v>1</x:v>
      </x:c>
      <x:c r="Q184" s="71" t="n">
        <x:v>586.8247067177349</x:v>
      </x:c>
      <x:c r="R184" s="34" t="str">
        <x:v>tract internal point; no person, address, building, parcel, or route condition</x:v>
      </x:c>
    </x:row>
    <x:row r="185" ht="86.4000015258789" hidden="0" customHeight="1">
      <x:c r="A185" s="36" t="str">
        <x:v>48201251100</x:v>
      </x:c>
      <x:c r="B185" s="63" t="n">
        <x:v>7416</x:v>
      </x:c>
      <x:c r="C185" s="63" t="n">
        <x:v>653</x:v>
      </x:c>
      <x:c r="D185" s="63" t="n">
        <x:v>167</x:v>
      </x:c>
      <x:c r="E185" s="45" t="n">
        <x:v>0.08805285868392665</x:v>
      </x:c>
      <x:c r="F185" s="45" t="n">
        <x:v>0.02251887810140237</x:v>
      </x:c>
      <x:c r="G185" s="66" t="n">
        <x:v>2703</x:v>
      </x:c>
      <x:c r="H185" s="66" t="n">
        <x:v>146</x:v>
      </x:c>
      <x:c r="I185" s="66" t="n">
        <x:v>0.05401405845357011</x:v>
      </x:c>
      <x:c r="J185" s="36" t="str">
        <x:v>low</x:v>
      </x:c>
      <x:c r="K185" s="72" t="n">
        <x:v>30.0354861</x:v>
      </x:c>
      <x:c r="L185" s="72" t="n">
        <x:v>-95.236521</x:v>
      </x:c>
      <x:c r="M185" s="72" t="n">
        <x:v>4.05</x:v>
      </x:c>
      <x:c r="N185" s="72" t="n">
        <x:v>0.2507648980211069</x:v>
      </x:c>
      <x:c r="O185" s="72" t="n">
        <x:v>23.892890743460182</x:v>
      </x:c>
      <x:c r="P185" s="72" t="n">
        <x:v>1</x:v>
      </x:c>
      <x:c r="Q185" s="72" t="n">
        <x:v>594.439376285368</x:v>
      </x:c>
      <x:c r="R185" s="36" t="str">
        <x:v>tract internal point; no person, address, building, parcel, or route condition</x:v>
      </x:c>
    </x:row>
    <x:row r="186" ht="86.4000015258789" hidden="0" customHeight="1">
      <x:c r="A186" s="34" t="str">
        <x:v>48201251200</x:v>
      </x:c>
      <x:c r="B186" s="62" t="n">
        <x:v>6260</x:v>
      </x:c>
      <x:c r="C186" s="62" t="n">
        <x:v>1140</x:v>
      </x:c>
      <x:c r="D186" s="62" t="n">
        <x:v>368</x:v>
      </x:c>
      <x:c r="E186" s="43" t="n">
        <x:v>0.18210862619808307</x:v>
      </x:c>
      <x:c r="F186" s="43" t="n">
        <x:v>0.05878594249201278</x:v>
      </x:c>
      <x:c r="G186" s="65" t="n">
        <x:v>2413</x:v>
      </x:c>
      <x:c r="H186" s="65" t="n">
        <x:v>209</x:v>
      </x:c>
      <x:c r="I186" s="65" t="n">
        <x:v>0.08661417322834646</x:v>
      </x:c>
      <x:c r="J186" s="34" t="str">
        <x:v>low</x:v>
      </x:c>
      <x:c r="K186" s="71" t="n">
        <x:v>30.0577974</x:v>
      </x:c>
      <x:c r="L186" s="71" t="n">
        <x:v>-95.223459</x:v>
      </x:c>
      <x:c r="M186" s="71" t="n">
        <x:v>1.337</x:v>
      </x:c>
      <x:c r="N186" s="71" t="n">
        <x:v>0.03273699419885209</x:v>
      </x:c>
      <x:c r="O186" s="71" t="n">
        <x:v>26.2729129619772</x:v>
      </x:c>
      <x:c r="P186" s="71" t="n">
        <x:v>1</x:v>
      </x:c>
      <x:c r="Q186" s="71" t="n">
        <x:v>512.8182198758172</x:v>
      </x:c>
      <x:c r="R186" s="34" t="str">
        <x:v>tract internal point; no person, address, building, parcel, or route condition</x:v>
      </x:c>
    </x:row>
    <x:row r="187" ht="86.4000015258789" hidden="0" customHeight="1">
      <x:c r="A187" s="36" t="str">
        <x:v>48201251300</x:v>
      </x:c>
      <x:c r="B187" s="63" t="n">
        <x:v>7242</x:v>
      </x:c>
      <x:c r="C187" s="63" t="n">
        <x:v>742</x:v>
      </x:c>
      <x:c r="D187" s="63" t="n">
        <x:v>55</x:v>
      </x:c>
      <x:c r="E187" s="45" t="n">
        <x:v>0.10245788456227561</x:v>
      </x:c>
      <x:c r="F187" s="45" t="n">
        <x:v>0.007594587130626899</x:v>
      </x:c>
      <x:c r="G187" s="66" t="n">
        <x:v>2505</x:v>
      </x:c>
      <x:c r="H187" s="66" t="n">
        <x:v>37</x:v>
      </x:c>
      <x:c r="I187" s="66" t="n">
        <x:v>0.014770459081836327</x:v>
      </x:c>
      <x:c r="J187" s="36" t="str">
        <x:v>high</x:v>
      </x:c>
      <x:c r="K187" s="72" t="n">
        <x:v>30.0542151</x:v>
      </x:c>
      <x:c r="L187" s="72" t="n">
        <x:v>-95.1976783</x:v>
      </x:c>
      <x:c r="M187" s="72" t="n">
        <x:v>2.523</x:v>
      </x:c>
      <x:c r="N187" s="72" t="n">
        <x:v>0.11584304021471518</x:v>
      </x:c>
      <x:c r="O187" s="72" t="n">
        <x:v>21.98258627747728</x:v>
      </x:c>
      <x:c r="P187" s="72" t="n">
        <x:v>1</x:v>
      </x:c>
      <x:c r="Q187" s="72" t="n">
        <x:v>1251.9931483502892</x:v>
      </x:c>
      <x:c r="R187" s="36" t="str">
        <x:v>tract internal point; no person, address, building, parcel, or route condition</x:v>
      </x:c>
    </x:row>
    <x:row r="188" ht="86.4000015258789" hidden="0" customHeight="1">
      <x:c r="A188" s="34" t="str">
        <x:v>48201251401</x:v>
      </x:c>
      <x:c r="B188" s="62" t="n">
        <x:v>2975</x:v>
      </x:c>
      <x:c r="C188" s="62" t="n">
        <x:v>276</x:v>
      </x:c>
      <x:c r="D188" s="62" t="n">
        <x:v>7</x:v>
      </x:c>
      <x:c r="E188" s="43" t="n">
        <x:v>0.09277310924369749</x:v>
      </x:c>
      <x:c r="F188" s="43" t="n">
        <x:v>0.002352941176470588</x:v>
      </x:c>
      <x:c r="G188" s="65" t="n">
        <x:v>899</x:v>
      </x:c>
      <x:c r="H188" s="65" t="n">
        <x:v>11</x:v>
      </x:c>
      <x:c r="I188" s="65" t="n">
        <x:v>0.012235817575083427</x:v>
      </x:c>
      <x:c r="J188" s="34" t="str">
        <x:v>moderate</x:v>
      </x:c>
      <x:c r="K188" s="71" t="n">
        <x:v>30.0808776</x:v>
      </x:c>
      <x:c r="L188" s="71" t="n">
        <x:v>-95.1912368</x:v>
      </x:c>
      <x:c r="M188" s="71" t="n">
        <x:v>0.464</x:v>
      </x:c>
      <x:c r="N188" s="71" t="n">
        <x:v>0.040003903582573656</x:v>
      </x:c>
      <x:c r="O188" s="71" t="n">
        <x:v>24.1204569731314</x:v>
      </x:c>
      <x:c r="P188" s="71" t="n">
        <x:v>1</x:v>
      </x:c>
      <x:c r="Q188" s="71" t="n">
        <x:v>421.4560903758574</x:v>
      </x:c>
      <x:c r="R188" s="34" t="str">
        <x:v>tract internal point; no person, address, building, parcel, or route condition</x:v>
      </x:c>
    </x:row>
    <x:row r="189" ht="86.4000015258789" hidden="0" customHeight="1">
      <x:c r="A189" s="36" t="str">
        <x:v>48201251402</x:v>
      </x:c>
      <x:c r="B189" s="63" t="n">
        <x:v>6730</x:v>
      </x:c>
      <x:c r="C189" s="63" t="n">
        <x:v>1037</x:v>
      </x:c>
      <x:c r="D189" s="63" t="n">
        <x:v>44</x:v>
      </x:c>
      <x:c r="E189" s="45" t="n">
        <x:v>0.15408618127786033</x:v>
      </x:c>
      <x:c r="F189" s="45" t="n">
        <x:v>0.006537890044576523</x:v>
      </x:c>
      <x:c r="G189" s="66" t="n">
        <x:v>2776</x:v>
      </x:c>
      <x:c r="H189" s="66" t="n">
        <x:v>193</x:v>
      </x:c>
      <x:c r="I189" s="66" t="n">
        <x:v>0.06952449567723343</x:v>
      </x:c>
      <x:c r="J189" s="36" t="str">
        <x:v>low</x:v>
      </x:c>
      <x:c r="K189" s="72" t="n">
        <x:v>30.0743768</x:v>
      </x:c>
      <x:c r="L189" s="72" t="n">
        <x:v>-95.2031065</x:v>
      </x:c>
      <x:c r="M189" s="72" t="n">
        <x:v>1.031</x:v>
      </x:c>
      <x:c r="N189" s="72" t="n">
        <x:v>0.023306069583382966</x:v>
      </x:c>
      <x:c r="O189" s="72" t="n">
        <x:v>24.64199843321021</x:v>
      </x:c>
      <x:c r="P189" s="72" t="n">
        <x:v>1</x:v>
      </x:c>
      <x:c r="Q189" s="72" t="n">
        <x:v>545.5924348231284</x:v>
      </x:c>
      <x:c r="R189" s="36" t="str">
        <x:v>tract internal point; no person, address, building, parcel, or route condition</x:v>
      </x:c>
    </x:row>
    <x:row r="190" ht="86.4000015258789" hidden="0" customHeight="1">
      <x:c r="A190" s="34" t="str">
        <x:v>48201251501</x:v>
      </x:c>
      <x:c r="B190" s="62" t="n">
        <x:v>6877</x:v>
      </x:c>
      <x:c r="C190" s="62" t="n">
        <x:v>424</x:v>
      </x:c>
      <x:c r="D190" s="62" t="n">
        <x:v>122</x:v>
      </x:c>
      <x:c r="E190" s="43" t="n">
        <x:v>0.06165479133343028</x:v>
      </x:c>
      <x:c r="F190" s="43" t="n">
        <x:v>0.017740293732732296</x:v>
      </x:c>
      <x:c r="G190" s="65" t="n">
        <x:v>2186</x:v>
      </x:c>
      <x:c r="H190" s="65" t="n">
        <x:v>0</x:v>
      </x:c>
      <x:c r="I190" s="65" t="n">
        <x:v>0</x:v>
      </x:c>
      <x:c r="J190" s="34" t="str">
        <x:v>high</x:v>
      </x:c>
      <x:c r="K190" s="71" t="n">
        <x:v>30.0980671</x:v>
      </x:c>
      <x:c r="L190" s="71" t="n">
        <x:v>-95.1595942</x:v>
      </x:c>
      <x:c r="M190" s="71" t="n">
        <x:v>6.914</x:v>
      </x:c>
      <x:c r="N190" s="71" t="n">
        <x:v>0.9636043851106577</x:v>
      </x:c>
      <x:c r="O190" s="71"/>
      <x:c r="P190" s="71" t="n">
        <x:v>-1</x:v>
      </x:c>
      <x:c r="Q190" s="71" t="n">
        <x:v>1180.5730494726695</x:v>
      </x:c>
      <x:c r="R190" s="34" t="str">
        <x:v>tract internal point; no person, address, building, parcel, or route condition</x:v>
      </x:c>
    </x:row>
    <x:row r="191" ht="86.4000015258789" hidden="0" customHeight="1">
      <x:c r="A191" s="36" t="str">
        <x:v>48201251503</x:v>
      </x:c>
      <x:c r="B191" s="63" t="n">
        <x:v>2767</x:v>
      </x:c>
      <x:c r="C191" s="63" t="n">
        <x:v>276</x:v>
      </x:c>
      <x:c r="D191" s="63" t="n">
        <x:v>33</x:v>
      </x:c>
      <x:c r="E191" s="45" t="n">
        <x:v>0.09974701843151428</x:v>
      </x:c>
      <x:c r="F191" s="45" t="n">
        <x:v>0.011926273942898446</x:v>
      </x:c>
      <x:c r="G191" s="66" t="n">
        <x:v>890</x:v>
      </x:c>
      <x:c r="H191" s="66" t="n">
        <x:v>0</x:v>
      </x:c>
      <x:c r="I191" s="66" t="n">
        <x:v>0</x:v>
      </x:c>
      <x:c r="J191" s="36" t="str">
        <x:v>low</x:v>
      </x:c>
      <x:c r="K191" s="72" t="n">
        <x:v>30.0726664</x:v>
      </x:c>
      <x:c r="L191" s="72" t="n">
        <x:v>-95.1832132</x:v>
      </x:c>
      <x:c r="M191" s="72" t="n">
        <x:v>0.357</x:v>
      </x:c>
      <x:c r="N191" s="72" t="n">
        <x:v>0.057464521263195484</x:v>
      </x:c>
      <x:c r="O191" s="72" t="n">
        <x:v>23.777099736410662</x:v>
      </x:c>
      <x:c r="P191" s="72" t="n">
        <x:v>1</x:v>
      </x:c>
      <x:c r="Q191" s="72" t="n">
        <x:v>222.0708497209296</x:v>
      </x:c>
      <x:c r="R191" s="36" t="str">
        <x:v>tract internal point; no person, address, building, parcel, or route condition</x:v>
      </x:c>
    </x:row>
    <x:row r="192" ht="86.4000015258789" hidden="0" customHeight="1">
      <x:c r="A192" s="34" t="str">
        <x:v>48201251504</x:v>
      </x:c>
      <x:c r="B192" s="62" t="n">
        <x:v>5612</x:v>
      </x:c>
      <x:c r="C192" s="62" t="n">
        <x:v>412</x:v>
      </x:c>
      <x:c r="D192" s="62" t="n">
        <x:v>16</x:v>
      </x:c>
      <x:c r="E192" s="43" t="n">
        <x:v>0.07341411261582323</x:v>
      </x:c>
      <x:c r="F192" s="43" t="n">
        <x:v>0.002851033499643621</x:v>
      </x:c>
      <x:c r="G192" s="65" t="n">
        <x:v>1846</x:v>
      </x:c>
      <x:c r="H192" s="65" t="n">
        <x:v>9</x:v>
      </x:c>
      <x:c r="I192" s="65" t="n">
        <x:v>0.004875406283856988</x:v>
      </x:c>
      <x:c r="J192" s="34" t="str">
        <x:v>low</x:v>
      </x:c>
      <x:c r="K192" s="71" t="n">
        <x:v>30.0658735</x:v>
      </x:c>
      <x:c r="L192" s="71" t="n">
        <x:v>-95.1752915</x:v>
      </x:c>
      <x:c r="M192" s="71" t="n">
        <x:v>1.1</x:v>
      </x:c>
      <x:c r="N192" s="71" t="n">
        <x:v>0.04171176367585876</x:v>
      </x:c>
      <x:c r="O192" s="71" t="n">
        <x:v>22.454279089095806</x:v>
      </x:c>
      <x:c r="P192" s="71" t="n">
        <x:v>1</x:v>
      </x:c>
      <x:c r="Q192" s="71" t="n">
        <x:v>447.67848522754025</x:v>
      </x:c>
      <x:c r="R192" s="34" t="str">
        <x:v>tract internal point; no person, address, building, parcel, or route condition</x:v>
      </x:c>
    </x:row>
    <x:row r="193" ht="86.4000015258789" hidden="0" customHeight="1">
      <x:c r="A193" s="36" t="str">
        <x:v>48201251505</x:v>
      </x:c>
      <x:c r="B193" s="63" t="n">
        <x:v>3839</x:v>
      </x:c>
      <x:c r="C193" s="63" t="n">
        <x:v>457</x:v>
      </x:c>
      <x:c r="D193" s="63" t="n">
        <x:v>36</x:v>
      </x:c>
      <x:c r="E193" s="45" t="n">
        <x:v>0.11904141703568638</x:v>
      </x:c>
      <x:c r="F193" s="45" t="n">
        <x:v>0.00937744204219849</x:v>
      </x:c>
      <x:c r="G193" s="66" t="n">
        <x:v>1496</x:v>
      </x:c>
      <x:c r="H193" s="66" t="n">
        <x:v>0</x:v>
      </x:c>
      <x:c r="I193" s="66" t="n">
        <x:v>0</x:v>
      </x:c>
      <x:c r="J193" s="36" t="str">
        <x:v>low</x:v>
      </x:c>
      <x:c r="K193" s="72" t="n">
        <x:v>30.0563112</x:v>
      </x:c>
      <x:c r="L193" s="72" t="n">
        <x:v>-95.1716075</x:v>
      </x:c>
      <x:c r="M193" s="72" t="n">
        <x:v>1.003</x:v>
      </x:c>
      <x:c r="N193" s="72" t="n">
        <x:v>0.07492453773562566</x:v>
      </x:c>
      <x:c r="O193" s="72" t="n">
        <x:v>21.594804757204436</x:v>
      </x:c>
      <x:c r="P193" s="72" t="n">
        <x:v>1</x:v>
      </x:c>
      <x:c r="Q193" s="72" t="n">
        <x:v>309.19367290820634</x:v>
      </x:c>
      <x:c r="R193" s="36" t="str">
        <x:v>tract internal point; no person, address, building, parcel, or route condition</x:v>
      </x:c>
    </x:row>
    <x:row r="194" ht="86.4000015258789" hidden="0" customHeight="1">
      <x:c r="A194" s="34" t="str">
        <x:v>48201251600</x:v>
      </x:c>
      <x:c r="B194" s="62" t="n">
        <x:v>7420</x:v>
      </x:c>
      <x:c r="C194" s="62" t="n">
        <x:v>1380</x:v>
      </x:c>
      <x:c r="D194" s="62" t="n">
        <x:v>32</x:v>
      </x:c>
      <x:c r="E194" s="43" t="n">
        <x:v>0.18598382749326145</x:v>
      </x:c>
      <x:c r="F194" s="43" t="n">
        <x:v>0.00431266846361186</x:v>
      </x:c>
      <x:c r="G194" s="65" t="n">
        <x:v>2709</x:v>
      </x:c>
      <x:c r="H194" s="65" t="n">
        <x:v>0</x:v>
      </x:c>
      <x:c r="I194" s="65" t="n">
        <x:v>0</x:v>
      </x:c>
      <x:c r="J194" s="34" t="str">
        <x:v>low</x:v>
      </x:c>
      <x:c r="K194" s="71" t="n">
        <x:v>30.1007294</x:v>
      </x:c>
      <x:c r="L194" s="71" t="n">
        <x:v>-95.112658</x:v>
      </x:c>
      <x:c r="M194" s="71" t="n">
        <x:v>22.385</x:v>
      </x:c>
      <x:c r="N194" s="71" t="n">
        <x:v>0.027056911384518476</x:v>
      </x:c>
      <x:c r="O194" s="71" t="n">
        <x:v>37.108075681074</x:v>
      </x:c>
      <x:c r="P194" s="71" t="n">
        <x:v>1</x:v>
      </x:c>
      <x:c r="Q194" s="71" t="n">
        <x:v>605.1204693581246</x:v>
      </x:c>
      <x:c r="R194" s="34" t="str">
        <x:v>tract internal point; no person, address, building, parcel, or route condition</x:v>
      </x:c>
    </x:row>
    <x:row r="195" ht="86.4000015258789" hidden="0" customHeight="1">
      <x:c r="A195" s="36" t="str">
        <x:v>48201251701</x:v>
      </x:c>
      <x:c r="B195" s="63" t="n">
        <x:v>4631</x:v>
      </x:c>
      <x:c r="C195" s="63" t="n">
        <x:v>817</x:v>
      </x:c>
      <x:c r="D195" s="63" t="n">
        <x:v>327</x:v>
      </x:c>
      <x:c r="E195" s="45" t="n">
        <x:v>0.17641977974519543</x:v>
      </x:c>
      <x:c r="F195" s="45" t="n">
        <x:v>0.07061109911466205</x:v>
      </x:c>
      <x:c r="G195" s="66" t="n">
        <x:v>1704</x:v>
      </x:c>
      <x:c r="H195" s="66" t="n">
        <x:v>45</x:v>
      </x:c>
      <x:c r="I195" s="66" t="n">
        <x:v>0.02640845070422535</x:v>
      </x:c>
      <x:c r="J195" s="36" t="str">
        <x:v>low</x:v>
      </x:c>
      <x:c r="K195" s="72" t="n">
        <x:v>30.036491</x:v>
      </x:c>
      <x:c r="L195" s="72" t="n">
        <x:v>-95.103554</x:v>
      </x:c>
      <x:c r="M195" s="72" t="n">
        <x:v>3.908</x:v>
      </x:c>
      <x:c r="N195" s="72" t="n">
        <x:v>0.4281190656606753</x:v>
      </x:c>
      <x:c r="O195" s="72" t="n">
        <x:v>29.3681037096077</x:v>
      </x:c>
      <x:c r="P195" s="72" t="n">
        <x:v>1</x:v>
      </x:c>
      <x:c r="Q195" s="72" t="n">
        <x:v>379.38708146802304</x:v>
      </x:c>
      <x:c r="R195" s="36" t="str">
        <x:v>tract internal point; no person, address, building, parcel, or route condition</x:v>
      </x:c>
    </x:row>
    <x:row r="196" ht="86.4000015258789" hidden="0" customHeight="1">
      <x:c r="A196" s="34" t="str">
        <x:v>48201251702</x:v>
      </x:c>
      <x:c r="B196" s="62" t="n">
        <x:v>3949</x:v>
      </x:c>
      <x:c r="C196" s="62" t="n">
        <x:v>639</x:v>
      </x:c>
      <x:c r="D196" s="62" t="n">
        <x:v>47</x:v>
      </x:c>
      <x:c r="E196" s="43" t="n">
        <x:v>0.16181311724487213</x:v>
      </x:c>
      <x:c r="F196" s="43" t="n">
        <x:v>0.011901747277791846</x:v>
      </x:c>
      <x:c r="G196" s="65" t="n">
        <x:v>1502</x:v>
      </x:c>
      <x:c r="H196" s="65" t="n">
        <x:v>40</x:v>
      </x:c>
      <x:c r="I196" s="65" t="n">
        <x:v>0.02663115845539281</x:v>
      </x:c>
      <x:c r="J196" s="34" t="str">
        <x:v>low</x:v>
      </x:c>
      <x:c r="K196" s="71" t="n">
        <x:v>30.0157224</x:v>
      </x:c>
      <x:c r="L196" s="71" t="n">
        <x:v>-95.0839049</x:v>
      </x:c>
      <x:c r="M196" s="71" t="n">
        <x:v>23.677</x:v>
      </x:c>
      <x:c r="N196" s="71" t="n">
        <x:v>0.03719352453823108</x:v>
      </x:c>
      <x:c r="O196" s="71" t="n">
        <x:v>24.839155630906387</x:v>
      </x:c>
      <x:c r="P196" s="71" t="n">
        <x:v>1</x:v>
      </x:c>
      <x:c r="Q196" s="71" t="n">
        <x:v>320.786470761272</x:v>
      </x:c>
      <x:c r="R196" s="34" t="str">
        <x:v>tract internal point; no person, address, building, parcel, or route condition</x:v>
      </x:c>
    </x:row>
    <x:row r="197" ht="86.4000015258789" hidden="0" customHeight="1">
      <x:c r="A197" s="36" t="str">
        <x:v>48201251800</x:v>
      </x:c>
      <x:c r="B197" s="63" t="n">
        <x:v>1813</x:v>
      </x:c>
      <x:c r="C197" s="63" t="n">
        <x:v>217</x:v>
      </x:c>
      <x:c r="D197" s="63" t="n">
        <x:v>64</x:v>
      </x:c>
      <x:c r="E197" s="45" t="n">
        <x:v>0.11969111969111969</x:v>
      </x:c>
      <x:c r="F197" s="45" t="n">
        <x:v>0.03530060672917816</x:v>
      </x:c>
      <x:c r="G197" s="66" t="n">
        <x:v>766</x:v>
      </x:c>
      <x:c r="H197" s="66" t="n">
        <x:v>0</x:v>
      </x:c>
      <x:c r="I197" s="66" t="n">
        <x:v>0</x:v>
      </x:c>
      <x:c r="J197" s="36" t="str">
        <x:v>moderate</x:v>
      </x:c>
      <x:c r="K197" s="72" t="n">
        <x:v>29.9733747</x:v>
      </x:c>
      <x:c r="L197" s="72" t="n">
        <x:v>-95.0333022</x:v>
      </x:c>
      <x:c r="M197" s="72" t="n">
        <x:v>13.977</x:v>
      </x:c>
      <x:c r="N197" s="72" t="n">
        <x:v>1.1264888991849902</x:v>
      </x:c>
      <x:c r="O197" s="72" t="n">
        <x:v>37.23208838906083</x:v>
      </x:c>
      <x:c r="P197" s="72" t="n">
        <x:v>1</x:v>
      </x:c>
      <x:c r="Q197" s="72" t="n">
        <x:v>259.0281451556129</x:v>
      </x:c>
      <x:c r="R197" s="36" t="str">
        <x:v>tract internal point; no person, address, building, parcel, or route condition</x:v>
      </x:c>
    </x:row>
    <x:row r="198" ht="86.4000015258789" hidden="0" customHeight="1">
      <x:c r="A198" s="34" t="str">
        <x:v>48201251902</x:v>
      </x:c>
      <x:c r="B198" s="62" t="n">
        <x:v>7899</x:v>
      </x:c>
      <x:c r="C198" s="62" t="n">
        <x:v>661</x:v>
      </x:c>
      <x:c r="D198" s="62" t="n">
        <x:v>71</x:v>
      </x:c>
      <x:c r="E198" s="43" t="n">
        <x:v>0.08368147866818584</x:v>
      </x:c>
      <x:c r="F198" s="43" t="n">
        <x:v>0.008988479554373971</x:v>
      </x:c>
      <x:c r="G198" s="65" t="n">
        <x:v>2707</x:v>
      </x:c>
      <x:c r="H198" s="65" t="n">
        <x:v>5</x:v>
      </x:c>
      <x:c r="I198" s="65" t="n">
        <x:v>0.001847063169560399</x:v>
      </x:c>
      <x:c r="J198" s="34" t="str">
        <x:v>low</x:v>
      </x:c>
      <x:c r="K198" s="71" t="n">
        <x:v>29.9082834</x:v>
      </x:c>
      <x:c r="L198" s="71" t="n">
        <x:v>-95.0972575</x:v>
      </x:c>
      <x:c r="M198" s="71" t="n">
        <x:v>6.367</x:v>
      </x:c>
      <x:c r="N198" s="71" t="n">
        <x:v>0.20763829672621878</x:v>
      </x:c>
      <x:c r="O198" s="71" t="n">
        <x:v>32.56184475314101</x:v>
      </x:c>
      <x:c r="P198" s="71" t="n">
        <x:v>1</x:v>
      </x:c>
      <x:c r="Q198" s="71" t="n">
        <x:v>631.7721151342237</x:v>
      </x:c>
      <x:c r="R198" s="34" t="str">
        <x:v>tract internal point; no person, address, building, parcel, or route condition</x:v>
      </x:c>
    </x:row>
    <x:row r="199" ht="86.4000015258789" hidden="0" customHeight="1">
      <x:c r="A199" s="36" t="str">
        <x:v>48201251903</x:v>
      </x:c>
      <x:c r="B199" s="63" t="n">
        <x:v>4395</x:v>
      </x:c>
      <x:c r="C199" s="63" t="n">
        <x:v>513</x:v>
      </x:c>
      <x:c r="D199" s="63" t="n">
        <x:v>16</x:v>
      </x:c>
      <x:c r="E199" s="45" t="n">
        <x:v>0.1167235494880546</x:v>
      </x:c>
      <x:c r="F199" s="45" t="n">
        <x:v>0.0036405005688282138</x:v>
      </x:c>
      <x:c r="G199" s="66" t="n">
        <x:v>1939</x:v>
      </x:c>
      <x:c r="H199" s="66" t="n">
        <x:v>0</x:v>
      </x:c>
      <x:c r="I199" s="66" t="n">
        <x:v>0</x:v>
      </x:c>
      <x:c r="J199" s="36" t="str">
        <x:v>low</x:v>
      </x:c>
      <x:c r="K199" s="72" t="n">
        <x:v>29.958112</x:v>
      </x:c>
      <x:c r="L199" s="72" t="n">
        <x:v>-95.116828</x:v>
      </x:c>
      <x:c r="M199" s="72" t="n">
        <x:v>9.06</x:v>
      </x:c>
      <x:c r="N199" s="72" t="n">
        <x:v>0.6777082672761239</x:v>
      </x:c>
      <x:c r="O199" s="72" t="n">
        <x:v>40.578304989673214</x:v>
      </x:c>
      <x:c r="P199" s="72" t="n">
        <x:v>1</x:v>
      </x:c>
      <x:c r="Q199" s="72" t="n">
        <x:v>353.6157023763605</x:v>
      </x:c>
      <x:c r="R199" s="36" t="str">
        <x:v>tract internal point; no person, address, building, parcel, or route condition</x:v>
      </x:c>
    </x:row>
    <x:row r="200" ht="86.4000015258789" hidden="0" customHeight="1">
      <x:c r="A200" s="34" t="str">
        <x:v>48201251904</x:v>
      </x:c>
      <x:c r="B200" s="62" t="n">
        <x:v>7486</x:v>
      </x:c>
      <x:c r="C200" s="62" t="n">
        <x:v>645</x:v>
      </x:c>
      <x:c r="D200" s="62" t="n">
        <x:v>54</x:v>
      </x:c>
      <x:c r="E200" s="43" t="n">
        <x:v>0.08616083355597115</x:v>
      </x:c>
      <x:c r="F200" s="43" t="n">
        <x:v>0.007213465134918514</x:v>
      </x:c>
      <x:c r="G200" s="65" t="n">
        <x:v>2450</x:v>
      </x:c>
      <x:c r="H200" s="65" t="n">
        <x:v>42</x:v>
      </x:c>
      <x:c r="I200" s="65" t="n">
        <x:v>0.017142857142857144</x:v>
      </x:c>
      <x:c r="J200" s="34" t="str">
        <x:v>low</x:v>
      </x:c>
      <x:c r="K200" s="71" t="n">
        <x:v>29.9373826</x:v>
      </x:c>
      <x:c r="L200" s="71" t="n">
        <x:v>-95.1037491</x:v>
      </x:c>
      <x:c r="M200" s="71" t="n">
        <x:v>7.259</x:v>
      </x:c>
      <x:c r="N200" s="71" t="n">
        <x:v>0.6831643057883592</x:v>
      </x:c>
      <x:c r="O200" s="71" t="n">
        <x:v>39.8526231726659</x:v>
      </x:c>
      <x:c r="P200" s="71" t="n">
        <x:v>1</x:v>
      </x:c>
      <x:c r="Q200" s="71" t="n">
        <x:v>598.9271644711989</x:v>
      </x:c>
      <x:c r="R200" s="34" t="str">
        <x:v>tract internal point; no person, address, building, parcel, or route condition</x:v>
      </x:c>
    </x:row>
    <x:row r="201" ht="86.4000015258789" hidden="0" customHeight="1">
      <x:c r="A201" s="36" t="str">
        <x:v>48201252001</x:v>
      </x:c>
      <x:c r="B201" s="63" t="n">
        <x:v>7718</x:v>
      </x:c>
      <x:c r="C201" s="63" t="n">
        <x:v>481</x:v>
      </x:c>
      <x:c r="D201" s="63" t="n">
        <x:v>194</x:v>
      </x:c>
      <x:c r="E201" s="45" t="n">
        <x:v>0.0623218450375745</x:v>
      </x:c>
      <x:c r="F201" s="45" t="n">
        <x:v>0.025136045607670382</x:v>
      </x:c>
      <x:c r="G201" s="66" t="n">
        <x:v>3163</x:v>
      </x:c>
      <x:c r="H201" s="66" t="n">
        <x:v>545</x:v>
      </x:c>
      <x:c r="I201" s="66" t="n">
        <x:v>0.1723047739487828</x:v>
      </x:c>
      <x:c r="J201" s="36" t="str">
        <x:v>low</x:v>
      </x:c>
      <x:c r="K201" s="72" t="n">
        <x:v>29.9421567</x:v>
      </x:c>
      <x:c r="L201" s="72" t="n">
        <x:v>-95.1870929</x:v>
      </x:c>
      <x:c r="M201" s="72" t="n">
        <x:v>2.855</x:v>
      </x:c>
      <x:c r="N201" s="72" t="n">
        <x:v>0.014562409272610979</x:v>
      </x:c>
      <x:c r="O201" s="72" t="n">
        <x:v>3.6230886070771406</x:v>
      </x:c>
      <x:c r="P201" s="72" t="n">
        <x:v>1</x:v>
      </x:c>
      <x:c r="Q201" s="72" t="n">
        <x:v>615.6836695713587</x:v>
      </x:c>
      <x:c r="R201" s="36" t="str">
        <x:v>tract internal point; no person, address, building, parcel, or route condition</x:v>
      </x:c>
    </x:row>
    <x:row r="202" ht="86.4000015258789" hidden="0" customHeight="1">
      <x:c r="A202" s="34" t="str">
        <x:v>48201252002</x:v>
      </x:c>
      <x:c r="B202" s="62" t="n">
        <x:v>6630</x:v>
      </x:c>
      <x:c r="C202" s="62" t="n">
        <x:v>273</x:v>
      </x:c>
      <x:c r="D202" s="62" t="n">
        <x:v>28</x:v>
      </x:c>
      <x:c r="E202" s="43" t="n">
        <x:v>0.041176470588235294</x:v>
      </x:c>
      <x:c r="F202" s="43" t="n">
        <x:v>0.004223227752639517</x:v>
      </x:c>
      <x:c r="G202" s="65" t="n">
        <x:v>1820</x:v>
      </x:c>
      <x:c r="H202" s="65" t="n">
        <x:v>42</x:v>
      </x:c>
      <x:c r="I202" s="65" t="n">
        <x:v>0.023076923076923078</x:v>
      </x:c>
      <x:c r="J202" s="34" t="str">
        <x:v>low</x:v>
      </x:c>
      <x:c r="K202" s="71" t="n">
        <x:v>29.8906515</x:v>
      </x:c>
      <x:c r="L202" s="71" t="n">
        <x:v>-95.1693923</x:v>
      </x:c>
      <x:c r="M202" s="71" t="n">
        <x:v>9.488</x:v>
      </x:c>
      <x:c r="N202" s="71" t="n">
        <x:v>0.7407589304841158</x:v>
      </x:c>
      <x:c r="O202" s="71" t="n">
        <x:v>15.948067099509078</x:v>
      </x:c>
      <x:c r="P202" s="71" t="n">
        <x:v>1</x:v>
      </x:c>
      <x:c r="Q202" s="71" t="n">
        <x:v>525.5978058480781</x:v>
      </x:c>
      <x:c r="R202" s="34" t="str">
        <x:v>tract internal point; no person, address, building, parcel, or route condition</x:v>
      </x:c>
    </x:row>
    <x:row r="203" ht="86.4000015258789" hidden="0" customHeight="1">
      <x:c r="A203" s="36" t="str">
        <x:v>48201252003</x:v>
      </x:c>
      <x:c r="B203" s="63" t="n">
        <x:v>10901</x:v>
      </x:c>
      <x:c r="C203" s="63" t="n">
        <x:v>491</x:v>
      </x:c>
      <x:c r="D203" s="63" t="n">
        <x:v>0</x:v>
      </x:c>
      <x:c r="E203" s="45" t="n">
        <x:v>0.0450417392899734</x:v>
      </x:c>
      <x:c r="F203" s="45" t="n">
        <x:v>0</x:v>
      </x:c>
      <x:c r="G203" s="66" t="n">
        <x:v>3568</x:v>
      </x:c>
      <x:c r="H203" s="66" t="n">
        <x:v>0</x:v>
      </x:c>
      <x:c r="I203" s="66" t="n">
        <x:v>0</x:v>
      </x:c>
      <x:c r="J203" s="36" t="str">
        <x:v>low</x:v>
      </x:c>
      <x:c r="K203" s="72" t="n">
        <x:v>29.9630637</x:v>
      </x:c>
      <x:c r="L203" s="72" t="n">
        <x:v>-95.1583943</x:v>
      </x:c>
      <x:c r="M203" s="72" t="n">
        <x:v>3.49</x:v>
      </x:c>
      <x:c r="N203" s="72" t="n">
        <x:v>0.03042697897359948</x:v>
      </x:c>
      <x:c r="O203" s="72" t="n">
        <x:v>9.084493520293522</x:v>
      </x:c>
      <x:c r="P203" s="72" t="n">
        <x:v>1</x:v>
      </x:c>
      <x:c r="Q203" s="72" t="n">
        <x:v>864.4847603080691</x:v>
      </x:c>
      <x:c r="R203" s="36" t="str">
        <x:v>tract internal point; no person, address, building, parcel, or route condition</x:v>
      </x:c>
    </x:row>
    <x:row r="204" ht="86.4000015258789" hidden="0" customHeight="1">
      <x:c r="A204" s="34" t="str">
        <x:v>48201252100</x:v>
      </x:c>
      <x:c r="B204" s="62" t="n">
        <x:v>3992</x:v>
      </x:c>
      <x:c r="C204" s="62" t="n">
        <x:v>472</x:v>
      </x:c>
      <x:c r="D204" s="62" t="n">
        <x:v>41</x:v>
      </x:c>
      <x:c r="E204" s="43" t="n">
        <x:v>0.11823647294589178</x:v>
      </x:c>
      <x:c r="F204" s="43" t="n">
        <x:v>0.010270541082164329</x:v>
      </x:c>
      <x:c r="G204" s="65" t="n">
        <x:v>1118</x:v>
      </x:c>
      <x:c r="H204" s="65" t="n">
        <x:v>0</x:v>
      </x:c>
      <x:c r="I204" s="65" t="n">
        <x:v>0</x:v>
      </x:c>
      <x:c r="J204" s="34" t="str">
        <x:v>high</x:v>
      </x:c>
      <x:c r="K204" s="71" t="n">
        <x:v>29.8850976</x:v>
      </x:c>
      <x:c r="L204" s="71" t="n">
        <x:v>-95.1385243</x:v>
      </x:c>
      <x:c r="M204" s="71" t="n">
        <x:v>8.958</x:v>
      </x:c>
      <x:c r="N204" s="71" t="n">
        <x:v>0.16577987692221366</x:v>
      </x:c>
      <x:c r="O204" s="71" t="n">
        <x:v>19.013780811575238</x:v>
      </x:c>
      <x:c r="P204" s="71" t="n">
        <x:v>1</x:v>
      </x:c>
      <x:c r="Q204" s="71" t="n">
        <x:v>692.4482447473408</x:v>
      </x:c>
      <x:c r="R204" s="34" t="str">
        <x:v>tract internal point; no person, address, building, parcel, or route condition</x:v>
      </x:c>
    </x:row>
    <x:row r="205" ht="86.4000015258789" hidden="0" customHeight="1">
      <x:c r="A205" s="36" t="str">
        <x:v>48201252201</x:v>
      </x:c>
      <x:c r="B205" s="63" t="n">
        <x:v>5108</x:v>
      </x:c>
      <x:c r="C205" s="63" t="n">
        <x:v>280</x:v>
      </x:c>
      <x:c r="D205" s="63" t="n">
        <x:v>0</x:v>
      </x:c>
      <x:c r="E205" s="45" t="n">
        <x:v>0.0548159749412686</x:v>
      </x:c>
      <x:c r="F205" s="45" t="n">
        <x:v>0</x:v>
      </x:c>
      <x:c r="G205" s="66" t="n">
        <x:v>2018</x:v>
      </x:c>
      <x:c r="H205" s="66" t="n">
        <x:v>669</x:v>
      </x:c>
      <x:c r="I205" s="66" t="n">
        <x:v>0.3315163528245788</x:v>
      </x:c>
      <x:c r="J205" s="36" t="str">
        <x:v>moderate</x:v>
      </x:c>
      <x:c r="K205" s="72" t="n">
        <x:v>29.8265714</x:v>
      </x:c>
      <x:c r="L205" s="72" t="n">
        <x:v>-95.1639591</x:v>
      </x:c>
      <x:c r="M205" s="72" t="n">
        <x:v>1.033</x:v>
      </x:c>
      <x:c r="N205" s="72" t="n">
        <x:v>0.0753301570523135</x:v>
      </x:c>
      <x:c r="O205" s="72" t="n">
        <x:v>16.709142942530082</x:v>
      </x:c>
      <x:c r="P205" s="72" t="n">
        <x:v>1</x:v>
      </x:c>
      <x:c r="Q205" s="72" t="n">
        <x:v>718.0702928836082</x:v>
      </x:c>
      <x:c r="R205" s="36" t="str">
        <x:v>tract internal point; no person, address, building, parcel, or route condition</x:v>
      </x:c>
    </x:row>
    <x:row r="206" ht="86.4000015258789" hidden="0" customHeight="1">
      <x:c r="A206" s="34" t="str">
        <x:v>48201252202</x:v>
      </x:c>
      <x:c r="B206" s="62" t="n">
        <x:v>6874</x:v>
      </x:c>
      <x:c r="C206" s="62" t="n">
        <x:v>681</x:v>
      </x:c>
      <x:c r="D206" s="62" t="n">
        <x:v>184</x:v>
      </x:c>
      <x:c r="E206" s="43" t="n">
        <x:v>0.0990689554844341</x:v>
      </x:c>
      <x:c r="F206" s="43" t="n">
        <x:v>0.02676752982251964</x:v>
      </x:c>
      <x:c r="G206" s="65" t="n">
        <x:v>2060</x:v>
      </x:c>
      <x:c r="H206" s="65" t="n">
        <x:v>0</x:v>
      </x:c>
      <x:c r="I206" s="65" t="n">
        <x:v>0</x:v>
      </x:c>
      <x:c r="J206" s="34" t="str">
        <x:v>moderate</x:v>
      </x:c>
      <x:c r="K206" s="71" t="n">
        <x:v>29.8412913</x:v>
      </x:c>
      <x:c r="L206" s="71" t="n">
        <x:v>-95.1473693</x:v>
      </x:c>
      <x:c r="M206" s="71" t="n">
        <x:v>7.419</x:v>
      </x:c>
      <x:c r="N206" s="71" t="n">
        <x:v>0.3173439549249124</x:v>
      </x:c>
      <x:c r="O206" s="71" t="n">
        <x:v>18.14782067098512</x:v>
      </x:c>
      <x:c r="P206" s="71" t="n">
        <x:v>1</x:v>
      </x:c>
      <x:c r="Q206" s="71" t="n">
        <x:v>977.348733648669</x:v>
      </x:c>
      <x:c r="R206" s="34" t="str">
        <x:v>tract internal point; no person, address, building, parcel, or route condition</x:v>
      </x:c>
    </x:row>
    <x:row r="207" ht="86.4000015258789" hidden="0" customHeight="1">
      <x:c r="A207" s="36" t="str">
        <x:v>48201252303</x:v>
      </x:c>
      <x:c r="B207" s="63" t="n">
        <x:v>5424</x:v>
      </x:c>
      <x:c r="C207" s="63" t="n">
        <x:v>515</x:v>
      </x:c>
      <x:c r="D207" s="63" t="n">
        <x:v>0</x:v>
      </x:c>
      <x:c r="E207" s="45" t="n">
        <x:v>0.09494837758112094</x:v>
      </x:c>
      <x:c r="F207" s="45" t="n">
        <x:v>0</x:v>
      </x:c>
      <x:c r="G207" s="66" t="n">
        <x:v>1389</x:v>
      </x:c>
      <x:c r="H207" s="66" t="n">
        <x:v>0</x:v>
      </x:c>
      <x:c r="I207" s="66" t="n">
        <x:v>0</x:v>
      </x:c>
      <x:c r="J207" s="36" t="str">
        <x:v>low</x:v>
      </x:c>
      <x:c r="K207" s="72" t="n">
        <x:v>29.7936799</x:v>
      </x:c>
      <x:c r="L207" s="72" t="n">
        <x:v>-95.1468291</x:v>
      </x:c>
      <x:c r="M207" s="72" t="n">
        <x:v>0.469</x:v>
      </x:c>
      <x:c r="N207" s="72" t="n">
        <x:v>0.006718221644048272</x:v>
      </x:c>
      <x:c r="O207" s="72" t="n">
        <x:v>20.37565502500779</x:v>
      </x:c>
      <x:c r="P207" s="72" t="n">
        <x:v>1</x:v>
      </x:c>
      <x:c r="Q207" s="72" t="n">
        <x:v>434.3958897213158</x:v>
      </x:c>
      <x:c r="R207" s="36" t="str">
        <x:v>tract internal point; no person, address, building, parcel, or route condition</x:v>
      </x:c>
    </x:row>
    <x:row r="208" ht="86.4000015258789" hidden="0" customHeight="1">
      <x:c r="A208" s="34" t="str">
        <x:v>48201252304</x:v>
      </x:c>
      <x:c r="B208" s="62" t="n">
        <x:v>4171</x:v>
      </x:c>
      <x:c r="C208" s="62" t="n">
        <x:v>488</x:v>
      </x:c>
      <x:c r="D208" s="62" t="n">
        <x:v>0</x:v>
      </x:c>
      <x:c r="E208" s="43" t="n">
        <x:v>0.1169983217453848</x:v>
      </x:c>
      <x:c r="F208" s="43" t="n">
        <x:v>0</x:v>
      </x:c>
      <x:c r="G208" s="65" t="n">
        <x:v>1241</x:v>
      </x:c>
      <x:c r="H208" s="65" t="n">
        <x:v>124</x:v>
      </x:c>
      <x:c r="I208" s="65" t="n">
        <x:v>0.0999194198227236</x:v>
      </x:c>
      <x:c r="J208" s="34" t="str">
        <x:v>high</x:v>
      </x:c>
      <x:c r="K208" s="71" t="n">
        <x:v>29.7977616</x:v>
      </x:c>
      <x:c r="L208" s="71" t="n">
        <x:v>-95.1590244</x:v>
      </x:c>
      <x:c r="M208" s="71" t="n">
        <x:v>0.587</x:v>
      </x:c>
      <x:c r="N208" s="71" t="n">
        <x:v>0.009420307969084277</x:v>
      </x:c>
      <x:c r="O208" s="71" t="n">
        <x:v>19.09376309826068</x:v>
      </x:c>
      <x:c r="P208" s="71" t="n">
        <x:v>1</x:v>
      </x:c>
      <x:c r="Q208" s="71" t="n">
        <x:v>722.5973786892798</x:v>
      </x:c>
      <x:c r="R208" s="34" t="str">
        <x:v>tract internal point; no person, address, building, parcel, or route condition</x:v>
      </x:c>
    </x:row>
    <x:row r="209" ht="86.4000015258789" hidden="0" customHeight="1">
      <x:c r="A209" s="36" t="str">
        <x:v>48201252305</x:v>
      </x:c>
      <x:c r="B209" s="63" t="n">
        <x:v>6006</x:v>
      </x:c>
      <x:c r="C209" s="63" t="n">
        <x:v>273</x:v>
      </x:c>
      <x:c r="D209" s="63" t="n">
        <x:v>161</x:v>
      </x:c>
      <x:c r="E209" s="45" t="n">
        <x:v>0.045454545454545456</x:v>
      </x:c>
      <x:c r="F209" s="45" t="n">
        <x:v>0.026806526806526808</x:v>
      </x:c>
      <x:c r="G209" s="66" t="n">
        <x:v>1912</x:v>
      </x:c>
      <x:c r="H209" s="66" t="n">
        <x:v>0</x:v>
      </x:c>
      <x:c r="I209" s="66" t="n">
        <x:v>0</x:v>
      </x:c>
      <x:c r="J209" s="36" t="str">
        <x:v>low</x:v>
      </x:c>
      <x:c r="K209" s="72" t="n">
        <x:v>29.8058566</x:v>
      </x:c>
      <x:c r="L209" s="72" t="n">
        <x:v>-95.1497428</x:v>
      </x:c>
      <x:c r="M209" s="72" t="n">
        <x:v>0.905</x:v>
      </x:c>
      <x:c r="N209" s="72" t="n">
        <x:v>0.003954242966558783</x:v>
      </x:c>
      <x:c r="O209" s="72" t="n">
        <x:v>19.369398165031726</x:v>
      </x:c>
      <x:c r="P209" s="72" t="n">
        <x:v>1</x:v>
      </x:c>
      <x:c r="Q209" s="72" t="n">
        <x:v>477.599692974402</x:v>
      </x:c>
      <x:c r="R209" s="36" t="str">
        <x:v>tract internal point; no person, address, building, parcel, or route condition</x:v>
      </x:c>
    </x:row>
    <x:row r="210" ht="86.4000015258789" hidden="0" customHeight="1">
      <x:c r="A210" s="34" t="str">
        <x:v>48201252306</x:v>
      </x:c>
      <x:c r="B210" s="62" t="n">
        <x:v>10710</x:v>
      </x:c>
      <x:c r="C210" s="62" t="n">
        <x:v>613</x:v>
      </x:c>
      <x:c r="D210" s="62" t="n">
        <x:v>207</x:v>
      </x:c>
      <x:c r="E210" s="43" t="n">
        <x:v>0.057236227824463116</x:v>
      </x:c>
      <x:c r="F210" s="43" t="n">
        <x:v>0.019327731092436976</x:v>
      </x:c>
      <x:c r="G210" s="65" t="n">
        <x:v>2938</x:v>
      </x:c>
      <x:c r="H210" s="65" t="n">
        <x:v>33</x:v>
      </x:c>
      <x:c r="I210" s="65" t="n">
        <x:v>0.01123213070115725</x:v>
      </x:c>
      <x:c r="J210" s="34" t="str">
        <x:v>low</x:v>
      </x:c>
      <x:c r="K210" s="71" t="n">
        <x:v>29.8003155</x:v>
      </x:c>
      <x:c r="L210" s="71" t="n">
        <x:v>-95.1315829</x:v>
      </x:c>
      <x:c r="M210" s="71" t="n">
        <x:v>2.061</x:v>
      </x:c>
      <x:c r="N210" s="71" t="n">
        <x:v>0.20608923709762678</x:v>
      </x:c>
      <x:c r="O210" s="71" t="n">
        <x:v>23.30177790731608</x:v>
      </x:c>
      <x:c r="P210" s="71" t="n">
        <x:v>6</x:v>
      </x:c>
      <x:c r="Q210" s="71" t="n">
        <x:v>853.0177148384942</x:v>
      </x:c>
      <x:c r="R210" s="34" t="str">
        <x:v>tract internal point; no person, address, building, parcel, or route condition</x:v>
      </x:c>
    </x:row>
    <x:row r="211" ht="86.4000015258789" hidden="0" customHeight="1">
      <x:c r="A211" s="36" t="str">
        <x:v>48201252400</x:v>
      </x:c>
      <x:c r="B211" s="63" t="n">
        <x:v>6395</x:v>
      </x:c>
      <x:c r="C211" s="63" t="n">
        <x:v>1066</x:v>
      </x:c>
      <x:c r="D211" s="63" t="n">
        <x:v>191</x:v>
      </x:c>
      <x:c r="E211" s="45" t="n">
        <x:v>0.1666927286942924</x:v>
      </x:c>
      <x:c r="F211" s="45" t="n">
        <x:v>0.02986708365910868</x:v>
      </x:c>
      <x:c r="G211" s="66" t="n">
        <x:v>2334</x:v>
      </x:c>
      <x:c r="H211" s="66" t="n">
        <x:v>0</x:v>
      </x:c>
      <x:c r="I211" s="66" t="n">
        <x:v>0</x:v>
      </x:c>
      <x:c r="J211" s="36" t="str">
        <x:v>low</x:v>
      </x:c>
      <x:c r="K211" s="72" t="n">
        <x:v>29.7816516</x:v>
      </x:c>
      <x:c r="L211" s="72" t="n">
        <x:v>-95.1428602</x:v>
      </x:c>
      <x:c r="M211" s="72" t="n">
        <x:v>2.055</x:v>
      </x:c>
      <x:c r="N211" s="72" t="n">
        <x:v>0.024924227279325452</x:v>
      </x:c>
      <x:c r="O211" s="72" t="n">
        <x:v>19.49286138314829</x:v>
      </x:c>
      <x:c r="P211" s="72" t="n">
        <x:v>6</x:v>
      </x:c>
      <x:c r="Q211" s="72" t="n">
        <x:v>520.8742319432018</x:v>
      </x:c>
      <x:c r="R211" s="36" t="str">
        <x:v>tract internal point; no person, address, building, parcel, or route condition</x:v>
      </x:c>
    </x:row>
    <x:row r="212" ht="86.4000015258789" hidden="0" customHeight="1">
      <x:c r="A212" s="34" t="str">
        <x:v>48201252500</x:v>
      </x:c>
      <x:c r="B212" s="62" t="n">
        <x:v>4545</x:v>
      </x:c>
      <x:c r="C212" s="62" t="n">
        <x:v>636</x:v>
      </x:c>
      <x:c r="D212" s="62" t="n">
        <x:v>178</x:v>
      </x:c>
      <x:c r="E212" s="43" t="n">
        <x:v>0.13993399339933993</x:v>
      </x:c>
      <x:c r="F212" s="43" t="n">
        <x:v>0.039163916391639166</x:v>
      </x:c>
      <x:c r="G212" s="65" t="n">
        <x:v>1695</x:v>
      </x:c>
      <x:c r="H212" s="65" t="n">
        <x:v>36</x:v>
      </x:c>
      <x:c r="I212" s="65" t="n">
        <x:v>0.021238938053097345</x:v>
      </x:c>
      <x:c r="J212" s="34" t="str">
        <x:v>moderate</x:v>
      </x:c>
      <x:c r="K212" s="71" t="n">
        <x:v>29.7661133</x:v>
      </x:c>
      <x:c r="L212" s="71" t="n">
        <x:v>-95.1281275</x:v>
      </x:c>
      <x:c r="M212" s="71" t="n">
        <x:v>11.702</x:v>
      </x:c>
      <x:c r="N212" s="71" t="n">
        <x:v>0.3919785261256809</x:v>
      </x:c>
      <x:c r="O212" s="71" t="n">
        <x:v>19.852029923504805</x:v>
      </x:c>
      <x:c r="P212" s="71" t="n">
        <x:v>6</x:v>
      </x:c>
      <x:c r="Q212" s="71" t="n">
        <x:v>652.159115728916</x:v>
      </x:c>
      <x:c r="R212" s="34" t="str">
        <x:v>tract internal point; no person, address, building, parcel, or route condition</x:v>
      </x:c>
    </x:row>
    <x:row r="213" ht="86.4000015258789" hidden="0" customHeight="1">
      <x:c r="A213" s="36" t="str">
        <x:v>48201252601</x:v>
      </x:c>
      <x:c r="B213" s="63" t="n">
        <x:v>3589</x:v>
      </x:c>
      <x:c r="C213" s="63" t="n">
        <x:v>738</x:v>
      </x:c>
      <x:c r="D213" s="63" t="n">
        <x:v>144</x:v>
      </x:c>
      <x:c r="E213" s="45" t="n">
        <x:v>0.20562830872109222</x:v>
      </x:c>
      <x:c r="F213" s="45" t="n">
        <x:v>0.04012259682362775</x:v>
      </x:c>
      <x:c r="G213" s="66" t="n">
        <x:v>1363</x:v>
      </x:c>
      <x:c r="H213" s="66" t="n">
        <x:v>0</x:v>
      </x:c>
      <x:c r="I213" s="66" t="n">
        <x:v>0</x:v>
      </x:c>
      <x:c r="J213" s="36" t="str">
        <x:v>low</x:v>
      </x:c>
      <x:c r="K213" s="72" t="n">
        <x:v>29.7911155</x:v>
      </x:c>
      <x:c r="L213" s="72" t="n">
        <x:v>-95.1159594</x:v>
      </x:c>
      <x:c r="M213" s="72" t="n">
        <x:v>1.494</x:v>
      </x:c>
      <x:c r="N213" s="72" t="n">
        <x:v>0.005753887585192049</x:v>
      </x:c>
      <x:c r="O213" s="72" t="n">
        <x:v>17.889064365871</x:v>
      </x:c>
      <x:c r="P213" s="72" t="n">
        <x:v>6</x:v>
      </x:c>
      <x:c r="Q213" s="72" t="n">
        <x:v>294.8107440464367</x:v>
      </x:c>
      <x:c r="R213" s="36" t="str">
        <x:v>tract internal point; no person, address, building, parcel, or route condition</x:v>
      </x:c>
    </x:row>
    <x:row r="214" ht="86.4000015258789" hidden="0" customHeight="1">
      <x:c r="A214" s="34" t="str">
        <x:v>48201252602</x:v>
      </x:c>
      <x:c r="B214" s="62" t="n">
        <x:v>3860</x:v>
      </x:c>
      <x:c r="C214" s="62" t="n">
        <x:v>590</x:v>
      </x:c>
      <x:c r="D214" s="62" t="n">
        <x:v>0</x:v>
      </x:c>
      <x:c r="E214" s="43" t="n">
        <x:v>0.15284974093264247</x:v>
      </x:c>
      <x:c r="F214" s="43" t="n">
        <x:v>0</x:v>
      </x:c>
      <x:c r="G214" s="65" t="n">
        <x:v>1321</x:v>
      </x:c>
      <x:c r="H214" s="65" t="n">
        <x:v>13</x:v>
      </x:c>
      <x:c r="I214" s="65" t="n">
        <x:v>0.00984102952308857</x:v>
      </x:c>
      <x:c r="J214" s="34" t="str">
        <x:v>low</x:v>
      </x:c>
      <x:c r="K214" s="71" t="n">
        <x:v>29.8422106</x:v>
      </x:c>
      <x:c r="L214" s="71" t="n">
        <x:v>-95.1122938</x:v>
      </x:c>
      <x:c r="M214" s="71" t="n">
        <x:v>11.413</x:v>
      </x:c>
      <x:c r="N214" s="71" t="n">
        <x:v>0.6571352807148095</x:v>
      </x:c>
      <x:c r="O214" s="71" t="n">
        <x:v>23.466931752564637</x:v>
      </x:c>
      <x:c r="P214" s="71" t="n">
        <x:v>1</x:v>
      </x:c>
      <x:c r="Q214" s="71" t="n">
        <x:v>312.6518634542056</x:v>
      </x:c>
      <x:c r="R214" s="34" t="str">
        <x:v>tract internal point; no person, address, building, parcel, or route condition</x:v>
      </x:c>
    </x:row>
    <x:row r="215" ht="86.4000015258789" hidden="0" customHeight="1">
      <x:c r="A215" s="36" t="str">
        <x:v>48201252700</x:v>
      </x:c>
      <x:c r="B215" s="63" t="n">
        <x:v>5593</x:v>
      </x:c>
      <x:c r="C215" s="63" t="n">
        <x:v>575</x:v>
      </x:c>
      <x:c r="D215" s="63" t="n">
        <x:v>254</x:v>
      </x:c>
      <x:c r="E215" s="45" t="n">
        <x:v>0.10280708027892008</x:v>
      </x:c>
      <x:c r="F215" s="45" t="n">
        <x:v>0.04541391024494904</x:v>
      </x:c>
      <x:c r="G215" s="66" t="n">
        <x:v>2230</x:v>
      </x:c>
      <x:c r="H215" s="66" t="n">
        <x:v>32</x:v>
      </x:c>
      <x:c r="I215" s="66" t="n">
        <x:v>0.014349775784753363</x:v>
      </x:c>
      <x:c r="J215" s="36" t="str">
        <x:v>low</x:v>
      </x:c>
      <x:c r="K215" s="72" t="n">
        <x:v>29.9167216</x:v>
      </x:c>
      <x:c r="L215" s="72" t="n">
        <x:v>-95.0200269</x:v>
      </x:c>
      <x:c r="M215" s="72" t="n">
        <x:v>18.157</x:v>
      </x:c>
      <x:c r="N215" s="72" t="n">
        <x:v>0.01810651987428117</x:v>
      </x:c>
      <x:c r="O215" s="72" t="n">
        <x:v>29.833764572625434</x:v>
      </x:c>
      <x:c r="P215" s="72" t="n">
        <x:v>1</x:v>
      </x:c>
      <x:c r="Q215" s="72" t="n">
        <x:v>450.6179471916397</x:v>
      </x:c>
      <x:c r="R215" s="36" t="str">
        <x:v>tract internal point; no person, address, building, parcel, or route condition</x:v>
      </x:c>
    </x:row>
    <x:row r="216" ht="86.4000015258789" hidden="0" customHeight="1">
      <x:c r="A216" s="34" t="str">
        <x:v>48201252800</x:v>
      </x:c>
      <x:c r="B216" s="62" t="n">
        <x:v>6690</x:v>
      </x:c>
      <x:c r="C216" s="62" t="n">
        <x:v>1043</x:v>
      </x:c>
      <x:c r="D216" s="62" t="n">
        <x:v>395.5</x:v>
      </x:c>
      <x:c r="E216" s="43" t="n">
        <x:v>0.15590433482810165</x:v>
      </x:c>
      <x:c r="F216" s="43" t="n">
        <x:v>0.05911808669656203</x:v>
      </x:c>
      <x:c r="G216" s="65" t="n">
        <x:v>2727</x:v>
      </x:c>
      <x:c r="H216" s="65" t="n">
        <x:v>0</x:v>
      </x:c>
      <x:c r="I216" s="65" t="n">
        <x:v>0</x:v>
      </x:c>
      <x:c r="J216" s="34" t="str">
        <x:v>low</x:v>
      </x:c>
      <x:c r="K216" s="71" t="n">
        <x:v>29.8576461</x:v>
      </x:c>
      <x:c r="L216" s="71" t="n">
        <x:v>-95.0195754</x:v>
      </x:c>
      <x:c r="M216" s="71" t="n">
        <x:v>23.555</x:v>
      </x:c>
      <x:c r="N216" s="71" t="n">
        <x:v>0.4896690793812838</x:v>
      </x:c>
      <x:c r="O216" s="71" t="n">
        <x:v>23.883486121303598</x:v>
      </x:c>
      <x:c r="P216" s="71" t="n">
        <x:v>6</x:v>
      </x:c>
      <x:c r="Q216" s="71" t="n">
        <x:v>545.3055621982897</x:v>
      </x:c>
      <x:c r="R216" s="34" t="str">
        <x:v>tract internal point; no person, address, building, parcel, or route condition</x:v>
      </x:c>
    </x:row>
    <x:row r="217" ht="86.4000015258789" hidden="0" customHeight="1">
      <x:c r="A217" s="36" t="str">
        <x:v>48201252901</x:v>
      </x:c>
      <x:c r="B217" s="63" t="n">
        <x:v>2248</x:v>
      </x:c>
      <x:c r="C217" s="63" t="n">
        <x:v>393</x:v>
      </x:c>
      <x:c r="D217" s="63" t="n">
        <x:v>13</x:v>
      </x:c>
      <x:c r="E217" s="45" t="n">
        <x:v>0.1748220640569395</x:v>
      </x:c>
      <x:c r="F217" s="45" t="n">
        <x:v>0.005782918149466192</x:v>
      </x:c>
      <x:c r="G217" s="66" t="n">
        <x:v>1063</x:v>
      </x:c>
      <x:c r="H217" s="66" t="n">
        <x:v>0</x:v>
      </x:c>
      <x:c r="I217" s="66" t="n">
        <x:v>0</x:v>
      </x:c>
      <x:c r="J217" s="36" t="str">
        <x:v>high</x:v>
      </x:c>
      <x:c r="K217" s="72" t="n">
        <x:v>29.814116</x:v>
      </x:c>
      <x:c r="L217" s="72" t="n">
        <x:v>-95.0735465</x:v>
      </x:c>
      <x:c r="M217" s="72" t="n">
        <x:v>1.582</x:v>
      </x:c>
      <x:c r="N217" s="72" t="n">
        <x:v>0.09717416576889278</x:v>
      </x:c>
      <x:c r="O217" s="72" t="n">
        <x:v>22.099771022573783</x:v>
      </x:c>
      <x:c r="P217" s="72" t="n">
        <x:v>6</x:v>
      </x:c>
      <x:c r="Q217" s="72" t="n">
        <x:v>394.0716951344175</x:v>
      </x:c>
      <x:c r="R217" s="36" t="str">
        <x:v>tract internal point; no person, address, building, parcel, or route condition</x:v>
      </x:c>
    </x:row>
    <x:row r="218" ht="86.4000015258789" hidden="0" customHeight="1">
      <x:c r="A218" s="34" t="str">
        <x:v>48201252902</x:v>
      </x:c>
      <x:c r="B218" s="62" t="n">
        <x:v>6326</x:v>
      </x:c>
      <x:c r="C218" s="62" t="n">
        <x:v>1180</x:v>
      </x:c>
      <x:c r="D218" s="62" t="n">
        <x:v>77</x:v>
      </x:c>
      <x:c r="E218" s="43" t="n">
        <x:v>0.18653177363262724</x:v>
      </x:c>
      <x:c r="F218" s="43" t="n">
        <x:v>0.012171988618400253</x:v>
      </x:c>
      <x:c r="G218" s="65" t="n">
        <x:v>2346</x:v>
      </x:c>
      <x:c r="H218" s="65" t="n">
        <x:v>0</x:v>
      </x:c>
      <x:c r="I218" s="65" t="n">
        <x:v>0</x:v>
      </x:c>
      <x:c r="J218" s="34" t="str">
        <x:v>low</x:v>
      </x:c>
      <x:c r="K218" s="71" t="n">
        <x:v>29.8153898</x:v>
      </x:c>
      <x:c r="L218" s="71" t="n">
        <x:v>-95.0412885</x:v>
      </x:c>
      <x:c r="M218" s="71" t="n">
        <x:v>3.854</x:v>
      </x:c>
      <x:c r="N218" s="71" t="n">
        <x:v>0.03728829637198364</x:v>
      </x:c>
      <x:c r="O218" s="71" t="n">
        <x:v>18.040375041946998</x:v>
      </x:c>
      <x:c r="P218" s="71" t="n">
        <x:v>6</x:v>
      </x:c>
      <x:c r="Q218" s="71" t="n">
        <x:v>516.3471461375302</x:v>
      </x:c>
      <x:c r="R218" s="34" t="str">
        <x:v>tract internal point; no person, address, building, parcel, or route condition</x:v>
      </x:c>
    </x:row>
    <x:row r="219" ht="86.4000015258789" hidden="0" customHeight="1">
      <x:c r="A219" s="36" t="str">
        <x:v>48201253000</x:v>
      </x:c>
      <x:c r="B219" s="63" t="n">
        <x:v>4898</x:v>
      </x:c>
      <x:c r="C219" s="63" t="n">
        <x:v>861</x:v>
      </x:c>
      <x:c r="D219" s="63" t="n">
        <x:v>105</x:v>
      </x:c>
      <x:c r="E219" s="45" t="n">
        <x:v>0.17578603511637403</x:v>
      </x:c>
      <x:c r="F219" s="45" t="n">
        <x:v>0.02143732135565537</x:v>
      </x:c>
      <x:c r="G219" s="66" t="n">
        <x:v>1930</x:v>
      </x:c>
      <x:c r="H219" s="66" t="n">
        <x:v>141</x:v>
      </x:c>
      <x:c r="I219" s="66" t="n">
        <x:v>0.07305699481865285</x:v>
      </x:c>
      <x:c r="J219" s="36" t="str">
        <x:v>high</x:v>
      </x:c>
      <x:c r="K219" s="72" t="n">
        <x:v>29.8221742</x:v>
      </x:c>
      <x:c r="L219" s="72" t="n">
        <x:v>-95.0196332</x:v>
      </x:c>
      <x:c r="M219" s="72" t="n">
        <x:v>5.786</x:v>
      </x:c>
      <x:c r="N219" s="72" t="n">
        <x:v>0.2824998964963944</x:v>
      </x:c>
      <x:c r="O219" s="72" t="n">
        <x:v>16.667297097919857</x:v>
      </x:c>
      <x:c r="P219" s="72" t="n">
        <x:v>6</x:v>
      </x:c>
      <x:c r="Q219" s="72" t="n">
        <x:v>860.0713353105524</x:v>
      </x:c>
      <x:c r="R219" s="36" t="str">
        <x:v>tract internal point; no person, address, building, parcel, or route condition</x:v>
      </x:c>
    </x:row>
    <x:row r="220" ht="86.4000015258789" hidden="0" customHeight="1">
      <x:c r="A220" s="34" t="str">
        <x:v>48201253101</x:v>
      </x:c>
      <x:c r="B220" s="62" t="n">
        <x:v>6234</x:v>
      </x:c>
      <x:c r="C220" s="62" t="n">
        <x:v>1051</x:v>
      </x:c>
      <x:c r="D220" s="62" t="n">
        <x:v>241</x:v>
      </x:c>
      <x:c r="E220" s="43" t="n">
        <x:v>0.1685915944818736</x:v>
      </x:c>
      <x:c r="F220" s="43" t="n">
        <x:v>0.03865896695540584</x:v>
      </x:c>
      <x:c r="G220" s="65" t="n">
        <x:v>2115</x:v>
      </x:c>
      <x:c r="H220" s="65" t="n">
        <x:v>128</x:v>
      </x:c>
      <x:c r="I220" s="65" t="n">
        <x:v>0.06052009456264775</x:v>
      </x:c>
      <x:c r="J220" s="34" t="str">
        <x:v>low</x:v>
      </x:c>
      <x:c r="K220" s="71" t="n">
        <x:v>29.8111578</x:v>
      </x:c>
      <x:c r="L220" s="71" t="n">
        <x:v>-94.9913885</x:v>
      </x:c>
      <x:c r="M220" s="71" t="n">
        <x:v>1.107</x:v>
      </x:c>
      <x:c r="N220" s="71" t="n">
        <x:v>0.04593556954007137</x:v>
      </x:c>
      <x:c r="O220" s="71" t="n">
        <x:v>14.25061771329281</x:v>
      </x:c>
      <x:c r="P220" s="71" t="n">
        <x:v>6</x:v>
      </x:c>
      <x:c r="Q220" s="71" t="n">
        <x:v>508.3775888337954</x:v>
      </x:c>
      <x:c r="R220" s="34" t="str">
        <x:v>tract internal point; no person, address, building, parcel, or route condition</x:v>
      </x:c>
    </x:row>
    <x:row r="221" ht="86.4000015258789" hidden="0" customHeight="1">
      <x:c r="A221" s="36" t="str">
        <x:v>48201253102</x:v>
      </x:c>
      <x:c r="B221" s="63" t="n">
        <x:v>8338</x:v>
      </x:c>
      <x:c r="C221" s="63" t="n">
        <x:v>375</x:v>
      </x:c>
      <x:c r="D221" s="63" t="n">
        <x:v>178.5</x:v>
      </x:c>
      <x:c r="E221" s="45" t="n">
        <x:v>0.0449748141041017</x:v>
      </x:c>
      <x:c r="F221" s="45" t="n">
        <x:v>0.02140801151355241</x:v>
      </x:c>
      <x:c r="G221" s="66" t="n">
        <x:v>2537</x:v>
      </x:c>
      <x:c r="H221" s="66" t="n">
        <x:v>0</x:v>
      </x:c>
      <x:c r="I221" s="66" t="n">
        <x:v>0</x:v>
      </x:c>
      <x:c r="J221" s="36" t="str">
        <x:v>low</x:v>
      </x:c>
      <x:c r="K221" s="72" t="n">
        <x:v>29.8287723</x:v>
      </x:c>
      <x:c r="L221" s="72" t="n">
        <x:v>-94.9611742</x:v>
      </x:c>
      <x:c r="M221" s="72" t="n">
        <x:v>10.036</x:v>
      </x:c>
      <x:c r="N221" s="72" t="n">
        <x:v>0.41412272416193585</x:v>
      </x:c>
      <x:c r="O221" s="72" t="n">
        <x:v>14.009648905296736</x:v>
      </x:c>
      <x:c r="P221" s="72" t="n">
        <x:v>6</x:v>
      </x:c>
      <x:c r="Q221" s="72" t="n">
        <x:v>662.6246764713145</x:v>
      </x:c>
      <x:c r="R221" s="36" t="str">
        <x:v>tract internal point; no person, address, building, parcel, or route condition</x:v>
      </x:c>
    </x:row>
    <x:row r="222" ht="86.4000015258789" hidden="0" customHeight="1">
      <x:c r="A222" s="34" t="str">
        <x:v>48201253201</x:v>
      </x:c>
      <x:c r="B222" s="62" t="n">
        <x:v>6350</x:v>
      </x:c>
      <x:c r="C222" s="62" t="n">
        <x:v>783</x:v>
      </x:c>
      <x:c r="D222" s="62" t="n">
        <x:v>207</x:v>
      </x:c>
      <x:c r="E222" s="43" t="n">
        <x:v>0.12330708661417322</x:v>
      </x:c>
      <x:c r="F222" s="43" t="n">
        <x:v>0.03259842519685039</x:v>
      </x:c>
      <x:c r="G222" s="65" t="n">
        <x:v>2494</x:v>
      </x:c>
      <x:c r="H222" s="65" t="n">
        <x:v>0</x:v>
      </x:c>
      <x:c r="I222" s="65" t="n">
        <x:v>0</x:v>
      </x:c>
      <x:c r="J222" s="34" t="str">
        <x:v>low</x:v>
      </x:c>
      <x:c r="K222" s="71" t="n">
        <x:v>29.7988564</x:v>
      </x:c>
      <x:c r="L222" s="71" t="n">
        <x:v>-94.9323333</x:v>
      </x:c>
      <x:c r="M222" s="71" t="n">
        <x:v>6.729</x:v>
      </x:c>
      <x:c r="N222" s="71" t="n">
        <x:v>0.057247538181477604</x:v>
      </x:c>
      <x:c r="O222" s="71" t="n">
        <x:v>9.002151517134585</x:v>
      </x:c>
      <x:c r="P222" s="71" t="n">
        <x:v>6</x:v>
      </x:c>
      <x:c r="Q222" s="71" t="n">
        <x:v>513.0147079750217</x:v>
      </x:c>
      <x:c r="R222" s="34" t="str">
        <x:v>tract internal point; no person, address, building, parcel, or route condition</x:v>
      </x:c>
    </x:row>
    <x:row r="223" ht="86.4000015258789" hidden="0" customHeight="1">
      <x:c r="A223" s="36" t="str">
        <x:v>48201253202</x:v>
      </x:c>
      <x:c r="B223" s="63" t="n">
        <x:v>5206</x:v>
      </x:c>
      <x:c r="C223" s="63" t="n">
        <x:v>1012</x:v>
      </x:c>
      <x:c r="D223" s="63" t="n">
        <x:v>582</x:v>
      </x:c>
      <x:c r="E223" s="45" t="n">
        <x:v>0.19439108720706877</x:v>
      </x:c>
      <x:c r="F223" s="45" t="n">
        <x:v>0.11179408374951978</x:v>
      </x:c>
      <x:c r="G223" s="66" t="n">
        <x:v>2307</x:v>
      </x:c>
      <x:c r="H223" s="66" t="n">
        <x:v>433</x:v>
      </x:c>
      <x:c r="I223" s="66" t="n">
        <x:v>0.18768964022540097</x:v>
      </x:c>
      <x:c r="J223" s="36" t="str">
        <x:v>moderate</x:v>
      </x:c>
      <x:c r="K223" s="72" t="n">
        <x:v>29.7916839</x:v>
      </x:c>
      <x:c r="L223" s="72" t="n">
        <x:v>-94.9916546</x:v>
      </x:c>
      <x:c r="M223" s="72" t="n">
        <x:v>7.301</x:v>
      </x:c>
      <x:c r="N223" s="72" t="n">
        <x:v>0.3514130683524253</x:v>
      </x:c>
      <x:c r="O223" s="72" t="n">
        <x:v>11.496867457761276</x:v>
      </x:c>
      <x:c r="P223" s="72" t="n">
        <x:v>6</x:v>
      </x:c>
      <x:c r="Q223" s="72" t="n">
        <x:v>760.1477658941774</x:v>
      </x:c>
      <x:c r="R223" s="36" t="str">
        <x:v>tract internal point; no person, address, building, parcel, or route condition</x:v>
      </x:c>
    </x:row>
    <x:row r="224" ht="86.4000015258789" hidden="0" customHeight="1">
      <x:c r="A224" s="34" t="str">
        <x:v>48201253300</x:v>
      </x:c>
      <x:c r="B224" s="62" t="n">
        <x:v>3682</x:v>
      </x:c>
      <x:c r="C224" s="62" t="n">
        <x:v>441</x:v>
      </x:c>
      <x:c r="D224" s="62" t="n">
        <x:v>94</x:v>
      </x:c>
      <x:c r="E224" s="43" t="n">
        <x:v>0.11977186311787072</x:v>
      </x:c>
      <x:c r="F224" s="43" t="n">
        <x:v>0.025529603476371537</x:v>
      </x:c>
      <x:c r="G224" s="65" t="n">
        <x:v>1359</x:v>
      </x:c>
      <x:c r="H224" s="65" t="n">
        <x:v>9</x:v>
      </x:c>
      <x:c r="I224" s="65" t="n">
        <x:v>0.006622516556291391</x:v>
      </x:c>
      <x:c r="J224" s="34" t="str">
        <x:v>high</x:v>
      </x:c>
      <x:c r="K224" s="71" t="n">
        <x:v>29.7672653</x:v>
      </x:c>
      <x:c r="L224" s="71" t="n">
        <x:v>-95.0427303</x:v>
      </x:c>
      <x:c r="M224" s="71" t="n">
        <x:v>2.989</x:v>
      </x:c>
      <x:c r="N224" s="71" t="n">
        <x:v>0.12097881028214107</x:v>
      </x:c>
      <x:c r="O224" s="71" t="n">
        <x:v>14.090980635037257</x:v>
      </x:c>
      <x:c r="P224" s="71" t="n">
        <x:v>6</x:v>
      </x:c>
      <x:c r="Q224" s="71" t="n">
        <x:v>639.8184539413395</x:v>
      </x:c>
      <x:c r="R224" s="34" t="str">
        <x:v>tract internal point; no person, address, building, parcel, or route condition</x:v>
      </x:c>
    </x:row>
    <x:row r="225" ht="86.4000015258789" hidden="0" customHeight="1">
      <x:c r="A225" s="36" t="str">
        <x:v>48201253501</x:v>
      </x:c>
      <x:c r="B225" s="63" t="n">
        <x:v>8781</x:v>
      </x:c>
      <x:c r="C225" s="63" t="n">
        <x:v>841</x:v>
      </x:c>
      <x:c r="D225" s="63" t="n">
        <x:v>172</x:v>
      </x:c>
      <x:c r="E225" s="45" t="n">
        <x:v>0.09577496868238242</x:v>
      </x:c>
      <x:c r="F225" s="45" t="n">
        <x:v>0.019587746270356452</x:v>
      </x:c>
      <x:c r="G225" s="66" t="n">
        <x:v>3131</x:v>
      </x:c>
      <x:c r="H225" s="66" t="n">
        <x:v>718</x:v>
      </x:c>
      <x:c r="I225" s="66" t="n">
        <x:v>0.2293197061641648</x:v>
      </x:c>
      <x:c r="J225" s="36" t="str">
        <x:v>low</x:v>
      </x:c>
      <x:c r="K225" s="72" t="n">
        <x:v>29.7764872</x:v>
      </x:c>
      <x:c r="L225" s="72" t="n">
        <x:v>-94.9848905</x:v>
      </x:c>
      <x:c r="M225" s="72" t="n">
        <x:v>0.936</x:v>
      </x:c>
      <x:c r="N225" s="72" t="n">
        <x:v>0.0421013340395294</x:v>
      </x:c>
      <x:c r="O225" s="72" t="n">
        <x:v>9.592003769960504</x:v>
      </x:c>
      <x:c r="P225" s="72" t="n">
        <x:v>6</x:v>
      </x:c>
      <x:c r="Q225" s="72" t="n">
        <x:v>704.7163570829034</x:v>
      </x:c>
      <x:c r="R225" s="36" t="str">
        <x:v>tract internal point; no person, address, building, parcel, or route condition</x:v>
      </x:c>
    </x:row>
    <x:row r="226" ht="86.4000015258789" hidden="0" customHeight="1">
      <x:c r="A226" s="34" t="str">
        <x:v>48201253502</x:v>
      </x:c>
      <x:c r="B226" s="62" t="n">
        <x:v>3665</x:v>
      </x:c>
      <x:c r="C226" s="62" t="n">
        <x:v>505</x:v>
      </x:c>
      <x:c r="D226" s="62" t="n">
        <x:v>143</x:v>
      </x:c>
      <x:c r="E226" s="43" t="n">
        <x:v>0.1377899045020464</x:v>
      </x:c>
      <x:c r="F226" s="43" t="n">
        <x:v>0.03901773533424284</x:v>
      </x:c>
      <x:c r="G226" s="65" t="n">
        <x:v>1390</x:v>
      </x:c>
      <x:c r="H226" s="65" t="n">
        <x:v>200</x:v>
      </x:c>
      <x:c r="I226" s="65" t="n">
        <x:v>0.14388489208633093</x:v>
      </x:c>
      <x:c r="J226" s="34" t="str">
        <x:v>low</x:v>
      </x:c>
      <x:c r="K226" s="71" t="n">
        <x:v>29.7785633</x:v>
      </x:c>
      <x:c r="L226" s="71" t="n">
        <x:v>-95.012249</x:v>
      </x:c>
      <x:c r="M226" s="71" t="n">
        <x:v>1.324</x:v>
      </x:c>
      <x:c r="N226" s="71" t="n">
        <x:v>0.15859558585910008</x:v>
      </x:c>
      <x:c r="O226" s="71" t="n">
        <x:v>11.710407143421556</x:v>
      </x:c>
      <x:c r="P226" s="71" t="n">
        <x:v>6</x:v>
      </x:c>
      <x:c r="Q226" s="71" t="n">
        <x:v>297.1135845691134</x:v>
      </x:c>
      <x:c r="R226" s="34" t="str">
        <x:v>tract internal point; no person, address, building, parcel, or route condition</x:v>
      </x:c>
    </x:row>
    <x:row r="227" ht="86.4000015258789" hidden="0" customHeight="1">
      <x:c r="A227" s="36" t="str">
        <x:v>48201253601</x:v>
      </x:c>
      <x:c r="B227" s="63" t="n">
        <x:v>4254</x:v>
      </x:c>
      <x:c r="C227" s="63" t="n">
        <x:v>484</x:v>
      </x:c>
      <x:c r="D227" s="63" t="n">
        <x:v>148</x:v>
      </x:c>
      <x:c r="E227" s="45" t="n">
        <x:v>0.11377527033380348</x:v>
      </x:c>
      <x:c r="F227" s="45" t="n">
        <x:v>0.034790785143394454</x:v>
      </x:c>
      <x:c r="G227" s="66" t="n">
        <x:v>2088</x:v>
      </x:c>
      <x:c r="H227" s="66" t="n">
        <x:v>524</x:v>
      </x:c>
      <x:c r="I227" s="66" t="n">
        <x:v>0.2509578544061303</x:v>
      </x:c>
      <x:c r="J227" s="36" t="str">
        <x:v>low</x:v>
      </x:c>
      <x:c r="K227" s="72" t="n">
        <x:v>29.7652425</x:v>
      </x:c>
      <x:c r="L227" s="72" t="n">
        <x:v>-94.9963507</x:v>
      </x:c>
      <x:c r="M227" s="72" t="n">
        <x:v>1.204</x:v>
      </x:c>
      <x:c r="N227" s="72" t="n">
        <x:v>0.013419800729254252</x:v>
      </x:c>
      <x:c r="O227" s="72" t="n">
        <x:v>8.534310190660905</x:v>
      </x:c>
      <x:c r="P227" s="72" t="n">
        <x:v>6</x:v>
      </x:c>
      <x:c r="Q227" s="72" t="n">
        <x:v>343.1153783548718</x:v>
      </x:c>
      <x:c r="R227" s="36" t="str">
        <x:v>tract internal point; no person, address, building, parcel, or route condition</x:v>
      </x:c>
    </x:row>
    <x:row r="228" ht="86.4000015258789" hidden="0" customHeight="1">
      <x:c r="A228" s="34" t="str">
        <x:v>48201253602</x:v>
      </x:c>
      <x:c r="B228" s="62" t="n">
        <x:v>4180</x:v>
      </x:c>
      <x:c r="C228" s="62" t="n">
        <x:v>778</x:v>
      </x:c>
      <x:c r="D228" s="62" t="n">
        <x:v>364.5</x:v>
      </x:c>
      <x:c r="E228" s="43" t="n">
        <x:v>0.1861244019138756</x:v>
      </x:c>
      <x:c r="F228" s="43" t="n">
        <x:v>0.08720095693779904</x:v>
      </x:c>
      <x:c r="G228" s="65" t="n">
        <x:v>1894</x:v>
      </x:c>
      <x:c r="H228" s="65" t="n">
        <x:v>313</x:v>
      </x:c>
      <x:c r="I228" s="65" t="n">
        <x:v>0.16525871172122492</x:v>
      </x:c>
      <x:c r="J228" s="34" t="str">
        <x:v>moderate</x:v>
      </x:c>
      <x:c r="K228" s="71" t="n">
        <x:v>29.7522771</x:v>
      </x:c>
      <x:c r="L228" s="71" t="n">
        <x:v>-94.9855197</x:v>
      </x:c>
      <x:c r="M228" s="71" t="n">
        <x:v>0.926</x:v>
      </x:c>
      <x:c r="N228" s="71" t="n">
        <x:v>0.22407333541772148</x:v>
      </x:c>
      <x:c r="O228" s="71" t="n">
        <x:v>7.478474049325087</x:v>
      </x:c>
      <x:c r="P228" s="71" t="n">
        <x:v>6</x:v>
      </x:c>
      <x:c r="Q228" s="71" t="n">
        <x:v>607.9471773822188</x:v>
      </x:c>
      <x:c r="R228" s="34" t="str">
        <x:v>tract internal point; no person, address, building, parcel, or route condition</x:v>
      </x:c>
    </x:row>
    <x:row r="229" ht="86.4000015258789" hidden="0" customHeight="1">
      <x:c r="A229" s="36" t="str">
        <x:v>48201253700</x:v>
      </x:c>
      <x:c r="B229" s="63" t="n">
        <x:v>5854</x:v>
      </x:c>
      <x:c r="C229" s="63" t="n">
        <x:v>702</x:v>
      </x:c>
      <x:c r="D229" s="63" t="n">
        <x:v>294</x:v>
      </x:c>
      <x:c r="E229" s="45" t="n">
        <x:v>0.11991800478305432</x:v>
      </x:c>
      <x:c r="F229" s="45" t="n">
        <x:v>0.05022207037922788</x:v>
      </x:c>
      <x:c r="G229" s="66" t="n">
        <x:v>2496</x:v>
      </x:c>
      <x:c r="H229" s="66" t="n">
        <x:v>430</x:v>
      </x:c>
      <x:c r="I229" s="66" t="n">
        <x:v>0.17227564102564102</x:v>
      </x:c>
      <x:c r="J229" s="36" t="str">
        <x:v>low</x:v>
      </x:c>
      <x:c r="K229" s="72" t="n">
        <x:v>29.7654725</x:v>
      </x:c>
      <x:c r="L229" s="72" t="n">
        <x:v>-94.973955</x:v>
      </x:c>
      <x:c r="M229" s="72" t="n">
        <x:v>1.574</x:v>
      </x:c>
      <x:c r="N229" s="72" t="n">
        <x:v>0.015658119478501497</x:v>
      </x:c>
      <x:c r="O229" s="72" t="n">
        <x:v>5.930129812834678</x:v>
      </x:c>
      <x:c r="P229" s="72" t="n">
        <x:v>6</x:v>
      </x:c>
      <x:c r="Q229" s="72" t="n">
        <x:v>473.4420047952347</x:v>
      </x:c>
      <x:c r="R229" s="36" t="str">
        <x:v>tract internal point; no person, address, building, parcel, or route condition</x:v>
      </x:c>
    </x:row>
    <x:row r="230" ht="86.4000015258789" hidden="0" customHeight="1">
      <x:c r="A230" s="34" t="str">
        <x:v>48201253800</x:v>
      </x:c>
      <x:c r="B230" s="62" t="n">
        <x:v>7805</x:v>
      </x:c>
      <x:c r="C230" s="62" t="n">
        <x:v>1049</x:v>
      </x:c>
      <x:c r="D230" s="62" t="n">
        <x:v>594</x:v>
      </x:c>
      <x:c r="E230" s="43" t="n">
        <x:v>0.13440102498398462</x:v>
      </x:c>
      <x:c r="F230" s="43" t="n">
        <x:v>0.07610506085842408</x:v>
      </x:c>
      <x:c r="G230" s="65" t="n">
        <x:v>2968</x:v>
      </x:c>
      <x:c r="H230" s="65" t="n">
        <x:v>162</x:v>
      </x:c>
      <x:c r="I230" s="65" t="n">
        <x:v>0.0545822102425876</x:v>
      </x:c>
      <x:c r="J230" s="34" t="str">
        <x:v>low</x:v>
      </x:c>
      <x:c r="K230" s="71" t="n">
        <x:v>29.766428</x:v>
      </x:c>
      <x:c r="L230" s="71" t="n">
        <x:v>-94.9479552</x:v>
      </x:c>
      <x:c r="M230" s="71" t="n">
        <x:v>2.914</x:v>
      </x:c>
      <x:c r="N230" s="71" t="n">
        <x:v>0.029302844200132964</x:v>
      </x:c>
      <x:c r="O230" s="71" t="n">
        <x:v>0.1758170652007978</x:v>
      </x:c>
      <x:c r="P230" s="71" t="n">
        <x:v>6</x:v>
      </x:c>
      <x:c r="Q230" s="71" t="n">
        <x:v>634.5936842388002</x:v>
      </x:c>
      <x:c r="R230" s="34" t="str">
        <x:v>tract internal point; no person, address, building, parcel, or route condition</x:v>
      </x:c>
    </x:row>
    <x:row r="231" ht="86.4000015258789" hidden="0" customHeight="1">
      <x:c r="A231" s="36" t="str">
        <x:v>48201253900</x:v>
      </x:c>
      <x:c r="B231" s="63" t="n">
        <x:v>4042</x:v>
      </x:c>
      <x:c r="C231" s="63" t="n">
        <x:v>399</x:v>
      </x:c>
      <x:c r="D231" s="63" t="n">
        <x:v>34</x:v>
      </x:c>
      <x:c r="E231" s="45" t="n">
        <x:v>0.09871350816427511</x:v>
      </x:c>
      <x:c r="F231" s="45" t="n">
        <x:v>0.008411677387431964</x:v>
      </x:c>
      <x:c r="G231" s="66" t="n">
        <x:v>1866</x:v>
      </x:c>
      <x:c r="H231" s="66" t="n">
        <x:v>158</x:v>
      </x:c>
      <x:c r="I231" s="66" t="n">
        <x:v>0.08467309753483387</x:v>
      </x:c>
      <x:c r="J231" s="36" t="str">
        <x:v>low</x:v>
      </x:c>
      <x:c r="K231" s="72" t="n">
        <x:v>29.7529642</x:v>
      </x:c>
      <x:c r="L231" s="72" t="n">
        <x:v>-94.9334749</x:v>
      </x:c>
      <x:c r="M231" s="72" t="n">
        <x:v>1.698</x:v>
      </x:c>
      <x:c r="N231" s="72" t="n">
        <x:v>0.10722883462926291</x:v>
      </x:c>
      <x:c r="O231" s="72" t="n">
        <x:v>6.321463196664869</x:v>
      </x:c>
      <x:c r="P231" s="72" t="n">
        <x:v>6</x:v>
      </x:c>
      <x:c r="Q231" s="72" t="n">
        <x:v>324.22108273536685</x:v>
      </x:c>
      <x:c r="R231" s="36" t="str">
        <x:v>tract internal point; no person, address, building, parcel, or route condition</x:v>
      </x:c>
    </x:row>
    <x:row r="232" ht="86.4000015258789" hidden="0" customHeight="1">
      <x:c r="A232" s="34" t="str">
        <x:v>48201254000</x:v>
      </x:c>
      <x:c r="B232" s="62" t="n">
        <x:v>3662</x:v>
      </x:c>
      <x:c r="C232" s="62" t="n">
        <x:v>510</x:v>
      </x:c>
      <x:c r="D232" s="62" t="n">
        <x:v>219</x:v>
      </x:c>
      <x:c r="E232" s="43" t="n">
        <x:v>0.13926815947569635</x:v>
      </x:c>
      <x:c r="F232" s="43" t="n">
        <x:v>0.059803386127799014</x:v>
      </x:c>
      <x:c r="G232" s="65" t="n">
        <x:v>1722</x:v>
      </x:c>
      <x:c r="H232" s="65" t="n">
        <x:v>421</x:v>
      </x:c>
      <x:c r="I232" s="65" t="n">
        <x:v>0.24448315911730545</x:v>
      </x:c>
      <x:c r="J232" s="34" t="str">
        <x:v>low</x:v>
      </x:c>
      <x:c r="K232" s="71" t="n">
        <x:v>29.7343474</x:v>
      </x:c>
      <x:c r="L232" s="71" t="n">
        <x:v>-94.9429906</x:v>
      </x:c>
      <x:c r="M232" s="71" t="n">
        <x:v>0.991</x:v>
      </x:c>
      <x:c r="N232" s="71" t="n">
        <x:v>0.0389827402446517</x:v>
      </x:c>
      <x:c r="O232" s="71" t="n">
        <x:v>7.623365200864982</x:v>
      </x:c>
      <x:c r="P232" s="71" t="n">
        <x:v>6</x:v>
      </x:c>
      <x:c r="Q232" s="71" t="n">
        <x:v>297.5537179113316</x:v>
      </x:c>
      <x:c r="R232" s="34" t="str">
        <x:v>tract internal point; no person, address, building, parcel, or route condition</x:v>
      </x:c>
    </x:row>
    <x:row r="233" ht="86.4000015258789" hidden="0" customHeight="1">
      <x:c r="A233" s="36" t="str">
        <x:v>48201254100</x:v>
      </x:c>
      <x:c r="B233" s="63" t="n">
        <x:v>6092</x:v>
      </x:c>
      <x:c r="C233" s="63" t="n">
        <x:v>810</x:v>
      </x:c>
      <x:c r="D233" s="63" t="n">
        <x:v>635</x:v>
      </x:c>
      <x:c r="E233" s="45" t="n">
        <x:v>0.1329612606697308</x:v>
      </x:c>
      <x:c r="F233" s="45" t="n">
        <x:v>0.10423506237688772</x:v>
      </x:c>
      <x:c r="G233" s="66" t="n">
        <x:v>1980</x:v>
      </x:c>
      <x:c r="H233" s="66" t="n">
        <x:v>64</x:v>
      </x:c>
      <x:c r="I233" s="66" t="n">
        <x:v>0.03232323232323232</x:v>
      </x:c>
      <x:c r="J233" s="36" t="str">
        <x:v>low</x:v>
      </x:c>
      <x:c r="K233" s="72" t="n">
        <x:v>29.7463599</x:v>
      </x:c>
      <x:c r="L233" s="72" t="n">
        <x:v>-94.9558793</x:v>
      </x:c>
      <x:c r="M233" s="72" t="n">
        <x:v>1.246</x:v>
      </x:c>
      <x:c r="N233" s="72" t="n">
        <x:v>0.1142024754417458</x:v>
      </x:c>
      <x:c r="O233" s="72" t="n">
        <x:v>5.741702366103449</x:v>
      </x:c>
      <x:c r="P233" s="72" t="n">
        <x:v>6</x:v>
      </x:c>
      <x:c r="Q233" s="72" t="n">
        <x:v>496.52542668977975</x:v>
      </x:c>
      <x:c r="R233" s="36" t="str">
        <x:v>tract internal point; no person, address, building, parcel, or route condition</x:v>
      </x:c>
    </x:row>
    <x:row r="234" ht="86.4000015258789" hidden="0" customHeight="1">
      <x:c r="A234" s="34" t="str">
        <x:v>48201254200</x:v>
      </x:c>
      <x:c r="B234" s="62" t="n">
        <x:v>2570</x:v>
      </x:c>
      <x:c r="C234" s="62" t="n">
        <x:v>363</x:v>
      </x:c>
      <x:c r="D234" s="62" t="n">
        <x:v>325</x:v>
      </x:c>
      <x:c r="E234" s="43" t="n">
        <x:v>0.14124513618677043</x:v>
      </x:c>
      <x:c r="F234" s="43" t="n">
        <x:v>0.1264591439688716</x:v>
      </x:c>
      <x:c r="G234" s="65" t="n">
        <x:v>950</x:v>
      </x:c>
      <x:c r="H234" s="65" t="n">
        <x:v>23</x:v>
      </x:c>
      <x:c r="I234" s="65" t="n">
        <x:v>0.024210526315789474</x:v>
      </x:c>
      <x:c r="J234" s="34" t="str">
        <x:v>low</x:v>
      </x:c>
      <x:c r="K234" s="71" t="n">
        <x:v>29.7287156</x:v>
      </x:c>
      <x:c r="L234" s="71" t="n">
        <x:v>-94.9645049</x:v>
      </x:c>
      <x:c r="M234" s="71" t="n">
        <x:v>0.487</x:v>
      </x:c>
      <x:c r="N234" s="71" t="n">
        <x:v>0.005130884389756793</x:v>
      </x:c>
      <x:c r="O234" s="71" t="n">
        <x:v>6.996192450446526</x:v>
      </x:c>
      <x:c r="P234" s="71" t="n">
        <x:v>6</x:v>
      </x:c>
      <x:c r="Q234" s="71" t="n">
        <x:v>210.25012567278668</x:v>
      </x:c>
      <x:c r="R234" s="34" t="str">
        <x:v>tract internal point; no person, address, building, parcel, or route condition</x:v>
      </x:c>
    </x:row>
    <x:row r="235" ht="86.4000015258789" hidden="0" customHeight="1">
      <x:c r="A235" s="36" t="str">
        <x:v>48201254300</x:v>
      </x:c>
      <x:c r="B235" s="63" t="n">
        <x:v>5272</x:v>
      </x:c>
      <x:c r="C235" s="63" t="n">
        <x:v>598</x:v>
      </x:c>
      <x:c r="D235" s="63" t="n">
        <x:v>372</x:v>
      </x:c>
      <x:c r="E235" s="45" t="n">
        <x:v>0.11342943854324734</x:v>
      </x:c>
      <x:c r="F235" s="45" t="n">
        <x:v>0.07056145675265554</x:v>
      </x:c>
      <x:c r="G235" s="66" t="n">
        <x:v>1950</x:v>
      </x:c>
      <x:c r="H235" s="66" t="n">
        <x:v>122</x:v>
      </x:c>
      <x:c r="I235" s="66" t="n">
        <x:v>0.06256410256410257</x:v>
      </x:c>
      <x:c r="J235" s="36" t="str">
        <x:v>low</x:v>
      </x:c>
      <x:c r="K235" s="72" t="n">
        <x:v>29.7418815</x:v>
      </x:c>
      <x:c r="L235" s="72" t="n">
        <x:v>-94.974773</x:v>
      </x:c>
      <x:c r="M235" s="72" t="n">
        <x:v>1.165</x:v>
      </x:c>
      <x:c r="N235" s="72" t="n">
        <x:v>0.07313065095310839</x:v>
      </x:c>
      <x:c r="O235" s="72" t="n">
        <x:v>7.698342169008164</x:v>
      </x:c>
      <x:c r="P235" s="72" t="n">
        <x:v>6</x:v>
      </x:c>
      <x:c r="Q235" s="72" t="n">
        <x:v>426.67783718456303</x:v>
      </x:c>
      <x:c r="R235" s="36" t="str">
        <x:v>tract internal point; no person, address, building, parcel, or route condition</x:v>
      </x:c>
    </x:row>
    <x:row r="236" ht="86.4000015258789" hidden="0" customHeight="1">
      <x:c r="A236" s="34" t="str">
        <x:v>48201254400</x:v>
      </x:c>
      <x:c r="B236" s="62" t="n">
        <x:v>2594</x:v>
      </x:c>
      <x:c r="C236" s="62" t="n">
        <x:v>372</x:v>
      </x:c>
      <x:c r="D236" s="62" t="n">
        <x:v>126</x:v>
      </x:c>
      <x:c r="E236" s="43" t="n">
        <x:v>0.14340786430223593</x:v>
      </x:c>
      <x:c r="F236" s="43" t="n">
        <x:v>0.04857363145720894</x:v>
      </x:c>
      <x:c r="G236" s="65" t="n">
        <x:v>1156</x:v>
      </x:c>
      <x:c r="H236" s="65" t="n">
        <x:v>21</x:v>
      </x:c>
      <x:c r="I236" s="65" t="n">
        <x:v>0.018166089965397925</x:v>
      </x:c>
      <x:c r="J236" s="34" t="str">
        <x:v>low</x:v>
      </x:c>
      <x:c r="K236" s="71" t="n">
        <x:v>29.7264985</x:v>
      </x:c>
      <x:c r="L236" s="71" t="n">
        <x:v>-94.9771664</x:v>
      </x:c>
      <x:c r="M236" s="71" t="n">
        <x:v>1.063</x:v>
      </x:c>
      <x:c r="N236" s="71" t="n">
        <x:v>0.08935126423792068</x:v>
      </x:c>
      <x:c r="O236" s="71" t="n">
        <x:v>9.513916704030319</x:v>
      </x:c>
      <x:c r="P236" s="71" t="n">
        <x:v>6</x:v>
      </x:c>
      <x:c r="Q236" s="71" t="n">
        <x:v>210.71383758690936</x:v>
      </x:c>
      <x:c r="R236" s="34" t="str">
        <x:v>tract internal point; no person, address, building, parcel, or route condition</x:v>
      </x:c>
    </x:row>
    <x:row r="237" ht="86.4000015258789" hidden="0" customHeight="1">
      <x:c r="A237" s="36" t="str">
        <x:v>48201254600</x:v>
      </x:c>
      <x:c r="B237" s="63" t="n">
        <x:v>3419</x:v>
      </x:c>
      <x:c r="C237" s="63" t="n">
        <x:v>342</x:v>
      </x:c>
      <x:c r="D237" s="63" t="n">
        <x:v>94</x:v>
      </x:c>
      <x:c r="E237" s="45" t="n">
        <x:v>0.1000292483182217</x:v>
      </x:c>
      <x:c r="F237" s="45" t="n">
        <x:v>0.02749341912840012</x:v>
      </x:c>
      <x:c r="G237" s="66" t="n">
        <x:v>1437</x:v>
      </x:c>
      <x:c r="H237" s="66" t="n">
        <x:v>42</x:v>
      </x:c>
      <x:c r="I237" s="66" t="n">
        <x:v>0.029227557411273485</x:v>
      </x:c>
      <x:c r="J237" s="36" t="str">
        <x:v>high</x:v>
      </x:c>
      <x:c r="K237" s="72" t="n">
        <x:v>29.7163341</x:v>
      </x:c>
      <x:c r="L237" s="72" t="n">
        <x:v>-95.0009518</x:v>
      </x:c>
      <x:c r="M237" s="72" t="n">
        <x:v>1.637</x:v>
      </x:c>
      <x:c r="N237" s="72" t="n">
        <x:v>0.1949120630510728</x:v>
      </x:c>
      <x:c r="O237" s="72" t="n">
        <x:v>9.976013026930826</x:v>
      </x:c>
      <x:c r="P237" s="72" t="n">
        <x:v>6</x:v>
      </x:c>
      <x:c r="Q237" s="72" t="n">
        <x:v>591.9454888723875</x:v>
      </x:c>
      <x:c r="R237" s="36" t="str">
        <x:v>tract internal point; no person, address, building, parcel, or route condition</x:v>
      </x:c>
    </x:row>
    <x:row r="238" ht="86.4000015258789" hidden="0" customHeight="1">
      <x:c r="A238" s="34" t="str">
        <x:v>48201254700</x:v>
      </x:c>
      <x:c r="B238" s="62" t="n">
        <x:v>2665</x:v>
      </x:c>
      <x:c r="C238" s="62" t="n">
        <x:v>380</x:v>
      </x:c>
      <x:c r="D238" s="62" t="n">
        <x:v>325.5</x:v>
      </x:c>
      <x:c r="E238" s="43" t="n">
        <x:v>0.1425891181988743</x:v>
      </x:c>
      <x:c r="F238" s="43" t="n">
        <x:v>0.12213883677298311</x:v>
      </x:c>
      <x:c r="G238" s="65" t="n">
        <x:v>1187</x:v>
      </x:c>
      <x:c r="H238" s="65" t="n">
        <x:v>100</x:v>
      </x:c>
      <x:c r="I238" s="65" t="n">
        <x:v>0.08424599831508003</x:v>
      </x:c>
      <x:c r="J238" s="34" t="str">
        <x:v>low</x:v>
      </x:c>
      <x:c r="K238" s="71" t="n">
        <x:v>29.7034554</x:v>
      </x:c>
      <x:c r="L238" s="71" t="n">
        <x:v>-94.9581652</x:v>
      </x:c>
      <x:c r="M238" s="71" t="n">
        <x:v>5.651</x:v>
      </x:c>
      <x:c r="N238" s="71" t="n">
        <x:v>0.2993119592955181</x:v>
      </x:c>
      <x:c r="O238" s="71" t="n">
        <x:v>10.987221847842733</x:v>
      </x:c>
      <x:c r="P238" s="71" t="n">
        <x:v>6</x:v>
      </x:c>
      <x:c r="Q238" s="71" t="n">
        <x:v>217.98782701946004</x:v>
      </x:c>
      <x:c r="R238" s="34" t="str">
        <x:v>tract internal point; no person, address, building, parcel, or route condition</x:v>
      </x:c>
    </x:row>
    <x:row r="239" ht="86.4000015258789" hidden="0" customHeight="1">
      <x:c r="A239" s="36" t="str">
        <x:v>48201254800</x:v>
      </x:c>
      <x:c r="B239" s="63" t="n">
        <x:v>2376</x:v>
      </x:c>
      <x:c r="C239" s="63" t="n">
        <x:v>396</x:v>
      </x:c>
      <x:c r="D239" s="63" t="n">
        <x:v>41.5</x:v>
      </x:c>
      <x:c r="E239" s="45" t="n">
        <x:v>0.16666666666666666</x:v>
      </x:c>
      <x:c r="F239" s="45" t="n">
        <x:v>0.017466329966329967</x:v>
      </x:c>
      <x:c r="G239" s="66" t="n">
        <x:v>984</x:v>
      </x:c>
      <x:c r="H239" s="66" t="n">
        <x:v>64</x:v>
      </x:c>
      <x:c r="I239" s="66" t="n">
        <x:v>0.06504065040650407</x:v>
      </x:c>
      <x:c r="J239" s="36" t="str">
        <x:v>low</x:v>
      </x:c>
      <x:c r="K239" s="72" t="n">
        <x:v>29.7455562</x:v>
      </x:c>
      <x:c r="L239" s="72" t="n">
        <x:v>-95.008638</x:v>
      </x:c>
      <x:c r="M239" s="72" t="n">
        <x:v>7.148</x:v>
      </x:c>
      <x:c r="N239" s="72" t="n">
        <x:v>0.32577213337072797</x:v>
      </x:c>
      <x:c r="O239" s="72" t="n">
        <x:v>10.525464409640513</x:v>
      </x:c>
      <x:c r="P239" s="72" t="n">
        <x:v>6</x:v>
      </x:c>
      <x:c r="Q239" s="72" t="n">
        <x:v>193.29320271143806</x:v>
      </x:c>
      <x:c r="R239" s="36" t="str">
        <x:v>tract internal point; no person, address, building, parcel, or route condition</x:v>
      </x:c>
    </x:row>
    <x:row r="240" ht="86.4000015258789" hidden="0" customHeight="1">
      <x:c r="A240" s="34" t="str">
        <x:v>48201310101</x:v>
      </x:c>
      <x:c r="B240" s="62" t="n">
        <x:v>2760</x:v>
      </x:c>
      <x:c r="C240" s="62" t="n">
        <x:v>339</x:v>
      </x:c>
      <x:c r="D240" s="62" t="n">
        <x:v>241</x:v>
      </x:c>
      <x:c r="E240" s="43" t="n">
        <x:v>0.12282608695652174</x:v>
      </x:c>
      <x:c r="F240" s="43" t="n">
        <x:v>0.08731884057971015</x:v>
      </x:c>
      <x:c r="G240" s="65" t="n">
        <x:v>1806</x:v>
      </x:c>
      <x:c r="H240" s="65" t="n">
        <x:v>591</x:v>
      </x:c>
      <x:c r="I240" s="65" t="n">
        <x:v>0.3272425249169435</x:v>
      </x:c>
      <x:c r="J240" s="34" t="str">
        <x:v>low</x:v>
      </x:c>
      <x:c r="K240" s="71" t="n">
        <x:v>29.7525284</x:v>
      </x:c>
      <x:c r="L240" s="71" t="n">
        <x:v>-95.3436349</x:v>
      </x:c>
      <x:c r="M240" s="71" t="n">
        <x:v>0.848</x:v>
      </x:c>
      <x:c r="N240" s="71" t="n">
        <x:v>0.05319783041983103</x:v>
      </x:c>
      <x:c r="O240" s="71" t="n">
        <x:v>14.456281058090003</x:v>
      </x:c>
      <x:c r="P240" s="71" t="n">
        <x:v>3</x:v>
      </x:c>
      <x:c r="Q240" s="71" t="n">
        <x:v>224.1457640485292</x:v>
      </x:c>
      <x:c r="R240" s="34" t="str">
        <x:v>tract internal point; no person, address, building, parcel, or route condition</x:v>
      </x:c>
    </x:row>
    <x:row r="241" ht="86.4000015258789" hidden="0" customHeight="1">
      <x:c r="A241" s="36" t="str">
        <x:v>48201310102</x:v>
      </x:c>
      <x:c r="B241" s="63" t="n">
        <x:v>2378</x:v>
      </x:c>
      <x:c r="C241" s="63" t="n">
        <x:v>324</x:v>
      </x:c>
      <x:c r="D241" s="63" t="n">
        <x:v>296</x:v>
      </x:c>
      <x:c r="E241" s="45" t="n">
        <x:v>0.13624894869638352</x:v>
      </x:c>
      <x:c r="F241" s="45" t="n">
        <x:v>0.12447434819175777</x:v>
      </x:c>
      <x:c r="G241" s="66" t="n">
        <x:v>1606</x:v>
      </x:c>
      <x:c r="H241" s="66" t="n">
        <x:v>820</x:v>
      </x:c>
      <x:c r="I241" s="66" t="n">
        <x:v>0.5105853051058531</x:v>
      </x:c>
      <x:c r="J241" s="36" t="str">
        <x:v>low</x:v>
      </x:c>
      <x:c r="K241" s="72" t="n">
        <x:v>29.759711</x:v>
      </x:c>
      <x:c r="L241" s="72" t="n">
        <x:v>-95.3428956</x:v>
      </x:c>
      <x:c r="M241" s="72" t="n">
        <x:v>0.439</x:v>
      </x:c>
      <x:c r="N241" s="72" t="n">
        <x:v>0.07172961891830253</x:v>
      </x:c>
      <x:c r="O241" s="72" t="n">
        <x:v>14.563628921799305</x:v>
      </x:c>
      <x:c r="P241" s="72" t="n">
        <x:v>3</x:v>
      </x:c>
      <x:c r="Q241" s="72" t="n">
        <x:v>194.31887058928558</x:v>
      </x:c>
      <x:c r="R241" s="36" t="str">
        <x:v>tract internal point; no person, address, building, parcel, or route condition</x:v>
      </x:c>
    </x:row>
    <x:row r="242" ht="86.4000015258789" hidden="0" customHeight="1">
      <x:c r="A242" s="34" t="str">
        <x:v>48201310200</x:v>
      </x:c>
      <x:c r="B242" s="62" t="n">
        <x:v>2129</x:v>
      </x:c>
      <x:c r="C242" s="62" t="n">
        <x:v>177</x:v>
      </x:c>
      <x:c r="D242" s="62" t="n">
        <x:v>245</x:v>
      </x:c>
      <x:c r="E242" s="43" t="n">
        <x:v>0.08313762329732269</x:v>
      </x:c>
      <x:c r="F242" s="43" t="n">
        <x:v>0.11507750117426022</x:v>
      </x:c>
      <x:c r="G242" s="65" t="n">
        <x:v>1527</x:v>
      </x:c>
      <x:c r="H242" s="65" t="n">
        <x:v>366</x:v>
      </x:c>
      <x:c r="I242" s="65" t="n">
        <x:v>0.23968565815324164</x:v>
      </x:c>
      <x:c r="J242" s="34" t="str">
        <x:v>low</x:v>
      </x:c>
      <x:c r="K242" s="71" t="n">
        <x:v>29.7434743</x:v>
      </x:c>
      <x:c r="L242" s="71" t="n">
        <x:v>-95.3511272</x:v>
      </x:c>
      <x:c r="M242" s="71" t="n">
        <x:v>0.721</x:v>
      </x:c>
      <x:c r="N242" s="71" t="n">
        <x:v>0.038462377556168034</x:v>
      </x:c>
      <x:c r="O242" s="71" t="n">
        <x:v>13.468930223078655</x:v>
      </x:c>
      <x:c r="P242" s="71" t="n">
        <x:v>3</x:v>
      </x:c>
      <x:c r="Q242" s="71" t="n">
        <x:v>172.03712013949487</x:v>
      </x:c>
      <x:c r="R242" s="34" t="str">
        <x:v>tract internal point; no person, address, building, parcel, or route condition</x:v>
      </x:c>
    </x:row>
    <x:row r="243" ht="86.4000015258789" hidden="0" customHeight="1">
      <x:c r="A243" s="36" t="str">
        <x:v>48201310300</x:v>
      </x:c>
      <x:c r="B243" s="63" t="n">
        <x:v>4058</x:v>
      </x:c>
      <x:c r="C243" s="63" t="n">
        <x:v>856</x:v>
      </x:c>
      <x:c r="D243" s="63" t="n">
        <x:v>658</x:v>
      </x:c>
      <x:c r="E243" s="45" t="n">
        <x:v>0.2109413504189256</x:v>
      </x:c>
      <x:c r="F243" s="45" t="n">
        <x:v>0.1621488417939872</x:v>
      </x:c>
      <x:c r="G243" s="66" t="n">
        <x:v>2446</x:v>
      </x:c>
      <x:c r="H243" s="66" t="n">
        <x:v>511</x:v>
      </x:c>
      <x:c r="I243" s="66" t="n">
        <x:v>0.2089125102207686</x:v>
      </x:c>
      <x:c r="J243" s="36" t="str">
        <x:v>low</x:v>
      </x:c>
      <x:c r="K243" s="72" t="n">
        <x:v>29.7364559</x:v>
      </x:c>
      <x:c r="L243" s="72" t="n">
        <x:v>-95.3359747</x:v>
      </x:c>
      <x:c r="M243" s="72" t="n">
        <x:v>0.868</x:v>
      </x:c>
      <x:c r="N243" s="72" t="n">
        <x:v>0.021590900250571705</x:v>
      </x:c>
      <x:c r="O243" s="72" t="n">
        <x:v>14.864512178219162</x:v>
      </x:c>
      <x:c r="P243" s="72" t="n">
        <x:v>3</x:v>
      </x:c>
      <x:c r="Q243" s="72" t="n">
        <x:v>337.5665544333366</x:v>
      </x:c>
      <x:c r="R243" s="36" t="str">
        <x:v>tract internal point; no person, address, building, parcel, or route condition</x:v>
      </x:c>
    </x:row>
    <x:row r="244" ht="86.4000015258789" hidden="0" customHeight="1">
      <x:c r="A244" s="34" t="str">
        <x:v>48201310400</x:v>
      </x:c>
      <x:c r="B244" s="62" t="n">
        <x:v>3018</x:v>
      </x:c>
      <x:c r="C244" s="62" t="n">
        <x:v>510</x:v>
      </x:c>
      <x:c r="D244" s="62" t="n">
        <x:v>156</x:v>
      </x:c>
      <x:c r="E244" s="43" t="n">
        <x:v>0.16898608349900596</x:v>
      </x:c>
      <x:c r="F244" s="43" t="n">
        <x:v>0.05168986083499006</x:v>
      </x:c>
      <x:c r="G244" s="65" t="n">
        <x:v>1694</x:v>
      </x:c>
      <x:c r="H244" s="65" t="n">
        <x:v>46</x:v>
      </x:c>
      <x:c r="I244" s="65" t="n">
        <x:v>0.02715466351829988</x:v>
      </x:c>
      <x:c r="J244" s="34" t="str">
        <x:v>low</x:v>
      </x:c>
      <x:c r="K244" s="71" t="n">
        <x:v>29.7514647</x:v>
      </x:c>
      <x:c r="L244" s="71" t="n">
        <x:v>-95.3287113</x:v>
      </x:c>
      <x:c r="M244" s="71" t="n">
        <x:v>0.659</x:v>
      </x:c>
      <x:c r="N244" s="71" t="n">
        <x:v>0.07103378421765308</x:v>
      </x:c>
      <x:c r="O244" s="71" t="n">
        <x:v>17.225606263504357</x:v>
      </x:c>
      <x:c r="P244" s="71" t="n">
        <x:v>3</x:v>
      </x:c>
      <x:c r="Q244" s="71" t="n">
        <x:v>246.44323354625618</x:v>
      </x:c>
      <x:c r="R244" s="34" t="str">
        <x:v>tract internal point; no person, address, building, parcel, or route condition</x:v>
      </x:c>
    </x:row>
    <x:row r="245" ht="86.4000015258789" hidden="0" customHeight="1">
      <x:c r="A245" s="36" t="str">
        <x:v>48201310500</x:v>
      </x:c>
      <x:c r="B245" s="63" t="n">
        <x:v>3409</x:v>
      </x:c>
      <x:c r="C245" s="63" t="n">
        <x:v>758</x:v>
      </x:c>
      <x:c r="D245" s="63" t="n">
        <x:v>172</x:v>
      </x:c>
      <x:c r="E245" s="45" t="n">
        <x:v>0.22235259606922853</x:v>
      </x:c>
      <x:c r="F245" s="45" t="n">
        <x:v>0.05045467879143444</x:v>
      </x:c>
      <x:c r="G245" s="66" t="n">
        <x:v>1935</x:v>
      </x:c>
      <x:c r="H245" s="66" t="n">
        <x:v>111</x:v>
      </x:c>
      <x:c r="I245" s="66" t="n">
        <x:v>0.05736434108527132</x:v>
      </x:c>
      <x:c r="J245" s="36" t="str">
        <x:v>low</x:v>
      </x:c>
      <x:c r="K245" s="72" t="n">
        <x:v>29.7465598</x:v>
      </x:c>
      <x:c r="L245" s="72" t="n">
        <x:v>-95.3167847</x:v>
      </x:c>
      <x:c r="M245" s="72" t="n">
        <x:v>1.162</x:v>
      </x:c>
      <x:c r="N245" s="72" t="n">
        <x:v>0.014351186572644213</x:v>
      </x:c>
      <x:c r="O245" s="72" t="n">
        <x:v>18.786389218285386</x:v>
      </x:c>
      <x:c r="P245" s="72" t="n">
        <x:v>3</x:v>
      </x:c>
      <x:c r="Q245" s="72" t="n">
        <x:v>281.1980485335487</x:v>
      </x:c>
      <x:c r="R245" s="36" t="str">
        <x:v>tract internal point; no person, address, building, parcel, or route condition</x:v>
      </x:c>
    </x:row>
    <x:row r="246" ht="86.4000015258789" hidden="0" customHeight="1">
      <x:c r="A246" s="34" t="str">
        <x:v>48201310600</x:v>
      </x:c>
      <x:c r="B246" s="62" t="n">
        <x:v>4598</x:v>
      </x:c>
      <x:c r="C246" s="62" t="n">
        <x:v>937</x:v>
      </x:c>
      <x:c r="D246" s="62" t="n">
        <x:v>450</x:v>
      </x:c>
      <x:c r="E246" s="43" t="n">
        <x:v>0.2037842540234885</x:v>
      </x:c>
      <x:c r="F246" s="43" t="n">
        <x:v>0.09786863853849499</x:v>
      </x:c>
      <x:c r="G246" s="65" t="n">
        <x:v>2530</x:v>
      </x:c>
      <x:c r="H246" s="65" t="n">
        <x:v>0</x:v>
      </x:c>
      <x:c r="I246" s="65" t="n">
        <x:v>0</x:v>
      </x:c>
      <x:c r="J246" s="34" t="str">
        <x:v>low</x:v>
      </x:c>
      <x:c r="K246" s="71" t="n">
        <x:v>29.732539</x:v>
      </x:c>
      <x:c r="L246" s="71" t="n">
        <x:v>-95.3248198</x:v>
      </x:c>
      <x:c r="M246" s="71" t="n">
        <x:v>0.686</x:v>
      </x:c>
      <x:c r="N246" s="71" t="n">
        <x:v>0.05466390319891288</x:v>
      </x:c>
      <x:c r="O246" s="71" t="n">
        <x:v>15.82622816733253</x:v>
      </x:c>
      <x:c r="P246" s="71" t="n">
        <x:v>3</x:v>
      </x:c>
      <x:c r="Q246" s="71" t="n">
        <x:v>379.646445758973</x:v>
      </x:c>
      <x:c r="R246" s="34" t="str">
        <x:v>tract internal point; no person, address, building, parcel, or route condition</x:v>
      </x:c>
    </x:row>
    <x:row r="247" ht="86.4000015258789" hidden="0" customHeight="1">
      <x:c r="A247" s="36" t="str">
        <x:v>48201310700</x:v>
      </x:c>
      <x:c r="B247" s="63" t="n">
        <x:v>3326</x:v>
      </x:c>
      <x:c r="C247" s="63" t="n">
        <x:v>622</x:v>
      </x:c>
      <x:c r="D247" s="63" t="n">
        <x:v>145</x:v>
      </x:c>
      <x:c r="E247" s="45" t="n">
        <x:v>0.18701142513529764</x:v>
      </x:c>
      <x:c r="F247" s="45" t="n">
        <x:v>0.04359591100420926</x:v>
      </x:c>
      <x:c r="G247" s="66" t="n">
        <x:v>1700</x:v>
      </x:c>
      <x:c r="H247" s="66" t="n">
        <x:v>193</x:v>
      </x:c>
      <x:c r="I247" s="66" t="n">
        <x:v>0.11352941176470588</x:v>
      </x:c>
      <x:c r="J247" s="36" t="str">
        <x:v>low</x:v>
      </x:c>
      <x:c r="K247" s="72" t="n">
        <x:v>29.7223865</x:v>
      </x:c>
      <x:c r="L247" s="72" t="n">
        <x:v>-95.3144687</x:v>
      </x:c>
      <x:c r="M247" s="72" t="n">
        <x:v>0.752</x:v>
      </x:c>
      <x:c r="N247" s="72" t="n">
        <x:v>0.21268628516597027</x:v>
      </x:c>
      <x:c r="O247" s="72" t="n">
        <x:v>15.62239383242322</x:v>
      </x:c>
      <x:c r="P247" s="72" t="n">
        <x:v>3</x:v>
      </x:c>
      <x:c r="Q247" s="72" t="n">
        <x:v>272.3246459734733</x:v>
      </x:c>
      <x:c r="R247" s="36" t="str">
        <x:v>tract internal point; no person, address, building, parcel, or route condition</x:v>
      </x:c>
    </x:row>
    <x:row r="248" ht="86.4000015258789" hidden="0" customHeight="1">
      <x:c r="A248" s="34" t="str">
        <x:v>48201310800</x:v>
      </x:c>
      <x:c r="B248" s="62" t="n">
        <x:v>3118</x:v>
      </x:c>
      <x:c r="C248" s="62" t="n">
        <x:v>506</x:v>
      </x:c>
      <x:c r="D248" s="62" t="n">
        <x:v>337.5</x:v>
      </x:c>
      <x:c r="E248" s="43" t="n">
        <x:v>0.16228351507376523</x:v>
      </x:c>
      <x:c r="F248" s="43" t="n">
        <x:v>0.10824246311738293</x:v>
      </x:c>
      <x:c r="G248" s="65" t="n">
        <x:v>1302</x:v>
      </x:c>
      <x:c r="H248" s="65" t="n">
        <x:v>312</x:v>
      </x:c>
      <x:c r="I248" s="65" t="n">
        <x:v>0.23963133640552994</x:v>
      </x:c>
      <x:c r="J248" s="34" t="str">
        <x:v>low</x:v>
      </x:c>
      <x:c r="K248" s="71" t="n">
        <x:v>29.7299752</x:v>
      </x:c>
      <x:c r="L248" s="71" t="n">
        <x:v>-95.3107949</x:v>
      </x:c>
      <x:c r="M248" s="71" t="n">
        <x:v>0.733</x:v>
      </x:c>
      <x:c r="N248" s="71" t="n">
        <x:v>0.044632793007890574</x:v>
      </x:c>
      <x:c r="O248" s="71" t="n">
        <x:v>15.26803879131886</x:v>
      </x:c>
      <x:c r="P248" s="71" t="n">
        <x:v>3</x:v>
      </x:c>
      <x:c r="Q248" s="71" t="n">
        <x:v>255.66638492291557</x:v>
      </x:c>
      <x:c r="R248" s="34" t="str">
        <x:v>tract internal point; no person, address, building, parcel, or route condition</x:v>
      </x:c>
    </x:row>
    <x:row r="249" ht="86.4000015258789" hidden="0" customHeight="1">
      <x:c r="A249" s="36" t="str">
        <x:v>48201310900</x:v>
      </x:c>
      <x:c r="B249" s="63" t="n">
        <x:v>4145</x:v>
      </x:c>
      <x:c r="C249" s="63" t="n">
        <x:v>1336</x:v>
      </x:c>
      <x:c r="D249" s="63" t="n">
        <x:v>304</x:v>
      </x:c>
      <x:c r="E249" s="45" t="n">
        <x:v>0.3223160434258142</x:v>
      </x:c>
      <x:c r="F249" s="45" t="n">
        <x:v>0.07334137515078408</x:v>
      </x:c>
      <x:c r="G249" s="66" t="n">
        <x:v>2225</x:v>
      </x:c>
      <x:c r="H249" s="66" t="n">
        <x:v>417</x:v>
      </x:c>
      <x:c r="I249" s="66" t="n">
        <x:v>0.18741573033707865</x:v>
      </x:c>
      <x:c r="J249" s="36" t="str">
        <x:v>low</x:v>
      </x:c>
      <x:c r="K249" s="72" t="n">
        <x:v>29.7357279</x:v>
      </x:c>
      <x:c r="L249" s="72" t="n">
        <x:v>-95.3009728</x:v>
      </x:c>
      <x:c r="M249" s="72" t="n">
        <x:v>0.672</x:v>
      </x:c>
      <x:c r="N249" s="72" t="n">
        <x:v>0.047437373905959986</x:v>
      </x:c>
      <x:c r="O249" s="72" t="n">
        <x:v>16.334827716813514</x:v>
      </x:c>
      <x:c r="P249" s="72" t="n">
        <x:v>3</x:v>
      </x:c>
      <x:c r="Q249" s="72" t="n">
        <x:v>349.1672118103705</x:v>
      </x:c>
      <x:c r="R249" s="36" t="str">
        <x:v>tract internal point; no person, address, building, parcel, or route condition</x:v>
      </x:c>
    </x:row>
    <x:row r="250" ht="86.4000015258789" hidden="0" customHeight="1">
      <x:c r="A250" s="34" t="str">
        <x:v>48201311001</x:v>
      </x:c>
      <x:c r="B250" s="62" t="n">
        <x:v>2746</x:v>
      </x:c>
      <x:c r="C250" s="62" t="n">
        <x:v>384</x:v>
      </x:c>
      <x:c r="D250" s="62" t="n">
        <x:v>157</x:v>
      </x:c>
      <x:c r="E250" s="43" t="n">
        <x:v>0.13983976693372177</x:v>
      </x:c>
      <x:c r="F250" s="43" t="n">
        <x:v>0.0571740713765477</x:v>
      </x:c>
      <x:c r="G250" s="65" t="n">
        <x:v>1148</x:v>
      </x:c>
      <x:c r="H250" s="65" t="n">
        <x:v>0</x:v>
      </x:c>
      <x:c r="I250" s="65" t="n">
        <x:v>0</x:v>
      </x:c>
      <x:c r="J250" s="34" t="str">
        <x:v>low</x:v>
      </x:c>
      <x:c r="K250" s="71" t="n">
        <x:v>29.7457725</x:v>
      </x:c>
      <x:c r="L250" s="71" t="n">
        <x:v>-95.3037286</x:v>
      </x:c>
      <x:c r="M250" s="71" t="n">
        <x:v>0.321</x:v>
      </x:c>
      <x:c r="N250" s="71" t="n">
        <x:v>0.10874825543267762</x:v>
      </x:c>
      <x:c r="O250" s="71" t="n">
        <x:v>16.808717013643772</x:v>
      </x:c>
      <x:c r="P250" s="71" t="n">
        <x:v>3</x:v>
      </x:c>
      <x:c r="Q250" s="71" t="n">
        <x:v>223.092587836793</x:v>
      </x:c>
      <x:c r="R250" s="34" t="str">
        <x:v>tract internal point; no person, address, building, parcel, or route condition</x:v>
      </x:c>
    </x:row>
    <x:row r="251" ht="86.4000015258789" hidden="0" customHeight="1">
      <x:c r="A251" s="36" t="str">
        <x:v>48201311002</x:v>
      </x:c>
      <x:c r="B251" s="63" t="n">
        <x:v>3516</x:v>
      </x:c>
      <x:c r="C251" s="63" t="n">
        <x:v>962</x:v>
      </x:c>
      <x:c r="D251" s="63" t="n">
        <x:v>432</x:v>
      </x:c>
      <x:c r="E251" s="45" t="n">
        <x:v>0.27360637087599543</x:v>
      </x:c>
      <x:c r="F251" s="45" t="n">
        <x:v>0.12286689419795221</x:v>
      </x:c>
      <x:c r="G251" s="66" t="n">
        <x:v>1302</x:v>
      </x:c>
      <x:c r="H251" s="66" t="n">
        <x:v>0</x:v>
      </x:c>
      <x:c r="I251" s="66" t="n">
        <x:v>0</x:v>
      </x:c>
      <x:c r="J251" s="36" t="str">
        <x:v>low</x:v>
      </x:c>
      <x:c r="K251" s="72" t="n">
        <x:v>29.7445004</x:v>
      </x:c>
      <x:c r="L251" s="72" t="n">
        <x:v>-95.2951074</x:v>
      </x:c>
      <x:c r="M251" s="72" t="n">
        <x:v>0.577</x:v>
      </x:c>
      <x:c r="N251" s="72" t="n">
        <x:v>0.0920074582499218</x:v>
      </x:c>
      <x:c r="O251" s="72" t="n">
        <x:v>17.928275481653614</x:v>
      </x:c>
      <x:c r="P251" s="72" t="n">
        <x:v>3</x:v>
      </x:c>
      <x:c r="Q251" s="72" t="n">
        <x:v>294.8579011902458</x:v>
      </x:c>
      <x:c r="R251" s="36" t="str">
        <x:v>tract internal point; no person, address, building, parcel, or route condition</x:v>
      </x:c>
    </x:row>
    <x:row r="252" ht="86.4000015258789" hidden="0" customHeight="1">
      <x:c r="A252" s="34" t="str">
        <x:v>48201311100</x:v>
      </x:c>
      <x:c r="B252" s="62" t="n">
        <x:v>5091</x:v>
      </x:c>
      <x:c r="C252" s="62" t="n">
        <x:v>690</x:v>
      </x:c>
      <x:c r="D252" s="62" t="n">
        <x:v>350</x:v>
      </x:c>
      <x:c r="E252" s="43" t="n">
        <x:v>0.13553329404832057</x:v>
      </x:c>
      <x:c r="F252" s="43" t="n">
        <x:v>0.06874877234335101</x:v>
      </x:c>
      <x:c r="G252" s="65" t="n">
        <x:v>1994</x:v>
      </x:c>
      <x:c r="H252" s="65" t="n">
        <x:v>75</x:v>
      </x:c>
      <x:c r="I252" s="65" t="n">
        <x:v>0.03761283851554664</x:v>
      </x:c>
      <x:c r="J252" s="34" t="str">
        <x:v>low</x:v>
      </x:c>
      <x:c r="K252" s="71" t="n">
        <x:v>29.7332048</x:v>
      </x:c>
      <x:c r="L252" s="71" t="n">
        <x:v>-95.2862683</x:v>
      </x:c>
      <x:c r="M252" s="71" t="n">
        <x:v>0.956</x:v>
      </x:c>
      <x:c r="N252" s="71" t="n">
        <x:v>0.10293642761628173</x:v>
      </x:c>
      <x:c r="O252" s="71" t="n">
        <x:v>18.79289888766231</x:v>
      </x:c>
      <x:c r="P252" s="71" t="n">
        <x:v>3</x:v>
      </x:c>
      <x:c r="Q252" s="71" t="n">
        <x:v>413.725341685002</x:v>
      </x:c>
      <x:c r="R252" s="34" t="str">
        <x:v>tract internal point; no person, address, building, parcel, or route condition</x:v>
      </x:c>
    </x:row>
    <x:row r="253" ht="86.4000015258789" hidden="0" customHeight="1">
      <x:c r="A253" s="36" t="str">
        <x:v>48201311200</x:v>
      </x:c>
      <x:c r="B253" s="63" t="n">
        <x:v>4523</x:v>
      </x:c>
      <x:c r="C253" s="63" t="n">
        <x:v>770</x:v>
      </x:c>
      <x:c r="D253" s="63" t="n">
        <x:v>485</x:v>
      </x:c>
      <x:c r="E253" s="45" t="n">
        <x:v>0.1702409904930356</x:v>
      </x:c>
      <x:c r="F253" s="45" t="n">
        <x:v>0.10722971479106788</x:v>
      </x:c>
      <x:c r="G253" s="66" t="n">
        <x:v>1831</x:v>
      </x:c>
      <x:c r="H253" s="66" t="n">
        <x:v>298</x:v>
      </x:c>
      <x:c r="I253" s="66" t="n">
        <x:v>0.16275259421081376</x:v>
      </x:c>
      <x:c r="J253" s="36" t="str">
        <x:v>low</x:v>
      </x:c>
      <x:c r="K253" s="72" t="n">
        <x:v>29.7189931</x:v>
      </x:c>
      <x:c r="L253" s="72" t="n">
        <x:v>-95.2991593</x:v>
      </x:c>
      <x:c r="M253" s="72" t="n">
        <x:v>1.135</x:v>
      </x:c>
      <x:c r="N253" s="72" t="n">
        <x:v>0.043525141462751035</x:v>
      </x:c>
      <x:c r="O253" s="72" t="n">
        <x:v>16.026435460576103</x:v>
      </x:c>
      <x:c r="P253" s="72" t="n">
        <x:v>3</x:v>
      </x:c>
      <x:c r="Q253" s="72" t="n">
        <x:v>371.40180511635214</x:v>
      </x:c>
      <x:c r="R253" s="36" t="str">
        <x:v>tract internal point; no person, address, building, parcel, or route condition</x:v>
      </x:c>
    </x:row>
    <x:row r="254" ht="86.4000015258789" hidden="0" customHeight="1">
      <x:c r="A254" s="34" t="str">
        <x:v>48201311300</x:v>
      </x:c>
      <x:c r="B254" s="62" t="n">
        <x:v>4120</x:v>
      </x:c>
      <x:c r="C254" s="62" t="n">
        <x:v>421</x:v>
      </x:c>
      <x:c r="D254" s="62" t="n">
        <x:v>0</x:v>
      </x:c>
      <x:c r="E254" s="43" t="n">
        <x:v>0.10218446601941747</x:v>
      </x:c>
      <x:c r="F254" s="43" t="n">
        <x:v>0</x:v>
      </x:c>
      <x:c r="G254" s="65" t="n">
        <x:v>1463</x:v>
      </x:c>
      <x:c r="H254" s="65" t="n">
        <x:v>0</x:v>
      </x:c>
      <x:c r="I254" s="65" t="n">
        <x:v>0</x:v>
      </x:c>
      <x:c r="J254" s="34" t="str">
        <x:v>low</x:v>
      </x:c>
      <x:c r="K254" s="71" t="n">
        <x:v>29.7097312</x:v>
      </x:c>
      <x:c r="L254" s="71" t="n">
        <x:v>-95.2945706</x:v>
      </x:c>
      <x:c r="M254" s="71" t="n">
        <x:v>0.57</x:v>
      </x:c>
      <x:c r="N254" s="71" t="n">
        <x:v>0.03445423820594117</x:v>
      </x:c>
      <x:c r="O254" s="71" t="n">
        <x:v>14.710517167435025</x:v>
      </x:c>
      <x:c r="P254" s="71" t="n">
        <x:v>3</x:v>
      </x:c>
      <x:c r="Q254" s="71" t="n">
        <x:v>330.43010667022907</x:v>
      </x:c>
      <x:c r="R254" s="34" t="str">
        <x:v>tract internal point; no person, address, building, parcel, or route condition</x:v>
      </x:c>
    </x:row>
    <x:row r="255" ht="86.4000015258789" hidden="0" customHeight="1">
      <x:c r="A255" s="36" t="str">
        <x:v>48201311400</x:v>
      </x:c>
      <x:c r="B255" s="63" t="n">
        <x:v>1668</x:v>
      </x:c>
      <x:c r="C255" s="63" t="n">
        <x:v>266</x:v>
      </x:c>
      <x:c r="D255" s="63" t="n">
        <x:v>66</x:v>
      </x:c>
      <x:c r="E255" s="45" t="n">
        <x:v>0.15947242206235013</x:v>
      </x:c>
      <x:c r="F255" s="45" t="n">
        <x:v>0.039568345323741004</x:v>
      </x:c>
      <x:c r="G255" s="66" t="n">
        <x:v>533</x:v>
      </x:c>
      <x:c r="H255" s="66" t="n">
        <x:v>14</x:v>
      </x:c>
      <x:c r="I255" s="66" t="n">
        <x:v>0.02626641651031895</x:v>
      </x:c>
      <x:c r="J255" s="36" t="str">
        <x:v>low</x:v>
      </x:c>
      <x:c r="K255" s="72" t="n">
        <x:v>29.7190269</x:v>
      </x:c>
      <x:c r="L255" s="72" t="n">
        <x:v>-95.2752207</x:v>
      </x:c>
      <x:c r="M255" s="72" t="n">
        <x:v>0.898</x:v>
      </x:c>
      <x:c r="N255" s="72" t="n">
        <x:v>0.04112016602503953</x:v>
      </x:c>
      <x:c r="O255" s="72" t="n">
        <x:v>16.856485403313993</x:v>
      </x:c>
      <x:c r="P255" s="72" t="n">
        <x:v>3</x:v>
      </x:c>
      <x:c r="Q255" s="72" t="n">
        <x:v>135.79685512221633</x:v>
      </x:c>
      <x:c r="R255" s="36" t="str">
        <x:v>tract internal point; no person, address, building, parcel, or route condition</x:v>
      </x:c>
    </x:row>
    <x:row r="256" ht="86.4000015258789" hidden="0" customHeight="1">
      <x:c r="A256" s="34" t="str">
        <x:v>48201311501</x:v>
      </x:c>
      <x:c r="B256" s="62" t="n">
        <x:v>2464</x:v>
      </x:c>
      <x:c r="C256" s="62" t="n">
        <x:v>346</x:v>
      </x:c>
      <x:c r="D256" s="62" t="n">
        <x:v>139</x:v>
      </x:c>
      <x:c r="E256" s="43" t="n">
        <x:v>0.14042207792207792</x:v>
      </x:c>
      <x:c r="F256" s="43" t="n">
        <x:v>0.056412337662337664</x:v>
      </x:c>
      <x:c r="G256" s="65" t="n">
        <x:v>1032</x:v>
      </x:c>
      <x:c r="H256" s="65" t="n">
        <x:v>61</x:v>
      </x:c>
      <x:c r="I256" s="65" t="n">
        <x:v>0.05910852713178295</x:v>
      </x:c>
      <x:c r="J256" s="34" t="str">
        <x:v>low</x:v>
      </x:c>
      <x:c r="K256" s="71" t="n">
        <x:v>29.7052377</x:v>
      </x:c>
      <x:c r="L256" s="71" t="n">
        <x:v>-95.2868304</x:v>
      </x:c>
      <x:c r="M256" s="71" t="n">
        <x:v>0.296</x:v>
      </x:c>
      <x:c r="N256" s="71" t="n">
        <x:v>0.11249735044300817</x:v>
      </x:c>
      <x:c r="O256" s="71" t="n">
        <x:v>15.012340164555031</x:v>
      </x:c>
      <x:c r="P256" s="71" t="n">
        <x:v>3</x:v>
      </x:c>
      <x:c r="Q256" s="71" t="n">
        <x:v>200.18993499351612</x:v>
      </x:c>
      <x:c r="R256" s="34" t="str">
        <x:v>tract internal point; no person, address, building, parcel, or route condition</x:v>
      </x:c>
    </x:row>
    <x:row r="257" ht="86.4000015258789" hidden="0" customHeight="1">
      <x:c r="A257" s="36" t="str">
        <x:v>48201311502</x:v>
      </x:c>
      <x:c r="B257" s="63" t="n">
        <x:v>2610</x:v>
      </x:c>
      <x:c r="C257" s="63" t="n">
        <x:v>351</x:v>
      </x:c>
      <x:c r="D257" s="63" t="n">
        <x:v>152</x:v>
      </x:c>
      <x:c r="E257" s="45" t="n">
        <x:v>0.13448275862068965</x:v>
      </x:c>
      <x:c r="F257" s="45" t="n">
        <x:v>0.05823754789272031</x:v>
      </x:c>
      <x:c r="G257" s="66" t="n">
        <x:v>1207</x:v>
      </x:c>
      <x:c r="H257" s="66" t="n">
        <x:v>80</x:v>
      </x:c>
      <x:c r="I257" s="66" t="n">
        <x:v>0.06628003314001657</x:v>
      </x:c>
      <x:c r="J257" s="36" t="str">
        <x:v>low</x:v>
      </x:c>
      <x:c r="K257" s="72" t="n">
        <x:v>29.709965</x:v>
      </x:c>
      <x:c r="L257" s="72" t="n">
        <x:v>-95.2795647</x:v>
      </x:c>
      <x:c r="M257" s="72" t="n">
        <x:v>0.609</x:v>
      </x:c>
      <x:c r="N257" s="72" t="n">
        <x:v>0.08525404494859119</x:v>
      </x:c>
      <x:c r="O257" s="72" t="n">
        <x:v>15.30256681091804</x:v>
      </x:c>
      <x:c r="P257" s="72" t="n">
        <x:v>3</x:v>
      </x:c>
      <x:c r="Q257" s="72" t="n">
        <x:v>211.84560903832727</x:v>
      </x:c>
      <x:c r="R257" s="36" t="str">
        <x:v>tract internal point; no person, address, building, parcel, or route condition</x:v>
      </x:c>
    </x:row>
    <x:row r="258" ht="86.4000015258789" hidden="0" customHeight="1">
      <x:c r="A258" s="34" t="str">
        <x:v>48201311600</x:v>
      </x:c>
      <x:c r="B258" s="62" t="n">
        <x:v>3614</x:v>
      </x:c>
      <x:c r="C258" s="62" t="n">
        <x:v>307</x:v>
      </x:c>
      <x:c r="D258" s="62" t="n">
        <x:v>294</x:v>
      </x:c>
      <x:c r="E258" s="43" t="n">
        <x:v>0.08494742667404538</x:v>
      </x:c>
      <x:c r="F258" s="43" t="n">
        <x:v>0.0813503043718871</x:v>
      </x:c>
      <x:c r="G258" s="65" t="n">
        <x:v>1612</x:v>
      </x:c>
      <x:c r="H258" s="65" t="n">
        <x:v>662</x:v>
      </x:c>
      <x:c r="I258" s="65" t="n">
        <x:v>0.4106699751861042</x:v>
      </x:c>
      <x:c r="J258" s="34" t="str">
        <x:v>low</x:v>
      </x:c>
      <x:c r="K258" s="71" t="n">
        <x:v>29.7011087</x:v>
      </x:c>
      <x:c r="L258" s="71" t="n">
        <x:v>-95.2861718</x:v>
      </x:c>
      <x:c r="M258" s="71" t="n">
        <x:v>0.19</x:v>
      </x:c>
      <x:c r="N258" s="71" t="n">
        <x:v>0.07348049433037752</x:v>
      </x:c>
      <x:c r="O258" s="71" t="n">
        <x:v>14.428437667237827</x:v>
      </x:c>
      <x:c r="P258" s="71" t="n">
        <x:v>3</x:v>
      </x:c>
      <x:c r="Q258" s="71" t="n">
        <x:v>291.1796439731375</x:v>
      </x:c>
      <x:c r="R258" s="34" t="str">
        <x:v>tract internal point; no person, address, building, parcel, or route condition</x:v>
      </x:c>
    </x:row>
    <x:row r="259" ht="86.4000015258789" hidden="0" customHeight="1">
      <x:c r="A259" s="36" t="str">
        <x:v>48201311701</x:v>
      </x:c>
      <x:c r="B259" s="63" t="n">
        <x:v>3554</x:v>
      </x:c>
      <x:c r="C259" s="63" t="n">
        <x:v>620</x:v>
      </x:c>
      <x:c r="D259" s="63" t="n">
        <x:v>209</x:v>
      </x:c>
      <x:c r="E259" s="45" t="n">
        <x:v>0.17445132245357345</x:v>
      </x:c>
      <x:c r="F259" s="45" t="n">
        <x:v>0.05880697805289814</x:v>
      </x:c>
      <x:c r="G259" s="66" t="n">
        <x:v>1229</x:v>
      </x:c>
      <x:c r="H259" s="66" t="n">
        <x:v>132</x:v>
      </x:c>
      <x:c r="I259" s="66" t="n">
        <x:v>0.10740439381611067</x:v>
      </x:c>
      <x:c r="J259" s="36" t="str">
        <x:v>low</x:v>
      </x:c>
      <x:c r="K259" s="72" t="n">
        <x:v>29.6992092</x:v>
      </x:c>
      <x:c r="L259" s="72" t="n">
        <x:v>-95.3128178</x:v>
      </x:c>
      <x:c r="M259" s="72" t="n">
        <x:v>0.625</x:v>
      </x:c>
      <x:c r="N259" s="72" t="n">
        <x:v>0.04595635119874452</x:v>
      </x:c>
      <x:c r="O259" s="72" t="n">
        <x:v>12.158538736288735</x:v>
      </x:c>
      <x:c r="P259" s="72" t="n">
        <x:v>3</x:v>
      </x:c>
      <x:c r="Q259" s="72" t="n">
        <x:v>290.7159320590149</x:v>
      </x:c>
      <x:c r="R259" s="36" t="str">
        <x:v>tract internal point; no person, address, building, parcel, or route condition</x:v>
      </x:c>
    </x:row>
    <x:row r="260" ht="86.4000015258789" hidden="0" customHeight="1">
      <x:c r="A260" s="34" t="str">
        <x:v>48201311702</x:v>
      </x:c>
      <x:c r="B260" s="62" t="n">
        <x:v>1917</x:v>
      </x:c>
      <x:c r="C260" s="62" t="n">
        <x:v>315</x:v>
      </x:c>
      <x:c r="D260" s="62" t="n">
        <x:v>79</x:v>
      </x:c>
      <x:c r="E260" s="43" t="n">
        <x:v>0.1643192488262911</x:v>
      </x:c>
      <x:c r="F260" s="43" t="n">
        <x:v>0.04121022430881586</x:v>
      </x:c>
      <x:c r="G260" s="65" t="n">
        <x:v>783</x:v>
      </x:c>
      <x:c r="H260" s="65" t="n">
        <x:v>346</x:v>
      </x:c>
      <x:c r="I260" s="65" t="n">
        <x:v>0.44189016602809705</x:v>
      </x:c>
      <x:c r="J260" s="34" t="str">
        <x:v>low</x:v>
      </x:c>
      <x:c r="K260" s="71" t="n">
        <x:v>29.7010603</x:v>
      </x:c>
      <x:c r="L260" s="71" t="n">
        <x:v>-95.2990496</x:v>
      </x:c>
      <x:c r="M260" s="71" t="n">
        <x:v>0.428</x:v>
      </x:c>
      <x:c r="N260" s="71" t="n">
        <x:v>0.06929385824100517</x:v>
      </x:c>
      <x:c r="O260" s="71" t="n">
        <x:v>13.578574023903414</x:v>
      </x:c>
      <x:c r="P260" s="71" t="n">
        <x:v>3</x:v>
      </x:c>
      <x:c r="Q260" s="71" t="n">
        <x:v>156.23947696345283</x:v>
      </x:c>
      <x:c r="R260" s="34" t="str">
        <x:v>tract internal point; no person, address, building, parcel, or route condition</x:v>
      </x:c>
    </x:row>
    <x:row r="261" ht="86.4000015258789" hidden="0" customHeight="1">
      <x:c r="A261" s="36" t="str">
        <x:v>48201311800</x:v>
      </x:c>
      <x:c r="B261" s="63" t="n">
        <x:v>3646</x:v>
      </x:c>
      <x:c r="C261" s="63" t="n">
        <x:v>254</x:v>
      </x:c>
      <x:c r="D261" s="63" t="n">
        <x:v>272</x:v>
      </x:c>
      <x:c r="E261" s="45" t="n">
        <x:v>0.06966538672517827</x:v>
      </x:c>
      <x:c r="F261" s="45" t="n">
        <x:v>0.0746023038946791</x:v>
      </x:c>
      <x:c r="G261" s="66" t="n">
        <x:v>1547</x:v>
      </x:c>
      <x:c r="H261" s="66" t="n">
        <x:v>189</x:v>
      </x:c>
      <x:c r="I261" s="66" t="n">
        <x:v>0.12217194570135746</x:v>
      </x:c>
      <x:c r="J261" s="36" t="str">
        <x:v>low</x:v>
      </x:c>
      <x:c r="K261" s="72" t="n">
        <x:v>29.699182</x:v>
      </x:c>
      <x:c r="L261" s="72" t="n">
        <x:v>-95.3244075</x:v>
      </x:c>
      <x:c r="M261" s="72" t="n">
        <x:v>0.949</x:v>
      </x:c>
      <x:c r="N261" s="72" t="n">
        <x:v>0.07436716659195013</x:v>
      </x:c>
      <x:c r="O261" s="72" t="n">
        <x:v>12.150730201484881</x:v>
      </x:c>
      <x:c r="P261" s="72" t="n">
        <x:v>3</x:v>
      </x:c>
      <x:c r="Q261" s="72" t="n">
        <x:v>292.68867257502814</x:v>
      </x:c>
      <x:c r="R261" s="36" t="str">
        <x:v>tract internal point; no person, address, building, parcel, or route condition</x:v>
      </x:c>
    </x:row>
    <x:row r="262" ht="86.4000015258789" hidden="0" customHeight="1">
      <x:c r="A262" s="34" t="str">
        <x:v>48201311900</x:v>
      </x:c>
      <x:c r="B262" s="62" t="n">
        <x:v>1629</x:v>
      </x:c>
      <x:c r="C262" s="62" t="n">
        <x:v>143</x:v>
      </x:c>
      <x:c r="D262" s="62" t="n">
        <x:v>75</x:v>
      </x:c>
      <x:c r="E262" s="43" t="n">
        <x:v>0.08778391651319828</x:v>
      </x:c>
      <x:c r="F262" s="43" t="n">
        <x:v>0.04604051565377532</x:v>
      </x:c>
      <x:c r="G262" s="65" t="n">
        <x:v>669</x:v>
      </x:c>
      <x:c r="H262" s="65" t="n">
        <x:v>29</x:v>
      </x:c>
      <x:c r="I262" s="65" t="n">
        <x:v>0.043348281016442454</x:v>
      </x:c>
      <x:c r="J262" s="34" t="str">
        <x:v>low</x:v>
      </x:c>
      <x:c r="K262" s="71" t="n">
        <x:v>29.7170693</x:v>
      </x:c>
      <x:c r="L262" s="71" t="n">
        <x:v>-95.3251747</x:v>
      </x:c>
      <x:c r="M262" s="71" t="n">
        <x:v>0.801</x:v>
      </x:c>
      <x:c r="N262" s="71" t="n">
        <x:v>0.12303617000583263</x:v>
      </x:c>
      <x:c r="O262" s="71" t="n">
        <x:v>14.833920075329354</x:v>
      </x:c>
      <x:c r="P262" s="71" t="n">
        <x:v>3</x:v>
      </x:c>
      <x:c r="Q262" s="71" t="n">
        <x:v>130.86893359416737</x:v>
      </x:c>
      <x:c r="R262" s="34" t="str">
        <x:v>tract internal point; no person, address, building, parcel, or route condition</x:v>
      </x:c>
    </x:row>
    <x:row r="263" ht="86.4000015258789" hidden="0" customHeight="1">
      <x:c r="A263" s="36" t="str">
        <x:v>48201312000</x:v>
      </x:c>
      <x:c r="B263" s="63" t="n">
        <x:v>2969</x:v>
      </x:c>
      <x:c r="C263" s="63" t="n">
        <x:v>298</x:v>
      </x:c>
      <x:c r="D263" s="63" t="n">
        <x:v>75</x:v>
      </x:c>
      <x:c r="E263" s="45" t="n">
        <x:v>0.10037049511620075</x:v>
      </x:c>
      <x:c r="F263" s="45" t="n">
        <x:v>0.02526103065005052</x:v>
      </x:c>
      <x:c r="G263" s="66" t="n">
        <x:v>828</x:v>
      </x:c>
      <x:c r="H263" s="66" t="n">
        <x:v>127</x:v>
      </x:c>
      <x:c r="I263" s="66" t="n">
        <x:v>0.15338164251207728</x:v>
      </x:c>
      <x:c r="J263" s="36" t="str">
        <x:v>low</x:v>
      </x:c>
      <x:c r="K263" s="72" t="n">
        <x:v>29.7152475</x:v>
      </x:c>
      <x:c r="L263" s="72" t="n">
        <x:v>-95.3523898</x:v>
      </x:c>
      <x:c r="M263" s="72" t="n">
        <x:v>0.708</x:v>
      </x:c>
      <x:c r="N263" s="72" t="n">
        <x:v>0.04457908253787705</x:v>
      </x:c>
      <x:c r="O263" s="72" t="n">
        <x:v>12.048863549398506</x:v>
      </x:c>
      <x:c r="P263" s="72" t="n">
        <x:v>3</x:v>
      </x:c>
      <x:c r="Q263" s="72" t="n">
        <x:v>238.62300719791696</x:v>
      </x:c>
      <x:c r="R263" s="36" t="str">
        <x:v>tract internal point; no person, address, building, parcel, or route condition</x:v>
      </x:c>
    </x:row>
    <x:row r="264" ht="86.4000015258789" hidden="0" customHeight="1">
      <x:c r="A264" s="34" t="str">
        <x:v>48201312200</x:v>
      </x:c>
      <x:c r="B264" s="62" t="n">
        <x:v>1609</x:v>
      </x:c>
      <x:c r="C264" s="62" t="n">
        <x:v>309</x:v>
      </x:c>
      <x:c r="D264" s="62" t="n">
        <x:v>349.5</x:v>
      </x:c>
      <x:c r="E264" s="43" t="n">
        <x:v>0.1920447482908639</x:v>
      </x:c>
      <x:c r="F264" s="43" t="n">
        <x:v>0.21721566190180236</x:v>
      </x:c>
      <x:c r="G264" s="65" t="n">
        <x:v>1002</x:v>
      </x:c>
      <x:c r="H264" s="65" t="n">
        <x:v>137</x:v>
      </x:c>
      <x:c r="I264" s="65" t="n">
        <x:v>0.13672654690618763</x:v>
      </x:c>
      <x:c r="J264" s="34" t="str">
        <x:v>low</x:v>
      </x:c>
      <x:c r="K264" s="71" t="n">
        <x:v>29.7321055</x:v>
      </x:c>
      <x:c r="L264" s="71" t="n">
        <x:v>-95.3497568</x:v>
      </x:c>
      <x:c r="M264" s="71" t="n">
        <x:v>0.42</x:v>
      </x:c>
      <x:c r="N264" s="71" t="n">
        <x:v>0.015148351163028404</x:v>
      </x:c>
      <x:c r="O264" s="71" t="n">
        <x:v>13.537678731683503</x:v>
      </x:c>
      <x:c r="P264" s="71" t="n">
        <x:v>3</x:v>
      </x:c>
      <x:c r="Q264" s="71" t="n">
        <x:v>134.0638300872326</x:v>
      </x:c>
      <x:c r="R264" s="34" t="str">
        <x:v>tract internal point; no person, address, building, parcel, or route condition</x:v>
      </x:c>
    </x:row>
    <x:row r="265" ht="86.4000015258789" hidden="0" customHeight="1">
      <x:c r="A265" s="36" t="str">
        <x:v>48201312300</x:v>
      </x:c>
      <x:c r="B265" s="63" t="n">
        <x:v>2733</x:v>
      </x:c>
      <x:c r="C265" s="63" t="n">
        <x:v>475</x:v>
      </x:c>
      <x:c r="D265" s="63" t="n">
        <x:v>728</x:v>
      </x:c>
      <x:c r="E265" s="45" t="n">
        <x:v>0.17380168313208927</x:v>
      </x:c>
      <x:c r="F265" s="45" t="n">
        <x:v>0.2663739480424442</x:v>
      </x:c>
      <x:c r="G265" s="66" t="n">
        <x:v>1368</x:v>
      </x:c>
      <x:c r="H265" s="66" t="n">
        <x:v>64</x:v>
      </x:c>
      <x:c r="I265" s="66" t="n">
        <x:v>0.04678362573099415</x:v>
      </x:c>
      <x:c r="J265" s="36" t="str">
        <x:v>low</x:v>
      </x:c>
      <x:c r="K265" s="72" t="n">
        <x:v>29.7378633</x:v>
      </x:c>
      <x:c r="L265" s="72" t="n">
        <x:v>-95.3604134</x:v>
      </x:c>
      <x:c r="M265" s="72" t="n">
        <x:v>0.545</x:v>
      </x:c>
      <x:c r="N265" s="72" t="n">
        <x:v>0.08099004194609505</x:v>
      </x:c>
      <x:c r="O265" s="72" t="n">
        <x:v>12.445062020916973</x:v>
      </x:c>
      <x:c r="P265" s="72" t="n">
        <x:v>3</x:v>
      </x:c>
      <x:c r="Q265" s="72" t="n">
        <x:v>227.9890712689692</x:v>
      </x:c>
      <x:c r="R265" s="36" t="str">
        <x:v>tract internal point; no person, address, building, parcel, or route condition</x:v>
      </x:c>
    </x:row>
    <x:row r="266" ht="86.4000015258789" hidden="0" customHeight="1">
      <x:c r="A266" s="34" t="str">
        <x:v>48201312400</x:v>
      </x:c>
      <x:c r="B266" s="62" t="n">
        <x:v>2048</x:v>
      </x:c>
      <x:c r="C266" s="62" t="n">
        <x:v>577</x:v>
      </x:c>
      <x:c r="D266" s="62" t="n">
        <x:v>818</x:v>
      </x:c>
      <x:c r="E266" s="43" t="n">
        <x:v>0.28173828125</x:v>
      </x:c>
      <x:c r="F266" s="43" t="n">
        <x:v>0.3994140625</x:v>
      </x:c>
      <x:c r="G266" s="65" t="n">
        <x:v>1269</x:v>
      </x:c>
      <x:c r="H266" s="65" t="n">
        <x:v>0</x:v>
      </x:c>
      <x:c r="I266" s="65" t="n">
        <x:v>0</x:v>
      </x:c>
      <x:c r="J266" s="34" t="str">
        <x:v>low</x:v>
      </x:c>
      <x:c r="K266" s="71" t="n">
        <x:v>29.7298981</x:v>
      </x:c>
      <x:c r="L266" s="71" t="n">
        <x:v>-95.3610125</x:v>
      </x:c>
      <x:c r="M266" s="71" t="n">
        <x:v>0.418</x:v>
      </x:c>
      <x:c r="N266" s="71" t="n">
        <x:v>0.01735445693214055</x:v>
      </x:c>
      <x:c r="O266" s="71" t="n">
        <x:v>12.545273215390177</x:v>
      </x:c>
      <x:c r="P266" s="71" t="n">
        <x:v>3</x:v>
      </x:c>
      <x:c r="Q266" s="71" t="n">
        <x:v>176.46203213358032</x:v>
      </x:c>
      <x:c r="R266" s="34" t="str">
        <x:v>tract internal point; no person, address, building, parcel, or route condition</x:v>
      </x:c>
    </x:row>
    <x:row r="267" ht="86.4000015258789" hidden="0" customHeight="1">
      <x:c r="A267" s="36" t="str">
        <x:v>48201312501</x:v>
      </x:c>
      <x:c r="B267" s="63" t="n">
        <x:v>3348</x:v>
      </x:c>
      <x:c r="C267" s="63" t="n">
        <x:v>281</x:v>
      </x:c>
      <x:c r="D267" s="63" t="n">
        <x:v>119</x:v>
      </x:c>
      <x:c r="E267" s="45" t="n">
        <x:v>0.08393070489844684</x:v>
      </x:c>
      <x:c r="F267" s="45" t="n">
        <x:v>0.035543608124253286</x:v>
      </x:c>
      <x:c r="G267" s="66" t="n">
        <x:v>1758</x:v>
      </x:c>
      <x:c r="H267" s="66" t="n">
        <x:v>752</x:v>
      </x:c>
      <x:c r="I267" s="66" t="n">
        <x:v>0.42775881683731515</x:v>
      </x:c>
      <x:c r="J267" s="36" t="str">
        <x:v>low</x:v>
      </x:c>
      <x:c r="K267" s="72" t="n">
        <x:v>29.7431037</x:v>
      </x:c>
      <x:c r="L267" s="72" t="n">
        <x:v>-95.3699612</x:v>
      </x:c>
      <x:c r="M267" s="72" t="n">
        <x:v>0.379</x:v>
      </x:c>
      <x:c r="N267" s="72" t="n">
        <x:v>0.038485938694163196</x:v>
      </x:c>
      <x:c r="O267" s="72" t="n">
        <x:v>12.06723275777283</x:v>
      </x:c>
      <x:c r="P267" s="72" t="n">
        <x:v>3</x:v>
      </x:c>
      <x:c r="Q267" s="72" t="n">
        <x:v>268.48919827700155</x:v>
      </x:c>
      <x:c r="R267" s="36" t="str">
        <x:v>tract internal point; no person, address, building, parcel, or route condition</x:v>
      </x:c>
    </x:row>
    <x:row r="268" ht="86.4000015258789" hidden="0" customHeight="1">
      <x:c r="A268" s="34" t="str">
        <x:v>48201312502</x:v>
      </x:c>
      <x:c r="B268" s="62" t="n">
        <x:v>2089</x:v>
      </x:c>
      <x:c r="C268" s="62" t="n">
        <x:v>250</x:v>
      </x:c>
      <x:c r="D268" s="62" t="n">
        <x:v>98</x:v>
      </x:c>
      <x:c r="E268" s="43" t="n">
        <x:v>0.11967448539971279</x:v>
      </x:c>
      <x:c r="F268" s="43" t="n">
        <x:v>0.04691239827668741</x:v>
      </x:c>
      <x:c r="G268" s="65" t="n">
        <x:v>1128</x:v>
      </x:c>
      <x:c r="H268" s="65" t="n">
        <x:v>402</x:v>
      </x:c>
      <x:c r="I268" s="65" t="n">
        <x:v>0.35638297872340424</x:v>
      </x:c>
      <x:c r="J268" s="34" t="str">
        <x:v>low</x:v>
      </x:c>
      <x:c r="K268" s="71" t="n">
        <x:v>29.7361643</x:v>
      </x:c>
      <x:c r="L268" s="71" t="n">
        <x:v>-95.3764282</x:v>
      </x:c>
      <x:c r="M268" s="71" t="n">
        <x:v>0.313</x:v>
      </x:c>
      <x:c r="N268" s="71" t="n">
        <x:v>0.040658940338870346</x:v>
      </x:c>
      <x:c r="O268" s="71" t="n">
        <x:v>11.60227173153288</x:v>
      </x:c>
      <x:c r="P268" s="71" t="n">
        <x:v>3</x:v>
      </x:c>
      <x:c r="Q268" s="71" t="n">
        <x:v>168.88545102825466</x:v>
      </x:c>
      <x:c r="R268" s="34" t="str">
        <x:v>tract internal point; no person, address, building, parcel, or route condition</x:v>
      </x:c>
    </x:row>
    <x:row r="269" ht="86.4000015258789" hidden="0" customHeight="1">
      <x:c r="A269" s="36" t="str">
        <x:v>48201312601</x:v>
      </x:c>
      <x:c r="B269" s="63" t="n">
        <x:v>3350</x:v>
      </x:c>
      <x:c r="C269" s="63" t="n">
        <x:v>244</x:v>
      </x:c>
      <x:c r="D269" s="63" t="n">
        <x:v>117</x:v>
      </x:c>
      <x:c r="E269" s="45" t="n">
        <x:v>0.07283582089552239</x:v>
      </x:c>
      <x:c r="F269" s="45" t="n">
        <x:v>0.03492537313432836</x:v>
      </x:c>
      <x:c r="G269" s="66" t="n">
        <x:v>2074</x:v>
      </x:c>
      <x:c r="H269" s="66" t="n">
        <x:v>1973</x:v>
      </x:c>
      <x:c r="I269" s="66" t="n">
        <x:v>0.9513018322082931</x:v>
      </x:c>
      <x:c r="J269" s="36" t="str">
        <x:v>low</x:v>
      </x:c>
      <x:c r="K269" s="72" t="n">
        <x:v>29.7217905</x:v>
      </x:c>
      <x:c r="L269" s="72" t="n">
        <x:v>-95.3845987</x:v>
      </x:c>
      <x:c r="M269" s="72" t="n">
        <x:v>0.178</x:v>
      </x:c>
      <x:c r="N269" s="72" t="n">
        <x:v>0.04825969339516571</x:v>
      </x:c>
      <x:c r="O269" s="72" t="n">
        <x:v>10.884985374023112</x:v>
      </x:c>
      <x:c r="P269" s="72" t="n">
        <x:v>3</x:v>
      </x:c>
      <x:c r="Q269" s="72" t="n">
        <x:v>268.0490649347834</x:v>
      </x:c>
      <x:c r="R269" s="36" t="str">
        <x:v>tract internal point; no person, address, building, parcel, or route condition</x:v>
      </x:c>
    </x:row>
    <x:row r="270" ht="86.4000015258789" hidden="0" customHeight="1">
      <x:c r="A270" s="34" t="str">
        <x:v>48201312602</x:v>
      </x:c>
      <x:c r="B270" s="62" t="n">
        <x:v>2519</x:v>
      </x:c>
      <x:c r="C270" s="62" t="n">
        <x:v>101</x:v>
      </x:c>
      <x:c r="D270" s="62" t="n">
        <x:v>0</x:v>
      </x:c>
      <x:c r="E270" s="43" t="n">
        <x:v>0.04009527590313616</x:v>
      </x:c>
      <x:c r="F270" s="43" t="n">
        <x:v>0</x:v>
      </x:c>
      <x:c r="G270" s="65" t="n">
        <x:v>1396</x:v>
      </x:c>
      <x:c r="H270" s="65" t="n">
        <x:v>581</x:v>
      </x:c>
      <x:c r="I270" s="65" t="n">
        <x:v>0.416189111747851</x:v>
      </x:c>
      <x:c r="J270" s="34" t="str">
        <x:v>low</x:v>
      </x:c>
      <x:c r="K270" s="71" t="n">
        <x:v>29.725801</x:v>
      </x:c>
      <x:c r="L270" s="71" t="n">
        <x:v>-95.3830479</x:v>
      </x:c>
      <x:c r="M270" s="71" t="n">
        <x:v>0.202</x:v>
      </x:c>
      <x:c r="N270" s="71" t="n">
        <x:v>0.017970216349232043</x:v>
      </x:c>
      <x:c r="O270" s="71" t="n">
        <x:v>10.82676988484177</x:v>
      </x:c>
      <x:c r="P270" s="71" t="n">
        <x:v>3</x:v>
      </x:c>
      <x:c r="Q270" s="71" t="n">
        <x:v>199.56903260002989</x:v>
      </x:c>
      <x:c r="R270" s="34" t="str">
        <x:v>tract internal point; no person, address, building, parcel, or route condition</x:v>
      </x:c>
    </x:row>
    <x:row r="271" ht="86.4000015258789" hidden="0" customHeight="1">
      <x:c r="A271" s="36" t="str">
        <x:v>48201312603</x:v>
      </x:c>
      <x:c r="B271" s="63" t="n">
        <x:v>4160</x:v>
      </x:c>
      <x:c r="C271" s="63" t="n">
        <x:v>552</x:v>
      </x:c>
      <x:c r="D271" s="63" t="n">
        <x:v>406</x:v>
      </x:c>
      <x:c r="E271" s="45" t="n">
        <x:v>0.1326923076923077</x:v>
      </x:c>
      <x:c r="F271" s="45" t="n">
        <x:v>0.09759615384615385</x:v>
      </x:c>
      <x:c r="G271" s="66" t="n">
        <x:v>2505</x:v>
      </x:c>
      <x:c r="H271" s="66" t="n">
        <x:v>736</x:v>
      </x:c>
      <x:c r="I271" s="66" t="n">
        <x:v>0.293812375249501</x:v>
      </x:c>
      <x:c r="J271" s="36" t="str">
        <x:v>low</x:v>
      </x:c>
      <x:c r="K271" s="72" t="n">
        <x:v>29.7268636</x:v>
      </x:c>
      <x:c r="L271" s="72" t="n">
        <x:v>-95.3779522</x:v>
      </x:c>
      <x:c r="M271" s="72" t="n">
        <x:v>0.394</x:v>
      </x:c>
      <x:c r="N271" s="72" t="n">
        <x:v>0.05048901793801571</x:v>
      </x:c>
      <x:c r="O271" s="72" t="n">
        <x:v>10.702799942121443</x:v>
      </x:c>
      <x:c r="P271" s="72" t="n">
        <x:v>3</x:v>
      </x:c>
      <x:c r="Q271" s="72" t="n">
        <x:v>338.82407826824544</x:v>
      </x:c>
      <x:c r="R271" s="36" t="str">
        <x:v>tract internal point; no person, address, building, parcel, or route condition</x:v>
      </x:c>
    </x:row>
    <x:row r="272" ht="86.4000015258789" hidden="0" customHeight="1">
      <x:c r="A272" s="34" t="str">
        <x:v>48201312700</x:v>
      </x:c>
      <x:c r="B272" s="62" t="n">
        <x:v>2293</x:v>
      </x:c>
      <x:c r="C272" s="62" t="n">
        <x:v>239</x:v>
      </x:c>
      <x:c r="D272" s="62" t="n">
        <x:v>129</x:v>
      </x:c>
      <x:c r="E272" s="43" t="n">
        <x:v>0.10423026602703882</x:v>
      </x:c>
      <x:c r="F272" s="43" t="n">
        <x:v>0.05625817706061927</x:v>
      </x:c>
      <x:c r="G272" s="65" t="n">
        <x:v>1413</x:v>
      </x:c>
      <x:c r="H272" s="65" t="n">
        <x:v>129</x:v>
      </x:c>
      <x:c r="I272" s="65" t="n">
        <x:v>0.09129511677282377</x:v>
      </x:c>
      <x:c r="J272" s="34" t="str">
        <x:v>low</x:v>
      </x:c>
      <x:c r="K272" s="71" t="n">
        <x:v>29.7267574</x:v>
      </x:c>
      <x:c r="L272" s="71" t="n">
        <x:v>-95.3682096</x:v>
      </x:c>
      <x:c r="M272" s="71" t="n">
        <x:v>0.333</x:v>
      </x:c>
      <x:c r="N272" s="71" t="n">
        <x:v>0.044181302012770034</x:v>
      </x:c>
      <x:c r="O272" s="71" t="n">
        <x:v>11.257285310499524</x:v>
      </x:c>
      <x:c r="P272" s="71" t="n">
        <x:v>3</x:v>
      </x:c>
      <x:c r="Q272" s="71" t="n">
        <x:v>184.98961563905576</x:v>
      </x:c>
      <x:c r="R272" s="34" t="str">
        <x:v>tract internal point; no person, address, building, parcel, or route condition</x:v>
      </x:c>
    </x:row>
    <x:row r="273" ht="86.4000015258789" hidden="0" customHeight="1">
      <x:c r="A273" s="36" t="str">
        <x:v>48201312800</x:v>
      </x:c>
      <x:c r="B273" s="63" t="n">
        <x:v>3752</x:v>
      </x:c>
      <x:c r="C273" s="63" t="n">
        <x:v>553</x:v>
      </x:c>
      <x:c r="D273" s="63" t="n">
        <x:v>636</x:v>
      </x:c>
      <x:c r="E273" s="45" t="n">
        <x:v>0.14738805970149255</x:v>
      </x:c>
      <x:c r="F273" s="45" t="n">
        <x:v>0.1695095948827292</x:v>
      </x:c>
      <x:c r="G273" s="66" t="n">
        <x:v>932</x:v>
      </x:c>
      <x:c r="H273" s="66" t="n">
        <x:v>339</x:v>
      </x:c>
      <x:c r="I273" s="66" t="n">
        <x:v>0.36373390557939916</x:v>
      </x:c>
      <x:c r="J273" s="36" t="str">
        <x:v>low</x:v>
      </x:c>
      <x:c r="K273" s="72" t="n">
        <x:v>29.7219583</x:v>
      </x:c>
      <x:c r="L273" s="72" t="n">
        <x:v>-95.3579408</x:v>
      </x:c>
      <x:c r="M273" s="72" t="n">
        <x:v>0.361</x:v>
      </x:c>
      <x:c r="N273" s="72" t="n">
        <x:v>0.04952207333262377</x:v>
      </x:c>
      <x:c r="O273" s="72" t="n">
        <x:v>13.081627297060065</x:v>
      </x:c>
      <x:c r="P273" s="72" t="n">
        <x:v>3</x:v>
      </x:c>
      <x:c r="Q273" s="72" t="n">
        <x:v>308.5806300386883</x:v>
      </x:c>
      <x:c r="R273" s="36" t="str">
        <x:v>tract internal point; no person, address, building, parcel, or route condition</x:v>
      </x:c>
    </x:row>
    <x:row r="274" ht="86.4000015258789" hidden="0" customHeight="1">
      <x:c r="A274" s="34" t="str">
        <x:v>48201312901</x:v>
      </x:c>
      <x:c r="B274" s="62" t="n">
        <x:v>1858</x:v>
      </x:c>
      <x:c r="C274" s="62" t="n">
        <x:v>488</x:v>
      </x:c>
      <x:c r="D274" s="62" t="n">
        <x:v>481</x:v>
      </x:c>
      <x:c r="E274" s="43" t="n">
        <x:v>0.26264800861141013</x:v>
      </x:c>
      <x:c r="F274" s="43" t="n">
        <x:v>0.2588805166846071</x:v>
      </x:c>
      <x:c r="G274" s="65" t="n">
        <x:v>925</x:v>
      </x:c>
      <x:c r="H274" s="65" t="n">
        <x:v>300</x:v>
      </x:c>
      <x:c r="I274" s="65" t="n">
        <x:v>0.32432432432432434</x:v>
      </x:c>
      <x:c r="J274" s="34" t="str">
        <x:v>low</x:v>
      </x:c>
      <x:c r="K274" s="71" t="n">
        <x:v>29.7141893</x:v>
      </x:c>
      <x:c r="L274" s="71" t="n">
        <x:v>-95.35729</x:v>
      </x:c>
      <x:c r="M274" s="71" t="n">
        <x:v>0.177</x:v>
      </x:c>
      <x:c r="N274" s="71" t="n">
        <x:v>0.10724047048291935</x:v>
      </x:c>
      <x:c r="O274" s="71" t="n">
        <x:v>12.593819641312065</x:v>
      </x:c>
      <x:c r="P274" s="71" t="n">
        <x:v>3</x:v>
      </x:c>
      <x:c r="Q274" s="71" t="n">
        <x:v>157.4812817504253</x:v>
      </x:c>
      <x:c r="R274" s="34" t="str">
        <x:v>tract internal point; no person, address, building, parcel, or route condition</x:v>
      </x:c>
    </x:row>
    <x:row r="275" ht="86.4000015258789" hidden="0" customHeight="1">
      <x:c r="A275" s="36" t="str">
        <x:v>48201312902</x:v>
      </x:c>
      <x:c r="B275" s="63" t="n">
        <x:v>2391</x:v>
      </x:c>
      <x:c r="C275" s="63" t="n">
        <x:v>278</x:v>
      </x:c>
      <x:c r="D275" s="63" t="n">
        <x:v>38</x:v>
      </x:c>
      <x:c r="E275" s="45" t="n">
        <x:v>0.11626934337097448</x:v>
      </x:c>
      <x:c r="F275" s="45" t="n">
        <x:v>0.01589293182768716</x:v>
      </x:c>
      <x:c r="G275" s="66" t="n">
        <x:v>1436</x:v>
      </x:c>
      <x:c r="H275" s="66" t="n">
        <x:v>244</x:v>
      </x:c>
      <x:c r="I275" s="66" t="n">
        <x:v>0.16991643454038996</x:v>
      </x:c>
      <x:c r="J275" s="36" t="str">
        <x:v>low</x:v>
      </x:c>
      <x:c r="K275" s="72" t="n">
        <x:v>29.7146857</x:v>
      </x:c>
      <x:c r="L275" s="72" t="n">
        <x:v>-95.3646164</x:v>
      </x:c>
      <x:c r="M275" s="72" t="n">
        <x:v>0.373</x:v>
      </x:c>
      <x:c r="N275" s="72" t="n">
        <x:v>0.1269209700934879</x:v>
      </x:c>
      <x:c r="O275" s="72" t="n">
        <x:v>11.593077582013262</x:v>
      </x:c>
      <x:c r="P275" s="72" t="n">
        <x:v>3</x:v>
      </x:c>
      <x:c r="Q275" s="72" t="n">
        <x:v>192.589775316286</x:v>
      </x:c>
      <x:c r="R275" s="36" t="str">
        <x:v>tract internal point; no person, address, building, parcel, or route condition</x:v>
      </x:c>
    </x:row>
    <x:row r="276" ht="86.4000015258789" hidden="0" customHeight="1">
      <x:c r="A276" s="34" t="str">
        <x:v>48201313000</x:v>
      </x:c>
      <x:c r="B276" s="62" t="n">
        <x:v>2401</x:v>
      </x:c>
      <x:c r="C276" s="62" t="n">
        <x:v>433</x:v>
      </x:c>
      <x:c r="D276" s="62" t="n">
        <x:v>183</x:v>
      </x:c>
      <x:c r="E276" s="43" t="n">
        <x:v>0.180341524364848</x:v>
      </x:c>
      <x:c r="F276" s="43" t="n">
        <x:v>0.07621824239900042</x:v>
      </x:c>
      <x:c r="G276" s="65" t="n">
        <x:v>1687</x:v>
      </x:c>
      <x:c r="H276" s="65" t="n">
        <x:v>51</x:v>
      </x:c>
      <x:c r="I276" s="65" t="n">
        <x:v>0.03023117960877297</x:v>
      </x:c>
      <x:c r="J276" s="34" t="str">
        <x:v>low</x:v>
      </x:c>
      <x:c r="K276" s="71" t="n">
        <x:v>29.7200378</x:v>
      </x:c>
      <x:c r="L276" s="71" t="n">
        <x:v>-95.3744784</x:v>
      </x:c>
      <x:c r="M276" s="71" t="n">
        <x:v>0.463</x:v>
      </x:c>
      <x:c r="N276" s="71" t="n">
        <x:v>0.05534302207721388</x:v>
      </x:c>
      <x:c r="O276" s="71" t="n">
        <x:v>10.376858064493055</x:v>
      </x:c>
      <x:c r="P276" s="71" t="n">
        <x:v>3</x:v>
      </x:c>
      <x:c r="Q276" s="71" t="n">
        <x:v>196.9518111186259</x:v>
      </x:c>
      <x:c r="R276" s="34" t="str">
        <x:v>tract internal point; no person, address, building, parcel, or route condition</x:v>
      </x:c>
    </x:row>
    <x:row r="277" ht="86.4000015258789" hidden="0" customHeight="1">
      <x:c r="A277" s="36" t="str">
        <x:v>48201313101</x:v>
      </x:c>
      <x:c r="B277" s="63" t="n">
        <x:v>2352</x:v>
      </x:c>
      <x:c r="C277" s="63" t="n">
        <x:v>83</x:v>
      </x:c>
      <x:c r="D277" s="63" t="n">
        <x:v>58</x:v>
      </x:c>
      <x:c r="E277" s="45" t="n">
        <x:v>0.0352891156462585</x:v>
      </x:c>
      <x:c r="F277" s="45" t="n">
        <x:v>0.02465986394557823</x:v>
      </x:c>
      <x:c r="G277" s="66" t="n">
        <x:v>1229</x:v>
      </x:c>
      <x:c r="H277" s="66" t="n">
        <x:v>884</x:v>
      </x:c>
      <x:c r="I277" s="66" t="n">
        <x:v>0.7192839707078926</x:v>
      </x:c>
      <x:c r="J277" s="36" t="str">
        <x:v>moderate</x:v>
      </x:c>
      <x:c r="K277" s="72" t="n">
        <x:v>29.7062143</x:v>
      </x:c>
      <x:c r="L277" s="72" t="n">
        <x:v>-95.3820336</x:v>
      </x:c>
      <x:c r="M277" s="72" t="n">
        <x:v>0.263</x:v>
      </x:c>
      <x:c r="N277" s="72" t="n">
        <x:v>0.010898930746547282</x:v>
      </x:c>
      <x:c r="O277" s="72" t="n">
        <x:v>9.697066859297696</x:v>
      </x:c>
      <x:c r="P277" s="72" t="n">
        <x:v>3</x:v>
      </x:c>
      <x:c r="Q277" s="72" t="n">
        <x:v>330.1677194854451</x:v>
      </x:c>
      <x:c r="R277" s="36" t="str">
        <x:v>tract internal point; no person, address, building, parcel, or route condition</x:v>
      </x:c>
    </x:row>
    <x:row r="278" ht="86.4000015258789" hidden="0" customHeight="1">
      <x:c r="A278" s="34" t="str">
        <x:v>48201313102</x:v>
      </x:c>
      <x:c r="B278" s="62" t="n">
        <x:v>1715</x:v>
      </x:c>
      <x:c r="C278" s="62" t="n">
        <x:v>207</x:v>
      </x:c>
      <x:c r="D278" s="62" t="n">
        <x:v>332.5</x:v>
      </x:c>
      <x:c r="E278" s="43" t="n">
        <x:v>0.1206997084548105</x:v>
      </x:c>
      <x:c r="F278" s="43" t="n">
        <x:v>0.19387755102040816</x:v>
      </x:c>
      <x:c r="G278" s="65" t="n">
        <x:v>1325</x:v>
      </x:c>
      <x:c r="H278" s="65" t="n">
        <x:v>1078</x:v>
      </x:c>
      <x:c r="I278" s="65" t="n">
        <x:v>0.8135849056603773</x:v>
      </x:c>
      <x:c r="J278" s="34" t="str">
        <x:v>moderate</x:v>
      </x:c>
      <x:c r="K278" s="71" t="n">
        <x:v>29.7137231</x:v>
      </x:c>
      <x:c r="L278" s="71" t="n">
        <x:v>-95.3916512</x:v>
      </x:c>
      <x:c r="M278" s="71" t="n">
        <x:v>1.209</x:v>
      </x:c>
      <x:c r="N278" s="71" t="n">
        <x:v>0.20744021341060154</x:v>
      </x:c>
      <x:c r="O278" s="71" t="n">
        <x:v>12.485656445784127</x:v>
      </x:c>
      <x:c r="P278" s="71" t="n">
        <x:v>3</x:v>
      </x:c>
      <x:c r="Q278" s="71" t="n">
        <x:v>248.8564096938708</x:v>
      </x:c>
      <x:c r="R278" s="34" t="str">
        <x:v>tract internal point; no person, address, building, parcel, or route condition</x:v>
      </x:c>
    </x:row>
    <x:row r="279" ht="86.4000015258789" hidden="0" customHeight="1">
      <x:c r="A279" s="36" t="str">
        <x:v>48201313201</x:v>
      </x:c>
      <x:c r="B279" s="63" t="n">
        <x:v>1632</x:v>
      </x:c>
      <x:c r="C279" s="63" t="n">
        <x:v>366</x:v>
      </x:c>
      <x:c r="D279" s="63" t="n">
        <x:v>485</x:v>
      </x:c>
      <x:c r="E279" s="45" t="n">
        <x:v>0.22426470588235295</x:v>
      </x:c>
      <x:c r="F279" s="45" t="n">
        <x:v>0.2971813725490196</x:v>
      </x:c>
      <x:c r="G279" s="66" t="n">
        <x:v>907</x:v>
      </x:c>
      <x:c r="H279" s="66" t="n">
        <x:v>175</x:v>
      </x:c>
      <x:c r="I279" s="66" t="n">
        <x:v>0.19294377067254687</x:v>
      </x:c>
      <x:c r="J279" s="36" t="str">
        <x:v>low</x:v>
      </x:c>
      <x:c r="K279" s="72" t="n">
        <x:v>29.7064172</x:v>
      </x:c>
      <x:c r="L279" s="72" t="n">
        <x:v>-95.3504938</x:v>
      </x:c>
      <x:c r="M279" s="72" t="n">
        <x:v>0.546</x:v>
      </x:c>
      <x:c r="N279" s="72" t="n">
        <x:v>0.0422284518538084</x:v>
      </x:c>
      <x:c r="O279" s="72" t="n">
        <x:v>10.921771864651957</x:v>
      </x:c>
      <x:c r="P279" s="72" t="n">
        <x:v>3</x:v>
      </x:c>
      <x:c r="Q279" s="72" t="n">
        <x:v>137.83247182997496</x:v>
      </x:c>
      <x:c r="R279" s="36" t="str">
        <x:v>tract internal point; no person, address, building, parcel, or route condition</x:v>
      </x:c>
    </x:row>
    <x:row r="280" ht="86.4000015258789" hidden="0" customHeight="1">
      <x:c r="A280" s="34" t="str">
        <x:v>48201313202</x:v>
      </x:c>
      <x:c r="B280" s="62" t="n">
        <x:v>2519</x:v>
      </x:c>
      <x:c r="C280" s="62" t="n">
        <x:v>366</x:v>
      </x:c>
      <x:c r="D280" s="62" t="n">
        <x:v>260</x:v>
      </x:c>
      <x:c r="E280" s="43" t="n">
        <x:v>0.14529575228265185</x:v>
      </x:c>
      <x:c r="F280" s="43" t="n">
        <x:v>0.10321556173084558</x:v>
      </x:c>
      <x:c r="G280" s="65" t="n">
        <x:v>1439</x:v>
      </x:c>
      <x:c r="H280" s="65" t="n">
        <x:v>62</x:v>
      </x:c>
      <x:c r="I280" s="65" t="n">
        <x:v>0.043085476025017375</x:v>
      </x:c>
      <x:c r="J280" s="34" t="str">
        <x:v>moderate</x:v>
      </x:c>
      <x:c r="K280" s="71" t="n">
        <x:v>29.7071865</x:v>
      </x:c>
      <x:c r="L280" s="71" t="n">
        <x:v>-95.3693828</x:v>
      </x:c>
      <x:c r="M280" s="71" t="n">
        <x:v>0.653</x:v>
      </x:c>
      <x:c r="N280" s="71" t="n">
        <x:v>0.04608816417362415</x:v>
      </x:c>
      <x:c r="O280" s="71" t="n">
        <x:v>9.837979313766265</x:v>
      </x:c>
      <x:c r="P280" s="71" t="n">
        <x:v>3</x:v>
      </x:c>
      <x:c r="Q280" s="71" t="n">
        <x:v>364.06886925403995</x:v>
      </x:c>
      <x:c r="R280" s="34" t="str">
        <x:v>tract internal point; no person, address, building, parcel, or route condition</x:v>
      </x:c>
    </x:row>
    <x:row r="281" ht="86.4000015258789" hidden="0" customHeight="1">
      <x:c r="A281" s="36" t="str">
        <x:v>48201313300</x:v>
      </x:c>
      <x:c r="B281" s="63" t="n">
        <x:v>2695</x:v>
      </x:c>
      <x:c r="C281" s="63" t="n">
        <x:v>665</x:v>
      </x:c>
      <x:c r="D281" s="63" t="n">
        <x:v>691</x:v>
      </x:c>
      <x:c r="E281" s="45" t="n">
        <x:v>0.24675324675324675</x:v>
      </x:c>
      <x:c r="F281" s="45" t="n">
        <x:v>0.25640074211502784</x:v>
      </x:c>
      <x:c r="G281" s="66" t="n">
        <x:v>1320</x:v>
      </x:c>
      <x:c r="H281" s="66" t="n">
        <x:v>224</x:v>
      </x:c>
      <x:c r="I281" s="66" t="n">
        <x:v>0.1696969696969697</x:v>
      </x:c>
      <x:c r="J281" s="36" t="str">
        <x:v>low</x:v>
      </x:c>
      <x:c r="K281" s="72" t="n">
        <x:v>29.7045424</x:v>
      </x:c>
      <x:c r="L281" s="72" t="n">
        <x:v>-95.3355622</x:v>
      </x:c>
      <x:c r="M281" s="72" t="n">
        <x:v>0.876</x:v>
      </x:c>
      <x:c r="N281" s="72" t="n">
        <x:v>0.051639476231533574</x:v>
      </x:c>
      <x:c r="O281" s="72" t="n">
        <x:v>12.373233716507864</x:v>
      </x:c>
      <x:c r="P281" s="72" t="n">
        <x:v>3</x:v>
      </x:c>
      <x:c r="Q281" s="72" t="n">
        <x:v>227.69826888214658</x:v>
      </x:c>
      <x:c r="R281" s="36" t="str">
        <x:v>tract internal point; no person, address, building, parcel, or route condition</x:v>
      </x:c>
    </x:row>
    <x:row r="282" ht="86.4000015258789" hidden="0" customHeight="1">
      <x:c r="A282" s="34" t="str">
        <x:v>48201313400</x:v>
      </x:c>
      <x:c r="B282" s="62" t="n">
        <x:v>3803</x:v>
      </x:c>
      <x:c r="C282" s="62" t="n">
        <x:v>589</x:v>
      </x:c>
      <x:c r="D282" s="62" t="n">
        <x:v>435</x:v>
      </x:c>
      <x:c r="E282" s="43" t="n">
        <x:v>0.15487772810938732</x:v>
      </x:c>
      <x:c r="F282" s="43" t="n">
        <x:v>0.11438338154088877</x:v>
      </x:c>
      <x:c r="G282" s="65" t="n">
        <x:v>1830</x:v>
      </x:c>
      <x:c r="H282" s="65" t="n">
        <x:v>646</x:v>
      </x:c>
      <x:c r="I282" s="65" t="n">
        <x:v>0.35300546448087433</x:v>
      </x:c>
      <x:c r="J282" s="34" t="str">
        <x:v>low</x:v>
      </x:c>
      <x:c r="K282" s="71" t="n">
        <x:v>29.694189</x:v>
      </x:c>
      <x:c r="L282" s="71" t="n">
        <x:v>-95.3381856</x:v>
      </x:c>
      <x:c r="M282" s="71" t="n">
        <x:v>0.721</x:v>
      </x:c>
      <x:c r="N282" s="71" t="n">
        <x:v>0.0067962021894257384</x:v>
      </x:c>
      <x:c r="O282" s="71" t="n">
        <x:v>10.700660876174787</x:v>
      </x:c>
      <x:c r="P282" s="71" t="n">
        <x:v>3</x:v>
      </x:c>
      <x:c r="Q282" s="71" t="n">
        <x:v>311.575108670565</x:v>
      </x:c>
      <x:c r="R282" s="34" t="str">
        <x:v>tract internal point; no person, address, building, parcel, or route condition</x:v>
      </x:c>
    </x:row>
    <x:row r="283" ht="86.4000015258789" hidden="0" customHeight="1">
      <x:c r="A283" s="36" t="str">
        <x:v>48201313500</x:v>
      </x:c>
      <x:c r="B283" s="63" t="n">
        <x:v>1781</x:v>
      </x:c>
      <x:c r="C283" s="63" t="n">
        <x:v>544</x:v>
      </x:c>
      <x:c r="D283" s="63" t="n">
        <x:v>234.5</x:v>
      </x:c>
      <x:c r="E283" s="45" t="n">
        <x:v>0.3054463784390792</x:v>
      </x:c>
      <x:c r="F283" s="45" t="n">
        <x:v>0.13166760247052217</x:v>
      </x:c>
      <x:c r="G283" s="66" t="n">
        <x:v>1064</x:v>
      </x:c>
      <x:c r="H283" s="66" t="n">
        <x:v>80</x:v>
      </x:c>
      <x:c r="I283" s="66" t="n">
        <x:v>0.07518796992481203</x:v>
      </x:c>
      <x:c r="J283" s="36" t="str">
        <x:v>low</x:v>
      </x:c>
      <x:c r="K283" s="72" t="n">
        <x:v>29.6887139</x:v>
      </x:c>
      <x:c r="L283" s="72" t="n">
        <x:v>-95.3478932</x:v>
      </x:c>
      <x:c r="M283" s="72" t="n">
        <x:v>0.628</x:v>
      </x:c>
      <x:c r="N283" s="72" t="n">
        <x:v>0.06963300669437755</x:v>
      </x:c>
      <x:c r="O283" s="72" t="n">
        <x:v>10.881792938051897</x:v>
      </x:c>
      <x:c r="P283" s="72" t="n">
        <x:v>3</x:v>
      </x:c>
      <x:c r="Q283" s="72" t="n">
        <x:v>150.3723423212064</x:v>
      </x:c>
      <x:c r="R283" s="36" t="str">
        <x:v>tract internal point; no person, address, building, parcel, or route condition</x:v>
      </x:c>
    </x:row>
    <x:row r="284" ht="86.4000015258789" hidden="0" customHeight="1">
      <x:c r="A284" s="34" t="str">
        <x:v>48201313600</x:v>
      </x:c>
      <x:c r="B284" s="62" t="n">
        <x:v>4618</x:v>
      </x:c>
      <x:c r="C284" s="62" t="n">
        <x:v>703</x:v>
      </x:c>
      <x:c r="D284" s="62" t="n">
        <x:v>391</x:v>
      </x:c>
      <x:c r="E284" s="43" t="n">
        <x:v>0.15223040277176267</x:v>
      </x:c>
      <x:c r="F284" s="43" t="n">
        <x:v>0.08466868774361196</x:v>
      </x:c>
      <x:c r="G284" s="65" t="n">
        <x:v>2113</x:v>
      </x:c>
      <x:c r="H284" s="65" t="n">
        <x:v>223</x:v>
      </x:c>
      <x:c r="I284" s="65" t="n">
        <x:v>0.10553715097018457</x:v>
      </x:c>
      <x:c r="J284" s="34" t="str">
        <x:v>low</x:v>
      </x:c>
      <x:c r="K284" s="71" t="n">
        <x:v>29.6916477</x:v>
      </x:c>
      <x:c r="L284" s="71" t="n">
        <x:v>-95.3575745</x:v>
      </x:c>
      <x:c r="M284" s="71" t="n">
        <x:v>0.894</x:v>
      </x:c>
      <x:c r="N284" s="71" t="n">
        <x:v>0.0834255914511901</x:v>
      </x:c>
      <x:c r="O284" s="71" t="n">
        <x:v>10.535295796804244</x:v>
      </x:c>
      <x:c r="P284" s="71" t="n">
        <x:v>3</x:v>
      </x:c>
      <x:c r="Q284" s="71" t="n">
        <x:v>377.0763814213782</x:v>
      </x:c>
      <x:c r="R284" s="34" t="str">
        <x:v>tract internal point; no person, address, building, parcel, or route condition</x:v>
      </x:c>
    </x:row>
    <x:row r="285" ht="86.4000015258789" hidden="0" customHeight="1">
      <x:c r="A285" s="36" t="str">
        <x:v>48201313700</x:v>
      </x:c>
      <x:c r="B285" s="63" t="n">
        <x:v>2327</x:v>
      </x:c>
      <x:c r="C285" s="63" t="n">
        <x:v>533</x:v>
      </x:c>
      <x:c r="D285" s="63" t="n">
        <x:v>352.5</x:v>
      </x:c>
      <x:c r="E285" s="45" t="n">
        <x:v>0.22905027932960895</x:v>
      </x:c>
      <x:c r="F285" s="45" t="n">
        <x:v>0.15148259561667382</x:v>
      </x:c>
      <x:c r="G285" s="66" t="n">
        <x:v>1099</x:v>
      </x:c>
      <x:c r="H285" s="66" t="n">
        <x:v>56</x:v>
      </x:c>
      <x:c r="I285" s="66" t="n">
        <x:v>0.050955414012738856</x:v>
      </x:c>
      <x:c r="J285" s="36" t="str">
        <x:v>low</x:v>
      </x:c>
      <x:c r="K285" s="72" t="n">
        <x:v>29.6975415</x:v>
      </x:c>
      <x:c r="L285" s="72" t="n">
        <x:v>-95.3665463</x:v>
      </x:c>
      <x:c r="M285" s="72" t="n">
        <x:v>0.516</x:v>
      </x:c>
      <x:c r="N285" s="72" t="n">
        <x:v>0.03297127703308852</x:v>
      </x:c>
      <x:c r="O285" s="72" t="n">
        <x:v>9.65446442014764</x:v>
      </x:c>
      <x:c r="P285" s="72" t="n">
        <x:v>3</x:v>
      </x:c>
      <x:c r="Q285" s="72" t="n">
        <x:v>194.03985748841518</x:v>
      </x:c>
      <x:c r="R285" s="36" t="str">
        <x:v>tract internal point; no person, address, building, parcel, or route condition</x:v>
      </x:c>
    </x:row>
    <x:row r="286" ht="86.4000015258789" hidden="0" customHeight="1">
      <x:c r="A286" s="34" t="str">
        <x:v>48201313801</x:v>
      </x:c>
      <x:c r="B286" s="62" t="n">
        <x:v>1549</x:v>
      </x:c>
      <x:c r="C286" s="62" t="n">
        <x:v>377</x:v>
      </x:c>
      <x:c r="D286" s="62" t="n">
        <x:v>506</x:v>
      </x:c>
      <x:c r="E286" s="43" t="n">
        <x:v>0.2433828276307295</x:v>
      </x:c>
      <x:c r="F286" s="43" t="n">
        <x:v>0.32666236281471916</x:v>
      </x:c>
      <x:c r="G286" s="65" t="n">
        <x:v>888</x:v>
      </x:c>
      <x:c r="H286" s="65" t="n">
        <x:v>184</x:v>
      </x:c>
      <x:c r="I286" s="65" t="n">
        <x:v>0.2072072072072072</x:v>
      </x:c>
      <x:c r="J286" s="34" t="str">
        <x:v>low</x:v>
      </x:c>
      <x:c r="K286" s="71" t="n">
        <x:v>29.6887347</x:v>
      </x:c>
      <x:c r="L286" s="71" t="n">
        <x:v>-95.3695345</x:v>
      </x:c>
      <x:c r="M286" s="71" t="n">
        <x:v>0.347</x:v>
      </x:c>
      <x:c r="N286" s="71" t="n">
        <x:v>0.05031349558045776</x:v>
      </x:c>
      <x:c r="O286" s="71" t="n">
        <x:v>8.946203827658822</x:v>
      </x:c>
      <x:c r="P286" s="71" t="n">
        <x:v>3</x:v>
      </x:c>
      <x:c r="Q286" s="71" t="n">
        <x:v>131.64702646701718</x:v>
      </x:c>
      <x:c r="R286" s="34" t="str">
        <x:v>tract internal point; no person, address, building, parcel, or route condition</x:v>
      </x:c>
    </x:row>
    <x:row r="287" ht="86.4000015258789" hidden="0" customHeight="1">
      <x:c r="A287" s="36" t="str">
        <x:v>48201313802</x:v>
      </x:c>
      <x:c r="B287" s="63" t="n">
        <x:v>2707</x:v>
      </x:c>
      <x:c r="C287" s="63" t="n">
        <x:v>395</x:v>
      </x:c>
      <x:c r="D287" s="63" t="n">
        <x:v>218.5</x:v>
      </x:c>
      <x:c r="E287" s="45" t="n">
        <x:v>0.1459179903952715</x:v>
      </x:c>
      <x:c r="F287" s="45" t="n">
        <x:v>0.08071666050978943</x:v>
      </x:c>
      <x:c r="G287" s="66" t="n">
        <x:v>1185</x:v>
      </x:c>
      <x:c r="H287" s="66" t="n">
        <x:v>90</x:v>
      </x:c>
      <x:c r="I287" s="66" t="n">
        <x:v>0.0759493670886076</x:v>
      </x:c>
      <x:c r="J287" s="36" t="str">
        <x:v>low</x:v>
      </x:c>
      <x:c r="K287" s="72" t="n">
        <x:v>29.6881522</x:v>
      </x:c>
      <x:c r="L287" s="72" t="n">
        <x:v>-95.3760594</x:v>
      </x:c>
      <x:c r="M287" s="72" t="n">
        <x:v>0.505</x:v>
      </x:c>
      <x:c r="N287" s="72" t="n">
        <x:v>0.06172530544996198</x:v>
      </x:c>
      <x:c r="O287" s="72" t="n">
        <x:v>8.437140498871324</x:v>
      </x:c>
      <x:c r="P287" s="72" t="n">
        <x:v>3</x:v>
      </x:c>
      <x:c r="Q287" s="72" t="n">
        <x:v>220.6836437405458</x:v>
      </x:c>
      <x:c r="R287" s="36" t="str">
        <x:v>tract internal point; no person, address, building, parcel, or route condition</x:v>
      </x:c>
    </x:row>
    <x:row r="288" ht="86.4000015258789" hidden="0" customHeight="1">
      <x:c r="A288" s="34" t="str">
        <x:v>48201313901</x:v>
      </x:c>
      <x:c r="B288" s="62" t="n">
        <x:v>3964</x:v>
      </x:c>
      <x:c r="C288" s="62" t="n">
        <x:v>223</x:v>
      </x:c>
      <x:c r="D288" s="62" t="n">
        <x:v>0</x:v>
      </x:c>
      <x:c r="E288" s="43" t="n">
        <x:v>0.05625630676084763</x:v>
      </x:c>
      <x:c r="F288" s="43" t="n">
        <x:v>0</x:v>
      </x:c>
      <x:c r="G288" s="65" t="n">
        <x:v>2297</x:v>
      </x:c>
      <x:c r="H288" s="65" t="n">
        <x:v>1903</x:v>
      </x:c>
      <x:c r="I288" s="65" t="n">
        <x:v>0.8284719198955159</x:v>
      </x:c>
      <x:c r="J288" s="34" t="str">
        <x:v>low</x:v>
      </x:c>
      <x:c r="K288" s="71" t="n">
        <x:v>29.6945254</x:v>
      </x:c>
      <x:c r="L288" s="71" t="n">
        <x:v>-95.3831759</x:v>
      </x:c>
      <x:c r="M288" s="71" t="n">
        <x:v>0.819</x:v>
      </x:c>
      <x:c r="N288" s="71" t="n">
        <x:v>0.05907043425036718</x:v>
      </x:c>
      <x:c r="O288" s="71" t="n">
        <x:v>9.345398638325989</x:v>
      </x:c>
      <x:c r="P288" s="71" t="n">
        <x:v>3</x:v>
      </x:c>
      <x:c r="Q288" s="71" t="n">
        <x:v>315.05687778846874</x:v>
      </x:c>
      <x:c r="R288" s="34" t="str">
        <x:v>tract internal point; no person, address, building, parcel, or route condition</x:v>
      </x:c>
    </x:row>
    <x:row r="289" ht="86.4000015258789" hidden="0" customHeight="1">
      <x:c r="A289" s="36" t="str">
        <x:v>48201313902</x:v>
      </x:c>
      <x:c r="B289" s="63" t="n">
        <x:v>2706</x:v>
      </x:c>
      <x:c r="C289" s="63" t="n">
        <x:v>108</x:v>
      </x:c>
      <x:c r="D289" s="63" t="n">
        <x:v>138</x:v>
      </x:c>
      <x:c r="E289" s="45" t="n">
        <x:v>0.03991130820399113</x:v>
      </x:c>
      <x:c r="F289" s="45" t="n">
        <x:v>0.050997782705099776</x:v>
      </x:c>
      <x:c r="G289" s="66" t="n">
        <x:v>1734</x:v>
      </x:c>
      <x:c r="H289" s="66" t="n">
        <x:v>834</x:v>
      </x:c>
      <x:c r="I289" s="66" t="n">
        <x:v>0.4809688581314879</x:v>
      </x:c>
      <x:c r="J289" s="36" t="str">
        <x:v>low</x:v>
      </x:c>
      <x:c r="K289" s="72" t="n">
        <x:v>29.6832036</x:v>
      </x:c>
      <x:c r="L289" s="72" t="n">
        <x:v>-95.3862954</x:v>
      </x:c>
      <x:c r="M289" s="72" t="n">
        <x:v>0.245</x:v>
      </x:c>
      <x:c r="N289" s="72" t="n">
        <x:v>0.002882311630449669</x:v>
      </x:c>
      <x:c r="O289" s="72" t="n">
        <x:v>8.436597266110706</x:v>
      </x:c>
      <x:c r="P289" s="72" t="n">
        <x:v>3</x:v>
      </x:c>
      <x:c r="Q289" s="72" t="n">
        <x:v>215.46099006369016</x:v>
      </x:c>
      <x:c r="R289" s="36" t="str">
        <x:v>tract internal point; no person, address, building, parcel, or route condition</x:v>
      </x:c>
    </x:row>
    <x:row r="290" ht="86.4000015258789" hidden="0" customHeight="1">
      <x:c r="A290" s="34" t="str">
        <x:v>48201314001</x:v>
      </x:c>
      <x:c r="B290" s="62" t="n">
        <x:v>2879</x:v>
      </x:c>
      <x:c r="C290" s="62" t="n">
        <x:v>134</x:v>
      </x:c>
      <x:c r="D290" s="62" t="n">
        <x:v>281</x:v>
      </x:c>
      <x:c r="E290" s="43" t="n">
        <x:v>0.04654393886766238</x:v>
      </x:c>
      <x:c r="F290" s="43" t="n">
        <x:v>0.09760333449114275</x:v>
      </x:c>
      <x:c r="G290" s="65" t="n">
        <x:v>1825</x:v>
      </x:c>
      <x:c r="H290" s="65" t="n">
        <x:v>629</x:v>
      </x:c>
      <x:c r="I290" s="65" t="n">
        <x:v>0.34465753424657536</x:v>
      </x:c>
      <x:c r="J290" s="34" t="str">
        <x:v>low</x:v>
      </x:c>
      <x:c r="K290" s="71" t="n">
        <x:v>29.699002</x:v>
      </x:c>
      <x:c r="L290" s="71" t="n">
        <x:v>-95.3923379</x:v>
      </x:c>
      <x:c r="M290" s="71" t="n">
        <x:v>0.543</x:v>
      </x:c>
      <x:c r="N290" s="71" t="n">
        <x:v>0.05864540953241977</x:v>
      </x:c>
      <x:c r="O290" s="71" t="n">
        <x:v>9.976837665241096</x:v>
      </x:c>
      <x:c r="P290" s="71" t="n">
        <x:v>3</x:v>
      </x:c>
      <x:c r="Q290" s="71" t="n">
        <x:v>230.5905737024369</x:v>
      </x:c>
      <x:c r="R290" s="34" t="str">
        <x:v>tract internal point; no person, address, building, parcel, or route condition</x:v>
      </x:c>
    </x:row>
    <x:row r="291" ht="86.4000015258789" hidden="0" customHeight="1">
      <x:c r="A291" s="36" t="str">
        <x:v>48201314003</x:v>
      </x:c>
      <x:c r="B291" s="63" t="n">
        <x:v>2654</x:v>
      </x:c>
      <x:c r="C291" s="63" t="n">
        <x:v>82</x:v>
      </x:c>
      <x:c r="D291" s="63" t="n">
        <x:v>245</x:v>
      </x:c>
      <x:c r="E291" s="45" t="n">
        <x:v>0.03089675960813866</x:v>
      </x:c>
      <x:c r="F291" s="45" t="n">
        <x:v>0.09231348907309721</x:v>
      </x:c>
      <x:c r="G291" s="66" t="n">
        <x:v>1642</x:v>
      </x:c>
      <x:c r="H291" s="66" t="n">
        <x:v>689</x:v>
      </x:c>
      <x:c r="I291" s="66" t="n">
        <x:v>0.41961023142509135</x:v>
      </x:c>
      <x:c r="J291" s="36" t="str">
        <x:v>low</x:v>
      </x:c>
      <x:c r="K291" s="72" t="n">
        <x:v>29.6919314</x:v>
      </x:c>
      <x:c r="L291" s="72" t="n">
        <x:v>-95.3978089</x:v>
      </x:c>
      <x:c r="M291" s="72" t="n">
        <x:v>0.339</x:v>
      </x:c>
      <x:c r="N291" s="72" t="n">
        <x:v>0.0703605865307891</x:v>
      </x:c>
      <x:c r="O291" s="72" t="n">
        <x:v>10.276077071451827</x:v>
      </x:c>
      <x:c r="P291" s="72" t="n">
        <x:v>3</x:v>
      </x:c>
      <x:c r="Q291" s="72" t="n">
        <x:v>211.80631141848636</x:v>
      </x:c>
      <x:c r="R291" s="36" t="str">
        <x:v>tract internal point; no person, address, building, parcel, or route condition</x:v>
      </x:c>
    </x:row>
    <x:row r="292" ht="86.4000015258789" hidden="0" customHeight="1">
      <x:c r="A292" s="34" t="str">
        <x:v>48201314004</x:v>
      </x:c>
      <x:c r="B292" s="62" t="n">
        <x:v>2183</x:v>
      </x:c>
      <x:c r="C292" s="62" t="n">
        <x:v>188</x:v>
      </x:c>
      <x:c r="D292" s="62" t="n">
        <x:v>618</x:v>
      </x:c>
      <x:c r="E292" s="43" t="n">
        <x:v>0.08612001832340815</x:v>
      </x:c>
      <x:c r="F292" s="43" t="n">
        <x:v>0.2830966559780119</x:v>
      </x:c>
      <x:c r="G292" s="65" t="n">
        <x:v>1271</x:v>
      </x:c>
      <x:c r="H292" s="65" t="n">
        <x:v>500</x:v>
      </x:c>
      <x:c r="I292" s="65" t="n">
        <x:v>0.3933910306845004</x:v>
      </x:c>
      <x:c r="J292" s="34" t="str">
        <x:v>low</x:v>
      </x:c>
      <x:c r="K292" s="71" t="n">
        <x:v>29.6872016</x:v>
      </x:c>
      <x:c r="L292" s="71" t="n">
        <x:v>-95.397622</x:v>
      </x:c>
      <x:c r="M292" s="71" t="n">
        <x:v>0.072</x:v>
      </x:c>
      <x:c r="N292" s="71" t="n">
        <x:v>0.1998215934024492</x:v>
      </x:c>
      <x:c r="O292" s="71" t="n">
        <x:v>10.144925110952315</x:v>
      </x:c>
      <x:c r="P292" s="71" t="n">
        <x:v>3</x:v>
      </x:c>
      <x:c r="Q292" s="71" t="n">
        <x:v>179.38577504974327</x:v>
      </x:c>
      <x:c r="R292" s="34" t="str">
        <x:v>tract internal point; no person, address, building, parcel, or route condition</x:v>
      </x:c>
    </x:row>
    <x:row r="293" ht="86.4000015258789" hidden="0" customHeight="1">
      <x:c r="A293" s="36" t="str">
        <x:v>48201314005</x:v>
      </x:c>
      <x:c r="B293" s="63" t="n">
        <x:v>2632</x:v>
      </x:c>
      <x:c r="C293" s="63" t="n">
        <x:v>528</x:v>
      </x:c>
      <x:c r="D293" s="63" t="n">
        <x:v>485</x:v>
      </x:c>
      <x:c r="E293" s="45" t="n">
        <x:v>0.2006079027355623</x:v>
      </x:c>
      <x:c r="F293" s="45" t="n">
        <x:v>0.18427051671732522</x:v>
      </x:c>
      <x:c r="G293" s="66" t="n">
        <x:v>1968</x:v>
      </x:c>
      <x:c r="H293" s="66" t="n">
        <x:v>586</x:v>
      </x:c>
      <x:c r="I293" s="66" t="n">
        <x:v>0.29776422764227645</x:v>
      </x:c>
      <x:c r="J293" s="36" t="str">
        <x:v>low</x:v>
      </x:c>
      <x:c r="K293" s="72" t="n">
        <x:v>29.6836581</x:v>
      </x:c>
      <x:c r="L293" s="72" t="n">
        <x:v>-95.3970225</x:v>
      </x:c>
      <x:c r="M293" s="72" t="n">
        <x:v>0.298</x:v>
      </x:c>
      <x:c r="N293" s="72" t="n">
        <x:v>0.1459275723099566</x:v>
      </x:c>
      <x:c r="O293" s="72" t="n">
        <x:v>8.698759365631085</x:v>
      </x:c>
      <x:c r="P293" s="72" t="n">
        <x:v>3</x:v>
      </x:c>
      <x:c r="Q293" s="72" t="n">
        <x:v>218.97419727746657</x:v>
      </x:c>
      <x:c r="R293" s="36" t="str">
        <x:v>tract internal point; no person, address, building, parcel, or route condition</x:v>
      </x:c>
    </x:row>
    <x:row r="294" ht="86.4000015258789" hidden="0" customHeight="1">
      <x:c r="A294" s="34" t="str">
        <x:v>48201314301</x:v>
      </x:c>
      <x:c r="B294" s="62" t="n">
        <x:v>2226</x:v>
      </x:c>
      <x:c r="C294" s="62" t="n">
        <x:v>397</x:v>
      </x:c>
      <x:c r="D294" s="62" t="n">
        <x:v>1183</x:v>
      </x:c>
      <x:c r="E294" s="43" t="n">
        <x:v>0.17834681042228212</x:v>
      </x:c>
      <x:c r="F294" s="43" t="n">
        <x:v>0.5314465408805031</x:v>
      </x:c>
      <x:c r="G294" s="65" t="n">
        <x:v>1609</x:v>
      </x:c>
      <x:c r="H294" s="65" t="n">
        <x:v>783</x:v>
      </x:c>
      <x:c r="I294" s="65" t="n">
        <x:v>0.48663766314481044</x:v>
      </x:c>
      <x:c r="J294" s="34" t="str">
        <x:v>low</x:v>
      </x:c>
      <x:c r="K294" s="71" t="n">
        <x:v>29.6791537</x:v>
      </x:c>
      <x:c r="L294" s="71" t="n">
        <x:v>-95.4158615</x:v>
      </x:c>
      <x:c r="M294" s="71" t="n">
        <x:v>0.118</x:v>
      </x:c>
      <x:c r="N294" s="71" t="n">
        <x:v>0.10516189841582685</x:v>
      </x:c>
      <x:c r="O294" s="71" t="n">
        <x:v>9.678157292312932</x:v>
      </x:c>
      <x:c r="P294" s="71" t="n">
        <x:v>3</x:v>
      </x:c>
      <x:c r="Q294" s="71" t="n">
        <x:v>190.49128241678181</x:v>
      </x:c>
      <x:c r="R294" s="34" t="str">
        <x:v>tract internal point; no person, address, building, parcel, or route condition</x:v>
      </x:c>
    </x:row>
    <x:row r="295" ht="86.4000015258789" hidden="0" customHeight="1">
      <x:c r="A295" s="36" t="str">
        <x:v>48201314302</x:v>
      </x:c>
      <x:c r="B295" s="63" t="n">
        <x:v>1650</x:v>
      </x:c>
      <x:c r="C295" s="63" t="n">
        <x:v>245</x:v>
      </x:c>
      <x:c r="D295" s="63" t="n">
        <x:v>598</x:v>
      </x:c>
      <x:c r="E295" s="45" t="n">
        <x:v>0.1484848484848485</x:v>
      </x:c>
      <x:c r="F295" s="45" t="n">
        <x:v>0.3624242424242424</x:v>
      </x:c>
      <x:c r="G295" s="66" t="n">
        <x:v>1539</x:v>
      </x:c>
      <x:c r="H295" s="66" t="n">
        <x:v>421</x:v>
      </x:c>
      <x:c r="I295" s="66" t="n">
        <x:v>0.27355425601039635</x:v>
      </x:c>
      <x:c r="J295" s="36" t="str">
        <x:v>low</x:v>
      </x:c>
      <x:c r="K295" s="72" t="n">
        <x:v>29.6847382</x:v>
      </x:c>
      <x:c r="L295" s="72" t="n">
        <x:v>-95.4182205</x:v>
      </x:c>
      <x:c r="M295" s="72" t="n">
        <x:v>0.463</x:v>
      </x:c>
      <x:c r="N295" s="72" t="n">
        <x:v>0.09424699060657213</x:v>
      </x:c>
      <x:c r="O295" s="72" t="n">
        <x:v>10.678182889287786</x:v>
      </x:c>
      <x:c r="P295" s="72" t="n">
        <x:v>3</x:v>
      </x:c>
      <x:c r="Q295" s="72" t="n">
        <x:v>138.23330755235213</x:v>
      </x:c>
      <x:c r="R295" s="36" t="str">
        <x:v>tract internal point; no person, address, building, parcel, or route condition</x:v>
      </x:c>
    </x:row>
    <x:row r="296" ht="86.4000015258789" hidden="0" customHeight="1">
      <x:c r="A296" s="34" t="str">
        <x:v>48201314401</x:v>
      </x:c>
      <x:c r="B296" s="62" t="n">
        <x:v>1510</x:v>
      </x:c>
      <x:c r="C296" s="62" t="n">
        <x:v>65</x:v>
      </x:c>
      <x:c r="D296" s="62" t="n">
        <x:v>212.5</x:v>
      </x:c>
      <x:c r="E296" s="43" t="n">
        <x:v>0.04304635761589404</x:v>
      </x:c>
      <x:c r="F296" s="43" t="n">
        <x:v>0.14072847682119205</x:v>
      </x:c>
      <x:c r="G296" s="65" t="n">
        <x:v>1142</x:v>
      </x:c>
      <x:c r="H296" s="65" t="n">
        <x:v>861</x:v>
      </x:c>
      <x:c r="I296" s="65" t="n">
        <x:v>0.7539404553415061</x:v>
      </x:c>
      <x:c r="J296" s="34" t="str">
        <x:v>moderate</x:v>
      </x:c>
      <x:c r="K296" s="71" t="n">
        <x:v>29.6965548</x:v>
      </x:c>
      <x:c r="L296" s="71" t="n">
        <x:v>-95.4043924</x:v>
      </x:c>
      <x:c r="M296" s="71" t="n">
        <x:v>0.182</x:v>
      </x:c>
      <x:c r="N296" s="71" t="n">
        <x:v>0.04296883673501561</x:v>
      </x:c>
      <x:c r="O296" s="71" t="n">
        <x:v>10.967899356601645</x:v>
      </x:c>
      <x:c r="P296" s="71" t="n">
        <x:v>3</x:v>
      </x:c>
      <x:c r="Q296" s="71" t="n">
        <x:v>214.7327749390999</x:v>
      </x:c>
      <x:c r="R296" s="34" t="str">
        <x:v>tract internal point; no person, address, building, parcel, or route condition</x:v>
      </x:c>
    </x:row>
    <x:row r="297" ht="86.4000015258789" hidden="0" customHeight="1">
      <x:c r="A297" s="36" t="str">
        <x:v>48201314402</x:v>
      </x:c>
      <x:c r="B297" s="63" t="n">
        <x:v>2037</x:v>
      </x:c>
      <x:c r="C297" s="63" t="n">
        <x:v>205</x:v>
      </x:c>
      <x:c r="D297" s="63" t="n">
        <x:v>129</x:v>
      </x:c>
      <x:c r="E297" s="45" t="n">
        <x:v>0.10063819342169858</x:v>
      </x:c>
      <x:c r="F297" s="45" t="n">
        <x:v>0.06332842415316642</x:v>
      </x:c>
      <x:c r="G297" s="66" t="n">
        <x:v>1608</x:v>
      </x:c>
      <x:c r="H297" s="66" t="n">
        <x:v>649</x:v>
      </x:c>
      <x:c r="I297" s="66" t="n">
        <x:v>0.40360696517412936</x:v>
      </x:c>
      <x:c r="J297" s="36" t="str">
        <x:v>low</x:v>
      </x:c>
      <x:c r="K297" s="72" t="n">
        <x:v>29.6886576</x:v>
      </x:c>
      <x:c r="L297" s="72" t="n">
        <x:v>-95.4100413</x:v>
      </x:c>
      <x:c r="M297" s="72" t="n">
        <x:v>0.733</x:v>
      </x:c>
      <x:c r="N297" s="72" t="n">
        <x:v>0.17934977234784555</x:v>
      </x:c>
      <x:c r="O297" s="72" t="n">
        <x:v>10.81602005653291</x:v>
      </x:c>
      <x:c r="P297" s="72" t="n">
        <x:v>3</x:v>
      </x:c>
      <x:c r="Q297" s="72" t="n">
        <x:v>164.33478665067832</x:v>
      </x:c>
      <x:c r="R297" s="36" t="str">
        <x:v>tract internal point; no person, address, building, parcel, or route condition</x:v>
      </x:c>
    </x:row>
    <x:row r="298" ht="86.4000015258789" hidden="0" customHeight="1">
      <x:c r="A298" s="34" t="str">
        <x:v>48201320100</x:v>
      </x:c>
      <x:c r="B298" s="62" t="n">
        <x:v>2253</x:v>
      </x:c>
      <x:c r="C298" s="62" t="n">
        <x:v>332</x:v>
      </x:c>
      <x:c r="D298" s="62" t="n">
        <x:v>212</x:v>
      </x:c>
      <x:c r="E298" s="43" t="n">
        <x:v>0.1473590767865069</x:v>
      </x:c>
      <x:c r="F298" s="43" t="n">
        <x:v>0.09409675987572126</x:v>
      </x:c>
      <x:c r="G298" s="65" t="n">
        <x:v>1190</x:v>
      </x:c>
      <x:c r="H298" s="65" t="n">
        <x:v>185</x:v>
      </x:c>
      <x:c r="I298" s="65" t="n">
        <x:v>0.15546218487394958</x:v>
      </x:c>
      <x:c r="J298" s="34" t="str">
        <x:v>low</x:v>
      </x:c>
      <x:c r="K298" s="71" t="n">
        <x:v>29.6946691</x:v>
      </x:c>
      <x:c r="L298" s="71" t="n">
        <x:v>-95.2812699</x:v>
      </x:c>
      <x:c r="M298" s="71" t="n">
        <x:v>0.38</x:v>
      </x:c>
      <x:c r="N298" s="71" t="n">
        <x:v>0.07119575014026175</x:v>
      </x:c>
      <x:c r="O298" s="71" t="n">
        <x:v>14.487425991158243</x:v>
      </x:c>
      <x:c r="P298" s="71" t="n">
        <x:v>3</x:v>
      </x:c>
      <x:c r="Q298" s="71" t="n">
        <x:v>183.9600179992242</x:v>
      </x:c>
      <x:c r="R298" s="34" t="str">
        <x:v>tract internal point; no person, address, building, parcel, or route condition</x:v>
      </x:c>
    </x:row>
    <x:row r="299" ht="86.4000015258789" hidden="0" customHeight="1">
      <x:c r="A299" s="36" t="str">
        <x:v>48201320201</x:v>
      </x:c>
      <x:c r="B299" s="63" t="n">
        <x:v>2983</x:v>
      </x:c>
      <x:c r="C299" s="63" t="n">
        <x:v>418</x:v>
      </x:c>
      <x:c r="D299" s="63" t="n">
        <x:v>115</x:v>
      </x:c>
      <x:c r="E299" s="45" t="n">
        <x:v>0.14012738853503184</x:v>
      </x:c>
      <x:c r="F299" s="45" t="n">
        <x:v>0.03855179349648005</x:v>
      </x:c>
      <x:c r="G299" s="66" t="n">
        <x:v>827</x:v>
      </x:c>
      <x:c r="H299" s="66" t="n">
        <x:v>227</x:v>
      </x:c>
      <x:c r="I299" s="66" t="n">
        <x:v>0.27448609431680776</x:v>
      </x:c>
      <x:c r="J299" s="36" t="str">
        <x:v>low</x:v>
      </x:c>
      <x:c r="K299" s="72" t="n">
        <x:v>29.7009123</x:v>
      </x:c>
      <x:c r="L299" s="72" t="n">
        <x:v>-95.2681003</x:v>
      </x:c>
      <x:c r="M299" s="72" t="n">
        <x:v>0.784</x:v>
      </x:c>
      <x:c r="N299" s="72" t="n">
        <x:v>0.1224333260546266</x:v>
      </x:c>
      <x:c r="O299" s="72" t="n">
        <x:v>15.441351973707002</x:v>
      </x:c>
      <x:c r="P299" s="72" t="n">
        <x:v>3</x:v>
      </x:c>
      <x:c r="Q299" s="72" t="n">
        <x:v>241.92400726455259</x:v>
      </x:c>
      <x:c r="R299" s="36" t="str">
        <x:v>tract internal point; no person, address, building, parcel, or route condition</x:v>
      </x:c>
    </x:row>
    <x:row r="300" ht="86.4000015258789" hidden="0" customHeight="1">
      <x:c r="A300" s="34" t="str">
        <x:v>48201320202</x:v>
      </x:c>
      <x:c r="B300" s="62" t="n">
        <x:v>3033</x:v>
      </x:c>
      <x:c r="C300" s="62" t="n">
        <x:v>399</x:v>
      </x:c>
      <x:c r="D300" s="62" t="n">
        <x:v>169</x:v>
      </x:c>
      <x:c r="E300" s="43" t="n">
        <x:v>0.13155291790306628</x:v>
      </x:c>
      <x:c r="F300" s="43" t="n">
        <x:v>0.05572040883613584</x:v>
      </x:c>
      <x:c r="G300" s="65" t="n">
        <x:v>1503</x:v>
      </x:c>
      <x:c r="H300" s="65" t="n">
        <x:v>208</x:v>
      </x:c>
      <x:c r="I300" s="65" t="n">
        <x:v>0.1383898868928809</x:v>
      </x:c>
      <x:c r="J300" s="34" t="str">
        <x:v>moderate</x:v>
      </x:c>
      <x:c r="K300" s="71" t="n">
        <x:v>29.689568</x:v>
      </x:c>
      <x:c r="L300" s="71" t="n">
        <x:v>-95.2711577</x:v>
      </x:c>
      <x:c r="M300" s="71" t="n">
        <x:v>0.756</x:v>
      </x:c>
      <x:c r="N300" s="71" t="n">
        <x:v>0.06216970840181902</x:v>
      </x:c>
      <x:c r="O300" s="71" t="n">
        <x:v>15.270823810316013</x:v>
      </x:c>
      <x:c r="P300" s="71" t="n">
        <x:v>3</x:v>
      </x:c>
      <x:c r="Q300" s="71" t="n">
        <x:v>435.19453827223623</x:v>
      </x:c>
      <x:c r="R300" s="34" t="str">
        <x:v>tract internal point; no person, address, building, parcel, or route condition</x:v>
      </x:c>
    </x:row>
    <x:row r="301" ht="86.4000015258789" hidden="0" customHeight="1">
      <x:c r="A301" s="36" t="str">
        <x:v>48201320500</x:v>
      </x:c>
      <x:c r="B301" s="63" t="n">
        <x:v>4097</x:v>
      </x:c>
      <x:c r="C301" s="63" t="n">
        <x:v>654</x:v>
      </x:c>
      <x:c r="D301" s="63" t="n">
        <x:v>0</x:v>
      </x:c>
      <x:c r="E301" s="45" t="n">
        <x:v>0.15962899682694653</x:v>
      </x:c>
      <x:c r="F301" s="45" t="n">
        <x:v>0</x:v>
      </x:c>
      <x:c r="G301" s="66" t="n">
        <x:v>1283</x:v>
      </x:c>
      <x:c r="H301" s="66" t="n">
        <x:v>0</x:v>
      </x:c>
      <x:c r="I301" s="66" t="n">
        <x:v>0</x:v>
      </x:c>
      <x:c r="J301" s="36" t="str">
        <x:v>low</x:v>
      </x:c>
      <x:c r="K301" s="72" t="n">
        <x:v>29.6991881</x:v>
      </x:c>
      <x:c r="L301" s="72" t="n">
        <x:v>-95.2440992</x:v>
      </x:c>
      <x:c r="M301" s="72" t="n">
        <x:v>2.137</x:v>
      </x:c>
      <x:c r="N301" s="72" t="n">
        <x:v>0.2490591534749065</x:v>
      </x:c>
      <x:c r="O301" s="72" t="n">
        <x:v>18.49307164374529</x:v>
      </x:c>
      <x:c r="P301" s="72" t="n">
        <x:v>3</x:v>
      </x:c>
      <x:c r="Q301" s="72" t="n">
        <x:v>332.2849543267195</x:v>
      </x:c>
      <x:c r="R301" s="36" t="str">
        <x:v>tract internal point; no person, address, building, parcel, or route condition</x:v>
      </x:c>
    </x:row>
    <x:row r="302" ht="86.4000015258789" hidden="0" customHeight="1">
      <x:c r="A302" s="34" t="str">
        <x:v>48201320601</x:v>
      </x:c>
      <x:c r="B302" s="62" t="n">
        <x:v>2104</x:v>
      </x:c>
      <x:c r="C302" s="62" t="n">
        <x:v>281</x:v>
      </x:c>
      <x:c r="D302" s="62" t="n">
        <x:v>319</x:v>
      </x:c>
      <x:c r="E302" s="43" t="n">
        <x:v>0.1335551330798479</x:v>
      </x:c>
      <x:c r="F302" s="43" t="n">
        <x:v>0.15161596958174905</x:v>
      </x:c>
      <x:c r="G302" s="65" t="n">
        <x:v>801</x:v>
      </x:c>
      <x:c r="H302" s="65" t="n">
        <x:v>179</x:v>
      </x:c>
      <x:c r="I302" s="65" t="n">
        <x:v>0.22347066167290885</x:v>
      </x:c>
      <x:c r="J302" s="34" t="str">
        <x:v>low</x:v>
      </x:c>
      <x:c r="K302" s="71" t="n">
        <x:v>29.6839896</x:v>
      </x:c>
      <x:c r="L302" s="71" t="n">
        <x:v>-95.262852</x:v>
      </x:c>
      <x:c r="M302" s="71" t="n">
        <x:v>0.526</x:v>
      </x:c>
      <x:c r="N302" s="71" t="n">
        <x:v>0.05504529508671825</x:v>
      </x:c>
      <x:c r="O302" s="71" t="n">
        <x:v>16.73689496573369</x:v>
      </x:c>
      <x:c r="P302" s="71" t="n">
        <x:v>3</x:v>
      </x:c>
      <x:c r="Q302" s="71" t="n">
        <x:v>172.28862490647666</x:v>
      </x:c>
      <x:c r="R302" s="34" t="str">
        <x:v>tract internal point; no person, address, building, parcel, or route condition</x:v>
      </x:c>
    </x:row>
    <x:row r="303" ht="86.4000015258789" hidden="0" customHeight="1">
      <x:c r="A303" s="36" t="str">
        <x:v>48201320602</x:v>
      </x:c>
      <x:c r="B303" s="63" t="n">
        <x:v>4365</x:v>
      </x:c>
      <x:c r="C303" s="63" t="n">
        <x:v>593</x:v>
      </x:c>
      <x:c r="D303" s="63" t="n">
        <x:v>223</x:v>
      </x:c>
      <x:c r="E303" s="45" t="n">
        <x:v>0.1358533791523482</x:v>
      </x:c>
      <x:c r="F303" s="45" t="n">
        <x:v>0.05108820160366552</x:v>
      </x:c>
      <x:c r="G303" s="66" t="n">
        <x:v>1654</x:v>
      </x:c>
      <x:c r="H303" s="66" t="n">
        <x:v>305</x:v>
      </x:c>
      <x:c r="I303" s="66" t="n">
        <x:v>0.18440145102781136</x:v>
      </x:c>
      <x:c r="J303" s="36" t="str">
        <x:v>low</x:v>
      </x:c>
      <x:c r="K303" s="72" t="n">
        <x:v>29.6774601</x:v>
      </x:c>
      <x:c r="L303" s="72" t="n">
        <x:v>-95.2575385</x:v>
      </x:c>
      <x:c r="M303" s="72" t="n">
        <x:v>0.585</x:v>
      </x:c>
      <x:c r="N303" s="72" t="n">
        <x:v>0.042214628219913605</x:v>
      </x:c>
      <x:c r="O303" s="72" t="n">
        <x:v>16.93193707173744</x:v>
      </x:c>
      <x:c r="P303" s="72" t="n">
        <x:v>3</x:v>
      </x:c>
      <x:c r="Q303" s="72" t="n">
        <x:v>354.14229048222853</x:v>
      </x:c>
      <x:c r="R303" s="36" t="str">
        <x:v>tract internal point; no person, address, building, parcel, or route condition</x:v>
      </x:c>
    </x:row>
    <x:row r="304" ht="86.4000015258789" hidden="0" customHeight="1">
      <x:c r="A304" s="34" t="str">
        <x:v>48201320700</x:v>
      </x:c>
      <x:c r="B304" s="62" t="n">
        <x:v>3383</x:v>
      </x:c>
      <x:c r="C304" s="62" t="n">
        <x:v>634</x:v>
      </x:c>
      <x:c r="D304" s="62" t="n">
        <x:v>348</x:v>
      </x:c>
      <x:c r="E304" s="43" t="n">
        <x:v>0.18740762636712976</x:v>
      </x:c>
      <x:c r="F304" s="43" t="n">
        <x:v>0.10286727756429205</x:v>
      </x:c>
      <x:c r="G304" s="65" t="n">
        <x:v>1821</x:v>
      </x:c>
      <x:c r="H304" s="65" t="n">
        <x:v>305</x:v>
      </x:c>
      <x:c r="I304" s="65" t="n">
        <x:v>0.16749038989566173</x:v>
      </x:c>
      <x:c r="J304" s="34" t="str">
        <x:v>low</x:v>
      </x:c>
      <x:c r="K304" s="71" t="n">
        <x:v>29.6713783</x:v>
      </x:c>
      <x:c r="L304" s="71" t="n">
        <x:v>-95.2499807</x:v>
      </x:c>
      <x:c r="M304" s="71" t="n">
        <x:v>1.33</x:v>
      </x:c>
      <x:c r="N304" s="71" t="n">
        <x:v>0.110258818579022</x:v>
      </x:c>
      <x:c r="O304" s="71" t="n">
        <x:v>17.309359191929516</x:v>
      </x:c>
      <x:c r="P304" s="71" t="n">
        <x:v>3</x:v>
      </x:c>
      <x:c r="Q304" s="71" t="n">
        <x:v>278.58868657611293</x:v>
      </x:c>
      <x:c r="R304" s="34" t="str">
        <x:v>tract internal point; no person, address, building, parcel, or route condition</x:v>
      </x:c>
    </x:row>
    <x:row r="305" ht="86.4000015258789" hidden="0" customHeight="1">
      <x:c r="A305" s="36" t="str">
        <x:v>48201320800</x:v>
      </x:c>
      <x:c r="B305" s="63" t="n">
        <x:v>4738</x:v>
      </x:c>
      <x:c r="C305" s="63" t="n">
        <x:v>536</x:v>
      </x:c>
      <x:c r="D305" s="63" t="n">
        <x:v>107.5</x:v>
      </x:c>
      <x:c r="E305" s="45" t="n">
        <x:v>0.11312790206838329</x:v>
      </x:c>
      <x:c r="F305" s="45" t="n">
        <x:v>0.022688898269311947</x:v>
      </x:c>
      <x:c r="G305" s="66" t="n">
        <x:v>1751</x:v>
      </x:c>
      <x:c r="H305" s="66" t="n">
        <x:v>22</x:v>
      </x:c>
      <x:c r="I305" s="66" t="n">
        <x:v>0.012564249000571102</x:v>
      </x:c>
      <x:c r="J305" s="36" t="str">
        <x:v>high</x:v>
      </x:c>
      <x:c r="K305" s="72" t="n">
        <x:v>29.6598065</x:v>
      </x:c>
      <x:c r="L305" s="72" t="n">
        <x:v>-95.2410022</x:v>
      </x:c>
      <x:c r="M305" s="72" t="n">
        <x:v>1.128</x:v>
      </x:c>
      <x:c r="N305" s="72" t="n">
        <x:v>0.08051467695857857</x:v>
      </x:c>
      <x:c r="O305" s="72" t="n">
        <x:v>18.89038806381138</x:v>
      </x:c>
      <x:c r="P305" s="72" t="n">
        <x:v>3</x:v>
      </x:c>
      <x:c r="Q305" s="72" t="n">
        <x:v>822.0251935168926</x:v>
      </x:c>
      <x:c r="R305" s="36" t="str">
        <x:v>tract internal point; no person, address, building, parcel, or route condition</x:v>
      </x:c>
    </x:row>
    <x:row r="306" ht="86.4000015258789" hidden="0" customHeight="1">
      <x:c r="A306" s="34" t="str">
        <x:v>48201320901</x:v>
      </x:c>
      <x:c r="B306" s="62" t="n">
        <x:v>2800</x:v>
      </x:c>
      <x:c r="C306" s="62" t="n">
        <x:v>235</x:v>
      </x:c>
      <x:c r="D306" s="62" t="n">
        <x:v>246.5</x:v>
      </x:c>
      <x:c r="E306" s="43" t="n">
        <x:v>0.08392857142857142</x:v>
      </x:c>
      <x:c r="F306" s="43" t="n">
        <x:v>0.08803571428571429</x:v>
      </x:c>
      <x:c r="G306" s="65" t="n">
        <x:v>1435</x:v>
      </x:c>
      <x:c r="H306" s="65" t="n">
        <x:v>184</x:v>
      </x:c>
      <x:c r="I306" s="65" t="n">
        <x:v>0.12822299651567945</x:v>
      </x:c>
      <x:c r="J306" s="34" t="str">
        <x:v>low</x:v>
      </x:c>
      <x:c r="K306" s="71" t="n">
        <x:v>29.6477726</x:v>
      </x:c>
      <x:c r="L306" s="71" t="n">
        <x:v>-95.2437602</x:v>
      </x:c>
      <x:c r="M306" s="71" t="n">
        <x:v>0.401</x:v>
      </x:c>
      <x:c r="N306" s="71" t="n">
        <x:v>0.08989617897082032</x:v>
      </x:c>
      <x:c r="O306" s="71" t="n">
        <x:v>17.365444865991673</x:v>
      </x:c>
      <x:c r="P306" s="71" t="n">
        <x:v>3</x:v>
      </x:c>
      <x:c r="Q306" s="71" t="n">
        <x:v>225.6980200322447</x:v>
      </x:c>
      <x:c r="R306" s="34" t="str">
        <x:v>tract internal point; no person, address, building, parcel, or route condition</x:v>
      </x:c>
    </x:row>
    <x:row r="307" ht="86.4000015258789" hidden="0" customHeight="1">
      <x:c r="A307" s="36" t="str">
        <x:v>48201320902</x:v>
      </x:c>
      <x:c r="B307" s="63" t="n">
        <x:v>3685</x:v>
      </x:c>
      <x:c r="C307" s="63" t="n">
        <x:v>244</x:v>
      </x:c>
      <x:c r="D307" s="63" t="n">
        <x:v>168</x:v>
      </x:c>
      <x:c r="E307" s="45" t="n">
        <x:v>0.06621438263229308</x:v>
      </x:c>
      <x:c r="F307" s="45" t="n">
        <x:v>0.04559023066485753</x:v>
      </x:c>
      <x:c r="G307" s="66" t="n">
        <x:v>1241</x:v>
      </x:c>
      <x:c r="H307" s="66" t="n">
        <x:v>0</x:v>
      </x:c>
      <x:c r="I307" s="66" t="n">
        <x:v>0</x:v>
      </x:c>
      <x:c r="J307" s="36" t="str">
        <x:v>moderate</x:v>
      </x:c>
      <x:c r="K307" s="72" t="n">
        <x:v>29.6477918</x:v>
      </x:c>
      <x:c r="L307" s="72" t="n">
        <x:v>-95.2317334</x:v>
      </x:c>
      <x:c r="M307" s="72" t="n">
        <x:v>0.494</x:v>
      </x:c>
      <x:c r="N307" s="72" t="n">
        <x:v>0.08093265160671682</x:v>
      </x:c>
      <x:c r="O307" s="72" t="n">
        <x:v>18.36369486465984</x:v>
      </x:c>
      <x:c r="P307" s="72" t="n">
        <x:v>3</x:v>
      </x:c>
      <x:c r="Q307" s="72" t="n">
        <x:v>521.5326182202286</x:v>
      </x:c>
      <x:c r="R307" s="36" t="str">
        <x:v>tract internal point; no person, address, building, parcel, or route condition</x:v>
      </x:c>
    </x:row>
    <x:row r="308" ht="86.4000015258789" hidden="0" customHeight="1">
      <x:c r="A308" s="34" t="str">
        <x:v>48201321001</x:v>
      </x:c>
      <x:c r="B308" s="62" t="n">
        <x:v>2805</x:v>
      </x:c>
      <x:c r="C308" s="62" t="n">
        <x:v>235</x:v>
      </x:c>
      <x:c r="D308" s="62" t="n">
        <x:v>187</x:v>
      </x:c>
      <x:c r="E308" s="43" t="n">
        <x:v>0.08377896613190731</x:v>
      </x:c>
      <x:c r="F308" s="43" t="n">
        <x:v>0.06666666666666667</x:v>
      </x:c>
      <x:c r="G308" s="65" t="n">
        <x:v>1170</x:v>
      </x:c>
      <x:c r="H308" s="65" t="n">
        <x:v>334</x:v>
      </x:c>
      <x:c r="I308" s="65" t="n">
        <x:v>0.28547008547008546</x:v>
      </x:c>
      <x:c r="J308" s="34" t="str">
        <x:v>low</x:v>
      </x:c>
      <x:c r="K308" s="71" t="n">
        <x:v>29.6322318</x:v>
      </x:c>
      <x:c r="L308" s="71" t="n">
        <x:v>-95.2288977</x:v>
      </x:c>
      <x:c r="M308" s="71" t="n">
        <x:v>0.504</x:v>
      </x:c>
      <x:c r="N308" s="71" t="n">
        <x:v>0.119224993611009</x:v>
      </x:c>
      <x:c r="O308" s="71" t="n">
        <x:v>15.492279815957486</x:v>
      </x:c>
      <x:c r="P308" s="71" t="n">
        <x:v>3</x:v>
      </x:c>
      <x:c r="Q308" s="71" t="n">
        <x:v>225.623354554547</x:v>
      </x:c>
      <x:c r="R308" s="34" t="str">
        <x:v>tract internal point; no person, address, building, parcel, or route condition</x:v>
      </x:c>
    </x:row>
    <x:row r="309" ht="86.4000015258789" hidden="0" customHeight="1">
      <x:c r="A309" s="36" t="str">
        <x:v>48201321002</x:v>
      </x:c>
      <x:c r="B309" s="63" t="n">
        <x:v>5200</x:v>
      </x:c>
      <x:c r="C309" s="63" t="n">
        <x:v>457</x:v>
      </x:c>
      <x:c r="D309" s="63" t="n">
        <x:v>242</x:v>
      </x:c>
      <x:c r="E309" s="45" t="n">
        <x:v>0.08788461538461538</x:v>
      </x:c>
      <x:c r="F309" s="45" t="n">
        <x:v>0.046538461538461535</x:v>
      </x:c>
      <x:c r="G309" s="66" t="n">
        <x:v>1829</x:v>
      </x:c>
      <x:c r="H309" s="66" t="n">
        <x:v>302</x:v>
      </x:c>
      <x:c r="I309" s="66" t="n">
        <x:v>0.1651175505740842</x:v>
      </x:c>
      <x:c r="J309" s="36" t="str">
        <x:v>moderate</x:v>
      </x:c>
      <x:c r="K309" s="72" t="n">
        <x:v>29.6398866</x:v>
      </x:c>
      <x:c r="L309" s="72" t="n">
        <x:v>-95.2257862</x:v>
      </x:c>
      <x:c r="M309" s="72" t="n">
        <x:v>1.026</x:v>
      </x:c>
      <x:c r="N309" s="72" t="n">
        <x:v>0.11122746775598072</x:v>
      </x:c>
      <x:c r="O309" s="72" t="n">
        <x:v>17.109635705143248</x:v>
      </x:c>
      <x:c r="P309" s="72" t="n">
        <x:v>3</x:v>
      </x:c>
      <x:c r="Q309" s="72" t="n">
        <x:v>739.1507453238007</x:v>
      </x:c>
      <x:c r="R309" s="36" t="str">
        <x:v>tract internal point; no person, address, building, parcel, or route condition</x:v>
      </x:c>
    </x:row>
    <x:row r="310" ht="86.4000015258789" hidden="0" customHeight="1">
      <x:c r="A310" s="34" t="str">
        <x:v>48201321101</x:v>
      </x:c>
      <x:c r="B310" s="62" t="n">
        <x:v>3896</x:v>
      </x:c>
      <x:c r="C310" s="62" t="n">
        <x:v>397</x:v>
      </x:c>
      <x:c r="D310" s="62" t="n">
        <x:v>177</x:v>
      </x:c>
      <x:c r="E310" s="43" t="n">
        <x:v>0.1018993839835729</x:v>
      </x:c>
      <x:c r="F310" s="43" t="n">
        <x:v>0.045431211498973306</x:v>
      </x:c>
      <x:c r="G310" s="65" t="n">
        <x:v>1814</x:v>
      </x:c>
      <x:c r="H310" s="65" t="n">
        <x:v>292</x:v>
      </x:c>
      <x:c r="I310" s="65" t="n">
        <x:v>0.1609702315325248</x:v>
      </x:c>
      <x:c r="J310" s="34" t="str">
        <x:v>low</x:v>
      </x:c>
      <x:c r="K310" s="71" t="n">
        <x:v>29.617103</x:v>
      </x:c>
      <x:c r="L310" s="71" t="n">
        <x:v>-95.2057141</x:v>
      </x:c>
      <x:c r="M310" s="71" t="n">
        <x:v>1.145</x:v>
      </x:c>
      <x:c r="N310" s="71" t="n">
        <x:v>0.11316194167489223</x:v>
      </x:c>
      <x:c r="O310" s="71" t="n">
        <x:v>15.338961005516047</x:v>
      </x:c>
      <x:c r="P310" s="71" t="n">
        <x:v>3</x:v>
      </x:c>
      <x:c r="Q310" s="71" t="n">
        <x:v>313.8386515734008</x:v>
      </x:c>
      <x:c r="R310" s="34" t="str">
        <x:v>tract internal point; no person, address, building, parcel, or route condition</x:v>
      </x:c>
    </x:row>
    <x:row r="311" ht="86.4000015258789" hidden="0" customHeight="1">
      <x:c r="A311" s="36" t="str">
        <x:v>48201321102</x:v>
      </x:c>
      <x:c r="B311" s="63" t="n">
        <x:v>4274</x:v>
      </x:c>
      <x:c r="C311" s="63" t="n">
        <x:v>719</x:v>
      </x:c>
      <x:c r="D311" s="63" t="n">
        <x:v>189</x:v>
      </x:c>
      <x:c r="E311" s="45" t="n">
        <x:v>0.16822648572765558</x:v>
      </x:c>
      <x:c r="F311" s="45" t="n">
        <x:v>0.044220870379036034</x:v>
      </x:c>
      <x:c r="G311" s="66" t="n">
        <x:v>1212</x:v>
      </x:c>
      <x:c r="H311" s="66" t="n">
        <x:v>0</x:v>
      </x:c>
      <x:c r="I311" s="66" t="n">
        <x:v>0</x:v>
      </x:c>
      <x:c r="J311" s="36" t="str">
        <x:v>low</x:v>
      </x:c>
      <x:c r="K311" s="72" t="n">
        <x:v>29.6278462</x:v>
      </x:c>
      <x:c r="L311" s="72" t="n">
        <x:v>-95.2136038</x:v>
      </x:c>
      <x:c r="M311" s="72" t="n">
        <x:v>0.988</x:v>
      </x:c>
      <x:c r="N311" s="72" t="n">
        <x:v>0.04887691622281963</x:v>
      </x:c>
      <x:c r="O311" s="72" t="n">
        <x:v>16.458419805535215</x:v>
      </x:c>
      <x:c r="P311" s="72" t="n">
        <x:v>3</x:v>
      </x:c>
      <x:c r="Q311" s="72" t="n">
        <x:v>348.70349989624793</x:v>
      </x:c>
      <x:c r="R311" s="36" t="str">
        <x:v>tract internal point; no person, address, building, parcel, or route condition</x:v>
      </x:c>
    </x:row>
    <x:row r="312" ht="86.4000015258789" hidden="0" customHeight="1">
      <x:c r="A312" s="34" t="str">
        <x:v>48201321200</x:v>
      </x:c>
      <x:c r="B312" s="62" t="n">
        <x:v>4962</x:v>
      </x:c>
      <x:c r="C312" s="62" t="n">
        <x:v>338</x:v>
      </x:c>
      <x:c r="D312" s="62" t="n">
        <x:v>361.5</x:v>
      </x:c>
      <x:c r="E312" s="43" t="n">
        <x:v>0.06811769447803305</x:v>
      </x:c>
      <x:c r="F312" s="43" t="n">
        <x:v>0.07285368802902055</x:v>
      </x:c>
      <x:c r="G312" s="65" t="n">
        <x:v>1662</x:v>
      </x:c>
      <x:c r="H312" s="65" t="n">
        <x:v>338</x:v>
      </x:c>
      <x:c r="I312" s="65" t="n">
        <x:v>0.20336943441636582</x:v>
      </x:c>
      <x:c r="J312" s="34" t="str">
        <x:v>low</x:v>
      </x:c>
      <x:c r="K312" s="71" t="n">
        <x:v>29.6369249</x:v>
      </x:c>
      <x:c r="L312" s="71" t="n">
        <x:v>-95.2004177</x:v>
      </x:c>
      <x:c r="M312" s="71" t="n">
        <x:v>1.143</x:v>
      </x:c>
      <x:c r="N312" s="71" t="n">
        <x:v>0.1374637355958844</x:v>
      </x:c>
      <x:c r="O312" s="71" t="n">
        <x:v>17.673771065283464</x:v>
      </x:c>
      <x:c r="P312" s="71" t="n">
        <x:v>3</x:v>
      </x:c>
      <x:c r="Q312" s="71" t="n">
        <x:v>398.14383541808496</x:v>
      </x:c>
      <x:c r="R312" s="34" t="str">
        <x:v>tract internal point; no person, address, building, parcel, or route condition</x:v>
      </x:c>
    </x:row>
    <x:row r="313" ht="86.4000015258789" hidden="0" customHeight="1">
      <x:c r="A313" s="36" t="str">
        <x:v>48201321301</x:v>
      </x:c>
      <x:c r="B313" s="63" t="n">
        <x:v>3718</x:v>
      </x:c>
      <x:c r="C313" s="63" t="n">
        <x:v>130</x:v>
      </x:c>
      <x:c r="D313" s="63" t="n">
        <x:v>434</x:v>
      </x:c>
      <x:c r="E313" s="45" t="n">
        <x:v>0.03496503496503497</x:v>
      </x:c>
      <x:c r="F313" s="45" t="n">
        <x:v>0.11672942442173212</x:v>
      </x:c>
      <x:c r="G313" s="66" t="n">
        <x:v>1705</x:v>
      </x:c>
      <x:c r="H313" s="66" t="n">
        <x:v>383</x:v>
      </x:c>
      <x:c r="I313" s="66" t="n">
        <x:v>0.224633431085044</x:v>
      </x:c>
      <x:c r="J313" s="36" t="str">
        <x:v>high</x:v>
      </x:c>
      <x:c r="K313" s="72" t="n">
        <x:v>29.6494261</x:v>
      </x:c>
      <x:c r="L313" s="72" t="n">
        <x:v>-95.2190701</x:v>
      </x:c>
      <x:c r="M313" s="72" t="n">
        <x:v>0.217</x:v>
      </x:c>
      <x:c r="N313" s="72" t="n">
        <x:v>0.03220562294216042</x:v>
      </x:c>
      <x:c r="O313" s="72" t="n">
        <x:v>17.613650484243227</x:v>
      </x:c>
      <x:c r="P313" s="72" t="n">
        <x:v>3</x:v>
      </x:c>
      <x:c r="Q313" s="72" t="n">
        <x:v>641.1388539679939</x:v>
      </x:c>
      <x:c r="R313" s="36" t="str">
        <x:v>tract internal point; no person, address, building, parcel, or route condition</x:v>
      </x:c>
    </x:row>
    <x:row r="314" ht="86.4000015258789" hidden="0" customHeight="1">
      <x:c r="A314" s="34" t="str">
        <x:v>48201321302</x:v>
      </x:c>
      <x:c r="B314" s="62" t="n">
        <x:v>1929</x:v>
      </x:c>
      <x:c r="C314" s="62" t="n">
        <x:v>232</x:v>
      </x:c>
      <x:c r="D314" s="62" t="n">
        <x:v>13</x:v>
      </x:c>
      <x:c r="E314" s="43" t="n">
        <x:v>0.12026956972524624</x:v>
      </x:c>
      <x:c r="F314" s="43" t="n">
        <x:v>0.00673924313115604</x:v>
      </x:c>
      <x:c r="G314" s="65" t="n">
        <x:v>537</x:v>
      </x:c>
      <x:c r="H314" s="65" t="n">
        <x:v>46</x:v>
      </x:c>
      <x:c r="I314" s="65" t="n">
        <x:v>0.0856610800744879</x:v>
      </x:c>
      <x:c r="J314" s="34" t="str">
        <x:v>high</x:v>
      </x:c>
      <x:c r="K314" s="71" t="n">
        <x:v>29.6447146</x:v>
      </x:c>
      <x:c r="L314" s="71" t="n">
        <x:v>-95.2117152</x:v>
      </x:c>
      <x:c r="M314" s="71" t="n">
        <x:v>0.391</x:v>
      </x:c>
      <x:c r="N314" s="71" t="n">
        <x:v>0.06742790354348115</x:v>
      </x:c>
      <x:c r="O314" s="71" t="n">
        <x:v>17.699199547716916</x:v>
      </x:c>
      <x:c r="P314" s="71" t="n">
        <x:v>3</x:v>
      </x:c>
      <x:c r="Q314" s="71" t="n">
        <x:v>334.6198375240358</x:v>
      </x:c>
      <x:c r="R314" s="34" t="str">
        <x:v>tract internal point; no person, address, building, parcel, or route condition</x:v>
      </x:c>
    </x:row>
    <x:row r="315" ht="86.4000015258789" hidden="0" customHeight="1">
      <x:c r="A315" s="36" t="str">
        <x:v>48201321401</x:v>
      </x:c>
      <x:c r="B315" s="63" t="n">
        <x:v>3726</x:v>
      </x:c>
      <x:c r="C315" s="63" t="n">
        <x:v>352</x:v>
      </x:c>
      <x:c r="D315" s="63" t="n">
        <x:v>10</x:v>
      </x:c>
      <x:c r="E315" s="45" t="n">
        <x:v>0.09447128287707998</x:v>
      </x:c>
      <x:c r="F315" s="45" t="n">
        <x:v>0.0026838432635534087</x:v>
      </x:c>
      <x:c r="G315" s="66" t="n">
        <x:v>1181</x:v>
      </x:c>
      <x:c r="H315" s="66" t="n">
        <x:v>39</x:v>
      </x:c>
      <x:c r="I315" s="66" t="n">
        <x:v>0.03302286198137172</x:v>
      </x:c>
      <x:c r="J315" s="36" t="str">
        <x:v>moderate</x:v>
      </x:c>
      <x:c r="K315" s="72" t="n">
        <x:v>29.665939</x:v>
      </x:c>
      <x:c r="L315" s="72" t="n">
        <x:v>-95.2270082</x:v>
      </x:c>
      <x:c r="M315" s="72" t="n">
        <x:v>0.799</x:v>
      </x:c>
      <x:c r="N315" s="72" t="n">
        <x:v>0.05830876514378199</x:v>
      </x:c>
      <x:c r="O315" s="72" t="n">
        <x:v>19.616748411011336</x:v>
      </x:c>
      <x:c r="P315" s="72" t="n">
        <x:v>3</x:v>
      </x:c>
      <x:c r="Q315" s="72" t="n">
        <x:v>528.0403040658816</x:v>
      </x:c>
      <x:c r="R315" s="36" t="str">
        <x:v>tract internal point; no person, address, building, parcel, or route condition</x:v>
      </x:c>
    </x:row>
    <x:row r="316" ht="86.4000015258789" hidden="0" customHeight="1">
      <x:c r="A316" s="34" t="str">
        <x:v>48201321402</x:v>
      </x:c>
      <x:c r="B316" s="62" t="n">
        <x:v>4867</x:v>
      </x:c>
      <x:c r="C316" s="62" t="n">
        <x:v>505</x:v>
      </x:c>
      <x:c r="D316" s="62" t="n">
        <x:v>0</x:v>
      </x:c>
      <x:c r="E316" s="43" t="n">
        <x:v>0.10376001643723033</x:v>
      </x:c>
      <x:c r="F316" s="43" t="n">
        <x:v>0</x:v>
      </x:c>
      <x:c r="G316" s="65" t="n">
        <x:v>1485</x:v>
      </x:c>
      <x:c r="H316" s="65" t="n">
        <x:v>5</x:v>
      </x:c>
      <x:c r="I316" s="65" t="n">
        <x:v>0.003367003367003367</x:v>
      </x:c>
      <x:c r="J316" s="34" t="str">
        <x:v>moderate</x:v>
      </x:c>
      <x:c r="K316" s="71" t="n">
        <x:v>29.6566446</x:v>
      </x:c>
      <x:c r="L316" s="71" t="n">
        <x:v>-95.2197688</x:v>
      </x:c>
      <x:c r="M316" s="71" t="n">
        <x:v>0.755</x:v>
      </x:c>
      <x:c r="N316" s="71" t="n">
        <x:v>0.0959552436099336</x:v>
      </x:c>
      <x:c r="O316" s="71" t="n">
        <x:v>19.56223095437734</x:v>
      </x:c>
      <x:c r="P316" s="71" t="n">
        <x:v>3</x:v>
      </x:c>
      <x:c r="Q316" s="71" t="n">
        <x:v>690.8158820770263</x:v>
      </x:c>
      <x:c r="R316" s="34" t="str">
        <x:v>tract internal point; no person, address, building, parcel, or route condition</x:v>
      </x:c>
    </x:row>
    <x:row r="317" ht="86.4000015258789" hidden="0" customHeight="1">
      <x:c r="A317" s="36" t="str">
        <x:v>48201321500</x:v>
      </x:c>
      <x:c r="B317" s="63" t="n">
        <x:v>2700</x:v>
      </x:c>
      <x:c r="C317" s="63" t="n">
        <x:v>381</x:v>
      </x:c>
      <x:c r="D317" s="63" t="n">
        <x:v>134</x:v>
      </x:c>
      <x:c r="E317" s="45" t="n">
        <x:v>0.1411111111111111</x:v>
      </x:c>
      <x:c r="F317" s="45" t="n">
        <x:v>0.04962962962962963</x:v>
      </x:c>
      <x:c r="G317" s="66" t="n">
        <x:v>1070</x:v>
      </x:c>
      <x:c r="H317" s="66" t="n">
        <x:v>260</x:v>
      </x:c>
      <x:c r="I317" s="66" t="n">
        <x:v>0.24299065420560748</x:v>
      </x:c>
      <x:c r="J317" s="36" t="str">
        <x:v>high</x:v>
      </x:c>
      <x:c r="K317" s="72" t="n">
        <x:v>29.665047</x:v>
      </x:c>
      <x:c r="L317" s="72" t="n">
        <x:v>-95.2118806</x:v>
      </x:c>
      <x:c r="M317" s="72" t="n">
        <x:v>0.364</x:v>
      </x:c>
      <x:c r="N317" s="72" t="n">
        <x:v>0.03789860791404168</x:v>
      </x:c>
      <x:c r="O317" s="72" t="n">
        <x:v>20.808337942519827</x:v>
      </x:c>
      <x:c r="P317" s="72" t="n">
        <x:v>3</x:v>
      </x:c>
      <x:c r="Q317" s="72" t="n">
        <x:v>472.22921978906777</x:v>
      </x:c>
      <x:c r="R317" s="36" t="str">
        <x:v>tract internal point; no person, address, building, parcel, or route condition</x:v>
      </x:c>
    </x:row>
    <x:row r="318" ht="86.4000015258789" hidden="0" customHeight="1">
      <x:c r="A318" s="34" t="str">
        <x:v>48201321600</x:v>
      </x:c>
      <x:c r="B318" s="62" t="n">
        <x:v>6937</x:v>
      </x:c>
      <x:c r="C318" s="62" t="n">
        <x:v>1011</x:v>
      </x:c>
      <x:c r="D318" s="62" t="n">
        <x:v>147</x:v>
      </x:c>
      <x:c r="E318" s="43" t="n">
        <x:v>0.14574023353034454</x:v>
      </x:c>
      <x:c r="F318" s="43" t="n">
        <x:v>0.02119071644803229</x:v>
      </x:c>
      <x:c r="G318" s="65" t="n">
        <x:v>1890</x:v>
      </x:c>
      <x:c r="H318" s="65" t="n">
        <x:v>69</x:v>
      </x:c>
      <x:c r="I318" s="65" t="n">
        <x:v>0.03650793650793651</x:v>
      </x:c>
      <x:c r="J318" s="34" t="str">
        <x:v>low</x:v>
      </x:c>
      <x:c r="K318" s="71" t="n">
        <x:v>29.6772103</x:v>
      </x:c>
      <x:c r="L318" s="71" t="n">
        <x:v>-95.2196252</x:v>
      </x:c>
      <x:c r="M318" s="71" t="n">
        <x:v>1.114</x:v>
      </x:c>
      <x:c r="N318" s="71" t="n">
        <x:v>0.05522369543056318</x:v>
      </x:c>
      <x:c r="O318" s="71" t="n">
        <x:v>21.135666549278813</x:v>
      </x:c>
      <x:c r="P318" s="71" t="n">
        <x:v>3</x:v>
      </x:c>
      <x:c r="Q318" s="71" t="n">
        <x:v>562.2624851596383</x:v>
      </x:c>
      <x:c r="R318" s="34" t="str">
        <x:v>tract internal point; no person, address, building, parcel, or route condition</x:v>
      </x:c>
    </x:row>
    <x:row r="319" ht="86.4000015258789" hidden="0" customHeight="1">
      <x:c r="A319" s="36" t="str">
        <x:v>48201321700</x:v>
      </x:c>
      <x:c r="B319" s="63" t="n">
        <x:v>3202</x:v>
      </x:c>
      <x:c r="C319" s="63" t="n">
        <x:v>306</x:v>
      </x:c>
      <x:c r="D319" s="63" t="n">
        <x:v>74.5</x:v>
      </x:c>
      <x:c r="E319" s="45" t="n">
        <x:v>0.09556527170518427</x:v>
      </x:c>
      <x:c r="F319" s="45" t="n">
        <x:v>0.023266708307307933</x:v>
      </x:c>
      <x:c r="G319" s="66" t="n">
        <x:v>1088</x:v>
      </x:c>
      <x:c r="H319" s="66" t="n">
        <x:v>12</x:v>
      </x:c>
      <x:c r="I319" s="66" t="n">
        <x:v>0.011029411764705883</x:v>
      </x:c>
      <x:c r="J319" s="36" t="str">
        <x:v>low</x:v>
      </x:c>
      <x:c r="K319" s="72" t="n">
        <x:v>29.67773</x:v>
      </x:c>
      <x:c r="L319" s="72" t="n">
        <x:v>-95.2355903</x:v>
      </x:c>
      <x:c r="M319" s="72" t="n">
        <x:v>0.745</x:v>
      </x:c>
      <x:c r="N319" s="72" t="n">
        <x:v>0.05189379712414401</x:v>
      </x:c>
      <x:c r="O319" s="72" t="n">
        <x:v>19.358654390657637</x:v>
      </x:c>
      <x:c r="P319" s="72" t="n">
        <x:v>3</x:v>
      </x:c>
      <x:c r="Q319" s="72" t="n">
        <x:v>257.0575206652835</x:v>
      </x:c>
      <x:c r="R319" s="36" t="str">
        <x:v>tract internal point; no person, address, building, parcel, or route condition</x:v>
      </x:c>
    </x:row>
    <x:row r="320" ht="86.4000015258789" hidden="0" customHeight="1">
      <x:c r="A320" s="34" t="str">
        <x:v>48201321800</x:v>
      </x:c>
      <x:c r="B320" s="62" t="n">
        <x:v>4101</x:v>
      </x:c>
      <x:c r="C320" s="62" t="n">
        <x:v>751</x:v>
      </x:c>
      <x:c r="D320" s="62" t="n">
        <x:v>40</x:v>
      </x:c>
      <x:c r="E320" s="43" t="n">
        <x:v>0.18312606681297244</x:v>
      </x:c>
      <x:c r="F320" s="43" t="n">
        <x:v>0.00975371860521824</x:v>
      </x:c>
      <x:c r="G320" s="65" t="n">
        <x:v>1149</x:v>
      </x:c>
      <x:c r="H320" s="65" t="n">
        <x:v>60</x:v>
      </x:c>
      <x:c r="I320" s="65" t="n">
        <x:v>0.05221932114882506</x:v>
      </x:c>
      <x:c r="J320" s="34" t="str">
        <x:v>low</x:v>
      </x:c>
      <x:c r="K320" s="71" t="n">
        <x:v>29.6876863</x:v>
      </x:c>
      <x:c r="L320" s="71" t="n">
        <x:v>-95.2376936</x:v>
      </x:c>
      <x:c r="M320" s="71" t="n">
        <x:v>0.504</x:v>
      </x:c>
      <x:c r="N320" s="71" t="n">
        <x:v>0.11035801364760922</x:v>
      </x:c>
      <x:c r="O320" s="71" t="n">
        <x:v>19.95602292321578</x:v>
      </x:c>
      <x:c r="P320" s="71" t="n">
        <x:v>3</x:v>
      </x:c>
      <x:c r="Q320" s="71" t="n">
        <x:v>334.4384638940009</x:v>
      </x:c>
      <x:c r="R320" s="34" t="str">
        <x:v>tract internal point; no person, address, building, parcel, or route condition</x:v>
      </x:c>
    </x:row>
    <x:row r="321" ht="86.4000015258789" hidden="0" customHeight="1">
      <x:c r="A321" s="36" t="str">
        <x:v>48201321900</x:v>
      </x:c>
      <x:c r="B321" s="63" t="n">
        <x:v>5314</x:v>
      </x:c>
      <x:c r="C321" s="63" t="n">
        <x:v>683</x:v>
      </x:c>
      <x:c r="D321" s="63" t="n">
        <x:v>75</x:v>
      </x:c>
      <x:c r="E321" s="45" t="n">
        <x:v>0.12852841550621</x:v>
      </x:c>
      <x:c r="F321" s="45" t="n">
        <x:v>0.014113662024840046</x:v>
      </x:c>
      <x:c r="G321" s="66" t="n">
        <x:v>1540</x:v>
      </x:c>
      <x:c r="H321" s="66" t="n">
        <x:v>35</x:v>
      </x:c>
      <x:c r="I321" s="66" t="n">
        <x:v>0.022727272727272728</x:v>
      </x:c>
      <x:c r="J321" s="36" t="str">
        <x:v>low</x:v>
      </x:c>
      <x:c r="K321" s="72" t="n">
        <x:v>29.6957716</x:v>
      </x:c>
      <x:c r="L321" s="72" t="n">
        <x:v>-95.2248643</x:v>
      </x:c>
      <x:c r="M321" s="72" t="n">
        <x:v>0.953</x:v>
      </x:c>
      <x:c r="N321" s="72" t="n">
        <x:v>0.00564198852469112</x:v>
      </x:c>
      <x:c r="O321" s="72" t="n">
        <x:v>19.361585599025112</x:v>
      </x:c>
      <x:c r="P321" s="72" t="n">
        <x:v>3</x:v>
      </x:c>
      <x:c r="Q321" s="72" t="n">
        <x:v>428.9806777072397</x:v>
      </x:c>
      <x:c r="R321" s="36" t="str">
        <x:v>tract internal point; no person, address, building, parcel, or route condition</x:v>
      </x:c>
    </x:row>
    <x:row r="322" ht="86.4000015258789" hidden="0" customHeight="1">
      <x:c r="A322" s="34" t="str">
        <x:v>48201322000</x:v>
      </x:c>
      <x:c r="B322" s="62" t="n">
        <x:v>4240</x:v>
      </x:c>
      <x:c r="C322" s="62" t="n">
        <x:v>249</x:v>
      </x:c>
      <x:c r="D322" s="62" t="n">
        <x:v>434</x:v>
      </x:c>
      <x:c r="E322" s="43" t="n">
        <x:v>0.058726415094339623</x:v>
      </x:c>
      <x:c r="F322" s="43" t="n">
        <x:v>0.10235849056603774</x:v>
      </x:c>
      <x:c r="G322" s="65" t="n">
        <x:v>1863</x:v>
      </x:c>
      <x:c r="H322" s="65" t="n">
        <x:v>1357</x:v>
      </x:c>
      <x:c r="I322" s="65" t="n">
        <x:v>0.7283950617283951</x:v>
      </x:c>
      <x:c r="J322" s="34" t="str">
        <x:v>high</x:v>
      </x:c>
      <x:c r="K322" s="71" t="n">
        <x:v>29.7015072</x:v>
      </x:c>
      <x:c r="L322" s="71" t="n">
        <x:v>-95.2175148</x:v>
      </x:c>
      <x:c r="M322" s="71" t="n">
        <x:v>0.27</x:v>
      </x:c>
      <x:c r="N322" s="71" t="n">
        <x:v>0.1788880267897101</x:v>
      </x:c>
      <x:c r="O322" s="71" t="n">
        <x:v>20.709641364172864</x:v>
      </x:c>
      <x:c r="P322" s="71" t="n">
        <x:v>3</x:v>
      </x:c>
      <x:c r="Q322" s="71" t="n">
        <x:v>733.5329994228522</x:v>
      </x:c>
      <x:c r="R322" s="34" t="str">
        <x:v>tract internal point; no person, address, building, parcel, or route condition</x:v>
      </x:c>
    </x:row>
    <x:row r="323" ht="86.4000015258789" hidden="0" customHeight="1">
      <x:c r="A323" s="36" t="str">
        <x:v>48201322100</x:v>
      </x:c>
      <x:c r="B323" s="63" t="n">
        <x:v>3883</x:v>
      </x:c>
      <x:c r="C323" s="63" t="n">
        <x:v>682</x:v>
      </x:c>
      <x:c r="D323" s="63" t="n">
        <x:v>367.5</x:v>
      </x:c>
      <x:c r="E323" s="45" t="n">
        <x:v>0.17563739376770537</x:v>
      </x:c>
      <x:c r="F323" s="45" t="n">
        <x:v>0.09464331702292042</x:v>
      </x:c>
      <x:c r="G323" s="66" t="n">
        <x:v>1492</x:v>
      </x:c>
      <x:c r="H323" s="66" t="n">
        <x:v>114</x:v>
      </x:c>
      <x:c r="I323" s="66" t="n">
        <x:v>0.07640750670241286</x:v>
      </x:c>
      <x:c r="J323" s="36" t="str">
        <x:v>low</x:v>
      </x:c>
      <x:c r="K323" s="72" t="n">
        <x:v>29.6862136</x:v>
      </x:c>
      <x:c r="L323" s="72" t="n">
        <x:v>-95.2110294</x:v>
      </x:c>
      <x:c r="M323" s="72" t="n">
        <x:v>0.84</x:v>
      </x:c>
      <x:c r="N323" s="72" t="n">
        <x:v>0.0983481035990916</x:v>
      </x:c>
      <x:c r="O323" s="72" t="n">
        <x:v>22.660488648674473</x:v>
      </x:c>
      <x:c r="P323" s="72" t="n">
        <x:v>3</x:v>
      </x:c>
      <x:c r="Q323" s="72" t="n">
        <x:v>318.7940814353384</x:v>
      </x:c>
      <x:c r="R323" s="36" t="str">
        <x:v>tract internal point; no person, address, building, parcel, or route condition</x:v>
      </x:c>
    </x:row>
    <x:row r="324" ht="86.4000015258789" hidden="0" customHeight="1">
      <x:c r="A324" s="34" t="str">
        <x:v>48201322200</x:v>
      </x:c>
      <x:c r="B324" s="62" t="n">
        <x:v>1670</x:v>
      </x:c>
      <x:c r="C324" s="62" t="n">
        <x:v>251</x:v>
      </x:c>
      <x:c r="D324" s="62" t="n">
        <x:v>29</x:v>
      </x:c>
      <x:c r="E324" s="43" t="n">
        <x:v>0.1502994011976048</x:v>
      </x:c>
      <x:c r="F324" s="43" t="n">
        <x:v>0.017365269461077845</x:v>
      </x:c>
      <x:c r="G324" s="65" t="n">
        <x:v>495</x:v>
      </x:c>
      <x:c r="H324" s="65" t="n">
        <x:v>18</x:v>
      </x:c>
      <x:c r="I324" s="65" t="n">
        <x:v>0.03636363636363636</x:v>
      </x:c>
      <x:c r="J324" s="34" t="str">
        <x:v>moderate</x:v>
      </x:c>
      <x:c r="K324" s="71" t="n">
        <x:v>29.7048504</x:v>
      </x:c>
      <x:c r="L324" s="71" t="n">
        <x:v>-95.2137873</x:v>
      </x:c>
      <x:c r="M324" s="71" t="n">
        <x:v>0.365</x:v>
      </x:c>
      <x:c r="N324" s="71" t="n">
        <x:v>0.12468937786536194</x:v>
      </x:c>
      <x:c r="O324" s="71" t="n">
        <x:v>19.45325258316066</x:v>
      </x:c>
      <x:c r="P324" s="71" t="n">
        <x:v>3</x:v>
      </x:c>
      <x:c r="Q324" s="71" t="n">
        <x:v>239.6024248001055</x:v>
      </x:c>
      <x:c r="R324" s="34" t="str">
        <x:v>tract internal point; no person, address, building, parcel, or route condition</x:v>
      </x:c>
    </x:row>
    <x:row r="325" ht="86.4000015258789" hidden="0" customHeight="1">
      <x:c r="A325" s="36" t="str">
        <x:v>48201322600</x:v>
      </x:c>
      <x:c r="B325" s="63" t="n">
        <x:v>4985</x:v>
      </x:c>
      <x:c r="C325" s="63" t="n">
        <x:v>518</x:v>
      </x:c>
      <x:c r="D325" s="63" t="n">
        <x:v>66</x:v>
      </x:c>
      <x:c r="E325" s="45" t="n">
        <x:v>0.10391173520561685</x:v>
      </x:c>
      <x:c r="F325" s="45" t="n">
        <x:v>0.013239719157472418</x:v>
      </x:c>
      <x:c r="G325" s="66" t="n">
        <x:v>1745</x:v>
      </x:c>
      <x:c r="H325" s="66" t="n">
        <x:v>102</x:v>
      </x:c>
      <x:c r="I325" s="66" t="n">
        <x:v>0.05845272206303725</x:v>
      </x:c>
      <x:c r="J325" s="36" t="str">
        <x:v>low</x:v>
      </x:c>
      <x:c r="K325" s="72" t="n">
        <x:v>29.6986487</x:v>
      </x:c>
      <x:c r="L325" s="72" t="n">
        <x:v>-95.1560466</x:v>
      </x:c>
      <x:c r="M325" s="72" t="n">
        <x:v>0.957</x:v>
      </x:c>
      <x:c r="N325" s="72" t="n">
        <x:v>0.043497599393928964</x:v>
      </x:c>
      <x:c r="O325" s="72" t="n">
        <x:v>22.157370621043412</x:v>
      </x:c>
      <x:c r="P325" s="72" t="n">
        <x:v>3</x:v>
      </x:c>
      <x:c r="Q325" s="72" t="n">
        <x:v>400.45846522671405</x:v>
      </x:c>
      <x:c r="R325" s="36" t="str">
        <x:v>tract internal point; no person, address, building, parcel, or route condition</x:v>
      </x:c>
    </x:row>
    <x:row r="326" ht="86.4000015258789" hidden="0" customHeight="1">
      <x:c r="A326" s="34" t="str">
        <x:v>48201322701</x:v>
      </x:c>
      <x:c r="B326" s="62" t="n">
        <x:v>2882</x:v>
      </x:c>
      <x:c r="C326" s="62" t="n">
        <x:v>265</x:v>
      </x:c>
      <x:c r="D326" s="62" t="n">
        <x:v>365</x:v>
      </x:c>
      <x:c r="E326" s="43" t="n">
        <x:v>0.0919500346981263</x:v>
      </x:c>
      <x:c r="F326" s="43" t="n">
        <x:v>0.12664816099930604</x:v>
      </x:c>
      <x:c r="G326" s="65" t="n">
        <x:v>941</x:v>
      </x:c>
      <x:c r="H326" s="65" t="n">
        <x:v>325</x:v>
      </x:c>
      <x:c r="I326" s="65" t="n">
        <x:v>0.34537725823591925</x:v>
      </x:c>
      <x:c r="J326" s="34" t="str">
        <x:v>low</x:v>
      </x:c>
      <x:c r="K326" s="71" t="n">
        <x:v>29.6950477</x:v>
      </x:c>
      <x:c r="L326" s="71" t="n">
        <x:v>-95.1662502</x:v>
      </x:c>
      <x:c r="M326" s="71" t="n">
        <x:v>0.308</x:v>
      </x:c>
      <x:c r="N326" s="71" t="n">
        <x:v>0.1509122698629391</x:v>
      </x:c>
      <x:c r="O326" s="71" t="n">
        <x:v>22.705648603018957</x:v>
      </x:c>
      <x:c r="P326" s="71" t="n">
        <x:v>3</x:v>
      </x:c>
      <x:c r="Q326" s="71" t="n">
        <x:v>233.54575471447254</x:v>
      </x:c>
      <x:c r="R326" s="34" t="str">
        <x:v>tract internal point; no person, address, building, parcel, or route condition</x:v>
      </x:c>
    </x:row>
    <x:row r="327" ht="86.4000015258789" hidden="0" customHeight="1">
      <x:c r="A327" s="36" t="str">
        <x:v>48201322702</x:v>
      </x:c>
      <x:c r="B327" s="63" t="n">
        <x:v>4356</x:v>
      </x:c>
      <x:c r="C327" s="63" t="n">
        <x:v>396</x:v>
      </x:c>
      <x:c r="D327" s="63" t="n">
        <x:v>63</x:v>
      </x:c>
      <x:c r="E327" s="45" t="n">
        <x:v>0.09090909090909091</x:v>
      </x:c>
      <x:c r="F327" s="45" t="n">
        <x:v>0.014462809917355372</x:v>
      </x:c>
      <x:c r="G327" s="66" t="n">
        <x:v>1518</x:v>
      </x:c>
      <x:c r="H327" s="66" t="n">
        <x:v>12</x:v>
      </x:c>
      <x:c r="I327" s="66" t="n">
        <x:v>0.007905138339920948</x:v>
      </x:c>
      <x:c r="J327" s="36" t="str">
        <x:v>low</x:v>
      </x:c>
      <x:c r="K327" s="72" t="n">
        <x:v>29.7060332</x:v>
      </x:c>
      <x:c r="L327" s="72" t="n">
        <x:v>-95.1668094</x:v>
      </x:c>
      <x:c r="M327" s="72" t="n">
        <x:v>0.491</x:v>
      </x:c>
      <x:c r="N327" s="72" t="n">
        <x:v>0.046309269704655265</x:v>
      </x:c>
      <x:c r="O327" s="72" t="n">
        <x:v>22.51698608206126</x:v>
      </x:c>
      <x:c r="P327" s="72" t="n">
        <x:v>3</x:v>
      </x:c>
      <x:c r="Q327" s="72" t="n">
        <x:v>349.0807570467204</x:v>
      </x:c>
      <x:c r="R327" s="36" t="str">
        <x:v>tract internal point; no person, address, building, parcel, or route condition</x:v>
      </x:c>
    </x:row>
    <x:row r="328" ht="86.4000015258789" hidden="0" customHeight="1">
      <x:c r="A328" s="34" t="str">
        <x:v>48201322800</x:v>
      </x:c>
      <x:c r="B328" s="62" t="n">
        <x:v>5492</x:v>
      </x:c>
      <x:c r="C328" s="62" t="n">
        <x:v>744</x:v>
      </x:c>
      <x:c r="D328" s="62" t="n">
        <x:v>12</x:v>
      </x:c>
      <x:c r="E328" s="43" t="n">
        <x:v>0.13546977421704298</x:v>
      </x:c>
      <x:c r="F328" s="43" t="n">
        <x:v>0.0021849963583394027</x:v>
      </x:c>
      <x:c r="G328" s="65" t="n">
        <x:v>1696</x:v>
      </x:c>
      <x:c r="H328" s="65" t="n">
        <x:v>0</x:v>
      </x:c>
      <x:c r="I328" s="65" t="n">
        <x:v>0</x:v>
      </x:c>
      <x:c r="J328" s="34" t="str">
        <x:v>low</x:v>
      </x:c>
      <x:c r="K328" s="71" t="n">
        <x:v>29.7056151</x:v>
      </x:c>
      <x:c r="L328" s="71" t="n">
        <x:v>-95.1818051</x:v>
      </x:c>
      <x:c r="M328" s="71" t="n">
        <x:v>1.201</x:v>
      </x:c>
      <x:c r="N328" s="71" t="n">
        <x:v>0.0467963968238113</x:v>
      </x:c>
      <x:c r="O328" s="71" t="n">
        <x:v>21.59078348343822</x:v>
      </x:c>
      <x:c r="P328" s="71" t="n">
        <x:v>3</x:v>
      </x:c>
      <x:c r="Q328" s="71" t="n">
        <x:v>443.4343422847229</x:v>
      </x:c>
      <x:c r="R328" s="34" t="str">
        <x:v>tract internal point; no person, address, building, parcel, or route condition</x:v>
      </x:c>
    </x:row>
    <x:row r="329" ht="86.4000015258789" hidden="0" customHeight="1">
      <x:c r="A329" s="36" t="str">
        <x:v>48201322900</x:v>
      </x:c>
      <x:c r="B329" s="63" t="n">
        <x:v>3755</x:v>
      </x:c>
      <x:c r="C329" s="63" t="n">
        <x:v>549</x:v>
      </x:c>
      <x:c r="D329" s="63" t="n">
        <x:v>19</x:v>
      </x:c>
      <x:c r="E329" s="45" t="n">
        <x:v>0.14620505992010652</x:v>
      </x:c>
      <x:c r="F329" s="45" t="n">
        <x:v>0.005059920106524634</x:v>
      </x:c>
      <x:c r="G329" s="66" t="n">
        <x:v>1196</x:v>
      </x:c>
      <x:c r="H329" s="66" t="n">
        <x:v>45</x:v>
      </x:c>
      <x:c r="I329" s="66" t="n">
        <x:v>0.03762541806020067</x:v>
      </x:c>
      <x:c r="J329" s="36" t="str">
        <x:v>low</x:v>
      </x:c>
      <x:c r="K329" s="72" t="n">
        <x:v>29.7034718</x:v>
      </x:c>
      <x:c r="L329" s="72" t="n">
        <x:v>-95.1943063</x:v>
      </x:c>
      <x:c r="M329" s="72" t="n">
        <x:v>0.642</x:v>
      </x:c>
      <x:c r="N329" s="72" t="n">
        <x:v>0.05111778517294482</x:v>
      </x:c>
      <x:c r="O329" s="72" t="n">
        <x:v>21.16489764351999</x:v>
      </x:c>
      <x:c r="P329" s="72" t="n">
        <x:v>3</x:v>
      </x:c>
      <x:c r="Q329" s="72" t="n">
        <x:v>303.9042132776211</x:v>
      </x:c>
      <x:c r="R329" s="36" t="str">
        <x:v>tract internal point; no person, address, building, parcel, or route condition</x:v>
      </x:c>
    </x:row>
    <x:row r="330" ht="86.4000015258789" hidden="0" customHeight="1">
      <x:c r="A330" s="34" t="str">
        <x:v>48201323000</x:v>
      </x:c>
      <x:c r="B330" s="62" t="n">
        <x:v>6548</x:v>
      </x:c>
      <x:c r="C330" s="62" t="n">
        <x:v>811</x:v>
      </x:c>
      <x:c r="D330" s="62" t="n">
        <x:v>249</x:v>
      </x:c>
      <x:c r="E330" s="43" t="n">
        <x:v>0.12385461209529627</x:v>
      </x:c>
      <x:c r="F330" s="43" t="n">
        <x:v>0.038026878436163716</x:v>
      </x:c>
      <x:c r="G330" s="65" t="n">
        <x:v>2232</x:v>
      </x:c>
      <x:c r="H330" s="65" t="n">
        <x:v>1160</x:v>
      </x:c>
      <x:c r="I330" s="65" t="n">
        <x:v>0.5197132616487455</x:v>
      </x:c>
      <x:c r="J330" s="34" t="str">
        <x:v>low</x:v>
      </x:c>
      <x:c r="K330" s="71" t="n">
        <x:v>29.6948991</x:v>
      </x:c>
      <x:c r="L330" s="71" t="n">
        <x:v>-95.1919944</x:v>
      </x:c>
      <x:c r="M330" s="71" t="n">
        <x:v>0.54</x:v>
      </x:c>
      <x:c r="N330" s="71" t="n">
        <x:v>0.12267842753141243</x:v>
      </x:c>
      <x:c r="O330" s="71" t="n">
        <x:v>23.93960496813519</x:v>
      </x:c>
      <x:c r="P330" s="71" t="n">
        <x:v>3</x:v>
      </x:c>
      <x:c r="Q330" s="71" t="n">
        <x:v>529.3467987809</x:v>
      </x:c>
      <x:c r="R330" s="34" t="str">
        <x:v>tract internal point; no person, address, building, parcel, or route condition</x:v>
      </x:c>
    </x:row>
    <x:row r="331" ht="86.4000015258789" hidden="0" customHeight="1">
      <x:c r="A331" s="36" t="str">
        <x:v>48201323100</x:v>
      </x:c>
      <x:c r="B331" s="63" t="n">
        <x:v>3483</x:v>
      </x:c>
      <x:c r="C331" s="63" t="n">
        <x:v>280</x:v>
      </x:c>
      <x:c r="D331" s="63" t="n">
        <x:v>131</x:v>
      </x:c>
      <x:c r="E331" s="45" t="n">
        <x:v>0.08039046798736721</x:v>
      </x:c>
      <x:c r="F331" s="45" t="n">
        <x:v>0.037611254665518234</x:v>
      </x:c>
      <x:c r="G331" s="66" t="n">
        <x:v>1192</x:v>
      </x:c>
      <x:c r="H331" s="66" t="n">
        <x:v>358</x:v>
      </x:c>
      <x:c r="I331" s="66" t="n">
        <x:v>0.30033557046979864</x:v>
      </x:c>
      <x:c r="J331" s="36" t="str">
        <x:v>low</x:v>
      </x:c>
      <x:c r="K331" s="72" t="n">
        <x:v>29.6879241</x:v>
      </x:c>
      <x:c r="L331" s="72" t="n">
        <x:v>-95.169993</x:v>
      </x:c>
      <x:c r="M331" s="72" t="n">
        <x:v>0.791</x:v>
      </x:c>
      <x:c r="N331" s="72" t="n">
        <x:v>0.08594009636044261</x:v>
      </x:c>
      <x:c r="O331" s="72" t="n">
        <x:v>21.981586895278912</x:v>
      </x:c>
      <x:c r="P331" s="72" t="n">
        <x:v>3</x:v>
      </x:c>
      <x:c r="Q331" s="72" t="n">
        <x:v>279.1781508737264</x:v>
      </x:c>
      <x:c r="R331" s="36" t="str">
        <x:v>tract internal point; no person, address, building, parcel, or route condition</x:v>
      </x:c>
    </x:row>
    <x:row r="332" ht="86.4000015258789" hidden="0" customHeight="1">
      <x:c r="A332" s="34" t="str">
        <x:v>48201323200</x:v>
      </x:c>
      <x:c r="B332" s="62" t="n">
        <x:v>6023</x:v>
      </x:c>
      <x:c r="C332" s="62" t="n">
        <x:v>829</x:v>
      </x:c>
      <x:c r="D332" s="62" t="n">
        <x:v>165</x:v>
      </x:c>
      <x:c r="E332" s="43" t="n">
        <x:v>0.1376390503071559</x:v>
      </x:c>
      <x:c r="F332" s="43" t="n">
        <x:v>0.027394985887431514</x:v>
      </x:c>
      <x:c r="G332" s="65" t="n">
        <x:v>2010</x:v>
      </x:c>
      <x:c r="H332" s="65" t="n">
        <x:v>144</x:v>
      </x:c>
      <x:c r="I332" s="65" t="n">
        <x:v>0.07164179104477612</x:v>
      </x:c>
      <x:c r="J332" s="34" t="str">
        <x:v>low</x:v>
      </x:c>
      <x:c r="K332" s="71" t="n">
        <x:v>29.6869069</x:v>
      </x:c>
      <x:c r="L332" s="71" t="n">
        <x:v>-95.1829177</x:v>
      </x:c>
      <x:c r="M332" s="71" t="n">
        <x:v>0.813</x:v>
      </x:c>
      <x:c r="N332" s="71" t="n">
        <x:v>0.12312137749194504</x:v>
      </x:c>
      <x:c r="O332" s="71" t="n">
        <x:v>24.038733839771766</x:v>
      </x:c>
      <x:c r="P332" s="71" t="n">
        <x:v>3</x:v>
      </x:c>
      <x:c r="Q332" s="71" t="n">
        <x:v>487.7070407974817</x:v>
      </x:c>
      <x:c r="R332" s="34" t="str">
        <x:v>tract internal point; no person, address, building, parcel, or route condition</x:v>
      </x:c>
    </x:row>
    <x:row r="333" ht="86.4000015258789" hidden="0" customHeight="1">
      <x:c r="A333" s="36" t="str">
        <x:v>48201323300</x:v>
      </x:c>
      <x:c r="B333" s="63" t="n">
        <x:v>3167</x:v>
      </x:c>
      <x:c r="C333" s="63" t="n">
        <x:v>827</x:v>
      </x:c>
      <x:c r="D333" s="63" t="n">
        <x:v>789</x:v>
      </x:c>
      <x:c r="E333" s="45" t="n">
        <x:v>0.26113040732554466</x:v>
      </x:c>
      <x:c r="F333" s="45" t="n">
        <x:v>0.24913167035048941</x:v>
      </x:c>
      <x:c r="G333" s="66" t="n">
        <x:v>1199</x:v>
      </x:c>
      <x:c r="H333" s="66" t="n">
        <x:v>243</x:v>
      </x:c>
      <x:c r="I333" s="66" t="n">
        <x:v>0.20266889074228525</x:v>
      </x:c>
      <x:c r="J333" s="36" t="str">
        <x:v>low</x:v>
      </x:c>
      <x:c r="K333" s="72" t="n">
        <x:v>29.6871648</x:v>
      </x:c>
      <x:c r="L333" s="72" t="n">
        <x:v>-95.2011254</x:v>
      </x:c>
      <x:c r="M333" s="72" t="n">
        <x:v>0.506</x:v>
      </x:c>
      <x:c r="N333" s="72" t="n">
        <x:v>0.025891237108424742</x:v>
      </x:c>
      <x:c r="O333" s="72" t="n">
        <x:v>23.25250299617632</x:v>
      </x:c>
      <x:c r="P333" s="72" t="n">
        <x:v>3</x:v>
      </x:c>
      <x:c r="Q333" s="72" t="n">
        <x:v>268.11194112652885</x:v>
      </x:c>
      <x:c r="R333" s="36" t="str">
        <x:v>tract internal point; no person, address, building, parcel, or route condition</x:v>
      </x:c>
    </x:row>
    <x:row r="334" ht="86.4000015258789" hidden="0" customHeight="1">
      <x:c r="A334" s="34" t="str">
        <x:v>48201323400</x:v>
      </x:c>
      <x:c r="B334" s="62" t="n">
        <x:v>6940</x:v>
      </x:c>
      <x:c r="C334" s="62" t="n">
        <x:v>661</x:v>
      </x:c>
      <x:c r="D334" s="62" t="n">
        <x:v>1044</x:v>
      </x:c>
      <x:c r="E334" s="43" t="n">
        <x:v>0.0952449567723343</x:v>
      </x:c>
      <x:c r="F334" s="43" t="n">
        <x:v>0.15043227665706052</x:v>
      </x:c>
      <x:c r="G334" s="65" t="n">
        <x:v>2194</x:v>
      </x:c>
      <x:c r="H334" s="65" t="n">
        <x:v>281</x:v>
      </x:c>
      <x:c r="I334" s="65" t="n">
        <x:v>0.12807657247037374</x:v>
      </x:c>
      <x:c r="J334" s="34" t="str">
        <x:v>low</x:v>
      </x:c>
      <x:c r="K334" s="71" t="n">
        <x:v>29.676607</x:v>
      </x:c>
      <x:c r="L334" s="71" t="n">
        <x:v>-95.1995552</x:v>
      </x:c>
      <x:c r="M334" s="71" t="n">
        <x:v>0.768</x:v>
      </x:c>
      <x:c r="N334" s="71" t="n">
        <x:v>0.14619544694300585</x:v>
      </x:c>
      <x:c r="O334" s="71" t="n">
        <x:v>24.438894892885465</x:v>
      </x:c>
      <x:c r="P334" s="71" t="n">
        <x:v>3</x:v>
      </x:c>
      <x:c r="Q334" s="71" t="n">
        <x:v>564.0465971004153</x:v>
      </x:c>
      <x:c r="R334" s="34" t="str">
        <x:v>tract internal point; no person, address, building, parcel, or route condition</x:v>
      </x:c>
    </x:row>
    <x:row r="335" ht="86.4000015258789" hidden="0" customHeight="1">
      <x:c r="A335" s="36" t="str">
        <x:v>48201323500</x:v>
      </x:c>
      <x:c r="B335" s="63" t="n">
        <x:v>5513</x:v>
      </x:c>
      <x:c r="C335" s="63" t="n">
        <x:v>1009</x:v>
      </x:c>
      <x:c r="D335" s="63" t="n">
        <x:v>202</x:v>
      </x:c>
      <x:c r="E335" s="45" t="n">
        <x:v>0.18302194812261927</x:v>
      </x:c>
      <x:c r="F335" s="45" t="n">
        <x:v>0.03664066751315073</x:v>
      </x:c>
      <x:c r="G335" s="66" t="n">
        <x:v>1997</x:v>
      </x:c>
      <x:c r="H335" s="66" t="n">
        <x:v>616</x:v>
      </x:c>
      <x:c r="I335" s="66" t="n">
        <x:v>0.3084626940410616</x:v>
      </x:c>
      <x:c r="J335" s="36" t="str">
        <x:v>high</x:v>
      </x:c>
      <x:c r="K335" s="72" t="n">
        <x:v>29.663573</x:v>
      </x:c>
      <x:c r="L335" s="72" t="n">
        <x:v>-95.2013272</x:v>
      </x:c>
      <x:c r="M335" s="72" t="n">
        <x:v>1.032</x:v>
      </x:c>
      <x:c r="N335" s="72" t="n">
        <x:v>0.1288389936677816</x:v>
      </x:c>
      <x:c r="O335" s="72" t="n">
        <x:v>21.50199442272065</x:v>
      </x:c>
      <x:c r="P335" s="72" t="n">
        <x:v>3</x:v>
      </x:c>
      <x:c r="Q335" s="72" t="n">
        <x:v>970.8325837002809</x:v>
      </x:c>
      <x:c r="R335" s="36" t="str">
        <x:v>tract internal point; no person, address, building, parcel, or route condition</x:v>
      </x:c>
    </x:row>
    <x:row r="336" ht="86.4000015258789" hidden="0" customHeight="1">
      <x:c r="A336" s="34" t="str">
        <x:v>48201323601</x:v>
      </x:c>
      <x:c r="B336" s="62" t="n">
        <x:v>4141</x:v>
      </x:c>
      <x:c r="C336" s="62" t="n">
        <x:v>737</x:v>
      </x:c>
      <x:c r="D336" s="62" t="n">
        <x:v>369</x:v>
      </x:c>
      <x:c r="E336" s="43" t="n">
        <x:v>0.17797633421878772</x:v>
      </x:c>
      <x:c r="F336" s="43" t="n">
        <x:v>0.0891089108910891</x:v>
      </x:c>
      <x:c r="G336" s="65" t="n">
        <x:v>1859</x:v>
      </x:c>
      <x:c r="H336" s="65" t="n">
        <x:v>540</x:v>
      </x:c>
      <x:c r="I336" s="65" t="n">
        <x:v>0.29047875201721357</x:v>
      </x:c>
      <x:c r="J336" s="34" t="str">
        <x:v>moderate</x:v>
      </x:c>
      <x:c r="K336" s="71" t="n">
        <x:v>29.6521843</x:v>
      </x:c>
      <x:c r="L336" s="71" t="n">
        <x:v>-95.1931237</x:v>
      </x:c>
      <x:c r="M336" s="71" t="n">
        <x:v>1.101</x:v>
      </x:c>
      <x:c r="N336" s="71" t="n">
        <x:v>0.0909879445239296</x:v>
      </x:c>
      <x:c r="O336" s="71" t="n">
        <x:v>19.820103339443108</x:v>
      </x:c>
      <x:c r="P336" s="71" t="n">
        <x:v>3</x:v>
      </x:c>
      <x:c r="Q336" s="71" t="n">
        <x:v>601.4464441923839</x:v>
      </x:c>
      <x:c r="R336" s="34" t="str">
        <x:v>tract internal point; no person, address, building, parcel, or route condition</x:v>
      </x:c>
    </x:row>
    <x:row r="337" ht="86.4000015258789" hidden="0" customHeight="1">
      <x:c r="A337" s="36" t="str">
        <x:v>48201323602</x:v>
      </x:c>
      <x:c r="B337" s="63" t="n">
        <x:v>4284</x:v>
      </x:c>
      <x:c r="C337" s="63" t="n">
        <x:v>777</x:v>
      </x:c>
      <x:c r="D337" s="63" t="n">
        <x:v>146.5</x:v>
      </x:c>
      <x:c r="E337" s="45" t="n">
        <x:v>0.18137254901960784</x:v>
      </x:c>
      <x:c r="F337" s="45" t="n">
        <x:v>0.03419701213818861</x:v>
      </x:c>
      <x:c r="G337" s="66" t="n">
        <x:v>1613</x:v>
      </x:c>
      <x:c r="H337" s="66" t="n">
        <x:v>8</x:v>
      </x:c>
      <x:c r="I337" s="66" t="n">
        <x:v>0.0049597024178549285</x:v>
      </x:c>
      <x:c r="J337" s="36" t="str">
        <x:v>low</x:v>
      </x:c>
      <x:c r="K337" s="72" t="n">
        <x:v>29.6399305</x:v>
      </x:c>
      <x:c r="L337" s="72" t="n">
        <x:v>-95.1873105</x:v>
      </x:c>
      <x:c r="M337" s="72" t="n">
        <x:v>0.852</x:v>
      </x:c>
      <x:c r="N337" s="72" t="n">
        <x:v>0.03353553262353469</x:v>
      </x:c>
      <x:c r="O337" s="72" t="n">
        <x:v>17.90496546118847</x:v>
      </x:c>
      <x:c r="P337" s="72" t="n">
        <x:v>3</x:v>
      </x:c>
      <x:c r="Q337" s="72" t="n">
        <x:v>350.06712730472714</x:v>
      </x:c>
      <x:c r="R337" s="36" t="str">
        <x:v>tract internal point; no person, address, building, parcel, or route condition</x:v>
      </x:c>
    </x:row>
    <x:row r="338" ht="86.4000015258789" hidden="0" customHeight="1">
      <x:c r="A338" s="34" t="str">
        <x:v>48201323701</x:v>
      </x:c>
      <x:c r="B338" s="62" t="n">
        <x:v>3868</x:v>
      </x:c>
      <x:c r="C338" s="62" t="n">
        <x:v>753</x:v>
      </x:c>
      <x:c r="D338" s="62" t="n">
        <x:v>220</x:v>
      </x:c>
      <x:c r="E338" s="43" t="n">
        <x:v>0.19467425025853155</x:v>
      </x:c>
      <x:c r="F338" s="43" t="n">
        <x:v>0.05687693898655636</x:v>
      </x:c>
      <x:c r="G338" s="65" t="n">
        <x:v>1884</x:v>
      </x:c>
      <x:c r="H338" s="65" t="n">
        <x:v>801</x:v>
      </x:c>
      <x:c r="I338" s="65" t="n">
        <x:v>0.4251592356687898</x:v>
      </x:c>
      <x:c r="J338" s="34" t="str">
        <x:v>low</x:v>
      </x:c>
      <x:c r="K338" s="71" t="n">
        <x:v>29.6551252</x:v>
      </x:c>
      <x:c r="L338" s="71" t="n">
        <x:v>-95.1769249</x:v>
      </x:c>
      <x:c r="M338" s="71" t="n">
        <x:v>0.892</x:v>
      </x:c>
      <x:c r="N338" s="71" t="n">
        <x:v>0.04670975511155542</x:v>
      </x:c>
      <x:c r="O338" s="71" t="n">
        <x:v>19.89259589719729</x:v>
      </x:c>
      <x:c r="P338" s="71" t="n">
        <x:v>3</x:v>
      </x:c>
      <x:c r="Q338" s="71" t="n">
        <x:v>317.57192545828644</x:v>
      </x:c>
      <x:c r="R338" s="34" t="str">
        <x:v>tract internal point; no person, address, building, parcel, or route condition</x:v>
      </x:c>
    </x:row>
    <x:row r="339" ht="86.4000015258789" hidden="0" customHeight="1">
      <x:c r="A339" s="36" t="str">
        <x:v>48201323702</x:v>
      </x:c>
      <x:c r="B339" s="63" t="n">
        <x:v>3610</x:v>
      </x:c>
      <x:c r="C339" s="63" t="n">
        <x:v>377</x:v>
      </x:c>
      <x:c r="D339" s="63" t="n">
        <x:v>100</x:v>
      </x:c>
      <x:c r="E339" s="45" t="n">
        <x:v>0.10443213296398891</x:v>
      </x:c>
      <x:c r="F339" s="45" t="n">
        <x:v>0.027700831024930747</x:v>
      </x:c>
      <x:c r="G339" s="66" t="n">
        <x:v>1293</x:v>
      </x:c>
      <x:c r="H339" s="66" t="n">
        <x:v>295</x:v>
      </x:c>
      <x:c r="I339" s="66" t="n">
        <x:v>0.22815158546017014</x:v>
      </x:c>
      <x:c r="J339" s="36" t="str">
        <x:v>low</x:v>
      </x:c>
      <x:c r="K339" s="72" t="n">
        <x:v>29.6453195</x:v>
      </x:c>
      <x:c r="L339" s="72" t="n">
        <x:v>-95.1766173</x:v>
      </x:c>
      <x:c r="M339" s="72" t="n">
        <x:v>0.409</x:v>
      </x:c>
      <x:c r="N339" s="72" t="n">
        <x:v>0.12287852580177779</x:v>
      </x:c>
      <x:c r="O339" s="72" t="n">
        <x:v>18.435272109191935</x:v>
      </x:c>
      <x:c r="P339" s="72" t="n">
        <x:v>3</x:v>
      </x:c>
      <x:c r="Q339" s="72" t="n">
        <x:v>290.44084872012854</x:v>
      </x:c>
      <x:c r="R339" s="36" t="str">
        <x:v>tract internal point; no person, address, building, parcel, or route condition</x:v>
      </x:c>
    </x:row>
    <x:row r="340" ht="86.4000015258789" hidden="0" customHeight="1">
      <x:c r="A340" s="34" t="str">
        <x:v>48201323801</x:v>
      </x:c>
      <x:c r="B340" s="62" t="n">
        <x:v>4084</x:v>
      </x:c>
      <x:c r="C340" s="62" t="n">
        <x:v>520</x:v>
      </x:c>
      <x:c r="D340" s="62" t="n">
        <x:v>69</x:v>
      </x:c>
      <x:c r="E340" s="43" t="n">
        <x:v>0.12732615083251714</x:v>
      </x:c>
      <x:c r="F340" s="43" t="n">
        <x:v>0.016895200783545544</x:v>
      </x:c>
      <x:c r="G340" s="65" t="n">
        <x:v>1162</x:v>
      </x:c>
      <x:c r="H340" s="65" t="n">
        <x:v>0</x:v>
      </x:c>
      <x:c r="I340" s="65" t="n">
        <x:v>0</x:v>
      </x:c>
      <x:c r="J340" s="34" t="str">
        <x:v>low</x:v>
      </x:c>
      <x:c r="K340" s="71" t="n">
        <x:v>29.6743814</x:v>
      </x:c>
      <x:c r="L340" s="71" t="n">
        <x:v>-95.1891936</x:v>
      </x:c>
      <x:c r="M340" s="71" t="n">
        <x:v>0.516</x:v>
      </x:c>
      <x:c r="N340" s="71" t="n">
        <x:v>0.02591922171765582</x:v>
      </x:c>
      <x:c r="O340" s="71" t="n">
        <x:v>23.82100386720284</x:v>
      </x:c>
      <x:c r="P340" s="71" t="n">
        <x:v>3</x:v>
      </x:c>
      <x:c r="Q340" s="71" t="n">
        <x:v>329.69917094118836</x:v>
      </x:c>
      <x:c r="R340" s="34" t="str">
        <x:v>tract internal point; no person, address, building, parcel, or route condition</x:v>
      </x:c>
    </x:row>
    <x:row r="341" ht="86.4000015258789" hidden="0" customHeight="1">
      <x:c r="A341" s="36" t="str">
        <x:v>48201323802</x:v>
      </x:c>
      <x:c r="B341" s="63" t="n">
        <x:v>5026</x:v>
      </x:c>
      <x:c r="C341" s="63" t="n">
        <x:v>533</x:v>
      </x:c>
      <x:c r="D341" s="63" t="n">
        <x:v>104</x:v>
      </x:c>
      <x:c r="E341" s="45" t="n">
        <x:v>0.10604854755272583</x:v>
      </x:c>
      <x:c r="F341" s="45" t="n">
        <x:v>0.020692399522483088</x:v>
      </x:c>
      <x:c r="G341" s="66" t="n">
        <x:v>1663</x:v>
      </x:c>
      <x:c r="H341" s="66" t="n">
        <x:v>287</x:v>
      </x:c>
      <x:c r="I341" s="66" t="n">
        <x:v>0.17257967528562837</x:v>
      </x:c>
      <x:c r="J341" s="36" t="str">
        <x:v>low</x:v>
      </x:c>
      <x:c r="K341" s="72" t="n">
        <x:v>29.673244</x:v>
      </x:c>
      <x:c r="L341" s="72" t="n">
        <x:v>-95.1791015</x:v>
      </x:c>
      <x:c r="M341" s="72" t="n">
        <x:v>0.931</x:v>
      </x:c>
      <x:c r="N341" s="72" t="n">
        <x:v>0.11483864156819011</x:v>
      </x:c>
      <x:c r="O341" s="72" t="n">
        <x:v>23.906678726678237</x:v>
      </x:c>
      <x:c r="P341" s="72" t="n">
        <x:v>3</x:v>
      </x:c>
      <x:c r="Q341" s="72" t="n">
        <x:v>404.2153176835042</x:v>
      </x:c>
      <x:c r="R341" s="36" t="str">
        <x:v>tract internal point; no person, address, building, parcel, or route condition</x:v>
      </x:c>
    </x:row>
    <x:row r="342" ht="86.4000015258789" hidden="0" customHeight="1">
      <x:c r="A342" s="34" t="str">
        <x:v>48201323900</x:v>
      </x:c>
      <x:c r="B342" s="62" t="n">
        <x:v>3232</x:v>
      </x:c>
      <x:c r="C342" s="62" t="n">
        <x:v>693</x:v>
      </x:c>
      <x:c r="D342" s="62" t="n">
        <x:v>325</x:v>
      </x:c>
      <x:c r="E342" s="43" t="n">
        <x:v>0.21441831683168316</x:v>
      </x:c>
      <x:c r="F342" s="43" t="n">
        <x:v>0.10055693069306931</x:v>
      </x:c>
      <x:c r="G342" s="65" t="n">
        <x:v>1431</x:v>
      </x:c>
      <x:c r="H342" s="65" t="n">
        <x:v>523</x:v>
      </x:c>
      <x:c r="I342" s="65" t="n">
        <x:v>0.36547868623340324</x:v>
      </x:c>
      <x:c r="J342" s="34" t="str">
        <x:v>low</x:v>
      </x:c>
      <x:c r="K342" s="71" t="n">
        <x:v>29.6744801</x:v>
      </x:c>
      <x:c r="L342" s="71" t="n">
        <x:v>-95.1649829</x:v>
      </x:c>
      <x:c r="M342" s="71" t="n">
        <x:v>1.096</x:v>
      </x:c>
      <x:c r="N342" s="71" t="n">
        <x:v>0.1732708027006792</x:v>
      </x:c>
      <x:c r="O342" s="71" t="n">
        <x:v>20.56031239487598</x:v>
      </x:c>
      <x:c r="P342" s="71" t="n">
        <x:v>3</x:v>
      </x:c>
      <x:c r="Q342" s="71" t="n">
        <x:v>267.46746016113804</x:v>
      </x:c>
      <x:c r="R342" s="34" t="str">
        <x:v>tract internal point; no person, address, building, parcel, or route condition</x:v>
      </x:c>
    </x:row>
    <x:row r="343" ht="86.4000015258789" hidden="0" customHeight="1">
      <x:c r="A343" s="36" t="str">
        <x:v>48201324000</x:v>
      </x:c>
      <x:c r="B343" s="63" t="n">
        <x:v>6029</x:v>
      </x:c>
      <x:c r="C343" s="63" t="n">
        <x:v>1040</x:v>
      </x:c>
      <x:c r="D343" s="63" t="n">
        <x:v>216</x:v>
      </x:c>
      <x:c r="E343" s="45" t="n">
        <x:v>0.17249958533753523</x:v>
      </x:c>
      <x:c r="F343" s="45" t="n">
        <x:v>0.03582683695471886</x:v>
      </x:c>
      <x:c r="G343" s="66" t="n">
        <x:v>2175</x:v>
      </x:c>
      <x:c r="H343" s="66" t="n">
        <x:v>223</x:v>
      </x:c>
      <x:c r="I343" s="66" t="n">
        <x:v>0.10252873563218391</x:v>
      </x:c>
      <x:c r="J343" s="36" t="str">
        <x:v>low</x:v>
      </x:c>
      <x:c r="K343" s="72" t="n">
        <x:v>29.6526201</x:v>
      </x:c>
      <x:c r="L343" s="72" t="n">
        <x:v>-95.1668761</x:v>
      </x:c>
      <x:c r="M343" s="72" t="n">
        <x:v>3.06</x:v>
      </x:c>
      <x:c r="N343" s="72" t="n">
        <x:v>0.03904625584502813</x:v>
      </x:c>
      <x:c r="O343" s="72" t="n">
        <x:v>19.782103954569745</x:v>
      </x:c>
      <x:c r="P343" s="72" t="n">
        <x:v>3</x:v>
      </x:c>
      <x:c r="Q343" s="72" t="n">
        <x:v>491.89616707252173</x:v>
      </x:c>
      <x:c r="R343" s="36" t="str">
        <x:v>tract internal point; no person, address, building, parcel, or route condition</x:v>
      </x:c>
    </x:row>
    <x:row r="344" ht="86.4000015258789" hidden="0" customHeight="1">
      <x:c r="A344" s="34" t="str">
        <x:v>48201324101</x:v>
      </x:c>
      <x:c r="B344" s="62" t="n">
        <x:v>5105</x:v>
      </x:c>
      <x:c r="C344" s="62" t="n">
        <x:v>678</x:v>
      </x:c>
      <x:c r="D344" s="62" t="n">
        <x:v>232</x:v>
      </x:c>
      <x:c r="E344" s="43" t="n">
        <x:v>0.1328109696376102</x:v>
      </x:c>
      <x:c r="F344" s="43" t="n">
        <x:v>0.04544564152791381</x:v>
      </x:c>
      <x:c r="G344" s="65" t="n">
        <x:v>1749</x:v>
      </x:c>
      <x:c r="H344" s="65" t="n">
        <x:v>47</x:v>
      </x:c>
      <x:c r="I344" s="65" t="n">
        <x:v>0.026872498570611778</x:v>
      </x:c>
      <x:c r="J344" s="34" t="str">
        <x:v>moderate</x:v>
      </x:c>
      <x:c r="K344" s="71" t="n">
        <x:v>29.7143094</x:v>
      </x:c>
      <x:c r="L344" s="71" t="n">
        <x:v>-95.2051224</x:v>
      </x:c>
      <x:c r="M344" s="71" t="n">
        <x:v>1.125</x:v>
      </x:c>
      <x:c r="N344" s="71" t="n">
        <x:v>0.0806835628887886</x:v>
      </x:c>
      <x:c r="O344" s="71" t="n">
        <x:v>19.309195058435506</x:v>
      </x:c>
      <x:c r="P344" s="71" t="n">
        <x:v>3</x:v>
      </x:c>
      <x:c r="Q344" s="71" t="n">
        <x:v>731.9477938963472</x:v>
      </x:c>
      <x:c r="R344" s="34" t="str">
        <x:v>tract internal point; no person, address, building, parcel, or route condition</x:v>
      </x:c>
    </x:row>
    <x:row r="345" ht="86.4000015258789" hidden="0" customHeight="1">
      <x:c r="A345" s="36" t="str">
        <x:v>48201324200</x:v>
      </x:c>
      <x:c r="B345" s="63" t="n">
        <x:v>728</x:v>
      </x:c>
      <x:c r="C345" s="63" t="n">
        <x:v>147</x:v>
      </x:c>
      <x:c r="D345" s="63" t="n">
        <x:v>28</x:v>
      </x:c>
      <x:c r="E345" s="45" t="n">
        <x:v>0.20192307692307693</x:v>
      </x:c>
      <x:c r="F345" s="45" t="n">
        <x:v>0.038461538461538464</x:v>
      </x:c>
      <x:c r="G345" s="66" t="n">
        <x:v>378</x:v>
      </x:c>
      <x:c r="H345" s="66" t="n">
        <x:v>0</x:v>
      </x:c>
      <x:c r="I345" s="66" t="n">
        <x:v>0</x:v>
      </x:c>
      <x:c r="J345" s="36" t="str">
        <x:v>moderate</x:v>
      </x:c>
      <x:c r="K345" s="72" t="n">
        <x:v>29.7152961</x:v>
      </x:c>
      <x:c r="L345" s="72" t="n">
        <x:v>-95.2428809</x:v>
      </x:c>
      <x:c r="M345" s="72" t="n">
        <x:v>2.505</x:v>
      </x:c>
      <x:c r="N345" s="72" t="n">
        <x:v>0.5358157946305826</x:v>
      </x:c>
      <x:c r="O345" s="72" t="n">
        <x:v>19.512851543600906</x:v>
      </x:c>
      <x:c r="P345" s="72" t="n">
        <x:v>3</x:v>
      </x:c>
      <x:c r="Q345" s="72" t="n">
        <x:v>105.70817905695563</x:v>
      </x:c>
      <x:c r="R345" s="36" t="str">
        <x:v>tract internal point; no person, address, building, parcel, or route condition</x:v>
      </x:c>
    </x:row>
    <x:row r="346" ht="86.4000015258789" hidden="0" customHeight="1">
      <x:c r="A346" s="34" t="str">
        <x:v>48201330101</x:v>
      </x:c>
      <x:c r="B346" s="62" t="n">
        <x:v>5251</x:v>
      </x:c>
      <x:c r="C346" s="62" t="n">
        <x:v>606</x:v>
      </x:c>
      <x:c r="D346" s="62" t="n">
        <x:v>37</x:v>
      </x:c>
      <x:c r="E346" s="43" t="n">
        <x:v>0.11540658922110074</x:v>
      </x:c>
      <x:c r="F346" s="43" t="n">
        <x:v>0.007046276899638164</x:v>
      </x:c>
      <x:c r="G346" s="65" t="n">
        <x:v>1697</x:v>
      </x:c>
      <x:c r="H346" s="65" t="n">
        <x:v>0</x:v>
      </x:c>
      <x:c r="I346" s="65" t="n">
        <x:v>0</x:v>
      </x:c>
      <x:c r="J346" s="34" t="str">
        <x:v>low</x:v>
      </x:c>
      <x:c r="K346" s="71" t="n">
        <x:v>29.6345193</x:v>
      </x:c>
      <x:c r="L346" s="71" t="n">
        <x:v>-95.4242522</x:v>
      </x:c>
      <x:c r="M346" s="71" t="n">
        <x:v>0.445</x:v>
      </x:c>
      <x:c r="N346" s="71" t="n">
        <x:v>0.03940565598591168</x:v>
      </x:c>
      <x:c r="O346" s="71" t="n">
        <x:v>9.620414119123215</x:v>
      </x:c>
      <x:c r="P346" s="71" t="n">
        <x:v>3</x:v>
      </x:c>
      <x:c r="Q346" s="71" t="n">
        <x:v>422.52014900539564</x:v>
      </x:c>
      <x:c r="R346" s="34" t="str">
        <x:v>tract internal point; no person, address, building, parcel, or route condition</x:v>
      </x:c>
    </x:row>
    <x:row r="347" ht="86.4000015258789" hidden="0" customHeight="1">
      <x:c r="A347" s="36" t="str">
        <x:v>48201330102</x:v>
      </x:c>
      <x:c r="B347" s="63" t="n">
        <x:v>2022</x:v>
      </x:c>
      <x:c r="C347" s="63" t="n">
        <x:v>437</x:v>
      </x:c>
      <x:c r="D347" s="63" t="n">
        <x:v>157</x:v>
      </x:c>
      <x:c r="E347" s="45" t="n">
        <x:v>0.21612265084075172</x:v>
      </x:c>
      <x:c r="F347" s="45" t="n">
        <x:v>0.07764589515331355</x:v>
      </x:c>
      <x:c r="G347" s="66" t="n">
        <x:v>721</x:v>
      </x:c>
      <x:c r="H347" s="66" t="n">
        <x:v>0</x:v>
      </x:c>
      <x:c r="I347" s="66" t="n">
        <x:v>0</x:v>
      </x:c>
      <x:c r="J347" s="36" t="str">
        <x:v>moderate</x:v>
      </x:c>
      <x:c r="K347" s="72" t="n">
        <x:v>29.6347678</x:v>
      </x:c>
      <x:c r="L347" s="72" t="n">
        <x:v>-95.4165137</x:v>
      </x:c>
      <x:c r="M347" s="72" t="n">
        <x:v>0.548</x:v>
      </x:c>
      <x:c r="N347" s="72" t="n">
        <x:v>0.014073595261451747</x:v>
      </x:c>
      <x:c r="O347" s="72" t="n">
        <x:v>8.154568684995635</x:v>
      </x:c>
      <x:c r="P347" s="72" t="n">
        <x:v>3</x:v>
      </x:c>
      <x:c r="Q347" s="72" t="n">
        <x:v>295.50177757686976</x:v>
      </x:c>
      <x:c r="R347" s="36" t="str">
        <x:v>tract internal point; no person, address, building, parcel, or route condition</x:v>
      </x:c>
    </x:row>
    <x:row r="348" ht="86.4000015258789" hidden="0" customHeight="1">
      <x:c r="A348" s="34" t="str">
        <x:v>48201330200</x:v>
      </x:c>
      <x:c r="B348" s="62" t="n">
        <x:v>6079</x:v>
      </x:c>
      <x:c r="C348" s="62" t="n">
        <x:v>865</x:v>
      </x:c>
      <x:c r="D348" s="62" t="n">
        <x:v>195</x:v>
      </x:c>
      <x:c r="E348" s="43" t="n">
        <x:v>0.14229314031913143</x:v>
      </x:c>
      <x:c r="F348" s="43" t="n">
        <x:v>0.032077644349399574</x:v>
      </x:c>
      <x:c r="G348" s="65" t="n">
        <x:v>1599</x:v>
      </x:c>
      <x:c r="H348" s="65" t="n">
        <x:v>238</x:v>
      </x:c>
      <x:c r="I348" s="65" t="n">
        <x:v>0.14884302689180737</x:v>
      </x:c>
      <x:c r="J348" s="34" t="str">
        <x:v>low</x:v>
      </x:c>
      <x:c r="K348" s="71" t="n">
        <x:v>29.6346785</x:v>
      </x:c>
      <x:c r="L348" s="71" t="n">
        <x:v>-95.4536495</x:v>
      </x:c>
      <x:c r="M348" s="71" t="n">
        <x:v>1.688</x:v>
      </x:c>
      <x:c r="N348" s="71" t="n">
        <x:v>0.045188934782621856</x:v>
      </x:c>
      <x:c r="O348" s="71" t="n">
        <x:v>13.654048422891504</x:v>
      </x:c>
      <x:c r="P348" s="71" t="n">
        <x:v>3</x:v>
      </x:c>
      <x:c r="Q348" s="71" t="n">
        <x:v>492.91004566441694</x:v>
      </x:c>
      <x:c r="R348" s="34" t="str">
        <x:v>tract internal point; no person, address, building, parcel, or route condition</x:v>
      </x:c>
    </x:row>
    <x:row r="349" ht="86.4000015258789" hidden="0" customHeight="1">
      <x:c r="A349" s="36" t="str">
        <x:v>48201330301</x:v>
      </x:c>
      <x:c r="B349" s="63" t="n">
        <x:v>7924</x:v>
      </x:c>
      <x:c r="C349" s="63" t="n">
        <x:v>1067</x:v>
      </x:c>
      <x:c r="D349" s="63" t="n">
        <x:v>224</x:v>
      </x:c>
      <x:c r="E349" s="45" t="n">
        <x:v>0.13465421504290762</x:v>
      </x:c>
      <x:c r="F349" s="45" t="n">
        <x:v>0.028268551236749116</x:v>
      </x:c>
      <x:c r="G349" s="66" t="n">
        <x:v>2323</x:v>
      </x:c>
      <x:c r="H349" s="66" t="n">
        <x:v>0</x:v>
      </x:c>
      <x:c r="I349" s="66" t="n">
        <x:v>0</x:v>
      </x:c>
      <x:c r="J349" s="36" t="str">
        <x:v>low</x:v>
      </x:c>
      <x:c r="K349" s="72" t="n">
        <x:v>29.6404142</x:v>
      </x:c>
      <x:c r="L349" s="72" t="n">
        <x:v>-95.4709368</x:v>
      </x:c>
      <x:c r="M349" s="72" t="n">
        <x:v>1.23</x:v>
      </x:c>
      <x:c r="N349" s="72" t="n">
        <x:v>0.09172580936920394</x:v>
      </x:c>
      <x:c r="O349" s="72" t="n">
        <x:v>12.63507165156183</x:v>
      </x:c>
      <x:c r="P349" s="72" t="n">
        <x:v>3</x:v>
      </x:c>
      <x:c r="Q349" s="72" t="n">
        <x:v>641.3214367555624</x:v>
      </x:c>
      <x:c r="R349" s="36" t="str">
        <x:v>tract internal point; no person, address, building, parcel, or route condition</x:v>
      </x:c>
    </x:row>
    <x:row r="350" ht="86.4000015258789" hidden="0" customHeight="1">
      <x:c r="A350" s="34" t="str">
        <x:v>48201330302</x:v>
      </x:c>
      <x:c r="B350" s="62" t="n">
        <x:v>5123</x:v>
      </x:c>
      <x:c r="C350" s="62" t="n">
        <x:v>900</x:v>
      </x:c>
      <x:c r="D350" s="62" t="n">
        <x:v>316</x:v>
      </x:c>
      <x:c r="E350" s="43" t="n">
        <x:v>0.17567831348819052</x:v>
      </x:c>
      <x:c r="F350" s="43" t="n">
        <x:v>0.06168260784696467</x:v>
      </x:c>
      <x:c r="G350" s="65" t="n">
        <x:v>1629</x:v>
      </x:c>
      <x:c r="H350" s="65" t="n">
        <x:v>14</x:v>
      </x:c>
      <x:c r="I350" s="65" t="n">
        <x:v>0.008594229588704727</x:v>
      </x:c>
      <x:c r="J350" s="34" t="str">
        <x:v>low</x:v>
      </x:c>
      <x:c r="K350" s="71" t="n">
        <x:v>29.615549</x:v>
      </x:c>
      <x:c r="L350" s="71" t="n">
        <x:v>-95.4760221</x:v>
      </x:c>
      <x:c r="M350" s="71" t="n">
        <x:v>2.334</x:v>
      </x:c>
      <x:c r="N350" s="71" t="n">
        <x:v>0.07641850460640037</x:v>
      </x:c>
      <x:c r="O350" s="71" t="n">
        <x:v>8.94528435045354</x:v>
      </x:c>
      <x:c r="P350" s="71" t="n">
        <x:v>3</x:v>
      </x:c>
      <x:c r="Q350" s="71" t="n">
        <x:v>419.2741656065372</x:v>
      </x:c>
      <x:c r="R350" s="34" t="str">
        <x:v>tract internal point; no person, address, building, parcel, or route condition</x:v>
      </x:c>
    </x:row>
    <x:row r="351" ht="86.4000015258789" hidden="0" customHeight="1">
      <x:c r="A351" s="36" t="str">
        <x:v>48201330303</x:v>
      </x:c>
      <x:c r="B351" s="63" t="n">
        <x:v>4734</x:v>
      </x:c>
      <x:c r="C351" s="63" t="n">
        <x:v>636</x:v>
      </x:c>
      <x:c r="D351" s="63" t="n">
        <x:v>14</x:v>
      </x:c>
      <x:c r="E351" s="45" t="n">
        <x:v>0.13434727503168567</x:v>
      </x:c>
      <x:c r="F351" s="45" t="n">
        <x:v>0.002957329953527672</x:v>
      </x:c>
      <x:c r="G351" s="66" t="n">
        <x:v>2144</x:v>
      </x:c>
      <x:c r="H351" s="66" t="n">
        <x:v>716</x:v>
      </x:c>
      <x:c r="I351" s="66" t="n">
        <x:v>0.333955223880597</x:v>
      </x:c>
      <x:c r="J351" s="36" t="str">
        <x:v>high</x:v>
      </x:c>
      <x:c r="K351" s="72" t="n">
        <x:v>29.6263774</x:v>
      </x:c>
      <x:c r="L351" s="72" t="n">
        <x:v>-95.4974893</x:v>
      </x:c>
      <x:c r="M351" s="72" t="n">
        <x:v>2.053</x:v>
      </x:c>
      <x:c r="N351" s="72" t="n">
        <x:v>0.01783819267931985</x:v>
      </x:c>
      <x:c r="O351" s="72" t="n">
        <x:v>10.332524330673877</x:v>
      </x:c>
      <x:c r="P351" s="72" t="n">
        <x:v>3</x:v>
      </x:c>
      <x:c r="Q351" s="72" t="n">
        <x:v>823.1509191806429</x:v>
      </x:c>
      <x:c r="R351" s="36" t="str">
        <x:v>tract internal point; no person, address, building, parcel, or route condition</x:v>
      </x:c>
    </x:row>
    <x:row r="352" ht="86.4000015258789" hidden="0" customHeight="1">
      <x:c r="A352" s="34" t="str">
        <x:v>48201330400</x:v>
      </x:c>
      <x:c r="B352" s="62" t="n">
        <x:v>5047</x:v>
      </x:c>
      <x:c r="C352" s="62" t="n">
        <x:v>428</x:v>
      </x:c>
      <x:c r="D352" s="62" t="n">
        <x:v>590.5</x:v>
      </x:c>
      <x:c r="E352" s="43" t="n">
        <x:v>0.084802853180107</x:v>
      </x:c>
      <x:c r="F352" s="43" t="n">
        <x:v>0.11700019813750744</x:v>
      </x:c>
      <x:c r="G352" s="65" t="n">
        <x:v>1643</x:v>
      </x:c>
      <x:c r="H352" s="65" t="n">
        <x:v>78</x:v>
      </x:c>
      <x:c r="I352" s="65" t="n">
        <x:v>0.04747413268411443</x:v>
      </x:c>
      <x:c r="J352" s="34" t="str">
        <x:v>high</x:v>
      </x:c>
      <x:c r="K352" s="71" t="n">
        <x:v>29.6160441</x:v>
      </x:c>
      <x:c r="L352" s="71" t="n">
        <x:v>-95.4544704</x:v>
      </x:c>
      <x:c r="M352" s="71" t="n">
        <x:v>1.679</x:v>
      </x:c>
      <x:c r="N352" s="71" t="n">
        <x:v>0.07869052664043188</x:v>
      </x:c>
      <x:c r="O352" s="71" t="n">
        <x:v>9.945433494897832</x:v>
      </x:c>
      <x:c r="P352" s="71" t="n">
        <x:v>3</x:v>
      </x:c>
      <x:c r="Q352" s="71" t="n">
        <x:v>878.8531792794357</x:v>
      </x:c>
      <x:c r="R352" s="34" t="str">
        <x:v>tract internal point; no person, address, building, parcel, or route condition</x:v>
      </x:c>
    </x:row>
    <x:row r="353" ht="86.4000015258789" hidden="0" customHeight="1">
      <x:c r="A353" s="36" t="str">
        <x:v>48201330500</x:v>
      </x:c>
      <x:c r="B353" s="63" t="n">
        <x:v>5441</x:v>
      </x:c>
      <x:c r="C353" s="63" t="n">
        <x:v>568</x:v>
      </x:c>
      <x:c r="D353" s="63" t="n">
        <x:v>283</x:v>
      </x:c>
      <x:c r="E353" s="45" t="n">
        <x:v>0.1043925748943209</x:v>
      </x:c>
      <x:c r="F353" s="45" t="n">
        <x:v>0.052012497702628196</x:v>
      </x:c>
      <x:c r="G353" s="66" t="n">
        <x:v>1839</x:v>
      </x:c>
      <x:c r="H353" s="66" t="n">
        <x:v>8</x:v>
      </x:c>
      <x:c r="I353" s="66" t="n">
        <x:v>0.004350190320826536</x:v>
      </x:c>
      <x:c r="J353" s="36" t="str">
        <x:v>low</x:v>
      </x:c>
      <x:c r="K353" s="72" t="n">
        <x:v>29.6225436</x:v>
      </x:c>
      <x:c r="L353" s="72" t="n">
        <x:v>-95.4304614</x:v>
      </x:c>
      <x:c r="M353" s="72" t="n">
        <x:v>1.046</x:v>
      </x:c>
      <x:c r="N353" s="72" t="n">
        <x:v>0.1295848334951817</x:v>
      </x:c>
      <x:c r="O353" s="72" t="n">
        <x:v>8.889367040657955</x:v>
      </x:c>
      <x:c r="P353" s="72" t="n">
        <x:v>3</x:v>
      </x:c>
      <x:c r="Q353" s="72" t="n">
        <x:v>438.7893636195286</x:v>
      </x:c>
      <x:c r="R353" s="36" t="str">
        <x:v>tract internal point; no person, address, building, parcel, or route condition</x:v>
      </x:c>
    </x:row>
    <x:row r="354" ht="86.4000015258789" hidden="0" customHeight="1">
      <x:c r="A354" s="34" t="str">
        <x:v>48201330600</x:v>
      </x:c>
      <x:c r="B354" s="62" t="n">
        <x:v>7148</x:v>
      </x:c>
      <x:c r="C354" s="62" t="n">
        <x:v>1236</x:v>
      </x:c>
      <x:c r="D354" s="62" t="n">
        <x:v>223</x:v>
      </x:c>
      <x:c r="E354" s="43" t="n">
        <x:v>0.17291550083939564</x:v>
      </x:c>
      <x:c r="F354" s="43" t="n">
        <x:v>0.031197537772803582</x:v>
      </x:c>
      <x:c r="G354" s="65" t="n">
        <x:v>2495</x:v>
      </x:c>
      <x:c r="H354" s="65" t="n">
        <x:v>107</x:v>
      </x:c>
      <x:c r="I354" s="65" t="n">
        <x:v>0.04288577154308617</x:v>
      </x:c>
      <x:c r="J354" s="34" t="str">
        <x:v>low</x:v>
      </x:c>
      <x:c r="K354" s="71" t="n">
        <x:v>29.6122756</x:v>
      </x:c>
      <x:c r="L354" s="71" t="n">
        <x:v>-95.4336038</x:v>
      </x:c>
      <x:c r="M354" s="71" t="n">
        <x:v>1.424</x:v>
      </x:c>
      <x:c r="N354" s="71" t="n">
        <x:v>0.1397879655477757</x:v>
      </x:c>
      <x:c r="O354" s="71" t="n">
        <x:v>7.668747223246692</x:v>
      </x:c>
      <x:c r="P354" s="71" t="n">
        <x:v>3</x:v>
      </x:c>
      <x:c r="Q354" s="71" t="n">
        <x:v>582.9801903397613</x:v>
      </x:c>
      <x:c r="R354" s="34" t="str">
        <x:v>tract internal point; no person, address, building, parcel, or route condition</x:v>
      </x:c>
    </x:row>
    <x:row r="355" ht="86.4000015258789" hidden="0" customHeight="1">
      <x:c r="A355" s="36" t="str">
        <x:v>48201330700</x:v>
      </x:c>
      <x:c r="B355" s="63" t="n">
        <x:v>8886</x:v>
      </x:c>
      <x:c r="C355" s="63" t="n">
        <x:v>1081</x:v>
      </x:c>
      <x:c r="D355" s="63" t="n">
        <x:v>336</x:v>
      </x:c>
      <x:c r="E355" s="45" t="n">
        <x:v>0.1216520369119964</x:v>
      </x:c>
      <x:c r="F355" s="45" t="n">
        <x:v>0.03781228899392303</x:v>
      </x:c>
      <x:c r="G355" s="66" t="n">
        <x:v>2703</x:v>
      </x:c>
      <x:c r="H355" s="66" t="n">
        <x:v>0</x:v>
      </x:c>
      <x:c r="I355" s="66" t="n">
        <x:v>0</x:v>
      </x:c>
      <x:c r="J355" s="36" t="str">
        <x:v>low</x:v>
      </x:c>
      <x:c r="K355" s="72" t="n">
        <x:v>29.5978578</x:v>
      </x:c>
      <x:c r="L355" s="72" t="n">
        <x:v>-95.4428953</x:v>
      </x:c>
      <x:c r="M355" s="72" t="n">
        <x:v>2.368</x:v>
      </x:c>
      <x:c r="N355" s="72" t="n">
        <x:v>0.10668500662137174</x:v>
      </x:c>
      <x:c r="O355" s="72" t="n">
        <x:v>5.2440928632812795</x:v>
      </x:c>
      <x:c r="P355" s="72" t="n">
        <x:v>3</x:v>
      </x:c>
      <x:c r="Q355" s="72" t="n">
        <x:v>718.0303906850006</x:v>
      </x:c>
      <x:c r="R355" s="36" t="str">
        <x:v>tract internal point; no person, address, building, parcel, or route condition</x:v>
      </x:c>
    </x:row>
    <x:row r="356" ht="86.4000015258789" hidden="0" customHeight="1">
      <x:c r="A356" s="34" t="str">
        <x:v>48201330801</x:v>
      </x:c>
      <x:c r="B356" s="62" t="n">
        <x:v>6726</x:v>
      </x:c>
      <x:c r="C356" s="62" t="n">
        <x:v>992</x:v>
      </x:c>
      <x:c r="D356" s="62" t="n">
        <x:v>218</x:v>
      </x:c>
      <x:c r="E356" s="43" t="n">
        <x:v>0.14748736247398156</x:v>
      </x:c>
      <x:c r="F356" s="43" t="n">
        <x:v>0.03241153731787095</x:v>
      </x:c>
      <x:c r="G356" s="65" t="n">
        <x:v>2566</x:v>
      </x:c>
      <x:c r="H356" s="65" t="n">
        <x:v>421</x:v>
      </x:c>
      <x:c r="I356" s="65" t="n">
        <x:v>0.16406858924395948</x:v>
      </x:c>
      <x:c r="J356" s="34" t="str">
        <x:v>low</x:v>
      </x:c>
      <x:c r="K356" s="71" t="n">
        <x:v>29.6054427</x:v>
      </x:c>
      <x:c r="L356" s="71" t="n">
        <x:v>-95.3264973</x:v>
      </x:c>
      <x:c r="M356" s="71" t="n">
        <x:v>5.692</x:v>
      </x:c>
      <x:c r="N356" s="71" t="n">
        <x:v>0.29684632914089754</x:v>
      </x:c>
      <x:c r="O356" s="71" t="n">
        <x:v>8.3484354957136</x:v>
      </x:c>
      <x:c r="P356" s="71" t="n">
        <x:v>3</x:v>
      </x:c>
      <x:c r="Q356" s="71" t="n">
        <x:v>545.9382538777284</x:v>
      </x:c>
      <x:c r="R356" s="34" t="str">
        <x:v>tract internal point; no person, address, building, parcel, or route condition</x:v>
      </x:c>
    </x:row>
    <x:row r="357" ht="86.4000015258789" hidden="0" customHeight="1">
      <x:c r="A357" s="36" t="str">
        <x:v>48201330802</x:v>
      </x:c>
      <x:c r="B357" s="63" t="n">
        <x:v>10273</x:v>
      </x:c>
      <x:c r="C357" s="63" t="n">
        <x:v>865</x:v>
      </x:c>
      <x:c r="D357" s="63" t="n">
        <x:v>227</x:v>
      </x:c>
      <x:c r="E357" s="45" t="n">
        <x:v>0.08420130439014893</x:v>
      </x:c>
      <x:c r="F357" s="45" t="n">
        <x:v>0.02209675849313735</x:v>
      </x:c>
      <x:c r="G357" s="66" t="n">
        <x:v>3787</x:v>
      </x:c>
      <x:c r="H357" s="66" t="n">
        <x:v>124</x:v>
      </x:c>
      <x:c r="I357" s="66" t="n">
        <x:v>0.03274359651439134</x:v>
      </x:c>
      <x:c r="J357" s="36" t="str">
        <x:v>moderate</x:v>
      </x:c>
      <x:c r="K357" s="72" t="n">
        <x:v>29.5951606</x:v>
      </x:c>
      <x:c r="L357" s="72" t="n">
        <x:v>-95.3870003</x:v>
      </x:c>
      <x:c r="M357" s="72" t="n">
        <x:v>6.384</x:v>
      </x:c>
      <x:c r="N357" s="72" t="n">
        <x:v>0.02276803053735911</x:v>
      </x:c>
      <x:c r="O357" s="72" t="n">
        <x:v>0.13660818322415466</x:v>
      </x:c>
      <x:c r="P357" s="72" t="n">
        <x:v>3</x:v>
      </x:c>
      <x:c r="Q357" s="72" t="n">
        <x:v>1455.7053592390837</x:v>
      </x:c>
      <x:c r="R357" s="36" t="str">
        <x:v>tract internal point; no person, address, building, parcel, or route condition</x:v>
      </x:c>
    </x:row>
    <x:row r="358" ht="86.4000015258789" hidden="0" customHeight="1">
      <x:c r="A358" s="34" t="str">
        <x:v>48201330901</x:v>
      </x:c>
      <x:c r="B358" s="62" t="n">
        <x:v>10349</x:v>
      </x:c>
      <x:c r="C358" s="62" t="n">
        <x:v>1161</x:v>
      </x:c>
      <x:c r="D358" s="62" t="n">
        <x:v>325</x:v>
      </x:c>
      <x:c r="E358" s="43" t="n">
        <x:v>0.11218475214996618</x:v>
      </x:c>
      <x:c r="F358" s="43" t="n">
        <x:v>0.031404000386510776</x:v>
      </x:c>
      <x:c r="G358" s="65" t="n">
        <x:v>4411</x:v>
      </x:c>
      <x:c r="H358" s="65" t="n">
        <x:v>90</x:v>
      </x:c>
      <x:c r="I358" s="65" t="n">
        <x:v>0.02040353661301292</x:v>
      </x:c>
      <x:c r="J358" s="34" t="str">
        <x:v>low</x:v>
      </x:c>
      <x:c r="K358" s="71" t="n">
        <x:v>29.617472</x:v>
      </x:c>
      <x:c r="L358" s="71" t="n">
        <x:v>-95.3983444</x:v>
      </x:c>
      <x:c r="M358" s="71" t="n">
        <x:v>1.718</x:v>
      </x:c>
      <x:c r="N358" s="71" t="n">
        <x:v>0.14859688140498714</x:v>
      </x:c>
      <x:c r="O358" s="71" t="n">
        <x:v>4.116041539556011</x:v>
      </x:c>
      <x:c r="P358" s="71" t="n">
        <x:v>3</x:v>
      </x:c>
      <x:c r="Q358" s="71" t="n">
        <x:v>834.1862954107347</x:v>
      </x:c>
      <x:c r="R358" s="34" t="str">
        <x:v>tract internal point; no person, address, building, parcel, or route condition</x:v>
      </x:c>
    </x:row>
    <x:row r="359" ht="86.4000015258789" hidden="0" customHeight="1">
      <x:c r="A359" s="36" t="str">
        <x:v>48201330902</x:v>
      </x:c>
      <x:c r="B359" s="63" t="n">
        <x:v>3665</x:v>
      </x:c>
      <x:c r="C359" s="63" t="n">
        <x:v>79</x:v>
      </x:c>
      <x:c r="D359" s="63" t="n">
        <x:v>23</x:v>
      </x:c>
      <x:c r="E359" s="45" t="n">
        <x:v>0.02155525238744884</x:v>
      </x:c>
      <x:c r="F359" s="45" t="n">
        <x:v>0.006275579809004093</x:v>
      </x:c>
      <x:c r="G359" s="66" t="n">
        <x:v>1143</x:v>
      </x:c>
      <x:c r="H359" s="66" t="n">
        <x:v>23</x:v>
      </x:c>
      <x:c r="I359" s="66" t="n">
        <x:v>0.020122484689413824</x:v>
      </x:c>
      <x:c r="J359" s="36" t="str">
        <x:v>low</x:v>
      </x:c>
      <x:c r="K359" s="72" t="n">
        <x:v>29.605594</x:v>
      </x:c>
      <x:c r="L359" s="72" t="n">
        <x:v>-95.404806</x:v>
      </x:c>
      <x:c r="M359" s="72" t="n">
        <x:v>2.102</x:v>
      </x:c>
      <x:c r="N359" s="72" t="n">
        <x:v>0.11375939136645796</x:v>
      </x:c>
      <x:c r="O359" s="72" t="n">
        <x:v>3.7140692324170597</x:v>
      </x:c>
      <x:c r="P359" s="72" t="n">
        <x:v>3</x:v>
      </x:c>
      <x:c r="Q359" s="72" t="n">
        <x:v>289.4741272720423</x:v>
      </x:c>
      <x:c r="R359" s="36" t="str">
        <x:v>tract internal point; no person, address, building, parcel, or route condition</x:v>
      </x:c>
    </x:row>
    <x:row r="360" ht="86.4000015258789" hidden="0" customHeight="1">
      <x:c r="A360" s="34" t="str">
        <x:v>48201331100</x:v>
      </x:c>
      <x:c r="B360" s="62" t="n">
        <x:v>4120</x:v>
      </x:c>
      <x:c r="C360" s="62" t="n">
        <x:v>808</x:v>
      </x:c>
      <x:c r="D360" s="62" t="n">
        <x:v>729</x:v>
      </x:c>
      <x:c r="E360" s="43" t="n">
        <x:v>0.19611650485436893</x:v>
      </x:c>
      <x:c r="F360" s="43" t="n">
        <x:v>0.17694174757281553</x:v>
      </x:c>
      <x:c r="G360" s="65" t="n">
        <x:v>1884</x:v>
      </x:c>
      <x:c r="H360" s="65" t="n">
        <x:v>149</x:v>
      </x:c>
      <x:c r="I360" s="65" t="n">
        <x:v>0.07908704883227176</x:v>
      </x:c>
      <x:c r="J360" s="34" t="str">
        <x:v>low</x:v>
      </x:c>
      <x:c r="K360" s="71" t="n">
        <x:v>29.6749553</x:v>
      </x:c>
      <x:c r="L360" s="71" t="n">
        <x:v>-95.3691233</x:v>
      </x:c>
      <x:c r="M360" s="71" t="n">
        <x:v>1.248</x:v>
      </x:c>
      <x:c r="N360" s="71" t="n">
        <x:v>0.06719450600383334</x:v>
      </x:c>
      <x:c r="O360" s="71" t="n">
        <x:v>8.471693417840559</x:v>
      </x:c>
      <x:c r="P360" s="71" t="n">
        <x:v>3</x:v>
      </x:c>
      <x:c r="Q360" s="71" t="n">
        <x:v>342.2429711944038</x:v>
      </x:c>
      <x:c r="R360" s="34" t="str">
        <x:v>tract internal point; no person, address, building, parcel, or route condition</x:v>
      </x:c>
    </x:row>
    <x:row r="361" ht="86.4000015258789" hidden="0" customHeight="1">
      <x:c r="A361" s="36" t="str">
        <x:v>48201331200</x:v>
      </x:c>
      <x:c r="B361" s="63" t="n">
        <x:v>4997</x:v>
      </x:c>
      <x:c r="C361" s="63" t="n">
        <x:v>1556</x:v>
      </x:c>
      <x:c r="D361" s="63" t="n">
        <x:v>1086.5</x:v>
      </x:c>
      <x:c r="E361" s="45" t="n">
        <x:v>0.31138683209925955</x:v>
      </x:c>
      <x:c r="F361" s="45" t="n">
        <x:v>0.217430458274965</x:v>
      </x:c>
      <x:c r="G361" s="66" t="n">
        <x:v>2140</x:v>
      </x:c>
      <x:c r="H361" s="66" t="n">
        <x:v>380</x:v>
      </x:c>
      <x:c r="I361" s="66" t="n">
        <x:v>0.17757009345794392</x:v>
      </x:c>
      <x:c r="J361" s="36" t="str">
        <x:v>low</x:v>
      </x:c>
      <x:c r="K361" s="72" t="n">
        <x:v>29.6635175</x:v>
      </x:c>
      <x:c r="L361" s="72" t="n">
        <x:v>-95.3705233</x:v>
      </x:c>
      <x:c r="M361" s="72" t="n">
        <x:v>1.369</x:v>
      </x:c>
      <x:c r="N361" s="72" t="n">
        <x:v>0.07447571538743189</x:v>
      </x:c>
      <x:c r="O361" s="72" t="n">
        <x:v>8.40795031377363</x:v>
      </x:c>
      <x:c r="P361" s="72" t="n">
        <x:v>3</x:v>
      </x:c>
      <x:c r="Q361" s="72" t="n">
        <x:v>425.7386240703654</x:v>
      </x:c>
      <x:c r="R361" s="36" t="str">
        <x:v>tract internal point; no person, address, building, parcel, or route condition</x:v>
      </x:c>
    </x:row>
    <x:row r="362" ht="86.4000015258789" hidden="0" customHeight="1">
      <x:c r="A362" s="34" t="str">
        <x:v>48201331300</x:v>
      </x:c>
      <x:c r="B362" s="62" t="n">
        <x:v>5819</x:v>
      </x:c>
      <x:c r="C362" s="62" t="n">
        <x:v>1518</x:v>
      </x:c>
      <x:c r="D362" s="62" t="n">
        <x:v>593.5</x:v>
      </x:c>
      <x:c r="E362" s="43" t="n">
        <x:v>0.2608695652173913</x:v>
      </x:c>
      <x:c r="F362" s="43" t="n">
        <x:v>0.1019934696683279</x:v>
      </x:c>
      <x:c r="G362" s="65" t="n">
        <x:v>2061</x:v>
      </x:c>
      <x:c r="H362" s="65" t="n">
        <x:v>114</x:v>
      </x:c>
      <x:c r="I362" s="65" t="n">
        <x:v>0.055312954876273655</x:v>
      </x:c>
      <x:c r="J362" s="34" t="str">
        <x:v>moderate</x:v>
      </x:c>
      <x:c r="K362" s="71" t="n">
        <x:v>29.6465413</x:v>
      </x:c>
      <x:c r="L362" s="71" t="n">
        <x:v>-95.3784722</x:v>
      </x:c>
      <x:c r="M362" s="71" t="n">
        <x:v>1.752</x:v>
      </x:c>
      <x:c r="N362" s="71" t="n">
        <x:v>0.15874978807260762</x:v>
      </x:c>
      <x:c r="O362" s="71" t="n">
        <x:v>6.096386716689147</x:v>
      </x:c>
      <x:c r="P362" s="71" t="n">
        <x:v>3</x:v>
      </x:c>
      <x:c r="Q362" s="71" t="n">
        <x:v>859.6194126823821</x:v>
      </x:c>
      <x:c r="R362" s="34" t="str">
        <x:v>tract internal point; no person, address, building, parcel, or route condition</x:v>
      </x:c>
    </x:row>
    <x:row r="363" ht="86.4000015258789" hidden="0" customHeight="1">
      <x:c r="A363" s="36" t="str">
        <x:v>48201331400</x:v>
      </x:c>
      <x:c r="B363" s="63" t="n">
        <x:v>3353</x:v>
      </x:c>
      <x:c r="C363" s="63" t="n">
        <x:v>919</x:v>
      </x:c>
      <x:c r="D363" s="63" t="n">
        <x:v>731.5</x:v>
      </x:c>
      <x:c r="E363" s="45" t="n">
        <x:v>0.27408291082612585</x:v>
      </x:c>
      <x:c r="F363" s="45" t="n">
        <x:v>0.21816283924843424</x:v>
      </x:c>
      <x:c r="G363" s="66" t="n">
        <x:v>1092</x:v>
      </x:c>
      <x:c r="H363" s="66" t="n">
        <x:v>546</x:v>
      </x:c>
      <x:c r="I363" s="66" t="n">
        <x:v>0.5</x:v>
      </x:c>
      <x:c r="J363" s="36" t="str">
        <x:v>low</x:v>
      </x:c>
      <x:c r="K363" s="72" t="n">
        <x:v>29.654386</x:v>
      </x:c>
      <x:c r="L363" s="72" t="n">
        <x:v>-95.3601789</x:v>
      </x:c>
      <x:c r="M363" s="72" t="n">
        <x:v>0.601</x:v>
      </x:c>
      <x:c r="N363" s="72" t="n">
        <x:v>0.211473406941119</x:v>
      </x:c>
      <x:c r="O363" s="72" t="n">
        <x:v>10.817486024056281</x:v>
      </x:c>
      <x:c r="P363" s="72" t="n">
        <x:v>3</x:v>
      </x:c>
      <x:c r="Q363" s="72" t="n">
        <x:v>283.7248854893187</x:v>
      </x:c>
      <x:c r="R363" s="36" t="str">
        <x:v>tract internal point; no person, address, building, parcel, or route condition</x:v>
      </x:c>
    </x:row>
    <x:row r="364" ht="86.4000015258789" hidden="0" customHeight="1">
      <x:c r="A364" s="34" t="str">
        <x:v>48201331501</x:v>
      </x:c>
      <x:c r="B364" s="62" t="n">
        <x:v>4551</x:v>
      </x:c>
      <x:c r="C364" s="62" t="n">
        <x:v>793</x:v>
      </x:c>
      <x:c r="D364" s="62" t="n">
        <x:v>190</x:v>
      </x:c>
      <x:c r="E364" s="43" t="n">
        <x:v>0.17424741814985717</x:v>
      </x:c>
      <x:c r="F364" s="43" t="n">
        <x:v>0.041749066139310044</x:v>
      </x:c>
      <x:c r="G364" s="65" t="n">
        <x:v>1555</x:v>
      </x:c>
      <x:c r="H364" s="65" t="n">
        <x:v>0</x:v>
      </x:c>
      <x:c r="I364" s="65" t="n">
        <x:v>0</x:v>
      </x:c>
      <x:c r="J364" s="34" t="str">
        <x:v>moderate</x:v>
      </x:c>
      <x:c r="K364" s="71" t="n">
        <x:v>29.634145</x:v>
      </x:c>
      <x:c r="L364" s="71" t="n">
        <x:v>-95.3590655</x:v>
      </x:c>
      <x:c r="M364" s="71" t="n">
        <x:v>0.859</x:v>
      </x:c>
      <x:c r="N364" s="71" t="n">
        <x:v>0.13622970815927263</x:v>
      </x:c>
      <x:c r="O364" s="71" t="n">
        <x:v>9.035699839933654</x:v>
      </x:c>
      <x:c r="P364" s="71" t="n">
        <x:v>3</x:v>
      </x:c>
      <x:c r="Q364" s="71" t="n">
        <x:v>657.5265660204161</x:v>
      </x:c>
      <x:c r="R364" s="34" t="str">
        <x:v>tract internal point; no person, address, building, parcel, or route condition</x:v>
      </x:c>
    </x:row>
    <x:row r="365" ht="86.4000015258789" hidden="0" customHeight="1">
      <x:c r="A365" s="36" t="str">
        <x:v>48201331502</x:v>
      </x:c>
      <x:c r="B365" s="63" t="n">
        <x:v>6096</x:v>
      </x:c>
      <x:c r="C365" s="63" t="n">
        <x:v>898</x:v>
      </x:c>
      <x:c r="D365" s="63" t="n">
        <x:v>934</x:v>
      </x:c>
      <x:c r="E365" s="45" t="n">
        <x:v>0.14730971128608925</x:v>
      </x:c>
      <x:c r="F365" s="45" t="n">
        <x:v>0.15321522309711286</x:v>
      </x:c>
      <x:c r="G365" s="66" t="n">
        <x:v>2633</x:v>
      </x:c>
      <x:c r="H365" s="66" t="n">
        <x:v>0</x:v>
      </x:c>
      <x:c r="I365" s="66" t="n">
        <x:v>0</x:v>
      </x:c>
      <x:c r="J365" s="36" t="str">
        <x:v>low</x:v>
      </x:c>
      <x:c r="K365" s="72" t="n">
        <x:v>29.6305535</x:v>
      </x:c>
      <x:c r="L365" s="72" t="n">
        <x:v>-95.3733149</x:v>
      </x:c>
      <x:c r="M365" s="72" t="n">
        <x:v>2.725</x:v>
      </x:c>
      <x:c r="N365" s="72" t="n">
        <x:v>0.01352017011072107</x:v>
      </x:c>
      <x:c r="O365" s="72" t="n">
        <x:v>5.0664174452793445</x:v>
      </x:c>
      <x:c r="P365" s="72" t="n">
        <x:v>3</x:v>
      </x:c>
      <x:c r="Q365" s="72" t="n">
        <x:v>500.5730815333925</x:v>
      </x:c>
      <x:c r="R365" s="36" t="str">
        <x:v>tract internal point; no person, address, building, parcel, or route condition</x:v>
      </x:c>
    </x:row>
    <x:row r="366" ht="86.4000015258789" hidden="0" customHeight="1">
      <x:c r="A366" s="34" t="str">
        <x:v>48201331602</x:v>
      </x:c>
      <x:c r="B366" s="62" t="n">
        <x:v>3337</x:v>
      </x:c>
      <x:c r="C366" s="62" t="n">
        <x:v>538</x:v>
      </x:c>
      <x:c r="D366" s="62" t="n">
        <x:v>70</x:v>
      </x:c>
      <x:c r="E366" s="43" t="n">
        <x:v>0.16122265507941264</x:v>
      </x:c>
      <x:c r="F366" s="43" t="n">
        <x:v>0.020976925382079712</x:v>
      </x:c>
      <x:c r="G366" s="65" t="n">
        <x:v>1487</x:v>
      </x:c>
      <x:c r="H366" s="65" t="n">
        <x:v>80</x:v>
      </x:c>
      <x:c r="I366" s="65" t="n">
        <x:v>0.05379959650302623</x:v>
      </x:c>
      <x:c r="J366" s="34" t="str">
        <x:v>low</x:v>
      </x:c>
      <x:c r="K366" s="71" t="n">
        <x:v>29.6278814</x:v>
      </x:c>
      <x:c r="L366" s="71" t="n">
        <x:v>-95.3182656</x:v>
      </x:c>
      <x:c r="M366" s="71" t="n">
        <x:v>2.334</x:v>
      </x:c>
      <x:c r="N366" s="71" t="n">
        <x:v>0.23377796927693453</x:v>
      </x:c>
      <x:c r="O366" s="71" t="n">
        <x:v>12.078432274997866</x:v>
      </x:c>
      <x:c r="P366" s="71" t="n">
        <x:v>3</x:v>
      </x:c>
      <x:c r="Q366" s="71" t="n">
        <x:v>271.2793292857054</x:v>
      </x:c>
      <x:c r="R366" s="34" t="str">
        <x:v>tract internal point; no person, address, building, parcel, or route condition</x:v>
      </x:c>
    </x:row>
    <x:row r="367" ht="86.4000015258789" hidden="0" customHeight="1">
      <x:c r="A367" s="36" t="str">
        <x:v>48201331603</x:v>
      </x:c>
      <x:c r="B367" s="63" t="n">
        <x:v>4532</x:v>
      </x:c>
      <x:c r="C367" s="63" t="n">
        <x:v>778</x:v>
      </x:c>
      <x:c r="D367" s="63" t="n">
        <x:v>116</x:v>
      </x:c>
      <x:c r="E367" s="45" t="n">
        <x:v>0.17166813768755515</x:v>
      </x:c>
      <x:c r="F367" s="45" t="n">
        <x:v>0.02559576345984113</x:v>
      </x:c>
      <x:c r="G367" s="66" t="n">
        <x:v>1586</x:v>
      </x:c>
      <x:c r="H367" s="66" t="n">
        <x:v>0</x:v>
      </x:c>
      <x:c r="I367" s="66" t="n">
        <x:v>0</x:v>
      </x:c>
      <x:c r="J367" s="36" t="str">
        <x:v>low</x:v>
      </x:c>
      <x:c r="K367" s="72" t="n">
        <x:v>29.6267678</x:v>
      </x:c>
      <x:c r="L367" s="72" t="n">
        <x:v>-95.3499492</x:v>
      </x:c>
      <x:c r="M367" s="72" t="n">
        <x:v>0.835</x:v>
      </x:c>
      <x:c r="N367" s="72" t="n">
        <x:v>0.06265900134021782</x:v>
      </x:c>
      <x:c r="O367" s="72" t="n">
        <x:v>8.3938967269443</x:v>
      </x:c>
      <x:c r="P367" s="72" t="n">
        <x:v>3</x:v>
      </x:c>
      <x:c r="Q367" s="72" t="n">
        <x:v>369.3347503127207</x:v>
      </x:c>
      <x:c r="R367" s="36" t="str">
        <x:v>tract internal point; no person, address, building, parcel, or route condition</x:v>
      </x:c>
    </x:row>
    <x:row r="368" ht="86.4000015258789" hidden="0" customHeight="1">
      <x:c r="A368" s="34" t="str">
        <x:v>48201331604</x:v>
      </x:c>
      <x:c r="B368" s="62" t="n">
        <x:v>2690</x:v>
      </x:c>
      <x:c r="C368" s="62" t="n">
        <x:v>689</x:v>
      </x:c>
      <x:c r="D368" s="62" t="n">
        <x:v>452</x:v>
      </x:c>
      <x:c r="E368" s="43" t="n">
        <x:v>0.2561338289962825</x:v>
      </x:c>
      <x:c r="F368" s="43" t="n">
        <x:v>0.16802973977695168</x:v>
      </x:c>
      <x:c r="G368" s="65" t="n">
        <x:v>1154</x:v>
      </x:c>
      <x:c r="H368" s="65" t="n">
        <x:v>133</x:v>
      </x:c>
      <x:c r="I368" s="65" t="n">
        <x:v>0.11525129982668977</x:v>
      </x:c>
      <x:c r="J368" s="34" t="str">
        <x:v>low</x:v>
      </x:c>
      <x:c r="K368" s="71" t="n">
        <x:v>29.632015</x:v>
      </x:c>
      <x:c r="L368" s="71" t="n">
        <x:v>-95.3440505</x:v>
      </x:c>
      <x:c r="M368" s="71" t="n">
        <x:v>0.361</x:v>
      </x:c>
      <x:c r="N368" s="71" t="n">
        <x:v>0.05634324077755527</x:v>
      </x:c>
      <x:c r="O368" s="71" t="n">
        <x:v>9.728335763496135</x:v>
      </x:c>
      <x:c r="P368" s="71" t="n">
        <x:v>3</x:v>
      </x:c>
      <x:c r="Q368" s="71" t="n">
        <x:v>225.80412360581514</x:v>
      </x:c>
      <x:c r="R368" s="34" t="str">
        <x:v>tract internal point; no person, address, building, parcel, or route condition</x:v>
      </x:c>
    </x:row>
    <x:row r="369" ht="86.4000015258789" hidden="0" customHeight="1">
      <x:c r="A369" s="36" t="str">
        <x:v>48201331700</x:v>
      </x:c>
      <x:c r="B369" s="63" t="n">
        <x:v>3840</x:v>
      </x:c>
      <x:c r="C369" s="63" t="n">
        <x:v>581</x:v>
      </x:c>
      <x:c r="D369" s="63" t="n">
        <x:v>823.5</x:v>
      </x:c>
      <x:c r="E369" s="45" t="n">
        <x:v>0.15130208333333334</x:v>
      </x:c>
      <x:c r="F369" s="45" t="n">
        <x:v>0.214453125</x:v>
      </x:c>
      <x:c r="G369" s="66" t="n">
        <x:v>1525</x:v>
      </x:c>
      <x:c r="H369" s="66" t="n">
        <x:v>104</x:v>
      </x:c>
      <x:c r="I369" s="66" t="n">
        <x:v>0.06819672131147542</x:v>
      </x:c>
      <x:c r="J369" s="36" t="str">
        <x:v>low</x:v>
      </x:c>
      <x:c r="K369" s="72" t="n">
        <x:v>29.6434456</x:v>
      </x:c>
      <x:c r="L369" s="72" t="n">
        <x:v>-95.3322419</x:v>
      </x:c>
      <x:c r="M369" s="72" t="n">
        <x:v>1.988</x:v>
      </x:c>
      <x:c r="N369" s="72" t="n">
        <x:v>0.10554282151308177</x:v>
      </x:c>
      <x:c r="O369" s="72" t="n">
        <x:v>12.2365877108679</x:v>
      </x:c>
      <x:c r="P369" s="72" t="n">
        <x:v>3</x:v>
      </x:c>
      <x:c r="Q369" s="72" t="n">
        <x:v>317.4108052169387</x:v>
      </x:c>
      <x:c r="R369" s="36" t="str">
        <x:v>tract internal point; no person, address, building, parcel, or route condition</x:v>
      </x:c>
    </x:row>
    <x:row r="370" ht="86.4000015258789" hidden="0" customHeight="1">
      <x:c r="A370" s="34" t="str">
        <x:v>48201331800</x:v>
      </x:c>
      <x:c r="B370" s="62" t="n">
        <x:v>4268</x:v>
      </x:c>
      <x:c r="C370" s="62" t="n">
        <x:v>428</x:v>
      </x:c>
      <x:c r="D370" s="62" t="n">
        <x:v>508.5</x:v>
      </x:c>
      <x:c r="E370" s="43" t="n">
        <x:v>0.10028116213683223</x:v>
      </x:c>
      <x:c r="F370" s="43" t="n">
        <x:v>0.11914245548266167</x:v>
      </x:c>
      <x:c r="G370" s="65" t="n">
        <x:v>1482</x:v>
      </x:c>
      <x:c r="H370" s="65" t="n">
        <x:v>27</x:v>
      </x:c>
      <x:c r="I370" s="65" t="n">
        <x:v>0.018218623481781375</x:v>
      </x:c>
      <x:c r="J370" s="34" t="str">
        <x:v>low</x:v>
      </x:c>
      <x:c r="K370" s="71" t="n">
        <x:v>29.6524884</x:v>
      </x:c>
      <x:c r="L370" s="71" t="n">
        <x:v>-95.3437917</x:v>
      </x:c>
      <x:c r="M370" s="71" t="n">
        <x:v>0.892</x:v>
      </x:c>
      <x:c r="N370" s="71" t="n">
        <x:v>0.11810400558515287</x:v>
      </x:c>
      <x:c r="O370" s="71" t="n">
        <x:v>11.322022486783485</x:v>
      </x:c>
      <x:c r="P370" s="71" t="n">
        <x:v>3</x:v>
      </x:c>
      <x:c r="Q370" s="71" t="n">
        <x:v>346.1688034165098</x:v>
      </x:c>
      <x:c r="R370" s="34" t="str">
        <x:v>tract internal point; no person, address, building, parcel, or route condition</x:v>
      </x:c>
    </x:row>
    <x:row r="371" ht="86.4000015258789" hidden="0" customHeight="1">
      <x:c r="A371" s="36" t="str">
        <x:v>48201331900</x:v>
      </x:c>
      <x:c r="B371" s="63" t="n">
        <x:v>3361</x:v>
      </x:c>
      <x:c r="C371" s="63" t="n">
        <x:v>711</x:v>
      </x:c>
      <x:c r="D371" s="63" t="n">
        <x:v>131</x:v>
      </x:c>
      <x:c r="E371" s="45" t="n">
        <x:v>0.21154418327878607</x:v>
      </x:c>
      <x:c r="F371" s="45" t="n">
        <x:v>0.0389764950907468</x:v>
      </x:c>
      <x:c r="G371" s="66" t="n">
        <x:v>1442</x:v>
      </x:c>
      <x:c r="H371" s="66" t="n">
        <x:v>0</x:v>
      </x:c>
      <x:c r="I371" s="66" t="n">
        <x:v>0</x:v>
      </x:c>
      <x:c r="J371" s="36" t="str">
        <x:v>low</x:v>
      </x:c>
      <x:c r="K371" s="72" t="n">
        <x:v>29.6626734</x:v>
      </x:c>
      <x:c r="L371" s="72" t="n">
        <x:v>-95.3466946</x:v>
      </x:c>
      <x:c r="M371" s="72" t="n">
        <x:v>0.649</x:v>
      </x:c>
      <x:c r="N371" s="72" t="n">
        <x:v>0.08997416010694995</x:v>
      </x:c>
      <x:c r="O371" s="72" t="n">
        <x:v>11.742487815545935</x:v>
      </x:c>
      <x:c r="P371" s="72" t="n">
        <x:v>3</x:v>
      </x:c>
      <x:c r="Q371" s="72" t="n">
        <x:v>276.364441293118</x:v>
      </x:c>
      <x:c r="R371" s="36" t="str">
        <x:v>tract internal point; no person, address, building, parcel, or route condition</x:v>
      </x:c>
    </x:row>
    <x:row r="372" ht="86.4000015258789" hidden="0" customHeight="1">
      <x:c r="A372" s="34" t="str">
        <x:v>48201332000</x:v>
      </x:c>
      <x:c r="B372" s="62" t="n">
        <x:v>5918</x:v>
      </x:c>
      <x:c r="C372" s="62" t="n">
        <x:v>1130</x:v>
      </x:c>
      <x:c r="D372" s="62" t="n">
        <x:v>806</x:v>
      </x:c>
      <x:c r="E372" s="43" t="n">
        <x:v>0.19094288611017235</x:v>
      </x:c>
      <x:c r="F372" s="43" t="n">
        <x:v>0.13619466035822914</x:v>
      </x:c>
      <x:c r="G372" s="65" t="n">
        <x:v>2116</x:v>
      </x:c>
      <x:c r="H372" s="65" t="n">
        <x:v>398</x:v>
      </x:c>
      <x:c r="I372" s="65" t="n">
        <x:v>0.1880907372400756</x:v>
      </x:c>
      <x:c r="J372" s="34" t="str">
        <x:v>low</x:v>
      </x:c>
      <x:c r="K372" s="71" t="n">
        <x:v>29.6722584</x:v>
      </x:c>
      <x:c r="L372" s="71" t="n">
        <x:v>-95.3472142</x:v>
      </x:c>
      <x:c r="M372" s="71" t="n">
        <x:v>0.853</x:v>
      </x:c>
      <x:c r="N372" s="71" t="n">
        <x:v>0.0939125311597639</x:v>
      </x:c>
      <x:c r="O372" s="71" t="n">
        <x:v>11.142406055413133</x:v>
      </x:c>
      <x:c r="P372" s="71" t="n">
        <x:v>3</x:v>
      </x:c>
      <x:c r="Q372" s="71" t="n">
        <x:v>489.22392892334045</x:v>
      </x:c>
      <x:c r="R372" s="34" t="str">
        <x:v>tract internal point; no person, address, building, parcel, or route condition</x:v>
      </x:c>
    </x:row>
    <x:row r="373" ht="86.4000015258789" hidden="0" customHeight="1">
      <x:c r="A373" s="36" t="str">
        <x:v>48201332100</x:v>
      </x:c>
      <x:c r="B373" s="63" t="n">
        <x:v>3173</x:v>
      </x:c>
      <x:c r="C373" s="63" t="n">
        <x:v>356</x:v>
      </x:c>
      <x:c r="D373" s="63" t="n">
        <x:v>4</x:v>
      </x:c>
      <x:c r="E373" s="45" t="n">
        <x:v>0.11219665931295304</x:v>
      </x:c>
      <x:c r="F373" s="45" t="n">
        <x:v>0.0012606366214938543</x:v>
      </x:c>
      <x:c r="G373" s="66" t="n">
        <x:v>1013</x:v>
      </x:c>
      <x:c r="H373" s="66" t="n">
        <x:v>0</x:v>
      </x:c>
      <x:c r="I373" s="66" t="n">
        <x:v>0</x:v>
      </x:c>
      <x:c r="J373" s="36" t="str">
        <x:v>low</x:v>
      </x:c>
      <x:c r="K373" s="72" t="n">
        <x:v>29.6803818</x:v>
      </x:c>
      <x:c r="L373" s="72" t="n">
        <x:v>-95.344385</x:v>
      </x:c>
      <x:c r="M373" s="72" t="n">
        <x:v>0.415</x:v>
      </x:c>
      <x:c r="N373" s="72" t="n">
        <x:v>0.06612843225285946</x:v>
      </x:c>
      <x:c r="O373" s="72" t="n">
        <x:v>9.614253171215568</x:v>
      </x:c>
      <x:c r="P373" s="72" t="n">
        <x:v>3</x:v>
      </x:c>
      <x:c r="Q373" s="72" t="n">
        <x:v>255.01011467157255</x:v>
      </x:c>
      <x:c r="R373" s="36" t="str">
        <x:v>tract internal point; no person, address, building, parcel, or route condition</x:v>
      </x:c>
    </x:row>
    <x:row r="374" ht="86.4000015258789" hidden="0" customHeight="1">
      <x:c r="A374" s="34" t="str">
        <x:v>48201332200</x:v>
      </x:c>
      <x:c r="B374" s="62" t="n">
        <x:v>4845</x:v>
      </x:c>
      <x:c r="C374" s="62" t="n">
        <x:v>1101</x:v>
      </x:c>
      <x:c r="D374" s="62" t="n">
        <x:v>99</x:v>
      </x:c>
      <x:c r="E374" s="43" t="n">
        <x:v>0.22724458204334366</x:v>
      </x:c>
      <x:c r="F374" s="43" t="n">
        <x:v>0.02043343653250774</x:v>
      </x:c>
      <x:c r="G374" s="65" t="n">
        <x:v>1709</x:v>
      </x:c>
      <x:c r="H374" s="65" t="n">
        <x:v>0</x:v>
      </x:c>
      <x:c r="I374" s="65" t="n">
        <x:v>0</x:v>
      </x:c>
      <x:c r="J374" s="34" t="str">
        <x:v>low</x:v>
      </x:c>
      <x:c r="K374" s="71" t="n">
        <x:v>29.680569</x:v>
      </x:c>
      <x:c r="L374" s="71" t="n">
        <x:v>-95.3299245</x:v>
      </x:c>
      <x:c r="M374" s="71" t="n">
        <x:v>1.115</x:v>
      </x:c>
      <x:c r="N374" s="71" t="n">
        <x:v>0.047236905031376286</x:v>
      </x:c>
      <x:c r="O374" s="71" t="n">
        <x:v>11.61631115410473</x:v>
      </x:c>
      <x:c r="P374" s="71" t="n">
        <x:v>3</x:v>
      </x:c>
      <x:c r="Q374" s="71" t="n">
        <x:v>398.8787009091098</x:v>
      </x:c>
      <x:c r="R374" s="34" t="str">
        <x:v>tract internal point; no person, address, building, parcel, or route condition</x:v>
      </x:c>
    </x:row>
    <x:row r="375" ht="86.4000015258789" hidden="0" customHeight="1">
      <x:c r="A375" s="36" t="str">
        <x:v>48201332300</x:v>
      </x:c>
      <x:c r="B375" s="63" t="n">
        <x:v>2910</x:v>
      </x:c>
      <x:c r="C375" s="63" t="n">
        <x:v>613</x:v>
      </x:c>
      <x:c r="D375" s="63" t="n">
        <x:v>223</x:v>
      </x:c>
      <x:c r="E375" s="45" t="n">
        <x:v>0.2106529209621993</x:v>
      </x:c>
      <x:c r="F375" s="45" t="n">
        <x:v>0.07663230240549829</x:v>
      </x:c>
      <x:c r="G375" s="66" t="n">
        <x:v>1126</x:v>
      </x:c>
      <x:c r="H375" s="66" t="n">
        <x:v>75</x:v>
      </x:c>
      <x:c r="I375" s="66" t="n">
        <x:v>0.06660746003552398</x:v>
      </x:c>
      <x:c r="J375" s="36" t="str">
        <x:v>high</x:v>
      </x:c>
      <x:c r="K375" s="72" t="n">
        <x:v>29.6665605</x:v>
      </x:c>
      <x:c r="L375" s="72" t="n">
        <x:v>-95.3233636</x:v>
      </x:c>
      <x:c r="M375" s="72" t="n">
        <x:v>0.465</x:v>
      </x:c>
      <x:c r="N375" s="72" t="n">
        <x:v>0.034435301817633046</x:v>
      </x:c>
      <x:c r="O375" s="72" t="n">
        <x:v>14.311276399937306</x:v>
      </x:c>
      <x:c r="P375" s="72" t="n">
        <x:v>3</x:v>
      </x:c>
      <x:c r="Q375" s="72" t="n">
        <x:v>517.1397489007827</x:v>
      </x:c>
      <x:c r="R375" s="36" t="str">
        <x:v>tract internal point; no person, address, building, parcel, or route condition</x:v>
      </x:c>
    </x:row>
    <x:row r="376" ht="86.4000015258789" hidden="0" customHeight="1">
      <x:c r="A376" s="34" t="str">
        <x:v>48201332400</x:v>
      </x:c>
      <x:c r="B376" s="62" t="n">
        <x:v>4057</x:v>
      </x:c>
      <x:c r="C376" s="62" t="n">
        <x:v>724</x:v>
      </x:c>
      <x:c r="D376" s="62" t="n">
        <x:v>74</x:v>
      </x:c>
      <x:c r="E376" s="43" t="n">
        <x:v>0.17845698792210993</x:v>
      </x:c>
      <x:c r="F376" s="43" t="n">
        <x:v>0.018240078876016762</x:v>
      </x:c>
      <x:c r="G376" s="65" t="n">
        <x:v>1437</x:v>
      </x:c>
      <x:c r="H376" s="65" t="n">
        <x:v>0</x:v>
      </x:c>
      <x:c r="I376" s="65" t="n">
        <x:v>0</x:v>
      </x:c>
      <x:c r="J376" s="34" t="str">
        <x:v>low</x:v>
      </x:c>
      <x:c r="K376" s="71" t="n">
        <x:v>29.6581951</x:v>
      </x:c>
      <x:c r="L376" s="71" t="n">
        <x:v>-95.3305738</x:v>
      </x:c>
      <x:c r="M376" s="71" t="n">
        <x:v>1.416</x:v>
      </x:c>
      <x:c r="N376" s="71" t="n">
        <x:v>0.0629084311808202</x:v>
      </x:c>
      <x:c r="O376" s="71" t="n">
        <x:v>13.074468760251856</x:v>
      </x:c>
      <x:c r="P376" s="71" t="n">
        <x:v>3</x:v>
      </x:c>
      <x:c r="Q376" s="71" t="n">
        <x:v>330.82308286863815</x:v>
      </x:c>
      <x:c r="R376" s="34" t="str">
        <x:v>tract internal point; no person, address, building, parcel, or route condition</x:v>
      </x:c>
    </x:row>
    <x:row r="377" ht="86.4000015258789" hidden="0" customHeight="1">
      <x:c r="A377" s="36" t="str">
        <x:v>48201332500</x:v>
      </x:c>
      <x:c r="B377" s="63" t="n">
        <x:v>3410</x:v>
      </x:c>
      <x:c r="C377" s="63" t="n">
        <x:v>373</x:v>
      </x:c>
      <x:c r="D377" s="63" t="n">
        <x:v>0</x:v>
      </x:c>
      <x:c r="E377" s="45" t="n">
        <x:v>0.1093841642228739</x:v>
      </x:c>
      <x:c r="F377" s="45" t="n">
        <x:v>0</x:v>
      </x:c>
      <x:c r="G377" s="66" t="n">
        <x:v>1157</x:v>
      </x:c>
      <x:c r="H377" s="66" t="n">
        <x:v>0</x:v>
      </x:c>
      <x:c r="I377" s="66" t="n">
        <x:v>0</x:v>
      </x:c>
      <x:c r="J377" s="36" t="str">
        <x:v>moderate</x:v>
      </x:c>
      <x:c r="K377" s="72" t="n">
        <x:v>29.6647618</x:v>
      </x:c>
      <x:c r="L377" s="72" t="n">
        <x:v>-95.3076091</x:v>
      </x:c>
      <x:c r="M377" s="72" t="n">
        <x:v>0.685</x:v>
      </x:c>
      <x:c r="N377" s="72" t="n">
        <x:v>0.1354297276154016</x:v>
      </x:c>
      <x:c r="O377" s="72" t="n">
        <x:v>15.808296606449908</x:v>
      </x:c>
      <x:c r="P377" s="72" t="n">
        <x:v>3</x:v>
      </x:c>
      <x:c r="Q377" s="72" t="n">
        <x:v>484.5444892684393</x:v>
      </x:c>
      <x:c r="R377" s="36" t="str">
        <x:v>tract internal point; no person, address, building, parcel, or route condition</x:v>
      </x:c>
    </x:row>
    <x:row r="378" ht="86.4000015258789" hidden="0" customHeight="1">
      <x:c r="A378" s="34" t="str">
        <x:v>48201332600</x:v>
      </x:c>
      <x:c r="B378" s="62" t="n">
        <x:v>6338</x:v>
      </x:c>
      <x:c r="C378" s="62" t="n">
        <x:v>886</x:v>
      </x:c>
      <x:c r="D378" s="62" t="n">
        <x:v>248</x:v>
      </x:c>
      <x:c r="E378" s="43" t="n">
        <x:v>0.1397917324076996</x:v>
      </x:c>
      <x:c r="F378" s="43" t="n">
        <x:v>0.03912906279583465</x:v>
      </x:c>
      <x:c r="G378" s="65" t="n">
        <x:v>2448</x:v>
      </x:c>
      <x:c r="H378" s="65" t="n">
        <x:v>607</x:v>
      </x:c>
      <x:c r="I378" s="65" t="n">
        <x:v>0.2479575163398693</x:v>
      </x:c>
      <x:c r="J378" s="34" t="str">
        <x:v>low</x:v>
      </x:c>
      <x:c r="K378" s="71" t="n">
        <x:v>29.6749892</x:v>
      </x:c>
      <x:c r="L378" s="71" t="n">
        <x:v>-95.3068102</x:v>
      </x:c>
      <x:c r="M378" s="71" t="n">
        <x:v>1.265</x:v>
      </x:c>
      <x:c r="N378" s="71" t="n">
        <x:v>0.13692023844819579</x:v>
      </x:c>
      <x:c r="O378" s="71" t="n">
        <x:v>15.170170117721053</x:v>
      </x:c>
      <x:c r="P378" s="71" t="n">
        <x:v>3</x:v>
      </x:c>
      <x:c r="Q378" s="71" t="n">
        <x:v>514.0128675189806</x:v>
      </x:c>
      <x:c r="R378" s="34" t="str">
        <x:v>tract internal point; no person, address, building, parcel, or route condition</x:v>
      </x:c>
    </x:row>
    <x:row r="379" ht="86.4000015258789" hidden="0" customHeight="1">
      <x:c r="A379" s="36" t="str">
        <x:v>48201332700</x:v>
      </x:c>
      <x:c r="B379" s="63" t="n">
        <x:v>2319</x:v>
      </x:c>
      <x:c r="C379" s="63" t="n">
        <x:v>296</x:v>
      </x:c>
      <x:c r="D379" s="63" t="n">
        <x:v>182.5</x:v>
      </x:c>
      <x:c r="E379" s="45" t="n">
        <x:v>0.12764122466580421</x:v>
      </x:c>
      <x:c r="F379" s="45" t="n">
        <x:v>0.07869771453212591</x:v>
      </x:c>
      <x:c r="G379" s="66" t="n">
        <x:v>885</x:v>
      </x:c>
      <x:c r="H379" s="66" t="n">
        <x:v>0</x:v>
      </x:c>
      <x:c r="I379" s="66" t="n">
        <x:v>0</x:v>
      </x:c>
      <x:c r="J379" s="36" t="str">
        <x:v>low</x:v>
      </x:c>
      <x:c r="K379" s="72" t="n">
        <x:v>29.6850652</x:v>
      </x:c>
      <x:c r="L379" s="72" t="n">
        <x:v>-95.3137973</x:v>
      </x:c>
      <x:c r="M379" s="72" t="n">
        <x:v>0.964</x:v>
      </x:c>
      <x:c r="N379" s="72" t="n">
        <x:v>0.009937851621744332</x:v>
      </x:c>
      <x:c r="O379" s="72" t="n">
        <x:v>12.637588907831073</x:v>
      </x:c>
      <x:c r="P379" s="72" t="n">
        <x:v>3</x:v>
      </x:c>
      <x:c r="Q379" s="72" t="n">
        <x:v>188.34956213545277</x:v>
      </x:c>
      <x:c r="R379" s="36" t="str">
        <x:v>tract internal point; no person, address, building, parcel, or route condition</x:v>
      </x:c>
    </x:row>
    <x:row r="380" ht="86.4000015258789" hidden="0" customHeight="1">
      <x:c r="A380" s="34" t="str">
        <x:v>48201332800</x:v>
      </x:c>
      <x:c r="B380" s="62" t="n">
        <x:v>4436</x:v>
      </x:c>
      <x:c r="C380" s="62" t="n">
        <x:v>401</x:v>
      </x:c>
      <x:c r="D380" s="62" t="n">
        <x:v>262</x:v>
      </x:c>
      <x:c r="E380" s="43" t="n">
        <x:v>0.09039675383228134</x:v>
      </x:c>
      <x:c r="F380" s="43" t="n">
        <x:v>0.059062218214607755</x:v>
      </x:c>
      <x:c r="G380" s="65" t="n">
        <x:v>1632</x:v>
      </x:c>
      <x:c r="H380" s="65" t="n">
        <x:v>176</x:v>
      </x:c>
      <x:c r="I380" s="65" t="n">
        <x:v>0.10784313725490197</x:v>
      </x:c>
      <x:c r="J380" s="34" t="str">
        <x:v>low</x:v>
      </x:c>
      <x:c r="K380" s="71" t="n">
        <x:v>29.689777</x:v>
      </x:c>
      <x:c r="L380" s="71" t="n">
        <x:v>-95.3077088</x:v>
      </x:c>
      <x:c r="M380" s="71" t="n">
        <x:v>0.753</x:v>
      </x:c>
      <x:c r="N380" s="71" t="n">
        <x:v>0.25059486435051687</x:v>
      </x:c>
      <x:c r="O380" s="71" t="n">
        <x:v>14.415333281639262</x:v>
      </x:c>
      <x:c r="P380" s="71" t="n">
        <x:v>3</x:v>
      </x:c>
      <x:c r="Q380" s="71" t="n">
        <x:v>357.01101673061424</x:v>
      </x:c>
      <x:c r="R380" s="34" t="str">
        <x:v>tract internal point; no person, address, building, parcel, or route condition</x:v>
      </x:c>
    </x:row>
    <x:row r="381" ht="86.4000015258789" hidden="0" customHeight="1">
      <x:c r="A381" s="36" t="str">
        <x:v>48201332900</x:v>
      </x:c>
      <x:c r="B381" s="63" t="n">
        <x:v>4493</x:v>
      </x:c>
      <x:c r="C381" s="63" t="n">
        <x:v>697</x:v>
      </x:c>
      <x:c r="D381" s="63" t="n">
        <x:v>187</x:v>
      </x:c>
      <x:c r="E381" s="45" t="n">
        <x:v>0.15513020253728022</x:v>
      </x:c>
      <x:c r="F381" s="45" t="n">
        <x:v>0.041620298241709326</x:v>
      </x:c>
      <x:c r="G381" s="66" t="n">
        <x:v>1683</x:v>
      </x:c>
      <x:c r="H381" s="66" t="n">
        <x:v>128</x:v>
      </x:c>
      <x:c r="I381" s="66" t="n">
        <x:v>0.07605466428995841</x:v>
      </x:c>
      <x:c r="J381" s="36" t="str">
        <x:v>high</x:v>
      </x:c>
      <x:c r="K381" s="72" t="n">
        <x:v>29.690418</x:v>
      </x:c>
      <x:c r="L381" s="72" t="n">
        <x:v>-95.2904739</x:v>
      </x:c>
      <x:c r="M381" s="72" t="n">
        <x:v>0.713</x:v>
      </x:c>
      <x:c r="N381" s="72" t="n">
        <x:v>0.021799974358665146</x:v>
      </x:c>
      <x:c r="O381" s="72" t="n">
        <x:v>13.174464995324366</x:v>
      </x:c>
      <x:c r="P381" s="72" t="n">
        <x:v>3</x:v>
      </x:c>
      <x:c r="Q381" s="72" t="n">
        <x:v>787.3477646117485</x:v>
      </x:c>
      <x:c r="R381" s="36" t="str">
        <x:v>tract internal point; no person, address, building, parcel, or route condition</x:v>
      </x:c>
    </x:row>
    <x:row r="382" ht="86.4000015258789" hidden="0" customHeight="1">
      <x:c r="A382" s="34" t="str">
        <x:v>48201333000</x:v>
      </x:c>
      <x:c r="B382" s="62" t="n">
        <x:v>3528</x:v>
      </x:c>
      <x:c r="C382" s="62" t="n">
        <x:v>368</x:v>
      </x:c>
      <x:c r="D382" s="62" t="n">
        <x:v>60</x:v>
      </x:c>
      <x:c r="E382" s="43" t="n">
        <x:v>0.10430839002267574</x:v>
      </x:c>
      <x:c r="F382" s="43" t="n">
        <x:v>0.017006802721088437</x:v>
      </x:c>
      <x:c r="G382" s="65" t="n">
        <x:v>1106</x:v>
      </x:c>
      <x:c r="H382" s="65" t="n">
        <x:v>30</x:v>
      </x:c>
      <x:c r="I382" s="65" t="n">
        <x:v>0.027124773960216998</x:v>
      </x:c>
      <x:c r="J382" s="34" t="str">
        <x:v>low</x:v>
      </x:c>
      <x:c r="K382" s="71" t="n">
        <x:v>29.6815377</x:v>
      </x:c>
      <x:c r="L382" s="71" t="n">
        <x:v>-95.2852604</x:v>
      </x:c>
      <x:c r="M382" s="71" t="n">
        <x:v>0.577</x:v>
      </x:c>
      <x:c r="N382" s="71" t="n">
        <x:v>0.04250989673654727</x:v>
      </x:c>
      <x:c r="O382" s="71" t="n">
        <x:v>14.769222520880573</x:v>
      </x:c>
      <x:c r="P382" s="71" t="n">
        <x:v>3</x:v>
      </x:c>
      <x:c r="Q382" s="71" t="n">
        <x:v>283.54018667606647</x:v>
      </x:c>
      <x:c r="R382" s="34" t="str">
        <x:v>tract internal point; no person, address, building, parcel, or route condition</x:v>
      </x:c>
    </x:row>
    <x:row r="383" ht="86.4000015258789" hidden="0" customHeight="1">
      <x:c r="A383" s="36" t="str">
        <x:v>48201333100</x:v>
      </x:c>
      <x:c r="B383" s="63" t="n">
        <x:v>3453</x:v>
      </x:c>
      <x:c r="C383" s="63" t="n">
        <x:v>478</x:v>
      </x:c>
      <x:c r="D383" s="63" t="n">
        <x:v>493.5</x:v>
      </x:c>
      <x:c r="E383" s="45" t="n">
        <x:v>0.1384303504199247</x:v>
      </x:c>
      <x:c r="F383" s="45" t="n">
        <x:v>0.1429192006950478</x:v>
      </x:c>
      <x:c r="G383" s="66" t="n">
        <x:v>1576</x:v>
      </x:c>
      <x:c r="H383" s="66" t="n">
        <x:v>408</x:v>
      </x:c>
      <x:c r="I383" s="66" t="n">
        <x:v>0.25888324873096447</x:v>
      </x:c>
      <x:c r="J383" s="36" t="str">
        <x:v>moderate</x:v>
      </x:c>
      <x:c r="K383" s="72" t="n">
        <x:v>29.6765273</x:v>
      </x:c>
      <x:c r="L383" s="72" t="n">
        <x:v>-95.2786693</x:v>
      </x:c>
      <x:c r="M383" s="72" t="n">
        <x:v>0.468</x:v>
      </x:c>
      <x:c r="N383" s="72" t="n">
        <x:v>0.03674276815570598</x:v>
      </x:c>
      <x:c r="O383" s="72" t="n">
        <x:v>15.592033431934208</x:v>
      </x:c>
      <x:c r="P383" s="72" t="n">
        <x:v>3</x:v>
      </x:c>
      <x:c r="Q383" s="72" t="n">
        <x:v>500.3061600078578</x:v>
      </x:c>
      <x:c r="R383" s="36" t="str">
        <x:v>tract internal point; no person, address, building, parcel, or route condition</x:v>
      </x:c>
    </x:row>
    <x:row r="384" ht="86.4000015258789" hidden="0" customHeight="1">
      <x:c r="A384" s="34" t="str">
        <x:v>48201333201</x:v>
      </x:c>
      <x:c r="B384" s="62" t="n">
        <x:v>5266</x:v>
      </x:c>
      <x:c r="C384" s="62" t="n">
        <x:v>435</x:v>
      </x:c>
      <x:c r="D384" s="62" t="n">
        <x:v>280.5</x:v>
      </x:c>
      <x:c r="E384" s="43" t="n">
        <x:v>0.08260539308773263</x:v>
      </x:c>
      <x:c r="F384" s="43" t="n">
        <x:v>0.05326623623243448</x:v>
      </x:c>
      <x:c r="G384" s="65" t="n">
        <x:v>2073</x:v>
      </x:c>
      <x:c r="H384" s="65" t="n">
        <x:v>268</x:v>
      </x:c>
      <x:c r="I384" s="65" t="n">
        <x:v>0.12928123492522914</x:v>
      </x:c>
      <x:c r="J384" s="34" t="str">
        <x:v>low</x:v>
      </x:c>
      <x:c r="K384" s="71" t="n">
        <x:v>29.6693964</x:v>
      </x:c>
      <x:c r="L384" s="71" t="n">
        <x:v>-95.2699523</x:v>
      </x:c>
      <x:c r="M384" s="71" t="n">
        <x:v>0.442</x:v>
      </x:c>
      <x:c r="N384" s="71" t="n">
        <x:v>0.04712179280120608</x:v>
      </x:c>
      <x:c r="O384" s="71" t="n">
        <x:v>16.492377051781407</x:v>
      </x:c>
      <x:c r="P384" s="71" t="n">
        <x:v>3</x:v>
      </x:c>
      <x:c r="Q384" s="71" t="n">
        <x:v>422.9249144897569</x:v>
      </x:c>
      <x:c r="R384" s="34" t="str">
        <x:v>tract internal point; no person, address, building, parcel, or route condition</x:v>
      </x:c>
    </x:row>
    <x:row r="385" ht="86.4000015258789" hidden="0" customHeight="1">
      <x:c r="A385" s="36" t="str">
        <x:v>48201333203</x:v>
      </x:c>
      <x:c r="B385" s="63" t="n">
        <x:v>2171</x:v>
      </x:c>
      <x:c r="C385" s="63" t="n">
        <x:v>287</x:v>
      </x:c>
      <x:c r="D385" s="63" t="n">
        <x:v>308</x:v>
      </x:c>
      <x:c r="E385" s="45" t="n">
        <x:v>0.1321971441731921</x:v>
      </x:c>
      <x:c r="F385" s="45" t="n">
        <x:v>0.14187010594196223</x:v>
      </x:c>
      <x:c r="G385" s="66" t="n">
        <x:v>1111</x:v>
      </x:c>
      <x:c r="H385" s="66" t="n">
        <x:v>165</x:v>
      </x:c>
      <x:c r="I385" s="66" t="n">
        <x:v>0.1485148514851485</x:v>
      </x:c>
      <x:c r="J385" s="36" t="str">
        <x:v>high</x:v>
      </x:c>
      <x:c r="K385" s="72" t="n">
        <x:v>29.6597943</x:v>
      </x:c>
      <x:c r="L385" s="72" t="n">
        <x:v>-95.2630572</x:v>
      </x:c>
      <x:c r="M385" s="72" t="n">
        <x:v>0.749</x:v>
      </x:c>
      <x:c r="N385" s="72" t="n">
        <x:v>0.01229068367458204</x:v>
      </x:c>
      <x:c r="O385" s="72" t="n">
        <x:v>16.455872807462438</x:v>
      </x:c>
      <x:c r="P385" s="72" t="n">
        <x:v>3</x:v>
      </x:c>
      <x:c r="Q385" s="72" t="n">
        <x:v>382.4420179765779</x:v>
      </x:c>
      <x:c r="R385" s="36" t="str">
        <x:v>tract internal point; no person, address, building, parcel, or route condition</x:v>
      </x:c>
    </x:row>
    <x:row r="386" ht="86.4000015258789" hidden="0" customHeight="1">
      <x:c r="A386" s="34" t="str">
        <x:v>48201333204</x:v>
      </x:c>
      <x:c r="B386" s="62" t="n">
        <x:v>2338</x:v>
      </x:c>
      <x:c r="C386" s="62" t="n">
        <x:v>97</x:v>
      </x:c>
      <x:c r="D386" s="62" t="n">
        <x:v>313</x:v>
      </x:c>
      <x:c r="E386" s="43" t="n">
        <x:v>0.04148845166809239</x:v>
      </x:c>
      <x:c r="F386" s="43" t="n">
        <x:v>0.13387510692899915</x:v>
      </x:c>
      <x:c r="G386" s="65" t="n">
        <x:v>914</x:v>
      </x:c>
      <x:c r="H386" s="65" t="n">
        <x:v>163</x:v>
      </x:c>
      <x:c r="I386" s="65" t="n">
        <x:v>0.17833698030634573</x:v>
      </x:c>
      <x:c r="J386" s="34" t="str">
        <x:v>low</x:v>
      </x:c>
      <x:c r="K386" s="71" t="n">
        <x:v>29.6596818</x:v>
      </x:c>
      <x:c r="L386" s="71" t="n">
        <x:v>-95.2745514</x:v>
      </x:c>
      <x:c r="M386" s="71" t="n">
        <x:v>0.063</x:v>
      </x:c>
      <x:c r="N386" s="71" t="n">
        <x:v>0.19388084781103349</x:v>
      </x:c>
      <x:c r="O386" s="71" t="n">
        <x:v>14.852140033722591</x:v>
      </x:c>
      <x:c r="P386" s="71" t="n">
        <x:v>3</x:v>
      </x:c>
      <x:c r="Q386" s="71" t="n">
        <x:v>187.74044902791883</x:v>
      </x:c>
      <x:c r="R386" s="34" t="str">
        <x:v>tract internal point; no person, address, building, parcel, or route condition</x:v>
      </x:c>
    </x:row>
    <x:row r="387" ht="86.4000015258789" hidden="0" customHeight="1">
      <x:c r="A387" s="36" t="str">
        <x:v>48201333205</x:v>
      </x:c>
      <x:c r="B387" s="63" t="n">
        <x:v>1384</x:v>
      </x:c>
      <x:c r="C387" s="63" t="n">
        <x:v>178</x:v>
      </x:c>
      <x:c r="D387" s="63" t="n">
        <x:v>159</x:v>
      </x:c>
      <x:c r="E387" s="45" t="n">
        <x:v>0.12861271676300579</x:v>
      </x:c>
      <x:c r="F387" s="45" t="n">
        <x:v>0.11488439306358382</x:v>
      </x:c>
      <x:c r="G387" s="66" t="n">
        <x:v>772</x:v>
      </x:c>
      <x:c r="H387" s="66" t="n">
        <x:v>323</x:v>
      </x:c>
      <x:c r="I387" s="66" t="n">
        <x:v>0.4183937823834197</x:v>
      </x:c>
      <x:c r="J387" s="36" t="str">
        <x:v>low</x:v>
      </x:c>
      <x:c r="K387" s="72" t="n">
        <x:v>29.6630381</x:v>
      </x:c>
      <x:c r="L387" s="72" t="n">
        <x:v>-95.2749989</x:v>
      </x:c>
      <x:c r="M387" s="72" t="n">
        <x:v>0.052</x:v>
      </x:c>
      <x:c r="N387" s="72" t="n">
        <x:v>0.010082712022984896</x:v>
      </x:c>
      <x:c r="O387" s="72" t="n">
        <x:v>14.932258953117923</x:v>
      </x:c>
      <x:c r="P387" s="72" t="n">
        <x:v>3</x:v>
      </x:c>
      <x:c r="Q387" s="72" t="n">
        <x:v>112.82346656322578</x:v>
      </x:c>
      <x:c r="R387" s="36" t="str">
        <x:v>tract internal point; no person, address, building, parcel, or route condition</x:v>
      </x:c>
    </x:row>
    <x:row r="388" ht="86.4000015258789" hidden="0" customHeight="1">
      <x:c r="A388" s="34" t="str">
        <x:v>48201333301</x:v>
      </x:c>
      <x:c r="B388" s="62" t="n">
        <x:v>4541</x:v>
      </x:c>
      <x:c r="C388" s="62" t="n">
        <x:v>832</x:v>
      </x:c>
      <x:c r="D388" s="62" t="n">
        <x:v>801</x:v>
      </x:c>
      <x:c r="E388" s="43" t="n">
        <x:v>0.18321955516406077</x:v>
      </x:c>
      <x:c r="F388" s="43" t="n">
        <x:v>0.17639286500770757</x:v>
      </x:c>
      <x:c r="G388" s="65" t="n">
        <x:v>2047</x:v>
      </x:c>
      <x:c r="H388" s="65" t="n">
        <x:v>719</x:v>
      </x:c>
      <x:c r="I388" s="65" t="n">
        <x:v>0.3512457254518808</x:v>
      </x:c>
      <x:c r="J388" s="34" t="str">
        <x:v>low</x:v>
      </x:c>
      <x:c r="K388" s="71" t="n">
        <x:v>29.6321549</x:v>
      </x:c>
      <x:c r="L388" s="71" t="n">
        <x:v>-95.2406195</x:v>
      </x:c>
      <x:c r="M388" s="71" t="n">
        <x:v>0.567</x:v>
      </x:c>
      <x:c r="N388" s="71" t="n">
        <x:v>0.07174528178461351</x:v>
      </x:c>
      <x:c r="O388" s="71" t="n">
        <x:v>15.857753995843028</x:v>
      </x:c>
      <x:c r="P388" s="71" t="n">
        <x:v>3</x:v>
      </x:c>
      <x:c r="Q388" s="71" t="n">
        <x:v>376.2747099766238</x:v>
      </x:c>
      <x:c r="R388" s="34" t="str">
        <x:v>tract internal point; no person, address, building, parcel, or route condition</x:v>
      </x:c>
    </x:row>
    <x:row r="389" ht="86.4000015258789" hidden="0" customHeight="1">
      <x:c r="A389" s="36" t="str">
        <x:v>48201333302</x:v>
      </x:c>
      <x:c r="B389" s="63" t="n">
        <x:v>3515</x:v>
      </x:c>
      <x:c r="C389" s="63" t="n">
        <x:v>717</x:v>
      </x:c>
      <x:c r="D389" s="63" t="n">
        <x:v>314</x:v>
      </x:c>
      <x:c r="E389" s="45" t="n">
        <x:v>0.20398293029871978</x:v>
      </x:c>
      <x:c r="F389" s="45" t="n">
        <x:v>0.08933143669985776</x:v>
      </x:c>
      <x:c r="G389" s="66" t="n">
        <x:v>1167</x:v>
      </x:c>
      <x:c r="H389" s="66" t="n">
        <x:v>100</x:v>
      </x:c>
      <x:c r="I389" s="66" t="n">
        <x:v>0.0856898029134533</x:v>
      </x:c>
      <x:c r="J389" s="36" t="str">
        <x:v>low</x:v>
      </x:c>
      <x:c r="K389" s="72" t="n">
        <x:v>29.6374862</x:v>
      </x:c>
      <x:c r="L389" s="72" t="n">
        <x:v>-95.2594602</x:v>
      </x:c>
      <x:c r="M389" s="72" t="n">
        <x:v>2.094</x:v>
      </x:c>
      <x:c r="N389" s="72" t="n">
        <x:v>0.05096405690463147</x:v>
      </x:c>
      <x:c r="O389" s="72" t="n">
        <x:v>17.40032071868625</x:v>
      </x:c>
      <x:c r="P389" s="72" t="n">
        <x:v>3</x:v>
      </x:c>
      <x:c r="Q389" s="72" t="n">
        <x:v>290.0007153779104</x:v>
      </x:c>
      <x:c r="R389" s="36" t="str">
        <x:v>tract internal point; no person, address, building, parcel, or route condition</x:v>
      </x:c>
    </x:row>
    <x:row r="390" ht="86.4000015258789" hidden="0" customHeight="1">
      <x:c r="A390" s="34" t="str">
        <x:v>48201333501</x:v>
      </x:c>
      <x:c r="B390" s="62" t="n">
        <x:v>3311</x:v>
      </x:c>
      <x:c r="C390" s="62" t="n">
        <x:v>316</x:v>
      </x:c>
      <x:c r="D390" s="62" t="n">
        <x:v>280</x:v>
      </x:c>
      <x:c r="E390" s="43" t="n">
        <x:v>0.09543944427665357</x:v>
      </x:c>
      <x:c r="F390" s="43" t="n">
        <x:v>0.08456659619450317</x:v>
      </x:c>
      <x:c r="G390" s="65" t="n">
        <x:v>1321</x:v>
      </x:c>
      <x:c r="H390" s="65" t="n">
        <x:v>275</x:v>
      </x:c>
      <x:c r="I390" s="65" t="n">
        <x:v>0.20817562452687358</x:v>
      </x:c>
      <x:c r="J390" s="34" t="str">
        <x:v>low</x:v>
      </x:c>
      <x:c r="K390" s="71" t="n">
        <x:v>29.6683005</x:v>
      </x:c>
      <x:c r="L390" s="71" t="n">
        <x:v>-95.2801569</x:v>
      </x:c>
      <x:c r="M390" s="71" t="n">
        <x:v>0.38</x:v>
      </x:c>
      <x:c r="N390" s="71" t="n">
        <x:v>0.13419487922327783</x:v>
      </x:c>
      <x:c r="O390" s="71" t="n">
        <x:v>15.10016656011988</x:v>
      </x:c>
      <x:c r="P390" s="71" t="n">
        <x:v>3</x:v>
      </x:c>
      <x:c r="Q390" s="71" t="n">
        <x:v>267.39672444542447</x:v>
      </x:c>
      <x:c r="R390" s="34" t="str">
        <x:v>tract internal point; no person, address, building, parcel, or route condition</x:v>
      </x:c>
    </x:row>
    <x:row r="391" ht="86.4000015258789" hidden="0" customHeight="1">
      <x:c r="A391" s="36" t="str">
        <x:v>48201333502</x:v>
      </x:c>
      <x:c r="B391" s="63" t="n">
        <x:v>2504</x:v>
      </x:c>
      <x:c r="C391" s="63" t="n">
        <x:v>149</x:v>
      </x:c>
      <x:c r="D391" s="63" t="n">
        <x:v>215</x:v>
      </x:c>
      <x:c r="E391" s="45" t="n">
        <x:v>0.05950479233226837</x:v>
      </x:c>
      <x:c r="F391" s="45" t="n">
        <x:v>0.08586261980830671</x:v>
      </x:c>
      <x:c r="G391" s="66" t="n">
        <x:v>862</x:v>
      </x:c>
      <x:c r="H391" s="66" t="n">
        <x:v>96</x:v>
      </x:c>
      <x:c r="I391" s="66" t="n">
        <x:v>0.11136890951276102</x:v>
      </x:c>
      <x:c r="J391" s="36" t="str">
        <x:v>low</x:v>
      </x:c>
      <x:c r="K391" s="72" t="n">
        <x:v>29.6670118</x:v>
      </x:c>
      <x:c r="L391" s="72" t="n">
        <x:v>-95.2847899</x:v>
      </x:c>
      <x:c r="M391" s="72" t="n">
        <x:v>0.35</x:v>
      </x:c>
      <x:c r="N391" s="72" t="n">
        <x:v>0.018853520348153324</x:v>
      </x:c>
      <x:c r="O391" s="72" t="n">
        <x:v>14.05200267211575</x:v>
      </x:c>
      <x:c r="P391" s="72" t="n">
        <x:v>3</x:v>
      </x:c>
      <x:c r="Q391" s="72" t="n">
        <x:v>200.8344159589069</x:v>
      </x:c>
      <x:c r="R391" s="36" t="str">
        <x:v>tract internal point; no person, address, building, parcel, or route condition</x:v>
      </x:c>
    </x:row>
    <x:row r="392" ht="86.4000015258789" hidden="0" customHeight="1">
      <x:c r="A392" s="34" t="str">
        <x:v>48201333600</x:v>
      </x:c>
      <x:c r="B392" s="62" t="n">
        <x:v>3219</x:v>
      </x:c>
      <x:c r="C392" s="62" t="n">
        <x:v>278</x:v>
      </x:c>
      <x:c r="D392" s="62" t="n">
        <x:v>33</x:v>
      </x:c>
      <x:c r="E392" s="43" t="n">
        <x:v>0.08636222429325878</x:v>
      </x:c>
      <x:c r="F392" s="43" t="n">
        <x:v>0.010251630941286114</x:v>
      </x:c>
      <x:c r="G392" s="65" t="n">
        <x:v>1114</x:v>
      </x:c>
      <x:c r="H392" s="65" t="n">
        <x:v>0</x:v>
      </x:c>
      <x:c r="I392" s="65" t="n">
        <x:v>0</x:v>
      </x:c>
      <x:c r="J392" s="34" t="str">
        <x:v>low</x:v>
      </x:c>
      <x:c r="K392" s="71" t="n">
        <x:v>29.6589549</x:v>
      </x:c>
      <x:c r="L392" s="71" t="n">
        <x:v>-95.2992029</x:v>
      </x:c>
      <x:c r="M392" s="71" t="n">
        <x:v>1.426</x:v>
      </x:c>
      <x:c r="N392" s="71" t="n">
        <x:v>0.15128397767813337</x:v>
      </x:c>
      <x:c r="O392" s="71" t="n">
        <x:v>14.554726057189052</x:v>
      </x:c>
      <x:c r="P392" s="71" t="n">
        <x:v>3</x:v>
      </x:c>
      <x:c r="Q392" s="71" t="n">
        <x:v>257.6273361529765</x:v>
      </x:c>
      <x:c r="R392" s="34" t="str">
        <x:v>tract internal point; no person, address, building, parcel, or route condition</x:v>
      </x:c>
    </x:row>
    <x:row r="393" ht="86.4000015258789" hidden="0" customHeight="1">
      <x:c r="A393" s="36" t="str">
        <x:v>48201333700</x:v>
      </x:c>
      <x:c r="B393" s="63" t="n">
        <x:v>4138</x:v>
      </x:c>
      <x:c r="C393" s="63" t="n">
        <x:v>473</x:v>
      </x:c>
      <x:c r="D393" s="63" t="n">
        <x:v>13</x:v>
      </x:c>
      <x:c r="E393" s="45" t="n">
        <x:v>0.11430642822619623</x:v>
      </x:c>
      <x:c r="F393" s="45" t="n">
        <x:v>0.003141614306428226</x:v>
      </x:c>
      <x:c r="G393" s="66" t="n">
        <x:v>1358</x:v>
      </x:c>
      <x:c r="H393" s="66" t="n">
        <x:v>0</x:v>
      </x:c>
      <x:c r="I393" s="66" t="n">
        <x:v>0</x:v>
      </x:c>
      <x:c r="J393" s="36" t="str">
        <x:v>low</x:v>
      </x:c>
      <x:c r="K393" s="72" t="n">
        <x:v>29.6312779</x:v>
      </x:c>
      <x:c r="L393" s="72" t="n">
        <x:v>-95.2926173</x:v>
      </x:c>
      <x:c r="M393" s="72" t="n">
        <x:v>3.454</x:v>
      </x:c>
      <x:c r="N393" s="72" t="n">
        <x:v>0.2979642680674088</x:v>
      </x:c>
      <x:c r="O393" s="72" t="n">
        <x:v>11.409341689424368</x:v>
      </x:c>
      <x:c r="P393" s="72" t="n">
        <x:v>3</x:v>
      </x:c>
      <x:c r="Q393" s="72" t="n">
        <x:v>332.76438528877856</x:v>
      </x:c>
      <x:c r="R393" s="36" t="str">
        <x:v>tract internal point; no person, address, building, parcel, or route condition</x:v>
      </x:c>
    </x:row>
    <x:row r="394" ht="86.4000015258789" hidden="0" customHeight="1">
      <x:c r="A394" s="34" t="str">
        <x:v>48201333801</x:v>
      </x:c>
      <x:c r="B394" s="62" t="n">
        <x:v>4084</x:v>
      </x:c>
      <x:c r="C394" s="62" t="n">
        <x:v>279</x:v>
      </x:c>
      <x:c r="D394" s="62" t="n">
        <x:v>0</x:v>
      </x:c>
      <x:c r="E394" s="43" t="n">
        <x:v>0.06831537708129284</x:v>
      </x:c>
      <x:c r="F394" s="43" t="n">
        <x:v>0</x:v>
      </x:c>
      <x:c r="G394" s="65" t="n">
        <x:v>1332</x:v>
      </x:c>
      <x:c r="H394" s="65" t="n">
        <x:v>356</x:v>
      </x:c>
      <x:c r="I394" s="65" t="n">
        <x:v>0.2672672672672673</x:v>
      </x:c>
      <x:c r="J394" s="34" t="str">
        <x:v>low</x:v>
      </x:c>
      <x:c r="K394" s="71" t="n">
        <x:v>29.6177853</x:v>
      </x:c>
      <x:c r="L394" s="71" t="n">
        <x:v>-95.2911513</x:v>
      </x:c>
      <x:c r="M394" s="71" t="n">
        <x:v>1.986</x:v>
      </x:c>
      <x:c r="N394" s="71" t="n">
        <x:v>0.11414537990591542</x:v>
      </x:c>
      <x:c r="O394" s="71" t="n">
        <x:v>9.602754495180852</x:v>
      </x:c>
      <x:c r="P394" s="71" t="n">
        <x:v>3</x:v>
      </x:c>
      <x:c r="Q394" s="71" t="n">
        <x:v>325.368573234721</x:v>
      </x:c>
      <x:c r="R394" s="34" t="str">
        <x:v>tract internal point; no person, address, building, parcel, or route condition</x:v>
      </x:c>
    </x:row>
    <x:row r="395" ht="86.4000015258789" hidden="0" customHeight="1">
      <x:c r="A395" s="36" t="str">
        <x:v>48201333802</x:v>
      </x:c>
      <x:c r="B395" s="63" t="n">
        <x:v>6105</x:v>
      </x:c>
      <x:c r="C395" s="63" t="n">
        <x:v>390</x:v>
      </x:c>
      <x:c r="D395" s="63" t="n">
        <x:v>314</x:v>
      </x:c>
      <x:c r="E395" s="45" t="n">
        <x:v>0.06388206388206388</x:v>
      </x:c>
      <x:c r="F395" s="45" t="n">
        <x:v>0.051433251433251434</x:v>
      </x:c>
      <x:c r="G395" s="66" t="n">
        <x:v>1996</x:v>
      </x:c>
      <x:c r="H395" s="66" t="n">
        <x:v>12</x:v>
      </x:c>
      <x:c r="I395" s="66" t="n">
        <x:v>0.006012024048096192</x:v>
      </x:c>
      <x:c r="J395" s="36" t="str">
        <x:v>low</x:v>
      </x:c>
      <x:c r="K395" s="72" t="n">
        <x:v>29.6121982</x:v>
      </x:c>
      <x:c r="L395" s="72" t="n">
        <x:v>-95.2732798</x:v>
      </x:c>
      <x:c r="M395" s="72" t="n">
        <x:v>1.312</x:v>
      </x:c>
      <x:c r="N395" s="72" t="n">
        <x:v>0.06663327211134397</x:v>
      </x:c>
      <x:c r="O395" s="72" t="n">
        <x:v>9.769148677492415</x:v>
      </x:c>
      <x:c r="P395" s="72" t="n">
        <x:v>3</x:v>
      </x:c>
      <x:c r="Q395" s="72" t="n">
        <x:v>488.42225747858595</x:v>
      </x:c>
      <x:c r="R395" s="36" t="str">
        <x:v>tract internal point; no person, address, building, parcel, or route condition</x:v>
      </x:c>
    </x:row>
    <x:row r="396" ht="86.4000015258789" hidden="0" customHeight="1">
      <x:c r="A396" s="34" t="str">
        <x:v>48201333903</x:v>
      </x:c>
      <x:c r="B396" s="62" t="n">
        <x:v>3720</x:v>
      </x:c>
      <x:c r="C396" s="62" t="n">
        <x:v>264</x:v>
      </x:c>
      <x:c r="D396" s="62" t="n">
        <x:v>99</x:v>
      </x:c>
      <x:c r="E396" s="43" t="n">
        <x:v>0.07096774193548387</x:v>
      </x:c>
      <x:c r="F396" s="43" t="n">
        <x:v>0.02661290322580645</x:v>
      </x:c>
      <x:c r="G396" s="65" t="n">
        <x:v>1430</x:v>
      </x:c>
      <x:c r="H396" s="65" t="n">
        <x:v>191</x:v>
      </x:c>
      <x:c r="I396" s="65" t="n">
        <x:v>0.13356643356643358</x:v>
      </x:c>
      <x:c r="J396" s="34" t="str">
        <x:v>low</x:v>
      </x:c>
      <x:c r="K396" s="71" t="n">
        <x:v>29.6217835</x:v>
      </x:c>
      <x:c r="L396" s="71" t="n">
        <x:v>-95.237683</x:v>
      </x:c>
      <x:c r="M396" s="71" t="n">
        <x:v>0.73</x:v>
      </x:c>
      <x:c r="N396" s="71" t="n">
        <x:v>0.03402498358856006</x:v>
      </x:c>
      <x:c r="O396" s="71" t="n">
        <x:v>14.795101560674022</x:v>
      </x:c>
      <x:c r="P396" s="71" t="n">
        <x:v>3</x:v>
      </x:c>
      <x:c r="Q396" s="71" t="n">
        <x:v>297.3022131443498</x:v>
      </x:c>
      <x:c r="R396" s="34" t="str">
        <x:v>tract internal point; no person, address, building, parcel, or route condition</x:v>
      </x:c>
    </x:row>
    <x:row r="397" ht="86.4000015258789" hidden="0" customHeight="1">
      <x:c r="A397" s="36" t="str">
        <x:v>48201333904</x:v>
      </x:c>
      <x:c r="B397" s="63" t="n">
        <x:v>6261</x:v>
      </x:c>
      <x:c r="C397" s="63" t="n">
        <x:v>868</x:v>
      </x:c>
      <x:c r="D397" s="63" t="n">
        <x:v>247.5</x:v>
      </x:c>
      <x:c r="E397" s="45" t="n">
        <x:v>0.13863600063887557</x:v>
      </x:c>
      <x:c r="F397" s="45" t="n">
        <x:v>0.03953042644944897</x:v>
      </x:c>
      <x:c r="G397" s="66" t="n">
        <x:v>2249</x:v>
      </x:c>
      <x:c r="H397" s="66" t="n">
        <x:v>519</x:v>
      </x:c>
      <x:c r="I397" s="66" t="n">
        <x:v>0.23076923076923078</x:v>
      </x:c>
      <x:c r="J397" s="36" t="str">
        <x:v>moderate</x:v>
      </x:c>
      <x:c r="K397" s="72" t="n">
        <x:v>29.6150432</x:v>
      </x:c>
      <x:c r="L397" s="72" t="n">
        <x:v>-95.2482191</x:v>
      </x:c>
      <x:c r="M397" s="72" t="n">
        <x:v>0.806</x:v>
      </x:c>
      <x:c r="N397" s="72" t="n">
        <x:v>0.17390009423715636</x:v>
      </x:c>
      <x:c r="O397" s="72" t="n">
        <x:v>12.281458996025773</x:v>
      </x:c>
      <x:c r="P397" s="72" t="n">
        <x:v>3</x:v>
      </x:c>
      <x:c r="Q397" s="72" t="n">
        <x:v>898.1927471606766</x:v>
      </x:c>
      <x:c r="R397" s="36" t="str">
        <x:v>tract internal point; no person, address, building, parcel, or route condition</x:v>
      </x:c>
    </x:row>
    <x:row r="398" ht="86.4000015258789" hidden="0" customHeight="1">
      <x:c r="A398" s="34" t="str">
        <x:v>48201333905</x:v>
      </x:c>
      <x:c r="B398" s="62" t="n">
        <x:v>3448</x:v>
      </x:c>
      <x:c r="C398" s="62" t="n">
        <x:v>463</x:v>
      </x:c>
      <x:c r="D398" s="62" t="n">
        <x:v>67.5</x:v>
      </x:c>
      <x:c r="E398" s="43" t="n">
        <x:v>0.13428074245939675</x:v>
      </x:c>
      <x:c r="F398" s="43" t="n">
        <x:v>0.01957656612529002</x:v>
      </x:c>
      <x:c r="G398" s="65" t="n">
        <x:v>1182</x:v>
      </x:c>
      <x:c r="H398" s="65" t="n">
        <x:v>0</x:v>
      </x:c>
      <x:c r="I398" s="65" t="n">
        <x:v>0</x:v>
      </x:c>
      <x:c r="J398" s="34" t="str">
        <x:v>low</x:v>
      </x:c>
      <x:c r="K398" s="71" t="n">
        <x:v>29.6191775</x:v>
      </x:c>
      <x:c r="L398" s="71" t="n">
        <x:v>-95.2599372</x:v>
      </x:c>
      <x:c r="M398" s="71" t="n">
        <x:v>1.103</x:v>
      </x:c>
      <x:c r="N398" s="71" t="n">
        <x:v>0.089536095450666</x:v>
      </x:c>
      <x:c r="O398" s="71" t="n">
        <x:v>13.361508423165489</x:v>
      </x:c>
      <x:c r="P398" s="71" t="n">
        <x:v>3</x:v>
      </x:c>
      <x:c r="Q398" s="71" t="n">
        <x:v>278.80482348523793</x:v>
      </x:c>
      <x:c r="R398" s="34" t="str">
        <x:v>tract internal point; no person, address, building, parcel, or route condition</x:v>
      </x:c>
    </x:row>
    <x:row r="399" ht="86.4000015258789" hidden="0" customHeight="1">
      <x:c r="A399" s="36" t="str">
        <x:v>48201333906</x:v>
      </x:c>
      <x:c r="B399" s="63" t="n">
        <x:v>5712</x:v>
      </x:c>
      <x:c r="C399" s="63" t="n">
        <x:v>439</x:v>
      </x:c>
      <x:c r="D399" s="63" t="n">
        <x:v>54</x:v>
      </x:c>
      <x:c r="E399" s="45" t="n">
        <x:v>0.07685574229691877</x:v>
      </x:c>
      <x:c r="F399" s="45" t="n">
        <x:v>0.009453781512605041</x:v>
      </x:c>
      <x:c r="G399" s="66" t="n">
        <x:v>1554</x:v>
      </x:c>
      <x:c r="H399" s="66" t="n">
        <x:v>0</x:v>
      </x:c>
      <x:c r="I399" s="66" t="n">
        <x:v>0</x:v>
      </x:c>
      <x:c r="J399" s="36" t="str">
        <x:v>low</x:v>
      </x:c>
      <x:c r="K399" s="72" t="n">
        <x:v>29.6056656</x:v>
      </x:c>
      <x:c r="L399" s="72" t="n">
        <x:v>-95.2580461</x:v>
      </x:c>
      <x:c r="M399" s="72" t="n">
        <x:v>0.765</x:v>
      </x:c>
      <x:c r="N399" s="72" t="n">
        <x:v>0.03551588075615439</x:v>
      </x:c>
      <x:c r="O399" s="72" t="n">
        <x:v>10.555229751425987</x:v>
      </x:c>
      <x:c r="P399" s="72" t="n">
        <x:v>3</x:v>
      </x:c>
      <x:c r="Q399" s="72" t="n">
        <x:v>456.2610854007929</x:v>
      </x:c>
      <x:c r="R399" s="36" t="str">
        <x:v>tract internal point; no person, address, building, parcel, or route condition</x:v>
      </x:c>
    </x:row>
    <x:row r="400" ht="86.4000015258789" hidden="0" customHeight="1">
      <x:c r="A400" s="34" t="str">
        <x:v>48201334001</x:v>
      </x:c>
      <x:c r="B400" s="62" t="n">
        <x:v>2880</x:v>
      </x:c>
      <x:c r="C400" s="62" t="n">
        <x:v>532</x:v>
      </x:c>
      <x:c r="D400" s="62" t="n">
        <x:v>262</x:v>
      </x:c>
      <x:c r="E400" s="43" t="n">
        <x:v>0.18472222222222223</x:v>
      </x:c>
      <x:c r="F400" s="43" t="n">
        <x:v>0.09097222222222222</x:v>
      </x:c>
      <x:c r="G400" s="65" t="n">
        <x:v>1252</x:v>
      </x:c>
      <x:c r="H400" s="65" t="n">
        <x:v>196</x:v>
      </x:c>
      <x:c r="I400" s="65" t="n">
        <x:v>0.15654952076677317</x:v>
      </x:c>
      <x:c r="J400" s="34" t="str">
        <x:v>low</x:v>
      </x:c>
      <x:c r="K400" s="71" t="n">
        <x:v>29.6164272</x:v>
      </x:c>
      <x:c r="L400" s="71" t="n">
        <x:v>-95.2262094</x:v>
      </x:c>
      <x:c r="M400" s="71" t="n">
        <x:v>0.516</x:v>
      </x:c>
      <x:c r="N400" s="71" t="n">
        <x:v>0.09793273161747876</x:v>
      </x:c>
      <x:c r="O400" s="71" t="n">
        <x:v>14.005305353975311</x:v>
      </x:c>
      <x:c r="P400" s="71" t="n">
        <x:v>3</x:v>
      </x:c>
      <x:c r="Q400" s="71" t="n">
        <x:v>236.77601906539465</x:v>
      </x:c>
      <x:c r="R400" s="34" t="str">
        <x:v>tract internal point; no person, address, building, parcel, or route condition</x:v>
      </x:c>
    </x:row>
    <x:row r="401" ht="86.4000015258789" hidden="0" customHeight="1">
      <x:c r="A401" s="36" t="str">
        <x:v>48201334002</x:v>
      </x:c>
      <x:c r="B401" s="63" t="n">
        <x:v>2303</x:v>
      </x:c>
      <x:c r="C401" s="63" t="n">
        <x:v>171</x:v>
      </x:c>
      <x:c r="D401" s="63" t="n">
        <x:v>0</x:v>
      </x:c>
      <x:c r="E401" s="45" t="n">
        <x:v>0.07425097698653929</x:v>
      </x:c>
      <x:c r="F401" s="45" t="n">
        <x:v>0</x:v>
      </x:c>
      <x:c r="G401" s="66" t="n">
        <x:v>1206</x:v>
      </x:c>
      <x:c r="H401" s="66" t="n">
        <x:v>633</x:v>
      </x:c>
      <x:c r="I401" s="66" t="n">
        <x:v>0.5248756218905473</x:v>
      </x:c>
      <x:c r="J401" s="36" t="str">
        <x:v>moderate</x:v>
      </x:c>
      <x:c r="K401" s="72" t="n">
        <x:v>29.6084085</x:v>
      </x:c>
      <x:c r="L401" s="72" t="n">
        <x:v>-95.2143178</x:v>
      </x:c>
      <x:c r="M401" s="72" t="n">
        <x:v>0.512</x:v>
      </x:c>
      <x:c r="N401" s="72" t="n">
        <x:v>0.10514320282094125</x:v>
      </x:c>
      <x:c r="O401" s="72" t="n">
        <x:v>12.970999365537915</x:v>
      </x:c>
      <x:c r="P401" s="72" t="n">
        <x:v>3</x:v>
      </x:c>
      <x:c r="Q401" s="72" t="n">
        <x:v>324.99494355684914</x:v>
      </x:c>
      <x:c r="R401" s="36" t="str">
        <x:v>tract internal point; no person, address, building, parcel, or route condition</x:v>
      </x:c>
    </x:row>
    <x:row r="402" ht="86.4000015258789" hidden="0" customHeight="1">
      <x:c r="A402" s="34" t="str">
        <x:v>48201334003</x:v>
      </x:c>
      <x:c r="B402" s="62" t="n">
        <x:v>5903</x:v>
      </x:c>
      <x:c r="C402" s="62" t="n">
        <x:v>558</x:v>
      </x:c>
      <x:c r="D402" s="62" t="n">
        <x:v>550</x:v>
      </x:c>
      <x:c r="E402" s="43" t="n">
        <x:v>0.0945282059969507</x:v>
      </x:c>
      <x:c r="F402" s="43" t="n">
        <x:v>0.09317296290022023</x:v>
      </x:c>
      <x:c r="G402" s="65" t="n">
        <x:v>2387</x:v>
      </x:c>
      <x:c r="H402" s="65" t="n">
        <x:v>429</x:v>
      </x:c>
      <x:c r="I402" s="65" t="n">
        <x:v>0.17972350230414746</x:v>
      </x:c>
      <x:c r="J402" s="34" t="str">
        <x:v>moderate</x:v>
      </x:c>
      <x:c r="K402" s="71" t="n">
        <x:v>29.6051658</x:v>
      </x:c>
      <x:c r="L402" s="71" t="n">
        <x:v>-95.2300861</x:v>
      </x:c>
      <x:c r="M402" s="71" t="n">
        <x:v>1.067</x:v>
      </x:c>
      <x:c r="N402" s="71" t="n">
        <x:v>0.12013062497147584</x:v>
      </x:c>
      <x:c r="O402" s="71" t="n">
        <x:v>12.033505590243609</x:v>
      </x:c>
      <x:c r="P402" s="71" t="n">
        <x:v>3</x:v>
      </x:c>
      <x:c r="Q402" s="71" t="n">
        <x:v>843.9967950593237</x:v>
      </x:c>
      <x:c r="R402" s="34" t="str">
        <x:v>tract internal point; no person, address, building, parcel, or route condition</x:v>
      </x:c>
    </x:row>
    <x:row r="403" ht="86.4000015258789" hidden="0" customHeight="1">
      <x:c r="A403" s="36" t="str">
        <x:v>48201334101</x:v>
      </x:c>
      <x:c r="B403" s="63" t="n">
        <x:v>9558</x:v>
      </x:c>
      <x:c r="C403" s="63" t="n">
        <x:v>698</x:v>
      </x:c>
      <x:c r="D403" s="63" t="n">
        <x:v>390</x:v>
      </x:c>
      <x:c r="E403" s="45" t="n">
        <x:v>0.07302783008997699</x:v>
      </x:c>
      <x:c r="F403" s="45" t="n">
        <x:v>0.04080351537978657</x:v>
      </x:c>
      <x:c r="G403" s="66" t="n">
        <x:v>5522</x:v>
      </x:c>
      <x:c r="H403" s="66" t="n">
        <x:v>2886</x:v>
      </x:c>
      <x:c r="I403" s="66" t="n">
        <x:v>0.5226367258239768</x:v>
      </x:c>
      <x:c r="J403" s="36" t="str">
        <x:v>low</x:v>
      </x:c>
      <x:c r="K403" s="72" t="n">
        <x:v>29.6624999</x:v>
      </x:c>
      <x:c r="L403" s="72" t="n">
        <x:v>-95.39349</x:v>
      </x:c>
      <x:c r="M403" s="72" t="n">
        <x:v>6.001</x:v>
      </x:c>
      <x:c r="N403" s="72" t="n">
        <x:v>0.5500310872763099</x:v>
      </x:c>
      <x:c r="O403" s="72" t="n">
        <x:v>7.17085284067765</x:v>
      </x:c>
      <x:c r="P403" s="72" t="n">
        <x:v>3</x:v>
      </x:c>
      <x:c r="Q403" s="72" t="n">
        <x:v>765.2504106858264</x:v>
      </x:c>
      <x:c r="R403" s="36" t="str">
        <x:v>tract internal point; no person, address, building, parcel, or route condition</x:v>
      </x:c>
    </x:row>
    <x:row r="404" ht="86.4000015258789" hidden="0" customHeight="1">
      <x:c r="A404" s="34" t="str">
        <x:v>48201334102</x:v>
      </x:c>
      <x:c r="B404" s="62" t="n">
        <x:v>6673</x:v>
      </x:c>
      <x:c r="C404" s="62" t="n">
        <x:v>1325</x:v>
      </x:c>
      <x:c r="D404" s="62" t="n">
        <x:v>210</x:v>
      </x:c>
      <x:c r="E404" s="43" t="n">
        <x:v>0.19856136670163343</x:v>
      </x:c>
      <x:c r="F404" s="43" t="n">
        <x:v>0.03147010340176832</x:v>
      </x:c>
      <x:c r="G404" s="65" t="n">
        <x:v>2533</x:v>
      </x:c>
      <x:c r="H404" s="65" t="n">
        <x:v>187</x:v>
      </x:c>
      <x:c r="I404" s="65" t="n">
        <x:v>0.0738255033557047</x:v>
      </x:c>
      <x:c r="J404" s="34" t="str">
        <x:v>low</x:v>
      </x:c>
      <x:c r="K404" s="71" t="n">
        <x:v>29.6473393</x:v>
      </x:c>
      <x:c r="L404" s="71" t="n">
        <x:v>-95.4314349</x:v>
      </x:c>
      <x:c r="M404" s="71" t="n">
        <x:v>4.635</x:v>
      </x:c>
      <x:c r="N404" s="71" t="n">
        <x:v>0.09377347724341713</x:v>
      </x:c>
      <x:c r="O404" s="71" t="n">
        <x:v>11.819703879825315</x:v>
      </x:c>
      <x:c r="P404" s="71" t="n">
        <x:v>3</x:v>
      </x:c>
      <x:c r="Q404" s="71" t="n">
        <x:v>546.9442729456553</x:v>
      </x:c>
      <x:c r="R404" s="34" t="str">
        <x:v>tract internal point; no person, address, building, parcel, or route condition</x:v>
      </x:c>
    </x:row>
    <x:row r="405" ht="86.4000015258789" hidden="0" customHeight="1">
      <x:c r="A405" s="36" t="str">
        <x:v>48201340101</x:v>
      </x:c>
      <x:c r="B405" s="63" t="n">
        <x:v>1581</x:v>
      </x:c>
      <x:c r="C405" s="63" t="n">
        <x:v>174</x:v>
      </x:c>
      <x:c r="D405" s="63" t="n">
        <x:v>41</x:v>
      </x:c>
      <x:c r="E405" s="45" t="n">
        <x:v>0.11005692599620494</x:v>
      </x:c>
      <x:c r="F405" s="45" t="n">
        <x:v>0.025932953826691967</x:v>
      </x:c>
      <x:c r="G405" s="66" t="n">
        <x:v>900</x:v>
      </x:c>
      <x:c r="H405" s="66" t="n">
        <x:v>466</x:v>
      </x:c>
      <x:c r="I405" s="66" t="n">
        <x:v>0.5177777777777778</x:v>
      </x:c>
      <x:c r="J405" s="36" t="str">
        <x:v>low</x:v>
      </x:c>
      <x:c r="K405" s="72" t="n">
        <x:v>29.5841992</x:v>
      </x:c>
      <x:c r="L405" s="72" t="n">
        <x:v>-95.176149</x:v>
      </x:c>
      <x:c r="M405" s="72" t="n">
        <x:v>1.536</x:v>
      </x:c>
      <x:c r="N405" s="72" t="n">
        <x:v>0.23915560284399273</x:v>
      </x:c>
      <x:c r="O405" s="72" t="n">
        <x:v>16.131681707742118</x:v>
      </x:c>
      <x:c r="P405" s="72" t="n">
        <x:v>3</x:v>
      </x:c>
      <x:c r="Q405" s="72" t="n">
        <x:v>127.31642876054995</x:v>
      </x:c>
      <x:c r="R405" s="36" t="str">
        <x:v>tract internal point; no person, address, building, parcel, or route condition</x:v>
      </x:c>
    </x:row>
    <x:row r="406" ht="86.4000015258789" hidden="0" customHeight="1">
      <x:c r="A406" s="34" t="str">
        <x:v>48201340102</x:v>
      </x:c>
      <x:c r="B406" s="62" t="n">
        <x:v>5498</x:v>
      </x:c>
      <x:c r="C406" s="62" t="n">
        <x:v>452</x:v>
      </x:c>
      <x:c r="D406" s="62" t="n">
        <x:v>206</x:v>
      </x:c>
      <x:c r="E406" s="43" t="n">
        <x:v>0.0822117133503092</x:v>
      </x:c>
      <x:c r="F406" s="43" t="n">
        <x:v>0.037468170243724994</x:v>
      </x:c>
      <x:c r="G406" s="65" t="n">
        <x:v>1904</x:v>
      </x:c>
      <x:c r="H406" s="65" t="n">
        <x:v>279</x:v>
      </x:c>
      <x:c r="I406" s="65" t="n">
        <x:v>0.14653361344537816</x:v>
      </x:c>
      <x:c r="J406" s="34" t="str">
        <x:v>moderate</x:v>
      </x:c>
      <x:c r="K406" s="71" t="n">
        <x:v>29.5988878</x:v>
      </x:c>
      <x:c r="L406" s="71" t="n">
        <x:v>-95.1904393</x:v>
      </x:c>
      <x:c r="M406" s="71" t="n">
        <x:v>1.716</x:v>
      </x:c>
      <x:c r="N406" s="71" t="n">
        <x:v>0.4080865594077809</x:v>
      </x:c>
      <x:c r="O406" s="71" t="n">
        <x:v>18.335487915295264</x:v>
      </x:c>
      <x:c r="P406" s="71" t="n">
        <x:v>3</x:v>
      </x:c>
      <x:c r="Q406" s="71" t="n">
        <x:v>779.948929663857</x:v>
      </x:c>
      <x:c r="R406" s="34" t="str">
        <x:v>tract internal point; no person, address, building, parcel, or route condition</x:v>
      </x:c>
    </x:row>
    <x:row r="407" ht="86.4000015258789" hidden="0" customHeight="1">
      <x:c r="A407" s="36" t="str">
        <x:v>48201340202</x:v>
      </x:c>
      <x:c r="B407" s="63" t="n">
        <x:v>8505</x:v>
      </x:c>
      <x:c r="C407" s="63" t="n">
        <x:v>367</x:v>
      </x:c>
      <x:c r="D407" s="63" t="n">
        <x:v>34</x:v>
      </x:c>
      <x:c r="E407" s="45" t="n">
        <x:v>0.04315108759553204</x:v>
      </x:c>
      <x:c r="F407" s="45" t="n">
        <x:v>0.003997648442092887</x:v>
      </x:c>
      <x:c r="G407" s="66" t="n">
        <x:v>3165</x:v>
      </x:c>
      <x:c r="H407" s="66" t="n">
        <x:v>95</x:v>
      </x:c>
      <x:c r="I407" s="66" t="n">
        <x:v>0.030015797788309637</x:v>
      </x:c>
      <x:c r="J407" s="36" t="str">
        <x:v>low</x:v>
      </x:c>
      <x:c r="K407" s="72" t="n">
        <x:v>29.6133268</x:v>
      </x:c>
      <x:c r="L407" s="72" t="n">
        <x:v>-95.1398275</x:v>
      </x:c>
      <x:c r="M407" s="72" t="n">
        <x:v>6.294</x:v>
      </x:c>
      <x:c r="N407" s="72" t="n">
        <x:v>0.33143576483302434</x:v>
      </x:c>
      <x:c r="O407" s="72" t="n">
        <x:v>23.617831759161863</x:v>
      </x:c>
      <x:c r="P407" s="72" t="n">
        <x:v>3</x:v>
      </x:c>
      <x:c r="Q407" s="72" t="n">
        <x:v>674.4886279012825</x:v>
      </x:c>
      <x:c r="R407" s="36" t="str">
        <x:v>tract internal point; no person, address, building, parcel, or route condition</x:v>
      </x:c>
    </x:row>
    <x:row r="408" ht="86.4000015258789" hidden="0" customHeight="1">
      <x:c r="A408" s="34" t="str">
        <x:v>48201340203</x:v>
      </x:c>
      <x:c r="B408" s="62" t="n">
        <x:v>4599</x:v>
      </x:c>
      <x:c r="C408" s="62" t="n">
        <x:v>626</x:v>
      </x:c>
      <x:c r="D408" s="62" t="n">
        <x:v>0</x:v>
      </x:c>
      <x:c r="E408" s="43" t="n">
        <x:v>0.13611654707545118</x:v>
      </x:c>
      <x:c r="F408" s="43" t="n">
        <x:v>0</x:v>
      </x:c>
      <x:c r="G408" s="65" t="n">
        <x:v>2176</x:v>
      </x:c>
      <x:c r="H408" s="65" t="n">
        <x:v>460</x:v>
      </x:c>
      <x:c r="I408" s="65" t="n">
        <x:v>0.2113970588235294</x:v>
      </x:c>
      <x:c r="J408" s="34" t="str">
        <x:v>high</x:v>
      </x:c>
      <x:c r="K408" s="71" t="n">
        <x:v>29.6056093</x:v>
      </x:c>
      <x:c r="L408" s="71" t="n">
        <x:v>-95.0982475</x:v>
      </x:c>
      <x:c r="M408" s="71" t="n">
        <x:v>4.41</x:v>
      </x:c>
      <x:c r="N408" s="71" t="n">
        <x:v>0.09555268360923455</x:v>
      </x:c>
      <x:c r="O408" s="71" t="n">
        <x:v>29.02145787051467</x:v>
      </x:c>
      <x:c r="P408" s="71" t="n">
        <x:v>3</x:v>
      </x:c>
      <x:c r="Q408" s="71" t="n">
        <x:v>799.7222828102646</x:v>
      </x:c>
      <x:c r="R408" s="34" t="str">
        <x:v>tract internal point; no person, address, building, parcel, or route condition</x:v>
      </x:c>
    </x:row>
    <x:row r="409" ht="86.4000015258789" hidden="0" customHeight="1">
      <x:c r="A409" s="36" t="str">
        <x:v>48201340301</x:v>
      </x:c>
      <x:c r="B409" s="63" t="n">
        <x:v>3519</x:v>
      </x:c>
      <x:c r="C409" s="63" t="n">
        <x:v>320</x:v>
      </x:c>
      <x:c r="D409" s="63" t="n">
        <x:v>0</x:v>
      </x:c>
      <x:c r="E409" s="45" t="n">
        <x:v>0.09093492469451549</x:v>
      </x:c>
      <x:c r="F409" s="45" t="n">
        <x:v>0</x:v>
      </x:c>
      <x:c r="G409" s="66" t="n">
        <x:v>1390</x:v>
      </x:c>
      <x:c r="H409" s="66" t="n">
        <x:v>0</x:v>
      </x:c>
      <x:c r="I409" s="66" t="n">
        <x:v>0</x:v>
      </x:c>
      <x:c r="J409" s="36" t="str">
        <x:v>low</x:v>
      </x:c>
      <x:c r="K409" s="72" t="n">
        <x:v>29.5935324</x:v>
      </x:c>
      <x:c r="L409" s="72" t="n">
        <x:v>-95.1253776</x:v>
      </x:c>
      <x:c r="M409" s="72" t="n">
        <x:v>1.375</x:v>
      </x:c>
      <x:c r="N409" s="72" t="n">
        <x:v>0.17703186924371528</x:v>
      </x:c>
      <x:c r="O409" s="72" t="n">
        <x:v>25.162856717064045</x:v>
      </x:c>
      <x:c r="P409" s="72" t="n">
        <x:v>3</x:v>
      </x:c>
      <x:c r="Q409" s="72" t="n">
        <x:v>281.6067437798941</x:v>
      </x:c>
      <x:c r="R409" s="36" t="str">
        <x:v>tract internal point; no person, address, building, parcel, or route condition</x:v>
      </x:c>
    </x:row>
    <x:row r="410" ht="86.4000015258789" hidden="0" customHeight="1">
      <x:c r="A410" s="34" t="str">
        <x:v>48201340302</x:v>
      </x:c>
      <x:c r="B410" s="62" t="n">
        <x:v>6889</x:v>
      </x:c>
      <x:c r="C410" s="62" t="n">
        <x:v>574</x:v>
      </x:c>
      <x:c r="D410" s="62" t="n">
        <x:v>0</x:v>
      </x:c>
      <x:c r="E410" s="43" t="n">
        <x:v>0.0833212367542459</x:v>
      </x:c>
      <x:c r="F410" s="43" t="n">
        <x:v>0</x:v>
      </x:c>
      <x:c r="G410" s="65" t="n">
        <x:v>2583</x:v>
      </x:c>
      <x:c r="H410" s="65" t="n">
        <x:v>0</x:v>
      </x:c>
      <x:c r="I410" s="65" t="n">
        <x:v>0</x:v>
      </x:c>
      <x:c r="J410" s="34" t="str">
        <x:v>low</x:v>
      </x:c>
      <x:c r="K410" s="71" t="n">
        <x:v>29.5997387</x:v>
      </x:c>
      <x:c r="L410" s="71" t="n">
        <x:v>-95.1142661</x:v>
      </x:c>
      <x:c r="M410" s="71" t="n">
        <x:v>1.324</x:v>
      </x:c>
      <x:c r="N410" s="71" t="n">
        <x:v>0.03077071526344595</x:v>
      </x:c>
      <x:c r="O410" s="71" t="n">
        <x:v>27.867426084316147</x:v>
      </x:c>
      <x:c r="P410" s="71" t="n">
        <x:v>3</x:v>
      </x:c>
      <x:c r="Q410" s="71" t="n">
        <x:v>550.4653396834001</x:v>
      </x:c>
      <x:c r="R410" s="34" t="str">
        <x:v>tract internal point; no person, address, building, parcel, or route condition</x:v>
      </x:c>
    </x:row>
    <x:row r="411" ht="86.4000015258789" hidden="0" customHeight="1">
      <x:c r="A411" s="36" t="str">
        <x:v>48201340400</x:v>
      </x:c>
      <x:c r="B411" s="63" t="n">
        <x:v>1070</x:v>
      </x:c>
      <x:c r="C411" s="63" t="n">
        <x:v>89</x:v>
      </x:c>
      <x:c r="D411" s="63" t="n">
        <x:v>0</x:v>
      </x:c>
      <x:c r="E411" s="45" t="n">
        <x:v>0.08317757009345794</x:v>
      </x:c>
      <x:c r="F411" s="45" t="n">
        <x:v>0</x:v>
      </x:c>
      <x:c r="G411" s="66" t="n">
        <x:v>460</x:v>
      </x:c>
      <x:c r="H411" s="66" t="n">
        <x:v>0</x:v>
      </x:c>
      <x:c r="I411" s="66" t="n">
        <x:v>0</x:v>
      </x:c>
      <x:c r="J411" s="36" t="str">
        <x:v>low</x:v>
      </x:c>
      <x:c r="K411" s="72" t="n">
        <x:v>29.5814459</x:v>
      </x:c>
      <x:c r="L411" s="72" t="n">
        <x:v>-95.112162</x:v>
      </x:c>
      <x:c r="M411" s="72" t="n">
        <x:v>0.613</x:v>
      </x:c>
      <x:c r="N411" s="72" t="n">
        <x:v>0.05725577816232675</x:v>
      </x:c>
      <x:c r="O411" s="72" t="n">
        <x:v>25.710065259527642</x:v>
      </x:c>
      <x:c r="P411" s="72" t="n">
        <x:v>3</x:v>
      </x:c>
      <x:c r="Q411" s="72" t="n">
        <x:v>85.49590172586346</x:v>
      </x:c>
      <x:c r="R411" s="36" t="str">
        <x:v>tract internal point; no person, address, building, parcel, or route condition</x:v>
      </x:c>
    </x:row>
    <x:row r="412" ht="86.4000015258789" hidden="0" customHeight="1">
      <x:c r="A412" s="34" t="str">
        <x:v>48201340501</x:v>
      </x:c>
      <x:c r="B412" s="62" t="n">
        <x:v>3754</x:v>
      </x:c>
      <x:c r="C412" s="62" t="n">
        <x:v>352</x:v>
      </x:c>
      <x:c r="D412" s="62" t="n">
        <x:v>231</x:v>
      </x:c>
      <x:c r="E412" s="43" t="n">
        <x:v>0.09376664890783165</x:v>
      </x:c>
      <x:c r="F412" s="43" t="n">
        <x:v>0.061534363345764516</x:v>
      </x:c>
      <x:c r="G412" s="65" t="n">
        <x:v>1844</x:v>
      </x:c>
      <x:c r="H412" s="65" t="n">
        <x:v>209</x:v>
      </x:c>
      <x:c r="I412" s="65" t="n">
        <x:v>0.11334056399132321</x:v>
      </x:c>
      <x:c r="J412" s="34" t="str">
        <x:v>low</x:v>
      </x:c>
      <x:c r="K412" s="71" t="n">
        <x:v>29.5691771</x:v>
      </x:c>
      <x:c r="L412" s="71" t="n">
        <x:v>-95.1206675</x:v>
      </x:c>
      <x:c r="M412" s="71" t="n">
        <x:v>0.787</x:v>
      </x:c>
      <x:c r="N412" s="71" t="n">
        <x:v>0.043867587719984315</x:v>
      </x:c>
      <x:c r="O412" s="71" t="n">
        <x:v>23.61866195423782</x:v>
      </x:c>
      <x:c r="P412" s="71" t="n">
        <x:v>3</x:v>
      </x:c>
      <x:c r="Q412" s="71" t="n">
        <x:v>302.3951846757305</x:v>
      </x:c>
      <x:c r="R412" s="34" t="str">
        <x:v>tract internal point; no person, address, building, parcel, or route condition</x:v>
      </x:c>
    </x:row>
    <x:row r="413" ht="86.4000015258789" hidden="0" customHeight="1">
      <x:c r="A413" s="36" t="str">
        <x:v>48201340502</x:v>
      </x:c>
      <x:c r="B413" s="63" t="n">
        <x:v>2216</x:v>
      </x:c>
      <x:c r="C413" s="63" t="n">
        <x:v>190</x:v>
      </x:c>
      <x:c r="D413" s="63" t="n">
        <x:v>85</x:v>
      </x:c>
      <x:c r="E413" s="45" t="n">
        <x:v>0.08574007220216606</x:v>
      </x:c>
      <x:c r="F413" s="45" t="n">
        <x:v>0.03835740072202166</x:v>
      </x:c>
      <x:c r="G413" s="66" t="n">
        <x:v>1183</x:v>
      </x:c>
      <x:c r="H413" s="66" t="n">
        <x:v>269</x:v>
      </x:c>
      <x:c r="I413" s="66" t="n">
        <x:v>0.22738799661876585</x:v>
      </x:c>
      <x:c r="J413" s="36" t="str">
        <x:v>low</x:v>
      </x:c>
      <x:c r="K413" s="72" t="n">
        <x:v>29.5608759</x:v>
      </x:c>
      <x:c r="L413" s="72" t="n">
        <x:v>-95.1203121</x:v>
      </x:c>
      <x:c r="M413" s="72" t="n">
        <x:v>0.297</x:v>
      </x:c>
      <x:c r="N413" s="72" t="n">
        <x:v>0.2002087839884656</x:v>
      </x:c>
      <x:c r="O413" s="72" t="n">
        <x:v>23.78955169453395</x:v>
      </x:c>
      <x:c r="P413" s="72" t="n">
        <x:v>3</x:v>
      </x:c>
      <x:c r="Q413" s="72" t="n">
        <x:v>177.8217297800755</x:v>
      </x:c>
      <x:c r="R413" s="36" t="str">
        <x:v>tract internal point; no person, address, building, parcel, or route condition</x:v>
      </x:c>
    </x:row>
    <x:row r="414" ht="86.4000015258789" hidden="0" customHeight="1">
      <x:c r="A414" s="34" t="str">
        <x:v>48201340600</x:v>
      </x:c>
      <x:c r="B414" s="62" t="n">
        <x:v>2463</x:v>
      </x:c>
      <x:c r="C414" s="62" t="n">
        <x:v>284</x:v>
      </x:c>
      <x:c r="D414" s="62" t="n">
        <x:v>5</x:v>
      </x:c>
      <x:c r="E414" s="43" t="n">
        <x:v>0.11530653674380836</x:v>
      </x:c>
      <x:c r="F414" s="43" t="n">
        <x:v>0.0020300446609825416</x:v>
      </x:c>
      <x:c r="G414" s="65" t="n">
        <x:v>1020</x:v>
      </x:c>
      <x:c r="H414" s="65" t="n">
        <x:v>0</x:v>
      </x:c>
      <x:c r="I414" s="65" t="n">
        <x:v>0</x:v>
      </x:c>
      <x:c r="J414" s="34" t="str">
        <x:v>moderate</x:v>
      </x:c>
      <x:c r="K414" s="71" t="n">
        <x:v>29.5758631</x:v>
      </x:c>
      <x:c r="L414" s="71" t="n">
        <x:v>-95.1312524</x:v>
      </x:c>
      <x:c r="M414" s="71" t="n">
        <x:v>0.628</x:v>
      </x:c>
      <x:c r="N414" s="71" t="n">
        <x:v>0.12307640968875397</x:v>
      </x:c>
      <x:c r="O414" s="71" t="n">
        <x:v>23.32608321093882</x:v>
      </x:c>
      <x:c r="P414" s="71" t="n">
        <x:v>3</x:v>
      </x:c>
      <x:c r="Q414" s="71" t="n">
        <x:v>350.4555691623853</x:v>
      </x:c>
      <x:c r="R414" s="34" t="str">
        <x:v>tract internal point; no person, address, building, parcel, or route condition</x:v>
      </x:c>
    </x:row>
    <x:row r="415" ht="86.4000015258789" hidden="0" customHeight="1">
      <x:c r="A415" s="36" t="str">
        <x:v>48201340701</x:v>
      </x:c>
      <x:c r="B415" s="63" t="n">
        <x:v>3918</x:v>
      </x:c>
      <x:c r="C415" s="63" t="n">
        <x:v>425</x:v>
      </x:c>
      <x:c r="D415" s="63" t="n">
        <x:v>66</x:v>
      </x:c>
      <x:c r="E415" s="45" t="n">
        <x:v>0.10847371107708015</x:v>
      </x:c>
      <x:c r="F415" s="45" t="n">
        <x:v>0.016845329249617153</x:v>
      </x:c>
      <x:c r="G415" s="66" t="n">
        <x:v>1524</x:v>
      </x:c>
      <x:c r="H415" s="66" t="n">
        <x:v>57</x:v>
      </x:c>
      <x:c r="I415" s="66" t="n">
        <x:v>0.03740157480314961</x:v>
      </x:c>
      <x:c r="J415" s="36" t="str">
        <x:v>low</x:v>
      </x:c>
      <x:c r="K415" s="72" t="n">
        <x:v>29.5584075</x:v>
      </x:c>
      <x:c r="L415" s="72" t="n">
        <x:v>-95.1305252</x:v>
      </x:c>
      <x:c r="M415" s="72" t="n">
        <x:v>0.735</x:v>
      </x:c>
      <x:c r="N415" s="72" t="n">
        <x:v>0.01600045524237562</x:v>
      </x:c>
      <x:c r="O415" s="72" t="n">
        <x:v>21.84309474350587</x:v>
      </x:c>
      <x:c r="P415" s="72" t="n">
        <x:v>3</x:v>
      </x:c>
      <x:c r="Q415" s="72" t="n">
        <x:v>315.1354730281506</x:v>
      </x:c>
      <x:c r="R415" s="36" t="str">
        <x:v>tract internal point; no person, address, building, parcel, or route condition</x:v>
      </x:c>
    </x:row>
    <x:row r="416" ht="86.4000015258789" hidden="0" customHeight="1">
      <x:c r="A416" s="34" t="str">
        <x:v>48201340702</x:v>
      </x:c>
      <x:c r="B416" s="62" t="n">
        <x:v>3871</x:v>
      </x:c>
      <x:c r="C416" s="62" t="n">
        <x:v>136</x:v>
      </x:c>
      <x:c r="D416" s="62" t="n">
        <x:v>594.5</x:v>
      </x:c>
      <x:c r="E416" s="43" t="n">
        <x:v>0.03513304055799535</x:v>
      </x:c>
      <x:c r="F416" s="43" t="n">
        <x:v>0.1535778868509429</x:v>
      </x:c>
      <x:c r="G416" s="65" t="n">
        <x:v>1449</x:v>
      </x:c>
      <x:c r="H416" s="65" t="n">
        <x:v>0</x:v>
      </x:c>
      <x:c r="I416" s="65" t="n">
        <x:v>0</x:v>
      </x:c>
      <x:c r="J416" s="34" t="str">
        <x:v>low</x:v>
      </x:c>
      <x:c r="K416" s="71" t="n">
        <x:v>29.569193</x:v>
      </x:c>
      <x:c r="L416" s="71" t="n">
        <x:v>-95.1406139</x:v>
      </x:c>
      <x:c r="M416" s="71" t="n">
        <x:v>0.5</x:v>
      </x:c>
      <x:c r="N416" s="71" t="n">
        <x:v>0.014421750401427126</x:v>
      </x:c>
      <x:c r="O416" s="71" t="n">
        <x:v>20.701615897068674</x:v>
      </x:c>
      <x:c r="P416" s="71" t="n">
        <x:v>3</x:v>
      </x:c>
      <x:c r="Q416" s="71" t="n">
        <x:v>311.0524503266809</x:v>
      </x:c>
      <x:c r="R416" s="34" t="str">
        <x:v>tract internal point; no person, address, building, parcel, or route condition</x:v>
      </x:c>
    </x:row>
    <x:row r="417" ht="86.4000015258789" hidden="0" customHeight="1">
      <x:c r="A417" s="36" t="str">
        <x:v>48201340800</x:v>
      </x:c>
      <x:c r="B417" s="63" t="n">
        <x:v>6143</x:v>
      </x:c>
      <x:c r="C417" s="63" t="n">
        <x:v>549</x:v>
      </x:c>
      <x:c r="D417" s="63" t="n">
        <x:v>170</x:v>
      </x:c>
      <x:c r="E417" s="45" t="n">
        <x:v>0.08937001465082207</x:v>
      </x:c>
      <x:c r="F417" s="45" t="n">
        <x:v>0.02767377502848771</x:v>
      </x:c>
      <x:c r="G417" s="66" t="n">
        <x:v>2025</x:v>
      </x:c>
      <x:c r="H417" s="66" t="n">
        <x:v>0</x:v>
      </x:c>
      <x:c r="I417" s="66" t="n">
        <x:v>0</x:v>
      </x:c>
      <x:c r="J417" s="36" t="str">
        <x:v>low</x:v>
      </x:c>
      <x:c r="K417" s="72" t="n">
        <x:v>29.5814929</x:v>
      </x:c>
      <x:c r="L417" s="72" t="n">
        <x:v>-95.1438192</x:v>
      </x:c>
      <x:c r="M417" s="72" t="n">
        <x:v>1.114</x:v>
      </x:c>
      <x:c r="N417" s="72" t="n">
        <x:v>0.04604847710618917</x:v>
      </x:c>
      <x:c r="O417" s="72" t="n">
        <x:v>20.58888939195141</x:v>
      </x:c>
      <x:c r="P417" s="72" t="n">
        <x:v>3</x:v>
      </x:c>
      <x:c r="Q417" s="72" t="n">
        <x:v>492.7764337569579</x:v>
      </x:c>
      <x:c r="R417" s="36" t="str">
        <x:v>tract internal point; no person, address, building, parcel, or route condition</x:v>
      </x:c>
    </x:row>
    <x:row r="418" ht="86.4000015258789" hidden="0" customHeight="1">
      <x:c r="A418" s="34" t="str">
        <x:v>48201340900</x:v>
      </x:c>
      <x:c r="B418" s="62" t="n">
        <x:v>4640</x:v>
      </x:c>
      <x:c r="C418" s="62" t="n">
        <x:v>711</x:v>
      </x:c>
      <x:c r="D418" s="62" t="n">
        <x:v>82</x:v>
      </x:c>
      <x:c r="E418" s="43" t="n">
        <x:v>0.15323275862068966</x:v>
      </x:c>
      <x:c r="F418" s="43" t="n">
        <x:v>0.01767241379310345</x:v>
      </x:c>
      <x:c r="G418" s="65" t="n">
        <x:v>2440</x:v>
      </x:c>
      <x:c r="H418" s="65" t="n">
        <x:v>462</x:v>
      </x:c>
      <x:c r="I418" s="65" t="n">
        <x:v>0.18934426229508197</x:v>
      </x:c>
      <x:c r="J418" s="34" t="str">
        <x:v>low</x:v>
      </x:c>
      <x:c r="K418" s="71" t="n">
        <x:v>29.5706592</x:v>
      </x:c>
      <x:c r="L418" s="71" t="n">
        <x:v>-95.1599779</x:v>
      </x:c>
      <x:c r="M418" s="71" t="n">
        <x:v>1.535</x:v>
      </x:c>
      <x:c r="N418" s="71" t="n">
        <x:v>0.5874262768698458</x:v>
      </x:c>
      <x:c r="O418" s="71" t="n">
        <x:v>18.626965921181355</x:v>
      </x:c>
      <x:c r="P418" s="71" t="n">
        <x:v>3</x:v>
      </x:c>
      <x:c r="Q418" s="71" t="n">
        <x:v>376.502636171701</x:v>
      </x:c>
      <x:c r="R418" s="34" t="str">
        <x:v>tract internal point; no person, address, building, parcel, or route condition</x:v>
      </x:c>
    </x:row>
    <x:row r="419" ht="86.4000015258789" hidden="0" customHeight="1">
      <x:c r="A419" s="36" t="str">
        <x:v>48201341001</x:v>
      </x:c>
      <x:c r="B419" s="63" t="n">
        <x:v>3953</x:v>
      </x:c>
      <x:c r="C419" s="63" t="n">
        <x:v>534</x:v>
      </x:c>
      <x:c r="D419" s="63" t="n">
        <x:v>528</x:v>
      </x:c>
      <x:c r="E419" s="45" t="n">
        <x:v>0.13508727548697191</x:v>
      </x:c>
      <x:c r="F419" s="45" t="n">
        <x:v>0.13356944093093853</x:v>
      </x:c>
      <x:c r="G419" s="66" t="n">
        <x:v>2471</x:v>
      </x:c>
      <x:c r="H419" s="66" t="n">
        <x:v>1053</x:v>
      </x:c>
      <x:c r="I419" s="66" t="n">
        <x:v>0.4261432618373128</x:v>
      </x:c>
      <x:c r="J419" s="36" t="str">
        <x:v>low</x:v>
      </x:c>
      <x:c r="K419" s="72" t="n">
        <x:v>29.5520045</x:v>
      </x:c>
      <x:c r="L419" s="72" t="n">
        <x:v>-95.1364907</x:v>
      </x:c>
      <x:c r="M419" s="72" t="n">
        <x:v>0.479</x:v>
      </x:c>
      <x:c r="N419" s="72" t="n">
        <x:v>0.04969512808252652</x:v>
      </x:c>
      <x:c r="O419" s="72" t="n">
        <x:v>20.927659429101585</x:v>
      </x:c>
      <x:c r="P419" s="72" t="n">
        <x:v>3</x:v>
      </x:c>
      <x:c r="Q419" s="72" t="n">
        <x:v>323.2307827153761</x:v>
      </x:c>
      <x:c r="R419" s="36" t="str">
        <x:v>tract internal point; no person, address, building, parcel, or route condition</x:v>
      </x:c>
    </x:row>
    <x:row r="420" ht="86.4000015258789" hidden="0" customHeight="1">
      <x:c r="A420" s="34" t="str">
        <x:v>48201341002</x:v>
      </x:c>
      <x:c r="B420" s="62" t="n">
        <x:v>3548</x:v>
      </x:c>
      <x:c r="C420" s="62" t="n">
        <x:v>510</x:v>
      </x:c>
      <x:c r="D420" s="62" t="n">
        <x:v>27</x:v>
      </x:c>
      <x:c r="E420" s="43" t="n">
        <x:v>0.14374295377677565</x:v>
      </x:c>
      <x:c r="F420" s="43" t="n">
        <x:v>0.007609921082299887</x:v>
      </x:c>
      <x:c r="G420" s="65" t="n">
        <x:v>1799</x:v>
      </x:c>
      <x:c r="H420" s="65" t="n">
        <x:v>555</x:v>
      </x:c>
      <x:c r="I420" s="65" t="n">
        <x:v>0.3085047248471373</x:v>
      </x:c>
      <x:c r="J420" s="34" t="str">
        <x:v>low</x:v>
      </x:c>
      <x:c r="K420" s="71" t="n">
        <x:v>29.5503439</x:v>
      </x:c>
      <x:c r="L420" s="71" t="n">
        <x:v>-95.1445157</x:v>
      </x:c>
      <x:c r="M420" s="71" t="n">
        <x:v>0.689</x:v>
      </x:c>
      <x:c r="N420" s="71" t="n">
        <x:v>0.0704552212259971</x:v>
      </x:c>
      <x:c r="O420" s="71" t="n">
        <x:v>19.272821762312365</x:v>
      </x:c>
      <x:c r="P420" s="71" t="n">
        <x:v>3</x:v>
      </x:c>
      <x:c r="Q420" s="71" t="n">
        <x:v>287.08483198571565</x:v>
      </x:c>
      <x:c r="R420" s="34" t="str">
        <x:v>tract internal point; no person, address, building, parcel, or route condition</x:v>
      </x:c>
    </x:row>
    <x:row r="421" ht="86.4000015258789" hidden="0" customHeight="1">
      <x:c r="A421" s="36" t="str">
        <x:v>48201341101</x:v>
      </x:c>
      <x:c r="B421" s="63" t="n">
        <x:v>1956</x:v>
      </x:c>
      <x:c r="C421" s="63" t="n">
        <x:v>205</x:v>
      </x:c>
      <x:c r="D421" s="63" t="n">
        <x:v>141</x:v>
      </x:c>
      <x:c r="E421" s="45" t="n">
        <x:v>0.10480572597137014</x:v>
      </x:c>
      <x:c r="F421" s="45" t="n">
        <x:v>0.07208588957055215</x:v>
      </x:c>
      <x:c r="G421" s="66" t="n">
        <x:v>723</x:v>
      </x:c>
      <x:c r="H421" s="66" t="n">
        <x:v>191</x:v>
      </x:c>
      <x:c r="I421" s="66" t="n">
        <x:v>0.2641770401106501</x:v>
      </x:c>
      <x:c r="J421" s="36" t="str">
        <x:v>low</x:v>
      </x:c>
      <x:c r="K421" s="72" t="n">
        <x:v>29.5394197</x:v>
      </x:c>
      <x:c r="L421" s="72" t="n">
        <x:v>-95.1349929</x:v>
      </x:c>
      <x:c r="M421" s="72" t="n">
        <x:v>0.995</x:v>
      </x:c>
      <x:c r="N421" s="72" t="n">
        <x:v>0.17998637842918094</x:v>
      </x:c>
      <x:c r="O421" s="72" t="n">
        <x:v>21.73797462837796</x:v>
      </x:c>
      <x:c r="P421" s="72" t="n">
        <x:v>3</x:v>
      </x:c>
      <x:c r="Q421" s="72" t="n">
        <x:v>158.0628865240706</x:v>
      </x:c>
      <x:c r="R421" s="36" t="str">
        <x:v>tract internal point; no person, address, building, parcel, or route condition</x:v>
      </x:c>
    </x:row>
    <x:row r="422" ht="86.4000015258789" hidden="0" customHeight="1">
      <x:c r="A422" s="34" t="str">
        <x:v>48201341102</x:v>
      </x:c>
      <x:c r="B422" s="62" t="n">
        <x:v>2048</x:v>
      </x:c>
      <x:c r="C422" s="62" t="n">
        <x:v>176</x:v>
      </x:c>
      <x:c r="D422" s="62" t="n">
        <x:v>35</x:v>
      </x:c>
      <x:c r="E422" s="43" t="n">
        <x:v>0.0859375</x:v>
      </x:c>
      <x:c r="F422" s="43" t="n">
        <x:v>0.01708984375</x:v>
      </x:c>
      <x:c r="G422" s="65" t="n">
        <x:v>1623</x:v>
      </x:c>
      <x:c r="H422" s="65" t="n">
        <x:v>485</x:v>
      </x:c>
      <x:c r="I422" s="65" t="n">
        <x:v>0.2988293284041898</x:v>
      </x:c>
      <x:c r="J422" s="34" t="str">
        <x:v>low</x:v>
      </x:c>
      <x:c r="K422" s="71" t="n">
        <x:v>29.5472894</x:v>
      </x:c>
      <x:c r="L422" s="71" t="n">
        <x:v>-95.1182423</x:v>
      </x:c>
      <x:c r="M422" s="71" t="n">
        <x:v>0.794</x:v>
      </x:c>
      <x:c r="N422" s="71" t="n">
        <x:v>0.1080397575420331</x:v>
      </x:c>
      <x:c r="O422" s="71" t="n">
        <x:v>22.89058745322162</x:v>
      </x:c>
      <x:c r="P422" s="71" t="n">
        <x:v>3</x:v>
      </x:c>
      <x:c r="Q422" s="71" t="n">
        <x:v>164.0046866440148</x:v>
      </x:c>
      <x:c r="R422" s="34" t="str">
        <x:v>tract internal point; no person, address, building, parcel, or route condition</x:v>
      </x:c>
    </x:row>
    <x:row r="423" ht="86.4000015258789" hidden="0" customHeight="1">
      <x:c r="A423" s="36" t="str">
        <x:v>48201341201</x:v>
      </x:c>
      <x:c r="B423" s="63" t="n">
        <x:v>5189</x:v>
      </x:c>
      <x:c r="C423" s="63" t="n">
        <x:v>489</x:v>
      </x:c>
      <x:c r="D423" s="63" t="n">
        <x:v>443</x:v>
      </x:c>
      <x:c r="E423" s="45" t="n">
        <x:v>0.09423781075351706</x:v>
      </x:c>
      <x:c r="F423" s="45" t="n">
        <x:v>0.08537290422046637</x:v>
      </x:c>
      <x:c r="G423" s="66" t="n">
        <x:v>2441</x:v>
      </x:c>
      <x:c r="H423" s="66" t="n">
        <x:v>870</x:v>
      </x:c>
      <x:c r="I423" s="66" t="n">
        <x:v>0.35641130684145844</x:v>
      </x:c>
      <x:c r="J423" s="36" t="str">
        <x:v>moderate</x:v>
      </x:c>
      <x:c r="K423" s="72" t="n">
        <x:v>29.5257658</x:v>
      </x:c>
      <x:c r="L423" s="72" t="n">
        <x:v>-95.1129325</x:v>
      </x:c>
      <x:c r="M423" s="72" t="n">
        <x:v>3.088</x:v>
      </x:c>
      <x:c r="N423" s="72" t="n">
        <x:v>0.2640904149485451</x:v>
      </x:c>
      <x:c r="O423" s="72" t="n">
        <x:v>22.19233399509136</x:v>
      </x:c>
      <x:c r="P423" s="72" t="n">
        <x:v>3</x:v>
      </x:c>
      <x:c r="Q423" s="72" t="n">
        <x:v>741.3060686273824</x:v>
      </x:c>
      <x:c r="R423" s="36" t="str">
        <x:v>tract internal point; no person, address, building, parcel, or route condition</x:v>
      </x:c>
    </x:row>
    <x:row r="424" ht="86.4000015258789" hidden="0" customHeight="1">
      <x:c r="A424" s="34" t="str">
        <x:v>48201341203</x:v>
      </x:c>
      <x:c r="B424" s="62" t="n">
        <x:v>2698</x:v>
      </x:c>
      <x:c r="C424" s="62" t="n">
        <x:v>299</x:v>
      </x:c>
      <x:c r="D424" s="62" t="n">
        <x:v>102</x:v>
      </x:c>
      <x:c r="E424" s="43" t="n">
        <x:v>0.11082283172720533</x:v>
      </x:c>
      <x:c r="F424" s="43" t="n">
        <x:v>0.03780578206078577</x:v>
      </x:c>
      <x:c r="G424" s="65" t="n">
        <x:v>1399</x:v>
      </x:c>
      <x:c r="H424" s="65" t="n">
        <x:v>378</x:v>
      </x:c>
      <x:c r="I424" s="65" t="n">
        <x:v>0.270192994996426</x:v>
      </x:c>
      <x:c r="J424" s="34" t="str">
        <x:v>high</x:v>
      </x:c>
      <x:c r="K424" s="71" t="n">
        <x:v>29.541553</x:v>
      </x:c>
      <x:c r="L424" s="71" t="n">
        <x:v>-95.0979108</x:v>
      </x:c>
      <x:c r="M424" s="71" t="n">
        <x:v>0.479</x:v>
      </x:c>
      <x:c r="N424" s="71" t="n">
        <x:v>0.09135183695924651</x:v>
      </x:c>
      <x:c r="O424" s="71" t="n">
        <x:v>23.801578180942514</x:v>
      </x:c>
      <x:c r="P424" s="71" t="n">
        <x:v>3</x:v>
      </x:c>
      <x:c r="Q424" s="71" t="n">
        <x:v>468.57272740756366</x:v>
      </x:c>
      <x:c r="R424" s="34" t="str">
        <x:v>tract internal point; no person, address, building, parcel, or route condition</x:v>
      </x:c>
    </x:row>
    <x:row r="425" ht="86.4000015258789" hidden="0" customHeight="1">
      <x:c r="A425" s="36" t="str">
        <x:v>48201341204</x:v>
      </x:c>
      <x:c r="B425" s="63" t="n">
        <x:v>3486</x:v>
      </x:c>
      <x:c r="C425" s="63" t="n">
        <x:v>595</x:v>
      </x:c>
      <x:c r="D425" s="63" t="n">
        <x:v>146</x:v>
      </x:c>
      <x:c r="E425" s="45" t="n">
        <x:v>0.1706827309236948</x:v>
      </x:c>
      <x:c r="F425" s="45" t="n">
        <x:v>0.04188181296615032</x:v>
      </x:c>
      <x:c r="G425" s="66" t="n">
        <x:v>2111</x:v>
      </x:c>
      <x:c r="H425" s="66" t="n">
        <x:v>754</x:v>
      </x:c>
      <x:c r="I425" s="66" t="n">
        <x:v>0.3571766935101848</x:v>
      </x:c>
      <x:c r="J425" s="36" t="str">
        <x:v>high</x:v>
      </x:c>
      <x:c r="K425" s="72" t="n">
        <x:v>29.5527678</x:v>
      </x:c>
      <x:c r="L425" s="72" t="n">
        <x:v>-95.0756935</x:v>
      </x:c>
      <x:c r="M425" s="72" t="n">
        <x:v>0.845</x:v>
      </x:c>
      <x:c r="N425" s="72" t="n">
        <x:v>0.06254398192619079</x:v>
      </x:c>
      <x:c r="O425" s="72" t="n">
        <x:v>25.51902491743936</x:v>
      </x:c>
      <x:c r="P425" s="72" t="n">
        <x:v>3</x:v>
      </x:c>
      <x:c r="Q425" s="72" t="n">
        <x:v>612.7333251894572</x:v>
      </x:c>
      <x:c r="R425" s="36" t="str">
        <x:v>tract internal point; no person, address, building, parcel, or route condition</x:v>
      </x:c>
    </x:row>
    <x:row r="426" ht="86.4000015258789" hidden="0" customHeight="1">
      <x:c r="A426" s="34" t="str">
        <x:v>48201341302</x:v>
      </x:c>
      <x:c r="B426" s="62" t="n">
        <x:v>3368</x:v>
      </x:c>
      <x:c r="C426" s="62" t="n">
        <x:v>329</x:v>
      </x:c>
      <x:c r="D426" s="62" t="n">
        <x:v>62</x:v>
      </x:c>
      <x:c r="E426" s="43" t="n">
        <x:v>0.09768408551068884</x:v>
      </x:c>
      <x:c r="F426" s="43" t="n">
        <x:v>0.01840855106888361</x:v>
      </x:c>
      <x:c r="G426" s="65" t="n">
        <x:v>2161</x:v>
      </x:c>
      <x:c r="H426" s="65" t="n">
        <x:v>773</x:v>
      </x:c>
      <x:c r="I426" s="65" t="n">
        <x:v>0.35770476631189263</x:v>
      </x:c>
      <x:c r="J426" s="34" t="str">
        <x:v>moderate</x:v>
      </x:c>
      <x:c r="K426" s="71" t="n">
        <x:v>29.5532621</x:v>
      </x:c>
      <x:c r="L426" s="71" t="n">
        <x:v>-95.1036441</x:v>
      </x:c>
      <x:c r="M426" s="71" t="n">
        <x:v>0.762</x:v>
      </x:c>
      <x:c r="N426" s="71" t="n">
        <x:v>0.3822736799420919</x:v>
      </x:c>
      <x:c r="O426" s="71" t="n">
        <x:v>24.25318113038886</x:v>
      </x:c>
      <x:c r="P426" s="71" t="n">
        <x:v>3</x:v>
      </x:c>
      <x:c r="Q426" s="71" t="n">
        <x:v>478.3427202787783</x:v>
      </x:c>
      <x:c r="R426" s="34" t="str">
        <x:v>tract internal point; no person, address, building, parcel, or route condition</x:v>
      </x:c>
    </x:row>
    <x:row r="427" ht="86.4000015258789" hidden="0" customHeight="1">
      <x:c r="A427" s="36" t="str">
        <x:v>48201341303</x:v>
      </x:c>
      <x:c r="B427" s="63" t="n">
        <x:v>2936</x:v>
      </x:c>
      <x:c r="C427" s="63" t="n">
        <x:v>564</x:v>
      </x:c>
      <x:c r="D427" s="63" t="n">
        <x:v>206</x:v>
      </x:c>
      <x:c r="E427" s="45" t="n">
        <x:v>0.19209809264305178</x:v>
      </x:c>
      <x:c r="F427" s="45" t="n">
        <x:v>0.07016348773841961</x:v>
      </x:c>
      <x:c r="G427" s="66" t="n">
        <x:v>2046</x:v>
      </x:c>
      <x:c r="H427" s="66" t="n">
        <x:v>265</x:v>
      </x:c>
      <x:c r="I427" s="66" t="n">
        <x:v>0.1295210166177908</x:v>
      </x:c>
      <x:c r="J427" s="36" t="str">
        <x:v>low</x:v>
      </x:c>
      <x:c r="K427" s="72" t="n">
        <x:v>29.5651387</x:v>
      </x:c>
      <x:c r="L427" s="72" t="n">
        <x:v>-95.1087269</x:v>
      </x:c>
      <x:c r="M427" s="72" t="n">
        <x:v>0.452</x:v>
      </x:c>
      <x:c r="N427" s="72" t="n">
        <x:v>0.021080363562615084</x:v>
      </x:c>
      <x:c r="O427" s="72" t="n">
        <x:v>25.678356840871135</x:v>
      </x:c>
      <x:c r="P427" s="72" t="n">
        <x:v>3</x:v>
      </x:c>
      <x:c r="Q427" s="72" t="n">
        <x:v>241.24022867932092</x:v>
      </x:c>
      <x:c r="R427" s="36" t="str">
        <x:v>tract internal point; no person, address, building, parcel, or route condition</x:v>
      </x:c>
    </x:row>
    <x:row r="428" ht="86.4000015258789" hidden="0" customHeight="1">
      <x:c r="A428" s="34" t="str">
        <x:v>48201341304</x:v>
      </x:c>
      <x:c r="B428" s="62" t="n">
        <x:v>1543</x:v>
      </x:c>
      <x:c r="C428" s="62" t="n">
        <x:v>277</x:v>
      </x:c>
      <x:c r="D428" s="62" t="n">
        <x:v>116</x:v>
      </x:c>
      <x:c r="E428" s="43" t="n">
        <x:v>0.1795204147764096</x:v>
      </x:c>
      <x:c r="F428" s="43" t="n">
        <x:v>0.07517822423849643</x:v>
      </x:c>
      <x:c r="G428" s="65" t="n">
        <x:v>965</x:v>
      </x:c>
      <x:c r="H428" s="65" t="n">
        <x:v>428</x:v>
      </x:c>
      <x:c r="I428" s="65" t="n">
        <x:v>0.44352331606217615</x:v>
      </x:c>
      <x:c r="J428" s="34" t="str">
        <x:v>moderate</x:v>
      </x:c>
      <x:c r="K428" s="71" t="n">
        <x:v>29.5706318</x:v>
      </x:c>
      <x:c r="L428" s="71" t="n">
        <x:v>-95.0924885</x:v>
      </x:c>
      <x:c r="M428" s="71" t="n">
        <x:v>4.02</x:v>
      </x:c>
      <x:c r="N428" s="71" t="n">
        <x:v>0.47459228122146024</x:v>
      </x:c>
      <x:c r="O428" s="71" t="n">
        <x:v>30.03049972079272</x:v>
      </x:c>
      <x:c r="P428" s="71" t="n">
        <x:v>3</x:v>
      </x:c>
      <x:c r="Q428" s="71" t="n">
        <x:v>223.87551733977708</x:v>
      </x:c>
      <x:c r="R428" s="34" t="str">
        <x:v>tract internal point; no person, address, building, parcel, or route condition</x:v>
      </x:c>
    </x:row>
    <x:row r="429" ht="86.4000015258789" hidden="0" customHeight="1">
      <x:c r="A429" s="36" t="str">
        <x:v>48201341400</x:v>
      </x:c>
      <x:c r="B429" s="63" t="n">
        <x:v>5639</x:v>
      </x:c>
      <x:c r="C429" s="63" t="n">
        <x:v>658</x:v>
      </x:c>
      <x:c r="D429" s="63" t="n">
        <x:v>0</x:v>
      </x:c>
      <x:c r="E429" s="45" t="n">
        <x:v>0.11668735591416918</x:v>
      </x:c>
      <x:c r="F429" s="45" t="n">
        <x:v>0</x:v>
      </x:c>
      <x:c r="G429" s="66" t="n">
        <x:v>2307</x:v>
      </x:c>
      <x:c r="H429" s="66" t="n">
        <x:v>313</x:v>
      </x:c>
      <x:c r="I429" s="66" t="n">
        <x:v>0.13567403554399654</x:v>
      </x:c>
      <x:c r="J429" s="36" t="str">
        <x:v>high</x:v>
      </x:c>
      <x:c r="K429" s="72" t="n">
        <x:v>29.5917747</x:v>
      </x:c>
      <x:c r="L429" s="72" t="n">
        <x:v>-95.0695211</x:v>
      </x:c>
      <x:c r="M429" s="72" t="n">
        <x:v>5.191</x:v>
      </x:c>
      <x:c r="N429" s="72" t="n">
        <x:v>0.9047203863794313</x:v>
      </x:c>
      <x:c r="O429" s="72" t="n">
        <x:v>27.93509181766099</x:v>
      </x:c>
      <x:c r="P429" s="72" t="n">
        <x:v>6</x:v>
      </x:c>
      <x:c r="Q429" s="72" t="n">
        <x:v>976.8590248475748</x:v>
      </x:c>
      <x:c r="R429" s="36" t="str">
        <x:v>tract internal point; no person, address, building, parcel, or route condition</x:v>
      </x:c>
    </x:row>
    <x:row r="430" ht="86.4000015258789" hidden="0" customHeight="1">
      <x:c r="A430" s="34" t="str">
        <x:v>48201341501</x:v>
      </x:c>
      <x:c r="B430" s="62" t="n">
        <x:v>6268</x:v>
      </x:c>
      <x:c r="C430" s="62" t="n">
        <x:v>504</x:v>
      </x:c>
      <x:c r="D430" s="62" t="n">
        <x:v>39</x:v>
      </x:c>
      <x:c r="E430" s="43" t="n">
        <x:v>0.08040842373962986</x:v>
      </x:c>
      <x:c r="F430" s="43" t="n">
        <x:v>0.00622208040842374</x:v>
      </x:c>
      <x:c r="G430" s="65" t="n">
        <x:v>2696</x:v>
      </x:c>
      <x:c r="H430" s="65" t="n">
        <x:v>352</x:v>
      </x:c>
      <x:c r="I430" s="65" t="n">
        <x:v>0.13056379821958458</x:v>
      </x:c>
      <x:c r="J430" s="34" t="str">
        <x:v>moderate</x:v>
      </x:c>
      <x:c r="K430" s="71" t="n">
        <x:v>29.5779743</x:v>
      </x:c>
      <x:c r="L430" s="71" t="n">
        <x:v>-95.038054</x:v>
      </x:c>
      <x:c r="M430" s="71" t="n">
        <x:v>1.445</x:v>
      </x:c>
      <x:c r="N430" s="71" t="n">
        <x:v>0.04565587670820407</x:v>
      </x:c>
      <x:c r="O430" s="71" t="n">
        <x:v>23.458973154161303</x:v>
      </x:c>
      <x:c r="P430" s="71" t="n">
        <x:v>6</x:v>
      </x:c>
      <x:c r="Q430" s="71" t="n">
        <x:v>886.1437946280731</x:v>
      </x:c>
      <x:c r="R430" s="34" t="str">
        <x:v>tract internal point; no person, address, building, parcel, or route condition</x:v>
      </x:c>
    </x:row>
    <x:row r="431" ht="86.4000015258789" hidden="0" customHeight="1">
      <x:c r="A431" s="36" t="str">
        <x:v>48201341502</x:v>
      </x:c>
      <x:c r="B431" s="63" t="n">
        <x:v>4965</x:v>
      </x:c>
      <x:c r="C431" s="63" t="n">
        <x:v>833</x:v>
      </x:c>
      <x:c r="D431" s="63" t="n">
        <x:v>34</x:v>
      </x:c>
      <x:c r="E431" s="45" t="n">
        <x:v>0.1677744209466264</x:v>
      </x:c>
      <x:c r="F431" s="45" t="n">
        <x:v>0.006847935548841893</x:v>
      </x:c>
      <x:c r="G431" s="66" t="n">
        <x:v>2538</x:v>
      </x:c>
      <x:c r="H431" s="66" t="n">
        <x:v>820</x:v>
      </x:c>
      <x:c r="I431" s="66" t="n">
        <x:v>0.32308904649330183</x:v>
      </x:c>
      <x:c r="J431" s="36" t="str">
        <x:v>high</x:v>
      </x:c>
      <x:c r="K431" s="72" t="n">
        <x:v>29.5614395</x:v>
      </x:c>
      <x:c r="L431" s="72" t="n">
        <x:v>-95.0375896</x:v>
      </x:c>
      <x:c r="M431" s="72" t="n">
        <x:v>1.161</x:v>
      </x:c>
      <x:c r="N431" s="72" t="n">
        <x:v>0.1711519921031012</x:v>
      </x:c>
      <x:c r="O431" s="72" t="n">
        <x:v>23.315688960480657</x:v>
      </x:c>
      <x:c r="P431" s="72" t="n">
        <x:v>6</x:v>
      </x:c>
      <x:c r="Q431" s="72" t="n">
        <x:v>869.2633508807223</x:v>
      </x:c>
      <x:c r="R431" s="36" t="str">
        <x:v>tract internal point; no person, address, building, parcel, or route condition</x:v>
      </x:c>
    </x:row>
    <x:row r="432" ht="86.4000015258789" hidden="0" customHeight="1">
      <x:c r="A432" s="34" t="str">
        <x:v>48201341600</x:v>
      </x:c>
      <x:c r="B432" s="62" t="n">
        <x:v>6841</x:v>
      </x:c>
      <x:c r="C432" s="62" t="n">
        <x:v>583</x:v>
      </x:c>
      <x:c r="D432" s="62" t="n">
        <x:v>86</x:v>
      </x:c>
      <x:c r="E432" s="43" t="n">
        <x:v>0.08522145885104516</x:v>
      </x:c>
      <x:c r="F432" s="43" t="n">
        <x:v>0.01257126151147493</x:v>
      </x:c>
      <x:c r="G432" s="65" t="n">
        <x:v>3012</x:v>
      </x:c>
      <x:c r="H432" s="65" t="n">
        <x:v>297</x:v>
      </x:c>
      <x:c r="I432" s="65" t="n">
        <x:v>0.09860557768924302</x:v>
      </x:c>
      <x:c r="J432" s="34" t="str">
        <x:v>high</x:v>
      </x:c>
      <x:c r="K432" s="71" t="n">
        <x:v>29.5919704</x:v>
      </x:c>
      <x:c r="L432" s="71" t="n">
        <x:v>-95.0201976</x:v>
      </x:c>
      <x:c r="M432" s="71" t="n">
        <x:v>7.352</x:v>
      </x:c>
      <x:c r="N432" s="71" t="n">
        <x:v>0.5354448646275661</x:v>
      </x:c>
      <x:c r="O432" s="71" t="n">
        <x:v>22.159315892306367</x:v>
      </x:c>
      <x:c r="P432" s="71" t="n">
        <x:v>6</x:v>
      </x:c>
      <x:c r="Q432" s="71" t="n">
        <x:v>1179.2526494460153</x:v>
      </x:c>
      <x:c r="R432" s="34" t="str">
        <x:v>tract internal point; no person, address, building, parcel, or route condition</x:v>
      </x:c>
    </x:row>
    <x:row r="433" ht="86.4000015258789" hidden="0" customHeight="1">
      <x:c r="A433" s="36" t="str">
        <x:v>48201341700</x:v>
      </x:c>
      <x:c r="B433" s="63" t="n">
        <x:v>3016</x:v>
      </x:c>
      <x:c r="C433" s="63" t="n">
        <x:v>685</x:v>
      </x:c>
      <x:c r="D433" s="63" t="n">
        <x:v>112</x:v>
      </x:c>
      <x:c r="E433" s="45" t="n">
        <x:v>0.22712201591511935</x:v>
      </x:c>
      <x:c r="F433" s="45" t="n">
        <x:v>0.03713527851458886</x:v>
      </x:c>
      <x:c r="G433" s="66" t="n">
        <x:v>1377</x:v>
      </x:c>
      <x:c r="H433" s="66" t="n">
        <x:v>153</x:v>
      </x:c>
      <x:c r="I433" s="66" t="n">
        <x:v>0.1111111111111111</x:v>
      </x:c>
      <x:c r="J433" s="36" t="str">
        <x:v>high</x:v>
      </x:c>
      <x:c r="K433" s="72" t="n">
        <x:v>29.6232275</x:v>
      </x:c>
      <x:c r="L433" s="72" t="n">
        <x:v>-95.0105383</x:v>
      </x:c>
      <x:c r="M433" s="72" t="n">
        <x:v>1.017</x:v>
      </x:c>
      <x:c r="N433" s="72" t="n">
        <x:v>0.07700682997153276</x:v>
      </x:c>
      <x:c r="O433" s="72" t="n">
        <x:v>19.270675858880402</x:v>
      </x:c>
      <x:c r="P433" s="72" t="n">
        <x:v>6</x:v>
      </x:c>
      <x:c r="Q433" s="72" t="n">
        <x:v>535.6422774794123</x:v>
      </x:c>
      <x:c r="R433" s="36" t="str">
        <x:v>tract internal point; no person, address, building, parcel, or route condition</x:v>
      </x:c>
    </x:row>
    <x:row r="434" ht="86.4000015258789" hidden="0" customHeight="1">
      <x:c r="A434" s="34" t="str">
        <x:v>48201341800</x:v>
      </x:c>
      <x:c r="B434" s="62" t="n">
        <x:v>2612</x:v>
      </x:c>
      <x:c r="C434" s="62" t="n">
        <x:v>262</x:v>
      </x:c>
      <x:c r="D434" s="62" t="n">
        <x:v>297.5</x:v>
      </x:c>
      <x:c r="E434" s="43" t="n">
        <x:v>0.1003062787136294</x:v>
      </x:c>
      <x:c r="F434" s="43" t="n">
        <x:v>0.11389739663093415</x:v>
      </x:c>
      <x:c r="G434" s="65" t="n">
        <x:v>1054</x:v>
      </x:c>
      <x:c r="H434" s="65" t="n">
        <x:v>69</x:v>
      </x:c>
      <x:c r="I434" s="65" t="n">
        <x:v>0.06546489563567362</x:v>
      </x:c>
      <x:c r="J434" s="34" t="str">
        <x:v>high</x:v>
      </x:c>
      <x:c r="K434" s="71" t="n">
        <x:v>29.6339494</x:v>
      </x:c>
      <x:c r="L434" s="71" t="n">
        <x:v>-95.0245468</x:v>
      </x:c>
      <x:c r="M434" s="71" t="n">
        <x:v>1.693</x:v>
      </x:c>
      <x:c r="N434" s="71" t="n">
        <x:v>0.14973495824286806</x:v>
      </x:c>
      <x:c r="O434" s="71" t="n">
        <x:v>18.017352435208927</x:v>
      </x:c>
      <x:c r="P434" s="71" t="n">
        <x:v>6</x:v>
      </x:c>
      <x:c r="Q434" s="71" t="n">
        <x:v>456.071247668023</x:v>
      </x:c>
      <x:c r="R434" s="34" t="str">
        <x:v>tract internal point; no person, address, building, parcel, or route condition</x:v>
      </x:c>
    </x:row>
    <x:row r="435" ht="86.4000015258789" hidden="0" customHeight="1">
      <x:c r="A435" s="36" t="str">
        <x:v>48201342001</x:v>
      </x:c>
      <x:c r="B435" s="63" t="n">
        <x:v>6399</x:v>
      </x:c>
      <x:c r="C435" s="63" t="n">
        <x:v>840</x:v>
      </x:c>
      <x:c r="D435" s="63" t="n">
        <x:v>0</x:v>
      </x:c>
      <x:c r="E435" s="45" t="n">
        <x:v>0.13127051101734646</x:v>
      </x:c>
      <x:c r="F435" s="45" t="n">
        <x:v>0</x:v>
      </x:c>
      <x:c r="G435" s="66" t="n">
        <x:v>2267</x:v>
      </x:c>
      <x:c r="H435" s="66" t="n">
        <x:v>132</x:v>
      </x:c>
      <x:c r="I435" s="66" t="n">
        <x:v>0.05822673136303485</x:v>
      </x:c>
      <x:c r="J435" s="36" t="str">
        <x:v>high</x:v>
      </x:c>
      <x:c r="K435" s="72" t="n">
        <x:v>29.6406328</x:v>
      </x:c>
      <x:c r="L435" s="72" t="n">
        <x:v>-95.1261843</x:v>
      </x:c>
      <x:c r="M435" s="72" t="n">
        <x:v>1.951</x:v>
      </x:c>
      <x:c r="N435" s="72" t="n">
        <x:v>0.34586199993839195</x:v>
      </x:c>
      <x:c r="O435" s="72" t="n">
        <x:v>22.486720735446916</x:v>
      </x:c>
      <x:c r="P435" s="72" t="n">
        <x:v>3</x:v>
      </x:c>
      <x:c r="Q435" s="72" t="n">
        <x:v>1111.6752532100686</x:v>
      </x:c>
      <x:c r="R435" s="36" t="str">
        <x:v>tract internal point; no person, address, building, parcel, or route condition</x:v>
      </x:c>
    </x:row>
    <x:row r="436" ht="86.4000015258789" hidden="0" customHeight="1">
      <x:c r="A436" s="34" t="str">
        <x:v>48201342002</x:v>
      </x:c>
      <x:c r="B436" s="62" t="n">
        <x:v>4158</x:v>
      </x:c>
      <x:c r="C436" s="62" t="n">
        <x:v>262</x:v>
      </x:c>
      <x:c r="D436" s="62" t="n">
        <x:v>106</x:v>
      </x:c>
      <x:c r="E436" s="43" t="n">
        <x:v>0.06301106301106302</x:v>
      </x:c>
      <x:c r="F436" s="43" t="n">
        <x:v>0.025493025493025494</x:v>
      </x:c>
      <x:c r="G436" s="65" t="n">
        <x:v>1771</x:v>
      </x:c>
      <x:c r="H436" s="65" t="n">
        <x:v>358</x:v>
      </x:c>
      <x:c r="I436" s="65" t="n">
        <x:v>0.20214568040654998</x:v>
      </x:c>
      <x:c r="J436" s="34" t="str">
        <x:v>high</x:v>
      </x:c>
      <x:c r="K436" s="71" t="n">
        <x:v>29.6430472</x:v>
      </x:c>
      <x:c r="L436" s="71" t="n">
        <x:v>-95.1519622</x:v>
      </x:c>
      <x:c r="M436" s="71" t="n">
        <x:v>1.387</x:v>
      </x:c>
      <x:c r="N436" s="71" t="n">
        <x:v>0.10586687556894228</x:v>
      </x:c>
      <x:c r="O436" s="71" t="n">
        <x:v>19.532393559711235</x:v>
      </x:c>
      <x:c r="P436" s="71" t="n">
        <x:v>3</x:v>
      </x:c>
      <x:c r="Q436" s="71" t="n">
        <x:v>714.5395528855947</x:v>
      </x:c>
      <x:c r="R436" s="34" t="str">
        <x:v>tract internal point; no person, address, building, parcel, or route condition</x:v>
      </x:c>
    </x:row>
    <x:row r="437" ht="86.4000015258789" hidden="0" customHeight="1">
      <x:c r="A437" s="36" t="str">
        <x:v>48201342100</x:v>
      </x:c>
      <x:c r="B437" s="63" t="n">
        <x:v>3964</x:v>
      </x:c>
      <x:c r="C437" s="63" t="n">
        <x:v>344</x:v>
      </x:c>
      <x:c r="D437" s="63" t="n">
        <x:v>0</x:v>
      </x:c>
      <x:c r="E437" s="45" t="n">
        <x:v>0.08678102926337034</x:v>
      </x:c>
      <x:c r="F437" s="45" t="n">
        <x:v>0</x:v>
      </x:c>
      <x:c r="G437" s="66" t="n">
        <x:v>1433</x:v>
      </x:c>
      <x:c r="H437" s="66" t="n">
        <x:v>53</x:v>
      </x:c>
      <x:c r="I437" s="66" t="n">
        <x:v>0.03698534542916958</x:v>
      </x:c>
      <x:c r="J437" s="36" t="str">
        <x:v>moderate</x:v>
      </x:c>
      <x:c r="K437" s="72" t="n">
        <x:v>29.655812</x:v>
      </x:c>
      <x:c r="L437" s="72" t="n">
        <x:v>-95.1424321</x:v>
      </x:c>
      <x:c r="M437" s="72" t="n">
        <x:v>1.785</x:v>
      </x:c>
      <x:c r="N437" s="72" t="n">
        <x:v>0.027656497905047678</x:v>
      </x:c>
      <x:c r="O437" s="72" t="n">
        <x:v>19.76449877794106</x:v>
      </x:c>
      <x:c r="P437" s="72" t="n">
        <x:v>3</x:v>
      </x:c>
      <x:c r="Q437" s="72" t="n">
        <x:v>560.7734076570516</x:v>
      </x:c>
      <x:c r="R437" s="36" t="str">
        <x:v>tract internal point; no person, address, building, parcel, or route condition</x:v>
      </x:c>
    </x:row>
    <x:row r="438" ht="86.4000015258789" hidden="0" customHeight="1">
      <x:c r="A438" s="34" t="str">
        <x:v>48201342200</x:v>
      </x:c>
      <x:c r="B438" s="62" t="n">
        <x:v>3878</x:v>
      </x:c>
      <x:c r="C438" s="62" t="n">
        <x:v>607</x:v>
      </x:c>
      <x:c r="D438" s="62" t="n">
        <x:v>159</x:v>
      </x:c>
      <x:c r="E438" s="43" t="n">
        <x:v>0.15652398143372873</x:v>
      </x:c>
      <x:c r="F438" s="43" t="n">
        <x:v>0.04100051572975761</x:v>
      </x:c>
      <x:c r="G438" s="65" t="n">
        <x:v>1469</x:v>
      </x:c>
      <x:c r="H438" s="65" t="n">
        <x:v>100</x:v>
      </x:c>
      <x:c r="I438" s="65" t="n">
        <x:v>0.06807351940095303</x:v>
      </x:c>
      <x:c r="J438" s="34" t="str">
        <x:v>low</x:v>
      </x:c>
      <x:c r="K438" s="71" t="n">
        <x:v>29.6735514</x:v>
      </x:c>
      <x:c r="L438" s="71" t="n">
        <x:v>-95.1465361</x:v>
      </x:c>
      <x:c r="M438" s="71" t="n">
        <x:v>1.111</x:v>
      </x:c>
      <x:c r="N438" s="71" t="n">
        <x:v>0.29036538713066806</x:v>
      </x:c>
      <x:c r="O438" s="71" t="n">
        <x:v>21.656290837585292</x:v>
      </x:c>
      <x:c r="P438" s="71" t="n">
        <x:v>3</x:v>
      </x:c>
      <x:c r="Q438" s="71" t="n">
        <x:v>315.58346589433677</x:v>
      </x:c>
      <x:c r="R438" s="34" t="str">
        <x:v>tract internal point; no person, address, building, parcel, or route condition</x:v>
      </x:c>
    </x:row>
    <x:row r="439" ht="86.4000015258789" hidden="0" customHeight="1">
      <x:c r="A439" s="36" t="str">
        <x:v>48201342300</x:v>
      </x:c>
      <x:c r="B439" s="63" t="n">
        <x:v>7114</x:v>
      </x:c>
      <x:c r="C439" s="63" t="n">
        <x:v>1093</x:v>
      </x:c>
      <x:c r="D439" s="63" t="n">
        <x:v>210</x:v>
      </x:c>
      <x:c r="E439" s="45" t="n">
        <x:v>0.15364070846218725</x:v>
      </x:c>
      <x:c r="F439" s="45" t="n">
        <x:v>0.029519257801518133</x:v>
      </x:c>
      <x:c r="G439" s="66" t="n">
        <x:v>2952</x:v>
      </x:c>
      <x:c r="H439" s="66" t="n">
        <x:v>383</x:v>
      </x:c>
      <x:c r="I439" s="66" t="n">
        <x:v>0.12974254742547425</x:v>
      </x:c>
      <x:c r="J439" s="36" t="str">
        <x:v>low</x:v>
      </x:c>
      <x:c r="K439" s="72" t="n">
        <x:v>29.673705</x:v>
      </x:c>
      <x:c r="L439" s="72" t="n">
        <x:v>-95.131227</x:v>
      </x:c>
      <x:c r="M439" s="72" t="n">
        <x:v>1.08</x:v>
      </x:c>
      <x:c r="N439" s="72" t="n">
        <x:v>0.04818264806947841</x:v>
      </x:c>
      <x:c r="O439" s="72" t="n">
        <x:v>22.612980996089128</x:v>
      </x:c>
      <x:c r="P439" s="72" t="n">
        <x:v>3</x:v>
      </x:c>
      <x:c r="Q439" s="72" t="n">
        <x:v>577.957954524094</x:v>
      </x:c>
      <x:c r="R439" s="36" t="str">
        <x:v>tract internal point; no person, address, building, parcel, or route condition</x:v>
      </x:c>
    </x:row>
    <x:row r="440" ht="86.4000015258789" hidden="0" customHeight="1">
      <x:c r="A440" s="34" t="str">
        <x:v>48201342400</x:v>
      </x:c>
      <x:c r="B440" s="62" t="n">
        <x:v>3524</x:v>
      </x:c>
      <x:c r="C440" s="62" t="n">
        <x:v>414</x:v>
      </x:c>
      <x:c r="D440" s="62" t="n">
        <x:v>11</x:v>
      </x:c>
      <x:c r="E440" s="43" t="n">
        <x:v>0.11748013620885357</x:v>
      </x:c>
      <x:c r="F440" s="43" t="n">
        <x:v>0.0031214528944381384</x:v>
      </x:c>
      <x:c r="G440" s="65" t="n">
        <x:v>1380</x:v>
      </x:c>
      <x:c r="H440" s="65" t="n">
        <x:v>152</x:v>
      </x:c>
      <x:c r="I440" s="65" t="n">
        <x:v>0.11014492753623188</x:v>
      </x:c>
      <x:c r="J440" s="34" t="str">
        <x:v>high</x:v>
      </x:c>
      <x:c r="K440" s="71" t="n">
        <x:v>29.6958294</x:v>
      </x:c>
      <x:c r="L440" s="71" t="n">
        <x:v>-95.1477075</x:v>
      </x:c>
      <x:c r="M440" s="71" t="n">
        <x:v>1.282</x:v>
      </x:c>
      <x:c r="N440" s="71" t="n">
        <x:v>0.4171157150378793</x:v>
      </x:c>
      <x:c r="O440" s="71" t="n">
        <x:v>23.01000375501771</x:v>
      </x:c>
      <x:c r="P440" s="71" t="n">
        <x:v>3</x:v>
      </x:c>
      <x:c r="Q440" s="71" t="n">
        <x:v>610.752725149476</x:v>
      </x:c>
      <x:c r="R440" s="34" t="str">
        <x:v>tract internal point; no person, address, building, parcel, or route condition</x:v>
      </x:c>
    </x:row>
    <x:row r="441" ht="86.4000015258789" hidden="0" customHeight="1">
      <x:c r="A441" s="36" t="str">
        <x:v>48201342500</x:v>
      </x:c>
      <x:c r="B441" s="63" t="n">
        <x:v>6276</x:v>
      </x:c>
      <x:c r="C441" s="63" t="n">
        <x:v>856</x:v>
      </x:c>
      <x:c r="D441" s="63" t="n">
        <x:v>282.5</x:v>
      </x:c>
      <x:c r="E441" s="45" t="n">
        <x:v>0.13639260675589548</x:v>
      </x:c>
      <x:c r="F441" s="45" t="n">
        <x:v>0.04501274697259401</x:v>
      </x:c>
      <x:c r="G441" s="66" t="n">
        <x:v>2431</x:v>
      </x:c>
      <x:c r="H441" s="66" t="n">
        <x:v>365</x:v>
      </x:c>
      <x:c r="I441" s="66" t="n">
        <x:v>0.15014397367338544</x:v>
      </x:c>
      <x:c r="J441" s="36" t="str">
        <x:v>high</x:v>
      </x:c>
      <x:c r="K441" s="72" t="n">
        <x:v>29.697306</x:v>
      </x:c>
      <x:c r="L441" s="72" t="n">
        <x:v>-95.1317655</x:v>
      </x:c>
      <x:c r="M441" s="72" t="n">
        <x:v>2.485</x:v>
      </x:c>
      <x:c r="N441" s="72" t="n">
        <x:v>0.29091713318818796</x:v>
      </x:c>
      <x:c r="O441" s="72" t="n">
        <x:v>22.6656209501201</x:v>
      </x:c>
      <x:c r="P441" s="72" t="n">
        <x:v>6</x:v>
      </x:c>
      <x:c r="Q441" s="72" t="n">
        <x:v>1096.177481102351</x:v>
      </x:c>
      <x:c r="R441" s="36" t="str">
        <x:v>tract internal point; no person, address, building, parcel, or route condition</x:v>
      </x:c>
    </x:row>
    <x:row r="442" ht="86.4000015258789" hidden="0" customHeight="1">
      <x:c r="A442" s="34" t="str">
        <x:v>48201342700</x:v>
      </x:c>
      <x:c r="B442" s="62" t="n">
        <x:v>4713</x:v>
      </x:c>
      <x:c r="C442" s="62" t="n">
        <x:v>626</x:v>
      </x:c>
      <x:c r="D442" s="62" t="n">
        <x:v>9</x:v>
      </x:c>
      <x:c r="E442" s="43" t="n">
        <x:v>0.1328241035433906</x:v>
      </x:c>
      <x:c r="F442" s="43" t="n">
        <x:v>0.0019096117122851686</x:v>
      </x:c>
      <x:c r="G442" s="65" t="n">
        <x:v>1873</x:v>
      </x:c>
      <x:c r="H442" s="65" t="n">
        <x:v>55</x:v>
      </x:c>
      <x:c r="I442" s="65" t="n">
        <x:v>0.029364655632674853</x:v>
      </x:c>
      <x:c r="J442" s="34" t="str">
        <x:v>low</x:v>
      </x:c>
      <x:c r="K442" s="71" t="n">
        <x:v>29.6960655</x:v>
      </x:c>
      <x:c r="L442" s="71" t="n">
        <x:v>-95.1188728</x:v>
      </x:c>
      <x:c r="M442" s="71" t="n">
        <x:v>1.348</x:v>
      </x:c>
      <x:c r="N442" s="71" t="n">
        <x:v>0.03396068082021874</x:v>
      </x:c>
      <x:c r="O442" s="71" t="n">
        <x:v>21.036936141324038</x:v>
      </x:c>
      <x:c r="P442" s="71" t="n">
        <x:v>6</x:v>
      </x:c>
      <x:c r="Q442" s="71" t="n">
        <x:v>380.33022434420474</x:v>
      </x:c>
      <x:c r="R442" s="34" t="str">
        <x:v>tract internal point; no person, address, building, parcel, or route condition</x:v>
      </x:c>
    </x:row>
    <x:row r="443" ht="86.4000015258789" hidden="0" customHeight="1">
      <x:c r="A443" s="36" t="str">
        <x:v>48201342801</x:v>
      </x:c>
      <x:c r="B443" s="63" t="n">
        <x:v>5306</x:v>
      </x:c>
      <x:c r="C443" s="63" t="n">
        <x:v>707</x:v>
      </x:c>
      <x:c r="D443" s="63" t="n">
        <x:v>0</x:v>
      </x:c>
      <x:c r="E443" s="45" t="n">
        <x:v>0.13324538258575197</x:v>
      </x:c>
      <x:c r="F443" s="45" t="n">
        <x:v>0</x:v>
      </x:c>
      <x:c r="G443" s="66" t="n">
        <x:v>1998</x:v>
      </x:c>
      <x:c r="H443" s="66" t="n">
        <x:v>0</x:v>
      </x:c>
      <x:c r="I443" s="66" t="n">
        <x:v>0</x:v>
      </x:c>
      <x:c r="J443" s="36" t="str">
        <x:v>low</x:v>
      </x:c>
      <x:c r="K443" s="72" t="n">
        <x:v>29.6860043</x:v>
      </x:c>
      <x:c r="L443" s="72" t="n">
        <x:v>-95.102856</x:v>
      </x:c>
      <x:c r="M443" s="72" t="n">
        <x:v>0.879</x:v>
      </x:c>
      <x:c r="N443" s="72" t="n">
        <x:v>0.06554834439699993</x:v>
      </x:c>
      <x:c r="O443" s="72" t="n">
        <x:v>21.347683207422417</x:v>
      </x:c>
      <x:c r="P443" s="72" t="n">
        <x:v>6</x:v>
      </x:c>
      <x:c r="Q443" s="72" t="n">
        <x:v>428.1397086426444</x:v>
      </x:c>
      <x:c r="R443" s="36" t="str">
        <x:v>tract internal point; no person, address, building, parcel, or route condition</x:v>
      </x:c>
    </x:row>
    <x:row r="444" ht="86.4000015258789" hidden="0" customHeight="1">
      <x:c r="A444" s="34" t="str">
        <x:v>48201342802</x:v>
      </x:c>
      <x:c r="B444" s="62" t="n">
        <x:v>3666</x:v>
      </x:c>
      <x:c r="C444" s="62" t="n">
        <x:v>361</x:v>
      </x:c>
      <x:c r="D444" s="62" t="n">
        <x:v>34</x:v>
      </x:c>
      <x:c r="E444" s="43" t="n">
        <x:v>0.09847244953627933</x:v>
      </x:c>
      <x:c r="F444" s="43" t="n">
        <x:v>0.009274413529732678</x:v>
      </x:c>
      <x:c r="G444" s="65" t="n">
        <x:v>1128</x:v>
      </x:c>
      <x:c r="H444" s="65" t="n">
        <x:v>0</x:v>
      </x:c>
      <x:c r="I444" s="65" t="n">
        <x:v>0</x:v>
      </x:c>
      <x:c r="J444" s="34" t="str">
        <x:v>low</x:v>
      </x:c>
      <x:c r="K444" s="71" t="n">
        <x:v>29.6973737</x:v>
      </x:c>
      <x:c r="L444" s="71" t="n">
        <x:v>-95.1005422</x:v>
      </x:c>
      <x:c r="M444" s="71" t="n">
        <x:v>1.982</x:v>
      </x:c>
      <x:c r="N444" s="71" t="n">
        <x:v>0.24996235001832845</x:v>
      </x:c>
      <x:c r="O444" s="71" t="n">
        <x:v>19.734799408170318</x:v>
      </x:c>
      <x:c r="P444" s="71" t="n">
        <x:v>6</x:v>
      </x:c>
      <x:c r="Q444" s="71" t="n">
        <x:v>294.07194879342774</x:v>
      </x:c>
      <x:c r="R444" s="34" t="str">
        <x:v>tract internal point; no person, address, building, parcel, or route condition</x:v>
      </x:c>
    </x:row>
    <x:row r="445" ht="86.4000015258789" hidden="0" customHeight="1">
      <x:c r="A445" s="36" t="str">
        <x:v>48201342900</x:v>
      </x:c>
      <x:c r="B445" s="63" t="n">
        <x:v>6853</x:v>
      </x:c>
      <x:c r="C445" s="63" t="n">
        <x:v>959</x:v>
      </x:c>
      <x:c r="D445" s="63" t="n">
        <x:v>186.5</x:v>
      </x:c>
      <x:c r="E445" s="45" t="n">
        <x:v>0.13993871297242083</x:v>
      </x:c>
      <x:c r="F445" s="45" t="n">
        <x:v>0.027214358675032833</x:v>
      </x:c>
      <x:c r="G445" s="66" t="n">
        <x:v>2582</x:v>
      </x:c>
      <x:c r="H445" s="66" t="n">
        <x:v>166</x:v>
      </x:c>
      <x:c r="I445" s="66" t="n">
        <x:v>0.06429124709527498</x:v>
      </x:c>
      <x:c r="J445" s="36" t="str">
        <x:v>moderate</x:v>
      </x:c>
      <x:c r="K445" s="72" t="n">
        <x:v>29.6716312</x:v>
      </x:c>
      <x:c r="L445" s="72" t="n">
        <x:v>-95.1049703</x:v>
      </x:c>
      <x:c r="M445" s="72" t="n">
        <x:v>2.295</x:v>
      </x:c>
      <x:c r="N445" s="72" t="n">
        <x:v>0.07476090752581939</x:v>
      </x:c>
      <x:c r="O445" s="72" t="n">
        <x:v>23.41979724388648</x:v>
      </x:c>
      <x:c r="P445" s="72" t="n">
        <x:v>6</x:v>
      </x:c>
      <x:c r="Q445" s="72" t="n">
        <x:v>982.1947347538189</x:v>
      </x:c>
      <x:c r="R445" s="36" t="str">
        <x:v>tract internal point; no person, address, building, parcel, or route condition</x:v>
      </x:c>
    </x:row>
    <x:row r="446" ht="86.4000015258789" hidden="0" customHeight="1">
      <x:c r="A446" s="34" t="str">
        <x:v>48201343000</x:v>
      </x:c>
      <x:c r="B446" s="62" t="n">
        <x:v>8808</x:v>
      </x:c>
      <x:c r="C446" s="62" t="n">
        <x:v>885</x:v>
      </x:c>
      <x:c r="D446" s="62" t="n">
        <x:v>472</x:v>
      </x:c>
      <x:c r="E446" s="43" t="n">
        <x:v>0.10047683923705722</x:v>
      </x:c>
      <x:c r="F446" s="43" t="n">
        <x:v>0.053587647593097185</x:v>
      </x:c>
      <x:c r="G446" s="65" t="n">
        <x:v>3118</x:v>
      </x:c>
      <x:c r="H446" s="65" t="n">
        <x:v>571</x:v>
      </x:c>
      <x:c r="I446" s="65" t="n">
        <x:v>0.18313021167415008</x:v>
      </x:c>
      <x:c r="J446" s="34" t="str">
        <x:v>moderate</x:v>
      </x:c>
      <x:c r="K446" s="71" t="n">
        <x:v>29.65813</x:v>
      </x:c>
      <x:c r="L446" s="71" t="n">
        <x:v>-95.107354</x:v>
      </x:c>
      <x:c r="M446" s="71" t="n">
        <x:v>2.264</x:v>
      </x:c>
      <x:c r="N446" s="71" t="n">
        <x:v>0.06342719489455496</x:v>
      </x:c>
      <x:c r="O446" s="71" t="n">
        <x:v>25.319293203491362</x:v>
      </x:c>
      <x:c r="P446" s="71" t="n">
        <x:v>3</x:v>
      </x:c>
      <x:c r="Q446" s="71" t="n">
        <x:v>1255.9555575877853</x:v>
      </x:c>
      <x:c r="R446" s="34" t="str">
        <x:v>tract internal point; no person, address, building, parcel, or route condition</x:v>
      </x:c>
    </x:row>
    <x:row r="447" ht="86.4000015258789" hidden="0" customHeight="1">
      <x:c r="A447" s="36" t="str">
        <x:v>48201343100</x:v>
      </x:c>
      <x:c r="B447" s="63" t="n">
        <x:v>3900</x:v>
      </x:c>
      <x:c r="C447" s="63" t="n">
        <x:v>932</x:v>
      </x:c>
      <x:c r="D447" s="63" t="n">
        <x:v>67</x:v>
      </x:c>
      <x:c r="E447" s="45" t="n">
        <x:v>0.23897435897435898</x:v>
      </x:c>
      <x:c r="F447" s="45" t="n">
        <x:v>0.01717948717948718</x:v>
      </x:c>
      <x:c r="G447" s="66" t="n">
        <x:v>1444</x:v>
      </x:c>
      <x:c r="H447" s="66" t="n">
        <x:v>5</x:v>
      </x:c>
      <x:c r="I447" s="66" t="n">
        <x:v>0.0034626038781163434</x:v>
      </x:c>
      <x:c r="J447" s="36" t="str">
        <x:v>low</x:v>
      </x:c>
      <x:c r="K447" s="72" t="n">
        <x:v>29.6588158</x:v>
      </x:c>
      <x:c r="L447" s="72" t="n">
        <x:v>-95.0784324</x:v>
      </x:c>
      <x:c r="M447" s="72" t="n">
        <x:v>0.793</x:v>
      </x:c>
      <x:c r="N447" s="72" t="n">
        <x:v>0.044569802161372817</x:v>
      </x:c>
      <x:c r="O447" s="72" t="n">
        <x:v>21.59303788064772</x:v>
      </x:c>
      <x:c r="P447" s="72" t="n">
        <x:v>6</x:v>
      </x:c>
      <x:c r="Q447" s="72" t="n">
        <x:v>321.69817554158084</x:v>
      </x:c>
      <x:c r="R447" s="36" t="str">
        <x:v>tract internal point; no person, address, building, parcel, or route condition</x:v>
      </x:c>
    </x:row>
    <x:row r="448" ht="86.4000015258789" hidden="0" customHeight="1">
      <x:c r="A448" s="34" t="str">
        <x:v>48201343200</x:v>
      </x:c>
      <x:c r="B448" s="62" t="n">
        <x:v>5446</x:v>
      </x:c>
      <x:c r="C448" s="62" t="n">
        <x:v>721</x:v>
      </x:c>
      <x:c r="D448" s="62" t="n">
        <x:v>252</x:v>
      </x:c>
      <x:c r="E448" s="43" t="n">
        <x:v>0.13239074550128535</x:v>
      </x:c>
      <x:c r="F448" s="43" t="n">
        <x:v>0.04627249357326478</x:v>
      </x:c>
      <x:c r="G448" s="65" t="n">
        <x:v>1877</x:v>
      </x:c>
      <x:c r="H448" s="65" t="n">
        <x:v>33</x:v>
      </x:c>
      <x:c r="I448" s="65" t="n">
        <x:v>0.017581246670218435</x:v>
      </x:c>
      <x:c r="J448" s="34" t="str">
        <x:v>low</x:v>
      </x:c>
      <x:c r="K448" s="71" t="n">
        <x:v>29.6581158</x:v>
      </x:c>
      <x:c r="L448" s="71" t="n">
        <x:v>-95.0553648</x:v>
      </x:c>
      <x:c r="M448" s="71" t="n">
        <x:v>1.808</x:v>
      </x:c>
      <x:c r="N448" s="71" t="n">
        <x:v>0.008207335261642783</x:v>
      </x:c>
      <x:c r="O448" s="71" t="n">
        <x:v>18.692209957807894</x:v>
      </x:c>
      <x:c r="P448" s="71" t="n">
        <x:v>6</x:v>
      </x:c>
      <x:c r="Q448" s="71" t="n">
        <x:v>441.3437089091871</x:v>
      </x:c>
      <x:c r="R448" s="34" t="str">
        <x:v>tract internal point; no person, address, building, parcel, or route condition</x:v>
      </x:c>
    </x:row>
    <x:row r="449" ht="86.4000015258789" hidden="0" customHeight="1">
      <x:c r="A449" s="36" t="str">
        <x:v>48201343301</x:v>
      </x:c>
      <x:c r="B449" s="63" t="n">
        <x:v>4540</x:v>
      </x:c>
      <x:c r="C449" s="63" t="n">
        <x:v>682</x:v>
      </x:c>
      <x:c r="D449" s="63" t="n">
        <x:v>22</x:v>
      </x:c>
      <x:c r="E449" s="45" t="n">
        <x:v>0.1502202643171806</x:v>
      </x:c>
      <x:c r="F449" s="45" t="n">
        <x:v>0.004845814977973568</x:v>
      </x:c>
      <x:c r="G449" s="66" t="n">
        <x:v>1540</x:v>
      </x:c>
      <x:c r="H449" s="66" t="n">
        <x:v>0</x:v>
      </x:c>
      <x:c r="I449" s="66" t="n">
        <x:v>0</x:v>
      </x:c>
      <x:c r="J449" s="36" t="str">
        <x:v>low</x:v>
      </x:c>
      <x:c r="K449" s="72" t="n">
        <x:v>29.6841022</x:v>
      </x:c>
      <x:c r="L449" s="72" t="n">
        <x:v>-95.0651043</x:v>
      </x:c>
      <x:c r="M449" s="72" t="n">
        <x:v>4.448</x:v>
      </x:c>
      <x:c r="N449" s="72" t="n">
        <x:v>0.14167401095793627</x:v>
      </x:c>
      <x:c r="O449" s="72" t="n">
        <x:v>16.732996399185655</x:v>
      </x:c>
      <x:c r="P449" s="72" t="n">
        <x:v>6</x:v>
      </x:c>
      <x:c r="Q449" s="72" t="n">
        <x:v>367.7156883752756</x:v>
      </x:c>
      <x:c r="R449" s="36" t="str">
        <x:v>tract internal point; no person, address, building, parcel, or route condition</x:v>
      </x:c>
    </x:row>
    <x:row r="450" ht="86.4000015258789" hidden="0" customHeight="1">
      <x:c r="A450" s="34" t="str">
        <x:v>48201343302</x:v>
      </x:c>
      <x:c r="B450" s="62" t="n">
        <x:v>4927</x:v>
      </x:c>
      <x:c r="C450" s="62" t="n">
        <x:v>503</x:v>
      </x:c>
      <x:c r="D450" s="62" t="n">
        <x:v>177</x:v>
      </x:c>
      <x:c r="E450" s="43" t="n">
        <x:v>0.10209052161558758</x:v>
      </x:c>
      <x:c r="F450" s="43" t="n">
        <x:v>0.03592449766592247</x:v>
      </x:c>
      <x:c r="G450" s="65" t="n">
        <x:v>1942</x:v>
      </x:c>
      <x:c r="H450" s="65" t="n">
        <x:v>101</x:v>
      </x:c>
      <x:c r="I450" s="65" t="n">
        <x:v>0.052008238928939236</x:v>
      </x:c>
      <x:c r="J450" s="34" t="str">
        <x:v>low</x:v>
      </x:c>
      <x:c r="K450" s="71" t="n">
        <x:v>29.6705855</x:v>
      </x:c>
      <x:c r="L450" s="71" t="n">
        <x:v>-95.0618749</x:v>
      </x:c>
      <x:c r="M450" s="71" t="n">
        <x:v>1.743</x:v>
      </x:c>
      <x:c r="N450" s="71" t="n">
        <x:v>0.3575366409617692</x:v>
      </x:c>
      <x:c r="O450" s="71" t="n">
        <x:v>18.779332806727076</x:v>
      </x:c>
      <x:c r="P450" s="71" t="n">
        <x:v>6</x:v>
      </x:c>
      <x:c r="Q450" s="71" t="n">
        <x:v>396.53656276659217</x:v>
      </x:c>
      <x:c r="R450" s="34" t="str">
        <x:v>tract internal point; no person, address, building, parcel, or route condition</x:v>
      </x:c>
    </x:row>
    <x:row r="451" ht="86.4000015258789" hidden="0" customHeight="1">
      <x:c r="A451" s="36" t="str">
        <x:v>48201343602</x:v>
      </x:c>
      <x:c r="B451" s="63" t="n">
        <x:v>2849</x:v>
      </x:c>
      <x:c r="C451" s="63" t="n">
        <x:v>423</x:v>
      </x:c>
      <x:c r="D451" s="63" t="n">
        <x:v>99</x:v>
      </x:c>
      <x:c r="E451" s="45" t="n">
        <x:v>0.14847314847314846</x:v>
      </x:c>
      <x:c r="F451" s="45" t="n">
        <x:v>0.03474903474903475</x:v>
      </x:c>
      <x:c r="G451" s="66" t="n">
        <x:v>1238</x:v>
      </x:c>
      <x:c r="H451" s="66" t="n">
        <x:v>140</x:v>
      </x:c>
      <x:c r="I451" s="66" t="n">
        <x:v>0.11308562197092084</x:v>
      </x:c>
      <x:c r="J451" s="36" t="str">
        <x:v>moderate</x:v>
      </x:c>
      <x:c r="K451" s="72" t="n">
        <x:v>29.6647108</x:v>
      </x:c>
      <x:c r="L451" s="72" t="n">
        <x:v>-95.0073802</x:v>
      </x:c>
      <x:c r="M451" s="72" t="n">
        <x:v>2.065</x:v>
      </x:c>
      <x:c r="N451" s="72" t="n">
        <x:v>0.05289844807482912</x:v>
      </x:c>
      <x:c r="O451" s="72" t="n">
        <x:v>16.79503792196127</x:v>
      </x:c>
      <x:c r="P451" s="72" t="n">
        <x:v>6</x:v>
      </x:c>
      <x:c r="Q451" s="72" t="n">
        <x:v>409.3028480059838</x:v>
      </x:c>
      <x:c r="R451" s="36" t="str">
        <x:v>tract internal point; no person, address, building, parcel, or route condition</x:v>
      </x:c>
    </x:row>
    <x:row r="452" ht="86.4000015258789" hidden="0" customHeight="1">
      <x:c r="A452" s="34" t="str">
        <x:v>48201343700</x:v>
      </x:c>
      <x:c r="B452" s="62" t="n">
        <x:v>3859</x:v>
      </x:c>
      <x:c r="C452" s="62" t="n">
        <x:v>369</x:v>
      </x:c>
      <x:c r="D452" s="62" t="n">
        <x:v>85</x:v>
      </x:c>
      <x:c r="E452" s="43" t="n">
        <x:v>0.09562062710546773</x:v>
      </x:c>
      <x:c r="F452" s="43" t="n">
        <x:v>0.022026431718061675</x:v>
      </x:c>
      <x:c r="G452" s="65" t="n">
        <x:v>1510</x:v>
      </x:c>
      <x:c r="H452" s="65" t="n">
        <x:v>74</x:v>
      </x:c>
      <x:c r="I452" s="65" t="n">
        <x:v>0.04900662251655629</x:v>
      </x:c>
      <x:c r="J452" s="34" t="str">
        <x:v>moderate</x:v>
      </x:c>
      <x:c r="K452" s="71" t="n">
        <x:v>29.6374126</x:v>
      </x:c>
      <x:c r="L452" s="71" t="n">
        <x:v>-95.0618101</x:v>
      </x:c>
      <x:c r="M452" s="71" t="n">
        <x:v>15.468</x:v>
      </x:c>
      <x:c r="N452" s="71" t="n">
        <x:v>0.37879843132178276</x:v>
      </x:c>
      <x:c r="O452" s="71" t="n">
        <x:v>22.875116730413723</x:v>
      </x:c>
      <x:c r="P452" s="71" t="n">
        <x:v>6</x:v>
      </x:c>
      <x:c r="Q452" s="71" t="n">
        <x:v>548.0500475101015</x:v>
      </x:c>
      <x:c r="R452" s="34" t="str">
        <x:v>tract internal point; no person, address, building, parcel, or route condition</x:v>
      </x:c>
    </x:row>
    <x:row r="453" ht="86.4000015258789" hidden="0" customHeight="1">
      <x:c r="A453" s="36" t="str">
        <x:v>48201350101</x:v>
      </x:c>
      <x:c r="B453" s="63" t="n">
        <x:v>4296</x:v>
      </x:c>
      <x:c r="C453" s="63" t="n">
        <x:v>496</x:v>
      </x:c>
      <x:c r="D453" s="63" t="n">
        <x:v>0</x:v>
      </x:c>
      <x:c r="E453" s="45" t="n">
        <x:v>0.1154562383612663</x:v>
      </x:c>
      <x:c r="F453" s="45" t="n">
        <x:v>0</x:v>
      </x:c>
      <x:c r="G453" s="66" t="n">
        <x:v>1358</x:v>
      </x:c>
      <x:c r="H453" s="66" t="n">
        <x:v>0</x:v>
      </x:c>
      <x:c r="I453" s="66" t="n">
        <x:v>0</x:v>
      </x:c>
      <x:c r="J453" s="36" t="str">
        <x:v>moderate</x:v>
      </x:c>
      <x:c r="K453" s="72" t="n">
        <x:v>29.5697166</x:v>
      </x:c>
      <x:c r="L453" s="72" t="n">
        <x:v>-95.2085991</x:v>
      </x:c>
      <x:c r="M453" s="72" t="n">
        <x:v>2.095</x:v>
      </x:c>
      <x:c r="N453" s="72" t="n">
        <x:v>0.10446507794746283</x:v>
      </x:c>
      <x:c r="O453" s="72" t="n">
        <x:v>18.709560991366025</x:v>
      </x:c>
      <x:c r="P453" s="72" t="n">
        <x:v>3</x:v>
      </x:c>
      <x:c r="Q453" s="72" t="n">
        <x:v>611.1662570259556</x:v>
      </x:c>
      <x:c r="R453" s="36" t="str">
        <x:v>tract internal point; no person, address, building, parcel, or route condition</x:v>
      </x:c>
    </x:row>
    <x:row r="454" ht="86.4000015258789" hidden="0" customHeight="1">
      <x:c r="A454" s="34" t="str">
        <x:v>48201350102</x:v>
      </x:c>
      <x:c r="B454" s="62" t="n">
        <x:v>5213</x:v>
      </x:c>
      <x:c r="C454" s="62" t="n">
        <x:v>842</x:v>
      </x:c>
      <x:c r="D454" s="62" t="n">
        <x:v>76</x:v>
      </x:c>
      <x:c r="E454" s="43" t="n">
        <x:v>0.16151927872626126</x:v>
      </x:c>
      <x:c r="F454" s="43" t="n">
        <x:v>0.014578937272204105</x:v>
      </x:c>
      <x:c r="G454" s="65" t="n">
        <x:v>1967</x:v>
      </x:c>
      <x:c r="H454" s="65" t="n">
        <x:v>0</x:v>
      </x:c>
      <x:c r="I454" s="65" t="n">
        <x:v>0</x:v>
      </x:c>
      <x:c r="J454" s="34" t="str">
        <x:v>moderate</x:v>
      </x:c>
      <x:c r="K454" s="71" t="n">
        <x:v>29.5644702</x:v>
      </x:c>
      <x:c r="L454" s="71" t="n">
        <x:v>-95.2310779</x:v>
      </x:c>
      <x:c r="M454" s="71" t="n">
        <x:v>1.751</x:v>
      </x:c>
      <x:c r="N454" s="71" t="n">
        <x:v>0.03271389365387365</x:v>
      </x:c>
      <x:c r="O454" s="71" t="n">
        <x:v>16.992697576794</x:v>
      </x:c>
      <x:c r="P454" s="71" t="n">
        <x:v>3</x:v>
      </x:c>
      <x:c r="Q454" s="71" t="n">
        <x:v>749.3572440646328</x:v>
      </x:c>
      <x:c r="R454" s="34" t="str">
        <x:v>tract internal point; no person, address, building, parcel, or route condition</x:v>
      </x:c>
    </x:row>
    <x:row r="455" ht="86.4000015258789" hidden="0" customHeight="1">
      <x:c r="A455" s="36" t="str">
        <x:v>48201350103</x:v>
      </x:c>
      <x:c r="B455" s="63" t="n">
        <x:v>8504</x:v>
      </x:c>
      <x:c r="C455" s="63" t="n">
        <x:v>754</x:v>
      </x:c>
      <x:c r="D455" s="63" t="n">
        <x:v>175.5</x:v>
      </x:c>
      <x:c r="E455" s="45" t="n">
        <x:v>0.08866415804327375</x:v>
      </x:c>
      <x:c r="F455" s="45" t="n">
        <x:v>0.020637347130761995</x:v>
      </x:c>
      <x:c r="G455" s="66" t="n">
        <x:v>3332</x:v>
      </x:c>
      <x:c r="H455" s="66" t="n">
        <x:v>41</x:v>
      </x:c>
      <x:c r="I455" s="66" t="n">
        <x:v>0.012304921968787515</x:v>
      </x:c>
      <x:c r="J455" s="36" t="str">
        <x:v>moderate</x:v>
      </x:c>
      <x:c r="K455" s="72" t="n">
        <x:v>29.5711616</x:v>
      </x:c>
      <x:c r="L455" s="72" t="n">
        <x:v>-95.2453882</x:v>
      </x:c>
      <x:c r="M455" s="72" t="n">
        <x:v>1.696</x:v>
      </x:c>
      <x:c r="N455" s="72" t="n">
        <x:v>0.09295323882550705</x:v>
      </x:c>
      <x:c r="O455" s="72" t="n">
        <x:v>15.836131784177866</x:v>
      </x:c>
      <x:c r="P455" s="72" t="n">
        <x:v>3</x:v>
      </x:c>
      <x:c r="Q455" s="72" t="n">
        <x:v>1205.9172936655998</x:v>
      </x:c>
      <x:c r="R455" s="36" t="str">
        <x:v>tract internal point; no person, address, building, parcel, or route condition</x:v>
      </x:c>
    </x:row>
    <x:row r="456" ht="86.4000015258789" hidden="0" customHeight="1">
      <x:c r="A456" s="34" t="str">
        <x:v>48201350104</x:v>
      </x:c>
      <x:c r="B456" s="62" t="n">
        <x:v>5561</x:v>
      </x:c>
      <x:c r="C456" s="62" t="n">
        <x:v>586</x:v>
      </x:c>
      <x:c r="D456" s="62" t="n">
        <x:v>54</x:v>
      </x:c>
      <x:c r="E456" s="43" t="n">
        <x:v>0.10537673080381227</x:v>
      </x:c>
      <x:c r="F456" s="43" t="n">
        <x:v>0.009710483725948571</x:v>
      </x:c>
      <x:c r="G456" s="65" t="n">
        <x:v>1973</x:v>
      </x:c>
      <x:c r="H456" s="65" t="n">
        <x:v>496</x:v>
      </x:c>
      <x:c r="I456" s="65" t="n">
        <x:v>0.2513938165230613</x:v>
      </x:c>
      <x:c r="J456" s="34" t="str">
        <x:v>high</x:v>
      </x:c>
      <x:c r="K456" s="71" t="n">
        <x:v>29.5942512</x:v>
      </x:c>
      <x:c r="L456" s="71" t="n">
        <x:v>-95.256143</x:v>
      </x:c>
      <x:c r="M456" s="71" t="n">
        <x:v>2.175</x:v>
      </x:c>
      <x:c r="N456" s="71" t="n">
        <x:v>0.657628270473448</x:v>
      </x:c>
      <x:c r="O456" s="71" t="n">
        <x:v>11.140133430535101</x:v>
      </x:c>
      <x:c r="P456" s="71" t="n">
        <x:v>3</x:v>
      </x:c>
      <x:c r="Q456" s="71" t="n">
        <x:v>962.1314860887389</x:v>
      </x:c>
      <x:c r="R456" s="34" t="str">
        <x:v>tract internal point; no person, address, building, parcel, or route condition</x:v>
      </x:c>
    </x:row>
    <x:row r="457" ht="86.4000015258789" hidden="0" customHeight="1">
      <x:c r="A457" s="36" t="str">
        <x:v>48201350201</x:v>
      </x:c>
      <x:c r="B457" s="63" t="n">
        <x:v>3813</x:v>
      </x:c>
      <x:c r="C457" s="63" t="n">
        <x:v>263</x:v>
      </x:c>
      <x:c r="D457" s="63" t="n">
        <x:v>98</x:v>
      </x:c>
      <x:c r="E457" s="45" t="n">
        <x:v>0.06897456071334906</x:v>
      </x:c>
      <x:c r="F457" s="45" t="n">
        <x:v>0.025701547338054027</x:v>
      </x:c>
      <x:c r="G457" s="66" t="n">
        <x:v>1137</x:v>
      </x:c>
      <x:c r="H457" s="66" t="n">
        <x:v>58</x:v>
      </x:c>
      <x:c r="I457" s="66" t="n">
        <x:v>0.051011433597185574</x:v>
      </x:c>
      <x:c r="J457" s="36" t="str">
        <x:v>low</x:v>
      </x:c>
      <x:c r="K457" s="72" t="n">
        <x:v>29.5947429</x:v>
      </x:c>
      <x:c r="L457" s="72" t="n">
        <x:v>-95.225701</x:v>
      </x:c>
      <x:c r="M457" s="72" t="n">
        <x:v>0.642</x:v>
      </x:c>
      <x:c r="N457" s="72" t="n">
        <x:v>0.011893998082932898</x:v>
      </x:c>
      <x:c r="O457" s="72" t="n">
        <x:v>11.644105081882667</x:v>
      </x:c>
      <x:c r="P457" s="72" t="n">
        <x:v>3</x:v>
      </x:c>
      <x:c r="Q457" s="72" t="n">
        <x:v>304.5879918628528</x:v>
      </x:c>
      <x:c r="R457" s="36" t="str">
        <x:v>tract internal point; no person, address, building, parcel, or route condition</x:v>
      </x:c>
    </x:row>
    <x:row r="458" ht="86.4000015258789" hidden="0" customHeight="1">
      <x:c r="A458" s="34" t="str">
        <x:v>48201350202</x:v>
      </x:c>
      <x:c r="B458" s="62" t="n">
        <x:v>4529</x:v>
      </x:c>
      <x:c r="C458" s="62" t="n">
        <x:v>534</x:v>
      </x:c>
      <x:c r="D458" s="62" t="n">
        <x:v>68</x:v>
      </x:c>
      <x:c r="E458" s="43" t="n">
        <x:v>0.11790682269816737</x:v>
      </x:c>
      <x:c r="F458" s="43" t="n">
        <x:v>0.015014351954073748</x:v>
      </x:c>
      <x:c r="G458" s="65" t="n">
        <x:v>1527</x:v>
      </x:c>
      <x:c r="H458" s="65" t="n">
        <x:v>0</x:v>
      </x:c>
      <x:c r="I458" s="65" t="n">
        <x:v>0</x:v>
      </x:c>
      <x:c r="J458" s="34" t="str">
        <x:v>moderate</x:v>
      </x:c>
      <x:c r="K458" s="71" t="n">
        <x:v>29.5954032</x:v>
      </x:c>
      <x:c r="L458" s="71" t="n">
        <x:v>-95.2383815</x:v>
      </x:c>
      <x:c r="M458" s="71" t="n">
        <x:v>0.722</x:v>
      </x:c>
      <x:c r="N458" s="71" t="n">
        <x:v>0.029287734177489776</x:v>
      </x:c>
      <x:c r="O458" s="71" t="n">
        <x:v>11.629781476890527</x:v>
      </x:c>
      <x:c r="P458" s="71" t="n">
        <x:v>3</x:v>
      </x:c>
      <x:c r="Q458" s="71" t="n">
        <x:v>645.5679980134466</x:v>
      </x:c>
      <x:c r="R458" s="34" t="str">
        <x:v>tract internal point; no person, address, building, parcel, or route condition</x:v>
      </x:c>
    </x:row>
    <x:row r="459" ht="86.4000015258789" hidden="0" customHeight="1">
      <x:c r="A459" s="36" t="str">
        <x:v>48201350300</x:v>
      </x:c>
      <x:c r="B459" s="63" t="n">
        <x:v>6328</x:v>
      </x:c>
      <x:c r="C459" s="63" t="n">
        <x:v>1185</x:v>
      </x:c>
      <x:c r="D459" s="63" t="n">
        <x:v>63</x:v>
      </x:c>
      <x:c r="E459" s="45" t="n">
        <x:v>0.1872629582806574</x:v>
      </x:c>
      <x:c r="F459" s="45" t="n">
        <x:v>0.00995575221238938</x:v>
      </x:c>
      <x:c r="G459" s="66" t="n">
        <x:v>1985</x:v>
      </x:c>
      <x:c r="H459" s="66" t="n">
        <x:v>0</x:v>
      </x:c>
      <x:c r="I459" s="66" t="n">
        <x:v>0</x:v>
      </x:c>
      <x:c r="J459" s="36" t="str">
        <x:v>moderate</x:v>
      </x:c>
      <x:c r="K459" s="72" t="n">
        <x:v>29.5828801</x:v>
      </x:c>
      <x:c r="L459" s="72" t="n">
        <x:v>-95.2248554</x:v>
      </x:c>
      <x:c r="M459" s="72" t="n">
        <x:v>0.881</x:v>
      </x:c>
      <x:c r="N459" s="72" t="n">
        <x:v>0.05187767330546505</x:v>
      </x:c>
      <x:c r="O459" s="72" t="n">
        <x:v>14.387532143085492</x:v>
      </x:c>
      <x:c r="P459" s="72" t="n">
        <x:v>3</x:v>
      </x:c>
      <x:c r="Q459" s="72" t="n">
        <x:v>913.7597435371908</x:v>
      </x:c>
      <x:c r="R459" s="36" t="str">
        <x:v>tract internal point; no person, address, building, parcel, or route condition</x:v>
      </x:c>
    </x:row>
    <x:row r="460" ht="86.4000015258789" hidden="0" customHeight="1">
      <x:c r="A460" s="34" t="str">
        <x:v>48201350400</x:v>
      </x:c>
      <x:c r="B460" s="62" t="n">
        <x:v>5806</x:v>
      </x:c>
      <x:c r="C460" s="62" t="n">
        <x:v>770</x:v>
      </x:c>
      <x:c r="D460" s="62" t="n">
        <x:v>262</x:v>
      </x:c>
      <x:c r="E460" s="43" t="n">
        <x:v>0.13262142611091973</x:v>
      </x:c>
      <x:c r="F460" s="43" t="n">
        <x:v>0.045125732001377886</x:v>
      </x:c>
      <x:c r="G460" s="65" t="n">
        <x:v>2216</x:v>
      </x:c>
      <x:c r="H460" s="65" t="n">
        <x:v>182</x:v>
      </x:c>
      <x:c r="I460" s="65" t="n">
        <x:v>0.08212996389891697</x:v>
      </x:c>
      <x:c r="J460" s="34" t="str">
        <x:v>high</x:v>
      </x:c>
      <x:c r="K460" s="71" t="n">
        <x:v>29.5956619</x:v>
      </x:c>
      <x:c r="L460" s="71" t="n">
        <x:v>-95.2091822</x:v>
      </x:c>
      <x:c r="M460" s="71" t="n">
        <x:v>1.026</x:v>
      </x:c>
      <x:c r="N460" s="71" t="n">
        <x:v>0.012019268870157737</x:v>
      </x:c>
      <x:c r="O460" s="71" t="n">
        <x:v>14.923961406400734</x:v>
      </x:c>
      <x:c r="P460" s="71" t="n">
        <x:v>3</x:v>
      </x:c>
      <x:c r="Q460" s="71" t="n">
        <x:v>1013.3562358407363</x:v>
      </x:c>
      <x:c r="R460" s="34" t="str">
        <x:v>tract internal point; no person, address, building, parcel, or route condition</x:v>
      </x:c>
    </x:row>
    <x:row r="461" ht="86.4000015258789" hidden="0" customHeight="1">
      <x:c r="A461" s="36" t="str">
        <x:v>48201350500</x:v>
      </x:c>
      <x:c r="B461" s="63" t="n">
        <x:v>6971</x:v>
      </x:c>
      <x:c r="C461" s="63" t="n">
        <x:v>494</x:v>
      </x:c>
      <x:c r="D461" s="63" t="n">
        <x:v>0</x:v>
      </x:c>
      <x:c r="E461" s="45" t="n">
        <x:v>0.07086501219337255</x:v>
      </x:c>
      <x:c r="F461" s="45" t="n">
        <x:v>0</x:v>
      </x:c>
      <x:c r="G461" s="66" t="n">
        <x:v>2456</x:v>
      </x:c>
      <x:c r="H461" s="66" t="n">
        <x:v>145</x:v>
      </x:c>
      <x:c r="I461" s="66" t="n">
        <x:v>0.059039087947882735</x:v>
      </x:c>
      <x:c r="J461" s="36" t="str">
        <x:v>high</x:v>
      </x:c>
      <x:c r="K461" s="72" t="n">
        <x:v>29.5816669</x:v>
      </x:c>
      <x:c r="L461" s="72" t="n">
        <x:v>-95.1957301</x:v>
      </x:c>
      <x:c r="M461" s="72" t="n">
        <x:v>2.25</x:v>
      </x:c>
      <x:c r="N461" s="72" t="n">
        <x:v>0.0761874489518861</x:v>
      </x:c>
      <x:c r="O461" s="72" t="n">
        <x:v>17.412760679767047</x:v>
      </x:c>
      <x:c r="P461" s="72" t="n">
        <x:v>3</x:v>
      </x:c>
      <x:c r="Q461" s="72" t="n">
        <x:v>1196.7902703128593</x:v>
      </x:c>
      <x:c r="R461" s="36" t="str">
        <x:v>tract internal point; no person, address, building, parcel, or route condition</x:v>
      </x:c>
    </x:row>
    <x:row r="462" ht="86.4000015258789" hidden="0" customHeight="1">
      <x:c r="A462" s="34" t="str">
        <x:v>48201350601</x:v>
      </x:c>
      <x:c r="B462" s="62" t="n">
        <x:v>3828</x:v>
      </x:c>
      <x:c r="C462" s="62" t="n">
        <x:v>559</x:v>
      </x:c>
      <x:c r="D462" s="62" t="n">
        <x:v>112</x:v>
      </x:c>
      <x:c r="E462" s="43" t="n">
        <x:v>0.14602925809822362</x:v>
      </x:c>
      <x:c r="F462" s="43" t="n">
        <x:v>0.029258098223615466</x:v>
      </x:c>
      <x:c r="G462" s="65" t="n">
        <x:v>1724</x:v>
      </x:c>
      <x:c r="H462" s="65" t="n">
        <x:v>189</x:v>
      </x:c>
      <x:c r="I462" s="65" t="n">
        <x:v>0.10962877030162413</x:v>
      </x:c>
      <x:c r="J462" s="34" t="str">
        <x:v>low</x:v>
      </x:c>
      <x:c r="K462" s="71" t="n">
        <x:v>29.5545735</x:v>
      </x:c>
      <x:c r="L462" s="71" t="n">
        <x:v>-95.1718691</x:v>
      </x:c>
      <x:c r="M462" s="71" t="n">
        <x:v>5.14</x:v>
      </x:c>
      <x:c r="N462" s="71" t="n">
        <x:v>0.17833736971202746</x:v>
      </x:c>
      <x:c r="O462" s="71" t="n">
        <x:v>20.399434953395527</x:v>
      </x:c>
      <x:c r="P462" s="71" t="n">
        <x:v>3</x:v>
      </x:c>
      <x:c r="Q462" s="71" t="n">
        <x:v>310.52979198279695</x:v>
      </x:c>
      <x:c r="R462" s="34" t="str">
        <x:v>tract internal point; no person, address, building, parcel, or route condition</x:v>
      </x:c>
    </x:row>
    <x:row r="463" ht="86.4000015258789" hidden="0" customHeight="1">
      <x:c r="A463" s="36" t="str">
        <x:v>48201350603</x:v>
      </x:c>
      <x:c r="B463" s="63" t="n">
        <x:v>4398</x:v>
      </x:c>
      <x:c r="C463" s="63" t="n">
        <x:v>741</x:v>
      </x:c>
      <x:c r="D463" s="63" t="n">
        <x:v>9</x:v>
      </x:c>
      <x:c r="E463" s="45" t="n">
        <x:v>0.1684856753069577</x:v>
      </x:c>
      <x:c r="F463" s="45" t="n">
        <x:v>0.0020463847203274215</x:v>
      </x:c>
      <x:c r="G463" s="66" t="n">
        <x:v>1402</x:v>
      </x:c>
      <x:c r="H463" s="66" t="n">
        <x:v>0</x:v>
      </x:c>
      <x:c r="I463" s="66" t="n">
        <x:v>0</x:v>
      </x:c>
      <x:c r="J463" s="36" t="str">
        <x:v>low</x:v>
      </x:c>
      <x:c r="K463" s="72" t="n">
        <x:v>29.5345772</x:v>
      </x:c>
      <x:c r="L463" s="72" t="n">
        <x:v>-95.171547</x:v>
      </x:c>
      <x:c r="M463" s="72" t="n">
        <x:v>0.675</x:v>
      </x:c>
      <x:c r="N463" s="72" t="n">
        <x:v>0.01680897987813169</x:v>
      </x:c>
      <x:c r="O463" s="72" t="n">
        <x:v>21.41279421418315</x:v>
      </x:c>
      <x:c r="P463" s="72" t="n">
        <x:v>3</x:v>
      </x:c>
      <x:c r="Q463" s="72" t="n">
        <x:v>357.3804143571187</x:v>
      </x:c>
      <x:c r="R463" s="36" t="str">
        <x:v>tract internal point; no person, address, building, parcel, or route condition</x:v>
      </x:c>
    </x:row>
    <x:row r="464" ht="86.4000015258789" hidden="0" customHeight="1">
      <x:c r="A464" s="34" t="str">
        <x:v>48201350604</x:v>
      </x:c>
      <x:c r="B464" s="62" t="n">
        <x:v>3684</x:v>
      </x:c>
      <x:c r="C464" s="62" t="n">
        <x:v>278</x:v>
      </x:c>
      <x:c r="D464" s="62" t="n">
        <x:v>52</x:v>
      </x:c>
      <x:c r="E464" s="43" t="n">
        <x:v>0.07546145494028231</x:v>
      </x:c>
      <x:c r="F464" s="43" t="n">
        <x:v>0.014115092290988056</x:v>
      </x:c>
      <x:c r="G464" s="65" t="n">
        <x:v>1501</x:v>
      </x:c>
      <x:c r="H464" s="65" t="n">
        <x:v>104</x:v>
      </x:c>
      <x:c r="I464" s="65" t="n">
        <x:v>0.06928714190539641</x:v>
      </x:c>
      <x:c r="J464" s="34" t="str">
        <x:v>low</x:v>
      </x:c>
      <x:c r="K464" s="71" t="n">
        <x:v>29.5414881</x:v>
      </x:c>
      <x:c r="L464" s="71" t="n">
        <x:v>-95.184377</x:v>
      </x:c>
      <x:c r="M464" s="71" t="n">
        <x:v>0.562</x:v>
      </x:c>
      <x:c r="N464" s="71" t="n">
        <x:v>0.05498687192289222</x:v>
      </x:c>
      <x:c r="O464" s="71" t="n">
        <x:v>22.086692860875722</x:v>
      </x:c>
      <x:c r="P464" s="71" t="n">
        <x:v>3</x:v>
      </x:c>
      <x:c r="Q464" s="71" t="n">
        <x:v>294.32345356040946</x:v>
      </x:c>
      <x:c r="R464" s="34" t="str">
        <x:v>tract internal point; no person, address, building, parcel, or route condition</x:v>
      </x:c>
    </x:row>
    <x:row r="465" ht="86.4000015258789" hidden="0" customHeight="1">
      <x:c r="A465" s="36" t="str">
        <x:v>48201350700</x:v>
      </x:c>
      <x:c r="B465" s="63" t="n">
        <x:v>2360</x:v>
      </x:c>
      <x:c r="C465" s="63" t="n">
        <x:v>193</x:v>
      </x:c>
      <x:c r="D465" s="63" t="n">
        <x:v>26.5</x:v>
      </x:c>
      <x:c r="E465" s="45" t="n">
        <x:v>0.08177966101694915</x:v>
      </x:c>
      <x:c r="F465" s="45" t="n">
        <x:v>0.011228813559322034</x:v>
      </x:c>
      <x:c r="G465" s="66" t="n">
        <x:v>892</x:v>
      </x:c>
      <x:c r="H465" s="66" t="n">
        <x:v>0</x:v>
      </x:c>
      <x:c r="I465" s="66" t="n">
        <x:v>0</x:v>
      </x:c>
      <x:c r="J465" s="36" t="str">
        <x:v>low</x:v>
      </x:c>
      <x:c r="K465" s="72" t="n">
        <x:v>29.5268563</x:v>
      </x:c>
      <x:c r="L465" s="72" t="n">
        <x:v>-95.1859865</x:v>
      </x:c>
      <x:c r="M465" s="72" t="n">
        <x:v>0.548</x:v>
      </x:c>
      <x:c r="N465" s="72" t="n">
        <x:v>0.07806464619785192</x:v>
      </x:c>
      <x:c r="O465" s="72" t="n">
        <x:v>24.306746006962</x:v>
      </x:c>
      <x:c r="P465" s="72" t="n">
        <x:v>3</x:v>
      </x:c>
      <x:c r="Q465" s="72" t="n">
        <x:v>188.72681928592542</x:v>
      </x:c>
      <x:c r="R465" s="36" t="str">
        <x:v>tract internal point; no person, address, building, parcel, or route condition</x:v>
      </x:c>
    </x:row>
    <x:row r="466" ht="86.4000015258789" hidden="0" customHeight="1">
      <x:c r="A466" s="34" t="str">
        <x:v>48201350801</x:v>
      </x:c>
      <x:c r="B466" s="62" t="n">
        <x:v>4775</x:v>
      </x:c>
      <x:c r="C466" s="62" t="n">
        <x:v>303</x:v>
      </x:c>
      <x:c r="D466" s="62" t="n">
        <x:v>313</x:v>
      </x:c>
      <x:c r="E466" s="43" t="n">
        <x:v>0.06345549738219895</x:v>
      </x:c>
      <x:c r="F466" s="43" t="n">
        <x:v>0.06554973821989529</x:v>
      </x:c>
      <x:c r="G466" s="65" t="n">
        <x:v>2468</x:v>
      </x:c>
      <x:c r="H466" s="65" t="n">
        <x:v>56</x:v>
      </x:c>
      <x:c r="I466" s="65" t="n">
        <x:v>0.022690437601296597</x:v>
      </x:c>
      <x:c r="J466" s="34" t="str">
        <x:v>low</x:v>
      </x:c>
      <x:c r="K466" s="71" t="n">
        <x:v>29.5249126</x:v>
      </x:c>
      <x:c r="L466" s="71" t="n">
        <x:v>-95.1752215</x:v>
      </x:c>
      <x:c r="M466" s="71" t="n">
        <x:v>0.723</x:v>
      </x:c>
      <x:c r="N466" s="71" t="n">
        <x:v>0.14529830099828667</x:v>
      </x:c>
      <x:c r="O466" s="71" t="n">
        <x:v>24.262696579477097</x:v>
      </x:c>
      <x:c r="P466" s="71" t="n">
        <x:v>3</x:v>
      </x:c>
      <x:c r="Q466" s="71" t="n">
        <x:v>382.51517200735873</x:v>
      </x:c>
      <x:c r="R466" s="34" t="str">
        <x:v>tract internal point; no person, address, building, parcel, or route condition</x:v>
      </x:c>
    </x:row>
    <x:row r="467" ht="86.4000015258789" hidden="0" customHeight="1">
      <x:c r="A467" s="36" t="str">
        <x:v>48201350803</x:v>
      </x:c>
      <x:c r="B467" s="63" t="n">
        <x:v>3059</x:v>
      </x:c>
      <x:c r="C467" s="63" t="n">
        <x:v>286</x:v>
      </x:c>
      <x:c r="D467" s="63" t="n">
        <x:v>86</x:v>
      </x:c>
      <x:c r="E467" s="45" t="n">
        <x:v>0.09349460608041844</x:v>
      </x:c>
      <x:c r="F467" s="45" t="n">
        <x:v>0.02811376266753841</x:v>
      </x:c>
      <x:c r="G467" s="66" t="n">
        <x:v>1443</x:v>
      </x:c>
      <x:c r="H467" s="66" t="n">
        <x:v>156</x:v>
      </x:c>
      <x:c r="I467" s="66" t="n">
        <x:v>0.10810810810810811</x:v>
      </x:c>
      <x:c r="J467" s="36" t="str">
        <x:v>low</x:v>
      </x:c>
      <x:c r="K467" s="72" t="n">
        <x:v>29.5298847</x:v>
      </x:c>
      <x:c r="L467" s="72" t="n">
        <x:v>-95.1496154</x:v>
      </x:c>
      <x:c r="M467" s="72" t="n">
        <x:v>1.582</x:v>
      </x:c>
      <x:c r="N467" s="72" t="n">
        <x:v>0.4348983435475489</x:v>
      </x:c>
      <x:c r="O467" s="72" t="n">
        <x:v>23.816171612030587</x:v>
      </x:c>
      <x:c r="P467" s="72" t="n">
        <x:v>3</x:v>
      </x:c>
      <x:c r="Q467" s="72" t="n">
        <x:v>245.59440495769277</x:v>
      </x:c>
      <x:c r="R467" s="36" t="str">
        <x:v>tract internal point; no person, address, building, parcel, or route condition</x:v>
      </x:c>
    </x:row>
    <x:row r="468" ht="86.4000015258789" hidden="0" customHeight="1">
      <x:c r="A468" s="34" t="str">
        <x:v>48201350804</x:v>
      </x:c>
      <x:c r="B468" s="62" t="n">
        <x:v>6515</x:v>
      </x:c>
      <x:c r="C468" s="62" t="n">
        <x:v>480</x:v>
      </x:c>
      <x:c r="D468" s="62" t="n">
        <x:v>228</x:v>
      </x:c>
      <x:c r="E468" s="43" t="n">
        <x:v>0.07367613200306984</x:v>
      </x:c>
      <x:c r="F468" s="43" t="n">
        <x:v>0.034996162701458174</x:v>
      </x:c>
      <x:c r="G468" s="65" t="n">
        <x:v>2116</x:v>
      </x:c>
      <x:c r="H468" s="65" t="n">
        <x:v>374</x:v>
      </x:c>
      <x:c r="I468" s="65" t="n">
        <x:v>0.1767485822306238</x:v>
      </x:c>
      <x:c r="J468" s="34" t="str">
        <x:v>low</x:v>
      </x:c>
      <x:c r="K468" s="71" t="n">
        <x:v>29.5124533</x:v>
      </x:c>
      <x:c r="L468" s="71" t="n">
        <x:v>-95.1497302</x:v>
      </x:c>
      <x:c r="M468" s="71" t="n">
        <x:v>4.104</x:v>
      </x:c>
      <x:c r="N468" s="71" t="n">
        <x:v>0.397980304770305</x:v>
      </x:c>
      <x:c r="O468" s="71" t="n">
        <x:v>27.835139922206782</x:v>
      </x:c>
      <x:c r="P468" s="71" t="n">
        <x:v>3</x:v>
      </x:c>
      <x:c r="Q468" s="71" t="n">
        <x:v>521.3851010011334</x:v>
      </x:c>
      <x:c r="R468" s="34" t="str">
        <x:v>tract internal point; no person, address, building, parcel, or route condition</x:v>
      </x:c>
    </x:row>
    <x:row r="469" ht="86.4000015258789" hidden="0" customHeight="1">
      <x:c r="A469" s="36" t="str">
        <x:v>48201410101</x:v>
      </x:c>
      <x:c r="B469" s="63" t="n">
        <x:v>2212</x:v>
      </x:c>
      <x:c r="C469" s="63" t="n">
        <x:v>143</x:v>
      </x:c>
      <x:c r="D469" s="63" t="n">
        <x:v>0</x:v>
      </x:c>
      <x:c r="E469" s="45" t="n">
        <x:v>0.06464737793851717</x:v>
      </x:c>
      <x:c r="F469" s="45" t="n">
        <x:v>0</x:v>
      </x:c>
      <x:c r="G469" s="66" t="n">
        <x:v>1183</x:v>
      </x:c>
      <x:c r="H469" s="66" t="n">
        <x:v>455</x:v>
      </x:c>
      <x:c r="I469" s="66" t="n">
        <x:v>0.38461538461538464</x:v>
      </x:c>
      <x:c r="J469" s="36" t="str">
        <x:v>low</x:v>
      </x:c>
      <x:c r="K469" s="72" t="n">
        <x:v>29.7548997</x:v>
      </x:c>
      <x:c r="L469" s="72" t="n">
        <x:v>-95.3821568</x:v>
      </x:c>
      <x:c r="M469" s="72" t="n">
        <x:v>0.167</x:v>
      </x:c>
      <x:c r="N469" s="72" t="n">
        <x:v>0.025945570904356337</x:v>
      </x:c>
      <x:c r="O469" s="72" t="n">
        <x:v>14.0174965599994</x:v>
      </x:c>
      <x:c r="P469" s="72" t="n">
        <x:v>3</x:v>
      </x:c>
      <x:c r="Q469" s="72" t="n">
        <x:v>176.100494031044</x:v>
      </x:c>
      <x:c r="R469" s="36" t="str">
        <x:v>tract internal point; no person, address, building, parcel, or route condition</x:v>
      </x:c>
    </x:row>
    <x:row r="470" ht="86.4000015258789" hidden="0" customHeight="1">
      <x:c r="A470" s="34" t="str">
        <x:v>48201410102</x:v>
      </x:c>
      <x:c r="B470" s="62" t="n">
        <x:v>3956</x:v>
      </x:c>
      <x:c r="C470" s="62" t="n">
        <x:v>357</x:v>
      </x:c>
      <x:c r="D470" s="62" t="n">
        <x:v>658</x:v>
      </x:c>
      <x:c r="E470" s="43" t="n">
        <x:v>0.09024266936299292</x:v>
      </x:c>
      <x:c r="F470" s="43" t="n">
        <x:v>0.16632962588473205</x:v>
      </x:c>
      <x:c r="G470" s="65" t="n">
        <x:v>2861</x:v>
      </x:c>
      <x:c r="H470" s="65" t="n">
        <x:v>2337</x:v>
      </x:c>
      <x:c r="I470" s="65" t="n">
        <x:v>0.8168472562041245</x:v>
      </x:c>
      <x:c r="J470" s="34" t="str">
        <x:v>low</x:v>
      </x:c>
      <x:c r="K470" s="71" t="n">
        <x:v>29.7591689</x:v>
      </x:c>
      <x:c r="L470" s="71" t="n">
        <x:v>-95.3790614</x:v>
      </x:c>
      <x:c r="M470" s="71" t="n">
        <x:v>0.298</x:v>
      </x:c>
      <x:c r="N470" s="71" t="n">
        <x:v>0.06590908145648007</x:v>
      </x:c>
      <x:c r="O470" s="71" t="n">
        <x:v>14.13616689944846</x:v>
      </x:c>
      <x:c r="P470" s="71" t="n">
        <x:v>3</x:v>
      </x:c>
      <x:c r="Q470" s="71" t="n">
        <x:v>321.7060350655491</x:v>
      </x:c>
      <x:c r="R470" s="34" t="str">
        <x:v>tract internal point; no person, address, building, parcel, or route condition</x:v>
      </x:c>
    </x:row>
    <x:row r="471" ht="86.4000015258789" hidden="0" customHeight="1">
      <x:c r="A471" s="36" t="str">
        <x:v>48201410201</x:v>
      </x:c>
      <x:c r="B471" s="63" t="n">
        <x:v>1734</x:v>
      </x:c>
      <x:c r="C471" s="63" t="n">
        <x:v>159</x:v>
      </x:c>
      <x:c r="D471" s="63" t="n">
        <x:v>92</x:v>
      </x:c>
      <x:c r="E471" s="45" t="n">
        <x:v>0.09169550173010381</x:v>
      </x:c>
      <x:c r="F471" s="45" t="n">
        <x:v>0.0530565167243368</x:v>
      </x:c>
      <x:c r="G471" s="66" t="n">
        <x:v>1494</x:v>
      </x:c>
      <x:c r="H471" s="66" t="n">
        <x:v>1103</x:v>
      </x:c>
      <x:c r="I471" s="66" t="n">
        <x:v>0.7382864792503346</x:v>
      </x:c>
      <x:c r="J471" s="36" t="str">
        <x:v>low</x:v>
      </x:c>
      <x:c r="K471" s="72" t="n">
        <x:v>29.7592653</x:v>
      </x:c>
      <x:c r="L471" s="72" t="n">
        <x:v>-95.3906778</x:v>
      </x:c>
      <x:c r="M471" s="72" t="n">
        <x:v>0.242</x:v>
      </x:c>
      <x:c r="N471" s="72" t="n">
        <x:v>0.025458878936957495</x:v>
      </x:c>
      <x:c r="O471" s="72" t="n">
        <x:v>15.649672971034581</x:v>
      </x:c>
      <x:c r="P471" s="72" t="n">
        <x:v>3</x:v>
      </x:c>
      <x:c r="Q471" s="72" t="n">
        <x:v>139.5065504351973</x:v>
      </x:c>
      <x:c r="R471" s="36" t="str">
        <x:v>tract internal point; no person, address, building, parcel, or route condition</x:v>
      </x:c>
    </x:row>
    <x:row r="472" ht="86.4000015258789" hidden="0" customHeight="1">
      <x:c r="A472" s="34" t="str">
        <x:v>48201410202</x:v>
      </x:c>
      <x:c r="B472" s="62" t="n">
        <x:v>3900</x:v>
      </x:c>
      <x:c r="C472" s="62" t="n">
        <x:v>283</x:v>
      </x:c>
      <x:c r="D472" s="62" t="n">
        <x:v>79</x:v>
      </x:c>
      <x:c r="E472" s="43" t="n">
        <x:v>0.07256410256410256</x:v>
      </x:c>
      <x:c r="F472" s="43" t="n">
        <x:v>0.020256410256410257</x:v>
      </x:c>
      <x:c r="G472" s="65" t="n">
        <x:v>2384</x:v>
      </x:c>
      <x:c r="H472" s="65" t="n">
        <x:v>1027</x:v>
      </x:c>
      <x:c r="I472" s="65" t="n">
        <x:v>0.43078859060402686</x:v>
      </x:c>
      <x:c r="J472" s="34" t="str">
        <x:v>low</x:v>
      </x:c>
      <x:c r="K472" s="71" t="n">
        <x:v>29.7550071</x:v>
      </x:c>
      <x:c r="L472" s="71" t="n">
        <x:v>-95.3918669</x:v>
      </x:c>
      <x:c r="M472" s="71" t="n">
        <x:v>0.254</x:v>
      </x:c>
      <x:c r="N472" s="71" t="n">
        <x:v>0.0616183178755261</x:v>
      </x:c>
      <x:c r="O472" s="71" t="n">
        <x:v>15.781936636939157</x:v>
      </x:c>
      <x:c r="P472" s="71" t="n">
        <x:v>3</x:v>
      </x:c>
      <x:c r="Q472" s="71" t="n">
        <x:v>311.59082771850126</x:v>
      </x:c>
      <x:c r="R472" s="34" t="str">
        <x:v>tract internal point; no person, address, building, parcel, or route condition</x:v>
      </x:c>
    </x:row>
    <x:row r="473" ht="86.4000015258789" hidden="0" customHeight="1">
      <x:c r="A473" s="36" t="str">
        <x:v>48201410300</x:v>
      </x:c>
      <x:c r="B473" s="63" t="n">
        <x:v>3748</x:v>
      </x:c>
      <x:c r="C473" s="63" t="n">
        <x:v>321</x:v>
      </x:c>
      <x:c r="D473" s="63" t="n">
        <x:v>86</x:v>
      </x:c>
      <x:c r="E473" s="45" t="n">
        <x:v>0.08564567769477055</x:v>
      </x:c>
      <x:c r="F473" s="45" t="n">
        <x:v>0.02294557097118463</x:v>
      </x:c>
      <x:c r="G473" s="66" t="n">
        <x:v>3002</x:v>
      </x:c>
      <x:c r="H473" s="66" t="n">
        <x:v>2166</x:v>
      </x:c>
      <x:c r="I473" s="66" t="n">
        <x:v>0.7215189873417721</x:v>
      </x:c>
      <x:c r="J473" s="36" t="str">
        <x:v>low</x:v>
      </x:c>
      <x:c r="K473" s="72" t="n">
        <x:v>29.7564318</x:v>
      </x:c>
      <x:c r="L473" s="72" t="n">
        <x:v>-95.4041075</x:v>
      </x:c>
      <x:c r="M473" s="72" t="n">
        <x:v>0.392</x:v>
      </x:c>
      <x:c r="N473" s="72" t="n">
        <x:v>0.08547765512331733</x:v>
      </x:c>
      <x:c r="O473" s="72" t="n">
        <x:v>17.430288591981306</x:v>
      </x:c>
      <x:c r="P473" s="72" t="n">
        <x:v>3</x:v>
      </x:c>
      <x:c r="Q473" s="72" t="n">
        <x:v>300.2966917762264</x:v>
      </x:c>
      <x:c r="R473" s="36" t="str">
        <x:v>tract internal point; no person, address, building, parcel, or route condition</x:v>
      </x:c>
    </x:row>
    <x:row r="474" ht="86.4000015258789" hidden="0" customHeight="1">
      <x:c r="A474" s="34" t="str">
        <x:v>48201410401</x:v>
      </x:c>
      <x:c r="B474" s="62" t="n">
        <x:v>3899</x:v>
      </x:c>
      <x:c r="C474" s="62" t="n">
        <x:v>273</x:v>
      </x:c>
      <x:c r="D474" s="62" t="n">
        <x:v>108</x:v>
      </x:c>
      <x:c r="E474" s="43" t="n">
        <x:v>0.07001795332136446</x:v>
      </x:c>
      <x:c r="F474" s="43" t="n">
        <x:v>0.027699410105155167</x:v>
      </x:c>
      <x:c r="G474" s="65" t="n">
        <x:v>2419</x:v>
      </x:c>
      <x:c r="H474" s="65" t="n">
        <x:v>317</x:v>
      </x:c>
      <x:c r="I474" s="65" t="n">
        <x:v>0.13104588673005374</x:v>
      </x:c>
      <x:c r="J474" s="34" t="str">
        <x:v>low</x:v>
      </x:c>
      <x:c r="K474" s="71" t="n">
        <x:v>29.7475136</x:v>
      </x:c>
      <x:c r="L474" s="71" t="n">
        <x:v>-95.4063924</x:v>
      </x:c>
      <x:c r="M474" s="71" t="n">
        <x:v>0.339</x:v>
      </x:c>
      <x:c r="N474" s="71" t="n">
        <x:v>0.06295842645829891</x:v>
      </x:c>
      <x:c r="O474" s="71" t="n">
        <x:v>15.860934879016938</x:v>
      </x:c>
      <x:c r="P474" s="71" t="n">
        <x:v>3</x:v>
      </x:c>
      <x:c r="Q474" s="71" t="n">
        <x:v>311.58296819453307</x:v>
      </x:c>
      <x:c r="R474" s="34" t="str">
        <x:v>tract internal point; no person, address, building, parcel, or route condition</x:v>
      </x:c>
    </x:row>
    <x:row r="475" ht="86.4000015258789" hidden="0" customHeight="1">
      <x:c r="A475" s="36" t="str">
        <x:v>48201410402</x:v>
      </x:c>
      <x:c r="B475" s="63" t="n">
        <x:v>3044</x:v>
      </x:c>
      <x:c r="C475" s="63" t="n">
        <x:v>228</x:v>
      </x:c>
      <x:c r="D475" s="63" t="n">
        <x:v>95</x:v>
      </x:c>
      <x:c r="E475" s="45" t="n">
        <x:v>0.07490144546649145</x:v>
      </x:c>
      <x:c r="F475" s="45" t="n">
        <x:v>0.03120893561103811</x:v>
      </x:c>
      <x:c r="G475" s="66" t="n">
        <x:v>1561</x:v>
      </x:c>
      <x:c r="H475" s="66" t="n">
        <x:v>125</x:v>
      </x:c>
      <x:c r="I475" s="66" t="n">
        <x:v>0.0800768737988469</x:v>
      </x:c>
      <x:c r="J475" s="36" t="str">
        <x:v>low</x:v>
      </x:c>
      <x:c r="K475" s="72" t="n">
        <x:v>29.7474979</x:v>
      </x:c>
      <x:c r="L475" s="72" t="n">
        <x:v>-95.398717</x:v>
      </x:c>
      <x:c r="M475" s="72" t="n">
        <x:v>0.281</x:v>
      </x:c>
      <x:c r="N475" s="72" t="n">
        <x:v>0.0439454884987701</x:v>
      </x:c>
      <x:c r="O475" s="72" t="n">
        <x:v>15.240174749494292</x:v>
      </x:c>
      <x:c r="P475" s="72" t="n">
        <x:v>3</x:v>
      </x:c>
      <x:c r="Q475" s="72" t="n">
        <x:v>243.57450729787044</x:v>
      </x:c>
      <x:c r="R475" s="36" t="str">
        <x:v>tract internal point; no person, address, building, parcel, or route condition</x:v>
      </x:c>
    </x:row>
    <x:row r="476" ht="86.4000015258789" hidden="0" customHeight="1">
      <x:c r="A476" s="34" t="str">
        <x:v>48201410501</x:v>
      </x:c>
      <x:c r="B476" s="62" t="n">
        <x:v>1825</x:v>
      </x:c>
      <x:c r="C476" s="62" t="n">
        <x:v>142</x:v>
      </x:c>
      <x:c r="D476" s="62" t="n">
        <x:v>24</x:v>
      </x:c>
      <x:c r="E476" s="43" t="n">
        <x:v>0.07780821917808219</x:v>
      </x:c>
      <x:c r="F476" s="43" t="n">
        <x:v>0.01315068493150685</x:v>
      </x:c>
      <x:c r="G476" s="65" t="n">
        <x:v>1128</x:v>
      </x:c>
      <x:c r="H476" s="65" t="n">
        <x:v>145</x:v>
      </x:c>
      <x:c r="I476" s="65" t="n">
        <x:v>0.12854609929078015</x:v>
      </x:c>
      <x:c r="J476" s="34" t="str">
        <x:v>low</x:v>
      </x:c>
      <x:c r="K476" s="71" t="n">
        <x:v>29.7491032</x:v>
      </x:c>
      <x:c r="L476" s="71" t="n">
        <x:v>-95.3923612</x:v>
      </x:c>
      <x:c r="M476" s="71" t="n">
        <x:v>0.213</x:v>
      </x:c>
      <x:c r="N476" s="71" t="n">
        <x:v>0.0352380285946865</x:v>
      </x:c>
      <x:c r="O476" s="71" t="n">
        <x:v>14.886107016245179</x:v>
      </x:c>
      <x:c r="P476" s="71" t="n">
        <x:v>3</x:v>
      </x:c>
      <x:c r="Q476" s="71" t="n">
        <x:v>145.85704580148686</x:v>
      </x:c>
      <x:c r="R476" s="34" t="str">
        <x:v>tract internal point; no person, address, building, parcel, or route condition</x:v>
      </x:c>
    </x:row>
    <x:row r="477" ht="86.4000015258789" hidden="0" customHeight="1">
      <x:c r="A477" s="36" t="str">
        <x:v>48201410502</x:v>
      </x:c>
      <x:c r="B477" s="63" t="n">
        <x:v>3032</x:v>
      </x:c>
      <x:c r="C477" s="63" t="n">
        <x:v>205</x:v>
      </x:c>
      <x:c r="D477" s="63" t="n">
        <x:v>23</x:v>
      </x:c>
      <x:c r="E477" s="45" t="n">
        <x:v>0.06761213720316622</x:v>
      </x:c>
      <x:c r="F477" s="45" t="n">
        <x:v>0.007585751978891821</x:v>
      </x:c>
      <x:c r="G477" s="66" t="n">
        <x:v>1879</x:v>
      </x:c>
      <x:c r="H477" s="66" t="n">
        <x:v>393</x:v>
      </x:c>
      <x:c r="I477" s="66" t="n">
        <x:v>0.20915380521554017</x:v>
      </x:c>
      <x:c r="J477" s="36" t="str">
        <x:v>low</x:v>
      </x:c>
      <x:c r="K477" s="72" t="n">
        <x:v>29.7491</x:v>
      </x:c>
      <x:c r="L477" s="72" t="n">
        <x:v>-95.3850823</x:v>
      </x:c>
      <x:c r="M477" s="72" t="n">
        <x:v>0.212</x:v>
      </x:c>
      <x:c r="N477" s="72" t="n">
        <x:v>0.03152578463749046</x:v>
      </x:c>
      <x:c r="O477" s="72" t="n">
        <x:v>14.171158097683147</x:v>
      </x:c>
      <x:c r="P477" s="72" t="n">
        <x:v>3</x:v>
      </x:c>
      <x:c r="Q477" s="72" t="n">
        <x:v>241.70394059344352</x:v>
      </x:c>
      <x:c r="R477" s="36" t="str">
        <x:v>tract internal point; no person, address, building, parcel, or route condition</x:v>
      </x:c>
    </x:row>
    <x:row r="478" ht="86.4000015258789" hidden="0" customHeight="1">
      <x:c r="A478" s="34" t="str">
        <x:v>48201410601</x:v>
      </x:c>
      <x:c r="B478" s="62" t="n">
        <x:v>3723</x:v>
      </x:c>
      <x:c r="C478" s="62" t="n">
        <x:v>57</x:v>
      </x:c>
      <x:c r="D478" s="62" t="n">
        <x:v>170</x:v>
      </x:c>
      <x:c r="E478" s="43" t="n">
        <x:v>0.015310233682514102</x:v>
      </x:c>
      <x:c r="F478" s="43" t="n">
        <x:v>0.045662100456621</x:v>
      </x:c>
      <x:c r="G478" s="65" t="n">
        <x:v>3234</x:v>
      </x:c>
      <x:c r="H478" s="65" t="n">
        <x:v>3126</x:v>
      </x:c>
      <x:c r="I478" s="65" t="n">
        <x:v>0.9666048237476809</x:v>
      </x:c>
      <x:c r="J478" s="34" t="str">
        <x:v>low</x:v>
      </x:c>
      <x:c r="K478" s="71" t="n">
        <x:v>29.74453</x:v>
      </x:c>
      <x:c r="L478" s="71" t="n">
        <x:v>-95.3777657</x:v>
      </x:c>
      <x:c r="M478" s="71" t="n">
        <x:v>0.244</x:v>
      </x:c>
      <x:c r="N478" s="71" t="n">
        <x:v>0.04508444322206395</x:v>
      </x:c>
      <x:c r="O478" s="71" t="n">
        <x:v>13.186621940366372</x:v>
      </x:c>
      <x:c r="P478" s="71" t="n">
        <x:v>3</x:v>
      </x:c>
      <x:c r="Q478" s="71" t="n">
        <x:v>294.8421821423094</x:v>
      </x:c>
      <x:c r="R478" s="34" t="str">
        <x:v>tract internal point; no person, address, building, parcel, or route condition</x:v>
      </x:c>
    </x:row>
    <x:row r="479" ht="86.4000015258789" hidden="0" customHeight="1">
      <x:c r="A479" s="36" t="str">
        <x:v>48201410602</x:v>
      </x:c>
      <x:c r="B479" s="63" t="n">
        <x:v>2647</x:v>
      </x:c>
      <x:c r="C479" s="63" t="n">
        <x:v>318</x:v>
      </x:c>
      <x:c r="D479" s="63" t="n">
        <x:v>19</x:v>
      </x:c>
      <x:c r="E479" s="45" t="n">
        <x:v>0.12013600302228938</x:v>
      </x:c>
      <x:c r="F479" s="45" t="n">
        <x:v>0.007177937287495277</x:v>
      </x:c>
      <x:c r="G479" s="66" t="n">
        <x:v>1941</x:v>
      </x:c>
      <x:c r="H479" s="66" t="n">
        <x:v>1566</x:v>
      </x:c>
      <x:c r="I479" s="66" t="n">
        <x:v>0.8068006182380216</x:v>
      </x:c>
      <x:c r="J479" s="36" t="str">
        <x:v>low</x:v>
      </x:c>
      <x:c r="K479" s="72" t="n">
        <x:v>29.7493804</x:v>
      </x:c>
      <x:c r="L479" s="72" t="n">
        <x:v>-95.3778889</x:v>
      </x:c>
      <x:c r="M479" s="72" t="n">
        <x:v>0.146</x:v>
      </x:c>
      <x:c r="N479" s="72" t="n">
        <x:v>0.04951456688240064</x:v>
      </x:c>
      <x:c r="O479" s="72" t="n">
        <x:v>13.356903878612808</x:v>
      </x:c>
      <x:c r="P479" s="72" t="n">
        <x:v>3</x:v>
      </x:c>
      <x:c r="Q479" s="72" t="n">
        <x:v>213.18958763688605</x:v>
      </x:c>
      <x:c r="R479" s="36" t="str">
        <x:v>tract internal point; no person, address, building, parcel, or route condition</x:v>
      </x:c>
    </x:row>
    <x:row r="480" ht="86.4000015258789" hidden="0" customHeight="1">
      <x:c r="A480" s="34" t="str">
        <x:v>48201410703</x:v>
      </x:c>
      <x:c r="B480" s="62" t="n">
        <x:v>2275</x:v>
      </x:c>
      <x:c r="C480" s="62" t="n">
        <x:v>303</x:v>
      </x:c>
      <x:c r="D480" s="62" t="n">
        <x:v>172</x:v>
      </x:c>
      <x:c r="E480" s="43" t="n">
        <x:v>0.1331868131868132</x:v>
      </x:c>
      <x:c r="F480" s="43" t="n">
        <x:v>0.07560439560439561</x:v>
      </x:c>
      <x:c r="G480" s="65" t="n">
        <x:v>1641</x:v>
      </x:c>
      <x:c r="H480" s="65" t="n">
        <x:v>913</x:v>
      </x:c>
      <x:c r="I480" s="65" t="n">
        <x:v>0.5563680682510664</x:v>
      </x:c>
      <x:c r="J480" s="34" t="str">
        <x:v>low</x:v>
      </x:c>
      <x:c r="K480" s="71" t="n">
        <x:v>29.7413902</x:v>
      </x:c>
      <x:c r="L480" s="71" t="n">
        <x:v>-95.3937139</x:v>
      </x:c>
      <x:c r="M480" s="71" t="n">
        <x:v>0.223</x:v>
      </x:c>
      <x:c r="N480" s="71" t="n">
        <x:v>0.010966103767038533</x:v>
      </x:c>
      <x:c r="O480" s="71" t="n">
        <x:v>13.716793248799657</x:v>
      </x:c>
      <x:c r="P480" s="71" t="n">
        <x:v>3</x:v>
      </x:c>
      <x:c r="Q480" s="71" t="n">
        <x:v>184.9188799233421</x:v>
      </x:c>
      <x:c r="R480" s="34" t="str">
        <x:v>tract internal point; no person, address, building, parcel, or route condition</x:v>
      </x:c>
    </x:row>
    <x:row r="481" ht="86.4000015258789" hidden="0" customHeight="1">
      <x:c r="A481" s="36" t="str">
        <x:v>48201410704</x:v>
      </x:c>
      <x:c r="B481" s="63" t="n">
        <x:v>2087</x:v>
      </x:c>
      <x:c r="C481" s="63" t="n">
        <x:v>308</x:v>
      </x:c>
      <x:c r="D481" s="63" t="n">
        <x:v>367</x:v>
      </x:c>
      <x:c r="E481" s="45" t="n">
        <x:v>0.14758025874460948</x:v>
      </x:c>
      <x:c r="F481" s="45" t="n">
        <x:v>0.17585050311451844</x:v>
      </x:c>
      <x:c r="G481" s="66" t="n">
        <x:v>1869</x:v>
      </x:c>
      <x:c r="H481" s="66" t="n">
        <x:v>648</x:v>
      </x:c>
      <x:c r="I481" s="66" t="n">
        <x:v>0.3467094703049759</x:v>
      </x:c>
      <x:c r="J481" s="36" t="str">
        <x:v>low</x:v>
      </x:c>
      <x:c r="K481" s="72" t="n">
        <x:v>29.7422384</x:v>
      </x:c>
      <x:c r="L481" s="72" t="n">
        <x:v>-95.38543</x:v>
      </x:c>
      <x:c r="M481" s="72" t="n">
        <x:v>0.195</x:v>
      </x:c>
      <x:c r="N481" s="72" t="n">
        <x:v>0.020558997654020795</x:v>
      </x:c>
      <x:c r="O481" s="72" t="n">
        <x:v>13.346290934993275</x:v>
      </x:c>
      <x:c r="P481" s="72" t="n">
        <x:v>3</x:v>
      </x:c>
      <x:c r="Q481" s="72" t="n">
        <x:v>171.75417727664038</x:v>
      </x:c>
      <x:c r="R481" s="36" t="str">
        <x:v>tract internal point; no person, address, building, parcel, or route condition</x:v>
      </x:c>
    </x:row>
    <x:row r="482" ht="86.4000015258789" hidden="0" customHeight="1">
      <x:c r="A482" s="34" t="str">
        <x:v>48201410705</x:v>
      </x:c>
      <x:c r="B482" s="62" t="n">
        <x:v>1123</x:v>
      </x:c>
      <x:c r="C482" s="62" t="n">
        <x:v>63</x:v>
      </x:c>
      <x:c r="D482" s="62" t="n">
        <x:v>16</x:v>
      </x:c>
      <x:c r="E482" s="43" t="n">
        <x:v>0.05609973285841496</x:v>
      </x:c>
      <x:c r="F482" s="43" t="n">
        <x:v>0.014247551202137132</x:v>
      </x:c>
      <x:c r="G482" s="65" t="n">
        <x:v>502</x:v>
      </x:c>
      <x:c r="H482" s="65" t="n">
        <x:v>51</x:v>
      </x:c>
      <x:c r="I482" s="65" t="n">
        <x:v>0.10159362549800798</x:v>
      </x:c>
      <x:c r="J482" s="34" t="str">
        <x:v>low</x:v>
      </x:c>
      <x:c r="K482" s="71" t="n">
        <x:v>29.7366033</x:v>
      </x:c>
      <x:c r="L482" s="71" t="n">
        <x:v>-95.3940763</x:v>
      </x:c>
      <x:c r="M482" s="71" t="n">
        <x:v>0.185</x:v>
      </x:c>
      <x:c r="N482" s="71" t="n">
        <x:v>0.05593972932774493</x:v>
      </x:c>
      <x:c r="O482" s="71" t="n">
        <x:v>13.132555345849823</x:v>
      </x:c>
      <x:c r="P482" s="71" t="n">
        <x:v>3</x:v>
      </x:c>
      <x:c r="Q482" s="71" t="n">
        <x:v>89.37850656614447</x:v>
      </x:c>
      <x:c r="R482" s="34" t="str">
        <x:v>tract internal point; no person, address, building, parcel, or route condition</x:v>
      </x:c>
    </x:row>
    <x:row r="483" ht="86.4000015258789" hidden="0" customHeight="1">
      <x:c r="A483" s="36" t="str">
        <x:v>48201410706</x:v>
      </x:c>
      <x:c r="B483" s="63" t="n">
        <x:v>1827</x:v>
      </x:c>
      <x:c r="C483" s="63" t="n">
        <x:v>296</x:v>
      </x:c>
      <x:c r="D483" s="63" t="n">
        <x:v>234</x:v>
      </x:c>
      <x:c r="E483" s="45" t="n">
        <x:v>0.1620142309797482</x:v>
      </x:c>
      <x:c r="F483" s="45" t="n">
        <x:v>0.12807881773399016</x:v>
      </x:c>
      <x:c r="G483" s="66" t="n">
        <x:v>1331</x:v>
      </x:c>
      <x:c r="H483" s="66" t="n">
        <x:v>926</x:v>
      </x:c>
      <x:c r="I483" s="66" t="n">
        <x:v>0.695717505634861</x:v>
      </x:c>
      <x:c r="J483" s="36" t="str">
        <x:v>low</x:v>
      </x:c>
      <x:c r="K483" s="72" t="n">
        <x:v>29.7361984</x:v>
      </x:c>
      <x:c r="L483" s="72" t="n">
        <x:v>-95.3850116</x:v>
      </x:c>
      <x:c r="M483" s="72" t="n">
        <x:v>0.167</x:v>
      </x:c>
      <x:c r="N483" s="72" t="n">
        <x:v>0.037665328684321715</x:v>
      </x:c>
      <x:c r="O483" s="72" t="n">
        <x:v>12.488611472963449</x:v>
      </x:c>
      <x:c r="P483" s="72" t="n">
        <x:v>3</x:v>
      </x:c>
      <x:c r="Q483" s="72" t="n">
        <x:v>150.08546969636777</x:v>
      </x:c>
      <x:c r="R483" s="36" t="str">
        <x:v>tract internal point; no person, address, building, parcel, or route condition</x:v>
      </x:c>
    </x:row>
    <x:row r="484" ht="86.4000015258789" hidden="0" customHeight="1">
      <x:c r="A484" s="34" t="str">
        <x:v>48201410801</x:v>
      </x:c>
      <x:c r="B484" s="62" t="n">
        <x:v>2664</x:v>
      </x:c>
      <x:c r="C484" s="62" t="n">
        <x:v>363</x:v>
      </x:c>
      <x:c r="D484" s="62" t="n">
        <x:v>297</x:v>
      </x:c>
      <x:c r="E484" s="43" t="n">
        <x:v>0.13626126126126126</x:v>
      </x:c>
      <x:c r="F484" s="43" t="n">
        <x:v>0.11148648648648649</x:v>
      </x:c>
      <x:c r="G484" s="65" t="n">
        <x:v>1634</x:v>
      </x:c>
      <x:c r="H484" s="65" t="n">
        <x:v>533</x:v>
      </x:c>
      <x:c r="I484" s="65" t="n">
        <x:v>0.3261933904528764</x:v>
      </x:c>
      <x:c r="J484" s="34" t="str">
        <x:v>low</x:v>
      </x:c>
      <x:c r="K484" s="71" t="n">
        <x:v>29.7364644</x:v>
      </x:c>
      <x:c r="L484" s="71" t="n">
        <x:v>-95.4049911</x:v>
      </x:c>
      <x:c r="M484" s="71" t="n">
        <x:v>0.203</x:v>
      </x:c>
      <x:c r="N484" s="71" t="n">
        <x:v>0.06699234862932064</x:v>
      </x:c>
      <x:c r="O484" s="71" t="n">
        <x:v>13.95339576524029</x:v>
      </x:c>
      <x:c r="P484" s="71" t="n">
        <x:v>3</x:v>
      </x:c>
      <x:c r="Q484" s="71" t="n">
        <x:v>217.41801153176698</x:v>
      </x:c>
      <x:c r="R484" s="34" t="str">
        <x:v>tract internal point; no person, address, building, parcel, or route condition</x:v>
      </x:c>
    </x:row>
    <x:row r="485" ht="86.4000015258789" hidden="0" customHeight="1">
      <x:c r="A485" s="36" t="str">
        <x:v>48201410802</x:v>
      </x:c>
      <x:c r="B485" s="63" t="n">
        <x:v>1441</x:v>
      </x:c>
      <x:c r="C485" s="63" t="n">
        <x:v>50</x:v>
      </x:c>
      <x:c r="D485" s="63" t="n">
        <x:v>108</x:v>
      </x:c>
      <x:c r="E485" s="45" t="n">
        <x:v>0.03469812630117974</x:v>
      </x:c>
      <x:c r="F485" s="45" t="n">
        <x:v>0.07494795281054822</x:v>
      </x:c>
      <x:c r="G485" s="66" t="n">
        <x:v>979</x:v>
      </x:c>
      <x:c r="H485" s="66" t="n">
        <x:v>294</x:v>
      </x:c>
      <x:c r="I485" s="66" t="n">
        <x:v>0.3003064351378958</x:v>
      </x:c>
      <x:c r="J485" s="36" t="str">
        <x:v>low</x:v>
      </x:c>
      <x:c r="K485" s="72" t="n">
        <x:v>29.7406837</x:v>
      </x:c>
      <x:c r="L485" s="72" t="n">
        <x:v>-95.4050252</x:v>
      </x:c>
      <x:c r="M485" s="72" t="n">
        <x:v>0.194</x:v>
      </x:c>
      <x:c r="N485" s="72" t="n">
        <x:v>0.058973717171271096</x:v>
      </x:c>
      <x:c r="O485" s="72" t="n">
        <x:v>14.504507485736948</x:v>
      </x:c>
      <x:c r="P485" s="72" t="n">
        <x:v>3</x:v>
      </x:c>
      <x:c r="Q485" s="72" t="n">
        <x:v>114.89052136685714</x:v>
      </x:c>
      <x:c r="R485" s="36" t="str">
        <x:v>tract internal point; no person, address, building, parcel, or route condition</x:v>
      </x:c>
    </x:row>
    <x:row r="486" ht="86.4000015258789" hidden="0" customHeight="1">
      <x:c r="A486" s="34" t="str">
        <x:v>48201410900</x:v>
      </x:c>
      <x:c r="B486" s="62" t="n">
        <x:v>3565</x:v>
      </x:c>
      <x:c r="C486" s="62" t="n">
        <x:v>146</x:v>
      </x:c>
      <x:c r="D486" s="62" t="n">
        <x:v>0</x:v>
      </x:c>
      <x:c r="E486" s="43" t="n">
        <x:v>0.04095371669004207</x:v>
      </x:c>
      <x:c r="F486" s="43" t="n">
        <x:v>0</x:v>
      </x:c>
      <x:c r="G486" s="65" t="n">
        <x:v>2362</x:v>
      </x:c>
      <x:c r="H486" s="65" t="n">
        <x:v>1142</x:v>
      </x:c>
      <x:c r="I486" s="65" t="n">
        <x:v>0.48348856900931414</x:v>
      </x:c>
      <x:c r="J486" s="34" t="str">
        <x:v>low</x:v>
      </x:c>
      <x:c r="K486" s="71" t="n">
        <x:v>29.7328602</x:v>
      </x:c>
      <x:c r="L486" s="71" t="n">
        <x:v>-95.3980506</x:v>
      </x:c>
      <x:c r="M486" s="71" t="n">
        <x:v>0.285</x:v>
      </x:c>
      <x:c r="N486" s="71" t="n">
        <x:v>0.012253834791719131</x:v>
      </x:c>
      <x:c r="O486" s="71" t="n">
        <x:v>12.942455727830787</x:v>
      </x:c>
      <x:c r="P486" s="71" t="n">
        <x:v>3</x:v>
      </x:c>
      <x:c r="Q486" s="71" t="n">
        <x:v>282.4870104643303</x:v>
      </x:c>
      <x:c r="R486" s="34" t="str">
        <x:v>tract internal point; no person, address, building, parcel, or route condition</x:v>
      </x:c>
    </x:row>
    <x:row r="487" ht="86.4000015258789" hidden="0" customHeight="1">
      <x:c r="A487" s="36" t="str">
        <x:v>48201411001</x:v>
      </x:c>
      <x:c r="B487" s="63" t="n">
        <x:v>2673</x:v>
      </x:c>
      <x:c r="C487" s="63" t="n">
        <x:v>360</x:v>
      </x:c>
      <x:c r="D487" s="63" t="n">
        <x:v>20</x:v>
      </x:c>
      <x:c r="E487" s="45" t="n">
        <x:v>0.13468013468013468</x:v>
      </x:c>
      <x:c r="F487" s="45" t="n">
        <x:v>0.0074822297044519264</x:v>
      </x:c>
      <x:c r="G487" s="66" t="n">
        <x:v>1946</x:v>
      </x:c>
      <x:c r="H487" s="66" t="n">
        <x:v>1595</x:v>
      </x:c>
      <x:c r="I487" s="66" t="n">
        <x:v>0.8196300102774923</x:v>
      </x:c>
      <x:c r="J487" s="36" t="str">
        <x:v>low</x:v>
      </x:c>
      <x:c r="K487" s="72" t="n">
        <x:v>29.7402797</x:v>
      </x:c>
      <x:c r="L487" s="72" t="n">
        <x:v>-95.4243669</x:v>
      </x:c>
      <x:c r="M487" s="72" t="n">
        <x:v>0.174</x:v>
      </x:c>
      <x:c r="N487" s="72" t="n">
        <x:v>0.058632935150157266</x:v>
      </x:c>
      <x:c r="O487" s="72" t="n">
        <x:v>16.197139271299953</x:v>
      </x:c>
      <x:c r="P487" s="72" t="n">
        <x:v>3</x:v>
      </x:c>
      <x:c r="Q487" s="72" t="n">
        <x:v>215.90112340590824</x:v>
      </x:c>
      <x:c r="R487" s="36" t="str">
        <x:v>tract internal point; no person, address, building, parcel, or route condition</x:v>
      </x:c>
    </x:row>
    <x:row r="488" ht="86.4000015258789" hidden="0" customHeight="1">
      <x:c r="A488" s="34" t="str">
        <x:v>48201411002</x:v>
      </x:c>
      <x:c r="B488" s="62" t="n">
        <x:v>2176</x:v>
      </x:c>
      <x:c r="C488" s="62" t="n">
        <x:v>138</x:v>
      </x:c>
      <x:c r="D488" s="62" t="n">
        <x:v>45</x:v>
      </x:c>
      <x:c r="E488" s="43" t="n">
        <x:v>0.06341911764705882</x:v>
      </x:c>
      <x:c r="F488" s="43" t="n">
        <x:v>0.02068014705882353</x:v>
      </x:c>
      <x:c r="G488" s="65" t="n">
        <x:v>1403</x:v>
      </x:c>
      <x:c r="H488" s="65" t="n">
        <x:v>613</x:v>
      </x:c>
      <x:c r="I488" s="65" t="n">
        <x:v>0.4369208838203849</x:v>
      </x:c>
      <x:c r="J488" s="34" t="str">
        <x:v>low</x:v>
      </x:c>
      <x:c r="K488" s="71" t="n">
        <x:v>29.7405008</x:v>
      </x:c>
      <x:c r="L488" s="71" t="n">
        <x:v>-95.4146969</x:v>
      </x:c>
      <x:c r="M488" s="71" t="n">
        <x:v>0.131</x:v>
      </x:c>
      <x:c r="N488" s="71" t="n">
        <x:v>0.02553809066245895</x:v>
      </x:c>
      <x:c r="O488" s="71" t="n">
        <x:v>15.900309321883386</x:v>
      </x:c>
      <x:c r="P488" s="71" t="n">
        <x:v>3</x:v>
      </x:c>
      <x:c r="Q488" s="71" t="n">
        <x:v>173.54614874138545</x:v>
      </x:c>
      <x:c r="R488" s="34" t="str">
        <x:v>tract internal point; no person, address, building, parcel, or route condition</x:v>
      </x:c>
    </x:row>
    <x:row r="489" ht="86.4000015258789" hidden="0" customHeight="1">
      <x:c r="A489" s="36" t="str">
        <x:v>48201411003</x:v>
      </x:c>
      <x:c r="B489" s="63" t="n">
        <x:v>1671</x:v>
      </x:c>
      <x:c r="C489" s="63" t="n">
        <x:v>227</x:v>
      </x:c>
      <x:c r="D489" s="63" t="n">
        <x:v>229</x:v>
      </x:c>
      <x:c r="E489" s="45" t="n">
        <x:v>0.13584679832435667</x:v>
      </x:c>
      <x:c r="F489" s="45" t="n">
        <x:v>0.13704368641532017</x:v>
      </x:c>
      <x:c r="G489" s="66" t="n">
        <x:v>1107</x:v>
      </x:c>
      <x:c r="H489" s="66" t="n">
        <x:v>611</x:v>
      </x:c>
      <x:c r="I489" s="66" t="n">
        <x:v>0.5519421860885275</x:v>
      </x:c>
      <x:c r="J489" s="36" t="str">
        <x:v>low</x:v>
      </x:c>
      <x:c r="K489" s="72" t="n">
        <x:v>29.7346933</x:v>
      </x:c>
      <x:c r="L489" s="72" t="n">
        <x:v>-95.4146908</x:v>
      </x:c>
      <x:c r="M489" s="72" t="n">
        <x:v>0.255</x:v>
      </x:c>
      <x:c r="N489" s="72" t="n">
        <x:v>0.05952944715766148</x:v>
      </x:c>
      <x:c r="O489" s="72" t="n">
        <x:v>14.559055087522998</x:v>
      </x:c>
      <x:c r="P489" s="72" t="n">
        <x:v>3</x:v>
      </x:c>
      <x:c r="Q489" s="72" t="n">
        <x:v>136.70070037855703</x:v>
      </x:c>
      <x:c r="R489" s="36" t="str">
        <x:v>tract internal point; no person, address, building, parcel, or route condition</x:v>
      </x:c>
    </x:row>
    <x:row r="490" ht="86.4000015258789" hidden="0" customHeight="1">
      <x:c r="A490" s="34" t="str">
        <x:v>48201411100</x:v>
      </x:c>
      <x:c r="B490" s="62" t="n">
        <x:v>3667</x:v>
      </x:c>
      <x:c r="C490" s="62" t="n">
        <x:v>128</x:v>
      </x:c>
      <x:c r="D490" s="62" t="n">
        <x:v>99</x:v>
      </x:c>
      <x:c r="E490" s="43" t="n">
        <x:v>0.03490591764385056</x:v>
      </x:c>
      <x:c r="F490" s="43" t="n">
        <x:v>0.026997545677665668</x:v>
      </x:c>
      <x:c r="G490" s="65" t="n">
        <x:v>1748</x:v>
      </x:c>
      <x:c r="H490" s="65" t="n">
        <x:v>612</x:v>
      </x:c>
      <x:c r="I490" s="65" t="n">
        <x:v>0.3501144164759725</x:v>
      </x:c>
      <x:c r="J490" s="34" t="str">
        <x:v>low</x:v>
      </x:c>
      <x:c r="K490" s="71" t="n">
        <x:v>29.7503923</x:v>
      </x:c>
      <x:c r="L490" s="71" t="n">
        <x:v>-95.4140675</x:v>
      </x:c>
      <x:c r="M490" s="71" t="n">
        <x:v>0.521</x:v>
      </x:c>
      <x:c r="N490" s="71" t="n">
        <x:v>0.04176843477179794</x:v>
      </x:c>
      <x:c r="O490" s="71" t="n">
        <x:v>17.002542871409485</x:v>
      </x:c>
      <x:c r="P490" s="71" t="n">
        <x:v>3</x:v>
      </x:c>
      <x:c r="Q490" s="71" t="n">
        <x:v>290.99887492186934</x:v>
      </x:c>
      <x:c r="R490" s="34" t="str">
        <x:v>tract internal point; no person, address, building, parcel, or route condition</x:v>
      </x:c>
    </x:row>
    <x:row r="491" ht="86.4000015258789" hidden="0" customHeight="1">
      <x:c r="A491" s="36" t="str">
        <x:v>48201411200</x:v>
      </x:c>
      <x:c r="B491" s="63" t="n">
        <x:v>1700</x:v>
      </x:c>
      <x:c r="C491" s="63" t="n">
        <x:v>130</x:v>
      </x:c>
      <x:c r="D491" s="63" t="n">
        <x:v>25</x:v>
      </x:c>
      <x:c r="E491" s="45" t="n">
        <x:v>0.07647058823529412</x:v>
      </x:c>
      <x:c r="F491" s="45" t="n">
        <x:v>0.014705882352941176</x:v>
      </x:c>
      <x:c r="G491" s="66" t="n">
        <x:v>933</x:v>
      </x:c>
      <x:c r="H491" s="66" t="n">
        <x:v>313</x:v>
      </x:c>
      <x:c r="I491" s="66" t="n">
        <x:v>0.3354769560557342</x:v>
      </x:c>
      <x:c r="J491" s="36" t="str">
        <x:v>low</x:v>
      </x:c>
      <x:c r="K491" s="72" t="n">
        <x:v>29.7556182</x:v>
      </x:c>
      <x:c r="L491" s="72" t="n">
        <x:v>-95.4252556</x:v>
      </x:c>
      <x:c r="M491" s="72" t="n">
        <x:v>1.314</x:v>
      </x:c>
      <x:c r="N491" s="72" t="n">
        <x:v>0.30569614862330496</x:v>
      </x:c>
      <x:c r="O491" s="72" t="n">
        <x:v>23.016168541646312</x:v>
      </x:c>
      <x:c r="P491" s="72" t="n">
        <x:v>3</x:v>
      </x:c>
      <x:c r="Q491" s="72" t="n">
        <x:v>135.85187178999357</x:v>
      </x:c>
      <x:c r="R491" s="36" t="str">
        <x:v>tract internal point; no person, address, building, parcel, or route condition</x:v>
      </x:c>
    </x:row>
    <x:row r="492" ht="86.4000015258789" hidden="0" customHeight="1">
      <x:c r="A492" s="34" t="str">
        <x:v>48201411301</x:v>
      </x:c>
      <x:c r="B492" s="62" t="n">
        <x:v>1918</x:v>
      </x:c>
      <x:c r="C492" s="62" t="n">
        <x:v>210</x:v>
      </x:c>
      <x:c r="D492" s="62" t="n">
        <x:v>44</x:v>
      </x:c>
      <x:c r="E492" s="43" t="n">
        <x:v>0.10948905109489052</x:v>
      </x:c>
      <x:c r="F492" s="43" t="n">
        <x:v>0.022940563086548488</x:v>
      </x:c>
      <x:c r="G492" s="65" t="n">
        <x:v>1741</x:v>
      </x:c>
      <x:c r="H492" s="65" t="n">
        <x:v>1311</x:v>
      </x:c>
      <x:c r="I492" s="65" t="n">
        <x:v>0.7530155083285468</x:v>
      </x:c>
      <x:c r="J492" s="34" t="str">
        <x:v>low</x:v>
      </x:c>
      <x:c r="K492" s="71" t="n">
        <x:v>29.7530335</x:v>
      </x:c>
      <x:c r="L492" s="71" t="n">
        <x:v>-95.4529919</x:v>
      </x:c>
      <x:c r="M492" s="71" t="n">
        <x:v>0.34</x:v>
      </x:c>
      <x:c r="N492" s="71" t="n">
        <x:v>0.053425841755055506</x:v>
      </x:c>
      <x:c r="O492" s="71" t="n">
        <x:v>17.613851131265857</x:v>
      </x:c>
      <x:c r="P492" s="71" t="n">
        <x:v>3</x:v>
      </x:c>
      <x:c r="Q492" s="71" t="n">
        <x:v>154.39248883093052</x:v>
      </x:c>
      <x:c r="R492" s="34" t="str">
        <x:v>tract internal point; no person, address, building, parcel, or route condition</x:v>
      </x:c>
    </x:row>
    <x:row r="493" ht="86.4000015258789" hidden="0" customHeight="1">
      <x:c r="A493" s="36" t="str">
        <x:v>48201411302</x:v>
      </x:c>
      <x:c r="B493" s="63" t="n">
        <x:v>3086</x:v>
      </x:c>
      <x:c r="C493" s="63" t="n">
        <x:v>139</x:v>
      </x:c>
      <x:c r="D493" s="63" t="n">
        <x:v>0</x:v>
      </x:c>
      <x:c r="E493" s="45" t="n">
        <x:v>0.04504212572909916</x:v>
      </x:c>
      <x:c r="F493" s="45" t="n">
        <x:v>0</x:v>
      </x:c>
      <x:c r="G493" s="66" t="n">
        <x:v>2772</x:v>
      </x:c>
      <x:c r="H493" s="66" t="n">
        <x:v>2580</x:v>
      </x:c>
      <x:c r="I493" s="66" t="n">
        <x:v>0.9307359307359307</x:v>
      </x:c>
      <x:c r="J493" s="36" t="str">
        <x:v>low</x:v>
      </x:c>
      <x:c r="K493" s="72" t="n">
        <x:v>29.7439794</x:v>
      </x:c>
      <x:c r="L493" s="72" t="n">
        <x:v>-95.4530532</x:v>
      </x:c>
      <x:c r="M493" s="72" t="n">
        <x:v>0.21</x:v>
      </x:c>
      <x:c r="N493" s="72" t="n">
        <x:v>0.0373316727968525</x:v>
      </x:c>
      <x:c r="O493" s="72" t="n">
        <x:v>17.93341838128547</x:v>
      </x:c>
      <x:c r="P493" s="72" t="n">
        <x:v>3</x:v>
      </x:c>
      <x:c r="Q493" s="72" t="n">
        <x:v>244.72985732119292</x:v>
      </x:c>
      <x:c r="R493" s="36" t="str">
        <x:v>tract internal point; no person, address, building, parcel, or route condition</x:v>
      </x:c>
    </x:row>
    <x:row r="494" ht="86.4000015258789" hidden="0" customHeight="1">
      <x:c r="A494" s="34" t="str">
        <x:v>48201411400</x:v>
      </x:c>
      <x:c r="B494" s="62" t="n">
        <x:v>2898</x:v>
      </x:c>
      <x:c r="C494" s="62" t="n">
        <x:v>226</x:v>
      </x:c>
      <x:c r="D494" s="62" t="n">
        <x:v>0</x:v>
      </x:c>
      <x:c r="E494" s="43" t="n">
        <x:v>0.0779848171152519</x:v>
      </x:c>
      <x:c r="F494" s="43" t="n">
        <x:v>0</x:v>
      </x:c>
      <x:c r="G494" s="65" t="n">
        <x:v>1332</x:v>
      </x:c>
      <x:c r="H494" s="65" t="n">
        <x:v>434</x:v>
      </x:c>
      <x:c r="I494" s="65" t="n">
        <x:v>0.3258258258258258</x:v>
      </x:c>
      <x:c r="J494" s="34" t="str">
        <x:v>low</x:v>
      </x:c>
      <x:c r="K494" s="71" t="n">
        <x:v>29.744645</x:v>
      </x:c>
      <x:c r="L494" s="71" t="n">
        <x:v>-95.4330815</x:v>
      </x:c>
      <x:c r="M494" s="71" t="n">
        <x:v>0.668</x:v>
      </x:c>
      <x:c r="N494" s="71" t="n">
        <x:v>0.00877825577788085</x:v>
      </x:c>
      <x:c r="O494" s="71" t="n">
        <x:v>17.30763413646603</x:v>
      </x:c>
      <x:c r="P494" s="71" t="n">
        <x:v>3</x:v>
      </x:c>
      <x:c r="Q494" s="71" t="n">
        <x:v>231.32150943147764</x:v>
      </x:c>
      <x:c r="R494" s="34" t="str">
        <x:v>tract internal point; no person, address, building, parcel, or route condition</x:v>
      </x:c>
    </x:row>
    <x:row r="495" ht="86.4000015258789" hidden="0" customHeight="1">
      <x:c r="A495" s="36" t="str">
        <x:v>48201411503</x:v>
      </x:c>
      <x:c r="B495" s="63" t="n">
        <x:v>3555</x:v>
      </x:c>
      <x:c r="C495" s="63" t="n">
        <x:v>187</x:v>
      </x:c>
      <x:c r="D495" s="63" t="n">
        <x:v>134</x:v>
      </x:c>
      <x:c r="E495" s="45" t="n">
        <x:v>0.05260196905766526</x:v>
      </x:c>
      <x:c r="F495" s="45" t="n">
        <x:v>0.03769338959212377</x:v>
      </x:c>
      <x:c r="G495" s="66" t="n">
        <x:v>2151</x:v>
      </x:c>
      <x:c r="H495" s="66" t="n">
        <x:v>1388</x:v>
      </x:c>
      <x:c r="I495" s="66" t="n">
        <x:v>0.6452812645281265</x:v>
      </x:c>
      <x:c r="J495" s="36" t="str">
        <x:v>low</x:v>
      </x:c>
      <x:c r="K495" s="72" t="n">
        <x:v>29.7345889</x:v>
      </x:c>
      <x:c r="L495" s="72" t="n">
        <x:v>-95.4240654</x:v>
      </x:c>
      <x:c r="M495" s="72" t="n">
        <x:v>0.346</x:v>
      </x:c>
      <x:c r="N495" s="72" t="n">
        <x:v>0.03906605073064229</x:v>
      </x:c>
      <x:c r="O495" s="72" t="n">
        <x:v>15.314323803495961</x:v>
      </x:c>
      <x:c r="P495" s="72" t="n">
        <x:v>3</x:v>
      </x:c>
      <x:c r="Q495" s="72" t="n">
        <x:v>283.39871524463916</x:v>
      </x:c>
      <x:c r="R495" s="36" t="str">
        <x:v>tract internal point; no person, address, building, parcel, or route condition</x:v>
      </x:c>
    </x:row>
    <x:row r="496" ht="86.4000015258789" hidden="0" customHeight="1">
      <x:c r="A496" s="34" t="str">
        <x:v>48201411504</x:v>
      </x:c>
      <x:c r="B496" s="62" t="n">
        <x:v>2669</x:v>
      </x:c>
      <x:c r="C496" s="62" t="n">
        <x:v>108</x:v>
      </x:c>
      <x:c r="D496" s="62" t="n">
        <x:v>125</x:v>
      </x:c>
      <x:c r="E496" s="43" t="n">
        <x:v>0.040464593480704386</x:v>
      </x:c>
      <x:c r="F496" s="43" t="n">
        <x:v>0.04683402023229674</x:v>
      </x:c>
      <x:c r="G496" s="65" t="n">
        <x:v>1951</x:v>
      </x:c>
      <x:c r="H496" s="65" t="n">
        <x:v>1542</x:v>
      </x:c>
      <x:c r="I496" s="65" t="n">
        <x:v>0.7903639159405433</x:v>
      </x:c>
      <x:c r="J496" s="34" t="str">
        <x:v>low</x:v>
      </x:c>
      <x:c r="K496" s="71" t="n">
        <x:v>29.7353929</x:v>
      </x:c>
      <x:c r="L496" s="71" t="n">
        <x:v>-95.4329529</x:v>
      </x:c>
      <x:c r="M496" s="71" t="n">
        <x:v>0.36</x:v>
      </x:c>
      <x:c r="N496" s="71" t="n">
        <x:v>0.009479541740710926</x:v>
      </x:c>
      <x:c r="O496" s="71" t="n">
        <x:v>16.151553946599314</x:v>
      </x:c>
      <x:c r="P496" s="71" t="n">
        <x:v>3</x:v>
      </x:c>
      <x:c r="Q496" s="71" t="n">
        <x:v>212.45079238387711</x:v>
      </x:c>
      <x:c r="R496" s="34" t="str">
        <x:v>tract internal point; no person, address, building, parcel, or route condition</x:v>
      </x:c>
    </x:row>
    <x:row r="497" ht="86.4000015258789" hidden="0" customHeight="1">
      <x:c r="A497" s="36" t="str">
        <x:v>48201411505</x:v>
      </x:c>
      <x:c r="B497" s="63" t="n">
        <x:v>3303</x:v>
      </x:c>
      <x:c r="C497" s="63" t="n">
        <x:v>212</x:v>
      </x:c>
      <x:c r="D497" s="63" t="n">
        <x:v>389.5</x:v>
      </x:c>
      <x:c r="E497" s="45" t="n">
        <x:v>0.06418407508325764</x:v>
      </x:c>
      <x:c r="F497" s="45" t="n">
        <x:v>0.11792310021192855</x:v>
      </x:c>
      <x:c r="G497" s="66" t="n">
        <x:v>1902</x:v>
      </x:c>
      <x:c r="H497" s="66" t="n">
        <x:v>1198</x:v>
      </x:c>
      <x:c r="I497" s="66" t="n">
        <x:v>0.629863301787592</x:v>
      </x:c>
      <x:c r="J497" s="36" t="str">
        <x:v>low</x:v>
      </x:c>
      <x:c r="K497" s="72" t="n">
        <x:v>29.7355709</x:v>
      </x:c>
      <x:c r="L497" s="72" t="n">
        <x:v>-95.4447356</x:v>
      </x:c>
      <x:c r="M497" s="72" t="n">
        <x:v>0.329</x:v>
      </x:c>
      <x:c r="N497" s="72" t="n">
        <x:v>0.03508139899071224</x:v>
      </x:c>
      <x:c r="O497" s="72" t="n">
        <x:v>16.9251604303608</x:v>
      </x:c>
      <x:c r="P497" s="72" t="n">
        <x:v>3</x:v>
      </x:c>
      <x:c r="Q497" s="72" t="n">
        <x:v>265.99379941710436</x:v>
      </x:c>
      <x:c r="R497" s="36" t="str">
        <x:v>tract internal point; no person, address, building, parcel, or route condition</x:v>
      </x:c>
    </x:row>
    <x:row r="498" ht="86.4000015258789" hidden="0" customHeight="1">
      <x:c r="A498" s="34" t="str">
        <x:v>48201411506</x:v>
      </x:c>
      <x:c r="B498" s="62" t="n">
        <x:v>2967</x:v>
      </x:c>
      <x:c r="C498" s="62" t="n">
        <x:v>195</x:v>
      </x:c>
      <x:c r="D498" s="62" t="n">
        <x:v>218</x:v>
      </x:c>
      <x:c r="E498" s="43" t="n">
        <x:v>0.06572295247724974</x:v>
      </x:c>
      <x:c r="F498" s="43" t="n">
        <x:v>0.07347489046174586</x:v>
      </x:c>
      <x:c r="G498" s="65" t="n">
        <x:v>2171</x:v>
      </x:c>
      <x:c r="H498" s="65" t="n">
        <x:v>1993</x:v>
      </x:c>
      <x:c r="I498" s="65" t="n">
        <x:v>0.9180101335789959</x:v>
      </x:c>
      <x:c r="J498" s="34" t="str">
        <x:v>low</x:v>
      </x:c>
      <x:c r="K498" s="71" t="n">
        <x:v>29.7330676</x:v>
      </x:c>
      <x:c r="L498" s="71" t="n">
        <x:v>-95.4394595</x:v>
      </x:c>
      <x:c r="M498" s="71" t="n">
        <x:v>0.145</x:v>
      </x:c>
      <x:c r="N498" s="71" t="n">
        <x:v>0.06123444155362511</x:v>
      </x:c>
      <x:c r="O498" s="71" t="n">
        <x:v>16.205704382724047</x:v>
      </x:c>
      <x:c r="P498" s="71" t="n">
        <x:v>3</x:v>
      </x:c>
      <x:c r="Q498" s="71" t="n">
        <x:v>237.97066670855799</x:v>
      </x:c>
      <x:c r="R498" s="34" t="str">
        <x:v>tract internal point; no person, address, building, parcel, or route condition</x:v>
      </x:c>
    </x:row>
    <x:row r="499" ht="86.4000015258789" hidden="0" customHeight="1">
      <x:c r="A499" s="36" t="str">
        <x:v>48201411507</x:v>
      </x:c>
      <x:c r="B499" s="63" t="n">
        <x:v>2167</x:v>
      </x:c>
      <x:c r="C499" s="63" t="n">
        <x:v>653</x:v>
      </x:c>
      <x:c r="D499" s="63" t="n">
        <x:v>76</x:v>
      </x:c>
      <x:c r="E499" s="45" t="n">
        <x:v>0.30133825565297645</x:v>
      </x:c>
      <x:c r="F499" s="45" t="n">
        <x:v>0.03507152745731426</x:v>
      </x:c>
      <x:c r="G499" s="66" t="n">
        <x:v>1479</x:v>
      </x:c>
      <x:c r="H499" s="66" t="n">
        <x:v>1191</x:v>
      </x:c>
      <x:c r="I499" s="66" t="n">
        <x:v>0.8052738336713996</x:v>
      </x:c>
      <x:c r="J499" s="36" t="str">
        <x:v>low</x:v>
      </x:c>
      <x:c r="K499" s="72" t="n">
        <x:v>29.7381671</x:v>
      </x:c>
      <x:c r="L499" s="72" t="n">
        <x:v>-95.4385028</x:v>
      </x:c>
      <x:c r="M499" s="72" t="n">
        <x:v>0.117</x:v>
      </x:c>
      <x:c r="N499" s="72" t="n">
        <x:v>0.01459517424595512</x:v>
      </x:c>
      <x:c r="O499" s="72" t="n">
        <x:v>16.936244308479008</x:v>
      </x:c>
      <x:c r="P499" s="72" t="n">
        <x:v>3</x:v>
      </x:c>
      <x:c r="Q499" s="72" t="n">
        <x:v>181.17774651448835</x:v>
      </x:c>
      <x:c r="R499" s="36" t="str">
        <x:v>tract internal point; no person, address, building, parcel, or route condition</x:v>
      </x:c>
    </x:row>
    <x:row r="500" ht="86.4000015258789" hidden="0" customHeight="1">
      <x:c r="A500" s="34" t="str">
        <x:v>48201411600</x:v>
      </x:c>
      <x:c r="B500" s="62" t="n">
        <x:v>2806</x:v>
      </x:c>
      <x:c r="C500" s="62" t="n">
        <x:v>208</x:v>
      </x:c>
      <x:c r="D500" s="62" t="n">
        <x:v>25</x:v>
      </x:c>
      <x:c r="E500" s="43" t="n">
        <x:v>0.07412687099073414</x:v>
      </x:c>
      <x:c r="F500" s="43" t="n">
        <x:v>0.008909479686386316</x:v>
      </x:c>
      <x:c r="G500" s="65" t="n">
        <x:v>1577</x:v>
      </x:c>
      <x:c r="H500" s="65" t="n">
        <x:v>377</x:v>
      </x:c>
      <x:c r="I500" s="65" t="n">
        <x:v>0.23906150919467342</x:v>
      </x:c>
      <x:c r="J500" s="34" t="str">
        <x:v>low</x:v>
      </x:c>
      <x:c r="K500" s="71" t="n">
        <x:v>29.735475</x:v>
      </x:c>
      <x:c r="L500" s="71" t="n">
        <x:v>-95.453745</x:v>
      </x:c>
      <x:c r="M500" s="71" t="n">
        <x:v>0.527</x:v>
      </x:c>
      <x:c r="N500" s="71" t="n">
        <x:v>0.056141068780869934</x:v>
      </x:c>
      <x:c r="O500" s="71" t="n">
        <x:v>16.973941519742926</x:v>
      </x:c>
      <x:c r="P500" s="71" t="n">
        <x:v>3</x:v>
      </x:c>
      <x:c r="Q500" s="71" t="n">
        <x:v>224.0042926171019</x:v>
      </x:c>
      <x:c r="R500" s="34" t="str">
        <x:v>tract internal point; no person, address, building, parcel, or route condition</x:v>
      </x:c>
    </x:row>
    <x:row r="501" ht="86.4000015258789" hidden="0" customHeight="1">
      <x:c r="A501" s="36" t="str">
        <x:v>48201411700</x:v>
      </x:c>
      <x:c r="B501" s="63" t="n">
        <x:v>3516</x:v>
      </x:c>
      <x:c r="C501" s="63" t="n">
        <x:v>475</x:v>
      </x:c>
      <x:c r="D501" s="63" t="n">
        <x:v>141</x:v>
      </x:c>
      <x:c r="E501" s="45" t="n">
        <x:v>0.1350967007963595</x:v>
      </x:c>
      <x:c r="F501" s="45" t="n">
        <x:v>0.04010238907849829</x:v>
      </x:c>
      <x:c r="G501" s="66" t="n">
        <x:v>2368</x:v>
      </x:c>
      <x:c r="H501" s="66" t="n">
        <x:v>1183</x:v>
      </x:c>
      <x:c r="I501" s="66" t="n">
        <x:v>0.4995777027027027</x:v>
      </x:c>
      <x:c r="J501" s="36" t="str">
        <x:v>low</x:v>
      </x:c>
      <x:c r="K501" s="72" t="n">
        <x:v>29.7245732</x:v>
      </x:c>
      <x:c r="L501" s="72" t="n">
        <x:v>-95.4533877</x:v>
      </x:c>
      <x:c r="M501" s="72" t="n">
        <x:v>0.467</x:v>
      </x:c>
      <x:c r="N501" s="72" t="n">
        <x:v>0.11430357273616108</x:v>
      </x:c>
      <x:c r="O501" s="72" t="n">
        <x:v>16.360454959775108</x:v>
      </x:c>
      <x:c r="P501" s="72" t="n">
        <x:v>3</x:v>
      </x:c>
      <x:c r="Q501" s="72" t="n">
        <x:v>284.91560337049793</x:v>
      </x:c>
      <x:c r="R501" s="36" t="str">
        <x:v>tract internal point; no person, address, building, parcel, or route condition</x:v>
      </x:c>
    </x:row>
    <x:row r="502" ht="86.4000015258789" hidden="0" customHeight="1">
      <x:c r="A502" s="34" t="str">
        <x:v>48201411801</x:v>
      </x:c>
      <x:c r="B502" s="62" t="n">
        <x:v>3825</x:v>
      </x:c>
      <x:c r="C502" s="62" t="n">
        <x:v>283</x:v>
      </x:c>
      <x:c r="D502" s="62" t="n">
        <x:v>129</x:v>
      </x:c>
      <x:c r="E502" s="43" t="n">
        <x:v>0.07398692810457516</x:v>
      </x:c>
      <x:c r="F502" s="43" t="n">
        <x:v>0.03372549019607843</x:v>
      </x:c>
      <x:c r="G502" s="65" t="n">
        <x:v>1834</x:v>
      </x:c>
      <x:c r="H502" s="65" t="n">
        <x:v>1066</x:v>
      </x:c>
      <x:c r="I502" s="65" t="n">
        <x:v>0.5812431842966194</x:v>
      </x:c>
      <x:c r="J502" s="34" t="str">
        <x:v>low</x:v>
      </x:c>
      <x:c r="K502" s="71" t="n">
        <x:v>29.7264326</x:v>
      </x:c>
      <x:c r="L502" s="71" t="n">
        <x:v>-95.4380232</x:v>
      </x:c>
      <x:c r="M502" s="71" t="n">
        <x:v>0.472</x:v>
      </x:c>
      <x:c r="N502" s="71" t="n">
        <x:v>0.01709386465388635</x:v>
      </x:c>
      <x:c r="O502" s="71" t="n">
        <x:v>15.720629763206743</x:v>
      </x:c>
      <x:c r="P502" s="71" t="n">
        <x:v>3</x:v>
      </x:c>
      <x:c r="Q502" s="71" t="n">
        <x:v>306.0891609407751</x:v>
      </x:c>
      <x:c r="R502" s="34" t="str">
        <x:v>tract internal point; no person, address, building, parcel, or route condition</x:v>
      </x:c>
    </x:row>
    <x:row r="503" ht="86.4000015258789" hidden="0" customHeight="1">
      <x:c r="A503" s="36" t="str">
        <x:v>48201411802</x:v>
      </x:c>
      <x:c r="B503" s="63" t="n">
        <x:v>2196</x:v>
      </x:c>
      <x:c r="C503" s="63" t="n">
        <x:v>394</x:v>
      </x:c>
      <x:c r="D503" s="63" t="n">
        <x:v>365</x:v>
      </x:c>
      <x:c r="E503" s="45" t="n">
        <x:v>0.17941712204007285</x:v>
      </x:c>
      <x:c r="F503" s="45" t="n">
        <x:v>0.1662112932604736</x:v>
      </x:c>
      <x:c r="G503" s="66" t="n">
        <x:v>1659</x:v>
      </x:c>
      <x:c r="H503" s="66" t="n">
        <x:v>1073</x:v>
      </x:c>
      <x:c r="I503" s="66" t="n">
        <x:v>0.6467751657625075</x:v>
      </x:c>
      <x:c r="J503" s="36" t="str">
        <x:v>low</x:v>
      </x:c>
      <x:c r="K503" s="72" t="n">
        <x:v>29.7281886</x:v>
      </x:c>
      <x:c r="L503" s="72" t="n">
        <x:v>-95.4187689</x:v>
      </x:c>
      <x:c r="M503" s="72" t="n">
        <x:v>0.359</x:v>
      </x:c>
      <x:c r="N503" s="72" t="n">
        <x:v>0.038606697558849795</x:v>
      </x:c>
      <x:c r="O503" s="72" t="n">
        <x:v>14.238419456296276</x:v>
      </x:c>
      <x:c r="P503" s="72" t="n">
        <x:v>3</x:v>
      </x:c>
      <x:c r="Q503" s="72" t="n">
        <x:v>181.6571774765474</x:v>
      </x:c>
      <x:c r="R503" s="36" t="str">
        <x:v>tract internal point; no person, address, building, parcel, or route condition</x:v>
      </x:c>
    </x:row>
    <x:row r="504" ht="86.4000015258789" hidden="0" customHeight="1">
      <x:c r="A504" s="34" t="str">
        <x:v>48201411901</x:v>
      </x:c>
      <x:c r="B504" s="62" t="n">
        <x:v>2182</x:v>
      </x:c>
      <x:c r="C504" s="62" t="n">
        <x:v>141</x:v>
      </x:c>
      <x:c r="D504" s="62" t="n">
        <x:v>0</x:v>
      </x:c>
      <x:c r="E504" s="43" t="n">
        <x:v>0.06461961503208066</x:v>
      </x:c>
      <x:c r="F504" s="43" t="n">
        <x:v>0</x:v>
      </x:c>
      <x:c r="G504" s="65" t="n">
        <x:v>1090</x:v>
      </x:c>
      <x:c r="H504" s="65" t="n">
        <x:v>53</x:v>
      </x:c>
      <x:c r="I504" s="65" t="n">
        <x:v>0.04862385321100918</x:v>
      </x:c>
      <x:c r="J504" s="34" t="str">
        <x:v>low</x:v>
      </x:c>
      <x:c r="K504" s="71" t="n">
        <x:v>29.7289065</x:v>
      </x:c>
      <x:c r="L504" s="71" t="n">
        <x:v>-95.4018496</x:v>
      </x:c>
      <x:c r="M504" s="71" t="n">
        <x:v>0.374</x:v>
      </x:c>
      <x:c r="N504" s="71" t="n">
        <x:v>0.02693179354946484</x:v>
      </x:c>
      <x:c r="O504" s="71" t="n">
        <x:v>13.076312676856157</x:v>
      </x:c>
      <x:c r="P504" s="71" t="n">
        <x:v>3</x:v>
      </x:c>
      <x:c r="Q504" s="71" t="n">
        <x:v>173.71119874471728</x:v>
      </x:c>
      <x:c r="R504" s="34" t="str">
        <x:v>tract internal point; no person, address, building, parcel, or route condition</x:v>
      </x:c>
    </x:row>
    <x:row r="505" ht="86.4000015258789" hidden="0" customHeight="1">
      <x:c r="A505" s="36" t="str">
        <x:v>48201411902</x:v>
      </x:c>
      <x:c r="B505" s="63" t="n">
        <x:v>2391</x:v>
      </x:c>
      <x:c r="C505" s="63" t="n">
        <x:v>131</x:v>
      </x:c>
      <x:c r="D505" s="63" t="n">
        <x:v>360.5</x:v>
      </x:c>
      <x:c r="E505" s="45" t="n">
        <x:v>0.054788791300711</x:v>
      </x:c>
      <x:c r="F505" s="45" t="n">
        <x:v>0.15077373483897952</x:v>
      </x:c>
      <x:c r="G505" s="66" t="n">
        <x:v>1383</x:v>
      </x:c>
      <x:c r="H505" s="66" t="n">
        <x:v>844</x:v>
      </x:c>
      <x:c r="I505" s="66" t="n">
        <x:v>0.6102675343456254</x:v>
      </x:c>
      <x:c r="J505" s="36" t="str">
        <x:v>low</x:v>
      </x:c>
      <x:c r="K505" s="72" t="n">
        <x:v>29.7266021</x:v>
      </x:c>
      <x:c r="L505" s="72" t="n">
        <x:v>-95.3929645</x:v>
      </x:c>
      <x:c r="M505" s="72" t="n">
        <x:v>0.325</x:v>
      </x:c>
      <x:c r="N505" s="72" t="n">
        <x:v>0.04079253965771945</x:v>
      </x:c>
      <x:c r="O505" s="72" t="n">
        <x:v>12.210660767859558</x:v>
      </x:c>
      <x:c r="P505" s="72" t="n">
        <x:v>3</x:v>
      </x:c>
      <x:c r="Q505" s="72" t="n">
        <x:v>192.81377174937907</x:v>
      </x:c>
      <x:c r="R505" s="36" t="str">
        <x:v>tract internal point; no person, address, building, parcel, or route condition</x:v>
      </x:c>
    </x:row>
    <x:row r="506" ht="86.4000015258789" hidden="0" customHeight="1">
      <x:c r="A506" s="34" t="str">
        <x:v>48201412000</x:v>
      </x:c>
      <x:c r="B506" s="62" t="n">
        <x:v>3819</x:v>
      </x:c>
      <x:c r="C506" s="62" t="n">
        <x:v>376</x:v>
      </x:c>
      <x:c r="D506" s="62" t="n">
        <x:v>143</x:v>
      </x:c>
      <x:c r="E506" s="43" t="n">
        <x:v>0.09845509295627128</x:v>
      </x:c>
      <x:c r="F506" s="43" t="n">
        <x:v>0.03744435716156062</x:v>
      </x:c>
      <x:c r="G506" s="65" t="n">
        <x:v>2015</x:v>
      </x:c>
      <x:c r="H506" s="65" t="n">
        <x:v>542</x:v>
      </x:c>
      <x:c r="I506" s="65" t="n">
        <x:v>0.2689826302729528</x:v>
      </x:c>
      <x:c r="J506" s="34" t="str">
        <x:v>moderate</x:v>
      </x:c>
      <x:c r="K506" s="71" t="n">
        <x:v>29.7215371</x:v>
      </x:c>
      <x:c r="L506" s="71" t="n">
        <x:v>-95.4107135</x:v>
      </x:c>
      <x:c r="M506" s="71" t="n">
        <x:v>0.577</x:v>
      </x:c>
      <x:c r="N506" s="71" t="n">
        <x:v>0.03802611128344479</x:v>
      </x:c>
      <x:c r="O506" s="71" t="n">
        <x:v>14.819303893027055</x:v>
      </x:c>
      <x:c r="P506" s="71" t="n">
        <x:v>3</x:v>
      </x:c>
      <x:c r="Q506" s="71" t="n">
        <x:v>543.4891052934898</x:v>
      </x:c>
      <x:c r="R506" s="34" t="str">
        <x:v>tract internal point; no person, address, building, parcel, or route condition</x:v>
      </x:c>
    </x:row>
    <x:row r="507" ht="86.4000015258789" hidden="0" customHeight="1">
      <x:c r="A507" s="36" t="str">
        <x:v>48201412201</x:v>
      </x:c>
      <x:c r="B507" s="63" t="n">
        <x:v>2331</x:v>
      </x:c>
      <x:c r="C507" s="63" t="n">
        <x:v>92</x:v>
      </x:c>
      <x:c r="D507" s="63" t="n">
        <x:v>190</x:v>
      </x:c>
      <x:c r="E507" s="45" t="n">
        <x:v>0.039468039468039465</x:v>
      </x:c>
      <x:c r="F507" s="45" t="n">
        <x:v>0.08151008151008152</x:v>
      </x:c>
      <x:c r="G507" s="66" t="n">
        <x:v>1398</x:v>
      </x:c>
      <x:c r="H507" s="66" t="n">
        <x:v>693</x:v>
      </x:c>
      <x:c r="I507" s="66" t="n">
        <x:v>0.4957081545064378</x:v>
      </x:c>
      <x:c r="J507" s="36" t="str">
        <x:v>moderate</x:v>
      </x:c>
      <x:c r="K507" s="72" t="n">
        <x:v>29.7092496</x:v>
      </x:c>
      <x:c r="L507" s="72" t="n">
        <x:v>-95.4082503</x:v>
      </x:c>
      <x:c r="M507" s="72" t="n">
        <x:v>0.373</x:v>
      </x:c>
      <x:c r="N507" s="72" t="n">
        <x:v>0.07427254412120234</x:v>
      </x:c>
      <x:c r="O507" s="72" t="n">
        <x:v>13.54579955852499</x:v>
      </x:c>
      <x:c r="P507" s="72" t="n">
        <x:v>3</x:v>
      </x:c>
      <x:c r="Q507" s="72" t="n">
        <x:v>329.33340078728446</x:v>
      </x:c>
      <x:c r="R507" s="36" t="str">
        <x:v>tract internal point; no person, address, building, parcel, or route condition</x:v>
      </x:c>
    </x:row>
    <x:row r="508" ht="86.4000015258789" hidden="0" customHeight="1">
      <x:c r="A508" s="34" t="str">
        <x:v>48201412202</x:v>
      </x:c>
      <x:c r="B508" s="62" t="n">
        <x:v>3496</x:v>
      </x:c>
      <x:c r="C508" s="62" t="n">
        <x:v>149</x:v>
      </x:c>
      <x:c r="D508" s="62" t="n">
        <x:v>235</x:v>
      </x:c>
      <x:c r="E508" s="43" t="n">
        <x:v>0.04262013729977117</x:v>
      </x:c>
      <x:c r="F508" s="43" t="n">
        <x:v>0.06721967963386728</x:v>
      </x:c>
      <x:c r="G508" s="65" t="n">
        <x:v>1678</x:v>
      </x:c>
      <x:c r="H508" s="65" t="n">
        <x:v>396</x:v>
      </x:c>
      <x:c r="I508" s="65" t="n">
        <x:v>0.2359952324195471</x:v>
      </x:c>
      <x:c r="J508" s="34" t="str">
        <x:v>moderate</x:v>
      </x:c>
      <x:c r="K508" s="71" t="n">
        <x:v>29.7057466</x:v>
      </x:c>
      <x:c r="L508" s="71" t="n">
        <x:v>-95.4136689</x:v>
      </x:c>
      <x:c r="M508" s="71" t="n">
        <x:v>0.552</x:v>
      </x:c>
      <x:c r="N508" s="71" t="n">
        <x:v>0.1157576687818843</x:v>
      </x:c>
      <x:c r="O508" s="71" t="n">
        <x:v>13.274925352306237</x:v>
      </x:c>
      <x:c r="P508" s="71" t="n">
        <x:v>3</x:v>
      </x:c>
      <x:c r="Q508" s="71" t="n">
        <x:v>493.54122589693844</x:v>
      </x:c>
      <x:c r="R508" s="34" t="str">
        <x:v>tract internal point; no person, address, building, parcel, or route condition</x:v>
      </x:c>
    </x:row>
    <x:row r="509" ht="86.4000015258789" hidden="0" customHeight="1">
      <x:c r="A509" s="36" t="str">
        <x:v>48201412300</x:v>
      </x:c>
      <x:c r="B509" s="63" t="n">
        <x:v>6959</x:v>
      </x:c>
      <x:c r="C509" s="63" t="n">
        <x:v>312</x:v>
      </x:c>
      <x:c r="D509" s="63" t="n">
        <x:v>0</x:v>
      </x:c>
      <x:c r="E509" s="45" t="n">
        <x:v>0.044834027877568614</x:v>
      </x:c>
      <x:c r="F509" s="45" t="n">
        <x:v>0</x:v>
      </x:c>
      <x:c r="G509" s="66" t="n">
        <x:v>2467</x:v>
      </x:c>
      <x:c r="H509" s="66" t="n">
        <x:v>0</x:v>
      </x:c>
      <x:c r="I509" s="66" t="n">
        <x:v>0</x:v>
      </x:c>
      <x:c r="J509" s="36" t="str">
        <x:v>moderate</x:v>
      </x:c>
      <x:c r="K509" s="72" t="n">
        <x:v>29.7157544</x:v>
      </x:c>
      <x:c r="L509" s="72" t="n">
        <x:v>-95.4241774</x:v>
      </x:c>
      <x:c r="M509" s="72" t="n">
        <x:v>0.919</x:v>
      </x:c>
      <x:c r="N509" s="72" t="n">
        <x:v>0.04842657692055451</x:v>
      </x:c>
      <x:c r="O509" s="72" t="n">
        <x:v>16.186824983617868</x:v>
      </x:c>
      <x:c r="P509" s="72" t="n">
        <x:v>3</x:v>
      </x:c>
      <x:c r="Q509" s="72" t="n">
        <x:v>976.3475512108762</x:v>
      </x:c>
      <x:c r="R509" s="36" t="str">
        <x:v>tract internal point; no person, address, building, parcel, or route condition</x:v>
      </x:c>
    </x:row>
    <x:row r="510" ht="86.4000015258789" hidden="0" customHeight="1">
      <x:c r="A510" s="34" t="str">
        <x:v>48201412400</x:v>
      </x:c>
      <x:c r="B510" s="62" t="n">
        <x:v>4525</x:v>
      </x:c>
      <x:c r="C510" s="62" t="n">
        <x:v>144</x:v>
      </x:c>
      <x:c r="D510" s="62" t="n">
        <x:v>8</x:v>
      </x:c>
      <x:c r="E510" s="43" t="n">
        <x:v>0.031823204419889506</x:v>
      </x:c>
      <x:c r="F510" s="43" t="n">
        <x:v>0.0017679558011049724</x:v>
      </x:c>
      <x:c r="G510" s="65" t="n">
        <x:v>1586</x:v>
      </x:c>
      <x:c r="H510" s="65" t="n">
        <x:v>0</x:v>
      </x:c>
      <x:c r="I510" s="65" t="n">
        <x:v>0</x:v>
      </x:c>
      <x:c r="J510" s="34" t="str">
        <x:v>moderate</x:v>
      </x:c>
      <x:c r="K510" s="71" t="n">
        <x:v>29.7161946</x:v>
      </x:c>
      <x:c r="L510" s="71" t="n">
        <x:v>-95.4352661</x:v>
      </x:c>
      <x:c r="M510" s="71" t="n">
        <x:v>0.652</x:v>
      </x:c>
      <x:c r="N510" s="71" t="n">
        <x:v>0.14038144259723112</x:v>
      </x:c>
      <x:c r="O510" s="71" t="n">
        <x:v>17.1971673677773</x:v>
      </x:c>
      <x:c r="P510" s="71" t="n">
        <x:v>3</x:v>
      </x:c>
      <x:c r="Q510" s="71" t="n">
        <x:v>633.331323773757</x:v>
      </x:c>
      <x:c r="R510" s="34" t="str">
        <x:v>tract internal point; no person, address, building, parcel, or route condition</x:v>
      </x:c>
    </x:row>
    <x:row r="511" ht="86.4000015258789" hidden="0" customHeight="1">
      <x:c r="A511" s="36" t="str">
        <x:v>48201412500</x:v>
      </x:c>
      <x:c r="B511" s="63" t="n">
        <x:v>1706</x:v>
      </x:c>
      <x:c r="C511" s="63" t="n">
        <x:v>119</x:v>
      </x:c>
      <x:c r="D511" s="63" t="n">
        <x:v>42</x:v>
      </x:c>
      <x:c r="E511" s="45" t="n">
        <x:v>0.0697538100820633</x:v>
      </x:c>
      <x:c r="F511" s="45" t="n">
        <x:v>0.0246189917936694</x:v>
      </x:c>
      <x:c r="G511" s="66" t="n">
        <x:v>767</x:v>
      </x:c>
      <x:c r="H511" s="66" t="n">
        <x:v>361</x:v>
      </x:c>
      <x:c r="I511" s="66" t="n">
        <x:v>0.4706649282920469</x:v>
      </x:c>
      <x:c r="J511" s="36" t="str">
        <x:v>high</x:v>
      </x:c>
      <x:c r="K511" s="72" t="n">
        <x:v>29.7086859</x:v>
      </x:c>
      <x:c r="L511" s="72" t="n">
        <x:v>-95.4354835</x:v>
      </x:c>
      <x:c r="M511" s="72" t="n">
        <x:v>0.249</x:v>
      </x:c>
      <x:c r="N511" s="72" t="n">
        <x:v>0.17472375318073352</x:v>
      </x:c>
      <x:c r="O511" s="72" t="n">
        <x:v>16.544262805782214</x:v>
      </x:c>
      <x:c r="P511" s="72" t="n">
        <x:v>3</x:v>
      </x:c>
      <x:c r="Q511" s="72" t="n">
        <x:v>293.5350828485244</x:v>
      </x:c>
      <x:c r="R511" s="36" t="str">
        <x:v>tract internal point; no person, address, building, parcel, or route condition</x:v>
      </x:c>
    </x:row>
    <x:row r="512" ht="86.4000015258789" hidden="0" customHeight="1">
      <x:c r="A512" s="34" t="str">
        <x:v>48201412600</x:v>
      </x:c>
      <x:c r="B512" s="62" t="n">
        <x:v>3850</x:v>
      </x:c>
      <x:c r="C512" s="62" t="n">
        <x:v>198</x:v>
      </x:c>
      <x:c r="D512" s="62" t="n">
        <x:v>139</x:v>
      </x:c>
      <x:c r="E512" s="43" t="n">
        <x:v>0.05142857142857143</x:v>
      </x:c>
      <x:c r="F512" s="43" t="n">
        <x:v>0.0361038961038961</x:v>
      </x:c>
      <x:c r="G512" s="65" t="n">
        <x:v>1444</x:v>
      </x:c>
      <x:c r="H512" s="65" t="n">
        <x:v>11</x:v>
      </x:c>
      <x:c r="I512" s="65" t="n">
        <x:v>0.007617728531855956</x:v>
      </x:c>
      <x:c r="J512" s="34" t="str">
        <x:v>moderate</x:v>
      </x:c>
      <x:c r="K512" s="71" t="n">
        <x:v>29.7149457</x:v>
      </x:c>
      <x:c r="L512" s="71" t="n">
        <x:v>-95.4441139</x:v>
      </x:c>
      <x:c r="M512" s="71" t="n">
        <x:v>0.468</x:v>
      </x:c>
      <x:c r="N512" s="71" t="n">
        <x:v>0.10931514136426085</x:v>
      </x:c>
      <x:c r="O512" s="71" t="n">
        <x:v>16.824949958927377</x:v>
      </x:c>
      <x:c r="P512" s="71" t="n">
        <x:v>3</x:v>
      </x:c>
      <x:c r="Q512" s="71" t="n">
        <x:v>542.7938397116894</x:v>
      </x:c>
      <x:c r="R512" s="34" t="str">
        <x:v>tract internal point; no person, address, building, parcel, or route condition</x:v>
      </x:c>
    </x:row>
    <x:row r="513" ht="86.4000015258789" hidden="0" customHeight="1">
      <x:c r="A513" s="36" t="str">
        <x:v>48201412700</x:v>
      </x:c>
      <x:c r="B513" s="63" t="n">
        <x:v>3135</x:v>
      </x:c>
      <x:c r="C513" s="63" t="n">
        <x:v>228</x:v>
      </x:c>
      <x:c r="D513" s="63" t="n">
        <x:v>93</x:v>
      </x:c>
      <x:c r="E513" s="45" t="n">
        <x:v>0.07272727272727272</x:v>
      </x:c>
      <x:c r="F513" s="45" t="n">
        <x:v>0.02966507177033493</x:v>
      </x:c>
      <x:c r="G513" s="66" t="n">
        <x:v>1355</x:v>
      </x:c>
      <x:c r="H513" s="66" t="n">
        <x:v>108</x:v>
      </x:c>
      <x:c r="I513" s="66" t="n">
        <x:v>0.07970479704797048</x:v>
      </x:c>
      <x:c r="J513" s="36" t="str">
        <x:v>high</x:v>
      </x:c>
      <x:c r="K513" s="72" t="n">
        <x:v>29.7135</x:v>
      </x:c>
      <x:c r="L513" s="72" t="n">
        <x:v>-95.453667</x:v>
      </x:c>
      <x:c r="M513" s="72" t="n">
        <x:v>0.794</x:v>
      </x:c>
      <x:c r="N513" s="72" t="n">
        <x:v>0.05738294786008549</x:v>
      </x:c>
      <x:c r="O513" s="72" t="n">
        <x:v>15.164033609633123</x:v>
      </x:c>
      <x:c r="P513" s="72" t="n">
        <x:v>3</x:v>
      </x:c>
      <x:c r="Q513" s="72" t="n">
        <x:v>539.9928262851835</x:v>
      </x:c>
      <x:c r="R513" s="36" t="str">
        <x:v>tract internal point; no person, address, building, parcel, or route condition</x:v>
      </x:c>
    </x:row>
    <x:row r="514" ht="86.4000015258789" hidden="0" customHeight="1">
      <x:c r="A514" s="34" t="str">
        <x:v>48201412800</x:v>
      </x:c>
      <x:c r="B514" s="62" t="n">
        <x:v>5018</x:v>
      </x:c>
      <x:c r="C514" s="62" t="n">
        <x:v>211</x:v>
      </x:c>
      <x:c r="D514" s="62" t="n">
        <x:v>90</x:v>
      </x:c>
      <x:c r="E514" s="43" t="n">
        <x:v>0.04204862495017935</x:v>
      </x:c>
      <x:c r="F514" s="43" t="n">
        <x:v>0.017935432443204464</x:v>
      </x:c>
      <x:c r="G514" s="65" t="n">
        <x:v>1707</x:v>
      </x:c>
      <x:c r="H514" s="65" t="n">
        <x:v>0</x:v>
      </x:c>
      <x:c r="I514" s="65" t="n">
        <x:v>0</x:v>
      </x:c>
      <x:c r="J514" s="34" t="str">
        <x:v>high</x:v>
      </x:c>
      <x:c r="K514" s="71" t="n">
        <x:v>29.6981361</x:v>
      </x:c>
      <x:c r="L514" s="71" t="n">
        <x:v>-95.4532887</x:v>
      </x:c>
      <x:c r="M514" s="71" t="n">
        <x:v>0.787</x:v>
      </x:c>
      <x:c r="N514" s="71" t="n">
        <x:v>0.05779668046034819</x:v>
      </x:c>
      <x:c r="O514" s="71" t="n">
        <x:v>13.808668113117944</x:v>
      </x:c>
      <x:c r="P514" s="71" t="n">
        <x:v>3</x:v>
      </x:c>
      <x:c r="Q514" s="71" t="n">
        <x:v>858.1245916815108</x:v>
      </x:c>
      <x:c r="R514" s="34" t="str">
        <x:v>tract internal point; no person, address, building, parcel, or route condition</x:v>
      </x:c>
    </x:row>
    <x:row r="515" ht="86.4000015258789" hidden="0" customHeight="1">
      <x:c r="A515" s="36" t="str">
        <x:v>48201412901</x:v>
      </x:c>
      <x:c r="B515" s="63" t="n">
        <x:v>1916</x:v>
      </x:c>
      <x:c r="C515" s="63" t="n">
        <x:v>300</x:v>
      </x:c>
      <x:c r="D515" s="63" t="n">
        <x:v>118</x:v>
      </x:c>
      <x:c r="E515" s="45" t="n">
        <x:v>0.15657620041753653</x:v>
      </x:c>
      <x:c r="F515" s="45" t="n">
        <x:v>0.061586638830897704</x:v>
      </x:c>
      <x:c r="G515" s="66" t="n">
        <x:v>1068</x:v>
      </x:c>
      <x:c r="H515" s="66" t="n">
        <x:v>932</x:v>
      </x:c>
      <x:c r="I515" s="66" t="n">
        <x:v>0.8726591760299626</x:v>
      </x:c>
      <x:c r="J515" s="36" t="str">
        <x:v>high</x:v>
      </x:c>
      <x:c r="K515" s="72" t="n">
        <x:v>29.6850348</x:v>
      </x:c>
      <x:c r="L515" s="72" t="n">
        <x:v>-95.452935</x:v>
      </x:c>
      <x:c r="M515" s="72" t="n">
        <x:v>0.312</x:v>
      </x:c>
      <x:c r="N515" s="72" t="n">
        <x:v>0.11150021015110162</x:v>
      </x:c>
      <x:c r="O515" s="72" t="n">
        <x:v>12.754870741096253</x:v>
      </x:c>
      <x:c r="P515" s="72" t="n">
        <x:v>3</x:v>
      </x:c>
      <x:c r="Q515" s="72" t="n">
        <x:v>336.4988683311976</x:v>
      </x:c>
      <x:c r="R515" s="36" t="str">
        <x:v>tract internal point; no person, address, building, parcel, or route condition</x:v>
      </x:c>
    </x:row>
    <x:row r="516" ht="86.4000015258789" hidden="0" customHeight="1">
      <x:c r="A516" s="34" t="str">
        <x:v>48201412902</x:v>
      </x:c>
      <x:c r="B516" s="62" t="n">
        <x:v>2995</x:v>
      </x:c>
      <x:c r="C516" s="62" t="n">
        <x:v>545</x:v>
      </x:c>
      <x:c r="D516" s="62" t="n">
        <x:v>424.5</x:v>
      </x:c>
      <x:c r="E516" s="43" t="n">
        <x:v>0.18196994991652754</x:v>
      </x:c>
      <x:c r="F516" s="43" t="n">
        <x:v>0.14173622704507513</x:v>
      </x:c>
      <x:c r="G516" s="65" t="n">
        <x:v>1261</x:v>
      </x:c>
      <x:c r="H516" s="65" t="n">
        <x:v>506</x:v>
      </x:c>
      <x:c r="I516" s="65" t="n">
        <x:v>0.401268834258525</x:v>
      </x:c>
      <x:c r="J516" s="34" t="str">
        <x:v>high</x:v>
      </x:c>
      <x:c r="K516" s="71" t="n">
        <x:v>29.6862533</x:v>
      </x:c>
      <x:c r="L516" s="71" t="n">
        <x:v>-95.445239</x:v>
      </x:c>
      <x:c r="M516" s="71" t="n">
        <x:v>0.472</x:v>
      </x:c>
      <x:c r="N516" s="71" t="n">
        <x:v>0.06995933348346131</x:v>
      </x:c>
      <x:c r="O516" s="71" t="n">
        <x:v>12.243986817397515</x:v>
      </x:c>
      <x:c r="P516" s="71" t="n">
        <x:v>3</x:v>
      </x:c>
      <x:c r="Q516" s="71" t="n">
        <x:v>532.6375210085004</x:v>
      </x:c>
      <x:c r="R516" s="34" t="str">
        <x:v>tract internal point; no person, address, building, parcel, or route condition</x:v>
      </x:c>
    </x:row>
    <x:row r="517" ht="86.4000015258789" hidden="0" customHeight="1">
      <x:c r="A517" s="36" t="str">
        <x:v>48201413000</x:v>
      </x:c>
      <x:c r="B517" s="63" t="n">
        <x:v>3111</x:v>
      </x:c>
      <x:c r="C517" s="63" t="n">
        <x:v>491</x:v>
      </x:c>
      <x:c r="D517" s="63" t="n">
        <x:v>58</x:v>
      </x:c>
      <x:c r="E517" s="45" t="n">
        <x:v>0.15782706525233045</x:v>
      </x:c>
      <x:c r="F517" s="45" t="n">
        <x:v>0.01864352298296368</x:v>
      </x:c>
      <x:c r="G517" s="66" t="n">
        <x:v>1508</x:v>
      </x:c>
      <x:c r="H517" s="66" t="n">
        <x:v>539</x:v>
      </x:c>
      <x:c r="I517" s="66" t="n">
        <x:v>0.3574270557029178</x:v>
      </x:c>
      <x:c r="J517" s="36" t="str">
        <x:v>high</x:v>
      </x:c>
      <x:c r="K517" s="72" t="n">
        <x:v>29.6974479</x:v>
      </x:c>
      <x:c r="L517" s="72" t="n">
        <x:v>-95.4423158</x:v>
      </x:c>
      <x:c r="M517" s="72" t="n">
        <x:v>0.618</x:v>
      </x:c>
      <x:c r="N517" s="72" t="n">
        <x:v>0.045038235352522306</x:v>
      </x:c>
      <x:c r="O517" s="72" t="n">
        <x:v>13.700297149463859</x:v>
      </x:c>
      <x:c r="P517" s="72" t="n">
        <x:v>3</x:v>
      </x:c>
      <x:c r="Q517" s="72" t="n">
        <x:v>544.2418058581349</x:v>
      </x:c>
      <x:c r="R517" s="36" t="str">
        <x:v>tract internal point; no person, address, building, parcel, or route condition</x:v>
      </x:c>
    </x:row>
    <x:row r="518" ht="86.4000015258789" hidden="0" customHeight="1">
      <x:c r="A518" s="34" t="str">
        <x:v>48201413100</x:v>
      </x:c>
      <x:c r="B518" s="62" t="n">
        <x:v>3346</x:v>
      </x:c>
      <x:c r="C518" s="62" t="n">
        <x:v>203</x:v>
      </x:c>
      <x:c r="D518" s="62" t="n">
        <x:v>0</x:v>
      </x:c>
      <x:c r="E518" s="43" t="n">
        <x:v>0.060669456066945605</x:v>
      </x:c>
      <x:c r="F518" s="43" t="n">
        <x:v>0</x:v>
      </x:c>
      <x:c r="G518" s="65" t="n">
        <x:v>1207</x:v>
      </x:c>
      <x:c r="H518" s="65" t="n">
        <x:v>22</x:v>
      </x:c>
      <x:c r="I518" s="65" t="n">
        <x:v>0.018227009113504555</x:v>
      </x:c>
      <x:c r="J518" s="34" t="str">
        <x:v>moderate</x:v>
      </x:c>
      <x:c r="K518" s="71" t="n">
        <x:v>29.6983955</x:v>
      </x:c>
      <x:c r="L518" s="71" t="n">
        <x:v>-95.4327891</x:v>
      </x:c>
      <x:c r="M518" s="71" t="n">
        <x:v>0.551</x:v>
      </x:c>
      <x:c r="N518" s="71" t="n">
        <x:v>0.047587654136508964</x:v>
      </x:c>
      <x:c r="O518" s="71" t="n">
        <x:v>13.98347132446374</x:v>
      </x:c>
      <x:c r="P518" s="71" t="n">
        <x:v>3</x:v>
      </x:c>
      <x:c r="Q518" s="71" t="n">
        <x:v>470.9172838651485</x:v>
      </x:c>
      <x:c r="R518" s="34" t="str">
        <x:v>tract internal point; no person, address, building, parcel, or route condition</x:v>
      </x:c>
    </x:row>
    <x:row r="519" ht="86.4000015258789" hidden="0" customHeight="1">
      <x:c r="A519" s="36" t="str">
        <x:v>48201413203</x:v>
      </x:c>
      <x:c r="B519" s="63" t="n">
        <x:v>1874</x:v>
      </x:c>
      <x:c r="C519" s="63" t="n">
        <x:v>335</x:v>
      </x:c>
      <x:c r="D519" s="63" t="n">
        <x:v>304</x:v>
      </x:c>
      <x:c r="E519" s="45" t="n">
        <x:v>0.17876200640341516</x:v>
      </x:c>
      <x:c r="F519" s="45" t="n">
        <x:v>0.1622198505869797</x:v>
      </x:c>
      <x:c r="G519" s="66" t="n">
        <x:v>1317</x:v>
      </x:c>
      <x:c r="H519" s="66" t="n">
        <x:v>694</x:v>
      </x:c>
      <x:c r="I519" s="66" t="n">
        <x:v>0.5269552012148823</x:v>
      </x:c>
      <x:c r="J519" s="36" t="str">
        <x:v>high</x:v>
      </x:c>
      <x:c r="K519" s="72" t="n">
        <x:v>29.7032683</x:v>
      </x:c>
      <x:c r="L519" s="72" t="n">
        <x:v>-95.425711</x:v>
      </x:c>
      <x:c r="M519" s="72" t="n">
        <x:v>0.095</x:v>
      </x:c>
      <x:c r="N519" s="72" t="n">
        <x:v>0.12071164332736861</x:v>
      </x:c>
      <x:c r="O519" s="72" t="n">
        <x:v>14.261414315802686</x:v>
      </x:c>
      <x:c r="P519" s="72" t="n">
        <x:v>3</x:v>
      </x:c>
      <x:c r="Q519" s="72" t="n">
        <x:v>333.7226426341297</x:v>
      </x:c>
      <x:c r="R519" s="36" t="str">
        <x:v>tract internal point; no person, address, building, parcel, or route condition</x:v>
      </x:c>
    </x:row>
    <x:row r="520" ht="86.4000015258789" hidden="0" customHeight="1">
      <x:c r="A520" s="34" t="str">
        <x:v>48201413204</x:v>
      </x:c>
      <x:c r="B520" s="62" t="n">
        <x:v>1061</x:v>
      </x:c>
      <x:c r="C520" s="62" t="n">
        <x:v>195</x:v>
      </x:c>
      <x:c r="D520" s="62" t="n">
        <x:v>288</x:v>
      </x:c>
      <x:c r="E520" s="43" t="n">
        <x:v>0.18378887841658811</x:v>
      </x:c>
      <x:c r="F520" s="43" t="n">
        <x:v>0.2714420358152686</x:v>
      </x:c>
      <x:c r="G520" s="65" t="n">
        <x:v>781</x:v>
      </x:c>
      <x:c r="H520" s="65" t="n">
        <x:v>597</x:v>
      </x:c>
      <x:c r="I520" s="65" t="n">
        <x:v>0.764404609475032</x:v>
      </x:c>
      <x:c r="J520" s="34" t="str">
        <x:v>high</x:v>
      </x:c>
      <x:c r="K520" s="71" t="n">
        <x:v>29.6991945</x:v>
      </x:c>
      <x:c r="L520" s="71" t="n">
        <x:v>-95.4246003</x:v>
      </x:c>
      <x:c r="M520" s="71" t="n">
        <x:v>0.086</x:v>
      </x:c>
      <x:c r="N520" s="71" t="n">
        <x:v>0.06885108332418288</x:v>
      </x:c>
      <x:c r="O520" s="71" t="n">
        <x:v>13.752034353779084</x:v>
      </x:c>
      <x:c r="P520" s="71" t="n">
        <x:v>3</x:v>
      </x:c>
      <x:c r="Q520" s="71" t="n">
        <x:v>191.0855833445296</x:v>
      </x:c>
      <x:c r="R520" s="34" t="str">
        <x:v>tract internal point; no person, address, building, parcel, or route condition</x:v>
      </x:c>
    </x:row>
    <x:row r="521" ht="86.4000015258789" hidden="0" customHeight="1">
      <x:c r="A521" s="36" t="str">
        <x:v>48201413205</x:v>
      </x:c>
      <x:c r="B521" s="63" t="n">
        <x:v>1503</x:v>
      </x:c>
      <x:c r="C521" s="63" t="n">
        <x:v>96</x:v>
      </x:c>
      <x:c r="D521" s="63" t="n">
        <x:v>70</x:v>
      </x:c>
      <x:c r="E521" s="45" t="n">
        <x:v>0.06387225548902195</x:v>
      </x:c>
      <x:c r="F521" s="45" t="n">
        <x:v>0.046573519627411845</x:v>
      </x:c>
      <x:c r="G521" s="66" t="n">
        <x:v>957</x:v>
      </x:c>
      <x:c r="H521" s="66" t="n">
        <x:v>851</x:v>
      </x:c>
      <x:c r="I521" s="66" t="n">
        <x:v>0.8892371995820272</x:v>
      </x:c>
      <x:c r="J521" s="36" t="str">
        <x:v>high</x:v>
      </x:c>
      <x:c r="K521" s="72" t="n">
        <x:v>29.7031646</x:v>
      </x:c>
      <x:c r="L521" s="72" t="n">
        <x:v>-95.420566</x:v>
      </x:c>
      <x:c r="M521" s="72" t="n">
        <x:v>0.116</x:v>
      </x:c>
      <x:c r="N521" s="72" t="n">
        <x:v>0.022143531831835393</x:v>
      </x:c>
      <x:c r="O521" s="72" t="n">
        <x:v>13.443588590565502</x:v>
      </x:c>
      <x:c r="P521" s="72" t="n">
        <x:v>3</x:v>
      </x:c>
      <x:c r="Q521" s="72" t="n">
        <x:v>258.866118046115</x:v>
      </x:c>
      <x:c r="R521" s="36" t="str">
        <x:v>tract internal point; no person, address, building, parcel, or route condition</x:v>
      </x:c>
    </x:row>
    <x:row r="522" ht="86.4000015258789" hidden="0" customHeight="1">
      <x:c r="A522" s="34" t="str">
        <x:v>48201413206</x:v>
      </x:c>
      <x:c r="B522" s="62" t="n">
        <x:v>2653</x:v>
      </x:c>
      <x:c r="C522" s="62" t="n">
        <x:v>172</x:v>
      </x:c>
      <x:c r="D522" s="62" t="n">
        <x:v>100</x:v>
      </x:c>
      <x:c r="E522" s="43" t="n">
        <x:v>0.06483226535996985</x:v>
      </x:c>
      <x:c r="F522" s="43" t="n">
        <x:v>0.03769317753486619</x:v>
      </x:c>
      <x:c r="G522" s="65" t="n">
        <x:v>1832</x:v>
      </x:c>
      <x:c r="H522" s="65" t="n">
        <x:v>1481</x:v>
      </x:c>
      <x:c r="I522" s="65" t="n">
        <x:v>0.8084061135371179</x:v>
      </x:c>
      <x:c r="J522" s="34" t="str">
        <x:v>moderate</x:v>
      </x:c>
      <x:c r="K522" s="71" t="n">
        <x:v>29.6983131</x:v>
      </x:c>
      <x:c r="L522" s="71" t="n">
        <x:v>-95.4189449</x:v>
      </x:c>
      <x:c r="M522" s="71" t="n">
        <x:v>0.102</x:v>
      </x:c>
      <x:c r="N522" s="71" t="n">
        <x:v>0.07308829097526975</x:v>
      </x:c>
      <x:c r="O522" s="71" t="n">
        <x:v>12.820488974116758</x:v>
      </x:c>
      <x:c r="P522" s="71" t="n">
        <x:v>3</x:v>
      </x:c>
      <x:c r="Q522" s="71" t="n">
        <x:v>375.0818760697607</x:v>
      </x:c>
      <x:c r="R522" s="34" t="str">
        <x:v>tract internal point; no person, address, building, parcel, or route condition</x:v>
      </x:c>
    </x:row>
    <x:row r="523" ht="86.4000015258789" hidden="0" customHeight="1">
      <x:c r="A523" s="36" t="str">
        <x:v>48201413301</x:v>
      </x:c>
      <x:c r="B523" s="63" t="n">
        <x:v>5145</x:v>
      </x:c>
      <x:c r="C523" s="63" t="n">
        <x:v>609</x:v>
      </x:c>
      <x:c r="D523" s="63" t="n">
        <x:v>1068</x:v>
      </x:c>
      <x:c r="E523" s="45" t="n">
        <x:v>0.11836734693877551</x:v>
      </x:c>
      <x:c r="F523" s="45" t="n">
        <x:v>0.2075801749271137</x:v>
      </x:c>
      <x:c r="G523" s="66" t="n">
        <x:v>3158</x:v>
      </x:c>
      <x:c r="H523" s="66" t="n">
        <x:v>1782</x:v>
      </x:c>
      <x:c r="I523" s="66" t="n">
        <x:v>0.5642811906269791</x:v>
      </x:c>
      <x:c r="J523" s="36" t="str">
        <x:v>moderate</x:v>
      </x:c>
      <x:c r="K523" s="72" t="n">
        <x:v>29.6908538</x:v>
      </x:c>
      <x:c r="L523" s="72" t="n">
        <x:v>-95.4217495</x:v>
      </x:c>
      <x:c r="M523" s="72" t="n">
        <x:v>0.546</x:v>
      </x:c>
      <x:c r="N523" s="72" t="n">
        <x:v>0.0478495427843413</x:v>
      </x:c>
      <x:c r="O523" s="72" t="n">
        <x:v>11.869665194177173</x:v>
      </x:c>
      <x:c r="P523" s="72" t="n">
        <x:v>3</x:v>
      </x:c>
      <x:c r="Q523" s="72" t="n">
        <x:v>747.215826072687</x:v>
      </x:c>
      <x:c r="R523" s="36" t="str">
        <x:v>tract internal point; no person, address, building, parcel, or route condition</x:v>
      </x:c>
    </x:row>
    <x:row r="524" ht="86.4000015258789" hidden="0" customHeight="1">
      <x:c r="A524" s="34" t="str">
        <x:v>48201413302</x:v>
      </x:c>
      <x:c r="B524" s="62" t="n">
        <x:v>3768</x:v>
      </x:c>
      <x:c r="C524" s="62" t="n">
        <x:v>407</x:v>
      </x:c>
      <x:c r="D524" s="62" t="n">
        <x:v>0</x:v>
      </x:c>
      <x:c r="E524" s="43" t="n">
        <x:v>0.10801486199575372</x:v>
      </x:c>
      <x:c r="F524" s="43" t="n">
        <x:v>0</x:v>
      </x:c>
      <x:c r="G524" s="65" t="n">
        <x:v>1809</x:v>
      </x:c>
      <x:c r="H524" s="65" t="n">
        <x:v>0</x:v>
      </x:c>
      <x:c r="I524" s="65" t="n">
        <x:v>0</x:v>
      </x:c>
      <x:c r="J524" s="34" t="str">
        <x:v>moderate</x:v>
      </x:c>
      <x:c r="K524" s="71" t="n">
        <x:v>29.685316</x:v>
      </x:c>
      <x:c r="L524" s="71" t="n">
        <x:v>-95.4330005</x:v>
      </x:c>
      <x:c r="M524" s="71" t="n">
        <x:v>0.675</x:v>
      </x:c>
      <x:c r="N524" s="71" t="n">
        <x:v>0.05547808702528358</x:v>
      </x:c>
      <x:c r="O524" s="71" t="n">
        <x:v>11.67869543143174</x:v>
      </x:c>
      <x:c r="P524" s="71" t="n">
        <x:v>3</x:v>
      </x:c>
      <x:c r="Q524" s="71" t="n">
        <x:v>535.2710661166074</x:v>
      </x:c>
      <x:c r="R524" s="34" t="str">
        <x:v>tract internal point; no person, address, building, parcel, or route condition</x:v>
      </x:c>
    </x:row>
    <x:row r="525" ht="86.4000015258789" hidden="0" customHeight="1">
      <x:c r="A525" s="36" t="str">
        <x:v>48201420100</x:v>
      </x:c>
      <x:c r="B525" s="63" t="n">
        <x:v>2769</x:v>
      </x:c>
      <x:c r="C525" s="63" t="n">
        <x:v>336</x:v>
      </x:c>
      <x:c r="D525" s="63" t="n">
        <x:v>296</x:v>
      </x:c>
      <x:c r="E525" s="45" t="n">
        <x:v>0.12134344528710726</x:v>
      </x:c>
      <x:c r="F525" s="45" t="n">
        <x:v>0.1068977970386421</x:v>
      </x:c>
      <x:c r="G525" s="66" t="n">
        <x:v>1783</x:v>
      </x:c>
      <x:c r="H525" s="66" t="n">
        <x:v>400</x:v>
      </x:c>
      <x:c r="I525" s="66" t="n">
        <x:v>0.2243409983174425</x:v>
      </x:c>
      <x:c r="J525" s="36" t="str">
        <x:v>low</x:v>
      </x:c>
      <x:c r="K525" s="72" t="n">
        <x:v>29.6734152</x:v>
      </x:c>
      <x:c r="L525" s="72" t="n">
        <x:v>-95.4357401</x:v>
      </x:c>
      <x:c r="M525" s="72" t="n">
        <x:v>0.448</x:v>
      </x:c>
      <x:c r="N525" s="72" t="n">
        <x:v>0.0875072644125161</x:v>
      </x:c>
      <x:c r="O525" s="72" t="n">
        <x:v>10.898671242788032</x:v>
      </x:c>
      <x:c r="P525" s="72" t="n">
        <x:v>3</x:v>
      </x:c>
      <x:c r="Q525" s="72" t="n">
        <x:v>225.23823788010625</x:v>
      </x:c>
      <x:c r="R525" s="36" t="str">
        <x:v>tract internal point; no person, address, building, parcel, or route condition</x:v>
      </x:c>
    </x:row>
    <x:row r="526" ht="86.4000015258789" hidden="0" customHeight="1">
      <x:c r="A526" s="34" t="str">
        <x:v>48201420200</x:v>
      </x:c>
      <x:c r="B526" s="62" t="n">
        <x:v>2490</x:v>
      </x:c>
      <x:c r="C526" s="62" t="n">
        <x:v>426</x:v>
      </x:c>
      <x:c r="D526" s="62" t="n">
        <x:v>223</x:v>
      </x:c>
      <x:c r="E526" s="43" t="n">
        <x:v>0.1710843373493976</x:v>
      </x:c>
      <x:c r="F526" s="43" t="n">
        <x:v>0.0895582329317269</x:v>
      </x:c>
      <x:c r="G526" s="65" t="n">
        <x:v>1176</x:v>
      </x:c>
      <x:c r="H526" s="65" t="n">
        <x:v>234</x:v>
      </x:c>
      <x:c r="I526" s="65" t="n">
        <x:v>0.1989795918367347</x:v>
      </x:c>
      <x:c r="J526" s="34" t="str">
        <x:v>low</x:v>
      </x:c>
      <x:c r="K526" s="71" t="n">
        <x:v>29.6674366</x:v>
      </x:c>
      <x:c r="L526" s="71" t="n">
        <x:v>-95.4440195</x:v>
      </x:c>
      <x:c r="M526" s="71" t="n">
        <x:v>0.638</x:v>
      </x:c>
      <x:c r="N526" s="71" t="n">
        <x:v>0.04410952000669219</x:v>
      </x:c>
      <x:c r="O526" s="71" t="n">
        <x:v>12.418206919868405</x:v>
      </x:c>
      <x:c r="P526" s="71" t="n">
        <x:v>3</x:v>
      </x:c>
      <x:c r="Q526" s="71" t="n">
        <x:v>204.1511350734789</x:v>
      </x:c>
      <x:c r="R526" s="34" t="str">
        <x:v>tract internal point; no person, address, building, parcel, or route condition</x:v>
      </x:c>
    </x:row>
    <x:row r="527" ht="86.4000015258789" hidden="0" customHeight="1">
      <x:c r="A527" s="36" t="str">
        <x:v>48201420300</x:v>
      </x:c>
      <x:c r="B527" s="63" t="n">
        <x:v>4005</x:v>
      </x:c>
      <x:c r="C527" s="63" t="n">
        <x:v>448</x:v>
      </x:c>
      <x:c r="D527" s="63" t="n">
        <x:v>18</x:v>
      </x:c>
      <x:c r="E527" s="45" t="n">
        <x:v>0.1118601747815231</x:v>
      </x:c>
      <x:c r="F527" s="45" t="n">
        <x:v>0.0044943820224719105</x:v>
      </x:c>
      <x:c r="G527" s="66" t="n">
        <x:v>1691</x:v>
      </x:c>
      <x:c r="H527" s="66" t="n">
        <x:v>475</x:v>
      </x:c>
      <x:c r="I527" s="66" t="n">
        <x:v>0.2808988764044944</x:v>
      </x:c>
      <x:c r="J527" s="36" t="str">
        <x:v>high</x:v>
      </x:c>
      <x:c r="K527" s="72" t="n">
        <x:v>29.6705847</x:v>
      </x:c>
      <x:c r="L527" s="72" t="n">
        <x:v>-95.454883</x:v>
      </x:c>
      <x:c r="M527" s="72" t="n">
        <x:v>0.925</x:v>
      </x:c>
      <x:c r="N527" s="72" t="n">
        <x:v>0.05092547115764466</x:v>
      </x:c>
      <x:c r="O527" s="72" t="n">
        <x:v>13.066930570793742</x:v>
      </x:c>
      <x:c r="P527" s="72" t="n">
        <x:v>3</x:v>
      </x:c>
      <x:c r="Q527" s="72" t="n">
        <x:v>693.4470088700665</x:v>
      </x:c>
      <x:c r="R527" s="36" t="str">
        <x:v>tract internal point; no person, address, building, parcel, or route condition</x:v>
      </x:c>
    </x:row>
    <x:row r="528" ht="86.4000015258789" hidden="0" customHeight="1">
      <x:c r="A528" s="34" t="str">
        <x:v>48201420400</x:v>
      </x:c>
      <x:c r="B528" s="62" t="n">
        <x:v>3705</x:v>
      </x:c>
      <x:c r="C528" s="62" t="n">
        <x:v>259</x:v>
      </x:c>
      <x:c r="D528" s="62" t="n">
        <x:v>622</x:v>
      </x:c>
      <x:c r="E528" s="43" t="n">
        <x:v>0.0699055330634278</x:v>
      </x:c>
      <x:c r="F528" s="43" t="n">
        <x:v>0.1678812415654521</x:v>
      </x:c>
      <x:c r="G528" s="65" t="n">
        <x:v>1754</x:v>
      </x:c>
      <x:c r="H528" s="65" t="n">
        <x:v>174</x:v>
      </x:c>
      <x:c r="I528" s="65" t="n">
        <x:v>0.09920182440136831</x:v>
      </x:c>
      <x:c r="J528" s="34" t="str">
        <x:v>low</x:v>
      </x:c>
      <x:c r="K528" s="71" t="n">
        <x:v>29.6575147</x:v>
      </x:c>
      <x:c r="L528" s="71" t="n">
        <x:v>-95.4559003</x:v>
      </x:c>
      <x:c r="M528" s="71" t="n">
        <x:v>0.981</x:v>
      </x:c>
      <x:c r="N528" s="71" t="n">
        <x:v>0.05421391281552218</x:v>
      </x:c>
      <x:c r="O528" s="71" t="n">
        <x:v>14.850159320859566</x:v>
      </x:c>
      <x:c r="P528" s="71" t="n">
        <x:v>3</x:v>
      </x:c>
      <x:c r="Q528" s="71" t="n">
        <x:v>300.1552203447992</x:v>
      </x:c>
      <x:c r="R528" s="34" t="str">
        <x:v>tract internal point; no person, address, building, parcel, or route condition</x:v>
      </x:c>
    </x:row>
    <x:row r="529" ht="86.4000015258789" hidden="0" customHeight="1">
      <x:c r="A529" s="36" t="str">
        <x:v>48201420500</x:v>
      </x:c>
      <x:c r="B529" s="63" t="n">
        <x:v>3480</x:v>
      </x:c>
      <x:c r="C529" s="63" t="n">
        <x:v>541</x:v>
      </x:c>
      <x:c r="D529" s="63" t="n">
        <x:v>163</x:v>
      </x:c>
      <x:c r="E529" s="45" t="n">
        <x:v>0.15545977011494252</x:v>
      </x:c>
      <x:c r="F529" s="45" t="n">
        <x:v>0.046839080459770116</x:v>
      </x:c>
      <x:c r="G529" s="66" t="n">
        <x:v>1389</x:v>
      </x:c>
      <x:c r="H529" s="66" t="n">
        <x:v>346</x:v>
      </x:c>
      <x:c r="I529" s="66" t="n">
        <x:v>0.24910007199424047</x:v>
      </x:c>
      <x:c r="J529" s="36" t="str">
        <x:v>low</x:v>
      </x:c>
      <x:c r="K529" s="72" t="n">
        <x:v>29.6485884</x:v>
      </x:c>
      <x:c r="L529" s="72" t="n">
        <x:v>-95.4713288</x:v>
      </x:c>
      <x:c r="M529" s="72" t="n">
        <x:v>0.902</x:v>
      </x:c>
      <x:c r="N529" s="72" t="n">
        <x:v>0.2805607270308552</x:v>
      </x:c>
      <x:c r="O529" s="72" t="n">
        <x:v>13.700940938356528</x:v>
      </x:c>
      <x:c r="P529" s="72" t="n">
        <x:v>3</x:v>
      </x:c>
      <x:c r="Q529" s="72" t="n">
        <x:v>283.2965414330528</x:v>
      </x:c>
      <x:c r="R529" s="36" t="str">
        <x:v>tract internal point; no person, address, building, parcel, or route condition</x:v>
      </x:c>
    </x:row>
    <x:row r="530" ht="86.4000015258789" hidden="0" customHeight="1">
      <x:c r="A530" s="34" t="str">
        <x:v>48201420600</x:v>
      </x:c>
      <x:c r="B530" s="62" t="n">
        <x:v>2358</x:v>
      </x:c>
      <x:c r="C530" s="62" t="n">
        <x:v>213</x:v>
      </x:c>
      <x:c r="D530" s="62" t="n">
        <x:v>32</x:v>
      </x:c>
      <x:c r="E530" s="43" t="n">
        <x:v>0.09033078880407125</x:v>
      </x:c>
      <x:c r="F530" s="43" t="n">
        <x:v>0.013570822731128074</x:v>
      </x:c>
      <x:c r="G530" s="65" t="n">
        <x:v>1038</x:v>
      </x:c>
      <x:c r="H530" s="65" t="n">
        <x:v>81</x:v>
      </x:c>
      <x:c r="I530" s="65" t="n">
        <x:v>0.07803468208092486</x:v>
      </x:c>
      <x:c r="J530" s="34" t="str">
        <x:v>low</x:v>
      </x:c>
      <x:c r="K530" s="71" t="n">
        <x:v>29.6611026</x:v>
      </x:c>
      <x:c r="L530" s="71" t="n">
        <x:v>-95.47013</x:v>
      </x:c>
      <x:c r="M530" s="71" t="n">
        <x:v>0.465</x:v>
      </x:c>
      <x:c r="N530" s="71" t="n">
        <x:v>0.010476442749000394</x:v>
      </x:c>
      <x:c r="O530" s="71" t="n">
        <x:v>15.217055232824013</x:v>
      </x:c>
      <x:c r="P530" s="71" t="n">
        <x:v>3</x:v>
      </x:c>
      <x:c r="Q530" s="71" t="n">
        <x:v>188.927237147114</x:v>
      </x:c>
      <x:c r="R530" s="34" t="str">
        <x:v>tract internal point; no person, address, building, parcel, or route condition</x:v>
      </x:c>
    </x:row>
    <x:row r="531" ht="86.4000015258789" hidden="0" customHeight="1">
      <x:c r="A531" s="36" t="str">
        <x:v>48201420700</x:v>
      </x:c>
      <x:c r="B531" s="63" t="n">
        <x:v>2872</x:v>
      </x:c>
      <x:c r="C531" s="63" t="n">
        <x:v>189</x:v>
      </x:c>
      <x:c r="D531" s="63" t="n">
        <x:v>86</x:v>
      </x:c>
      <x:c r="E531" s="45" t="n">
        <x:v>0.06580779944289694</x:v>
      </x:c>
      <x:c r="F531" s="45" t="n">
        <x:v>0.029944289693593314</x:v>
      </x:c>
      <x:c r="G531" s="66" t="n">
        <x:v>1120</x:v>
      </x:c>
      <x:c r="H531" s="66" t="n">
        <x:v>0</x:v>
      </x:c>
      <x:c r="I531" s="66" t="n">
        <x:v>0</x:v>
      </x:c>
      <x:c r="J531" s="36" t="str">
        <x:v>high</x:v>
      </x:c>
      <x:c r="K531" s="72" t="n">
        <x:v>29.6722815</x:v>
      </x:c>
      <x:c r="L531" s="72" t="n">
        <x:v>-95.4691967</x:v>
      </x:c>
      <x:c r="M531" s="72" t="n">
        <x:v>0.879</x:v>
      </x:c>
      <x:c r="N531" s="72" t="n">
        <x:v>0.06613714923660202</x:v>
      </x:c>
      <x:c r="O531" s="72" t="n">
        <x:v>14.580839397695211</x:v>
      </x:c>
      <x:c r="P531" s="72" t="n">
        <x:v>3</x:v>
      </x:c>
      <x:c r="Q531" s="72" t="n">
        <x:v>494.03274843433314</x:v>
      </x:c>
      <x:c r="R531" s="36" t="str">
        <x:v>tract internal point; no person, address, building, parcel, or route condition</x:v>
      </x:c>
    </x:row>
    <x:row r="532" ht="86.4000015258789" hidden="0" customHeight="1">
      <x:c r="A532" s="34" t="str">
        <x:v>48201420800</x:v>
      </x:c>
      <x:c r="B532" s="62" t="n">
        <x:v>2829</x:v>
      </x:c>
      <x:c r="C532" s="62" t="n">
        <x:v>155</x:v>
      </x:c>
      <x:c r="D532" s="62" t="n">
        <x:v>0</x:v>
      </x:c>
      <x:c r="E532" s="43" t="n">
        <x:v>0.05478967833156592</x:v>
      </x:c>
      <x:c r="F532" s="43" t="n">
        <x:v>0</x:v>
      </x:c>
      <x:c r="G532" s="65" t="n">
        <x:v>1016</x:v>
      </x:c>
      <x:c r="H532" s="65" t="n">
        <x:v>0</x:v>
      </x:c>
      <x:c r="I532" s="65" t="n">
        <x:v>0</x:v>
      </x:c>
      <x:c r="J532" s="34" t="str">
        <x:v>high</x:v>
      </x:c>
      <x:c r="K532" s="71" t="n">
        <x:v>29.684459</x:v>
      </x:c>
      <x:c r="L532" s="71" t="n">
        <x:v>-95.4692251</x:v>
      </x:c>
      <x:c r="M532" s="71" t="n">
        <x:v>0.811</x:v>
      </x:c>
      <x:c r="N532" s="71" t="n">
        <x:v>0.08344176654410812</x:v>
      </x:c>
      <x:c r="O532" s="71" t="n">
        <x:v>13.955509837677834</x:v>
      </x:c>
      <x:c r="P532" s="71" t="n">
        <x:v>3</x:v>
      </x:c>
      <x:c r="Q532" s="71" t="n">
        <x:v>484.1466764398961</x:v>
      </x:c>
      <x:c r="R532" s="34" t="str">
        <x:v>tract internal point; no person, address, building, parcel, or route condition</x:v>
      </x:c>
    </x:row>
    <x:row r="533" ht="86.4000015258789" hidden="0" customHeight="1">
      <x:c r="A533" s="36" t="str">
        <x:v>48201420900</x:v>
      </x:c>
      <x:c r="B533" s="63" t="n">
        <x:v>6116</x:v>
      </x:c>
      <x:c r="C533" s="63" t="n">
        <x:v>393</x:v>
      </x:c>
      <x:c r="D533" s="63" t="n">
        <x:v>84</x:v>
      </x:c>
      <x:c r="E533" s="45" t="n">
        <x:v>0.06425768476128188</x:v>
      </x:c>
      <x:c r="F533" s="45" t="n">
        <x:v>0.013734466971877043</x:v>
      </x:c>
      <x:c r="G533" s="66" t="n">
        <x:v>2523</x:v>
      </x:c>
      <x:c r="H533" s="66" t="n">
        <x:v>0</x:v>
      </x:c>
      <x:c r="I533" s="66" t="n">
        <x:v>0</x:v>
      </x:c>
      <x:c r="J533" s="36" t="str">
        <x:v>high</x:v>
      </x:c>
      <x:c r="K533" s="72" t="n">
        <x:v>29.6973396</x:v>
      </x:c>
      <x:c r="L533" s="72" t="n">
        <x:v>-95.469108</x:v>
      </x:c>
      <x:c r="M533" s="72" t="n">
        <x:v>1.342</x:v>
      </x:c>
      <x:c r="N533" s="72" t="n">
        <x:v>0.1295542344265212</x:v>
      </x:c>
      <x:c r="O533" s="72" t="n">
        <x:v>15.116629669029379</x:v>
      </x:c>
      <x:c r="P533" s="72" t="n">
        <x:v>3</x:v>
      </x:c>
      <x:c r="Q533" s="72" t="n">
        <x:v>1050.056585299537</x:v>
      </x:c>
      <x:c r="R533" s="36" t="str">
        <x:v>tract internal point; no person, address, building, parcel, or route condition</x:v>
      </x:c>
    </x:row>
    <x:row r="534" ht="86.4000015258789" hidden="0" customHeight="1">
      <x:c r="A534" s="34" t="str">
        <x:v>48201421000</x:v>
      </x:c>
      <x:c r="B534" s="62" t="n">
        <x:v>2913</x:v>
      </x:c>
      <x:c r="C534" s="62" t="n">
        <x:v>183</x:v>
      </x:c>
      <x:c r="D534" s="62" t="n">
        <x:v>5</x:v>
      </x:c>
      <x:c r="E534" s="43" t="n">
        <x:v>0.06282183316168898</x:v>
      </x:c>
      <x:c r="F534" s="43" t="n">
        <x:v>0.0017164435290078957</x:v>
      </x:c>
      <x:c r="G534" s="65" t="n">
        <x:v>1063</x:v>
      </x:c>
      <x:c r="H534" s="65" t="n">
        <x:v>0</x:v>
      </x:c>
      <x:c r="I534" s="65" t="n">
        <x:v>0</x:v>
      </x:c>
      <x:c r="J534" s="34" t="str">
        <x:v>high</x:v>
      </x:c>
      <x:c r="K534" s="71" t="n">
        <x:v>29.713242</x:v>
      </x:c>
      <x:c r="L534" s="71" t="n">
        <x:v>-95.4654299</x:v>
      </x:c>
      <x:c r="M534" s="71" t="n">
        <x:v>0.725</x:v>
      </x:c>
      <x:c r="N534" s="71" t="n">
        <x:v>0.056674653040455394</x:v>
      </x:c>
      <x:c r="O534" s="71" t="n">
        <x:v>15.204493375931946</x:v>
      </x:c>
      <x:c r="P534" s="71" t="n">
        <x:v>3</x:v>
      </x:c>
      <x:c r="Q534" s="71" t="n">
        <x:v>499.3989895682997</x:v>
      </x:c>
      <x:c r="R534" s="34" t="str">
        <x:v>tract internal point; no person, address, building, parcel, or route condition</x:v>
      </x:c>
    </x:row>
    <x:row r="535" ht="86.4000015258789" hidden="0" customHeight="1">
      <x:c r="A535" s="36" t="str">
        <x:v>48201421101</x:v>
      </x:c>
      <x:c r="B535" s="63" t="n">
        <x:v>2746</x:v>
      </x:c>
      <x:c r="C535" s="63" t="n">
        <x:v>356</x:v>
      </x:c>
      <x:c r="D535" s="63" t="n">
        <x:v>498</x:v>
      </x:c>
      <x:c r="E535" s="45" t="n">
        <x:v>0.12964311726147124</x:v>
      </x:c>
      <x:c r="F535" s="45" t="n">
        <x:v>0.18135469774217042</x:v>
      </x:c>
      <x:c r="G535" s="66" t="n">
        <x:v>1650</x:v>
      </x:c>
      <x:c r="H535" s="66" t="n">
        <x:v>478</x:v>
      </x:c>
      <x:c r="I535" s="66" t="n">
        <x:v>0.2896969696969697</x:v>
      </x:c>
      <x:c r="J535" s="36" t="str">
        <x:v>low</x:v>
      </x:c>
      <x:c r="K535" s="72" t="n">
        <x:v>29.7222779</x:v>
      </x:c>
      <x:c r="L535" s="72" t="n">
        <x:v>-95.4700803</x:v>
      </x:c>
      <x:c r="M535" s="72" t="n">
        <x:v>0.478</x:v>
      </x:c>
      <x:c r="N535" s="72" t="n">
        <x:v>0.2154746427267157</x:v>
      </x:c>
      <x:c r="O535" s="72" t="n">
        <x:v>17.157478530557356</x:v>
      </x:c>
      <x:c r="P535" s="72" t="n">
        <x:v>3</x:v>
      </x:c>
      <x:c r="Q535" s="72" t="n">
        <x:v>225.33255216772437</x:v>
      </x:c>
      <x:c r="R535" s="36" t="str">
        <x:v>tract internal point; no person, address, building, parcel, or route condition</x:v>
      </x:c>
    </x:row>
    <x:row r="536" ht="86.4000015258789" hidden="0" customHeight="1">
      <x:c r="A536" s="34" t="str">
        <x:v>48201421103</x:v>
      </x:c>
      <x:c r="B536" s="62" t="n">
        <x:v>1533</x:v>
      </x:c>
      <x:c r="C536" s="62" t="n">
        <x:v>67</x:v>
      </x:c>
      <x:c r="D536" s="62" t="n">
        <x:v>268.5</x:v>
      </x:c>
      <x:c r="E536" s="43" t="n">
        <x:v>0.04370515329419439</x:v>
      </x:c>
      <x:c r="F536" s="43" t="n">
        <x:v>0.175146771037182</x:v>
      </x:c>
      <x:c r="G536" s="65" t="n">
        <x:v>675</x:v>
      </x:c>
      <x:c r="H536" s="65" t="n">
        <x:v>414</x:v>
      </x:c>
      <x:c r="I536" s="65" t="n">
        <x:v>0.6133333333333333</x:v>
      </x:c>
      <x:c r="J536" s="34" t="str">
        <x:v>low</x:v>
      </x:c>
      <x:c r="K536" s="71" t="n">
        <x:v>29.7182901</x:v>
      </x:c>
      <x:c r="L536" s="71" t="n">
        <x:v>-95.4806352</x:v>
      </x:c>
      <x:c r="M536" s="71" t="n">
        <x:v>0.126</x:v>
      </x:c>
      <x:c r="N536" s="71" t="n">
        <x:v>0.04558122039015814</x:v>
      </x:c>
      <x:c r="O536" s="71" t="n">
        <x:v>17.650763242694637</x:v>
      </x:c>
      <x:c r="P536" s="71" t="n">
        <x:v>3</x:v>
      </x:c>
      <x:c r="Q536" s="71" t="n">
        <x:v>123.64996082939392</x:v>
      </x:c>
      <x:c r="R536" s="34" t="str">
        <x:v>tract internal point; no person, address, building, parcel, or route condition</x:v>
      </x:c>
    </x:row>
    <x:row r="537" ht="86.4000015258789" hidden="0" customHeight="1">
      <x:c r="A537" s="36" t="str">
        <x:v>48201421104</x:v>
      </x:c>
      <x:c r="B537" s="63" t="n">
        <x:v>4854</x:v>
      </x:c>
      <x:c r="C537" s="63" t="n">
        <x:v>300</x:v>
      </x:c>
      <x:c r="D537" s="63" t="n">
        <x:v>988</x:v>
      </x:c>
      <x:c r="E537" s="45" t="n">
        <x:v>0.06180469715698393</x:v>
      </x:c>
      <x:c r="F537" s="45" t="n">
        <x:v>0.20354346930366707</x:v>
      </x:c>
      <x:c r="G537" s="66" t="n">
        <x:v>1763</x:v>
      </x:c>
      <x:c r="H537" s="66" t="n">
        <x:v>1080</x:v>
      </x:c>
      <x:c r="I537" s="66" t="n">
        <x:v>0.6125921724333523</x:v>
      </x:c>
      <x:c r="J537" s="36" t="str">
        <x:v>low</x:v>
      </x:c>
      <x:c r="K537" s="72" t="n">
        <x:v>29.7230027</x:v>
      </x:c>
      <x:c r="L537" s="72" t="n">
        <x:v>-95.4805288</x:v>
      </x:c>
      <x:c r="M537" s="72" t="n">
        <x:v>0.198</x:v>
      </x:c>
      <x:c r="N537" s="72" t="n">
        <x:v>0.04080796980778434</x:v>
      </x:c>
      <x:c r="O537" s="72" t="n">
        <x:v>16.97616129994779</x:v>
      </x:c>
      <x:c r="P537" s="72" t="n">
        <x:v>3</x:v>
      </x:c>
      <x:c r="Q537" s="72" t="n">
        <x:v>393.98221747693356</x:v>
      </x:c>
      <x:c r="R537" s="36" t="str">
        <x:v>tract internal point; no person, address, building, parcel, or route condition</x:v>
      </x:c>
    </x:row>
    <x:row r="538" ht="86.4000015258789" hidden="0" customHeight="1">
      <x:c r="A538" s="34" t="str">
        <x:v>48201421203</x:v>
      </x:c>
      <x:c r="B538" s="62" t="n">
        <x:v>2358</x:v>
      </x:c>
      <x:c r="C538" s="62" t="n">
        <x:v>136</x:v>
      </x:c>
      <x:c r="D538" s="62" t="n">
        <x:v>455.5</x:v>
      </x:c>
      <x:c r="E538" s="43" t="n">
        <x:v>0.05767599660729432</x:v>
      </x:c>
      <x:c r="F538" s="43" t="n">
        <x:v>0.19317217981340118</x:v>
      </x:c>
      <x:c r="G538" s="65" t="n">
        <x:v>994</x:v>
      </x:c>
      <x:c r="H538" s="65" t="n">
        <x:v>400</x:v>
      </x:c>
      <x:c r="I538" s="65" t="n">
        <x:v>0.4024144869215292</x:v>
      </x:c>
      <x:c r="J538" s="34" t="str">
        <x:v>low</x:v>
      </x:c>
      <x:c r="K538" s="71" t="n">
        <x:v>29.7239806</x:v>
      </x:c>
      <x:c r="L538" s="71" t="n">
        <x:v>-95.4871024</x:v>
      </x:c>
      <x:c r="M538" s="71" t="n">
        <x:v>0.086</x:v>
      </x:c>
      <x:c r="N538" s="71" t="n">
        <x:v>0.029882589810844525</x:v>
      </x:c>
      <x:c r="O538" s="71" t="n">
        <x:v>17.359427015248183</x:v>
      </x:c>
      <x:c r="P538" s="71" t="n">
        <x:v>3</x:v>
      </x:c>
      <x:c r="Q538" s="71" t="n">
        <x:v>191.04537885653855</x:v>
      </x:c>
      <x:c r="R538" s="34" t="str">
        <x:v>tract internal point; no person, address, building, parcel, or route condition</x:v>
      </x:c>
    </x:row>
    <x:row r="539" ht="86.4000015258789" hidden="0" customHeight="1">
      <x:c r="A539" s="36" t="str">
        <x:v>48201421204</x:v>
      </x:c>
      <x:c r="B539" s="63" t="n">
        <x:v>3274</x:v>
      </x:c>
      <x:c r="C539" s="63" t="n">
        <x:v>106</x:v>
      </x:c>
      <x:c r="D539" s="63" t="n">
        <x:v>619</x:v>
      </x:c>
      <x:c r="E539" s="45" t="n">
        <x:v>0.032376298106292</x:v>
      </x:c>
      <x:c r="F539" s="45" t="n">
        <x:v>0.18906536346976177</x:v>
      </x:c>
      <x:c r="G539" s="66" t="n">
        <x:v>1429</x:v>
      </x:c>
      <x:c r="H539" s="66" t="n">
        <x:v>848</x:v>
      </x:c>
      <x:c r="I539" s="66" t="n">
        <x:v>0.5934219734079776</x:v>
      </x:c>
      <x:c r="J539" s="36" t="str">
        <x:v>low</x:v>
      </x:c>
      <x:c r="K539" s="72" t="n">
        <x:v>29.7214544</x:v>
      </x:c>
      <x:c r="L539" s="72" t="n">
        <x:v>-95.4895197</x:v>
      </x:c>
      <x:c r="M539" s="72" t="n">
        <x:v>0.09</x:v>
      </x:c>
      <x:c r="N539" s="72" t="n">
        <x:v>0.06164181008207423</x:v>
      </x:c>
      <x:c r="O539" s="72" t="n">
        <x:v>17.606151896313598</x:v>
      </x:c>
      <x:c r="P539" s="72" t="n">
        <x:v>3</x:v>
      </x:c>
      <x:c r="Q539" s="72" t="n">
        <x:v>263.8520791357752</x:v>
      </x:c>
      <x:c r="R539" s="36" t="str">
        <x:v>tract internal point; no person, address, building, parcel, or route condition</x:v>
      </x:c>
    </x:row>
    <x:row r="540" ht="86.4000015258789" hidden="0" customHeight="1">
      <x:c r="A540" s="34" t="str">
        <x:v>48201421205</x:v>
      </x:c>
      <x:c r="B540" s="62" t="n">
        <x:v>2377</x:v>
      </x:c>
      <x:c r="C540" s="62" t="n">
        <x:v>99</x:v>
      </x:c>
      <x:c r="D540" s="62" t="n">
        <x:v>924</x:v>
      </x:c>
      <x:c r="E540" s="43" t="n">
        <x:v>0.041649137568363484</x:v>
      </x:c>
      <x:c r="F540" s="43" t="n">
        <x:v>0.3887252839713925</x:v>
      </x:c>
      <x:c r="G540" s="65" t="n">
        <x:v>903</x:v>
      </x:c>
      <x:c r="H540" s="65" t="n">
        <x:v>412</x:v>
      </x:c>
      <x:c r="I540" s="65" t="n">
        <x:v>0.45625692137320045</x:v>
      </x:c>
      <x:c r="J540" s="34" t="str">
        <x:v>low</x:v>
      </x:c>
      <x:c r="K540" s="71" t="n">
        <x:v>29.718099</x:v>
      </x:c>
      <x:c r="L540" s="71" t="n">
        <x:v>-95.4937154</x:v>
      </x:c>
      <x:c r="M540" s="71" t="n">
        <x:v>0.155</x:v>
      </x:c>
      <x:c r="N540" s="71" t="n">
        <x:v>0.026587540131482342</x:v>
      </x:c>
      <x:c r="O540" s="71" t="n">
        <x:v>18.53349869765297</x:v>
      </x:c>
      <x:c r="P540" s="71" t="n">
        <x:v>3</x:v>
      </x:c>
      <x:c r="Q540" s="71" t="n">
        <x:v>195.63927061593978</x:v>
      </x:c>
      <x:c r="R540" s="34" t="str">
        <x:v>tract internal point; no person, address, building, parcel, or route condition</x:v>
      </x:c>
    </x:row>
    <x:row r="541" ht="86.4000015258789" hidden="0" customHeight="1">
      <x:c r="A541" s="36" t="str">
        <x:v>48201421206</x:v>
      </x:c>
      <x:c r="B541" s="63" t="n">
        <x:v>2013</x:v>
      </x:c>
      <x:c r="C541" s="63" t="n">
        <x:v>100</x:v>
      </x:c>
      <x:c r="D541" s="63" t="n">
        <x:v>541</x:v>
      </x:c>
      <x:c r="E541" s="45" t="n">
        <x:v>0.04967709885742673</x:v>
      </x:c>
      <x:c r="F541" s="45" t="n">
        <x:v>0.2687531048186786</x:v>
      </x:c>
      <x:c r="G541" s="66" t="n">
        <x:v>901</x:v>
      </x:c>
      <x:c r="H541" s="66" t="n">
        <x:v>651</x:v>
      </x:c>
      <x:c r="I541" s="66" t="n">
        <x:v>0.7225305216426193</x:v>
      </x:c>
      <x:c r="J541" s="36" t="str">
        <x:v>low</x:v>
      </x:c>
      <x:c r="K541" s="72" t="n">
        <x:v>29.7182163</x:v>
      </x:c>
      <x:c r="L541" s="72" t="n">
        <x:v>-95.4869012</x:v>
      </x:c>
      <x:c r="M541" s="72" t="n">
        <x:v>0.062</x:v>
      </x:c>
      <x:c r="N541" s="72" t="n">
        <x:v>0.19988219423746348</x:v>
      </x:c>
      <x:c r="O541" s="72" t="n">
        <x:v>18.63008109702029</x:v>
      </x:c>
      <x:c r="P541" s="72" t="n">
        <x:v>3</x:v>
      </x:c>
      <x:c r="Q541" s="72" t="n">
        <x:v>164.0361247398875</x:v>
      </x:c>
      <x:c r="R541" s="36" t="str">
        <x:v>tract internal point; no person, address, building, parcel, or route condition</x:v>
      </x:c>
    </x:row>
    <x:row r="542" ht="86.4000015258789" hidden="0" customHeight="1">
      <x:c r="A542" s="34" t="str">
        <x:v>48201421301</x:v>
      </x:c>
      <x:c r="B542" s="62" t="n">
        <x:v>3537</x:v>
      </x:c>
      <x:c r="C542" s="62" t="n">
        <x:v>392</x:v>
      </x:c>
      <x:c r="D542" s="62" t="n">
        <x:v>1209</x:v>
      </x:c>
      <x:c r="E542" s="43" t="n">
        <x:v>0.11082838563754595</x:v>
      </x:c>
      <x:c r="F542" s="43" t="n">
        <x:v>0.3418150975402884</x:v>
      </x:c>
      <x:c r="G542" s="65" t="n">
        <x:v>1485</x:v>
      </x:c>
      <x:c r="H542" s="65" t="n">
        <x:v>934</x:v>
      </x:c>
      <x:c r="I542" s="65" t="n">
        <x:v>0.6289562289562289</x:v>
      </x:c>
      <x:c r="J542" s="34" t="str">
        <x:v>low</x:v>
      </x:c>
      <x:c r="K542" s="71" t="n">
        <x:v>29.7087134</x:v>
      </x:c>
      <x:c r="L542" s="71" t="n">
        <x:v>-95.4950115</x:v>
      </x:c>
      <x:c r="M542" s="71" t="n">
        <x:v>0.103</x:v>
      </x:c>
      <x:c r="N542" s="71" t="n">
        <x:v>0.01820909929189292</x:v>
      </x:c>
      <x:c r="O542" s="71" t="n">
        <x:v>19.1610011496814</x:v>
      </x:c>
      <x:c r="P542" s="71" t="n">
        <x:v>3</x:v>
      </x:c>
      <x:c r="Q542" s="71" t="n">
        <x:v>293.6553940231142</x:v>
      </x:c>
      <x:c r="R542" s="34" t="str">
        <x:v>tract internal point; no person, address, building, parcel, or route condition</x:v>
      </x:c>
    </x:row>
    <x:row r="543" ht="86.4000015258789" hidden="0" customHeight="1">
      <x:c r="A543" s="36" t="str">
        <x:v>48201421302</x:v>
      </x:c>
      <x:c r="B543" s="63" t="n">
        <x:v>5407</x:v>
      </x:c>
      <x:c r="C543" s="63" t="n">
        <x:v>280</x:v>
      </x:c>
      <x:c r="D543" s="63" t="n">
        <x:v>645</x:v>
      </x:c>
      <x:c r="E543" s="45" t="n">
        <x:v>0.051784723506565565</x:v>
      </x:c>
      <x:c r="F543" s="45" t="n">
        <x:v>0.11928980950619567</x:v>
      </x:c>
      <x:c r="G543" s="66" t="n">
        <x:v>1925</x:v>
      </x:c>
      <x:c r="H543" s="66" t="n">
        <x:v>851</x:v>
      </x:c>
      <x:c r="I543" s="66" t="n">
        <x:v>0.44207792207792207</x:v>
      </x:c>
      <x:c r="J543" s="36" t="str">
        <x:v>high</x:v>
      </x:c>
      <x:c r="K543" s="72" t="n">
        <x:v>29.7092106</x:v>
      </x:c>
      <x:c r="L543" s="72" t="n">
        <x:v>-95.5026659</x:v>
      </x:c>
      <x:c r="M543" s="72" t="n">
        <x:v>0.47</x:v>
      </x:c>
      <x:c r="N543" s="72" t="n">
        <x:v>0.0332858811219819</x:v>
      </x:c>
      <x:c r="O543" s="72" t="n">
        <x:v>19.537050881670808</x:v>
      </x:c>
      <x:c r="P543" s="72" t="n">
        <x:v>3</x:v>
      </x:c>
      <x:c r="Q543" s="72" t="n">
        <x:v>935.7065573501837</x:v>
      </x:c>
      <x:c r="R543" s="36" t="str">
        <x:v>tract internal point; no person, address, building, parcel, or route condition</x:v>
      </x:c>
    </x:row>
    <x:row r="544" ht="86.4000015258789" hidden="0" customHeight="1">
      <x:c r="A544" s="34" t="str">
        <x:v>48201421401</x:v>
      </x:c>
      <x:c r="B544" s="62" t="n">
        <x:v>3347</x:v>
      </x:c>
      <x:c r="C544" s="62" t="n">
        <x:v>66</x:v>
      </x:c>
      <x:c r="D544" s="62" t="n">
        <x:v>989.5</x:v>
      </x:c>
      <x:c r="E544" s="43" t="n">
        <x:v>0.01971915147893636</x:v>
      </x:c>
      <x:c r="F544" s="43" t="n">
        <x:v>0.29563788467284136</x:v>
      </x:c>
      <x:c r="G544" s="65" t="n">
        <x:v>1381</x:v>
      </x:c>
      <x:c r="H544" s="65" t="n">
        <x:v>733</x:v>
      </x:c>
      <x:c r="I544" s="65" t="n">
        <x:v>0.5307748008689356</x:v>
      </x:c>
      <x:c r="J544" s="34" t="str">
        <x:v>low</x:v>
      </x:c>
      <x:c r="K544" s="71" t="n">
        <x:v>29.714443</x:v>
      </x:c>
      <x:c r="L544" s="71" t="n">
        <x:v>-95.492511</x:v>
      </x:c>
      <x:c r="M544" s="71" t="n">
        <x:v>0.11</x:v>
      </x:c>
      <x:c r="N544" s="71" t="n">
        <x:v>0.05597461215938703</x:v>
      </x:c>
      <x:c r="O544" s="71" t="n">
        <x:v>19.132998596972175</x:v>
      </x:c>
      <x:c r="P544" s="71" t="n">
        <x:v>3</x:v>
      </x:c>
      <x:c r="Q544" s="71" t="n">
        <x:v>271.87272334530303</x:v>
      </x:c>
      <x:c r="R544" s="34" t="str">
        <x:v>tract internal point; no person, address, building, parcel, or route condition</x:v>
      </x:c>
    </x:row>
    <x:row r="545" ht="86.4000015258789" hidden="0" customHeight="1">
      <x:c r="A545" s="36" t="str">
        <x:v>48201421402</x:v>
      </x:c>
      <x:c r="B545" s="63" t="n">
        <x:v>3661</x:v>
      </x:c>
      <x:c r="C545" s="63" t="n">
        <x:v>81</x:v>
      </x:c>
      <x:c r="D545" s="63" t="n">
        <x:v>463</x:v>
      </x:c>
      <x:c r="E545" s="45" t="n">
        <x:v>0.02212510243102977</x:v>
      </x:c>
      <x:c r="F545" s="45" t="n">
        <x:v>0.1264681780934171</x:v>
      </x:c>
      <x:c r="G545" s="66" t="n">
        <x:v>1456</x:v>
      </x:c>
      <x:c r="H545" s="66" t="n">
        <x:v>612</x:v>
      </x:c>
      <x:c r="I545" s="66" t="n">
        <x:v>0.42032967032967034</x:v>
      </x:c>
      <x:c r="J545" s="36" t="str">
        <x:v>low</x:v>
      </x:c>
      <x:c r="K545" s="72" t="n">
        <x:v>29.7145907</x:v>
      </x:c>
      <x:c r="L545" s="72" t="n">
        <x:v>-95.4868557</x:v>
      </x:c>
      <x:c r="M545" s="72" t="n">
        <x:v>0.062</x:v>
      </x:c>
      <x:c r="N545" s="72" t="n">
        <x:v>0.20039739314805743</x:v>
      </x:c>
      <x:c r="O545" s="72" t="n">
        <x:v>19.219779563657383</x:v>
      </x:c>
      <x:c r="P545" s="72" t="n">
        <x:v>3</x:v>
      </x:c>
      <x:c r="Q545" s="72" t="n">
        <x:v>292.64937495518717</x:v>
      </x:c>
      <x:c r="R545" s="36" t="str">
        <x:v>tract internal point; no person, address, building, parcel, or route condition</x:v>
      </x:c>
    </x:row>
    <x:row r="546" ht="86.4000015258789" hidden="0" customHeight="1">
      <x:c r="A546" s="34" t="str">
        <x:v>48201421403</x:v>
      </x:c>
      <x:c r="B546" s="62" t="n">
        <x:v>4501</x:v>
      </x:c>
      <x:c r="C546" s="62" t="n">
        <x:v>166</x:v>
      </x:c>
      <x:c r="D546" s="62" t="n">
        <x:v>794</x:v>
      </x:c>
      <x:c r="E546" s="43" t="n">
        <x:v>0.03688069317929349</x:v>
      </x:c>
      <x:c r="F546" s="43" t="n">
        <x:v>0.17640524327927126</x:v>
      </x:c>
      <x:c r="G546" s="65" t="n">
        <x:v>1564</x:v>
      </x:c>
      <x:c r="H546" s="65" t="n">
        <x:v>458</x:v>
      </x:c>
      <x:c r="I546" s="65" t="n">
        <x:v>0.2928388746803069</x:v>
      </x:c>
      <x:c r="J546" s="34" t="str">
        <x:v>low</x:v>
      </x:c>
      <x:c r="K546" s="71" t="n">
        <x:v>29.7091209</x:v>
      </x:c>
      <x:c r="L546" s="71" t="n">
        <x:v>-95.4888961</x:v>
      </x:c>
      <x:c r="M546" s="71" t="n">
        <x:v>0.253</x:v>
      </x:c>
      <x:c r="N546" s="71" t="n">
        <x:v>0.0036303622941048627</x:v>
      </x:c>
      <x:c r="O546" s="71" t="n">
        <x:v>18.14650022851079</x:v>
      </x:c>
      <x:c r="P546" s="71" t="n">
        <x:v>3</x:v>
      </x:c>
      <x:c r="Q546" s="71" t="n">
        <x:v>362.60699779595853</x:v>
      </x:c>
      <x:c r="R546" s="34" t="str">
        <x:v>tract internal point; no person, address, building, parcel, or route condition</x:v>
      </x:c>
    </x:row>
    <x:row r="547" ht="86.4000015258789" hidden="0" customHeight="1">
      <x:c r="A547" s="36" t="str">
        <x:v>48201421501</x:v>
      </x:c>
      <x:c r="B547" s="63" t="n">
        <x:v>3970</x:v>
      </x:c>
      <x:c r="C547" s="63" t="n">
        <x:v>397</x:v>
      </x:c>
      <x:c r="D547" s="63" t="n">
        <x:v>796</x:v>
      </x:c>
      <x:c r="E547" s="45" t="n">
        <x:v>0.1</x:v>
      </x:c>
      <x:c r="F547" s="45" t="n">
        <x:v>0.2005037783375315</x:v>
      </x:c>
      <x:c r="G547" s="66" t="n">
        <x:v>1704</x:v>
      </x:c>
      <x:c r="H547" s="66" t="n">
        <x:v>638</x:v>
      </x:c>
      <x:c r="I547" s="66" t="n">
        <x:v>0.3744131455399061</x:v>
      </x:c>
      <x:c r="J547" s="36" t="str">
        <x:v>high</x:v>
      </x:c>
      <x:c r="K547" s="72" t="n">
        <x:v>29.7108472</x:v>
      </x:c>
      <x:c r="L547" s="72" t="n">
        <x:v>-95.4758568</x:v>
      </x:c>
      <x:c r="M547" s="72" t="n">
        <x:v>0.337</x:v>
      </x:c>
      <x:c r="N547" s="72" t="n">
        <x:v>0.09432556598868204</x:v>
      </x:c>
      <x:c r="O547" s="72" t="n">
        <x:v>16.745264356255998</x:v>
      </x:c>
      <x:c r="P547" s="72" t="n">
        <x:v>3</x:v>
      </x:c>
      <x:c r="Q547" s="72" t="n">
        <x:v>698.9656038532625</x:v>
      </x:c>
      <x:c r="R547" s="36" t="str">
        <x:v>tract internal point; no person, address, building, parcel, or route condition</x:v>
      </x:c>
    </x:row>
    <x:row r="548" ht="86.4000015258789" hidden="0" customHeight="1">
      <x:c r="A548" s="34" t="str">
        <x:v>48201421502</x:v>
      </x:c>
      <x:c r="B548" s="62" t="n">
        <x:v>3109</x:v>
      </x:c>
      <x:c r="C548" s="62" t="n">
        <x:v>43</x:v>
      </x:c>
      <x:c r="D548" s="62" t="n">
        <x:v>645.5</x:v>
      </x:c>
      <x:c r="E548" s="43" t="n">
        <x:v>0.0138308137664844</x:v>
      </x:c>
      <x:c r="F548" s="43" t="n">
        <x:v>0.20762302991315534</x:v>
      </x:c>
      <x:c r="G548" s="65" t="n">
        <x:v>1208</x:v>
      </x:c>
      <x:c r="H548" s="65" t="n">
        <x:v>544</x:v>
      </x:c>
      <x:c r="I548" s="65" t="n">
        <x:v>0.4503311258278146</x:v>
      </x:c>
      <x:c r="J548" s="34" t="str">
        <x:v>moderate</x:v>
      </x:c>
      <x:c r="K548" s="71" t="n">
        <x:v>29.7128292</x:v>
      </x:c>
      <x:c r="L548" s="71" t="n">
        <x:v>-95.4785161</x:v>
      </x:c>
      <x:c r="M548" s="71" t="n">
        <x:v>0.252</x:v>
      </x:c>
      <x:c r="N548" s="71" t="n">
        <x:v>0.20830236779273073</x:v>
      </x:c>
      <x:c r="O548" s="71" t="n">
        <x:v>17.169241881507503</x:v>
      </x:c>
      <x:c r="P548" s="71" t="n">
        <x:v>3</x:v>
      </x:c>
      <x:c r="Q548" s="71" t="n">
        <x:v>442.487874225324</x:v>
      </x:c>
      <x:c r="R548" s="34" t="str">
        <x:v>tract internal point; no person, address, building, parcel, or route condition</x:v>
      </x:c>
    </x:row>
    <x:row r="549" ht="86.4000015258789" hidden="0" customHeight="1">
      <x:c r="A549" s="36" t="str">
        <x:v>48201421601</x:v>
      </x:c>
      <x:c r="B549" s="63" t="n">
        <x:v>3258</x:v>
      </x:c>
      <x:c r="C549" s="63" t="n">
        <x:v>290</x:v>
      </x:c>
      <x:c r="D549" s="63" t="n">
        <x:v>858</x:v>
      </x:c>
      <x:c r="E549" s="45" t="n">
        <x:v>0.08901166359729895</x:v>
      </x:c>
      <x:c r="F549" s="45" t="n">
        <x:v>0.26335174953959484</x:v>
      </x:c>
      <x:c r="G549" s="66" t="n">
        <x:v>1030</x:v>
      </x:c>
      <x:c r="H549" s="66" t="n">
        <x:v>318</x:v>
      </x:c>
      <x:c r="I549" s="66" t="n">
        <x:v>0.3087378640776699</x:v>
      </x:c>
      <x:c r="J549" s="36" t="str">
        <x:v>low</x:v>
      </x:c>
      <x:c r="K549" s="72" t="n">
        <x:v>29.7009353</x:v>
      </x:c>
      <x:c r="L549" s="72" t="n">
        <x:v>-95.4900265</x:v>
      </x:c>
      <x:c r="M549" s="72" t="n">
        <x:v>0.236</x:v>
      </x:c>
      <x:c r="N549" s="72" t="n">
        <x:v>0.053941856683167116</x:v>
      </x:c>
      <x:c r="O549" s="72" t="n">
        <x:v>18.28467505583802</x:v>
      </x:c>
      <x:c r="P549" s="72" t="n">
        <x:v>3</x:v>
      </x:c>
      <x:c r="Q549" s="72" t="n">
        <x:v>267.36528634955175</x:v>
      </x:c>
      <x:c r="R549" s="36" t="str">
        <x:v>tract internal point; no person, address, building, parcel, or route condition</x:v>
      </x:c>
    </x:row>
    <x:row r="550" ht="86.4000015258789" hidden="0" customHeight="1">
      <x:c r="A550" s="34" t="str">
        <x:v>48201421602</x:v>
      </x:c>
      <x:c r="B550" s="62" t="n">
        <x:v>2868</x:v>
      </x:c>
      <x:c r="C550" s="62" t="n">
        <x:v>158</x:v>
      </x:c>
      <x:c r="D550" s="62" t="n">
        <x:v>619.5</x:v>
      </x:c>
      <x:c r="E550" s="43" t="n">
        <x:v>0.05509065550906555</x:v>
      </x:c>
      <x:c r="F550" s="43" t="n">
        <x:v>0.2160041841004184</x:v>
      </x:c>
      <x:c r="G550" s="65" t="n">
        <x:v>1191</x:v>
      </x:c>
      <x:c r="H550" s="65" t="n">
        <x:v>338</x:v>
      </x:c>
      <x:c r="I550" s="65" t="n">
        <x:v>0.2837951301427372</x:v>
      </x:c>
      <x:c r="J550" s="34" t="str">
        <x:v>high</x:v>
      </x:c>
      <x:c r="K550" s="71" t="n">
        <x:v>29.7021226</x:v>
      </x:c>
      <x:c r="L550" s="71" t="n">
        <x:v>-95.4804176</x:v>
      </x:c>
      <x:c r="M550" s="71" t="n">
        <x:v>0.326</x:v>
      </x:c>
      <x:c r="N550" s="71" t="n">
        <x:v>0.019206303404210485</x:v>
      </x:c>
      <x:c r="O550" s="71" t="n">
        <x:v>16.591645913202193</x:v>
      </x:c>
      <x:c r="P550" s="71" t="n">
        <x:v>3</x:v>
      </x:c>
      <x:c r="Q550" s="71" t="n">
        <x:v>501.33726909460637</x:v>
      </x:c>
      <x:c r="R550" s="34" t="str">
        <x:v>tract internal point; no person, address, building, parcel, or route condition</x:v>
      </x:c>
    </x:row>
    <x:row r="551" ht="86.4000015258789" hidden="0" customHeight="1">
      <x:c r="A551" s="36" t="str">
        <x:v>48201421700</x:v>
      </x:c>
      <x:c r="B551" s="63" t="n">
        <x:v>4521</x:v>
      </x:c>
      <x:c r="C551" s="63" t="n">
        <x:v>365</x:v>
      </x:c>
      <x:c r="D551" s="63" t="n">
        <x:v>521</x:v>
      </x:c>
      <x:c r="E551" s="45" t="n">
        <x:v>0.08073435080734351</x:v>
      </x:c>
      <x:c r="F551" s="45" t="n">
        <x:v>0.11523999115239991</x:v>
      </x:c>
      <x:c r="G551" s="66" t="n">
        <x:v>1799</x:v>
      </x:c>
      <x:c r="H551" s="66" t="n">
        <x:v>321</x:v>
      </x:c>
      <x:c r="I551" s="66" t="n">
        <x:v>0.1784324624791551</x:v>
      </x:c>
      <x:c r="J551" s="36" t="str">
        <x:v>moderate</x:v>
      </x:c>
      <x:c r="K551" s="72" t="n">
        <x:v>29.6869475</x:v>
      </x:c>
      <x:c r="L551" s="72" t="n">
        <x:v>-95.4877251</x:v>
      </x:c>
      <x:c r="M551" s="72" t="n">
        <x:v>0.727</x:v>
      </x:c>
      <x:c r="N551" s="72" t="n">
        <x:v>0.060345654390596956</x:v>
      </x:c>
      <x:c r="O551" s="72" t="n">
        <x:v>16.849654262409228</x:v>
      </x:c>
      <x:c r="P551" s="72" t="n">
        <x:v>3</x:v>
      </x:c>
      <x:c r="Q551" s="72" t="n">
        <x:v>646.054683920707</x:v>
      </x:c>
      <x:c r="R551" s="36" t="str">
        <x:v>tract internal point; no person, address, building, parcel, or route condition</x:v>
      </x:c>
    </x:row>
    <x:row r="552" ht="86.4000015258789" hidden="0" customHeight="1">
      <x:c r="A552" s="34" t="str">
        <x:v>48201421801</x:v>
      </x:c>
      <x:c r="B552" s="62" t="n">
        <x:v>2303</x:v>
      </x:c>
      <x:c r="C552" s="62" t="n">
        <x:v>500</x:v>
      </x:c>
      <x:c r="D552" s="62" t="n">
        <x:v>172.5</x:v>
      </x:c>
      <x:c r="E552" s="43" t="n">
        <x:v>0.21710811984368214</x:v>
      </x:c>
      <x:c r="F552" s="43" t="n">
        <x:v>0.07490230134607034</x:v>
      </x:c>
      <x:c r="G552" s="65" t="n">
        <x:v>1459</x:v>
      </x:c>
      <x:c r="H552" s="65" t="n">
        <x:v>1036</x:v>
      </x:c>
      <x:c r="I552" s="65" t="n">
        <x:v>0.7100753941055518</x:v>
      </x:c>
      <x:c r="J552" s="34" t="str">
        <x:v>high</x:v>
      </x:c>
      <x:c r="K552" s="71" t="n">
        <x:v>29.6785537</x:v>
      </x:c>
      <x:c r="L552" s="71" t="n">
        <x:v>-95.4800376</x:v>
      </x:c>
      <x:c r="M552" s="71" t="n">
        <x:v>0.119</x:v>
      </x:c>
      <x:c r="N552" s="71" t="n">
        <x:v>0.07651061920566439</x:v>
      </x:c>
      <x:c r="O552" s="71" t="n">
        <x:v>15.457105235983475</x:v>
      </x:c>
      <x:c r="P552" s="71" t="n">
        <x:v>3</x:v>
      </x:c>
      <x:c r="Q552" s="71" t="n">
        <x:v>409.7048928858945</x:v>
      </x:c>
      <x:c r="R552" s="34" t="str">
        <x:v>tract internal point; no person, address, building, parcel, or route condition</x:v>
      </x:c>
    </x:row>
    <x:row r="553" ht="86.4000015258789" hidden="0" customHeight="1">
      <x:c r="A553" s="36" t="str">
        <x:v>48201421802</x:v>
      </x:c>
      <x:c r="B553" s="63" t="n">
        <x:v>2399</x:v>
      </x:c>
      <x:c r="C553" s="63" t="n">
        <x:v>395</x:v>
      </x:c>
      <x:c r="D553" s="63" t="n">
        <x:v>298</x:v>
      </x:c>
      <x:c r="E553" s="45" t="n">
        <x:v>0.16465193830762817</x:v>
      </x:c>
      <x:c r="F553" s="45" t="n">
        <x:v>0.12421842434347645</x:v>
      </x:c>
      <x:c r="G553" s="66" t="n">
        <x:v>1167</x:v>
      </x:c>
      <x:c r="H553" s="66" t="n">
        <x:v>257</x:v>
      </x:c>
      <x:c r="I553" s="66" t="n">
        <x:v>0.22022279348757498</x:v>
      </x:c>
      <x:c r="J553" s="36" t="str">
        <x:v>high</x:v>
      </x:c>
      <x:c r="K553" s="72" t="n">
        <x:v>29.685661</x:v>
      </x:c>
      <x:c r="L553" s="72" t="n">
        <x:v>-95.4808616</x:v>
      </x:c>
      <x:c r="M553" s="72" t="n">
        <x:v>0.333</x:v>
      </x:c>
      <x:c r="N553" s="72" t="n">
        <x:v>0.09281001864332104</x:v>
      </x:c>
      <x:c r="O553" s="72" t="n">
        <x:v>15.972450166521678</x:v>
      </x:c>
      <x:c r="P553" s="72" t="n">
        <x:v>3</x:v>
      </x:c>
      <x:c r="Q553" s="72" t="n">
        <x:v>424.5255367748152</x:v>
      </x:c>
      <x:c r="R553" s="36" t="str">
        <x:v>tract internal point; no person, address, building, parcel, or route condition</x:v>
      </x:c>
    </x:row>
    <x:row r="554" ht="86.4000015258789" hidden="0" customHeight="1">
      <x:c r="A554" s="34" t="str">
        <x:v>48201421900</x:v>
      </x:c>
      <x:c r="B554" s="62" t="n">
        <x:v>3063</x:v>
      </x:c>
      <x:c r="C554" s="62" t="n">
        <x:v>213</x:v>
      </x:c>
      <x:c r="D554" s="62" t="n">
        <x:v>0</x:v>
      </x:c>
      <x:c r="E554" s="43" t="n">
        <x:v>0.06953966699314397</x:v>
      </x:c>
      <x:c r="F554" s="43" t="n">
        <x:v>0</x:v>
      </x:c>
      <x:c r="G554" s="65" t="n">
        <x:v>1068</x:v>
      </x:c>
      <x:c r="H554" s="65" t="n">
        <x:v>0</x:v>
      </x:c>
      <x:c r="I554" s="65" t="n">
        <x:v>0</x:v>
      </x:c>
      <x:c r="J554" s="34" t="str">
        <x:v>high</x:v>
      </x:c>
      <x:c r="K554" s="71" t="n">
        <x:v>29.6713977</x:v>
      </x:c>
      <x:c r="L554" s="71" t="n">
        <x:v>-95.4847512</x:v>
      </x:c>
      <x:c r="M554" s="71" t="n">
        <x:v>0.642</x:v>
      </x:c>
      <x:c r="N554" s="71" t="n">
        <x:v>0.04914192328272842</x:v>
      </x:c>
      <x:c r="O554" s="71" t="n">
        <x:v>16.63838182280902</x:v>
      </x:c>
      <x:c r="P554" s="71" t="n">
        <x:v>3</x:v>
      </x:c>
      <x:c r="Q554" s="71" t="n">
        <x:v>525.7223490740353</x:v>
      </x:c>
      <x:c r="R554" s="34" t="str">
        <x:v>tract internal point; no person, address, building, parcel, or route condition</x:v>
      </x:c>
    </x:row>
    <x:row r="555" ht="86.4000015258789" hidden="0" customHeight="1">
      <x:c r="A555" s="36" t="str">
        <x:v>48201422000</x:v>
      </x:c>
      <x:c r="B555" s="63" t="n">
        <x:v>2272</x:v>
      </x:c>
      <x:c r="C555" s="63" t="n">
        <x:v>185</x:v>
      </x:c>
      <x:c r="D555" s="63" t="n">
        <x:v>7</x:v>
      </x:c>
      <x:c r="E555" s="45" t="n">
        <x:v>0.08142605633802817</x:v>
      </x:c>
      <x:c r="F555" s="45" t="n">
        <x:v>0.0030809859154929575</x:v>
      </x:c>
      <x:c r="G555" s="66" t="n">
        <x:v>1056</x:v>
      </x:c>
      <x:c r="H555" s="66" t="n">
        <x:v>40</x:v>
      </x:c>
      <x:c r="I555" s="66" t="n">
        <x:v>0.03787878787878788</x:v>
      </x:c>
      <x:c r="J555" s="36" t="str">
        <x:v>low</x:v>
      </x:c>
      <x:c r="K555" s="72" t="n">
        <x:v>29.6620014</x:v>
      </x:c>
      <x:c r="L555" s="72" t="n">
        <x:v>-95.4846575</x:v>
      </x:c>
      <x:c r="M555" s="72" t="n">
        <x:v>0.565</x:v>
      </x:c>
      <x:c r="N555" s="72" t="n">
        <x:v>0.05825288619658717</x:v>
      </x:c>
      <x:c r="O555" s="72" t="n">
        <x:v>15.129894016504656</x:v>
      </x:c>
      <x:c r="P555" s="72" t="n">
        <x:v>3</x:v>
      </x:c>
      <x:c r="Q555" s="72" t="n">
        <x:v>181.5314250930565</x:v>
      </x:c>
      <x:c r="R555" s="36" t="str">
        <x:v>tract internal point; no person, address, building, parcel, or route condition</x:v>
      </x:c>
    </x:row>
    <x:row r="556" ht="86.4000015258789" hidden="0" customHeight="1">
      <x:c r="A556" s="34" t="str">
        <x:v>48201422100</x:v>
      </x:c>
      <x:c r="B556" s="62" t="n">
        <x:v>5004</x:v>
      </x:c>
      <x:c r="C556" s="62" t="n">
        <x:v>915</x:v>
      </x:c>
      <x:c r="D556" s="62" t="n">
        <x:v>148</x:v>
      </x:c>
      <x:c r="E556" s="43" t="n">
        <x:v>0.1828537170263789</x:v>
      </x:c>
      <x:c r="F556" s="43" t="n">
        <x:v>0.029576338928856916</x:v>
      </x:c>
      <x:c r="G556" s="65" t="n">
        <x:v>2474</x:v>
      </x:c>
      <x:c r="H556" s="65" t="n">
        <x:v>230</x:v>
      </x:c>
      <x:c r="I556" s="65" t="n">
        <x:v>0.09296685529506872</x:v>
      </x:c>
      <x:c r="J556" s="34" t="str">
        <x:v>moderate</x:v>
      </x:c>
      <x:c r="K556" s="71" t="n">
        <x:v>29.6482654</x:v>
      </x:c>
      <x:c r="L556" s="71" t="n">
        <x:v>-95.4870792</x:v>
      </x:c>
      <x:c r="M556" s="71" t="n">
        <x:v>0.926</x:v>
      </x:c>
      <x:c r="N556" s="71" t="n">
        <x:v>0.06813789536457587</x:v>
      </x:c>
      <x:c r="O556" s="71" t="n">
        <x:v>12.615347163487934</x:v>
      </x:c>
      <x:c r="P556" s="71" t="n">
        <x:v>3</x:v>
      </x:c>
      <x:c r="Q556" s="71" t="n">
        <x:v>723.3265006820201</x:v>
      </x:c>
      <x:c r="R556" s="34" t="str">
        <x:v>tract internal point; no person, address, building, parcel, or route condition</x:v>
      </x:c>
    </x:row>
    <x:row r="557" ht="86.4000015258789" hidden="0" customHeight="1">
      <x:c r="A557" s="36" t="str">
        <x:v>48201422200</x:v>
      </x:c>
      <x:c r="B557" s="63" t="n">
        <x:v>5555</x:v>
      </x:c>
      <x:c r="C557" s="63" t="n">
        <x:v>1049</x:v>
      </x:c>
      <x:c r="D557" s="63" t="n">
        <x:v>1296</x:v>
      </x:c>
      <x:c r="E557" s="45" t="n">
        <x:v>0.18883888388838885</x:v>
      </x:c>
      <x:c r="F557" s="45" t="n">
        <x:v>0.2333033303330333</x:v>
      </x:c>
      <x:c r="G557" s="66" t="n">
        <x:v>3014</x:v>
      </x:c>
      <x:c r="H557" s="66" t="n">
        <x:v>1234</x:v>
      </x:c>
      <x:c r="I557" s="66" t="n">
        <x:v>0.40942269409422694</x:v>
      </x:c>
      <x:c r="J557" s="36" t="str">
        <x:v>moderate</x:v>
      </x:c>
      <x:c r="K557" s="72" t="n">
        <x:v>29.6401541</x:v>
      </x:c>
      <x:c r="L557" s="72" t="n">
        <x:v>-95.5018992</x:v>
      </x:c>
      <x:c r="M557" s="72" t="n">
        <x:v>0.685</x:v>
      </x:c>
      <x:c r="N557" s="72" t="n">
        <x:v>0.14234215533814285</x:v>
      </x:c>
      <x:c r="O557" s="72" t="n">
        <x:v>13.113678984304702</x:v>
      </x:c>
      <x:c r="P557" s="72" t="n">
        <x:v>3</x:v>
      </x:c>
      <x:c r="Q557" s="72" t="n">
        <x:v>819.6346890730323</x:v>
      </x:c>
      <x:c r="R557" s="36" t="str">
        <x:v>tract internal point; no person, address, building, parcel, or route condition</x:v>
      </x:c>
    </x:row>
    <x:row r="558" ht="86.4000015258789" hidden="0" customHeight="1">
      <x:c r="A558" s="34" t="str">
        <x:v>48201422302</x:v>
      </x:c>
      <x:c r="B558" s="62" t="n">
        <x:v>2106</x:v>
      </x:c>
      <x:c r="C558" s="62" t="n">
        <x:v>197</x:v>
      </x:c>
      <x:c r="D558" s="62" t="n">
        <x:v>140</x:v>
      </x:c>
      <x:c r="E558" s="43" t="n">
        <x:v>0.09354226020892688</x:v>
      </x:c>
      <x:c r="F558" s="43" t="n">
        <x:v>0.06647673314339982</x:v>
      </x:c>
      <x:c r="G558" s="65" t="n">
        <x:v>1064</x:v>
      </x:c>
      <x:c r="H558" s="65" t="n">
        <x:v>8</x:v>
      </x:c>
      <x:c r="I558" s="65" t="n">
        <x:v>0.007518796992481203</x:v>
      </x:c>
      <x:c r="J558" s="34" t="str">
        <x:v>moderate</x:v>
      </x:c>
      <x:c r="K558" s="71" t="n">
        <x:v>29.6490268</x:v>
      </x:c>
      <x:c r="L558" s="71" t="n">
        <x:v>-95.4971327</x:v>
      </x:c>
      <x:c r="M558" s="71" t="n">
        <x:v>0.268</x:v>
      </x:c>
      <x:c r="N558" s="71" t="n">
        <x:v>0.06176748332507797</x:v>
      </x:c>
      <x:c r="O558" s="71" t="n">
        <x:v>14.01354578185813</x:v>
      </x:c>
      <x:c r="P558" s="71" t="n">
        <x:v>3</x:v>
      </x:c>
      <x:c r="Q558" s="71" t="n">
        <x:v>300.2712994680214</x:v>
      </x:c>
      <x:c r="R558" s="34" t="str">
        <x:v>tract internal point; no person, address, building, parcel, or route condition</x:v>
      </x:c>
    </x:row>
    <x:row r="559" ht="86.4000015258789" hidden="0" customHeight="1">
      <x:c r="A559" s="36" t="str">
        <x:v>48201422303</x:v>
      </x:c>
      <x:c r="B559" s="63" t="n">
        <x:v>3079</x:v>
      </x:c>
      <x:c r="C559" s="63" t="n">
        <x:v>428</x:v>
      </x:c>
      <x:c r="D559" s="63" t="n">
        <x:v>536</x:v>
      </x:c>
      <x:c r="E559" s="45" t="n">
        <x:v>0.13900617083468658</x:v>
      </x:c>
      <x:c r="F559" s="45" t="n">
        <x:v>0.17408249431633646</x:v>
      </x:c>
      <x:c r="G559" s="66" t="n">
        <x:v>1668</x:v>
      </x:c>
      <x:c r="H559" s="66" t="n">
        <x:v>594</x:v>
      </x:c>
      <x:c r="I559" s="66" t="n">
        <x:v>0.35611510791366907</x:v>
      </x:c>
      <x:c r="J559" s="36" t="str">
        <x:v>high</x:v>
      </x:c>
      <x:c r="K559" s="72" t="n">
        <x:v>29.6477685</x:v>
      </x:c>
      <x:c r="L559" s="72" t="n">
        <x:v>-95.5057959</x:v>
      </x:c>
      <x:c r="M559" s="72" t="n">
        <x:v>0.148</x:v>
      </x:c>
      <x:c r="N559" s="72" t="n">
        <x:v>0.09084966935398885</x:v>
      </x:c>
      <x:c r="O559" s="72" t="n">
        <x:v>14.377823166387229</x:v>
      </x:c>
      <x:c r="P559" s="72" t="n">
        <x:v>3</x:v>
      </x:c>
      <x:c r="Q559" s="72" t="n">
        <x:v>544.7835084331724</x:v>
      </x:c>
      <x:c r="R559" s="36" t="str">
        <x:v>tract internal point; no person, address, building, parcel, or route condition</x:v>
      </x:c>
    </x:row>
    <x:row r="560" ht="86.4000015258789" hidden="0" customHeight="1">
      <x:c r="A560" s="34" t="str">
        <x:v>48201422304</x:v>
      </x:c>
      <x:c r="B560" s="62" t="n">
        <x:v>4382</x:v>
      </x:c>
      <x:c r="C560" s="62" t="n">
        <x:v>579</x:v>
      </x:c>
      <x:c r="D560" s="62" t="n">
        <x:v>428.5</x:v>
      </x:c>
      <x:c r="E560" s="43" t="n">
        <x:v>0.13213144682793246</x:v>
      </x:c>
      <x:c r="F560" s="43" t="n">
        <x:v>0.09778639890460977</x:v>
      </x:c>
      <x:c r="G560" s="65" t="n">
        <x:v>1111</x:v>
      </x:c>
      <x:c r="H560" s="65" t="n">
        <x:v>62</x:v>
      </x:c>
      <x:c r="I560" s="65" t="n">
        <x:v>0.0558055805580558</x:v>
      </x:c>
      <x:c r="J560" s="34" t="str">
        <x:v>moderate</x:v>
      </x:c>
      <x:c r="K560" s="71" t="n">
        <x:v>29.6531035</x:v>
      </x:c>
      <x:c r="L560" s="71" t="n">
        <x:v>-95.506412</x:v>
      </x:c>
      <x:c r="M560" s="71" t="n">
        <x:v>0.202</x:v>
      </x:c>
      <x:c r="N560" s="71" t="n">
        <x:v>0.15593366643087003</x:v>
      </x:c>
      <x:c r="O560" s="71" t="n">
        <x:v>15.469283782492885</x:v>
      </x:c>
      <x:c r="P560" s="71" t="n">
        <x:v>3</x:v>
      </x:c>
      <x:c r="Q560" s="71" t="n">
        <x:v>631.3915328005332</x:v>
      </x:c>
      <x:c r="R560" s="34" t="str">
        <x:v>tract internal point; no person, address, building, parcel, or route condition</x:v>
      </x:c>
    </x:row>
    <x:row r="561" ht="86.4000015258789" hidden="0" customHeight="1">
      <x:c r="A561" s="36" t="str">
        <x:v>48201422403</x:v>
      </x:c>
      <x:c r="B561" s="63" t="n">
        <x:v>2549</x:v>
      </x:c>
      <x:c r="C561" s="63" t="n">
        <x:v>333</x:v>
      </x:c>
      <x:c r="D561" s="63" t="n">
        <x:v>58</x:v>
      </x:c>
      <x:c r="E561" s="45" t="n">
        <x:v>0.1306394664574343</x:v>
      </x:c>
      <x:c r="F561" s="45" t="n">
        <x:v>0.022754021184778345</x:v>
      </x:c>
      <x:c r="G561" s="66" t="n">
        <x:v>1017</x:v>
      </x:c>
      <x:c r="H561" s="66" t="n">
        <x:v>127</x:v>
      </x:c>
      <x:c r="I561" s="66" t="n">
        <x:v>0.1248770894788594</x:v>
      </x:c>
      <x:c r="J561" s="36" t="str">
        <x:v>low</x:v>
      </x:c>
      <x:c r="K561" s="72" t="n">
        <x:v>29.6617735</x:v>
      </x:c>
      <x:c r="L561" s="72" t="n">
        <x:v>-95.4967033</x:v>
      </x:c>
      <x:c r="M561" s="72" t="n">
        <x:v>0.349</x:v>
      </x:c>
      <x:c r="N561" s="72" t="n">
        <x:v>0.050360205206871844</x:v>
      </x:c>
      <x:c r="O561" s="72" t="n">
        <x:v>16.109143810032496</x:v>
      </x:c>
      <x:c r="P561" s="72" t="n">
        <x:v>3</x:v>
      </x:c>
      <x:c r="Q561" s="72" t="n">
        <x:v>206.02956130187397</x:v>
      </x:c>
      <x:c r="R561" s="36" t="str">
        <x:v>tract internal point; no person, address, building, parcel, or route condition</x:v>
      </x:c>
    </x:row>
    <x:row r="562" ht="86.4000015258789" hidden="0" customHeight="1">
      <x:c r="A562" s="34" t="str">
        <x:v>48201422404</x:v>
      </x:c>
      <x:c r="B562" s="62" t="n">
        <x:v>2663</x:v>
      </x:c>
      <x:c r="C562" s="62" t="n">
        <x:v>246</x:v>
      </x:c>
      <x:c r="D562" s="62" t="n">
        <x:v>267.5</x:v>
      </x:c>
      <x:c r="E562" s="43" t="n">
        <x:v>0.09237701840030041</x:v>
      </x:c>
      <x:c r="F562" s="43" t="n">
        <x:v>0.10045061960195269</x:v>
      </x:c>
      <x:c r="G562" s="65" t="n">
        <x:v>968</x:v>
      </x:c>
      <x:c r="H562" s="65" t="n">
        <x:v>269</x:v>
      </x:c>
      <x:c r="I562" s="65" t="n">
        <x:v>0.27789256198347106</x:v>
      </x:c>
      <x:c r="J562" s="34" t="str">
        <x:v>high</x:v>
      </x:c>
      <x:c r="K562" s="71" t="n">
        <x:v>29.654967</x:v>
      </x:c>
      <x:c r="L562" s="71" t="n">
        <x:v>-95.4970625</x:v>
      </x:c>
      <x:c r="M562" s="71" t="n">
        <x:v>0.177</x:v>
      </x:c>
      <x:c r="N562" s="71" t="n">
        <x:v>0.04438439033823555</x:v>
      </x:c>
      <x:c r="O562" s="71" t="n">
        <x:v>14.957653291228283</x:v>
      </x:c>
      <x:c r="P562" s="71" t="n">
        <x:v>3</x:v>
      </x:c>
      <x:c r="Q562" s="71" t="n">
        <x:v>463.6550837185501</x:v>
      </x:c>
      <x:c r="R562" s="34" t="str">
        <x:v>tract internal point; no person, address, building, parcel, or route condition</x:v>
      </x:c>
    </x:row>
    <x:row r="563" ht="86.4000015258789" hidden="0" customHeight="1">
      <x:c r="A563" s="36" t="str">
        <x:v>48201422405</x:v>
      </x:c>
      <x:c r="B563" s="63" t="n">
        <x:v>1698</x:v>
      </x:c>
      <x:c r="C563" s="63" t="n">
        <x:v>634</x:v>
      </x:c>
      <x:c r="D563" s="63" t="n">
        <x:v>445</x:v>
      </x:c>
      <x:c r="E563" s="45" t="n">
        <x:v>0.37338044758539457</x:v>
      </x:c>
      <x:c r="F563" s="45" t="n">
        <x:v>0.2620730270906949</x:v>
      </x:c>
      <x:c r="G563" s="66" t="n">
        <x:v>956</x:v>
      </x:c>
      <x:c r="H563" s="66" t="n">
        <x:v>714</x:v>
      </x:c>
      <x:c r="I563" s="66" t="n">
        <x:v>0.7468619246861925</x:v>
      </x:c>
      <x:c r="J563" s="36" t="str">
        <x:v>moderate</x:v>
      </x:c>
      <x:c r="K563" s="72" t="n">
        <x:v>29.6594912</x:v>
      </x:c>
      <x:c r="L563" s="72" t="n">
        <x:v>-95.5070287</x:v>
      </x:c>
      <x:c r="M563" s="72" t="n">
        <x:v>0.081</x:v>
      </x:c>
      <x:c r="N563" s="72" t="n">
        <x:v>0.03878563030906944</x:v>
      </x:c>
      <x:c r="O563" s="72" t="n">
        <x:v>15.322814453405542</x:v>
      </x:c>
      <x:c r="P563" s="72" t="n">
        <x:v>3</x:v>
      </x:c>
      <x:c r="Q563" s="72" t="n">
        <x:v>259.9319904119536</x:v>
      </x:c>
      <x:c r="R563" s="36" t="str">
        <x:v>tract internal point; no person, address, building, parcel, or route condition</x:v>
      </x:c>
    </x:row>
    <x:row r="564" ht="86.4000015258789" hidden="0" customHeight="1">
      <x:c r="A564" s="34" t="str">
        <x:v>48201422406</x:v>
      </x:c>
      <x:c r="B564" s="62" t="n">
        <x:v>2757</x:v>
      </x:c>
      <x:c r="C564" s="62" t="n">
        <x:v>494</x:v>
      </x:c>
      <x:c r="D564" s="62" t="n">
        <x:v>278</x:v>
      </x:c>
      <x:c r="E564" s="43" t="n">
        <x:v>0.17918026840768952</x:v>
      </x:c>
      <x:c r="F564" s="43" t="n">
        <x:v>0.10083424011606819</x:v>
      </x:c>
      <x:c r="G564" s="65" t="n">
        <x:v>1144</x:v>
      </x:c>
      <x:c r="H564" s="65" t="n">
        <x:v>211</x:v>
      </x:c>
      <x:c r="I564" s="65" t="n">
        <x:v>0.18444055944055945</x:v>
      </x:c>
      <x:c r="J564" s="34" t="str">
        <x:v>low</x:v>
      </x:c>
      <x:c r="K564" s="71" t="n">
        <x:v>29.6620002</x:v>
      </x:c>
      <x:c r="L564" s="71" t="n">
        <x:v>-95.5040573</x:v>
      </x:c>
      <x:c r="M564" s="71" t="n">
        <x:v>0.239</x:v>
      </x:c>
      <x:c r="N564" s="71" t="n">
        <x:v>0.04321398027273619</x:v>
      </x:c>
      <x:c r="O564" s="71" t="n">
        <x:v>16.397094901773833</x:v>
      </x:c>
      <x:c r="P564" s="71" t="n">
        <x:v>3</x:v>
      </x:c>
      <x:c r="Q564" s="71" t="n">
        <x:v>226.6372331464422</x:v>
      </x:c>
      <x:c r="R564" s="34" t="str">
        <x:v>tract internal point; no person, address, building, parcel, or route condition</x:v>
      </x:c>
    </x:row>
    <x:row r="565" ht="86.4000015258789" hidden="0" customHeight="1">
      <x:c r="A565" s="36" t="str">
        <x:v>48201422501</x:v>
      </x:c>
      <x:c r="B565" s="63" t="n">
        <x:v>3734</x:v>
      </x:c>
      <x:c r="C565" s="63" t="n">
        <x:v>573</x:v>
      </x:c>
      <x:c r="D565" s="63" t="n">
        <x:v>309</x:v>
      </x:c>
      <x:c r="E565" s="45" t="n">
        <x:v>0.15345474022495983</x:v>
      </x:c>
      <x:c r="F565" s="45" t="n">
        <x:v>0.08275307980717729</x:v>
      </x:c>
      <x:c r="G565" s="66" t="n">
        <x:v>1438</x:v>
      </x:c>
      <x:c r="H565" s="66" t="n">
        <x:v>278</x:v>
      </x:c>
      <x:c r="I565" s="66" t="n">
        <x:v>0.1933240611961057</x:v>
      </x:c>
      <x:c r="J565" s="36" t="str">
        <x:v>high</x:v>
      </x:c>
      <x:c r="K565" s="72" t="n">
        <x:v>29.6746648</x:v>
      </x:c>
      <x:c r="L565" s="72" t="n">
        <x:v>-95.5011866</x:v>
      </x:c>
      <x:c r="M565" s="72" t="n">
        <x:v>0.327</x:v>
      </x:c>
      <x:c r="N565" s="72" t="n">
        <x:v>0.13669224153713347</x:v>
      </x:c>
      <x:c r="O565" s="72" t="n">
        <x:v>18.816771639484763</x:v>
      </x:c>
      <x:c r="P565" s="72" t="n">
        <x:v>3</x:v>
      </x:c>
      <x:c r="Q565" s="72" t="n">
        <x:v>656.7297312057959</x:v>
      </x:c>
      <x:c r="R565" s="36" t="str">
        <x:v>tract internal point; no person, address, building, parcel, or route condition</x:v>
      </x:c>
    </x:row>
    <x:row r="566" ht="86.4000015258789" hidden="0" customHeight="1">
      <x:c r="A566" s="34" t="str">
        <x:v>48201422502</x:v>
      </x:c>
      <x:c r="B566" s="62" t="n">
        <x:v>3043</x:v>
      </x:c>
      <x:c r="C566" s="62" t="n">
        <x:v>321</x:v>
      </x:c>
      <x:c r="D566" s="62" t="n">
        <x:v>72</x:v>
      </x:c>
      <x:c r="E566" s="43" t="n">
        <x:v>0.10548800525796911</x:v>
      </x:c>
      <x:c r="F566" s="43" t="n">
        <x:v>0.02366086099244167</x:v>
      </x:c>
      <x:c r="G566" s="65" t="n">
        <x:v>1502</x:v>
      </x:c>
      <x:c r="H566" s="65" t="n">
        <x:v>396</x:v>
      </x:c>
      <x:c r="I566" s="65" t="n">
        <x:v>0.2636484687083888</x:v>
      </x:c>
      <x:c r="J566" s="34" t="str">
        <x:v>high</x:v>
      </x:c>
      <x:c r="K566" s="71" t="n">
        <x:v>29.6694937</x:v>
      </x:c>
      <x:c r="L566" s="71" t="n">
        <x:v>-95.499711</x:v>
      </x:c>
      <x:c r="M566" s="71" t="n">
        <x:v>0.386</x:v>
      </x:c>
      <x:c r="N566" s="71" t="n">
        <x:v>0.11814006353378449</x:v>
      </x:c>
      <x:c r="O566" s="71" t="n">
        <x:v>17.84686693296163</x:v>
      </x:c>
      <x:c r="P566" s="71" t="n">
        <x:v>3</x:v>
      </x:c>
      <x:c r="Q566" s="71" t="n">
        <x:v>527.2120311553889</x:v>
      </x:c>
      <x:c r="R566" s="34" t="str">
        <x:v>tract internal point; no person, address, building, parcel, or route condition</x:v>
      </x:c>
    </x:row>
    <x:row r="567" ht="86.4000015258789" hidden="0" customHeight="1">
      <x:c r="A567" s="36" t="str">
        <x:v>48201422601</x:v>
      </x:c>
      <x:c r="B567" s="63" t="n">
        <x:v>3118</x:v>
      </x:c>
      <x:c r="C567" s="63" t="n">
        <x:v>276</x:v>
      </x:c>
      <x:c r="D567" s="63" t="n">
        <x:v>794</x:v>
      </x:c>
      <x:c r="E567" s="45" t="n">
        <x:v>0.0885182809493265</x:v>
      </x:c>
      <x:c r="F567" s="45" t="n">
        <x:v>0.25465041693393203</x:v>
      </x:c>
      <x:c r="G567" s="66" t="n">
        <x:v>1499</x:v>
      </x:c>
      <x:c r="H567" s="66" t="n">
        <x:v>399</x:v>
      </x:c>
      <x:c r="I567" s="66" t="n">
        <x:v>0.26617745163442297</x:v>
      </x:c>
      <x:c r="J567" s="36" t="str">
        <x:v>high</x:v>
      </x:c>
      <x:c r="K567" s="72" t="n">
        <x:v>29.6809788</x:v>
      </x:c>
      <x:c r="L567" s="72" t="n">
        <x:v>-95.5031204</x:v>
      </x:c>
      <x:c r="M567" s="72" t="n">
        <x:v>0.405</x:v>
      </x:c>
      <x:c r="N567" s="72" t="n">
        <x:v>0.04939376489946002</x:v>
      </x:c>
      <x:c r="O567" s="72" t="n">
        <x:v>18.659670577280334</x:v>
      </x:c>
      <x:c r="P567" s="72" t="n">
        <x:v>3</x:v>
      </x:c>
      <x:c r="Q567" s="72" t="n">
        <x:v>550.6068111148272</x:v>
      </x:c>
      <x:c r="R567" s="36" t="str">
        <x:v>tract internal point; no person, address, building, parcel, or route condition</x:v>
      </x:c>
    </x:row>
    <x:row r="568" ht="86.4000015258789" hidden="0" customHeight="1">
      <x:c r="A568" s="34" t="str">
        <x:v>48201422602</x:v>
      </x:c>
      <x:c r="B568" s="62" t="n">
        <x:v>2359</x:v>
      </x:c>
      <x:c r="C568" s="62" t="n">
        <x:v>256</x:v>
      </x:c>
      <x:c r="D568" s="62" t="n">
        <x:v>46</x:v>
      </x:c>
      <x:c r="E568" s="43" t="n">
        <x:v>0.10852055955913523</x:v>
      </x:c>
      <x:c r="F568" s="43" t="n">
        <x:v>0.01949978804578211</x:v>
      </x:c>
      <x:c r="G568" s="65" t="n">
        <x:v>1041</x:v>
      </x:c>
      <x:c r="H568" s="65" t="n">
        <x:v>0</x:v>
      </x:c>
      <x:c r="I568" s="65" t="n">
        <x:v>0</x:v>
      </x:c>
      <x:c r="J568" s="34" t="str">
        <x:v>moderate</x:v>
      </x:c>
      <x:c r="K568" s="71" t="n">
        <x:v>29.6870675</x:v>
      </x:c>
      <x:c r="L568" s="71" t="n">
        <x:v>-95.4977289</x:v>
      </x:c>
      <x:c r="M568" s="71" t="n">
        <x:v>0.469</x:v>
      </x:c>
      <x:c r="N568" s="71" t="n">
        <x:v>0.03264626855304893</x:v>
      </x:c>
      <x:c r="O568" s="71" t="n">
        <x:v>17.99293808427789</x:v>
      </x:c>
      <x:c r="P568" s="71" t="n">
        <x:v>3</x:v>
      </x:c>
      <x:c r="Q568" s="71" t="n">
        <x:v>335.78546538639364</x:v>
      </x:c>
      <x:c r="R568" s="34" t="str">
        <x:v>tract internal point; no person, address, building, parcel, or route condition</x:v>
      </x:c>
    </x:row>
    <x:row r="569" ht="86.4000015258789" hidden="0" customHeight="1">
      <x:c r="A569" s="36" t="str">
        <x:v>48201422701</x:v>
      </x:c>
      <x:c r="B569" s="63" t="n">
        <x:v>4750</x:v>
      </x:c>
      <x:c r="C569" s="63" t="n">
        <x:v>430</x:v>
      </x:c>
      <x:c r="D569" s="63" t="n">
        <x:v>104</x:v>
      </x:c>
      <x:c r="E569" s="45" t="n">
        <x:v>0.09052631578947369</x:v>
      </x:c>
      <x:c r="F569" s="45" t="n">
        <x:v>0.021894736842105262</x:v>
      </x:c>
      <x:c r="G569" s="66" t="n">
        <x:v>1877</x:v>
      </x:c>
      <x:c r="H569" s="66" t="n">
        <x:v>248</x:v>
      </x:c>
      <x:c r="I569" s="66" t="n">
        <x:v>0.1321257325519446</x:v>
      </x:c>
      <x:c r="J569" s="36" t="str">
        <x:v>low</x:v>
      </x:c>
      <x:c r="K569" s="72" t="n">
        <x:v>29.6973752</x:v>
      </x:c>
      <x:c r="L569" s="72" t="n">
        <x:v>-95.4999729</x:v>
      </x:c>
      <x:c r="M569" s="72" t="n">
        <x:v>0.71</x:v>
      </x:c>
      <x:c r="N569" s="72" t="n">
        <x:v>0.054868065739183305</x:v>
      </x:c>
      <x:c r="O569" s="72" t="n">
        <x:v>19.425323979309532</x:v>
      </x:c>
      <x:c r="P569" s="72" t="n">
        <x:v>3</x:v>
      </x:c>
      <x:c r="Q569" s="72" t="n">
        <x:v>380.9039695938819</x:v>
      </x:c>
      <x:c r="R569" s="36" t="str">
        <x:v>tract internal point; no person, address, building, parcel, or route condition</x:v>
      </x:c>
    </x:row>
    <x:row r="570" ht="86.4000015258789" hidden="0" customHeight="1">
      <x:c r="A570" s="34" t="str">
        <x:v>48201422702</x:v>
      </x:c>
      <x:c r="B570" s="62" t="n">
        <x:v>3445</x:v>
      </x:c>
      <x:c r="C570" s="62" t="n">
        <x:v>384</x:v>
      </x:c>
      <x:c r="D570" s="62" t="n">
        <x:v>87</x:v>
      </x:c>
      <x:c r="E570" s="43" t="n">
        <x:v>0.11146589259796807</x:v>
      </x:c>
      <x:c r="F570" s="43" t="n">
        <x:v>0.025253991291727142</x:v>
      </x:c>
      <x:c r="G570" s="65" t="n">
        <x:v>1175</x:v>
      </x:c>
      <x:c r="H570" s="65" t="n">
        <x:v>0</x:v>
      </x:c>
      <x:c r="I570" s="65" t="n">
        <x:v>0</x:v>
      </x:c>
      <x:c r="J570" s="34" t="str">
        <x:v>low</x:v>
      </x:c>
      <x:c r="K570" s="71" t="n">
        <x:v>29.698989</x:v>
      </x:c>
      <x:c r="L570" s="71" t="n">
        <x:v>-95.5093677</x:v>
      </x:c>
      <x:c r="M570" s="71" t="n">
        <x:v>0.497</x:v>
      </x:c>
      <x:c r="N570" s="71" t="n">
        <x:v>0.028031114250738547</x:v>
      </x:c>
      <x:c r="O570" s="71" t="n">
        <x:v>18.413799533047165</x:v>
      </x:c>
      <x:c r="P570" s="71" t="n">
        <x:v>3</x:v>
      </x:c>
      <x:c r="Q570" s="71" t="n">
        <x:v>277.4804936965996</x:v>
      </x:c>
      <x:c r="R570" s="34" t="str">
        <x:v>tract internal point; no person, address, building, parcel, or route condition</x:v>
      </x:c>
    </x:row>
    <x:row r="571" ht="86.4000015258789" hidden="0" customHeight="1">
      <x:c r="A571" s="36" t="str">
        <x:v>48201422800</x:v>
      </x:c>
      <x:c r="B571" s="63" t="n">
        <x:v>4321</x:v>
      </x:c>
      <x:c r="C571" s="63" t="n">
        <x:v>437</x:v>
      </x:c>
      <x:c r="D571" s="63" t="n">
        <x:v>443.5</x:v>
      </x:c>
      <x:c r="E571" s="45" t="n">
        <x:v>0.10113399676000925</x:v>
      </x:c>
      <x:c r="F571" s="45" t="n">
        <x:v>0.10263827817634807</x:v>
      </x:c>
      <x:c r="G571" s="66" t="n">
        <x:v>1804</x:v>
      </x:c>
      <x:c r="H571" s="66" t="n">
        <x:v>623</x:v>
      </x:c>
      <x:c r="I571" s="66" t="n">
        <x:v>0.34534368070953436</x:v>
      </x:c>
      <x:c r="J571" s="36" t="str">
        <x:v>high</x:v>
      </x:c>
      <x:c r="K571" s="72" t="n">
        <x:v>29.6900285</x:v>
      </x:c>
      <x:c r="L571" s="72" t="n">
        <x:v>-95.517789</x:v>
      </x:c>
      <x:c r="M571" s="72" t="n">
        <x:v>0.888</x:v>
      </x:c>
      <x:c r="N571" s="72" t="n">
        <x:v>0.015064874221451263</x:v>
      </x:c>
      <x:c r="O571" s="72" t="n">
        <x:v>17.53374844590579</x:v>
      </x:c>
      <x:c r="P571" s="72" t="n">
        <x:v>3</x:v>
      </x:c>
      <x:c r="Q571" s="72" t="n">
        <x:v>753.7706690621493</x:v>
      </x:c>
      <x:c r="R571" s="36" t="str">
        <x:v>tract internal point; no person, address, building, parcel, or route condition</x:v>
      </x:c>
    </x:row>
    <x:row r="572" ht="86.4000015258789" hidden="0" customHeight="1">
      <x:c r="A572" s="34" t="str">
        <x:v>48201422900</x:v>
      </x:c>
      <x:c r="B572" s="62" t="n">
        <x:v>4041</x:v>
      </x:c>
      <x:c r="C572" s="62" t="n">
        <x:v>380</x:v>
      </x:c>
      <x:c r="D572" s="62" t="n">
        <x:v>682.5</x:v>
      </x:c>
      <x:c r="E572" s="43" t="n">
        <x:v>0.09403612967087355</x:v>
      </x:c>
      <x:c r="F572" s="43" t="n">
        <x:v>0.16889383815887157</x:v>
      </x:c>
      <x:c r="G572" s="65" t="n">
        <x:v>1810</x:v>
      </x:c>
      <x:c r="H572" s="65" t="n">
        <x:v>444</x:v>
      </x:c>
      <x:c r="I572" s="65" t="n">
        <x:v>0.24530386740331492</x:v>
      </x:c>
      <x:c r="J572" s="34" t="str">
        <x:v>high</x:v>
      </x:c>
      <x:c r="K572" s="71" t="n">
        <x:v>29.6820045</x:v>
      </x:c>
      <x:c r="L572" s="71" t="n">
        <x:v>-95.5298306</x:v>
      </x:c>
      <x:c r="M572" s="71" t="n">
        <x:v>0.624</x:v>
      </x:c>
      <x:c r="N572" s="71" t="n">
        <x:v>0.03723720965225725</x:v>
      </x:c>
      <x:c r="O572" s="71" t="n">
        <x:v>16.71984071285646</x:v>
      </x:c>
      <x:c r="P572" s="71" t="n">
        <x:v>3</x:v>
      </x:c>
      <x:c r="Q572" s="71" t="n">
        <x:v>708.4877194300963</x:v>
      </x:c>
      <x:c r="R572" s="34" t="str">
        <x:v>tract internal point; no person, address, building, parcel, or route condition</x:v>
      </x:c>
    </x:row>
    <x:row r="573" ht="86.4000015258789" hidden="0" customHeight="1">
      <x:c r="A573" s="36" t="str">
        <x:v>48201423001</x:v>
      </x:c>
      <x:c r="B573" s="63" t="n">
        <x:v>3299</x:v>
      </x:c>
      <x:c r="C573" s="63" t="n">
        <x:v>146</x:v>
      </x:c>
      <x:c r="D573" s="63" t="n">
        <x:v>381.5</x:v>
      </x:c>
      <x:c r="E573" s="45" t="n">
        <x:v>0.044255835101545925</x:v>
      </x:c>
      <x:c r="F573" s="45" t="n">
        <x:v>0.11564110336465595</x:v>
      </x:c>
      <x:c r="G573" s="66" t="n">
        <x:v>1136</x:v>
      </x:c>
      <x:c r="H573" s="66" t="n">
        <x:v>563</x:v>
      </x:c>
      <x:c r="I573" s="66" t="n">
        <x:v>0.49559859154929575</x:v>
      </x:c>
      <x:c r="J573" s="36" t="str">
        <x:v>moderate</x:v>
      </x:c>
      <x:c r="K573" s="72" t="n">
        <x:v>29.685675</x:v>
      </x:c>
      <x:c r="L573" s="72" t="n">
        <x:v>-95.509302</x:v>
      </x:c>
      <x:c r="M573" s="72" t="n">
        <x:v>0.15</x:v>
      </x:c>
      <x:c r="N573" s="72" t="n">
        <x:v>0.053811513734106156</x:v>
      </x:c>
      <x:c r="O573" s="72" t="n">
        <x:v>19.61863019157988</x:v>
      </x:c>
      <x:c r="P573" s="72" t="n">
        <x:v>3</x:v>
      </x:c>
      <x:c r="Q573" s="72" t="n">
        <x:v>468.10145825885627</x:v>
      </x:c>
      <x:c r="R573" s="36" t="str">
        <x:v>tract internal point; no person, address, building, parcel, or route condition</x:v>
      </x:c>
    </x:row>
    <x:row r="574" ht="86.4000015258789" hidden="0" customHeight="1">
      <x:c r="A574" s="34" t="str">
        <x:v>48201423002</x:v>
      </x:c>
      <x:c r="B574" s="62" t="n">
        <x:v>3080</x:v>
      </x:c>
      <x:c r="C574" s="62" t="n">
        <x:v>221</x:v>
      </x:c>
      <x:c r="D574" s="62" t="n">
        <x:v>712.5</x:v>
      </x:c>
      <x:c r="E574" s="43" t="n">
        <x:v>0.07175324675324675</x:v>
      </x:c>
      <x:c r="F574" s="43" t="n">
        <x:v>0.23133116883116883</x:v>
      </x:c>
      <x:c r="G574" s="65" t="n">
        <x:v>1333</x:v>
      </x:c>
      <x:c r="H574" s="65" t="n">
        <x:v>506</x:v>
      </x:c>
      <x:c r="I574" s="65" t="n">
        <x:v>0.37959489872468116</x:v>
      </x:c>
      <x:c r="J574" s="34" t="str">
        <x:v>high</x:v>
      </x:c>
      <x:c r="K574" s="71" t="n">
        <x:v>29.6760958</x:v>
      </x:c>
      <x:c r="L574" s="71" t="n">
        <x:v>-95.5215429</x:v>
      </x:c>
      <x:c r="M574" s="71" t="n">
        <x:v>0.538</x:v>
      </x:c>
      <x:c r="N574" s="71" t="n">
        <x:v>0.41910602211847603</x:v>
      </x:c>
      <x:c r="O574" s="71" t="n">
        <x:v>18.302065936211818</x:v>
      </x:c>
      <x:c r="P574" s="71" t="n">
        <x:v>3</x:v>
      </x:c>
      <x:c r="Q574" s="71" t="n">
        <x:v>540.9323416887642</x:v>
      </x:c>
      <x:c r="R574" s="34" t="str">
        <x:v>tract internal point; no person, address, building, parcel, or route condition</x:v>
      </x:c>
    </x:row>
    <x:row r="575" ht="86.4000015258789" hidden="0" customHeight="1">
      <x:c r="A575" s="36" t="str">
        <x:v>48201423100</x:v>
      </x:c>
      <x:c r="B575" s="63" t="n">
        <x:v>2871</x:v>
      </x:c>
      <x:c r="C575" s="63" t="n">
        <x:v>122</x:v>
      </x:c>
      <x:c r="D575" s="63" t="n">
        <x:v>482.5</x:v>
      </x:c>
      <x:c r="E575" s="45" t="n">
        <x:v>0.04249390456287008</x:v>
      </x:c>
      <x:c r="F575" s="45" t="n">
        <x:v>0.16805990943921978</x:v>
      </x:c>
      <x:c r="G575" s="66" t="n">
        <x:v>1116</x:v>
      </x:c>
      <x:c r="H575" s="66" t="n">
        <x:v>279</x:v>
      </x:c>
      <x:c r="I575" s="66" t="n">
        <x:v>0.25</x:v>
      </x:c>
      <x:c r="J575" s="36" t="str">
        <x:v>low</x:v>
      </x:c>
      <x:c r="K575" s="72" t="n">
        <x:v>29.6647245</x:v>
      </x:c>
      <x:c r="L575" s="72" t="n">
        <x:v>-95.5494555</x:v>
      </x:c>
      <x:c r="M575" s="72" t="n">
        <x:v>0.631</x:v>
      </x:c>
      <x:c r="N575" s="72" t="n">
        <x:v>0.03516652692375725</x:v>
      </x:c>
      <x:c r="O575" s="72" t="n">
        <x:v>15.022085593659083</x:v>
      </x:c>
      <x:c r="P575" s="72" t="n">
        <x:v>3</x:v>
      </x:c>
      <x:c r="Q575" s="72" t="n">
        <x:v>231.35687728933442</x:v>
      </x:c>
      <x:c r="R575" s="36" t="str">
        <x:v>tract internal point; no person, address, building, parcel, or route condition</x:v>
      </x:c>
    </x:row>
    <x:row r="576" ht="86.4000015258789" hidden="0" customHeight="1">
      <x:c r="A576" s="34" t="str">
        <x:v>48201423201</x:v>
      </x:c>
      <x:c r="B576" s="62" t="n">
        <x:v>2628</x:v>
      </x:c>
      <x:c r="C576" s="62" t="n">
        <x:v>284</x:v>
      </x:c>
      <x:c r="D576" s="62" t="n">
        <x:v>38</x:v>
      </x:c>
      <x:c r="E576" s="43" t="n">
        <x:v>0.1080669710806697</x:v>
      </x:c>
      <x:c r="F576" s="43" t="n">
        <x:v>0.01445966514459665</x:v>
      </x:c>
      <x:c r="G576" s="65" t="n">
        <x:v>929</x:v>
      </x:c>
      <x:c r="H576" s="65" t="n">
        <x:v>27</x:v>
      </x:c>
      <x:c r="I576" s="65" t="n">
        <x:v>0.02906350914962325</x:v>
      </x:c>
      <x:c r="J576" s="34" t="str">
        <x:v>moderate</x:v>
      </x:c>
      <x:c r="K576" s="71" t="n">
        <x:v>29.6609302</x:v>
      </x:c>
      <x:c r="L576" s="71" t="n">
        <x:v>-95.5426618</x:v>
      </x:c>
      <x:c r="M576" s="71" t="n">
        <x:v>0.748</x:v>
      </x:c>
      <x:c r="N576" s="71" t="n">
        <x:v>0.045780699913335596</x:v>
      </x:c>
      <x:c r="O576" s="71" t="n">
        <x:v>14.283077214445546</x:v>
      </x:c>
      <x:c r="P576" s="71" t="n">
        <x:v>3</x:v>
      </x:c>
      <x:c r="Q576" s="71" t="n">
        <x:v>373.8582086457917</x:v>
      </x:c>
      <x:c r="R576" s="34" t="str">
        <x:v>tract internal point; no person, address, building, parcel, or route condition</x:v>
      </x:c>
    </x:row>
    <x:row r="577" ht="86.4000015258789" hidden="0" customHeight="1">
      <x:c r="A577" s="36" t="str">
        <x:v>48201423203</x:v>
      </x:c>
      <x:c r="B577" s="63" t="n">
        <x:v>2280</x:v>
      </x:c>
      <x:c r="C577" s="63" t="n">
        <x:v>406</x:v>
      </x:c>
      <x:c r="D577" s="63" t="n">
        <x:v>119</x:v>
      </x:c>
      <x:c r="E577" s="45" t="n">
        <x:v>0.1780701754385965</x:v>
      </x:c>
      <x:c r="F577" s="45" t="n">
        <x:v>0.052192982456140354</x:v>
      </x:c>
      <x:c r="G577" s="66" t="n">
        <x:v>1186</x:v>
      </x:c>
      <x:c r="H577" s="66" t="n">
        <x:v>276</x:v>
      </x:c>
      <x:c r="I577" s="66" t="n">
        <x:v>0.2327150084317032</x:v>
      </x:c>
      <x:c r="J577" s="36" t="str">
        <x:v>low</x:v>
      </x:c>
      <x:c r="K577" s="72" t="n">
        <x:v>29.6608837</x:v>
      </x:c>
      <x:c r="L577" s="72" t="n">
        <x:v>-95.532177</x:v>
      </x:c>
      <x:c r="M577" s="72" t="n">
        <x:v>0.318</x:v>
      </x:c>
      <x:c r="N577" s="72" t="n">
        <x:v>0.016038627363610093</x:v>
      </x:c>
      <x:c r="O577" s="72" t="n">
        <x:v>14.9141307243446</x:v>
      </x:c>
      <x:c r="P577" s="72" t="n">
        <x:v>3</x:v>
      </x:c>
      <x:c r="Q577" s="72" t="n">
        <x:v>186.51436328888266</x:v>
      </x:c>
      <x:c r="R577" s="36" t="str">
        <x:v>tract internal point; no person, address, building, parcel, or route condition</x:v>
      </x:c>
    </x:row>
    <x:row r="578" ht="86.4000015258789" hidden="0" customHeight="1">
      <x:c r="A578" s="34" t="str">
        <x:v>48201423204</x:v>
      </x:c>
      <x:c r="B578" s="62" t="n">
        <x:v>4070</x:v>
      </x:c>
      <x:c r="C578" s="62" t="n">
        <x:v>480</x:v>
      </x:c>
      <x:c r="D578" s="62" t="n">
        <x:v>1070.5</x:v>
      </x:c>
      <x:c r="E578" s="43" t="n">
        <x:v>0.11793611793611794</x:v>
      </x:c>
      <x:c r="F578" s="43" t="n">
        <x:v>0.26302211302211304</x:v>
      </x:c>
      <x:c r="G578" s="65" t="n">
        <x:v>1993</x:v>
      </x:c>
      <x:c r="H578" s="65" t="n">
        <x:v>825</x:v>
      </x:c>
      <x:c r="I578" s="65" t="n">
        <x:v>0.4139488208730557</x:v>
      </x:c>
      <x:c r="J578" s="34" t="str">
        <x:v>moderate</x:v>
      </x:c>
      <x:c r="K578" s="71" t="n">
        <x:v>29.6684916</x:v>
      </x:c>
      <x:c r="L578" s="71" t="n">
        <x:v>-95.5318167</x:v>
      </x:c>
      <x:c r="M578" s="71" t="n">
        <x:v>0.243</x:v>
      </x:c>
      <x:c r="N578" s="71" t="n">
        <x:v>0.07282184066514177</x:v>
      </x:c>
      <x:c r="O578" s="71" t="n">
        <x:v>17.030388297506708</x:v>
      </x:c>
      <x:c r="P578" s="71" t="n">
        <x:v>3</x:v>
      </x:c>
      <x:c r="Q578" s="71" t="n">
        <x:v>594.1809188625682</x:v>
      </x:c>
      <x:c r="R578" s="34" t="str">
        <x:v>tract internal point; no person, address, building, parcel, or route condition</x:v>
      </x:c>
    </x:row>
    <x:row r="579" ht="86.4000015258789" hidden="0" customHeight="1">
      <x:c r="A579" s="36" t="str">
        <x:v>48201423301</x:v>
      </x:c>
      <x:c r="B579" s="63" t="n">
        <x:v>4664</x:v>
      </x:c>
      <x:c r="C579" s="63" t="n">
        <x:v>471</x:v>
      </x:c>
      <x:c r="D579" s="63" t="n">
        <x:v>327</x:v>
      </x:c>
      <x:c r="E579" s="45" t="n">
        <x:v>0.10098627787307032</x:v>
      </x:c>
      <x:c r="F579" s="45" t="n">
        <x:v>0.0701114922813036</x:v>
      </x:c>
      <x:c r="G579" s="66" t="n">
        <x:v>2189</x:v>
      </x:c>
      <x:c r="H579" s="66" t="n">
        <x:v>469</x:v>
      </x:c>
      <x:c r="I579" s="66" t="n">
        <x:v>0.21425308359981726</x:v>
      </x:c>
      <x:c r="J579" s="36" t="str">
        <x:v>low</x:v>
      </x:c>
      <x:c r="K579" s="72" t="n">
        <x:v>29.6704175</x:v>
      </x:c>
      <x:c r="L579" s="72" t="n">
        <x:v>-95.5186283</x:v>
      </x:c>
      <x:c r="M579" s="72" t="n">
        <x:v>0.639</x:v>
      </x:c>
      <x:c r="N579" s="72" t="n">
        <x:v>0.03746883150598983</x:v>
      </x:c>
      <x:c r="O579" s="72" t="n">
        <x:v>18.04054154993388</x:v>
      </x:c>
      <x:c r="P579" s="72" t="n">
        <x:v>3</x:v>
      </x:c>
      <x:c r="Q579" s="72" t="n">
        <x:v>376.5419337915419</x:v>
      </x:c>
      <x:c r="R579" s="36" t="str">
        <x:v>tract internal point; no person, address, building, parcel, or route condition</x:v>
      </x:c>
    </x:row>
    <x:row r="580" ht="86.4000015258789" hidden="0" customHeight="1">
      <x:c r="A580" s="34" t="str">
        <x:v>48201423303</x:v>
      </x:c>
      <x:c r="B580" s="62" t="n">
        <x:v>1375</x:v>
      </x:c>
      <x:c r="C580" s="62" t="n">
        <x:v>320</x:v>
      </x:c>
      <x:c r="D580" s="62" t="n">
        <x:v>304</x:v>
      </x:c>
      <x:c r="E580" s="43" t="n">
        <x:v>0.23272727272727273</x:v>
      </x:c>
      <x:c r="F580" s="43" t="n">
        <x:v>0.2210909090909091</x:v>
      </x:c>
      <x:c r="G580" s="65" t="n">
        <x:v>1030</x:v>
      </x:c>
      <x:c r="H580" s="65" t="n">
        <x:v>486</x:v>
      </x:c>
      <x:c r="I580" s="65" t="n">
        <x:v>0.47184466019417476</x:v>
      </x:c>
      <x:c r="J580" s="34" t="str">
        <x:v>moderate</x:v>
      </x:c>
      <x:c r="K580" s="71" t="n">
        <x:v>29.6601449</x:v>
      </x:c>
      <x:c r="L580" s="71" t="n">
        <x:v>-95.51088</x:v>
      </x:c>
      <x:c r="M580" s="71" t="n">
        <x:v>0.175</x:v>
      </x:c>
      <x:c r="N580" s="71" t="n">
        <x:v>0.04824651510840293</x:v>
      </x:c>
      <x:c r="O580" s="71" t="n">
        <x:v>15.765562103745458</x:v>
      </x:c>
      <x:c r="P580" s="71" t="n">
        <x:v>3</x:v>
      </x:c>
      <x:c r="Q580" s="71" t="n">
        <x:v>204.3246491795456</x:v>
      </x:c>
      <x:c r="R580" s="34" t="str">
        <x:v>tract internal point; no person, address, building, parcel, or route condition</x:v>
      </x:c>
    </x:row>
    <x:row r="581" ht="86.4000015258789" hidden="0" customHeight="1">
      <x:c r="A581" s="36" t="str">
        <x:v>48201423304</x:v>
      </x:c>
      <x:c r="B581" s="63" t="n">
        <x:v>3435</x:v>
      </x:c>
      <x:c r="C581" s="63" t="n">
        <x:v>767</x:v>
      </x:c>
      <x:c r="D581" s="63" t="n">
        <x:v>380.5</x:v>
      </x:c>
      <x:c r="E581" s="45" t="n">
        <x:v>0.22328966521106258</x:v>
      </x:c>
      <x:c r="F581" s="45" t="n">
        <x:v>0.11077147016011644</x:v>
      </x:c>
      <x:c r="G581" s="66" t="n">
        <x:v>1488</x:v>
      </x:c>
      <x:c r="H581" s="66" t="n">
        <x:v>311</x:v>
      </x:c>
      <x:c r="I581" s="66" t="n">
        <x:v>0.20900537634408603</x:v>
      </x:c>
      <x:c r="J581" s="36" t="str">
        <x:v>low</x:v>
      </x:c>
      <x:c r="K581" s="72" t="n">
        <x:v>29.6607543</x:v>
      </x:c>
      <x:c r="L581" s="72" t="n">
        <x:v>-95.5203499</x:v>
      </x:c>
      <x:c r="M581" s="72" t="n">
        <x:v>0.615</x:v>
      </x:c>
      <x:c r="N581" s="72" t="n">
        <x:v>0.03579465777818155</x:v>
      </x:c>
      <x:c r="O581" s="72" t="n">
        <x:v>15.691545611994341</x:v>
      </x:c>
      <x:c r="P581" s="72" t="n">
        <x:v>3</x:v>
      </x:c>
      <x:c r="Q581" s="72" t="n">
        <x:v>285.02170694406834</x:v>
      </x:c>
      <x:c r="R581" s="36" t="str">
        <x:v>tract internal point; no person, address, building, parcel, or route condition</x:v>
      </x:c>
    </x:row>
    <x:row r="582" ht="86.4000015258789" hidden="0" customHeight="1">
      <x:c r="A582" s="34" t="str">
        <x:v>48201423401</x:v>
      </x:c>
      <x:c r="B582" s="62" t="n">
        <x:v>4745</x:v>
      </x:c>
      <x:c r="C582" s="62" t="n">
        <x:v>686</x:v>
      </x:c>
      <x:c r="D582" s="62" t="n">
        <x:v>785.5</x:v>
      </x:c>
      <x:c r="E582" s="43" t="n">
        <x:v>0.1445732349841939</x:v>
      </x:c>
      <x:c r="F582" s="43" t="n">
        <x:v>0.1655426765015806</x:v>
      </x:c>
      <x:c r="G582" s="65" t="n">
        <x:v>1976</x:v>
      </x:c>
      <x:c r="H582" s="65" t="n">
        <x:v>342</x:v>
      </x:c>
      <x:c r="I582" s="65" t="n">
        <x:v>0.17307692307692307</x:v>
      </x:c>
      <x:c r="J582" s="34" t="str">
        <x:v>moderate</x:v>
      </x:c>
      <x:c r="K582" s="71" t="n">
        <x:v>29.6497861</x:v>
      </x:c>
      <x:c r="L582" s="71" t="n">
        <x:v>-95.5163885</x:v>
      </x:c>
      <x:c r="M582" s="71" t="n">
        <x:v>0.874</x:v>
      </x:c>
      <x:c r="N582" s="71" t="n">
        <x:v>0.0478562178765308</x:v>
      </x:c>
      <x:c r="O582" s="71" t="n">
        <x:v>15.395938129503818</x:v>
      </x:c>
      <x:c r="P582" s="71" t="n">
        <x:v>3</x:v>
      </x:c>
      <x:c r="Q582" s="71" t="n">
        <x:v>689.8077469834157</x:v>
      </x:c>
      <x:c r="R582" s="34" t="str">
        <x:v>tract internal point; no person, address, building, parcel, or route condition</x:v>
      </x:c>
    </x:row>
    <x:row r="583" ht="86.4000015258789" hidden="0" customHeight="1">
      <x:c r="A583" s="36" t="str">
        <x:v>48201423402</x:v>
      </x:c>
      <x:c r="B583" s="63" t="n">
        <x:v>4597</x:v>
      </x:c>
      <x:c r="C583" s="63" t="n">
        <x:v>374</x:v>
      </x:c>
      <x:c r="D583" s="63" t="n">
        <x:v>12</x:v>
      </x:c>
      <x:c r="E583" s="45" t="n">
        <x:v>0.0813574070045682</x:v>
      </x:c>
      <x:c r="F583" s="45" t="n">
        <x:v>0.0026103980857080703</x:v>
      </x:c>
      <x:c r="G583" s="66" t="n">
        <x:v>1531</x:v>
      </x:c>
      <x:c r="H583" s="66" t="n">
        <x:v>36</x:v>
      </x:c>
      <x:c r="I583" s="66" t="n">
        <x:v>0.023514043109079032</x:v>
      </x:c>
      <x:c r="J583" s="36" t="str">
        <x:v>low</x:v>
      </x:c>
      <x:c r="K583" s="72" t="n">
        <x:v>29.6485541</x:v>
      </x:c>
      <x:c r="L583" s="72" t="n">
        <x:v>-95.5296515</x:v>
      </x:c>
      <x:c r="M583" s="72" t="n">
        <x:v>0.592</x:v>
      </x:c>
      <x:c r="N583" s="72" t="n">
        <x:v>0.046636307835938945</x:v>
      </x:c>
      <x:c r="O583" s="72" t="n">
        <x:v>13.295860343627659</x:v>
      </x:c>
      <x:c r="P583" s="72" t="n">
        <x:v>3</x:v>
      </x:c>
      <x:c r="Q583" s="72" t="n">
        <x:v>367.2755550330575</x:v>
      </x:c>
      <x:c r="R583" s="36" t="str">
        <x:v>tract internal point; no person, address, building, parcel, or route condition</x:v>
      </x:c>
    </x:row>
    <x:row r="584" ht="86.4000015258789" hidden="0" customHeight="1">
      <x:c r="A584" s="34" t="str">
        <x:v>48201423500</x:v>
      </x:c>
      <x:c r="B584" s="62" t="n">
        <x:v>2254</x:v>
      </x:c>
      <x:c r="C584" s="62" t="n">
        <x:v>191</x:v>
      </x:c>
      <x:c r="D584" s="62" t="n">
        <x:v>0</x:v>
      </x:c>
      <x:c r="E584" s="43" t="n">
        <x:v>0.08473824312333629</x:v>
      </x:c>
      <x:c r="F584" s="43" t="n">
        <x:v>0</x:v>
      </x:c>
      <x:c r="G584" s="65" t="n">
        <x:v>762</x:v>
      </x:c>
      <x:c r="H584" s="65" t="n">
        <x:v>6</x:v>
      </x:c>
      <x:c r="I584" s="65" t="n">
        <x:v>0.007874015748031496</x:v>
      </x:c>
      <x:c r="J584" s="34" t="str">
        <x:v>low</x:v>
      </x:c>
      <x:c r="K584" s="71" t="n">
        <x:v>29.6509447</x:v>
      </x:c>
      <x:c r="L584" s="71" t="n">
        <x:v>-95.5411795</x:v>
      </x:c>
      <x:c r="M584" s="71" t="n">
        <x:v>0.48</x:v>
      </x:c>
      <x:c r="N584" s="71" t="n">
        <x:v>0.018704587756711306</x:v>
      </x:c>
      <x:c r="O584" s="71" t="n">
        <x:v>12.645095453866638</x:v>
      </x:c>
      <x:c r="P584" s="71" t="n">
        <x:v>3</x:v>
      </x:c>
      <x:c r="Q584" s="71" t="n">
        <x:v>180.15600839862498</x:v>
      </x:c>
      <x:c r="R584" s="34" t="str">
        <x:v>tract internal point; no person, address, building, parcel, or route condition</x:v>
      </x:c>
    </x:row>
    <x:row r="585" ht="86.4000015258789" hidden="0" customHeight="1">
      <x:c r="A585" s="36" t="str">
        <x:v>48201423600</x:v>
      </x:c>
      <x:c r="B585" s="63" t="n">
        <x:v>7068</x:v>
      </x:c>
      <x:c r="C585" s="63" t="n">
        <x:v>1291</x:v>
      </x:c>
      <x:c r="D585" s="63" t="n">
        <x:v>53</x:v>
      </x:c>
      <x:c r="E585" s="45" t="n">
        <x:v>0.18265421618562536</x:v>
      </x:c>
      <x:c r="F585" s="45" t="n">
        <x:v>0.007498585172608941</x:v>
      </x:c>
      <x:c r="G585" s="66" t="n">
        <x:v>2724</x:v>
      </x:c>
      <x:c r="H585" s="66" t="n">
        <x:v>0</x:v>
      </x:c>
      <x:c r="I585" s="66" t="n">
        <x:v>0</x:v>
      </x:c>
      <x:c r="J585" s="36" t="str">
        <x:v>moderate</x:v>
      </x:c>
      <x:c r="K585" s="72" t="n">
        <x:v>29.6337489</x:v>
      </x:c>
      <x:c r="L585" s="72" t="n">
        <x:v>-95.520956</x:v>
      </x:c>
      <x:c r="M585" s="72" t="n">
        <x:v>1.285</x:v>
      </x:c>
      <x:c r="N585" s="72" t="n">
        <x:v>0.04176795042324723</x:v>
      </x:c>
      <x:c r="O585" s="72" t="n">
        <x:v>11.055494931667722</x:v>
      </x:c>
      <x:c r="P585" s="72" t="n">
        <x:v>3</x:v>
      </x:c>
      <x:c r="Q585" s="72" t="n">
        <x:v>1019.4679225941463</x:v>
      </x:c>
      <x:c r="R585" s="36" t="str">
        <x:v>tract internal point; no person, address, building, parcel, or route condition</x:v>
      </x:c>
    </x:row>
    <x:row r="586" ht="86.4000015258789" hidden="0" customHeight="1">
      <x:c r="A586" s="34" t="str">
        <x:v>48201430101</x:v>
      </x:c>
      <x:c r="B586" s="62" t="n">
        <x:v>2733</x:v>
      </x:c>
      <x:c r="C586" s="62" t="n">
        <x:v>312</x:v>
      </x:c>
      <x:c r="D586" s="62" t="n">
        <x:v>113</x:v>
      </x:c>
      <x:c r="E586" s="43" t="n">
        <x:v>0.1141602634467618</x:v>
      </x:c>
      <x:c r="F586" s="43" t="n">
        <x:v>0.041346505671423346</x:v>
      </x:c>
      <x:c r="G586" s="65" t="n">
        <x:v>1953</x:v>
      </x:c>
      <x:c r="H586" s="65" t="n">
        <x:v>990</x:v>
      </x:c>
      <x:c r="I586" s="65" t="n">
        <x:v>0.5069124423963134</x:v>
      </x:c>
      <x:c r="J586" s="34" t="str">
        <x:v>low</x:v>
      </x:c>
      <x:c r="K586" s="71" t="n">
        <x:v>29.7802489</x:v>
      </x:c>
      <x:c r="L586" s="71" t="n">
        <x:v>-95.4638738</x:v>
      </x:c>
      <x:c r="M586" s="71" t="n">
        <x:v>0.576</x:v>
      </x:c>
      <x:c r="N586" s="71" t="n">
        <x:v>0.09147679348096295</x:v>
      </x:c>
      <x:c r="O586" s="71" t="n">
        <x:v>20.666528127055038</x:v>
      </x:c>
      <x:c r="P586" s="71" t="n">
        <x:v>3</x:v>
      </x:c>
      <x:c r="Q586" s="71" t="n">
        <x:v>220.59325921491174</x:v>
      </x:c>
      <x:c r="R586" s="34" t="str">
        <x:v>tract internal point; no person, address, building, parcel, or route condition</x:v>
      </x:c>
    </x:row>
    <x:row r="587" ht="86.4000015258789" hidden="0" customHeight="1">
      <x:c r="A587" s="36" t="str">
        <x:v>48201430102</x:v>
      </x:c>
      <x:c r="B587" s="63" t="n">
        <x:v>2987</x:v>
      </x:c>
      <x:c r="C587" s="63" t="n">
        <x:v>384</x:v>
      </x:c>
      <x:c r="D587" s="63" t="n">
        <x:v>32</x:v>
      </x:c>
      <x:c r="E587" s="45" t="n">
        <x:v>0.12855708068295948</x:v>
      </x:c>
      <x:c r="F587" s="45" t="n">
        <x:v>0.010713090056913292</x:v>
      </x:c>
      <x:c r="G587" s="66" t="n">
        <x:v>1705</x:v>
      </x:c>
      <x:c r="H587" s="66" t="n">
        <x:v>821</x:v>
      </x:c>
      <x:c r="I587" s="66" t="n">
        <x:v>0.481524926686217</x:v>
      </x:c>
      <x:c r="J587" s="36" t="str">
        <x:v>low</x:v>
      </x:c>
      <x:c r="K587" s="72" t="n">
        <x:v>29.7763851</x:v>
      </x:c>
      <x:c r="L587" s="72" t="n">
        <x:v>-95.4703505</x:v>
      </x:c>
      <x:c r="M587" s="72" t="n">
        <x:v>1.112</x:v>
      </x:c>
      <x:c r="N587" s="72" t="n">
        <x:v>0.1102142023528143</x:v>
      </x:c>
      <x:c r="O587" s="72" t="n">
        <x:v>22.030098073999184</x:v>
      </x:c>
      <x:c r="P587" s="72" t="n">
        <x:v>3</x:v>
      </x:c>
      <x:c r="Q587" s="72" t="n">
        <x:v>241.0516001040846</x:v>
      </x:c>
      <x:c r="R587" s="36" t="str">
        <x:v>tract internal point; no person, address, building, parcel, or route condition</x:v>
      </x:c>
    </x:row>
    <x:row r="588" ht="86.4000015258789" hidden="0" customHeight="1">
      <x:c r="A588" s="34" t="str">
        <x:v>48201430200</x:v>
      </x:c>
      <x:c r="B588" s="62" t="n">
        <x:v>1609</x:v>
      </x:c>
      <x:c r="C588" s="62" t="n">
        <x:v>185</x:v>
      </x:c>
      <x:c r="D588" s="62" t="n">
        <x:v>33</x:v>
      </x:c>
      <x:c r="E588" s="43" t="n">
        <x:v>0.11497824735860783</x:v>
      </x:c>
      <x:c r="F588" s="43" t="n">
        <x:v>0.020509633312616533</x:v>
      </x:c>
      <x:c r="G588" s="65" t="n">
        <x:v>781</x:v>
      </x:c>
      <x:c r="H588" s="65" t="n">
        <x:v>175</x:v>
      </x:c>
      <x:c r="I588" s="65" t="n">
        <x:v>0.22407170294494239</x:v>
      </x:c>
      <x:c r="J588" s="34" t="str">
        <x:v>low</x:v>
      </x:c>
      <x:c r="K588" s="71" t="n">
        <x:v>29.7759823</x:v>
      </x:c>
      <x:c r="L588" s="71" t="n">
        <x:v>-95.4847472</x:v>
      </x:c>
      <x:c r="M588" s="71" t="n">
        <x:v>0.273</x:v>
      </x:c>
      <x:c r="N588" s="71" t="n">
        <x:v>0.026858056881925458</x:v>
      </x:c>
      <x:c r="O588" s="71" t="n">
        <x:v>22.75385106151268</x:v>
      </x:c>
      <x:c r="P588" s="71" t="n">
        <x:v>3</x:v>
      </x:c>
      <x:c r="Q588" s="71" t="n">
        <x:v>129.62712880719494</x:v>
      </x:c>
      <x:c r="R588" s="34" t="str">
        <x:v>tract internal point; no person, address, building, parcel, or route condition</x:v>
      </x:c>
    </x:row>
    <x:row r="589" ht="86.4000015258789" hidden="0" customHeight="1">
      <x:c r="A589" s="36" t="str">
        <x:v>48201430300</x:v>
      </x:c>
      <x:c r="B589" s="63" t="n">
        <x:v>4369</x:v>
      </x:c>
      <x:c r="C589" s="63" t="n">
        <x:v>247</x:v>
      </x:c>
      <x:c r="D589" s="63" t="n">
        <x:v>6</x:v>
      </x:c>
      <x:c r="E589" s="45" t="n">
        <x:v>0.05653467612726024</x:v>
      </x:c>
      <x:c r="F589" s="45" t="n">
        <x:v>0.001373311970702678</x:v>
      </x:c>
      <x:c r="G589" s="66" t="n">
        <x:v>1642</x:v>
      </x:c>
      <x:c r="H589" s="66" t="n">
        <x:v>0</x:v>
      </x:c>
      <x:c r="I589" s="66" t="n">
        <x:v>0</x:v>
      </x:c>
      <x:c r="J589" s="36" t="str">
        <x:v>low</x:v>
      </x:c>
      <x:c r="K589" s="72" t="n">
        <x:v>29.7726912</x:v>
      </x:c>
      <x:c r="L589" s="72" t="n">
        <x:v>-95.4980795</x:v>
      </x:c>
      <x:c r="M589" s="72" t="n">
        <x:v>1.954</x:v>
      </x:c>
      <x:c r="N589" s="72" t="n">
        <x:v>0.0028783593446454407</x:v>
      </x:c>
      <x:c r="O589" s="72" t="n">
        <x:v>25.500132846465338</x:v>
      </x:c>
      <x:c r="P589" s="72" t="n">
        <x:v>3</x:v>
      </x:c>
      <x:c r="Q589" s="72" t="n">
        <x:v>347.31236415387997</x:v>
      </x:c>
      <x:c r="R589" s="36" t="str">
        <x:v>tract internal point; no person, address, building, parcel, or route condition</x:v>
      </x:c>
    </x:row>
    <x:row r="590" ht="86.4000015258789" hidden="0" customHeight="1">
      <x:c r="A590" s="34" t="str">
        <x:v>48201430400</x:v>
      </x:c>
      <x:c r="B590" s="62" t="n">
        <x:v>3097</x:v>
      </x:c>
      <x:c r="C590" s="62" t="n">
        <x:v>201</x:v>
      </x:c>
      <x:c r="D590" s="62" t="n">
        <x:v>0</x:v>
      </x:c>
      <x:c r="E590" s="43" t="n">
        <x:v>0.06490151759767517</x:v>
      </x:c>
      <x:c r="F590" s="43" t="n">
        <x:v>0</x:v>
      </x:c>
      <x:c r="G590" s="65" t="n">
        <x:v>1191</x:v>
      </x:c>
      <x:c r="H590" s="65" t="n">
        <x:v>0</x:v>
      </x:c>
      <x:c r="I590" s="65" t="n">
        <x:v>0</x:v>
      </x:c>
      <x:c r="J590" s="34" t="str">
        <x:v>low</x:v>
      </x:c>
      <x:c r="K590" s="71" t="n">
        <x:v>29.7565146</x:v>
      </x:c>
      <x:c r="L590" s="71" t="n">
        <x:v>-95.5154397</x:v>
      </x:c>
      <x:c r="M590" s="71" t="n">
        <x:v>2.13</x:v>
      </x:c>
      <x:c r="N590" s="71" t="n">
        <x:v>0.03574698294499131</x:v>
      </x:c>
      <x:c r="O590" s="71" t="n">
        <x:v>26.04257394187545</x:v>
      </x:c>
      <x:c r="P590" s="71" t="n">
        <x:v>3</x:v>
      </x:c>
      <x:c r="Q590" s="71" t="n">
        <x:v>246.5689859297471</x:v>
      </x:c>
      <x:c r="R590" s="34" t="str">
        <x:v>tract internal point; no person, address, building, parcel, or route condition</x:v>
      </x:c>
    </x:row>
    <x:row r="591" ht="86.4000015258789" hidden="0" customHeight="1">
      <x:c r="A591" s="36" t="str">
        <x:v>48201430500</x:v>
      </x:c>
      <x:c r="B591" s="63" t="n">
        <x:v>2291</x:v>
      </x:c>
      <x:c r="C591" s="63" t="n">
        <x:v>220</x:v>
      </x:c>
      <x:c r="D591" s="63" t="n">
        <x:v>6</x:v>
      </x:c>
      <x:c r="E591" s="45" t="n">
        <x:v>0.09602793539938892</x:v>
      </x:c>
      <x:c r="F591" s="45" t="n">
        <x:v>0.0026189436927106066</x:v>
      </x:c>
      <x:c r="G591" s="66" t="n">
        <x:v>1073</x:v>
      </x:c>
      <x:c r="H591" s="66" t="n">
        <x:v>190</x:v>
      </x:c>
      <x:c r="I591" s="66" t="n">
        <x:v>0.17707362534948742</x:v>
      </x:c>
      <x:c r="J591" s="36" t="str">
        <x:v>low</x:v>
      </x:c>
      <x:c r="K591" s="72" t="n">
        <x:v>29.7798455</x:v>
      </x:c>
      <x:c r="L591" s="72" t="n">
        <x:v>-95.5191678</x:v>
      </x:c>
      <x:c r="M591" s="72" t="n">
        <x:v>0.961</x:v>
      </x:c>
      <x:c r="N591" s="72" t="n">
        <x:v>0.11568570471020712</x:v>
      </x:c>
      <x:c r="O591" s="72" t="n">
        <x:v>25.074896540924676</x:v>
      </x:c>
      <x:c r="P591" s="72" t="n">
        <x:v>3</x:v>
      </x:c>
      <x:c r="Q591" s="72" t="n">
        <x:v>183.56704180081513</x:v>
      </x:c>
      <x:c r="R591" s="36" t="str">
        <x:v>tract internal point; no person, address, building, parcel, or route condition</x:v>
      </x:c>
    </x:row>
    <x:row r="592" ht="86.4000015258789" hidden="0" customHeight="1">
      <x:c r="A592" s="34" t="str">
        <x:v>48201430600</x:v>
      </x:c>
      <x:c r="B592" s="62" t="n">
        <x:v>3838</x:v>
      </x:c>
      <x:c r="C592" s="62" t="n">
        <x:v>146</x:v>
      </x:c>
      <x:c r="D592" s="62" t="n">
        <x:v>0</x:v>
      </x:c>
      <x:c r="E592" s="43" t="n">
        <x:v>0.03804064616988015</x:v>
      </x:c>
      <x:c r="F592" s="43" t="n">
        <x:v>0</x:v>
      </x:c>
      <x:c r="G592" s="65" t="n">
        <x:v>1207</x:v>
      </x:c>
      <x:c r="H592" s="65" t="n">
        <x:v>0</x:v>
      </x:c>
      <x:c r="I592" s="65" t="n">
        <x:v>0</x:v>
      </x:c>
      <x:c r="J592" s="34" t="str">
        <x:v>low</x:v>
      </x:c>
      <x:c r="K592" s="71" t="n">
        <x:v>29.7647541</x:v>
      </x:c>
      <x:c r="L592" s="71" t="n">
        <x:v>-95.5317578</x:v>
      </x:c>
      <x:c r="M592" s="71" t="n">
        <x:v>1.444</x:v>
      </x:c>
      <x:c r="N592" s="71" t="n">
        <x:v>0.030894929331048156</x:v>
      </x:c>
      <x:c r="O592" s="71" t="n">
        <x:v>27.567991092676422</x:v>
      </x:c>
      <x:c r="P592" s="71" t="n">
        <x:v>3</x:v>
      </x:c>
      <x:c r="Q592" s="71" t="n">
        <x:v>303.94351089746203</x:v>
      </x:c>
      <x:c r="R592" s="34" t="str">
        <x:v>tract internal point; no person, address, building, parcel, or route condition</x:v>
      </x:c>
    </x:row>
    <x:row r="593" ht="86.4000015258789" hidden="0" customHeight="1">
      <x:c r="A593" s="36" t="str">
        <x:v>48201430700</x:v>
      </x:c>
      <x:c r="B593" s="63" t="n">
        <x:v>3831</x:v>
      </x:c>
      <x:c r="C593" s="63" t="n">
        <x:v>434</x:v>
      </x:c>
      <x:c r="D593" s="63" t="n">
        <x:v>615.5</x:v>
      </x:c>
      <x:c r="E593" s="45" t="n">
        <x:v>0.1132863482119551</x:v>
      </x:c>
      <x:c r="F593" s="45" t="n">
        <x:v>0.16066301226833724</x:v>
      </x:c>
      <x:c r="G593" s="66" t="n">
        <x:v>2317</x:v>
      </x:c>
      <x:c r="H593" s="66" t="n">
        <x:v>1479</x:v>
      </x:c>
      <x:c r="I593" s="66" t="n">
        <x:v>0.6383254208027622</x:v>
      </x:c>
      <x:c r="J593" s="36" t="str">
        <x:v>low</x:v>
      </x:c>
      <x:c r="K593" s="72" t="n">
        <x:v>29.7770812</x:v>
      </x:c>
      <x:c r="L593" s="72" t="n">
        <x:v>-95.5388154</x:v>
      </x:c>
      <x:c r="M593" s="72" t="n">
        <x:v>0.725</x:v>
      </x:c>
      <x:c r="N593" s="72" t="n">
        <x:v>0.13458985866378725</x:v>
      </x:c>
      <x:c r="O593" s="72" t="n">
        <x:v>26.13921442219408</x:v>
      </x:c>
      <x:c r="P593" s="72" t="n">
        <x:v>3</x:v>
      </x:c>
      <x:c r="Q593" s="72" t="n">
        <x:v>312.75796702777603</x:v>
      </x:c>
      <x:c r="R593" s="36" t="str">
        <x:v>tract internal point; no person, address, building, parcel, or route condition</x:v>
      </x:c>
    </x:row>
    <x:row r="594" ht="86.4000015258789" hidden="0" customHeight="1">
      <x:c r="A594" s="34" t="str">
        <x:v>48201430800</x:v>
      </x:c>
      <x:c r="B594" s="62" t="n">
        <x:v>6492</x:v>
      </x:c>
      <x:c r="C594" s="62" t="n">
        <x:v>460</x:v>
      </x:c>
      <x:c r="D594" s="62" t="n">
        <x:v>60</x:v>
      </x:c>
      <x:c r="E594" s="43" t="n">
        <x:v>0.07085643869377696</x:v>
      </x:c>
      <x:c r="F594" s="43" t="n">
        <x:v>0.009242144177449169</x:v>
      </x:c>
      <x:c r="G594" s="65" t="n">
        <x:v>3199</x:v>
      </x:c>
      <x:c r="H594" s="65" t="n">
        <x:v>1527</x:v>
      </x:c>
      <x:c r="I594" s="65" t="n">
        <x:v>0.47733666770865896</x:v>
      </x:c>
      <x:c r="J594" s="34" t="str">
        <x:v>low</x:v>
      </x:c>
      <x:c r="K594" s="71" t="n">
        <x:v>29.77607</x:v>
      </x:c>
      <x:c r="L594" s="71" t="n">
        <x:v>-95.5529434</x:v>
      </x:c>
      <x:c r="M594" s="71" t="n">
        <x:v>1.306</x:v>
      </x:c>
      <x:c r="N594" s="71" t="n">
        <x:v>0.011566683809247823</x:v>
      </x:c>
      <x:c r="O594" s="71" t="n">
        <x:v>23.164624712681345</x:v>
      </x:c>
      <x:c r="P594" s="71" t="n">
        <x:v>3</x:v>
      </x:c>
      <x:c r="Q594" s="71" t="n">
        <x:v>517.9426295030706</x:v>
      </x:c>
      <x:c r="R594" s="34" t="str">
        <x:v>tract internal point; no person, address, building, parcel, or route condition</x:v>
      </x:c>
    </x:row>
    <x:row r="595" ht="86.4000015258789" hidden="0" customHeight="1">
      <x:c r="A595" s="36" t="str">
        <x:v>48201430900</x:v>
      </x:c>
      <x:c r="B595" s="63" t="n">
        <x:v>5559</x:v>
      </x:c>
      <x:c r="C595" s="63" t="n">
        <x:v>382</x:v>
      </x:c>
      <x:c r="D595" s="63" t="n">
        <x:v>229.5</x:v>
      </x:c>
      <x:c r="E595" s="45" t="n">
        <x:v>0.06871739521496673</x:v>
      </x:c>
      <x:c r="F595" s="45" t="n">
        <x:v>0.04128440366972477</x:v>
      </x:c>
      <x:c r="G595" s="66" t="n">
        <x:v>3015</x:v>
      </x:c>
      <x:c r="H595" s="66" t="n">
        <x:v>791</x:v>
      </x:c>
      <x:c r="I595" s="66" t="n">
        <x:v>0.26235489220563846</x:v>
      </x:c>
      <x:c r="J595" s="36" t="str">
        <x:v>low</x:v>
      </x:c>
      <x:c r="K595" s="72" t="n">
        <x:v>29.7579315</x:v>
      </x:c>
      <x:c r="L595" s="72" t="n">
        <x:v>-95.5432078</x:v>
      </x:c>
      <x:c r="M595" s="72" t="n">
        <x:v>1.089</x:v>
      </x:c>
      <x:c r="N595" s="72" t="n">
        <x:v>0.05105886249854814</x:v>
      </x:c>
      <x:c r="O595" s="72" t="n">
        <x:v>24.418158525445936</x:v>
      </x:c>
      <x:c r="P595" s="72" t="n">
        <x:v>3</x:v>
      </x:c>
      <x:c r="Q595" s="72" t="n">
        <x:v>444.71937445352046</x:v>
      </x:c>
      <x:c r="R595" s="36" t="str">
        <x:v>tract internal point; no person, address, building, parcel, or route condition</x:v>
      </x:c>
    </x:row>
    <x:row r="596" ht="86.4000015258789" hidden="0" customHeight="1">
      <x:c r="A596" s="34" t="str">
        <x:v>48201431001</x:v>
      </x:c>
      <x:c r="B596" s="62" t="n">
        <x:v>2613</x:v>
      </x:c>
      <x:c r="C596" s="62" t="n">
        <x:v>110</x:v>
      </x:c>
      <x:c r="D596" s="62" t="n">
        <x:v>60</x:v>
      </x:c>
      <x:c r="E596" s="43" t="n">
        <x:v>0.04209720627631076</x:v>
      </x:c>
      <x:c r="F596" s="43" t="n">
        <x:v>0.022962112514351322</x:v>
      </x:c>
      <x:c r="G596" s="65" t="n">
        <x:v>1166</x:v>
      </x:c>
      <x:c r="H596" s="65" t="n">
        <x:v>142</x:v>
      </x:c>
      <x:c r="I596" s="65" t="n">
        <x:v>0.12178387650085763</x:v>
      </x:c>
      <x:c r="J596" s="34" t="str">
        <x:v>low</x:v>
      </x:c>
      <x:c r="K596" s="71" t="n">
        <x:v>29.7422707</x:v>
      </x:c>
      <x:c r="L596" s="71" t="n">
        <x:v>-95.5481493</x:v>
      </x:c>
      <x:c r="M596" s="71" t="n">
        <x:v>0.842</x:v>
      </x:c>
      <x:c r="N596" s="71" t="n">
        <x:v>0.029573964225894752</x:v>
      </x:c>
      <x:c r="O596" s="71" t="n">
        <x:v>20.891135232377284</x:v>
      </x:c>
      <x:c r="P596" s="71" t="n">
        <x:v>3</x:v>
      </x:c>
      <x:c r="Q596" s="71" t="n">
        <x:v>207.57002799963723</x:v>
      </x:c>
      <x:c r="R596" s="34" t="str">
        <x:v>tract internal point; no person, address, building, parcel, or route condition</x:v>
      </x:c>
    </x:row>
    <x:row r="597" ht="86.4000015258789" hidden="0" customHeight="1">
      <x:c r="A597" s="36" t="str">
        <x:v>48201431002</x:v>
      </x:c>
      <x:c r="B597" s="63" t="n">
        <x:v>3020</x:v>
      </x:c>
      <x:c r="C597" s="63" t="n">
        <x:v>279</x:v>
      </x:c>
      <x:c r="D597" s="63" t="n">
        <x:v>27</x:v>
      </x:c>
      <x:c r="E597" s="45" t="n">
        <x:v>0.0923841059602649</x:v>
      </x:c>
      <x:c r="F597" s="45" t="n">
        <x:v>0.008940397350993378</x:v>
      </x:c>
      <x:c r="G597" s="66" t="n">
        <x:v>1286</x:v>
      </x:c>
      <x:c r="H597" s="66" t="n">
        <x:v>134</x:v>
      </x:c>
      <x:c r="I597" s="66" t="n">
        <x:v>0.104199066874028</x:v>
      </x:c>
      <x:c r="J597" s="36" t="str">
        <x:v>low</x:v>
      </x:c>
      <x:c r="K597" s="72" t="n">
        <x:v>29.7528957</x:v>
      </x:c>
      <x:c r="L597" s="72" t="n">
        <x:v>-95.5501778</x:v>
      </x:c>
      <x:c r="M597" s="72" t="n">
        <x:v>0.77</x:v>
      </x:c>
      <x:c r="N597" s="72" t="n">
        <x:v>0.04557922177460659</x:v>
      </x:c>
      <x:c r="O597" s="72" t="n">
        <x:v>21.631181655705266</x:v>
      </x:c>
      <x:c r="P597" s="72" t="n">
        <x:v>3</x:v>
      </x:c>
      <x:c r="Q597" s="72" t="n">
        <x:v>241.95544536042536</x:v>
      </x:c>
      <x:c r="R597" s="36" t="str">
        <x:v>tract internal point; no person, address, building, parcel, or route condition</x:v>
      </x:c>
    </x:row>
    <x:row r="598" ht="86.4000015258789" hidden="0" customHeight="1">
      <x:c r="A598" s="34" t="str">
        <x:v>48201431101</x:v>
      </x:c>
      <x:c r="B598" s="62" t="n">
        <x:v>5640</x:v>
      </x:c>
      <x:c r="C598" s="62" t="n">
        <x:v>537</x:v>
      </x:c>
      <x:c r="D598" s="62" t="n">
        <x:v>346</x:v>
      </x:c>
      <x:c r="E598" s="43" t="n">
        <x:v>0.09521276595744681</x:v>
      </x:c>
      <x:c r="F598" s="43" t="n">
        <x:v>0.06134751773049645</x:v>
      </x:c>
      <x:c r="G598" s="65" t="n">
        <x:v>3143</x:v>
      </x:c>
      <x:c r="H598" s="65" t="n">
        <x:v>1179</x:v>
      </x:c>
      <x:c r="I598" s="65" t="n">
        <x:v>0.37511931275851096</x:v>
      </x:c>
      <x:c r="J598" s="34" t="str">
        <x:v>low</x:v>
      </x:c>
      <x:c r="K598" s="71" t="n">
        <x:v>29.7441598</x:v>
      </x:c>
      <x:c r="L598" s="71" t="n">
        <x:v>-95.5356583</x:v>
      </x:c>
      <x:c r="M598" s="71" t="n">
        <x:v>0.323</x:v>
      </x:c>
      <x:c r="N598" s="71" t="n">
        <x:v>0.07611891072738032</x:v>
      </x:c>
      <x:c r="O598" s="71" t="n">
        <x:v>23.324383928145362</x:v>
      </x:c>
      <x:c r="P598" s="71" t="n">
        <x:v>3</x:v>
      </x:c>
      <x:c r="Q598" s="71" t="n">
        <x:v>454.43767584017513</x:v>
      </x:c>
      <x:c r="R598" s="34" t="str">
        <x:v>tract internal point; no person, address, building, parcel, or route condition</x:v>
      </x:c>
    </x:row>
    <x:row r="599" ht="86.4000015258789" hidden="0" customHeight="1">
      <x:c r="A599" s="36" t="str">
        <x:v>48201431102</x:v>
      </x:c>
      <x:c r="B599" s="63" t="n">
        <x:v>3994</x:v>
      </x:c>
      <x:c r="C599" s="63" t="n">
        <x:v>752</x:v>
      </x:c>
      <x:c r="D599" s="63" t="n">
        <x:v>730</x:v>
      </x:c>
      <x:c r="E599" s="45" t="n">
        <x:v>0.18828242363545317</x:v>
      </x:c>
      <x:c r="F599" s="45" t="n">
        <x:v>0.1827741612418628</x:v>
      </x:c>
      <x:c r="G599" s="66" t="n">
        <x:v>2518</x:v>
      </x:c>
      <x:c r="H599" s="66" t="n">
        <x:v>1399</x:v>
      </x:c>
      <x:c r="I599" s="66" t="n">
        <x:v>0.5555996822875298</x:v>
      </x:c>
      <x:c r="J599" s="36" t="str">
        <x:v>low</x:v>
      </x:c>
      <x:c r="K599" s="72" t="n">
        <x:v>29.7414554</x:v>
      </x:c>
      <x:c r="L599" s="72" t="n">
        <x:v>-95.5283396</x:v>
      </x:c>
      <x:c r="M599" s="72" t="n">
        <x:v>0.359</x:v>
      </x:c>
      <x:c r="N599" s="72" t="n">
        <x:v>0.032868872256798215</x:v>
      </x:c>
      <x:c r="O599" s="72" t="n">
        <x:v>23.554037032889124</x:v>
      </x:c>
      <x:c r="P599" s="72" t="n">
        <x:v>3</x:v>
      </x:c>
      <x:c r="Q599" s="72" t="n">
        <x:v>331.46756383402885</x:v>
      </x:c>
      <x:c r="R599" s="36" t="str">
        <x:v>tract internal point; no person, address, building, parcel, or route condition</x:v>
      </x:c>
    </x:row>
    <x:row r="600" ht="86.4000015258789" hidden="0" customHeight="1">
      <x:c r="A600" s="34" t="str">
        <x:v>48201431203</x:v>
      </x:c>
      <x:c r="B600" s="62" t="n">
        <x:v>1958</x:v>
      </x:c>
      <x:c r="C600" s="62" t="n">
        <x:v>84</x:v>
      </x:c>
      <x:c r="D600" s="62" t="n">
        <x:v>444</x:v>
      </x:c>
      <x:c r="E600" s="43" t="n">
        <x:v>0.04290091930541369</x:v>
      </x:c>
      <x:c r="F600" s="43" t="n">
        <x:v>0.22676200204290092</x:v>
      </x:c>
      <x:c r="G600" s="65" t="n">
        <x:v>1169</x:v>
      </x:c>
      <x:c r="H600" s="65" t="n">
        <x:v>531</x:v>
      </x:c>
      <x:c r="I600" s="65" t="n">
        <x:v>0.4542343883661249</x:v>
      </x:c>
      <x:c r="J600" s="34" t="str">
        <x:v>low</x:v>
      </x:c>
      <x:c r="K600" s="71" t="n">
        <x:v>29.74153</x:v>
      </x:c>
      <x:c r="L600" s="71" t="n">
        <x:v>-95.5088059</x:v>
      </x:c>
      <x:c r="M600" s="71" t="n">
        <x:v>0.179</x:v>
      </x:c>
      <x:c r="N600" s="71" t="n">
        <x:v>0.12413544696093896</x:v>
      </x:c>
      <x:c r="O600" s="71" t="n">
        <x:v>22.546874601238024</x:v>
      </x:c>
      <x:c r="P600" s="71" t="n">
        <x:v>3</x:v>
      </x:c>
      <x:c r="Q600" s="71" t="n">
        <x:v>158.69950796549324</x:v>
      </x:c>
      <x:c r="R600" s="34" t="str">
        <x:v>tract internal point; no person, address, building, parcel, or route condition</x:v>
      </x:c>
    </x:row>
    <x:row r="601" ht="86.4000015258789" hidden="0" customHeight="1">
      <x:c r="A601" s="36" t="str">
        <x:v>48201431204</x:v>
      </x:c>
      <x:c r="B601" s="63" t="n">
        <x:v>3195</x:v>
      </x:c>
      <x:c r="C601" s="63" t="n">
        <x:v>98</x:v>
      </x:c>
      <x:c r="D601" s="63" t="n">
        <x:v>271.5</x:v>
      </x:c>
      <x:c r="E601" s="45" t="n">
        <x:v>0.030672926447574335</x:v>
      </x:c>
      <x:c r="F601" s="45" t="n">
        <x:v>0.08497652582159625</x:v>
      </x:c>
      <x:c r="G601" s="66" t="n">
        <x:v>1884</x:v>
      </x:c>
      <x:c r="H601" s="66" t="n">
        <x:v>1216</x:v>
      </x:c>
      <x:c r="I601" s="66" t="n">
        <x:v>0.6454352441613588</x:v>
      </x:c>
      <x:c r="J601" s="36" t="str">
        <x:v>low</x:v>
      </x:c>
      <x:c r="K601" s="72" t="n">
        <x:v>29.745188</x:v>
      </x:c>
      <x:c r="L601" s="72" t="n">
        <x:v>-95.5037723</x:v>
      </x:c>
      <x:c r="M601" s="72" t="n">
        <x:v>0.336</x:v>
      </x:c>
      <x:c r="N601" s="72" t="n">
        <x:v>0.025390397919262214</x:v>
      </x:c>
      <x:c r="O601" s="72" t="n">
        <x:v>22.07133305624777</x:v>
      </x:c>
      <x:c r="P601" s="72" t="n">
        <x:v>3</x:v>
      </x:c>
      <x:c r="Q601" s="72" t="n">
        <x:v>254.78611823847942</x:v>
      </x:c>
      <x:c r="R601" s="36" t="str">
        <x:v>tract internal point; no person, address, building, parcel, or route condition</x:v>
      </x:c>
    </x:row>
    <x:row r="602" ht="86.4000015258789" hidden="0" customHeight="1">
      <x:c r="A602" s="34" t="str">
        <x:v>48201431205</x:v>
      </x:c>
      <x:c r="B602" s="62" t="n">
        <x:v>3514</x:v>
      </x:c>
      <x:c r="C602" s="62" t="n">
        <x:v>179</x:v>
      </x:c>
      <x:c r="D602" s="62" t="n">
        <x:v>562.5</x:v>
      </x:c>
      <x:c r="E602" s="43" t="n">
        <x:v>0.050939100739897554</x:v>
      </x:c>
      <x:c r="F602" s="43" t="n">
        <x:v>0.16007398975526466</x:v>
      </x:c>
      <x:c r="G602" s="65" t="n">
        <x:v>2060</x:v>
      </x:c>
      <x:c r="H602" s="65" t="n">
        <x:v>966</x:v>
      </x:c>
      <x:c r="I602" s="65" t="n">
        <x:v>0.46893203883495144</x:v>
      </x:c>
      <x:c r="J602" s="34" t="str">
        <x:v>low</x:v>
      </x:c>
      <x:c r="K602" s="71" t="n">
        <x:v>29.7393055</x:v>
      </x:c>
      <x:c r="L602" s="71" t="n">
        <x:v>-95.5184834</x:v>
      </x:c>
      <x:c r="M602" s="71" t="n">
        <x:v>0.084</x:v>
      </x:c>
      <x:c r="N602" s="71" t="n">
        <x:v>0.12875096193982732</x:v>
      </x:c>
      <x:c r="O602" s="71" t="n">
        <x:v>22.940911262584013</x:v>
      </x:c>
      <x:c r="P602" s="71" t="n">
        <x:v>3</x:v>
      </x:c>
      <x:c r="Q602" s="71" t="n">
        <x:v>283.41836405455956</x:v>
      </x:c>
      <x:c r="R602" s="34" t="str">
        <x:v>tract internal point; no person, address, building, parcel, or route condition</x:v>
      </x:c>
    </x:row>
    <x:row r="603" ht="86.4000015258789" hidden="0" customHeight="1">
      <x:c r="A603" s="36" t="str">
        <x:v>48201431206</x:v>
      </x:c>
      <x:c r="B603" s="63" t="n">
        <x:v>1742</x:v>
      </x:c>
      <x:c r="C603" s="63" t="n">
        <x:v>203</x:v>
      </x:c>
      <x:c r="D603" s="63" t="n">
        <x:v>199</x:v>
      </x:c>
      <x:c r="E603" s="45" t="n">
        <x:v>0.11653272101033295</x:v>
      </x:c>
      <x:c r="F603" s="45" t="n">
        <x:v>0.11423650975889782</x:v>
      </x:c>
      <x:c r="G603" s="66" t="n">
        <x:v>1171</x:v>
      </x:c>
      <x:c r="H603" s="66" t="n">
        <x:v>935</x:v>
      </x:c>
      <x:c r="I603" s="66" t="n">
        <x:v>0.798462852263023</x:v>
      </x:c>
      <x:c r="J603" s="36" t="str">
        <x:v>low</x:v>
      </x:c>
      <x:c r="K603" s="72" t="n">
        <x:v>29.7408525</x:v>
      </x:c>
      <x:c r="L603" s="72" t="n">
        <x:v>-95.5140448</x:v>
      </x:c>
      <x:c r="M603" s="72" t="n">
        <x:v>0.174</x:v>
      </x:c>
      <x:c r="N603" s="72" t="n">
        <x:v>0.09868691074846346</x:v>
      </x:c>
      <x:c r="O603" s="72" t="n">
        <x:v>22.94194530156041</x:v>
      </x:c>
      <x:c r="P603" s="72" t="n">
        <x:v>3</x:v>
      </x:c>
      <x:c r="Q603" s="72" t="n">
        <x:v>141.66791952644687</x:v>
      </x:c>
      <x:c r="R603" s="36" t="str">
        <x:v>tract internal point; no person, address, building, parcel, or route condition</x:v>
      </x:c>
    </x:row>
    <x:row r="604" ht="86.4000015258789" hidden="0" customHeight="1">
      <x:c r="A604" s="34" t="str">
        <x:v>48201431302</x:v>
      </x:c>
      <x:c r="B604" s="62" t="n">
        <x:v>4324</x:v>
      </x:c>
      <x:c r="C604" s="62" t="n">
        <x:v>366</x:v>
      </x:c>
      <x:c r="D604" s="62" t="n">
        <x:v>88</x:v>
      </x:c>
      <x:c r="E604" s="43" t="n">
        <x:v>0.08464384828862165</x:v>
      </x:c>
      <x:c r="F604" s="43" t="n">
        <x:v>0.020351526364477335</x:v>
      </x:c>
      <x:c r="G604" s="65" t="n">
        <x:v>2192</x:v>
      </x:c>
      <x:c r="H604" s="65" t="n">
        <x:v>626</x:v>
      </x:c>
      <x:c r="I604" s="65" t="n">
        <x:v>0.28558394160583944</x:v>
      </x:c>
      <x:c r="J604" s="34" t="str">
        <x:v>low</x:v>
      </x:c>
      <x:c r="K604" s="71" t="n">
        <x:v>29.7436384</x:v>
      </x:c>
      <x:c r="L604" s="71" t="n">
        <x:v>-95.4905071</x:v>
      </x:c>
      <x:c r="M604" s="71" t="n">
        <x:v>0.528</x:v>
      </x:c>
      <x:c r="N604" s="71" t="n">
        <x:v>0.023421079442447583</x:v>
      </x:c>
      <x:c r="O604" s="71" t="n">
        <x:v>20.50031475519667</x:v>
      </x:c>
      <x:c r="P604" s="71" t="n">
        <x:v>3</x:v>
      </x:c>
      <x:c r="Q604" s="71" t="n">
        <x:v>346.2906260380165</x:v>
      </x:c>
      <x:c r="R604" s="34" t="str">
        <x:v>tract internal point; no person, address, building, parcel, or route condition</x:v>
      </x:c>
    </x:row>
    <x:row r="605" ht="86.4000015258789" hidden="0" customHeight="1">
      <x:c r="A605" s="36" t="str">
        <x:v>48201431303</x:v>
      </x:c>
      <x:c r="B605" s="63" t="n">
        <x:v>1615</x:v>
      </x:c>
      <x:c r="C605" s="63" t="n">
        <x:v>192</x:v>
      </x:c>
      <x:c r="D605" s="63" t="n">
        <x:v>115</x:v>
      </x:c>
      <x:c r="E605" s="45" t="n">
        <x:v>0.11888544891640866</x:v>
      </x:c>
      <x:c r="F605" s="45" t="n">
        <x:v>0.07120743034055728</x:v>
      </x:c>
      <x:c r="G605" s="66" t="n">
        <x:v>1260</x:v>
      </x:c>
      <x:c r="H605" s="66" t="n">
        <x:v>642</x:v>
      </x:c>
      <x:c r="I605" s="66" t="n">
        <x:v>0.5095238095238095</x:v>
      </x:c>
      <x:c r="J605" s="36" t="str">
        <x:v>low</x:v>
      </x:c>
      <x:c r="K605" s="72" t="n">
        <x:v>29.7405491</x:v>
      </x:c>
      <x:c r="L605" s="72" t="n">
        <x:v>-95.4988604</x:v>
      </x:c>
      <x:c r="M605" s="72" t="n">
        <x:v>0.107</x:v>
      </x:c>
      <x:c r="N605" s="72" t="n">
        <x:v>0.04514463927748126</x:v>
      </x:c>
      <x:c r="O605" s="72" t="n">
        <x:v>21.27093732704749</x:v>
      </x:c>
      <x:c r="P605" s="72" t="n">
        <x:v>3</x:v>
      </x:c>
      <x:c r="Q605" s="72" t="n">
        <x:v>130.85321454623096</x:v>
      </x:c>
      <x:c r="R605" s="36" t="str">
        <x:v>tract internal point; no person, address, building, parcel, or route condition</x:v>
      </x:c>
    </x:row>
    <x:row r="606" ht="86.4000015258789" hidden="0" customHeight="1">
      <x:c r="A606" s="34" t="str">
        <x:v>48201431304</x:v>
      </x:c>
      <x:c r="B606" s="62" t="n">
        <x:v>3114</x:v>
      </x:c>
      <x:c r="C606" s="62" t="n">
        <x:v>220</x:v>
      </x:c>
      <x:c r="D606" s="62" t="n">
        <x:v>326.5</x:v>
      </x:c>
      <x:c r="E606" s="43" t="n">
        <x:v>0.07064868336544637</x:v>
      </x:c>
      <x:c r="F606" s="43" t="n">
        <x:v>0.1048490687219011</x:v>
      </x:c>
      <x:c r="G606" s="65" t="n">
        <x:v>1861</x:v>
      </x:c>
      <x:c r="H606" s="65" t="n">
        <x:v>1011</x:v>
      </x:c>
      <x:c r="I606" s="65" t="n">
        <x:v>0.5432563138097797</x:v>
      </x:c>
      <x:c r="J606" s="34" t="str">
        <x:v>low</x:v>
      </x:c>
      <x:c r="K606" s="71" t="n">
        <x:v>29.7460547</x:v>
      </x:c>
      <x:c r="L606" s="71" t="n">
        <x:v>-95.4980367</x:v>
      </x:c>
      <x:c r="M606" s="71" t="n">
        <x:v>0.172</x:v>
      </x:c>
      <x:c r="N606" s="71" t="n">
        <x:v>0.040972766391567945</x:v>
      </x:c>
      <x:c r="O606" s="71" t="n">
        <x:v>22.036986976792274</x:v>
      </x:c>
      <x:c r="P606" s="71" t="n">
        <x:v>3</x:v>
      </x:c>
      <x:c r="Q606" s="71" t="n">
        <x:v>250.76990149073936</x:v>
      </x:c>
      <x:c r="R606" s="34" t="str">
        <x:v>tract internal point; no person, address, building, parcel, or route condition</x:v>
      </x:c>
    </x:row>
    <x:row r="607" ht="86.4000015258789" hidden="0" customHeight="1">
      <x:c r="A607" s="36" t="str">
        <x:v>48201431401</x:v>
      </x:c>
      <x:c r="B607" s="63" t="n">
        <x:v>2729</x:v>
      </x:c>
      <x:c r="C607" s="63" t="n">
        <x:v>97</x:v>
      </x:c>
      <x:c r="D607" s="63" t="n">
        <x:v>123</x:v>
      </x:c>
      <x:c r="E607" s="45" t="n">
        <x:v>0.035544155368266765</x:v>
      </x:c>
      <x:c r="F607" s="45" t="n">
        <x:v>0.045071454745327956</x:v>
      </x:c>
      <x:c r="G607" s="66" t="n">
        <x:v>1717</x:v>
      </x:c>
      <x:c r="H607" s="66" t="n">
        <x:v>1118</x:v>
      </x:c>
      <x:c r="I607" s="66" t="n">
        <x:v>0.6511357018054746</x:v>
      </x:c>
      <x:c r="J607" s="36" t="str">
        <x:v>low</x:v>
      </x:c>
      <x:c r="K607" s="72" t="n">
        <x:v>29.744466</x:v>
      </x:c>
      <x:c r="L607" s="72" t="n">
        <x:v>-95.4839917</x:v>
      </x:c>
      <x:c r="M607" s="72" t="n">
        <x:v>0.141</x:v>
      </x:c>
      <x:c r="N607" s="72" t="n">
        <x:v>0.13823189746148734</x:v>
      </x:c>
      <x:c r="O607" s="72" t="n">
        <x:v>20.4473370004241</x:v>
      </x:c>
      <x:c r="P607" s="72" t="n">
        <x:v>3</x:v>
      </x:c>
      <x:c r="Q607" s="72" t="n">
        <x:v>216.97787818954893</x:v>
      </x:c>
      <x:c r="R607" s="36" t="str">
        <x:v>tract internal point; no person, address, building, parcel, or route condition</x:v>
      </x:c>
    </x:row>
    <x:row r="608" ht="86.4000015258789" hidden="0" customHeight="1">
      <x:c r="A608" s="34" t="str">
        <x:v>48201431403</x:v>
      </x:c>
      <x:c r="B608" s="62" t="n">
        <x:v>1772</x:v>
      </x:c>
      <x:c r="C608" s="62" t="n">
        <x:v>162</x:v>
      </x:c>
      <x:c r="D608" s="62" t="n">
        <x:v>63</x:v>
      </x:c>
      <x:c r="E608" s="43" t="n">
        <x:v>0.09142212189616253</x:v>
      </x:c>
      <x:c r="F608" s="43" t="n">
        <x:v>0.035553047404063204</x:v>
      </x:c>
      <x:c r="G608" s="65" t="n">
        <x:v>1038</x:v>
      </x:c>
      <x:c r="H608" s="65" t="n">
        <x:v>354</x:v>
      </x:c>
      <x:c r="I608" s="65" t="n">
        <x:v>0.34104046242774566</x:v>
      </x:c>
      <x:c r="J608" s="34" t="str">
        <x:v>low</x:v>
      </x:c>
      <x:c r="K608" s="71" t="n">
        <x:v>29.7442275</x:v>
      </x:c>
      <x:c r="L608" s="71" t="n">
        <x:v>-95.478412</x:v>
      </x:c>
      <x:c r="M608" s="71" t="n">
        <x:v>0.13</x:v>
      </x:c>
      <x:c r="N608" s="71" t="n">
        <x:v>0.10807384849101667</x:v>
      </x:c>
      <x:c r="O608" s="71" t="n">
        <x:v>19.905314838035647</x:v>
      </x:c>
      <x:c r="P608" s="71" t="n">
        <x:v>3</x:v>
      </x:c>
      <x:c r="Q608" s="71" t="n">
        <x:v>142.3124004918376</x:v>
      </x:c>
      <x:c r="R608" s="34" t="str">
        <x:v>tract internal point; no person, address, building, parcel, or route condition</x:v>
      </x:c>
    </x:row>
    <x:row r="609" ht="86.4000015258789" hidden="0" customHeight="1">
      <x:c r="A609" s="36" t="str">
        <x:v>48201431404</x:v>
      </x:c>
      <x:c r="B609" s="63" t="n">
        <x:v>2044</x:v>
      </x:c>
      <x:c r="C609" s="63" t="n">
        <x:v>288</x:v>
      </x:c>
      <x:c r="D609" s="63" t="n">
        <x:v>0</x:v>
      </x:c>
      <x:c r="E609" s="45" t="n">
        <x:v>0.14090019569471623</x:v>
      </x:c>
      <x:c r="F609" s="45" t="n">
        <x:v>0</x:v>
      </x:c>
      <x:c r="G609" s="66" t="n">
        <x:v>1676</x:v>
      </x:c>
      <x:c r="H609" s="66" t="n">
        <x:v>589</x:v>
      </x:c>
      <x:c r="I609" s="66" t="n">
        <x:v>0.35143198090692124</x:v>
      </x:c>
      <x:c r="J609" s="36" t="str">
        <x:v>low</x:v>
      </x:c>
      <x:c r="K609" s="72" t="n">
        <x:v>29.7436083</x:v>
      </x:c>
      <x:c r="L609" s="72" t="n">
        <x:v>-95.481055</x:v>
      </x:c>
      <x:c r="M609" s="72" t="n">
        <x:v>0.148</x:v>
      </x:c>
      <x:c r="N609" s="72" t="n">
        <x:v>0.1448372366467802</x:v>
      </x:c>
      <x:c r="O609" s="72" t="n">
        <x:v>20.303350081470207</x:v>
      </x:c>
      <x:c r="P609" s="72" t="n">
        <x:v>3</x:v>
      </x:c>
      <x:c r="Q609" s="72" t="n">
        <x:v>165.17575571527365</x:v>
      </x:c>
      <x:c r="R609" s="36" t="str">
        <x:v>tract internal point; no person, address, building, parcel, or route condition</x:v>
      </x:c>
    </x:row>
    <x:row r="610" ht="86.4000015258789" hidden="0" customHeight="1">
      <x:c r="A610" s="34" t="str">
        <x:v>48201431503</x:v>
      </x:c>
      <x:c r="B610" s="62" t="n">
        <x:v>2295</x:v>
      </x:c>
      <x:c r="C610" s="62" t="n">
        <x:v>142</x:v>
      </x:c>
      <x:c r="D610" s="62" t="n">
        <x:v>19</x:v>
      </x:c>
      <x:c r="E610" s="43" t="n">
        <x:v>0.06187363834422658</x:v>
      </x:c>
      <x:c r="F610" s="43" t="n">
        <x:v>0.008278867102396514</x:v>
      </x:c>
      <x:c r="G610" s="65" t="n">
        <x:v>1293</x:v>
      </x:c>
      <x:c r="H610" s="65" t="n">
        <x:v>1052</x:v>
      </x:c>
      <x:c r="I610" s="65" t="n">
        <x:v>0.8136117556071152</x:v>
      </x:c>
      <x:c r="J610" s="34" t="str">
        <x:v>low</x:v>
      </x:c>
      <x:c r="K610" s="71" t="n">
        <x:v>29.7528951</x:v>
      </x:c>
      <x:c r="L610" s="71" t="n">
        <x:v>-95.4981534</x:v>
      </x:c>
      <x:c r="M610" s="71" t="n">
        <x:v>0.118</x:v>
      </x:c>
      <x:c r="N610" s="71" t="n">
        <x:v>0.022276971072141005</x:v>
      </x:c>
      <x:c r="O610" s="71" t="n">
        <x:v>23.19312645983605</x:v>
      </x:c>
      <x:c r="P610" s="71" t="n">
        <x:v>3</x:v>
      </x:c>
      <x:c r="Q610" s="71" t="n">
        <x:v>182.75751083209258</x:v>
      </x:c>
      <x:c r="R610" s="34" t="str">
        <x:v>tract internal point; no person, address, building, parcel, or route condition</x:v>
      </x:c>
    </x:row>
    <x:row r="611" ht="86.4000015258789" hidden="0" customHeight="1">
      <x:c r="A611" s="36" t="str">
        <x:v>48201431504</x:v>
      </x:c>
      <x:c r="B611" s="63" t="n">
        <x:v>2503</x:v>
      </x:c>
      <x:c r="C611" s="63" t="n">
        <x:v>86</x:v>
      </x:c>
      <x:c r="D611" s="63" t="n">
        <x:v>0</x:v>
      </x:c>
      <x:c r="E611" s="45" t="n">
        <x:v>0.03435876947662805</x:v>
      </x:c>
      <x:c r="F611" s="45" t="n">
        <x:v>0</x:v>
      </x:c>
      <x:c r="G611" s="66" t="n">
        <x:v>1166</x:v>
      </x:c>
      <x:c r="H611" s="66" t="n">
        <x:v>132</x:v>
      </x:c>
      <x:c r="I611" s="66" t="n">
        <x:v>0.11320754716981132</x:v>
      </x:c>
      <x:c r="J611" s="36" t="str">
        <x:v>low</x:v>
      </x:c>
      <x:c r="K611" s="72" t="n">
        <x:v>29.7538102</x:v>
      </x:c>
      <x:c r="L611" s="72" t="n">
        <x:v>-95.4905097</x:v>
      </x:c>
      <x:c r="M611" s="72" t="n">
        <x:v>0.309</x:v>
      </x:c>
      <x:c r="N611" s="72" t="n">
        <x:v>0.024738966189645925</x:v>
      </x:c>
      <x:c r="O611" s="72" t="n">
        <x:v>22.09325444483223</x:v>
      </x:c>
      <x:c r="P611" s="72" t="n">
        <x:v>3</x:v>
      </x:c>
      <x:c r="Q611" s="72" t="n">
        <x:v>198.07572304607567</x:v>
      </x:c>
      <x:c r="R611" s="36" t="str">
        <x:v>tract internal point; no person, address, building, parcel, or route condition</x:v>
      </x:c>
    </x:row>
    <x:row r="612" ht="86.4000015258789" hidden="0" customHeight="1">
      <x:c r="A612" s="34" t="str">
        <x:v>48201431505</x:v>
      </x:c>
      <x:c r="B612" s="62" t="n">
        <x:v>1480</x:v>
      </x:c>
      <x:c r="C612" s="62" t="n">
        <x:v>247</x:v>
      </x:c>
      <x:c r="D612" s="62" t="n">
        <x:v>204</x:v>
      </x:c>
      <x:c r="E612" s="43" t="n">
        <x:v>0.16689189189189188</x:v>
      </x:c>
      <x:c r="F612" s="43" t="n">
        <x:v>0.13783783783783785</x:v>
      </x:c>
      <x:c r="G612" s="65" t="n">
        <x:v>1025</x:v>
      </x:c>
      <x:c r="H612" s="65" t="n">
        <x:v>202</x:v>
      </x:c>
      <x:c r="I612" s="65" t="n">
        <x:v>0.19707317073170733</x:v>
      </x:c>
      <x:c r="J612" s="34" t="str">
        <x:v>low</x:v>
      </x:c>
      <x:c r="K612" s="71" t="n">
        <x:v>29.754609</x:v>
      </x:c>
      <x:c r="L612" s="71" t="n">
        <x:v>-95.4842534</x:v>
      </x:c>
      <x:c r="M612" s="71" t="n">
        <x:v>0.122</x:v>
      </x:c>
      <x:c r="N612" s="71" t="n">
        <x:v>0.01791599034022208</x:v>
      </x:c>
      <x:c r="O612" s="71" t="n">
        <x:v>21.57171735224631</x:v>
      </x:c>
      <x:c r="P612" s="71" t="n">
        <x:v>3</x:v>
      </x:c>
      <x:c r="Q612" s="71" t="n">
        <x:v>121.80690245885566</x:v>
      </x:c>
      <x:c r="R612" s="34" t="str">
        <x:v>tract internal point; no person, address, building, parcel, or route condition</x:v>
      </x:c>
    </x:row>
    <x:row r="613" ht="86.4000015258789" hidden="0" customHeight="1">
      <x:c r="A613" s="36" t="str">
        <x:v>48201431506</x:v>
      </x:c>
      <x:c r="B613" s="63" t="n">
        <x:v>2849</x:v>
      </x:c>
      <x:c r="C613" s="63" t="n">
        <x:v>184</x:v>
      </x:c>
      <x:c r="D613" s="63" t="n">
        <x:v>60</x:v>
      </x:c>
      <x:c r="E613" s="45" t="n">
        <x:v>0.06458406458406458</x:v>
      </x:c>
      <x:c r="F613" s="45" t="n">
        <x:v>0.02106002106002106</x:v>
      </x:c>
      <x:c r="G613" s="66" t="n">
        <x:v>2157</x:v>
      </x:c>
      <x:c r="H613" s="66" t="n">
        <x:v>1039</x:v>
      </x:c>
      <x:c r="I613" s="66" t="n">
        <x:v>0.4816875289754288</x:v>
      </x:c>
      <x:c r="J613" s="36" t="str">
        <x:v>low</x:v>
      </x:c>
      <x:c r="K613" s="72" t="n">
        <x:v>29.7562729</x:v>
      </x:c>
      <x:c r="L613" s="72" t="n">
        <x:v>-95.4799066</x:v>
      </x:c>
      <x:c r="M613" s="72" t="n">
        <x:v>0.277</x:v>
      </x:c>
      <x:c r="N613" s="72" t="n">
        <x:v>0.04838691217329844</x:v>
      </x:c>
      <x:c r="O613" s="72" t="n">
        <x:v>21.17710586570109</x:v>
      </x:c>
      <x:c r="P613" s="72" t="n">
        <x:v>3</x:v>
      </x:c>
      <x:c r="Q613" s="72" t="n">
        <x:v>227.28171411183305</x:v>
      </x:c>
      <x:c r="R613" s="36" t="str">
        <x:v>tract internal point; no person, address, building, parcel, or route condition</x:v>
      </x:c>
    </x:row>
    <x:row r="614" ht="86.4000015258789" hidden="0" customHeight="1">
      <x:c r="A614" s="34" t="str">
        <x:v>48201431600</x:v>
      </x:c>
      <x:c r="B614" s="62" t="n">
        <x:v>3519</x:v>
      </x:c>
      <x:c r="C614" s="62" t="n">
        <x:v>571</x:v>
      </x:c>
      <x:c r="D614" s="62" t="n">
        <x:v>412</x:v>
      </x:c>
      <x:c r="E614" s="43" t="n">
        <x:v>0.1622620062517761</x:v>
      </x:c>
      <x:c r="F614" s="43" t="n">
        <x:v>0.1170787155441887</x:v>
      </x:c>
      <x:c r="G614" s="65" t="n">
        <x:v>2068</x:v>
      </x:c>
      <x:c r="H614" s="65" t="n">
        <x:v>638</x:v>
      </x:c>
      <x:c r="I614" s="65" t="n">
        <x:v>0.30851063829787234</x:v>
      </x:c>
      <x:c r="J614" s="34" t="str">
        <x:v>low</x:v>
      </x:c>
      <x:c r="K614" s="71" t="n">
        <x:v>29.764816</x:v>
      </x:c>
      <x:c r="L614" s="71" t="n">
        <x:v>-95.4842774</x:v>
      </x:c>
      <x:c r="M614" s="71" t="n">
        <x:v>1.135</x:v>
      </x:c>
      <x:c r="N614" s="71" t="n">
        <x:v>0.05121803801894446</x:v>
      </x:c>
      <x:c r="O614" s="71" t="n">
        <x:v>22.831184094677965</x:v>
      </x:c>
      <x:c r="P614" s="71" t="n">
        <x:v>3</x:v>
      </x:c>
      <x:c r="Q614" s="71" t="n">
        <x:v>288.7903486868107</x:v>
      </x:c>
      <x:c r="R614" s="34" t="str">
        <x:v>tract internal point; no person, address, building, parcel, or route condition</x:v>
      </x:c>
    </x:row>
    <x:row r="615" ht="86.4000015258789" hidden="0" customHeight="1">
      <x:c r="A615" s="36" t="str">
        <x:v>48201431701</x:v>
      </x:c>
      <x:c r="B615" s="63" t="n">
        <x:v>2042</x:v>
      </x:c>
      <x:c r="C615" s="63" t="n">
        <x:v>106</x:v>
      </x:c>
      <x:c r="D615" s="63" t="n">
        <x:v>34</x:v>
      </x:c>
      <x:c r="E615" s="45" t="n">
        <x:v>0.05190989226248776</x:v>
      </x:c>
      <x:c r="F615" s="45" t="n">
        <x:v>0.01665034280117532</x:v>
      </x:c>
      <x:c r="G615" s="66" t="n">
        <x:v>1483</x:v>
      </x:c>
      <x:c r="H615" s="66" t="n">
        <x:v>852</x:v>
      </x:c>
      <x:c r="I615" s="66" t="n">
        <x:v>0.5745111260957518</x:v>
      </x:c>
      <x:c r="J615" s="36" t="str">
        <x:v>low</x:v>
      </x:c>
      <x:c r="K615" s="72" t="n">
        <x:v>29.762256</x:v>
      </x:c>
      <x:c r="L615" s="72" t="n">
        <x:v>-95.4622848</x:v>
      </x:c>
      <x:c r="M615" s="72" t="n">
        <x:v>0.354</x:v>
      </x:c>
      <x:c r="N615" s="72" t="n">
        <x:v>0.056172176482719646</x:v>
      </x:c>
      <x:c r="O615" s="72" t="n">
        <x:v>19.191035760931758</x:v>
      </x:c>
      <x:c r="P615" s="72" t="n">
        <x:v>3</x:v>
      </x:c>
      <x:c r="Q615" s="72" t="n">
        <x:v>162.42492232641055</x:v>
      </x:c>
      <x:c r="R615" s="36" t="str">
        <x:v>tract internal point; no person, address, building, parcel, or route condition</x:v>
      </x:c>
    </x:row>
    <x:row r="616" ht="86.4000015258789" hidden="0" customHeight="1">
      <x:c r="A616" s="34" t="str">
        <x:v>48201431702</x:v>
      </x:c>
      <x:c r="B616" s="62" t="n">
        <x:v>2848</x:v>
      </x:c>
      <x:c r="C616" s="62" t="n">
        <x:v>286</x:v>
      </x:c>
      <x:c r="D616" s="62" t="n">
        <x:v>105</x:v>
      </x:c>
      <x:c r="E616" s="43" t="n">
        <x:v>0.10042134831460674</x:v>
      </x:c>
      <x:c r="F616" s="43" t="n">
        <x:v>0.03686797752808989</x:v>
      </x:c>
      <x:c r="G616" s="65" t="n">
        <x:v>1478</x:v>
      </x:c>
      <x:c r="H616" s="65" t="n">
        <x:v>430</x:v>
      </x:c>
      <x:c r="I616" s="65" t="n">
        <x:v>0.29093369418132614</x:v>
      </x:c>
      <x:c r="J616" s="34" t="str">
        <x:v>low</x:v>
      </x:c>
      <x:c r="K616" s="71" t="n">
        <x:v>29.7567464</x:v>
      </x:c>
      <x:c r="L616" s="71" t="n">
        <x:v>-95.4704788</x:v>
      </x:c>
      <x:c r="M616" s="71" t="n">
        <x:v>0.763</x:v>
      </x:c>
      <x:c r="N616" s="71" t="n">
        <x:v>0.05428703041468095</x:v>
      </x:c>
      <x:c r="O616" s="71" t="n">
        <x:v>19.974169930198368</x:v>
      </x:c>
      <x:c r="P616" s="71" t="n">
        <x:v>3</x:v>
      </x:c>
      <x:c r="Q616" s="71" t="n">
        <x:v>229.16014034022808</x:v>
      </x:c>
      <x:c r="R616" s="34" t="str">
        <x:v>tract internal point; no person, address, building, parcel, or route condition</x:v>
      </x:c>
    </x:row>
    <x:row r="617" ht="86.4000015258789" hidden="0" customHeight="1">
      <x:c r="A617" s="36" t="str">
        <x:v>48201431801</x:v>
      </x:c>
      <x:c r="B617" s="63" t="n">
        <x:v>3660</x:v>
      </x:c>
      <x:c r="C617" s="63" t="n">
        <x:v>442</x:v>
      </x:c>
      <x:c r="D617" s="63" t="n">
        <x:v>153</x:v>
      </x:c>
      <x:c r="E617" s="45" t="n">
        <x:v>0.12076502732240438</x:v>
      </x:c>
      <x:c r="F617" s="45" t="n">
        <x:v>0.04180327868852459</x:v>
      </x:c>
      <x:c r="G617" s="66" t="n">
        <x:v>2459</x:v>
      </x:c>
      <x:c r="H617" s="66" t="n">
        <x:v>1574</x:v>
      </x:c>
      <x:c r="I617" s="66" t="n">
        <x:v>0.640097600650671</x:v>
      </x:c>
      <x:c r="J617" s="36" t="str">
        <x:v>low</x:v>
      </x:c>
      <x:c r="K617" s="72" t="n">
        <x:v>29.743985</x:v>
      </x:c>
      <x:c r="L617" s="72" t="n">
        <x:v>-95.4725696</x:v>
      </x:c>
      <x:c r="M617" s="72" t="n">
        <x:v>0.475</x:v>
      </x:c>
      <x:c r="N617" s="72" t="n">
        <x:v>0.17863498539146208</x:v>
      </x:c>
      <x:c r="O617" s="72" t="n">
        <x:v>19.017385898853377</x:v>
      </x:c>
      <x:c r="P617" s="72" t="n">
        <x:v>3</x:v>
      </x:c>
      <x:c r="Q617" s="72" t="n">
        <x:v>295.8089035903956</x:v>
      </x:c>
      <x:c r="R617" s="36" t="str">
        <x:v>tract internal point; no person, address, building, parcel, or route condition</x:v>
      </x:c>
    </x:row>
    <x:row r="618" ht="86.4000015258789" hidden="0" customHeight="1">
      <x:c r="A618" s="34" t="str">
        <x:v>48201431803</x:v>
      </x:c>
      <x:c r="B618" s="62" t="n">
        <x:v>2339</x:v>
      </x:c>
      <x:c r="C618" s="62" t="n">
        <x:v>241</x:v>
      </x:c>
      <x:c r="D618" s="62" t="n">
        <x:v>166</x:v>
      </x:c>
      <x:c r="E618" s="43" t="n">
        <x:v>0.10303548525010689</x:v>
      </x:c>
      <x:c r="F618" s="43" t="n">
        <x:v>0.07097050021376657</x:v>
      </x:c>
      <x:c r="G618" s="65" t="n">
        <x:v>2018</x:v>
      </x:c>
      <x:c r="H618" s="65" t="n">
        <x:v>1616</x:v>
      </x:c>
      <x:c r="I618" s="65" t="n">
        <x:v>0.800792864222002</x:v>
      </x:c>
      <x:c r="J618" s="34" t="str">
        <x:v>low</x:v>
      </x:c>
      <x:c r="K618" s="71" t="n">
        <x:v>29.745855</x:v>
      </x:c>
      <x:c r="L618" s="71" t="n">
        <x:v>-95.4654037</x:v>
      </x:c>
      <x:c r="M618" s="71" t="n">
        <x:v>0.131</x:v>
      </x:c>
      <x:c r="N618" s="71" t="n">
        <x:v>0.04593675962462284</x:v>
      </x:c>
      <x:c r="O618" s="71" t="n">
        <x:v>18.11449288911955</x:v>
      </x:c>
      <x:c r="P618" s="71" t="n">
        <x:v>3</x:v>
      </x:c>
      <x:c r="Q618" s="71" t="n">
        <x:v>188.927237147114</x:v>
      </x:c>
      <x:c r="R618" s="34" t="str">
        <x:v>tract internal point; no person, address, building, parcel, or route condition</x:v>
      </x:c>
    </x:row>
    <x:row r="619" ht="86.4000015258789" hidden="0" customHeight="1">
      <x:c r="A619" s="36" t="str">
        <x:v>48201431804</x:v>
      </x:c>
      <x:c r="B619" s="63" t="n">
        <x:v>2555</x:v>
      </x:c>
      <x:c r="C619" s="63" t="n">
        <x:v>87</x:v>
      </x:c>
      <x:c r="D619" s="63" t="n">
        <x:v>72</x:v>
      </x:c>
      <x:c r="E619" s="45" t="n">
        <x:v>0.03405088062622309</x:v>
      </x:c>
      <x:c r="F619" s="45" t="n">
        <x:v>0.02818003913894325</x:v>
      </x:c>
      <x:c r="G619" s="66" t="n">
        <x:v>2003</x:v>
      </x:c>
      <x:c r="H619" s="66" t="n">
        <x:v>1934</x:v>
      </x:c>
      <x:c r="I619" s="66" t="n">
        <x:v>0.9655516724912631</x:v>
      </x:c>
      <x:c r="J619" s="36" t="str">
        <x:v>low</x:v>
      </x:c>
      <x:c r="K619" s="72" t="n">
        <x:v>29.7479826</x:v>
      </x:c>
      <x:c r="L619" s="72" t="n">
        <x:v>-95.4590542</x:v>
      </x:c>
      <x:c r="M619" s="72" t="n">
        <x:v>0.417</x:v>
      </x:c>
      <x:c r="N619" s="72" t="n">
        <x:v>0.1513018321896915</x:v>
      </x:c>
      <x:c r="O619" s="72" t="n">
        <x:v>17.245312323133437</x:v>
      </x:c>
      <x:c r="P619" s="72" t="n">
        <x:v>3</x:v>
      </x:c>
      <x:c r="Q619" s="72" t="n">
        <x:v>202.74428028317465</x:v>
      </x:c>
      <x:c r="R619" s="36" t="str">
        <x:v>tract internal point; no person, address, building, parcel, or route condition</x:v>
      </x:c>
    </x:row>
    <x:row r="620" ht="86.4000015258789" hidden="0" customHeight="1">
      <x:c r="A620" s="34" t="str">
        <x:v>48201431901</x:v>
      </x:c>
      <x:c r="B620" s="62" t="n">
        <x:v>2492</x:v>
      </x:c>
      <x:c r="C620" s="62" t="n">
        <x:v>169</x:v>
      </x:c>
      <x:c r="D620" s="62" t="n">
        <x:v>89</x:v>
      </x:c>
      <x:c r="E620" s="43" t="n">
        <x:v>0.06781701444622792</x:v>
      </x:c>
      <x:c r="F620" s="43" t="n">
        <x:v>0.03571428571428571</x:v>
      </x:c>
      <x:c r="G620" s="65" t="n">
        <x:v>1846</x:v>
      </x:c>
      <x:c r="H620" s="65" t="n">
        <x:v>1767</x:v>
      </x:c>
      <x:c r="I620" s="65" t="n">
        <x:v>0.957204767063922</x:v>
      </x:c>
      <x:c r="J620" s="34" t="str">
        <x:v>low</x:v>
      </x:c>
      <x:c r="K620" s="71" t="n">
        <x:v>29.7295833</x:v>
      </x:c>
      <x:c r="L620" s="71" t="n">
        <x:v>-95.4646225</x:v>
      </x:c>
      <x:c r="M620" s="71" t="n">
        <x:v>0.137</x:v>
      </x:c>
      <x:c r="N620" s="71" t="n">
        <x:v>0.04539628303752534</x:v>
      </x:c>
      <x:c r="O620" s="71" t="n">
        <x:v>16.455512626769483</x:v>
      </x:c>
      <x:c r="P620" s="71" t="n">
        <x:v>3</x:v>
      </x:c>
      <x:c r="Q620" s="71" t="n">
        <x:v>199.21535402146174</x:v>
      </x:c>
      <x:c r="R620" s="34" t="str">
        <x:v>tract internal point; no person, address, building, parcel, or route condition</x:v>
      </x:c>
    </x:row>
    <x:row r="621" ht="86.4000015258789" hidden="0" customHeight="1">
      <x:c r="A621" s="36" t="str">
        <x:v>48201431902</x:v>
      </x:c>
      <x:c r="B621" s="63" t="n">
        <x:v>2428</x:v>
      </x:c>
      <x:c r="C621" s="63" t="n">
        <x:v>168</x:v>
      </x:c>
      <x:c r="D621" s="63" t="n">
        <x:v>195</x:v>
      </x:c>
      <x:c r="E621" s="45" t="n">
        <x:v>0.06919275123558484</x:v>
      </x:c>
      <x:c r="F621" s="45" t="n">
        <x:v>0.08031301482701812</x:v>
      </x:c>
      <x:c r="G621" s="66" t="n">
        <x:v>1942</x:v>
      </x:c>
      <x:c r="H621" s="66" t="n">
        <x:v>1887</x:v>
      </x:c>
      <x:c r="I621" s="66" t="n">
        <x:v>0.9716786817713697</x:v>
      </x:c>
      <x:c r="J621" s="36" t="str">
        <x:v>low</x:v>
      </x:c>
      <x:c r="K621" s="72" t="n">
        <x:v>29.7364815</x:v>
      </x:c>
      <x:c r="L621" s="72" t="n">
        <x:v>-95.4641258</x:v>
      </x:c>
      <x:c r="M621" s="72" t="n">
        <x:v>0.357</x:v>
      </x:c>
      <x:c r="N621" s="72" t="n">
        <x:v>0.122547111499379</x:v>
      </x:c>
      <x:c r="O621" s="72" t="n">
        <x:v>16.911779587793905</x:v>
      </x:c>
      <x:c r="P621" s="72" t="n">
        <x:v>3</x:v>
      </x:c>
      <x:c r="Q621" s="72" t="n">
        <x:v>195.00264917451725</x:v>
      </x:c>
      <x:c r="R621" s="36" t="str">
        <x:v>tract internal point; no person, address, building, parcel, or route condition</x:v>
      </x:c>
    </x:row>
    <x:row r="622" ht="86.4000015258789" hidden="0" customHeight="1">
      <x:c r="A622" s="34" t="str">
        <x:v>48201432003</x:v>
      </x:c>
      <x:c r="B622" s="62" t="n">
        <x:v>1763</x:v>
      </x:c>
      <x:c r="C622" s="62" t="n">
        <x:v>133</x:v>
      </x:c>
      <x:c r="D622" s="62" t="n">
        <x:v>255</x:v>
      </x:c>
      <x:c r="E622" s="43" t="n">
        <x:v>0.07543959160521838</x:v>
      </x:c>
      <x:c r="F622" s="43" t="n">
        <x:v>0.14463981849120816</x:v>
      </x:c>
      <x:c r="G622" s="65" t="n">
        <x:v>1205</x:v>
      </x:c>
      <x:c r="H622" s="65" t="n">
        <x:v>653</x:v>
      </x:c>
      <x:c r="I622" s="65" t="n">
        <x:v>0.541908713692946</x:v>
      </x:c>
      <x:c r="J622" s="34" t="str">
        <x:v>low</x:v>
      </x:c>
      <x:c r="K622" s="71" t="n">
        <x:v>29.7347013</x:v>
      </x:c>
      <x:c r="L622" s="71" t="n">
        <x:v>-95.4870018</x:v>
      </x:c>
      <x:c r="M622" s="71" t="n">
        <x:v>0.138</x:v>
      </x:c>
      <x:c r="N622" s="71" t="n">
        <x:v>0.10101774040077893</x:v>
      </x:c>
      <x:c r="O622" s="71" t="n">
        <x:v>19.068382501435256</x:v>
      </x:c>
      <x:c r="P622" s="71" t="n">
        <x:v>3</x:v>
      </x:c>
      <x:c r="Q622" s="71" t="n">
        <x:v>142.65821954643755</x:v>
      </x:c>
      <x:c r="R622" s="34" t="str">
        <x:v>tract internal point; no person, address, building, parcel, or route condition</x:v>
      </x:c>
    </x:row>
    <x:row r="623" ht="86.4000015258789" hidden="0" customHeight="1">
      <x:c r="A623" s="36" t="str">
        <x:v>48201432004</x:v>
      </x:c>
      <x:c r="B623" s="63" t="n">
        <x:v>2018</x:v>
      </x:c>
      <x:c r="C623" s="63" t="n">
        <x:v>140</x:v>
      </x:c>
      <x:c r="D623" s="63" t="n">
        <x:v>23</x:v>
      </x:c>
      <x:c r="E623" s="45" t="n">
        <x:v>0.06937561942517344</x:v>
      </x:c>
      <x:c r="F623" s="45" t="n">
        <x:v>0.011397423191278493</x:v>
      </x:c>
      <x:c r="G623" s="66" t="n">
        <x:v>956</x:v>
      </x:c>
      <x:c r="H623" s="66" t="n">
        <x:v>7</x:v>
      </x:c>
      <x:c r="I623" s="66" t="n">
        <x:v>0.007322175732217573</x:v>
      </x:c>
      <x:c r="J623" s="36" t="str">
        <x:v>low</x:v>
      </x:c>
      <x:c r="K623" s="72" t="n">
        <x:v>29.7346838</x:v>
      </x:c>
      <x:c r="L623" s="72" t="n">
        <x:v>-95.4762155</x:v>
      </x:c>
      <x:c r="M623" s="72" t="n">
        <x:v>0.418</x:v>
      </x:c>
      <x:c r="N623" s="72" t="n">
        <x:v>0.04436365511119811</x:v>
      </x:c>
      <x:c r="O623" s="72" t="n">
        <x:v>17.763242031858862</x:v>
      </x:c>
      <x:c r="P623" s="72" t="n">
        <x:v>3</x:v>
      </x:c>
      <x:c r="Q623" s="72" t="n">
        <x:v>160.98662944023366</x:v>
      </x:c>
      <x:c r="R623" s="36" t="str">
        <x:v>tract internal point; no person, address, building, parcel, or route condition</x:v>
      </x:c>
    </x:row>
    <x:row r="624" ht="86.4000015258789" hidden="0" customHeight="1">
      <x:c r="A624" s="34" t="str">
        <x:v>48201432005</x:v>
      </x:c>
      <x:c r="B624" s="62" t="n">
        <x:v>3676</x:v>
      </x:c>
      <x:c r="C624" s="62" t="n">
        <x:v>143</x:v>
      </x:c>
      <x:c r="D624" s="62" t="n">
        <x:v>220</x:v>
      </x:c>
      <x:c r="E624" s="43" t="n">
        <x:v>0.03890097932535364</x:v>
      </x:c>
      <x:c r="F624" s="43" t="n">
        <x:v>0.05984766050054407</x:v>
      </x:c>
      <x:c r="G624" s="65" t="n">
        <x:v>1838</x:v>
      </x:c>
      <x:c r="H624" s="65" t="n">
        <x:v>1427</x:v>
      </x:c>
      <x:c r="I624" s="65" t="n">
        <x:v>0.7763873775843307</x:v>
      </x:c>
      <x:c r="J624" s="34" t="str">
        <x:v>low</x:v>
      </x:c>
      <x:c r="K624" s="71" t="n">
        <x:v>29.7347017</x:v>
      </x:c>
      <x:c r="L624" s="71" t="n">
        <x:v>-95.4926459</x:v>
      </x:c>
      <x:c r="M624" s="71" t="n">
        <x:v>0.137</x:v>
      </x:c>
      <x:c r="N624" s="71" t="n">
        <x:v>0.03433676642255285</x:v>
      </x:c>
      <x:c r="O624" s="71" t="n">
        <x:v>20.37963229750209</x:v>
      </x:c>
      <x:c r="P624" s="71" t="n">
        <x:v>3</x:v>
      </x:c>
      <x:c r="Q624" s="71" t="n">
        <x:v>292.8930201982008</x:v>
      </x:c>
      <x:c r="R624" s="34" t="str">
        <x:v>tract internal point; no person, address, building, parcel, or route condition</x:v>
      </x:c>
    </x:row>
    <x:row r="625" ht="86.4000015258789" hidden="0" customHeight="1">
      <x:c r="A625" s="36" t="str">
        <x:v>48201432006</x:v>
      </x:c>
      <x:c r="B625" s="63" t="n">
        <x:v>2264</x:v>
      </x:c>
      <x:c r="C625" s="63" t="n">
        <x:v>92</x:v>
      </x:c>
      <x:c r="D625" s="63" t="n">
        <x:v>433</x:v>
      </x:c>
      <x:c r="E625" s="45" t="n">
        <x:v>0.04063604240282685</x:v>
      </x:c>
      <x:c r="F625" s="45" t="n">
        <x:v>0.19125441696113074</x:v>
      </x:c>
      <x:c r="G625" s="66" t="n">
        <x:v>1251</x:v>
      </x:c>
      <x:c r="H625" s="66" t="n">
        <x:v>869</x:v>
      </x:c>
      <x:c r="I625" s="66" t="n">
        <x:v>0.6946442845723422</x:v>
      </x:c>
      <x:c r="J625" s="36" t="str">
        <x:v>low</x:v>
      </x:c>
      <x:c r="K625" s="72" t="n">
        <x:v>29.7345738</x:v>
      </x:c>
      <x:c r="L625" s="72" t="n">
        <x:v>-95.49828</x:v>
      </x:c>
      <x:c r="M625" s="72" t="n">
        <x:v>0.135</x:v>
      </x:c>
      <x:c r="N625" s="72" t="n">
        <x:v>0.07210200966308768</x:v>
      </x:c>
      <x:c r="O625" s="72" t="n">
        <x:v>20.233449447910907</x:v>
      </x:c>
      <x:c r="P625" s="72" t="n">
        <x:v>3</x:v>
      </x:c>
      <x:c r="Q625" s="72" t="n">
        <x:v>182.78894892796535</x:v>
      </x:c>
      <x:c r="R625" s="36" t="str">
        <x:v>tract internal point; no person, address, building, parcel, or route condition</x:v>
      </x:c>
    </x:row>
    <x:row r="626" ht="86.4000015258789" hidden="0" customHeight="1">
      <x:c r="A626" s="34" t="str">
        <x:v>48201432101</x:v>
      </x:c>
      <x:c r="B626" s="62" t="n">
        <x:v>3152</x:v>
      </x:c>
      <x:c r="C626" s="62" t="n">
        <x:v>160</x:v>
      </x:c>
      <x:c r="D626" s="62" t="n">
        <x:v>397</x:v>
      </x:c>
      <x:c r="E626" s="43" t="n">
        <x:v>0.050761421319796954</x:v>
      </x:c>
      <x:c r="F626" s="43" t="n">
        <x:v>0.1259517766497462</x:v>
      </x:c>
      <x:c r="G626" s="65" t="n">
        <x:v>1649</x:v>
      </x:c>
      <x:c r="H626" s="65" t="n">
        <x:v>774</x:v>
      </x:c>
      <x:c r="I626" s="65" t="n">
        <x:v>0.4693753790175864</x:v>
      </x:c>
      <x:c r="J626" s="34" t="str">
        <x:v>low</x:v>
      </x:c>
      <x:c r="K626" s="71" t="n">
        <x:v>29.7333477</x:v>
      </x:c>
      <x:c r="L626" s="71" t="n">
        <x:v>-95.517431</x:v>
      </x:c>
      <x:c r="M626" s="71" t="n">
        <x:v>0.221</x:v>
      </x:c>
      <x:c r="N626" s="71" t="n">
        <x:v>0.17354377948779237</x:v>
      </x:c>
      <x:c r="O626" s="71" t="n">
        <x:v>23.482964451098127</x:v>
      </x:c>
      <x:c r="P626" s="71" t="n">
        <x:v>3</x:v>
      </x:c>
      <x:c r="Q626" s="71" t="n">
        <x:v>253.3674741622229</x:v>
      </x:c>
      <x:c r="R626" s="34" t="str">
        <x:v>tract internal point; no person, address, building, parcel, or route condition</x:v>
      </x:c>
    </x:row>
    <x:row r="627" ht="86.4000015258789" hidden="0" customHeight="1">
      <x:c r="A627" s="36" t="str">
        <x:v>48201432102</x:v>
      </x:c>
      <x:c r="B627" s="63" t="n">
        <x:v>4778</x:v>
      </x:c>
      <x:c r="C627" s="63" t="n">
        <x:v>232</x:v>
      </x:c>
      <x:c r="D627" s="63" t="n">
        <x:v>909.5</x:v>
      </x:c>
      <x:c r="E627" s="45" t="n">
        <x:v>0.04855588112180829</x:v>
      </x:c>
      <x:c r="F627" s="45" t="n">
        <x:v>0.19035161155295102</x:v>
      </x:c>
      <x:c r="G627" s="66" t="n">
        <x:v>2218</x:v>
      </x:c>
      <x:c r="H627" s="66" t="n">
        <x:v>1310</x:v>
      </x:c>
      <x:c r="I627" s="66" t="n">
        <x:v>0.5906221821460775</x:v>
      </x:c>
      <x:c r="J627" s="36" t="str">
        <x:v>low</x:v>
      </x:c>
      <x:c r="K627" s="72" t="n">
        <x:v>29.7337526</x:v>
      </x:c>
      <x:c r="L627" s="72" t="n">
        <x:v>-95.5079975</x:v>
      </x:c>
      <x:c r="M627" s="72" t="n">
        <x:v>0.398</x:v>
      </x:c>
      <x:c r="N627" s="72" t="n">
        <x:v>0.07241154094730606</x:v>
      </x:c>
      <x:c r="O627" s="72" t="n">
        <x:v>20.97974090540871</x:v>
      </x:c>
      <x:c r="P627" s="72" t="n">
        <x:v>3</x:v>
      </x:c>
      <x:c r="Q627" s="72" t="n">
        <x:v>386.32311136994207</x:v>
      </x:c>
      <x:c r="R627" s="36" t="str">
        <x:v>tract internal point; no person, address, building, parcel, or route condition</x:v>
      </x:c>
    </x:row>
    <x:row r="628" ht="86.4000015258789" hidden="0" customHeight="1">
      <x:c r="A628" s="34" t="str">
        <x:v>48201432200</x:v>
      </x:c>
      <x:c r="B628" s="62" t="n">
        <x:v>3865</x:v>
      </x:c>
      <x:c r="C628" s="62" t="n">
        <x:v>247</x:v>
      </x:c>
      <x:c r="D628" s="62" t="n">
        <x:v>197</x:v>
      </x:c>
      <x:c r="E628" s="43" t="n">
        <x:v>0.06390685640362224</x:v>
      </x:c>
      <x:c r="F628" s="43" t="n">
        <x:v>0.050970245795601554</x:v>
      </x:c>
      <x:c r="G628" s="65" t="n">
        <x:v>2118</x:v>
      </x:c>
      <x:c r="H628" s="65" t="n">
        <x:v>755</x:v>
      </x:c>
      <x:c r="I628" s="65" t="n">
        <x:v>0.35646836638338053</x:v>
      </x:c>
      <x:c r="J628" s="34" t="str">
        <x:v>low</x:v>
      </x:c>
      <x:c r="K628" s="71" t="n">
        <x:v>29.7329622</x:v>
      </x:c>
      <x:c r="L628" s="71" t="n">
        <x:v>-95.5301033</x:v>
      </x:c>
      <x:c r="M628" s="71" t="n">
        <x:v>0.647</x:v>
      </x:c>
      <x:c r="N628" s="71" t="n">
        <x:v>0.13614667810965836</x:v>
      </x:c>
      <x:c r="O628" s="71" t="n">
        <x:v>22.587566809634005</x:v>
      </x:c>
      <x:c r="P628" s="71" t="n">
        <x:v>3</x:v>
      </x:c>
      <x:c r="Q628" s="71" t="n">
        <x:v>309.20153243217453</x:v>
      </x:c>
      <x:c r="R628" s="34" t="str">
        <x:v>tract internal point; no person, address, building, parcel, or route condition</x:v>
      </x:c>
    </x:row>
    <x:row r="629" ht="86.4000015258789" hidden="0" customHeight="1">
      <x:c r="A629" s="36" t="str">
        <x:v>48201432301</x:v>
      </x:c>
      <x:c r="B629" s="63" t="n">
        <x:v>3510</x:v>
      </x:c>
      <x:c r="C629" s="63" t="n">
        <x:v>276</x:v>
      </x:c>
      <x:c r="D629" s="63" t="n">
        <x:v>334</x:v>
      </x:c>
      <x:c r="E629" s="45" t="n">
        <x:v>0.07863247863247863</x:v>
      </x:c>
      <x:c r="F629" s="45" t="n">
        <x:v>0.09515669515669516</x:v>
      </x:c>
      <x:c r="G629" s="66" t="n">
        <x:v>2016</x:v>
      </x:c>
      <x:c r="H629" s="66" t="n">
        <x:v>359</x:v>
      </x:c>
      <x:c r="I629" s="66" t="n">
        <x:v>0.17807539682539683</x:v>
      </x:c>
      <x:c r="J629" s="36" t="str">
        <x:v>low</x:v>
      </x:c>
      <x:c r="K629" s="72" t="n">
        <x:v>29.7324592</x:v>
      </x:c>
      <x:c r="L629" s="72" t="n">
        <x:v>-95.5413274</x:v>
      </x:c>
      <x:c r="M629" s="72" t="n">
        <x:v>0.165</x:v>
      </x:c>
      <x:c r="N629" s="72" t="n">
        <x:v>0.02184022617566906</x:v>
      </x:c>
      <x:c r="O629" s="72" t="n">
        <x:v>20.89501058508339</x:v>
      </x:c>
      <x:c r="P629" s="72" t="n">
        <x:v>3</x:v>
      </x:c>
      <x:c r="Q629" s="72" t="n">
        <x:v>282.8328295189302</x:v>
      </x:c>
      <x:c r="R629" s="36" t="str">
        <x:v>tract internal point; no person, address, building, parcel, or route condition</x:v>
      </x:c>
    </x:row>
    <x:row r="630" ht="86.4000015258789" hidden="0" customHeight="1">
      <x:c r="A630" s="34" t="str">
        <x:v>48201432302</x:v>
      </x:c>
      <x:c r="B630" s="62" t="n">
        <x:v>2116</x:v>
      </x:c>
      <x:c r="C630" s="62" t="n">
        <x:v>155</x:v>
      </x:c>
      <x:c r="D630" s="62" t="n">
        <x:v>163.5</x:v>
      </x:c>
      <x:c r="E630" s="43" t="n">
        <x:v>0.07325141776937619</x:v>
      </x:c>
      <x:c r="F630" s="43" t="n">
        <x:v>0.07726843100189036</x:v>
      </x:c>
      <x:c r="G630" s="65" t="n">
        <x:v>1105</x:v>
      </x:c>
      <x:c r="H630" s="65" t="n">
        <x:v>482</x:v>
      </x:c>
      <x:c r="I630" s="65" t="n">
        <x:v>0.43619909502262444</x:v>
      </x:c>
      <x:c r="J630" s="34" t="str">
        <x:v>low</x:v>
      </x:c>
      <x:c r="K630" s="71" t="n">
        <x:v>29.7308302</x:v>
      </x:c>
      <x:c r="L630" s="71" t="n">
        <x:v>-95.5462955</x:v>
      </x:c>
      <x:c r="M630" s="71" t="n">
        <x:v>0.097</x:v>
      </x:c>
      <x:c r="N630" s="71" t="n">
        <x:v>0.2233945548374331</x:v>
      </x:c>
      <x:c r="O630" s="71" t="n">
        <x:v>21.407920862991272</x:v>
      </x:c>
      <x:c r="P630" s="71" t="n">
        <x:v>3</x:v>
      </x:c>
      <x:c r="Q630" s="71" t="n">
        <x:v>170.0290117656249</x:v>
      </x:c>
      <x:c r="R630" s="34" t="str">
        <x:v>tract internal point; no person, address, building, parcel, or route condition</x:v>
      </x:c>
    </x:row>
    <x:row r="631" ht="86.4000015258789" hidden="0" customHeight="1">
      <x:c r="A631" s="36" t="str">
        <x:v>48201432303</x:v>
      </x:c>
      <x:c r="B631" s="63" t="n">
        <x:v>2778</x:v>
      </x:c>
      <x:c r="C631" s="63" t="n">
        <x:v>103</x:v>
      </x:c>
      <x:c r="D631" s="63" t="n">
        <x:v>184</x:v>
      </x:c>
      <x:c r="E631" s="45" t="n">
        <x:v>0.037077033837293015</x:v>
      </x:c>
      <x:c r="F631" s="45" t="n">
        <x:v>0.06623470122390208</x:v>
      </x:c>
      <x:c r="G631" s="66" t="n">
        <x:v>1493</x:v>
      </x:c>
      <x:c r="H631" s="66" t="n">
        <x:v>1026</x:v>
      </x:c>
      <x:c r="I631" s="66" t="n">
        <x:v>0.6872069658405894</x:v>
      </x:c>
      <x:c r="J631" s="36" t="str">
        <x:v>low</x:v>
      </x:c>
      <x:c r="K631" s="72" t="n">
        <x:v>29.7330116</x:v>
      </x:c>
      <x:c r="L631" s="72" t="n">
        <x:v>-95.5517775</x:v>
      </x:c>
      <x:c r="M631" s="72" t="n">
        <x:v>0.414</x:v>
      </x:c>
      <x:c r="N631" s="72" t="n">
        <x:v>0.013030321320381462</x:v>
      </x:c>
      <x:c r="O631" s="72" t="n">
        <x:v>19.6592811586293</x:v>
      </x:c>
      <x:c r="P631" s="72" t="n">
        <x:v>3</x:v>
      </x:c>
      <x:c r="Q631" s="72" t="n">
        <x:v>221.4027901836343</x:v>
      </x:c>
      <x:c r="R631" s="36" t="str">
        <x:v>tract internal point; no person, address, building, parcel, or route condition</x:v>
      </x:c>
    </x:row>
    <x:row r="632" ht="86.4000015258789" hidden="0" customHeight="1">
      <x:c r="A632" s="34" t="str">
        <x:v>48201432401</x:v>
      </x:c>
      <x:c r="B632" s="62" t="n">
        <x:v>3781</x:v>
      </x:c>
      <x:c r="C632" s="62" t="n">
        <x:v>286</x:v>
      </x:c>
      <x:c r="D632" s="62" t="n">
        <x:v>56</x:v>
      </x:c>
      <x:c r="E632" s="43" t="n">
        <x:v>0.07564136471832848</x:v>
      </x:c>
      <x:c r="F632" s="43" t="n">
        <x:v>0.014810896588204179</x:v>
      </x:c>
      <x:c r="G632" s="65" t="n">
        <x:v>1916</x:v>
      </x:c>
      <x:c r="H632" s="65" t="n">
        <x:v>436</x:v>
      </x:c>
      <x:c r="I632" s="65" t="n">
        <x:v>0.22755741127348644</x:v>
      </x:c>
      <x:c r="J632" s="34" t="str">
        <x:v>low</x:v>
      </x:c>
      <x:c r="K632" s="71" t="n">
        <x:v>29.7231758</x:v>
      </x:c>
      <x:c r="L632" s="71" t="n">
        <x:v>-95.5432705</x:v>
      </x:c>
      <x:c r="M632" s="71" t="n">
        <x:v>0.275</x:v>
      </x:c>
      <x:c r="N632" s="71" t="n">
        <x:v>0.011298404863122842</x:v>
      </x:c>
      <x:c r="O632" s="71" t="n">
        <x:v>19.52629122246105</x:v>
      </x:c>
      <x:c r="P632" s="71" t="n">
        <x:v>3</x:v>
      </x:c>
      <x:c r="Q632" s="71" t="n">
        <x:v>302.1043822889079</x:v>
      </x:c>
      <x:c r="R632" s="34" t="str">
        <x:v>tract internal point; no person, address, building, parcel, or route condition</x:v>
      </x:c>
    </x:row>
    <x:row r="633" ht="86.4000015258789" hidden="0" customHeight="1">
      <x:c r="A633" s="36" t="str">
        <x:v>48201432402</x:v>
      </x:c>
      <x:c r="B633" s="63" t="n">
        <x:v>2948</x:v>
      </x:c>
      <x:c r="C633" s="63" t="n">
        <x:v>357</x:v>
      </x:c>
      <x:c r="D633" s="63" t="n">
        <x:v>369</x:v>
      </x:c>
      <x:c r="E633" s="45" t="n">
        <x:v>0.12109905020352782</x:v>
      </x:c>
      <x:c r="F633" s="45" t="n">
        <x:v>0.1251696065128901</x:v>
      </x:c>
      <x:c r="G633" s="66" t="n">
        <x:v>1631</x:v>
      </x:c>
      <x:c r="H633" s="66" t="n">
        <x:v>1284</x:v>
      </x:c>
      <x:c r="I633" s="66" t="n">
        <x:v>0.7872470876762723</x:v>
      </x:c>
      <x:c r="J633" s="36" t="str">
        <x:v>low</x:v>
      </x:c>
      <x:c r="K633" s="72" t="n">
        <x:v>29.7238351</x:v>
      </x:c>
      <x:c r="L633" s="72" t="n">
        <x:v>-95.5519751</x:v>
      </x:c>
      <x:c r="M633" s="72" t="n">
        <x:v>0.425</x:v>
      </x:c>
      <x:c r="N633" s="72" t="n">
        <x:v>0.0932752656488409</x:v>
      </x:c>
      <x:c r="O633" s="72" t="n">
        <x:v>18.944853556537005</x:v>
      </x:c>
      <x:c r="P633" s="72" t="n">
        <x:v>3</x:v>
      </x:c>
      <x:c r="Q633" s="72" t="n">
        <x:v>240.21063103948936</x:v>
      </x:c>
      <x:c r="R633" s="36" t="str">
        <x:v>tract internal point; no person, address, building, parcel, or route condition</x:v>
      </x:c>
    </x:row>
    <x:row r="634" ht="86.4000015258789" hidden="0" customHeight="1">
      <x:c r="A634" s="34" t="str">
        <x:v>48201432501</x:v>
      </x:c>
      <x:c r="B634" s="62" t="n">
        <x:v>3587</x:v>
      </x:c>
      <x:c r="C634" s="62" t="n">
        <x:v>179</x:v>
      </x:c>
      <x:c r="D634" s="62" t="n">
        <x:v>49</x:v>
      </x:c>
      <x:c r="E634" s="43" t="n">
        <x:v>0.04990242542514636</x:v>
      </x:c>
      <x:c r="F634" s="43" t="n">
        <x:v>0.01366044047950934</x:v>
      </x:c>
      <x:c r="G634" s="65" t="n">
        <x:v>1716</x:v>
      </x:c>
      <x:c r="H634" s="65" t="n">
        <x:v>225</x:v>
      </x:c>
      <x:c r="I634" s="65" t="n">
        <x:v>0.13111888111888112</x:v>
      </x:c>
      <x:c r="J634" s="34" t="str">
        <x:v>low</x:v>
      </x:c>
      <x:c r="K634" s="71" t="n">
        <x:v>29.7243764</x:v>
      </x:c>
      <x:c r="L634" s="71" t="n">
        <x:v>-95.534001</x:v>
      </x:c>
      <x:c r="M634" s="71" t="n">
        <x:v>0.354</x:v>
      </x:c>
      <x:c r="N634" s="71" t="n">
        <x:v>0.042425429402540585</x:v>
      </x:c>
      <x:c r="O634" s="71" t="n">
        <x:v>20.30004830243279</x:v>
      </x:c>
      <x:c r="P634" s="71" t="n">
        <x:v>3</x:v>
      </x:c>
      <x:c r="Q634" s="71" t="n">
        <x:v>285.11995099367067</x:v>
      </x:c>
      <x:c r="R634" s="34" t="str">
        <x:v>tract internal point; no person, address, building, parcel, or route condition</x:v>
      </x:c>
    </x:row>
    <x:row r="635" ht="86.4000015258789" hidden="0" customHeight="1">
      <x:c r="A635" s="36" t="str">
        <x:v>48201432502</x:v>
      </x:c>
      <x:c r="B635" s="63" t="n">
        <x:v>1927</x:v>
      </x:c>
      <x:c r="C635" s="63" t="n">
        <x:v>113</x:v>
      </x:c>
      <x:c r="D635" s="63" t="n">
        <x:v>199</x:v>
      </x:c>
      <x:c r="E635" s="45" t="n">
        <x:v>0.05864037363777893</x:v>
      </x:c>
      <x:c r="F635" s="45" t="n">
        <x:v>0.10326933056564608</x:v>
      </x:c>
      <x:c r="G635" s="66" t="n">
        <x:v>939</x:v>
      </x:c>
      <x:c r="H635" s="66" t="n">
        <x:v>338</x:v>
      </x:c>
      <x:c r="I635" s="66" t="n">
        <x:v>0.3599574014909478</x:v>
      </x:c>
      <x:c r="J635" s="36" t="str">
        <x:v>low</x:v>
      </x:c>
      <x:c r="K635" s="72" t="n">
        <x:v>29.7249143</x:v>
      </x:c>
      <x:c r="L635" s="72" t="n">
        <x:v>-95.5248404</x:v>
      </x:c>
      <x:c r="M635" s="72" t="n">
        <x:v>0.288</x:v>
      </x:c>
      <x:c r="N635" s="72" t="n">
        <x:v>0.028937391391243465</x:v>
      </x:c>
      <x:c r="O635" s="72" t="n">
        <x:v>20.425647580312756</x:v>
      </x:c>
      <x:c r="P635" s="72" t="n">
        <x:v>3</x:v>
      </x:c>
      <x:c r="Q635" s="72" t="n">
        <x:v>154.79332455330768</x:v>
      </x:c>
      <x:c r="R635" s="36" t="str">
        <x:v>tract internal point; no person, address, building, parcel, or route condition</x:v>
      </x:c>
    </x:row>
    <x:row r="636" ht="86.4000015258789" hidden="0" customHeight="1">
      <x:c r="A636" s="34" t="str">
        <x:v>48201432600</x:v>
      </x:c>
      <x:c r="B636" s="62" t="n">
        <x:v>2206</x:v>
      </x:c>
      <x:c r="C636" s="62" t="n">
        <x:v>242</x:v>
      </x:c>
      <x:c r="D636" s="62" t="n">
        <x:v>207</x:v>
      </x:c>
      <x:c r="E636" s="43" t="n">
        <x:v>0.10970081595648232</x:v>
      </x:c>
      <x:c r="F636" s="43" t="n">
        <x:v>0.09383499546690843</x:v>
      </x:c>
      <x:c r="G636" s="65" t="n">
        <x:v>1053</x:v>
      </x:c>
      <x:c r="H636" s="65" t="n">
        <x:v>110</x:v>
      </x:c>
      <x:c r="I636" s="65" t="n">
        <x:v>0.10446343779677113</x:v>
      </x:c>
      <x:c r="J636" s="34" t="str">
        <x:v>low</x:v>
      </x:c>
      <x:c r="K636" s="71" t="n">
        <x:v>29.7259349</x:v>
      </x:c>
      <x:c r="L636" s="71" t="n">
        <x:v>-95.5106411</x:v>
      </x:c>
      <x:c r="M636" s="71" t="n">
        <x:v>0.627</x:v>
      </x:c>
      <x:c r="N636" s="71" t="n">
        <x:v>0.02148631898401616</x:v>
      </x:c>
      <x:c r="O636" s="71" t="n">
        <x:v>20.082003057230413</x:v>
      </x:c>
      <x:c r="P636" s="71" t="n">
        <x:v>3</x:v>
      </x:c>
      <x:c r="Q636" s="71" t="n">
        <x:v>178.8120298000662</x:v>
      </x:c>
      <x:c r="R636" s="34" t="str">
        <x:v>tract internal point; no person, address, building, parcel, or route condition</x:v>
      </x:c>
    </x:row>
    <x:row r="637" ht="86.4000015258789" hidden="0" customHeight="1">
      <x:c r="A637" s="36" t="str">
        <x:v>48201432703</x:v>
      </x:c>
      <x:c r="B637" s="63" t="n">
        <x:v>2048</x:v>
      </x:c>
      <x:c r="C637" s="63" t="n">
        <x:v>110</x:v>
      </x:c>
      <x:c r="D637" s="63" t="n">
        <x:v>18</x:v>
      </x:c>
      <x:c r="E637" s="45" t="n">
        <x:v>0.0537109375</x:v>
      </x:c>
      <x:c r="F637" s="45" t="n">
        <x:v>0.0087890625</x:v>
      </x:c>
      <x:c r="G637" s="66" t="n">
        <x:v>1357</x:v>
      </x:c>
      <x:c r="H637" s="66" t="n">
        <x:v>841</x:v>
      </x:c>
      <x:c r="I637" s="66" t="n">
        <x:v>0.6197494473102432</x:v>
      </x:c>
      <x:c r="J637" s="36" t="str">
        <x:v>low</x:v>
      </x:c>
      <x:c r="K637" s="72" t="n">
        <x:v>29.7288262</x:v>
      </x:c>
      <x:c r="L637" s="72" t="n">
        <x:v>-95.472348</x:v>
      </x:c>
      <x:c r="M637" s="72" t="n">
        <x:v>0.182</x:v>
      </x:c>
      <x:c r="N637" s="72" t="n">
        <x:v>0.023786054986382126</x:v>
      </x:c>
      <x:c r="O637" s="72" t="n">
        <x:v>16.56857729250268</x:v>
      </x:c>
      <x:c r="P637" s="72" t="n">
        <x:v>3</x:v>
      </x:c>
      <x:c r="Q637" s="72" t="n">
        <x:v>162.83361757275597</x:v>
      </x:c>
      <x:c r="R637" s="36" t="str">
        <x:v>tract internal point; no person, address, building, parcel, or route condition</x:v>
      </x:c>
    </x:row>
    <x:row r="638" ht="86.4000015258789" hidden="0" customHeight="1">
      <x:c r="A638" s="34" t="str">
        <x:v>48201432704</x:v>
      </x:c>
      <x:c r="B638" s="62" t="n">
        <x:v>1742</x:v>
      </x:c>
      <x:c r="C638" s="62" t="n">
        <x:v>104</x:v>
      </x:c>
      <x:c r="D638" s="62" t="n">
        <x:v>229</x:v>
      </x:c>
      <x:c r="E638" s="43" t="n">
        <x:v>0.05970149253731343</x:v>
      </x:c>
      <x:c r="F638" s="43" t="n">
        <x:v>0.1314580941446613</x:v>
      </x:c>
      <x:c r="G638" s="65" t="n">
        <x:v>678</x:v>
      </x:c>
      <x:c r="H638" s="65" t="n">
        <x:v>437</x:v>
      </x:c>
      <x:c r="I638" s="65" t="n">
        <x:v>0.644542772861357</x:v>
      </x:c>
      <x:c r="J638" s="34" t="str">
        <x:v>low</x:v>
      </x:c>
      <x:c r="K638" s="71" t="n">
        <x:v>29.7288877</x:v>
      </x:c>
      <x:c r="L638" s="71" t="n">
        <x:v>-95.4822382</x:v>
      </x:c>
      <x:c r="M638" s="71" t="n">
        <x:v>0.264</x:v>
      </x:c>
      <x:c r="N638" s="71" t="n">
        <x:v>0.14433150457381527</x:v>
      </x:c>
      <x:c r="O638" s="71" t="n">
        <x:v>18.068231378904482</x:v>
      </x:c>
      <x:c r="P638" s="71" t="n">
        <x:v>3</x:v>
      </x:c>
      <x:c r="Q638" s="71" t="n">
        <x:v>140.34751949979258</x:v>
      </x:c>
      <x:c r="R638" s="34" t="str">
        <x:v>tract internal point; no person, address, building, parcel, or route condition</x:v>
      </x:c>
    </x:row>
    <x:row r="639" ht="86.4000015258789" hidden="0" customHeight="1">
      <x:c r="A639" s="36" t="str">
        <x:v>48201432705</x:v>
      </x:c>
      <x:c r="B639" s="63" t="n">
        <x:v>5242</x:v>
      </x:c>
      <x:c r="C639" s="63" t="n">
        <x:v>232</x:v>
      </x:c>
      <x:c r="D639" s="63" t="n">
        <x:v>1397.5</x:v>
      </x:c>
      <x:c r="E639" s="45" t="n">
        <x:v>0.04425791682563907</x:v>
      </x:c>
      <x:c r="F639" s="45" t="n">
        <x:v>0.26659671880961466</x:v>
      </x:c>
      <x:c r="G639" s="66" t="n">
        <x:v>1785</x:v>
      </x:c>
      <x:c r="H639" s="66" t="n">
        <x:v>1220</x:v>
      </x:c>
      <x:c r="I639" s="66" t="n">
        <x:v>0.6834733893557423</x:v>
      </x:c>
      <x:c r="J639" s="36" t="str">
        <x:v>low</x:v>
      </x:c>
      <x:c r="K639" s="72" t="n">
        <x:v>29.7253976</x:v>
      </x:c>
      <x:c r="L639" s="72" t="n">
        <x:v>-95.4962756</x:v>
      </x:c>
      <x:c r="M639" s="72" t="n">
        <x:v>0.182</x:v>
      </x:c>
      <x:c r="N639" s="72" t="n">
        <x:v>0.05162647098448672</x:v>
      </x:c>
      <x:c r="O639" s="72" t="n">
        <x:v>18.87670213680743</x:v>
      </x:c>
      <x:c r="P639" s="72" t="n">
        <x:v>3</x:v>
      </x:c>
      <x:c r="Q639" s="72" t="n">
        <x:v>426.6267502787698</x:v>
      </x:c>
      <x:c r="R639" s="36" t="str">
        <x:v>tract internal point; no person, address, building, parcel, or route condition</x:v>
      </x:c>
    </x:row>
    <x:row r="640" ht="86.4000015258789" hidden="0" customHeight="1">
      <x:c r="A640" s="34" t="str">
        <x:v>48201432706</x:v>
      </x:c>
      <x:c r="B640" s="62" t="n">
        <x:v>2243</x:v>
      </x:c>
      <x:c r="C640" s="62" t="n">
        <x:v>85</x:v>
      </x:c>
      <x:c r="D640" s="62" t="n">
        <x:v>585</x:v>
      </x:c>
      <x:c r="E640" s="43" t="n">
        <x:v>0.03789567543468569</x:v>
      </x:c>
      <x:c r="F640" s="43" t="n">
        <x:v>0.26081141328577795</x:v>
      </x:c>
      <x:c r="G640" s="65" t="n">
        <x:v>873</x:v>
      </x:c>
      <x:c r="H640" s="65" t="n">
        <x:v>350</x:v>
      </x:c>
      <x:c r="I640" s="65" t="n">
        <x:v>0.4009163802978236</x:v>
      </x:c>
      <x:c r="J640" s="34" t="str">
        <x:v>low</x:v>
      </x:c>
      <x:c r="K640" s="71" t="n">
        <x:v>29.7291733</x:v>
      </x:c>
      <x:c r="L640" s="71" t="n">
        <x:v>-95.4937956</x:v>
      </x:c>
      <x:c r="M640" s="71" t="n">
        <x:v>0.26</x:v>
      </x:c>
      <x:c r="N640" s="71" t="n">
        <x:v>0.12979812256570486</x:v>
      </x:c>
      <x:c r="O640" s="71" t="n">
        <x:v>18.978357273499544</x:v>
      </x:c>
      <x:c r="P640" s="71" t="n">
        <x:v>3</x:v>
      </x:c>
      <x:c r="Q640" s="71" t="n">
        <x:v>182.22306320225636</x:v>
      </x:c>
      <x:c r="R640" s="34" t="str">
        <x:v>tract internal point; no person, address, building, parcel, or route condition</x:v>
      </x:c>
    </x:row>
    <x:row r="641" ht="86.4000015258789" hidden="0" customHeight="1">
      <x:c r="A641" s="36" t="str">
        <x:v>48201432803</x:v>
      </x:c>
      <x:c r="B641" s="63" t="n">
        <x:v>2577</x:v>
      </x:c>
      <x:c r="C641" s="63" t="n">
        <x:v>122</x:v>
      </x:c>
      <x:c r="D641" s="63" t="n">
        <x:v>275</x:v>
      </x:c>
      <x:c r="E641" s="45" t="n">
        <x:v>0.0473418703919286</x:v>
      </x:c>
      <x:c r="F641" s="45" t="n">
        <x:v>0.10671323244082266</x:v>
      </x:c>
      <x:c r="G641" s="66" t="n">
        <x:v>1352</x:v>
      </x:c>
      <x:c r="H641" s="66" t="n">
        <x:v>487</x:v>
      </x:c>
      <x:c r="I641" s="66" t="n">
        <x:v>0.36020710059171596</x:v>
      </x:c>
      <x:c r="J641" s="36" t="str">
        <x:v>low</x:v>
      </x:c>
      <x:c r="K641" s="72" t="n">
        <x:v>29.715307</x:v>
      </x:c>
      <x:c r="L641" s="72" t="n">
        <x:v>-95.5169058</x:v>
      </x:c>
      <x:c r="M641" s="72" t="n">
        <x:v>0.125</x:v>
      </x:c>
      <x:c r="N641" s="72" t="n">
        <x:v>0.11107526914192134</x:v>
      </x:c>
      <x:c r="O641" s="72" t="n">
        <x:v>20.271702031646164</x:v>
      </x:c>
      <x:c r="P641" s="72" t="n">
        <x:v>3</x:v>
      </x:c>
      <x:c r="Q641" s="72" t="n">
        <x:v>206.61902559948746</x:v>
      </x:c>
      <x:c r="R641" s="36" t="str">
        <x:v>tract internal point; no person, address, building, parcel, or route condition</x:v>
      </x:c>
    </x:row>
    <x:row r="642" ht="86.4000015258789" hidden="0" customHeight="1">
      <x:c r="A642" s="34" t="str">
        <x:v>48201432804</x:v>
      </x:c>
      <x:c r="B642" s="62" t="n">
        <x:v>2011</x:v>
      </x:c>
      <x:c r="C642" s="62" t="n">
        <x:v>116</x:v>
      </x:c>
      <x:c r="D642" s="62" t="n">
        <x:v>266.5</x:v>
      </x:c>
      <x:c r="E642" s="43" t="n">
        <x:v>0.057682744903033316</x:v>
      </x:c>
      <x:c r="F642" s="43" t="n">
        <x:v>0.13252113376429636</x:v>
      </x:c>
      <x:c r="G642" s="65" t="n">
        <x:v>971</x:v>
      </x:c>
      <x:c r="H642" s="65" t="n">
        <x:v>185</x:v>
      </x:c>
      <x:c r="I642" s="65" t="n">
        <x:v>0.19052523171987643</x:v>
      </x:c>
      <x:c r="J642" s="34" t="str">
        <x:v>low</x:v>
      </x:c>
      <x:c r="K642" s="71" t="n">
        <x:v>29.7183288</x:v>
      </x:c>
      <x:c r="L642" s="71" t="n">
        <x:v>-95.5067597</x:v>
      </x:c>
      <x:c r="M642" s="71" t="n">
        <x:v>0.75</x:v>
      </x:c>
      <x:c r="N642" s="71" t="n">
        <x:v>0.030093881504933032</x:v>
      </x:c>
      <x:c r="O642" s="71" t="n">
        <x:v>19.34299135104731</x:v>
      </x:c>
      <x:c r="P642" s="71" t="n">
        <x:v>3</x:v>
      </x:c>
      <x:c r="Q642" s="71" t="n">
        <x:v>161.97299969824024</x:v>
      </x:c>
      <x:c r="R642" s="34" t="str">
        <x:v>tract internal point; no person, address, building, parcel, or route condition</x:v>
      </x:c>
    </x:row>
    <x:row r="643" ht="86.4000015258789" hidden="0" customHeight="1">
      <x:c r="A643" s="36" t="str">
        <x:v>48201432805</x:v>
      </x:c>
      <x:c r="B643" s="63" t="n">
        <x:v>2473</x:v>
      </x:c>
      <x:c r="C643" s="63" t="n">
        <x:v>115</x:v>
      </x:c>
      <x:c r="D643" s="63" t="n">
        <x:v>659</x:v>
      </x:c>
      <x:c r="E643" s="45" t="n">
        <x:v>0.04650222401940962</x:v>
      </x:c>
      <x:c r="F643" s="45" t="n">
        <x:v>0.2664779619894865</x:v>
      </x:c>
      <x:c r="G643" s="66" t="n">
        <x:v>872</x:v>
      </x:c>
      <x:c r="H643" s="66" t="n">
        <x:v>265</x:v>
      </x:c>
      <x:c r="I643" s="66" t="n">
        <x:v>0.3038990825688073</x:v>
      </x:c>
      <x:c r="J643" s="36" t="str">
        <x:v>low</x:v>
      </x:c>
      <x:c r="K643" s="72" t="n">
        <x:v>29.7068143</x:v>
      </x:c>
      <x:c r="L643" s="72" t="n">
        <x:v>-95.5169389</x:v>
      </x:c>
      <x:c r="M643" s="72" t="n">
        <x:v>0.34</x:v>
      </x:c>
      <x:c r="N643" s="72" t="n">
        <x:v>0.11584267384364622</x:v>
      </x:c>
      <x:c r="O643" s="72" t="n">
        <x:v>18.25037622914369</x:v>
      </x:c>
      <x:c r="P643" s="72" t="n">
        <x:v>3</x:v>
      </x:c>
      <x:c r="Q643" s="72" t="n">
        <x:v>201.35314454080677</x:v>
      </x:c>
      <x:c r="R643" s="36" t="str">
        <x:v>tract internal point; no person, address, building, parcel, or route condition</x:v>
      </x:c>
    </x:row>
    <x:row r="644" ht="86.4000015258789" hidden="0" customHeight="1">
      <x:c r="A644" s="34" t="str">
        <x:v>48201432806</x:v>
      </x:c>
      <x:c r="B644" s="62" t="n">
        <x:v>4169</x:v>
      </x:c>
      <x:c r="C644" s="62" t="n">
        <x:v>639</x:v>
      </x:c>
      <x:c r="D644" s="62" t="n">
        <x:v>1337</x:v>
      </x:c>
      <x:c r="E644" s="43" t="n">
        <x:v>0.1532741664667786</x:v>
      </x:c>
      <x:c r="F644" s="43" t="n">
        <x:v>0.3207004077716479</x:v>
      </x:c>
      <x:c r="G644" s="65" t="n">
        <x:v>2172</x:v>
      </x:c>
      <x:c r="H644" s="65" t="n">
        <x:v>1154</x:v>
      </x:c>
      <x:c r="I644" s="65" t="n">
        <x:v>0.5313075506445673</x:v>
      </x:c>
      <x:c r="J644" s="34" t="str">
        <x:v>low</x:v>
      </x:c>
      <x:c r="K644" s="71" t="n">
        <x:v>29.7110597</x:v>
      </x:c>
      <x:c r="L644" s="71" t="n">
        <x:v>-95.5124738</x:v>
      </x:c>
      <x:c r="M644" s="71" t="n">
        <x:v>0.16</x:v>
      </x:c>
      <x:c r="N644" s="71" t="n">
        <x:v>0.10780455325328044</x:v>
      </x:c>
      <x:c r="O644" s="71" t="n">
        <x:v>19.258450503555096</x:v>
      </x:c>
      <x:c r="P644" s="71" t="n">
        <x:v>3</x:v>
      </x:c>
      <x:c r="Q644" s="71" t="n">
        <x:v>348.21620941022076</x:v>
      </x:c>
      <x:c r="R644" s="34" t="str">
        <x:v>tract internal point; no person, address, building, parcel, or route condition</x:v>
      </x:c>
    </x:row>
    <x:row r="645" ht="86.4000015258789" hidden="0" customHeight="1">
      <x:c r="A645" s="36" t="str">
        <x:v>48201432901</x:v>
      </x:c>
      <x:c r="B645" s="63" t="n">
        <x:v>3688</x:v>
      </x:c>
      <x:c r="C645" s="63" t="n">
        <x:v>314</x:v>
      </x:c>
      <x:c r="D645" s="63" t="n">
        <x:v>331</x:v>
      </x:c>
      <x:c r="E645" s="45" t="n">
        <x:v>0.0851409978308026</x:v>
      </x:c>
      <x:c r="F645" s="45" t="n">
        <x:v>0.08975054229934924</x:v>
      </x:c>
      <x:c r="G645" s="66" t="n">
        <x:v>1216</x:v>
      </x:c>
      <x:c r="H645" s="66" t="n">
        <x:v>276</x:v>
      </x:c>
      <x:c r="I645" s="66" t="n">
        <x:v>0.22697368421052633</x:v>
      </x:c>
      <x:c r="J645" s="36" t="str">
        <x:v>low</x:v>
      </x:c>
      <x:c r="K645" s="72" t="n">
        <x:v>29.7163167</x:v>
      </x:c>
      <x:c r="L645" s="72" t="n">
        <x:v>-95.5279431</x:v>
      </x:c>
      <x:c r="M645" s="72" t="n">
        <x:v>0.565</x:v>
      </x:c>
      <x:c r="N645" s="72" t="n">
        <x:v>0.07105460523386471</x:v>
      </x:c>
      <x:c r="O645" s="72" t="n">
        <x:v>20.742621879754406</x:v>
      </x:c>
      <x:c r="P645" s="72" t="n">
        <x:v>3</x:v>
      </x:c>
      <x:c r="Q645" s="72" t="n">
        <x:v>297.39652743196797</x:v>
      </x:c>
      <x:c r="R645" s="36" t="str">
        <x:v>tract internal point; no person, address, building, parcel, or route condition</x:v>
      </x:c>
    </x:row>
    <x:row r="646" ht="86.4000015258789" hidden="0" customHeight="1">
      <x:c r="A646" s="34" t="str">
        <x:v>48201432903</x:v>
      </x:c>
      <x:c r="B646" s="62" t="n">
        <x:v>2099</x:v>
      </x:c>
      <x:c r="C646" s="62" t="n">
        <x:v>198</x:v>
      </x:c>
      <x:c r="D646" s="62" t="n">
        <x:v>398.5</x:v>
      </x:c>
      <x:c r="E646" s="43" t="n">
        <x:v>0.09433063363506432</x:v>
      </x:c>
      <x:c r="F646" s="43" t="n">
        <x:v>0.1898523106241067</x:v>
      </x:c>
      <x:c r="G646" s="65" t="n">
        <x:v>851</x:v>
      </x:c>
      <x:c r="H646" s="65" t="n">
        <x:v>396</x:v>
      </x:c>
      <x:c r="I646" s="65" t="n">
        <x:v>0.46533490011750883</x:v>
      </x:c>
      <x:c r="J646" s="34" t="str">
        <x:v>low</x:v>
      </x:c>
      <x:c r="K646" s="71" t="n">
        <x:v>29.709988</x:v>
      </x:c>
      <x:c r="L646" s="71" t="n">
        <x:v>-95.5367366</x:v>
      </x:c>
      <x:c r="M646" s="71" t="n">
        <x:v>0.149</x:v>
      </x:c>
      <x:c r="N646" s="71" t="n">
        <x:v>0.0558812043701981</x:v>
      </x:c>
      <x:c r="O646" s="71" t="n">
        <x:v>20.079009846294884</x:v>
      </x:c>
      <x:c r="P646" s="71" t="n">
        <x:v>3</x:v>
      </x:c>
      <x:c r="Q646" s="71" t="n">
        <x:v>171.21579988482006</x:v>
      </x:c>
      <x:c r="R646" s="34" t="str">
        <x:v>tract internal point; no person, address, building, parcel, or route condition</x:v>
      </x:c>
    </x:row>
    <x:row r="647" ht="86.4000015258789" hidden="0" customHeight="1">
      <x:c r="A647" s="36" t="str">
        <x:v>48201432904</x:v>
      </x:c>
      <x:c r="B647" s="63" t="n">
        <x:v>3861</x:v>
      </x:c>
      <x:c r="C647" s="63" t="n">
        <x:v>363</x:v>
      </x:c>
      <x:c r="D647" s="63" t="n">
        <x:v>291.5</x:v>
      </x:c>
      <x:c r="E647" s="45" t="n">
        <x:v>0.09401709401709402</x:v>
      </x:c>
      <x:c r="F647" s="45" t="n">
        <x:v>0.0754985754985755</x:v>
      </x:c>
      <x:c r="G647" s="66" t="n">
        <x:v>1734</x:v>
      </x:c>
      <x:c r="H647" s="66" t="n">
        <x:v>357</x:v>
      </x:c>
      <x:c r="I647" s="66" t="n">
        <x:v>0.20588235294117646</x:v>
      </x:c>
      <x:c r="J647" s="36" t="str">
        <x:v>low</x:v>
      </x:c>
      <x:c r="K647" s="72" t="n">
        <x:v>29.7107157</x:v>
      </x:c>
      <x:c r="L647" s="72" t="n">
        <x:v>-95.5306045</x:v>
      </x:c>
      <x:c r="M647" s="72" t="n">
        <x:v>0.433</x:v>
      </x:c>
      <x:c r="N647" s="72" t="n">
        <x:v>0.15556068026749956</x:v>
      </x:c>
      <x:c r="O647" s="72" t="n">
        <x:v>19.887434018652403</x:v>
      </x:c>
      <x:c r="P647" s="72" t="n">
        <x:v>3</x:v>
      </x:c>
      <x:c r="Q647" s="72" t="n">
        <x:v>311.4532860490581</x:v>
      </x:c>
      <x:c r="R647" s="36" t="str">
        <x:v>tract internal point; no person, address, building, parcel, or route condition</x:v>
      </x:c>
    </x:row>
    <x:row r="648" ht="86.4000015258789" hidden="0" customHeight="1">
      <x:c r="A648" s="34" t="str">
        <x:v>48201433003</x:v>
      </x:c>
      <x:c r="B648" s="62" t="n">
        <x:v>5476</x:v>
      </x:c>
      <x:c r="C648" s="62" t="n">
        <x:v>763</x:v>
      </x:c>
      <x:c r="D648" s="62" t="n">
        <x:v>1050</x:v>
      </x:c>
      <x:c r="E648" s="43" t="n">
        <x:v>0.13933528122717312</x:v>
      </x:c>
      <x:c r="F648" s="43" t="n">
        <x:v>0.19174579985390797</x:v>
      </x:c>
      <x:c r="G648" s="65" t="n">
        <x:v>2254</x:v>
      </x:c>
      <x:c r="H648" s="65" t="n">
        <x:v>658</x:v>
      </x:c>
      <x:c r="I648" s="65" t="n">
        <x:v>0.2919254658385093</x:v>
      </x:c>
      <x:c r="J648" s="34" t="str">
        <x:v>low</x:v>
      </x:c>
      <x:c r="K648" s="71" t="n">
        <x:v>29.7083526</x:v>
      </x:c>
      <x:c r="L648" s="71" t="n">
        <x:v>-95.5513848</x:v>
      </x:c>
      <x:c r="M648" s="71" t="n">
        <x:v>0.357</x:v>
      </x:c>
      <x:c r="N648" s="71" t="n">
        <x:v>0.011292936096030817</x:v>
      </x:c>
      <x:c r="O648" s="71" t="n">
        <x:v>17.678811718306264</x:v>
      </x:c>
      <x:c r="P648" s="71" t="n">
        <x:v>3</x:v>
      </x:c>
      <x:c r="Q648" s="71" t="n">
        <x:v>450.633666239576</x:v>
      </x:c>
      <x:c r="R648" s="34" t="str">
        <x:v>tract internal point; no person, address, building, parcel, or route condition</x:v>
      </x:c>
    </x:row>
    <x:row r="649" ht="86.4000015258789" hidden="0" customHeight="1">
      <x:c r="A649" s="36" t="str">
        <x:v>48201433004</x:v>
      </x:c>
      <x:c r="B649" s="63" t="n">
        <x:v>2210</x:v>
      </x:c>
      <x:c r="C649" s="63" t="n">
        <x:v>91</x:v>
      </x:c>
      <x:c r="D649" s="63" t="n">
        <x:v>634</x:v>
      </x:c>
      <x:c r="E649" s="45" t="n">
        <x:v>0.041176470588235294</x:v>
      </x:c>
      <x:c r="F649" s="45" t="n">
        <x:v>0.2868778280542986</x:v>
      </x:c>
      <x:c r="G649" s="66" t="n">
        <x:v>1014</x:v>
      </x:c>
      <x:c r="H649" s="66" t="n">
        <x:v>326</x:v>
      </x:c>
      <x:c r="I649" s="66" t="n">
        <x:v>0.3214990138067061</x:v>
      </x:c>
      <x:c r="J649" s="36" t="str">
        <x:v>low</x:v>
      </x:c>
      <x:c r="K649" s="72" t="n">
        <x:v>29.7168441</x:v>
      </x:c>
      <x:c r="L649" s="72" t="n">
        <x:v>-95.5431959</x:v>
      </x:c>
      <x:c r="M649" s="72" t="n">
        <x:v>0.195</x:v>
      </x:c>
      <x:c r="N649" s="72" t="n">
        <x:v>0.05616314511861817</x:v>
      </x:c>
      <x:c r="O649" s="72" t="n">
        <x:v>19.566316728165603</x:v>
      </x:c>
      <x:c r="P649" s="72" t="n">
        <x:v>3</x:v>
      </x:c>
      <x:c r="Q649" s="72" t="n">
        <x:v>180.1088512548159</x:v>
      </x:c>
      <x:c r="R649" s="36" t="str">
        <x:v>tract internal point; no person, address, building, parcel, or route condition</x:v>
      </x:c>
    </x:row>
    <x:row r="650" ht="86.4000015258789" hidden="0" customHeight="1">
      <x:c r="A650" s="34" t="str">
        <x:v>48201433005</x:v>
      </x:c>
      <x:c r="B650" s="62" t="n">
        <x:v>2088</x:v>
      </x:c>
      <x:c r="C650" s="62" t="n">
        <x:v>305</x:v>
      </x:c>
      <x:c r="D650" s="62" t="n">
        <x:v>611</x:v>
      </x:c>
      <x:c r="E650" s="43" t="n">
        <x:v>0.1460727969348659</x:v>
      </x:c>
      <x:c r="F650" s="43" t="n">
        <x:v>0.29262452107279696</x:v>
      </x:c>
      <x:c r="G650" s="65" t="n">
        <x:v>946</x:v>
      </x:c>
      <x:c r="H650" s="65" t="n">
        <x:v>418</x:v>
      </x:c>
      <x:c r="I650" s="65" t="n">
        <x:v>0.4418604651162791</x:v>
      </x:c>
      <x:c r="J650" s="34" t="str">
        <x:v>low</x:v>
      </x:c>
      <x:c r="K650" s="71" t="n">
        <x:v>29.7150522</x:v>
      </x:c>
      <x:c r="L650" s="71" t="n">
        <x:v>-95.5520841</x:v>
      </x:c>
      <x:c r="M650" s="71" t="n">
        <x:v>0.297</x:v>
      </x:c>
      <x:c r="N650" s="71" t="n">
        <x:v>0.050853488846766826</x:v>
      </x:c>
      <x:c r="O650" s="71" t="n">
        <x:v>18.37344361772684</x:v>
      </x:c>
      <x:c r="P650" s="71" t="n">
        <x:v>3</x:v>
      </x:c>
      <x:c r="Q650" s="71" t="n">
        <x:v>173.7033392207491</x:v>
      </x:c>
      <x:c r="R650" s="34" t="str">
        <x:v>tract internal point; no person, address, building, parcel, or route condition</x:v>
      </x:c>
    </x:row>
    <x:row r="651" ht="86.4000015258789" hidden="0" customHeight="1">
      <x:c r="A651" s="36" t="str">
        <x:v>48201433006</x:v>
      </x:c>
      <x:c r="B651" s="63" t="n">
        <x:v>2239</x:v>
      </x:c>
      <x:c r="C651" s="63" t="n">
        <x:v>72</x:v>
      </x:c>
      <x:c r="D651" s="63" t="n">
        <x:v>791</x:v>
      </x:c>
      <x:c r="E651" s="45" t="n">
        <x:v>0.0321572130415364</x:v>
      </x:c>
      <x:c r="F651" s="45" t="n">
        <x:v>0.3532827154979902</x:v>
      </x:c>
      <x:c r="G651" s="66" t="n">
        <x:v>1069</x:v>
      </x:c>
      <x:c r="H651" s="66" t="n">
        <x:v>247</x:v>
      </x:c>
      <x:c r="I651" s="66" t="n">
        <x:v>0.23105706267539758</x:v>
      </x:c>
      <x:c r="J651" s="36" t="str">
        <x:v>low</x:v>
      </x:c>
      <x:c r="K651" s="72" t="n">
        <x:v>29.7113758</x:v>
      </x:c>
      <x:c r="L651" s="72" t="n">
        <x:v>-95.5415869</x:v>
      </x:c>
      <x:c r="M651" s="72" t="n">
        <x:v>0.109</x:v>
      </x:c>
      <x:c r="N651" s="72" t="n">
        <x:v>0.25992023257709945</x:v>
      </x:c>
      <x:c r="O651" s="72" t="n">
        <x:v>20.730385102103707</x:v>
      </x:c>
      <x:c r="P651" s="72" t="n">
        <x:v>3</x:v>
      </x:c>
      <x:c r="Q651" s="72" t="n">
        <x:v>183.3233965578016</x:v>
      </x:c>
      <x:c r="R651" s="36" t="str">
        <x:v>tract internal point; no person, address, building, parcel, or route condition</x:v>
      </x:c>
    </x:row>
    <x:row r="652" ht="86.4000015258789" hidden="0" customHeight="1">
      <x:c r="A652" s="34" t="str">
        <x:v>48201433007</x:v>
      </x:c>
      <x:c r="B652" s="62" t="n">
        <x:v>1720</x:v>
      </x:c>
      <x:c r="C652" s="62" t="n">
        <x:v>153</x:v>
      </x:c>
      <x:c r="D652" s="62" t="n">
        <x:v>318.5</x:v>
      </x:c>
      <x:c r="E652" s="43" t="n">
        <x:v>0.08895348837209302</x:v>
      </x:c>
      <x:c r="F652" s="43" t="n">
        <x:v>0.18517441860465117</x:v>
      </x:c>
      <x:c r="G652" s="65" t="n">
        <x:v>619</x:v>
      </x:c>
      <x:c r="H652" s="65" t="n">
        <x:v>286</x:v>
      </x:c>
      <x:c r="I652" s="65" t="n">
        <x:v>0.4620355411954766</x:v>
      </x:c>
      <x:c r="J652" s="34" t="str">
        <x:v>low</x:v>
      </x:c>
      <x:c r="K652" s="71" t="n">
        <x:v>29.7076821</x:v>
      </x:c>
      <x:c r="L652" s="71" t="n">
        <x:v>-95.5424131</x:v>
      </x:c>
      <x:c r="M652" s="71" t="n">
        <x:v>0.139</x:v>
      </x:c>
      <x:c r="N652" s="71" t="n">
        <x:v>0.16294620299723198</x:v>
      </x:c>
      <x:c r="O652" s="71" t="n">
        <x:v>20.384009670873734</x:v>
      </x:c>
      <x:c r="P652" s="71" t="n">
        <x:v>3</x:v>
      </x:c>
      <x:c r="Q652" s="71" t="n">
        <x:v>140.09208497082676</x:v>
      </x:c>
      <x:c r="R652" s="34" t="str">
        <x:v>tract internal point; no person, address, building, parcel, or route condition</x:v>
      </x:c>
    </x:row>
    <x:row r="653" ht="86.4000015258789" hidden="0" customHeight="1">
      <x:c r="A653" s="36" t="str">
        <x:v>48201433100</x:v>
      </x:c>
      <x:c r="B653" s="63" t="n">
        <x:v>3295</x:v>
      </x:c>
      <x:c r="C653" s="63" t="n">
        <x:v>182</x:v>
      </x:c>
      <x:c r="D653" s="63" t="n">
        <x:v>790</x:v>
      </x:c>
      <x:c r="E653" s="45" t="n">
        <x:v>0.055235204855842185</x:v>
      </x:c>
      <x:c r="F653" s="45" t="n">
        <x:v>0.23975720789074356</x:v>
      </x:c>
      <x:c r="G653" s="66" t="n">
        <x:v>1385</x:v>
      </x:c>
      <x:c r="H653" s="66" t="n">
        <x:v>360</x:v>
      </x:c>
      <x:c r="I653" s="66" t="n">
        <x:v>0.259927797833935</x:v>
      </x:c>
      <x:c r="J653" s="36" t="str">
        <x:v>moderate</x:v>
      </x:c>
      <x:c r="K653" s="72" t="n">
        <x:v>29.6983142</x:v>
      </x:c>
      <x:c r="L653" s="72" t="n">
        <x:v>-95.5547682</x:v>
      </x:c>
      <x:c r="M653" s="72" t="n">
        <x:v>0.324</x:v>
      </x:c>
      <x:c r="N653" s="72" t="n">
        <x:v>0.1986336549444447</x:v>
      </x:c>
      <x:c r="O653" s="72" t="n">
        <x:v>17.875167794775617</x:v>
      </x:c>
      <x:c r="P653" s="72" t="n">
        <x:v>3</x:v>
      </x:c>
      <x:c r="Q653" s="72" t="n">
        <x:v>474.2267480345191</x:v>
      </x:c>
      <x:c r="R653" s="36" t="str">
        <x:v>tract internal point; no person, address, building, parcel, or route condition</x:v>
      </x:c>
    </x:row>
    <x:row r="654" ht="86.4000015258789" hidden="0" customHeight="1">
      <x:c r="A654" s="34" t="str">
        <x:v>48201433201</x:v>
      </x:c>
      <x:c r="B654" s="62" t="n">
        <x:v>3925</x:v>
      </x:c>
      <x:c r="C654" s="62" t="n">
        <x:v>335</x:v>
      </x:c>
      <x:c r="D654" s="62" t="n">
        <x:v>153</x:v>
      </x:c>
      <x:c r="E654" s="43" t="n">
        <x:v>0.08535031847133757</x:v>
      </x:c>
      <x:c r="F654" s="43" t="n">
        <x:v>0.038980891719745225</x:v>
      </x:c>
      <x:c r="G654" s="65" t="n">
        <x:v>1737</x:v>
      </x:c>
      <x:c r="H654" s="65" t="n">
        <x:v>239</x:v>
      </x:c>
      <x:c r="I654" s="65" t="n">
        <x:v>0.13759355210132412</x:v>
      </x:c>
      <x:c r="J654" s="34" t="str">
        <x:v>moderate</x:v>
      </x:c>
      <x:c r="K654" s="71" t="n">
        <x:v>29.6983882</x:v>
      </x:c>
      <x:c r="L654" s="71" t="n">
        <x:v>-95.5483849</x:v>
      </x:c>
      <x:c r="M654" s="71" t="n">
        <x:v>0.423</x:v>
      </x:c>
      <x:c r="N654" s="71" t="n">
        <x:v>0.041253256811760904</x:v>
      </x:c>
      <x:c r="O654" s="71" t="n">
        <x:v>17.870080332316313</x:v>
      </x:c>
      <x:c r="P654" s="71" t="n">
        <x:v>3</x:v>
      </x:c>
      <x:c r="Q654" s="71" t="n">
        <x:v>557.2275531898688</x:v>
      </x:c>
      <x:c r="R654" s="34" t="str">
        <x:v>tract internal point; no person, address, building, parcel, or route condition</x:v>
      </x:c>
    </x:row>
    <x:row r="655" ht="86.4000015258789" hidden="0" customHeight="1">
      <x:c r="A655" s="36" t="str">
        <x:v>48201433202</x:v>
      </x:c>
      <x:c r="B655" s="63" t="n">
        <x:v>3666</x:v>
      </x:c>
      <x:c r="C655" s="63" t="n">
        <x:v>289</x:v>
      </x:c>
      <x:c r="D655" s="63" t="n">
        <x:v>195</x:v>
      </x:c>
      <x:c r="E655" s="45" t="n">
        <x:v>0.07883251500272777</x:v>
      </x:c>
      <x:c r="F655" s="45" t="n">
        <x:v>0.05319148936170213</x:v>
      </x:c>
      <x:c r="G655" s="66" t="n">
        <x:v>1319</x:v>
      </x:c>
      <x:c r="H655" s="66" t="n">
        <x:v>243</x:v>
      </x:c>
      <x:c r="I655" s="66" t="n">
        <x:v>0.18423047763457165</x:v>
      </x:c>
      <x:c r="J655" s="36" t="str">
        <x:v>moderate</x:v>
      </x:c>
      <x:c r="K655" s="72" t="n">
        <x:v>29.6968042</x:v>
      </x:c>
      <x:c r="L655" s="72" t="n">
        <x:v>-95.5412482</x:v>
      </x:c>
      <x:c r="M655" s="72" t="n">
        <x:v>0.444</x:v>
      </x:c>
      <x:c r="N655" s="72" t="n">
        <x:v>0.040557657298599406</x:v>
      </x:c>
      <x:c r="O655" s="72" t="n">
        <x:v>18.027393162714095</x:v>
      </x:c>
      <x:c r="P655" s="72" t="n">
        <x:v>3</x:v>
      </x:c>
      <x:c r="Q655" s="72" t="n">
        <x:v>520.5175304707997</x:v>
      </x:c>
      <x:c r="R655" s="36" t="str">
        <x:v>tract internal point; no person, address, building, parcel, or route condition</x:v>
      </x:c>
    </x:row>
    <x:row r="656" ht="86.4000015258789" hidden="0" customHeight="1">
      <x:c r="A656" s="34" t="str">
        <x:v>48201433300</x:v>
      </x:c>
      <x:c r="B656" s="62" t="n">
        <x:v>4680</x:v>
      </x:c>
      <x:c r="C656" s="62" t="n">
        <x:v>324</x:v>
      </x:c>
      <x:c r="D656" s="62" t="n">
        <x:v>192</x:v>
      </x:c>
      <x:c r="E656" s="43" t="n">
        <x:v>0.06923076923076923</x:v>
      </x:c>
      <x:c r="F656" s="43" t="n">
        <x:v>0.041025641025641026</x:v>
      </x:c>
      <x:c r="G656" s="65" t="n">
        <x:v>1904</x:v>
      </x:c>
      <x:c r="H656" s="65" t="n">
        <x:v>23</x:v>
      </x:c>
      <x:c r="I656" s="65" t="n">
        <x:v>0.01207983193277311</x:v>
      </x:c>
      <x:c r="J656" s="34" t="str">
        <x:v>moderate</x:v>
      </x:c>
      <x:c r="K656" s="71" t="n">
        <x:v>29.6983415</x:v>
      </x:c>
      <x:c r="L656" s="71" t="n">
        <x:v>-95.5291351</x:v>
      </x:c>
      <x:c r="M656" s="71" t="n">
        <x:v>0.935</x:v>
      </x:c>
      <x:c r="N656" s="71" t="n">
        <x:v>0.11281654573261587</x:v>
      </x:c>
      <x:c r="O656" s="71" t="n">
        <x:v>17.808157887208427</x:v>
      </x:c>
      <x:c r="P656" s="71" t="n">
        <x:v>3</x:v>
      </x:c>
      <x:c r="Q656" s="71" t="n">
        <x:v>662.449046339564</x:v>
      </x:c>
      <x:c r="R656" s="34" t="str">
        <x:v>tract internal point; no person, address, building, parcel, or route condition</x:v>
      </x:c>
    </x:row>
    <x:row r="657" ht="86.4000015258789" hidden="0" customHeight="1">
      <x:c r="A657" s="36" t="str">
        <x:v>48201433400</x:v>
      </x:c>
      <x:c r="B657" s="63" t="n">
        <x:v>4329</x:v>
      </x:c>
      <x:c r="C657" s="63" t="n">
        <x:v>429</x:v>
      </x:c>
      <x:c r="D657" s="63" t="n">
        <x:v>900</x:v>
      </x:c>
      <x:c r="E657" s="45" t="n">
        <x:v>0.0990990990990991</x:v>
      </x:c>
      <x:c r="F657" s="45" t="n">
        <x:v>0.2079002079002079</x:v>
      </x:c>
      <x:c r="G657" s="66" t="n">
        <x:v>1956</x:v>
      </x:c>
      <x:c r="H657" s="66" t="n">
        <x:v>473</x:v>
      </x:c>
      <x:c r="I657" s="66" t="n">
        <x:v>0.2418200408997955</x:v>
      </x:c>
      <x:c r="J657" s="36" t="str">
        <x:v>high</x:v>
      </x:c>
      <x:c r="K657" s="72" t="n">
        <x:v>29.6846053</x:v>
      </x:c>
      <x:c r="L657" s="72" t="n">
        <x:v>-95.5409273</x:v>
      </x:c>
      <x:c r="M657" s="72" t="n">
        <x:v>0.632</x:v>
      </x:c>
      <x:c r="N657" s="72" t="n">
        <x:v>0.18318827608713908</x:v>
      </x:c>
      <x:c r="O657" s="72" t="n">
        <x:v>17.635762781517904</x:v>
      </x:c>
      <x:c r="P657" s="72" t="n">
        <x:v>3</x:v>
      </x:c>
      <x:c r="Q657" s="72" t="n">
        <x:v>762.5818000092462</x:v>
      </x:c>
      <x:c r="R657" s="36" t="str">
        <x:v>tract internal point; no person, address, building, parcel, or route condition</x:v>
      </x:c>
    </x:row>
    <x:row r="658" ht="86.4000015258789" hidden="0" customHeight="1">
      <x:c r="A658" s="34" t="str">
        <x:v>48201433503</x:v>
      </x:c>
      <x:c r="B658" s="62" t="n">
        <x:v>2357</x:v>
      </x:c>
      <x:c r="C658" s="62" t="n">
        <x:v>129</x:v>
      </x:c>
      <x:c r="D658" s="62" t="n">
        <x:v>144.5</x:v>
      </x:c>
      <x:c r="E658" s="43" t="n">
        <x:v>0.054730589732711075</x:v>
      </x:c>
      <x:c r="F658" s="43" t="n">
        <x:v>0.06130674586338566</x:v>
      </x:c>
      <x:c r="G658" s="65" t="n">
        <x:v>751</x:v>
      </x:c>
      <x:c r="H658" s="65" t="n">
        <x:v>216</x:v>
      </x:c>
      <x:c r="I658" s="65" t="n">
        <x:v>0.28761651131824234</x:v>
      </x:c>
      <x:c r="J658" s="34" t="str">
        <x:v>high</x:v>
      </x:c>
      <x:c r="K658" s="71" t="n">
        <x:v>29.6868141</x:v>
      </x:c>
      <x:c r="L658" s="71" t="n">
        <x:v>-95.5554093</x:v>
      </x:c>
      <x:c r="M658" s="71" t="n">
        <x:v>0.12</x:v>
      </x:c>
      <x:c r="N658" s="71" t="n">
        <x:v>0.19831691032214294</x:v>
      </x:c>
      <x:c r="O658" s="71" t="n">
        <x:v>16.156830417201828</x:v>
      </x:c>
      <x:c r="P658" s="71" t="n">
        <x:v>3</x:v>
      </x:c>
      <x:c r="Q658" s="71" t="n">
        <x:v>405.81140562781144</x:v>
      </x:c>
      <x:c r="R658" s="34" t="str">
        <x:v>tract internal point; no person, address, building, parcel, or route condition</x:v>
      </x:c>
    </x:row>
    <x:row r="659" ht="86.4000015258789" hidden="0" customHeight="1">
      <x:c r="A659" s="36" t="str">
        <x:v>48201433504</x:v>
      </x:c>
      <x:c r="B659" s="63" t="n">
        <x:v>3358</x:v>
      </x:c>
      <x:c r="C659" s="63" t="n">
        <x:v>160</x:v>
      </x:c>
      <x:c r="D659" s="63" t="n">
        <x:v>835</x:v>
      </x:c>
      <x:c r="E659" s="45" t="n">
        <x:v>0.047647409172126266</x:v>
      </x:c>
      <x:c r="F659" s="45" t="n">
        <x:v>0.24865991661703396</x:v>
      </x:c>
      <x:c r="G659" s="66" t="n">
        <x:v>1300</x:v>
      </x:c>
      <x:c r="H659" s="66" t="n">
        <x:v>366</x:v>
      </x:c>
      <x:c r="I659" s="66" t="n">
        <x:v>0.2815384615384615</x:v>
      </x:c>
      <x:c r="J659" s="36" t="str">
        <x:v>high</x:v>
      </x:c>
      <x:c r="K659" s="72" t="n">
        <x:v>29.6786913</x:v>
      </x:c>
      <x:c r="L659" s="72" t="n">
        <x:v>-95.5464467</x:v>
      </x:c>
      <x:c r="M659" s="72" t="n">
        <x:v>0.353</x:v>
      </x:c>
      <x:c r="N659" s="72" t="n">
        <x:v>0.11836610417202284</x:v>
      </x:c>
      <x:c r="O659" s="72" t="n">
        <x:v>16.272707306174873</x:v>
      </x:c>
      <x:c r="P659" s="72" t="n">
        <x:v>3</x:v>
      </x:c>
      <x:c r="Q659" s="72" t="n">
        <x:v>588.0012169978946</x:v>
      </x:c>
      <x:c r="R659" s="36" t="str">
        <x:v>tract internal point; no person, address, building, parcel, or route condition</x:v>
      </x:c>
    </x:row>
    <x:row r="660" ht="86.4000015258789" hidden="0" customHeight="1">
      <x:c r="A660" s="34" t="str">
        <x:v>48201433505</x:v>
      </x:c>
      <x:c r="B660" s="62" t="n">
        <x:v>2175</x:v>
      </x:c>
      <x:c r="C660" s="62" t="n">
        <x:v>195</x:v>
      </x:c>
      <x:c r="D660" s="62" t="n">
        <x:v>432.5</x:v>
      </x:c>
      <x:c r="E660" s="43" t="n">
        <x:v>0.0896551724137931</x:v>
      </x:c>
      <x:c r="F660" s="43" t="n">
        <x:v>0.19885057471264367</x:v>
      </x:c>
      <x:c r="G660" s="65" t="n">
        <x:v>785</x:v>
      </x:c>
      <x:c r="H660" s="65" t="n">
        <x:v>249</x:v>
      </x:c>
      <x:c r="I660" s="65" t="n">
        <x:v>0.31719745222929935</x:v>
      </x:c>
      <x:c r="J660" s="34" t="str">
        <x:v>moderate</x:v>
      </x:c>
      <x:c r="K660" s="71" t="n">
        <x:v>29.6832627</x:v>
      </x:c>
      <x:c r="L660" s="71" t="n">
        <x:v>-95.5531423</x:v>
      </x:c>
      <x:c r="M660" s="71" t="n">
        <x:v>0.077</x:v>
      </x:c>
      <x:c r="N660" s="71" t="n">
        <x:v>0.04281192924761917</x:v>
      </x:c>
      <x:c r="O660" s="71" t="n">
        <x:v>16.649924850387684</x:v>
      </x:c>
      <x:c r="P660" s="71" t="n">
        <x:v>3</x:v>
      </x:c>
      <x:c r="Q660" s="71" t="n">
        <x:v>313.8776469038583</x:v>
      </x:c>
      <x:c r="R660" s="34" t="str">
        <x:v>tract internal point; no person, address, building, parcel, or route condition</x:v>
      </x:c>
    </x:row>
    <x:row r="661" ht="86.4000015258789" hidden="0" customHeight="1">
      <x:c r="A661" s="36" t="str">
        <x:v>48201433506</x:v>
      </x:c>
      <x:c r="B661" s="63" t="n">
        <x:v>1562</x:v>
      </x:c>
      <x:c r="C661" s="63" t="n">
        <x:v>150</x:v>
      </x:c>
      <x:c r="D661" s="63" t="n">
        <x:v>360.5</x:v>
      </x:c>
      <x:c r="E661" s="45" t="n">
        <x:v>0.09603072983354674</x:v>
      </x:c>
      <x:c r="F661" s="45" t="n">
        <x:v>0.23079385403329064</x:v>
      </x:c>
      <x:c r="G661" s="66" t="n">
        <x:v>712</x:v>
      </x:c>
      <x:c r="H661" s="66" t="n">
        <x:v>147</x:v>
      </x:c>
      <x:c r="I661" s="66" t="n">
        <x:v>0.20646067415730338</x:v>
      </x:c>
      <x:c r="J661" s="36" t="str">
        <x:v>moderate</x:v>
      </x:c>
      <x:c r="K661" s="72" t="n">
        <x:v>29.6794797</x:v>
      </x:c>
      <x:c r="L661" s="72" t="n">
        <x:v>-95.5541748</x:v>
      </x:c>
      <x:c r="M661" s="72" t="n">
        <x:v>0.05</x:v>
      </x:c>
      <x:c r="N661" s="72" t="n">
        <x:v>0.05860337214586938</x:v>
      </x:c>
      <x:c r="O661" s="72" t="n">
        <x:v>16.179823453669353</x:v>
      </x:c>
      <x:c r="P661" s="72" t="n">
        <x:v>3</x:v>
      </x:c>
      <x:c r="Q661" s="72" t="n">
        <x:v>226.38542609007712</x:v>
      </x:c>
      <x:c r="R661" s="36" t="str">
        <x:v>tract internal point; no person, address, building, parcel, or route condition</x:v>
      </x:c>
    </x:row>
    <x:row r="662" ht="86.4000015258789" hidden="0" customHeight="1">
      <x:c r="A662" s="34" t="str">
        <x:v>48201433507</x:v>
      </x:c>
      <x:c r="B662" s="62" t="n">
        <x:v>2911</x:v>
      </x:c>
      <x:c r="C662" s="62" t="n">
        <x:v>629</x:v>
      </x:c>
      <x:c r="D662" s="62" t="n">
        <x:v>806.5</x:v>
      </x:c>
      <x:c r="E662" s="43" t="n">
        <x:v>0.21607694950188938</x:v>
      </x:c>
      <x:c r="F662" s="43" t="n">
        <x:v>0.27705255925798694</x:v>
      </x:c>
      <x:c r="G662" s="65" t="n">
        <x:v>1375</x:v>
      </x:c>
      <x:c r="H662" s="65" t="n">
        <x:v>358</x:v>
      </x:c>
      <x:c r="I662" s="65" t="n">
        <x:v>0.26036363636363635</x:v>
      </x:c>
      <x:c r="J662" s="34" t="str">
        <x:v>moderate</x:v>
      </x:c>
      <x:c r="K662" s="71" t="n">
        <x:v>29.6792534</x:v>
      </x:c>
      <x:c r="L662" s="71" t="n">
        <x:v>-95.5571892</x:v>
      </x:c>
      <x:c r="M662" s="71" t="n">
        <x:v>0.183</x:v>
      </x:c>
      <x:c r="N662" s="71" t="n">
        <x:v>0.11105183081652924</x:v>
      </x:c>
      <x:c r="O662" s="71" t="n">
        <x:v>15.94588395056336</x:v>
      </x:c>
      <x:c r="P662" s="71" t="n">
        <x:v>3</x:v>
      </x:c>
      <x:c r="Q662" s="71" t="n">
        <x:v>433.49113759682484</x:v>
      </x:c>
      <x:c r="R662" s="34" t="str">
        <x:v>tract internal point; no person, address, building, parcel, or route condition</x:v>
      </x:c>
    </x:row>
    <x:row r="663" ht="86.4000015258789" hidden="0" customHeight="1">
      <x:c r="A663" s="36" t="str">
        <x:v>48201433601</x:v>
      </x:c>
      <x:c r="B663" s="63" t="n">
        <x:v>2878</x:v>
      </x:c>
      <x:c r="C663" s="63" t="n">
        <x:v>320</x:v>
      </x:c>
      <x:c r="D663" s="63" t="n">
        <x:v>374</x:v>
      </x:c>
      <x:c r="E663" s="45" t="n">
        <x:v>0.11118832522585129</x:v>
      </x:c>
      <x:c r="F663" s="45" t="n">
        <x:v>0.1299513551077137</x:v>
      </x:c>
      <x:c r="G663" s="66" t="n">
        <x:v>1241</x:v>
      </x:c>
      <x:c r="H663" s="66" t="n">
        <x:v>531</x:v>
      </x:c>
      <x:c r="I663" s="66" t="n">
        <x:v>0.42788074133763093</x:v>
      </x:c>
      <x:c r="J663" s="36" t="str">
        <x:v>moderate</x:v>
      </x:c>
      <x:c r="K663" s="72" t="n">
        <x:v>29.6671512</x:v>
      </x:c>
      <x:c r="L663" s="72" t="n">
        <x:v>-95.5557475</x:v>
      </x:c>
      <x:c r="M663" s="72" t="n">
        <x:v>0.257</x:v>
      </x:c>
      <x:c r="N663" s="72" t="n">
        <x:v>0.06658405217593202</x:v>
      </x:c>
      <x:c r="O663" s="72" t="n">
        <x:v>14.526512100735598</x:v>
      </x:c>
      <x:c r="P663" s="72" t="n">
        <x:v>3</x:v>
      </x:c>
      <x:c r="Q663" s="72" t="n">
        <x:v>414.29485488331176</x:v>
      </x:c>
      <x:c r="R663" s="36" t="str">
        <x:v>tract internal point; no person, address, building, parcel, or route condition</x:v>
      </x:c>
    </x:row>
    <x:row r="664" ht="86.4000015258789" hidden="0" customHeight="1">
      <x:c r="A664" s="34" t="str">
        <x:v>48201433602</x:v>
      </x:c>
      <x:c r="B664" s="62" t="n">
        <x:v>4053</x:v>
      </x:c>
      <x:c r="C664" s="62" t="n">
        <x:v>303</x:v>
      </x:c>
      <x:c r="D664" s="62" t="n">
        <x:v>401</x:v>
      </x:c>
      <x:c r="E664" s="43" t="n">
        <x:v>0.07475943745373798</x:v>
      </x:c>
      <x:c r="F664" s="43" t="n">
        <x:v>0.09893905748828029</x:v>
      </x:c>
      <x:c r="G664" s="65" t="n">
        <x:v>1847</x:v>
      </x:c>
      <x:c r="H664" s="65" t="n">
        <x:v>551</x:v>
      </x:c>
      <x:c r="I664" s="65" t="n">
        <x:v>0.29832160259880885</x:v>
      </x:c>
      <x:c r="J664" s="34" t="str">
        <x:v>moderate</x:v>
      </x:c>
      <x:c r="K664" s="71" t="n">
        <x:v>29.6729653</x:v>
      </x:c>
      <x:c r="L664" s="71" t="n">
        <x:v>-95.5525108</x:v>
      </x:c>
      <x:c r="M664" s="71" t="n">
        <x:v>0.301</x:v>
      </x:c>
      <x:c r="N664" s="71" t="n">
        <x:v>0.13745686685663433</x:v>
      </x:c>
      <x:c r="O664" s="71" t="n">
        <x:v>15.06912825413693</x:v>
      </x:c>
      <x:c r="P664" s="71" t="n">
        <x:v>3</x:v>
      </x:c>
      <x:c r="Q664" s="71" t="n">
        <x:v>577.5849294249888</x:v>
      </x:c>
      <x:c r="R664" s="34" t="str">
        <x:v>tract internal point; no person, address, building, parcel, or route condition</x:v>
      </x:c>
    </x:row>
    <x:row r="665" ht="86.4000015258789" hidden="0" customHeight="1">
      <x:c r="A665" s="36" t="str">
        <x:v>48201440101</x:v>
      </x:c>
      <x:c r="B665" s="63" t="n">
        <x:v>1812</x:v>
      </x:c>
      <x:c r="C665" s="63" t="n">
        <x:v>173</x:v>
      </x:c>
      <x:c r="D665" s="63" t="n">
        <x:v>260</x:v>
      </x:c>
      <x:c r="E665" s="45" t="n">
        <x:v>0.09547461368653422</x:v>
      </x:c>
      <x:c r="F665" s="45" t="n">
        <x:v>0.1434878587196468</x:v>
      </x:c>
      <x:c r="G665" s="66" t="n">
        <x:v>1079</x:v>
      </x:c>
      <x:c r="H665" s="66" t="n">
        <x:v>418</x:v>
      </x:c>
      <x:c r="I665" s="66" t="n">
        <x:v>0.3873957367933272</x:v>
      </x:c>
      <x:c r="J665" s="36" t="str">
        <x:v>moderate</x:v>
      </x:c>
      <x:c r="K665" s="72" t="n">
        <x:v>29.6506227</x:v>
      </x:c>
      <x:c r="L665" s="72" t="n">
        <x:v>-95.559587</x:v>
      </x:c>
      <x:c r="M665" s="72" t="n">
        <x:v>0.868</x:v>
      </x:c>
      <x:c r="N665" s="72" t="n">
        <x:v>0.07224243318128139</x:v>
      </x:c>
      <x:c r="O665" s="72" t="n">
        <x:v>14.41646143792716</x:v>
      </x:c>
      <x:c r="P665" s="72" t="n">
        <x:v>3</x:v>
      </x:c>
      <x:c r="Q665" s="72" t="n">
        <x:v>260.390865695942</x:v>
      </x:c>
      <x:c r="R665" s="36" t="str">
        <x:v>tract internal point; no person, address, building, parcel, or route condition</x:v>
      </x:c>
    </x:row>
    <x:row r="666" ht="86.4000015258789" hidden="0" customHeight="1">
      <x:c r="A666" s="34" t="str">
        <x:v>48201440102</x:v>
      </x:c>
      <x:c r="B666" s="62" t="n">
        <x:v>4477</x:v>
      </x:c>
      <x:c r="C666" s="62" t="n">
        <x:v>401</x:v>
      </x:c>
      <x:c r="D666" s="62" t="n">
        <x:v>33</x:v>
      </x:c>
      <x:c r="E666" s="43" t="n">
        <x:v>0.08956890775072593</x:v>
      </x:c>
      <x:c r="F666" s="43" t="n">
        <x:v>0.007371007371007371</x:v>
      </x:c>
      <x:c r="G666" s="65" t="n">
        <x:v>2034</x:v>
      </x:c>
      <x:c r="H666" s="65" t="n">
        <x:v>231</x:v>
      </x:c>
      <x:c r="I666" s="65" t="n">
        <x:v>0.11356932153392331</x:v>
      </x:c>
      <x:c r="J666" s="34" t="str">
        <x:v>low</x:v>
      </x:c>
      <x:c r="K666" s="71" t="n">
        <x:v>29.639988</x:v>
      </x:c>
      <x:c r="L666" s="71" t="n">
        <x:v>-95.5394412</x:v>
      </x:c>
      <x:c r="M666" s="71" t="n">
        <x:v>1.255</x:v>
      </x:c>
      <x:c r="N666" s="71" t="n">
        <x:v>0.012241925967106783</x:v>
      </x:c>
      <x:c r="O666" s="71" t="n">
        <x:v>11.549327729919439</x:v>
      </x:c>
      <x:c r="P666" s="71" t="n">
        <x:v>3</x:v>
      </x:c>
      <x:c r="Q666" s="71" t="n">
        <x:v>358.4335905688548</x:v>
      </x:c>
      <x:c r="R666" s="34" t="str">
        <x:v>tract internal point; no person, address, building, parcel, or route condition</x:v>
      </x:c>
    </x:row>
    <x:row r="667" ht="86.4000015258789" hidden="0" customHeight="1">
      <x:c r="A667" s="36" t="str">
        <x:v>48201450100</x:v>
      </x:c>
      <x:c r="B667" s="63" t="n">
        <x:v>1874</x:v>
      </x:c>
      <x:c r="C667" s="63" t="n">
        <x:v>94</x:v>
      </x:c>
      <x:c r="D667" s="63" t="n">
        <x:v>2</x:v>
      </x:c>
      <x:c r="E667" s="45" t="n">
        <x:v>0.05016008537886873</x:v>
      </x:c>
      <x:c r="F667" s="45" t="n">
        <x:v>0.0010672358591248667</x:v>
      </x:c>
      <x:c r="G667" s="66" t="n">
        <x:v>800</x:v>
      </x:c>
      <x:c r="H667" s="66" t="n">
        <x:v>15</x:v>
      </x:c>
      <x:c r="I667" s="66" t="n">
        <x:v>0.01875</x:v>
      </x:c>
      <x:c r="J667" s="36" t="str">
        <x:v>low</x:v>
      </x:c>
      <x:c r="K667" s="72" t="n">
        <x:v>29.7772428</x:v>
      </x:c>
      <x:c r="L667" s="72" t="n">
        <x:v>-95.5669287</x:v>
      </x:c>
      <x:c r="M667" s="72" t="n">
        <x:v>0.319</x:v>
      </x:c>
      <x:c r="N667" s="72" t="n">
        <x:v>0.0498584820339583</x:v>
      </x:c>
      <x:c r="O667" s="72" t="n">
        <x:v>22.465002491603588</x:v>
      </x:c>
      <x:c r="P667" s="72" t="n">
        <x:v>3</x:v>
      </x:c>
      <x:c r="Q667" s="72" t="n">
        <x:v>148.7807887176499</x:v>
      </x:c>
      <x:c r="R667" s="36" t="str">
        <x:v>tract internal point; no person, address, building, parcel, or route condition</x:v>
      </x:c>
    </x:row>
    <x:row r="668" ht="86.4000015258789" hidden="0" customHeight="1">
      <x:c r="A668" s="34" t="str">
        <x:v>48201450200</x:v>
      </x:c>
      <x:c r="B668" s="62" t="n">
        <x:v>5965</x:v>
      </x:c>
      <x:c r="C668" s="62" t="n">
        <x:v>236</x:v>
      </x:c>
      <x:c r="D668" s="62" t="n">
        <x:v>104</x:v>
      </x:c>
      <x:c r="E668" s="43" t="n">
        <x:v>0.03956412405699916</x:v>
      </x:c>
      <x:c r="F668" s="43" t="n">
        <x:v>0.01743503772003353</x:v>
      </x:c>
      <x:c r="G668" s="65" t="n">
        <x:v>2326</x:v>
      </x:c>
      <x:c r="H668" s="65" t="n">
        <x:v>912</x:v>
      </x:c>
      <x:c r="I668" s="65" t="n">
        <x:v>0.39208942390369733</x:v>
      </x:c>
      <x:c r="J668" s="34" t="str">
        <x:v>low</x:v>
      </x:c>
      <x:c r="K668" s="71" t="n">
        <x:v>29.7792596</x:v>
      </x:c>
      <x:c r="L668" s="71" t="n">
        <x:v>-95.5795765</x:v>
      </x:c>
      <x:c r="M668" s="71" t="n">
        <x:v>1.045</x:v>
      </x:c>
      <x:c r="N668" s="71" t="n">
        <x:v>0.019552756040557735</x:v>
      </x:c>
      <x:c r="O668" s="71" t="n">
        <x:v>24.548179444942225</x:v>
      </x:c>
      <x:c r="P668" s="71" t="n">
        <x:v>3</x:v>
      </x:c>
      <x:c r="Q668" s="71" t="n">
        <x:v>473.3476905076165</x:v>
      </x:c>
      <x:c r="R668" s="34" t="str">
        <x:v>tract internal point; no person, address, building, parcel, or route condition</x:v>
      </x:c>
    </x:row>
    <x:row r="669" ht="86.4000015258789" hidden="0" customHeight="1">
      <x:c r="A669" s="36" t="str">
        <x:v>48201450301</x:v>
      </x:c>
      <x:c r="B669" s="63" t="n">
        <x:v>2690</x:v>
      </x:c>
      <x:c r="C669" s="63" t="n">
        <x:v>283</x:v>
      </x:c>
      <x:c r="D669" s="63" t="n">
        <x:v>162</x:v>
      </x:c>
      <x:c r="E669" s="45" t="n">
        <x:v>0.10520446096654275</x:v>
      </x:c>
      <x:c r="F669" s="45" t="n">
        <x:v>0.06022304832713755</x:v>
      </x:c>
      <x:c r="G669" s="66" t="n">
        <x:v>1119</x:v>
      </x:c>
      <x:c r="H669" s="66" t="n">
        <x:v>228</x:v>
      </x:c>
      <x:c r="I669" s="66" t="n">
        <x:v>0.2037533512064343</x:v>
      </x:c>
      <x:c r="J669" s="36" t="str">
        <x:v>low</x:v>
      </x:c>
      <x:c r="K669" s="72" t="n">
        <x:v>29.7751728</x:v>
      </x:c>
      <x:c r="L669" s="72" t="n">
        <x:v>-95.5943455</x:v>
      </x:c>
      <x:c r="M669" s="72" t="n">
        <x:v>0.382</x:v>
      </x:c>
      <x:c r="N669" s="72" t="n">
        <x:v>0.037963839807308476</x:v>
      </x:c>
      <x:c r="O669" s="72" t="n">
        <x:v>24.50591967268656</x:v>
      </x:c>
      <x:c r="P669" s="72" t="n">
        <x:v>0</x:v>
      </x:c>
      <x:c r="Q669" s="72" t="n">
        <x:v>217.14292819288065</x:v>
      </x:c>
      <x:c r="R669" s="36" t="str">
        <x:v>tract internal point; no person, address, building, parcel, or route condition</x:v>
      </x:c>
    </x:row>
    <x:row r="670" ht="86.4000015258789" hidden="0" customHeight="1">
      <x:c r="A670" s="34" t="str">
        <x:v>48201450302</x:v>
      </x:c>
      <x:c r="B670" s="62" t="n">
        <x:v>5835</x:v>
      </x:c>
      <x:c r="C670" s="62" t="n">
        <x:v>267</x:v>
      </x:c>
      <x:c r="D670" s="62" t="n">
        <x:v>0</x:v>
      </x:c>
      <x:c r="E670" s="43" t="n">
        <x:v>0.04575835475578406</x:v>
      </x:c>
      <x:c r="F670" s="43" t="n">
        <x:v>0</x:v>
      </x:c>
      <x:c r="G670" s="65" t="n">
        <x:v>2479</x:v>
      </x:c>
      <x:c r="H670" s="65" t="n">
        <x:v>917</x:v>
      </x:c>
      <x:c r="I670" s="65" t="n">
        <x:v>0.3699072206534893</x:v>
      </x:c>
      <x:c r="J670" s="34" t="str">
        <x:v>low</x:v>
      </x:c>
      <x:c r="K670" s="71" t="n">
        <x:v>29.7790403</x:v>
      </x:c>
      <x:c r="L670" s="71" t="n">
        <x:v>-95.6007307</x:v>
      </x:c>
      <x:c r="M670" s="71" t="n">
        <x:v>0.611</x:v>
      </x:c>
      <x:c r="N670" s="71" t="n">
        <x:v>0.15203906631828445</x:v>
      </x:c>
      <x:c r="O670" s="71" t="n">
        <x:v>23.500991948889432</x:v>
      </x:c>
      <x:c r="P670" s="71" t="n">
        <x:v>0</x:v>
      </x:c>
      <x:c r="Q670" s="71" t="n">
        <x:v>462.8002093423188</x:v>
      </x:c>
      <x:c r="R670" s="34" t="str">
        <x:v>tract internal point; no person, address, building, parcel, or route condition</x:v>
      </x:c>
    </x:row>
    <x:row r="671" ht="86.4000015258789" hidden="0" customHeight="1">
      <x:c r="A671" s="36" t="str">
        <x:v>48201450401</x:v>
      </x:c>
      <x:c r="B671" s="63" t="n">
        <x:v>2020</x:v>
      </x:c>
      <x:c r="C671" s="63" t="n">
        <x:v>205</x:v>
      </x:c>
      <x:c r="D671" s="63" t="n">
        <x:v>43</x:v>
      </x:c>
      <x:c r="E671" s="45" t="n">
        <x:v>0.10148514851485149</x:v>
      </x:c>
      <x:c r="F671" s="45" t="n">
        <x:v>0.02128712871287129</x:v>
      </x:c>
      <x:c r="G671" s="66" t="n">
        <x:v>1308</x:v>
      </x:c>
      <x:c r="H671" s="66" t="n">
        <x:v>430</x:v>
      </x:c>
      <x:c r="I671" s="66" t="n">
        <x:v>0.3287461773700306</x:v>
      </x:c>
      <x:c r="J671" s="36" t="str">
        <x:v>low</x:v>
      </x:c>
      <x:c r="K671" s="72" t="n">
        <x:v>29.7732999</x:v>
      </x:c>
      <x:c r="L671" s="72" t="n">
        <x:v>-95.6099354</x:v>
      </x:c>
      <x:c r="M671" s="72" t="n">
        <x:v>0.167</x:v>
      </x:c>
      <x:c r="N671" s="72" t="n">
        <x:v>0.0534363194094161</x:v>
      </x:c>
      <x:c r="O671" s="72" t="n">
        <x:v>23.70676661048653</x:v>
      </x:c>
      <x:c r="P671" s="72" t="n">
        <x:v>0</x:v>
      </x:c>
      <x:c r="Q671" s="72" t="n">
        <x:v>162.32274851482424</x:v>
      </x:c>
      <x:c r="R671" s="36" t="str">
        <x:v>tract internal point; no person, address, building, parcel, or route condition</x:v>
      </x:c>
    </x:row>
    <x:row r="672" ht="86.4000015258789" hidden="0" customHeight="1">
      <x:c r="A672" s="34" t="str">
        <x:v>48201450402</x:v>
      </x:c>
      <x:c r="B672" s="62" t="n">
        <x:v>2227</x:v>
      </x:c>
      <x:c r="C672" s="62" t="n">
        <x:v>41</x:v>
      </x:c>
      <x:c r="D672" s="62" t="n">
        <x:v>70.5</x:v>
      </x:c>
      <x:c r="E672" s="43" t="n">
        <x:v>0.018410417602155366</x:v>
      </x:c>
      <x:c r="F672" s="43" t="n">
        <x:v>0.03165693758419398</x:v>
      </x:c>
      <x:c r="G672" s="65" t="n">
        <x:v>1397</x:v>
      </x:c>
      <x:c r="H672" s="65" t="n">
        <x:v>501</x:v>
      </x:c>
      <x:c r="I672" s="65" t="n">
        <x:v>0.3586256263421618</x:v>
      </x:c>
      <x:c r="J672" s="34" t="str">
        <x:v>moderate</x:v>
      </x:c>
      <x:c r="K672" s="71" t="n">
        <x:v>29.7820395</x:v>
      </x:c>
      <x:c r="L672" s="71" t="n">
        <x:v>-95.6142151</x:v>
      </x:c>
      <x:c r="M672" s="71" t="n">
        <x:v>0.583</x:v>
      </x:c>
      <x:c r="N672" s="71" t="n">
        <x:v>0.2319636619515375</x:v>
      </x:c>
      <x:c r="O672" s="71" t="n">
        <x:v>23.74111386509292</x:v>
      </x:c>
      <x:c r="P672" s="71" t="n">
        <x:v>0</x:v>
      </x:c>
      <x:c r="Q672" s="71" t="n">
        <x:v>311.79185015845667</x:v>
      </x:c>
      <x:c r="R672" s="34" t="str">
        <x:v>tract internal point; no person, address, building, parcel, or route condition</x:v>
      </x:c>
    </x:row>
    <x:row r="673" ht="86.4000015258789" hidden="0" customHeight="1">
      <x:c r="A673" s="36" t="str">
        <x:v>48201450500</x:v>
      </x:c>
      <x:c r="B673" s="63" t="n">
        <x:v>3412</x:v>
      </x:c>
      <x:c r="C673" s="63" t="n">
        <x:v>243</x:v>
      </x:c>
      <x:c r="D673" s="63" t="n">
        <x:v>219.5</x:v>
      </x:c>
      <x:c r="E673" s="45" t="n">
        <x:v>0.07121922626025791</x:v>
      </x:c>
      <x:c r="F673" s="45" t="n">
        <x:v>0.06433177022274326</x:v>
      </x:c>
      <x:c r="G673" s="66" t="n">
        <x:v>1599</x:v>
      </x:c>
      <x:c r="H673" s="66" t="n">
        <x:v>335</x:v>
      </x:c>
      <x:c r="I673" s="66" t="n">
        <x:v>0.20950594121325827</x:v>
      </x:c>
      <x:c r="J673" s="36" t="str">
        <x:v>low</x:v>
      </x:c>
      <x:c r="K673" s="72" t="n">
        <x:v>29.7786592</x:v>
      </x:c>
      <x:c r="L673" s="72" t="n">
        <x:v>-95.6346705</x:v>
      </x:c>
      <x:c r="M673" s="72" t="n">
        <x:v>1.111</x:v>
      </x:c>
      <x:c r="N673" s="72" t="n">
        <x:v>0.06274608053090014</x:v>
      </x:c>
      <x:c r="O673" s="72" t="n">
        <x:v>21.23950362595505</x:v>
      </x:c>
      <x:c r="P673" s="72" t="n">
        <x:v>0</x:v>
      </x:c>
      <x:c r="Q673" s="72" t="n">
        <x:v>273.7118519538572</x:v>
      </x:c>
      <x:c r="R673" s="36" t="str">
        <x:v>tract internal point; no person, address, building, parcel, or route condition</x:v>
      </x:c>
    </x:row>
    <x:row r="674" ht="86.4000015258789" hidden="0" customHeight="1">
      <x:c r="A674" s="34" t="str">
        <x:v>48201450600</x:v>
      </x:c>
      <x:c r="B674" s="62" t="n">
        <x:v>5678</x:v>
      </x:c>
      <x:c r="C674" s="62" t="n">
        <x:v>456</x:v>
      </x:c>
      <x:c r="D674" s="62" t="n">
        <x:v>383.5</x:v>
      </x:c>
      <x:c r="E674" s="43" t="n">
        <x:v>0.08030996829869673</x:v>
      </x:c>
      <x:c r="F674" s="43" t="n">
        <x:v>0.06754138781261007</x:v>
      </x:c>
      <x:c r="G674" s="65" t="n">
        <x:v>2784</x:v>
      </x:c>
      <x:c r="H674" s="65" t="n">
        <x:v>1270</x:v>
      </x:c>
      <x:c r="I674" s="65" t="n">
        <x:v>0.4561781609195402</x:v>
      </x:c>
      <x:c r="J674" s="34" t="str">
        <x:v>low</x:v>
      </x:c>
      <x:c r="K674" s="71" t="n">
        <x:v>29.7709259</x:v>
      </x:c>
      <x:c r="L674" s="71" t="n">
        <x:v>-95.6163028</x:v>
      </x:c>
      <x:c r="M674" s="71" t="n">
        <x:v>0.718</x:v>
      </x:c>
      <x:c r="N674" s="71" t="n">
        <x:v>0.11934503654506463</x:v>
      </x:c>
      <x:c r="O674" s="71" t="n">
        <x:v>23.425343759500677</x:v>
      </x:c>
      <x:c r="P674" s="71" t="n">
        <x:v>0</x:v>
      </x:c>
      <x:c r="Q674" s="71" t="n">
        <x:v>456.4457842140452</x:v>
      </x:c>
      <x:c r="R674" s="34" t="str">
        <x:v>tract internal point; no person, address, building, parcel, or route condition</x:v>
      </x:c>
    </x:row>
    <x:row r="675" ht="86.4000015258789" hidden="0" customHeight="1">
      <x:c r="A675" s="36" t="str">
        <x:v>48201450700</x:v>
      </x:c>
      <x:c r="B675" s="63" t="n">
        <x:v>6866</x:v>
      </x:c>
      <x:c r="C675" s="63" t="n">
        <x:v>472</x:v>
      </x:c>
      <x:c r="D675" s="63" t="n">
        <x:v>30</x:v>
      </x:c>
      <x:c r="E675" s="45" t="n">
        <x:v>0.06874453830468978</x:v>
      </x:c>
      <x:c r="F675" s="45" t="n">
        <x:v>0.004369356248179435</x:v>
      </x:c>
      <x:c r="G675" s="66" t="n">
        <x:v>2317</x:v>
      </x:c>
      <x:c r="H675" s="66" t="n">
        <x:v>14</x:v>
      </x:c>
      <x:c r="I675" s="66" t="n">
        <x:v>0.006042296072507553</x:v>
      </x:c>
      <x:c r="J675" s="36" t="str">
        <x:v>high</x:v>
      </x:c>
      <x:c r="K675" s="72" t="n">
        <x:v>29.7667791</x:v>
      </x:c>
      <x:c r="L675" s="72" t="n">
        <x:v>-95.5828997</x:v>
      </x:c>
      <x:c r="M675" s="72" t="n">
        <x:v>1.691</x:v>
      </x:c>
      <x:c r="N675" s="72" t="n">
        <x:v>0.1079633632030248</x:v>
      </x:c>
      <x:c r="O675" s="72" t="n">
        <x:v>25.353754688249865</x:v>
      </x:c>
      <x:c r="P675" s="72" t="n">
        <x:v>3</x:v>
      </x:c>
      <x:c r="Q675" s="72" t="n">
        <x:v>1178.7786596928574</x:v>
      </x:c>
      <x:c r="R675" s="36" t="str">
        <x:v>tract internal point; no person, address, building, parcel, or route condition</x:v>
      </x:c>
    </x:row>
    <x:row r="676" ht="86.4000015258789" hidden="0" customHeight="1">
      <x:c r="A676" s="34" t="str">
        <x:v>48201450801</x:v>
      </x:c>
      <x:c r="B676" s="62" t="n">
        <x:v>2244</x:v>
      </x:c>
      <x:c r="C676" s="62" t="n">
        <x:v>181</x:v>
      </x:c>
      <x:c r="D676" s="62" t="n">
        <x:v>84</x:v>
      </x:c>
      <x:c r="E676" s="43" t="n">
        <x:v>0.08065953654188948</x:v>
      </x:c>
      <x:c r="F676" s="43" t="n">
        <x:v>0.0374331550802139</x:v>
      </x:c>
      <x:c r="G676" s="65" t="n">
        <x:v>1207</x:v>
      </x:c>
      <x:c r="H676" s="65" t="n">
        <x:v>489</x:v>
      </x:c>
      <x:c r="I676" s="65" t="n">
        <x:v>0.40513670256835127</x:v>
      </x:c>
      <x:c r="J676" s="34" t="str">
        <x:v>moderate</x:v>
      </x:c>
      <x:c r="K676" s="71" t="n">
        <x:v>29.75982</x:v>
      </x:c>
      <x:c r="L676" s="71" t="n">
        <x:v>-95.5680076</x:v>
      </x:c>
      <x:c r="M676" s="71" t="n">
        <x:v>0.349</x:v>
      </x:c>
      <x:c r="N676" s="71" t="n">
        <x:v>0.05295102486168722</x:v>
      </x:c>
      <x:c r="O676" s="71" t="n">
        <x:v>24.06499554270156</x:v>
      </x:c>
      <x:c r="P676" s="71" t="n">
        <x:v>3</x:v>
      </x:c>
      <x:c r="Q676" s="71" t="n">
        <x:v>318.23696210174774</x:v>
      </x:c>
      <x:c r="R676" s="34" t="str">
        <x:v>tract internal point; no person, address, building, parcel, or route condition</x:v>
      </x:c>
    </x:row>
    <x:row r="677" ht="86.4000015258789" hidden="0" customHeight="1">
      <x:c r="A677" s="36" t="str">
        <x:v>48201450803</x:v>
      </x:c>
      <x:c r="B677" s="63" t="n">
        <x:v>4179</x:v>
      </x:c>
      <x:c r="C677" s="63" t="n">
        <x:v>588</x:v>
      </x:c>
      <x:c r="D677" s="63" t="n">
        <x:v>482</x:v>
      </x:c>
      <x:c r="E677" s="45" t="n">
        <x:v>0.1407035175879397</x:v>
      </x:c>
      <x:c r="F677" s="45" t="n">
        <x:v>0.11533859775065805</x:v>
      </x:c>
      <x:c r="G677" s="66" t="n">
        <x:v>1978</x:v>
      </x:c>
      <x:c r="H677" s="66" t="n">
        <x:v>256</x:v>
      </x:c>
      <x:c r="I677" s="66" t="n">
        <x:v>0.12942366026289182</x:v>
      </x:c>
      <x:c r="J677" s="36" t="str">
        <x:v>low</x:v>
      </x:c>
      <x:c r="K677" s="72" t="n">
        <x:v>29.7530873</x:v>
      </x:c>
      <x:c r="L677" s="72" t="n">
        <x:v>-95.5683386</x:v>
      </x:c>
      <x:c r="M677" s="72" t="n">
        <x:v>0.418</x:v>
      </x:c>
      <x:c r="N677" s="72" t="n">
        <x:v>0.047349727146499605</x:v>
      </x:c>
      <x:c r="O677" s="72" t="n">
        <x:v>22.423882440438064</x:v>
      </x:c>
      <x:c r="P677" s="72" t="n">
        <x:v>3</x:v>
      </x:c>
      <x:c r="Q677" s="72" t="n">
        <x:v>341.4805973694904</x:v>
      </x:c>
      <x:c r="R677" s="36" t="str">
        <x:v>tract internal point; no person, address, building, parcel, or route condition</x:v>
      </x:c>
    </x:row>
    <x:row r="678" ht="86.4000015258789" hidden="0" customHeight="1">
      <x:c r="A678" s="34" t="str">
        <x:v>48201450804</x:v>
      </x:c>
      <x:c r="B678" s="62" t="n">
        <x:v>2310</x:v>
      </x:c>
      <x:c r="C678" s="62" t="n">
        <x:v>100</x:v>
      </x:c>
      <x:c r="D678" s="62" t="n">
        <x:v>12</x:v>
      </x:c>
      <x:c r="E678" s="43" t="n">
        <x:v>0.04329004329004329</x:v>
      </x:c>
      <x:c r="F678" s="43" t="n">
        <x:v>0.005194805194805195</x:v>
      </x:c>
      <x:c r="G678" s="65" t="n">
        <x:v>1313</x:v>
      </x:c>
      <x:c r="H678" s="65" t="n">
        <x:v>410</x:v>
      </x:c>
      <x:c r="I678" s="65" t="n">
        <x:v>0.31226199543031224</x:v>
      </x:c>
      <x:c r="J678" s="34" t="str">
        <x:v>low</x:v>
      </x:c>
      <x:c r="K678" s="71" t="n">
        <x:v>29.7526509</x:v>
      </x:c>
      <x:c r="L678" s="71" t="n">
        <x:v>-95.5599479</x:v>
      </x:c>
      <x:c r="M678" s="71" t="n">
        <x:v>0.245</x:v>
      </x:c>
      <x:c r="N678" s="71" t="n">
        <x:v>0.1134566725613729</x:v>
      </x:c>
      <x:c r="O678" s="71" t="n">
        <x:v>21.598784773419137</x:v>
      </x:c>
      <x:c r="P678" s="71" t="n">
        <x:v>3</x:v>
      </x:c>
      <x:c r="Q678" s="71" t="n">
        <x:v>183.2212227462152</x:v>
      </x:c>
      <x:c r="R678" s="34" t="str">
        <x:v>tract internal point; no person, address, building, parcel, or route condition</x:v>
      </x:c>
    </x:row>
    <x:row r="679" ht="86.4000015258789" hidden="0" customHeight="1">
      <x:c r="A679" s="36" t="str">
        <x:v>48201450900</x:v>
      </x:c>
      <x:c r="B679" s="63" t="n">
        <x:v>2783</x:v>
      </x:c>
      <x:c r="C679" s="63" t="n">
        <x:v>216</x:v>
      </x:c>
      <x:c r="D679" s="63" t="n">
        <x:v>8</x:v>
      </x:c>
      <x:c r="E679" s="45" t="n">
        <x:v>0.07761408551922386</x:v>
      </x:c>
      <x:c r="F679" s="45" t="n">
        <x:v>0.002874595759971254</x:v>
      </x:c>
      <x:c r="G679" s="66" t="n">
        <x:v>1683</x:v>
      </x:c>
      <x:c r="H679" s="66" t="n">
        <x:v>597</x:v>
      </x:c>
      <x:c r="I679" s="66" t="n">
        <x:v>0.35472370766488415</x:v>
      </x:c>
      <x:c r="J679" s="36" t="str">
        <x:v>low</x:v>
      </x:c>
      <x:c r="K679" s="72" t="n">
        <x:v>29.7420701</x:v>
      </x:c>
      <x:c r="L679" s="72" t="n">
        <x:v>-95.5651151</x:v>
      </x:c>
      <x:c r="M679" s="72" t="n">
        <x:v>0.626</x:v>
      </x:c>
      <x:c r="N679" s="72" t="n">
        <x:v>0.05796937156088724</x:v>
      </x:c>
      <x:c r="O679" s="72" t="n">
        <x:v>20.726925025059607</x:v>
      </x:c>
      <x:c r="P679" s="72" t="n">
        <x:v>3</x:v>
      </x:c>
      <x:c r="Q679" s="72" t="n">
        <x:v>222.1887425804523</x:v>
      </x:c>
      <x:c r="R679" s="36" t="str">
        <x:v>tract internal point; no person, address, building, parcel, or route condition</x:v>
      </x:c>
    </x:row>
    <x:row r="680" ht="86.4000015258789" hidden="0" customHeight="1">
      <x:c r="A680" s="34" t="str">
        <x:v>48201451003</x:v>
      </x:c>
      <x:c r="B680" s="62" t="n">
        <x:v>3829</x:v>
      </x:c>
      <x:c r="C680" s="62" t="n">
        <x:v>355</x:v>
      </x:c>
      <x:c r="D680" s="62" t="n">
        <x:v>310.5</x:v>
      </x:c>
      <x:c r="E680" s="43" t="n">
        <x:v>0.09271350221990075</x:v>
      </x:c>
      <x:c r="F680" s="43" t="n">
        <x:v>0.08109166884303996</x:v>
      </x:c>
      <x:c r="G680" s="65" t="n">
        <x:v>2027</x:v>
      </x:c>
      <x:c r="H680" s="65" t="n">
        <x:v>507</x:v>
      </x:c>
      <x:c r="I680" s="65" t="n">
        <x:v>0.2501233349777997</x:v>
      </x:c>
      <x:c r="J680" s="34" t="str">
        <x:v>low</x:v>
      </x:c>
      <x:c r="K680" s="71" t="n">
        <x:v>29.744056</x:v>
      </x:c>
      <x:c r="L680" s="71" t="n">
        <x:v>-95.5864149</x:v>
      </x:c>
      <x:c r="M680" s="71" t="n">
        <x:v>0.091</x:v>
      </x:c>
      <x:c r="N680" s="71" t="n">
        <x:v>0.10106982919991062</x:v>
      </x:c>
      <x:c r="O680" s="71" t="n">
        <x:v>24.079265901540307</x:v>
      </x:c>
      <x:c r="P680" s="71" t="n">
        <x:v>3</x:v>
      </x:c>
      <x:c r="Q680" s="71" t="n">
        <x:v>308.96181695114507</x:v>
      </x:c>
      <x:c r="R680" s="34" t="str">
        <x:v>tract internal point; no person, address, building, parcel, or route condition</x:v>
      </x:c>
    </x:row>
    <x:row r="681" ht="86.4000015258789" hidden="0" customHeight="1">
      <x:c r="A681" s="36" t="str">
        <x:v>48201451004</x:v>
      </x:c>
      <x:c r="B681" s="63" t="n">
        <x:v>1700</x:v>
      </x:c>
      <x:c r="C681" s="63" t="n">
        <x:v>163</x:v>
      </x:c>
      <x:c r="D681" s="63" t="n">
        <x:v>26</x:v>
      </x:c>
      <x:c r="E681" s="45" t="n">
        <x:v>0.09588235294117647</x:v>
      </x:c>
      <x:c r="F681" s="45" t="n">
        <x:v>0.015294117647058824</x:v>
      </x:c>
      <x:c r="G681" s="66" t="n">
        <x:v>1298</x:v>
      </x:c>
      <x:c r="H681" s="66" t="n">
        <x:v>354</x:v>
      </x:c>
      <x:c r="I681" s="66" t="n">
        <x:v>0.2727272727272727</x:v>
      </x:c>
      <x:c r="J681" s="36" t="str">
        <x:v>low</x:v>
      </x:c>
      <x:c r="K681" s="72" t="n">
        <x:v>29.7387558</x:v>
      </x:c>
      <x:c r="L681" s="72" t="n">
        <x:v>-95.5848866</x:v>
      </x:c>
      <x:c r="M681" s="72" t="n">
        <x:v>0.14</x:v>
      </x:c>
      <x:c r="N681" s="72" t="n">
        <x:v>0.030113759780529704</x:v>
      </x:c>
      <x:c r="O681" s="72" t="n">
        <x:v>23.00326117517487</x:v>
      </x:c>
      <x:c r="P681" s="72" t="n">
        <x:v>3</x:v>
      </x:c>
      <x:c r="Q681" s="72" t="n">
        <x:v>136.37845989586162</x:v>
      </x:c>
      <x:c r="R681" s="36" t="str">
        <x:v>tract internal point; no person, address, building, parcel, or route condition</x:v>
      </x:c>
    </x:row>
    <x:row r="682" ht="86.4000015258789" hidden="0" customHeight="1">
      <x:c r="A682" s="34" t="str">
        <x:v>48201451005</x:v>
      </x:c>
      <x:c r="B682" s="62" t="n">
        <x:v>1967</x:v>
      </x:c>
      <x:c r="C682" s="62" t="n">
        <x:v>347</x:v>
      </x:c>
      <x:c r="D682" s="62" t="n">
        <x:v>496</x:v>
      </x:c>
      <x:c r="E682" s="43" t="n">
        <x:v>0.17641077783426537</x:v>
      </x:c>
      <x:c r="F682" s="43" t="n">
        <x:v>0.2521606507371632</x:v>
      </x:c>
      <x:c r="G682" s="65" t="n">
        <x:v>1481</x:v>
      </x:c>
      <x:c r="H682" s="65" t="n">
        <x:v>407</x:v>
      </x:c>
      <x:c r="I682" s="65" t="n">
        <x:v>0.27481431465226197</x:v>
      </x:c>
      <x:c r="J682" s="34" t="str">
        <x:v>low</x:v>
      </x:c>
      <x:c r="K682" s="71" t="n">
        <x:v>29.7399119</x:v>
      </x:c>
      <x:c r="L682" s="71" t="n">
        <x:v>-95.5741083</x:v>
      </x:c>
      <x:c r="M682" s="71" t="n">
        <x:v>0.116</x:v>
      </x:c>
      <x:c r="N682" s="71" t="n">
        <x:v>0.20292167564681135</x:v>
      </x:c>
      <x:c r="O682" s="71" t="n">
        <x:v>22.446258542068712</x:v>
      </x:c>
      <x:c r="P682" s="71" t="n">
        <x:v>3</x:v>
      </x:c>
      <x:c r="Q682" s="71" t="n">
        <x:v>163.94966997623752</x:v>
      </x:c>
      <x:c r="R682" s="34" t="str">
        <x:v>tract internal point; no person, address, building, parcel, or route condition</x:v>
      </x:c>
    </x:row>
    <x:row r="683" ht="86.4000015258789" hidden="0" customHeight="1">
      <x:c r="A683" s="36" t="str">
        <x:v>48201451006</x:v>
      </x:c>
      <x:c r="B683" s="63" t="n">
        <x:v>2465</x:v>
      </x:c>
      <x:c r="C683" s="63" t="n">
        <x:v>484</x:v>
      </x:c>
      <x:c r="D683" s="63" t="n">
        <x:v>315</x:v>
      </x:c>
      <x:c r="E683" s="45" t="n">
        <x:v>0.19634888438133874</x:v>
      </x:c>
      <x:c r="F683" s="45" t="n">
        <x:v>0.12778904665314403</x:v>
      </x:c>
      <x:c r="G683" s="66" t="n">
        <x:v>1393</x:v>
      </x:c>
      <x:c r="H683" s="66" t="n">
        <x:v>171</x:v>
      </x:c>
      <x:c r="I683" s="66" t="n">
        <x:v>0.12275664034458005</x:v>
      </x:c>
      <x:c r="J683" s="36" t="str">
        <x:v>low</x:v>
      </x:c>
      <x:c r="K683" s="72" t="n">
        <x:v>29.743152</x:v>
      </x:c>
      <x:c r="L683" s="72" t="n">
        <x:v>-95.5786091</x:v>
      </x:c>
      <x:c r="M683" s="72" t="n">
        <x:v>0.393</x:v>
      </x:c>
      <x:c r="N683" s="72" t="n">
        <x:v>0.03775052570398327</x:v>
      </x:c>
      <x:c r="O683" s="72" t="n">
        <x:v>22.748147474685318</x:v>
      </x:c>
      <x:c r="P683" s="72" t="n">
        <x:v>3</x:v>
      </x:c>
      <x:c r="Q683" s="72" t="n">
        <x:v>203.8210350668153</x:v>
      </x:c>
      <x:c r="R683" s="36" t="str">
        <x:v>tract internal point; no person, address, building, parcel, or route condition</x:v>
      </x:c>
    </x:row>
    <x:row r="684" ht="86.4000015258789" hidden="0" customHeight="1">
      <x:c r="A684" s="34" t="str">
        <x:v>48201451100</x:v>
      </x:c>
      <x:c r="B684" s="62" t="n">
        <x:v>3935</x:v>
      </x:c>
      <x:c r="C684" s="62" t="n">
        <x:v>349</x:v>
      </x:c>
      <x:c r="D684" s="62" t="n">
        <x:v>425</x:v>
      </x:c>
      <x:c r="E684" s="43" t="n">
        <x:v>0.08869123252858958</x:v>
      </x:c>
      <x:c r="F684" s="43" t="n">
        <x:v>0.10800508259212198</x:v>
      </x:c>
      <x:c r="G684" s="65" t="n">
        <x:v>2197</x:v>
      </x:c>
      <x:c r="H684" s="65" t="n">
        <x:v>370</x:v>
      </x:c>
      <x:c r="I684" s="65" t="n">
        <x:v>0.16841147018661812</x:v>
      </x:c>
      <x:c r="J684" s="34" t="str">
        <x:v>low</x:v>
      </x:c>
      <x:c r="K684" s="71" t="n">
        <x:v>29.7560155</x:v>
      </x:c>
      <x:c r="L684" s="71" t="n">
        <x:v>-95.5807553</x:v>
      </x:c>
      <x:c r="M684" s="71" t="n">
        <x:v>0.922</x:v>
      </x:c>
      <x:c r="N684" s="71" t="n">
        <x:v>0.02546360695886079</x:v>
      </x:c>
      <x:c r="O684" s="71" t="n">
        <x:v>24.428847029579458</x:v>
      </x:c>
      <x:c r="P684" s="71" t="n">
        <x:v>3</x:v>
      </x:c>
      <x:c r="Q684" s="71" t="n">
        <x:v>318.0985135641544</x:v>
      </x:c>
      <x:c r="R684" s="34" t="str">
        <x:v>tract internal point; no person, address, building, parcel, or route condition</x:v>
      </x:c>
    </x:row>
    <x:row r="685" ht="86.4000015258789" hidden="0" customHeight="1">
      <x:c r="A685" s="36" t="str">
        <x:v>48201451200</x:v>
      </x:c>
      <x:c r="B685" s="63" t="n">
        <x:v>2770</x:v>
      </x:c>
      <x:c r="C685" s="63" t="n">
        <x:v>241</x:v>
      </x:c>
      <x:c r="D685" s="63" t="n">
        <x:v>8</x:v>
      </x:c>
      <x:c r="E685" s="45" t="n">
        <x:v>0.08700361010830325</x:v>
      </x:c>
      <x:c r="F685" s="45" t="n">
        <x:v>0.002888086642599278</x:v>
      </x:c>
      <x:c r="G685" s="66" t="n">
        <x:v>1108</x:v>
      </x:c>
      <x:c r="H685" s="66" t="n">
        <x:v>38</x:v>
      </x:c>
      <x:c r="I685" s="66" t="n">
        <x:v>0.03429602888086643</x:v>
      </x:c>
      <x:c r="J685" s="36" t="str">
        <x:v>low</x:v>
      </x:c>
      <x:c r="K685" s="72" t="n">
        <x:v>29.7548337</x:v>
      </x:c>
      <x:c r="L685" s="72" t="n">
        <x:v>-95.5970018</x:v>
      </x:c>
      <x:c r="M685" s="72" t="n">
        <x:v>0.652</x:v>
      </x:c>
      <x:c r="N685" s="72" t="n">
        <x:v>0.002217991227250362</x:v>
      </x:c>
      <x:c r="O685" s="72" t="n">
        <x:v>25.733033139675488</x:v>
      </x:c>
      <x:c r="P685" s="72" t="n">
        <x:v>3</x:v>
      </x:c>
      <x:c r="Q685" s="72" t="n">
        <x:v>221.55998066299787</x:v>
      </x:c>
      <x:c r="R685" s="36" t="str">
        <x:v>tract internal point; no person, address, building, parcel, or route condition</x:v>
      </x:c>
    </x:row>
    <x:row r="686" ht="86.4000015258789" hidden="0" customHeight="1">
      <x:c r="A686" s="34" t="str">
        <x:v>48201451301</x:v>
      </x:c>
      <x:c r="B686" s="62" t="n">
        <x:v>4018</x:v>
      </x:c>
      <x:c r="C686" s="62" t="n">
        <x:v>358</x:v>
      </x:c>
      <x:c r="D686" s="62" t="n">
        <x:v>658.5</x:v>
      </x:c>
      <x:c r="E686" s="43" t="n">
        <x:v>0.08909905425584869</x:v>
      </x:c>
      <x:c r="F686" s="43" t="n">
        <x:v>0.163887506222001</x:v>
      </x:c>
      <x:c r="G686" s="65" t="n">
        <x:v>2248</x:v>
      </x:c>
      <x:c r="H686" s="65" t="n">
        <x:v>304</x:v>
      </x:c>
      <x:c r="I686" s="65" t="n">
        <x:v>0.13523131672597866</x:v>
      </x:c>
      <x:c r="J686" s="34" t="str">
        <x:v>low</x:v>
      </x:c>
      <x:c r="K686" s="71" t="n">
        <x:v>29.7407161</x:v>
      </x:c>
      <x:c r="L686" s="71" t="n">
        <x:v>-95.5987278</x:v>
      </x:c>
      <x:c r="M686" s="71" t="n">
        <x:v>0.582</x:v>
      </x:c>
      <x:c r="N686" s="71" t="n">
        <x:v>0.023883051539109978</x:v>
      </x:c>
      <x:c r="O686" s="71" t="n">
        <x:v>24.73574981575317</x:v>
      </x:c>
      <x:c r="P686" s="71" t="n">
        <x:v>3</x:v>
      </x:c>
      <x:c r="Q686" s="71" t="n">
        <x:v>326.59858873574126</x:v>
      </x:c>
      <x:c r="R686" s="34" t="str">
        <x:v>tract internal point; no person, address, building, parcel, or route condition</x:v>
      </x:c>
    </x:row>
    <x:row r="687" ht="86.4000015258789" hidden="0" customHeight="1">
      <x:c r="A687" s="36" t="str">
        <x:v>48201451302</x:v>
      </x:c>
      <x:c r="B687" s="63" t="n">
        <x:v>3254</x:v>
      </x:c>
      <x:c r="C687" s="63" t="n">
        <x:v>333</x:v>
      </x:c>
      <x:c r="D687" s="63" t="n">
        <x:v>0</x:v>
      </x:c>
      <x:c r="E687" s="45" t="n">
        <x:v>0.10233558696988322</x:v>
      </x:c>
      <x:c r="F687" s="45" t="n">
        <x:v>0</x:v>
      </x:c>
      <x:c r="G687" s="66" t="n">
        <x:v>1294</x:v>
      </x:c>
      <x:c r="H687" s="66" t="n">
        <x:v>15</x:v>
      </x:c>
      <x:c r="I687" s="66" t="n">
        <x:v>0.011591962905718702</x:v>
      </x:c>
      <x:c r="J687" s="36" t="str">
        <x:v>low</x:v>
      </x:c>
      <x:c r="K687" s="72" t="n">
        <x:v>29.7481455</x:v>
      </x:c>
      <x:c r="L687" s="72" t="n">
        <x:v>-95.5965344</x:v>
      </x:c>
      <x:c r="M687" s="72" t="n">
        <x:v>0.608</x:v>
      </x:c>
      <x:c r="N687" s="72" t="n">
        <x:v>0.03667338369261775</x:v>
      </x:c>
      <x:c r="O687" s="72" t="n">
        <x:v>25.569022308803863</x:v>
      </x:c>
      <x:c r="P687" s="72" t="n">
        <x:v>3</x:v>
      </x:c>
      <x:c r="Q687" s="72" t="n">
        <x:v>260.9833528873894</x:v>
      </x:c>
      <x:c r="R687" s="36" t="str">
        <x:v>tract internal point; no person, address, building, parcel, or route condition</x:v>
      </x:c>
    </x:row>
    <x:row r="688" ht="86.4000015258789" hidden="0" customHeight="1">
      <x:c r="A688" s="34" t="str">
        <x:v>48201451401</x:v>
      </x:c>
      <x:c r="B688" s="62" t="n">
        <x:v>3494</x:v>
      </x:c>
      <x:c r="C688" s="62" t="n">
        <x:v>445</x:v>
      </x:c>
      <x:c r="D688" s="62" t="n">
        <x:v>179</x:v>
      </x:c>
      <x:c r="E688" s="43" t="n">
        <x:v>0.12736119061247853</x:v>
      </x:c>
      <x:c r="F688" s="43" t="n">
        <x:v>0.051230681167716084</x:v>
      </x:c>
      <x:c r="G688" s="65" t="n">
        <x:v>2116</x:v>
      </x:c>
      <x:c r="H688" s="65" t="n">
        <x:v>727</x:v>
      </x:c>
      <x:c r="I688" s="65" t="n">
        <x:v>0.3435727788279773</x:v>
      </x:c>
      <x:c r="J688" s="34" t="str">
        <x:v>low</x:v>
      </x:c>
      <x:c r="K688" s="71" t="n">
        <x:v>29.7503672</x:v>
      </x:c>
      <x:c r="L688" s="71" t="n">
        <x:v>-95.6123667</x:v>
      </x:c>
      <x:c r="M688" s="71" t="n">
        <x:v>0.419</x:v>
      </x:c>
      <x:c r="N688" s="71" t="n">
        <x:v>0.06718849118456953</x:v>
      </x:c>
      <x:c r="O688" s="71" t="n">
        <x:v>27.202921031625305</x:v>
      </x:c>
      <x:c r="P688" s="71" t="n">
        <x:v>0</x:v>
      </x:c>
      <x:c r="Q688" s="71" t="n">
        <x:v>283.01359857019827</x:v>
      </x:c>
      <x:c r="R688" s="34" t="str">
        <x:v>tract internal point; no person, address, building, parcel, or route condition</x:v>
      </x:c>
    </x:row>
    <x:row r="689" ht="86.4000015258789" hidden="0" customHeight="1">
      <x:c r="A689" s="36" t="str">
        <x:v>48201451404</x:v>
      </x:c>
      <x:c r="B689" s="63" t="n">
        <x:v>3643</x:v>
      </x:c>
      <x:c r="C689" s="63" t="n">
        <x:v>87</x:v>
      </x:c>
      <x:c r="D689" s="63" t="n">
        <x:v>350</x:v>
      </x:c>
      <x:c r="E689" s="45" t="n">
        <x:v>0.023881416415042548</x:v>
      </x:c>
      <x:c r="F689" s="45" t="n">
        <x:v>0.09607466373867692</x:v>
      </x:c>
      <x:c r="G689" s="66" t="n">
        <x:v>2581</x:v>
      </x:c>
      <x:c r="H689" s="66" t="n">
        <x:v>1292</x:v>
      </x:c>
      <x:c r="I689" s="66" t="n">
        <x:v>0.5005811700891127</x:v>
      </x:c>
      <x:c r="J689" s="36" t="str">
        <x:v>low</x:v>
      </x:c>
      <x:c r="K689" s="72" t="n">
        <x:v>29.7505376</x:v>
      </x:c>
      <x:c r="L689" s="72" t="n">
        <x:v>-95.621921</x:v>
      </x:c>
      <x:c r="M689" s="72" t="n">
        <x:v>0.217</x:v>
      </x:c>
      <x:c r="N689" s="72" t="n">
        <x:v>0.01615906396405966</x:v>
      </x:c>
      <x:c r="O689" s="72" t="n">
        <x:v>25.64396769648215</x:v>
      </x:c>
      <x:c r="P689" s="72" t="n">
        <x:v>0</x:v>
      </x:c>
      <x:c r="Q689" s="72" t="n">
        <x:v>290.4408487201286</x:v>
      </x:c>
      <x:c r="R689" s="36" t="str">
        <x:v>tract internal point; no person, address, building, parcel, or route condition</x:v>
      </x:c>
    </x:row>
    <x:row r="690" ht="86.4000015258789" hidden="0" customHeight="1">
      <x:c r="A690" s="34" t="str">
        <x:v>48201451405</x:v>
      </x:c>
      <x:c r="B690" s="62" t="n">
        <x:v>2813</x:v>
      </x:c>
      <x:c r="C690" s="62" t="n">
        <x:v>336</x:v>
      </x:c>
      <x:c r="D690" s="62" t="n">
        <x:v>290</x:v>
      </x:c>
      <x:c r="E690" s="43" t="n">
        <x:v>0.11944543192321365</x:v>
      </x:c>
      <x:c r="F690" s="43" t="n">
        <x:v>0.10309278350515463</x:v>
      </x:c>
      <x:c r="G690" s="65" t="n">
        <x:v>1470</x:v>
      </x:c>
      <x:c r="H690" s="65" t="n">
        <x:v>827</x:v>
      </x:c>
      <x:c r="I690" s="65" t="n">
        <x:v>0.5625850340136055</x:v>
      </x:c>
      <x:c r="J690" s="34" t="str">
        <x:v>low</x:v>
      </x:c>
      <x:c r="K690" s="71" t="n">
        <x:v>29.7412332</x:v>
      </x:c>
      <x:c r="L690" s="71" t="n">
        <x:v>-95.6211734</x:v>
      </x:c>
      <x:c r="M690" s="71" t="n">
        <x:v>0.239</x:v>
      </x:c>
      <x:c r="N690" s="71" t="n">
        <x:v>0.040272679413139514</x:v>
      </x:c>
      <x:c r="O690" s="71" t="n">
        <x:v>26.52945124435554</x:v>
      </x:c>
      <x:c r="P690" s="71" t="n">
        <x:v>3</x:v>
      </x:c>
      <x:c r="Q690" s="71" t="n">
        <x:v>228.6492712822964</x:v>
      </x:c>
      <x:c r="R690" s="34" t="str">
        <x:v>tract internal point; no person, address, building, parcel, or route condition</x:v>
      </x:c>
    </x:row>
    <x:row r="691" ht="86.4000015258789" hidden="0" customHeight="1">
      <x:c r="A691" s="36" t="str">
        <x:v>48201451406</x:v>
      </x:c>
      <x:c r="B691" s="63" t="n">
        <x:v>2444</x:v>
      </x:c>
      <x:c r="C691" s="63" t="n">
        <x:v>343</x:v>
      </x:c>
      <x:c r="D691" s="63" t="n">
        <x:v>140</x:v>
      </x:c>
      <x:c r="E691" s="45" t="n">
        <x:v>0.14034369885433715</x:v>
      </x:c>
      <x:c r="F691" s="45" t="n">
        <x:v>0.057283142389525366</x:v>
      </x:c>
      <x:c r="G691" s="66" t="n">
        <x:v>1862</x:v>
      </x:c>
      <x:c r="H691" s="66" t="n">
        <x:v>510</x:v>
      </x:c>
      <x:c r="I691" s="66" t="n">
        <x:v>0.2738990332975295</x:v>
      </x:c>
      <x:c r="J691" s="36" t="str">
        <x:v>low</x:v>
      </x:c>
      <x:c r="K691" s="72" t="n">
        <x:v>29.7417968</x:v>
      </x:c>
      <x:c r="L691" s="72" t="n">
        <x:v>-95.6111916</x:v>
      </x:c>
      <x:c r="M691" s="72" t="n">
        <x:v>0.422</x:v>
      </x:c>
      <x:c r="N691" s="72" t="n">
        <x:v>0.08783779699989923</x:v>
      </x:c>
      <x:c r="O691" s="72" t="n">
        <x:v>26.524561863235146</x:v>
      </x:c>
      <x:c r="P691" s="72" t="n">
        <x:v>3</x:v>
      </x:c>
      <x:c r="Q691" s="72" t="n">
        <x:v>198.5787325800392</x:v>
      </x:c>
      <x:c r="R691" s="36" t="str">
        <x:v>tract internal point; no person, address, building, parcel, or route condition</x:v>
      </x:c>
    </x:row>
    <x:row r="692" ht="86.4000015258789" hidden="0" customHeight="1">
      <x:c r="A692" s="34" t="str">
        <x:v>48201451407</x:v>
      </x:c>
      <x:c r="B692" s="62" t="n">
        <x:v>1785</x:v>
      </x:c>
      <x:c r="C692" s="62" t="n">
        <x:v>250</x:v>
      </x:c>
      <x:c r="D692" s="62" t="n">
        <x:v>145</x:v>
      </x:c>
      <x:c r="E692" s="43" t="n">
        <x:v>0.1400560224089636</x:v>
      </x:c>
      <x:c r="F692" s="43" t="n">
        <x:v>0.08123249299719888</x:v>
      </x:c>
      <x:c r="G692" s="65" t="n">
        <x:v>1273</x:v>
      </x:c>
      <x:c r="H692" s="65" t="n">
        <x:v>230</x:v>
      </x:c>
      <x:c r="I692" s="65" t="n">
        <x:v>0.18067556952081698</x:v>
      </x:c>
      <x:c r="J692" s="34" t="str">
        <x:v>moderate</x:v>
      </x:c>
      <x:c r="K692" s="71" t="n">
        <x:v>29.739641</x:v>
      </x:c>
      <x:c r="L692" s="71" t="n">
        <x:v>-95.6163322</x:v>
      </x:c>
      <x:c r="M692" s="71" t="n">
        <x:v>0.103</x:v>
      </x:c>
      <x:c r="N692" s="71" t="n">
        <x:v>0.138884016258389</x:v>
      </x:c>
      <x:c r="O692" s="71" t="n">
        <x:v>26.1348238712371</x:v>
      </x:c>
      <x:c r="P692" s="71" t="n">
        <x:v>3</x:v>
      </x:c>
      <x:c r="Q692" s="71" t="n">
        <x:v>257.17873870802345</x:v>
      </x:c>
      <x:c r="R692" s="34" t="str">
        <x:v>tract internal point; no person, address, building, parcel, or route condition</x:v>
      </x:c>
    </x:row>
    <x:row r="693" ht="86.4000015258789" hidden="0" customHeight="1">
      <x:c r="A693" s="36" t="str">
        <x:v>48201451501</x:v>
      </x:c>
      <x:c r="B693" s="63" t="n">
        <x:v>2984</x:v>
      </x:c>
      <x:c r="C693" s="63" t="n">
        <x:v>168</x:v>
      </x:c>
      <x:c r="D693" s="63" t="n">
        <x:v>59</x:v>
      </x:c>
      <x:c r="E693" s="45" t="n">
        <x:v>0.05630026809651475</x:v>
      </x:c>
      <x:c r="F693" s="45" t="n">
        <x:v>0.019772117962466487</x:v>
      </x:c>
      <x:c r="G693" s="66" t="n">
        <x:v>2097</x:v>
      </x:c>
      <x:c r="H693" s="66" t="n">
        <x:v>1009</x:v>
      </x:c>
      <x:c r="I693" s="66" t="n">
        <x:v>0.48116356700047686</x:v>
      </x:c>
      <x:c r="J693" s="36" t="str">
        <x:v>low</x:v>
      </x:c>
      <x:c r="K693" s="72" t="n">
        <x:v>29.7601723</x:v>
      </x:c>
      <x:c r="L693" s="72" t="n">
        <x:v>-95.6223627</x:v>
      </x:c>
      <x:c r="M693" s="72" t="n">
        <x:v>0.295</x:v>
      </x:c>
      <x:c r="N693" s="72" t="n">
        <x:v>0.1916083378982361</x:v>
      </x:c>
      <x:c r="O693" s="72" t="n">
        <x:v>25.383001705325107</x:v>
      </x:c>
      <x:c r="P693" s="72" t="n">
        <x:v>0</x:v>
      </x:c>
      <x:c r="Q693" s="72" t="n">
        <x:v>237.6327071779263</x:v>
      </x:c>
      <x:c r="R693" s="36" t="str">
        <x:v>tract internal point; no person, address, building, parcel, or route condition</x:v>
      </x:c>
    </x:row>
    <x:row r="694" ht="86.4000015258789" hidden="0" customHeight="1">
      <x:c r="A694" s="34" t="str">
        <x:v>48201451502</x:v>
      </x:c>
      <x:c r="B694" s="62" t="n">
        <x:v>2747</x:v>
      </x:c>
      <x:c r="C694" s="62" t="n">
        <x:v>323</x:v>
      </x:c>
      <x:c r="D694" s="62" t="n">
        <x:v>205</x:v>
      </x:c>
      <x:c r="E694" s="43" t="n">
        <x:v>0.11758281761922097</x:v>
      </x:c>
      <x:c r="F694" s="43" t="n">
        <x:v>0.07462686567164178</x:v>
      </x:c>
      <x:c r="G694" s="65" t="n">
        <x:v>1566</x:v>
      </x:c>
      <x:c r="H694" s="65" t="n">
        <x:v>317</x:v>
      </x:c>
      <x:c r="I694" s="65" t="n">
        <x:v>0.20242656449553</x:v>
      </x:c>
      <x:c r="J694" s="34" t="str">
        <x:v>moderate</x:v>
      </x:c>
      <x:c r="K694" s="71" t="n">
        <x:v>29.7596259</x:v>
      </x:c>
      <x:c r="L694" s="71" t="n">
        <x:v>-95.6143903</x:v>
      </x:c>
      <x:c r="M694" s="71" t="n">
        <x:v>0.471</x:v>
      </x:c>
      <x:c r="N694" s="71" t="n">
        <x:v>0.012925806137987085</x:v>
      </x:c>
      <x:c r="O694" s="71" t="n">
        <x:v>27.168355510388047</x:v>
      </x:c>
      <x:c r="P694" s="71" t="n">
        <x:v>0</x:v>
      </x:c>
      <x:c r="Q694" s="71" t="n">
        <x:v>393.8123308434674</x:v>
      </x:c>
      <x:c r="R694" s="34" t="str">
        <x:v>tract internal point; no person, address, building, parcel, or route condition</x:v>
      </x:c>
    </x:row>
    <x:row r="695" ht="86.4000015258789" hidden="0" customHeight="1">
      <x:c r="A695" s="36" t="str">
        <x:v>48201451603</x:v>
      </x:c>
      <x:c r="B695" s="63" t="n">
        <x:v>3301</x:v>
      </x:c>
      <x:c r="C695" s="63" t="n">
        <x:v>224</x:v>
      </x:c>
      <x:c r="D695" s="63" t="n">
        <x:v>128</x:v>
      </x:c>
      <x:c r="E695" s="45" t="n">
        <x:v>0.06785822478036958</x:v>
      </x:c>
      <x:c r="F695" s="45" t="n">
        <x:v>0.03877612844592548</x:v>
      </x:c>
      <x:c r="G695" s="66" t="n">
        <x:v>1660</x:v>
      </x:c>
      <x:c r="H695" s="66" t="n">
        <x:v>547</x:v>
      </x:c>
      <x:c r="I695" s="66" t="n">
        <x:v>0.32951807228915664</x:v>
      </x:c>
      <x:c r="J695" s="36" t="str">
        <x:v>low</x:v>
      </x:c>
      <x:c r="K695" s="72" t="n">
        <x:v>29.7594273</x:v>
      </x:c>
      <x:c r="L695" s="72" t="n">
        <x:v>-95.633117</x:v>
      </x:c>
      <x:c r="M695" s="72" t="n">
        <x:v>0.509</x:v>
      </x:c>
      <x:c r="N695" s="72" t="n">
        <x:v>0.02773653916827607</x:v>
      </x:c>
      <x:c r="O695" s="72" t="n">
        <x:v>23.55056095697119</x:v>
      </x:c>
      <x:c r="P695" s="72" t="n">
        <x:v>0</x:v>
      </x:c>
      <x:c r="Q695" s="72" t="n">
        <x:v>263.9699719952979</x:v>
      </x:c>
      <x:c r="R695" s="36" t="str">
        <x:v>tract internal point; no person, address, building, parcel, or route condition</x:v>
      </x:c>
    </x:row>
    <x:row r="696" ht="86.4000015258789" hidden="0" customHeight="1">
      <x:c r="A696" s="34" t="str">
        <x:v>48201451604</x:v>
      </x:c>
      <x:c r="B696" s="62" t="n">
        <x:v>3516</x:v>
      </x:c>
      <x:c r="C696" s="62" t="n">
        <x:v>433</x:v>
      </x:c>
      <x:c r="D696" s="62" t="n">
        <x:v>147</x:v>
      </x:c>
      <x:c r="E696" s="43" t="n">
        <x:v>0.12315130830489192</x:v>
      </x:c>
      <x:c r="F696" s="43" t="n">
        <x:v>0.041808873720136516</x:v>
      </x:c>
      <x:c r="G696" s="65" t="n">
        <x:v>1904</x:v>
      </x:c>
      <x:c r="H696" s="65" t="n">
        <x:v>536</x:v>
      </x:c>
      <x:c r="I696" s="65" t="n">
        <x:v>0.2815126050420168</x:v>
      </x:c>
      <x:c r="J696" s="34" t="str">
        <x:v>low</x:v>
      </x:c>
      <x:c r="K696" s="71" t="n">
        <x:v>29.7681348</x:v>
      </x:c>
      <x:c r="L696" s="71" t="n">
        <x:v>-95.632999</x:v>
      </x:c>
      <x:c r="M696" s="71" t="n">
        <x:v>0.774</x:v>
      </x:c>
      <x:c r="N696" s="71" t="n">
        <x:v>0.022338951916137155</x:v>
      </x:c>
      <x:c r="O696" s="71" t="n">
        <x:v>22.28489546946403</x:v>
      </x:c>
      <x:c r="P696" s="71" t="n">
        <x:v>0</x:v>
      </x:c>
      <x:c r="Q696" s="71" t="n">
        <x:v>284.3025605009799</x:v>
      </x:c>
      <x:c r="R696" s="34" t="str">
        <x:v>tract internal point; no person, address, building, parcel, or route condition</x:v>
      </x:c>
    </x:row>
    <x:row r="697" ht="86.4000015258789" hidden="0" customHeight="1">
      <x:c r="A697" s="36" t="str">
        <x:v>48201451605</x:v>
      </x:c>
      <x:c r="B697" s="63" t="n">
        <x:v>3156</x:v>
      </x:c>
      <x:c r="C697" s="63" t="n">
        <x:v>275</x:v>
      </x:c>
      <x:c r="D697" s="63" t="n">
        <x:v>0</x:v>
      </x:c>
      <x:c r="E697" s="45" t="n">
        <x:v>0.08713561470215463</x:v>
      </x:c>
      <x:c r="F697" s="45" t="n">
        <x:v>0</x:v>
      </x:c>
      <x:c r="G697" s="66" t="n">
        <x:v>2068</x:v>
      </x:c>
      <x:c r="H697" s="66" t="n">
        <x:v>1088</x:v>
      </x:c>
      <x:c r="I697" s="66" t="n">
        <x:v>0.5261121856866537</x:v>
      </x:c>
      <x:c r="J697" s="36" t="str">
        <x:v>low</x:v>
      </x:c>
      <x:c r="K697" s="72" t="n">
        <x:v>29.7474047</x:v>
      </x:c>
      <x:c r="L697" s="72" t="n">
        <x:v>-95.6270511</x:v>
      </x:c>
      <x:c r="M697" s="72" t="n">
        <x:v>0.34</x:v>
      </x:c>
      <x:c r="N697" s="72" t="n">
        <x:v>0.11527520274561602</x:v>
      </x:c>
      <x:c r="O697" s="72" t="n">
        <x:v>26.07103515301197</x:v>
      </x:c>
      <x:c r="P697" s="72" t="n">
        <x:v>0</x:v>
      </x:c>
      <x:c r="Q697" s="72" t="n">
        <x:v>252.369314618264</x:v>
      </x:c>
      <x:c r="R697" s="36" t="str">
        <x:v>tract internal point; no person, address, building, parcel, or route condition</x:v>
      </x:c>
    </x:row>
    <x:row r="698" ht="86.4000015258789" hidden="0" customHeight="1">
      <x:c r="A698" s="34" t="str">
        <x:v>48201451606</x:v>
      </x:c>
      <x:c r="B698" s="62" t="n">
        <x:v>6423</x:v>
      </x:c>
      <x:c r="C698" s="62" t="n">
        <x:v>261</x:v>
      </x:c>
      <x:c r="D698" s="62" t="n">
        <x:v>120</x:v>
      </x:c>
      <x:c r="E698" s="43" t="n">
        <x:v>0.0406352171882298</x:v>
      </x:c>
      <x:c r="F698" s="43" t="n">
        <x:v>0.018682858477347034</x:v>
      </x:c>
      <x:c r="G698" s="65" t="n">
        <x:v>2284</x:v>
      </x:c>
      <x:c r="H698" s="65" t="n">
        <x:v>208</x:v>
      </x:c>
      <x:c r="I698" s="65" t="n">
        <x:v>0.09106830122591944</x:v>
      </x:c>
      <x:c r="J698" s="34" t="str">
        <x:v>low</x:v>
      </x:c>
      <x:c r="K698" s="71" t="n">
        <x:v>29.7444334</x:v>
      </x:c>
      <x:c r="L698" s="71" t="n">
        <x:v>-95.6370778</x:v>
      </x:c>
      <x:c r="M698" s="71" t="n">
        <x:v>1.309</x:v>
      </x:c>
      <x:c r="N698" s="71" t="n">
        <x:v>0.03632916588444367</x:v>
      </x:c>
      <x:c r="O698" s="71" t="n">
        <x:v>25.08956561818534</x:v>
      </x:c>
      <x:c r="P698" s="71" t="n">
        <x:v>0</x:v>
      </x:c>
      <x:c r="Q698" s="71" t="n">
        <x:v>509.86303886378147</x:v>
      </x:c>
      <x:c r="R698" s="34" t="str">
        <x:v>tract internal point; no person, address, building, parcel, or route condition</x:v>
      </x:c>
    </x:row>
    <x:row r="699" ht="86.4000015258789" hidden="0" customHeight="1">
      <x:c r="A699" s="36" t="str">
        <x:v>48201451700</x:v>
      </x:c>
      <x:c r="B699" s="63" t="n">
        <x:v>4962</x:v>
      </x:c>
      <x:c r="C699" s="63" t="n">
        <x:v>216</x:v>
      </x:c>
      <x:c r="D699" s="63" t="n">
        <x:v>126</x:v>
      </x:c>
      <x:c r="E699" s="45" t="n">
        <x:v>0.04353083434099154</x:v>
      </x:c>
      <x:c r="F699" s="45" t="n">
        <x:v>0.02539298669891173</x:v>
      </x:c>
      <x:c r="G699" s="66" t="n">
        <x:v>2142</x:v>
      </x:c>
      <x:c r="H699" s="66" t="n">
        <x:v>277</x:v>
      </x:c>
      <x:c r="I699" s="66" t="n">
        <x:v>0.1293183940242764</x:v>
      </x:c>
      <x:c r="J699" s="36" t="str">
        <x:v>moderate</x:v>
      </x:c>
      <x:c r="K699" s="72" t="n">
        <x:v>29.7324585</x:v>
      </x:c>
      <x:c r="L699" s="72" t="n">
        <x:v>-95.633194</x:v>
      </x:c>
      <x:c r="M699" s="72" t="n">
        <x:v>0.675</x:v>
      </x:c>
      <x:c r="N699" s="72" t="n">
        <x:v>0.09866186934232422</x:v>
      </x:c>
      <x:c r="O699" s="72" t="n">
        <x:v>25.828484786653483</x:v>
      </x:c>
      <x:c r="P699" s="72" t="n">
        <x:v>0</x:v>
      </x:c>
      <x:c r="Q699" s="72" t="n">
        <x:v>697.7407272717599</x:v>
      </x:c>
      <x:c r="R699" s="36" t="str">
        <x:v>tract internal point; no person, address, building, parcel, or route condition</x:v>
      </x:c>
    </x:row>
    <x:row r="700" ht="86.4000015258789" hidden="0" customHeight="1">
      <x:c r="A700" s="34" t="str">
        <x:v>48201451800</x:v>
      </x:c>
      <x:c r="B700" s="62" t="n">
        <x:v>5758</x:v>
      </x:c>
      <x:c r="C700" s="62" t="n">
        <x:v>836</x:v>
      </x:c>
      <x:c r="D700" s="62" t="n">
        <x:v>295.5</x:v>
      </x:c>
      <x:c r="E700" s="43" t="n">
        <x:v>0.145189301840917</x:v>
      </x:c>
      <x:c r="F700" s="43" t="n">
        <x:v>0.051319902744008335</x:v>
      </x:c>
      <x:c r="G700" s="65" t="n">
        <x:v>1974</x:v>
      </x:c>
      <x:c r="H700" s="65" t="n">
        <x:v>89</x:v>
      </x:c>
      <x:c r="I700" s="65" t="n">
        <x:v>0.04508611955420466</x:v>
      </x:c>
      <x:c r="J700" s="34" t="str">
        <x:v>moderate</x:v>
      </x:c>
      <x:c r="K700" s="71" t="n">
        <x:v>29.7188585</x:v>
      </x:c>
      <x:c r="L700" s="71" t="n">
        <x:v>-95.6342779</x:v>
      </x:c>
      <x:c r="M700" s="71" t="n">
        <x:v>1.829</x:v>
      </x:c>
      <x:c r="N700" s="71" t="n">
        <x:v>0.0320804216403724</x:v>
      </x:c>
      <x:c r="O700" s="71" t="n">
        <x:v>25.08187671335483</x:v>
      </x:c>
      <x:c r="P700" s="71" t="n">
        <x:v>3</x:v>
      </x:c>
      <x:c r="Q700" s="71" t="n">
        <x:v>828.0265446453651</x:v>
      </x:c>
      <x:c r="R700" s="34" t="str">
        <x:v>tract internal point; no person, address, building, parcel, or route condition</x:v>
      </x:c>
    </x:row>
    <x:row r="701" ht="86.4000015258789" hidden="0" customHeight="1">
      <x:c r="A701" s="36" t="str">
        <x:v>48201451902</x:v>
      </x:c>
      <x:c r="B701" s="63" t="n">
        <x:v>2520</x:v>
      </x:c>
      <x:c r="C701" s="63" t="n">
        <x:v>272</x:v>
      </x:c>
      <x:c r="D701" s="63" t="n">
        <x:v>19</x:v>
      </x:c>
      <x:c r="E701" s="45" t="n">
        <x:v>0.10793650793650794</x:v>
      </x:c>
      <x:c r="F701" s="45" t="n">
        <x:v>0.00753968253968254</x:v>
      </x:c>
      <x:c r="G701" s="66" t="n">
        <x:v>948</x:v>
      </x:c>
      <x:c r="H701" s="66" t="n">
        <x:v>0</x:v>
      </x:c>
      <x:c r="I701" s="66" t="n">
        <x:v>0</x:v>
      </x:c>
      <x:c r="J701" s="36" t="str">
        <x:v>moderate</x:v>
      </x:c>
      <x:c r="K701" s="72" t="n">
        <x:v>29.7225162</x:v>
      </x:c>
      <x:c r="L701" s="72" t="n">
        <x:v>-95.5987045</x:v>
      </x:c>
      <x:c r="M701" s="72" t="n">
        <x:v>0.794</x:v>
      </x:c>
      <x:c r="N701" s="72" t="n">
        <x:v>0.03313133440661922</x:v>
      </x:c>
      <x:c r="O701" s="72" t="n">
        <x:v>22.582778537894303</x:v>
      </x:c>
      <x:c r="P701" s="72" t="n">
        <x:v>3</x:v>
      </x:c>
      <x:c r="Q701" s="72" t="n">
        <x:v>358.24254367855144</x:v>
      </x:c>
      <x:c r="R701" s="36" t="str">
        <x:v>tract internal point; no person, address, building, parcel, or route condition</x:v>
      </x:c>
    </x:row>
    <x:row r="702" ht="86.4000015258789" hidden="0" customHeight="1">
      <x:c r="A702" s="34" t="str">
        <x:v>48201451903</x:v>
      </x:c>
      <x:c r="B702" s="62" t="n">
        <x:v>3846</x:v>
      </x:c>
      <x:c r="C702" s="62" t="n">
        <x:v>406</x:v>
      </x:c>
      <x:c r="D702" s="62" t="n">
        <x:v>929.5</x:v>
      </x:c>
      <x:c r="E702" s="43" t="n">
        <x:v>0.10556422256890276</x:v>
      </x:c>
      <x:c r="F702" s="43" t="n">
        <x:v>0.24167966718668746</x:v>
      </x:c>
      <x:c r="G702" s="65" t="n">
        <x:v>2181</x:v>
      </x:c>
      <x:c r="H702" s="65" t="n">
        <x:v>597</x:v>
      </x:c>
      <x:c r="I702" s="65" t="n">
        <x:v>0.2737276478679505</x:v>
      </x:c>
      <x:c r="J702" s="34" t="str">
        <x:v>high</x:v>
      </x:c>
      <x:c r="K702" s="71" t="n">
        <x:v>29.716624</x:v>
      </x:c>
      <x:c r="L702" s="71" t="n">
        <x:v>-95.6095615</x:v>
      </x:c>
      <x:c r="M702" s="71" t="n">
        <x:v>0.224</x:v>
      </x:c>
      <x:c r="N702" s="71" t="n">
        <x:v>0.0439386771781642</x:v>
      </x:c>
      <x:c r="O702" s="71" t="n">
        <x:v>21.574189168606846</x:v>
      </x:c>
      <x:c r="P702" s="71" t="n">
        <x:v>3</x:v>
      </x:c>
      <x:c r="Q702" s="71" t="n">
        <x:v>680.5392521992475</x:v>
      </x:c>
      <x:c r="R702" s="34" t="str">
        <x:v>tract internal point; no person, address, building, parcel, or route condition</x:v>
      </x:c>
    </x:row>
    <x:row r="703" ht="86.4000015258789" hidden="0" customHeight="1">
      <x:c r="A703" s="36" t="str">
        <x:v>48201451904</x:v>
      </x:c>
      <x:c r="B703" s="63" t="n">
        <x:v>3540</x:v>
      </x:c>
      <x:c r="C703" s="63" t="n">
        <x:v>606</x:v>
      </x:c>
      <x:c r="D703" s="63" t="n">
        <x:v>0</x:v>
      </x:c>
      <x:c r="E703" s="45" t="n">
        <x:v>0.1711864406779661</x:v>
      </x:c>
      <x:c r="F703" s="45" t="n">
        <x:v>0</x:v>
      </x:c>
      <x:c r="G703" s="66" t="n">
        <x:v>1411</x:v>
      </x:c>
      <x:c r="H703" s="66" t="n">
        <x:v>316</x:v>
      </x:c>
      <x:c r="I703" s="66" t="n">
        <x:v>0.22395464209780297</x:v>
      </x:c>
      <x:c r="J703" s="36" t="str">
        <x:v>high</x:v>
      </x:c>
      <x:c r="K703" s="72" t="n">
        <x:v>29.7245785</x:v>
      </x:c>
      <x:c r="L703" s="72" t="n">
        <x:v>-95.6117408</x:v>
      </x:c>
      <x:c r="M703" s="72" t="n">
        <x:v>0.577</x:v>
      </x:c>
      <x:c r="N703" s="72" t="n">
        <x:v>0.020789249850888956</x:v>
      </x:c>
      <x:c r="O703" s="72" t="n">
        <x:v>23.040240948060283</x:v>
      </x:c>
      <x:c r="P703" s="72" t="n">
        <x:v>3</x:v>
      </x:c>
      <x:c r="Q703" s="72" t="n">
        <x:v>619.7754586649467</x:v>
      </x:c>
      <x:c r="R703" s="36" t="str">
        <x:v>tract internal point; no person, address, building, parcel, or route condition</x:v>
      </x:c>
    </x:row>
    <x:row r="704" ht="86.4000015258789" hidden="0" customHeight="1">
      <x:c r="A704" s="34" t="str">
        <x:v>48201452001</x:v>
      </x:c>
      <x:c r="B704" s="62" t="n">
        <x:v>6370</x:v>
      </x:c>
      <x:c r="C704" s="62" t="n">
        <x:v>743</x:v>
      </x:c>
      <x:c r="D704" s="62" t="n">
        <x:v>129</x:v>
      </x:c>
      <x:c r="E704" s="43" t="n">
        <x:v>0.11664050235478807</x:v>
      </x:c>
      <x:c r="F704" s="43" t="n">
        <x:v>0.020251177394034536</x:v>
      </x:c>
      <x:c r="G704" s="65" t="n">
        <x:v>2222</x:v>
      </x:c>
      <x:c r="H704" s="65" t="n">
        <x:v>174</x:v>
      </x:c>
      <x:c r="I704" s="65" t="n">
        <x:v>0.0783078307830783</x:v>
      </x:c>
      <x:c r="J704" s="34" t="str">
        <x:v>high</x:v>
      </x:c>
      <x:c r="K704" s="71" t="n">
        <x:v>29.7323603</x:v>
      </x:c>
      <x:c r="L704" s="71" t="n">
        <x:v>-95.6130668</x:v>
      </x:c>
      <x:c r="M704" s="71" t="n">
        <x:v>0.418</x:v>
      </x:c>
      <x:c r="N704" s="71" t="n">
        <x:v>0.060591311818423914</x:v>
      </x:c>
      <x:c r="O704" s="71" t="n">
        <x:v>24.44367604635562</x:v>
      </x:c>
      <x:c r="P704" s="71" t="n">
        <x:v>3</x:v>
      </x:c>
      <x:c r="Q704" s="71" t="n">
        <x:v>1105.6657402682451</x:v>
      </x:c>
      <x:c r="R704" s="34" t="str">
        <x:v>tract internal point; no person, address, building, parcel, or route condition</x:v>
      </x:c>
    </x:row>
    <x:row r="705" ht="86.4000015258789" hidden="0" customHeight="1">
      <x:c r="A705" s="36" t="str">
        <x:v>48201452002</x:v>
      </x:c>
      <x:c r="B705" s="63" t="n">
        <x:v>3562</x:v>
      </x:c>
      <x:c r="C705" s="63" t="n">
        <x:v>659</x:v>
      </x:c>
      <x:c r="D705" s="63" t="n">
        <x:v>360</x:v>
      </x:c>
      <x:c r="E705" s="45" t="n">
        <x:v>0.1850084222346996</x:v>
      </x:c>
      <x:c r="F705" s="45" t="n">
        <x:v>0.10106681639528355</x:v>
      </x:c>
      <x:c r="G705" s="66" t="n">
        <x:v>2189</x:v>
      </x:c>
      <x:c r="H705" s="66" t="n">
        <x:v>1339</x:v>
      </x:c>
      <x:c r="I705" s="66" t="n">
        <x:v>0.6116948378254911</x:v>
      </x:c>
      <x:c r="J705" s="36" t="str">
        <x:v>moderate</x:v>
      </x:c>
      <x:c r="K705" s="72" t="n">
        <x:v>29.7314304</x:v>
      </x:c>
      <x:c r="L705" s="72" t="n">
        <x:v>-95.6023918</x:v>
      </x:c>
      <x:c r="M705" s="72" t="n">
        <x:v>0.338</x:v>
      </x:c>
      <x:c r="N705" s="72" t="n">
        <x:v>0.15837856044559623</x:v>
      </x:c>
      <x:c r="O705" s="72" t="n">
        <x:v>24.243700099731406</x:v>
      </x:c>
      <x:c r="P705" s="72" t="n">
        <x:v>3</x:v>
      </x:c>
      <x:c r="Q705" s="72" t="n">
        <x:v>518.6403133999381</x:v>
      </x:c>
      <x:c r="R705" s="36" t="str">
        <x:v>tract internal point; no person, address, building, parcel, or route condition</x:v>
      </x:c>
    </x:row>
    <x:row r="706" ht="86.4000015258789" hidden="0" customHeight="1">
      <x:c r="A706" s="34" t="str">
        <x:v>48201452101</x:v>
      </x:c>
      <x:c r="B706" s="62" t="n">
        <x:v>6997</x:v>
      </x:c>
      <x:c r="C706" s="62" t="n">
        <x:v>1081</x:v>
      </x:c>
      <x:c r="D706" s="62" t="n">
        <x:v>255</x:v>
      </x:c>
      <x:c r="E706" s="43" t="n">
        <x:v>0.1544947834786337</x:v>
      </x:c>
      <x:c r="F706" s="43" t="n">
        <x:v>0.036444190367300275</x:v>
      </x:c>
      <x:c r="G706" s="65" t="n">
        <x:v>3843</x:v>
      </x:c>
      <x:c r="H706" s="65" t="n">
        <x:v>1749</x:v>
      </x:c>
      <x:c r="I706" s="65" t="n">
        <x:v>0.45511319281811086</x:v>
      </x:c>
      <x:c r="J706" s="34" t="str">
        <x:v>moderate</x:v>
      </x:c>
      <x:c r="K706" s="71" t="n">
        <x:v>29.7267911</x:v>
      </x:c>
      <x:c r="L706" s="71" t="n">
        <x:v>-95.5858055</x:v>
      </x:c>
      <x:c r="M706" s="71" t="n">
        <x:v>1.417</x:v>
      </x:c>
      <x:c r="N706" s="71" t="n">
        <x:v>0.09659754101100698</x:v>
      </x:c>
      <x:c r="O706" s="71" t="n">
        <x:v>21.846249161279562</x:v>
      </x:c>
      <x:c r="P706" s="71" t="n">
        <x:v>3</x:v>
      </x:c>
      <x:c r="Q706" s="71" t="n">
        <x:v>1006.5637933959282</x:v>
      </x:c>
      <x:c r="R706" s="34" t="str">
        <x:v>tract internal point; no person, address, building, parcel, or route condition</x:v>
      </x:c>
    </x:row>
    <x:row r="707" ht="86.4000015258789" hidden="0" customHeight="1">
      <x:c r="A707" s="36" t="str">
        <x:v>48201452102</x:v>
      </x:c>
      <x:c r="B707" s="63" t="n">
        <x:v>1818</x:v>
      </x:c>
      <x:c r="C707" s="63" t="n">
        <x:v>76</x:v>
      </x:c>
      <x:c r="D707" s="63" t="n">
        <x:v>99</x:v>
      </x:c>
      <x:c r="E707" s="45" t="n">
        <x:v>0.041804180418041806</x:v>
      </x:c>
      <x:c r="F707" s="45" t="n">
        <x:v>0.054455445544554455</x:v>
      </x:c>
      <x:c r="G707" s="66" t="n">
        <x:v>1026</x:v>
      </x:c>
      <x:c r="H707" s="66" t="n">
        <x:v>537</x:v>
      </x:c>
      <x:c r="I707" s="66" t="n">
        <x:v>0.5233918128654971</x:v>
      </x:c>
      <x:c r="J707" s="36" t="str">
        <x:v>low</x:v>
      </x:c>
      <x:c r="K707" s="72" t="n">
        <x:v>29.7347268</x:v>
      </x:c>
      <x:c r="L707" s="72" t="n">
        <x:v>-95.5783081</x:v>
      </x:c>
      <x:c r="M707" s="72" t="n">
        <x:v>0.074</x:v>
      </x:c>
      <x:c r="N707" s="72" t="n">
        <x:v>0.2071801496298026</x:v>
      </x:c>
      <x:c r="O707" s="72" t="n">
        <x:v>22.228984969856818</x:v>
      </x:c>
      <x:c r="P707" s="72" t="n">
        <x:v>3</x:v>
      </x:c>
      <x:c r="Q707" s="72" t="n">
        <x:v>144.85888625752796</x:v>
      </x:c>
      <x:c r="R707" s="36" t="str">
        <x:v>tract internal point; no person, address, building, parcel, or route condition</x:v>
      </x:c>
    </x:row>
    <x:row r="708" ht="86.4000015258789" hidden="0" customHeight="1">
      <x:c r="A708" s="34" t="str">
        <x:v>48201452103</x:v>
      </x:c>
      <x:c r="B708" s="62" t="n">
        <x:v>2513</x:v>
      </x:c>
      <x:c r="C708" s="62" t="n">
        <x:v>141</x:v>
      </x:c>
      <x:c r="D708" s="62" t="n">
        <x:v>105</x:v>
      </x:c>
      <x:c r="E708" s="43" t="n">
        <x:v>0.05610823716673299</x:v>
      </x:c>
      <x:c r="F708" s="43" t="n">
        <x:v>0.04178272980501393</x:v>
      </x:c>
      <x:c r="G708" s="65" t="n">
        <x:v>983</x:v>
      </x:c>
      <x:c r="H708" s="65" t="n">
        <x:v>399</x:v>
      </x:c>
      <x:c r="I708" s="65" t="n">
        <x:v>0.4059003051881994</x:v>
      </x:c>
      <x:c r="J708" s="34" t="str">
        <x:v>low</x:v>
      </x:c>
      <x:c r="K708" s="71" t="n">
        <x:v>29.7315502</x:v>
      </x:c>
      <x:c r="L708" s="71" t="n">
        <x:v>-95.5754462</x:v>
      </x:c>
      <x:c r="M708" s="71" t="n">
        <x:v>0.249</x:v>
      </x:c>
      <x:c r="N708" s="71" t="n">
        <x:v>0.019228983604098377</x:v>
      </x:c>
      <x:c r="O708" s="71" t="n">
        <x:v>21.253950393316316</x:v>
      </x:c>
      <x:c r="P708" s="71" t="n">
        <x:v>3</x:v>
      </x:c>
      <x:c r="Q708" s="71" t="n">
        <x:v>200.55147309605238</x:v>
      </x:c>
      <x:c r="R708" s="34" t="str">
        <x:v>tract internal point; no person, address, building, parcel, or route condition</x:v>
      </x:c>
    </x:row>
    <x:row r="709" ht="86.4000015258789" hidden="0" customHeight="1">
      <x:c r="A709" s="36" t="str">
        <x:v>48201452202</x:v>
      </x:c>
      <x:c r="B709" s="63" t="n">
        <x:v>3110</x:v>
      </x:c>
      <x:c r="C709" s="63" t="n">
        <x:v>327</x:v>
      </x:c>
      <x:c r="D709" s="63" t="n">
        <x:v>353</x:v>
      </x:c>
      <x:c r="E709" s="45" t="n">
        <x:v>0.10514469453376206</x:v>
      </x:c>
      <x:c r="F709" s="45" t="n">
        <x:v>0.11350482315112541</x:v>
      </x:c>
      <x:c r="G709" s="66" t="n">
        <x:v>1936</x:v>
      </x:c>
      <x:c r="H709" s="66" t="n">
        <x:v>825</x:v>
      </x:c>
      <x:c r="I709" s="66" t="n">
        <x:v>0.42613636363636365</x:v>
      </x:c>
      <x:c r="J709" s="36" t="str">
        <x:v>low</x:v>
      </x:c>
      <x:c r="K709" s="72" t="n">
        <x:v>29.7227148</x:v>
      </x:c>
      <x:c r="L709" s="72" t="n">
        <x:v>-95.5647321</x:v>
      </x:c>
      <x:c r="M709" s="72" t="n">
        <x:v>0.578</x:v>
      </x:c>
      <x:c r="N709" s="72" t="n">
        <x:v>0.14952405940522992</x:v>
      </x:c>
      <x:c r="O709" s="72" t="n">
        <x:v>19.07094927453076</x:v>
      </x:c>
      <x:c r="P709" s="72" t="n">
        <x:v>3</x:v>
      </x:c>
      <x:c r="Q709" s="72" t="n">
        <x:v>252.34573604635946</x:v>
      </x:c>
      <x:c r="R709" s="36" t="str">
        <x:v>tract internal point; no person, address, building, parcel, or route condition</x:v>
      </x:c>
    </x:row>
    <x:row r="710" ht="86.4000015258789" hidden="0" customHeight="1">
      <x:c r="A710" s="34" t="str">
        <x:v>48201452203</x:v>
      </x:c>
      <x:c r="B710" s="62" t="n">
        <x:v>2195</x:v>
      </x:c>
      <x:c r="C710" s="62" t="n">
        <x:v>480</x:v>
      </x:c>
      <x:c r="D710" s="62" t="n">
        <x:v>340</x:v>
      </x:c>
      <x:c r="E710" s="43" t="n">
        <x:v>0.21867881548974943</x:v>
      </x:c>
      <x:c r="F710" s="43" t="n">
        <x:v>0.1548974943052392</x:v>
      </x:c>
      <x:c r="G710" s="65" t="n">
        <x:v>1633</x:v>
      </x:c>
      <x:c r="H710" s="65" t="n">
        <x:v>513</x:v>
      </x:c>
      <x:c r="I710" s="65" t="n">
        <x:v>0.31414574402939377</x:v>
      </x:c>
      <x:c r="J710" s="34" t="str">
        <x:v>low</x:v>
      </x:c>
      <x:c r="K710" s="71" t="n">
        <x:v>29.7317086</x:v>
      </x:c>
      <x:c r="L710" s="71" t="n">
        <x:v>-95.5619818</x:v>
      </x:c>
      <x:c r="M710" s="71" t="n">
        <x:v>0.307</x:v>
      </x:c>
      <x:c r="N710" s="71" t="n">
        <x:v>0.056554412544221846</x:v>
      </x:c>
      <x:c r="O710" s="71" t="n">
        <x:v>19.36446100054592</x:v>
      </x:c>
      <x:c r="P710" s="71" t="n">
        <x:v>3</x:v>
      </x:c>
      <x:c r="Q710" s="71" t="n">
        <x:v>182.73393226018806</x:v>
      </x:c>
      <x:c r="R710" s="34" t="str">
        <x:v>tract internal point; no person, address, building, parcel, or route condition</x:v>
      </x:c>
    </x:row>
    <x:row r="711" ht="86.4000015258789" hidden="0" customHeight="1">
      <x:c r="A711" s="36" t="str">
        <x:v>48201452204</x:v>
      </x:c>
      <x:c r="B711" s="63" t="n">
        <x:v>2414</x:v>
      </x:c>
      <x:c r="C711" s="63" t="n">
        <x:v>269</x:v>
      </x:c>
      <x:c r="D711" s="63" t="n">
        <x:v>340.5</x:v>
      </x:c>
      <x:c r="E711" s="45" t="n">
        <x:v>0.11143330571665286</x:v>
      </x:c>
      <x:c r="F711" s="45" t="n">
        <x:v>0.14105219552609777</x:v>
      </x:c>
      <x:c r="G711" s="66" t="n">
        <x:v>1515</x:v>
      </x:c>
      <x:c r="H711" s="66" t="n">
        <x:v>835</x:v>
      </x:c>
      <x:c r="I711" s="66" t="n">
        <x:v>0.5511551155115512</x:v>
      </x:c>
      <x:c r="J711" s="36" t="str">
        <x:v>low</x:v>
      </x:c>
      <x:c r="K711" s="72" t="n">
        <x:v>29.7330201</x:v>
      </x:c>
      <x:c r="L711" s="72" t="n">
        <x:v>-95.5683818</x:v>
      </x:c>
      <x:c r="M711" s="72" t="n">
        <x:v>0.219</x:v>
      </x:c>
      <x:c r="N711" s="72" t="n">
        <x:v>0.0241862114924775</x:v>
      </x:c>
      <x:c r="O711" s="72" t="n">
        <x:v>20.22210948524388</x:v>
      </x:c>
      <x:c r="P711" s="72" t="n">
        <x:v>3</x:v>
      </x:c>
      <x:c r="Q711" s="72" t="n">
        <x:v>196.6335003979146</x:v>
      </x:c>
      <x:c r="R711" s="36" t="str">
        <x:v>tract internal point; no person, address, building, parcel, or route condition</x:v>
      </x:c>
    </x:row>
    <x:row r="712" ht="86.4000015258789" hidden="0" customHeight="1">
      <x:c r="A712" s="34" t="str">
        <x:v>48201452300</x:v>
      </x:c>
      <x:c r="B712" s="62" t="n">
        <x:v>2216</x:v>
      </x:c>
      <x:c r="C712" s="62" t="n">
        <x:v>356</x:v>
      </x:c>
      <x:c r="D712" s="62" t="n">
        <x:v>63</x:v>
      </x:c>
      <x:c r="E712" s="43" t="n">
        <x:v>0.16064981949458484</x:v>
      </x:c>
      <x:c r="F712" s="43" t="n">
        <x:v>0.028429602888086644</x:v>
      </x:c>
      <x:c r="G712" s="65" t="n">
        <x:v>877</x:v>
      </x:c>
      <x:c r="H712" s="65" t="n">
        <x:v>92</x:v>
      </x:c>
      <x:c r="I712" s="65" t="n">
        <x:v>0.10490307867730901</x:v>
      </x:c>
      <x:c r="J712" s="34" t="str">
        <x:v>high</x:v>
      </x:c>
      <x:c r="K712" s="71" t="n">
        <x:v>29.7078193</x:v>
      </x:c>
      <x:c r="L712" s="71" t="n">
        <x:v>-95.5654888</x:v>
      </x:c>
      <x:c r="M712" s="71" t="n">
        <x:v>0.776</x:v>
      </x:c>
      <x:c r="N712" s="71" t="n">
        <x:v>0.2738798883563281</x:v>
      </x:c>
      <x:c r="O712" s="71" t="n">
        <x:v>20.328336909765397</x:v>
      </x:c>
      <x:c r="P712" s="71" t="n">
        <x:v>3</x:v>
      </x:c>
      <x:c r="Q712" s="71" t="n">
        <x:v>388.24839245276274</x:v>
      </x:c>
      <x:c r="R712" s="34" t="str">
        <x:v>tract internal point; no person, address, building, parcel, or route condition</x:v>
      </x:c>
    </x:row>
    <x:row r="713" ht="86.4000015258789" hidden="0" customHeight="1">
      <x:c r="A713" s="36" t="str">
        <x:v>48201452401</x:v>
      </x:c>
      <x:c r="B713" s="63" t="n">
        <x:v>3187</x:v>
      </x:c>
      <x:c r="C713" s="63" t="n">
        <x:v>491</x:v>
      </x:c>
      <x:c r="D713" s="63" t="n">
        <x:v>0</x:v>
      </x:c>
      <x:c r="E713" s="45" t="n">
        <x:v>0.1540633824913712</x:v>
      </x:c>
      <x:c r="F713" s="45" t="n">
        <x:v>0</x:v>
      </x:c>
      <x:c r="G713" s="66" t="n">
        <x:v>1351</x:v>
      </x:c>
      <x:c r="H713" s="66" t="n">
        <x:v>111</x:v>
      </x:c>
      <x:c r="I713" s="66" t="n">
        <x:v>0.08216136195410807</x:v>
      </x:c>
      <x:c r="J713" s="36" t="str">
        <x:v>high</x:v>
      </x:c>
      <x:c r="K713" s="72" t="n">
        <x:v>29.7139369</x:v>
      </x:c>
      <x:c r="L713" s="72" t="n">
        <x:v>-95.5795752</x:v>
      </x:c>
      <x:c r="M713" s="72" t="n">
        <x:v>0.341</x:v>
      </x:c>
      <x:c r="N713" s="72" t="n">
        <x:v>0.038277807578430564</x:v>
      </x:c>
      <x:c r="O713" s="72" t="n">
        <x:v>20.161377407532626</x:v>
      </x:c>
      <x:c r="P713" s="72" t="n">
        <x:v>3</x:v>
      </x:c>
      <x:c r="Q713" s="72" t="n">
        <x:v>556.1254060980232</x:v>
      </x:c>
      <x:c r="R713" s="36" t="str">
        <x:v>tract internal point; no person, address, building, parcel, or route condition</x:v>
      </x:c>
    </x:row>
    <x:row r="714" ht="86.4000015258789" hidden="0" customHeight="1">
      <x:c r="A714" s="34" t="str">
        <x:v>48201452402</x:v>
      </x:c>
      <x:c r="B714" s="62" t="n">
        <x:v>3887</x:v>
      </x:c>
      <x:c r="C714" s="62" t="n">
        <x:v>550</x:v>
      </x:c>
      <x:c r="D714" s="62" t="n">
        <x:v>237.5</x:v>
      </x:c>
      <x:c r="E714" s="43" t="n">
        <x:v>0.14149729868793415</x:v>
      </x:c>
      <x:c r="F714" s="43" t="n">
        <x:v>0.061101106251607924</x:v>
      </x:c>
      <x:c r="G714" s="65" t="n">
        <x:v>1402</x:v>
      </x:c>
      <x:c r="H714" s="65" t="n">
        <x:v>191</x:v>
      </x:c>
      <x:c r="I714" s="65" t="n">
        <x:v>0.1362339514978602</x:v>
      </x:c>
      <x:c r="J714" s="34" t="str">
        <x:v>moderate</x:v>
      </x:c>
      <x:c r="K714" s="71" t="n">
        <x:v>29.7084956</x:v>
      </x:c>
      <x:c r="L714" s="71" t="n">
        <x:v>-95.5807871</x:v>
      </x:c>
      <x:c r="M714" s="71" t="n">
        <x:v>0.528</x:v>
      </x:c>
      <x:c r="N714" s="71" t="n">
        <x:v>0.05430443853673369</x:v>
      </x:c>
      <x:c r="O714" s="71" t="n">
        <x:v>20.34737705729438</x:v>
      </x:c>
      <x:c r="P714" s="71" t="n">
        <x:v>3</x:v>
      </x:c>
      <x:c r="Q714" s="71" t="n">
        <x:v>559.0978176049123</x:v>
      </x:c>
      <x:c r="R714" s="34" t="str">
        <x:v>tract internal point; no person, address, building, parcel, or route condition</x:v>
      </x:c>
    </x:row>
    <x:row r="715" ht="86.4000015258789" hidden="0" customHeight="1">
      <x:c r="A715" s="36" t="str">
        <x:v>48201452501</x:v>
      </x:c>
      <x:c r="B715" s="63" t="n">
        <x:v>2479</x:v>
      </x:c>
      <x:c r="C715" s="63" t="n">
        <x:v>387</x:v>
      </x:c>
      <x:c r="D715" s="63" t="n">
        <x:v>73</x:v>
      </x:c>
      <x:c r="E715" s="45" t="n">
        <x:v>0.15611133521581283</x:v>
      </x:c>
      <x:c r="F715" s="45" t="n">
        <x:v>0.02944735780556676</x:v>
      </x:c>
      <x:c r="G715" s="66" t="n">
        <x:v>915</x:v>
      </x:c>
      <x:c r="H715" s="66" t="n">
        <x:v>268</x:v>
      </x:c>
      <x:c r="I715" s="66" t="n">
        <x:v>0.292896174863388</x:v>
      </x:c>
      <x:c r="J715" s="36" t="str">
        <x:v>low</x:v>
      </x:c>
      <x:c r="K715" s="72" t="n">
        <x:v>29.7093273</x:v>
      </x:c>
      <x:c r="L715" s="72" t="n">
        <x:v>-95.5961331</x:v>
      </x:c>
      <x:c r="M715" s="72" t="n">
        <x:v>0.786</x:v>
      </x:c>
      <x:c r="N715" s="72" t="n">
        <x:v>0.0201964110663398</x:v>
      </x:c>
      <x:c r="O715" s="72" t="n">
        <x:v>21.137522207743665</x:v>
      </x:c>
      <x:c r="P715" s="72" t="n">
        <x:v>3</x:v>
      </x:c>
      <x:c r="Q715" s="72" t="n">
        <x:v>201.49461597223404</x:v>
      </x:c>
      <x:c r="R715" s="36" t="str">
        <x:v>tract internal point; no person, address, building, parcel, or route condition</x:v>
      </x:c>
    </x:row>
    <x:row r="716" ht="86.4000015258789" hidden="0" customHeight="1">
      <x:c r="A716" s="34" t="str">
        <x:v>48201452502</x:v>
      </x:c>
      <x:c r="B716" s="62" t="n">
        <x:v>4498</x:v>
      </x:c>
      <x:c r="C716" s="62" t="n">
        <x:v>760</x:v>
      </x:c>
      <x:c r="D716" s="62" t="n">
        <x:v>250</x:v>
      </x:c>
      <x:c r="E716" s="43" t="n">
        <x:v>0.16896398399288573</x:v>
      </x:c>
      <x:c r="F716" s="43" t="n">
        <x:v>0.05558025789239662</x:v>
      </x:c>
      <x:c r="G716" s="65" t="n">
        <x:v>1870</x:v>
      </x:c>
      <x:c r="H716" s="65" t="n">
        <x:v>161</x:v>
      </x:c>
      <x:c r="I716" s="65" t="n">
        <x:v>0.08609625668449197</x:v>
      </x:c>
      <x:c r="J716" s="34" t="str">
        <x:v>low</x:v>
      </x:c>
      <x:c r="K716" s="71" t="n">
        <x:v>29.7086575</x:v>
      </x:c>
      <x:c r="L716" s="71" t="n">
        <x:v>-95.6095718</x:v>
      </x:c>
      <x:c r="M716" s="71" t="n">
        <x:v>0.437</x:v>
      </x:c>
      <x:c r="N716" s="71" t="n">
        <x:v>0.1337137755743308</x:v>
      </x:c>
      <x:c r="O716" s="71" t="n">
        <x:v>22.11835532182497</x:v>
      </x:c>
      <x:c r="P716" s="71" t="n">
        <x:v>3</x:v>
      </x:c>
      <x:c r="Q716" s="71" t="n">
        <x:v>367.43274551242115</x:v>
      </x:c>
      <x:c r="R716" s="34" t="str">
        <x:v>tract internal point; no person, address, building, parcel, or route condition</x:v>
      </x:c>
    </x:row>
    <x:row r="717" ht="86.4000015258789" hidden="0" customHeight="1">
      <x:c r="A717" s="36" t="str">
        <x:v>48201452601</x:v>
      </x:c>
      <x:c r="B717" s="63" t="n">
        <x:v>5351</x:v>
      </x:c>
      <x:c r="C717" s="63" t="n">
        <x:v>518</x:v>
      </x:c>
      <x:c r="D717" s="63" t="n">
        <x:v>973</x:v>
      </x:c>
      <x:c r="E717" s="45" t="n">
        <x:v>0.09680433563819847</x:v>
      </x:c>
      <x:c r="F717" s="45" t="n">
        <x:v>0.1818351709960755</x:v>
      </x:c>
      <x:c r="G717" s="66" t="n">
        <x:v>2102</x:v>
      </x:c>
      <x:c r="H717" s="66" t="n">
        <x:v>856</x:v>
      </x:c>
      <x:c r="I717" s="66" t="n">
        <x:v>0.4072312083729781</x:v>
      </x:c>
      <x:c r="J717" s="36" t="str">
        <x:v>moderate</x:v>
      </x:c>
      <x:c r="K717" s="72" t="n">
        <x:v>29.7077035</x:v>
      </x:c>
      <x:c r="L717" s="72" t="n">
        <x:v>-95.639154</x:v>
      </x:c>
      <x:c r="M717" s="72" t="n">
        <x:v>0.293</x:v>
      </x:c>
      <x:c r="N717" s="72" t="n">
        <x:v>0.03768107410568883</x:v>
      </x:c>
      <x:c r="O717" s="72" t="n">
        <x:v>23.224855048325317</x:v>
      </x:c>
      <x:c r="P717" s="72" t="n">
        <x:v>3</x:v>
      </x:c>
      <x:c r="Q717" s="72" t="n">
        <x:v>772.0089967196949</x:v>
      </x:c>
      <x:c r="R717" s="36" t="str">
        <x:v>tract internal point; no person, address, building, parcel, or route condition</x:v>
      </x:c>
    </x:row>
    <x:row r="718" ht="86.4000015258789" hidden="0" customHeight="1">
      <x:c r="A718" s="34" t="str">
        <x:v>48201452602</x:v>
      </x:c>
      <x:c r="B718" s="62" t="n">
        <x:v>2929</x:v>
      </x:c>
      <x:c r="C718" s="62" t="n">
        <x:v>586</x:v>
      </x:c>
      <x:c r="D718" s="62" t="n">
        <x:v>292</x:v>
      </x:c>
      <x:c r="E718" s="43" t="n">
        <x:v>0.200068282690338</x:v>
      </x:c>
      <x:c r="F718" s="43" t="n">
        <x:v>0.09969272789347901</x:v>
      </x:c>
      <x:c r="G718" s="65" t="n">
        <x:v>1012</x:v>
      </x:c>
      <x:c r="H718" s="65" t="n">
        <x:v>186</x:v>
      </x:c>
      <x:c r="I718" s="65" t="n">
        <x:v>0.18379446640316205</x:v>
      </x:c>
      <x:c r="J718" s="34" t="str">
        <x:v>low</x:v>
      </x:c>
      <x:c r="K718" s="71" t="n">
        <x:v>29.7081626</x:v>
      </x:c>
      <x:c r="L718" s="71" t="n">
        <x:v>-95.6241896</x:v>
      </x:c>
      <x:c r="M718" s="71" t="n">
        <x:v>0.724</x:v>
      </x:c>
      <x:c r="N718" s="71" t="n">
        <x:v>0.02423876291812595</x:v>
      </x:c>
      <x:c r="O718" s="71" t="n">
        <x:v>22.858012483810203</x:v>
      </x:c>
      <x:c r="P718" s="71" t="n">
        <x:v>3</x:v>
      </x:c>
      <x:c r="Q718" s="71" t="n">
        <x:v>241.71180011741174</x:v>
      </x:c>
      <x:c r="R718" s="34" t="str">
        <x:v>tract internal point; no person, address, building, parcel, or route condition</x:v>
      </x:c>
    </x:row>
    <x:row r="719" ht="86.4000015258789" hidden="0" customHeight="1">
      <x:c r="A719" s="36" t="str">
        <x:v>48201452701</x:v>
      </x:c>
      <x:c r="B719" s="63" t="n">
        <x:v>4022</x:v>
      </x:c>
      <x:c r="C719" s="63" t="n">
        <x:v>428</x:v>
      </x:c>
      <x:c r="D719" s="63" t="n">
        <x:v>35</x:v>
      </x:c>
      <x:c r="E719" s="45" t="n">
        <x:v>0.10641471904525111</x:v>
      </x:c>
      <x:c r="F719" s="45" t="n">
        <x:v>0.00870213823968175</x:v>
      </x:c>
      <x:c r="G719" s="66" t="n">
        <x:v>1299</x:v>
      </x:c>
      <x:c r="H719" s="66" t="n">
        <x:v>59</x:v>
      </x:c>
      <x:c r="I719" s="66" t="n">
        <x:v>0.04541955350269438</x:v>
      </x:c>
      <x:c r="J719" s="36" t="str">
        <x:v>low</x:v>
      </x:c>
      <x:c r="K719" s="72" t="n">
        <x:v>29.6963073</x:v>
      </x:c>
      <x:c r="L719" s="72" t="n">
        <x:v>-95.618999</x:v>
      </x:c>
      <x:c r="M719" s="72" t="n">
        <x:v>0.551</x:v>
      </x:c>
      <x:c r="N719" s="72" t="n">
        <x:v>0.033885966001582266</x:v>
      </x:c>
      <x:c r="O719" s="72" t="n">
        <x:v>24.46829678127613</x:v>
      </x:c>
      <x:c r="P719" s="72" t="n">
        <x:v>3</x:v>
      </x:c>
      <x:c r="Q719" s="72" t="n">
        <x:v>323.11288985585344</x:v>
      </x:c>
      <x:c r="R719" s="36" t="str">
        <x:v>tract internal point; no person, address, building, parcel, or route condition</x:v>
      </x:c>
    </x:row>
    <x:row r="720" ht="86.4000015258789" hidden="0" customHeight="1">
      <x:c r="A720" s="34" t="str">
        <x:v>48201452702</x:v>
      </x:c>
      <x:c r="B720" s="62" t="n">
        <x:v>4187</x:v>
      </x:c>
      <x:c r="C720" s="62" t="n">
        <x:v>929</x:v>
      </x:c>
      <x:c r="D720" s="62" t="n">
        <x:v>569</x:v>
      </x:c>
      <x:c r="E720" s="43" t="n">
        <x:v>0.22187723907332219</x:v>
      </x:c>
      <x:c r="F720" s="43" t="n">
        <x:v>0.1358968235013136</x:v>
      </x:c>
      <x:c r="G720" s="65" t="n">
        <x:v>1506</x:v>
      </x:c>
      <x:c r="H720" s="65" t="n">
        <x:v>570</x:v>
      </x:c>
      <x:c r="I720" s="65" t="n">
        <x:v>0.3784860557768924</x:v>
      </x:c>
      <x:c r="J720" s="34" t="str">
        <x:v>low</x:v>
      </x:c>
      <x:c r="K720" s="71" t="n">
        <x:v>29.6955682</x:v>
      </x:c>
      <x:c r="L720" s="71" t="n">
        <x:v>-95.6307057</x:v>
      </x:c>
      <x:c r="M720" s="71" t="n">
        <x:v>0.682</x:v>
      </x:c>
      <x:c r="N720" s="71" t="n">
        <x:v>0.19141303941851442</x:v>
      </x:c>
      <x:c r="O720" s="71" t="n">
        <x:v>26.12548507922185</x:v>
      </x:c>
      <x:c r="P720" s="71" t="n">
        <x:v>3</x:v>
      </x:c>
      <x:c r="Q720" s="71" t="n">
        <x:v>348.15333321847527</x:v>
      </x:c>
      <x:c r="R720" s="34" t="str">
        <x:v>tract internal point; no person, address, building, parcel, or route condition</x:v>
      </x:c>
    </x:row>
    <x:row r="721" ht="86.4000015258789" hidden="0" customHeight="1">
      <x:c r="A721" s="36" t="str">
        <x:v>48201452703</x:v>
      </x:c>
      <x:c r="B721" s="63" t="n">
        <x:v>4034</x:v>
      </x:c>
      <x:c r="C721" s="63" t="n">
        <x:v>227</x:v>
      </x:c>
      <x:c r="D721" s="63" t="n">
        <x:v>239.5</x:v>
      </x:c>
      <x:c r="E721" s="45" t="n">
        <x:v>0.05627169062964799</x:v>
      </x:c>
      <x:c r="F721" s="45" t="n">
        <x:v>0.05937035200793257</x:v>
      </x:c>
      <x:c r="G721" s="66" t="n">
        <x:v>1475</x:v>
      </x:c>
      <x:c r="H721" s="66" t="n">
        <x:v>301</x:v>
      </x:c>
      <x:c r="I721" s="66" t="n">
        <x:v>0.2040677966101695</x:v>
      </x:c>
      <x:c r="J721" s="36" t="str">
        <x:v>low</x:v>
      </x:c>
      <x:c r="K721" s="72" t="n">
        <x:v>29.6970297</x:v>
      </x:c>
      <x:c r="L721" s="72" t="n">
        <x:v>-95.6391055</x:v>
      </x:c>
      <x:c r="M721" s="72" t="n">
        <x:v>0.548</x:v>
      </x:c>
      <x:c r="N721" s="72" t="n">
        <x:v>0.041231695289225496</x:v>
      </x:c>
      <x:c r="O721" s="72" t="n">
        <x:v>25.240929661313984</x:v>
      </x:c>
      <x:c r="P721" s="72" t="n">
        <x:v>3</x:v>
      </x:c>
      <x:c r="Q721" s="72" t="n">
        <x:v>322.5037767483194</x:v>
      </x:c>
      <x:c r="R721" s="36" t="str">
        <x:v>tract internal point; no person, address, building, parcel, or route condition</x:v>
      </x:c>
    </x:row>
    <x:row r="722" ht="86.4000015258789" hidden="0" customHeight="1">
      <x:c r="A722" s="34" t="str">
        <x:v>48201452801</x:v>
      </x:c>
      <x:c r="B722" s="62" t="n">
        <x:v>5413</x:v>
      </x:c>
      <x:c r="C722" s="62" t="n">
        <x:v>600</x:v>
      </x:c>
      <x:c r="D722" s="62" t="n">
        <x:v>231</x:v>
      </x:c>
      <x:c r="E722" s="43" t="n">
        <x:v>0.11084426380934786</x:v>
      </x:c>
      <x:c r="F722" s="43" t="n">
        <x:v>0.04267504156659893</x:v>
      </x:c>
      <x:c r="G722" s="65" t="n">
        <x:v>2007</x:v>
      </x:c>
      <x:c r="H722" s="65" t="n">
        <x:v>74</x:v>
      </x:c>
      <x:c r="I722" s="65" t="n">
        <x:v>0.03687095166915795</x:v>
      </x:c>
      <x:c r="J722" s="34" t="str">
        <x:v>high</x:v>
      </x:c>
      <x:c r="K722" s="71" t="n">
        <x:v>29.6961359</x:v>
      </x:c>
      <x:c r="L722" s="71" t="n">
        <x:v>-95.6094894</x:v>
      </x:c>
      <x:c r="M722" s="71" t="n">
        <x:v>0.618</x:v>
      </x:c>
      <x:c r="N722" s="71" t="n">
        <x:v>0.07177952424988089</x:v>
      </x:c>
      <x:c r="O722" s="71" t="n">
        <x:v>24.140697342955043</x:v>
      </x:c>
      <x:c r="P722" s="71" t="n">
        <x:v>3</x:v>
      </x:c>
      <x:c r="Q722" s="71" t="n">
        <x:v>940.5480241145826</x:v>
      </x:c>
      <x:c r="R722" s="34" t="str">
        <x:v>tract internal point; no person, address, building, parcel, or route condition</x:v>
      </x:c>
    </x:row>
    <x:row r="723" ht="86.4000015258789" hidden="0" customHeight="1">
      <x:c r="A723" s="36" t="str">
        <x:v>48201452802</x:v>
      </x:c>
      <x:c r="B723" s="63" t="n">
        <x:v>6301</x:v>
      </x:c>
      <x:c r="C723" s="63" t="n">
        <x:v>721</x:v>
      </x:c>
      <x:c r="D723" s="63" t="n">
        <x:v>336</x:v>
      </x:c>
      <x:c r="E723" s="45" t="n">
        <x:v>0.11442628154261228</x:v>
      </x:c>
      <x:c r="F723" s="45" t="n">
        <x:v>0.053324869068401844</x:v>
      </x:c>
      <x:c r="G723" s="66" t="n">
        <x:v>1953</x:v>
      </x:c>
      <x:c r="H723" s="66" t="n">
        <x:v>270</x:v>
      </x:c>
      <x:c r="I723" s="66" t="n">
        <x:v>0.1382488479262673</x:v>
      </x:c>
      <x:c r="J723" s="36" t="str">
        <x:v>moderate</x:v>
      </x:c>
      <x:c r="K723" s="72" t="n">
        <x:v>29.6971563</x:v>
      </x:c>
      <x:c r="L723" s="72" t="n">
        <x:v>-95.6007323</x:v>
      </x:c>
      <x:c r="M723" s="72" t="n">
        <x:v>0.501</x:v>
      </x:c>
      <x:c r="N723" s="72" t="n">
        <x:v>0.081248865031446</x:v>
      </x:c>
      <x:c r="O723" s="72" t="n">
        <x:v>23.81385402608819</x:v>
      </x:c>
      <x:c r="P723" s="72" t="n">
        <x:v>3</x:v>
      </x:c>
      <x:c r="Q723" s="72" t="n">
        <x:v>900.8973302738808</x:v>
      </x:c>
      <x:c r="R723" s="36" t="str">
        <x:v>tract internal point; no person, address, building, parcel, or route condition</x:v>
      </x:c>
    </x:row>
    <x:row r="724" ht="86.4000015258789" hidden="0" customHeight="1">
      <x:c r="A724" s="34" t="str">
        <x:v>48201452900</x:v>
      </x:c>
      <x:c r="B724" s="62" t="n">
        <x:v>4267</x:v>
      </x:c>
      <x:c r="C724" s="62" t="n">
        <x:v>568</x:v>
      </x:c>
      <x:c r="D724" s="62" t="n">
        <x:v>113.5</x:v>
      </x:c>
      <x:c r="E724" s="43" t="n">
        <x:v>0.13311460042184203</x:v>
      </x:c>
      <x:c r="F724" s="43" t="n">
        <x:v>0.026599484415280056</x:v>
      </x:c>
      <x:c r="G724" s="65" t="n">
        <x:v>1447</x:v>
      </x:c>
      <x:c r="H724" s="65" t="n">
        <x:v>0</x:v>
      </x:c>
      <x:c r="I724" s="65" t="n">
        <x:v>0</x:v>
      </x:c>
      <x:c r="J724" s="34" t="str">
        <x:v>high</x:v>
      </x:c>
      <x:c r="K724" s="71" t="n">
        <x:v>29.6969118</x:v>
      </x:c>
      <x:c r="L724" s="71" t="n">
        <x:v>-95.5923358</x:v>
      </x:c>
      <x:c r="M724" s="71" t="n">
        <x:v>0.508</x:v>
      </x:c>
      <x:c r="N724" s="71" t="n">
        <x:v>0.04112063965046943</x:v>
      </x:c>
      <x:c r="O724" s="71" t="n">
        <x:v>21.551615514802638</x:v>
      </x:c>
      <x:c r="P724" s="71" t="n">
        <x:v>3</x:v>
      </x:c>
      <x:c r="Q724" s="71" t="n">
        <x:v>743.4783201364339</x:v>
      </x:c>
      <x:c r="R724" s="34" t="str">
        <x:v>tract internal point; no person, address, building, parcel, or route condition</x:v>
      </x:c>
    </x:row>
    <x:row r="725" ht="86.4000015258789" hidden="0" customHeight="1">
      <x:c r="A725" s="36" t="str">
        <x:v>48201453001</x:v>
      </x:c>
      <x:c r="B725" s="63" t="n">
        <x:v>3174</x:v>
      </x:c>
      <x:c r="C725" s="63" t="n">
        <x:v>252</x:v>
      </x:c>
      <x:c r="D725" s="63" t="n">
        <x:v>20</x:v>
      </x:c>
      <x:c r="E725" s="45" t="n">
        <x:v>0.07939508506616257</x:v>
      </x:c>
      <x:c r="F725" s="45" t="n">
        <x:v>0.00630119722747322</x:v>
      </x:c>
      <x:c r="G725" s="66" t="n">
        <x:v>958</x:v>
      </x:c>
      <x:c r="H725" s="66" t="n">
        <x:v>13</x:v>
      </x:c>
      <x:c r="I725" s="66" t="n">
        <x:v>0.013569937369519834</x:v>
      </x:c>
      <x:c r="J725" s="36" t="str">
        <x:v>high</x:v>
      </x:c>
      <x:c r="K725" s="72" t="n">
        <x:v>29.6956307</x:v>
      </x:c>
      <x:c r="L725" s="72" t="n">
        <x:v>-95.5735062</x:v>
      </x:c>
      <x:c r="M725" s="72" t="n">
        <x:v>0.264</x:v>
      </x:c>
      <x:c r="N725" s="72" t="n">
        <x:v>0.05513481335219132</x:v>
      </x:c>
      <x:c r="O725" s="72" t="n">
        <x:v>18.779381840826925</x:v>
      </x:c>
      <x:c r="P725" s="72" t="n">
        <x:v>3</x:v>
      </x:c>
      <x:c r="Q725" s="72" t="n">
        <x:v>546.1716212817065</x:v>
      </x:c>
      <x:c r="R725" s="36" t="str">
        <x:v>tract internal point; no person, address, building, parcel, or route condition</x:v>
      </x:c>
    </x:row>
    <x:row r="726" ht="86.4000015258789" hidden="0" customHeight="1">
      <x:c r="A726" s="34" t="str">
        <x:v>48201453002</x:v>
      </x:c>
      <x:c r="B726" s="62" t="n">
        <x:v>5049</x:v>
      </x:c>
      <x:c r="C726" s="62" t="n">
        <x:v>744</x:v>
      </x:c>
      <x:c r="D726" s="62" t="n">
        <x:v>220.5</x:v>
      </x:c>
      <x:c r="E726" s="43" t="n">
        <x:v>0.1473559120617944</x:v>
      </x:c>
      <x:c r="F726" s="43" t="n">
        <x:v>0.04367201426024955</x:v>
      </x:c>
      <x:c r="G726" s="65" t="n">
        <x:v>1404</x:v>
      </x:c>
      <x:c r="H726" s="65" t="n">
        <x:v>43</x:v>
      </x:c>
      <x:c r="I726" s="65" t="n">
        <x:v>0.030626780626780627</x:v>
      </x:c>
      <x:c r="J726" s="34" t="str">
        <x:v>high</x:v>
      </x:c>
      <x:c r="K726" s="71" t="n">
        <x:v>29.696659</x:v>
      </x:c>
      <x:c r="L726" s="71" t="n">
        <x:v>-95.580959</x:v>
      </x:c>
      <x:c r="M726" s="71" t="n">
        <x:v>0.793</x:v>
      </x:c>
      <x:c r="N726" s="71" t="n">
        <x:v>0.016681264537076714</x:v>
      </x:c>
      <x:c r="O726" s="71" t="n">
        <x:v>19.769745063188257</x:v>
      </x:c>
      <x:c r="P726" s="71" t="n">
        <x:v>3</x:v>
      </x:c>
      <x:c r="Q726" s="71" t="n">
        <x:v>883.6269332219549</x:v>
      </x:c>
      <x:c r="R726" s="34" t="str">
        <x:v>tract internal point; no person, address, building, parcel, or route condition</x:v>
      </x:c>
    </x:row>
    <x:row r="727" ht="86.4000015258789" hidden="0" customHeight="1">
      <x:c r="A727" s="36" t="str">
        <x:v>48201453100</x:v>
      </x:c>
      <x:c r="B727" s="63" t="n">
        <x:v>3712</x:v>
      </x:c>
      <x:c r="C727" s="63" t="n">
        <x:v>449</x:v>
      </x:c>
      <x:c r="D727" s="63" t="n">
        <x:v>385</x:v>
      </x:c>
      <x:c r="E727" s="45" t="n">
        <x:v>0.12095905172413793</x:v>
      </x:c>
      <x:c r="F727" s="45" t="n">
        <x:v>0.10371767241379311</x:v>
      </x:c>
      <x:c r="G727" s="66" t="n">
        <x:v>1707</x:v>
      </x:c>
      <x:c r="H727" s="66" t="n">
        <x:v>360</x:v>
      </x:c>
      <x:c r="I727" s="66" t="n">
        <x:v>0.210896309314587</x:v>
      </x:c>
      <x:c r="J727" s="36" t="str">
        <x:v>high</x:v>
      </x:c>
      <x:c r="K727" s="72" t="n">
        <x:v>29.6999533</x:v>
      </x:c>
      <x:c r="L727" s="72" t="n">
        <x:v>-95.5668326</x:v>
      </x:c>
      <x:c r="M727" s="72" t="n">
        <x:v>0.855</x:v>
      </x:c>
      <x:c r="N727" s="72" t="n">
        <x:v>0.1018632664981681</x:v>
      </x:c>
      <x:c r="O727" s="72" t="n">
        <x:v>19.63105111933608</x:v>
      </x:c>
      <x:c r="P727" s="72" t="n">
        <x:v>3</x:v>
      </x:c>
      <x:c r="Q727" s="72" t="n">
        <x:v>650.0938746615848</x:v>
      </x:c>
      <x:c r="R727" s="36" t="str">
        <x:v>tract internal point; no person, address, building, parcel, or route condition</x:v>
      </x:c>
    </x:row>
    <x:row r="728" ht="86.4000015258789" hidden="0" customHeight="1">
      <x:c r="A728" s="34" t="str">
        <x:v>48201453201</x:v>
      </x:c>
      <x:c r="B728" s="62" t="n">
        <x:v>3969</x:v>
      </x:c>
      <x:c r="C728" s="62" t="n">
        <x:v>720</x:v>
      </x:c>
      <x:c r="D728" s="62" t="n">
        <x:v>487.5</x:v>
      </x:c>
      <x:c r="E728" s="43" t="n">
        <x:v>0.18140589569160998</x:v>
      </x:c>
      <x:c r="F728" s="43" t="n">
        <x:v>0.12282690854119425</x:v>
      </x:c>
      <x:c r="G728" s="65" t="n">
        <x:v>1733</x:v>
      </x:c>
      <x:c r="H728" s="65" t="n">
        <x:v>683</x:v>
      </x:c>
      <x:c r="I728" s="65" t="n">
        <x:v>0.3941142527409117</x:v>
      </x:c>
      <x:c r="J728" s="34" t="str">
        <x:v>high</x:v>
      </x:c>
      <x:c r="K728" s="71" t="n">
        <x:v>29.6874517</x:v>
      </x:c>
      <x:c r="L728" s="71" t="n">
        <x:v>-95.5629416</x:v>
      </x:c>
      <x:c r="M728" s="71" t="n">
        <x:v>0.172</x:v>
      </x:c>
      <x:c r="N728" s="71" t="n">
        <x:v>0.035235711204094196</x:v>
      </x:c>
      <x:c r="O728" s="71" t="n">
        <x:v>16.33124699466885</x:v>
      </x:c>
      <x:c r="P728" s="71" t="n">
        <x:v>3</x:v>
      </x:c>
      <x:c r="Q728" s="71" t="n">
        <x:v>704.5095911446632</x:v>
      </x:c>
      <x:c r="R728" s="34" t="str">
        <x:v>tract internal point; no person, address, building, parcel, or route condition</x:v>
      </x:c>
    </x:row>
    <x:row r="729" ht="86.4000015258789" hidden="0" customHeight="1">
      <x:c r="A729" s="36" t="str">
        <x:v>48201453202</x:v>
      </x:c>
      <x:c r="B729" s="63" t="n">
        <x:v>4995</x:v>
      </x:c>
      <x:c r="C729" s="63" t="n">
        <x:v>1122</x:v>
      </x:c>
      <x:c r="D729" s="63" t="n">
        <x:v>240</x:v>
      </x:c>
      <x:c r="E729" s="45" t="n">
        <x:v>0.22462462462462462</x:v>
      </x:c>
      <x:c r="F729" s="45" t="n">
        <x:v>0.04804804804804805</x:v>
      </x:c>
      <x:c r="G729" s="66" t="n">
        <x:v>1565</x:v>
      </x:c>
      <x:c r="H729" s="66" t="n">
        <x:v>459</x:v>
      </x:c>
      <x:c r="I729" s="66" t="n">
        <x:v>0.29329073482428114</x:v>
      </x:c>
      <x:c r="J729" s="36" t="str">
        <x:v>moderate</x:v>
      </x:c>
      <x:c r="K729" s="72" t="n">
        <x:v>29.6801873</x:v>
      </x:c>
      <x:c r="L729" s="72" t="n">
        <x:v>-95.565005</x:v>
      </x:c>
      <x:c r="M729" s="72" t="n">
        <x:v>0.509</x:v>
      </x:c>
      <x:c r="N729" s="72" t="n">
        <x:v>0.020401669117207196</x:v>
      </x:c>
      <x:c r="O729" s="72" t="n">
        <x:v>16.157439820107047</x:v>
      </x:c>
      <x:c r="P729" s="72" t="n">
        <x:v>3</x:v>
      </x:c>
      <x:c r="Q729" s="72" t="n">
        <x:v>729.1111103226008</x:v>
      </x:c>
      <x:c r="R729" s="36" t="str">
        <x:v>tract internal point; no person, address, building, parcel, or route condition</x:v>
      </x:c>
    </x:row>
    <x:row r="730" ht="86.4000015258789" hidden="0" customHeight="1">
      <x:c r="A730" s="34" t="str">
        <x:v>48201453300</x:v>
      </x:c>
      <x:c r="B730" s="62" t="n">
        <x:v>4680</x:v>
      </x:c>
      <x:c r="C730" s="62" t="n">
        <x:v>713</x:v>
      </x:c>
      <x:c r="D730" s="62" t="n">
        <x:v>213</x:v>
      </x:c>
      <x:c r="E730" s="43" t="n">
        <x:v>0.15235042735042736</x:v>
      </x:c>
      <x:c r="F730" s="43" t="n">
        <x:v>0.04551282051282051</x:v>
      </x:c>
      <x:c r="G730" s="65" t="n">
        <x:v>1828</x:v>
      </x:c>
      <x:c r="H730" s="65" t="n">
        <x:v>814</x:v>
      </x:c>
      <x:c r="I730" s="65" t="n">
        <x:v>0.44529540481400437</x:v>
      </x:c>
      <x:c r="J730" s="34" t="str">
        <x:v>moderate</x:v>
      </x:c>
      <x:c r="K730" s="71" t="n">
        <x:v>29.6641983</x:v>
      </x:c>
      <x:c r="L730" s="71" t="n">
        <x:v>-95.5651337</x:v>
      </x:c>
      <x:c r="M730" s="71" t="n">
        <x:v>0.791</x:v>
      </x:c>
      <x:c r="N730" s="71" t="n">
        <x:v>0.07788545965908784</x:v>
      </x:c>
      <x:c r="O730" s="71" t="n">
        <x:v>14.709215459937637</x:v>
      </x:c>
      <x:c r="P730" s="71" t="n">
        <x:v>3</x:v>
      </x:c>
      <x:c r="Q730" s="71" t="n">
        <x:v>673.5593903367368</x:v>
      </x:c>
      <x:c r="R730" s="34" t="str">
        <x:v>tract internal point; no person, address, building, parcel, or route condition</x:v>
      </x:c>
    </x:row>
    <x:row r="731" ht="86.4000015258789" hidden="0" customHeight="1">
      <x:c r="A731" s="36" t="str">
        <x:v>48201453401</x:v>
      </x:c>
      <x:c r="B731" s="63" t="n">
        <x:v>3626</x:v>
      </x:c>
      <x:c r="C731" s="63" t="n">
        <x:v>778</x:v>
      </x:c>
      <x:c r="D731" s="63" t="n">
        <x:v>54</x:v>
      </x:c>
      <x:c r="E731" s="45" t="n">
        <x:v>0.214561500275786</x:v>
      </x:c>
      <x:c r="F731" s="45" t="n">
        <x:v>0.014892443463872035</x:v>
      </x:c>
      <x:c r="G731" s="66" t="n">
        <x:v>1105</x:v>
      </x:c>
      <x:c r="H731" s="66" t="n">
        <x:v>221</x:v>
      </x:c>
      <x:c r="I731" s="66" t="n">
        <x:v>0.2</x:v>
      </x:c>
      <x:c r="J731" s="36" t="str">
        <x:v>low</x:v>
      </x:c>
      <x:c r="K731" s="72" t="n">
        <x:v>29.6544782</x:v>
      </x:c>
      <x:c r="L731" s="72" t="n">
        <x:v>-95.5763225</x:v>
      </x:c>
      <x:c r="M731" s="72" t="n">
        <x:v>0.372</x:v>
      </x:c>
      <x:c r="N731" s="72" t="n">
        <x:v>0.01390290880999454</x:v>
      </x:c>
      <x:c r="O731" s="72" t="n">
        <x:v>15.488395483871182</x:v>
      </x:c>
      <x:c r="P731" s="72" t="n">
        <x:v>3</x:v>
      </x:c>
      <x:c r="Q731" s="72" t="n">
        <x:v>297.6401726749816</x:v>
      </x:c>
      <x:c r="R731" s="36" t="str">
        <x:v>tract internal point; no person, address, building, parcel, or route condition</x:v>
      </x:c>
    </x:row>
    <x:row r="732" ht="86.4000015258789" hidden="0" customHeight="1">
      <x:c r="A732" s="34" t="str">
        <x:v>48201453403</x:v>
      </x:c>
      <x:c r="B732" s="62" t="n">
        <x:v>3977</x:v>
      </x:c>
      <x:c r="C732" s="62" t="n">
        <x:v>535</x:v>
      </x:c>
      <x:c r="D732" s="62" t="n">
        <x:v>222</x:v>
      </x:c>
      <x:c r="E732" s="43" t="n">
        <x:v>0.13452351018355543</x:v>
      </x:c>
      <x:c r="F732" s="43" t="n">
        <x:v>0.05582097058083983</x:v>
      </x:c>
      <x:c r="G732" s="65" t="n">
        <x:v>1668</x:v>
      </x:c>
      <x:c r="H732" s="65" t="n">
        <x:v>504</x:v>
      </x:c>
      <x:c r="I732" s="65" t="n">
        <x:v>0.302158273381295</x:v>
      </x:c>
      <x:c r="J732" s="34" t="str">
        <x:v>low</x:v>
      </x:c>
      <x:c r="K732" s="71" t="n">
        <x:v>29.6697612</x:v>
      </x:c>
      <x:c r="L732" s="71" t="n">
        <x:v>-95.5851314</x:v>
      </x:c>
      <x:c r="M732" s="71" t="n">
        <x:v>0.264</x:v>
      </x:c>
      <x:c r="N732" s="71" t="n">
        <x:v>0.04742208927155509</x:v>
      </x:c>
      <x:c r="O732" s="71" t="n">
        <x:v>18.465010441924267</x:v>
      </x:c>
      <x:c r="P732" s="71" t="n">
        <x:v>3</x:v>
      </x:c>
      <x:c r="Q732" s="71" t="n">
        <x:v>322.72777318141254</x:v>
      </x:c>
      <x:c r="R732" s="34" t="str">
        <x:v>tract internal point; no person, address, building, parcel, or route condition</x:v>
      </x:c>
    </x:row>
    <x:row r="733" ht="86.4000015258789" hidden="0" customHeight="1">
      <x:c r="A733" s="36" t="str">
        <x:v>48201453404</x:v>
      </x:c>
      <x:c r="B733" s="63" t="n">
        <x:v>4557</x:v>
      </x:c>
      <x:c r="C733" s="63" t="n">
        <x:v>523</x:v>
      </x:c>
      <x:c r="D733" s="63" t="n">
        <x:v>336.5</x:v>
      </x:c>
      <x:c r="E733" s="45" t="n">
        <x:v>0.11476848804037744</x:v>
      </x:c>
      <x:c r="F733" s="45" t="n">
        <x:v>0.07384244020188721</x:v>
      </x:c>
      <x:c r="G733" s="66" t="n">
        <x:v>1406</x:v>
      </x:c>
      <x:c r="H733" s="66" t="n">
        <x:v>248</x:v>
      </x:c>
      <x:c r="I733" s="66" t="n">
        <x:v>0.1763869132290185</x:v>
      </x:c>
      <x:c r="J733" s="36" t="str">
        <x:v>low</x:v>
      </x:c>
      <x:c r="K733" s="72" t="n">
        <x:v>29.6645122</x:v>
      </x:c>
      <x:c r="L733" s="72" t="n">
        <x:v>-95.5789767</x:v>
      </x:c>
      <x:c r="M733" s="72" t="n">
        <x:v>0.442</x:v>
      </x:c>
      <x:c r="N733" s="72" t="n">
        <x:v>0.02963129736887753</x:v>
      </x:c>
      <x:c r="O733" s="72" t="n">
        <x:v>16.954882973732794</x:v>
      </x:c>
      <x:c r="P733" s="72" t="n">
        <x:v>3</x:v>
      </x:c>
      <x:c r="Q733" s="72" t="n">
        <x:v>369.0242991159776</x:v>
      </x:c>
      <x:c r="R733" s="36" t="str">
        <x:v>tract internal point; no person, address, building, parcel, or route condition</x:v>
      </x:c>
    </x:row>
    <x:row r="734" ht="86.4000015258789" hidden="0" customHeight="1">
      <x:c r="A734" s="34" t="str">
        <x:v>48201453405</x:v>
      </x:c>
      <x:c r="B734" s="62" t="n">
        <x:v>4064</x:v>
      </x:c>
      <x:c r="C734" s="62" t="n">
        <x:v>741</x:v>
      </x:c>
      <x:c r="D734" s="62" t="n">
        <x:v>113</x:v>
      </x:c>
      <x:c r="E734" s="43" t="n">
        <x:v>0.18233267716535434</x:v>
      </x:c>
      <x:c r="F734" s="43" t="n">
        <x:v>0.02780511811023622</x:v>
      </x:c>
      <x:c r="G734" s="65" t="n">
        <x:v>1703</x:v>
      </x:c>
      <x:c r="H734" s="65" t="n">
        <x:v>469</x:v>
      </x:c>
      <x:c r="I734" s="65" t="n">
        <x:v>0.275396359365825</x:v>
      </x:c>
      <x:c r="J734" s="34" t="str">
        <x:v>low</x:v>
      </x:c>
      <x:c r="K734" s="71" t="n">
        <x:v>29.6669379</x:v>
      </x:c>
      <x:c r="L734" s="71" t="n">
        <x:v>-95.5735673</x:v>
      </x:c>
      <x:c r="M734" s="71" t="n">
        <x:v>0.488</x:v>
      </x:c>
      <x:c r="N734" s="71" t="n">
        <x:v>0.020167675847213205</x:v>
      </x:c>
      <x:c r="O734" s="71" t="n">
        <x:v>16.885267698378396</x:v>
      </x:c>
      <x:c r="P734" s="71" t="n">
        <x:v>3</x:v>
      </x:c>
      <x:c r="Q734" s="71" t="n">
        <x:v>331.9469947960878</x:v>
      </x:c>
      <x:c r="R734" s="34" t="str">
        <x:v>tract internal point; no person, address, building, parcel, or route condition</x:v>
      </x:c>
    </x:row>
    <x:row r="735" ht="86.4000015258789" hidden="0" customHeight="1">
      <x:c r="A735" s="36" t="str">
        <x:v>48201453501</x:v>
      </x:c>
      <x:c r="B735" s="63" t="n">
        <x:v>5876</x:v>
      </x:c>
      <x:c r="C735" s="63" t="n">
        <x:v>1172</x:v>
      </x:c>
      <x:c r="D735" s="63" t="n">
        <x:v>401</x:v>
      </x:c>
      <x:c r="E735" s="45" t="n">
        <x:v>0.19945541184479237</x:v>
      </x:c>
      <x:c r="F735" s="45" t="n">
        <x:v>0.06824370319945541</x:v>
      </x:c>
      <x:c r="G735" s="66" t="n">
        <x:v>2119</x:v>
      </x:c>
      <x:c r="H735" s="66" t="n">
        <x:v>210</x:v>
      </x:c>
      <x:c r="I735" s="66" t="n">
        <x:v>0.09910335063709297</x:v>
      </x:c>
      <x:c r="J735" s="36" t="str">
        <x:v>low</x:v>
      </x:c>
      <x:c r="K735" s="72" t="n">
        <x:v>29.6648611</x:v>
      </x:c>
      <x:c r="L735" s="72" t="n">
        <x:v>-95.5890099</x:v>
      </x:c>
      <x:c r="M735" s="72" t="n">
        <x:v>0.591</x:v>
      </x:c>
      <x:c r="N735" s="72" t="n">
        <x:v>0.06439954197642493</x:v>
      </x:c>
      <x:c r="O735" s="72" t="n">
        <x:v>18.226013523413947</x:v>
      </x:c>
      <x:c r="P735" s="72" t="n">
        <x:v>3</x:v>
      </x:c>
      <x:c r="Q735" s="72" t="n">
        <x:v>483.40002166291896</x:v>
      </x:c>
      <x:c r="R735" s="36" t="str">
        <x:v>tract internal point; no person, address, building, parcel, or route condition</x:v>
      </x:c>
    </x:row>
    <x:row r="736" ht="86.4000015258789" hidden="0" customHeight="1">
      <x:c r="A736" s="34" t="str">
        <x:v>48201453502</x:v>
      </x:c>
      <x:c r="B736" s="62" t="n">
        <x:v>3616</x:v>
      </x:c>
      <x:c r="C736" s="62" t="n">
        <x:v>649</x:v>
      </x:c>
      <x:c r="D736" s="62" t="n">
        <x:v>17</x:v>
      </x:c>
      <x:c r="E736" s="43" t="n">
        <x:v>0.17948008849557523</x:v>
      </x:c>
      <x:c r="F736" s="43" t="n">
        <x:v>0.004701327433628319</x:v>
      </x:c>
      <x:c r="G736" s="65" t="n">
        <x:v>1080</x:v>
      </x:c>
      <x:c r="H736" s="65" t="n">
        <x:v>19</x:v>
      </x:c>
      <x:c r="I736" s="65" t="n">
        <x:v>0.017592592592592594</x:v>
      </x:c>
      <x:c r="J736" s="34" t="str">
        <x:v>moderate</x:v>
      </x:c>
      <x:c r="K736" s="71" t="n">
        <x:v>29.671394</x:v>
      </x:c>
      <x:c r="L736" s="71" t="n">
        <x:v>-95.5990545</x:v>
      </x:c>
      <x:c r="M736" s="71" t="n">
        <x:v>0.505</x:v>
      </x:c>
      <x:c r="N736" s="71" t="n">
        <x:v>0.0446176611062434</x:v>
      </x:c>
      <x:c r="O736" s="71" t="n">
        <x:v>20.36433414563363</x:v>
      </x:c>
      <x:c r="P736" s="71" t="n">
        <x:v>3</x:v>
      </x:c>
      <x:c r="Q736" s="71" t="n">
        <x:v>521.1015535595122</x:v>
      </x:c>
      <x:c r="R736" s="34" t="str">
        <x:v>tract internal point; no person, address, building, parcel, or route condition</x:v>
      </x:c>
    </x:row>
    <x:row r="737" ht="86.4000015258789" hidden="0" customHeight="1">
      <x:c r="A737" s="36" t="str">
        <x:v>48201453601</x:v>
      </x:c>
      <x:c r="B737" s="63" t="n">
        <x:v>1596</x:v>
      </x:c>
      <x:c r="C737" s="63" t="n">
        <x:v>314</x:v>
      </x:c>
      <x:c r="D737" s="63" t="n">
        <x:v>113</x:v>
      </x:c>
      <x:c r="E737" s="45" t="n">
        <x:v>0.19674185463659147</x:v>
      </x:c>
      <x:c r="F737" s="45" t="n">
        <x:v>0.07080200501253132</x:v>
      </x:c>
      <x:c r="G737" s="66" t="n">
        <x:v>696</x:v>
      </x:c>
      <x:c r="H737" s="66" t="n">
        <x:v>156</x:v>
      </x:c>
      <x:c r="I737" s="66" t="n">
        <x:v>0.22413793103448276</x:v>
      </x:c>
      <x:c r="J737" s="36" t="str">
        <x:v>low</x:v>
      </x:c>
      <x:c r="K737" s="72" t="n">
        <x:v>29.6800729</x:v>
      </x:c>
      <x:c r="L737" s="72" t="n">
        <x:v>-95.5912718</x:v>
      </x:c>
      <x:c r="M737" s="72" t="n">
        <x:v>0.462</x:v>
      </x:c>
      <x:c r="N737" s="72" t="n">
        <x:v>0.36502725228950716</x:v>
      </x:c>
      <x:c r="O737" s="72" t="n">
        <x:v>20.310762739261115</x:v>
      </x:c>
      <x:c r="P737" s="72" t="n">
        <x:v>3</x:v>
      </x:c>
      <x:c r="Q737" s="72" t="n">
        <x:v>131.26190979257638</x:v>
      </x:c>
      <x:c r="R737" s="36" t="str">
        <x:v>tract internal point; no person, address, building, parcel, or route condition</x:v>
      </x:c>
    </x:row>
    <x:row r="738" ht="86.4000015258789" hidden="0" customHeight="1">
      <x:c r="A738" s="34" t="str">
        <x:v>48201453603</x:v>
      </x:c>
      <x:c r="B738" s="62" t="n">
        <x:v>3445</x:v>
      </x:c>
      <x:c r="C738" s="62" t="n">
        <x:v>382</x:v>
      </x:c>
      <x:c r="D738" s="62" t="n">
        <x:v>366</x:v>
      </x:c>
      <x:c r="E738" s="43" t="n">
        <x:v>0.11088534107402032</x:v>
      </x:c>
      <x:c r="F738" s="43" t="n">
        <x:v>0.10624092888243832</x:v>
      </x:c>
      <x:c r="G738" s="65" t="n">
        <x:v>1242</x:v>
      </x:c>
      <x:c r="H738" s="65" t="n">
        <x:v>251</x:v>
      </x:c>
      <x:c r="I738" s="65" t="n">
        <x:v>0.20209339774557167</x:v>
      </x:c>
      <x:c r="J738" s="34" t="str">
        <x:v>high</x:v>
      </x:c>
      <x:c r="K738" s="71" t="n">
        <x:v>29.6837842</x:v>
      </x:c>
      <x:c r="L738" s="71" t="n">
        <x:v>-95.57659</x:v>
      </x:c>
      <x:c r="M738" s="71" t="n">
        <x:v>0.53</x:v>
      </x:c>
      <x:c r="N738" s="71" t="n">
        <x:v>0.03194065175247806</x:v>
      </x:c>
      <x:c r="O738" s="71" t="n">
        <x:v>17.969604332236926</x:v>
      </x:c>
      <x:c r="P738" s="71" t="n">
        <x:v>3</x:v>
      </x:c>
      <x:c r="Q738" s="71" t="n">
        <x:v>602.3055506199826</x:v>
      </x:c>
      <x:c r="R738" s="34" t="str">
        <x:v>tract internal point; no person, address, building, parcel, or route condition</x:v>
      </x:c>
    </x:row>
    <x:row r="739" ht="86.4000015258789" hidden="0" customHeight="1">
      <x:c r="A739" s="36" t="str">
        <x:v>48201453604</x:v>
      </x:c>
      <x:c r="B739" s="63" t="n">
        <x:v>3589</x:v>
      </x:c>
      <x:c r="C739" s="63" t="n">
        <x:v>479</x:v>
      </x:c>
      <x:c r="D739" s="63" t="n">
        <x:v>210.5</x:v>
      </x:c>
      <x:c r="E739" s="45" t="n">
        <x:v>0.13346336026748398</x:v>
      </x:c>
      <x:c r="F739" s="45" t="n">
        <x:v>0.058651434940094734</x:v>
      </x:c>
      <x:c r="G739" s="66" t="n">
        <x:v>1207</x:v>
      </x:c>
      <x:c r="H739" s="66" t="n">
        <x:v>0</x:v>
      </x:c>
      <x:c r="I739" s="66" t="n">
        <x:v>0</x:v>
      </x:c>
      <x:c r="J739" s="36" t="str">
        <x:v>low</x:v>
      </x:c>
      <x:c r="K739" s="72" t="n">
        <x:v>29.6792631</x:v>
      </x:c>
      <x:c r="L739" s="72" t="n">
        <x:v>-95.5813011</x:v>
      </x:c>
      <x:c r="M739" s="72" t="n">
        <x:v>0.458</x:v>
      </x:c>
      <x:c r="N739" s="72" t="n">
        <x:v>0.046308087614547445</x:v>
      </x:c>
      <x:c r="O739" s="72" t="n">
        <x:v>17.830493170083805</x:v>
      </x:c>
      <x:c r="P739" s="72" t="n">
        <x:v>3</x:v>
      </x:c>
      <x:c r="Q739" s="72" t="n">
        <x:v>291.26216897480344</x:v>
      </x:c>
      <x:c r="R739" s="36" t="str">
        <x:v>tract internal point; no person, address, building, parcel, or route condition</x:v>
      </x:c>
    </x:row>
    <x:row r="740" ht="86.4000015258789" hidden="0" customHeight="1">
      <x:c r="A740" s="34" t="str">
        <x:v>48201453701</x:v>
      </x:c>
      <x:c r="B740" s="62" t="n">
        <x:v>4495</x:v>
      </x:c>
      <x:c r="C740" s="62" t="n">
        <x:v>704</x:v>
      </x:c>
      <x:c r="D740" s="62" t="n">
        <x:v>314</x:v>
      </x:c>
      <x:c r="E740" s="43" t="n">
        <x:v>0.15661846496106785</x:v>
      </x:c>
      <x:c r="F740" s="43" t="n">
        <x:v>0.06985539488320355</x:v>
      </x:c>
      <x:c r="G740" s="65" t="n">
        <x:v>1299</x:v>
      </x:c>
      <x:c r="H740" s="65" t="n">
        <x:v>150</x:v>
      </x:c>
      <x:c r="I740" s="65" t="n">
        <x:v>0.11547344110854503</x:v>
      </x:c>
      <x:c r="J740" s="34" t="str">
        <x:v>low</x:v>
      </x:c>
      <x:c r="K740" s="71" t="n">
        <x:v>29.6827449</x:v>
      </x:c>
      <x:c r="L740" s="71" t="n">
        <x:v>-95.6094176</x:v>
      </x:c>
      <x:c r="M740" s="71" t="n">
        <x:v>0.511</x:v>
      </x:c>
      <x:c r="N740" s="71" t="n">
        <x:v>0.027593432222476393</x:v>
      </x:c>
      <x:c r="O740" s="71" t="n">
        <x:v>21.88078799077997</x:v>
      </x:c>
      <x:c r="P740" s="71" t="n">
        <x:v>3</x:v>
      </x:c>
      <x:c r="Q740" s="71" t="n">
        <x:v>366.81970264290305</x:v>
      </x:c>
      <x:c r="R740" s="34" t="str">
        <x:v>tract internal point; no person, address, building, parcel, or route condition</x:v>
      </x:c>
    </x:row>
    <x:row r="741" ht="86.4000015258789" hidden="0" customHeight="1">
      <x:c r="A741" s="36" t="str">
        <x:v>48201453702</x:v>
      </x:c>
      <x:c r="B741" s="63" t="n">
        <x:v>4492</x:v>
      </x:c>
      <x:c r="C741" s="63" t="n">
        <x:v>604</x:v>
      </x:c>
      <x:c r="D741" s="63" t="n">
        <x:v>8</x:v>
      </x:c>
      <x:c r="E741" s="45" t="n">
        <x:v>0.13446126447016918</x:v>
      </x:c>
      <x:c r="F741" s="45" t="n">
        <x:v>0.0017809439002671415</x:v>
      </x:c>
      <x:c r="G741" s="66" t="n">
        <x:v>1488</x:v>
      </x:c>
      <x:c r="H741" s="66" t="n">
        <x:v>322</x:v>
      </x:c>
      <x:c r="I741" s="66" t="n">
        <x:v>0.2163978494623656</x:v>
      </x:c>
      <x:c r="J741" s="36" t="str">
        <x:v>high</x:v>
      </x:c>
      <x:c r="K741" s="72" t="n">
        <x:v>29.6832755</x:v>
      </x:c>
      <x:c r="L741" s="72" t="n">
        <x:v>-95.599648</x:v>
      </x:c>
      <x:c r="M741" s="72" t="n">
        <x:v>0.39</x:v>
      </x:c>
      <x:c r="N741" s="72" t="n">
        <x:v>0.10263757948792504</x:v>
      </x:c>
      <x:c r="O741" s="72" t="n">
        <x:v>21.045943726237116</x:v>
      </x:c>
      <x:c r="P741" s="72" t="n">
        <x:v>3</x:v>
      </x:c>
      <x:c r="Q741" s="72" t="n">
        <x:v>780.9996875605259</x:v>
      </x:c>
      <x:c r="R741" s="36" t="str">
        <x:v>tract internal point; no person, address, building, parcel, or route condition</x:v>
      </x:c>
    </x:row>
    <x:row r="742" ht="86.4000015258789" hidden="0" customHeight="1">
      <x:c r="A742" s="34" t="str">
        <x:v>48201453800</x:v>
      </x:c>
      <x:c r="B742" s="62" t="n">
        <x:v>3614</x:v>
      </x:c>
      <x:c r="C742" s="62" t="n">
        <x:v>324</x:v>
      </x:c>
      <x:c r="D742" s="62" t="n">
        <x:v>368.5</x:v>
      </x:c>
      <x:c r="E742" s="43" t="n">
        <x:v>0.0896513558384062</x:v>
      </x:c>
      <x:c r="F742" s="43" t="n">
        <x:v>0.10196458218040952</x:v>
      </x:c>
      <x:c r="G742" s="65" t="n">
        <x:v>1116</x:v>
      </x:c>
      <x:c r="H742" s="65" t="n">
        <x:v>108</x:v>
      </x:c>
      <x:c r="I742" s="65" t="n">
        <x:v>0.0967741935483871</x:v>
      </x:c>
      <x:c r="J742" s="34" t="str">
        <x:v>high</x:v>
      </x:c>
      <x:c r="K742" s="71" t="n">
        <x:v>29.6712054</x:v>
      </x:c>
      <x:c r="L742" s="71" t="n">
        <x:v>-95.6089906</x:v>
      </x:c>
      <x:c r="M742" s="71" t="n">
        <x:v>0.709</x:v>
      </x:c>
      <x:c r="N742" s="71" t="n">
        <x:v>0.08132155345762214</x:v>
      </x:c>
      <x:c r="O742" s="71" t="n">
        <x:v>22.051633588801263</x:v>
      </x:c>
      <x:c r="P742" s="71" t="n">
        <x:v>3</x:v>
      </x:c>
      <x:c r="Q742" s="71" t="n">
        <x:v>628.9928665433214</x:v>
      </x:c>
      <x:c r="R742" s="34" t="str">
        <x:v>tract internal point; no person, address, building, parcel, or route condition</x:v>
      </x:c>
    </x:row>
    <x:row r="743" ht="86.4000015258789" hidden="0" customHeight="1">
      <x:c r="A743" s="36" t="str">
        <x:v>48201453901</x:v>
      </x:c>
      <x:c r="B743" s="63" t="n">
        <x:v>6044</x:v>
      </x:c>
      <x:c r="C743" s="63" t="n">
        <x:v>953</x:v>
      </x:c>
      <x:c r="D743" s="63" t="n">
        <x:v>294.5</x:v>
      </x:c>
      <x:c r="E743" s="45" t="n">
        <x:v>0.15767703507610853</x:v>
      </x:c>
      <x:c r="F743" s="45" t="n">
        <x:v>0.04872600926538716</x:v>
      </x:c>
      <x:c r="G743" s="66" t="n">
        <x:v>1775</x:v>
      </x:c>
      <x:c r="H743" s="66" t="n">
        <x:v>35</x:v>
      </x:c>
      <x:c r="I743" s="66" t="n">
        <x:v>0.01971830985915493</x:v>
      </x:c>
      <x:c r="J743" s="36" t="str">
        <x:v>low</x:v>
      </x:c>
      <x:c r="K743" s="72" t="n">
        <x:v>29.685336</x:v>
      </x:c>
      <x:c r="L743" s="72" t="n">
        <x:v>-95.6286604</x:v>
      </x:c>
      <x:c r="M743" s="72" t="n">
        <x:v>0.892</x:v>
      </x:c>
      <x:c r="N743" s="72" t="n">
        <x:v>0.008677558364820311</x:v>
      </x:c>
      <x:c r="O743" s="72" t="n">
        <x:v>24.727794724252238</x:v>
      </x:c>
      <x:c r="P743" s="72" t="n">
        <x:v>3</x:v>
      </x:c>
      <x:c r="Q743" s="72" t="n">
        <x:v>492.32451112878744</x:v>
      </x:c>
      <x:c r="R743" s="36" t="str">
        <x:v>tract internal point; no person, address, building, parcel, or route condition</x:v>
      </x:c>
    </x:row>
    <x:row r="744" ht="86.4000015258789" hidden="0" customHeight="1">
      <x:c r="A744" s="34" t="str">
        <x:v>48201453902</x:v>
      </x:c>
      <x:c r="B744" s="62" t="n">
        <x:v>3752</x:v>
      </x:c>
      <x:c r="C744" s="62" t="n">
        <x:v>407</x:v>
      </x:c>
      <x:c r="D744" s="62" t="n">
        <x:v>0</x:v>
      </x:c>
      <x:c r="E744" s="43" t="n">
        <x:v>0.10847547974413646</x:v>
      </x:c>
      <x:c r="F744" s="43" t="n">
        <x:v>0</x:v>
      </x:c>
      <x:c r="G744" s="65" t="n">
        <x:v>1189</x:v>
      </x:c>
      <x:c r="H744" s="65" t="n">
        <x:v>63</x:v>
      </x:c>
      <x:c r="I744" s="65" t="n">
        <x:v>0.05298570227081581</x:v>
      </x:c>
      <x:c r="J744" s="34" t="str">
        <x:v>moderate</x:v>
      </x:c>
      <x:c r="K744" s="71" t="n">
        <x:v>29.6784422</x:v>
      </x:c>
      <x:c r="L744" s="71" t="n">
        <x:v>-95.622366</x:v>
      </x:c>
      <x:c r="M744" s="71" t="n">
        <x:v>0.367</x:v>
      </x:c>
      <x:c r="N744" s="71" t="n">
        <x:v>0.06059418068755771</x:v>
      </x:c>
      <x:c r="O744" s="71" t="n">
        <x:v>23.464250633527236</x:v>
      </x:c>
      <x:c r="P744" s="71" t="n">
        <x:v>3</x:v>
      </x:c>
      <x:c r="Q744" s="71" t="n">
        <x:v>533.0462162548457</x:v>
      </x:c>
      <x:c r="R744" s="34" t="str">
        <x:v>tract internal point; no person, address, building, parcel, or route condition</x:v>
      </x:c>
    </x:row>
    <x:row r="745" ht="86.4000015258789" hidden="0" customHeight="1">
      <x:c r="A745" s="36" t="str">
        <x:v>48201454000</x:v>
      </x:c>
      <x:c r="B745" s="63" t="n">
        <x:v>4318</x:v>
      </x:c>
      <x:c r="C745" s="63" t="n">
        <x:v>341</x:v>
      </x:c>
      <x:c r="D745" s="63" t="n">
        <x:v>161.5</x:v>
      </x:c>
      <x:c r="E745" s="45" t="n">
        <x:v>0.07897174617878648</x:v>
      </x:c>
      <x:c r="F745" s="45" t="n">
        <x:v>0.03740157480314961</x:v>
      </x:c>
      <x:c r="G745" s="66" t="n">
        <x:v>1336</x:v>
      </x:c>
      <x:c r="H745" s="66" t="n">
        <x:v>0</x:v>
      </x:c>
      <x:c r="I745" s="66" t="n">
        <x:v>0</x:v>
      </x:c>
      <x:c r="J745" s="36" t="str">
        <x:v>low</x:v>
      </x:c>
      <x:c r="K745" s="72" t="n">
        <x:v>29.6946956</x:v>
      </x:c>
      <x:c r="L745" s="72" t="n">
        <x:v>-95.6510084</x:v>
      </x:c>
      <x:c r="M745" s="72" t="n">
        <x:v>0.805</x:v>
      </x:c>
      <x:c r="N745" s="72" t="n">
        <x:v>0.061758326946810334</x:v>
      </x:c>
      <x:c r="O745" s="72" t="n">
        <x:v>25.79790248235525</x:v>
      </x:c>
      <x:c r="P745" s="72" t="n">
        <x:v>3</x:v>
      </x:c>
      <x:c r="Q745" s="72" t="n">
        <x:v>346.003753413178</x:v>
      </x:c>
      <x:c r="R745" s="36" t="str">
        <x:v>tract internal point; no person, address, building, parcel, or route condition</x:v>
      </x:c>
    </x:row>
    <x:row r="746" ht="86.4000015258789" hidden="0" customHeight="1">
      <x:c r="A746" s="34" t="str">
        <x:v>48201454100</x:v>
      </x:c>
      <x:c r="B746" s="62" t="n">
        <x:v>3826</x:v>
      </x:c>
      <x:c r="C746" s="62" t="n">
        <x:v>522</x:v>
      </x:c>
      <x:c r="D746" s="62" t="n">
        <x:v>191.5</x:v>
      </x:c>
      <x:c r="E746" s="43" t="n">
        <x:v>0.13643491897543125</x:v>
      </x:c>
      <x:c r="F746" s="43" t="n">
        <x:v>0.050052273915316255</x:v>
      </x:c>
      <x:c r="G746" s="65" t="n">
        <x:v>1159</x:v>
      </x:c>
      <x:c r="H746" s="65" t="n">
        <x:v>102</x:v>
      </x:c>
      <x:c r="I746" s="65" t="n">
        <x:v>0.08800690250215704</x:v>
      </x:c>
      <x:c r="J746" s="34" t="str">
        <x:v>high</x:v>
      </x:c>
      <x:c r="K746" s="71" t="n">
        <x:v>29.7046309</x:v>
      </x:c>
      <x:c r="L746" s="71" t="n">
        <x:v>-95.6531591</x:v>
      </x:c>
      <x:c r="M746" s="71" t="n">
        <x:v>0.669</x:v>
      </x:c>
      <x:c r="N746" s="71" t="n">
        <x:v>0.09541931010866354</x:v>
      </x:c>
      <x:c r="O746" s="71" t="n">
        <x:v>25.6846147156347</x:v>
      </x:c>
      <x:c r="P746" s="71" t="n">
        <x:v>3</x:v>
      </x:c>
      <x:c r="Q746" s="71" t="n">
        <x:v>668.5879391374795</x:v>
      </x:c>
      <x:c r="R746" s="34" t="str">
        <x:v>tract internal point; no person, address, building, parcel, or route condition</x:v>
      </x:c>
    </x:row>
    <x:row r="747" ht="86.4000015258789" hidden="0" customHeight="1">
      <x:c r="A747" s="36" t="str">
        <x:v>48201454200</x:v>
      </x:c>
      <x:c r="B747" s="63" t="n">
        <x:v>4270</x:v>
      </x:c>
      <x:c r="C747" s="63" t="n">
        <x:v>516</x:v>
      </x:c>
      <x:c r="D747" s="63" t="n">
        <x:v>39</x:v>
      </x:c>
      <x:c r="E747" s="45" t="n">
        <x:v>0.12084309133489461</x:v>
      </x:c>
      <x:c r="F747" s="45" t="n">
        <x:v>0.009133489461358314</x:v>
      </x:c>
      <x:c r="G747" s="66" t="n">
        <x:v>1245</x:v>
      </x:c>
      <x:c r="H747" s="66" t="n">
        <x:v>0</x:v>
      </x:c>
      <x:c r="I747" s="66" t="n">
        <x:v>0</x:v>
      </x:c>
      <x:c r="J747" s="36" t="str">
        <x:v>low</x:v>
      </x:c>
      <x:c r="K747" s="72" t="n">
        <x:v>29.7051834</x:v>
      </x:c>
      <x:c r="L747" s="72" t="n">
        <x:v>-95.6694725</x:v>
      </x:c>
      <x:c r="M747" s="72" t="n">
        <x:v>0.565</x:v>
      </x:c>
      <x:c r="N747" s="72" t="n">
        <x:v>0.0025027739650237434</x:v>
      </x:c>
      <x:c r="O747" s="72" t="n">
        <x:v>25.815718668540015</x:v>
      </x:c>
      <x:c r="P747" s="72" t="n">
        <x:v>3</x:v>
      </x:c>
      <x:c r="Q747" s="72" t="n">
        <x:v>344.0192236112125</x:v>
      </x:c>
      <x:c r="R747" s="36" t="str">
        <x:v>tract internal point; no person, address, building, parcel, or route condition</x:v>
      </x:c>
    </x:row>
    <x:row r="748" ht="86.4000015258789" hidden="0" customHeight="1">
      <x:c r="A748" s="34" t="str">
        <x:v>48201454302</x:v>
      </x:c>
      <x:c r="B748" s="62" t="n">
        <x:v>5877</x:v>
      </x:c>
      <x:c r="C748" s="62" t="n">
        <x:v>620</x:v>
      </x:c>
      <x:c r="D748" s="62" t="n">
        <x:v>35</x:v>
      </x:c>
      <x:c r="E748" s="43" t="n">
        <x:v>0.10549600136123873</x:v>
      </x:c>
      <x:c r="F748" s="43" t="n">
        <x:v>0.005955419431682831</x:v>
      </x:c>
      <x:c r="G748" s="65" t="n">
        <x:v>2134</x:v>
      </x:c>
      <x:c r="H748" s="65" t="n">
        <x:v>29</x:v>
      </x:c>
      <x:c r="I748" s="65" t="n">
        <x:v>0.01358950328022493</x:v>
      </x:c>
      <x:c r="J748" s="34" t="str">
        <x:v>low</x:v>
      </x:c>
      <x:c r="K748" s="71" t="n">
        <x:v>29.715347</x:v>
      </x:c>
      <x:c r="L748" s="71" t="n">
        <x:v>-95.6704755</x:v>
      </x:c>
      <x:c r="M748" s="71" t="n">
        <x:v>1.062</x:v>
      </x:c>
      <x:c r="N748" s="71" t="n">
        <x:v>0.03628933421684336</x:v>
      </x:c>
      <x:c r="O748" s="71" t="n">
        <x:v>26.38696503695898</x:v>
      </x:c>
      <x:c r="P748" s="71" t="n">
        <x:v>3</x:v>
      </x:c>
      <x:c r="Q748" s="71" t="n">
        <x:v>471.9251166693759</x:v>
      </x:c>
      <x:c r="R748" s="34" t="str">
        <x:v>tract internal point; no person, address, building, parcel, or route condition</x:v>
      </x:c>
    </x:row>
    <x:row r="749" ht="86.4000015258789" hidden="0" customHeight="1">
      <x:c r="A749" s="36" t="str">
        <x:v>48201454303</x:v>
      </x:c>
      <x:c r="B749" s="63" t="n">
        <x:v>3838</x:v>
      </x:c>
      <x:c r="C749" s="63" t="n">
        <x:v>348</x:v>
      </x:c>
      <x:c r="D749" s="63" t="n">
        <x:v>0</x:v>
      </x:c>
      <x:c r="E749" s="45" t="n">
        <x:v>0.09067222511724857</x:v>
      </x:c>
      <x:c r="F749" s="45" t="n">
        <x:v>0</x:v>
      </x:c>
      <x:c r="G749" s="66" t="n">
        <x:v>1324</x:v>
      </x:c>
      <x:c r="H749" s="66" t="n">
        <x:v>82</x:v>
      </x:c>
      <x:c r="I749" s="66" t="n">
        <x:v>0.061933534743202415</x:v>
      </x:c>
      <x:c r="J749" s="36" t="str">
        <x:v>high</x:v>
      </x:c>
      <x:c r="K749" s="72" t="n">
        <x:v>29.7144662</x:v>
      </x:c>
      <x:c r="L749" s="72" t="n">
        <x:v>-95.6519492</x:v>
      </x:c>
      <x:c r="M749" s="72" t="n">
        <x:v>0.554</x:v>
      </x:c>
      <x:c r="N749" s="72" t="n">
        <x:v>0.061474422754122876</x:v>
      </x:c>
      <x:c r="O749" s="72" t="n">
        <x:v>24.945941499164118</x:v>
      </x:c>
      <x:c r="P749" s="72" t="n">
        <x:v>3</x:v>
      </x:c>
      <x:c r="Q749" s="72" t="n">
        <x:v>661.4865569428454</x:v>
      </x:c>
      <x:c r="R749" s="36" t="str">
        <x:v>tract internal point; no person, address, building, parcel, or route condition</x:v>
      </x:c>
    </x:row>
    <x:row r="750" ht="86.4000015258789" hidden="0" customHeight="1">
      <x:c r="A750" s="34" t="str">
        <x:v>48201454304</x:v>
      </x:c>
      <x:c r="B750" s="62" t="n">
        <x:v>5934</x:v>
      </x:c>
      <x:c r="C750" s="62" t="n">
        <x:v>549</x:v>
      </x:c>
      <x:c r="D750" s="62" t="n">
        <x:v>320</x:v>
      </x:c>
      <x:c r="E750" s="43" t="n">
        <x:v>0.09251769464105157</x:v>
      </x:c>
      <x:c r="F750" s="43" t="n">
        <x:v>0.053926525109538256</x:v>
      </x:c>
      <x:c r="G750" s="65" t="n">
        <x:v>2122</x:v>
      </x:c>
      <x:c r="H750" s="65" t="n">
        <x:v>583</x:v>
      </x:c>
      <x:c r="I750" s="65" t="n">
        <x:v>0.2747408105560792</x:v>
      </x:c>
      <x:c r="J750" s="34" t="str">
        <x:v>low</x:v>
      </x:c>
      <x:c r="K750" s="71" t="n">
        <x:v>29.7227135</x:v>
      </x:c>
      <x:c r="L750" s="71" t="n">
        <x:v>-95.6578548</x:v>
      </x:c>
      <x:c r="M750" s="71" t="n">
        <x:v>0.322</x:v>
      </x:c>
      <x:c r="N750" s="71" t="n">
        <x:v>0.04190797546279415</x:v>
      </x:c>
      <x:c r="O750" s="71" t="n">
        <x:v>26.691343694055217</x:v>
      </x:c>
      <x:c r="P750" s="71" t="n">
        <x:v>3</x:v>
      </x:c>
      <x:c r="Q750" s="71" t="n">
        <x:v>477.5289572586883</x:v>
      </x:c>
      <x:c r="R750" s="34" t="str">
        <x:v>tract internal point; no person, address, building, parcel, or route condition</x:v>
      </x:c>
    </x:row>
    <x:row r="751" ht="86.4000015258789" hidden="0" customHeight="1">
      <x:c r="A751" s="36" t="str">
        <x:v>48201454305</x:v>
      </x:c>
      <x:c r="B751" s="63" t="n">
        <x:v>3546</x:v>
      </x:c>
      <x:c r="C751" s="63" t="n">
        <x:v>185</x:v>
      </x:c>
      <x:c r="D751" s="63" t="n">
        <x:v>54</x:v>
      </x:c>
      <x:c r="E751" s="45" t="n">
        <x:v>0.052171460800902424</x:v>
      </x:c>
      <x:c r="F751" s="45" t="n">
        <x:v>0.015228426395939087</x:v>
      </x:c>
      <x:c r="G751" s="66" t="n">
        <x:v>1765</x:v>
      </x:c>
      <x:c r="H751" s="66" t="n">
        <x:v>339</x:v>
      </x:c>
      <x:c r="I751" s="66" t="n">
        <x:v>0.19206798866855523</x:v>
      </x:c>
      <x:c r="J751" s="36" t="str">
        <x:v>low</x:v>
      </x:c>
      <x:c r="K751" s="72" t="n">
        <x:v>29.7269102</x:v>
      </x:c>
      <x:c r="L751" s="72" t="n">
        <x:v>-95.6489919</x:v>
      </x:c>
      <x:c r="M751" s="72" t="n">
        <x:v>0.65</x:v>
      </x:c>
      <x:c r="N751" s="72" t="n">
        <x:v>0.010095405259302382</x:v>
      </x:c>
      <x:c r="O751" s="72" t="n">
        <x:v>25.102295254104355</x:v>
      </x:c>
      <x:c r="P751" s="72" t="n">
        <x:v>3</x:v>
      </x:c>
      <x:c r="Q751" s="72" t="n">
        <x:v>282.03115807417583</x:v>
      </x:c>
      <x:c r="R751" s="36" t="str">
        <x:v>tract internal point; no person, address, building, parcel, or route condition</x:v>
      </x:c>
    </x:row>
    <x:row r="752" ht="86.4000015258789" hidden="0" customHeight="1">
      <x:c r="A752" s="34" t="str">
        <x:v>48201454400</x:v>
      </x:c>
      <x:c r="B752" s="62" t="n">
        <x:v>1013</x:v>
      </x:c>
      <x:c r="C752" s="62" t="n">
        <x:v>23</x:v>
      </x:c>
      <x:c r="D752" s="62" t="n">
        <x:v>0</x:v>
      </x:c>
      <x:c r="E752" s="43" t="n">
        <x:v>0.022704837117472853</x:v>
      </x:c>
      <x:c r="F752" s="43" t="n">
        <x:v>0</x:v>
      </x:c>
      <x:c r="G752" s="65" t="n">
        <x:v>819</x:v>
      </x:c>
      <x:c r="H752" s="65" t="n">
        <x:v>793</x:v>
      </x:c>
      <x:c r="I752" s="65" t="n">
        <x:v>0.9682539682539683</x:v>
      </x:c>
      <x:c r="J752" s="34" t="str">
        <x:v>high</x:v>
      </x:c>
      <x:c r="K752" s="71" t="n">
        <x:v>29.7454505</x:v>
      </x:c>
      <x:c r="L752" s="71" t="n">
        <x:v>-95.6690868</x:v>
      </x:c>
      <x:c r="M752" s="71" t="n">
        <x:v>12.613</x:v>
      </x:c>
      <x:c r="N752" s="71" t="n">
        <x:v>0.789454674078781</x:v>
      </x:c>
      <x:c r="O752" s="71" t="n">
        <x:v>28.210259942199077</x:v>
      </x:c>
      <x:c r="P752" s="71" t="n">
        <x:v>0</x:v>
      </x:c>
      <x:c r="Q752" s="71" t="n">
        <x:v>172.2614188619714</x:v>
      </x:c>
      <x:c r="R752" s="34" t="str">
        <x:v>tract internal point; no person, address, building, parcel, or route condition</x:v>
      </x:c>
    </x:row>
    <x:row r="753" ht="86.4000015258789" hidden="0" customHeight="1">
      <x:c r="A753" s="36" t="str">
        <x:v>48201454502</x:v>
      </x:c>
      <x:c r="B753" s="63" t="n">
        <x:v>2216</x:v>
      </x:c>
      <x:c r="C753" s="63" t="n">
        <x:v>74</x:v>
      </x:c>
      <x:c r="D753" s="63" t="n">
        <x:v>9</x:v>
      </x:c>
      <x:c r="E753" s="45" t="n">
        <x:v>0.033393501805054154</x:v>
      </x:c>
      <x:c r="F753" s="45" t="n">
        <x:v>0.004061371841155234</x:v>
      </x:c>
      <x:c r="G753" s="66" t="n">
        <x:v>770</x:v>
      </x:c>
      <x:c r="H753" s="66" t="n">
        <x:v>0</x:v>
      </x:c>
      <x:c r="I753" s="66" t="n">
        <x:v>0</x:v>
      </x:c>
      <x:c r="J753" s="36" t="str">
        <x:v>high</x:v>
      </x:c>
      <x:c r="K753" s="72" t="n">
        <x:v>29.7447248</x:v>
      </x:c>
      <x:c r="L753" s="72" t="n">
        <x:v>-95.7173589</x:v>
      </x:c>
      <x:c r="M753" s="72" t="n">
        <x:v>2.902</x:v>
      </x:c>
      <x:c r="N753" s="72" t="n">
        <x:v>0.3729280589364701</x:v>
      </x:c>
      <x:c r="O753" s="72" t="n">
        <x:v>22.05143768918356</x:v>
      </x:c>
      <x:c r="P753" s="72" t="n">
        <x:v>0</x:v>
      </x:c>
      <x:c r="Q753" s="72" t="n">
        <x:v>377.7867614723483</x:v>
      </x:c>
      <x:c r="R753" s="36" t="str">
        <x:v>tract internal point; no person, address, building, parcel, or route condition</x:v>
      </x:c>
    </x:row>
    <x:row r="754" ht="86.4000015258789" hidden="0" customHeight="1">
      <x:c r="A754" s="34" t="str">
        <x:v>48201454503</x:v>
      </x:c>
      <x:c r="B754" s="62" t="n">
        <x:v>2700</x:v>
      </x:c>
      <x:c r="C754" s="62" t="n">
        <x:v>322</x:v>
      </x:c>
      <x:c r="D754" s="62" t="n">
        <x:v>39.5</x:v>
      </x:c>
      <x:c r="E754" s="43" t="n">
        <x:v>0.11925925925925926</x:v>
      </x:c>
      <x:c r="F754" s="43" t="n">
        <x:v>0.01462962962962963</x:v>
      </x:c>
      <x:c r="G754" s="65" t="n">
        <x:v>1077</x:v>
      </x:c>
      <x:c r="H754" s="65" t="n">
        <x:v>0</x:v>
      </x:c>
      <x:c r="I754" s="65" t="n">
        <x:v>0</x:v>
      </x:c>
      <x:c r="J754" s="34" t="str">
        <x:v>low</x:v>
      </x:c>
      <x:c r="K754" s="71" t="n">
        <x:v>29.7716569</x:v>
      </x:c>
      <x:c r="L754" s="71" t="n">
        <x:v>-95.7090582</x:v>
      </x:c>
      <x:c r="M754" s="71" t="n">
        <x:v>0.56</x:v>
      </x:c>
      <x:c r="N754" s="71" t="n">
        <x:v>0.04646549455779478</x:v>
      </x:c>
      <x:c r="O754" s="71" t="n">
        <x:v>17.758500032715926</x:v>
      </x:c>
      <x:c r="P754" s="71" t="n">
        <x:v>0</x:v>
      </x:c>
      <x:c r="Q754" s="71" t="n">
        <x:v>217.57913177311465</x:v>
      </x:c>
      <x:c r="R754" s="34" t="str">
        <x:v>tract internal point; no person, address, building, parcel, or route condition</x:v>
      </x:c>
    </x:row>
    <x:row r="755" ht="86.4000015258789" hidden="0" customHeight="1">
      <x:c r="A755" s="36" t="str">
        <x:v>48201454504</x:v>
      </x:c>
      <x:c r="B755" s="63" t="n">
        <x:v>5223</x:v>
      </x:c>
      <x:c r="C755" s="63" t="n">
        <x:v>539</x:v>
      </x:c>
      <x:c r="D755" s="63" t="n">
        <x:v>103.5</x:v>
      </x:c>
      <x:c r="E755" s="45" t="n">
        <x:v>0.1031973961324909</x:v>
      </x:c>
      <x:c r="F755" s="45" t="n">
        <x:v>0.019816197587593336</x:v>
      </x:c>
      <x:c r="G755" s="66" t="n">
        <x:v>2489</x:v>
      </x:c>
      <x:c r="H755" s="66" t="n">
        <x:v>378</x:v>
      </x:c>
      <x:c r="I755" s="66" t="n">
        <x:v>0.15186822016874246</x:v>
      </x:c>
      <x:c r="J755" s="36" t="str">
        <x:v>high</x:v>
      </x:c>
      <x:c r="K755" s="72" t="n">
        <x:v>29.7582959</x:v>
      </x:c>
      <x:c r="L755" s="72" t="n">
        <x:v>-95.693914</x:v>
      </x:c>
      <x:c r="M755" s="72" t="n">
        <x:v>2.775</x:v>
      </x:c>
      <x:c r="N755" s="72" t="n">
        <x:v>0.7711914322947567</x:v>
      </x:c>
      <x:c r="O755" s="72" t="n">
        <x:v>21.74554678578368</x:v>
      </x:c>
      <x:c r="P755" s="72" t="n">
        <x:v>0</x:v>
      </x:c>
      <x:c r="Q755" s="72" t="n">
        <x:v>904.1608464569757</x:v>
      </x:c>
      <x:c r="R755" s="36" t="str">
        <x:v>tract internal point; no person, address, building, parcel, or route condition</x:v>
      </x:c>
    </x:row>
    <x:row r="756" ht="86.4000015258789" hidden="0" customHeight="1">
      <x:c r="A756" s="34" t="str">
        <x:v>48201454505</x:v>
      </x:c>
      <x:c r="B756" s="62" t="n">
        <x:v>2472</x:v>
      </x:c>
      <x:c r="C756" s="62" t="n">
        <x:v>107</x:v>
      </x:c>
      <x:c r="D756" s="62" t="n">
        <x:v>7</x:v>
      </x:c>
      <x:c r="E756" s="43" t="n">
        <x:v>0.043284789644012944</x:v>
      </x:c>
      <x:c r="F756" s="43" t="n">
        <x:v>0.0028317152103559872</x:v>
      </x:c>
      <x:c r="G756" s="65" t="n">
        <x:v>905</x:v>
      </x:c>
      <x:c r="H756" s="65" t="n">
        <x:v>0</x:v>
      </x:c>
      <x:c r="I756" s="65" t="n">
        <x:v>0</x:v>
      </x:c>
      <x:c r="J756" s="34" t="str">
        <x:v>low</x:v>
      </x:c>
      <x:c r="K756" s="71" t="n">
        <x:v>29.7801047</x:v>
      </x:c>
      <x:c r="L756" s="71" t="n">
        <x:v>-95.703999</x:v>
      </x:c>
      <x:c r="M756" s="71" t="n">
        <x:v>1.15</x:v>
      </x:c>
      <x:c r="N756" s="71" t="n">
        <x:v>0.056970348793992175</x:v>
      </x:c>
      <x:c r="O756" s="71" t="n">
        <x:v>16.289406471689258</x:v>
      </x:c>
      <x:c r="P756" s="71" t="n">
        <x:v>0</x:v>
      </x:c>
      <x:c r="Q756" s="71" t="n">
        <x:v>196.02438729038064</x:v>
      </x:c>
      <x:c r="R756" s="34" t="str">
        <x:v>tract internal point; no person, address, building, parcel, or route condition</x:v>
      </x:c>
    </x:row>
    <x:row r="757" ht="86.4000015258789" hidden="0" customHeight="1">
      <x:c r="A757" s="36" t="str">
        <x:v>48201454600</x:v>
      </x:c>
      <x:c r="B757" s="63" t="n">
        <x:v>5305</x:v>
      </x:c>
      <x:c r="C757" s="63" t="n">
        <x:v>467</x:v>
      </x:c>
      <x:c r="D757" s="63" t="n">
        <x:v>92</x:v>
      </x:c>
      <x:c r="E757" s="45" t="n">
        <x:v>0.08803016022620169</x:v>
      </x:c>
      <x:c r="F757" s="45" t="n">
        <x:v>0.017342130065975493</x:v>
      </x:c>
      <x:c r="G757" s="66" t="n">
        <x:v>2500</x:v>
      </x:c>
      <x:c r="H757" s="66" t="n">
        <x:v>764</x:v>
      </x:c>
      <x:c r="I757" s="66" t="n">
        <x:v>0.3056</x:v>
      </x:c>
      <x:c r="J757" s="36" t="str">
        <x:v>low</x:v>
      </x:c>
      <x:c r="K757" s="72" t="n">
        <x:v>29.7804684</x:v>
      </x:c>
      <x:c r="L757" s="72" t="n">
        <x:v>-95.7356985</x:v>
      </x:c>
      <x:c r="M757" s="72" t="n">
        <x:v>1.33</x:v>
      </x:c>
      <x:c r="N757" s="72" t="n">
        <x:v>0.03588932628143994</x:v>
      </x:c>
      <x:c r="O757" s="72" t="n">
        <x:v>13.859376210672282</x:v>
      </x:c>
      <x:c r="P757" s="72" t="n">
        <x:v>0</x:v>
      </x:c>
      <x:c r="Q757" s="72" t="n">
        <x:v>425.01161810330876</x:v>
      </x:c>
      <x:c r="R757" s="36" t="str">
        <x:v>tract internal point; no person, address, building, parcel, or route condition</x:v>
      </x:c>
    </x:row>
    <x:row r="758" ht="86.4000015258789" hidden="0" customHeight="1">
      <x:c r="A758" s="34" t="str">
        <x:v>48201454700</x:v>
      </x:c>
      <x:c r="B758" s="62" t="n">
        <x:v>7588</x:v>
      </x:c>
      <x:c r="C758" s="62" t="n">
        <x:v>608</x:v>
      </x:c>
      <x:c r="D758" s="62" t="n">
        <x:v>18</x:v>
      </x:c>
      <x:c r="E758" s="43" t="n">
        <x:v>0.08012651555086979</x:v>
      </x:c>
      <x:c r="F758" s="43" t="n">
        <x:v>0.0023721665788086453</x:v>
      </x:c>
      <x:c r="G758" s="65" t="n">
        <x:v>2392</x:v>
      </x:c>
      <x:c r="H758" s="65" t="n">
        <x:v>43</x:v>
      </x:c>
      <x:c r="I758" s="65" t="n">
        <x:v>0.01797658862876254</x:v>
      </x:c>
      <x:c r="J758" s="34" t="str">
        <x:v>low</x:v>
      </x:c>
      <x:c r="K758" s="71" t="n">
        <x:v>29.7652693</x:v>
      </x:c>
      <x:c r="L758" s="71" t="n">
        <x:v>-95.7249311</x:v>
      </x:c>
      <x:c r="M758" s="71" t="n">
        <x:v>1.324</x:v>
      </x:c>
      <x:c r="N758" s="71" t="n">
        <x:v>0.0595182120000596</x:v>
      </x:c>
      <x:c r="O758" s="71" t="n">
        <x:v>17.306665434343138</x:v>
      </x:c>
      <x:c r="P758" s="71" t="n">
        <x:v>0</x:v>
      </x:c>
      <x:c r="Q758" s="71" t="n">
        <x:v>606.0793312822426</x:v>
      </x:c>
      <x:c r="R758" s="34" t="str">
        <x:v>tract internal point; no person, address, building, parcel, or route condition</x:v>
      </x:c>
    </x:row>
    <x:row r="759" ht="86.4000015258789" hidden="0" customHeight="1">
      <x:c r="A759" s="36" t="str">
        <x:v>48201454801</x:v>
      </x:c>
      <x:c r="B759" s="63" t="n">
        <x:v>4098</x:v>
      </x:c>
      <x:c r="C759" s="63" t="n">
        <x:v>497</x:v>
      </x:c>
      <x:c r="D759" s="63" t="n">
        <x:v>56</x:v>
      </x:c>
      <x:c r="E759" s="45" t="n">
        <x:v>0.12127867252318204</x:v>
      </x:c>
      <x:c r="F759" s="45" t="n">
        <x:v>0.013665202537823329</x:v>
      </x:c>
      <x:c r="G759" s="66" t="n">
        <x:v>1915</x:v>
      </x:c>
      <x:c r="H759" s="66" t="n">
        <x:v>861</x:v>
      </x:c>
      <x:c r="I759" s="66" t="n">
        <x:v>0.4496083550913838</x:v>
      </x:c>
      <x:c r="J759" s="36" t="str">
        <x:v>low</x:v>
      </x:c>
      <x:c r="K759" s="72" t="n">
        <x:v>29.7707516</x:v>
      </x:c>
      <x:c r="L759" s="72" t="n">
        <x:v>-95.7433909</x:v>
      </x:c>
      <x:c r="M759" s="72" t="n">
        <x:v>0.478</x:v>
      </x:c>
      <x:c r="N759" s="72" t="n">
        <x:v>0.03297467883503403</x:v>
      </x:c>
      <x:c r="O759" s="72" t="n">
        <x:v>16.296484635730387</x:v>
      </x:c>
      <x:c r="P759" s="72" t="n">
        <x:v>0</x:v>
      </x:c>
      <x:c r="Q759" s="72" t="n">
        <x:v>330.3357923826109</x:v>
      </x:c>
      <x:c r="R759" s="36" t="str">
        <x:v>tract internal point; no person, address, building, parcel, or route condition</x:v>
      </x:c>
    </x:row>
    <x:row r="760" ht="86.4000015258789" hidden="0" customHeight="1">
      <x:c r="A760" s="34" t="str">
        <x:v>48201454802</x:v>
      </x:c>
      <x:c r="B760" s="62" t="n">
        <x:v>4324</x:v>
      </x:c>
      <x:c r="C760" s="62" t="n">
        <x:v>541</x:v>
      </x:c>
      <x:c r="D760" s="62" t="n">
        <x:v>0</x:v>
      </x:c>
      <x:c r="E760" s="43" t="n">
        <x:v>0.12511563367252543</x:v>
      </x:c>
      <x:c r="F760" s="43" t="n">
        <x:v>0</x:v>
      </x:c>
      <x:c r="G760" s="65" t="n">
        <x:v>1956</x:v>
      </x:c>
      <x:c r="H760" s="65" t="n">
        <x:v>117</x:v>
      </x:c>
      <x:c r="I760" s="65" t="n">
        <x:v>0.0598159509202454</x:v>
      </x:c>
      <x:c r="J760" s="34" t="str">
        <x:v>low</x:v>
      </x:c>
      <x:c r="K760" s="71" t="n">
        <x:v>29.7637449</x:v>
      </x:c>
      <x:c r="L760" s="71" t="n">
        <x:v>-95.7442006</x:v>
      </x:c>
      <x:c r="M760" s="71" t="n">
        <x:v>0.655</x:v>
      </x:c>
      <x:c r="N760" s="71" t="n">
        <x:v>0.029861356215099315</x:v>
      </x:c>
      <x:c r="O760" s="71" t="n">
        <x:v>16.646318577753636</x:v>
      </x:c>
      <x:c r="P760" s="71" t="n">
        <x:v>0</x:v>
      </x:c>
      <x:c r="Q760" s="71" t="n">
        <x:v>348.34982131767975</x:v>
      </x:c>
      <x:c r="R760" s="34" t="str">
        <x:v>tract internal point; no person, address, building, parcel, or route condition</x:v>
      </x:c>
    </x:row>
    <x:row r="761" ht="86.4000015258789" hidden="0" customHeight="1">
      <x:c r="A761" s="36" t="str">
        <x:v>48201454901</x:v>
      </x:c>
      <x:c r="B761" s="63" t="n">
        <x:v>2428</x:v>
      </x:c>
      <x:c r="C761" s="63" t="n">
        <x:v>90</x:v>
      </x:c>
      <x:c r="D761" s="63" t="n">
        <x:v>13</x:v>
      </x:c>
      <x:c r="E761" s="45" t="n">
        <x:v>0.03706754530477759</x:v>
      </x:c>
      <x:c r="F761" s="45" t="n">
        <x:v>0.005354200988467875</x:v>
      </x:c>
      <x:c r="G761" s="66" t="n">
        <x:v>857</x:v>
      </x:c>
      <x:c r="H761" s="66" t="n">
        <x:v>74</x:v>
      </x:c>
      <x:c r="I761" s="66" t="n">
        <x:v>0.08634772462077013</x:v>
      </x:c>
      <x:c r="J761" s="36" t="str">
        <x:v>low</x:v>
      </x:c>
      <x:c r="K761" s="72" t="n">
        <x:v>29.7532214</x:v>
      </x:c>
      <x:c r="L761" s="72" t="n">
        <x:v>-95.7296887</x:v>
      </x:c>
      <x:c r="M761" s="72" t="n">
        <x:v>0.415</x:v>
      </x:c>
      <x:c r="N761" s="72" t="n">
        <x:v>0.034650779528641096</x:v>
      </x:c>
      <x:c r="O761" s="72" t="n">
        <x:v>19.16557674160691</x:v>
      </x:c>
      <x:c r="P761" s="72" t="n">
        <x:v>0</x:v>
      </x:c>
      <x:c r="Q761" s="72" t="n">
        <x:v>192.34613007327235</x:v>
      </x:c>
      <x:c r="R761" s="36" t="str">
        <x:v>tract internal point; no person, address, building, parcel, or route condition</x:v>
      </x:c>
    </x:row>
    <x:row r="762" ht="86.4000015258789" hidden="0" customHeight="1">
      <x:c r="A762" s="34" t="str">
        <x:v>48201454902</x:v>
      </x:c>
      <x:c r="B762" s="62" t="n">
        <x:v>8576</x:v>
      </x:c>
      <x:c r="C762" s="62" t="n">
        <x:v>512</x:v>
      </x:c>
      <x:c r="D762" s="62" t="n">
        <x:v>223</x:v>
      </x:c>
      <x:c r="E762" s="43" t="n">
        <x:v>0.05970149253731343</x:v>
      </x:c>
      <x:c r="F762" s="43" t="n">
        <x:v>0.026002798507462687</x:v>
      </x:c>
      <x:c r="G762" s="65" t="n">
        <x:v>2774</x:v>
      </x:c>
      <x:c r="H762" s="65" t="n">
        <x:v>621</x:v>
      </x:c>
      <x:c r="I762" s="65" t="n">
        <x:v>0.22386445565969718</x:v>
      </x:c>
      <x:c r="J762" s="34" t="str">
        <x:v>low</x:v>
      </x:c>
      <x:c r="K762" s="71" t="n">
        <x:v>29.7493175</x:v>
      </x:c>
      <x:c r="L762" s="71" t="n">
        <x:v>-95.7410644</x:v>
      </x:c>
      <x:c r="M762" s="71" t="n">
        <x:v>1.377</x:v>
      </x:c>
      <x:c r="N762" s="71" t="n">
        <x:v>0.014401188809644234</x:v>
      </x:c>
      <x:c r="O762" s="71" t="n">
        <x:v>19.269566886252026</x:v>
      </x:c>
      <x:c r="P762" s="71" t="n">
        <x:v>0</x:v>
      </x:c>
      <x:c r="Q762" s="71" t="n">
        <x:v>683.8336018994487</x:v>
      </x:c>
      <x:c r="R762" s="34" t="str">
        <x:v>tract internal point; no person, address, building, parcel, or route condition</x:v>
      </x:c>
    </x:row>
    <x:row r="763" ht="86.4000015258789" hidden="0" customHeight="1">
      <x:c r="A763" s="36" t="str">
        <x:v>48201455000</x:v>
      </x:c>
      <x:c r="B763" s="63" t="n">
        <x:v>3601</x:v>
      </x:c>
      <x:c r="C763" s="63" t="n">
        <x:v>395</x:v>
      </x:c>
      <x:c r="D763" s="63" t="n">
        <x:v>0</x:v>
      </x:c>
      <x:c r="E763" s="45" t="n">
        <x:v>0.10969175229103027</x:v>
      </x:c>
      <x:c r="F763" s="45" t="n">
        <x:v>0</x:v>
      </x:c>
      <x:c r="G763" s="66" t="n">
        <x:v>1158</x:v>
      </x:c>
      <x:c r="H763" s="66" t="n">
        <x:v>291</x:v>
      </x:c>
      <x:c r="I763" s="66" t="n">
        <x:v>0.25129533678756477</x:v>
      </x:c>
      <x:c r="J763" s="36" t="str">
        <x:v>low</x:v>
      </x:c>
      <x:c r="K763" s="72" t="n">
        <x:v>29.7535126</x:v>
      </x:c>
      <x:c r="L763" s="72" t="n">
        <x:v>-95.7603533</x:v>
      </x:c>
      <x:c r="M763" s="72" t="n">
        <x:v>0.504</x:v>
      </x:c>
      <x:c r="N763" s="72" t="n">
        <x:v>0.08326633075355322</x:v>
      </x:c>
      <x:c r="O763" s="72" t="n">
        <x:v>16.263246197684847</x:v>
      </x:c>
      <x:c r="P763" s="72" t="n">
        <x:v>0</x:v>
      </x:c>
      <x:c r="Q763" s="72" t="n">
        <x:v>289.23048202902885</x:v>
      </x:c>
      <x:c r="R763" s="36" t="str">
        <x:v>tract internal point; no person, address, building, parcel, or route condition</x:v>
      </x:c>
    </x:row>
    <x:row r="764" ht="86.4000015258789" hidden="0" customHeight="1">
      <x:c r="A764" s="34" t="str">
        <x:v>48201455102</x:v>
      </x:c>
      <x:c r="B764" s="62" t="n">
        <x:v>2886</x:v>
      </x:c>
      <x:c r="C764" s="62" t="n">
        <x:v>253</x:v>
      </x:c>
      <x:c r="D764" s="62" t="n">
        <x:v>10</x:v>
      </x:c>
      <x:c r="E764" s="43" t="n">
        <x:v>0.08766458766458766</x:v>
      </x:c>
      <x:c r="F764" s="43" t="n">
        <x:v>0.003465003465003465</x:v>
      </x:c>
      <x:c r="G764" s="65" t="n">
        <x:v>930</x:v>
      </x:c>
      <x:c r="H764" s="65" t="n">
        <x:v>0</x:v>
      </x:c>
      <x:c r="I764" s="65" t="n">
        <x:v>0</x:v>
      </x:c>
      <x:c r="J764" s="34" t="str">
        <x:v>low</x:v>
      </x:c>
      <x:c r="K764" s="71" t="n">
        <x:v>29.7662531</x:v>
      </x:c>
      <x:c r="L764" s="71" t="n">
        <x:v>-95.7712394</x:v>
      </x:c>
      <x:c r="M764" s="71" t="n">
        <x:v>0.613</x:v>
      </x:c>
      <x:c r="N764" s="71" t="n">
        <x:v>0.07648681733365251</x:v>
      </x:c>
      <x:c r="O764" s="71" t="n">
        <x:v>13.083112442648343</x:v>
      </x:c>
      <x:c r="P764" s="71" t="n">
        <x:v>0</x:v>
      </x:c>
      <x:c r="Q764" s="71" t="n">
        <x:v>230.88137608925956</x:v>
      </x:c>
      <x:c r="R764" s="34" t="str">
        <x:v>tract internal point; no person, address, building, parcel, or route condition</x:v>
      </x:c>
    </x:row>
    <x:row r="765" ht="86.4000015258789" hidden="0" customHeight="1">
      <x:c r="A765" s="36" t="str">
        <x:v>48201455103</x:v>
      </x:c>
      <x:c r="B765" s="63" t="n">
        <x:v>3810</x:v>
      </x:c>
      <x:c r="C765" s="63" t="n">
        <x:v>266</x:v>
      </x:c>
      <x:c r="D765" s="63" t="n">
        <x:v>0</x:v>
      </x:c>
      <x:c r="E765" s="45" t="n">
        <x:v>0.06981627296587926</x:v>
      </x:c>
      <x:c r="F765" s="45" t="n">
        <x:v>0</x:v>
      </x:c>
      <x:c r="G765" s="66" t="n">
        <x:v>1351</x:v>
      </x:c>
      <x:c r="H765" s="66" t="n">
        <x:v>0</x:v>
      </x:c>
      <x:c r="I765" s="66" t="n">
        <x:v>0</x:v>
      </x:c>
      <x:c r="J765" s="36" t="str">
        <x:v>low</x:v>
      </x:c>
      <x:c r="K765" s="72" t="n">
        <x:v>29.7629255</x:v>
      </x:c>
      <x:c r="L765" s="72" t="n">
        <x:v>-95.7590016</x:v>
      </x:c>
      <x:c r="M765" s="72" t="n">
        <x:v>0.57</x:v>
      </x:c>
      <x:c r="N765" s="72" t="n">
        <x:v>0.03162905985190628</x:v>
      </x:c>
      <x:c r="O765" s="72" t="n">
        <x:v>15.837342203695538</x:v>
      </x:c>
      <x:c r="P765" s="72" t="n">
        <x:v>0</x:v>
      </x:c>
      <x:c r="Q765" s="72" t="n">
        <x:v>303.6291299387348</x:v>
      </x:c>
      <x:c r="R765" s="36" t="str">
        <x:v>tract internal point; no person, address, building, parcel, or route condition</x:v>
      </x:c>
    </x:row>
    <x:row r="766" ht="86.4000015258789" hidden="0" customHeight="1">
      <x:c r="A766" s="34" t="str">
        <x:v>48201455104</x:v>
      </x:c>
      <x:c r="B766" s="62" t="n">
        <x:v>3393</x:v>
      </x:c>
      <x:c r="C766" s="62" t="n">
        <x:v>454</x:v>
      </x:c>
      <x:c r="D766" s="62" t="n">
        <x:v>57</x:v>
      </x:c>
      <x:c r="E766" s="43" t="n">
        <x:v>0.13380489242558208</x:v>
      </x:c>
      <x:c r="F766" s="43" t="n">
        <x:v>0.016799292661361626</x:v>
      </x:c>
      <x:c r="G766" s="65" t="n">
        <x:v>1212</x:v>
      </x:c>
      <x:c r="H766" s="65" t="n">
        <x:v>79</x:v>
      </x:c>
      <x:c r="I766" s="65" t="n">
        <x:v>0.06518151815181518</x:v>
      </x:c>
      <x:c r="J766" s="34" t="str">
        <x:v>low</x:v>
      </x:c>
      <x:c r="K766" s="71" t="n">
        <x:v>29.7712949</x:v>
      </x:c>
      <x:c r="L766" s="71" t="n">
        <x:v>-95.7603187</x:v>
      </x:c>
      <x:c r="M766" s="71" t="n">
        <x:v>0.485</x:v>
      </x:c>
      <x:c r="N766" s="71" t="n">
        <x:v>0.04405962819912805</x:v>
      </x:c>
      <x:c r="O766" s="71" t="n">
        <x:v>14.384169700328373</x:v>
      </x:c>
      <x:c r="P766" s="71" t="n">
        <x:v>0</x:v>
      </x:c>
      <x:c r="Q766" s="71" t="n">
        <x:v>274.2580888696457</x:v>
      </x:c>
      <x:c r="R766" s="34" t="str">
        <x:v>tract internal point; no person, address, building, parcel, or route condition</x:v>
      </x:c>
    </x:row>
    <x:row r="767" ht="86.4000015258789" hidden="0" customHeight="1">
      <x:c r="A767" s="36" t="str">
        <x:v>48201455200</x:v>
      </x:c>
      <x:c r="B767" s="63" t="n">
        <x:v>4190</x:v>
      </x:c>
      <x:c r="C767" s="63" t="n">
        <x:v>501</x:v>
      </x:c>
      <x:c r="D767" s="63" t="n">
        <x:v>96</x:v>
      </x:c>
      <x:c r="E767" s="45" t="n">
        <x:v>0.11957040572792363</x:v>
      </x:c>
      <x:c r="F767" s="45" t="n">
        <x:v>0.022911694510739856</x:v>
      </x:c>
      <x:c r="G767" s="66" t="n">
        <x:v>1593</x:v>
      </x:c>
      <x:c r="H767" s="66" t="n">
        <x:v>10</x:v>
      </x:c>
      <x:c r="I767" s="66" t="n">
        <x:v>0.006277463904582548</x:v>
      </x:c>
      <x:c r="J767" s="36" t="str">
        <x:v>low</x:v>
      </x:c>
      <x:c r="K767" s="72" t="n">
        <x:v>29.7799704</x:v>
      </x:c>
      <x:c r="L767" s="72" t="n">
        <x:v>-95.7650418</x:v>
      </x:c>
      <x:c r="M767" s="72" t="n">
        <x:v>1.157</x:v>
      </x:c>
      <x:c r="N767" s="72" t="n">
        <x:v>0.01008313969240006</x:v>
      </x:c>
      <x:c r="O767" s="72" t="n">
        <x:v>12.927068157144614</x:v>
      </x:c>
      <x:c r="P767" s="72" t="n">
        <x:v>0</x:v>
      </x:c>
      <x:c r="Q767" s="72" t="n">
        <x:v>337.9438115838092</x:v>
      </x:c>
      <x:c r="R767" s="36" t="str">
        <x:v>tract internal point; no person, address, building, parcel, or route condition</x:v>
      </x:c>
    </x:row>
    <x:row r="768" ht="86.4000015258789" hidden="0" customHeight="1">
      <x:c r="A768" s="34" t="str">
        <x:v>48201455300</x:v>
      </x:c>
      <x:c r="B768" s="62" t="n">
        <x:v>13285</x:v>
      </x:c>
      <x:c r="C768" s="62" t="n">
        <x:v>913</x:v>
      </x:c>
      <x:c r="D768" s="62" t="n">
        <x:v>922.5</x:v>
      </x:c>
      <x:c r="E768" s="43" t="n">
        <x:v>0.06872412495295446</x:v>
      </x:c>
      <x:c r="F768" s="43" t="n">
        <x:v>0.06943921716221302</x:v>
      </x:c>
      <x:c r="G768" s="65" t="n">
        <x:v>6170</x:v>
      </x:c>
      <x:c r="H768" s="65" t="n">
        <x:v>2593</x:v>
      </x:c>
      <x:c r="I768" s="65" t="n">
        <x:v>0.42025931928687194</x:v>
      </x:c>
      <x:c r="J768" s="34" t="str">
        <x:v>low</x:v>
      </x:c>
      <x:c r="K768" s="71" t="n">
        <x:v>29.7751464</x:v>
      </x:c>
      <x:c r="L768" s="71" t="n">
        <x:v>-95.790629</x:v>
      </x:c>
      <x:c r="M768" s="71" t="n">
        <x:v>2.05</x:v>
      </x:c>
      <x:c r="N768" s="71" t="n">
        <x:v>0.1740849387549912</x:v>
      </x:c>
      <x:c r="O768" s="71" t="n">
        <x:v>13.900011155938365</x:v>
      </x:c>
      <x:c r="P768" s="71" t="n">
        <x:v>0</x:v>
      </x:c>
      <x:c r="Q768" s="71" t="n">
        <x:v>1065.7396607992735</x:v>
      </x:c>
      <x:c r="R768" s="34" t="str">
        <x:v>tract internal point; no person, address, building, parcel, or route condition</x:v>
      </x:c>
    </x:row>
    <x:row r="769" ht="86.4000015258789" hidden="0" customHeight="1">
      <x:c r="A769" s="36" t="str">
        <x:v>48201510100</x:v>
      </x:c>
      <x:c r="B769" s="63" t="n">
        <x:v>3096</x:v>
      </x:c>
      <x:c r="C769" s="63" t="n">
        <x:v>200</x:v>
      </x:c>
      <x:c r="D769" s="63" t="n">
        <x:v>39</x:v>
      </x:c>
      <x:c r="E769" s="45" t="n">
        <x:v>0.06459948320413436</x:v>
      </x:c>
      <x:c r="F769" s="45" t="n">
        <x:v>0.012596899224806201</x:v>
      </x:c>
      <x:c r="G769" s="66" t="n">
        <x:v>1588</x:v>
      </x:c>
      <x:c r="H769" s="66" t="n">
        <x:v>387</x:v>
      </x:c>
      <x:c r="I769" s="66" t="n">
        <x:v>0.24370277078085642</x:v>
      </x:c>
      <x:c r="J769" s="36" t="str">
        <x:v>low</x:v>
      </x:c>
      <x:c r="K769" s="72" t="n">
        <x:v>29.7693835</x:v>
      </x:c>
      <x:c r="L769" s="72" t="n">
        <x:v>-95.3710269</x:v>
      </x:c>
      <x:c r="M769" s="72" t="n">
        <x:v>0.559</x:v>
      </x:c>
      <x:c r="N769" s="72" t="n">
        <x:v>0.043405491105897843</x:v>
      </x:c>
      <x:c r="O769" s="72" t="n">
        <x:v>14.76211341695773</x:v>
      </x:c>
      <x:c r="P769" s="72" t="n">
        <x:v>3</x:v>
      </x:c>
      <x:c r="Q769" s="72" t="n">
        <x:v>246.78119307688792</x:v>
      </x:c>
      <x:c r="R769" s="36" t="str">
        <x:v>tract internal point; no person, address, building, parcel, or route condition</x:v>
      </x:c>
    </x:row>
    <x:row r="770" ht="86.4000015258789" hidden="0" customHeight="1">
      <x:c r="A770" s="34" t="str">
        <x:v>48201510201</x:v>
      </x:c>
      <x:c r="B770" s="62" t="n">
        <x:v>2450</x:v>
      </x:c>
      <x:c r="C770" s="62" t="n">
        <x:v>115</x:v>
      </x:c>
      <x:c r="D770" s="62" t="n">
        <x:v>46</x:v>
      </x:c>
      <x:c r="E770" s="43" t="n">
        <x:v>0.04693877551020408</x:v>
      </x:c>
      <x:c r="F770" s="43" t="n">
        <x:v>0.018775510204081632</x:v>
      </x:c>
      <x:c r="G770" s="65" t="n">
        <x:v>1883</x:v>
      </x:c>
      <x:c r="H770" s="65" t="n">
        <x:v>1614</x:v>
      </x:c>
      <x:c r="I770" s="65" t="n">
        <x:v>0.8571428571428571</x:v>
      </x:c>
      <x:c r="J770" s="34" t="str">
        <x:v>low</x:v>
      </x:c>
      <x:c r="K770" s="71" t="n">
        <x:v>29.7644379</x:v>
      </x:c>
      <x:c r="L770" s="71" t="n">
        <x:v>-95.3879622</x:v>
      </x:c>
      <x:c r="M770" s="71" t="n">
        <x:v>0.35</x:v>
      </x:c>
      <x:c r="N770" s="71" t="n">
        <x:v>0.2350152909491774</x:v>
      </x:c>
      <x:c r="O770" s="71" t="n">
        <x:v>16.663836192058373</x:v>
      </x:c>
      <x:c r="P770" s="71" t="n">
        <x:v>3</x:v>
      </x:c>
      <x:c r="Q770" s="71" t="n">
        <x:v>194.72756583563088</x:v>
      </x:c>
      <x:c r="R770" s="34" t="str">
        <x:v>tract internal point; no person, address, building, parcel, or route condition</x:v>
      </x:c>
    </x:row>
    <x:row r="771" ht="86.4000015258789" hidden="0" customHeight="1">
      <x:c r="A771" s="36" t="str">
        <x:v>48201510202</x:v>
      </x:c>
      <x:c r="B771" s="63" t="n">
        <x:v>6566</x:v>
      </x:c>
      <x:c r="C771" s="63" t="n">
        <x:v>710</x:v>
      </x:c>
      <x:c r="D771" s="63" t="n">
        <x:v>174</x:v>
      </x:c>
      <x:c r="E771" s="45" t="n">
        <x:v>0.10813280536095035</x:v>
      </x:c>
      <x:c r="F771" s="45" t="n">
        <x:v>0.02650015229972586</x:v>
      </x:c>
      <x:c r="G771" s="66" t="n">
        <x:v>3984</x:v>
      </x:c>
      <x:c r="H771" s="66" t="n">
        <x:v>2414</x:v>
      </x:c>
      <x:c r="I771" s="66" t="n">
        <x:v>0.6059236947791165</x:v>
      </x:c>
      <x:c r="J771" s="36" t="str">
        <x:v>low</x:v>
      </x:c>
      <x:c r="K771" s="72" t="n">
        <x:v>29.7710447</x:v>
      </x:c>
      <x:c r="L771" s="72" t="n">
        <x:v>-95.3873012</x:v>
      </x:c>
      <x:c r="M771" s="72" t="n">
        <x:v>1.016</x:v>
      </x:c>
      <x:c r="N771" s="72" t="n">
        <x:v>0.07439543891641612</x:v>
      </x:c>
      <x:c r="O771" s="72" t="n">
        <x:v>16.800784241696984</x:v>
      </x:c>
      <x:c r="P771" s="72" t="n">
        <x:v>3</x:v>
      </x:c>
      <x:c r="Q771" s="72" t="n">
        <x:v>528.5844249559865</x:v>
      </x:c>
      <x:c r="R771" s="36" t="str">
        <x:v>tract internal point; no person, address, building, parcel, or route condition</x:v>
      </x:c>
    </x:row>
    <x:row r="772" ht="86.4000015258789" hidden="0" customHeight="1">
      <x:c r="A772" s="34" t="str">
        <x:v>48201510301</x:v>
      </x:c>
      <x:c r="B772" s="62" t="n">
        <x:v>3551</x:v>
      </x:c>
      <x:c r="C772" s="62" t="n">
        <x:v>362</x:v>
      </x:c>
      <x:c r="D772" s="62" t="n">
        <x:v>82</x:v>
      </x:c>
      <x:c r="E772" s="43" t="n">
        <x:v>0.10194311461560124</x:v>
      </x:c>
      <x:c r="F772" s="43" t="n">
        <x:v>0.023092086736130668</x:v>
      </x:c>
      <x:c r="G772" s="65" t="n">
        <x:v>2097</x:v>
      </x:c>
      <x:c r="H772" s="65" t="n">
        <x:v>541</x:v>
      </x:c>
      <x:c r="I772" s="65" t="n">
        <x:v>0.25798760133524085</x:v>
      </x:c>
      <x:c r="J772" s="34" t="str">
        <x:v>moderate</x:v>
      </x:c>
      <x:c r="K772" s="71" t="n">
        <x:v>29.7824771</x:v>
      </x:c>
      <x:c r="L772" s="71" t="n">
        <x:v>-95.377939</x:v>
      </x:c>
      <x:c r="M772" s="71" t="n">
        <x:v>0.554</x:v>
      </x:c>
      <x:c r="N772" s="71" t="n">
        <x:v>0.045132186439975255</x:v>
      </x:c>
      <x:c r="O772" s="71" t="n">
        <x:v>16.550326108666255</x:v>
      </x:c>
      <x:c r="P772" s="71" t="n">
        <x:v>3</x:v>
      </x:c>
      <x:c r="Q772" s="71" t="n">
        <x:v>504.98529737337554</x:v>
      </x:c>
      <x:c r="R772" s="34" t="str">
        <x:v>tract internal point; no person, address, building, parcel, or route condition</x:v>
      </x:c>
    </x:row>
    <x:row r="773" ht="86.4000015258789" hidden="0" customHeight="1">
      <x:c r="A773" s="36" t="str">
        <x:v>48201510302</x:v>
      </x:c>
      <x:c r="B773" s="63" t="n">
        <x:v>3482</x:v>
      </x:c>
      <x:c r="C773" s="63" t="n">
        <x:v>128</x:v>
      </x:c>
      <x:c r="D773" s="63" t="n">
        <x:v>11</x:v>
      </x:c>
      <x:c r="E773" s="45" t="n">
        <x:v>0.03676048248133257</x:v>
      </x:c>
      <x:c r="F773" s="45" t="n">
        <x:v>0.0031591039632395176</x:v>
      </x:c>
      <x:c r="G773" s="66" t="n">
        <x:v>1548</x:v>
      </x:c>
      <x:c r="H773" s="66" t="n">
        <x:v>35</x:v>
      </x:c>
      <x:c r="I773" s="66" t="n">
        <x:v>0.02260981912144703</x:v>
      </x:c>
      <x:c r="J773" s="36" t="str">
        <x:v>low</x:v>
      </x:c>
      <x:c r="K773" s="72" t="n">
        <x:v>29.7868983</x:v>
      </x:c>
      <x:c r="L773" s="72" t="n">
        <x:v>-95.3824843</x:v>
      </x:c>
      <x:c r="M773" s="72" t="n">
        <x:v>0.359</x:v>
      </x:c>
      <x:c r="N773" s="72" t="n">
        <x:v>0.047358109771566514</x:v>
      </x:c>
      <x:c r="O773" s="72" t="n">
        <x:v>17.212874297762763</x:v>
      </x:c>
      <x:c r="P773" s="72" t="n">
        <x:v>3</x:v>
      </x:c>
      <x:c r="Q773" s="72" t="n">
        <x:v>275.76711747153627</x:v>
      </x:c>
      <x:c r="R773" s="36" t="str">
        <x:v>tract internal point; no person, address, building, parcel, or route condition</x:v>
      </x:c>
    </x:row>
    <x:row r="774" ht="86.4000015258789" hidden="0" customHeight="1">
      <x:c r="A774" s="34" t="str">
        <x:v>48201510400</x:v>
      </x:c>
      <x:c r="B774" s="62" t="n">
        <x:v>3836</x:v>
      </x:c>
      <x:c r="C774" s="62" t="n">
        <x:v>252</x:v>
      </x:c>
      <x:c r="D774" s="62" t="n">
        <x:v>160</x:v>
      </x:c>
      <x:c r="E774" s="43" t="n">
        <x:v>0.06569343065693431</x:v>
      </x:c>
      <x:c r="F774" s="43" t="n">
        <x:v>0.04171011470281543</x:v>
      </x:c>
      <x:c r="G774" s="65" t="n">
        <x:v>1999</x:v>
      </x:c>
      <x:c r="H774" s="65" t="n">
        <x:v>333</x:v>
      </x:c>
      <x:c r="I774" s="65" t="n">
        <x:v>0.16658329164582292</x:v>
      </x:c>
      <x:c r="J774" s="34" t="str">
        <x:v>low</x:v>
      </x:c>
      <x:c r="K774" s="71" t="n">
        <x:v>29.784318</x:v>
      </x:c>
      <x:c r="L774" s="71" t="n">
        <x:v>-95.3924239</x:v>
      </x:c>
      <x:c r="M774" s="71" t="n">
        <x:v>0.571</x:v>
      </x:c>
      <x:c r="N774" s="71" t="n">
        <x:v>0.05347152684120952</x:v>
      </x:c>
      <x:c r="O774" s="71" t="n">
        <x:v>17.7985642619412</x:v>
      </x:c>
      <x:c r="P774" s="71" t="n">
        <x:v>3</x:v>
      </x:c>
      <x:c r="Q774" s="71" t="n">
        <x:v>306.71006333426146</x:v>
      </x:c>
      <x:c r="R774" s="34" t="str">
        <x:v>tract internal point; no person, address, building, parcel, or route condition</x:v>
      </x:c>
    </x:row>
    <x:row r="775" ht="86.4000015258789" hidden="0" customHeight="1">
      <x:c r="A775" s="36" t="str">
        <x:v>48201510500</x:v>
      </x:c>
      <x:c r="B775" s="63" t="n">
        <x:v>5097</x:v>
      </x:c>
      <x:c r="C775" s="63" t="n">
        <x:v>247</x:v>
      </x:c>
      <x:c r="D775" s="63" t="n">
        <x:v>16</x:v>
      </x:c>
      <x:c r="E775" s="45" t="n">
        <x:v>0.0484598783598195</x:v>
      </x:c>
      <x:c r="F775" s="45" t="n">
        <x:v>0.0031391014322150286</x:v>
      </x:c>
      <x:c r="G775" s="66" t="n">
        <x:v>2793</x:v>
      </x:c>
      <x:c r="H775" s="66" t="n">
        <x:v>1215</x:v>
      </x:c>
      <x:c r="I775" s="66" t="n">
        <x:v>0.43501611170784105</x:v>
      </x:c>
      <x:c r="J775" s="36" t="str">
        <x:v>low</x:v>
      </x:c>
      <x:c r="K775" s="72" t="n">
        <x:v>29.7842247</x:v>
      </x:c>
      <x:c r="L775" s="72" t="n">
        <x:v>-95.4037969</x:v>
      </x:c>
      <x:c r="M775" s="72" t="n">
        <x:v>0.673</x:v>
      </x:c>
      <x:c r="N775" s="72" t="n">
        <x:v>0.10444310490841166</x:v>
      </x:c>
      <x:c r="O775" s="72" t="n">
        <x:v>19.219155662562823</x:v>
      </x:c>
      <x:c r="P775" s="72" t="n">
        <x:v>3</x:v>
      </x:c>
      <x:c r="Q775" s="72" t="n">
        <x:v>404.60829388191314</x:v>
      </x:c>
      <x:c r="R775" s="36" t="str">
        <x:v>tract internal point; no person, address, building, parcel, or route condition</x:v>
      </x:c>
    </x:row>
    <x:row r="776" ht="86.4000015258789" hidden="0" customHeight="1">
      <x:c r="A776" s="34" t="str">
        <x:v>48201510601</x:v>
      </x:c>
      <x:c r="B776" s="62" t="n">
        <x:v>3417</x:v>
      </x:c>
      <x:c r="C776" s="62" t="n">
        <x:v>239</x:v>
      </x:c>
      <x:c r="D776" s="62" t="n">
        <x:v>62</x:v>
      </x:c>
      <x:c r="E776" s="43" t="n">
        <x:v>0.06994439566871524</x:v>
      </x:c>
      <x:c r="F776" s="43" t="n">
        <x:v>0.018144571261340357</x:v>
      </x:c>
      <x:c r="G776" s="65" t="n">
        <x:v>2102</x:v>
      </x:c>
      <x:c r="H776" s="65" t="n">
        <x:v>837</x:v>
      </x:c>
      <x:c r="I776" s="65" t="n">
        <x:v>0.3981921979067555</x:v>
      </x:c>
      <x:c r="J776" s="34" t="str">
        <x:v>low</x:v>
      </x:c>
      <x:c r="K776" s="71" t="n">
        <x:v>29.7738473</x:v>
      </x:c>
      <x:c r="L776" s="71" t="n">
        <x:v>-95.403195</x:v>
      </x:c>
      <x:c r="M776" s="71" t="n">
        <x:v>0.343</x:v>
      </x:c>
      <x:c r="N776" s="71" t="n">
        <x:v>0.09904692078772737</x:v>
      </x:c>
      <x:c r="O776" s="71" t="n">
        <x:v>17.829403361810247</x:v>
      </x:c>
      <x:c r="P776" s="71" t="n">
        <x:v>3</x:v>
      </x:c>
      <x:c r="Q776" s="71" t="n">
        <x:v>272.80407693553235</x:v>
      </x:c>
      <x:c r="R776" s="34" t="str">
        <x:v>tract internal point; no person, address, building, parcel, or route condition</x:v>
      </x:c>
    </x:row>
    <x:row r="777" ht="86.4000015258789" hidden="0" customHeight="1">
      <x:c r="A777" s="36" t="str">
        <x:v>48201510602</x:v>
      </x:c>
      <x:c r="B777" s="63" t="n">
        <x:v>4592</x:v>
      </x:c>
      <x:c r="C777" s="63" t="n">
        <x:v>135</x:v>
      </x:c>
      <x:c r="D777" s="63" t="n">
        <x:v>48</x:v>
      </x:c>
      <x:c r="E777" s="45" t="n">
        <x:v>0.029398954703832754</x:v>
      </x:c>
      <x:c r="F777" s="45" t="n">
        <x:v>0.010452961672473868</x:v>
      </x:c>
      <x:c r="G777" s="66" t="n">
        <x:v>3002</x:v>
      </x:c>
      <x:c r="H777" s="66" t="n">
        <x:v>1131</x:v>
      </x:c>
      <x:c r="I777" s="66" t="n">
        <x:v>0.37674883411059296</x:v>
      </x:c>
      <x:c r="J777" s="36" t="str">
        <x:v>low</x:v>
      </x:c>
      <x:c r="K777" s="72" t="n">
        <x:v>29.774322</x:v>
      </x:c>
      <x:c r="L777" s="72" t="n">
        <x:v>-95.4175569</x:v>
      </x:c>
      <x:c r="M777" s="72" t="n">
        <x:v>0.462</x:v>
      </x:c>
      <x:c r="N777" s="72" t="n">
        <x:v>0.049278938021399904</x:v>
      </x:c>
      <x:c r="O777" s="72" t="n">
        <x:v>18.477861865676722</x:v>
      </x:c>
      <x:c r="P777" s="72" t="n">
        <x:v>3</x:v>
      </x:c>
      <x:c r="Q777" s="72" t="n">
        <x:v>363.4086692407129</x:v>
      </x:c>
      <x:c r="R777" s="36" t="str">
        <x:v>tract internal point; no person, address, building, parcel, or route condition</x:v>
      </x:c>
    </x:row>
    <x:row r="778" ht="86.4000015258789" hidden="0" customHeight="1">
      <x:c r="A778" s="34" t="str">
        <x:v>48201510701</x:v>
      </x:c>
      <x:c r="B778" s="62" t="n">
        <x:v>2165</x:v>
      </x:c>
      <x:c r="C778" s="62" t="n">
        <x:v>191</x:v>
      </x:c>
      <x:c r="D778" s="62" t="n">
        <x:v>0</x:v>
      </x:c>
      <x:c r="E778" s="43" t="n">
        <x:v>0.08822170900692841</x:v>
      </x:c>
      <x:c r="F778" s="43" t="n">
        <x:v>0</x:v>
      </x:c>
      <x:c r="G778" s="65" t="n">
        <x:v>1546</x:v>
      </x:c>
      <x:c r="H778" s="65" t="n">
        <x:v>1106</x:v>
      </x:c>
      <x:c r="I778" s="65" t="n">
        <x:v>0.7153945666235446</x:v>
      </x:c>
      <x:c r="J778" s="34" t="str">
        <x:v>low</x:v>
      </x:c>
      <x:c r="K778" s="71" t="n">
        <x:v>29.762792</x:v>
      </x:c>
      <x:c r="L778" s="71" t="n">
        <x:v>-95.4038229</x:v>
      </x:c>
      <x:c r="M778" s="71" t="n">
        <x:v>0.218</x:v>
      </x:c>
      <x:c r="N778" s="71" t="n">
        <x:v>0.09915723640354043</x:v>
      </x:c>
      <x:c r="O778" s="71" t="n">
        <x:v>18.000691430334633</x:v>
      </x:c>
      <x:c r="P778" s="71" t="n">
        <x:v>3</x:v>
      </x:c>
      <x:c r="Q778" s="71" t="n">
        <x:v>173.1610320669446</x:v>
      </x:c>
      <x:c r="R778" s="34" t="str">
        <x:v>tract internal point; no person, address, building, parcel, or route condition</x:v>
      </x:c>
    </x:row>
    <x:row r="779" ht="86.4000015258789" hidden="0" customHeight="1">
      <x:c r="A779" s="36" t="str">
        <x:v>48201510702</x:v>
      </x:c>
      <x:c r="B779" s="63" t="n">
        <x:v>2059</x:v>
      </x:c>
      <x:c r="C779" s="63" t="n">
        <x:v>82</x:v>
      </x:c>
      <x:c r="D779" s="63" t="n">
        <x:v>21</x:v>
      </x:c>
      <x:c r="E779" s="45" t="n">
        <x:v>0.0398251578436134</x:v>
      </x:c>
      <x:c r="F779" s="45" t="n">
        <x:v>0.010199125789218067</x:v>
      </x:c>
      <x:c r="G779" s="66" t="n">
        <x:v>1022</x:v>
      </x:c>
      <x:c r="H779" s="66" t="n">
        <x:v>0</x:v>
      </x:c>
      <x:c r="I779" s="66" t="n">
        <x:v>0</x:v>
      </x:c>
      <x:c r="J779" s="36" t="str">
        <x:v>low</x:v>
      </x:c>
      <x:c r="K779" s="72" t="n">
        <x:v>29.7682184</x:v>
      </x:c>
      <x:c r="L779" s="72" t="n">
        <x:v>-95.4037047</x:v>
      </x:c>
      <x:c r="M779" s="72" t="n">
        <x:v>0.198</x:v>
      </x:c>
      <x:c r="N779" s="72" t="n">
        <x:v>0.043165234716058265</x:v>
      </x:c>
      <x:c r="O779" s="72" t="n">
        <x:v>18.356826564981993</x:v>
      </x:c>
      <x:c r="P779" s="72" t="n">
        <x:v>3</x:v>
      </x:c>
      <x:c r="Q779" s="72" t="n">
        <x:v>163.28161043894224</x:v>
      </x:c>
      <x:c r="R779" s="36" t="str">
        <x:v>tract internal point; no person, address, building, parcel, or route condition</x:v>
      </x:c>
    </x:row>
    <x:row r="780" ht="86.4000015258789" hidden="0" customHeight="1">
      <x:c r="A780" s="34" t="str">
        <x:v>48201510801</x:v>
      </x:c>
      <x:c r="B780" s="62" t="n">
        <x:v>4526</x:v>
      </x:c>
      <x:c r="C780" s="62" t="n">
        <x:v>333</x:v>
      </x:c>
      <x:c r="D780" s="62" t="n">
        <x:v>0</x:v>
      </x:c>
      <x:c r="E780" s="43" t="n">
        <x:v>0.07357490057445869</x:v>
      </x:c>
      <x:c r="F780" s="43" t="n">
        <x:v>0</x:v>
      </x:c>
      <x:c r="G780" s="65" t="n">
        <x:v>2630</x:v>
      </x:c>
      <x:c r="H780" s="65" t="n">
        <x:v>850</x:v>
      </x:c>
      <x:c r="I780" s="65" t="n">
        <x:v>0.3231939163498099</x:v>
      </x:c>
      <x:c r="J780" s="34" t="str">
        <x:v>low</x:v>
      </x:c>
      <x:c r="K780" s="71" t="n">
        <x:v>29.7666964</x:v>
      </x:c>
      <x:c r="L780" s="71" t="n">
        <x:v>-95.4167219</x:v>
      </x:c>
      <x:c r="M780" s="71" t="n">
        <x:v>0.336</x:v>
      </x:c>
      <x:c r="N780" s="71" t="n">
        <x:v>0.03883557800816187</x:v>
      </x:c>
      <x:c r="O780" s="71" t="n">
        <x:v>19.831910882758912</x:v>
      </x:c>
      <x:c r="P780" s="71" t="n">
        <x:v>3</x:v>
      </x:c>
      <x:c r="Q780" s="71" t="n">
        <x:v>360.95649776264077</x:v>
      </x:c>
      <x:c r="R780" s="34" t="str">
        <x:v>tract internal point; no person, address, building, parcel, or route condition</x:v>
      </x:c>
    </x:row>
    <x:row r="781" ht="86.4000015258789" hidden="0" customHeight="1">
      <x:c r="A781" s="36" t="str">
        <x:v>48201510802</x:v>
      </x:c>
      <x:c r="B781" s="63" t="n">
        <x:v>2817</x:v>
      </x:c>
      <x:c r="C781" s="63" t="n">
        <x:v>153</x:v>
      </x:c>
      <x:c r="D781" s="63" t="n">
        <x:v>21</x:v>
      </x:c>
      <x:c r="E781" s="45" t="n">
        <x:v>0.054313099041533544</x:v>
      </x:c>
      <x:c r="F781" s="45" t="n">
        <x:v>0.007454739084132056</x:v>
      </x:c>
      <x:c r="G781" s="66" t="n">
        <x:v>1561</x:v>
      </x:c>
      <x:c r="H781" s="66" t="n">
        <x:v>299</x:v>
      </x:c>
      <x:c r="I781" s="66" t="n">
        <x:v>0.19154388212684176</x:v>
      </x:c>
      <x:c r="J781" s="36" t="str">
        <x:v>low</x:v>
      </x:c>
      <x:c r="K781" s="72" t="n">
        <x:v>29.7713829</x:v>
      </x:c>
      <x:c r="L781" s="72" t="n">
        <x:v>-95.4386021</x:v>
      </x:c>
      <x:c r="M781" s="72" t="n">
        <x:v>2.764</x:v>
      </x:c>
      <x:c r="N781" s="72" t="n">
        <x:v>0.44688612754216683</x:v>
      </x:c>
      <x:c r="O781" s="72" t="n">
        <x:v>21.581214356948518</x:v>
      </x:c>
      <x:c r="P781" s="72" t="n">
        <x:v>3</x:v>
      </x:c>
      <x:c r="Q781" s="72" t="n">
        <x:v>223.97285452122915</x:v>
      </x:c>
      <x:c r="R781" s="36" t="str">
        <x:v>tract internal point; no person, address, building, parcel, or route condition</x:v>
      </x:c>
    </x:row>
    <x:row r="782" ht="86.4000015258789" hidden="0" customHeight="1">
      <x:c r="A782" s="34" t="str">
        <x:v>48201510803</x:v>
      </x:c>
      <x:c r="B782" s="62" t="n">
        <x:v>2515</x:v>
      </x:c>
      <x:c r="C782" s="62" t="n">
        <x:v>93</x:v>
      </x:c>
      <x:c r="D782" s="62" t="n">
        <x:v>10</x:v>
      </x:c>
      <x:c r="E782" s="43" t="n">
        <x:v>0.036978131212723656</x:v>
      </x:c>
      <x:c r="F782" s="43" t="n">
        <x:v>0.003976143141153081</x:v>
      </x:c>
      <x:c r="G782" s="65" t="n">
        <x:v>1726</x:v>
      </x:c>
      <x:c r="H782" s="65" t="n">
        <x:v>1071</x:v>
      </x:c>
      <x:c r="I782" s="65" t="n">
        <x:v>0.6205098493626883</x:v>
      </x:c>
      <x:c r="J782" s="34" t="str">
        <x:v>moderate</x:v>
      </x:c>
      <x:c r="K782" s="71" t="n">
        <x:v>29.7607793</x:v>
      </x:c>
      <x:c r="L782" s="71" t="n">
        <x:v>-95.4191067</x:v>
      </x:c>
      <x:c r="M782" s="71" t="n">
        <x:v>0.313</x:v>
      </x:c>
      <x:c r="N782" s="71" t="n">
        <x:v>0.060046944902928306</x:v>
      </x:c>
      <x:c r="O782" s="71" t="n">
        <x:v>20.150589367692092</x:v>
      </x:c>
      <x:c r="P782" s="71" t="n">
        <x:v>3</x:v>
      </x:c>
      <x:c r="Q782" s="71" t="n">
        <x:v>352.4440287263348</x:v>
      </x:c>
      <x:c r="R782" s="34" t="str">
        <x:v>tract internal point; no person, address, building, parcel, or route condition</x:v>
      </x:c>
    </x:row>
    <x:row r="783" ht="86.4000015258789" hidden="0" customHeight="1">
      <x:c r="A783" s="36" t="str">
        <x:v>48201510901</x:v>
      </x:c>
      <x:c r="B783" s="63" t="n">
        <x:v>6490</x:v>
      </x:c>
      <x:c r="C783" s="63" t="n">
        <x:v>170</x:v>
      </x:c>
      <x:c r="D783" s="63" t="n">
        <x:v>0</x:v>
      </x:c>
      <x:c r="E783" s="45" t="n">
        <x:v>0.026194144838212634</x:v>
      </x:c>
      <x:c r="F783" s="45" t="n">
        <x:v>0</x:v>
      </x:c>
      <x:c r="G783" s="66" t="n">
        <x:v>2803</x:v>
      </x:c>
      <x:c r="H783" s="66" t="n">
        <x:v>0</x:v>
      </x:c>
      <x:c r="I783" s="66" t="n">
        <x:v>0</x:v>
      </x:c>
      <x:c r="J783" s="36" t="str">
        <x:v>moderate</x:v>
      </x:c>
      <x:c r="K783" s="72" t="n">
        <x:v>29.780896</x:v>
      </x:c>
      <x:c r="L783" s="72" t="n">
        <x:v>-95.4210644</x:v>
      </x:c>
      <x:c r="M783" s="72" t="n">
        <x:v>0.54</x:v>
      </x:c>
      <x:c r="N783" s="72" t="n">
        <x:v>0.10018295292683481</x:v>
      </x:c>
      <x:c r="O783" s="72" t="n">
        <x:v>19.033933213377924</x:v>
      </x:c>
      <x:c r="P783" s="72" t="n">
        <x:v>3</x:v>
      </x:c>
      <x:c r="Q783" s="72" t="n">
        <x:v>907.1825311333577</x:v>
      </x:c>
      <x:c r="R783" s="36" t="str">
        <x:v>tract internal point; no person, address, building, parcel, or route condition</x:v>
      </x:c>
    </x:row>
    <x:row r="784" ht="86.4000015258789" hidden="0" customHeight="1">
      <x:c r="A784" s="34" t="str">
        <x:v>48201510902</x:v>
      </x:c>
      <x:c r="B784" s="62" t="n">
        <x:v>5731</x:v>
      </x:c>
      <x:c r="C784" s="62" t="n">
        <x:v>351</x:v>
      </x:c>
      <x:c r="D784" s="62" t="n">
        <x:v>60</x:v>
      </x:c>
      <x:c r="E784" s="43" t="n">
        <x:v>0.06124585587157564</x:v>
      </x:c>
      <x:c r="F784" s="43" t="n">
        <x:v>0.010469377072064212</x:v>
      </x:c>
      <x:c r="G784" s="65" t="n">
        <x:v>2878</x:v>
      </x:c>
      <x:c r="H784" s="65" t="n">
        <x:v>1192</x:v>
      </x:c>
      <x:c r="I784" s="65" t="n">
        <x:v>0.414176511466296</x:v>
      </x:c>
      <x:c r="J784" s="34" t="str">
        <x:v>low</x:v>
      </x:c>
      <x:c r="K784" s="71" t="n">
        <x:v>29.7861896</x:v>
      </x:c>
      <x:c r="L784" s="71" t="n">
        <x:v>-95.434341</x:v>
      </x:c>
      <x:c r="M784" s="71" t="n">
        <x:v>1.56</x:v>
      </x:c>
      <x:c r="N784" s="71" t="n">
        <x:v>0.17904120029450551</x:v>
      </x:c>
      <x:c r="O784" s="71" t="n">
        <x:v>22.008184448506398</x:v>
      </x:c>
      <x:c r="P784" s="71" t="n">
        <x:v>3</x:v>
      </x:c>
      <x:c r="Q784" s="71" t="n">
        <x:v>456.4182758801566</x:v>
      </x:c>
      <x:c r="R784" s="34" t="str">
        <x:v>tract internal point; no person, address, building, parcel, or route condition</x:v>
      </x:c>
    </x:row>
    <x:row r="785" ht="86.4000015258789" hidden="0" customHeight="1">
      <x:c r="A785" s="36" t="str">
        <x:v>48201511001</x:v>
      </x:c>
      <x:c r="B785" s="63" t="n">
        <x:v>3575</x:v>
      </x:c>
      <x:c r="C785" s="63" t="n">
        <x:v>430</x:v>
      </x:c>
      <x:c r="D785" s="63" t="n">
        <x:v>115</x:v>
      </x:c>
      <x:c r="E785" s="45" t="n">
        <x:v>0.12027972027972028</x:v>
      </x:c>
      <x:c r="F785" s="45" t="n">
        <x:v>0.032167832167832165</x:v>
      </x:c>
      <x:c r="G785" s="66" t="n">
        <x:v>1962</x:v>
      </x:c>
      <x:c r="H785" s="66" t="n">
        <x:v>660</x:v>
      </x:c>
      <x:c r="I785" s="66" t="n">
        <x:v>0.3363914373088685</x:v>
      </x:c>
      <x:c r="J785" s="36" t="str">
        <x:v>low</x:v>
      </x:c>
      <x:c r="K785" s="72" t="n">
        <x:v>29.7994395</x:v>
      </x:c>
      <x:c r="L785" s="72" t="n">
        <x:v>-95.4435741</x:v>
      </x:c>
      <x:c r="M785" s="72" t="n">
        <x:v>0.876</x:v>
      </x:c>
      <x:c r="N785" s="72" t="n">
        <x:v>0.13266927085894722</x:v>
      </x:c>
      <x:c r="O785" s="72" t="n">
        <x:v>22.409792864356007</x:v>
      </x:c>
      <x:c r="P785" s="72" t="n">
        <x:v>3</x:v>
      </x:c>
      <x:c r="Q785" s="72" t="n">
        <x:v>288.6410177314153</x:v>
      </x:c>
      <x:c r="R785" s="36" t="str">
        <x:v>tract internal point; no person, address, building, parcel, or route condition</x:v>
      </x:c>
    </x:row>
    <x:row r="786" ht="86.4000015258789" hidden="0" customHeight="1">
      <x:c r="A786" s="34" t="str">
        <x:v>48201511003</x:v>
      </x:c>
      <x:c r="B786" s="62" t="n">
        <x:v>1889</x:v>
      </x:c>
      <x:c r="C786" s="62" t="n">
        <x:v>158</x:v>
      </x:c>
      <x:c r="D786" s="62" t="n">
        <x:v>87</x:v>
      </x:c>
      <x:c r="E786" s="43" t="n">
        <x:v>0.08364213869772366</x:v>
      </x:c>
      <x:c r="F786" s="43" t="n">
        <x:v>0.04605611434621493</x:v>
      </x:c>
      <x:c r="G786" s="65" t="n">
        <x:v>1350</x:v>
      </x:c>
      <x:c r="H786" s="65" t="n">
        <x:v>491</x:v>
      </x:c>
      <x:c r="I786" s="65" t="n">
        <x:v>0.3637037037037037</x:v>
      </x:c>
      <x:c r="J786" s="34" t="str">
        <x:v>low</x:v>
      </x:c>
      <x:c r="K786" s="71" t="n">
        <x:v>29.7954445</x:v>
      </x:c>
      <x:c r="L786" s="71" t="n">
        <x:v>-95.4339739</x:v>
      </x:c>
      <x:c r="M786" s="71" t="n">
        <x:v>0.412</x:v>
      </x:c>
      <x:c r="N786" s="71" t="n">
        <x:v>0.009633279174809634</x:v>
      </x:c>
      <x:c r="O786" s="71" t="n">
        <x:v>22.998164942316933</x:v>
      </x:c>
      <x:c r="P786" s="71" t="n">
        <x:v>3</x:v>
      </x:c>
      <x:c r="Q786" s="71" t="n">
        <x:v>151.6337959180993</x:v>
      </x:c>
      <x:c r="R786" s="34" t="str">
        <x:v>tract internal point; no person, address, building, parcel, or route condition</x:v>
      </x:c>
    </x:row>
    <x:row r="787" ht="86.4000015258789" hidden="0" customHeight="1">
      <x:c r="A787" s="36" t="str">
        <x:v>48201511004</x:v>
      </x:c>
      <x:c r="B787" s="63" t="n">
        <x:v>1834</x:v>
      </x:c>
      <x:c r="C787" s="63" t="n">
        <x:v>253</x:v>
      </x:c>
      <x:c r="D787" s="63" t="n">
        <x:v>73.5</x:v>
      </x:c>
      <x:c r="E787" s="45" t="n">
        <x:v>0.13794983642311887</x:v>
      </x:c>
      <x:c r="F787" s="45" t="n">
        <x:v>0.04007633587786259</x:v>
      </x:c>
      <x:c r="G787" s="66" t="n">
        <x:v>1090</x:v>
      </x:c>
      <x:c r="H787" s="66" t="n">
        <x:v>423</x:v>
      </x:c>
      <x:c r="I787" s="66" t="n">
        <x:v>0.38807339449541284</x:v>
      </x:c>
      <x:c r="J787" s="36" t="str">
        <x:v>moderate</x:v>
      </x:c>
      <x:c r="K787" s="72" t="n">
        <x:v>29.7950372</x:v>
      </x:c>
      <x:c r="L787" s="72" t="n">
        <x:v>-95.4256842</x:v>
      </x:c>
      <x:c r="M787" s="72" t="n">
        <x:v>0.4</x:v>
      </x:c>
      <x:c r="N787" s="72" t="n">
        <x:v>0.07590520173876283</x:v>
      </x:c>
      <x:c r="O787" s="72" t="n">
        <x:v>22.068819077829932</x:v>
      </x:c>
      <x:c r="P787" s="72" t="n">
        <x:v>3</x:v>
      </x:c>
      <x:c r="Q787" s="72" t="n">
        <x:v>263.08154349751015</x:v>
      </x:c>
      <x:c r="R787" s="36" t="str">
        <x:v>tract internal point; no person, address, building, parcel, or route condition</x:v>
      </x:c>
    </x:row>
    <x:row r="788" ht="86.4000015258789" hidden="0" customHeight="1">
      <x:c r="A788" s="34" t="str">
        <x:v>48201511100</x:v>
      </x:c>
      <x:c r="B788" s="62" t="n">
        <x:v>4424</x:v>
      </x:c>
      <x:c r="C788" s="62" t="n">
        <x:v>138</x:v>
      </x:c>
      <x:c r="D788" s="62" t="n">
        <x:v>105</x:v>
      </x:c>
      <x:c r="E788" s="43" t="n">
        <x:v>0.031193490054249547</x:v>
      </x:c>
      <x:c r="F788" s="43" t="n">
        <x:v>0.023734177215189875</x:v>
      </x:c>
      <x:c r="G788" s="65" t="n">
        <x:v>2369</x:v>
      </x:c>
      <x:c r="H788" s="65" t="n">
        <x:v>622</x:v>
      </x:c>
      <x:c r="I788" s="65" t="n">
        <x:v>0.2625580413676657</x:v>
      </x:c>
      <x:c r="J788" s="34" t="str">
        <x:v>moderate</x:v>
      </x:c>
      <x:c r="K788" s="71" t="n">
        <x:v>29.8081903</x:v>
      </x:c>
      <x:c r="L788" s="71" t="n">
        <x:v>-95.427545</x:v>
      </x:c>
      <x:c r="M788" s="71" t="n">
        <x:v>0.725</x:v>
      </x:c>
      <x:c r="N788" s="71" t="n">
        <x:v>0.1608949641994858</x:v>
      </x:c>
      <x:c r="O788" s="71" t="n">
        <x:v>22.055275192261053</x:v>
      </x:c>
      <x:c r="P788" s="71" t="n">
        <x:v>3</x:v>
      </x:c>
      <x:c r="Q788" s="71" t="n">
        <x:v>620.4689105104468</x:v>
      </x:c>
      <x:c r="R788" s="34" t="str">
        <x:v>tract internal point; no person, address, building, parcel, or route condition</x:v>
      </x:c>
    </x:row>
    <x:row r="789" ht="86.4000015258789" hidden="0" customHeight="1">
      <x:c r="A789" s="36" t="str">
        <x:v>48201511201</x:v>
      </x:c>
      <x:c r="B789" s="63" t="n">
        <x:v>2910</x:v>
      </x:c>
      <x:c r="C789" s="63" t="n">
        <x:v>84</x:v>
      </x:c>
      <x:c r="D789" s="63" t="n">
        <x:v>59</x:v>
      </x:c>
      <x:c r="E789" s="45" t="n">
        <x:v>0.0288659793814433</x:v>
      </x:c>
      <x:c r="F789" s="45" t="n">
        <x:v>0.02027491408934708</x:v>
      </x:c>
      <x:c r="G789" s="66" t="n">
        <x:v>1528</x:v>
      </x:c>
      <x:c r="H789" s="66" t="n">
        <x:v>186</x:v>
      </x:c>
      <x:c r="I789" s="66" t="n">
        <x:v>0.12172774869109948</x:v>
      </x:c>
      <x:c r="J789" s="36" t="str">
        <x:v>high</x:v>
      </x:c>
      <x:c r="K789" s="72" t="n">
        <x:v>29.7960562</x:v>
      </x:c>
      <x:c r="L789" s="72" t="n">
        <x:v>-95.4162184</x:v>
      </x:c>
      <x:c r="M789" s="72" t="n">
        <x:v>0.425</x:v>
      </x:c>
      <x:c r="N789" s="72" t="n">
        <x:v>0.05268445523767771</x:v>
      </x:c>
      <x:c r="O789" s="72" t="n">
        <x:v>21.282234459038698</x:v>
      </x:c>
      <x:c r="P789" s="72" t="n">
        <x:v>3</x:v>
      </x:c>
      <x:c r="Q789" s="72" t="n">
        <x:v>496.4534818165324</x:v>
      </x:c>
      <x:c r="R789" s="36" t="str">
        <x:v>tract internal point; no person, address, building, parcel, or route condition</x:v>
      </x:c>
    </x:row>
    <x:row r="790" ht="86.4000015258789" hidden="0" customHeight="1">
      <x:c r="A790" s="34" t="str">
        <x:v>48201511202</x:v>
      </x:c>
      <x:c r="B790" s="62" t="n">
        <x:v>3510</x:v>
      </x:c>
      <x:c r="C790" s="62" t="n">
        <x:v>348</x:v>
      </x:c>
      <x:c r="D790" s="62" t="n">
        <x:v>44</x:v>
      </x:c>
      <x:c r="E790" s="43" t="n">
        <x:v>0.09914529914529914</x:v>
      </x:c>
      <x:c r="F790" s="43" t="n">
        <x:v>0.012535612535612535</x:v>
      </x:c>
      <x:c r="G790" s="65" t="n">
        <x:v>1900</x:v>
      </x:c>
      <x:c r="H790" s="65" t="n">
        <x:v>60</x:v>
      </x:c>
      <x:c r="I790" s="65" t="n">
        <x:v>0.031578947368421054</x:v>
      </x:c>
      <x:c r="J790" s="34" t="str">
        <x:v>high</x:v>
      </x:c>
      <x:c r="K790" s="71" t="n">
        <x:v>29.8042125</x:v>
      </x:c>
      <x:c r="L790" s="71" t="n">
        <x:v>-95.4172883</x:v>
      </x:c>
      <x:c r="M790" s="71" t="n">
        <x:v>0.382</x:v>
      </x:c>
      <x:c r="N790" s="71" t="n">
        <x:v>0.08302064277914792</x:v>
      </x:c>
      <x:c r="O790" s="71" t="n">
        <x:v>22.180025088563166</x:v>
      </x:c>
      <x:c r="P790" s="71" t="n">
        <x:v>3</x:v>
      </x:c>
      <x:c r="Q790" s="71" t="n">
        <x:v>606.7068840421636</x:v>
      </x:c>
      <x:c r="R790" s="34" t="str">
        <x:v>tract internal point; no person, address, building, parcel, or route condition</x:v>
      </x:c>
    </x:row>
    <x:row r="791" ht="86.4000015258789" hidden="0" customHeight="1">
      <x:c r="A791" s="36" t="str">
        <x:v>48201511301</x:v>
      </x:c>
      <x:c r="B791" s="63" t="n">
        <x:v>5065</x:v>
      </x:c>
      <x:c r="C791" s="63" t="n">
        <x:v>502</x:v>
      </x:c>
      <x:c r="D791" s="63" t="n">
        <x:v>306</x:v>
      </x:c>
      <x:c r="E791" s="45" t="n">
        <x:v>0.09911154985192498</x:v>
      </x:c>
      <x:c r="F791" s="45" t="n">
        <x:v>0.060414610069101676</x:v>
      </x:c>
      <x:c r="G791" s="66" t="n">
        <x:v>2751</x:v>
      </x:c>
      <x:c r="H791" s="66" t="n">
        <x:v>654</x:v>
      </x:c>
      <x:c r="I791" s="66" t="n">
        <x:v>0.23773173391494</x:v>
      </x:c>
      <x:c r="J791" s="36" t="str">
        <x:v>low</x:v>
      </x:c>
      <x:c r="K791" s="72" t="n">
        <x:v>29.7972613</x:v>
      </x:c>
      <x:c r="L791" s="72" t="n">
        <x:v>-95.4054495</x:v>
      </x:c>
      <x:c r="M791" s="72" t="n">
        <x:v>0.698</x:v>
      </x:c>
      <x:c r="N791" s="72" t="n">
        <x:v>0.024074595286020784</x:v>
      </x:c>
      <x:c r="O791" s="72" t="n">
        <x:v>21.026454022525495</x:v>
      </x:c>
      <x:c r="P791" s="72" t="n">
        <x:v>3</x:v>
      </x:c>
      <x:c r="Q791" s="72" t="n">
        <x:v>408.3808653866395</x:v>
      </x:c>
      <x:c r="R791" s="36" t="str">
        <x:v>tract internal point; no person, address, building, parcel, or route condition</x:v>
      </x:c>
    </x:row>
    <x:row r="792" ht="86.4000015258789" hidden="0" customHeight="1">
      <x:c r="A792" s="34" t="str">
        <x:v>48201511302</x:v>
      </x:c>
      <x:c r="B792" s="62" t="n">
        <x:v>4961</x:v>
      </x:c>
      <x:c r="C792" s="62" t="n">
        <x:v>315</x:v>
      </x:c>
      <x:c r="D792" s="62" t="n">
        <x:v>190</x:v>
      </x:c>
      <x:c r="E792" s="43" t="n">
        <x:v>0.06349526305180407</x:v>
      </x:c>
      <x:c r="F792" s="43" t="n">
        <x:v>0.03829873009473896</x:v>
      </x:c>
      <x:c r="G792" s="65" t="n">
        <x:v>2460</x:v>
      </x:c>
      <x:c r="H792" s="65" t="n">
        <x:v>154</x:v>
      </x:c>
      <x:c r="I792" s="65" t="n">
        <x:v>0.06260162601626017</x:v>
      </x:c>
      <x:c r="J792" s="34" t="str">
        <x:v>low</x:v>
      </x:c>
      <x:c r="K792" s="71" t="n">
        <x:v>29.7973995</x:v>
      </x:c>
      <x:c r="L792" s="71" t="n">
        <x:v>-95.3935238</x:v>
      </x:c>
      <x:c r="M792" s="71" t="n">
        <x:v>0.613</x:v>
      </x:c>
      <x:c r="N792" s="71" t="n">
        <x:v>0.08435990281095676</x:v>
      </x:c>
      <x:c r="O792" s="71" t="n">
        <x:v>19.63920631627337</x:v>
      </x:c>
      <x:c r="P792" s="71" t="n">
        <x:v>3</x:v>
      </x:c>
      <x:c r="Q792" s="71" t="n">
        <x:v>396.35579371532395</x:v>
      </x:c>
      <x:c r="R792" s="34" t="str">
        <x:v>tract internal point; no person, address, building, parcel, or route condition</x:v>
      </x:c>
    </x:row>
    <x:row r="793" ht="86.4000015258789" hidden="0" customHeight="1">
      <x:c r="A793" s="36" t="str">
        <x:v>48201511400</x:v>
      </x:c>
      <x:c r="B793" s="63" t="n">
        <x:v>2686</x:v>
      </x:c>
      <x:c r="C793" s="63" t="n">
        <x:v>243</x:v>
      </x:c>
      <x:c r="D793" s="63" t="n">
        <x:v>241.5</x:v>
      </x:c>
      <x:c r="E793" s="45" t="n">
        <x:v>0.09046909903201787</x:v>
      </x:c>
      <x:c r="F793" s="45" t="n">
        <x:v>0.08991064780342517</x:v>
      </x:c>
      <x:c r="G793" s="66" t="n">
        <x:v>1591</x:v>
      </x:c>
      <x:c r="H793" s="66" t="n">
        <x:v>99</x:v>
      </x:c>
      <x:c r="I793" s="66" t="n">
        <x:v>0.06222501571338781</x:v>
      </x:c>
      <x:c r="J793" s="36" t="str">
        <x:v>low</x:v>
      </x:c>
      <x:c r="K793" s="72" t="n">
        <x:v>29.7957877</x:v>
      </x:c>
      <x:c r="L793" s="72" t="n">
        <x:v>-95.383124</x:v>
      </x:c>
      <x:c r="M793" s="72" t="n">
        <x:v>0.443</x:v>
      </x:c>
      <x:c r="N793" s="72" t="n">
        <x:v>0.07276236916746374</x:v>
      </x:c>
      <x:c r="O793" s="72" t="n">
        <x:v>17.95190886874192</x:v>
      </x:c>
      <x:c r="P793" s="72" t="n">
        <x:v>3</x:v>
      </x:c>
      <x:c r="Q793" s="72" t="n">
        <x:v>216.8246174721694</x:v>
      </x:c>
      <x:c r="R793" s="36" t="str">
        <x:v>tract internal point; no person, address, building, parcel, or route condition</x:v>
      </x:c>
    </x:row>
    <x:row r="794" ht="86.4000015258789" hidden="0" customHeight="1">
      <x:c r="A794" s="34" t="str">
        <x:v>48201511501</x:v>
      </x:c>
      <x:c r="B794" s="62" t="n">
        <x:v>3757</x:v>
      </x:c>
      <x:c r="C794" s="62" t="n">
        <x:v>180</x:v>
      </x:c>
      <x:c r="D794" s="62" t="n">
        <x:v>0</x:v>
      </x:c>
      <x:c r="E794" s="43" t="n">
        <x:v>0.04791056694170881</x:v>
      </x:c>
      <x:c r="F794" s="43" t="n">
        <x:v>0</x:v>
      </x:c>
      <x:c r="G794" s="65" t="n">
        <x:v>2129</x:v>
      </x:c>
      <x:c r="H794" s="65" t="n">
        <x:v>978</x:v>
      </x:c>
      <x:c r="I794" s="65" t="n">
        <x:v>0.45937059652418977</x:v>
      </x:c>
      <x:c r="J794" s="34" t="str">
        <x:v>low</x:v>
      </x:c>
      <x:c r="K794" s="71" t="n">
        <x:v>29.8083233</x:v>
      </x:c>
      <x:c r="L794" s="71" t="n">
        <x:v>-95.4058178</x:v>
      </x:c>
      <x:c r="M794" s="71" t="n">
        <x:v>0.48</x:v>
      </x:c>
      <x:c r="N794" s="71" t="n">
        <x:v>0.01606101656608778</x:v>
      </x:c>
      <x:c r="O794" s="71" t="n">
        <x:v>20.540500888390497</x:v>
      </x:c>
      <x:c r="P794" s="71" t="n">
        <x:v>3</x:v>
      </x:c>
      <x:c r="Q794" s="71" t="n">
        <x:v>298.1117441130724</x:v>
      </x:c>
      <x:c r="R794" s="34" t="str">
        <x:v>tract internal point; no person, address, building, parcel, or route condition</x:v>
      </x:c>
    </x:row>
    <x:row r="795" ht="86.4000015258789" hidden="0" customHeight="1">
      <x:c r="A795" s="36" t="str">
        <x:v>48201511502</x:v>
      </x:c>
      <x:c r="B795" s="63" t="n">
        <x:v>5455</x:v>
      </x:c>
      <x:c r="C795" s="63" t="n">
        <x:v>276</x:v>
      </x:c>
      <x:c r="D795" s="63" t="n">
        <x:v>0</x:v>
      </x:c>
      <x:c r="E795" s="45" t="n">
        <x:v>0.05059578368469294</x:v>
      </x:c>
      <x:c r="F795" s="45" t="n">
        <x:v>0</x:v>
      </x:c>
      <x:c r="G795" s="66" t="n">
        <x:v>2523</x:v>
      </x:c>
      <x:c r="H795" s="66" t="n">
        <x:v>62</x:v>
      </x:c>
      <x:c r="I795" s="66" t="n">
        <x:v>0.024573919936583432</x:v>
      </x:c>
      <x:c r="J795" s="36" t="str">
        <x:v>low</x:v>
      </x:c>
      <x:c r="K795" s="72" t="n">
        <x:v>29.8086883</x:v>
      </x:c>
      <x:c r="L795" s="72" t="n">
        <x:v>-95.3903678</x:v>
      </x:c>
      <x:c r="M795" s="72" t="n">
        <x:v>0.709</x:v>
      </x:c>
      <x:c r="N795" s="72" t="n">
        <x:v>0.0609807314325188</x:v>
      </x:c>
      <x:c r="O795" s="72" t="n">
        <x:v>19.4947576907031</x:v>
      </x:c>
      <x:c r="P795" s="72" t="n">
        <x:v>3</x:v>
      </x:c>
      <x:c r="Q795" s="72" t="n">
        <x:v>433.07548969466154</x:v>
      </x:c>
      <x:c r="R795" s="36" t="str">
        <x:v>tract internal point; no person, address, building, parcel, or route condition</x:v>
      </x:c>
    </x:row>
    <x:row r="796" ht="86.4000015258789" hidden="0" customHeight="1">
      <x:c r="A796" s="34" t="str">
        <x:v>48201511600</x:v>
      </x:c>
      <x:c r="B796" s="62" t="n">
        <x:v>3548</x:v>
      </x:c>
      <x:c r="C796" s="62" t="n">
        <x:v>316</x:v>
      </x:c>
      <x:c r="D796" s="62" t="n">
        <x:v>56</x:v>
      </x:c>
      <x:c r="E796" s="43" t="n">
        <x:v>0.08906426155580609</x:v>
      </x:c>
      <x:c r="F796" s="43" t="n">
        <x:v>0.015783540022547914</x:v>
      </x:c>
      <x:c r="G796" s="65" t="n">
        <x:v>1928</x:v>
      </x:c>
      <x:c r="H796" s="65" t="n">
        <x:v>422</x:v>
      </x:c>
      <x:c r="I796" s="65" t="n">
        <x:v>0.21887966804979253</x:v>
      </x:c>
      <x:c r="J796" s="34" t="str">
        <x:v>low</x:v>
      </x:c>
      <x:c r="K796" s="71" t="n">
        <x:v>29.8030113</x:v>
      </x:c>
      <x:c r="L796" s="71" t="n">
        <x:v>-95.3770418</x:v>
      </x:c>
      <x:c r="M796" s="71" t="n">
        <x:v>0.753</x:v>
      </x:c>
      <x:c r="N796" s="71" t="n">
        <x:v>0.0262702112465266</x:v>
      </x:c>
      <x:c r="O796" s="71" t="n">
        <x:v>17.59353875576704</x:v>
      </x:c>
      <x:c r="P796" s="71" t="n">
        <x:v>3</x:v>
      </x:c>
      <x:c r="Q796" s="71" t="n">
        <x:v>284.263262881139</x:v>
      </x:c>
      <x:c r="R796" s="34" t="str">
        <x:v>tract internal point; no person, address, building, parcel, or route condition</x:v>
      </x:c>
    </x:row>
    <x:row r="797" ht="86.4000015258789" hidden="0" customHeight="1">
      <x:c r="A797" s="36" t="str">
        <x:v>48201520100</x:v>
      </x:c>
      <x:c r="B797" s="63" t="n">
        <x:v>3406</x:v>
      </x:c>
      <x:c r="C797" s="63" t="n">
        <x:v>244</x:v>
      </x:c>
      <x:c r="D797" s="63" t="n">
        <x:v>10</x:v>
      </x:c>
      <x:c r="E797" s="45" t="n">
        <x:v>0.0716382853787434</x:v>
      </x:c>
      <x:c r="F797" s="45" t="n">
        <x:v>0.002935995302407516</x:v>
      </x:c>
      <x:c r="G797" s="66" t="n">
        <x:v>1647</x:v>
      </x:c>
      <x:c r="H797" s="66" t="n">
        <x:v>545</x:v>
      </x:c>
      <x:c r="I797" s="66" t="n">
        <x:v>0.33090467516697025</x:v>
      </x:c>
      <x:c r="J797" s="36" t="str">
        <x:v>low</x:v>
      </x:c>
      <x:c r="K797" s="72" t="n">
        <x:v>29.7922757</x:v>
      </x:c>
      <x:c r="L797" s="72" t="n">
        <x:v>-95.4604356</x:v>
      </x:c>
      <x:c r="M797" s="72" t="n">
        <x:v>1.14</x:v>
      </x:c>
      <x:c r="N797" s="72" t="n">
        <x:v>0.12587450139651668</x:v>
      </x:c>
      <x:c r="O797" s="72" t="n">
        <x:v>21.930208610373448</x:v>
      </x:c>
      <x:c r="P797" s="72" t="n">
        <x:v>3</x:v>
      </x:c>
      <x:c r="Q797" s="72" t="n">
        <x:v>271.60942929236893</x:v>
      </x:c>
      <x:c r="R797" s="36" t="str">
        <x:v>tract internal point; no person, address, building, parcel, or route condition</x:v>
      </x:c>
    </x:row>
    <x:row r="798" ht="86.4000015258789" hidden="0" customHeight="1">
      <x:c r="A798" s="34" t="str">
        <x:v>48201520200</x:v>
      </x:c>
      <x:c r="B798" s="62" t="n">
        <x:v>3189</x:v>
      </x:c>
      <x:c r="C798" s="62" t="n">
        <x:v>357</x:v>
      </x:c>
      <x:c r="D798" s="62" t="n">
        <x:v>166.5</x:v>
      </x:c>
      <x:c r="E798" s="43" t="n">
        <x:v>0.11194731890874883</x:v>
      </x:c>
      <x:c r="F798" s="43" t="n">
        <x:v>0.05221072436500471</x:v>
      </x:c>
      <x:c r="G798" s="65" t="n">
        <x:v>1481</x:v>
      </x:c>
      <x:c r="H798" s="65" t="n">
        <x:v>118</x:v>
      </x:c>
      <x:c r="I798" s="65" t="n">
        <x:v>0.07967589466576637</x:v>
      </x:c>
      <x:c r="J798" s="34" t="str">
        <x:v>low</x:v>
      </x:c>
      <x:c r="K798" s="71" t="n">
        <x:v>29.789358</x:v>
      </x:c>
      <x:c r="L798" s="71" t="n">
        <x:v>-95.476561</x:v>
      </x:c>
      <x:c r="M798" s="71" t="n">
        <x:v>0.727</x:v>
      </x:c>
      <x:c r="N798" s="71" t="n">
        <x:v>0.08155186442424632</x:v>
      </x:c>
      <x:c r="O798" s="71" t="n">
        <x:v>21.589196209581537</x:v>
      </x:c>
      <x:c r="P798" s="71" t="n">
        <x:v>3</x:v>
      </x:c>
      <x:c r="Q798" s="71" t="n">
        <x:v>257.5605301992469</x:v>
      </x:c>
      <x:c r="R798" s="34" t="str">
        <x:v>tract internal point; no person, address, building, parcel, or route condition</x:v>
      </x:c>
    </x:row>
    <x:row r="799" ht="86.4000015258789" hidden="0" customHeight="1">
      <x:c r="A799" s="36" t="str">
        <x:v>48201520301</x:v>
      </x:c>
      <x:c r="B799" s="63" t="n">
        <x:v>2443</x:v>
      </x:c>
      <x:c r="C799" s="63" t="n">
        <x:v>440</x:v>
      </x:c>
      <x:c r="D799" s="63" t="n">
        <x:v>250</x:v>
      </x:c>
      <x:c r="E799" s="45" t="n">
        <x:v>0.18010642652476463</x:v>
      </x:c>
      <x:c r="F799" s="45" t="n">
        <x:v>0.10233319688907082</x:v>
      </x:c>
      <x:c r="G799" s="66" t="n">
        <x:v>1023</x:v>
      </x:c>
      <x:c r="H799" s="66" t="n">
        <x:v>266</x:v>
      </x:c>
      <x:c r="I799" s="66" t="n">
        <x:v>0.260019550342131</x:v>
      </x:c>
      <x:c r="J799" s="36" t="str">
        <x:v>low</x:v>
      </x:c>
      <x:c r="K799" s="72" t="n">
        <x:v>29.7986856</x:v>
      </x:c>
      <x:c r="L799" s="72" t="n">
        <x:v>-95.4719357</x:v>
      </x:c>
      <x:c r="M799" s="72" t="n">
        <x:v>0.26</x:v>
      </x:c>
      <x:c r="N799" s="72" t="n">
        <x:v>0.031227705509662276</x:v>
      </x:c>
      <x:c r="O799" s="72" t="n">
        <x:v>23.06709235078365</x:v>
      </x:c>
      <x:c r="P799" s="72" t="n">
        <x:v>3</x:v>
      </x:c>
      <x:c r="Q799" s="72" t="n">
        <x:v>200.88943262668414</x:v>
      </x:c>
      <x:c r="R799" s="36" t="str">
        <x:v>tract internal point; no person, address, building, parcel, or route condition</x:v>
      </x:c>
    </x:row>
    <x:row r="800" ht="86.4000015258789" hidden="0" customHeight="1">
      <x:c r="A800" s="34" t="str">
        <x:v>48201520302</x:v>
      </x:c>
      <x:c r="B800" s="62" t="n">
        <x:v>2591</x:v>
      </x:c>
      <x:c r="C800" s="62" t="n">
        <x:v>390</x:v>
      </x:c>
      <x:c r="D800" s="62" t="n">
        <x:v>79</x:v>
      </x:c>
      <x:c r="E800" s="43" t="n">
        <x:v>0.15052103434967193</x:v>
      </x:c>
      <x:c r="F800" s="43" t="n">
        <x:v>0.03049015824006175</x:v>
      </x:c>
      <x:c r="G800" s="65" t="n">
        <x:v>1187</x:v>
      </x:c>
      <x:c r="H800" s="65" t="n">
        <x:v>221</x:v>
      </x:c>
      <x:c r="I800" s="65" t="n">
        <x:v>0.18618365627632688</x:v>
      </x:c>
      <x:c r="J800" s="34" t="str">
        <x:v>low</x:v>
      </x:c>
      <x:c r="K800" s="71" t="n">
        <x:v>29.7987278</x:v>
      </x:c>
      <x:c r="L800" s="71" t="n">
        <x:v>-95.4802566</x:v>
      </x:c>
      <x:c r="M800" s="71" t="n">
        <x:v>0.312</x:v>
      </x:c>
      <x:c r="N800" s="71" t="n">
        <x:v>0.07943806115876503</x:v>
      </x:c>
      <x:c r="O800" s="71" t="n">
        <x:v>23.782292186393242</x:v>
      </x:c>
      <x:c r="P800" s="71" t="n">
        <x:v>3</x:v>
      </x:c>
      <x:c r="Q800" s="71" t="n">
        <x:v>210.39159710421393</x:v>
      </x:c>
      <x:c r="R800" s="34" t="str">
        <x:v>tract internal point; no person, address, building, parcel, or route condition</x:v>
      </x:c>
    </x:row>
    <x:row r="801" ht="86.4000015258789" hidden="0" customHeight="1">
      <x:c r="A801" s="36" t="str">
        <x:v>48201520400</x:v>
      </x:c>
      <x:c r="B801" s="63" t="n">
        <x:v>3837</x:v>
      </x:c>
      <x:c r="C801" s="63" t="n">
        <x:v>478</x:v>
      </x:c>
      <x:c r="D801" s="63" t="n">
        <x:v>451</x:v>
      </x:c>
      <x:c r="E801" s="45" t="n">
        <x:v>0.12457649205108158</x:v>
      </x:c>
      <x:c r="F801" s="45" t="n">
        <x:v>0.11753974459212926</x:v>
      </x:c>
      <x:c r="G801" s="66" t="n">
        <x:v>1549</x:v>
      </x:c>
      <x:c r="H801" s="66" t="n">
        <x:v>652</x:v>
      </x:c>
      <x:c r="I801" s="66" t="n">
        <x:v>0.420916720464816</x:v>
      </x:c>
      <x:c r="J801" s="36" t="str">
        <x:v>low</x:v>
      </x:c>
      <x:c r="K801" s="72" t="n">
        <x:v>29.8068975</x:v>
      </x:c>
      <x:c r="L801" s="72" t="n">
        <x:v>-95.4769954</x:v>
      </x:c>
      <x:c r="M801" s="72" t="n">
        <x:v>0.788</x:v>
      </x:c>
      <x:c r="N801" s="72" t="n">
        <x:v>0.04974757875957335</x:v>
      </x:c>
      <x:c r="O801" s="72" t="n">
        <x:v>24.62340480460486</x:v>
      </x:c>
      <x:c r="P801" s="72" t="n">
        <x:v>3</x:v>
      </x:c>
      <x:c r="Q801" s="72" t="n">
        <x:v>312.62828488230116</x:v>
      </x:c>
      <x:c r="R801" s="36" t="str">
        <x:v>tract internal point; no person, address, building, parcel, or route condition</x:v>
      </x:c>
    </x:row>
    <x:row r="802" ht="86.4000015258789" hidden="0" customHeight="1">
      <x:c r="A802" s="34" t="str">
        <x:v>48201520501</x:v>
      </x:c>
      <x:c r="B802" s="62" t="n">
        <x:v>4009</x:v>
      </x:c>
      <x:c r="C802" s="62" t="n">
        <x:v>443</x:v>
      </x:c>
      <x:c r="D802" s="62" t="n">
        <x:v>434.5</x:v>
      </x:c>
      <x:c r="E802" s="43" t="n">
        <x:v>0.11050137191319531</x:v>
      </x:c>
      <x:c r="F802" s="43" t="n">
        <x:v>0.10838114242953355</x:v>
      </x:c>
      <x:c r="G802" s="65" t="n">
        <x:v>1386</x:v>
      </x:c>
      <x:c r="H802" s="65" t="n">
        <x:v>30</x:v>
      </x:c>
      <x:c r="I802" s="65" t="n">
        <x:v>0.021645021645021644</x:v>
      </x:c>
      <x:c r="J802" s="34" t="str">
        <x:v>low</x:v>
      </x:c>
      <x:c r="K802" s="71" t="n">
        <x:v>29.8148906</x:v>
      </x:c>
      <x:c r="L802" s="71" t="n">
        <x:v>-95.4713169</x:v>
      </x:c>
      <x:c r="M802" s="71" t="n">
        <x:v>1.784</x:v>
      </x:c>
      <x:c r="N802" s="71" t="n">
        <x:v>0.11726339215935187</x:v>
      </x:c>
      <x:c r="O802" s="71" t="n">
        <x:v>24.283790676025976</x:v>
      </x:c>
      <x:c r="P802" s="71" t="n">
        <x:v>3</x:v>
      </x:c>
      <x:c r="Q802" s="71" t="n">
        <x:v>325.4668172843233</x:v>
      </x:c>
      <x:c r="R802" s="34" t="str">
        <x:v>tract internal point; no person, address, building, parcel, or route condition</x:v>
      </x:c>
    </x:row>
    <x:row r="803" ht="86.4000015258789" hidden="0" customHeight="1">
      <x:c r="A803" s="36" t="str">
        <x:v>48201520502</x:v>
      </x:c>
      <x:c r="B803" s="63" t="n">
        <x:v>4644</x:v>
      </x:c>
      <x:c r="C803" s="63" t="n">
        <x:v>178</x:v>
      </x:c>
      <x:c r="D803" s="63" t="n">
        <x:v>108</x:v>
      </x:c>
      <x:c r="E803" s="45" t="n">
        <x:v>0.03832902670111973</x:v>
      </x:c>
      <x:c r="F803" s="45" t="n">
        <x:v>0.023255813953488372</x:v>
      </x:c>
      <x:c r="G803" s="66" t="n">
        <x:v>1732</x:v>
      </x:c>
      <x:c r="H803" s="66" t="n">
        <x:v>357</x:v>
      </x:c>
      <x:c r="I803" s="66" t="n">
        <x:v>0.2061200923787529</x:v>
      </x:c>
      <x:c r="J803" s="36" t="str">
        <x:v>moderate</x:v>
      </x:c>
      <x:c r="K803" s="72" t="n">
        <x:v>29.8349288</x:v>
      </x:c>
      <x:c r="L803" s="72" t="n">
        <x:v>-95.4960956</x:v>
      </x:c>
      <x:c r="M803" s="72" t="n">
        <x:v>1.114</x:v>
      </x:c>
      <x:c r="N803" s="72" t="n">
        <x:v>0.045991222313219816</x:v>
      </x:c>
      <x:c r="O803" s="72" t="n">
        <x:v>23.48774637748586</x:v>
      </x:c>
      <x:c r="P803" s="72" t="n">
        <x:v>5</x:v>
      </x:c>
      <x:c r="Q803" s="72" t="n">
        <x:v>652.2147369754598</x:v>
      </x:c>
      <x:c r="R803" s="36" t="str">
        <x:v>tract internal point; no person, address, building, parcel, or route condition</x:v>
      </x:c>
    </x:row>
    <x:row r="804" ht="86.4000015258789" hidden="0" customHeight="1">
      <x:c r="A804" s="34" t="str">
        <x:v>48201520601</x:v>
      </x:c>
      <x:c r="B804" s="62" t="n">
        <x:v>2658</x:v>
      </x:c>
      <x:c r="C804" s="62" t="n">
        <x:v>417</x:v>
      </x:c>
      <x:c r="D804" s="62" t="n">
        <x:v>225.5</x:v>
      </x:c>
      <x:c r="E804" s="43" t="n">
        <x:v>0.15688487584650113</x:v>
      </x:c>
      <x:c r="F804" s="43" t="n">
        <x:v>0.08483822422874342</x:v>
      </x:c>
      <x:c r="G804" s="65" t="n">
        <x:v>1004</x:v>
      </x:c>
      <x:c r="H804" s="65" t="n">
        <x:v>321</x:v>
      </x:c>
      <x:c r="I804" s="65" t="n">
        <x:v>0.3197211155378486</x:v>
      </x:c>
      <x:c r="J804" s="34" t="str">
        <x:v>moderate</x:v>
      </x:c>
      <x:c r="K804" s="71" t="n">
        <x:v>29.8167961</x:v>
      </x:c>
      <x:c r="L804" s="71" t="n">
        <x:v>-95.4926764</x:v>
      </x:c>
      <x:c r="M804" s="71" t="n">
        <x:v>0.759</x:v>
      </x:c>
      <x:c r="N804" s="71" t="n">
        <x:v>0.10551137419924252</x:v>
      </x:c>
      <x:c r="O804" s="71" t="n">
        <x:v>26.30698920044436</x:v>
      </x:c>
      <x:c r="P804" s="71" t="n">
        <x:v>3</x:v>
      </x:c>
      <x:c r="Q804" s="71" t="n">
        <x:v>384.335860963526</x:v>
      </x:c>
      <x:c r="R804" s="34" t="str">
        <x:v>tract internal point; no person, address, building, parcel, or route condition</x:v>
      </x:c>
    </x:row>
    <x:row r="805" ht="86.4000015258789" hidden="0" customHeight="1">
      <x:c r="A805" s="36" t="str">
        <x:v>48201520603</x:v>
      </x:c>
      <x:c r="B805" s="63" t="n">
        <x:v>2037</x:v>
      </x:c>
      <x:c r="C805" s="63" t="n">
        <x:v>359</x:v>
      </x:c>
      <x:c r="D805" s="63" t="n">
        <x:v>542</x:v>
      </x:c>
      <x:c r="E805" s="45" t="n">
        <x:v>0.17623956799214532</x:v>
      </x:c>
      <x:c r="F805" s="45" t="n">
        <x:v>0.2660775650466372</x:v>
      </x:c>
      <x:c r="G805" s="66" t="n">
        <x:v>862</x:v>
      </x:c>
      <x:c r="H805" s="66" t="n">
        <x:v>91</x:v>
      </x:c>
      <x:c r="I805" s="66" t="n">
        <x:v>0.10556844547563805</x:v>
      </x:c>
      <x:c r="J805" s="36" t="str">
        <x:v>low</x:v>
      </x:c>
      <x:c r="K805" s="72" t="n">
        <x:v>29.806804</x:v>
      </x:c>
      <x:c r="L805" s="72" t="n">
        <x:v>-95.4870314</x:v>
      </x:c>
      <x:c r="M805" s="72" t="n">
        <x:v>0.136</x:v>
      </x:c>
      <x:c r="N805" s="72" t="n">
        <x:v>0.017121660827273417</x:v>
      </x:c>
      <x:c r="O805" s="72" t="n">
        <x:v>25.275902742517225</x:v>
      </x:c>
      <x:c r="P805" s="72" t="n">
        <x:v>3</x:v>
      </x:c>
      <x:c r="Q805" s="72" t="n">
        <x:v>170.00150343173624</x:v>
      </x:c>
      <x:c r="R805" s="36" t="str">
        <x:v>tract internal point; no person, address, building, parcel, or route condition</x:v>
      </x:c>
    </x:row>
    <x:row r="806" ht="86.4000015258789" hidden="0" customHeight="1">
      <x:c r="A806" s="34" t="str">
        <x:v>48201520604</x:v>
      </x:c>
      <x:c r="B806" s="62" t="n">
        <x:v>3447</x:v>
      </x:c>
      <x:c r="C806" s="62" t="n">
        <x:v>309</x:v>
      </x:c>
      <x:c r="D806" s="62" t="n">
        <x:v>86</x:v>
      </x:c>
      <x:c r="E806" s="43" t="n">
        <x:v>0.08964316797214969</x:v>
      </x:c>
      <x:c r="F806" s="43" t="n">
        <x:v>0.024949231215549754</x:v>
      </x:c>
      <x:c r="G806" s="65" t="n">
        <x:v>1225</x:v>
      </x:c>
      <x:c r="H806" s="65" t="n">
        <x:v>25</x:v>
      </x:c>
      <x:c r="I806" s="65" t="n">
        <x:v>0.02040816326530612</x:v>
      </x:c>
      <x:c r="J806" s="34" t="str">
        <x:v>low</x:v>
      </x:c>
      <x:c r="K806" s="71" t="n">
        <x:v>29.806917</x:v>
      </x:c>
      <x:c r="L806" s="71" t="n">
        <x:v>-95.4950326</x:v>
      </x:c>
      <x:c r="M806" s="71" t="n">
        <x:v>0.384</x:v>
      </x:c>
      <x:c r="N806" s="71" t="n">
        <x:v>0.13650507106965776</x:v>
      </x:c>
      <x:c r="O806" s="71" t="n">
        <x:v>26.72777455445069</x:v>
      </x:c>
      <x:c r="P806" s="71" t="n">
        <x:v>3</x:v>
      </x:c>
      <x:c r="Q806" s="71" t="n">
        <x:v>276.450896056768</x:v>
      </x:c>
      <x:c r="R806" s="34" t="str">
        <x:v>tract internal point; no person, address, building, parcel, or route condition</x:v>
      </x:c>
    </x:row>
    <x:row r="807" ht="86.4000015258789" hidden="0" customHeight="1">
      <x:c r="A807" s="36" t="str">
        <x:v>48201520700</x:v>
      </x:c>
      <x:c r="B807" s="63" t="n">
        <x:v>4466</x:v>
      </x:c>
      <x:c r="C807" s="63" t="n">
        <x:v>234</x:v>
      </x:c>
      <x:c r="D807" s="63" t="n">
        <x:v>16</x:v>
      </x:c>
      <x:c r="E807" s="45" t="n">
        <x:v>0.052395879982086876</x:v>
      </x:c>
      <x:c r="F807" s="45" t="n">
        <x:v>0.0035826242722794446</x:v>
      </x:c>
      <x:c r="G807" s="66" t="n">
        <x:v>1860</x:v>
      </x:c>
      <x:c r="H807" s="66" t="n">
        <x:v>160</x:v>
      </x:c>
      <x:c r="I807" s="66" t="n">
        <x:v>0.08602150537634409</x:v>
      </x:c>
      <x:c r="J807" s="36" t="str">
        <x:v>low</x:v>
      </x:c>
      <x:c r="K807" s="72" t="n">
        <x:v>29.7993191</x:v>
      </x:c>
      <x:c r="L807" s="72" t="n">
        <x:v>-95.4967336</x:v>
      </x:c>
      <x:c r="M807" s="72" t="n">
        <x:v>0.759</x:v>
      </x:c>
      <x:c r="N807" s="72" t="n">
        <x:v>0.07782273832053996</x:v>
      </x:c>
      <x:c r="O807" s="72" t="n">
        <x:v>25.378058116861624</x:v>
      </x:c>
      <x:c r="P807" s="72" t="n">
        <x:v>3</x:v>
      </x:c>
      <x:c r="Q807" s="72" t="n">
        <x:v>354.81035001952387</x:v>
      </x:c>
      <x:c r="R807" s="36" t="str">
        <x:v>tract internal point; no person, address, building, parcel, or route condition</x:v>
      </x:c>
    </x:row>
    <x:row r="808" ht="86.4000015258789" hidden="0" customHeight="1">
      <x:c r="A808" s="34" t="str">
        <x:v>48201521000</x:v>
      </x:c>
      <x:c r="B808" s="62" t="n">
        <x:v>2158</x:v>
      </x:c>
      <x:c r="C808" s="62" t="n">
        <x:v>159</x:v>
      </x:c>
      <x:c r="D808" s="62" t="n">
        <x:v>302</x:v>
      </x:c>
      <x:c r="E808" s="43" t="n">
        <x:v>0.07367933271547729</x:v>
      </x:c>
      <x:c r="F808" s="43" t="n">
        <x:v>0.13994439295644115</x:v>
      </x:c>
      <x:c r="G808" s="65" t="n">
        <x:v>869</x:v>
      </x:c>
      <x:c r="H808" s="65" t="n">
        <x:v>201</x:v>
      </x:c>
      <x:c r="I808" s="65" t="n">
        <x:v>0.23130034522439585</x:v>
      </x:c>
      <x:c r="J808" s="34" t="str">
        <x:v>low</x:v>
      </x:c>
      <x:c r="K808" s="71" t="n">
        <x:v>29.7943621</x:v>
      </x:c>
      <x:c r="L808" s="71" t="n">
        <x:v>-95.5176361</x:v>
      </x:c>
      <x:c r="M808" s="71" t="n">
        <x:v>0.455</x:v>
      </x:c>
      <x:c r="N808" s="71" t="n">
        <x:v>0.07131603346380085</x:v>
      </x:c>
      <x:c r="O808" s="71" t="n">
        <x:v>25.21067988752306</x:v>
      </x:c>
      <x:c r="P808" s="71" t="n">
        <x:v>3</x:v>
      </x:c>
      <x:c r="Q808" s="71" t="n">
        <x:v>174.48143209359893</x:v>
      </x:c>
      <x:c r="R808" s="34" t="str">
        <x:v>tract internal point; no person, address, building, parcel, or route condition</x:v>
      </x:c>
    </x:row>
    <x:row r="809" ht="86.4000015258789" hidden="0" customHeight="1">
      <x:c r="A809" s="36" t="str">
        <x:v>48201521100</x:v>
      </x:c>
      <x:c r="B809" s="63" t="n">
        <x:v>2494</x:v>
      </x:c>
      <x:c r="C809" s="63" t="n">
        <x:v>383</x:v>
      </x:c>
      <x:c r="D809" s="63" t="n">
        <x:v>36</x:v>
      </x:c>
      <x:c r="E809" s="45" t="n">
        <x:v>0.15356856455493184</x:v>
      </x:c>
      <x:c r="F809" s="45" t="n">
        <x:v>0.014434643143544507</x:v>
      </x:c>
      <x:c r="G809" s="66" t="n">
        <x:v>828</x:v>
      </x:c>
      <x:c r="H809" s="66" t="n">
        <x:v>250</x:v>
      </x:c>
      <x:c r="I809" s="66" t="n">
        <x:v>0.30193236714975846</x:v>
      </x:c>
      <x:c r="J809" s="36" t="str">
        <x:v>low</x:v>
      </x:c>
      <x:c r="K809" s="72" t="n">
        <x:v>29.8017669</x:v>
      </x:c>
      <x:c r="L809" s="72" t="n">
        <x:v>-95.5197006</x:v>
      </x:c>
      <x:c r="M809" s="72" t="n">
        <x:v>0.231</x:v>
      </x:c>
      <x:c r="N809" s="72" t="n">
        <x:v>0.12496008621113766</x:v>
      </x:c>
      <x:c r="O809" s="72" t="n">
        <x:v>27.20999320349524</x:v>
      </x:c>
      <x:c r="P809" s="72" t="n">
        <x:v>3</x:v>
      </x:c>
      <x:c r="Q809" s="72" t="n">
        <x:v>202.31986598889296</x:v>
      </x:c>
      <x:c r="R809" s="36" t="str">
        <x:v>tract internal point; no person, address, building, parcel, or route condition</x:v>
      </x:c>
    </x:row>
    <x:row r="810" ht="86.4000015258789" hidden="0" customHeight="1">
      <x:c r="A810" s="34" t="str">
        <x:v>48201521201</x:v>
      </x:c>
      <x:c r="B810" s="62" t="n">
        <x:v>2057</x:v>
      </x:c>
      <x:c r="C810" s="62" t="n">
        <x:v>269</x:v>
      </x:c>
      <x:c r="D810" s="62" t="n">
        <x:v>64</x:v>
      </x:c>
      <x:c r="E810" s="43" t="n">
        <x:v>0.13077297034516286</x:v>
      </x:c>
      <x:c r="F810" s="43" t="n">
        <x:v>0.031113271754982984</x:v>
      </x:c>
      <x:c r="G810" s="65" t="n">
        <x:v>854</x:v>
      </x:c>
      <x:c r="H810" s="65" t="n">
        <x:v>233</x:v>
      </x:c>
      <x:c r="I810" s="65" t="n">
        <x:v>0.2728337236533958</x:v>
      </x:c>
      <x:c r="J810" s="34" t="str">
        <x:v>low</x:v>
      </x:c>
      <x:c r="K810" s="71" t="n">
        <x:v>29.8070095</x:v>
      </x:c>
      <x:c r="L810" s="71" t="n">
        <x:v>-95.5037111</x:v>
      </x:c>
      <x:c r="M810" s="71" t="n">
        <x:v>0.186</x:v>
      </x:c>
      <x:c r="N810" s="71" t="n">
        <x:v>0.11867860809033533</x:v>
      </x:c>
      <x:c r="O810" s="71" t="n">
        <x:v>26.593438845715216</x:v>
      </x:c>
      <x:c r="P810" s="71" t="n">
        <x:v>3</x:v>
      </x:c>
      <x:c r="Q810" s="71" t="n">
        <x:v>166.40184145430973</x:v>
      </x:c>
      <x:c r="R810" s="34" t="str">
        <x:v>tract internal point; no person, address, building, parcel, or route condition</x:v>
      </x:c>
    </x:row>
    <x:row r="811" ht="86.4000015258789" hidden="0" customHeight="1">
      <x:c r="A811" s="36" t="str">
        <x:v>48201521202</x:v>
      </x:c>
      <x:c r="B811" s="63" t="n">
        <x:v>3325</x:v>
      </x:c>
      <x:c r="C811" s="63" t="n">
        <x:v>413</x:v>
      </x:c>
      <x:c r="D811" s="63" t="n">
        <x:v>96</x:v>
      </x:c>
      <x:c r="E811" s="45" t="n">
        <x:v>0.12421052631578948</x:v>
      </x:c>
      <x:c r="F811" s="45" t="n">
        <x:v>0.02887218045112782</x:v>
      </x:c>
      <x:c r="G811" s="66" t="n">
        <x:v>1686</x:v>
      </x:c>
      <x:c r="H811" s="66" t="n">
        <x:v>309</x:v>
      </x:c>
      <x:c r="I811" s="66" t="n">
        <x:v>0.18327402135231316</x:v>
      </x:c>
      <x:c r="J811" s="36" t="str">
        <x:v>low</x:v>
      </x:c>
      <x:c r="K811" s="72" t="n">
        <x:v>29.8068871</x:v>
      </x:c>
      <x:c r="L811" s="72" t="n">
        <x:v>-95.5146086</x:v>
      </x:c>
      <x:c r="M811" s="72" t="n">
        <x:v>0.539</x:v>
      </x:c>
      <x:c r="N811" s="72" t="n">
        <x:v>0.010642361904690761</x:v>
      </x:c>
      <x:c r="O811" s="72" t="n">
        <x:v>27.35868327553229</x:v>
      </x:c>
      <x:c r="P811" s="72" t="n">
        <x:v>3</x:v>
      </x:c>
      <x:c r="Q811" s="72" t="n">
        <x:v>268.5756530406515</x:v>
      </x:c>
      <x:c r="R811" s="36" t="str">
        <x:v>tract internal point; no person, address, building, parcel, or route condition</x:v>
      </x:c>
    </x:row>
    <x:row r="812" ht="86.4000015258789" hidden="0" customHeight="1">
      <x:c r="A812" s="34" t="str">
        <x:v>48201521300</x:v>
      </x:c>
      <x:c r="B812" s="62" t="n">
        <x:v>7160</x:v>
      </x:c>
      <x:c r="C812" s="62" t="n">
        <x:v>684</x:v>
      </x:c>
      <x:c r="D812" s="62" t="n">
        <x:v>759</x:v>
      </x:c>
      <x:c r="E812" s="43" t="n">
        <x:v>0.09553072625698324</x:v>
      </x:c>
      <x:c r="F812" s="43" t="n">
        <x:v>0.10600558659217878</x:v>
      </x:c>
      <x:c r="G812" s="65" t="n">
        <x:v>2608</x:v>
      </x:c>
      <x:c r="H812" s="65" t="n">
        <x:v>258</x:v>
      </x:c>
      <x:c r="I812" s="65" t="n">
        <x:v>0.09892638036809816</x:v>
      </x:c>
      <x:c r="J812" s="34" t="str">
        <x:v>low</x:v>
      </x:c>
      <x:c r="K812" s="71" t="n">
        <x:v>29.81656</x:v>
      </x:c>
      <x:c r="L812" s="71" t="n">
        <x:v>-95.5118968</x:v>
      </x:c>
      <x:c r="M812" s="71" t="n">
        <x:v>1.126</x:v>
      </x:c>
      <x:c r="N812" s="71" t="n">
        <x:v>0.06421699034254642</x:v>
      </x:c>
      <x:c r="O812" s="71" t="n">
        <x:v>26.988282112614918</x:v>
      </x:c>
      <x:c r="P812" s="71" t="n">
        <x:v>5</x:v>
      </x:c>
      <x:c r="Q812" s="71" t="n">
        <x:v>579.4591236020167</x:v>
      </x:c>
      <x:c r="R812" s="34" t="str">
        <x:v>tract internal point; no person, address, building, parcel, or route condition</x:v>
      </x:c>
    </x:row>
    <x:row r="813" ht="86.4000015258789" hidden="0" customHeight="1">
      <x:c r="A813" s="36" t="str">
        <x:v>48201521401</x:v>
      </x:c>
      <x:c r="B813" s="63" t="n">
        <x:v>3298</x:v>
      </x:c>
      <x:c r="C813" s="63" t="n">
        <x:v>76</x:v>
      </x:c>
      <x:c r="D813" s="63" t="n">
        <x:v>171</x:v>
      </x:c>
      <x:c r="E813" s="45" t="n">
        <x:v>0.02304426925409339</x:v>
      </x:c>
      <x:c r="F813" s="45" t="n">
        <x:v>0.05184960582171013</x:v>
      </x:c>
      <x:c r="G813" s="66" t="n">
        <x:v>1091</x:v>
      </x:c>
      <x:c r="H813" s="66" t="n">
        <x:v>189</x:v>
      </x:c>
      <x:c r="I813" s="66" t="n">
        <x:v>0.17323556370302476</x:v>
      </x:c>
      <x:c r="J813" s="36" t="str">
        <x:v>low</x:v>
      </x:c>
      <x:c r="K813" s="72" t="n">
        <x:v>29.829259</x:v>
      </x:c>
      <x:c r="L813" s="72" t="n">
        <x:v>-95.5024151</x:v>
      </x:c>
      <x:c r="M813" s="72" t="n">
        <x:v>0.228</x:v>
      </x:c>
      <x:c r="N813" s="72" t="n">
        <x:v>0.01431160301387202</x:v>
      </x:c>
      <x:c r="O813" s="72" t="n">
        <x:v>24.86078926516213</x:v>
      </x:c>
      <x:c r="P813" s="72" t="n">
        <x:v>5</x:v>
      </x:c>
      <x:c r="Q813" s="72" t="n">
        <x:v>261.74572671230294</x:v>
      </x:c>
      <x:c r="R813" s="36" t="str">
        <x:v>tract internal point; no person, address, building, parcel, or route condition</x:v>
      </x:c>
    </x:row>
    <x:row r="814" ht="86.4000015258789" hidden="0" customHeight="1">
      <x:c r="A814" s="34" t="str">
        <x:v>48201521402</x:v>
      </x:c>
      <x:c r="B814" s="62" t="n">
        <x:v>3430</x:v>
      </x:c>
      <x:c r="C814" s="62" t="n">
        <x:v>239</x:v>
      </x:c>
      <x:c r="D814" s="62" t="n">
        <x:v>184.5</x:v>
      </x:c>
      <x:c r="E814" s="43" t="n">
        <x:v>0.06967930029154519</x:v>
      </x:c>
      <x:c r="F814" s="43" t="n">
        <x:v>0.05379008746355685</x:v>
      </x:c>
      <x:c r="G814" s="65" t="n">
        <x:v>1088</x:v>
      </x:c>
      <x:c r="H814" s="65" t="n">
        <x:v>274</x:v>
      </x:c>
      <x:c r="I814" s="65" t="n">
        <x:v>0.25183823529411764</x:v>
      </x:c>
      <x:c r="J814" s="34" t="str">
        <x:v>high</x:v>
      </x:c>
      <x:c r="K814" s="71" t="n">
        <x:v>29.824482</x:v>
      </x:c>
      <x:c r="L814" s="71" t="n">
        <x:v>-95.503472</x:v>
      </x:c>
      <x:c r="M814" s="71" t="n">
        <x:v>0.359</x:v>
      </x:c>
      <x:c r="N814" s="71" t="n">
        <x:v>0.019649017512644015</x:v>
      </x:c>
      <x:c r="O814" s="71" t="n">
        <x:v>25.617172068652028</x:v>
      </x:c>
      <x:c r="P814" s="71" t="n">
        <x:v>5</x:v>
      </x:c>
      <x:c r="Q814" s="71" t="n">
        <x:v>591.852383742303</x:v>
      </x:c>
      <x:c r="R814" s="34" t="str">
        <x:v>tract internal point; no person, address, building, parcel, or route condition</x:v>
      </x:c>
    </x:row>
    <x:row r="815" ht="86.4000015258789" hidden="0" customHeight="1">
      <x:c r="A815" s="36" t="str">
        <x:v>48201521501</x:v>
      </x:c>
      <x:c r="B815" s="63" t="n">
        <x:v>2853</x:v>
      </x:c>
      <x:c r="C815" s="63" t="n">
        <x:v>197</x:v>
      </x:c>
      <x:c r="D815" s="63" t="n">
        <x:v>439</x:v>
      </x:c>
      <x:c r="E815" s="45" t="n">
        <x:v>0.06905012267788294</x:v>
      </x:c>
      <x:c r="F815" s="45" t="n">
        <x:v>0.15387311601822642</x:v>
      </x:c>
      <x:c r="G815" s="66" t="n">
        <x:v>895</x:v>
      </x:c>
      <x:c r="H815" s="66" t="n">
        <x:v>152</x:v>
      </x:c>
      <x:c r="I815" s="66" t="n">
        <x:v>0.16983240223463686</x:v>
      </x:c>
      <x:c r="J815" s="36" t="str">
        <x:v>high</x:v>
      </x:c>
      <x:c r="K815" s="72" t="n">
        <x:v>29.8250079</x:v>
      </x:c>
      <x:c r="L815" s="72" t="n">
        <x:v>-95.5228108</x:v>
      </x:c>
      <x:c r="M815" s="72" t="n">
        <x:v>0.191</x:v>
      </x:c>
      <x:c r="N815" s="72" t="n">
        <x:v>0.018856650136133028</x:v>
      </x:c>
      <x:c r="O815" s="72" t="n">
        <x:v>24.78117891263813</x:v>
      </x:c>
      <x:c r="P815" s="72" t="n">
        <x:v>5</x:v>
      </x:c>
      <x:c r="Q815" s="72" t="n">
        <x:v>497.0628972134499</x:v>
      </x:c>
      <x:c r="R815" s="36" t="str">
        <x:v>tract internal point; no person, address, building, parcel, or route condition</x:v>
      </x:c>
    </x:row>
    <x:row r="816" ht="86.4000015258789" hidden="0" customHeight="1">
      <x:c r="A816" s="34" t="str">
        <x:v>48201521502</x:v>
      </x:c>
      <x:c r="B816" s="62" t="n">
        <x:v>2899</x:v>
      </x:c>
      <x:c r="C816" s="62" t="n">
        <x:v>497</x:v>
      </x:c>
      <x:c r="D816" s="62" t="n">
        <x:v>9</x:v>
      </x:c>
      <x:c r="E816" s="43" t="n">
        <x:v>0.1714384270438082</x:v>
      </x:c>
      <x:c r="F816" s="43" t="n">
        <x:v>0.003104518799586064</x:v>
      </x:c>
      <x:c r="G816" s="65" t="n">
        <x:v>1074</x:v>
      </x:c>
      <x:c r="H816" s="65" t="n">
        <x:v>13</x:v>
      </x:c>
      <x:c r="I816" s="65" t="n">
        <x:v>0.012104283054003724</x:v>
      </x:c>
      <x:c r="J816" s="34" t="str">
        <x:v>high</x:v>
      </x:c>
      <x:c r="K816" s="71" t="n">
        <x:v>29.8277109</x:v>
      </x:c>
      <x:c r="L816" s="71" t="n">
        <x:v>-95.515963</x:v>
      </x:c>
      <x:c r="M816" s="71" t="n">
        <x:v>0.594</x:v>
      </x:c>
      <x:c r="N816" s="71" t="n">
        <x:v>0.018582300872407007</x:v>
      </x:c>
      <x:c r="O816" s="71" t="n">
        <x:v>25.1945729985478</x:v>
      </x:c>
      <x:c r="P816" s="71" t="n">
        <x:v>5</x:v>
      </x:c>
      <x:c r="Q816" s="71" t="n">
        <x:v>507.7276666595036</x:v>
      </x:c>
      <x:c r="R816" s="34" t="str">
        <x:v>tract internal point; no person, address, building, parcel, or route condition</x:v>
      </x:c>
    </x:row>
    <x:row r="817" ht="86.4000015258789" hidden="0" customHeight="1">
      <x:c r="A817" s="36" t="str">
        <x:v>48201521600</x:v>
      </x:c>
      <x:c r="B817" s="63" t="n">
        <x:v>2938</x:v>
      </x:c>
      <x:c r="C817" s="63" t="n">
        <x:v>334</x:v>
      </x:c>
      <x:c r="D817" s="63" t="n">
        <x:v>45</x:v>
      </x:c>
      <x:c r="E817" s="45" t="n">
        <x:v>0.11368277739959155</x:v>
      </x:c>
      <x:c r="F817" s="45" t="n">
        <x:v>0.01531654186521443</x:v>
      </x:c>
      <x:c r="G817" s="66" t="n">
        <x:v>1094</x:v>
      </x:c>
      <x:c r="H817" s="66" t="n">
        <x:v>13</x:v>
      </x:c>
      <x:c r="I817" s="66" t="n">
        <x:v>0.011882998171846435</x:v>
      </x:c>
      <x:c r="J817" s="36" t="str">
        <x:v>low</x:v>
      </x:c>
      <x:c r="K817" s="72" t="n">
        <x:v>29.8431718</x:v>
      </x:c>
      <x:c r="L817" s="72" t="n">
        <x:v>-95.5325591</x:v>
      </x:c>
      <x:c r="M817" s="72" t="n">
        <x:v>2.577</x:v>
      </x:c>
      <x:c r="N817" s="72" t="n">
        <x:v>0.15214826148564528</x:v>
      </x:c>
      <x:c r="O817" s="72" t="n">
        <x:v>22.733971547018008</x:v>
      </x:c>
      <x:c r="P817" s="72" t="n">
        <x:v>5</x:v>
      </x:c>
      <x:c r="Q817" s="72" t="n">
        <x:v>236.51665477444467</x:v>
      </x:c>
      <x:c r="R817" s="36" t="str">
        <x:v>tract internal point; no person, address, building, parcel, or route condition</x:v>
      </x:c>
    </x:row>
    <x:row r="818" ht="86.4000015258789" hidden="0" customHeight="1">
      <x:c r="A818" s="34" t="str">
        <x:v>48201521701</x:v>
      </x:c>
      <x:c r="B818" s="62" t="n">
        <x:v>4632</x:v>
      </x:c>
      <x:c r="C818" s="62" t="n">
        <x:v>578</x:v>
      </x:c>
      <x:c r="D818" s="62" t="n">
        <x:v>227</x:v>
      </x:c>
      <x:c r="E818" s="43" t="n">
        <x:v>0.12478411053540588</x:v>
      </x:c>
      <x:c r="F818" s="43" t="n">
        <x:v>0.04900690846286701</x:v>
      </x:c>
      <x:c r="G818" s="65" t="n">
        <x:v>1973</x:v>
      </x:c>
      <x:c r="H818" s="65" t="n">
        <x:v>821</x:v>
      </x:c>
      <x:c r="I818" s="65" t="n">
        <x:v>0.4161175874303092</x:v>
      </x:c>
      <x:c r="J818" s="34" t="str">
        <x:v>moderate</x:v>
      </x:c>
      <x:c r="K818" s="71" t="n">
        <x:v>29.8582185</x:v>
      </x:c>
      <x:c r="L818" s="71" t="n">
        <x:v>-95.5307509</x:v>
      </x:c>
      <x:c r="M818" s="71" t="n">
        <x:v>1.577</x:v>
      </x:c>
      <x:c r="N818" s="71" t="n">
        <x:v>0.06825310547417156</x:v>
      </x:c>
      <x:c r="O818" s="71" t="n">
        <x:v>20.290489671817035</x:v>
      </x:c>
      <x:c r="P818" s="71" t="n">
        <x:v>5</x:v>
      </x:c>
      <x:c r="Q818" s="71" t="n">
        <x:v>663.3250809726328</x:v>
      </x:c>
      <x:c r="R818" s="34" t="str">
        <x:v>tract internal point; no person, address, building, parcel, or route condition</x:v>
      </x:c>
    </x:row>
    <x:row r="819" ht="86.4000015258789" hidden="0" customHeight="1">
      <x:c r="A819" s="36" t="str">
        <x:v>48201521702</x:v>
      </x:c>
      <x:c r="B819" s="63" t="n">
        <x:v>3159</x:v>
      </x:c>
      <x:c r="C819" s="63" t="n">
        <x:v>186</x:v>
      </x:c>
      <x:c r="D819" s="63" t="n">
        <x:v>414.5</x:v>
      </x:c>
      <x:c r="E819" s="45" t="n">
        <x:v>0.05887939221272555</x:v>
      </x:c>
      <x:c r="F819" s="45" t="n">
        <x:v>0.13121240899018677</x:v>
      </x:c>
      <x:c r="G819" s="66" t="n">
        <x:v>1630</x:v>
      </x:c>
      <x:c r="H819" s="66" t="n">
        <x:v>320</x:v>
      </x:c>
      <x:c r="I819" s="66" t="n">
        <x:v>0.19631901840490798</x:v>
      </x:c>
      <x:c r="J819" s="36" t="str">
        <x:v>moderate</x:v>
      </x:c>
      <x:c r="K819" s="72" t="n">
        <x:v>29.8450801</x:v>
      </x:c>
      <x:c r="L819" s="72" t="n">
        <x:v>-95.5069575</x:v>
      </x:c>
      <x:c r="M819" s="72" t="n">
        <x:v>0.543</x:v>
      </x:c>
      <x:c r="N819" s="72" t="n">
        <x:v>0.07135300619770768</x:v>
      </x:c>
      <x:c r="O819" s="72" t="n">
        <x:v>21.185559103376676</x:v>
      </x:c>
      <x:c r="P819" s="72" t="n">
        <x:v>5</x:v>
      </x:c>
      <x:c r="Q819" s="72" t="n">
        <x:v>450.20532218331016</x:v>
      </x:c>
      <x:c r="R819" s="36" t="str">
        <x:v>tract internal point; no person, address, building, parcel, or route condition</x:v>
      </x:c>
    </x:row>
    <x:row r="820" ht="86.4000015258789" hidden="0" customHeight="1">
      <x:c r="A820" s="34" t="str">
        <x:v>48201521800</x:v>
      </x:c>
      <x:c r="B820" s="62" t="n">
        <x:v>4557</x:v>
      </x:c>
      <x:c r="C820" s="62" t="n">
        <x:v>1082</x:v>
      </x:c>
      <x:c r="D820" s="62" t="n">
        <x:v>41</x:v>
      </x:c>
      <x:c r="E820" s="43" t="n">
        <x:v>0.23743691024797015</x:v>
      </x:c>
      <x:c r="F820" s="43" t="n">
        <x:v>0.008997147245995173</x:v>
      </x:c>
      <x:c r="G820" s="65" t="n">
        <x:v>1938</x:v>
      </x:c>
      <x:c r="H820" s="65" t="n">
        <x:v>204</x:v>
      </x:c>
      <x:c r="I820" s="65" t="n">
        <x:v>0.10526315789473684</x:v>
      </x:c>
      <x:c r="J820" s="34" t="str">
        <x:v>low</x:v>
      </x:c>
      <x:c r="K820" s="71" t="n">
        <x:v>29.8526013</x:v>
      </x:c>
      <x:c r="L820" s="71" t="n">
        <x:v>-95.5497025</x:v>
      </x:c>
      <x:c r="M820" s="71" t="n">
        <x:v>2.723</x:v>
      </x:c>
      <x:c r="N820" s="71" t="n">
        <x:v>0.12454217487532966</x:v>
      </x:c>
      <x:c r="O820" s="71" t="n">
        <x:v>21.40763455024686</x:v>
      </x:c>
      <x:c r="P820" s="71" t="n">
        <x:v>5</x:v>
      </x:c>
      <x:c r="Q820" s="71" t="n">
        <x:v>375.48875757980574</x:v>
      </x:c>
      <x:c r="R820" s="34" t="str">
        <x:v>tract internal point; no person, address, building, parcel, or route condition</x:v>
      </x:c>
    </x:row>
    <x:row r="821" ht="86.4000015258789" hidden="0" customHeight="1">
      <x:c r="A821" s="36" t="str">
        <x:v>48201521900</x:v>
      </x:c>
      <x:c r="B821" s="63" t="n">
        <x:v>7291</x:v>
      </x:c>
      <x:c r="C821" s="63" t="n">
        <x:v>557</x:v>
      </x:c>
      <x:c r="D821" s="63" t="n">
        <x:v>247.5</x:v>
      </x:c>
      <x:c r="E821" s="45" t="n">
        <x:v>0.0763955561651351</x:v>
      </x:c>
      <x:c r="F821" s="45" t="n">
        <x:v>0.03394596077355644</x:v>
      </x:c>
      <x:c r="G821" s="66" t="n">
        <x:v>2841</x:v>
      </x:c>
      <x:c r="H821" s="66" t="n">
        <x:v>758</x:v>
      </x:c>
      <x:c r="I821" s="66" t="n">
        <x:v>0.2668074621612108</x:v>
      </x:c>
      <x:c r="J821" s="36" t="str">
        <x:v>low</x:v>
      </x:c>
      <x:c r="K821" s="72" t="n">
        <x:v>29.8211369</x:v>
      </x:c>
      <x:c r="L821" s="72" t="n">
        <x:v>-95.5533755</x:v>
      </x:c>
      <x:c r="M821" s="72" t="n">
        <x:v>1.472</x:v>
      </x:c>
      <x:c r="N821" s="72" t="n">
        <x:v>0.046007819357045406</x:v>
      </x:c>
      <x:c r="O821" s="72" t="n">
        <x:v>22.608872265091826</x:v>
      </x:c>
      <x:c r="P821" s="72" t="n">
        <x:v>5</x:v>
      </x:c>
      <x:c r="Q821" s="72" t="n">
        <x:v>583.7386344026906</x:v>
      </x:c>
      <x:c r="R821" s="36" t="str">
        <x:v>tract internal point; no person, address, building, parcel, or route condition</x:v>
      </x:c>
    </x:row>
    <x:row r="822" ht="86.4000015258789" hidden="0" customHeight="1">
      <x:c r="A822" s="34" t="str">
        <x:v>48201522001</x:v>
      </x:c>
      <x:c r="B822" s="62" t="n">
        <x:v>2213</x:v>
      </x:c>
      <x:c r="C822" s="62" t="n">
        <x:v>326</x:v>
      </x:c>
      <x:c r="D822" s="62" t="n">
        <x:v>294</x:v>
      </x:c>
      <x:c r="E822" s="43" t="n">
        <x:v>0.1473113420695888</x:v>
      </x:c>
      <x:c r="F822" s="43" t="n">
        <x:v>0.13285133303208316</x:v>
      </x:c>
      <x:c r="G822" s="65" t="n">
        <x:v>1357</x:v>
      </x:c>
      <x:c r="H822" s="65" t="n">
        <x:v>470</x:v>
      </x:c>
      <x:c r="I822" s="65" t="n">
        <x:v>0.34635224760501104</x:v>
      </x:c>
      <x:c r="J822" s="34" t="str">
        <x:v>high</x:v>
      </x:c>
      <x:c r="K822" s="71" t="n">
        <x:v>29.8297842</x:v>
      </x:c>
      <x:c r="L822" s="71" t="n">
        <x:v>-95.5384479</x:v>
      </x:c>
      <x:c r="M822" s="71" t="n">
        <x:v>0.432</x:v>
      </x:c>
      <x:c r="N822" s="71" t="n">
        <x:v>0.022582367250672915</x:v>
      </x:c>
      <x:c r="O822" s="71" t="n">
        <x:v>24.50996498539612</x:v>
      </x:c>
      <x:c r="P822" s="71" t="n">
        <x:v>5</x:v>
      </x:c>
      <x:c r="Q822" s="71" t="n">
        <x:v>390.6352694240224</x:v>
      </x:c>
      <x:c r="R822" s="34" t="str">
        <x:v>tract internal point; no person, address, building, parcel, or route condition</x:v>
      </x:c>
    </x:row>
    <x:row r="823" ht="86.4000015258789" hidden="0" customHeight="1">
      <x:c r="A823" s="36" t="str">
        <x:v>48201522002</x:v>
      </x:c>
      <x:c r="B823" s="63" t="n">
        <x:v>3096</x:v>
      </x:c>
      <x:c r="C823" s="63" t="n">
        <x:v>304</x:v>
      </x:c>
      <x:c r="D823" s="63" t="n">
        <x:v>7</x:v>
      </x:c>
      <x:c r="E823" s="45" t="n">
        <x:v>0.09819121447028424</x:v>
      </x:c>
      <x:c r="F823" s="45" t="n">
        <x:v>0.0022609819121447027</x:v>
      </x:c>
      <x:c r="G823" s="66" t="n">
        <x:v>1050</x:v>
      </x:c>
      <x:c r="H823" s="66" t="n">
        <x:v>209</x:v>
      </x:c>
      <x:c r="I823" s="66" t="n">
        <x:v>0.19904761904761906</x:v>
      </x:c>
      <x:c r="J823" s="36" t="str">
        <x:v>moderate</x:v>
      </x:c>
      <x:c r="K823" s="72" t="n">
        <x:v>29.8263308</x:v>
      </x:c>
      <x:c r="L823" s="72" t="n">
        <x:v>-95.5307746</x:v>
      </x:c>
      <x:c r="M823" s="72" t="n">
        <x:v>0.35</x:v>
      </x:c>
      <x:c r="N823" s="72" t="n">
        <x:v>0.07618010984021707</x:v>
      </x:c>
      <x:c r="O823" s="72" t="n">
        <x:v>25.766253714891096</x:v>
      </x:c>
      <x:c r="P823" s="72" t="n">
        <x:v>5</x:v>
      </x:c>
      <x:c r="Q823" s="72" t="n">
        <x:v>439.06021490704734</x:v>
      </x:c>
      <x:c r="R823" s="36" t="str">
        <x:v>tract internal point; no person, address, building, parcel, or route condition</x:v>
      </x:c>
    </x:row>
    <x:row r="824" ht="86.4000015258789" hidden="0" customHeight="1">
      <x:c r="A824" s="34" t="str">
        <x:v>48201522101</x:v>
      </x:c>
      <x:c r="B824" s="62" t="n">
        <x:v>3413</x:v>
      </x:c>
      <x:c r="C824" s="62" t="n">
        <x:v>286</x:v>
      </x:c>
      <x:c r="D824" s="62" t="n">
        <x:v>85</x:v>
      </x:c>
      <x:c r="E824" s="43" t="n">
        <x:v>0.08379724582478758</x:v>
      </x:c>
      <x:c r="F824" s="43" t="n">
        <x:v>0.024904775857017288</x:v>
      </x:c>
      <x:c r="G824" s="65" t="n">
        <x:v>1543</x:v>
      </x:c>
      <x:c r="H824" s="65" t="n">
        <x:v>720</x:v>
      </x:c>
      <x:c r="I824" s="65" t="n">
        <x:v>0.4666234607906675</x:v>
      </x:c>
      <x:c r="J824" s="34" t="str">
        <x:v>low</x:v>
      </x:c>
      <x:c r="K824" s="71" t="n">
        <x:v>29.8176644</x:v>
      </x:c>
      <x:c r="L824" s="71" t="n">
        <x:v>-95.5410479</x:v>
      </x:c>
      <x:c r="M824" s="71" t="n">
        <x:v>0.346</x:v>
      </x:c>
      <x:c r="N824" s="71" t="n">
        <x:v>0.039177442195991466</x:v>
      </x:c>
      <x:c r="O824" s="71" t="n">
        <x:v>24.807367236069613</x:v>
      </x:c>
      <x:c r="P824" s="71" t="n">
        <x:v>5</x:v>
      </x:c>
      <x:c r="Q824" s="71" t="n">
        <x:v>273.40926028108225</x:v>
      </x:c>
      <x:c r="R824" s="34" t="str">
        <x:v>tract internal point; no person, address, building, parcel, or route condition</x:v>
      </x:c>
    </x:row>
    <x:row r="825" ht="86.4000015258789" hidden="0" customHeight="1">
      <x:c r="A825" s="36" t="str">
        <x:v>48201522102</x:v>
      </x:c>
      <x:c r="B825" s="63" t="n">
        <x:v>4514</x:v>
      </x:c>
      <x:c r="C825" s="63" t="n">
        <x:v>532</x:v>
      </x:c>
      <x:c r="D825" s="63" t="n">
        <x:v>211.5</x:v>
      </x:c>
      <x:c r="E825" s="45" t="n">
        <x:v>0.1178555604785113</x:v>
      </x:c>
      <x:c r="F825" s="45" t="n">
        <x:v>0.04685423128046079</x:v>
      </x:c>
      <x:c r="G825" s="66" t="n">
        <x:v>1360</x:v>
      </x:c>
      <x:c r="H825" s="66" t="n">
        <x:v>0</x:v>
      </x:c>
      <x:c r="I825" s="66" t="n">
        <x:v>0</x:v>
      </x:c>
      <x:c r="J825" s="36" t="str">
        <x:v>low</x:v>
      </x:c>
      <x:c r="K825" s="72" t="n">
        <x:v>29.8157781</x:v>
      </x:c>
      <x:c r="L825" s="72" t="n">
        <x:v>-95.5314944</x:v>
      </x:c>
      <x:c r="M825" s="72" t="n">
        <x:v>0.544</x:v>
      </x:c>
      <x:c r="N825" s="72" t="n">
        <x:v>0.06296728135691529</x:v>
      </x:c>
      <x:c r="O825" s="72" t="n">
        <x:v>26.535935828289038</x:v>
      </x:c>
      <x:c r="P825" s="72" t="n">
        <x:v>5</x:v>
      </x:c>
      <x:c r="Q825" s="72" t="n">
        <x:v>364.80373474506484</x:v>
      </x:c>
      <x:c r="R825" s="36" t="str">
        <x:v>tract internal point; no person, address, building, parcel, or route condition</x:v>
      </x:c>
    </x:row>
    <x:row r="826" ht="86.4000015258789" hidden="0" customHeight="1">
      <x:c r="A826" s="34" t="str">
        <x:v>48201522201</x:v>
      </x:c>
      <x:c r="B826" s="62" t="n">
        <x:v>5166</x:v>
      </x:c>
      <x:c r="C826" s="62" t="n">
        <x:v>515</x:v>
      </x:c>
      <x:c r="D826" s="62" t="n">
        <x:v>307.5</x:v>
      </x:c>
      <x:c r="E826" s="43" t="n">
        <x:v>0.09969028261711188</x:v>
      </x:c>
      <x:c r="F826" s="43" t="n">
        <x:v>0.05952380952380952</x:v>
      </x:c>
      <x:c r="G826" s="65" t="n">
        <x:v>1453</x:v>
      </x:c>
      <x:c r="H826" s="65" t="n">
        <x:v>303</x:v>
      </x:c>
      <x:c r="I826" s="65" t="n">
        <x:v>0.20853406744666209</x:v>
      </x:c>
      <x:c r="J826" s="34" t="str">
        <x:v>low</x:v>
      </x:c>
      <x:c r="K826" s="71" t="n">
        <x:v>29.8085325</x:v>
      </x:c>
      <x:c r="L826" s="71" t="n">
        <x:v>-95.5398873</x:v>
      </x:c>
      <x:c r="M826" s="71" t="n">
        <x:v>0.629</x:v>
      </x:c>
      <x:c r="N826" s="71" t="n">
        <x:v>0.016397852647362893</x:v>
      </x:c>
      <x:c r="O826" s="71" t="n">
        <x:v>25.622246093329682</x:v>
      </x:c>
      <x:c r="P826" s="71" t="n">
        <x:v>5</x:v>
      </x:c>
      <x:c r="Q826" s="71" t="n">
        <x:v>416.5351215036265</x:v>
      </x:c>
      <x:c r="R826" s="34" t="str">
        <x:v>tract internal point; no person, address, building, parcel, or route condition</x:v>
      </x:c>
    </x:row>
    <x:row r="827" ht="86.4000015258789" hidden="0" customHeight="1">
      <x:c r="A827" s="36" t="str">
        <x:v>48201522202</x:v>
      </x:c>
      <x:c r="B827" s="63" t="n">
        <x:v>4088</x:v>
      </x:c>
      <x:c r="C827" s="63" t="n">
        <x:v>393</x:v>
      </x:c>
      <x:c r="D827" s="63" t="n">
        <x:v>143</x:v>
      </x:c>
      <x:c r="E827" s="45" t="n">
        <x:v>0.09613502935420744</x:v>
      </x:c>
      <x:c r="F827" s="45" t="n">
        <x:v>0.03498043052837573</x:v>
      </x:c>
      <x:c r="G827" s="66" t="n">
        <x:v>1395</x:v>
      </x:c>
      <x:c r="H827" s="66" t="n">
        <x:v>61</x:v>
      </x:c>
      <x:c r="I827" s="66" t="n">
        <x:v>0.04372759856630824</x:v>
      </x:c>
      <x:c r="J827" s="36" t="str">
        <x:v>low</x:v>
      </x:c>
      <x:c r="K827" s="72" t="n">
        <x:v>29.800453</x:v>
      </x:c>
      <x:c r="L827" s="72" t="n">
        <x:v>-95.5378892</x:v>
      </x:c>
      <x:c r="M827" s="72" t="n">
        <x:v>0.683</x:v>
      </x:c>
      <x:c r="N827" s="72" t="n">
        <x:v>0.1862048052407027</x:v>
      </x:c>
      <x:c r="O827" s="72" t="n">
        <x:v>27.286796667463175</x:v>
      </x:c>
      <x:c r="P827" s="72" t="n">
        <x:v>5</x:v>
      </x:c>
      <x:c r="Q827" s="72" t="n">
        <x:v>328.5988375856431</x:v>
      </x:c>
      <x:c r="R827" s="36" t="str">
        <x:v>tract internal point; no person, address, building, parcel, or route condition</x:v>
      </x:c>
    </x:row>
    <x:row r="828" ht="86.4000015258789" hidden="0" customHeight="1">
      <x:c r="A828" s="34" t="str">
        <x:v>48201522301</x:v>
      </x:c>
      <x:c r="B828" s="62" t="n">
        <x:v>3896</x:v>
      </x:c>
      <x:c r="C828" s="62" t="n">
        <x:v>485</x:v>
      </x:c>
      <x:c r="D828" s="62" t="n">
        <x:v>613.5</x:v>
      </x:c>
      <x:c r="E828" s="43" t="n">
        <x:v>0.12448665297741274</x:v>
      </x:c>
      <x:c r="F828" s="43" t="n">
        <x:v>0.15746919917864477</x:v>
      </x:c>
      <x:c r="G828" s="65" t="n">
        <x:v>1816</x:v>
      </x:c>
      <x:c r="H828" s="65" t="n">
        <x:v>400</x:v>
      </x:c>
      <x:c r="I828" s="65" t="n">
        <x:v>0.22026431718061673</x:v>
      </x:c>
      <x:c r="J828" s="34" t="str">
        <x:v>low</x:v>
      </x:c>
      <x:c r="K828" s="71" t="n">
        <x:v>29.7902459</x:v>
      </x:c>
      <x:c r="L828" s="71" t="n">
        <x:v>-95.5268985</x:v>
      </x:c>
      <x:c r="M828" s="71" t="n">
        <x:v>0.535</x:v>
      </x:c>
      <x:c r="N828" s="71" t="n">
        <x:v>0.10891226769426773</x:v>
      </x:c>
      <x:c r="O828" s="71" t="n">
        <x:v>26.161517387542915</x:v>
      </x:c>
      <x:c r="P828" s="71" t="n">
        <x:v>3</x:v>
      </x:c>
      <x:c r="Q828" s="71" t="n">
        <x:v>318.6526100039111</x:v>
      </x:c>
      <x:c r="R828" s="34" t="str">
        <x:v>tract internal point; no person, address, building, parcel, or route condition</x:v>
      </x:c>
    </x:row>
    <x:row r="829" ht="86.4000015258789" hidden="0" customHeight="1">
      <x:c r="A829" s="36" t="str">
        <x:v>48201522302</x:v>
      </x:c>
      <x:c r="B829" s="63" t="n">
        <x:v>3176</x:v>
      </x:c>
      <x:c r="C829" s="63" t="n">
        <x:v>207</x:v>
      </x:c>
      <x:c r="D829" s="63" t="n">
        <x:v>26</x:v>
      </x:c>
      <x:c r="E829" s="45" t="n">
        <x:v>0.06517632241813602</x:v>
      </x:c>
      <x:c r="F829" s="45" t="n">
        <x:v>0.00818639798488665</x:v>
      </x:c>
      <x:c r="G829" s="66" t="n">
        <x:v>1576</x:v>
      </x:c>
      <x:c r="H829" s="66" t="n">
        <x:v>738</x:v>
      </x:c>
      <x:c r="I829" s="66" t="n">
        <x:v>0.4682741116751269</x:v>
      </x:c>
      <x:c r="J829" s="36" t="str">
        <x:v>low</x:v>
      </x:c>
      <x:c r="K829" s="72" t="n">
        <x:v>29.7894965</x:v>
      </x:c>
      <x:c r="L829" s="72" t="n">
        <x:v>-95.5380653</x:v>
      </x:c>
      <x:c r="M829" s="72" t="n">
        <x:v>0.5</x:v>
      </x:c>
      <x:c r="N829" s="72" t="n">
        <x:v>0.08012443043471887</x:v>
      </x:c>
      <x:c r="O829" s="72" t="n">
        <x:v>25.56895462102026</x:v>
      </x:c>
      <x:c r="P829" s="72" t="n">
        <x:v>3</x:v>
      </x:c>
      <x:c r="Q829" s="72" t="n">
        <x:v>253.0766717754002</x:v>
      </x:c>
      <x:c r="R829" s="36" t="str">
        <x:v>tract internal point; no person, address, building, parcel, or route condition</x:v>
      </x:c>
    </x:row>
    <x:row r="830" ht="86.4000015258789" hidden="0" customHeight="1">
      <x:c r="A830" s="34" t="str">
        <x:v>48201522401</x:v>
      </x:c>
      <x:c r="B830" s="62" t="n">
        <x:v>6023</x:v>
      </x:c>
      <x:c r="C830" s="62" t="n">
        <x:v>477</x:v>
      </x:c>
      <x:c r="D830" s="62" t="n">
        <x:v>714</x:v>
      </x:c>
      <x:c r="E830" s="43" t="n">
        <x:v>0.079196413747302</x:v>
      </x:c>
      <x:c r="F830" s="43" t="n">
        <x:v>0.11854557529470364</x:v>
      </x:c>
      <x:c r="G830" s="65" t="n">
        <x:v>2648</x:v>
      </x:c>
      <x:c r="H830" s="65" t="n">
        <x:v>676</x:v>
      </x:c>
      <x:c r="I830" s="65" t="n">
        <x:v>0.2552870090634441</x:v>
      </x:c>
      <x:c r="J830" s="34" t="str">
        <x:v>low</x:v>
      </x:c>
      <x:c r="K830" s="71" t="n">
        <x:v>29.7985786</x:v>
      </x:c>
      <x:c r="L830" s="71" t="n">
        <x:v>-95.5493255</x:v>
      </x:c>
      <x:c r="M830" s="71" t="n">
        <x:v>1.055</x:v>
      </x:c>
      <x:c r="N830" s="71" t="n">
        <x:v>0.044764959080258016</x:v>
      </x:c>
      <x:c r="O830" s="71" t="n">
        <x:v>25.13462588285784</x:v>
      </x:c>
      <x:c r="P830" s="71" t="n">
        <x:v>5</x:v>
      </x:c>
      <x:c r="Q830" s="71" t="n">
        <x:v>486.48881458241385</x:v>
      </x:c>
      <x:c r="R830" s="34" t="str">
        <x:v>tract internal point; no person, address, building, parcel, or route condition</x:v>
      </x:c>
    </x:row>
    <x:row r="831" ht="86.4000015258789" hidden="0" customHeight="1">
      <x:c r="A831" s="36" t="str">
        <x:v>48201522402</x:v>
      </x:c>
      <x:c r="B831" s="63" t="n">
        <x:v>3862</x:v>
      </x:c>
      <x:c r="C831" s="63" t="n">
        <x:v>195</x:v>
      </x:c>
      <x:c r="D831" s="63" t="n">
        <x:v>345.5</x:v>
      </x:c>
      <x:c r="E831" s="45" t="n">
        <x:v>0.050491973070947695</x:v>
      </x:c>
      <x:c r="F831" s="45" t="n">
        <x:v>0.0894614189539099</x:v>
      </x:c>
      <x:c r="G831" s="66" t="n">
        <x:v>1215</x:v>
      </x:c>
      <x:c r="H831" s="66" t="n">
        <x:v>175</x:v>
      </x:c>
      <x:c r="I831" s="66" t="n">
        <x:v>0.1440329218106996</x:v>
      </x:c>
      <x:c r="J831" s="36" t="str">
        <x:v>low</x:v>
      </x:c>
      <x:c r="K831" s="72" t="n">
        <x:v>29.7986937</x:v>
      </x:c>
      <x:c r="L831" s="72" t="n">
        <x:v>-95.5587071</x:v>
      </x:c>
      <x:c r="M831" s="72" t="n">
        <x:v>1.118</x:v>
      </x:c>
      <x:c r="N831" s="72" t="n">
        <x:v>0.02497229370331725</x:v>
      </x:c>
      <x:c r="O831" s="72" t="n">
        <x:v>23.921074872410365</x:v>
      </x:c>
      <x:c r="P831" s="72" t="n">
        <x:v>5</x:v>
      </x:c>
      <x:c r="Q831" s="72" t="n">
        <x:v>309.31549552971313</x:v>
      </x:c>
      <x:c r="R831" s="36" t="str">
        <x:v>tract internal point; no person, address, building, parcel, or route condition</x:v>
      </x:c>
    </x:row>
    <x:row r="832" ht="86.4000015258789" hidden="0" customHeight="1">
      <x:c r="A832" s="34" t="str">
        <x:v>48201522500</x:v>
      </x:c>
      <x:c r="B832" s="62" t="n">
        <x:v>5510</x:v>
      </x:c>
      <x:c r="C832" s="62" t="n">
        <x:v>236</x:v>
      </x:c>
      <x:c r="D832" s="62" t="n">
        <x:v>39</x:v>
      </x:c>
      <x:c r="E832" s="43" t="n">
        <x:v>0.042831215970961886</x:v>
      </x:c>
      <x:c r="F832" s="43" t="n">
        <x:v>0.0070780399274047185</x:v>
      </x:c>
      <x:c r="G832" s="65" t="n">
        <x:v>1769</x:v>
      </x:c>
      <x:c r="H832" s="65" t="n">
        <x:v>0</x:v>
      </x:c>
      <x:c r="I832" s="65" t="n">
        <x:v>0</x:v>
      </x:c>
      <x:c r="J832" s="34" t="str">
        <x:v>low</x:v>
      </x:c>
      <x:c r="K832" s="71" t="n">
        <x:v>29.7899543</x:v>
      </x:c>
      <x:c r="L832" s="71" t="n">
        <x:v>-95.501186</x:v>
      </x:c>
      <x:c r="M832" s="71" t="n">
        <x:v>1.488</x:v>
      </x:c>
      <x:c r="N832" s="71" t="n">
        <x:v>0.038463873110223694</x:v>
      </x:c>
      <x:c r="O832" s="71" t="n">
        <x:v>23.266089363666104</x:v>
      </x:c>
      <x:c r="P832" s="71" t="n">
        <x:v>3</x:v>
      </x:c>
      <x:c r="Q832" s="71" t="n">
        <x:v>437.0759873944652</x:v>
      </x:c>
      <x:c r="R832" s="34" t="str">
        <x:v>tract internal point; no person, address, building, parcel, or route condition</x:v>
      </x:c>
    </x:row>
    <x:row r="833" ht="86.4000015258789" hidden="0" customHeight="1">
      <x:c r="A833" s="36" t="str">
        <x:v>48201530101</x:v>
      </x:c>
      <x:c r="B833" s="63" t="n">
        <x:v>3296</x:v>
      </x:c>
      <x:c r="C833" s="63" t="n">
        <x:v>612</x:v>
      </x:c>
      <x:c r="D833" s="63" t="n">
        <x:v>320</x:v>
      </x:c>
      <x:c r="E833" s="45" t="n">
        <x:v>0.18567961165048544</x:v>
      </x:c>
      <x:c r="F833" s="45" t="n">
        <x:v>0.0970873786407767</x:v>
      </x:c>
      <x:c r="G833" s="66" t="n">
        <x:v>1825</x:v>
      </x:c>
      <x:c r="H833" s="66" t="n">
        <x:v>561</x:v>
      </x:c>
      <x:c r="I833" s="66" t="n">
        <x:v>0.30739726027397263</x:v>
      </x:c>
      <x:c r="J833" s="36" t="str">
        <x:v>low</x:v>
      </x:c>
      <x:c r="K833" s="72" t="n">
        <x:v>29.8162125</x:v>
      </x:c>
      <x:c r="L833" s="72" t="n">
        <x:v>-95.4554528</x:v>
      </x:c>
      <x:c r="M833" s="72" t="n">
        <x:v>0.34</x:v>
      </x:c>
      <x:c r="N833" s="72" t="n">
        <x:v>0.024426637853637495</x:v>
      </x:c>
      <x:c r="O833" s="72" t="n">
        <x:v>24.570692128329746</x:v>
      </x:c>
      <x:c r="P833" s="72" t="n">
        <x:v>3</x:v>
      </x:c>
      <x:c r="Q833" s="72" t="n">
        <x:v>271.18501499808724</x:v>
      </x:c>
      <x:c r="R833" s="36" t="str">
        <x:v>tract internal point; no person, address, building, parcel, or route condition</x:v>
      </x:c>
    </x:row>
    <x:row r="834" ht="86.4000015258789" hidden="0" customHeight="1">
      <x:c r="A834" s="34" t="str">
        <x:v>48201530102</x:v>
      </x:c>
      <x:c r="B834" s="62" t="n">
        <x:v>2971</x:v>
      </x:c>
      <x:c r="C834" s="62" t="n">
        <x:v>153</x:v>
      </x:c>
      <x:c r="D834" s="62" t="n">
        <x:v>50</x:v>
      </x:c>
      <x:c r="E834" s="43" t="n">
        <x:v>0.05149781218444968</x:v>
      </x:c>
      <x:c r="F834" s="43" t="n">
        <x:v>0.01682935038707506</x:v>
      </x:c>
      <x:c r="G834" s="65" t="n">
        <x:v>1264</x:v>
      </x:c>
      <x:c r="H834" s="65" t="n">
        <x:v>703</x:v>
      </x:c>
      <x:c r="I834" s="65" t="n">
        <x:v>0.5561708860759493</x:v>
      </x:c>
      <x:c r="J834" s="34" t="str">
        <x:v>high</x:v>
      </x:c>
      <x:c r="K834" s="71" t="n">
        <x:v>29.811042</x:v>
      </x:c>
      <x:c r="L834" s="71" t="n">
        <x:v>-95.454602</x:v>
      </x:c>
      <x:c r="M834" s="71" t="n">
        <x:v>0.663</x:v>
      </x:c>
      <x:c r="N834" s="71" t="n">
        <x:v>0.016688591123404022</x:v>
      </x:c>
      <x:c r="O834" s="71" t="n">
        <x:v>22.623837117276214</x:v>
      </x:c>
      <x:c r="P834" s="71" t="n">
        <x:v>3</x:v>
      </x:c>
      <x:c r="Q834" s="71" t="n">
        <x:v>508.9634256588082</x:v>
      </x:c>
      <x:c r="R834" s="34" t="str">
        <x:v>tract internal point; no person, address, building, parcel, or route condition</x:v>
      </x:c>
    </x:row>
    <x:row r="835" ht="86.4000015258789" hidden="0" customHeight="1">
      <x:c r="A835" s="36" t="str">
        <x:v>48201530200</x:v>
      </x:c>
      <x:c r="B835" s="63" t="n">
        <x:v>4156</x:v>
      </x:c>
      <x:c r="C835" s="63" t="n">
        <x:v>415</x:v>
      </x:c>
      <x:c r="D835" s="63" t="n">
        <x:v>463</x:v>
      </x:c>
      <x:c r="E835" s="45" t="n">
        <x:v>0.09985563041385948</x:v>
      </x:c>
      <x:c r="F835" s="45" t="n">
        <x:v>0.11140519730510105</x:v>
      </x:c>
      <x:c r="G835" s="66" t="n">
        <x:v>1943</x:v>
      </x:c>
      <x:c r="H835" s="66" t="n">
        <x:v>362</x:v>
      </x:c>
      <x:c r="I835" s="66" t="n">
        <x:v>0.18630983015954708</x:v>
      </x:c>
      <x:c r="J835" s="36" t="str">
        <x:v>low</x:v>
      </x:c>
      <x:c r="K835" s="72" t="n">
        <x:v>29.8161831</x:v>
      </x:c>
      <x:c r="L835" s="72" t="n">
        <x:v>-95.424873</x:v>
      </x:c>
      <x:c r="M835" s="72" t="n">
        <x:v>1.364</x:v>
      </x:c>
      <x:c r="N835" s="72" t="n">
        <x:v>0.07507606588946743</x:v>
      </x:c>
      <x:c r="O835" s="72" t="n">
        <x:v>22.025355442202365</x:v>
      </x:c>
      <x:c r="P835" s="72" t="n">
        <x:v>3</x:v>
      </x:c>
      <x:c r="Q835" s="72" t="n">
        <x:v>336.80418060842317</x:v>
      </x:c>
      <x:c r="R835" s="36" t="str">
        <x:v>tract internal point; no person, address, building, parcel, or route condition</x:v>
      </x:c>
    </x:row>
    <x:row r="836" ht="86.4000015258789" hidden="0" customHeight="1">
      <x:c r="A836" s="34" t="str">
        <x:v>48201530300</x:v>
      </x:c>
      <x:c r="B836" s="62" t="n">
        <x:v>2393</x:v>
      </x:c>
      <x:c r="C836" s="62" t="n">
        <x:v>310</x:v>
      </x:c>
      <x:c r="D836" s="62" t="n">
        <x:v>97</x:v>
      </x:c>
      <x:c r="E836" s="43" t="n">
        <x:v>0.12954450480568325</x:v>
      </x:c>
      <x:c r="F836" s="43" t="n">
        <x:v>0.04053489343919766</x:v>
      </x:c>
      <x:c r="G836" s="65" t="n">
        <x:v>1333</x:v>
      </x:c>
      <x:c r="H836" s="65" t="n">
        <x:v>0</x:v>
      </x:c>
      <x:c r="I836" s="65" t="n">
        <x:v>0</x:v>
      </x:c>
      <x:c r="J836" s="34" t="str">
        <x:v>moderate</x:v>
      </x:c>
      <x:c r="K836" s="71" t="n">
        <x:v>29.8175261</x:v>
      </x:c>
      <x:c r="L836" s="71" t="n">
        <x:v>-95.3887898</x:v>
      </x:c>
      <x:c r="M836" s="71" t="n">
        <x:v>0.709</x:v>
      </x:c>
      <x:c r="N836" s="71" t="n">
        <x:v>0.06613068188767648</x:v>
      </x:c>
      <x:c r="O836" s="71" t="n">
        <x:v>19.64062660353013</x:v>
      </x:c>
      <x:c r="P836" s="71" t="n">
        <x:v>3</x:v>
      </x:c>
      <x:c r="Q836" s="71" t="n">
        <x:v>342.7242158927631</x:v>
      </x:c>
      <x:c r="R836" s="34" t="str">
        <x:v>tract internal point; no person, address, building, parcel, or route condition</x:v>
      </x:c>
    </x:row>
    <x:row r="837" ht="86.4000015258789" hidden="0" customHeight="1">
      <x:c r="A837" s="36" t="str">
        <x:v>48201530400</x:v>
      </x:c>
      <x:c r="B837" s="63" t="n">
        <x:v>3549</x:v>
      </x:c>
      <x:c r="C837" s="63" t="n">
        <x:v>428</x:v>
      </x:c>
      <x:c r="D837" s="63" t="n">
        <x:v>70</x:v>
      </x:c>
      <x:c r="E837" s="45" t="n">
        <x:v>0.12059735136658213</x:v>
      </x:c>
      <x:c r="F837" s="45" t="n">
        <x:v>0.01972386587771203</x:v>
      </x:c>
      <x:c r="G837" s="66" t="n">
        <x:v>1168</x:v>
      </x:c>
      <x:c r="H837" s="66" t="n">
        <x:v>156</x:v>
      </x:c>
      <x:c r="I837" s="66" t="n">
        <x:v>0.13356164383561644</x:v>
      </x:c>
      <x:c r="J837" s="36" t="str">
        <x:v>high</x:v>
      </x:c>
      <x:c r="K837" s="72" t="n">
        <x:v>29.8261231</x:v>
      </x:c>
      <x:c r="L837" s="72" t="n">
        <x:v>-95.3879776</x:v>
      </x:c>
      <x:c r="M837" s="72" t="n">
        <x:v>0.614</x:v>
      </x:c>
      <x:c r="N837" s="72" t="n">
        <x:v>0.03627888257355186</x:v>
      </x:c>
      <x:c r="O837" s="72" t="n">
        <x:v>19.885352874694973</x:v>
      </x:c>
      <x:c r="P837" s="72" t="n">
        <x:v>3</x:v>
      </x:c>
      <x:c r="Q837" s="72" t="n">
        <x:v>616.4575303928411</x:v>
      </x:c>
      <x:c r="R837" s="36" t="str">
        <x:v>tract internal point; no person, address, building, parcel, or route condition</x:v>
      </x:c>
    </x:row>
    <x:row r="838" ht="86.4000015258789" hidden="0" customHeight="1">
      <x:c r="A838" s="34" t="str">
        <x:v>48201530501</x:v>
      </x:c>
      <x:c r="B838" s="62" t="n">
        <x:v>1636</x:v>
      </x:c>
      <x:c r="C838" s="62" t="n">
        <x:v>188</x:v>
      </x:c>
      <x:c r="D838" s="62" t="n">
        <x:v>90</x:v>
      </x:c>
      <x:c r="E838" s="43" t="n">
        <x:v>0.11491442542787286</x:v>
      </x:c>
      <x:c r="F838" s="43" t="n">
        <x:v>0.0550122249388753</x:v>
      </x:c>
      <x:c r="G838" s="65" t="n">
        <x:v>884</x:v>
      </x:c>
      <x:c r="H838" s="65" t="n">
        <x:v>438</x:v>
      </x:c>
      <x:c r="I838" s="65" t="n">
        <x:v>0.49547511312217196</x:v>
      </x:c>
      <x:c r="J838" s="34" t="str">
        <x:v>high</x:v>
      </x:c>
      <x:c r="K838" s="71" t="n">
        <x:v>29.8391541</x:v>
      </x:c>
      <x:c r="L838" s="71" t="n">
        <x:v>-95.3923596</x:v>
      </x:c>
      <x:c r="M838" s="71" t="n">
        <x:v>0.403</x:v>
      </x:c>
      <x:c r="N838" s="71" t="n">
        <x:v>0.021757883424438376</x:v>
      </x:c>
      <x:c r="O838" s="71" t="n">
        <x:v>20.96391673441784</x:v>
      </x:c>
      <x:c r="P838" s="71" t="n">
        <x:v>3</x:v>
      </x:c>
      <x:c r="Q838" s="71" t="n">
        <x:v>284.8339852369822</x:v>
      </x:c>
      <x:c r="R838" s="34" t="str">
        <x:v>tract internal point; no person, address, building, parcel, or route condition</x:v>
      </x:c>
    </x:row>
    <x:row r="839" ht="86.4000015258789" hidden="0" customHeight="1">
      <x:c r="A839" s="36" t="str">
        <x:v>48201530502</x:v>
      </x:c>
      <x:c r="B839" s="63" t="n">
        <x:v>2491</x:v>
      </x:c>
      <x:c r="C839" s="63" t="n">
        <x:v>580</x:v>
      </x:c>
      <x:c r="D839" s="63" t="n">
        <x:v>335</x:v>
      </x:c>
      <x:c r="E839" s="45" t="n">
        <x:v>0.23283821758329987</x:v>
      </x:c>
      <x:c r="F839" s="45" t="n">
        <x:v>0.13448414291449218</x:v>
      </x:c>
      <x:c r="G839" s="66" t="n">
        <x:v>1306</x:v>
      </x:c>
      <x:c r="H839" s="66" t="n">
        <x:v>414</x:v>
      </x:c>
      <x:c r="I839" s="66" t="n">
        <x:v>0.3169984686064318</x:v>
      </x:c>
      <x:c r="J839" s="36" t="str">
        <x:v>high</x:v>
      </x:c>
      <x:c r="K839" s="72" t="n">
        <x:v>29.8357583</x:v>
      </x:c>
      <x:c r="L839" s="72" t="n">
        <x:v>-95.3975741</x:v>
      </x:c>
      <x:c r="M839" s="72" t="n">
        <x:v>0.508</x:v>
      </x:c>
      <x:c r="N839" s="72" t="n">
        <x:v>0.0178003442958705</x:v>
      </x:c>
      <x:c r="O839" s="72" t="n">
        <x:v>21.061469608261202</x:v>
      </x:c>
      <x:c r="P839" s="72" t="n">
        <x:v>3</x:v>
      </x:c>
      <x:c r="Q839" s="72" t="n">
        <x:v>446.9892654334075</x:v>
      </x:c>
      <x:c r="R839" s="36" t="str">
        <x:v>tract internal point; no person, address, building, parcel, or route condition</x:v>
      </x:c>
    </x:row>
    <x:row r="840" ht="86.4000015258789" hidden="0" customHeight="1">
      <x:c r="A840" s="34" t="str">
        <x:v>48201530600</x:v>
      </x:c>
      <x:c r="B840" s="62" t="n">
        <x:v>3562</x:v>
      </x:c>
      <x:c r="C840" s="62" t="n">
        <x:v>564</x:v>
      </x:c>
      <x:c r="D840" s="62" t="n">
        <x:v>170</x:v>
      </x:c>
      <x:c r="E840" s="43" t="n">
        <x:v>0.15833801235261089</x:v>
      </x:c>
      <x:c r="F840" s="43" t="n">
        <x:v>0.04772599663110612</x:v>
      </x:c>
      <x:c r="G840" s="65" t="n">
        <x:v>1521</x:v>
      </x:c>
      <x:c r="H840" s="65" t="n">
        <x:v>304</x:v>
      </x:c>
      <x:c r="I840" s="65" t="n">
        <x:v>0.19986850756081526</x:v>
      </x:c>
      <x:c r="J840" s="34" t="str">
        <x:v>low</x:v>
      </x:c>
      <x:c r="K840" s="71" t="n">
        <x:v>29.8313304</x:v>
      </x:c>
      <x:c r="L840" s="71" t="n">
        <x:v>-95.405205</x:v>
      </x:c>
      <x:c r="M840" s="71" t="n">
        <x:v>1.194</x:v>
      </x:c>
      <x:c r="N840" s="71" t="n">
        <x:v>0.1439143028220543</x:v>
      </x:c>
      <x:c r="O840" s="71" t="n">
        <x:v>22.758115674051</x:v>
      </x:c>
      <x:c r="P840" s="71" t="n">
        <x:v>3</x:v>
      </x:c>
      <x:c r="Q840" s="71" t="n">
        <x:v>290.15790585727416</x:v>
      </x:c>
      <x:c r="R840" s="34" t="str">
        <x:v>tract internal point; no person, address, building, parcel, or route condition</x:v>
      </x:c>
    </x:row>
    <x:row r="841" ht="86.4000015258789" hidden="0" customHeight="1">
      <x:c r="A841" s="36" t="str">
        <x:v>48201530701</x:v>
      </x:c>
      <x:c r="B841" s="63" t="n">
        <x:v>1382</x:v>
      </x:c>
      <x:c r="C841" s="63" t="n">
        <x:v>503</x:v>
      </x:c>
      <x:c r="D841" s="63" t="n">
        <x:v>252</x:v>
      </x:c>
      <x:c r="E841" s="45" t="n">
        <x:v>0.36396526772793053</x:v>
      </x:c>
      <x:c r="F841" s="45" t="n">
        <x:v>0.18234442836468887</x:v>
      </x:c>
      <x:c r="G841" s="66" t="n">
        <x:v>721</x:v>
      </x:c>
      <x:c r="H841" s="66" t="n">
        <x:v>426</x:v>
      </x:c>
      <x:c r="I841" s="66" t="n">
        <x:v>0.5908460471567267</x:v>
      </x:c>
      <x:c r="J841" s="36" t="str">
        <x:v>moderate</x:v>
      </x:c>
      <x:c r="K841" s="72" t="n">
        <x:v>29.8630702</x:v>
      </x:c>
      <x:c r="L841" s="72" t="n">
        <x:v>-95.4088157</x:v>
      </x:c>
      <x:c r="M841" s="72" t="n">
        <x:v>0.38</x:v>
      </x:c>
      <x:c r="N841" s="72" t="n">
        <x:v>0.0729988202340149</x:v>
      </x:c>
      <x:c r="O841" s="72" t="n">
        <x:v>22.709499341231172</x:v>
      </x:c>
      <x:c r="P841" s="72" t="n">
        <x:v>3</x:v>
      </x:c>
      <x:c r="Q841" s="72" t="n">
        <x:v>209.66428884777386</x:v>
      </x:c>
      <x:c r="R841" s="36" t="str">
        <x:v>tract internal point; no person, address, building, parcel, or route condition</x:v>
      </x:c>
    </x:row>
    <x:row r="842" ht="86.4000015258789" hidden="0" customHeight="1">
      <x:c r="A842" s="34" t="str">
        <x:v>48201530702</x:v>
      </x:c>
      <x:c r="B842" s="62" t="n">
        <x:v>4321</x:v>
      </x:c>
      <x:c r="C842" s="62" t="n">
        <x:v>394</x:v>
      </x:c>
      <x:c r="D842" s="62" t="n">
        <x:v>236</x:v>
      </x:c>
      <x:c r="E842" s="43" t="n">
        <x:v>0.09118259662115251</x:v>
      </x:c>
      <x:c r="F842" s="43" t="n">
        <x:v>0.054616986808609116</x:v>
      </x:c>
      <x:c r="G842" s="65" t="n">
        <x:v>1468</x:v>
      </x:c>
      <x:c r="H842" s="65" t="n">
        <x:v>44</x:v>
      </x:c>
      <x:c r="I842" s="65" t="n">
        <x:v>0.02997275204359673</x:v>
      </x:c>
      <x:c r="J842" s="34" t="str">
        <x:v>high</x:v>
      </x:c>
      <x:c r="K842" s="71" t="n">
        <x:v>29.8516318</x:v>
      </x:c>
      <x:c r="L842" s="71" t="n">
        <x:v>-95.4039843</x:v>
      </x:c>
      <x:c r="M842" s="71" t="n">
        <x:v>0.697</x:v>
      </x:c>
      <x:c r="N842" s="71" t="n">
        <x:v>0.05975872417434838</x:v>
      </x:c>
      <x:c r="O842" s="71" t="n">
        <x:v>22.581894680499126</x:v>
      </x:c>
      <x:c r="P842" s="71" t="n">
        <x:v>3</x:v>
      </x:c>
      <x:c r="Q842" s="71" t="n">
        <x:v>748.8022407567258</x:v>
      </x:c>
      <x:c r="R842" s="34" t="str">
        <x:v>tract internal point; no person, address, building, parcel, or route condition</x:v>
      </x:c>
    </x:row>
    <x:row r="843" ht="86.4000015258789" hidden="0" customHeight="1">
      <x:c r="A843" s="36" t="str">
        <x:v>48201530800</x:v>
      </x:c>
      <x:c r="B843" s="63" t="n">
        <x:v>3880</x:v>
      </x:c>
      <x:c r="C843" s="63" t="n">
        <x:v>692</x:v>
      </x:c>
      <x:c r="D843" s="63" t="n">
        <x:v>98</x:v>
      </x:c>
      <x:c r="E843" s="45" t="n">
        <x:v>0.17835051546391753</x:v>
      </x:c>
      <x:c r="F843" s="45" t="n">
        <x:v>0.025257731958762887</x:v>
      </x:c>
      <x:c r="G843" s="66" t="n">
        <x:v>2111</x:v>
      </x:c>
      <x:c r="H843" s="66" t="n">
        <x:v>480</x:v>
      </x:c>
      <x:c r="I843" s="66" t="n">
        <x:v>0.2273803884414969</x:v>
      </x:c>
      <x:c r="J843" s="36" t="str">
        <x:v>low</x:v>
      </x:c>
      <x:c r="K843" s="72" t="n">
        <x:v>29.8534493</x:v>
      </x:c>
      <x:c r="L843" s="72" t="n">
        <x:v>-95.4202266</x:v>
      </x:c>
      <x:c r="M843" s="72" t="n">
        <x:v>1.776</x:v>
      </x:c>
      <x:c r="N843" s="72" t="n">
        <x:v>0.13704265169235552</x:v>
      </x:c>
      <x:c r="O843" s="72" t="n">
        <x:v>25.275611312800923</x:v>
      </x:c>
      <x:c r="P843" s="72" t="n">
        <x:v>3</x:v>
      </x:c>
      <x:c r="Q843" s="72" t="n">
        <x:v>316.59734448623203</x:v>
      </x:c>
      <x:c r="R843" s="36" t="str">
        <x:v>tract internal point; no person, address, building, parcel, or route condition</x:v>
      </x:c>
    </x:row>
    <x:row r="844" ht="86.4000015258789" hidden="0" customHeight="1">
      <x:c r="A844" s="34" t="str">
        <x:v>48201530900</x:v>
      </x:c>
      <x:c r="B844" s="62" t="n">
        <x:v>4670</x:v>
      </x:c>
      <x:c r="C844" s="62" t="n">
        <x:v>387</x:v>
      </x:c>
      <x:c r="D844" s="62" t="n">
        <x:v>60</x:v>
      </x:c>
      <x:c r="E844" s="43" t="n">
        <x:v>0.0828693790149893</x:v>
      </x:c>
      <x:c r="F844" s="43" t="n">
        <x:v>0.01284796573875803</x:v>
      </x:c>
      <x:c r="G844" s="65" t="n">
        <x:v>1939</x:v>
      </x:c>
      <x:c r="H844" s="65" t="n">
        <x:v>166</x:v>
      </x:c>
      <x:c r="I844" s="65" t="n">
        <x:v>0.08561113976276431</x:v>
      </x:c>
      <x:c r="J844" s="34" t="str">
        <x:v>low</x:v>
      </x:c>
      <x:c r="K844" s="71" t="n">
        <x:v>29.8359653</x:v>
      </x:c>
      <x:c r="L844" s="71" t="n">
        <x:v>-95.4201472</x:v>
      </x:c>
      <x:c r="M844" s="71" t="n">
        <x:v>0.773</x:v>
      </x:c>
      <x:c r="N844" s="71" t="n">
        <x:v>0.0781760690067256</x:v>
      </x:c>
      <x:c r="O844" s="71" t="n">
        <x:v>23.669619330379472</x:v>
      </x:c>
      <x:c r="P844" s="71" t="n">
        <x:v>3</x:v>
      </x:c>
      <x:c r="Q844" s="71" t="n">
        <x:v>373.5946123034743</x:v>
      </x:c>
      <x:c r="R844" s="34" t="str">
        <x:v>tract internal point; no person, address, building, parcel, or route condition</x:v>
      </x:c>
    </x:row>
    <x:row r="845" ht="86.4000015258789" hidden="0" customHeight="1">
      <x:c r="A845" s="36" t="str">
        <x:v>48201531000</x:v>
      </x:c>
      <x:c r="B845" s="63" t="n">
        <x:v>5027</x:v>
      </x:c>
      <x:c r="C845" s="63" t="n">
        <x:v>400</x:v>
      </x:c>
      <x:c r="D845" s="63" t="n">
        <x:v>0</x:v>
      </x:c>
      <x:c r="E845" s="45" t="n">
        <x:v>0.07957032027053909</x:v>
      </x:c>
      <x:c r="F845" s="45" t="n">
        <x:v>0</x:v>
      </x:c>
      <x:c r="G845" s="66" t="n">
        <x:v>2294</x:v>
      </x:c>
      <x:c r="H845" s="66" t="n">
        <x:v>96</x:v>
      </x:c>
      <x:c r="I845" s="66" t="n">
        <x:v>0.041848299912816043</x:v>
      </x:c>
      <x:c r="J845" s="36" t="str">
        <x:v>low</x:v>
      </x:c>
      <x:c r="K845" s="72" t="n">
        <x:v>29.8251751</x:v>
      </x:c>
      <x:c r="L845" s="72" t="n">
        <x:v>-95.4199886</x:v>
      </x:c>
      <x:c r="M845" s="72" t="n">
        <x:v>0.921</x:v>
      </x:c>
      <x:c r="N845" s="72" t="n">
        <x:v>0.1398320235044769</x:v>
      </x:c>
      <x:c r="O845" s="72" t="n">
        <x:v>22.41299620605766</x:v>
      </x:c>
      <x:c r="P845" s="72" t="n">
        <x:v>3</x:v>
      </x:c>
      <x:c r="Q845" s="72" t="n">
        <x:v>401.3858890549593</x:v>
      </x:c>
      <x:c r="R845" s="36" t="str">
        <x:v>tract internal point; no person, address, building, parcel, or route condition</x:v>
      </x:c>
    </x:row>
    <x:row r="846" ht="86.4000015258789" hidden="0" customHeight="1">
      <x:c r="A846" s="34" t="str">
        <x:v>48201531100</x:v>
      </x:c>
      <x:c r="B846" s="62" t="n">
        <x:v>3552</x:v>
      </x:c>
      <x:c r="C846" s="62" t="n">
        <x:v>171</x:v>
      </x:c>
      <x:c r="D846" s="62" t="n">
        <x:v>205</x:v>
      </x:c>
      <x:c r="E846" s="43" t="n">
        <x:v>0.04814189189189189</x:v>
      </x:c>
      <x:c r="F846" s="43" t="n">
        <x:v>0.057713963963963964</x:v>
      </x:c>
      <x:c r="G846" s="65" t="n">
        <x:v>1439</x:v>
      </x:c>
      <x:c r="H846" s="65" t="n">
        <x:v>67</x:v>
      </x:c>
      <x:c r="I846" s="65" t="n">
        <x:v>0.046560111188325225</x:v>
      </x:c>
      <x:c r="J846" s="34" t="str">
        <x:v>low</x:v>
      </x:c>
      <x:c r="K846" s="71" t="n">
        <x:v>29.8245117</x:v>
      </x:c>
      <x:c r="L846" s="71" t="n">
        <x:v>-95.4376743</x:v>
      </x:c>
      <x:c r="M846" s="71" t="n">
        <x:v>0.637</x:v>
      </x:c>
      <x:c r="N846" s="71" t="n">
        <x:v>0.034661988688582564</x:v>
      </x:c>
      <x:c r="O846" s="71" t="n">
        <x:v>23.802015504080128</x:v>
      </x:c>
      <x:c r="P846" s="71" t="n">
        <x:v>3</x:v>
      </x:c>
      <x:c r="Q846" s="71" t="n">
        <x:v>283.4694509603528</x:v>
      </x:c>
      <x:c r="R846" s="34" t="str">
        <x:v>tract internal point; no person, address, building, parcel, or route condition</x:v>
      </x:c>
    </x:row>
    <x:row r="847" ht="86.4000015258789" hidden="0" customHeight="1">
      <x:c r="A847" s="36" t="str">
        <x:v>48201531200</x:v>
      </x:c>
      <x:c r="B847" s="63" t="n">
        <x:v>3801</x:v>
      </x:c>
      <x:c r="C847" s="63" t="n">
        <x:v>345</x:v>
      </x:c>
      <x:c r="D847" s="63" t="n">
        <x:v>175.5</x:v>
      </x:c>
      <x:c r="E847" s="45" t="n">
        <x:v>0.09076558800315707</x:v>
      </x:c>
      <x:c r="F847" s="45" t="n">
        <x:v>0.04617205998421468</x:v>
      </x:c>
      <x:c r="G847" s="66" t="n">
        <x:v>1607</x:v>
      </x:c>
      <x:c r="H847" s="66" t="n">
        <x:v>84</x:v>
      </x:c>
      <x:c r="I847" s="66" t="n">
        <x:v>0.0522713130056005</x:v>
      </x:c>
      <x:c r="J847" s="36" t="str">
        <x:v>high</x:v>
      </x:c>
      <x:c r="K847" s="72" t="n">
        <x:v>29.8271285</x:v>
      </x:c>
      <x:c r="L847" s="72" t="n">
        <x:v>-95.4528622</x:v>
      </x:c>
      <x:c r="M847" s="72" t="n">
        <x:v>0.739</x:v>
      </x:c>
      <x:c r="N847" s="72" t="n">
        <x:v>0.0490614001991964</x:v>
      </x:c>
      <x:c r="O847" s="72" t="n">
        <x:v>25.35919442504206</x:v>
      </x:c>
      <x:c r="P847" s="72" t="n">
        <x:v>3</x:v>
      </x:c>
      <x:c r="Q847" s="72" t="n">
        <x:v>658.0924517461251</x:v>
      </x:c>
      <x:c r="R847" s="36" t="str">
        <x:v>tract internal point; no person, address, building, parcel, or route condition</x:v>
      </x:c>
    </x:row>
    <x:row r="848" ht="86.4000015258789" hidden="0" customHeight="1">
      <x:c r="A848" s="34" t="str">
        <x:v>48201531300</x:v>
      </x:c>
      <x:c r="B848" s="62" t="n">
        <x:v>5109</x:v>
      </x:c>
      <x:c r="C848" s="62" t="n">
        <x:v>284</x:v>
      </x:c>
      <x:c r="D848" s="62" t="n">
        <x:v>363</x:v>
      </x:c>
      <x:c r="E848" s="43" t="n">
        <x:v>0.055588177725582305</x:v>
      </x:c>
      <x:c r="F848" s="43" t="n">
        <x:v>0.07105108631826189</x:v>
      </x:c>
      <x:c r="G848" s="65" t="n">
        <x:v>2754</x:v>
      </x:c>
      <x:c r="H848" s="65" t="n">
        <x:v>913</x:v>
      </x:c>
      <x:c r="I848" s="65" t="n">
        <x:v>0.33151779230210604</x:v>
      </x:c>
      <x:c r="J848" s="34" t="str">
        <x:v>low</x:v>
      </x:c>
      <x:c r="K848" s="71" t="n">
        <x:v>29.8231943</x:v>
      </x:c>
      <x:c r="L848" s="71" t="n">
        <x:v>-95.463003</x:v>
      </x:c>
      <x:c r="M848" s="71" t="n">
        <x:v>0.595</x:v>
      </x:c>
      <x:c r="N848" s="71" t="n">
        <x:v>0.08165333981245912</x:v>
      </x:c>
      <x:c r="O848" s="71" t="n">
        <x:v>24.158772972896905</x:v>
      </x:c>
      <x:c r="P848" s="71" t="n">
        <x:v>3</x:v>
      </x:c>
      <x:c r="Q848" s="71" t="n">
        <x:v>408.8602963486985</x:v>
      </x:c>
      <x:c r="R848" s="34" t="str">
        <x:v>tract internal point; no person, address, building, parcel, or route condition</x:v>
      </x:c>
    </x:row>
    <x:row r="849" ht="86.4000015258789" hidden="0" customHeight="1">
      <x:c r="A849" s="36" t="str">
        <x:v>48201531400</x:v>
      </x:c>
      <x:c r="B849" s="63" t="n">
        <x:v>2139</x:v>
      </x:c>
      <x:c r="C849" s="63" t="n">
        <x:v>375</x:v>
      </x:c>
      <x:c r="D849" s="63" t="n">
        <x:v>91</x:v>
      </x:c>
      <x:c r="E849" s="45" t="n">
        <x:v>0.1753155680224404</x:v>
      </x:c>
      <x:c r="F849" s="45" t="n">
        <x:v>0.04254324450677887</x:v>
      </x:c>
      <x:c r="G849" s="66" t="n">
        <x:v>1020</x:v>
      </x:c>
      <x:c r="H849" s="66" t="n">
        <x:v>122</x:v>
      </x:c>
      <x:c r="I849" s="66" t="n">
        <x:v>0.11960784313725491</x:v>
      </x:c>
      <x:c r="J849" s="36" t="str">
        <x:v>moderate</x:v>
      </x:c>
      <x:c r="K849" s="72" t="n">
        <x:v>29.8302031</x:v>
      </x:c>
      <x:c r="L849" s="72" t="n">
        <x:v>-95.4709951</x:v>
      </x:c>
      <x:c r="M849" s="72" t="n">
        <x:v>0.411</x:v>
      </x:c>
      <x:c r="N849" s="72" t="n">
        <x:v>0.0732811819032632</x:v>
      </x:c>
      <x:c r="O849" s="72" t="n">
        <x:v>24.545969504742292</x:v>
      </x:c>
      <x:c r="P849" s="72" t="n">
        <x:v>3</x:v>
      </x:c>
      <x:c r="Q849" s="72" t="n">
        <x:v>309.1289829801605</x:v>
      </x:c>
      <x:c r="R849" s="36" t="str">
        <x:v>tract internal point; no person, address, building, parcel, or route condition</x:v>
      </x:c>
    </x:row>
    <x:row r="850" ht="86.4000015258789" hidden="0" customHeight="1">
      <x:c r="A850" s="34" t="str">
        <x:v>48201531500</x:v>
      </x:c>
      <x:c r="B850" s="62" t="n">
        <x:v>2639</x:v>
      </x:c>
      <x:c r="C850" s="62" t="n">
        <x:v>213</x:v>
      </x:c>
      <x:c r="D850" s="62" t="n">
        <x:v>49</x:v>
      </x:c>
      <x:c r="E850" s="43" t="n">
        <x:v>0.08071239105721864</x:v>
      </x:c>
      <x:c r="F850" s="43" t="n">
        <x:v>0.01856763925729443</x:v>
      </x:c>
      <x:c r="G850" s="65" t="n">
        <x:v>1418</x:v>
      </x:c>
      <x:c r="H850" s="65" t="n">
        <x:v>223</x:v>
      </x:c>
      <x:c r="I850" s="65" t="n">
        <x:v>0.15726375176304655</x:v>
      </x:c>
      <x:c r="J850" s="34" t="str">
        <x:v>low</x:v>
      </x:c>
      <x:c r="K850" s="71" t="n">
        <x:v>29.8369083</x:v>
      </x:c>
      <x:c r="L850" s="71" t="n">
        <x:v>-95.476414</x:v>
      </x:c>
      <x:c r="M850" s="71" t="n">
        <x:v>0.737</x:v>
      </x:c>
      <x:c r="N850" s="71" t="n">
        <x:v>0.11400045580579918</x:v>
      </x:c>
      <x:c r="O850" s="71" t="n">
        <x:v>24.380841894747338</x:v>
      </x:c>
      <x:c r="P850" s="71" t="n">
        <x:v>5</x:v>
      </x:c>
      <x:c r="Q850" s="71" t="n">
        <x:v>211.1461114051592</x:v>
      </x:c>
      <x:c r="R850" s="34" t="str">
        <x:v>tract internal point; no person, address, building, parcel, or route condition</x:v>
      </x:c>
    </x:row>
    <x:row r="851" ht="86.4000015258789" hidden="0" customHeight="1">
      <x:c r="A851" s="36" t="str">
        <x:v>48201531600</x:v>
      </x:c>
      <x:c r="B851" s="63" t="n">
        <x:v>3002</x:v>
      </x:c>
      <x:c r="C851" s="63" t="n">
        <x:v>195</x:v>
      </x:c>
      <x:c r="D851" s="63" t="n">
        <x:v>6</x:v>
      </x:c>
      <x:c r="E851" s="45" t="n">
        <x:v>0.06495669553630913</x:v>
      </x:c>
      <x:c r="F851" s="45" t="n">
        <x:v>0.001998667554963358</x:v>
      </x:c>
      <x:c r="G851" s="66" t="n">
        <x:v>1364</x:v>
      </x:c>
      <x:c r="H851" s="66" t="n">
        <x:v>75</x:v>
      </x:c>
      <x:c r="I851" s="66" t="n">
        <x:v>0.05498533724340176</x:v>
      </x:c>
      <x:c r="J851" s="36" t="str">
        <x:v>high</x:v>
      </x:c>
      <x:c r="K851" s="72" t="n">
        <x:v>29.838057</x:v>
      </x:c>
      <x:c r="L851" s="72" t="n">
        <x:v>-95.4534791</x:v>
      </x:c>
      <x:c r="M851" s="72" t="n">
        <x:v>0.909</x:v>
      </x:c>
      <x:c r="N851" s="72" t="n">
        <x:v>0.04783701593486874</x:v>
      </x:c>
      <x:c r="O851" s="72" t="n">
        <x:v>26.962907607811843</x:v>
      </x:c>
      <x:c r="P851" s="72" t="n">
        <x:v>3</x:v>
      </x:c>
      <x:c r="Q851" s="72" t="n">
        <x:v>514.8882975732824</x:v>
      </x:c>
      <x:c r="R851" s="36" t="str">
        <x:v>tract internal point; no person, address, building, parcel, or route condition</x:v>
      </x:c>
    </x:row>
    <x:row r="852" ht="86.4000015258789" hidden="0" customHeight="1">
      <x:c r="A852" s="34" t="str">
        <x:v>48201531700</x:v>
      </x:c>
      <x:c r="B852" s="62" t="n">
        <x:v>3917</x:v>
      </x:c>
      <x:c r="C852" s="62" t="n">
        <x:v>130</x:v>
      </x:c>
      <x:c r="D852" s="62" t="n">
        <x:v>0</x:v>
      </x:c>
      <x:c r="E852" s="43" t="n">
        <x:v>0.033188664794485574</x:v>
      </x:c>
      <x:c r="F852" s="43" t="n">
        <x:v>0</x:v>
      </x:c>
      <x:c r="G852" s="65" t="n">
        <x:v>1535</x:v>
      </x:c>
      <x:c r="H852" s="65" t="n">
        <x:v>0</x:v>
      </x:c>
      <x:c r="I852" s="65" t="n">
        <x:v>0</x:v>
      </x:c>
      <x:c r="J852" s="34" t="str">
        <x:v>low</x:v>
      </x:c>
      <x:c r="K852" s="71" t="n">
        <x:v>29.8357787</x:v>
      </x:c>
      <x:c r="L852" s="71" t="n">
        <x:v>-95.435762</x:v>
      </x:c>
      <x:c r="M852" s="71" t="n">
        <x:v>0.719</x:v>
      </x:c>
      <x:c r="N852" s="71" t="n">
        <x:v>0.020223095913701552</x:v>
      </x:c>
      <x:c r="O852" s="71" t="n">
        <x:v>25.457267349507678</x:v>
      </x:c>
      <x:c r="P852" s="71" t="n">
        <x:v>3</x:v>
      </x:c>
      <x:c r="Q852" s="71" t="n">
        <x:v>309.90103006534264</x:v>
      </x:c>
      <x:c r="R852" s="34" t="str">
        <x:v>tract internal point; no person, address, building, parcel, or route condition</x:v>
      </x:c>
    </x:row>
    <x:row r="853" ht="86.4000015258789" hidden="0" customHeight="1">
      <x:c r="A853" s="36" t="str">
        <x:v>48201531800</x:v>
      </x:c>
      <x:c r="B853" s="63" t="n">
        <x:v>2928</x:v>
      </x:c>
      <x:c r="C853" s="63" t="n">
        <x:v>427</x:v>
      </x:c>
      <x:c r="D853" s="63" t="n">
        <x:v>178</x:v>
      </x:c>
      <x:c r="E853" s="45" t="n">
        <x:v>0.14583333333333334</x:v>
      </x:c>
      <x:c r="F853" s="45" t="n">
        <x:v>0.060792349726775954</x:v>
      </x:c>
      <x:c r="G853" s="66" t="n">
        <x:v>1315</x:v>
      </x:c>
      <x:c r="H853" s="66" t="n">
        <x:v>12</x:v>
      </x:c>
      <x:c r="I853" s="66" t="n">
        <x:v>0.009125475285171103</x:v>
      </x:c>
      <x:c r="J853" s="36" t="str">
        <x:v>low</x:v>
      </x:c>
      <x:c r="K853" s="72" t="n">
        <x:v>29.8534594</x:v>
      </x:c>
      <x:c r="L853" s="72" t="n">
        <x:v>-95.4363437</x:v>
      </x:c>
      <x:c r="M853" s="72" t="n">
        <x:v>1.257</x:v>
      </x:c>
      <x:c r="N853" s="72" t="n">
        <x:v>0.10808213123825315</x:v>
      </x:c>
      <x:c r="O853" s="72" t="n">
        <x:v>27.27091058229322</x:v>
      </x:c>
      <x:c r="P853" s="72" t="n">
        <x:v>3</x:v>
      </x:c>
      <x:c r="Q853" s="72" t="n">
        <x:v>238.23789052347612</x:v>
      </x:c>
      <x:c r="R853" s="36" t="str">
        <x:v>tract internal point; no person, address, building, parcel, or route condition</x:v>
      </x:c>
    </x:row>
    <x:row r="854" ht="86.4000015258789" hidden="0" customHeight="1">
      <x:c r="A854" s="34" t="str">
        <x:v>48201531900</x:v>
      </x:c>
      <x:c r="B854" s="62" t="n">
        <x:v>6056</x:v>
      </x:c>
      <x:c r="C854" s="62" t="n">
        <x:v>1119</x:v>
      </x:c>
      <x:c r="D854" s="62" t="n">
        <x:v>1003</x:v>
      </x:c>
      <x:c r="E854" s="43" t="n">
        <x:v>0.184775429326288</x:v>
      </x:c>
      <x:c r="F854" s="43" t="n">
        <x:v>0.1656208718626156</x:v>
      </x:c>
      <x:c r="G854" s="65" t="n">
        <x:v>2140</x:v>
      </x:c>
      <x:c r="H854" s="65" t="n">
        <x:v>152</x:v>
      </x:c>
      <x:c r="I854" s="65" t="n">
        <x:v>0.07102803738317758</x:v>
      </x:c>
      <x:c r="J854" s="34" t="str">
        <x:v>low</x:v>
      </x:c>
      <x:c r="K854" s="71" t="n">
        <x:v>29.8529494</x:v>
      </x:c>
      <x:c r="L854" s="71" t="n">
        <x:v>-95.4499189</x:v>
      </x:c>
      <x:c r="M854" s="71" t="n">
        <x:v>1.673</x:v>
      </x:c>
      <x:c r="N854" s="71" t="n">
        <x:v>0.060162629628401604</x:v>
      </x:c>
      <x:c r="O854" s="71" t="n">
        <x:v>29.85791843834091</x:v>
      </x:c>
      <x:c r="P854" s="71" t="n">
        <x:v>3</x:v>
      </x:c>
      <x:c r="Q854" s="71" t="n">
        <x:v>501.44548869386057</x:v>
      </x:c>
      <x:c r="R854" s="34" t="str">
        <x:v>tract internal point; no person, address, building, parcel, or route condition</x:v>
      </x:c>
    </x:row>
    <x:row r="855" ht="86.4000015258789" hidden="0" customHeight="1">
      <x:c r="A855" s="36" t="str">
        <x:v>48201532003</x:v>
      </x:c>
      <x:c r="B855" s="63" t="n">
        <x:v>3990</x:v>
      </x:c>
      <x:c r="C855" s="63" t="n">
        <x:v>293</x:v>
      </x:c>
      <x:c r="D855" s="63" t="n">
        <x:v>67</x:v>
      </x:c>
      <x:c r="E855" s="45" t="n">
        <x:v>0.07343358395989975</x:v>
      </x:c>
      <x:c r="F855" s="45" t="n">
        <x:v>0.016791979949874688</x:v>
      </x:c>
      <x:c r="G855" s="66" t="n">
        <x:v>1734</x:v>
      </x:c>
      <x:c r="H855" s="66" t="n">
        <x:v>293</x:v>
      </x:c>
      <x:c r="I855" s="66" t="n">
        <x:v>0.16897347174163782</x:v>
      </x:c>
      <x:c r="J855" s="36" t="str">
        <x:v>moderate</x:v>
      </x:c>
      <x:c r="K855" s="72" t="n">
        <x:v>29.8607474</x:v>
      </x:c>
      <x:c r="L855" s="72" t="n">
        <x:v>-95.4707212</x:v>
      </x:c>
      <x:c r="M855" s="72" t="n">
        <x:v>0.39</x:v>
      </x:c>
      <x:c r="N855" s="72" t="n">
        <x:v>0.08090913374522513</x:v>
      </x:c>
      <x:c r="O855" s="72" t="n">
        <x:v>27.84875100922642</x:v>
      </x:c>
      <x:c r="P855" s="72" t="n">
        <x:v>5</x:v>
      </x:c>
      <x:c r="Q855" s="72" t="n">
        <x:v>563.902102775154</x:v>
      </x:c>
      <x:c r="R855" s="36" t="str">
        <x:v>tract internal point; no person, address, building, parcel, or route condition</x:v>
      </x:c>
    </x:row>
    <x:row r="856" ht="86.4000015258789" hidden="0" customHeight="1">
      <x:c r="A856" s="34" t="str">
        <x:v>48201532004</x:v>
      </x:c>
      <x:c r="B856" s="62" t="n">
        <x:v>5291</x:v>
      </x:c>
      <x:c r="C856" s="62" t="n">
        <x:v>1069</x:v>
      </x:c>
      <x:c r="D856" s="62" t="n">
        <x:v>689</x:v>
      </x:c>
      <x:c r="E856" s="43" t="n">
        <x:v>0.20204120204120204</x:v>
      </x:c>
      <x:c r="F856" s="43" t="n">
        <x:v>0.13022113022113022</x:v>
      </x:c>
      <x:c r="G856" s="65" t="n">
        <x:v>2720</x:v>
      </x:c>
      <x:c r="H856" s="65" t="n">
        <x:v>514</x:v>
      </x:c>
      <x:c r="I856" s="65" t="n">
        <x:v>0.1889705882352941</x:v>
      </x:c>
      <x:c r="J856" s="34" t="str">
        <x:v>moderate</x:v>
      </x:c>
      <x:c r="K856" s="71" t="n">
        <x:v>29.8498715</x:v>
      </x:c>
      <x:c r="L856" s="71" t="n">
        <x:v>-95.4657071</x:v>
      </x:c>
      <x:c r="M856" s="71" t="n">
        <x:v>0.606</x:v>
      </x:c>
      <x:c r="N856" s="71" t="n">
        <x:v>0.030792913256940536</x:v>
      </x:c>
      <x:c r="O856" s="71" t="n">
        <x:v>26.69156713144398</x:v>
      </x:c>
      <x:c r="P856" s="71" t="n">
        <x:v>5</x:v>
      </x:c>
      <x:c r="Q856" s="71" t="n">
        <x:v>775.0403546563451</x:v>
      </x:c>
      <x:c r="R856" s="34" t="str">
        <x:v>tract internal point; no person, address, building, parcel, or route condition</x:v>
      </x:c>
    </x:row>
    <x:row r="857" ht="86.4000015258789" hidden="0" customHeight="1">
      <x:c r="A857" s="36" t="str">
        <x:v>48201532101</x:v>
      </x:c>
      <x:c r="B857" s="63" t="n">
        <x:v>3746</x:v>
      </x:c>
      <x:c r="C857" s="63" t="n">
        <x:v>482</x:v>
      </x:c>
      <x:c r="D857" s="63" t="n">
        <x:v>324</x:v>
      </x:c>
      <x:c r="E857" s="45" t="n">
        <x:v>0.12867058195408435</x:v>
      </x:c>
      <x:c r="F857" s="45" t="n">
        <x:v>0.08649225840896957</x:v>
      </x:c>
      <x:c r="G857" s="66" t="n">
        <x:v>1693</x:v>
      </x:c>
      <x:c r="H857" s="66" t="n">
        <x:v>375</x:v>
      </x:c>
      <x:c r="I857" s="66" t="n">
        <x:v>0.22150029533372712</x:v>
      </x:c>
      <x:c r="J857" s="36" t="str">
        <x:v>low</x:v>
      </x:c>
      <x:c r="K857" s="72" t="n">
        <x:v>29.8440369</x:v>
      </x:c>
      <x:c r="L857" s="72" t="n">
        <x:v>-95.4780006</x:v>
      </x:c>
      <x:c r="M857" s="72" t="n">
        <x:v>0.45</x:v>
      </x:c>
      <x:c r="N857" s="72" t="n">
        <x:v>0.028297800459314074</x:v>
      </x:c>
      <x:c r="O857" s="72" t="n">
        <x:v>24.251109774778737</x:v>
      </x:c>
      <x:c r="P857" s="72" t="n">
        <x:v>5</x:v>
      </x:c>
      <x:c r="Q857" s="72" t="n">
        <x:v>304.54083471904374</x:v>
      </x:c>
      <x:c r="R857" s="36" t="str">
        <x:v>tract internal point; no person, address, building, parcel, or route condition</x:v>
      </x:c>
    </x:row>
    <x:row r="858" ht="86.4000015258789" hidden="0" customHeight="1">
      <x:c r="A858" s="34" t="str">
        <x:v>48201532102</x:v>
      </x:c>
      <x:c r="B858" s="62" t="n">
        <x:v>3308</x:v>
      </x:c>
      <x:c r="C858" s="62" t="n">
        <x:v>287</x:v>
      </x:c>
      <x:c r="D858" s="62" t="n">
        <x:v>144</x:v>
      </x:c>
      <x:c r="E858" s="43" t="n">
        <x:v>0.08675937122128174</x:v>
      </x:c>
      <x:c r="F858" s="43" t="n">
        <x:v>0.04353083434099154</x:v>
      </x:c>
      <x:c r="G858" s="65" t="n">
        <x:v>1416</x:v>
      </x:c>
      <x:c r="H858" s="65" t="n">
        <x:v>534</x:v>
      </x:c>
      <x:c r="I858" s="65" t="n">
        <x:v>0.3771186440677966</x:v>
      </x:c>
      <x:c r="J858" s="34" t="str">
        <x:v>low</x:v>
      </x:c>
      <x:c r="K858" s="71" t="n">
        <x:v>29.8493374</x:v>
      </x:c>
      <x:c r="L858" s="71" t="n">
        <x:v>-95.4859978</x:v>
      </x:c>
      <x:c r="M858" s="71" t="n">
        <x:v>0.278</x:v>
      </x:c>
      <x:c r="N858" s="71" t="n">
        <x:v>0.10169318146426407</x:v>
      </x:c>
      <x:c r="O858" s="71" t="n">
        <x:v>23.729044938823098</x:v>
      </x:c>
      <x:c r="P858" s="71" t="n">
        <x:v>5</x:v>
      </x:c>
      <x:c r="Q858" s="71" t="n">
        <x:v>265.63619107655217</x:v>
      </x:c>
      <x:c r="R858" s="34" t="str">
        <x:v>tract internal point; no person, address, building, parcel, or route condition</x:v>
      </x:c>
    </x:row>
    <x:row r="859" ht="86.4000015258789" hidden="0" customHeight="1">
      <x:c r="A859" s="36" t="str">
        <x:v>48201532200</x:v>
      </x:c>
      <x:c r="B859" s="63" t="n">
        <x:v>3566</x:v>
      </x:c>
      <x:c r="C859" s="63" t="n">
        <x:v>326</x:v>
      </x:c>
      <x:c r="D859" s="63" t="n">
        <x:v>430.5</x:v>
      </x:c>
      <x:c r="E859" s="45" t="n">
        <x:v>0.09141895681435783</x:v>
      </x:c>
      <x:c r="F859" s="45" t="n">
        <x:v>0.12072349971957375</x:v>
      </x:c>
      <x:c r="G859" s="66" t="n">
        <x:v>1536</x:v>
      </x:c>
      <x:c r="H859" s="66" t="n">
        <x:v>312</x:v>
      </x:c>
      <x:c r="I859" s="66" t="n">
        <x:v>0.203125</x:v>
      </x:c>
      <x:c r="J859" s="36" t="str">
        <x:v>low</x:v>
      </x:c>
      <x:c r="K859" s="72" t="n">
        <x:v>29.8569939</x:v>
      </x:c>
      <x:c r="L859" s="72" t="n">
        <x:v>-95.4844214</x:v>
      </x:c>
      <x:c r="M859" s="72" t="n">
        <x:v>0.718</x:v>
      </x:c>
      <x:c r="N859" s="72" t="n">
        <x:v>0.10320770395102799</x:v>
      </x:c>
      <x:c r="O859" s="72" t="n">
        <x:v>25.988203305330835</x:v>
      </x:c>
      <x:c r="P859" s="72" t="n">
        <x:v>5</x:v>
      </x:c>
      <x:c r="Q859" s="72" t="n">
        <x:v>288.77855940085846</x:v>
      </x:c>
      <x:c r="R859" s="36" t="str">
        <x:v>tract internal point; no person, address, building, parcel, or route condition</x:v>
      </x:c>
    </x:row>
    <x:row r="860" ht="86.4000015258789" hidden="0" customHeight="1">
      <x:c r="A860" s="34" t="str">
        <x:v>48201532301</x:v>
      </x:c>
      <x:c r="B860" s="62" t="n">
        <x:v>4612</x:v>
      </x:c>
      <x:c r="C860" s="62" t="n">
        <x:v>787</x:v>
      </x:c>
      <x:c r="D860" s="62" t="n">
        <x:v>699</x:v>
      </x:c>
      <x:c r="E860" s="43" t="n">
        <x:v>0.17064180398959236</x:v>
      </x:c>
      <x:c r="F860" s="43" t="n">
        <x:v>0.151561144839549</x:v>
      </x:c>
      <x:c r="G860" s="65" t="n">
        <x:v>2089</x:v>
      </x:c>
      <x:c r="H860" s="65" t="n">
        <x:v>377</x:v>
      </x:c>
      <x:c r="I860" s="65" t="n">
        <x:v>0.18046912398276688</x:v>
      </x:c>
      <x:c r="J860" s="34" t="str">
        <x:v>high</x:v>
      </x:c>
      <x:c r="K860" s="71" t="n">
        <x:v>29.8587372</x:v>
      </x:c>
      <x:c r="L860" s="71" t="n">
        <x:v>-95.5129694</x:v>
      </x:c>
      <x:c r="M860" s="71" t="n">
        <x:v>0.905</x:v>
      </x:c>
      <x:c r="N860" s="71" t="n">
        <x:v>0.216068328218519</x:v>
      </x:c>
      <x:c r="O860" s="71" t="n">
        <x:v>21.912321324982845</x:v>
      </x:c>
      <x:c r="P860" s="71" t="n">
        <x:v>5</x:v>
      </x:c>
      <x:c r="Q860" s="71" t="n">
        <x:v>819.2066473061499</x:v>
      </x:c>
      <x:c r="R860" s="34" t="str">
        <x:v>tract internal point; no person, address, building, parcel, or route condition</x:v>
      </x:c>
    </x:row>
    <x:row r="861" ht="86.4000015258789" hidden="0" customHeight="1">
      <x:c r="A861" s="36" t="str">
        <x:v>48201532302</x:v>
      </x:c>
      <x:c r="B861" s="63" t="n">
        <x:v>4414</x:v>
      </x:c>
      <x:c r="C861" s="63" t="n">
        <x:v>301</x:v>
      </x:c>
      <x:c r="D861" s="63" t="n">
        <x:v>79.5</x:v>
      </x:c>
      <x:c r="E861" s="45" t="n">
        <x:v>0.06819211599456275</x:v>
      </x:c>
      <x:c r="F861" s="45" t="n">
        <x:v>0.018010874490258268</x:v>
      </x:c>
      <x:c r="G861" s="66" t="n">
        <x:v>1410</x:v>
      </x:c>
      <x:c r="H861" s="66" t="n">
        <x:v>68</x:v>
      </x:c>
      <x:c r="I861" s="66" t="n">
        <x:v>0.04822695035460993</x:v>
      </x:c>
      <x:c r="J861" s="36" t="str">
        <x:v>high</x:v>
      </x:c>
      <x:c r="K861" s="72" t="n">
        <x:v>29.855131</x:v>
      </x:c>
      <x:c r="L861" s="72" t="n">
        <x:v>-95.4952511</x:v>
      </x:c>
      <x:c r="M861" s="72" t="n">
        <x:v>1.491</x:v>
      </x:c>
      <x:c r="N861" s="72" t="n">
        <x:v>0.03499444827961703</x:v>
      </x:c>
      <x:c r="O861" s="72" t="n">
        <x:v>22.880602831791137</x:v>
      </x:c>
      <x:c r="P861" s="72" t="n">
        <x:v>5</x:v>
      </x:c>
      <x:c r="Q861" s="72" t="n">
        <x:v>758.7475614703077</x:v>
      </x:c>
      <x:c r="R861" s="36" t="str">
        <x:v>tract internal point; no person, address, building, parcel, or route condition</x:v>
      </x:c>
    </x:row>
    <x:row r="862" ht="86.4000015258789" hidden="0" customHeight="1">
      <x:c r="A862" s="34" t="str">
        <x:v>48201532400</x:v>
      </x:c>
      <x:c r="B862" s="62" t="n">
        <x:v>7362</x:v>
      </x:c>
      <x:c r="C862" s="62" t="n">
        <x:v>626</x:v>
      </x:c>
      <x:c r="D862" s="62" t="n">
        <x:v>59</x:v>
      </x:c>
      <x:c r="E862" s="43" t="n">
        <x:v>0.08503124151045911</x:v>
      </x:c>
      <x:c r="F862" s="43" t="n">
        <x:v>0.008014126596033686</x:v>
      </x:c>
      <x:c r="G862" s="65" t="n">
        <x:v>2410</x:v>
      </x:c>
      <x:c r="H862" s="65" t="n">
        <x:v>156</x:v>
      </x:c>
      <x:c r="I862" s="65" t="n">
        <x:v>0.06473029045643154</x:v>
      </x:c>
      <x:c r="J862" s="34" t="str">
        <x:v>high</x:v>
      </x:c>
      <x:c r="K862" s="71" t="n">
        <x:v>29.8697003</x:v>
      </x:c>
      <x:c r="L862" s="71" t="n">
        <x:v>-95.5046102</x:v>
      </x:c>
      <x:c r="M862" s="71" t="n">
        <x:v>1.796</x:v>
      </x:c>
      <x:c r="N862" s="71" t="n">
        <x:v>0.22703858970628268</x:v>
      </x:c>
      <x:c r="O862" s="71" t="n">
        <x:v>23.880147684607667</x:v>
      </x:c>
      <x:c r="P862" s="71" t="n">
        <x:v>5</x:v>
      </x:c>
      <x:c r="Q862" s="71" t="n">
        <x:v>1268.4473640670576</x:v>
      </x:c>
      <x:c r="R862" s="34" t="str">
        <x:v>tract internal point; no person, address, building, parcel, or route condition</x:v>
      </x:c>
    </x:row>
    <x:row r="863" ht="86.4000015258789" hidden="0" customHeight="1">
      <x:c r="A863" s="36" t="str">
        <x:v>48201532502</x:v>
      </x:c>
      <x:c r="B863" s="63" t="n">
        <x:v>5785</x:v>
      </x:c>
      <x:c r="C863" s="63" t="n">
        <x:v>352</x:v>
      </x:c>
      <x:c r="D863" s="63" t="n">
        <x:v>53</x:v>
      </x:c>
      <x:c r="E863" s="45" t="n">
        <x:v>0.06084701815038894</x:v>
      </x:c>
      <x:c r="F863" s="45" t="n">
        <x:v>0.009161624891961971</x:v>
      </x:c>
      <x:c r="G863" s="66" t="n">
        <x:v>1882</x:v>
      </x:c>
      <x:c r="H863" s="66" t="n">
        <x:v>0</x:v>
      </x:c>
      <x:c r="I863" s="66" t="n">
        <x:v>0</x:v>
      </x:c>
      <x:c r="J863" s="36" t="str">
        <x:v>low</x:v>
      </x:c>
      <x:c r="K863" s="72" t="n">
        <x:v>29.8863712</x:v>
      </x:c>
      <x:c r="L863" s="72" t="n">
        <x:v>-95.4982807</x:v>
      </x:c>
      <x:c r="M863" s="72" t="n">
        <x:v>1.041</x:v>
      </x:c>
      <x:c r="N863" s="72" t="n">
        <x:v>0.2009829463783127</x:v>
      </x:c>
      <x:c r="O863" s="72" t="n">
        <x:v>28.64575421340012</x:v>
      </x:c>
      <x:c r="P863" s="72" t="n">
        <x:v>5</x:v>
      </x:c>
      <x:c r="Q863" s="72" t="n">
        <x:v>460.62312120313294</x:v>
      </x:c>
      <x:c r="R863" s="36" t="str">
        <x:v>tract internal point; no person, address, building, parcel, or route condition</x:v>
      </x:c>
    </x:row>
    <x:row r="864" ht="86.4000015258789" hidden="0" customHeight="1">
      <x:c r="A864" s="34" t="str">
        <x:v>48201532503</x:v>
      </x:c>
      <x:c r="B864" s="62" t="n">
        <x:v>5605</x:v>
      </x:c>
      <x:c r="C864" s="62" t="n">
        <x:v>615</x:v>
      </x:c>
      <x:c r="D864" s="62" t="n">
        <x:v>0</x:v>
      </x:c>
      <x:c r="E864" s="43" t="n">
        <x:v>0.10972346119536129</x:v>
      </x:c>
      <x:c r="F864" s="43" t="n">
        <x:v>0</x:v>
      </x:c>
      <x:c r="G864" s="65" t="n">
        <x:v>1614</x:v>
      </x:c>
      <x:c r="H864" s="65" t="n">
        <x:v>0</x:v>
      </x:c>
      <x:c r="I864" s="65" t="n">
        <x:v>0</x:v>
      </x:c>
      <x:c r="J864" s="34" t="str">
        <x:v>low</x:v>
      </x:c>
      <x:c r="K864" s="71" t="n">
        <x:v>29.8914228</x:v>
      </x:c>
      <x:c r="L864" s="71" t="n">
        <x:v>-95.5153015</x:v>
      </x:c>
      <x:c r="M864" s="71" t="n">
        <x:v>0.818</x:v>
      </x:c>
      <x:c r="N864" s="71" t="n">
        <x:v>0.05653184935132778</x:v>
      </x:c>
      <x:c r="O864" s="71" t="n">
        <x:v>26.500447649067716</x:v>
      </x:c>
      <x:c r="P864" s="71" t="n">
        <x:v>5</x:v>
      </x:c>
      <x:c r="Q864" s="71" t="n">
        <x:v>450.1935328973579</x:v>
      </x:c>
      <x:c r="R864" s="34" t="str">
        <x:v>tract internal point; no person, address, building, parcel, or route condition</x:v>
      </x:c>
    </x:row>
    <x:row r="865" ht="86.4000015258789" hidden="0" customHeight="1">
      <x:c r="A865" s="36" t="str">
        <x:v>48201532504</x:v>
      </x:c>
      <x:c r="B865" s="63" t="n">
        <x:v>4644</x:v>
      </x:c>
      <x:c r="C865" s="63" t="n">
        <x:v>510</x:v>
      </x:c>
      <x:c r="D865" s="63" t="n">
        <x:v>423</x:v>
      </x:c>
      <x:c r="E865" s="45" t="n">
        <x:v>0.10981912144702842</x:v>
      </x:c>
      <x:c r="F865" s="45" t="n">
        <x:v>0.09108527131782945</x:v>
      </x:c>
      <x:c r="G865" s="66" t="n">
        <x:v>1302</x:v>
      </x:c>
      <x:c r="H865" s="66" t="n">
        <x:v>0</x:v>
      </x:c>
      <x:c r="I865" s="66" t="n">
        <x:v>0</x:v>
      </x:c>
      <x:c r="J865" s="36" t="str">
        <x:v>low</x:v>
      </x:c>
      <x:c r="K865" s="72" t="n">
        <x:v>29.8940267</x:v>
      </x:c>
      <x:c r="L865" s="72" t="n">
        <x:v>-95.5084176</x:v>
      </x:c>
      <x:c r="M865" s="72" t="n">
        <x:v>1.038</x:v>
      </x:c>
      <x:c r="N865" s="72" t="n">
        <x:v>0.03739146120998532</x:v>
      </x:c>
      <x:c r="O865" s="72" t="n">
        <x:v>31.01370285938323</x:v>
      </x:c>
      <x:c r="P865" s="72" t="n">
        <x:v>5</x:v>
      </x:c>
      <x:c r="Q865" s="72" t="n">
        <x:v>376.3375861683692</x:v>
      </x:c>
      <x:c r="R865" s="36" t="str">
        <x:v>tract internal point; no person, address, building, parcel, or route condition</x:v>
      </x:c>
    </x:row>
    <x:row r="866" ht="86.4000015258789" hidden="0" customHeight="1">
      <x:c r="A866" s="34" t="str">
        <x:v>48201532600</x:v>
      </x:c>
      <x:c r="B866" s="62" t="n">
        <x:v>6375</x:v>
      </x:c>
      <x:c r="C866" s="62" t="n">
        <x:v>994</x:v>
      </x:c>
      <x:c r="D866" s="62" t="n">
        <x:v>62</x:v>
      </x:c>
      <x:c r="E866" s="43" t="n">
        <x:v>0.155921568627451</x:v>
      </x:c>
      <x:c r="F866" s="43" t="n">
        <x:v>0.009725490196078431</x:v>
      </x:c>
      <x:c r="G866" s="65" t="n">
        <x:v>2244</x:v>
      </x:c>
      <x:c r="H866" s="65" t="n">
        <x:v>457</x:v>
      </x:c>
      <x:c r="I866" s="65" t="n">
        <x:v>0.20365418894830659</x:v>
      </x:c>
      <x:c r="J866" s="34" t="str">
        <x:v>low</x:v>
      </x:c>
      <x:c r="K866" s="71" t="n">
        <x:v>29.8916191</x:v>
      </x:c>
      <x:c r="L866" s="71" t="n">
        <x:v>-95.4892092</x:v>
      </x:c>
      <x:c r="M866" s="71" t="n">
        <x:v>1.033</x:v>
      </x:c>
      <x:c r="N866" s="71" t="n">
        <x:v>0.14557928980857845</x:v>
      </x:c>
      <x:c r="O866" s="71" t="n">
        <x:v>29.630045467461244</x:v>
      </x:c>
      <x:c r="P866" s="71" t="n">
        <x:v>5</x:v>
      </x:c>
      <x:c r="Q866" s="71" t="n">
        <x:v>517.1566771062525</x:v>
      </x:c>
      <x:c r="R866" s="34" t="str">
        <x:v>tract internal point; no person, address, building, parcel, or route condition</x:v>
      </x:c>
    </x:row>
    <x:row r="867" ht="86.4000015258789" hidden="0" customHeight="1">
      <x:c r="A867" s="36" t="str">
        <x:v>48201532700</x:v>
      </x:c>
      <x:c r="B867" s="63" t="n">
        <x:v>5389</x:v>
      </x:c>
      <x:c r="C867" s="63" t="n">
        <x:v>1115</x:v>
      </x:c>
      <x:c r="D867" s="63" t="n">
        <x:v>661</x:v>
      </x:c>
      <x:c r="E867" s="45" t="n">
        <x:v>0.2069029504546298</x:v>
      </x:c>
      <x:c r="F867" s="45" t="n">
        <x:v>0.12265726479866394</x:v>
      </x:c>
      <x:c r="G867" s="66" t="n">
        <x:v>1909</x:v>
      </x:c>
      <x:c r="H867" s="66" t="n">
        <x:v>183</x:v>
      </x:c>
      <x:c r="I867" s="66" t="n">
        <x:v>0.09586170770036669</x:v>
      </x:c>
      <x:c r="J867" s="36" t="str">
        <x:v>low</x:v>
      </x:c>
      <x:c r="K867" s="72" t="n">
        <x:v>29.8765275</x:v>
      </x:c>
      <x:c r="L867" s="72" t="n">
        <x:v>-95.4814196</x:v>
      </x:c>
      <x:c r="M867" s="72" t="n">
        <x:v>1.016</x:v>
      </x:c>
      <x:c r="N867" s="72" t="n">
        <x:v>0.08884292040270338</x:v>
      </x:c>
      <x:c r="O867" s="72" t="n">
        <x:v>29.147387122075607</x:v>
      </x:c>
      <x:c r="P867" s="72" t="n">
        <x:v>5</x:v>
      </x:c>
      <x:c r="Q867" s="72" t="n">
        <x:v>446.271630437236</x:v>
      </x:c>
      <x:c r="R867" s="36" t="str">
        <x:v>tract internal point; no person, address, building, parcel, or route condition</x:v>
      </x:c>
    </x:row>
    <x:row r="868" ht="86.4000015258789" hidden="0" customHeight="1">
      <x:c r="A868" s="34" t="str">
        <x:v>48201532800</x:v>
      </x:c>
      <x:c r="B868" s="62" t="n">
        <x:v>2314</x:v>
      </x:c>
      <x:c r="C868" s="62" t="n">
        <x:v>251</x:v>
      </x:c>
      <x:c r="D868" s="62" t="n">
        <x:v>117</x:v>
      </x:c>
      <x:c r="E868" s="43" t="n">
        <x:v>0.10847018150388937</x:v>
      </x:c>
      <x:c r="F868" s="43" t="n">
        <x:v>0.05056179775280899</x:v>
      </x:c>
      <x:c r="G868" s="65" t="n">
        <x:v>683</x:v>
      </x:c>
      <x:c r="H868" s="65" t="n">
        <x:v>45</x:v>
      </x:c>
      <x:c r="I868" s="65" t="n">
        <x:v>0.06588579795021962</x:v>
      </x:c>
      <x:c r="J868" s="34" t="str">
        <x:v>moderate</x:v>
      </x:c>
      <x:c r="K868" s="71" t="n">
        <x:v>29.8714664</x:v>
      </x:c>
      <x:c r="L868" s="71" t="n">
        <x:v>-95.4714738</x:v>
      </x:c>
      <x:c r="M868" s="71" t="n">
        <x:v>0.513</x:v>
      </x:c>
      <x:c r="N868" s="71" t="n">
        <x:v>0.03764368447698212</x:v>
      </x:c>
      <x:c r="O868" s="71" t="n">
        <x:v>29.259869727091733</x:v>
      </x:c>
      <x:c r="P868" s="71" t="n">
        <x:v>5</x:v>
      </x:c>
      <x:c r="Q868" s="71" t="n">
        <x:v>330.37629915998525</x:v>
      </x:c>
      <x:c r="R868" s="34" t="str">
        <x:v>tract internal point; no person, address, building, parcel, or route condition</x:v>
      </x:c>
    </x:row>
    <x:row r="869" ht="86.4000015258789" hidden="0" customHeight="1">
      <x:c r="A869" s="36" t="str">
        <x:v>48201532900</x:v>
      </x:c>
      <x:c r="B869" s="63" t="n">
        <x:v>5094</x:v>
      </x:c>
      <x:c r="C869" s="63" t="n">
        <x:v>969</x:v>
      </x:c>
      <x:c r="D869" s="63" t="n">
        <x:v>253.5</x:v>
      </x:c>
      <x:c r="E869" s="45" t="n">
        <x:v>0.19022379269729092</x:v>
      </x:c>
      <x:c r="F869" s="45" t="n">
        <x:v>0.04976442873969376</x:v>
      </x:c>
      <x:c r="G869" s="66" t="n">
        <x:v>1680</x:v>
      </x:c>
      <x:c r="H869" s="66" t="n">
        <x:v>96</x:v>
      </x:c>
      <x:c r="I869" s="66" t="n">
        <x:v>0.05714285714285714</x:v>
      </x:c>
      <x:c r="J869" s="36" t="str">
        <x:v>low</x:v>
      </x:c>
      <x:c r="K869" s="72" t="n">
        <x:v>29.892596</x:v>
      </x:c>
      <x:c r="L869" s="72" t="n">
        <x:v>-95.4731807</x:v>
      </x:c>
      <x:c r="M869" s="72" t="n">
        <x:v>0.659</x:v>
      </x:c>
      <x:c r="N869" s="72" t="n">
        <x:v>0.010444386550669468</x:v>
      </x:c>
      <x:c r="O869" s="72" t="n">
        <x:v>28.8937240748071</x:v>
      </x:c>
      <x:c r="P869" s="72" t="n">
        <x:v>1</x:v>
      </x:c>
      <x:c r="Q869" s="72" t="n">
        <x:v>417.58829771536256</x:v>
      </x:c>
      <x:c r="R869" s="36" t="str">
        <x:v>tract internal point; no person, address, building, parcel, or route condition</x:v>
      </x:c>
    </x:row>
    <x:row r="870" ht="86.4000015258789" hidden="0" customHeight="1">
      <x:c r="A870" s="34" t="str">
        <x:v>48201533000</x:v>
      </x:c>
      <x:c r="B870" s="62" t="n">
        <x:v>2525</x:v>
      </x:c>
      <x:c r="C870" s="62" t="n">
        <x:v>488</x:v>
      </x:c>
      <x:c r="D870" s="62" t="n">
        <x:v>319</x:v>
      </x:c>
      <x:c r="E870" s="43" t="n">
        <x:v>0.19326732673267327</x:v>
      </x:c>
      <x:c r="F870" s="43" t="n">
        <x:v>0.12633663366336634</x:v>
      </x:c>
      <x:c r="G870" s="65" t="n">
        <x:v>1161</x:v>
      </x:c>
      <x:c r="H870" s="65" t="n">
        <x:v>229</x:v>
      </x:c>
      <x:c r="I870" s="65" t="n">
        <x:v>0.19724375538329025</x:v>
      </x:c>
      <x:c r="J870" s="34" t="str">
        <x:v>low</x:v>
      </x:c>
      <x:c r="K870" s="71" t="n">
        <x:v>29.8895099</x:v>
      </x:c>
      <x:c r="L870" s="71" t="n">
        <x:v>-95.4617414</x:v>
      </x:c>
      <x:c r="M870" s="71" t="n">
        <x:v>0.684</x:v>
      </x:c>
      <x:c r="N870" s="71" t="n">
        <x:v>0.22313833994813087</x:v>
      </x:c>
      <x:c r="O870" s="71" t="n">
        <x:v>29.64928676451919</x:v>
      </x:c>
      <x:c r="P870" s="71" t="n">
        <x:v>1</x:v>
      </x:c>
      <x:c r="Q870" s="71" t="n">
        <x:v>208.6310637353416</x:v>
      </x:c>
      <x:c r="R870" s="34" t="str">
        <x:v>tract internal point; no person, address, building, parcel, or route condition</x:v>
      </x:c>
    </x:row>
    <x:row r="871" ht="86.4000015258789" hidden="0" customHeight="1">
      <x:c r="A871" s="36" t="str">
        <x:v>48201533100</x:v>
      </x:c>
      <x:c r="B871" s="63" t="n">
        <x:v>8754</x:v>
      </x:c>
      <x:c r="C871" s="63" t="n">
        <x:v>1149</x:v>
      </x:c>
      <x:c r="D871" s="63" t="n">
        <x:v>848.5</x:v>
      </x:c>
      <x:c r="E871" s="45" t="n">
        <x:v>0.13125428375599726</x:v>
      </x:c>
      <x:c r="F871" s="45" t="n">
        <x:v>0.09692711903129998</x:v>
      </x:c>
      <x:c r="G871" s="66" t="n">
        <x:v>2392</x:v>
      </x:c>
      <x:c r="H871" s="66" t="n">
        <x:v>178</x:v>
      </x:c>
      <x:c r="I871" s="66" t="n">
        <x:v>0.07441471571906355</x:v>
      </x:c>
      <x:c r="J871" s="36" t="str">
        <x:v>low</x:v>
      </x:c>
      <x:c r="K871" s="72" t="n">
        <x:v>29.8764494</x:v>
      </x:c>
      <x:c r="L871" s="72" t="n">
        <x:v>-95.4563662</x:v>
      </x:c>
      <x:c r="M871" s="72" t="n">
        <x:v>1.345</x:v>
      </x:c>
      <x:c r="N871" s="72" t="n">
        <x:v>0.04988951546420132</x:v>
      </x:c>
      <x:c r="O871" s="72" t="n">
        <x:v>31.053172147273607</x:v>
      </x:c>
      <x:c r="P871" s="72" t="n">
        <x:v>5</x:v>
      </x:c>
      <x:c r="Q871" s="72" t="n">
        <x:v>712.7527203403674</x:v>
      </x:c>
      <x:c r="R871" s="36" t="str">
        <x:v>tract internal point; no person, address, building, parcel, or route condition</x:v>
      </x:c>
    </x:row>
    <x:row r="872" ht="86.4000015258789" hidden="0" customHeight="1">
      <x:c r="A872" s="34" t="str">
        <x:v>48201533200</x:v>
      </x:c>
      <x:c r="B872" s="62" t="n">
        <x:v>3688</x:v>
      </x:c>
      <x:c r="C872" s="62" t="n">
        <x:v>744</x:v>
      </x:c>
      <x:c r="D872" s="62" t="n">
        <x:v>528.5</x:v>
      </x:c>
      <x:c r="E872" s="43" t="n">
        <x:v>0.2017353579175705</x:v>
      </x:c>
      <x:c r="F872" s="43" t="n">
        <x:v>0.14330260303687636</x:v>
      </x:c>
      <x:c r="G872" s="65" t="n">
        <x:v>1629</x:v>
      </x:c>
      <x:c r="H872" s="65" t="n">
        <x:v>242</x:v>
      </x:c>
      <x:c r="I872" s="65" t="n">
        <x:v>0.14855739717618172</x:v>
      </x:c>
      <x:c r="J872" s="34" t="str">
        <x:v>low</x:v>
      </x:c>
      <x:c r="K872" s="71" t="n">
        <x:v>29.8668801</x:v>
      </x:c>
      <x:c r="L872" s="71" t="n">
        <x:v>-95.4495929</x:v>
      </x:c>
      <x:c r="M872" s="71" t="n">
        <x:v>1.034</x:v>
      </x:c>
      <x:c r="N872" s="71" t="n">
        <x:v>0.054502897010526345</x:v>
      </x:c>
      <x:c r="O872" s="71" t="n">
        <x:v>28.394101288270406</x:v>
      </x:c>
      <x:c r="P872" s="71" t="n">
        <x:v>3</x:v>
      </x:c>
      <x:c r="Q872" s="71" t="n">
        <x:v>305.7079740283186</x:v>
      </x:c>
      <x:c r="R872" s="34" t="str">
        <x:v>tract internal point; no person, address, building, parcel, or route condition</x:v>
      </x:c>
    </x:row>
    <x:row r="873" ht="86.4000015258789" hidden="0" customHeight="1">
      <x:c r="A873" s="36" t="str">
        <x:v>48201533301</x:v>
      </x:c>
      <x:c r="B873" s="63" t="n">
        <x:v>3144</x:v>
      </x:c>
      <x:c r="C873" s="63" t="n">
        <x:v>587</x:v>
      </x:c>
      <x:c r="D873" s="63" t="n">
        <x:v>274</x:v>
      </x:c>
      <x:c r="E873" s="45" t="n">
        <x:v>0.18670483460559797</x:v>
      </x:c>
      <x:c r="F873" s="45" t="n">
        <x:v>0.0871501272264631</x:v>
      </x:c>
      <x:c r="G873" s="66" t="n">
        <x:v>1168</x:v>
      </x:c>
      <x:c r="H873" s="66" t="n">
        <x:v>203</x:v>
      </x:c>
      <x:c r="I873" s="66" t="n">
        <x:v>0.1738013698630137</x:v>
      </x:c>
      <x:c r="J873" s="36" t="str">
        <x:v>low</x:v>
      </x:c>
      <x:c r="K873" s="72" t="n">
        <x:v>29.8722441</x:v>
      </x:c>
      <x:c r="L873" s="72" t="n">
        <x:v>-95.418276</x:v>
      </x:c>
      <x:c r="M873" s="72" t="n">
        <x:v>0.734</x:v>
      </x:c>
      <x:c r="N873" s="72" t="n">
        <x:v>0.03895764731293121</x:v>
      </x:c>
      <x:c r="O873" s="72" t="n">
        <x:v>23.91142370078076</x:v>
      </x:c>
      <x:c r="P873" s="72" t="n">
        <x:v>3</x:v>
      </x:c>
      <x:c r="Q873" s="72" t="n">
        <x:v>258.4840242655081</x:v>
      </x:c>
      <x:c r="R873" s="36" t="str">
        <x:v>tract internal point; no person, address, building, parcel, or route condition</x:v>
      </x:c>
    </x:row>
    <x:row r="874" ht="86.4000015258789" hidden="0" customHeight="1">
      <x:c r="A874" s="34" t="str">
        <x:v>48201533302</x:v>
      </x:c>
      <x:c r="B874" s="62" t="n">
        <x:v>3938</x:v>
      </x:c>
      <x:c r="C874" s="62" t="n">
        <x:v>608</x:v>
      </x:c>
      <x:c r="D874" s="62" t="n">
        <x:v>157</x:v>
      </x:c>
      <x:c r="E874" s="43" t="n">
        <x:v>0.15439309294057899</x:v>
      </x:c>
      <x:c r="F874" s="43" t="n">
        <x:v>0.039867953275774505</x:v>
      </x:c>
      <x:c r="G874" s="65" t="n">
        <x:v>1410</x:v>
      </x:c>
      <x:c r="H874" s="65" t="n">
        <x:v>136</x:v>
      </x:c>
      <x:c r="I874" s="65" t="n">
        <x:v>0.09645390070921986</x:v>
      </x:c>
      <x:c r="J874" s="34" t="str">
        <x:v>low</x:v>
      </x:c>
      <x:c r="K874" s="71" t="n">
        <x:v>29.8793086</x:v>
      </x:c>
      <x:c r="L874" s="71" t="n">
        <x:v>-95.4249141</x:v>
      </x:c>
      <x:c r="M874" s="71" t="n">
        <x:v>0.632</x:v>
      </x:c>
      <x:c r="N874" s="71" t="n">
        <x:v>0.019940863659539922</x:v>
      </x:c>
      <x:c r="O874" s="71" t="n">
        <x:v>25.465270952368886</x:v>
      </x:c>
      <x:c r="P874" s="71" t="n">
        <x:v>3</x:v>
      </x:c>
      <x:c r="Q874" s="71" t="n">
        <x:v>320.2991802752449</x:v>
      </x:c>
      <x:c r="R874" s="34" t="str">
        <x:v>tract internal point; no person, address, building, parcel, or route condition</x:v>
      </x:c>
    </x:row>
    <x:row r="875" ht="86.4000015258789" hidden="0" customHeight="1">
      <x:c r="A875" s="36" t="str">
        <x:v>48201533401</x:v>
      </x:c>
      <x:c r="B875" s="63" t="n">
        <x:v>4205</x:v>
      </x:c>
      <x:c r="C875" s="63" t="n">
        <x:v>596</x:v>
      </x:c>
      <x:c r="D875" s="63" t="n">
        <x:v>463.5</x:v>
      </x:c>
      <x:c r="E875" s="45" t="n">
        <x:v>0.1417360285374554</x:v>
      </x:c>
      <x:c r="F875" s="45" t="n">
        <x:v>0.11022592152199762</x:v>
      </x:c>
      <x:c r="G875" s="66" t="n">
        <x:v>1436</x:v>
      </x:c>
      <x:c r="H875" s="66" t="n">
        <x:v>39</x:v>
      </x:c>
      <x:c r="I875" s="66" t="n">
        <x:v>0.027158774373259052</x:v>
      </x:c>
      <x:c r="J875" s="36" t="str">
        <x:v>low</x:v>
      </x:c>
      <x:c r="K875" s="72" t="n">
        <x:v>29.8915091</x:v>
      </x:c>
      <x:c r="L875" s="72" t="n">
        <x:v>-95.433663</x:v>
      </x:c>
      <x:c r="M875" s="72" t="n">
        <x:v>0.792</x:v>
      </x:c>
      <x:c r="N875" s="72" t="n">
        <x:v>0.0432391856281512</x:v>
      </x:c>
      <x:c r="O875" s="72" t="n">
        <x:v>25.084925404688583</x:v>
      </x:c>
      <x:c r="P875" s="72" t="n">
        <x:v>1</x:v>
      </x:c>
      <x:c r="Q875" s="72" t="n">
        <x:v>343.50442479129674</x:v>
      </x:c>
      <x:c r="R875" s="36" t="str">
        <x:v>tract internal point; no person, address, building, parcel, or route condition</x:v>
      </x:c>
    </x:row>
    <x:row r="876" ht="86.4000015258789" hidden="0" customHeight="1">
      <x:c r="A876" s="34" t="str">
        <x:v>48201533402</x:v>
      </x:c>
      <x:c r="B876" s="62" t="n">
        <x:v>6418</x:v>
      </x:c>
      <x:c r="C876" s="62" t="n">
        <x:v>796</x:v>
      </x:c>
      <x:c r="D876" s="62" t="n">
        <x:v>505</x:v>
      </x:c>
      <x:c r="E876" s="43" t="n">
        <x:v>0.12402617637893425</x:v>
      </x:c>
      <x:c r="F876" s="43" t="n">
        <x:v>0.07868494858211281</x:v>
      </x:c>
      <x:c r="G876" s="65" t="n">
        <x:v>2044</x:v>
      </x:c>
      <x:c r="H876" s="65" t="n">
        <x:v>0</x:v>
      </x:c>
      <x:c r="I876" s="65" t="n">
        <x:v>0</x:v>
      </x:c>
      <x:c r="J876" s="34" t="str">
        <x:v>low</x:v>
      </x:c>
      <x:c r="K876" s="71" t="n">
        <x:v>29.8848401</x:v>
      </x:c>
      <x:c r="L876" s="71" t="n">
        <x:v>-95.4453403</x:v>
      </x:c>
      <x:c r="M876" s="71" t="n">
        <x:v>1.812</x:v>
      </x:c>
      <x:c r="N876" s="71" t="n">
        <x:v>0.07937470702702752</x:v>
      </x:c>
      <x:c r="O876" s="71" t="n">
        <x:v>28.683895142176752</x:v>
      </x:c>
      <x:c r="P876" s="71" t="n">
        <x:v>3</x:v>
      </x:c>
      <x:c r="Q876" s="71" t="n">
        <x:v>520.9056700390745</x:v>
      </x:c>
      <x:c r="R876" s="34" t="str">
        <x:v>tract internal point; no person, address, building, parcel, or route condition</x:v>
      </x:c>
    </x:row>
    <x:row r="877" ht="86.4000015258789" hidden="0" customHeight="1">
      <x:c r="A877" s="36" t="str">
        <x:v>48201533500</x:v>
      </x:c>
      <x:c r="B877" s="63" t="n">
        <x:v>4225</x:v>
      </x:c>
      <x:c r="C877" s="63" t="n">
        <x:v>315</x:v>
      </x:c>
      <x:c r="D877" s="63" t="n">
        <x:v>36</x:v>
      </x:c>
      <x:c r="E877" s="45" t="n">
        <x:v>0.07455621301775148</x:v>
      </x:c>
      <x:c r="F877" s="45" t="n">
        <x:v>0.008520710059171597</x:v>
      </x:c>
      <x:c r="G877" s="66" t="n">
        <x:v>1264</x:v>
      </x:c>
      <x:c r="H877" s="66" t="n">
        <x:v>0</x:v>
      </x:c>
      <x:c r="I877" s="66" t="n">
        <x:v>0</x:v>
      </x:c>
      <x:c r="J877" s="36" t="str">
        <x:v>low</x:v>
      </x:c>
      <x:c r="K877" s="72" t="n">
        <x:v>29.8923877</x:v>
      </x:c>
      <x:c r="L877" s="72" t="n">
        <x:v>-95.4196267</x:v>
      </x:c>
      <x:c r="M877" s="72" t="n">
        <x:v>1.032</x:v>
      </x:c>
      <x:c r="N877" s="72" t="n">
        <x:v>0.031997344220368464</x:v>
      </x:c>
      <x:c r="O877" s="72" t="n">
        <x:v>23.897194113817722</x:v>
      </x:c>
      <x:c r="P877" s="72" t="n">
        <x:v>1</x:v>
      </x:c>
      <x:c r="Q877" s="72" t="n">
        <x:v>337.2993306184185</x:v>
      </x:c>
      <x:c r="R877" s="36" t="str">
        <x:v>tract internal point; no person, address, building, parcel, or route condition</x:v>
      </x:c>
    </x:row>
    <x:row r="878" ht="86.4000015258789" hidden="0" customHeight="1">
      <x:c r="A878" s="34" t="str">
        <x:v>48201533600</x:v>
      </x:c>
      <x:c r="B878" s="62" t="n">
        <x:v>5377</x:v>
      </x:c>
      <x:c r="C878" s="62" t="n">
        <x:v>773</x:v>
      </x:c>
      <x:c r="D878" s="62" t="n">
        <x:v>242</x:v>
      </x:c>
      <x:c r="E878" s="43" t="n">
        <x:v>0.1437604612237307</x:v>
      </x:c>
      <x:c r="F878" s="43" t="n">
        <x:v>0.045006509205876885</x:v>
      </x:c>
      <x:c r="G878" s="65" t="n">
        <x:v>1750</x:v>
      </x:c>
      <x:c r="H878" s="65" t="n">
        <x:v>122</x:v>
      </x:c>
      <x:c r="I878" s="65" t="n">
        <x:v>0.06971428571428571</x:v>
      </x:c>
      <x:c r="J878" s="34" t="str">
        <x:v>low</x:v>
      </x:c>
      <x:c r="K878" s="71" t="n">
        <x:v>29.9058273</x:v>
      </x:c>
      <x:c r="L878" s="71" t="n">
        <x:v>-95.425916</x:v>
      </x:c>
      <x:c r="M878" s="71" t="n">
        <x:v>1.357</x:v>
      </x:c>
      <x:c r="N878" s="71" t="n">
        <x:v>0.04847671036941959</x:v>
      </x:c>
      <x:c r="O878" s="71" t="n">
        <x:v>25.017600803544248</x:v>
      </x:c>
      <x:c r="P878" s="71" t="n">
        <x:v>1</x:v>
      </x:c>
      <x:c r="Q878" s="71" t="n">
        <x:v>436.6594326241517</x:v>
      </x:c>
      <x:c r="R878" s="34" t="str">
        <x:v>tract internal point; no person, address, building, parcel, or route condition</x:v>
      </x:c>
    </x:row>
    <x:row r="879" ht="86.4000015258789" hidden="0" customHeight="1">
      <x:c r="A879" s="36" t="str">
        <x:v>48201533701</x:v>
      </x:c>
      <x:c r="B879" s="63" t="n">
        <x:v>7269</x:v>
      </x:c>
      <x:c r="C879" s="63" t="n">
        <x:v>422</x:v>
      </x:c>
      <x:c r="D879" s="63" t="n">
        <x:v>174</x:v>
      </x:c>
      <x:c r="E879" s="45" t="n">
        <x:v>0.05805475306094374</x:v>
      </x:c>
      <x:c r="F879" s="45" t="n">
        <x:v>0.023937267849773007</x:v>
      </x:c>
      <x:c r="G879" s="66" t="n">
        <x:v>2153</x:v>
      </x:c>
      <x:c r="H879" s="66" t="n">
        <x:v>434</x:v>
      </x:c>
      <x:c r="I879" s="66" t="n">
        <x:v>0.20157919182535997</x:v>
      </x:c>
      <x:c r="J879" s="36" t="str">
        <x:v>low</x:v>
      </x:c>
      <x:c r="K879" s="72" t="n">
        <x:v>29.9283098</x:v>
      </x:c>
      <x:c r="L879" s="72" t="n">
        <x:v>-95.4284337</x:v>
      </x:c>
      <x:c r="M879" s="72" t="n">
        <x:v>3.392</x:v>
      </x:c>
      <x:c r="N879" s="72" t="n">
        <x:v>0.7973573570689267</x:v>
      </x:c>
      <x:c r="O879" s="72" t="n">
        <x:v>22.883194574518868</x:v>
      </x:c>
      <x:c r="P879" s="72" t="n">
        <x:v>1</x:v>
      </x:c>
      <x:c r="Q879" s="72" t="n">
        <x:v>579.3097926466212</x:v>
      </x:c>
      <x:c r="R879" s="36" t="str">
        <x:v>tract internal point; no person, address, building, parcel, or route condition</x:v>
      </x:c>
    </x:row>
    <x:row r="880" ht="86.4000015258789" hidden="0" customHeight="1">
      <x:c r="A880" s="34" t="str">
        <x:v>48201533702</x:v>
      </x:c>
      <x:c r="B880" s="62" t="n">
        <x:v>3233</x:v>
      </x:c>
      <x:c r="C880" s="62" t="n">
        <x:v>459</x:v>
      </x:c>
      <x:c r="D880" s="62" t="n">
        <x:v>56</x:v>
      </x:c>
      <x:c r="E880" s="43" t="n">
        <x:v>0.14197339931951747</x:v>
      </x:c>
      <x:c r="F880" s="43" t="n">
        <x:v>0.01732137333745747</x:v>
      </x:c>
      <x:c r="G880" s="65" t="n">
        <x:v>876</x:v>
      </x:c>
      <x:c r="H880" s="65" t="n">
        <x:v>0</x:v>
      </x:c>
      <x:c r="I880" s="65" t="n">
        <x:v>0</x:v>
      </x:c>
      <x:c r="J880" s="34" t="str">
        <x:v>low</x:v>
      </x:c>
      <x:c r="K880" s="71" t="n">
        <x:v>29.9187464</x:v>
      </x:c>
      <x:c r="L880" s="71" t="n">
        <x:v>-95.4384415</x:v>
      </x:c>
      <x:c r="M880" s="71" t="n">
        <x:v>0.379</x:v>
      </x:c>
      <x:c r="N880" s="71" t="n">
        <x:v>0.028255382479656303</x:v>
      </x:c>
      <x:c r="O880" s="71" t="n">
        <x:v>25.281347890911324</x:v>
      </x:c>
      <x:c r="P880" s="71" t="n">
        <x:v>1</x:v>
      </x:c>
      <x:c r="Q880" s="71" t="n">
        <x:v>261.75358623627113</x:v>
      </x:c>
      <x:c r="R880" s="34" t="str">
        <x:v>tract internal point; no person, address, building, parcel, or route condition</x:v>
      </x:c>
    </x:row>
    <x:row r="881" ht="86.4000015258789" hidden="0" customHeight="1">
      <x:c r="A881" s="36" t="str">
        <x:v>48201533802</x:v>
      </x:c>
      <x:c r="B881" s="63" t="n">
        <x:v>6909</x:v>
      </x:c>
      <x:c r="C881" s="63" t="n">
        <x:v>731</x:v>
      </x:c>
      <x:c r="D881" s="63" t="n">
        <x:v>252</x:v>
      </x:c>
      <x:c r="E881" s="45" t="n">
        <x:v>0.10580402373715443</x:v>
      </x:c>
      <x:c r="F881" s="45" t="n">
        <x:v>0.0364741641337386</x:v>
      </x:c>
      <x:c r="G881" s="66" t="n">
        <x:v>1885</x:v>
      </x:c>
      <x:c r="H881" s="66" t="n">
        <x:v>0</x:v>
      </x:c>
      <x:c r="I881" s="66" t="n">
        <x:v>0</x:v>
      </x:c>
      <x:c r="J881" s="36" t="str">
        <x:v>moderate</x:v>
      </x:c>
      <x:c r="K881" s="72" t="n">
        <x:v>29.9260518</x:v>
      </x:c>
      <x:c r="L881" s="72" t="n">
        <x:v>-95.467689</x:v>
      </x:c>
      <x:c r="M881" s="72" t="n">
        <x:v>2.141</x:v>
      </x:c>
      <x:c r="N881" s="72" t="n">
        <x:v>0.1323808059882356</x:v>
      </x:c>
      <x:c r="O881" s="72" t="n">
        <x:v>26.064689776290393</x:v>
      </x:c>
      <x:c r="P881" s="72" t="n">
        <x:v>1</x:v>
      </x:c>
      <x:c r="Q881" s="72" t="n">
        <x:v>984.551685076123</x:v>
      </x:c>
      <x:c r="R881" s="36" t="str">
        <x:v>tract internal point; no person, address, building, parcel, or route condition</x:v>
      </x:c>
    </x:row>
    <x:row r="882" ht="86.4000015258789" hidden="0" customHeight="1">
      <x:c r="A882" s="34" t="str">
        <x:v>48201533803</x:v>
      </x:c>
      <x:c r="B882" s="62" t="n">
        <x:v>7014</x:v>
      </x:c>
      <x:c r="C882" s="62" t="n">
        <x:v>328</x:v>
      </x:c>
      <x:c r="D882" s="62" t="n">
        <x:v>88</x:v>
      </x:c>
      <x:c r="E882" s="43" t="n">
        <x:v>0.046763615625891077</x:v>
      </x:c>
      <x:c r="F882" s="43" t="n">
        <x:v>0.012546335899629312</x:v>
      </x:c>
      <x:c r="G882" s="65" t="n">
        <x:v>1962</x:v>
      </x:c>
      <x:c r="H882" s="65" t="n">
        <x:v>0</x:v>
      </x:c>
      <x:c r="I882" s="65" t="n">
        <x:v>0</x:v>
      </x:c>
      <x:c r="J882" s="34" t="str">
        <x:v>high</x:v>
      </x:c>
      <x:c r="K882" s="71" t="n">
        <x:v>29.9087981</x:v>
      </x:c>
      <x:c r="L882" s="71" t="n">
        <x:v>-95.4517886</x:v>
      </x:c>
      <x:c r="M882" s="71" t="n">
        <x:v>1.332</x:v>
      </x:c>
      <x:c r="N882" s="71" t="n">
        <x:v>0.0979904241740216</x:v>
      </x:c>
      <x:c r="O882" s="71" t="n">
        <x:v>27.393807169108833</x:v>
      </x:c>
      <x:c r="P882" s="71" t="n">
        <x:v>1</x:v>
      </x:c>
      <x:c r="Q882" s="71" t="n">
        <x:v>1199.9389165302655</x:v>
      </x:c>
      <x:c r="R882" s="34" t="str">
        <x:v>tract internal point; no person, address, building, parcel, or route condition</x:v>
      </x:c>
    </x:row>
    <x:row r="883" ht="86.4000015258789" hidden="0" customHeight="1">
      <x:c r="A883" s="36" t="str">
        <x:v>48201533804</x:v>
      </x:c>
      <x:c r="B883" s="63" t="n">
        <x:v>6437</x:v>
      </x:c>
      <x:c r="C883" s="63" t="n">
        <x:v>477</x:v>
      </x:c>
      <x:c r="D883" s="63" t="n">
        <x:v>164</x:v>
      </x:c>
      <x:c r="E883" s="45" t="n">
        <x:v>0.07410284293925742</x:v>
      </x:c>
      <x:c r="F883" s="45" t="n">
        <x:v>0.025477707006369428</x:v>
      </x:c>
      <x:c r="G883" s="66" t="n">
        <x:v>1460</x:v>
      </x:c>
      <x:c r="H883" s="66" t="n">
        <x:v>0</x:v>
      </x:c>
      <x:c r="I883" s="66" t="n">
        <x:v>0</x:v>
      </x:c>
      <x:c r="J883" s="36" t="str">
        <x:v>low</x:v>
      </x:c>
      <x:c r="K883" s="72" t="n">
        <x:v>29.9144724</x:v>
      </x:c>
      <x:c r="L883" s="72" t="n">
        <x:v>-95.4612176</x:v>
      </x:c>
      <x:c r="M883" s="72" t="n">
        <x:v>1.94</x:v>
      </x:c>
      <x:c r="N883" s="72" t="n">
        <x:v>0.16808288522204065</x:v>
      </x:c>
      <x:c r="O883" s="72" t="n">
        <x:v>28.218959568246603</x:v>
      </x:c>
      <x:c r="P883" s="72" t="n">
        <x:v>1</x:v>
      </x:c>
      <x:c r="Q883" s="72" t="n">
        <x:v>514.7045056281804</x:v>
      </x:c>
      <x:c r="R883" s="36" t="str">
        <x:v>tract internal point; no person, address, building, parcel, or route condition</x:v>
      </x:c>
    </x:row>
    <x:row r="884" ht="86.4000015258789" hidden="0" customHeight="1">
      <x:c r="A884" s="34" t="str">
        <x:v>48201533902</x:v>
      </x:c>
      <x:c r="B884" s="62" t="n">
        <x:v>5511</x:v>
      </x:c>
      <x:c r="C884" s="62" t="n">
        <x:v>1142</x:v>
      </x:c>
      <x:c r="D884" s="62" t="n">
        <x:v>622</x:v>
      </x:c>
      <x:c r="E884" s="43" t="n">
        <x:v>0.2072219197967701</x:v>
      </x:c>
      <x:c r="F884" s="43" t="n">
        <x:v>0.1128651787334422</x:v>
      </x:c>
      <x:c r="G884" s="65" t="n">
        <x:v>2099</x:v>
      </x:c>
      <x:c r="H884" s="65" t="n">
        <x:v>478</x:v>
      </x:c>
      <x:c r="I884" s="65" t="n">
        <x:v>0.22772748928060982</x:v>
      </x:c>
      <x:c r="J884" s="34" t="str">
        <x:v>low</x:v>
      </x:c>
      <x:c r="K884" s="71" t="n">
        <x:v>29.9303913</x:v>
      </x:c>
      <x:c r="L884" s="71" t="n">
        <x:v>-95.5011574</x:v>
      </x:c>
      <x:c r="M884" s="71" t="n">
        <x:v>0.748</x:v>
      </x:c>
      <x:c r="N884" s="71" t="n">
        <x:v>0.05706456595900273</x:v>
      </x:c>
      <x:c r="O884" s="71" t="n">
        <x:v>25.77144201974221</x:v>
      </x:c>
      <x:c r="P884" s="71" t="n">
        <x:v>5</x:v>
      </x:c>
      <x:c r="Q884" s="71" t="n">
        <x:v>455.9781425379384</x:v>
      </x:c>
      <x:c r="R884" s="34" t="str">
        <x:v>tract internal point; no person, address, building, parcel, or route condition</x:v>
      </x:c>
    </x:row>
    <x:row r="885" ht="86.4000015258789" hidden="0" customHeight="1">
      <x:c r="A885" s="36" t="str">
        <x:v>48201533903</x:v>
      </x:c>
      <x:c r="B885" s="63" t="n">
        <x:v>4135</x:v>
      </x:c>
      <x:c r="C885" s="63" t="n">
        <x:v>215</x:v>
      </x:c>
      <x:c r="D885" s="63" t="n">
        <x:v>277</x:v>
      </x:c>
      <x:c r="E885" s="45" t="n">
        <x:v>0.05199516324062878</x:v>
      </x:c>
      <x:c r="F885" s="45" t="n">
        <x:v>0.06698911729141475</x:v>
      </x:c>
      <x:c r="G885" s="66" t="n">
        <x:v>1183</x:v>
      </x:c>
      <x:c r="H885" s="66" t="n">
        <x:v>0</x:v>
      </x:c>
      <x:c r="I885" s="66" t="n">
        <x:v>0</x:v>
      </x:c>
      <x:c r="J885" s="36" t="str">
        <x:v>low</x:v>
      </x:c>
      <x:c r="K885" s="72" t="n">
        <x:v>29.9218656</x:v>
      </x:c>
      <x:c r="L885" s="72" t="n">
        <x:v>-95.4861431</x:v>
      </x:c>
      <x:c r="M885" s="72" t="n">
        <x:v>0.645</x:v>
      </x:c>
      <x:c r="N885" s="72" t="n">
        <x:v>0.023416871013109488</x:v>
      </x:c>
      <x:c r="O885" s="72" t="n">
        <x:v>26.631032687857246</x:v>
      </x:c>
      <x:c r="P885" s="72" t="n">
        <x:v>1</x:v>
      </x:c>
      <x:c r="Q885" s="72" t="n">
        <x:v>330.54799952975173</x:v>
      </x:c>
      <x:c r="R885" s="36" t="str">
        <x:v>tract internal point; no person, address, building, parcel, or route condition</x:v>
      </x:c>
    </x:row>
    <x:row r="886" ht="86.4000015258789" hidden="0" customHeight="1">
      <x:c r="A886" s="34" t="str">
        <x:v>48201533904</x:v>
      </x:c>
      <x:c r="B886" s="62" t="n">
        <x:v>4323</x:v>
      </x:c>
      <x:c r="C886" s="62" t="n">
        <x:v>771</x:v>
      </x:c>
      <x:c r="D886" s="62" t="n">
        <x:v>269</x:v>
      </x:c>
      <x:c r="E886" s="43" t="n">
        <x:v>0.17834836918806385</x:v>
      </x:c>
      <x:c r="F886" s="43" t="n">
        <x:v>0.06222530650011566</x:v>
      </x:c>
      <x:c r="G886" s="65" t="n">
        <x:v>1685</x:v>
      </x:c>
      <x:c r="H886" s="65" t="n">
        <x:v>93</x:v>
      </x:c>
      <x:c r="I886" s="65" t="n">
        <x:v>0.05519287833827893</x:v>
      </x:c>
      <x:c r="J886" s="34" t="str">
        <x:v>low</x:v>
      </x:c>
      <x:c r="K886" s="71" t="n">
        <x:v>29.9333063</x:v>
      </x:c>
      <x:c r="L886" s="71" t="n">
        <x:v>-95.4897763</x:v>
      </x:c>
      <x:c r="M886" s="71" t="n">
        <x:v>0.473</x:v>
      </x:c>
      <x:c r="N886" s="71" t="n">
        <x:v>0.03738955427050586</x:v>
      </x:c>
      <x:c r="O886" s="71" t="n">
        <x:v>25.1229702889447</x:v>
      </x:c>
      <x:c r="P886" s="71" t="n">
        <x:v>1</x:v>
      </x:c>
      <x:c r="Q886" s="71" t="n">
        <x:v>354.0008190508013</x:v>
      </x:c>
      <x:c r="R886" s="34" t="str">
        <x:v>tract internal point; no person, address, building, parcel, or route condition</x:v>
      </x:c>
    </x:row>
    <x:row r="887" ht="86.4000015258789" hidden="0" customHeight="1">
      <x:c r="A887" s="36" t="str">
        <x:v>48201534001</x:v>
      </x:c>
      <x:c r="B887" s="63" t="n">
        <x:v>3341</x:v>
      </x:c>
      <x:c r="C887" s="63" t="n">
        <x:v>390</x:v>
      </x:c>
      <x:c r="D887" s="63" t="n">
        <x:v>44</x:v>
      </x:c>
      <x:c r="E887" s="45" t="n">
        <x:v>0.11673151750972763</x:v>
      </x:c>
      <x:c r="F887" s="45" t="n">
        <x:v>0.013169709667764143</x:v>
      </x:c>
      <x:c r="G887" s="66" t="n">
        <x:v>1148</x:v>
      </x:c>
      <x:c r="H887" s="66" t="n">
        <x:v>173</x:v>
      </x:c>
      <x:c r="I887" s="66" t="n">
        <x:v>0.15069686411149827</x:v>
      </x:c>
      <x:c r="J887" s="36" t="str">
        <x:v>moderate</x:v>
      </x:c>
      <x:c r="K887" s="72" t="n">
        <x:v>29.9064322</x:v>
      </x:c>
      <x:c r="L887" s="72" t="n">
        <x:v>-95.483956</x:v>
      </x:c>
      <x:c r="M887" s="72" t="n">
        <x:v>1.5</x:v>
      </x:c>
      <x:c r="N887" s="72" t="n">
        <x:v>0.04983844643866132</x:v>
      </x:c>
      <x:c r="O887" s="72" t="n">
        <x:v>28.898228517630564</x:v>
      </x:c>
      <x:c r="P887" s="72" t="n">
        <x:v>5</x:v>
      </x:c>
      <x:c r="Q887" s="72" t="n">
        <x:v>476.0344385472005</x:v>
      </x:c>
      <x:c r="R887" s="36" t="str">
        <x:v>tract internal point; no person, address, building, parcel, or route condition</x:v>
      </x:c>
    </x:row>
    <x:row r="888" ht="86.4000015258789" hidden="0" customHeight="1">
      <x:c r="A888" s="34" t="str">
        <x:v>48201534002</x:v>
      </x:c>
      <x:c r="B888" s="62" t="n">
        <x:v>5216</x:v>
      </x:c>
      <x:c r="C888" s="62" t="n">
        <x:v>562</x:v>
      </x:c>
      <x:c r="D888" s="62" t="n">
        <x:v>36</x:v>
      </x:c>
      <x:c r="E888" s="43" t="n">
        <x:v>0.10774539877300614</x:v>
      </x:c>
      <x:c r="F888" s="43" t="n">
        <x:v>0.006901840490797546</x:v>
      </x:c>
      <x:c r="G888" s="65" t="n">
        <x:v>1514</x:v>
      </x:c>
      <x:c r="H888" s="65" t="n">
        <x:v>0</x:v>
      </x:c>
      <x:c r="I888" s="65" t="n">
        <x:v>0</x:v>
      </x:c>
      <x:c r="J888" s="34" t="str">
        <x:v>low</x:v>
      </x:c>
      <x:c r="K888" s="71" t="n">
        <x:v>29.9082771</x:v>
      </x:c>
      <x:c r="L888" s="71" t="n">
        <x:v>-95.5007246</x:v>
      </x:c>
      <x:c r="M888" s="71" t="n">
        <x:v>1.252</x:v>
      </x:c>
      <x:c r="N888" s="71" t="n">
        <x:v>0.10788906836920023</x:v>
      </x:c>
      <x:c r="O888" s="71" t="n">
        <x:v>28.517536519756064</x:v>
      </x:c>
      <x:c r="P888" s="71" t="n">
        <x:v>5</x:v>
      </x:c>
      <x:c r="Q888" s="71" t="n">
        <x:v>419.0698179833646</x:v>
      </x:c>
      <x:c r="R888" s="34" t="str">
        <x:v>tract internal point; no person, address, building, parcel, or route condition</x:v>
      </x:c>
    </x:row>
    <x:row r="889" ht="86.4000015258789" hidden="0" customHeight="1">
      <x:c r="A889" s="36" t="str">
        <x:v>48201534003</x:v>
      </x:c>
      <x:c r="B889" s="63" t="n">
        <x:v>2307</x:v>
      </x:c>
      <x:c r="C889" s="63" t="n">
        <x:v>179</x:v>
      </x:c>
      <x:c r="D889" s="63" t="n">
        <x:v>12</x:v>
      </x:c>
      <x:c r="E889" s="45" t="n">
        <x:v>0.0775899436497616</x:v>
      </x:c>
      <x:c r="F889" s="45" t="n">
        <x:v>0.005201560468140442</x:v>
      </x:c>
      <x:c r="G889" s="66" t="n">
        <x:v>731</x:v>
      </x:c>
      <x:c r="H889" s="66" t="n">
        <x:v>17</x:v>
      </x:c>
      <x:c r="I889" s="66" t="n">
        <x:v>0.023255813953488372</x:v>
      </x:c>
      <x:c r="J889" s="36" t="str">
        <x:v>low</x:v>
      </x:c>
      <x:c r="K889" s="72" t="n">
        <x:v>29.930164</x:v>
      </x:c>
      <x:c r="L889" s="72" t="n">
        <x:v>-95.5124368</x:v>
      </x:c>
      <x:c r="M889" s="72" t="n">
        <x:v>0.512</x:v>
      </x:c>
      <x:c r="N889" s="72" t="n">
        <x:v>0.00837633915660935</x:v>
      </x:c>
      <x:c r="O889" s="72" t="n">
        <x:v>24.765112979229254</x:v>
      </x:c>
      <x:c r="P889" s="72" t="n">
        <x:v>5</x:v>
      </x:c>
      <x:c r="Q889" s="72" t="n">
        <x:v>184.22724181414225</x:v>
      </x:c>
      <x:c r="R889" s="36" t="str">
        <x:v>tract internal point; no person, address, building, parcel, or route condition</x:v>
      </x:c>
    </x:row>
    <x:row r="890" ht="86.4000015258789" hidden="0" customHeight="1">
      <x:c r="A890" s="34" t="str">
        <x:v>48201534101</x:v>
      </x:c>
      <x:c r="B890" s="62" t="n">
        <x:v>2973</x:v>
      </x:c>
      <x:c r="C890" s="62" t="n">
        <x:v>193</x:v>
      </x:c>
      <x:c r="D890" s="62" t="n">
        <x:v>24</x:v>
      </x:c>
      <x:c r="E890" s="43" t="n">
        <x:v>0.06491759165825765</x:v>
      </x:c>
      <x:c r="F890" s="43" t="n">
        <x:v>0.008072653884964682</x:v>
      </x:c>
      <x:c r="G890" s="65" t="n">
        <x:v>950</x:v>
      </x:c>
      <x:c r="H890" s="65" t="n">
        <x:v>0</x:v>
      </x:c>
      <x:c r="I890" s="65" t="n">
        <x:v>0</x:v>
      </x:c>
      <x:c r="J890" s="34" t="str">
        <x:v>low</x:v>
      </x:c>
      <x:c r="K890" s="71" t="n">
        <x:v>29.9170973</x:v>
      </x:c>
      <x:c r="L890" s="71" t="n">
        <x:v>-95.5375312</x:v>
      </x:c>
      <x:c r="M890" s="71" t="n">
        <x:v>2.95</x:v>
      </x:c>
      <x:c r="N890" s="71" t="n">
        <x:v>0.05837258511007681</x:v>
      </x:c>
      <x:c r="O890" s="71" t="n">
        <x:v>25.35359006690493</x:v>
      </x:c>
      <x:c r="P890" s="71" t="n">
        <x:v>5</x:v>
      </x:c>
      <x:c r="Q890" s="71" t="n">
        <x:v>236.88605240094915</x:v>
      </x:c>
      <x:c r="R890" s="34" t="str">
        <x:v>tract internal point; no person, address, building, parcel, or route condition</x:v>
      </x:c>
    </x:row>
    <x:row r="891" ht="86.4000015258789" hidden="0" customHeight="1">
      <x:c r="A891" s="36" t="str">
        <x:v>48201534102</x:v>
      </x:c>
      <x:c r="B891" s="63" t="n">
        <x:v>5419</x:v>
      </x:c>
      <x:c r="C891" s="63" t="n">
        <x:v>493</x:v>
      </x:c>
      <x:c r="D891" s="63" t="n">
        <x:v>54</x:v>
      </x:c>
      <x:c r="E891" s="45" t="n">
        <x:v>0.0909761948699022</x:v>
      </x:c>
      <x:c r="F891" s="45" t="n">
        <x:v>0.009964938180476102</x:v>
      </x:c>
      <x:c r="G891" s="66" t="n">
        <x:v>1344</x:v>
      </x:c>
      <x:c r="H891" s="66" t="n">
        <x:v>0</x:v>
      </x:c>
      <x:c r="I891" s="66" t="n">
        <x:v>0</x:v>
      </x:c>
      <x:c r="J891" s="36" t="str">
        <x:v>low</x:v>
      </x:c>
      <x:c r="K891" s="72" t="n">
        <x:v>29.9122939</x:v>
      </x:c>
      <x:c r="L891" s="72" t="n">
        <x:v>-95.5115352</x:v>
      </x:c>
      <x:c r="M891" s="72" t="n">
        <x:v>1.904</x:v>
      </x:c>
      <x:c r="N891" s="72" t="n">
        <x:v>0.38650296754653246</x:v>
      </x:c>
      <x:c r="O891" s="72" t="n">
        <x:v>30.162523597001424</x:v>
      </x:c>
      <x:c r="P891" s="72" t="n">
        <x:v>5</x:v>
      </x:c>
      <x:c r="Q891" s="72" t="n">
        <x:v>434.0815087625885</x:v>
      </x:c>
      <x:c r="R891" s="36" t="str">
        <x:v>tract internal point; no person, address, building, parcel, or route condition</x:v>
      </x:c>
    </x:row>
    <x:row r="892" ht="86.4000015258789" hidden="0" customHeight="1">
      <x:c r="A892" s="34" t="str">
        <x:v>48201534201</x:v>
      </x:c>
      <x:c r="B892" s="62" t="n">
        <x:v>3274</x:v>
      </x:c>
      <x:c r="C892" s="62" t="n">
        <x:v>386</x:v>
      </x:c>
      <x:c r="D892" s="62" t="n">
        <x:v>8</x:v>
      </x:c>
      <x:c r="E892" s="43" t="n">
        <x:v>0.1178985949908369</x:v>
      </x:c>
      <x:c r="F892" s="43" t="n">
        <x:v>0.002443494196701283</x:v>
      </x:c>
      <x:c r="G892" s="65" t="n">
        <x:v>913</x:v>
      </x:c>
      <x:c r="H892" s="65" t="n">
        <x:v>26</x:v>
      </x:c>
      <x:c r="I892" s="65" t="n">
        <x:v>0.028477546549835708</x:v>
      </x:c>
      <x:c r="J892" s="34" t="str">
        <x:v>low</x:v>
      </x:c>
      <x:c r="K892" s="71" t="n">
        <x:v>29.9127214</x:v>
      </x:c>
      <x:c r="L892" s="71" t="n">
        <x:v>-95.5480759</x:v>
      </x:c>
      <x:c r="M892" s="71" t="n">
        <x:v>1.283</x:v>
      </x:c>
      <x:c r="N892" s="71" t="n">
        <x:v>0.10989951232260169</x:v>
      </x:c>
      <x:c r="O892" s="71" t="n">
        <x:v>25.47619276615488</x:v>
      </x:c>
      <x:c r="P892" s="71" t="n">
        <x:v>5</x:v>
      </x:c>
      <x:c r="Q892" s="71" t="n">
        <x:v>263.451243413398</x:v>
      </x:c>
      <x:c r="R892" s="34" t="str">
        <x:v>tract internal point; no person, address, building, parcel, or route condition</x:v>
      </x:c>
    </x:row>
    <x:row r="893" ht="86.4000015258789" hidden="0" customHeight="1">
      <x:c r="A893" s="36" t="str">
        <x:v>48201534203</x:v>
      </x:c>
      <x:c r="B893" s="63" t="n">
        <x:v>2201</x:v>
      </x:c>
      <x:c r="C893" s="63" t="n">
        <x:v>53</x:v>
      </x:c>
      <x:c r="D893" s="63" t="n">
        <x:v>158.5</x:v>
      </x:c>
      <x:c r="E893" s="45" t="n">
        <x:v>0.02407996365288505</x:v>
      </x:c>
      <x:c r="F893" s="45" t="n">
        <x:v>0.07201272149023172</x:v>
      </x:c>
      <x:c r="G893" s="66" t="n">
        <x:v>667</x:v>
      </x:c>
      <x:c r="H893" s="66" t="n">
        <x:v>49</x:v>
      </x:c>
      <x:c r="I893" s="66" t="n">
        <x:v>0.0734632683658171</x:v>
      </x:c>
      <x:c r="J893" s="36" t="str">
        <x:v>high</x:v>
      </x:c>
      <x:c r="K893" s="72" t="n">
        <x:v>29.8730007</x:v>
      </x:c>
      <x:c r="L893" s="72" t="n">
        <x:v>-95.5368807</x:v>
      </x:c>
      <x:c r="M893" s="72" t="n">
        <x:v>1.631</x:v>
      </x:c>
      <x:c r="N893" s="72" t="n">
        <x:v>0.053517586951803725</x:v>
      </x:c>
      <x:c r="O893" s="72" t="n">
        <x:v>19.848236233000218</x:v>
      </x:c>
      <x:c r="P893" s="72" t="n">
        <x:v>5</x:v>
      </x:c>
      <x:c r="Q893" s="72" t="n">
        <x:v>377.0673127398764</x:v>
      </x:c>
      <x:c r="R893" s="36" t="str">
        <x:v>tract internal point; no person, address, building, parcel, or route condition</x:v>
      </x:c>
    </x:row>
    <x:row r="894" ht="86.4000015258789" hidden="0" customHeight="1">
      <x:c r="A894" s="34" t="str">
        <x:v>48201534204</x:v>
      </x:c>
      <x:c r="B894" s="62" t="n">
        <x:v>4775</x:v>
      </x:c>
      <x:c r="C894" s="62" t="n">
        <x:v>435</x:v>
      </x:c>
      <x:c r="D894" s="62" t="n">
        <x:v>0</x:v>
      </x:c>
      <x:c r="E894" s="43" t="n">
        <x:v>0.09109947643979058</x:v>
      </x:c>
      <x:c r="F894" s="43" t="n">
        <x:v>0</x:v>
      </x:c>
      <x:c r="G894" s="65" t="n">
        <x:v>2202</x:v>
      </x:c>
      <x:c r="H894" s="65" t="n">
        <x:v>544</x:v>
      </x:c>
      <x:c r="I894" s="65" t="n">
        <x:v>0.24704813805631246</x:v>
      </x:c>
      <x:c r="J894" s="34" t="str">
        <x:v>high</x:v>
      </x:c>
      <x:c r="K894" s="71" t="n">
        <x:v>29.8833074</x:v>
      </x:c>
      <x:c r="L894" s="71" t="n">
        <x:v>-95.5366596</x:v>
      </x:c>
      <x:c r="M894" s="71" t="n">
        <x:v>0.877</x:v>
      </x:c>
      <x:c r="N894" s="71" t="n">
        <x:v>0.07070712903431464</x:v>
      </x:c>
      <x:c r="O894" s="71" t="n">
        <x:v>20.014762332762228</x:v>
      </x:c>
      <x:c r="P894" s="71" t="n">
        <x:v>5</x:v>
      </x:c>
      <x:c r="Q894" s="71" t="n">
        <x:v>823.0493499478233</x:v>
      </x:c>
      <x:c r="R894" s="34" t="str">
        <x:v>tract internal point; no person, address, building, parcel, or route condition</x:v>
      </x:c>
    </x:row>
    <x:row r="895" ht="86.4000015258789" hidden="0" customHeight="1">
      <x:c r="A895" s="36" t="str">
        <x:v>48201534205</x:v>
      </x:c>
      <x:c r="B895" s="63" t="n">
        <x:v>3760</x:v>
      </x:c>
      <x:c r="C895" s="63" t="n">
        <x:v>472</x:v>
      </x:c>
      <x:c r="D895" s="63" t="n">
        <x:v>113</x:v>
      </x:c>
      <x:c r="E895" s="45" t="n">
        <x:v>0.125531914893617</x:v>
      </x:c>
      <x:c r="F895" s="45" t="n">
        <x:v>0.0300531914893617</x:v>
      </x:c>
      <x:c r="G895" s="66" t="n">
        <x:v>1605</x:v>
      </x:c>
      <x:c r="H895" s="66" t="n">
        <x:v>98</x:v>
      </x:c>
      <x:c r="I895" s="66" t="n">
        <x:v>0.06105919003115265</x:v>
      </x:c>
      <x:c r="J895" s="36" t="str">
        <x:v>low</x:v>
      </x:c>
      <x:c r="K895" s="72" t="n">
        <x:v>29.8939622</x:v>
      </x:c>
      <x:c r="L895" s="72" t="n">
        <x:v>-95.5409747</x:v>
      </x:c>
      <x:c r="M895" s="72" t="n">
        <x:v>0.966</x:v>
      </x:c>
      <x:c r="N895" s="72" t="n">
        <x:v>0.028047059110918166</x:v>
      </x:c>
      <x:c r="O895" s="72" t="n">
        <x:v>20.359049697017202</x:v>
      </x:c>
      <x:c r="P895" s="72" t="n">
        <x:v>5</x:v>
      </x:c>
      <x:c r="Q895" s="72" t="n">
        <x:v>303.8256180379393</x:v>
      </x:c>
      <x:c r="R895" s="36" t="str">
        <x:v>tract internal point; no person, address, building, parcel, or route condition</x:v>
      </x:c>
    </x:row>
    <x:row r="896" ht="86.4000015258789" hidden="0" customHeight="1">
      <x:c r="A896" s="34" t="str">
        <x:v>48201540101</x:v>
      </x:c>
      <x:c r="B896" s="62" t="n">
        <x:v>7031</x:v>
      </x:c>
      <x:c r="C896" s="62" t="n">
        <x:v>813</x:v>
      </x:c>
      <x:c r="D896" s="62" t="n">
        <x:v>0</x:v>
      </x:c>
      <x:c r="E896" s="43" t="n">
        <x:v>0.11563077798321718</x:v>
      </x:c>
      <x:c r="F896" s="43" t="n">
        <x:v>0</x:v>
      </x:c>
      <x:c r="G896" s="65" t="n">
        <x:v>2350</x:v>
      </x:c>
      <x:c r="H896" s="65" t="n">
        <x:v>0</x:v>
      </x:c>
      <x:c r="I896" s="65" t="n">
        <x:v>0</x:v>
      </x:c>
      <x:c r="J896" s="34" t="str">
        <x:v>high</x:v>
      </x:c>
      <x:c r="K896" s="71" t="n">
        <x:v>29.8383069</x:v>
      </x:c>
      <x:c r="L896" s="71" t="n">
        <x:v>-95.5863003</x:v>
      </x:c>
      <x:c r="M896" s="71" t="n">
        <x:v>4.622</x:v>
      </x:c>
      <x:c r="N896" s="71" t="n">
        <x:v>0.7159079860414049</x:v>
      </x:c>
      <x:c r="O896" s="71" t="n">
        <x:v>25.834664834077344</x:v>
      </x:c>
      <x:c r="P896" s="71" t="n">
        <x:v>5</x:v>
      </x:c>
      <x:c r="Q896" s="71" t="n">
        <x:v>1217.747388684628</x:v>
      </x:c>
      <x:c r="R896" s="34" t="str">
        <x:v>tract internal point; no person, address, building, parcel, or route condition</x:v>
      </x:c>
    </x:row>
    <x:row r="897" ht="86.4000015258789" hidden="0" customHeight="1">
      <x:c r="A897" s="36" t="str">
        <x:v>48201540102</x:v>
      </x:c>
      <x:c r="B897" s="63" t="n">
        <x:v>6316</x:v>
      </x:c>
      <x:c r="C897" s="63" t="n">
        <x:v>1007</x:v>
      </x:c>
      <x:c r="D897" s="63" t="n">
        <x:v>0</x:v>
      </x:c>
      <x:c r="E897" s="45" t="n">
        <x:v>0.15943635212159596</x:v>
      </x:c>
      <x:c r="F897" s="45" t="n">
        <x:v>0</x:v>
      </x:c>
      <x:c r="G897" s="66" t="n">
        <x:v>1918</x:v>
      </x:c>
      <x:c r="H897" s="66" t="n">
        <x:v>201</x:v>
      </x:c>
      <x:c r="I897" s="66" t="n">
        <x:v>0.10479666319082377</x:v>
      </x:c>
      <x:c r="J897" s="36" t="str">
        <x:v>low</x:v>
      </x:c>
      <x:c r="K897" s="72" t="n">
        <x:v>29.8685925</x:v>
      </x:c>
      <x:c r="L897" s="72" t="n">
        <x:v>-95.5812725</x:v>
      </x:c>
      <x:c r="M897" s="72" t="n">
        <x:v>3.883</x:v>
      </x:c>
      <x:c r="N897" s="72" t="n">
        <x:v>0.16826444028747042</x:v>
      </x:c>
      <x:c r="O897" s="72" t="n">
        <x:v>20.396969749196963</x:v>
      </x:c>
      <x:c r="P897" s="72" t="n">
        <x:v>5</x:v>
      </x:c>
      <x:c r="Q897" s="72" t="n">
        <x:v>512.2366151021719</x:v>
      </x:c>
      <x:c r="R897" s="36" t="str">
        <x:v>tract internal point; no person, address, building, parcel, or route condition</x:v>
      </x:c>
    </x:row>
    <x:row r="898" ht="86.4000015258789" hidden="0" customHeight="1">
      <x:c r="A898" s="34" t="str">
        <x:v>48201540200</x:v>
      </x:c>
      <x:c r="B898" s="62" t="n">
        <x:v>2433</x:v>
      </x:c>
      <x:c r="C898" s="62" t="n">
        <x:v>275</x:v>
      </x:c>
      <x:c r="D898" s="62" t="n">
        <x:v>81</x:v>
      </x:c>
      <x:c r="E898" s="43" t="n">
        <x:v>0.11302918207973695</x:v>
      </x:c>
      <x:c r="F898" s="43" t="n">
        <x:v>0.03329223181257707</x:v>
      </x:c>
      <x:c r="G898" s="65" t="n">
        <x:v>965</x:v>
      </x:c>
      <x:c r="H898" s="65" t="n">
        <x:v>128</x:v>
      </x:c>
      <x:c r="I898" s="65" t="n">
        <x:v>0.13264248704663212</x:v>
      </x:c>
      <x:c r="J898" s="34" t="str">
        <x:v>low</x:v>
      </x:c>
      <x:c r="K898" s="71" t="n">
        <x:v>29.823358</x:v>
      </x:c>
      <x:c r="L898" s="71" t="n">
        <x:v>-95.5697134</x:v>
      </x:c>
      <x:c r="M898" s="71" t="n">
        <x:v>0.967</x:v>
      </x:c>
      <x:c r="N898" s="71" t="n">
        <x:v>0.029045434961311</x:v>
      </x:c>
      <x:c r="O898" s="71" t="n">
        <x:v>21.65583796724913</x:v>
      </x:c>
      <x:c r="P898" s="71" t="n">
        <x:v>5</x:v>
      </x:c>
      <x:c r="Q898" s="71" t="n">
        <x:v>196.18157776974425</x:v>
      </x:c>
      <x:c r="R898" s="34" t="str">
        <x:v>tract internal point; no person, address, building, parcel, or route condition</x:v>
      </x:c>
    </x:row>
    <x:row r="899" ht="86.4000015258789" hidden="0" customHeight="1">
      <x:c r="A899" s="36" t="str">
        <x:v>48201540502</x:v>
      </x:c>
      <x:c r="B899" s="63" t="n">
        <x:v>5191</x:v>
      </x:c>
      <x:c r="C899" s="63" t="n">
        <x:v>277</x:v>
      </x:c>
      <x:c r="D899" s="63" t="n">
        <x:v>80</x:v>
      </x:c>
      <x:c r="E899" s="45" t="n">
        <x:v>0.05336158736274321</x:v>
      </x:c>
      <x:c r="F899" s="45" t="n">
        <x:v>0.015411288769023309</x:v>
      </x:c>
      <x:c r="G899" s="66" t="n">
        <x:v>1743</x:v>
      </x:c>
      <x:c r="H899" s="66" t="n">
        <x:v>0</x:v>
      </x:c>
      <x:c r="I899" s="66" t="n">
        <x:v>0</x:v>
      </x:c>
      <x:c r="J899" s="36" t="str">
        <x:v>low</x:v>
      </x:c>
      <x:c r="K899" s="72" t="n">
        <x:v>29.846971</x:v>
      </x:c>
      <x:c r="L899" s="72" t="n">
        <x:v>-95.6308828</x:v>
      </x:c>
      <x:c r="M899" s="72" t="n">
        <x:v>1.605</x:v>
      </x:c>
      <x:c r="N899" s="72" t="n">
        <x:v>0.03770828663017886</x:v>
      </x:c>
      <x:c r="O899" s="72" t="n">
        <x:v>21.738874623662902</x:v>
      </x:c>
      <x:c r="P899" s="72" t="n">
        <x:v>5</x:v>
      </x:c>
      <x:c r="Q899" s="72" t="n">
        <x:v>412.9708273840568</x:v>
      </x:c>
      <x:c r="R899" s="36" t="str">
        <x:v>tract internal point; no person, address, building, parcel, or route condition</x:v>
      </x:c>
    </x:row>
    <x:row r="900" ht="86.4000015258789" hidden="0" customHeight="1">
      <x:c r="A900" s="34" t="str">
        <x:v>48201540503</x:v>
      </x:c>
      <x:c r="B900" s="62" t="n">
        <x:v>5037</x:v>
      </x:c>
      <x:c r="C900" s="62" t="n">
        <x:v>600</x:v>
      </x:c>
      <x:c r="D900" s="62" t="n">
        <x:v>1013.5</x:v>
      </x:c>
      <x:c r="E900" s="43" t="n">
        <x:v>0.11911852293031566</x:v>
      </x:c>
      <x:c r="F900" s="43" t="n">
        <x:v>0.2012110383164582</x:v>
      </x:c>
      <x:c r="G900" s="65" t="n">
        <x:v>1725</x:v>
      </x:c>
      <x:c r="H900" s="65" t="n">
        <x:v>364</x:v>
      </x:c>
      <x:c r="I900" s="65" t="n">
        <x:v>0.2110144927536232</x:v>
      </x:c>
      <x:c r="J900" s="34" t="str">
        <x:v>high</x:v>
      </x:c>
      <x:c r="K900" s="71" t="n">
        <x:v>29.8599737</x:v>
      </x:c>
      <x:c r="L900" s="71" t="n">
        <x:v>-95.6392541</x:v>
      </x:c>
      <x:c r="M900" s="71" t="n">
        <x:v>0.265</x:v>
      </x:c>
      <x:c r="N900" s="71" t="n">
        <x:v>0.1918432028217784</x:v>
      </x:c>
      <x:c r="O900" s="71" t="n">
        <x:v>19.163773151369057</x:v>
      </x:c>
      <x:c r="P900" s="71" t="n">
        <x:v>5</x:v>
      </x:c>
      <x:c r="Q900" s="71" t="n">
        <x:v>890.1442923278767</x:v>
      </x:c>
      <x:c r="R900" s="34" t="str">
        <x:v>tract internal point; no person, address, building, parcel, or route condition</x:v>
      </x:c>
    </x:row>
    <x:row r="901" ht="86.4000015258789" hidden="0" customHeight="1">
      <x:c r="A901" s="36" t="str">
        <x:v>48201540504</x:v>
      </x:c>
      <x:c r="B901" s="63" t="n">
        <x:v>3408</x:v>
      </x:c>
      <x:c r="C901" s="63" t="n">
        <x:v>249</x:v>
      </x:c>
      <x:c r="D901" s="63" t="n">
        <x:v>289.5</x:v>
      </x:c>
      <x:c r="E901" s="45" t="n">
        <x:v>0.07306338028169014</x:v>
      </x:c>
      <x:c r="F901" s="45" t="n">
        <x:v>0.08494718309859155</x:v>
      </x:c>
      <x:c r="G901" s="66" t="n">
        <x:v>1397</x:v>
      </x:c>
      <x:c r="H901" s="66" t="n">
        <x:v>298</x:v>
      </x:c>
      <x:c r="I901" s="66" t="n">
        <x:v>0.2133142448103078</x:v>
      </x:c>
      <x:c r="J901" s="36" t="str">
        <x:v>low</x:v>
      </x:c>
      <x:c r="K901" s="72" t="n">
        <x:v>29.8464571</x:v>
      </x:c>
      <x:c r="L901" s="72" t="n">
        <x:v>-95.6430845</x:v>
      </x:c>
      <x:c r="M901" s="72" t="n">
        <x:v>0.428</x:v>
      </x:c>
      <x:c r="N901" s="72" t="n">
        <x:v>0.05412000711434859</x:v>
      </x:c>
      <x:c r="O901" s="72" t="n">
        <x:v>19.70725032890034</x:v>
      </x:c>
      <x:c r="P901" s="72" t="n">
        <x:v>5</x:v>
      </x:c>
      <x:c r="Q901" s="72" t="n">
        <x:v>274.04195196052075</x:v>
      </x:c>
      <x:c r="R901" s="36" t="str">
        <x:v>tract internal point; no person, address, building, parcel, or route condition</x:v>
      </x:c>
    </x:row>
    <x:row r="902" ht="86.4000015258789" hidden="0" customHeight="1">
      <x:c r="A902" s="34" t="str">
        <x:v>48201540601</x:v>
      </x:c>
      <x:c r="B902" s="62" t="n">
        <x:v>4133</x:v>
      </x:c>
      <x:c r="C902" s="62" t="n">
        <x:v>405</x:v>
      </x:c>
      <x:c r="D902" s="62" t="n">
        <x:v>70</x:v>
      </x:c>
      <x:c r="E902" s="43" t="n">
        <x:v>0.0979917735301234</x:v>
      </x:c>
      <x:c r="F902" s="43" t="n">
        <x:v>0.016936849745947252</x:v>
      </x:c>
      <x:c r="G902" s="65" t="n">
        <x:v>1388</x:v>
      </x:c>
      <x:c r="H902" s="65" t="n">
        <x:v>57</x:v>
      </x:c>
      <x:c r="I902" s="65" t="n">
        <x:v>0.04106628242074928</x:v>
      </x:c>
      <x:c r="J902" s="34" t="str">
        <x:v>low</x:v>
      </x:c>
      <x:c r="K902" s="71" t="n">
        <x:v>29.862197</x:v>
      </x:c>
      <x:c r="L902" s="71" t="n">
        <x:v>-95.6324332</x:v>
      </x:c>
      <x:c r="M902" s="71" t="n">
        <x:v>0.623</x:v>
      </x:c>
      <x:c r="N902" s="71" t="n">
        <x:v>0.048512694732789026</x:v>
      </x:c>
      <x:c r="O902" s="71" t="n">
        <x:v>19.976407741353544</x:v>
      </x:c>
      <x:c r="P902" s="71" t="n">
        <x:v>5</x:v>
      </x:c>
      <x:c r="Q902" s="71" t="n">
        <x:v>331.7505066968834</x:v>
      </x:c>
      <x:c r="R902" s="34" t="str">
        <x:v>tract internal point; no person, address, building, parcel, or route condition</x:v>
      </x:c>
    </x:row>
    <x:row r="903" ht="86.4000015258789" hidden="0" customHeight="1">
      <x:c r="A903" s="36" t="str">
        <x:v>48201540602</x:v>
      </x:c>
      <x:c r="B903" s="63" t="n">
        <x:v>7498</x:v>
      </x:c>
      <x:c r="C903" s="63" t="n">
        <x:v>637</x:v>
      </x:c>
      <x:c r="D903" s="63" t="n">
        <x:v>37</x:v>
      </x:c>
      <x:c r="E903" s="45" t="n">
        <x:v>0.08495598826353694</x:v>
      </x:c>
      <x:c r="F903" s="45" t="n">
        <x:v>0.004934649239797279</x:v>
      </x:c>
      <x:c r="G903" s="66" t="n">
        <x:v>2583</x:v>
      </x:c>
      <x:c r="H903" s="66" t="n">
        <x:v>364</x:v>
      </x:c>
      <x:c r="I903" s="66" t="n">
        <x:v>0.14092140921409213</x:v>
      </x:c>
      <x:c r="J903" s="36" t="str">
        <x:v>low</x:v>
      </x:c>
      <x:c r="K903" s="72" t="n">
        <x:v>29.874683</x:v>
      </x:c>
      <x:c r="L903" s="72" t="n">
        <x:v>-95.634718</x:v>
      </x:c>
      <x:c r="M903" s="72" t="n">
        <x:v>1.053</x:v>
      </x:c>
      <x:c r="N903" s="72" t="n">
        <x:v>0.002671277727206261</x:v>
      </x:c>
      <x:c r="O903" s="72" t="n">
        <x:v>18.877792122041004</x:v>
      </x:c>
      <x:c r="P903" s="72" t="n">
        <x:v>5</x:v>
      </x:c>
      <x:c r="Q903" s="72" t="n">
        <x:v>599.6109430564303</x:v>
      </x:c>
      <x:c r="R903" s="36" t="str">
        <x:v>tract internal point; no person, address, building, parcel, or route condition</x:v>
      </x:c>
    </x:row>
    <x:row r="904" ht="86.4000015258789" hidden="0" customHeight="1">
      <x:c r="A904" s="34" t="str">
        <x:v>48201540700</x:v>
      </x:c>
      <x:c r="B904" s="62" t="n">
        <x:v>5372</x:v>
      </x:c>
      <x:c r="C904" s="62" t="n">
        <x:v>577</x:v>
      </x:c>
      <x:c r="D904" s="62" t="n">
        <x:v>158</x:v>
      </x:c>
      <x:c r="E904" s="43" t="n">
        <x:v>0.10740878629932986</x:v>
      </x:c>
      <x:c r="F904" s="43" t="n">
        <x:v>0.029411764705882353</x:v>
      </x:c>
      <x:c r="G904" s="65" t="n">
        <x:v>1991</x:v>
      </x:c>
      <x:c r="H904" s="65" t="n">
        <x:v>0</x:v>
      </x:c>
      <x:c r="I904" s="65" t="n">
        <x:v>0</x:v>
      </x:c>
      <x:c r="J904" s="34" t="str">
        <x:v>low</x:v>
      </x:c>
      <x:c r="K904" s="71" t="n">
        <x:v>29.857098</x:v>
      </x:c>
      <x:c r="L904" s="71" t="n">
        <x:v>-95.6131462</x:v>
      </x:c>
      <x:c r="M904" s="71" t="n">
        <x:v>2.882</x:v>
      </x:c>
      <x:c r="N904" s="71" t="n">
        <x:v>0.04485638952019766</x:v>
      </x:c>
      <x:c r="O904" s="71" t="n">
        <x:v>21.724894840563458</x:v>
      </x:c>
      <x:c r="P904" s="71" t="n">
        <x:v>5</x:v>
      </x:c>
      <x:c r="Q904" s="71" t="n">
        <x:v>432.525323016889</x:v>
      </x:c>
      <x:c r="R904" s="34" t="str">
        <x:v>tract internal point; no person, address, building, parcel, or route condition</x:v>
      </x:c>
    </x:row>
    <x:row r="905" ht="86.4000015258789" hidden="0" customHeight="1">
      <x:c r="A905" s="36" t="str">
        <x:v>48201540800</x:v>
      </x:c>
      <x:c r="B905" s="63" t="n">
        <x:v>6864</x:v>
      </x:c>
      <x:c r="C905" s="63" t="n">
        <x:v>624</x:v>
      </x:c>
      <x:c r="D905" s="63" t="n">
        <x:v>49</x:v>
      </x:c>
      <x:c r="E905" s="45" t="n">
        <x:v>0.09090909090909091</x:v>
      </x:c>
      <x:c r="F905" s="45" t="n">
        <x:v>0.007138694638694639</x:v>
      </x:c>
      <x:c r="G905" s="66" t="n">
        <x:v>2502</x:v>
      </x:c>
      <x:c r="H905" s="66" t="n">
        <x:v>367</x:v>
      </x:c>
      <x:c r="I905" s="66" t="n">
        <x:v>0.1466826538768985</x:v>
      </x:c>
      <x:c r="J905" s="36" t="str">
        <x:v>low</x:v>
      </x:c>
      <x:c r="K905" s="72" t="n">
        <x:v>29.8880933</x:v>
      </x:c>
      <x:c r="L905" s="72" t="n">
        <x:v>-95.6022229</x:v>
      </x:c>
      <x:c r="M905" s="72" t="n">
        <x:v>3.705</x:v>
      </x:c>
      <x:c r="N905" s="72" t="n">
        <x:v>0.2967610020076486</x:v>
      </x:c>
      <x:c r="O905" s="72" t="n">
        <x:v>17.75822623952365</x:v>
      </x:c>
      <x:c r="P905" s="72" t="n">
        <x:v>5</x:v>
      </x:c>
      <x:c r="Q905" s="72" t="n">
        <x:v>549.6715277626139</x:v>
      </x:c>
      <x:c r="R905" s="36" t="str">
        <x:v>tract internal point; no person, address, building, parcel, or route condition</x:v>
      </x:c>
    </x:row>
    <x:row r="906" ht="86.4000015258789" hidden="0" customHeight="1">
      <x:c r="A906" s="34" t="str">
        <x:v>48201540901</x:v>
      </x:c>
      <x:c r="B906" s="62" t="n">
        <x:v>3102</x:v>
      </x:c>
      <x:c r="C906" s="62" t="n">
        <x:v>231</x:v>
      </x:c>
      <x:c r="D906" s="62" t="n">
        <x:v>153</x:v>
      </x:c>
      <x:c r="E906" s="43" t="n">
        <x:v>0.07446808510638298</x:v>
      </x:c>
      <x:c r="F906" s="43" t="n">
        <x:v>0.04932301740812379</x:v>
      </x:c>
      <x:c r="G906" s="65" t="n">
        <x:v>1370</x:v>
      </x:c>
      <x:c r="H906" s="65" t="n">
        <x:v>137</x:v>
      </x:c>
      <x:c r="I906" s="65" t="n">
        <x:v>0.1</x:v>
      </x:c>
      <x:c r="J906" s="34" t="str">
        <x:v>low</x:v>
      </x:c>
      <x:c r="K906" s="71" t="n">
        <x:v>29.8894857</x:v>
      </x:c>
      <x:c r="L906" s="71" t="n">
        <x:v>-95.6244446</x:v>
      </x:c>
      <x:c r="M906" s="71" t="n">
        <x:v>0.608</x:v>
      </x:c>
      <x:c r="N906" s="71" t="n">
        <x:v>0.04179969582319297</x:v>
      </x:c>
      <x:c r="O906" s="71" t="n">
        <x:v>16.940382094180272</x:v>
      </x:c>
      <x:c r="P906" s="71" t="n">
        <x:v>5</x:v>
      </x:c>
      <x:c r="Q906" s="71" t="n">
        <x:v>248.63604073337845</x:v>
      </x:c>
      <x:c r="R906" s="34" t="str">
        <x:v>tract internal point; no person, address, building, parcel, or route condition</x:v>
      </x:c>
    </x:row>
    <x:row r="907" ht="86.4000015258789" hidden="0" customHeight="1">
      <x:c r="A907" s="36" t="str">
        <x:v>48201540903</x:v>
      </x:c>
      <x:c r="B907" s="63" t="n">
        <x:v>3562</x:v>
      </x:c>
      <x:c r="C907" s="63" t="n">
        <x:v>170</x:v>
      </x:c>
      <x:c r="D907" s="63" t="n">
        <x:v>242.5</x:v>
      </x:c>
      <x:c r="E907" s="45" t="n">
        <x:v>0.04772599663110612</x:v>
      </x:c>
      <x:c r="F907" s="45" t="n">
        <x:v>0.06807973048848961</x:v>
      </x:c>
      <x:c r="G907" s="66" t="n">
        <x:v>1668</x:v>
      </x:c>
      <x:c r="H907" s="66" t="n">
        <x:v>660</x:v>
      </x:c>
      <x:c r="I907" s="66" t="n">
        <x:v>0.39568345323741005</x:v>
      </x:c>
      <x:c r="J907" s="36" t="str">
        <x:v>low</x:v>
      </x:c>
      <x:c r="K907" s="72" t="n">
        <x:v>29.9059343</x:v>
      </x:c>
      <x:c r="L907" s="72" t="n">
        <x:v>-95.6255423</x:v>
      </x:c>
      <x:c r="M907" s="72" t="n">
        <x:v>0.552</x:v>
      </x:c>
      <x:c r="N907" s="72" t="n">
        <x:v>0.07609111636454553</x:v>
      </x:c>
      <x:c r="O907" s="72" t="n">
        <x:v>15.816629081273831</x:v>
      </x:c>
      <x:c r="P907" s="72" t="n">
        <x:v>5</x:v>
      </x:c>
      <x:c r="Q907" s="72" t="n">
        <x:v>284.5344164580412</x:v>
      </x:c>
      <x:c r="R907" s="36" t="str">
        <x:v>tract internal point; no person, address, building, parcel, or route condition</x:v>
      </x:c>
    </x:row>
    <x:row r="908" ht="86.4000015258789" hidden="0" customHeight="1">
      <x:c r="A908" s="34" t="str">
        <x:v>48201540904</x:v>
      </x:c>
      <x:c r="B908" s="62" t="n">
        <x:v>3804</x:v>
      </x:c>
      <x:c r="C908" s="62" t="n">
        <x:v>199</x:v>
      </x:c>
      <x:c r="D908" s="62" t="n">
        <x:v>0</x:v>
      </x:c>
      <x:c r="E908" s="43" t="n">
        <x:v>0.05231335436382755</x:v>
      </x:c>
      <x:c r="F908" s="43" t="n">
        <x:v>0</x:v>
      </x:c>
      <x:c r="G908" s="65" t="n">
        <x:v>2186</x:v>
      </x:c>
      <x:c r="H908" s="65" t="n">
        <x:v>495</x:v>
      </x:c>
      <x:c r="I908" s="65" t="n">
        <x:v>0.22644098810612992</x:v>
      </x:c>
      <x:c r="J908" s="34" t="str">
        <x:v>low</x:v>
      </x:c>
      <x:c r="K908" s="71" t="n">
        <x:v>29.8896332</x:v>
      </x:c>
      <x:c r="L908" s="71" t="n">
        <x:v>-95.6337961</x:v>
      </x:c>
      <x:c r="M908" s="71" t="n">
        <x:v>1.193</x:v>
      </x:c>
      <x:c r="N908" s="71" t="n">
        <x:v>0.14948962683045913</x:v>
      </x:c>
      <x:c r="O908" s="71" t="n">
        <x:v>17.79772444187678</x:v>
      </x:c>
      <x:c r="P908" s="71" t="n">
        <x:v>5</x:v>
      </x:c>
      <x:c r="Q908" s="71" t="n">
        <x:v>302.10438228890786</x:v>
      </x:c>
      <x:c r="R908" s="34" t="str">
        <x:v>tract internal point; no person, address, building, parcel, or route condition</x:v>
      </x:c>
    </x:row>
    <x:row r="909" ht="86.4000015258789" hidden="0" customHeight="1">
      <x:c r="A909" s="36" t="str">
        <x:v>48201541004</x:v>
      </x:c>
      <x:c r="B909" s="63" t="n">
        <x:v>5726</x:v>
      </x:c>
      <x:c r="C909" s="63" t="n">
        <x:v>580</x:v>
      </x:c>
      <x:c r="D909" s="63" t="n">
        <x:v>0</x:v>
      </x:c>
      <x:c r="E909" s="45" t="n">
        <x:v>0.10129235068110373</x:v>
      </x:c>
      <x:c r="F909" s="45" t="n">
        <x:v>0</x:v>
      </x:c>
      <x:c r="G909" s="66" t="n">
        <x:v>1943</x:v>
      </x:c>
      <x:c r="H909" s="66" t="n">
        <x:v>198</x:v>
      </x:c>
      <x:c r="I909" s="66" t="n">
        <x:v>0.10190427174472465</x:v>
      </x:c>
      <x:c r="J909" s="36" t="str">
        <x:v>low</x:v>
      </x:c>
      <x:c r="K909" s="72" t="n">
        <x:v>29.9232994</x:v>
      </x:c>
      <x:c r="L909" s="72" t="n">
        <x:v>-95.640396</x:v>
      </x:c>
      <x:c r="M909" s="72" t="n">
        <x:v>1.427</x:v>
      </x:c>
      <x:c r="N909" s="72" t="n">
        <x:v>0.05496271501636269</x:v>
      </x:c>
      <x:c r="O909" s="72" t="n">
        <x:v>13.389911199921196</x:v>
      </x:c>
      <x:c r="P909" s="72" t="n">
        <x:v>5</x:v>
      </x:c>
      <x:c r="Q909" s="72" t="n">
        <x:v>459.15339022108327</x:v>
      </x:c>
      <x:c r="R909" s="36" t="str">
        <x:v>tract internal point; no person, address, building, parcel, or route condition</x:v>
      </x:c>
    </x:row>
    <x:row r="910" ht="86.4000015258789" hidden="0" customHeight="1">
      <x:c r="A910" s="34" t="str">
        <x:v>48201541005</x:v>
      </x:c>
      <x:c r="B910" s="62" t="n">
        <x:v>4587</x:v>
      </x:c>
      <x:c r="C910" s="62" t="n">
        <x:v>327</x:v>
      </x:c>
      <x:c r="D910" s="62" t="n">
        <x:v>25</x:v>
      </x:c>
      <x:c r="E910" s="43" t="n">
        <x:v>0.07128842380640942</x:v>
      </x:c>
      <x:c r="F910" s="43" t="n">
        <x:v>0.0054501853063004145</x:v>
      </x:c>
      <x:c r="G910" s="65" t="n">
        <x:v>2989</x:v>
      </x:c>
      <x:c r="H910" s="65" t="n">
        <x:v>790</x:v>
      </x:c>
      <x:c r="I910" s="65" t="n">
        <x:v>0.2643024422883908</x:v>
      </x:c>
      <x:c r="J910" s="34" t="str">
        <x:v>low</x:v>
      </x:c>
      <x:c r="K910" s="71" t="n">
        <x:v>29.9119752</x:v>
      </x:c>
      <x:c r="L910" s="71" t="n">
        <x:v>-95.6324988</x:v>
      </x:c>
      <x:c r="M910" s="71" t="n">
        <x:v>0.632</x:v>
      </x:c>
      <x:c r="N910" s="71" t="n">
        <x:v>0.021803789415584265</x:v>
      </x:c>
      <x:c r="O910" s="71" t="n">
        <x:v>12.798647000509462</x:v>
      </x:c>
      <x:c r="P910" s="71" t="n">
        <x:v>5</x:v>
      </x:c>
      <x:c r="Q910" s="71" t="n">
        <x:v>365.8529811948169</x:v>
      </x:c>
      <x:c r="R910" s="34" t="str">
        <x:v>tract internal point; no person, address, building, parcel, or route condition</x:v>
      </x:c>
    </x:row>
    <x:row r="911" ht="86.4000015258789" hidden="0" customHeight="1">
      <x:c r="A911" s="36" t="str">
        <x:v>48201541006</x:v>
      </x:c>
      <x:c r="B911" s="63" t="n">
        <x:v>6242</x:v>
      </x:c>
      <x:c r="C911" s="63" t="n">
        <x:v>675</x:v>
      </x:c>
      <x:c r="D911" s="63" t="n">
        <x:v>14</x:v>
      </x:c>
      <x:c r="E911" s="45" t="n">
        <x:v>0.1081384171739827</x:v>
      </x:c>
      <x:c r="F911" s="45" t="n">
        <x:v>0.002242870874719641</x:v>
      </x:c>
      <x:c r="G911" s="66" t="n">
        <x:v>1999</x:v>
      </x:c>
      <x:c r="H911" s="66" t="n">
        <x:v>240</x:v>
      </x:c>
      <x:c r="I911" s="66" t="n">
        <x:v>0.12006003001500751</x:v>
      </x:c>
      <x:c r="J911" s="36" t="str">
        <x:v>low</x:v>
      </x:c>
      <x:c r="K911" s="72" t="n">
        <x:v>29.9282187</x:v>
      </x:c>
      <x:c r="L911" s="72" t="n">
        <x:v>-95.6804977</x:v>
      </x:c>
      <x:c r="M911" s="72" t="n">
        <x:v>0.859</x:v>
      </x:c>
      <x:c r="N911" s="72" t="n">
        <x:v>0.0428499472311157</x:v>
      </x:c>
      <x:c r="O911" s="72" t="n">
        <x:v>7.673160412004739</x:v>
      </x:c>
      <x:c r="P911" s="72" t="n">
        <x:v>5</x:v>
      </x:c>
      <x:c r="Q911" s="72" t="n">
        <x:v>501.31187678640157</x:v>
      </x:c>
      <x:c r="R911" s="36" t="str">
        <x:v>tract internal point; no person, address, building, parcel, or route condition</x:v>
      </x:c>
    </x:row>
    <x:row r="912" ht="86.4000015258789" hidden="0" customHeight="1">
      <x:c r="A912" s="34" t="str">
        <x:v>48201541007</x:v>
      </x:c>
      <x:c r="B912" s="62" t="n">
        <x:v>7383</x:v>
      </x:c>
      <x:c r="C912" s="62" t="n">
        <x:v>802</x:v>
      </x:c>
      <x:c r="D912" s="62" t="n">
        <x:v>13</x:v>
      </x:c>
      <x:c r="E912" s="43" t="n">
        <x:v>0.10862792902614113</x:v>
      </x:c>
      <x:c r="F912" s="43" t="n">
        <x:v>0.0017608018420696193</x:v>
      </x:c>
      <x:c r="G912" s="65" t="n">
        <x:v>2336</x:v>
      </x:c>
      <x:c r="H912" s="65" t="n">
        <x:v>0</x:v>
      </x:c>
      <x:c r="I912" s="65" t="n">
        <x:v>0</x:v>
      </x:c>
      <x:c r="J912" s="34" t="str">
        <x:v>low</x:v>
      </x:c>
      <x:c r="K912" s="71" t="n">
        <x:v>29.9381563</x:v>
      </x:c>
      <x:c r="L912" s="71" t="n">
        <x:v>-95.6709551</x:v>
      </x:c>
      <x:c r="M912" s="71" t="n">
        <x:v>1.723</x:v>
      </x:c>
      <x:c r="N912" s="71" t="n">
        <x:v>0.025661113754894396</x:v>
      </x:c>
      <x:c r="O912" s="71" t="n">
        <x:v>9.294847334473923</x:v>
      </x:c>
      <x:c r="P912" s="71" t="n">
        <x:v>5</x:v>
      </x:c>
      <x:c r="Q912" s="71" t="n">
        <x:v>592.9775048272865</x:v>
      </x:c>
      <x:c r="R912" s="34" t="str">
        <x:v>tract internal point; no person, address, building, parcel, or route condition</x:v>
      </x:c>
    </x:row>
    <x:row r="913" ht="86.4000015258789" hidden="0" customHeight="1">
      <x:c r="A913" s="36" t="str">
        <x:v>48201541008</x:v>
      </x:c>
      <x:c r="B913" s="63" t="n">
        <x:v>3351</x:v>
      </x:c>
      <x:c r="C913" s="63" t="n">
        <x:v>191</x:v>
      </x:c>
      <x:c r="D913" s="63" t="n">
        <x:v>0</x:v>
      </x:c>
      <x:c r="E913" s="45" t="n">
        <x:v>0.056997911071321995</x:v>
      </x:c>
      <x:c r="F913" s="45" t="n">
        <x:v>0</x:v>
      </x:c>
      <x:c r="G913" s="66" t="n">
        <x:v>979</x:v>
      </x:c>
      <x:c r="H913" s="66" t="n">
        <x:v>0</x:v>
      </x:c>
      <x:c r="I913" s="66" t="n">
        <x:v>0</x:v>
      </x:c>
      <x:c r="J913" s="36" t="str">
        <x:v>low</x:v>
      </x:c>
      <x:c r="K913" s="72" t="n">
        <x:v>29.9245088</x:v>
      </x:c>
      <x:c r="L913" s="72" t="n">
        <x:v>-95.6618455</x:v>
      </x:c>
      <x:c r="M913" s="72" t="n">
        <x:v>2.172</x:v>
      </x:c>
      <x:c r="N913" s="72" t="n">
        <x:v>0.05986777309690779</x:v>
      </x:c>
      <x:c r="O913" s="72" t="n">
        <x:v>11.557169848184515</x:v>
      </x:c>
      <x:c r="P913" s="72" t="n">
        <x:v>5</x:v>
      </x:c>
      <x:c r="Q913" s="72" t="n">
        <x:v>266.374986329561</x:v>
      </x:c>
      <x:c r="R913" s="36" t="str">
        <x:v>tract internal point; no person, address, building, parcel, or route condition</x:v>
      </x:c>
    </x:row>
    <x:row r="914" ht="86.4000015258789" hidden="0" customHeight="1">
      <x:c r="A914" s="34" t="str">
        <x:v>48201541009</x:v>
      </x:c>
      <x:c r="B914" s="62" t="n">
        <x:v>4861</x:v>
      </x:c>
      <x:c r="C914" s="62" t="n">
        <x:v>638</x:v>
      </x:c>
      <x:c r="D914" s="62" t="n">
        <x:v>157.5</x:v>
      </x:c>
      <x:c r="E914" s="43" t="n">
        <x:v>0.13124871425632587</x:v>
      </x:c>
      <x:c r="F914" s="43" t="n">
        <x:v>0.032400740588356305</x:v>
      </x:c>
      <x:c r="G914" s="65" t="n">
        <x:v>1694</x:v>
      </x:c>
      <x:c r="H914" s="65" t="n">
        <x:v>43</x:v>
      </x:c>
      <x:c r="I914" s="65" t="n">
        <x:v>0.02538370720188902</x:v>
      </x:c>
      <x:c r="J914" s="34" t="str">
        <x:v>low</x:v>
      </x:c>
      <x:c r="K914" s="71" t="n">
        <x:v>29.9123378</x:v>
      </x:c>
      <x:c r="L914" s="71" t="n">
        <x:v>-95.6592289</x:v>
      </x:c>
      <x:c r="M914" s="71" t="n">
        <x:v>0.853</x:v>
      </x:c>
      <x:c r="N914" s="71" t="n">
        <x:v>0.010927376908427903</x:v>
      </x:c>
      <x:c r="O914" s="71" t="n">
        <x:v>13.435142693647489</x:v>
      </x:c>
      <x:c r="P914" s="71" t="n">
        <x:v>5</x:v>
      </x:c>
      <x:c r="Q914" s="71" t="n">
        <x:v>393.31808770162235</x:v>
      </x:c>
      <x:c r="R914" s="34" t="str">
        <x:v>tract internal point; no person, address, building, parcel, or route condition</x:v>
      </x:c>
    </x:row>
    <x:row r="915" ht="86.4000015258789" hidden="0" customHeight="1">
      <x:c r="A915" s="36" t="str">
        <x:v>48201541100</x:v>
      </x:c>
      <x:c r="B915" s="63" t="n">
        <x:v>8045</x:v>
      </x:c>
      <x:c r="C915" s="63" t="n">
        <x:v>981</x:v>
      </x:c>
      <x:c r="D915" s="63" t="n">
        <x:v>28</x:v>
      </x:c>
      <x:c r="E915" s="45" t="n">
        <x:v>0.12193909260410192</x:v>
      </x:c>
      <x:c r="F915" s="45" t="n">
        <x:v>0.003480422622747048</x:v>
      </x:c>
      <x:c r="G915" s="66" t="n">
        <x:v>2471</x:v>
      </x:c>
      <x:c r="H915" s="66" t="n">
        <x:v>88</x:v>
      </x:c>
      <x:c r="I915" s="66" t="n">
        <x:v>0.035613112100364226</x:v>
      </x:c>
      <x:c r="J915" s="36" t="str">
        <x:v>low</x:v>
      </x:c>
      <x:c r="K915" s="72" t="n">
        <x:v>29.9007008</x:v>
      </x:c>
      <x:c r="L915" s="72" t="n">
        <x:v>-95.6518575</x:v>
      </x:c>
      <x:c r="M915" s="72" t="n">
        <x:v>1.306</x:v>
      </x:c>
      <x:c r="N915" s="72" t="n">
        <x:v>0.03744133719544898</x:v>
      </x:c>
      <x:c r="O915" s="72" t="n">
        <x:v>15.741141270381412</x:v>
      </x:c>
      <x:c r="P915" s="72" t="n">
        <x:v>5</x:v>
      </x:c>
      <x:c r="Q915" s="72" t="n">
        <x:v>647.93915593677</x:v>
      </x:c>
      <x:c r="R915" s="36" t="str">
        <x:v>tract internal point; no person, address, building, parcel, or route condition</x:v>
      </x:c>
    </x:row>
    <x:row r="916" ht="86.4000015258789" hidden="0" customHeight="1">
      <x:c r="A916" s="34" t="str">
        <x:v>48201541203</x:v>
      </x:c>
      <x:c r="B916" s="62" t="n">
        <x:v>2482</x:v>
      </x:c>
      <x:c r="C916" s="62" t="n">
        <x:v>344</x:v>
      </x:c>
      <x:c r="D916" s="62" t="n">
        <x:v>6</x:v>
      </x:c>
      <x:c r="E916" s="43" t="n">
        <x:v>0.1385979049153908</x:v>
      </x:c>
      <x:c r="F916" s="43" t="n">
        <x:v>0.0024174053182917004</x:v>
      </x:c>
      <x:c r="G916" s="65" t="n">
        <x:v>963</x:v>
      </x:c>
      <x:c r="H916" s="65" t="n">
        <x:v>0</x:v>
      </x:c>
      <x:c r="I916" s="65" t="n">
        <x:v>0</x:v>
      </x:c>
      <x:c r="J916" s="34" t="str">
        <x:v>low</x:v>
      </x:c>
      <x:c r="K916" s="71" t="n">
        <x:v>29.8888536</x:v>
      </x:c>
      <x:c r="L916" s="71" t="n">
        <x:v>-95.6490812</x:v>
      </x:c>
      <x:c r="M916" s="71" t="n">
        <x:v>0.591</x:v>
      </x:c>
      <x:c r="N916" s="71" t="n">
        <x:v>0.03748409351602249</x:v>
      </x:c>
      <x:c r="O916" s="71" t="n">
        <x:v>16.373653010666104</x:v>
      </x:c>
      <x:c r="P916" s="71" t="n">
        <x:v>5</x:v>
      </x:c>
      <x:c r="Q916" s="71" t="n">
        <x:v>200.52789452414783</x:v>
      </x:c>
      <x:c r="R916" s="34" t="str">
        <x:v>tract internal point; no person, address, building, parcel, or route condition</x:v>
      </x:c>
    </x:row>
    <x:row r="917" ht="86.4000015258789" hidden="0" customHeight="1">
      <x:c r="A917" s="36" t="str">
        <x:v>48201541204</x:v>
      </x:c>
      <x:c r="B917" s="63" t="n">
        <x:v>5826</x:v>
      </x:c>
      <x:c r="C917" s="63" t="n">
        <x:v>720</x:v>
      </x:c>
      <x:c r="D917" s="63" t="n">
        <x:v>56</x:v>
      </x:c>
      <x:c r="E917" s="45" t="n">
        <x:v>0.12358393408856849</x:v>
      </x:c>
      <x:c r="F917" s="45" t="n">
        <x:v>0.009612083762444216</x:v>
      </x:c>
      <x:c r="G917" s="66" t="n">
        <x:v>1872</x:v>
      </x:c>
      <x:c r="H917" s="66" t="n">
        <x:v>87</x:v>
      </x:c>
      <x:c r="I917" s="66" t="n">
        <x:v>0.046474358974358976</x:v>
      </x:c>
      <x:c r="J917" s="36" t="str">
        <x:v>low</x:v>
      </x:c>
      <x:c r="K917" s="72" t="n">
        <x:v>29.88497</x:v>
      </x:c>
      <x:c r="L917" s="72" t="n">
        <x:v>-95.6594957</x:v>
      </x:c>
      <x:c r="M917" s="72" t="n">
        <x:v>0.709</x:v>
      </x:c>
      <x:c r="N917" s="72" t="n">
        <x:v>0.0500567748609891</x:v>
      </x:c>
      <x:c r="O917" s="72" t="n">
        <x:v>16.783655979181688</x:v>
      </x:c>
      <x:c r="P917" s="72" t="n">
        <x:v>5</x:v>
      </x:c>
      <x:c r="Q917" s="72" t="n">
        <x:v>469.6537142425719</x:v>
      </x:c>
      <x:c r="R917" s="36" t="str">
        <x:v>tract internal point; no person, address, building, parcel, or route condition</x:v>
      </x:c>
    </x:row>
    <x:row r="918" ht="86.4000015258789" hidden="0" customHeight="1">
      <x:c r="A918" s="34" t="str">
        <x:v>48201541205</x:v>
      </x:c>
      <x:c r="B918" s="62" t="n">
        <x:v>3286</x:v>
      </x:c>
      <x:c r="C918" s="62" t="n">
        <x:v>196</x:v>
      </x:c>
      <x:c r="D918" s="62" t="n">
        <x:v>10</x:v>
      </x:c>
      <x:c r="E918" s="43" t="n">
        <x:v>0.05964698721850274</x:v>
      </x:c>
      <x:c r="F918" s="43" t="n">
        <x:v>0.0030432136335970784</x:v>
      </x:c>
      <x:c r="G918" s="65" t="n">
        <x:v>1298</x:v>
      </x:c>
      <x:c r="H918" s="65" t="n">
        <x:v>0</x:v>
      </x:c>
      <x:c r="I918" s="65" t="n">
        <x:v>0</x:v>
      </x:c>
      <x:c r="J918" s="34" t="str">
        <x:v>low</x:v>
      </x:c>
      <x:c r="K918" s="71" t="n">
        <x:v>29.894142</x:v>
      </x:c>
      <x:c r="L918" s="71" t="n">
        <x:v>-95.6624018</x:v>
      </x:c>
      <x:c r="M918" s="71" t="n">
        <x:v>0.527</x:v>
      </x:c>
      <x:c r="N918" s="71" t="n">
        <x:v>0.0119247397176531</x:v>
      </x:c>
      <x:c r="O918" s="71" t="n">
        <x:v>14.845701774125015</x:v>
      </x:c>
      <x:c r="P918" s="71" t="n">
        <x:v>5</x:v>
      </x:c>
      <x:c r="Q918" s="71" t="n">
        <x:v>261.42348622960753</x:v>
      </x:c>
      <x:c r="R918" s="34" t="str">
        <x:v>tract internal point; no person, address, building, parcel, or route condition</x:v>
      </x:c>
    </x:row>
    <x:row r="919" ht="86.4000015258789" hidden="0" customHeight="1">
      <x:c r="A919" s="36" t="str">
        <x:v>48201541206</x:v>
      </x:c>
      <x:c r="B919" s="63" t="n">
        <x:v>4882</x:v>
      </x:c>
      <x:c r="C919" s="63" t="n">
        <x:v>234</x:v>
      </x:c>
      <x:c r="D919" s="63" t="n">
        <x:v>0</x:v>
      </x:c>
      <x:c r="E919" s="45" t="n">
        <x:v>0.04793117574764441</x:v>
      </x:c>
      <x:c r="F919" s="45" t="n">
        <x:v>0</x:v>
      </x:c>
      <x:c r="G919" s="66" t="n">
        <x:v>1620</x:v>
      </x:c>
      <x:c r="H919" s="66" t="n">
        <x:v>177</x:v>
      </x:c>
      <x:c r="I919" s="66" t="n">
        <x:v>0.10925925925925926</x:v>
      </x:c>
      <x:c r="J919" s="36" t="str">
        <x:v>low</x:v>
      </x:c>
      <x:c r="K919" s="72" t="n">
        <x:v>29.8864369</x:v>
      </x:c>
      <x:c r="L919" s="72" t="n">
        <x:v>-95.676694</x:v>
      </x:c>
      <x:c r="M919" s="72" t="n">
        <x:v>0.859</x:v>
      </x:c>
      <x:c r="N919" s="72" t="n">
        <x:v>0.13085268905901726</x:v>
      </x:c>
      <x:c r="O919" s="72" t="n">
        <x:v>14.497819464745893</x:v>
      </x:c>
      <x:c r="P919" s="72" t="n">
        <x:v>5</x:v>
      </x:c>
      <x:c r="Q919" s="72" t="n">
        <x:v>387.38021734366225</x:v>
      </x:c>
      <x:c r="R919" s="36" t="str">
        <x:v>tract internal point; no person, address, building, parcel, or route condition</x:v>
      </x:c>
    </x:row>
    <x:row r="920" ht="86.4000015258789" hidden="0" customHeight="1">
      <x:c r="A920" s="34" t="str">
        <x:v>48201541207</x:v>
      </x:c>
      <x:c r="B920" s="62" t="n">
        <x:v>4262</x:v>
      </x:c>
      <x:c r="C920" s="62" t="n">
        <x:v>319</x:v>
      </x:c>
      <x:c r="D920" s="62" t="n">
        <x:v>0</x:v>
      </x:c>
      <x:c r="E920" s="43" t="n">
        <x:v>0.07484748944157672</x:v>
      </x:c>
      <x:c r="F920" s="43" t="n">
        <x:v>0</x:v>
      </x:c>
      <x:c r="G920" s="65" t="n">
        <x:v>1440</x:v>
      </x:c>
      <x:c r="H920" s="65" t="n">
        <x:v>0</x:v>
      </x:c>
      <x:c r="I920" s="65" t="n">
        <x:v>0</x:v>
      </x:c>
      <x:c r="J920" s="34" t="str">
        <x:v>low</x:v>
      </x:c>
      <x:c r="K920" s="71" t="n">
        <x:v>29.9020348</x:v>
      </x:c>
      <x:c r="L920" s="71" t="n">
        <x:v>-95.6764308</x:v>
      </x:c>
      <x:c r="M920" s="71" t="n">
        <x:v>0.875</x:v>
      </x:c>
      <x:c r="N920" s="71" t="n">
        <x:v>0.07483149520124795</x:v>
      </x:c>
      <x:c r="O920" s="71" t="n">
        <x:v>11.736167710225367</x:v>
      </x:c>
      <x:c r="P920" s="71" t="n">
        <x:v>5</x:v>
      </x:c>
      <x:c r="Q920" s="71" t="n">
        <x:v>339.9872878155361</x:v>
      </x:c>
      <x:c r="R920" s="34" t="str">
        <x:v>tract internal point; no person, address, building, parcel, or route condition</x:v>
      </x:c>
    </x:row>
    <x:row r="921" ht="86.4000015258789" hidden="0" customHeight="1">
      <x:c r="A921" s="36" t="str">
        <x:v>48201541301</x:v>
      </x:c>
      <x:c r="B921" s="63" t="n">
        <x:v>6232</x:v>
      </x:c>
      <x:c r="C921" s="63" t="n">
        <x:v>547</x:v>
      </x:c>
      <x:c r="D921" s="63" t="n">
        <x:v>167</x:v>
      </x:c>
      <x:c r="E921" s="45" t="n">
        <x:v>0.08777278562259307</x:v>
      </x:c>
      <x:c r="F921" s="45" t="n">
        <x:v>0.026797175866495507</x:v>
      </x:c>
      <x:c r="G921" s="66" t="n">
        <x:v>2159</x:v>
      </x:c>
      <x:c r="H921" s="66" t="n">
        <x:v>135</x:v>
      </x:c>
      <x:c r="I921" s="66" t="n">
        <x:v>0.06252894858730894</x:v>
      </x:c>
      <x:c r="J921" s="36" t="str">
        <x:v>moderate</x:v>
      </x:c>
      <x:c r="K921" s="72" t="n">
        <x:v>29.8719383</x:v>
      </x:c>
      <x:c r="L921" s="72" t="n">
        <x:v>-95.6528696</x:v>
      </x:c>
      <x:c r="M921" s="72" t="n">
        <x:v>1.225</x:v>
      </x:c>
      <x:c r="N921" s="72" t="n">
        <x:v>0.08976929432361225</x:v>
      </x:c>
      <x:c r="O921" s="72" t="n">
        <x:v>18.821315433673295</x:v>
      </x:c>
      <x:c r="P921" s="72" t="n">
        <x:v>5</x:v>
      </x:c>
      <x:c r="Q921" s="72" t="n">
        <x:v>884.1136191292153</x:v>
      </x:c>
      <x:c r="R921" s="36" t="str">
        <x:v>tract internal point; no person, address, building, parcel, or route condition</x:v>
      </x:c>
    </x:row>
    <x:row r="922" ht="86.4000015258789" hidden="0" customHeight="1">
      <x:c r="A922" s="34" t="str">
        <x:v>48201541302</x:v>
      </x:c>
      <x:c r="B922" s="62" t="n">
        <x:v>7451</x:v>
      </x:c>
      <x:c r="C922" s="62" t="n">
        <x:v>680</x:v>
      </x:c>
      <x:c r="D922" s="62" t="n">
        <x:v>25</x:v>
      </x:c>
      <x:c r="E922" s="43" t="n">
        <x:v>0.09126291772916387</x:v>
      </x:c>
      <x:c r="F922" s="43" t="n">
        <x:v>0.0033552543282780833</x:v>
      </x:c>
      <x:c r="G922" s="65" t="n">
        <x:v>2103</x:v>
      </x:c>
      <x:c r="H922" s="65" t="n">
        <x:v>46</x:v>
      </x:c>
      <x:c r="I922" s="65" t="n">
        <x:v>0.021873514027579647</x:v>
      </x:c>
      <x:c r="J922" s="34" t="str">
        <x:v>low</x:v>
      </x:c>
      <x:c r="K922" s="71" t="n">
        <x:v>29.8730288</x:v>
      </x:c>
      <x:c r="L922" s="71" t="n">
        <x:v>-95.6763863</x:v>
      </x:c>
      <x:c r="M922" s="71" t="n">
        <x:v>0.824</x:v>
      </x:c>
      <x:c r="N922" s="71" t="n">
        <x:v>0.04569711064272483</x:v>
      </x:c>
      <x:c r="O922" s="71" t="n">
        <x:v>16.20236591025337</x:v>
      </x:c>
      <x:c r="P922" s="71" t="n">
        <x:v>5</x:v>
      </x:c>
      <x:c r="Q922" s="71" t="n">
        <x:v>596.498571565031</x:v>
      </x:c>
      <x:c r="R922" s="34" t="str">
        <x:v>tract internal point; no person, address, building, parcel, or route condition</x:v>
      </x:c>
    </x:row>
    <x:row r="923" ht="86.4000015258789" hidden="0" customHeight="1">
      <x:c r="A923" s="36" t="str">
        <x:v>48201541401</x:v>
      </x:c>
      <x:c r="B923" s="63" t="n">
        <x:v>4542</x:v>
      </x:c>
      <x:c r="C923" s="63" t="n">
        <x:v>372</x:v>
      </x:c>
      <x:c r="D923" s="63" t="n">
        <x:v>260</x:v>
      </x:c>
      <x:c r="E923" s="45" t="n">
        <x:v>0.08190224570673713</x:v>
      </x:c>
      <x:c r="F923" s="45" t="n">
        <x:v>0.057243505063848524</x:v>
      </x:c>
      <x:c r="G923" s="66" t="n">
        <x:v>1454</x:v>
      </x:c>
      <x:c r="H923" s="66" t="n">
        <x:v>269</x:v>
      </x:c>
      <x:c r="I923" s="66" t="n">
        <x:v>0.18500687757909215</x:v>
      </x:c>
      <x:c r="J923" s="36" t="str">
        <x:v>low</x:v>
      </x:c>
      <x:c r="K923" s="72" t="n">
        <x:v>29.8574106</x:v>
      </x:c>
      <x:c r="L923" s="72" t="n">
        <x:v>-95.6506938</x:v>
      </x:c>
      <x:c r="M923" s="72" t="n">
        <x:v>0.555</x:v>
      </x:c>
      <x:c r="N923" s="72" t="n">
        <x:v>0.04822198406336076</x:v>
      </x:c>
      <x:c r="O923" s="72" t="n">
        <x:v>20.35296956196483</x:v>
      </x:c>
      <x:c r="P923" s="72" t="n">
        <x:v>5</x:v>
      </x:c>
      <x:c r="Q923" s="72" t="n">
        <x:v>364.87054069879446</x:v>
      </x:c>
      <x:c r="R923" s="36" t="str">
        <x:v>tract internal point; no person, address, building, parcel, or route condition</x:v>
      </x:c>
    </x:row>
    <x:row r="924" ht="86.4000015258789" hidden="0" customHeight="1">
      <x:c r="A924" s="34" t="str">
        <x:v>48201541402</x:v>
      </x:c>
      <x:c r="B924" s="62" t="n">
        <x:v>2374</x:v>
      </x:c>
      <x:c r="C924" s="62" t="n">
        <x:v>231</x:v>
      </x:c>
      <x:c r="D924" s="62" t="n">
        <x:v>0</x:v>
      </x:c>
      <x:c r="E924" s="43" t="n">
        <x:v>0.09730412805391744</x:v>
      </x:c>
      <x:c r="F924" s="43" t="n">
        <x:v>0</x:v>
      </x:c>
      <x:c r="G924" s="65" t="n">
        <x:v>830</x:v>
      </x:c>
      <x:c r="H924" s="65" t="n">
        <x:v>5</x:v>
      </x:c>
      <x:c r="I924" s="65" t="n">
        <x:v>0.006024096385542169</x:v>
      </x:c>
      <x:c r="J924" s="34" t="str">
        <x:v>low</x:v>
      </x:c>
      <x:c r="K924" s="71" t="n">
        <x:v>29.8537562</x:v>
      </x:c>
      <x:c r="L924" s="71" t="n">
        <x:v>-95.6574109</x:v>
      </x:c>
      <x:c r="M924" s="71" t="n">
        <x:v>0.385</x:v>
      </x:c>
      <x:c r="N924" s="71" t="n">
        <x:v>0.015295716232592998</x:v>
      </x:c>
      <x:c r="O924" s="71" t="n">
        <x:v>21.24067931885834</x:v>
      </x:c>
      <x:c r="P924" s="71" t="n">
        <x:v>5</x:v>
      </x:c>
      <x:c r="Q924" s="71" t="n">
        <x:v>190.21619907789557</x:v>
      </x:c>
      <x:c r="R924" s="34" t="str">
        <x:v>tract internal point; no person, address, building, parcel, or route condition</x:v>
      </x:c>
    </x:row>
    <x:row r="925" ht="86.4000015258789" hidden="0" customHeight="1">
      <x:c r="A925" s="36" t="str">
        <x:v>48201541403</x:v>
      </x:c>
      <x:c r="B925" s="63" t="n">
        <x:v>3278</x:v>
      </x:c>
      <x:c r="C925" s="63" t="n">
        <x:v>448</x:v>
      </x:c>
      <x:c r="D925" s="63" t="n">
        <x:v>0</x:v>
      </x:c>
      <x:c r="E925" s="45" t="n">
        <x:v>0.1366687004270897</x:v>
      </x:c>
      <x:c r="F925" s="45" t="n">
        <x:v>0</x:v>
      </x:c>
      <x:c r="G925" s="66" t="n">
        <x:v>1272</x:v>
      </x:c>
      <x:c r="H925" s="66" t="n">
        <x:v>45</x:v>
      </x:c>
      <x:c r="I925" s="66" t="n">
        <x:v>0.03537735849056604</x:v>
      </x:c>
      <x:c r="J925" s="36" t="str">
        <x:v>low</x:v>
      </x:c>
      <x:c r="K925" s="72" t="n">
        <x:v>29.8548135</x:v>
      </x:c>
      <x:c r="L925" s="72" t="n">
        <x:v>-95.6651534</x:v>
      </x:c>
      <x:c r="M925" s="72" t="n">
        <x:v>0.287</x:v>
      </x:c>
      <x:c r="N925" s="72" t="n">
        <x:v>0.051684527205288905</x:v>
      </x:c>
      <x:c r="O925" s="72" t="n">
        <x:v>21.908254828877972</x:v>
      </x:c>
      <x:c r="P925" s="72" t="n">
        <x:v>5</x:v>
      </x:c>
      <x:c r="Q925" s="72" t="n">
        <x:v>264.6773291524341</x:v>
      </x:c>
      <x:c r="R925" s="36" t="str">
        <x:v>tract internal point; no person, address, building, parcel, or route condition</x:v>
      </x:c>
    </x:row>
    <x:row r="926" ht="86.4000015258789" hidden="0" customHeight="1">
      <x:c r="A926" s="34" t="str">
        <x:v>48201541404</x:v>
      </x:c>
      <x:c r="B926" s="62" t="n">
        <x:v>3421</x:v>
      </x:c>
      <x:c r="C926" s="62" t="n">
        <x:v>122</x:v>
      </x:c>
      <x:c r="D926" s="62" t="n">
        <x:v>0</x:v>
      </x:c>
      <x:c r="E926" s="43" t="n">
        <x:v>0.035662087109032445</x:v>
      </x:c>
      <x:c r="F926" s="43" t="n">
        <x:v>0</x:v>
      </x:c>
      <x:c r="G926" s="65" t="n">
        <x:v>1217</x:v>
      </x:c>
      <x:c r="H926" s="65" t="n">
        <x:v>0</x:v>
      </x:c>
      <x:c r="I926" s="65" t="n">
        <x:v>0</x:v>
      </x:c>
      <x:c r="J926" s="34" t="str">
        <x:v>low</x:v>
      </x:c>
      <x:c r="K926" s="71" t="n">
        <x:v>29.8636612</x:v>
      </x:c>
      <x:c r="L926" s="71" t="n">
        <x:v>-95.6577721</x:v>
      </x:c>
      <x:c r="M926" s="71" t="n">
        <x:v>0.481</x:v>
      </x:c>
      <x:c r="N926" s="71" t="n">
        <x:v>0.03702591212392915</x:v>
      </x:c>
      <x:c r="O926" s="71" t="n">
        <x:v>20.958543119154697</x:v>
      </x:c>
      <x:c r="P926" s="71" t="n">
        <x:v>5</x:v>
      </x:c>
      <x:c r="Q926" s="71" t="n">
        <x:v>270.79203879967827</x:v>
      </x:c>
      <x:c r="R926" s="34" t="str">
        <x:v>tract internal point; no person, address, building, parcel, or route condition</x:v>
      </x:c>
    </x:row>
    <x:row r="927" ht="86.4000015258789" hidden="0" customHeight="1">
      <x:c r="A927" s="36" t="str">
        <x:v>48201541500</x:v>
      </x:c>
      <x:c r="B927" s="63" t="n">
        <x:v>5136</x:v>
      </x:c>
      <x:c r="C927" s="63" t="n">
        <x:v>440</x:v>
      </x:c>
      <x:c r="D927" s="63" t="n">
        <x:v>94</x:v>
      </x:c>
      <x:c r="E927" s="45" t="n">
        <x:v>0.08566978193146417</x:v>
      </x:c>
      <x:c r="F927" s="45" t="n">
        <x:v>0.018302180685358254</x:v>
      </x:c>
      <x:c r="G927" s="66" t="n">
        <x:v>1789</x:v>
      </x:c>
      <x:c r="H927" s="66" t="n">
        <x:v>98</x:v>
      </x:c>
      <x:c r="I927" s="66" t="n">
        <x:v>0.05477920626048072</x:v>
      </x:c>
      <x:c r="J927" s="36" t="str">
        <x:v>low</x:v>
      </x:c>
      <x:c r="K927" s="72" t="n">
        <x:v>29.8567279</x:v>
      </x:c>
      <x:c r="L927" s="72" t="n">
        <x:v>-95.6796231</x:v>
      </x:c>
      <x:c r="M927" s="72" t="n">
        <x:v>1.187</x:v>
      </x:c>
      <x:c r="N927" s="72" t="n">
        <x:v>0.01903196702437823</x:v>
      </x:c>
      <x:c r="O927" s="72" t="n">
        <x:v>18.48463455504562</x:v>
      </x:c>
      <x:c r="P927" s="72" t="n">
        <x:v>5</x:v>
      </x:c>
      <x:c r="Q927" s="72" t="n">
        <x:v>411.32032735073903</x:v>
      </x:c>
      <x:c r="R927" s="36" t="str">
        <x:v>tract internal point; no person, address, building, parcel, or route condition</x:v>
      </x:c>
    </x:row>
    <x:row r="928" ht="86.4000015258789" hidden="0" customHeight="1">
      <x:c r="A928" s="34" t="str">
        <x:v>48201541603</x:v>
      </x:c>
      <x:c r="B928" s="62" t="n">
        <x:v>6786</x:v>
      </x:c>
      <x:c r="C928" s="62" t="n">
        <x:v>728</x:v>
      </x:c>
      <x:c r="D928" s="62" t="n">
        <x:v>21</x:v>
      </x:c>
      <x:c r="E928" s="43" t="n">
        <x:v>0.10727969348659004</x:v>
      </x:c>
      <x:c r="F928" s="43" t="n">
        <x:v>0.003094606542882405</x:v>
      </x:c>
      <x:c r="G928" s="65" t="n">
        <x:v>2246</x:v>
      </x:c>
      <x:c r="H928" s="65" t="n">
        <x:v>177</x:v>
      </x:c>
      <x:c r="I928" s="65" t="n">
        <x:v>0.07880676758682101</x:v>
      </x:c>
      <x:c r="J928" s="34" t="str">
        <x:v>low</x:v>
      </x:c>
      <x:c r="K928" s="71" t="n">
        <x:v>29.8430246</x:v>
      </x:c>
      <x:c r="L928" s="71" t="n">
        <x:v>-95.6544993</x:v>
      </x:c>
      <x:c r="M928" s="71" t="n">
        <x:v>0.916</x:v>
      </x:c>
      <x:c r="N928" s="71" t="n">
        <x:v>0.01585419112583064</x:v>
      </x:c>
      <x:c r="O928" s="71" t="n">
        <x:v>21.285439058016273</x:v>
      </x:c>
      <x:c r="P928" s="71" t="n">
        <x:v>5</x:v>
      </x:c>
      <x:c r="Q928" s="71" t="n">
        <x:v>544.9558133817058</x:v>
      </x:c>
      <x:c r="R928" s="34" t="str">
        <x:v>tract internal point; no person, address, building, parcel, or route condition</x:v>
      </x:c>
    </x:row>
    <x:row r="929" ht="86.4000015258789" hidden="0" customHeight="1">
      <x:c r="A929" s="36" t="str">
        <x:v>48201541604</x:v>
      </x:c>
      <x:c r="B929" s="63" t="n">
        <x:v>10089</x:v>
      </x:c>
      <x:c r="C929" s="63" t="n">
        <x:v>1365</x:v>
      </x:c>
      <x:c r="D929" s="63" t="n">
        <x:v>188.5</x:v>
      </x:c>
      <x:c r="E929" s="45" t="n">
        <x:v>0.1352958667856081</x:v>
      </x:c>
      <x:c r="F929" s="45" t="n">
        <x:v>0.018683714937060166</x:v>
      </x:c>
      <x:c r="G929" s="66" t="n">
        <x:v>3660</x:v>
      </x:c>
      <x:c r="H929" s="66" t="n">
        <x:v>0</x:v>
      </x:c>
      <x:c r="I929" s="66" t="n">
        <x:v>0</x:v>
      </x:c>
      <x:c r="J929" s="36" t="str">
        <x:v>low</x:v>
      </x:c>
      <x:c r="K929" s="72" t="n">
        <x:v>29.835942</x:v>
      </x:c>
      <x:c r="L929" s="72" t="n">
        <x:v>-95.6796105</x:v>
      </x:c>
      <x:c r="M929" s="72" t="n">
        <x:v>2.809</x:v>
      </x:c>
      <x:c r="N929" s="72" t="n">
        <x:v>0.026464473040547026</x:v>
      </x:c>
      <x:c r="O929" s="72" t="n">
        <x:v>20.23716617612077</x:v>
      </x:c>
      <x:c r="P929" s="72" t="n">
        <x:v>0</x:v>
      </x:c>
      <x:c r="Q929" s="72" t="n">
        <x:v>815.8853938508272</x:v>
      </x:c>
      <x:c r="R929" s="36" t="str">
        <x:v>tract internal point; no person, address, building, parcel, or route condition</x:v>
      </x:c>
    </x:row>
    <x:row r="930" ht="86.4000015258789" hidden="0" customHeight="1">
      <x:c r="A930" s="34" t="str">
        <x:v>48201541701</x:v>
      </x:c>
      <x:c r="B930" s="62" t="n">
        <x:v>6879</x:v>
      </x:c>
      <x:c r="C930" s="62" t="n">
        <x:v>640</x:v>
      </x:c>
      <x:c r="D930" s="62" t="n">
        <x:v>0</x:v>
      </x:c>
      <x:c r="E930" s="43" t="n">
        <x:v>0.09303677860154091</x:v>
      </x:c>
      <x:c r="F930" s="43" t="n">
        <x:v>0</x:v>
      </x:c>
      <x:c r="G930" s="65" t="n">
        <x:v>1860</x:v>
      </x:c>
      <x:c r="H930" s="65" t="n">
        <x:v>163</x:v>
      </x:c>
      <x:c r="I930" s="65" t="n">
        <x:v>0.08763440860215053</x:v>
      </x:c>
      <x:c r="J930" s="34" t="str">
        <x:v>moderate</x:v>
      </x:c>
      <x:c r="K930" s="71" t="n">
        <x:v>29.8204624</x:v>
      </x:c>
      <x:c r="L930" s="71" t="n">
        <x:v>-95.6562593</x:v>
      </x:c>
      <x:c r="M930" s="71" t="n">
        <x:v>3.082</x:v>
      </x:c>
      <x:c r="N930" s="71" t="n">
        <x:v>0.6352165389055888</x:v>
      </x:c>
      <x:c r="O930" s="71" t="n">
        <x:v>25.141098701019533</x:v>
      </x:c>
      <x:c r="P930" s="71" t="n">
        <x:v>0</x:v>
      </x:c>
      <x:c r="Q930" s="71" t="n">
        <x:v>974.3451863352907</x:v>
      </x:c>
      <x:c r="R930" s="34" t="str">
        <x:v>tract internal point; no person, address, building, parcel, or route condition</x:v>
      </x:c>
    </x:row>
    <x:row r="931" ht="86.4000015258789" hidden="0" customHeight="1">
      <x:c r="A931" s="36" t="str">
        <x:v>48201541702</x:v>
      </x:c>
      <x:c r="B931" s="63" t="n">
        <x:v>2644</x:v>
      </x:c>
      <x:c r="C931" s="63" t="n">
        <x:v>201</x:v>
      </x:c>
      <x:c r="D931" s="63" t="n">
        <x:v>125</x:v>
      </x:c>
      <x:c r="E931" s="45" t="n">
        <x:v>0.07602118003025718</x:v>
      </x:c>
      <x:c r="F931" s="45" t="n">
        <x:v>0.0472768532526475</x:v>
      </x:c>
      <x:c r="G931" s="66" t="n">
        <x:v>1290</x:v>
      </x:c>
      <x:c r="H931" s="66" t="n">
        <x:v>365</x:v>
      </x:c>
      <x:c r="I931" s="66" t="n">
        <x:v>0.28294573643410853</x:v>
      </x:c>
      <x:c r="J931" s="36" t="str">
        <x:v>low</x:v>
      </x:c>
      <x:c r="K931" s="72" t="n">
        <x:v>29.7874536</x:v>
      </x:c>
      <x:c r="L931" s="72" t="n">
        <x:v>-95.6688113</x:v>
      </x:c>
      <x:c r="M931" s="72" t="n">
        <x:v>1.041</x:v>
      </x:c>
      <x:c r="N931" s="72" t="n">
        <x:v>0.052732311454684204</x:v>
      </x:c>
      <x:c r="O931" s="72" t="n">
        <x:v>18.179127421144944</x:v>
      </x:c>
      <x:c r="P931" s="72" t="n">
        <x:v>0</x:v>
      </x:c>
      <x:c r="Q931" s="72" t="n">
        <x:v>211.94778284991358</x:v>
      </x:c>
      <x:c r="R931" s="36" t="str">
        <x:v>tract internal point; no person, address, building, parcel, or route condition</x:v>
      </x:c>
    </x:row>
    <x:row r="932" ht="86.4000015258789" hidden="0" customHeight="1">
      <x:c r="A932" s="34" t="str">
        <x:v>48201541703</x:v>
      </x:c>
      <x:c r="B932" s="62" t="n">
        <x:v>3705</x:v>
      </x:c>
      <x:c r="C932" s="62" t="n">
        <x:v>325</x:v>
      </x:c>
      <x:c r="D932" s="62" t="n">
        <x:v>152</x:v>
      </x:c>
      <x:c r="E932" s="43" t="n">
        <x:v>0.08771929824561403</x:v>
      </x:c>
      <x:c r="F932" s="43" t="n">
        <x:v>0.041025641025641026</x:v>
      </x:c>
      <x:c r="G932" s="65" t="n">
        <x:v>2043</x:v>
      </x:c>
      <x:c r="H932" s="65" t="n">
        <x:v>1032</x:v>
      </x:c>
      <x:c r="I932" s="65" t="n">
        <x:v>0.5051395007342144</x:v>
      </x:c>
      <x:c r="J932" s="34" t="str">
        <x:v>high</x:v>
      </x:c>
      <x:c r="K932" s="71" t="n">
        <x:v>29.8023949</x:v>
      </x:c>
      <x:c r="L932" s="71" t="n">
        <x:v>-95.6658103</x:v>
      </x:c>
      <x:c r="M932" s="71" t="n">
        <x:v>4.084</x:v>
      </x:c>
      <x:c r="N932" s="71" t="n">
        <x:v>1.1445168855029468</x:v>
      </x:c>
      <x:c r="O932" s="71" t="n">
        <x:v>25.960596960572573</x:v>
      </x:c>
      <x:c r="P932" s="71" t="n">
        <x:v>0</x:v>
      </x:c>
      <x:c r="Q932" s="71" t="n">
        <x:v>640.7664334476553</x:v>
      </x:c>
      <x:c r="R932" s="34" t="str">
        <x:v>tract internal point; no person, address, building, parcel, or route condition</x:v>
      </x:c>
    </x:row>
    <x:row r="933" ht="86.4000015258789" hidden="0" customHeight="1">
      <x:c r="A933" s="36" t="str">
        <x:v>48201541801</x:v>
      </x:c>
      <x:c r="B933" s="63" t="n">
        <x:v>3980</x:v>
      </x:c>
      <x:c r="C933" s="63" t="n">
        <x:v>492</x:v>
      </x:c>
      <x:c r="D933" s="63" t="n">
        <x:v>99.5</x:v>
      </x:c>
      <x:c r="E933" s="45" t="n">
        <x:v>0.12361809045226131</x:v>
      </x:c>
      <x:c r="F933" s="45" t="n">
        <x:v>0.025</x:v>
      </x:c>
      <x:c r="G933" s="66" t="n">
        <x:v>1742</x:v>
      </x:c>
      <x:c r="H933" s="66" t="n">
        <x:v>615</x:v>
      </x:c>
      <x:c r="I933" s="66" t="n">
        <x:v>0.3530424799081516</x:v>
      </x:c>
      <x:c r="J933" s="36" t="str">
        <x:v>low</x:v>
      </x:c>
      <x:c r="K933" s="72" t="n">
        <x:v>29.7956969</x:v>
      </x:c>
      <x:c r="L933" s="72" t="n">
        <x:v>-95.7120202</x:v>
      </x:c>
      <x:c r="M933" s="72" t="n">
        <x:v>0.552</x:v>
      </x:c>
      <x:c r="N933" s="72" t="n">
        <x:v>0.01946148209097626</x:v>
      </x:c>
      <x:c r="O933" s="72" t="n">
        <x:v>16.77579010252279</x:v>
      </x:c>
      <x:c r="P933" s="72" t="n">
        <x:v>0</x:v>
      </x:c>
      <x:c r="Q933" s="72" t="n">
        <x:v>321.3248481530923</x:v>
      </x:c>
      <x:c r="R933" s="36" t="str">
        <x:v>tract internal point; no person, address, building, parcel, or route condition</x:v>
      </x:c>
    </x:row>
    <x:row r="934" ht="86.4000015258789" hidden="0" customHeight="1">
      <x:c r="A934" s="34" t="str">
        <x:v>48201541802</x:v>
      </x:c>
      <x:c r="B934" s="62" t="n">
        <x:v>4140</x:v>
      </x:c>
      <x:c r="C934" s="62" t="n">
        <x:v>358</x:v>
      </x:c>
      <x:c r="D934" s="62" t="n">
        <x:v>205</x:v>
      </x:c>
      <x:c r="E934" s="43" t="n">
        <x:v>0.08647342995169083</x:v>
      </x:c>
      <x:c r="F934" s="43" t="n">
        <x:v>0.049516908212560384</x:v>
      </x:c>
      <x:c r="G934" s="65" t="n">
        <x:v>2071</x:v>
      </x:c>
      <x:c r="H934" s="65" t="n">
        <x:v>1190</x:v>
      </x:c>
      <x:c r="I934" s="65" t="n">
        <x:v>0.5746016417189763</x:v>
      </x:c>
      <x:c r="J934" s="34" t="str">
        <x:v>high</x:v>
      </x:c>
      <x:c r="K934" s="71" t="n">
        <x:v>29.7918917</x:v>
      </x:c>
      <x:c r="L934" s="71" t="n">
        <x:v>-95.7000975</x:v>
      </x:c>
      <x:c r="M934" s="71" t="n">
        <x:v>1.358</x:v>
      </x:c>
      <x:c r="N934" s="71" t="n">
        <x:v>0.11899554560499581</x:v>
      </x:c>
      <x:c r="O934" s="71" t="n">
        <x:v>18.43472760090458</x:v>
      </x:c>
      <x:c r="P934" s="71" t="n">
        <x:v>0</x:v>
      </x:c>
      <x:c r="Q934" s="71" t="n">
        <x:v>716.4185836927568</x:v>
      </x:c>
      <x:c r="R934" s="34" t="str">
        <x:v>tract internal point; no person, address, building, parcel, or route condition</x:v>
      </x:c>
    </x:row>
    <x:row r="935" ht="86.4000015258789" hidden="0" customHeight="1">
      <x:c r="A935" s="36" t="str">
        <x:v>48201541901</x:v>
      </x:c>
      <x:c r="B935" s="63" t="n">
        <x:v>2742</x:v>
      </x:c>
      <x:c r="C935" s="63" t="n">
        <x:v>263</x:v>
      </x:c>
      <x:c r="D935" s="63" t="n">
        <x:v>41</x:v>
      </x:c>
      <x:c r="E935" s="45" t="n">
        <x:v>0.09591539022611233</x:v>
      </x:c>
      <x:c r="F935" s="45" t="n">
        <x:v>0.014952589350838803</x:v>
      </x:c>
      <x:c r="G935" s="66" t="n">
        <x:v>968</x:v>
      </x:c>
      <x:c r="H935" s="66" t="n">
        <x:v>221</x:v>
      </x:c>
      <x:c r="I935" s="66" t="n">
        <x:v>0.22830578512396693</x:v>
      </x:c>
      <x:c r="J935" s="36" t="str">
        <x:v>low</x:v>
      </x:c>
      <x:c r="K935" s="72" t="n">
        <x:v>29.8067448</x:v>
      </x:c>
      <x:c r="L935" s="72" t="n">
        <x:v>-95.6962227</x:v>
      </x:c>
      <x:c r="M935" s="72" t="n">
        <x:v>0.977</x:v>
      </x:c>
      <x:c r="N935" s="72" t="n">
        <x:v>0.20327984980587815</x:v>
      </x:c>
      <x:c r="O935" s="72" t="n">
        <x:v>20.392447414641516</x:v>
      </x:c>
      <x:c r="P935" s="72" t="n">
        <x:v>0</x:v>
      </x:c>
      <x:c r="Q935" s="72" t="n">
        <x:v>219.9644972974573</x:v>
      </x:c>
      <x:c r="R935" s="36" t="str">
        <x:v>tract internal point; no person, address, building, parcel, or route condition</x:v>
      </x:c>
    </x:row>
    <x:row r="936" ht="86.4000015258789" hidden="0" customHeight="1">
      <x:c r="A936" s="34" t="str">
        <x:v>48201541902</x:v>
      </x:c>
      <x:c r="B936" s="62" t="n">
        <x:v>4756</x:v>
      </x:c>
      <x:c r="C936" s="62" t="n">
        <x:v>344</x:v>
      </x:c>
      <x:c r="D936" s="62" t="n">
        <x:v>62.5</x:v>
      </x:c>
      <x:c r="E936" s="43" t="n">
        <x:v>0.07232968881412952</x:v>
      </x:c>
      <x:c r="F936" s="43" t="n">
        <x:v>0.013141295206055508</x:v>
      </x:c>
      <x:c r="G936" s="65" t="n">
        <x:v>1515</x:v>
      </x:c>
      <x:c r="H936" s="65" t="n">
        <x:v>0</x:v>
      </x:c>
      <x:c r="I936" s="65" t="n">
        <x:v>0</x:v>
      </x:c>
      <x:c r="J936" s="34" t="str">
        <x:v>low</x:v>
      </x:c>
      <x:c r="K936" s="71" t="n">
        <x:v>29.825727</x:v>
      </x:c>
      <x:c r="L936" s="71" t="n">
        <x:v>-95.6982359</x:v>
      </x:c>
      <x:c r="M936" s="71" t="n">
        <x:v>1.144</x:v>
      </x:c>
      <x:c r="N936" s="71" t="n">
        <x:v>0.07729254663993738</x:v>
      </x:c>
      <x:c r="O936" s="71" t="n">
        <x:v>17.107209242171738</x:v>
      </x:c>
      <x:c r="P936" s="71" t="n">
        <x:v>0</x:v>
      </x:c>
      <x:c r="Q936" s="71" t="n">
        <x:v>379.6975326647663</x:v>
      </x:c>
      <x:c r="R936" s="34" t="str">
        <x:v>tract internal point; no person, address, building, parcel, or route condition</x:v>
      </x:c>
    </x:row>
    <x:row r="937" ht="86.4000015258789" hidden="0" customHeight="1">
      <x:c r="A937" s="36" t="str">
        <x:v>48201542001</x:v>
      </x:c>
      <x:c r="B937" s="63" t="n">
        <x:v>4289</x:v>
      </x:c>
      <x:c r="C937" s="63" t="n">
        <x:v>677</x:v>
      </x:c>
      <x:c r="D937" s="63" t="n">
        <x:v>49</x:v>
      </x:c>
      <x:c r="E937" s="45" t="n">
        <x:v>0.15784565166705525</x:v>
      </x:c>
      <x:c r="F937" s="45" t="n">
        <x:v>0.011424574492888785</x:v>
      </x:c>
      <x:c r="G937" s="66" t="n">
        <x:v>1334</x:v>
      </x:c>
      <x:c r="H937" s="66" t="n">
        <x:v>0</x:v>
      </x:c>
      <x:c r="I937" s="66" t="n">
        <x:v>0</x:v>
      </x:c>
      <x:c r="J937" s="36" t="str">
        <x:v>low</x:v>
      </x:c>
      <x:c r="K937" s="72" t="n">
        <x:v>29.8209048</x:v>
      </x:c>
      <x:c r="L937" s="72" t="n">
        <x:v>-95.7145336</x:v>
      </x:c>
      <x:c r="M937" s="72" t="n">
        <x:v>0.585</x:v>
      </x:c>
      <x:c r="N937" s="72" t="n">
        <x:v>0.024898059058963487</x:v>
      </x:c>
      <x:c r="O937" s="72" t="n">
        <x:v>15.8241644138209</x:v>
      </x:c>
      <x:c r="P937" s="72" t="n">
        <x:v>0</x:v>
      </x:c>
      <x:c r="Q937" s="72" t="n">
        <x:v>348.12189512260255</x:v>
      </x:c>
      <x:c r="R937" s="36" t="str">
        <x:v>tract internal point; no person, address, building, parcel, or route condition</x:v>
      </x:c>
    </x:row>
    <x:row r="938" ht="86.4000015258789" hidden="0" customHeight="1">
      <x:c r="A938" s="34" t="str">
        <x:v>48201542002</x:v>
      </x:c>
      <x:c r="B938" s="62" t="n">
        <x:v>2483</x:v>
      </x:c>
      <x:c r="C938" s="62" t="n">
        <x:v>206</x:v>
      </x:c>
      <x:c r="D938" s="62" t="n">
        <x:v>0</x:v>
      </x:c>
      <x:c r="E938" s="43" t="n">
        <x:v>0.08296415626258558</x:v>
      </x:c>
      <x:c r="F938" s="43" t="n">
        <x:v>0</x:v>
      </x:c>
      <x:c r="G938" s="65" t="n">
        <x:v>880</x:v>
      </x:c>
      <x:c r="H938" s="65" t="n">
        <x:v>0</x:v>
      </x:c>
      <x:c r="I938" s="65" t="n">
        <x:v>0</x:v>
      </x:c>
      <x:c r="J938" s="34" t="str">
        <x:v>low</x:v>
      </x:c>
      <x:c r="K938" s="71" t="n">
        <x:v>29.8273234</x:v>
      </x:c>
      <x:c r="L938" s="71" t="n">
        <x:v>-95.7109839</x:v>
      </x:c>
      <x:c r="M938" s="71" t="n">
        <x:v>0.526</x:v>
      </x:c>
      <x:c r="N938" s="71" t="n">
        <x:v>0.023424448137218404</x:v>
      </x:c>
      <x:c r="O938" s="71" t="n">
        <x:v>14.973098027481457</x:v>
      </x:c>
      <x:c r="P938" s="71" t="n">
        <x:v>0</x:v>
      </x:c>
      <x:c r="Q938" s="71" t="n">
        <x:v>198.3901040048029</x:v>
      </x:c>
      <x:c r="R938" s="34" t="str">
        <x:v>tract internal point; no person, address, building, parcel, or route condition</x:v>
      </x:c>
    </x:row>
    <x:row r="939" ht="86.4000015258789" hidden="0" customHeight="1">
      <x:c r="A939" s="36" t="str">
        <x:v>48201542003</x:v>
      </x:c>
      <x:c r="B939" s="63" t="n">
        <x:v>3809</x:v>
      </x:c>
      <x:c r="C939" s="63" t="n">
        <x:v>467</x:v>
      </x:c>
      <x:c r="D939" s="63" t="n">
        <x:v>0</x:v>
      </x:c>
      <x:c r="E939" s="45" t="n">
        <x:v>0.12260435809923864</x:v>
      </x:c>
      <x:c r="F939" s="45" t="n">
        <x:v>0</x:v>
      </x:c>
      <x:c r="G939" s="66" t="n">
        <x:v>1123</x:v>
      </x:c>
      <x:c r="H939" s="66" t="n">
        <x:v>0</x:v>
      </x:c>
      <x:c r="I939" s="66" t="n">
        <x:v>0</x:v>
      </x:c>
      <x:c r="J939" s="36" t="str">
        <x:v>low</x:v>
      </x:c>
      <x:c r="K939" s="72" t="n">
        <x:v>29.811598</x:v>
      </x:c>
      <x:c r="L939" s="72" t="n">
        <x:v>-95.7114603</x:v>
      </x:c>
      <x:c r="M939" s="72" t="n">
        <x:v>0.452</x:v>
      </x:c>
      <x:c r="N939" s="72" t="n">
        <x:v>0.04965550667034677</x:v>
      </x:c>
      <x:c r="O939" s="72" t="n">
        <x:v>17.563681652416367</x:v>
      </x:c>
      <x:c r="P939" s="72" t="n">
        <x:v>0</x:v>
      </x:c>
      <x:c r="Q939" s="72" t="n">
        <x:v>306.71006333426146</x:v>
      </x:c>
      <x:c r="R939" s="36" t="str">
        <x:v>tract internal point; no person, address, building, parcel, or route condition</x:v>
      </x:c>
    </x:row>
    <x:row r="940" ht="86.4000015258789" hidden="0" customHeight="1">
      <x:c r="A940" s="34" t="str">
        <x:v>48201542004</x:v>
      </x:c>
      <x:c r="B940" s="62" t="n">
        <x:v>2989</x:v>
      </x:c>
      <x:c r="C940" s="62" t="n">
        <x:v>384</x:v>
      </x:c>
      <x:c r="D940" s="62" t="n">
        <x:v>38</x:v>
      </x:c>
      <x:c r="E940" s="43" t="n">
        <x:v>0.1284710605553697</x:v>
      </x:c>
      <x:c r="F940" s="43" t="n">
        <x:v>0.012713282034125126</x:v>
      </x:c>
      <x:c r="G940" s="65" t="n">
        <x:v>1016</x:v>
      </x:c>
      <x:c r="H940" s="65" t="n">
        <x:v>0</x:v>
      </x:c>
      <x:c r="I940" s="65" t="n">
        <x:v>0</x:v>
      </x:c>
      <x:c r="J940" s="34" t="str">
        <x:v>high</x:v>
      </x:c>
      <x:c r="K940" s="71" t="n">
        <x:v>29.8044932</x:v>
      </x:c>
      <x:c r="L940" s="71" t="n">
        <x:v>-95.7125097</x:v>
      </x:c>
      <x:c r="M940" s="71" t="n">
        <x:v>0.531</x:v>
      </x:c>
      <x:c r="N940" s="71" t="n">
        <x:v>0.014309589188569385</x:v>
      </x:c>
      <x:c r="O940" s="71" t="n">
        <x:v>18.23170417106789</x:v>
      </x:c>
      <x:c r="P940" s="71" t="n">
        <x:v>0</x:v>
      </x:c>
      <x:c r="Q940" s="71" t="n">
        <x:v>519.6281951048618</x:v>
      </x:c>
      <x:c r="R940" s="34" t="str">
        <x:v>tract internal point; no person, address, building, parcel, or route condition</x:v>
      </x:c>
    </x:row>
    <x:row r="941" ht="86.4000015258789" hidden="0" customHeight="1">
      <x:c r="A941" s="36" t="str">
        <x:v>48201542103</x:v>
      </x:c>
      <x:c r="B941" s="63" t="n">
        <x:v>9503</x:v>
      </x:c>
      <x:c r="C941" s="63" t="n">
        <x:v>1061</x:v>
      </x:c>
      <x:c r="D941" s="63" t="n">
        <x:v>0</x:v>
      </x:c>
      <x:c r="E941" s="45" t="n">
        <x:v>0.11164895296222245</x:v>
      </x:c>
      <x:c r="F941" s="45" t="n">
        <x:v>0</x:v>
      </x:c>
      <x:c r="G941" s="66" t="n">
        <x:v>2942</x:v>
      </x:c>
      <x:c r="H941" s="66" t="n">
        <x:v>0</x:v>
      </x:c>
      <x:c r="I941" s="66" t="n">
        <x:v>0</x:v>
      </x:c>
      <x:c r="J941" s="36" t="str">
        <x:v>low</x:v>
      </x:c>
      <x:c r="K941" s="72" t="n">
        <x:v>29.8572378</x:v>
      </x:c>
      <x:c r="L941" s="72" t="n">
        <x:v>-95.6965551</x:v>
      </x:c>
      <x:c r="M941" s="72" t="n">
        <x:v>1.45</x:v>
      </x:c>
      <x:c r="N941" s="72" t="n">
        <x:v>0.06438245706498985</x:v>
      </x:c>
      <x:c r="O941" s="72" t="n">
        <x:v>19.98395306062863</x:v>
      </x:c>
      <x:c r="P941" s="72" t="n">
        <x:v>5</x:v>
      </x:c>
      <x:c r="Q941" s="72" t="n">
        <x:v>763.5684725566359</x:v>
      </x:c>
      <x:c r="R941" s="36" t="str">
        <x:v>tract internal point; no person, address, building, parcel, or route condition</x:v>
      </x:c>
    </x:row>
    <x:row r="942" ht="86.4000015258789" hidden="0" customHeight="1">
      <x:c r="A942" s="34" t="str">
        <x:v>48201542104</x:v>
      </x:c>
      <x:c r="B942" s="62" t="n">
        <x:v>7914</x:v>
      </x:c>
      <x:c r="C942" s="62" t="n">
        <x:v>1132</x:v>
      </x:c>
      <x:c r="D942" s="62" t="n">
        <x:v>26</x:v>
      </x:c>
      <x:c r="E942" s="43" t="n">
        <x:v>0.14303765478898156</x:v>
      </x:c>
      <x:c r="F942" s="43" t="n">
        <x:v>0.0032853171594642407</x:v>
      </x:c>
      <x:c r="G942" s="65" t="n">
        <x:v>2448</x:v>
      </x:c>
      <x:c r="H942" s="65" t="n">
        <x:v>89</x:v>
      </x:c>
      <x:c r="I942" s="65" t="n">
        <x:v>0.0363562091503268</x:v>
      </x:c>
      <x:c r="J942" s="34" t="str">
        <x:v>low</x:v>
      </x:c>
      <x:c r="K942" s="71" t="n">
        <x:v>29.837111</x:v>
      </x:c>
      <x:c r="L942" s="71" t="n">
        <x:v>-95.7106044</x:v>
      </x:c>
      <x:c r="M942" s="71" t="n">
        <x:v>0.835</x:v>
      </x:c>
      <x:c r="N942" s="71" t="n">
        <x:v>0.06637579564244994</x:v>
      </x:c>
      <x:c r="O942" s="71" t="n">
        <x:v>15.376967010147776</x:v>
      </x:c>
      <x:c r="P942" s="71" t="n">
        <x:v>0</x:v>
      </x:c>
      <x:c r="Q942" s="71" t="n">
        <x:v>640.001036728908</x:v>
      </x:c>
      <x:c r="R942" s="34" t="str">
        <x:v>tract internal point; no person, address, building, parcel, or route condition</x:v>
      </x:c>
    </x:row>
    <x:row r="943" ht="86.4000015258789" hidden="0" customHeight="1">
      <x:c r="A943" s="36" t="str">
        <x:v>48201542105</x:v>
      </x:c>
      <x:c r="B943" s="63" t="n">
        <x:v>10026</x:v>
      </x:c>
      <x:c r="C943" s="63" t="n">
        <x:v>886</x:v>
      </x:c>
      <x:c r="D943" s="63" t="n">
        <x:v>199</x:v>
      </x:c>
      <x:c r="E943" s="45" t="n">
        <x:v>0.08837023738280471</x:v>
      </x:c>
      <x:c r="F943" s="45" t="n">
        <x:v>0.019848394175144623</x:v>
      </x:c>
      <x:c r="G943" s="66" t="n">
        <x:v>3196</x:v>
      </x:c>
      <x:c r="H943" s="66" t="n">
        <x:v>489</x:v>
      </x:c>
      <x:c r="I943" s="66" t="n">
        <x:v>0.15300375469336672</x:v>
      </x:c>
      <x:c r="J943" s="36" t="str">
        <x:v>low</x:v>
      </x:c>
      <x:c r="K943" s="72" t="n">
        <x:v>29.8519801</x:v>
      </x:c>
      <x:c r="L943" s="72" t="n">
        <x:v>-95.7109415</x:v>
      </x:c>
      <x:c r="M943" s="72" t="n">
        <x:v>1.229</x:v>
      </x:c>
      <x:c r="N943" s="72" t="n">
        <x:v>0.13049704997688372</x:v>
      </x:c>
      <x:c r="O943" s="72" t="n">
        <x:v>18.793952769329824</x:v>
      </x:c>
      <x:c r="P943" s="72" t="n">
        <x:v>0</x:v>
      </x:c>
      <x:c r="Q943" s="72" t="n">
        <x:v>803.4869947910229</x:v>
      </x:c>
      <x:c r="R943" s="36" t="str">
        <x:v>tract internal point; no person, address, building, parcel, or route condition</x:v>
      </x:c>
    </x:row>
    <x:row r="944" ht="86.4000015258789" hidden="0" customHeight="1">
      <x:c r="A944" s="34" t="str">
        <x:v>48201542106</x:v>
      </x:c>
      <x:c r="B944" s="62" t="n">
        <x:v>8489</x:v>
      </x:c>
      <x:c r="C944" s="62" t="n">
        <x:v>563</x:v>
      </x:c>
      <x:c r="D944" s="62" t="n">
        <x:v>90</x:v>
      </x:c>
      <x:c r="E944" s="43" t="n">
        <x:v>0.0663211214512899</x:v>
      </x:c>
      <x:c r="F944" s="43" t="n">
        <x:v>0.010601955471787019</x:v>
      </x:c>
      <x:c r="G944" s="65" t="n">
        <x:v>2889</x:v>
      </x:c>
      <x:c r="H944" s="65" t="n">
        <x:v>52</x:v>
      </x:c>
      <x:c r="I944" s="65" t="n">
        <x:v>0.017999307718933887</x:v>
      </x:c>
      <x:c r="J944" s="34" t="str">
        <x:v>low</x:v>
      </x:c>
      <x:c r="K944" s="71" t="n">
        <x:v>29.8721091</x:v>
      </x:c>
      <x:c r="L944" s="71" t="n">
        <x:v>-95.7107909</x:v>
      </x:c>
      <x:c r="M944" s="71" t="n">
        <x:v>1.176</x:v>
      </x:c>
      <x:c r="N944" s="71" t="n">
        <x:v>0.014499553434903199</x:v>
      </x:c>
      <x:c r="O944" s="71" t="n">
        <x:v>17.160225663407402</x:v>
      </x:c>
      <x:c r="P944" s="71" t="n">
        <x:v>5</x:v>
      </x:c>
      <x:c r="Q944" s="71" t="n">
        <x:v>676.7521708041185</x:v>
      </x:c>
      <x:c r="R944" s="34" t="str">
        <x:v>tract internal point; no person, address, building, parcel, or route condition</x:v>
      </x:c>
    </x:row>
    <x:row r="945" ht="86.4000015258789" hidden="0" customHeight="1">
      <x:c r="A945" s="36" t="str">
        <x:v>48201542107</x:v>
      </x:c>
      <x:c r="B945" s="63" t="n">
        <x:v>3822</x:v>
      </x:c>
      <x:c r="C945" s="63" t="n">
        <x:v>308</x:v>
      </x:c>
      <x:c r="D945" s="63" t="n">
        <x:v>0</x:v>
      </x:c>
      <x:c r="E945" s="45" t="n">
        <x:v>0.08058608058608059</x:v>
      </x:c>
      <x:c r="F945" s="45" t="n">
        <x:v>0</x:v>
      </x:c>
      <x:c r="G945" s="66" t="n">
        <x:v>1069</x:v>
      </x:c>
      <x:c r="H945" s="66" t="n">
        <x:v>0</x:v>
      </x:c>
      <x:c r="I945" s="66" t="n">
        <x:v>0</x:v>
      </x:c>
      <x:c r="J945" s="36" t="str">
        <x:v>low</x:v>
      </x:c>
      <x:c r="K945" s="72" t="n">
        <x:v>29.8722427</x:v>
      </x:c>
      <x:c r="L945" s="72" t="n">
        <x:v>-95.6878599</x:v>
      </x:c>
      <x:c r="M945" s="72" t="n">
        <x:v>0.532</x:v>
      </x:c>
      <x:c r="N945" s="72" t="n">
        <x:v>0.028627706682541002</x:v>
      </x:c>
      <x:c r="O945" s="72" t="n">
        <x:v>16.183725910925588</x:v>
      </x:c>
      <x:c r="P945" s="72" t="n">
        <x:v>5</x:v>
      </x:c>
      <x:c r="Q945" s="72" t="n">
        <x:v>305.2324728282436</x:v>
      </x:c>
      <x:c r="R945" s="36" t="str">
        <x:v>tract internal point; no person, address, building, parcel, or route condition</x:v>
      </x:c>
    </x:row>
    <x:row r="946" ht="86.4000015258789" hidden="0" customHeight="1">
      <x:c r="A946" s="34" t="str">
        <x:v>48201542108</x:v>
      </x:c>
      <x:c r="B946" s="62" t="n">
        <x:v>5180</x:v>
      </x:c>
      <x:c r="C946" s="62" t="n">
        <x:v>592</x:v>
      </x:c>
      <x:c r="D946" s="62" t="n">
        <x:v>30</x:v>
      </x:c>
      <x:c r="E946" s="43" t="n">
        <x:v>0.11428571428571428</x:v>
      </x:c>
      <x:c r="F946" s="43" t="n">
        <x:v>0.005791505791505791</x:v>
      </x:c>
      <x:c r="G946" s="65" t="n">
        <x:v>1299</x:v>
      </x:c>
      <x:c r="H946" s="65" t="n">
        <x:v>0</x:v>
      </x:c>
      <x:c r="I946" s="65" t="n">
        <x:v>0</x:v>
      </x:c>
      <x:c r="J946" s="34" t="str">
        <x:v>low</x:v>
      </x:c>
      <x:c r="K946" s="71" t="n">
        <x:v>29.8757415</x:v>
      </x:c>
      <x:c r="L946" s="71" t="n">
        <x:v>-95.6968466</x:v>
      </x:c>
      <x:c r="M946" s="71" t="n">
        <x:v>0.743</x:v>
      </x:c>
      <x:c r="N946" s="71" t="n">
        <x:v>0.40257195813307184</x:v>
      </x:c>
      <x:c r="O946" s="71" t="n">
        <x:v>18.142326208153435</x:v>
      </x:c>
      <x:c r="P946" s="71" t="n">
        <x:v>5</x:v>
      </x:c>
      <x:c r="Q946" s="71" t="n">
        <x:v>416.6648036491015</x:v>
      </x:c>
      <x:c r="R946" s="34" t="str">
        <x:v>tract internal point; no person, address, building, parcel, or route condition</x:v>
      </x:c>
    </x:row>
    <x:row r="947" ht="86.4000015258789" hidden="0" customHeight="1">
      <x:c r="A947" s="36" t="str">
        <x:v>48201542201</x:v>
      </x:c>
      <x:c r="B947" s="63" t="n">
        <x:v>7542</x:v>
      </x:c>
      <x:c r="C947" s="63" t="n">
        <x:v>592</x:v>
      </x:c>
      <x:c r="D947" s="63" t="n">
        <x:v>156</x:v>
      </x:c>
      <x:c r="E947" s="45" t="n">
        <x:v>0.0784937682312384</x:v>
      </x:c>
      <x:c r="F947" s="45" t="n">
        <x:v>0.020684168655529037</x:v>
      </x:c>
      <x:c r="G947" s="66" t="n">
        <x:v>1845</x:v>
      </x:c>
      <x:c r="H947" s="66" t="n">
        <x:v>0</x:v>
      </x:c>
      <x:c r="I947" s="66" t="n">
        <x:v>0</x:v>
      </x:c>
      <x:c r="J947" s="36" t="str">
        <x:v>low</x:v>
      </x:c>
      <x:c r="K947" s="72" t="n">
        <x:v>29.8702618</x:v>
      </x:c>
      <x:c r="L947" s="72" t="n">
        <x:v>-95.726161</x:v>
      </x:c>
      <x:c r="M947" s="72" t="n">
        <x:v>0.748</x:v>
      </x:c>
      <x:c r="N947" s="72" t="n">
        <x:v>0.030936118566702177</x:v>
      </x:c>
      <x:c r="O947" s="72" t="n">
        <x:v>16.654400244051974</x:v>
      </x:c>
      <x:c r="P947" s="72" t="n">
        <x:v>5</x:v>
      </x:c>
      <x:c r="Q947" s="72" t="n">
        <x:v>603.2970597975068</x:v>
      </x:c>
      <x:c r="R947" s="36" t="str">
        <x:v>tract internal point; no person, address, building, parcel, or route condition</x:v>
      </x:c>
    </x:row>
    <x:row r="948" ht="86.4000015258789" hidden="0" customHeight="1">
      <x:c r="A948" s="34" t="str">
        <x:v>48201542202</x:v>
      </x:c>
      <x:c r="B948" s="62" t="n">
        <x:v>11845</x:v>
      </x:c>
      <x:c r="C948" s="62" t="n">
        <x:v>1169</x:v>
      </x:c>
      <x:c r="D948" s="62" t="n">
        <x:v>756.5</x:v>
      </x:c>
      <x:c r="E948" s="43" t="n">
        <x:v>0.09869143098353736</x:v>
      </x:c>
      <x:c r="F948" s="43" t="n">
        <x:v>0.06386661038412833</x:v>
      </x:c>
      <x:c r="G948" s="65" t="n">
        <x:v>3594</x:v>
      </x:c>
      <x:c r="H948" s="65" t="n">
        <x:v>336</x:v>
      </x:c>
      <x:c r="I948" s="65" t="n">
        <x:v>0.09348914858096828</x:v>
      </x:c>
      <x:c r="J948" s="34" t="str">
        <x:v>low</x:v>
      </x:c>
      <x:c r="K948" s="71" t="n">
        <x:v>29.8524543</x:v>
      </x:c>
      <x:c r="L948" s="71" t="n">
        <x:v>-95.7477262</x:v>
      </x:c>
      <x:c r="M948" s="71" t="n">
        <x:v>5.446</x:v>
      </x:c>
      <x:c r="N948" s="71" t="n">
        <x:v>0.016525797247484205</x:v>
      </x:c>
      <x:c r="O948" s="71" t="n">
        <x:v>17.50663048699444</x:v>
      </x:c>
      <x:c r="P948" s="71" t="n">
        <x:v>0</x:v>
      </x:c>
      <x:c r="Q948" s="71" t="n">
        <x:v>955.28191095047</x:v>
      </x:c>
      <x:c r="R948" s="34" t="str">
        <x:v>tract internal point; no person, address, building, parcel, or route condition</x:v>
      </x:c>
    </x:row>
    <x:row r="949" ht="86.4000015258789" hidden="0" customHeight="1">
      <x:c r="A949" s="36" t="str">
        <x:v>48201542203</x:v>
      </x:c>
      <x:c r="B949" s="63" t="n">
        <x:v>12427</x:v>
      </x:c>
      <x:c r="C949" s="63" t="n">
        <x:v>1407</x:v>
      </x:c>
      <x:c r="D949" s="63" t="n">
        <x:v>194</x:v>
      </x:c>
      <x:c r="E949" s="45" t="n">
        <x:v>0.11322121187736381</x:v>
      </x:c>
      <x:c r="F949" s="45" t="n">
        <x:v>0.015611169228293233</x:v>
      </x:c>
      <x:c r="G949" s="66" t="n">
        <x:v>3848</x:v>
      </x:c>
      <x:c r="H949" s="66" t="n">
        <x:v>0</x:v>
      </x:c>
      <x:c r="I949" s="66" t="n">
        <x:v>0</x:v>
      </x:c>
      <x:c r="J949" s="36" t="str">
        <x:v>low</x:v>
      </x:c>
      <x:c r="K949" s="72" t="n">
        <x:v>29.8583282</x:v>
      </x:c>
      <x:c r="L949" s="72" t="n">
        <x:v>-95.7371666</x:v>
      </x:c>
      <x:c r="M949" s="72" t="n">
        <x:v>3.091</x:v>
      </x:c>
      <x:c r="N949" s="72" t="n">
        <x:v>0.04966823412984874</x:v>
      </x:c>
      <x:c r="O949" s="72" t="n">
        <x:v>16.040766648708324</x:v>
      </x:c>
      <x:c r="P949" s="72" t="n">
        <x:v>0</x:v>
      </x:c>
      <x:c r="Q949" s="72" t="n">
        <x:v>1000.3444916220307</x:v>
      </x:c>
      <x:c r="R949" s="36" t="str">
        <x:v>tract internal point; no person, address, building, parcel, or route condition</x:v>
      </x:c>
    </x:row>
    <x:row r="950" ht="86.4000015258789" hidden="0" customHeight="1">
      <x:c r="A950" s="34" t="str">
        <x:v>48201542302</x:v>
      </x:c>
      <x:c r="B950" s="62" t="n">
        <x:v>7713</x:v>
      </x:c>
      <x:c r="C950" s="62" t="n">
        <x:v>1014</x:v>
      </x:c>
      <x:c r="D950" s="62" t="n">
        <x:v>715.5</x:v>
      </x:c>
      <x:c r="E950" s="43" t="n">
        <x:v>0.13146635550369506</x:v>
      </x:c>
      <x:c r="F950" s="43" t="n">
        <x:v>0.0927654609101517</x:v>
      </x:c>
      <x:c r="G950" s="65" t="n">
        <x:v>2579</x:v>
      </x:c>
      <x:c r="H950" s="65" t="n">
        <x:v>215</x:v>
      </x:c>
      <x:c r="I950" s="65" t="n">
        <x:v>0.08336564559906941</x:v>
      </x:c>
      <x:c r="J950" s="34" t="str">
        <x:v>low</x:v>
      </x:c>
      <x:c r="K950" s="71" t="n">
        <x:v>29.8090556</x:v>
      </x:c>
      <x:c r="L950" s="71" t="n">
        <x:v>-95.7433095</x:v>
      </x:c>
      <x:c r="M950" s="71" t="n">
        <x:v>1.716</x:v>
      </x:c>
      <x:c r="N950" s="71" t="n">
        <x:v>0.2880513526179879</x:v>
      </x:c>
      <x:c r="O950" s="71" t="n">
        <x:v>14.018736654454687</x:v>
      </x:c>
      <x:c r="P950" s="71" t="n">
        <x:v>0</x:v>
      </x:c>
      <x:c r="Q950" s="71" t="n">
        <x:v>627.7676876724357</x:v>
      </x:c>
      <x:c r="R950" s="34" t="str">
        <x:v>tract internal point; no person, address, building, parcel, or route condition</x:v>
      </x:c>
    </x:row>
    <x:row r="951" ht="86.4000015258789" hidden="0" customHeight="1">
      <x:c r="A951" s="36" t="str">
        <x:v>48201542303</x:v>
      </x:c>
      <x:c r="B951" s="63" t="n">
        <x:v>3640</x:v>
      </x:c>
      <x:c r="C951" s="63" t="n">
        <x:v>379</x:v>
      </x:c>
      <x:c r="D951" s="63" t="n">
        <x:v>0</x:v>
      </x:c>
      <x:c r="E951" s="45" t="n">
        <x:v>0.10412087912087913</x:v>
      </x:c>
      <x:c r="F951" s="45" t="n">
        <x:v>0</x:v>
      </x:c>
      <x:c r="G951" s="66" t="n">
        <x:v>1335</x:v>
      </x:c>
      <x:c r="H951" s="66" t="n">
        <x:v>26</x:v>
      </x:c>
      <x:c r="I951" s="66" t="n">
        <x:v>0.01947565543071161</x:v>
      </x:c>
      <x:c r="J951" s="36" t="str">
        <x:v>low</x:v>
      </x:c>
      <x:c r="K951" s="72" t="n">
        <x:v>29.8128248</x:v>
      </x:c>
      <x:c r="L951" s="72" t="n">
        <x:v>-95.7272176</x:v>
      </x:c>
      <x:c r="M951" s="72" t="n">
        <x:v>0.524</x:v>
      </x:c>
      <x:c r="N951" s="72" t="n">
        <x:v>0.014882009547831193</x:v>
      </x:c>
      <x:c r="O951" s="72" t="n">
        <x:v>15.257648262156506</x:v>
      </x:c>
      <x:c r="P951" s="72" t="n">
        <x:v>0</x:v>
      </x:c>
      <x:c r="Q951" s="72" t="n">
        <x:v>292.0441916096373</x:v>
      </x:c>
      <x:c r="R951" s="36" t="str">
        <x:v>tract internal point; no person, address, building, parcel, or route condition</x:v>
      </x:c>
    </x:row>
    <x:row r="952" ht="86.4000015258789" hidden="0" customHeight="1">
      <x:c r="A952" s="34" t="str">
        <x:v>48201542304</x:v>
      </x:c>
      <x:c r="B952" s="62" t="n">
        <x:v>5523</x:v>
      </x:c>
      <x:c r="C952" s="62" t="n">
        <x:v>383</x:v>
      </x:c>
      <x:c r="D952" s="62" t="n">
        <x:v>0</x:v>
      </x:c>
      <x:c r="E952" s="43" t="n">
        <x:v>0.06934636972659787</x:v>
      </x:c>
      <x:c r="F952" s="43" t="n">
        <x:v>0</x:v>
      </x:c>
      <x:c r="G952" s="65" t="n">
        <x:v>1623</x:v>
      </x:c>
      <x:c r="H952" s="65" t="n">
        <x:v>0</x:v>
      </x:c>
      <x:c r="I952" s="65" t="n">
        <x:v>0</x:v>
      </x:c>
      <x:c r="J952" s="34" t="str">
        <x:v>low</x:v>
      </x:c>
      <x:c r="K952" s="71" t="n">
        <x:v>29.8239135</x:v>
      </x:c>
      <x:c r="L952" s="71" t="n">
        <x:v>-95.725545</x:v>
      </x:c>
      <x:c r="M952" s="71" t="n">
        <x:v>0.766</x:v>
      </x:c>
      <x:c r="N952" s="71" t="n">
        <x:v>0.04639451254852801</x:v>
      </x:c>
      <x:c r="O952" s="71" t="n">
        <x:v>13.811507185051322</x:v>
      </x:c>
      <x:c r="P952" s="71" t="n">
        <x:v>0</x:v>
      </x:c>
      <x:c r="Q952" s="71" t="n">
        <x:v>440.1019041222147</x:v>
      </x:c>
      <x:c r="R952" s="34" t="str">
        <x:v>tract internal point; no person, address, building, parcel, or route condition</x:v>
      </x:c>
    </x:row>
    <x:row r="953" ht="86.4000015258789" hidden="0" customHeight="1">
      <x:c r="A953" s="36" t="str">
        <x:v>48201542305</x:v>
      </x:c>
      <x:c r="B953" s="63" t="n">
        <x:v>4761</x:v>
      </x:c>
      <x:c r="C953" s="63" t="n">
        <x:v>485</x:v>
      </x:c>
      <x:c r="D953" s="63" t="n">
        <x:v>0</x:v>
      </x:c>
      <x:c r="E953" s="45" t="n">
        <x:v>0.10186935517748372</x:v>
      </x:c>
      <x:c r="F953" s="45" t="n">
        <x:v>0</x:v>
      </x:c>
      <x:c r="G953" s="66" t="n">
        <x:v>1553</x:v>
      </x:c>
      <x:c r="H953" s="66" t="n">
        <x:v>13</x:v>
      </x:c>
      <x:c r="I953" s="66" t="n">
        <x:v>0.008370895041854474</x:v>
      </x:c>
      <x:c r="J953" s="36" t="str">
        <x:v>low</x:v>
      </x:c>
      <x:c r="K953" s="72" t="n">
        <x:v>29.8249634</x:v>
      </x:c>
      <x:c r="L953" s="72" t="n">
        <x:v>-95.7395737</x:v>
      </x:c>
      <x:c r="M953" s="72" t="n">
        <x:v>1.012</x:v>
      </x:c>
      <x:c r="N953" s="72" t="n">
        <x:v>0.0997520592591034</x:v>
      </x:c>
      <x:c r="O953" s="72" t="n">
        <x:v>11.918894849131036</x:v>
      </x:c>
      <x:c r="P953" s="72" t="n">
        <x:v>0</x:v>
      </x:c>
      <x:c r="Q953" s="72" t="n">
        <x:v>381.8156743741908</x:v>
      </x:c>
      <x:c r="R953" s="36" t="str">
        <x:v>tract internal point; no person, address, building, parcel, or route condition</x:v>
      </x:c>
    </x:row>
    <x:row r="954" ht="86.4000015258789" hidden="0" customHeight="1">
      <x:c r="A954" s="34" t="str">
        <x:v>48201542401</x:v>
      </x:c>
      <x:c r="B954" s="62" t="n">
        <x:v>4991</x:v>
      </x:c>
      <x:c r="C954" s="62" t="n">
        <x:v>468</x:v>
      </x:c>
      <x:c r="D954" s="62" t="n">
        <x:v>216</x:v>
      </x:c>
      <x:c r="E954" s="43" t="n">
        <x:v>0.09376878381085954</x:v>
      </x:c>
      <x:c r="F954" s="43" t="n">
        <x:v>0.043277900220396716</x:v>
      </x:c>
      <x:c r="G954" s="65" t="n">
        <x:v>1687</x:v>
      </x:c>
      <x:c r="H954" s="65" t="n">
        <x:v>520</x:v>
      </x:c>
      <x:c r="I954" s="65" t="n">
        <x:v>0.3082394783639597</x:v>
      </x:c>
      <x:c r="J954" s="34" t="str">
        <x:v>low</x:v>
      </x:c>
      <x:c r="K954" s="71" t="n">
        <x:v>29.7953916</x:v>
      </x:c>
      <x:c r="L954" s="71" t="n">
        <x:v>-95.7245276</x:v>
      </x:c>
      <x:c r="M954" s="71" t="n">
        <x:v>0.474</x:v>
      </x:c>
      <x:c r="N954" s="71" t="n">
        <x:v>0.014708165547288026</x:v>
      </x:c>
      <x:c r="O954" s="71" t="n">
        <x:v>16.172574638258368</x:v>
      </x:c>
      <x:c r="P954" s="71" t="n">
        <x:v>0</x:v>
      </x:c>
      <x:c r="Q954" s="71" t="n">
        <x:v>401.3230128632139</x:v>
      </x:c>
      <x:c r="R954" s="34" t="str">
        <x:v>tract internal point; no person, address, building, parcel, or route condition</x:v>
      </x:c>
    </x:row>
    <x:row r="955" ht="86.4000015258789" hidden="0" customHeight="1">
      <x:c r="A955" s="36" t="str">
        <x:v>48201542402</x:v>
      </x:c>
      <x:c r="B955" s="63" t="n">
        <x:v>5162</x:v>
      </x:c>
      <x:c r="C955" s="63" t="n">
        <x:v>324</x:v>
      </x:c>
      <x:c r="D955" s="63" t="n">
        <x:v>79</x:v>
      </x:c>
      <x:c r="E955" s="45" t="n">
        <x:v>0.06276636962417667</x:v>
      </x:c>
      <x:c r="F955" s="45" t="n">
        <x:v>0.015304145679969005</x:v>
      </x:c>
      <x:c r="G955" s="66" t="n">
        <x:v>2039</x:v>
      </x:c>
      <x:c r="H955" s="66" t="n">
        <x:v>154</x:v>
      </x:c>
      <x:c r="I955" s="66" t="n">
        <x:v>0.07552721922511035</x:v>
      </x:c>
      <x:c r="J955" s="36" t="str">
        <x:v>low</x:v>
      </x:c>
      <x:c r="K955" s="72" t="n">
        <x:v>29.7927912</x:v>
      </x:c>
      <x:c r="L955" s="72" t="n">
        <x:v>-95.7388598</x:v>
      </x:c>
      <x:c r="M955" s="72" t="n">
        <x:v>1.706</x:v>
      </x:c>
      <x:c r="N955" s="72" t="n">
        <x:v>0.0067754877973318734</x:v>
      </x:c>
      <x:c r="O955" s="72" t="n">
        <x:v>14.777637527253935</x:v>
      </x:c>
      <x:c r="P955" s="72" t="n">
        <x:v>0</x:v>
      </x:c>
      <x:c r="Q955" s="72" t="n">
        <x:v>411.42250116232526</x:v>
      </x:c>
      <x:c r="R955" s="36" t="str">
        <x:v>tract internal point; no person, address, building, parcel, or route condition</x:v>
      </x:c>
    </x:row>
    <x:row r="956" ht="86.4000015258789" hidden="0" customHeight="1">
      <x:c r="A956" s="34" t="str">
        <x:v>48201542500</x:v>
      </x:c>
      <x:c r="B956" s="62" t="n">
        <x:v>3885</x:v>
      </x:c>
      <x:c r="C956" s="62" t="n">
        <x:v>546</x:v>
      </x:c>
      <x:c r="D956" s="62" t="n">
        <x:v>64</x:v>
      </x:c>
      <x:c r="E956" s="43" t="n">
        <x:v>0.14054054054054055</x:v>
      </x:c>
      <x:c r="F956" s="43" t="n">
        <x:v>0.016473616473616472</x:v>
      </x:c>
      <x:c r="G956" s="65" t="n">
        <x:v>1976</x:v>
      </x:c>
      <x:c r="H956" s="65" t="n">
        <x:v>676</x:v>
      </x:c>
      <x:c r="I956" s="65" t="n">
        <x:v>0.34210526315789475</x:v>
      </x:c>
      <x:c r="J956" s="34" t="str">
        <x:v>low</x:v>
      </x:c>
      <x:c r="K956" s="71" t="n">
        <x:v>29.7936124</x:v>
      </x:c>
      <x:c r="L956" s="71" t="n">
        <x:v>-95.7642913</x:v>
      </x:c>
      <x:c r="M956" s="71" t="n">
        <x:v>1.696</x:v>
      </x:c>
      <x:c r="N956" s="71" t="n">
        <x:v>0.0681197722154167</x:v>
      </x:c>
      <x:c r="O956" s="71" t="n">
        <x:v>11.690143594432081</x:v>
      </x:c>
      <x:c r="P956" s="71" t="n">
        <x:v>0</x:v>
      </x:c>
      <x:c r="Q956" s="71" t="n">
        <x:v>314.42811587101426</x:v>
      </x:c>
      <x:c r="R956" s="34" t="str">
        <x:v>tract internal point; no person, address, building, parcel, or route condition</x:v>
      </x:c>
    </x:row>
    <x:row r="957" ht="86.4000015258789" hidden="0" customHeight="1">
      <x:c r="A957" s="36" t="str">
        <x:v>48201542600</x:v>
      </x:c>
      <x:c r="B957" s="63" t="n">
        <x:v>6062</x:v>
      </x:c>
      <x:c r="C957" s="63" t="n">
        <x:v>959</x:v>
      </x:c>
      <x:c r="D957" s="63" t="n">
        <x:v>164</x:v>
      </x:c>
      <x:c r="E957" s="45" t="n">
        <x:v>0.1581986143187067</x:v>
      </x:c>
      <x:c r="F957" s="45" t="n">
        <x:v>0.027053777631144835</x:v>
      </x:c>
      <x:c r="G957" s="66" t="n">
        <x:v>2420</x:v>
      </x:c>
      <x:c r="H957" s="66" t="n">
        <x:v>413</x:v>
      </x:c>
      <x:c r="I957" s="66" t="n">
        <x:v>0.1706611570247934</x:v>
      </x:c>
      <x:c r="J957" s="36" t="str">
        <x:v>low</x:v>
      </x:c>
      <x:c r="K957" s="72" t="n">
        <x:v>29.7937905</x:v>
      </x:c>
      <x:c r="L957" s="72" t="n">
        <x:v>-95.7891972</x:v>
      </x:c>
      <x:c r="M957" s="72" t="n">
        <x:v>1.691</x:v>
      </x:c>
      <x:c r="N957" s="72" t="n">
        <x:v>0.09677229420140544</x:v>
      </x:c>
      <x:c r="O957" s="72" t="n">
        <x:v>10.113467655511736</x:v>
      </x:c>
      <x:c r="P957" s="72" t="n">
        <x:v>0</x:v>
      </x:c>
      <x:c r="Q957" s="72" t="n">
        <x:v>492.8078718528306</x:v>
      </x:c>
      <x:c r="R957" s="36" t="str">
        <x:v>tract internal point; no person, address, building, parcel, or route condition</x:v>
      </x:c>
    </x:row>
    <x:row r="958" ht="86.4000015258789" hidden="0" customHeight="1">
      <x:c r="A958" s="34" t="str">
        <x:v>48201542700</x:v>
      </x:c>
      <x:c r="B958" s="62" t="n">
        <x:v>4903</x:v>
      </x:c>
      <x:c r="C958" s="62" t="n">
        <x:v>472</x:v>
      </x:c>
      <x:c r="D958" s="62" t="n">
        <x:v>13</x:v>
      </x:c>
      <x:c r="E958" s="43" t="n">
        <x:v>0.09626759127065063</x:v>
      </x:c>
      <x:c r="F958" s="43" t="n">
        <x:v>0.0026514378951662245</x:v>
      </x:c>
      <x:c r="G958" s="65" t="n">
        <x:v>1946</x:v>
      </x:c>
      <x:c r="H958" s="65" t="n">
        <x:v>119</x:v>
      </x:c>
      <x:c r="I958" s="65" t="n">
        <x:v>0.06115107913669065</x:v>
      </x:c>
      <x:c r="J958" s="34" t="str">
        <x:v>low</x:v>
      </x:c>
      <x:c r="K958" s="71" t="n">
        <x:v>29.7925692</x:v>
      </x:c>
      <x:c r="L958" s="71" t="n">
        <x:v>-95.8132146</x:v>
      </x:c>
      <x:c r="M958" s="71" t="n">
        <x:v>1.798</x:v>
      </x:c>
      <x:c r="N958" s="71" t="n">
        <x:v>0.05244591411989281</x:v>
      </x:c>
      <x:c r="O958" s="71" t="n">
        <x:v>11.803047479508969</x:v>
      </x:c>
      <x:c r="P958" s="71" t="n">
        <x:v>0</x:v>
      </x:c>
      <x:c r="Q958" s="71" t="n">
        <x:v>392.8740245974202</x:v>
      </x:c>
      <x:c r="R958" s="34" t="str">
        <x:v>tract internal point; no person, address, building, parcel, or route condition</x:v>
      </x:c>
    </x:row>
    <x:row r="959" ht="86.4000015258789" hidden="0" customHeight="1">
      <x:c r="A959" s="36" t="str">
        <x:v>48201542800</x:v>
      </x:c>
      <x:c r="B959" s="63" t="n">
        <x:v>8846</x:v>
      </x:c>
      <x:c r="C959" s="63" t="n">
        <x:v>1022</x:v>
      </x:c>
      <x:c r="D959" s="63" t="n">
        <x:v>24</x:v>
      </x:c>
      <x:c r="E959" s="45" t="n">
        <x:v>0.11553244404250508</x:v>
      </x:c>
      <x:c r="F959" s="45" t="n">
        <x:v>0.0027130906624463036</x:v>
      </x:c>
      <x:c r="G959" s="66" t="n">
        <x:v>2859</x:v>
      </x:c>
      <x:c r="H959" s="66" t="n">
        <x:v>0</x:v>
      </x:c>
      <x:c r="I959" s="66" t="n">
        <x:v>0</x:v>
      </x:c>
      <x:c r="J959" s="36" t="str">
        <x:v>low</x:v>
      </x:c>
      <x:c r="K959" s="72" t="n">
        <x:v>29.8239522</x:v>
      </x:c>
      <x:c r="L959" s="72" t="n">
        <x:v>-95.8152033</x:v>
      </x:c>
      <x:c r="M959" s="72" t="n">
        <x:v>3.436</x:v>
      </x:c>
      <x:c r="N959" s="72" t="n">
        <x:v>0.2817802435262895</x:v>
      </x:c>
      <x:c r="O959" s="72" t="n">
        <x:v>7.894377009331049</x:v>
      </x:c>
      <x:c r="P959" s="72" t="n">
        <x:v>0</x:v>
      </x:c>
      <x:c r="Q959" s="72" t="n">
        <x:v>711.5069857914111</x:v>
      </x:c>
      <x:c r="R959" s="36" t="str">
        <x:v>tract internal point; no person, address, building, parcel, or route condition</x:v>
      </x:c>
    </x:row>
    <x:row r="960" ht="86.4000015258789" hidden="0" customHeight="1">
      <x:c r="A960" s="34" t="str">
        <x:v>48201542901</x:v>
      </x:c>
      <x:c r="B960" s="62" t="n">
        <x:v>9563</x:v>
      </x:c>
      <x:c r="C960" s="62" t="n">
        <x:v>776</x:v>
      </x:c>
      <x:c r="D960" s="62" t="n">
        <x:v>244</x:v>
      </x:c>
      <x:c r="E960" s="43" t="n">
        <x:v>0.08114608386489595</x:v>
      </x:c>
      <x:c r="F960" s="43" t="n">
        <x:v>0.025515005751333263</x:v>
      </x:c>
      <x:c r="G960" s="65" t="n">
        <x:v>3651</x:v>
      </x:c>
      <x:c r="H960" s="65" t="n">
        <x:v>316</x:v>
      </x:c>
      <x:c r="I960" s="65" t="n">
        <x:v>0.08655162969049575</x:v>
      </x:c>
      <x:c r="J960" s="34" t="str">
        <x:v>low</x:v>
      </x:c>
      <x:c r="K960" s="71" t="n">
        <x:v>29.8147304</x:v>
      </x:c>
      <x:c r="L960" s="71" t="n">
        <x:v>-95.7618657</x:v>
      </x:c>
      <x:c r="M960" s="71" t="n">
        <x:v>2.185</x:v>
      </x:c>
      <x:c r="N960" s="71" t="n">
        <x:v>0.01598720435048364</x:v>
      </x:c>
      <x:c r="O960" s="71" t="n">
        <x:v>9.82124943392767</x:v>
      </x:c>
      <x:c r="P960" s="71" t="n">
        <x:v>0</x:v>
      </x:c>
      <x:c r="Q960" s="71" t="n">
        <x:v>765.7219821239173</x:v>
      </x:c>
      <x:c r="R960" s="34" t="str">
        <x:v>tract internal point; no person, address, building, parcel, or route condition</x:v>
      </x:c>
    </x:row>
    <x:row r="961" ht="86.4000015258789" hidden="0" customHeight="1">
      <x:c r="A961" s="36" t="str">
        <x:v>48201542902</x:v>
      </x:c>
      <x:c r="B961" s="63" t="n">
        <x:v>42523</x:v>
      </x:c>
      <x:c r="C961" s="63" t="n">
        <x:v>2100</x:v>
      </x:c>
      <x:c r="D961" s="63" t="n">
        <x:v>1438.5</x:v>
      </x:c>
      <x:c r="E961" s="45" t="n">
        <x:v>0.04938503868494697</x:v>
      </x:c>
      <x:c r="F961" s="45" t="n">
        <x:v>0.033828751499188674</x:v>
      </x:c>
      <x:c r="G961" s="66" t="n">
        <x:v>13827</x:v>
      </x:c>
      <x:c r="H961" s="66" t="n">
        <x:v>848</x:v>
      </x:c>
      <x:c r="I961" s="66" t="n">
        <x:v>0.06132928328632386</x:v>
      </x:c>
      <x:c r="J961" s="36" t="str">
        <x:v>low</x:v>
      </x:c>
      <x:c r="K961" s="72" t="n">
        <x:v>29.8387065</x:v>
      </x:c>
      <x:c r="L961" s="72" t="n">
        <x:v>-95.800019</x:v>
      </x:c>
      <x:c r="M961" s="72" t="n">
        <x:v>18.712</x:v>
      </x:c>
      <x:c r="N961" s="72" t="n">
        <x:v>0.21226770446681062</x:v>
      </x:c>
      <x:c r="O961" s="72" t="n">
        <x:v>1.2736062268008637</x:v>
      </x:c>
      <x:c r="P961" s="72" t="n">
        <x:v>0</x:v>
      </x:c>
      <x:c r="Q961" s="72" t="n">
        <x:v>3386.421302883821</x:v>
      </x:c>
      <x:c r="R961" s="36" t="str">
        <x:v>tract internal point; no person, address, building, parcel, or route condition</x:v>
      </x:c>
    </x:row>
    <x:row r="962" ht="86.4000015258789" hidden="0" customHeight="1">
      <x:c r="A962" s="34" t="str">
        <x:v>48201543004</x:v>
      </x:c>
      <x:c r="B962" s="62" t="n">
        <x:v>18217</x:v>
      </x:c>
      <x:c r="C962" s="62" t="n">
        <x:v>1178</x:v>
      </x:c>
      <x:c r="D962" s="62" t="n">
        <x:v>0</x:v>
      </x:c>
      <x:c r="E962" s="43" t="n">
        <x:v>0.06466487346983586</x:v>
      </x:c>
      <x:c r="F962" s="43" t="n">
        <x:v>0</x:v>
      </x:c>
      <x:c r="G962" s="65" t="n">
        <x:v>5734</x:v>
      </x:c>
      <x:c r="H962" s="65" t="n">
        <x:v>277</x:v>
      </x:c>
      <x:c r="I962" s="65" t="n">
        <x:v>0.0483083362399721</x:v>
      </x:c>
      <x:c r="J962" s="34" t="str">
        <x:v>moderate</x:v>
      </x:c>
      <x:c r="K962" s="71" t="n">
        <x:v>29.956583</x:v>
      </x:c>
      <x:c r="L962" s="71" t="n">
        <x:v>-95.7461191</x:v>
      </x:c>
      <x:c r="M962" s="71" t="n">
        <x:v>13.025</x:v>
      </x:c>
      <x:c r="N962" s="71" t="n">
        <x:v>0.03534359378403856</x:v>
      </x:c>
      <x:c r="O962" s="71" t="n">
        <x:v>9.455677557949091</x:v>
      </x:c>
      <x:c r="P962" s="71" t="n">
        <x:v>5</x:v>
      </x:c>
      <x:c r="Q962" s="71" t="n">
        <x:v>2565.8915349465665</x:v>
      </x:c>
      <x:c r="R962" s="34" t="str">
        <x:v>tract internal point; no person, address, building, parcel, or route condition</x:v>
      </x:c>
    </x:row>
    <x:row r="963" ht="86.4000015258789" hidden="0" customHeight="1">
      <x:c r="A963" s="36" t="str">
        <x:v>48201543005</x:v>
      </x:c>
      <x:c r="B963" s="63" t="n">
        <x:v>12043</x:v>
      </x:c>
      <x:c r="C963" s="63" t="n">
        <x:v>672</x:v>
      </x:c>
      <x:c r="D963" s="63" t="n">
        <x:v>425</x:v>
      </x:c>
      <x:c r="E963" s="45" t="n">
        <x:v>0.055800049821473054</x:v>
      </x:c>
      <x:c r="F963" s="45" t="n">
        <x:v>0.03529021008054471</x:v>
      </x:c>
      <x:c r="G963" s="66" t="n">
        <x:v>4013</x:v>
      </x:c>
      <x:c r="H963" s="66" t="n">
        <x:v>80</x:v>
      </x:c>
      <x:c r="I963" s="66" t="n">
        <x:v>0.0199352105656616</x:v>
      </x:c>
      <x:c r="J963" s="36" t="str">
        <x:v>low</x:v>
      </x:c>
      <x:c r="K963" s="72" t="n">
        <x:v>29.9346572</x:v>
      </x:c>
      <x:c r="L963" s="72" t="n">
        <x:v>-95.773155</x:v>
      </x:c>
      <x:c r="M963" s="72" t="n">
        <x:v>28.873</x:v>
      </x:c>
      <x:c r="N963" s="72" t="n">
        <x:v>0.16145434125323901</x:v>
      </x:c>
      <x:c r="O963" s="72" t="n">
        <x:v>13.622121426197989</x:v>
      </x:c>
      <x:c r="P963" s="72" t="n">
        <x:v>5</x:v>
      </x:c>
      <x:c r="Q963" s="72" t="n">
        <x:v>960.4259693876437</x:v>
      </x:c>
      <x:c r="R963" s="36" t="str">
        <x:v>tract internal point; no person, address, building, parcel, or route condition</x:v>
      </x:c>
    </x:row>
    <x:row r="964" ht="86.4000015258789" hidden="0" customHeight="1">
      <x:c r="A964" s="34" t="str">
        <x:v>48201543006</x:v>
      </x:c>
      <x:c r="B964" s="62" t="n">
        <x:v>17605</x:v>
      </x:c>
      <x:c r="C964" s="62" t="n">
        <x:v>1649</x:v>
      </x:c>
      <x:c r="D964" s="62" t="n">
        <x:v>875</x:v>
      </x:c>
      <x:c r="E964" s="43" t="n">
        <x:v>0.09366657199659188</x:v>
      </x:c>
      <x:c r="F964" s="43" t="n">
        <x:v>0.04970178926441352</x:v>
      </x:c>
      <x:c r="G964" s="65" t="n">
        <x:v>5837</x:v>
      </x:c>
      <x:c r="H964" s="65" t="n">
        <x:v>649</x:v>
      </x:c>
      <x:c r="I964" s="65" t="n">
        <x:v>0.11118725372622923</x:v>
      </x:c>
      <x:c r="J964" s="34" t="str">
        <x:v>low</x:v>
      </x:c>
      <x:c r="K964" s="71" t="n">
        <x:v>29.9089598</x:v>
      </x:c>
      <x:c r="L964" s="71" t="n">
        <x:v>-95.708362</x:v>
      </x:c>
      <x:c r="M964" s="71" t="n">
        <x:v>4.671</x:v>
      </x:c>
      <x:c r="N964" s="71" t="n">
        <x:v>0.09737863628164625</x:v>
      </x:c>
      <x:c r="O964" s="71" t="n">
        <x:v>9.759220836225689</x:v>
      </x:c>
      <x:c r="P964" s="71" t="n">
        <x:v>5</x:v>
      </x:c>
      <x:c r="Q964" s="71" t="n">
        <x:v>1416.4669881173277</x:v>
      </x:c>
      <x:c r="R964" s="34" t="str">
        <x:v>tract internal point; no person, address, building, parcel, or route condition</x:v>
      </x:c>
    </x:row>
    <x:row r="965" ht="86.4000015258789" hidden="0" customHeight="1">
      <x:c r="A965" s="36" t="str">
        <x:v>48201543007</x:v>
      </x:c>
      <x:c r="B965" s="63" t="n">
        <x:v>23471</x:v>
      </x:c>
      <x:c r="C965" s="63" t="n">
        <x:v>1828</x:v>
      </x:c>
      <x:c r="D965" s="63" t="n">
        <x:v>339</x:v>
      </x:c>
      <x:c r="E965" s="45" t="n">
        <x:v>0.07788334540496783</x:v>
      </x:c>
      <x:c r="F965" s="45" t="n">
        <x:v>0.01444335563035235</x:v>
      </x:c>
      <x:c r="G965" s="66" t="n">
        <x:v>7097</x:v>
      </x:c>
      <x:c r="H965" s="66" t="n">
        <x:v>228</x:v>
      </x:c>
      <x:c r="I965" s="66" t="n">
        <x:v>0.032126250528392276</x:v>
      </x:c>
      <x:c r="J965" s="36" t="str">
        <x:v>low</x:v>
      </x:c>
      <x:c r="K965" s="72" t="n">
        <x:v>29.947897</x:v>
      </x:c>
      <x:c r="L965" s="72" t="n">
        <x:v>-95.7035418</x:v>
      </x:c>
      <x:c r="M965" s="72" t="n">
        <x:v>8.663</x:v>
      </x:c>
      <x:c r="N965" s="72" t="n">
        <x:v>0.04600824729258013</x:v>
      </x:c>
      <x:c r="O965" s="72" t="n">
        <x:v>0.2760494837554808</x:v>
      </x:c>
      <x:c r="P965" s="72" t="n">
        <x:v>5</x:v>
      </x:c>
      <x:c r="Q965" s="72" t="n">
        <x:v>1876.1076688244377</x:v>
      </x:c>
      <x:c r="R965" s="36" t="str">
        <x:v>tract internal point; no person, address, building, parcel, or route condition</x:v>
      </x:c>
    </x:row>
    <x:row r="966" ht="86.4000015258789" hidden="0" customHeight="1">
      <x:c r="A966" s="34" t="str">
        <x:v>48201543008</x:v>
      </x:c>
      <x:c r="B966" s="62" t="n">
        <x:v>5255</x:v>
      </x:c>
      <x:c r="C966" s="62" t="n">
        <x:v>254</x:v>
      </x:c>
      <x:c r="D966" s="62" t="n">
        <x:v>317.5</x:v>
      </x:c>
      <x:c r="E966" s="43" t="n">
        <x:v>0.048334919124643196</x:v>
      </x:c>
      <x:c r="F966" s="43" t="n">
        <x:v>0.060418648905804</x:v>
      </x:c>
      <x:c r="G966" s="65" t="n">
        <x:v>1679</x:v>
      </x:c>
      <x:c r="H966" s="65" t="n">
        <x:v>89</x:v>
      </x:c>
      <x:c r="I966" s="65" t="n">
        <x:v>0.053007742703990474</x:v>
      </x:c>
      <x:c r="J966" s="34" t="str">
        <x:v>low</x:v>
      </x:c>
      <x:c r="K966" s="71" t="n">
        <x:v>29.8869772</x:v>
      </x:c>
      <x:c r="L966" s="71" t="n">
        <x:v>-95.6893703</x:v>
      </x:c>
      <x:c r="M966" s="71" t="n">
        <x:v>0.909</x:v>
      </x:c>
      <x:c r="N966" s="71" t="n">
        <x:v>0.009216001746314345</x:v>
      </x:c>
      <x:c r="O966" s="71" t="n">
        <x:v>13.894804450084942</x:v>
      </x:c>
      <x:c r="P966" s="71" t="n">
        <x:v>5</x:v>
      </x:c>
      <x:c r="Q966" s="71" t="n">
        <x:v>419.50602156359855</x:v>
      </x:c>
      <x:c r="R966" s="34" t="str">
        <x:v>tract internal point; no person, address, building, parcel, or route condition</x:v>
      </x:c>
    </x:row>
    <x:row r="967" ht="86.4000015258789" hidden="0" customHeight="1">
      <x:c r="A967" s="36" t="str">
        <x:v>48201543009</x:v>
      </x:c>
      <x:c r="B967" s="63" t="n">
        <x:v>5268</x:v>
      </x:c>
      <x:c r="C967" s="63" t="n">
        <x:v>490</x:v>
      </x:c>
      <x:c r="D967" s="63" t="n">
        <x:v>93</x:v>
      </x:c>
      <x:c r="E967" s="45" t="n">
        <x:v>0.09301442672741078</x:v>
      </x:c>
      <x:c r="F967" s="45" t="n">
        <x:v>0.01765375854214123</x:v>
      </x:c>
      <x:c r="G967" s="66" t="n">
        <x:v>1135</x:v>
      </x:c>
      <x:c r="H967" s="66" t="n">
        <x:v>0</x:v>
      </x:c>
      <x:c r="I967" s="66" t="n">
        <x:v>0</x:v>
      </x:c>
      <x:c r="J967" s="36" t="str">
        <x:v>low</x:v>
      </x:c>
      <x:c r="K967" s="72" t="n">
        <x:v>29.8876004</x:v>
      </x:c>
      <x:c r="L967" s="72" t="n">
        <x:v>-95.7004083</x:v>
      </x:c>
      <x:c r="M967" s="72" t="n">
        <x:v>0.403</x:v>
      </x:c>
      <x:c r="N967" s="72" t="n">
        <x:v>0.027750477065399178</x:v>
      </x:c>
      <x:c r="O967" s="72" t="n">
        <x:v>15.352523474894763</x:v>
      </x:c>
      <x:c r="P967" s="72" t="n">
        <x:v>5</x:v>
      </x:c>
      <x:c r="Q967" s="72" t="n">
        <x:v>422.4729918615867</x:v>
      </x:c>
      <x:c r="R967" s="36" t="str">
        <x:v>tract internal point; no person, address, building, parcel, or route condition</x:v>
      </x:c>
    </x:row>
    <x:row r="968" ht="86.4000015258789" hidden="0" customHeight="1">
      <x:c r="A968" s="34" t="str">
        <x:v>48201543010</x:v>
      </x:c>
      <x:c r="B968" s="62" t="n">
        <x:v>5584</x:v>
      </x:c>
      <x:c r="C968" s="62" t="n">
        <x:v>374</x:v>
      </x:c>
      <x:c r="D968" s="62" t="n">
        <x:v>0</x:v>
      </x:c>
      <x:c r="E968" s="43" t="n">
        <x:v>0.06697707736389685</x:v>
      </x:c>
      <x:c r="F968" s="43" t="n">
        <x:v>0</x:v>
      </x:c>
      <x:c r="G968" s="65" t="n">
        <x:v>1487</x:v>
      </x:c>
      <x:c r="H968" s="65" t="n">
        <x:v>0</x:v>
      </x:c>
      <x:c r="I968" s="65" t="n">
        <x:v>0</x:v>
      </x:c>
      <x:c r="J968" s="34" t="str">
        <x:v>low</x:v>
      </x:c>
      <x:c r="K968" s="71" t="n">
        <x:v>29.8879039</x:v>
      </x:c>
      <x:c r="L968" s="71" t="n">
        <x:v>-95.7149188</x:v>
      </x:c>
      <x:c r="M968" s="71" t="n">
        <x:v>0.528</x:v>
      </x:c>
      <x:c r="N968" s="71" t="n">
        <x:v>0.03459544935178606</x:v>
      </x:c>
      <x:c r="O968" s="71" t="n">
        <x:v>13.4029283934474</x:v>
      </x:c>
      <x:c r="P968" s="71" t="n">
        <x:v>5</x:v>
      </x:c>
      <x:c r="Q968" s="71" t="n">
        <x:v>444.75474231137724</x:v>
      </x:c>
      <x:c r="R968" s="34" t="str">
        <x:v>tract internal point; no person, address, building, parcel, or route condition</x:v>
      </x:c>
    </x:row>
    <x:row r="969" ht="86.4000015258789" hidden="0" customHeight="1">
      <x:c r="A969" s="36" t="str">
        <x:v>48201543011</x:v>
      </x:c>
      <x:c r="B969" s="63" t="n">
        <x:v>4140</x:v>
      </x:c>
      <x:c r="C969" s="63" t="n">
        <x:v>375</x:v>
      </x:c>
      <x:c r="D969" s="63" t="n">
        <x:v>0</x:v>
      </x:c>
      <x:c r="E969" s="45" t="n">
        <x:v>0.09057971014492754</x:v>
      </x:c>
      <x:c r="F969" s="45" t="n">
        <x:v>0</x:v>
      </x:c>
      <x:c r="G969" s="66" t="n">
        <x:v>1334</x:v>
      </x:c>
      <x:c r="H969" s="66" t="n">
        <x:v>0</x:v>
      </x:c>
      <x:c r="I969" s="66" t="n">
        <x:v>0</x:v>
      </x:c>
      <x:c r="J969" s="36" t="str">
        <x:v>low</x:v>
      </x:c>
      <x:c r="K969" s="72" t="n">
        <x:v>29.8886309</x:v>
      </x:c>
      <x:c r="L969" s="72" t="n">
        <x:v>-95.708718</x:v>
      </x:c>
      <x:c r="M969" s="72" t="n">
        <x:v>0.515</x:v>
      </x:c>
      <x:c r="N969" s="72" t="n">
        <x:v>0.0012722855779182226</x:v>
      </x:c>
      <x:c r="O969" s="72" t="n">
        <x:v>14.480028520356333</x:v>
      </x:c>
      <x:c r="P969" s="72" t="n">
        <x:v>5</x:v>
      </x:c>
      <x:c r="Q969" s="72" t="n">
        <x:v>331.27893525879256</x:v>
      </x:c>
      <x:c r="R969" s="36" t="str">
        <x:v>tract internal point; no person, address, building, parcel, or route condition</x:v>
      </x:c>
    </x:row>
    <x:row r="970" ht="86.4000015258789" hidden="0" customHeight="1">
      <x:c r="A970" s="34" t="str">
        <x:v>48201543100</x:v>
      </x:c>
      <x:c r="B970" s="62" t="n">
        <x:v>4573</x:v>
      </x:c>
      <x:c r="C970" s="62" t="n">
        <x:v>558</x:v>
      </x:c>
      <x:c r="D970" s="62" t="n">
        <x:v>211.5</x:v>
      </x:c>
      <x:c r="E970" s="43" t="n">
        <x:v>0.12202055543406953</x:v>
      </x:c>
      <x:c r="F970" s="43" t="n">
        <x:v>0.04624972665646184</x:v>
      </x:c>
      <x:c r="G970" s="65" t="n">
        <x:v>1544</x:v>
      </x:c>
      <x:c r="H970" s="65" t="n">
        <x:v>0</x:v>
      </x:c>
      <x:c r="I970" s="65" t="n">
        <x:v>0</x:v>
      </x:c>
      <x:c r="J970" s="34" t="str">
        <x:v>high</x:v>
      </x:c>
      <x:c r="K970" s="71" t="n">
        <x:v>29.9626481</x:v>
      </x:c>
      <x:c r="L970" s="71" t="n">
        <x:v>-95.8506413</x:v>
      </x:c>
      <x:c r="M970" s="71" t="n">
        <x:v>49.23</x:v>
      </x:c>
      <x:c r="N970" s="71" t="n">
        <x:v>1.0545585634090993</x:v>
      </x:c>
      <x:c r="O970" s="71" t="n">
        <x:v>22.917475390820815</x:v>
      </x:c>
      <x:c r="P970" s="71" t="n">
        <x:v>4</x:v>
      </x:c>
      <x:c r="Q970" s="71" t="n">
        <x:v>796.5990289010631</x:v>
      </x:c>
      <x:c r="R970" s="34" t="str">
        <x:v>tract internal point; no person, address, building, parcel, or route condition</x:v>
      </x:c>
    </x:row>
    <x:row r="971" ht="86.4000015258789" hidden="0" customHeight="1">
      <x:c r="A971" s="36" t="str">
        <x:v>48201543201</x:v>
      </x:c>
      <x:c r="B971" s="63" t="n">
        <x:v>6673</x:v>
      </x:c>
      <x:c r="C971" s="63" t="n">
        <x:v>496</x:v>
      </x:c>
      <x:c r="D971" s="63" t="n">
        <x:v>117</x:v>
      </x:c>
      <x:c r="E971" s="45" t="n">
        <x:v>0.07432938708227184</x:v>
      </x:c>
      <x:c r="F971" s="45" t="n">
        <x:v>0.01753334332384235</x:v>
      </x:c>
      <x:c r="G971" s="66" t="n">
        <x:v>2754</x:v>
      </x:c>
      <x:c r="H971" s="66" t="n">
        <x:v>897</x:v>
      </x:c>
      <x:c r="I971" s="66" t="n">
        <x:v>0.32570806100217864</x:v>
      </x:c>
      <x:c r="J971" s="36" t="str">
        <x:v>low</x:v>
      </x:c>
      <x:c r="K971" s="72" t="n">
        <x:v>29.7993972</x:v>
      </x:c>
      <x:c r="L971" s="72" t="n">
        <x:v>-95.5724269</x:v>
      </x:c>
      <x:c r="M971" s="72" t="n">
        <x:v>1.846</x:v>
      </x:c>
      <x:c r="N971" s="72" t="n">
        <x:v>0.16266700527089675</x:v>
      </x:c>
      <x:c r="O971" s="72" t="n">
        <x:v>25.818972422730255</x:v>
      </x:c>
      <x:c r="P971" s="72" t="n">
        <x:v>5</x:v>
      </x:c>
      <x:c r="Q971" s="72" t="n">
        <x:v>533.1822464773719</x:v>
      </x:c>
      <x:c r="R971" s="36" t="str">
        <x:v>tract internal point; no person, address, building, parcel, or route condition</x:v>
      </x:c>
    </x:row>
    <x:row r="972" ht="86.4000015258789" hidden="0" customHeight="1">
      <x:c r="A972" s="34" t="str">
        <x:v>48201543202</x:v>
      </x:c>
      <x:c r="B972" s="62" t="n">
        <x:v>3905</x:v>
      </x:c>
      <x:c r="C972" s="62" t="n">
        <x:v>318</x:v>
      </x:c>
      <x:c r="D972" s="62" t="n">
        <x:v>119</x:v>
      </x:c>
      <x:c r="E972" s="43" t="n">
        <x:v>0.08143405889884762</x:v>
      </x:c>
      <x:c r="F972" s="43" t="n">
        <x:v>0.030473751600512165</x:v>
      </x:c>
      <x:c r="G972" s="65" t="n">
        <x:v>1889</x:v>
      </x:c>
      <x:c r="H972" s="65" t="n">
        <x:v>736</x:v>
      </x:c>
      <x:c r="I972" s="65" t="n">
        <x:v>0.3896241397564849</x:v>
      </x:c>
      <x:c r="J972" s="34" t="str">
        <x:v>high</x:v>
      </x:c>
      <x:c r="K972" s="71" t="n">
        <x:v>29.8098912</x:v>
      </x:c>
      <x:c r="L972" s="71" t="n">
        <x:v>-95.605573</x:v>
      </x:c>
      <x:c r="M972" s="71" t="n">
        <x:v>13.684</x:v>
      </x:c>
      <x:c r="N972" s="71" t="n">
        <x:v>1.0920824780869955</x:v>
      </x:c>
      <x:c r="O972" s="71" t="n">
        <x:v>29.23174522520438</x:v>
      </x:c>
      <x:c r="P972" s="71" t="n">
        <x:v>0</x:v>
      </x:c>
      <x:c r="Q972" s="71" t="n">
        <x:v>673.8272187304217</x:v>
      </x:c>
      <x:c r="R972" s="34" t="str">
        <x:v>tract internal point; no person, address, building, parcel, or route condition</x:v>
      </x:c>
    </x:row>
    <x:row r="973" ht="86.4000015258789" hidden="0" customHeight="1">
      <x:c r="A973" s="36" t="str">
        <x:v>48201550101</x:v>
      </x:c>
      <x:c r="B973" s="63" t="n">
        <x:v>2396</x:v>
      </x:c>
      <x:c r="C973" s="63" t="n">
        <x:v>454</x:v>
      </x:c>
      <x:c r="D973" s="63" t="n">
        <x:v>218</x:v>
      </x:c>
      <x:c r="E973" s="45" t="n">
        <x:v>0.18948247078464106</x:v>
      </x:c>
      <x:c r="F973" s="45" t="n">
        <x:v>0.09098497495826377</x:v>
      </x:c>
      <x:c r="G973" s="66" t="n">
        <x:v>1019</x:v>
      </x:c>
      <x:c r="H973" s="66" t="n">
        <x:v>546</x:v>
      </x:c>
      <x:c r="I973" s="66" t="n">
        <x:v>0.535819430814524</x:v>
      </x:c>
      <x:c r="J973" s="36" t="str">
        <x:v>moderate</x:v>
      </x:c>
      <x:c r="K973" s="72" t="n">
        <x:v>29.9516654</x:v>
      </x:c>
      <x:c r="L973" s="72" t="n">
        <x:v>-95.4240204</x:v>
      </x:c>
      <x:c r="M973" s="72" t="n">
        <x:v>0.327</x:v>
      </x:c>
      <x:c r="N973" s="72" t="n">
        <x:v>0.10521708012787219</x:v>
      </x:c>
      <x:c r="O973" s="72" t="n">
        <x:v>21.353554172884355</x:v>
      </x:c>
      <x:c r="P973" s="72" t="n">
        <x:v>1</x:v>
      </x:c>
      <x:c r="Q973" s="72" t="n">
        <x:v>348.8286477009719</x:v>
      </x:c>
      <x:c r="R973" s="36" t="str">
        <x:v>tract internal point; no person, address, building, parcel, or route condition</x:v>
      </x:c>
    </x:row>
    <x:row r="974" ht="86.4000015258789" hidden="0" customHeight="1">
      <x:c r="A974" s="34" t="str">
        <x:v>48201550102</x:v>
      </x:c>
      <x:c r="B974" s="62" t="n">
        <x:v>2295</x:v>
      </x:c>
      <x:c r="C974" s="62" t="n">
        <x:v>365</x:v>
      </x:c>
      <x:c r="D974" s="62" t="n">
        <x:v>206</x:v>
      </x:c>
      <x:c r="E974" s="43" t="n">
        <x:v>0.15904139433551198</x:v>
      </x:c>
      <x:c r="F974" s="43" t="n">
        <x:v>0.08976034858387799</x:v>
      </x:c>
      <x:c r="G974" s="65" t="n">
        <x:v>1182</x:v>
      </x:c>
      <x:c r="H974" s="65" t="n">
        <x:v>407</x:v>
      </x:c>
      <x:c r="I974" s="65" t="n">
        <x:v>0.344331641285956</x:v>
      </x:c>
      <x:c r="J974" s="34" t="str">
        <x:v>moderate</x:v>
      </x:c>
      <x:c r="K974" s="71" t="n">
        <x:v>29.9417695</x:v>
      </x:c>
      <x:c r="L974" s="71" t="n">
        <x:v>-95.4293818</x:v>
      </x:c>
      <x:c r="M974" s="71" t="n">
        <x:v>1.021</x:v>
      </x:c>
      <x:c r="N974" s="71" t="n">
        <x:v>0.15757357293984553</x:v>
      </x:c>
      <x:c r="O974" s="71" t="n">
        <x:v>20.76855426940718</x:v>
      </x:c>
      <x:c r="P974" s="71" t="n">
        <x:v>1</x:v>
      </x:c>
      <x:c r="Q974" s="71" t="n">
        <x:v>332.1422737377587</x:v>
      </x:c>
      <x:c r="R974" s="34" t="str">
        <x:v>tract internal point; no person, address, building, parcel, or route condition</x:v>
      </x:c>
    </x:row>
    <x:row r="975" ht="86.4000015258789" hidden="0" customHeight="1">
      <x:c r="A975" s="36" t="str">
        <x:v>48201550201</x:v>
      </x:c>
      <x:c r="B975" s="63" t="n">
        <x:v>1946</x:v>
      </x:c>
      <x:c r="C975" s="63" t="n">
        <x:v>127</x:v>
      </x:c>
      <x:c r="D975" s="63" t="n">
        <x:v>220</x:v>
      </x:c>
      <x:c r="E975" s="45" t="n">
        <x:v>0.06526207605344296</x:v>
      </x:c>
      <x:c r="F975" s="45" t="n">
        <x:v>0.1130524152106886</x:v>
      </x:c>
      <x:c r="G975" s="66" t="n">
        <x:v>874</x:v>
      </x:c>
      <x:c r="H975" s="66" t="n">
        <x:v>123</x:v>
      </x:c>
      <x:c r="I975" s="66" t="n">
        <x:v>0.14073226544622425</x:v>
      </x:c>
      <x:c r="J975" s="36" t="str">
        <x:v>high</x:v>
      </x:c>
      <x:c r="K975" s="72" t="n">
        <x:v>29.9602099</x:v>
      </x:c>
      <x:c r="L975" s="72" t="n">
        <x:v>-95.4216347</x:v>
      </x:c>
      <x:c r="M975" s="72" t="n">
        <x:v>0.304</x:v>
      </x:c>
      <x:c r="N975" s="72" t="n">
        <x:v>0.21703371163841348</x:v>
      </x:c>
      <x:c r="O975" s="72" t="n">
        <x:v>22.626114046336152</x:v>
      </x:c>
      <x:c r="P975" s="72" t="n">
        <x:v>1</x:v>
      </x:c>
      <x:c r="Q975" s="72" t="n">
        <x:v>337.4468478375135</x:v>
      </x:c>
      <x:c r="R975" s="36" t="str">
        <x:v>tract internal point; no person, address, building, parcel, or route condition</x:v>
      </x:c>
    </x:row>
    <x:row r="976" ht="86.4000015258789" hidden="0" customHeight="1">
      <x:c r="A976" s="34" t="str">
        <x:v>48201550202</x:v>
      </x:c>
      <x:c r="B976" s="62" t="n">
        <x:v>2240</x:v>
      </x:c>
      <x:c r="C976" s="62" t="n">
        <x:v>333</x:v>
      </x:c>
      <x:c r="D976" s="62" t="n">
        <x:v>315</x:v>
      </x:c>
      <x:c r="E976" s="43" t="n">
        <x:v>0.14866071428571428</x:v>
      </x:c>
      <x:c r="F976" s="43" t="n">
        <x:v>0.140625</x:v>
      </x:c>
      <x:c r="G976" s="65" t="n">
        <x:v>1106</x:v>
      </x:c>
      <x:c r="H976" s="65" t="n">
        <x:v>315</x:v>
      </x:c>
      <x:c r="I976" s="65" t="n">
        <x:v>0.2848101265822785</x:v>
      </x:c>
      <x:c r="J976" s="34" t="str">
        <x:v>moderate</x:v>
      </x:c>
      <x:c r="K976" s="71" t="n">
        <x:v>29.9568578</x:v>
      </x:c>
      <x:c r="L976" s="71" t="n">
        <x:v>-95.4315035</x:v>
      </x:c>
      <x:c r="M976" s="71" t="n">
        <x:v>0.664</x:v>
      </x:c>
      <x:c r="N976" s="71" t="n">
        <x:v>0.20615503036055166</x:v>
      </x:c>
      <x:c r="O976" s="71" t="n">
        <x:v>23.784525581579118</x:v>
      </x:c>
      <x:c r="P976" s="71" t="n">
        <x:v>1</x:v>
      </x:c>
      <x:c r="Q976" s="71" t="n">
        <x:v>325.12009136157326</x:v>
      </x:c>
      <x:c r="R976" s="34" t="str">
        <x:v>tract internal point; no person, address, building, parcel, or route condition</x:v>
      </x:c>
    </x:row>
    <x:row r="977" ht="86.4000015258789" hidden="0" customHeight="1">
      <x:c r="A977" s="36" t="str">
        <x:v>48201550303</x:v>
      </x:c>
      <x:c r="B977" s="63" t="n">
        <x:v>3375</x:v>
      </x:c>
      <x:c r="C977" s="63" t="n">
        <x:v>450</x:v>
      </x:c>
      <x:c r="D977" s="63" t="n">
        <x:v>619.5</x:v>
      </x:c>
      <x:c r="E977" s="45" t="n">
        <x:v>0.13333333333333333</x:v>
      </x:c>
      <x:c r="F977" s="45" t="n">
        <x:v>0.18355555555555556</x:v>
      </x:c>
      <x:c r="G977" s="66" t="n">
        <x:v>2021</x:v>
      </x:c>
      <x:c r="H977" s="66" t="n">
        <x:v>641</x:v>
      </x:c>
      <x:c r="I977" s="66" t="n">
        <x:v>0.31716971796140525</x:v>
      </x:c>
      <x:c r="J977" s="36" t="str">
        <x:v>low</x:v>
      </x:c>
      <x:c r="K977" s="72" t="n">
        <x:v>29.9765913</x:v>
      </x:c>
      <x:c r="L977" s="72" t="n">
        <x:v>-95.4273556</x:v>
      </x:c>
      <x:c r="M977" s="72" t="n">
        <x:v>0.568</x:v>
      </x:c>
      <x:c r="N977" s="72" t="n">
        <x:v>0.07664952214745904</x:v>
      </x:c>
      <x:c r="O977" s="72" t="n">
        <x:v>23.022630230979285</x:v>
      </x:c>
      <x:c r="P977" s="72" t="n">
        <x:v>1</x:v>
      </x:c>
      <x:c r="Q977" s="72" t="n">
        <x:v>277.20148059572904</x:v>
      </x:c>
      <x:c r="R977" s="36" t="str">
        <x:v>tract internal point; no person, address, building, parcel, or route condition</x:v>
      </x:c>
    </x:row>
    <x:row r="978" ht="86.4000015258789" hidden="0" customHeight="1">
      <x:c r="A978" s="34" t="str">
        <x:v>48201550304</x:v>
      </x:c>
      <x:c r="B978" s="62" t="n">
        <x:v>1611</x:v>
      </x:c>
      <x:c r="C978" s="62" t="n">
        <x:v>180</x:v>
      </x:c>
      <x:c r="D978" s="62" t="n">
        <x:v>79</x:v>
      </x:c>
      <x:c r="E978" s="43" t="n">
        <x:v>0.11173184357541899</x:v>
      </x:c>
      <x:c r="F978" s="43" t="n">
        <x:v>0.04903786468032278</x:v>
      </x:c>
      <x:c r="G978" s="65" t="n">
        <x:v>903</x:v>
      </x:c>
      <x:c r="H978" s="65" t="n">
        <x:v>219</x:v>
      </x:c>
      <x:c r="I978" s="65" t="n">
        <x:v>0.2425249169435216</x:v>
      </x:c>
      <x:c r="J978" s="34" t="str">
        <x:v>low</x:v>
      </x:c>
      <x:c r="K978" s="71" t="n">
        <x:v>30.015153</x:v>
      </x:c>
      <x:c r="L978" s="71" t="n">
        <x:v>-95.4353005</x:v>
      </x:c>
      <x:c r="M978" s="71" t="n">
        <x:v>0.638</x:v>
      </x:c>
      <x:c r="N978" s="71" t="n">
        <x:v>0.11257852037342701</x:v>
      </x:c>
      <x:c r="O978" s="71" t="n">
        <x:v>26.67293245006797</x:v>
      </x:c>
      <x:c r="P978" s="71" t="n">
        <x:v>1</x:v>
      </x:c>
      <x:c r="Q978" s="71" t="n">
        <x:v>130.067262149413</x:v>
      </x:c>
      <x:c r="R978" s="34" t="str">
        <x:v>tract internal point; no person, address, building, parcel, or route condition</x:v>
      </x:c>
    </x:row>
    <x:row r="979" ht="86.4000015258789" hidden="0" customHeight="1">
      <x:c r="A979" s="36" t="str">
        <x:v>48201550305</x:v>
      </x:c>
      <x:c r="B979" s="63" t="n">
        <x:v>3236</x:v>
      </x:c>
      <x:c r="C979" s="63" t="n">
        <x:v>446</x:v>
      </x:c>
      <x:c r="D979" s="63" t="n">
        <x:v>33</x:v>
      </x:c>
      <x:c r="E979" s="45" t="n">
        <x:v>0.13782447466007416</x:v>
      </x:c>
      <x:c r="F979" s="45" t="n">
        <x:v>0.01019777503090235</x:v>
      </x:c>
      <x:c r="G979" s="66" t="n">
        <x:v>1210</x:v>
      </x:c>
      <x:c r="H979" s="66" t="n">
        <x:v>224</x:v>
      </x:c>
      <x:c r="I979" s="66" t="n">
        <x:v>0.18512396694214875</x:v>
      </x:c>
      <x:c r="J979" s="36" t="str">
        <x:v>low</x:v>
      </x:c>
      <x:c r="K979" s="72" t="n">
        <x:v>30.004621</x:v>
      </x:c>
      <x:c r="L979" s="72" t="n">
        <x:v>-95.4359881</x:v>
      </x:c>
      <x:c r="M979" s="72" t="n">
        <x:v>0.922</x:v>
      </x:c>
      <x:c r="N979" s="72" t="n">
        <x:v>0.04359704088528736</x:v>
      </x:c>
      <x:c r="O979" s="72" t="n">
        <x:v>26.860505766250892</x:v>
      </x:c>
      <x:c r="P979" s="72" t="n">
        <x:v>1</x:v>
      </x:c>
      <x:c r="Q979" s="72" t="n">
        <x:v>261.6042552808757</x:v>
      </x:c>
      <x:c r="R979" s="36" t="str">
        <x:v>tract internal point; no person, address, building, parcel, or route condition</x:v>
      </x:c>
    </x:row>
    <x:row r="980" ht="86.4000015258789" hidden="0" customHeight="1">
      <x:c r="A980" s="34" t="str">
        <x:v>48201550306</x:v>
      </x:c>
      <x:c r="B980" s="62" t="n">
        <x:v>5063</x:v>
      </x:c>
      <x:c r="C980" s="62" t="n">
        <x:v>640</x:v>
      </x:c>
      <x:c r="D980" s="62" t="n">
        <x:v>292.5</x:v>
      </x:c>
      <x:c r="E980" s="43" t="n">
        <x:v>0.12640726841793404</x:v>
      </x:c>
      <x:c r="F980" s="43" t="n">
        <x:v>0.057772071894133914</x:v>
      </x:c>
      <x:c r="G980" s="65" t="n">
        <x:v>1696</x:v>
      </x:c>
      <x:c r="H980" s="65" t="n">
        <x:v>200</x:v>
      </x:c>
      <x:c r="I980" s="65" t="n">
        <x:v>0.1179245283018868</x:v>
      </x:c>
      <x:c r="J980" s="34" t="str">
        <x:v>low</x:v>
      </x:c>
      <x:c r="K980" s="71" t="n">
        <x:v>29.9912789</x:v>
      </x:c>
      <x:c r="L980" s="71" t="n">
        <x:v>-95.4384252</x:v>
      </x:c>
      <x:c r="M980" s="71" t="n">
        <x:v>0.829</x:v>
      </x:c>
      <x:c r="N980" s="71" t="n">
        <x:v>0.03994012194963987</x:v>
      </x:c>
      <x:c r="O980" s="71" t="n">
        <x:v>26.034899874069374</x:v>
      </x:c>
      <x:c r="P980" s="71" t="n">
        <x:v>1</x:v>
      </x:c>
      <x:c r="Q980" s="71" t="n">
        <x:v>410.28679994892326</x:v>
      </x:c>
      <x:c r="R980" s="34" t="str">
        <x:v>tract internal point; no person, address, building, parcel, or route condition</x:v>
      </x:c>
    </x:row>
    <x:row r="981" ht="86.4000015258789" hidden="0" customHeight="1">
      <x:c r="A981" s="36" t="str">
        <x:v>48201550307</x:v>
      </x:c>
      <x:c r="B981" s="63" t="n">
        <x:v>2841</x:v>
      </x:c>
      <x:c r="C981" s="63" t="n">
        <x:v>217</x:v>
      </x:c>
      <x:c r="D981" s="63" t="n">
        <x:v>286</x:v>
      </x:c>
      <x:c r="E981" s="45" t="n">
        <x:v>0.07638155579021472</x:v>
      </x:c>
      <x:c r="F981" s="45" t="n">
        <x:v>0.10066877859908482</x:v>
      </x:c>
      <x:c r="G981" s="66" t="n">
        <x:v>1383</x:v>
      </x:c>
      <x:c r="H981" s="66" t="n">
        <x:v>508</x:v>
      </x:c>
      <x:c r="I981" s="66" t="n">
        <x:v>0.3673174258857556</x:v>
      </x:c>
      <x:c r="J981" s="36" t="str">
        <x:v>low</x:v>
      </x:c>
      <x:c r="K981" s="72" t="n">
        <x:v>30.0031352</x:v>
      </x:c>
      <x:c r="L981" s="72" t="n">
        <x:v>-95.4498177</x:v>
      </x:c>
      <x:c r="M981" s="72" t="n">
        <x:v>1.051</x:v>
      </x:c>
      <x:c r="N981" s="72" t="n">
        <x:v>0.13973785214892165</x:v>
      </x:c>
      <x:c r="O981" s="72" t="n">
        <x:v>27.98164041303053</x:v>
      </x:c>
      <x:c r="P981" s="72" t="n">
        <x:v>1</x:v>
      </x:c>
      <x:c r="Q981" s="72" t="n">
        <x:v>228.9479331930872</x:v>
      </x:c>
      <x:c r="R981" s="36" t="str">
        <x:v>tract internal point; no person, address, building, parcel, or route condition</x:v>
      </x:c>
    </x:row>
    <x:row r="982" ht="86.4000015258789" hidden="0" customHeight="1">
      <x:c r="A982" s="34" t="str">
        <x:v>48201550308</x:v>
      </x:c>
      <x:c r="B982" s="62" t="n">
        <x:v>2993</x:v>
      </x:c>
      <x:c r="C982" s="62" t="n">
        <x:v>485</x:v>
      </x:c>
      <x:c r="D982" s="62" t="n">
        <x:v>529</x:v>
      </x:c>
      <x:c r="E982" s="43" t="n">
        <x:v>0.16204477113264285</x:v>
      </x:c>
      <x:c r="F982" s="43" t="n">
        <x:v>0.17674574006014032</x:v>
      </x:c>
      <x:c r="G982" s="65" t="n">
        <x:v>1534</x:v>
      </x:c>
      <x:c r="H982" s="65" t="n">
        <x:v>593</x:v>
      </x:c>
      <x:c r="I982" s="65" t="n">
        <x:v>0.38657105606258146</x:v>
      </x:c>
      <x:c r="J982" s="34" t="str">
        <x:v>low</x:v>
      </x:c>
      <x:c r="K982" s="71" t="n">
        <x:v>29.9894493</x:v>
      </x:c>
      <x:c r="L982" s="71" t="n">
        <x:v>-95.428432</x:v>
      </x:c>
      <x:c r="M982" s="71" t="n">
        <x:v>0.545</x:v>
      </x:c>
      <x:c r="N982" s="71" t="n">
        <x:v>0.06174226702279404</x:v>
      </x:c>
      <x:c r="O982" s="71" t="n">
        <x:v>24.858277287791363</x:v>
      </x:c>
      <x:c r="P982" s="71" t="n">
        <x:v>1</x:v>
      </x:c>
      <x:c r="Q982" s="71" t="n">
        <x:v>247.01697879593337</x:v>
      </x:c>
      <x:c r="R982" s="34" t="str">
        <x:v>tract internal point; no person, address, building, parcel, or route condition</x:v>
      </x:c>
    </x:row>
    <x:row r="983" ht="86.4000015258789" hidden="0" customHeight="1">
      <x:c r="A983" s="36" t="str">
        <x:v>48201550403</x:v>
      </x:c>
      <x:c r="B983" s="63" t="n">
        <x:v>2928</x:v>
      </x:c>
      <x:c r="C983" s="63" t="n">
        <x:v>597</x:v>
      </x:c>
      <x:c r="D983" s="63" t="n">
        <x:v>490</x:v>
      </x:c>
      <x:c r="E983" s="45" t="n">
        <x:v>0.2038934426229508</x:v>
      </x:c>
      <x:c r="F983" s="45" t="n">
        <x:v>0.16734972677595628</x:v>
      </x:c>
      <x:c r="G983" s="66" t="n">
        <x:v>1576</x:v>
      </x:c>
      <x:c r="H983" s="66" t="n">
        <x:v>285</x:v>
      </x:c>
      <x:c r="I983" s="66" t="n">
        <x:v>0.18083756345177665</x:v>
      </x:c>
      <x:c r="J983" s="36" t="str">
        <x:v>low</x:v>
      </x:c>
      <x:c r="K983" s="72" t="n">
        <x:v>29.9729382</x:v>
      </x:c>
      <x:c r="L983" s="72" t="n">
        <x:v>-95.4313583</x:v>
      </x:c>
      <x:c r="M983" s="72" t="n">
        <x:v>0.632</x:v>
      </x:c>
      <x:c r="N983" s="72" t="n">
        <x:v>0.12472127196428587</x:v>
      </x:c>
      <x:c r="O983" s="72" t="n">
        <x:v>23.47354285839712</x:v>
      </x:c>
      <x:c r="P983" s="72" t="n">
        <x:v>1</x:v>
      </x:c>
      <x:c r="Q983" s="72" t="n">
        <x:v>243.3623001507296</x:v>
      </x:c>
      <x:c r="R983" s="36" t="str">
        <x:v>tract internal point; no person, address, building, parcel, or route condition</x:v>
      </x:c>
    </x:row>
    <x:row r="984" ht="86.4000015258789" hidden="0" customHeight="1">
      <x:c r="A984" s="34" t="str">
        <x:v>48201550404</x:v>
      </x:c>
      <x:c r="B984" s="62" t="n">
        <x:v>6224</x:v>
      </x:c>
      <x:c r="C984" s="62" t="n">
        <x:v>882</x:v>
      </x:c>
      <x:c r="D984" s="62" t="n">
        <x:v>107</x:v>
      </x:c>
      <x:c r="E984" s="43" t="n">
        <x:v>0.1417095115681234</x:v>
      </x:c>
      <x:c r="F984" s="43" t="n">
        <x:v>0.017191516709511568</x:v>
      </x:c>
      <x:c r="G984" s="65" t="n">
        <x:v>2151</x:v>
      </x:c>
      <x:c r="H984" s="65" t="n">
        <x:v>42</x:v>
      </x:c>
      <x:c r="I984" s="65" t="n">
        <x:v>0.019525801952580194</x:v>
      </x:c>
      <x:c r="J984" s="34" t="str">
        <x:v>low</x:v>
      </x:c>
      <x:c r="K984" s="71" t="n">
        <x:v>29.9698614</x:v>
      </x:c>
      <x:c r="L984" s="71" t="n">
        <x:v>-95.4555684</x:v>
      </x:c>
      <x:c r="M984" s="71" t="n">
        <x:v>1.171</x:v>
      </x:c>
      <x:c r="N984" s="71" t="n">
        <x:v>0.008609141824048889</x:v>
      </x:c>
      <x:c r="O984" s="71" t="n">
        <x:v>26.70271382654103</x:v>
      </x:c>
      <x:c r="P984" s="71" t="n">
        <x:v>1</x:v>
      </x:c>
      <x:c r="Q984" s="71" t="n">
        <x:v>503.88194112399634</x:v>
      </x:c>
      <x:c r="R984" s="34" t="str">
        <x:v>tract internal point; no person, address, building, parcel, or route condition</x:v>
      </x:c>
    </x:row>
    <x:row r="985" ht="86.4000015258789" hidden="0" customHeight="1">
      <x:c r="A985" s="36" t="str">
        <x:v>48201550405</x:v>
      </x:c>
      <x:c r="B985" s="63" t="n">
        <x:v>7123</x:v>
      </x:c>
      <x:c r="C985" s="63" t="n">
        <x:v>878</x:v>
      </x:c>
      <x:c r="D985" s="63" t="n">
        <x:v>217</x:v>
      </x:c>
      <x:c r="E985" s="45" t="n">
        <x:v>0.12326267022322056</x:v>
      </x:c>
      <x:c r="F985" s="45" t="n">
        <x:v>0.030464691843324444</x:v>
      </x:c>
      <x:c r="G985" s="66" t="n">
        <x:v>2608</x:v>
      </x:c>
      <x:c r="H985" s="66" t="n">
        <x:v>577</x:v>
      </x:c>
      <x:c r="I985" s="66" t="n">
        <x:v>0.22124233128834356</x:v>
      </x:c>
      <x:c r="J985" s="36" t="str">
        <x:v>low</x:v>
      </x:c>
      <x:c r="K985" s="72" t="n">
        <x:v>29.9919402</x:v>
      </x:c>
      <x:c r="L985" s="72" t="n">
        <x:v>-95.469782</x:v>
      </x:c>
      <x:c r="M985" s="72" t="n">
        <x:v>1.47</x:v>
      </x:c>
      <x:c r="N985" s="72" t="n">
        <x:v>0.047951986824253896</x:v>
      </x:c>
      <x:c r="O985" s="72" t="n">
        <x:v>31.782843772920653</x:v>
      </x:c>
      <x:c r="P985" s="72" t="n">
        <x:v>1</x:v>
      </x:c>
      <x:c r="Q985" s="72" t="n">
        <x:v>575.3407330426901</x:v>
      </x:c>
      <x:c r="R985" s="36" t="str">
        <x:v>tract internal point; no person, address, building, parcel, or route condition</x:v>
      </x:c>
    </x:row>
    <x:row r="986" ht="86.4000015258789" hidden="0" customHeight="1">
      <x:c r="A986" s="34" t="str">
        <x:v>48201550406</x:v>
      </x:c>
      <x:c r="B986" s="62" t="n">
        <x:v>4271</x:v>
      </x:c>
      <x:c r="C986" s="62" t="n">
        <x:v>360</x:v>
      </x:c>
      <x:c r="D986" s="62" t="n">
        <x:v>435.5</x:v>
      </x:c>
      <x:c r="E986" s="43" t="n">
        <x:v>0.0842893935846406</x:v>
      </x:c>
      <x:c r="F986" s="43" t="n">
        <x:v>0.10196675251697494</x:v>
      </x:c>
      <x:c r="G986" s="65" t="n">
        <x:v>1614</x:v>
      </x:c>
      <x:c r="H986" s="65" t="n">
        <x:v>478</x:v>
      </x:c>
      <x:c r="I986" s="65" t="n">
        <x:v>0.29615861214374223</x:v>
      </x:c>
      <x:c r="J986" s="34" t="str">
        <x:v>low</x:v>
      </x:c>
      <x:c r="K986" s="71" t="n">
        <x:v>29.98688</x:v>
      </x:c>
      <x:c r="L986" s="71" t="n">
        <x:v>-95.450271</x:v>
      </x:c>
      <x:c r="M986" s="71" t="n">
        <x:v>1.251</x:v>
      </x:c>
      <x:c r="N986" s="71" t="n">
        <x:v>0.03580033712175516</x:v>
      </x:c>
      <x:c r="O986" s="71" t="n">
        <x:v>26.705425981040662</x:v>
      </x:c>
      <x:c r="P986" s="71" t="n">
        <x:v>1</x:v>
      </x:c>
      <x:c r="Q986" s="71" t="n">
        <x:v>344.76194862620554</x:v>
      </x:c>
      <x:c r="R986" s="34" t="str">
        <x:v>tract internal point; no person, address, building, parcel, or route condition</x:v>
      </x:c>
    </x:row>
    <x:row r="987" ht="86.4000015258789" hidden="0" customHeight="1">
      <x:c r="A987" s="36" t="str">
        <x:v>48201550407</x:v>
      </x:c>
      <x:c r="B987" s="63" t="n">
        <x:v>6268</x:v>
      </x:c>
      <x:c r="C987" s="63" t="n">
        <x:v>552</x:v>
      </x:c>
      <x:c r="D987" s="63" t="n">
        <x:v>239</x:v>
      </x:c>
      <x:c r="E987" s="45" t="n">
        <x:v>0.08806636885768986</x:v>
      </x:c>
      <x:c r="F987" s="45" t="n">
        <x:v>0.03813018506700702</x:v>
      </x:c>
      <x:c r="G987" s="66" t="n">
        <x:v>1711</x:v>
      </x:c>
      <x:c r="H987" s="66" t="n">
        <x:v>10</x:v>
      </x:c>
      <x:c r="I987" s="66" t="n">
        <x:v>0.0058445353594389245</x:v>
      </x:c>
      <x:c r="J987" s="36" t="str">
        <x:v>low</x:v>
      </x:c>
      <x:c r="K987" s="72" t="n">
        <x:v>29.9779675</x:v>
      </x:c>
      <x:c r="L987" s="72" t="n">
        <x:v>-95.4575753</x:v>
      </x:c>
      <x:c r="M987" s="72" t="n">
        <x:v>1.156</x:v>
      </x:c>
      <x:c r="N987" s="72" t="n">
        <x:v>0.03263972688331546</x:v>
      </x:c>
      <x:c r="O987" s="72" t="n">
        <x:v>29.357183142357428</x:v>
      </x:c>
      <x:c r="P987" s="72" t="n">
        <x:v>1</x:v>
      </x:c>
      <x:c r="Q987" s="72" t="n">
        <x:v>503.19030301479654</x:v>
      </x:c>
      <x:c r="R987" s="36" t="str">
        <x:v>tract internal point; no person, address, building, parcel, or route condition</x:v>
      </x:c>
    </x:row>
    <x:row r="988" ht="86.4000015258789" hidden="0" customHeight="1">
      <x:c r="A988" s="34" t="str">
        <x:v>48201550500</x:v>
      </x:c>
      <x:c r="B988" s="62" t="n">
        <x:v>6347</x:v>
      </x:c>
      <x:c r="C988" s="62" t="n">
        <x:v>1362</x:v>
      </x:c>
      <x:c r="D988" s="62" t="n">
        <x:v>197.5</x:v>
      </x:c>
      <x:c r="E988" s="43" t="n">
        <x:v>0.21458956987553174</x:v>
      </x:c>
      <x:c r="F988" s="43" t="n">
        <x:v>0.03111706317945486</x:v>
      </x:c>
      <x:c r="G988" s="65" t="n">
        <x:v>2074</x:v>
      </x:c>
      <x:c r="H988" s="65" t="n">
        <x:v>261</x:v>
      </x:c>
      <x:c r="I988" s="65" t="n">
        <x:v>0.12584378013500483</x:v>
      </x:c>
      <x:c r="J988" s="34" t="str">
        <x:v>low</x:v>
      </x:c>
      <x:c r="K988" s="71" t="n">
        <x:v>29.9526294</x:v>
      </x:c>
      <x:c r="L988" s="71" t="n">
        <x:v>-95.4466086</x:v>
      </x:c>
      <x:c r="M988" s="71" t="n">
        <x:v>1.689</x:v>
      </x:c>
      <x:c r="N988" s="71" t="n">
        <x:v>0.04032952699704419</x:v>
      </x:c>
      <x:c r="O988" s="71" t="n">
        <x:v>25.011303134527274</x:v>
      </x:c>
      <x:c r="P988" s="71" t="n">
        <x:v>1</x:v>
      </x:c>
      <x:c r="Q988" s="71" t="n">
        <x:v>521.8055855334312</x:v>
      </x:c>
      <x:c r="R988" s="34" t="str">
        <x:v>tract internal point; no person, address, building, parcel, or route condition</x:v>
      </x:c>
    </x:row>
    <x:row r="989" ht="86.4000015258789" hidden="0" customHeight="1">
      <x:c r="A989" s="36" t="str">
        <x:v>48201550601</x:v>
      </x:c>
      <x:c r="B989" s="63" t="n">
        <x:v>7107</x:v>
      </x:c>
      <x:c r="C989" s="63" t="n">
        <x:v>933</x:v>
      </x:c>
      <x:c r="D989" s="63" t="n">
        <x:v>34</x:v>
      </x:c>
      <x:c r="E989" s="45" t="n">
        <x:v>0.13127902068383285</x:v>
      </x:c>
      <x:c r="F989" s="45" t="n">
        <x:v>0.004784015759110736</x:v>
      </x:c>
      <x:c r="G989" s="66" t="n">
        <x:v>2220</x:v>
      </x:c>
      <x:c r="H989" s="66" t="n">
        <x:v>140</x:v>
      </x:c>
      <x:c r="I989" s="66" t="n">
        <x:v>0.06306306306306306</x:v>
      </x:c>
      <x:c r="J989" s="36" t="str">
        <x:v>low</x:v>
      </x:c>
      <x:c r="K989" s="72" t="n">
        <x:v>29.9572629</x:v>
      </x:c>
      <x:c r="L989" s="72" t="n">
        <x:v>-95.458552</x:v>
      </x:c>
      <x:c r="M989" s="72" t="n">
        <x:v>0.786</x:v>
      </x:c>
      <x:c r="N989" s="72" t="n">
        <x:v>0.02044772107640867</x:v>
      </x:c>
      <x:c r="O989" s="72" t="n">
        <x:v>25.875574439222067</x:v>
      </x:c>
      <x:c r="P989" s="72" t="n">
        <x:v>1</x:v>
      </x:c>
      <x:c r="Q989" s="72" t="n">
        <x:v>573.5094639581043</x:v>
      </x:c>
      <x:c r="R989" s="36" t="str">
        <x:v>tract internal point; no person, address, building, parcel, or route condition</x:v>
      </x:c>
    </x:row>
    <x:row r="990" ht="86.4000015258789" hidden="0" customHeight="1">
      <x:c r="A990" s="34" t="str">
        <x:v>48201550602</x:v>
      </x:c>
      <x:c r="B990" s="62" t="n">
        <x:v>2665</x:v>
      </x:c>
      <x:c r="C990" s="62" t="n">
        <x:v>155</x:v>
      </x:c>
      <x:c r="D990" s="62" t="n">
        <x:v>36</x:v>
      </x:c>
      <x:c r="E990" s="43" t="n">
        <x:v>0.058161350844277676</x:v>
      </x:c>
      <x:c r="F990" s="43" t="n">
        <x:v>0.01350844277673546</x:v>
      </x:c>
      <x:c r="G990" s="65" t="n">
        <x:v>775</x:v>
      </x:c>
      <x:c r="H990" s="65" t="n">
        <x:v>0</x:v>
      </x:c>
      <x:c r="I990" s="65" t="n">
        <x:v>0</x:v>
      </x:c>
      <x:c r="J990" s="34" t="str">
        <x:v>moderate</x:v>
      </x:c>
      <x:c r="K990" s="71" t="n">
        <x:v>29.944128</x:v>
      </x:c>
      <x:c r="L990" s="71" t="n">
        <x:v>-95.4594405</x:v>
      </x:c>
      <x:c r="M990" s="71" t="n">
        <x:v>0.433</x:v>
      </x:c>
      <x:c r="N990" s="71" t="n">
        <x:v>0.01757318166450861</x:v>
      </x:c>
      <x:c r="O990" s="71" t="n">
        <x:v>23.311460238496373</x:v>
      </x:c>
      <x:c r="P990" s="71" t="n">
        <x:v>1</x:v>
      </x:c>
      <x:c r="Q990" s="71" t="n">
        <x:v>375.38779292575293</x:v>
      </x:c>
      <x:c r="R990" s="34" t="str">
        <x:v>tract internal point; no person, address, building, parcel, or route condition</x:v>
      </x:c>
    </x:row>
    <x:row r="991" ht="86.4000015258789" hidden="0" customHeight="1">
      <x:c r="A991" s="36" t="str">
        <x:v>48201550603</x:v>
      </x:c>
      <x:c r="B991" s="63" t="n">
        <x:v>5031</x:v>
      </x:c>
      <x:c r="C991" s="63" t="n">
        <x:v>312</x:v>
      </x:c>
      <x:c r="D991" s="63" t="n">
        <x:v>157</x:v>
      </x:c>
      <x:c r="E991" s="45" t="n">
        <x:v>0.06201550387596899</x:v>
      </x:c>
      <x:c r="F991" s="45" t="n">
        <x:v>0.0312065195786126</x:v>
      </x:c>
      <x:c r="G991" s="66" t="n">
        <x:v>1606</x:v>
      </x:c>
      <x:c r="H991" s="66" t="n">
        <x:v>182</x:v>
      </x:c>
      <x:c r="I991" s="66" t="n">
        <x:v>0.1133250311332503</x:v>
      </x:c>
      <x:c r="J991" s="36" t="str">
        <x:v>low</x:v>
      </x:c>
      <x:c r="K991" s="72" t="n">
        <x:v>29.9578566</x:v>
      </x:c>
      <x:c r="L991" s="72" t="n">
        <x:v>-95.4713104</x:v>
      </x:c>
      <x:c r="M991" s="72" t="n">
        <x:v>0.673</x:v>
      </x:c>
      <x:c r="N991" s="72" t="n">
        <x:v>0.039980755845900134</x:v>
      </x:c>
      <x:c r="O991" s="72" t="n">
        <x:v>26.634684675823376</x:v>
      </x:c>
      <x:c r="P991" s="72" t="n">
        <x:v>1</x:v>
      </x:c>
      <x:c r="Q991" s="72" t="n">
        <x:v>401.55093905829114</x:v>
      </x:c>
      <x:c r="R991" s="36" t="str">
        <x:v>tract internal point; no person, address, building, parcel, or route condition</x:v>
      </x:c>
    </x:row>
    <x:row r="992" ht="86.4000015258789" hidden="0" customHeight="1">
      <x:c r="A992" s="34" t="str">
        <x:v>48201550700</x:v>
      </x:c>
      <x:c r="B992" s="62" t="n">
        <x:v>5079</x:v>
      </x:c>
      <x:c r="C992" s="62" t="n">
        <x:v>410</x:v>
      </x:c>
      <x:c r="D992" s="62" t="n">
        <x:v>246</x:v>
      </x:c>
      <x:c r="E992" s="43" t="n">
        <x:v>0.08072455207718054</x:v>
      </x:c>
      <x:c r="F992" s="43" t="n">
        <x:v>0.04843473124630833</x:v>
      </x:c>
      <x:c r="G992" s="65" t="n">
        <x:v>1461</x:v>
      </x:c>
      <x:c r="H992" s="65" t="n">
        <x:v>0</x:v>
      </x:c>
      <x:c r="I992" s="65" t="n">
        <x:v>0</x:v>
      </x:c>
      <x:c r="J992" s="34" t="str">
        <x:v>low</x:v>
      </x:c>
      <x:c r="K992" s="71" t="n">
        <x:v>29.9427007</x:v>
      </x:c>
      <x:c r="L992" s="71" t="n">
        <x:v>-95.496592</x:v>
      </x:c>
      <x:c r="M992" s="71" t="n">
        <x:v>2.341</x:v>
      </x:c>
      <x:c r="N992" s="71" t="n">
        <x:v>0.043340114814435435</x:v>
      </x:c>
      <x:c r="O992" s="71" t="n">
        <x:v>26.30019614728833</x:v>
      </x:c>
      <x:c r="P992" s="71" t="n">
        <x:v>1</x:v>
      </x:c>
      <x:c r="Q992" s="71" t="n">
        <x:v>407.5634748939488</x:v>
      </x:c>
      <x:c r="R992" s="34" t="str">
        <x:v>tract internal point; no person, address, building, parcel, or route condition</x:v>
      </x:c>
    </x:row>
    <x:row r="993" ht="86.4000015258789" hidden="0" customHeight="1">
      <x:c r="A993" s="36" t="str">
        <x:v>48201550800</x:v>
      </x:c>
      <x:c r="B993" s="63" t="n">
        <x:v>3591</x:v>
      </x:c>
      <x:c r="C993" s="63" t="n">
        <x:v>582</x:v>
      </x:c>
      <x:c r="D993" s="63" t="n">
        <x:v>18</x:v>
      </x:c>
      <x:c r="E993" s="45" t="n">
        <x:v>0.1620718462823726</x:v>
      </x:c>
      <x:c r="F993" s="45" t="n">
        <x:v>0.005012531328320802</x:v>
      </x:c>
      <x:c r="G993" s="66" t="n">
        <x:v>1007</x:v>
      </x:c>
      <x:c r="H993" s="66" t="n">
        <x:v>69</x:v>
      </x:c>
      <x:c r="I993" s="66" t="n">
        <x:v>0.06852035749751738</x:v>
      </x:c>
      <x:c r="J993" s="36" t="str">
        <x:v>high</x:v>
      </x:c>
      <x:c r="K993" s="72" t="n">
        <x:v>29.9509869</x:v>
      </x:c>
      <x:c r="L993" s="72" t="n">
        <x:v>-95.4761029</x:v>
      </x:c>
      <x:c r="M993" s="72" t="n">
        <x:v>0.768</x:v>
      </x:c>
      <x:c r="N993" s="72" t="n">
        <x:v>0.1219509635506086</x:v>
      </x:c>
      <x:c r="O993" s="72" t="n">
        <x:v>25.878391899069463</x:v>
      </x:c>
      <x:c r="P993" s="72" t="n">
        <x:v>1</x:v>
      </x:c>
      <x:c r="Q993" s="72" t="n">
        <x:v>627.9009972905112</x:v>
      </x:c>
      <x:c r="R993" s="36" t="str">
        <x:v>tract internal point; no person, address, building, parcel, or route condition</x:v>
      </x:c>
    </x:row>
    <x:row r="994" ht="86.4000015258789" hidden="0" customHeight="1">
      <x:c r="A994" s="34" t="str">
        <x:v>48201550901</x:v>
      </x:c>
      <x:c r="B994" s="62" t="n">
        <x:v>5599</x:v>
      </x:c>
      <x:c r="C994" s="62" t="n">
        <x:v>610</x:v>
      </x:c>
      <x:c r="D994" s="62" t="n">
        <x:v>314.5</x:v>
      </x:c>
      <x:c r="E994" s="43" t="n">
        <x:v>0.10894802643329166</x:v>
      </x:c>
      <x:c r="F994" s="43" t="n">
        <x:v>0.05617074477585283</x:v>
      </x:c>
      <x:c r="G994" s="65" t="n">
        <x:v>1615</x:v>
      </x:c>
      <x:c r="H994" s="65" t="n">
        <x:v>0</x:v>
      </x:c>
      <x:c r="I994" s="65" t="n">
        <x:v>0</x:v>
      </x:c>
      <x:c r="J994" s="34" t="str">
        <x:v>high</x:v>
      </x:c>
      <x:c r="K994" s="71" t="n">
        <x:v>29.9512831</x:v>
      </x:c>
      <x:c r="L994" s="71" t="n">
        <x:v>-95.4937683</x:v>
      </x:c>
      <x:c r="M994" s="71" t="n">
        <x:v>0.641</x:v>
      </x:c>
      <x:c r="N994" s="71" t="n">
        <x:v>0.03126459186919514</x:v>
      </x:c>
      <x:c r="O994" s="71" t="n">
        <x:v>27.259833184545332</x:v>
      </x:c>
      <x:c r="P994" s="71" t="n">
        <x:v>1</x:v>
      </x:c>
      <x:c r="Q994" s="71" t="n">
        <x:v>973.7865555547831</x:v>
      </x:c>
      <x:c r="R994" s="34" t="str">
        <x:v>tract internal point; no person, address, building, parcel, or route condition</x:v>
      </x:c>
    </x:row>
    <x:row r="995" ht="86.4000015258789" hidden="0" customHeight="1">
      <x:c r="A995" s="36" t="str">
        <x:v>48201550902</x:v>
      </x:c>
      <x:c r="B995" s="63" t="n">
        <x:v>4531</x:v>
      </x:c>
      <x:c r="C995" s="63" t="n">
        <x:v>330</x:v>
      </x:c>
      <x:c r="D995" s="63" t="n">
        <x:v>24</x:v>
      </x:c>
      <x:c r="E995" s="45" t="n">
        <x:v>0.07283160450231736</x:v>
      </x:c>
      <x:c r="F995" s="45" t="n">
        <x:v>0.0052968439638048995</x:v>
      </x:c>
      <x:c r="G995" s="66" t="n">
        <x:v>1416</x:v>
      </x:c>
      <x:c r="H995" s="66" t="n">
        <x:v>101</x:v>
      </x:c>
      <x:c r="I995" s="66" t="n">
        <x:v>0.0713276836158192</x:v>
      </x:c>
      <x:c r="J995" s="36" t="str">
        <x:v>low</x:v>
      </x:c>
      <x:c r="K995" s="72" t="n">
        <x:v>29.9607733</x:v>
      </x:c>
      <x:c r="L995" s="72" t="n">
        <x:v>-95.4895385</x:v>
      </x:c>
      <x:c r="M995" s="72" t="n">
        <x:v>0.588</x:v>
      </x:c>
      <x:c r="N995" s="72" t="n">
        <x:v>0.036812835013200325</x:v>
      </x:c>
      <x:c r="O995" s="72" t="n">
        <x:v>29.643293949208044</x:v>
      </x:c>
      <x:c r="P995" s="72" t="n">
        <x:v>1</x:v>
      </x:c>
      <x:c r="Q995" s="72" t="n">
        <x:v>361.49094539247693</x:v>
      </x:c>
      <x:c r="R995" s="36" t="str">
        <x:v>tract internal point; no person, address, building, parcel, or route condition</x:v>
      </x:c>
    </x:row>
    <x:row r="996" ht="86.4000015258789" hidden="0" customHeight="1">
      <x:c r="A996" s="34" t="str">
        <x:v>48201551000</x:v>
      </x:c>
      <x:c r="B996" s="62" t="n">
        <x:v>3693</x:v>
      </x:c>
      <x:c r="C996" s="62" t="n">
        <x:v>326</x:v>
      </x:c>
      <x:c r="D996" s="62" t="n">
        <x:v>0</x:v>
      </x:c>
      <x:c r="E996" s="43" t="n">
        <x:v>0.08827511508258869</x:v>
      </x:c>
      <x:c r="F996" s="43" t="n">
        <x:v>0</x:v>
      </x:c>
      <x:c r="G996" s="65" t="n">
        <x:v>1155</x:v>
      </x:c>
      <x:c r="H996" s="65" t="n">
        <x:v>74</x:v>
      </x:c>
      <x:c r="I996" s="65" t="n">
        <x:v>0.06406926406926407</x:v>
      </x:c>
      <x:c r="J996" s="34" t="str">
        <x:v>low</x:v>
      </x:c>
      <x:c r="K996" s="71" t="n">
        <x:v>29.9697315</x:v>
      </x:c>
      <x:c r="L996" s="71" t="n">
        <x:v>-95.4917709</x:v>
      </x:c>
      <x:c r="M996" s="71" t="n">
        <x:v>0.429</x:v>
      </x:c>
      <x:c r="N996" s="71" t="n">
        <x:v>0.025470951403909325</x:v>
      </x:c>
      <x:c r="O996" s="71" t="n">
        <x:v>29.735109079827875</x:v>
      </x:c>
      <x:c r="P996" s="71" t="n">
        <x:v>1</x:v>
      </x:c>
      <x:c r="Q996" s="71" t="n">
        <x:v>295.3766297721457</x:v>
      </x:c>
      <x:c r="R996" s="34" t="str">
        <x:v>tract internal point; no person, address, building, parcel, or route condition</x:v>
      </x:c>
    </x:row>
    <x:row r="997" ht="86.4000015258789" hidden="0" customHeight="1">
      <x:c r="A997" s="36" t="str">
        <x:v>48201551101</x:v>
      </x:c>
      <x:c r="B997" s="63" t="n">
        <x:v>3707</x:v>
      </x:c>
      <x:c r="C997" s="63" t="n">
        <x:v>486</x:v>
      </x:c>
      <x:c r="D997" s="63" t="n">
        <x:v>345</x:v>
      </x:c>
      <x:c r="E997" s="45" t="n">
        <x:v>0.13110331804693823</x:v>
      </x:c>
      <x:c r="F997" s="45" t="n">
        <x:v>0.09306717021850552</x:v>
      </x:c>
      <x:c r="G997" s="66" t="n">
        <x:v>2064</x:v>
      </x:c>
      <x:c r="H997" s="66" t="n">
        <x:v>645</x:v>
      </x:c>
      <x:c r="I997" s="66" t="n">
        <x:v>0.3125</x:v>
      </x:c>
      <x:c r="J997" s="36" t="str">
        <x:v>low</x:v>
      </x:c>
      <x:c r="K997" s="72" t="n">
        <x:v>29.9871263</x:v>
      </x:c>
      <x:c r="L997" s="72" t="n">
        <x:v>-95.4877052</x:v>
      </x:c>
      <x:c r="M997" s="72" t="n">
        <x:v>0.706</x:v>
      </x:c>
      <x:c r="N997" s="72" t="n">
        <x:v>0.004263581606630522</x:v>
      </x:c>
      <x:c r="O997" s="72" t="n">
        <x:v>31.779671056700945</x:v>
      </x:c>
      <x:c r="P997" s="72" t="n">
        <x:v>1</x:v>
      </x:c>
      <x:c r="Q997" s="72" t="n">
        <x:v>301.7035465665307</x:v>
      </x:c>
      <x:c r="R997" s="36" t="str">
        <x:v>tract internal point; no person, address, building, parcel, or route condition</x:v>
      </x:c>
    </x:row>
    <x:row r="998" ht="86.4000015258789" hidden="0" customHeight="1">
      <x:c r="A998" s="34" t="str">
        <x:v>48201551102</x:v>
      </x:c>
      <x:c r="B998" s="62" t="n">
        <x:v>6460</x:v>
      </x:c>
      <x:c r="C998" s="62" t="n">
        <x:v>754</x:v>
      </x:c>
      <x:c r="D998" s="62" t="n">
        <x:v>718.5</x:v>
      </x:c>
      <x:c r="E998" s="43" t="n">
        <x:v>0.11671826625386997</x:v>
      </x:c>
      <x:c r="F998" s="43" t="n">
        <x:v>0.11122291021671826</x:v>
      </x:c>
      <x:c r="G998" s="65" t="n">
        <x:v>1875</x:v>
      </x:c>
      <x:c r="H998" s="65" t="n">
        <x:v>0</x:v>
      </x:c>
      <x:c r="I998" s="65" t="n">
        <x:v>0</x:v>
      </x:c>
      <x:c r="J998" s="34" t="str">
        <x:v>low</x:v>
      </x:c>
      <x:c r="K998" s="71" t="n">
        <x:v>29.9697605</x:v>
      </x:c>
      <x:c r="L998" s="71" t="n">
        <x:v>-95.4768191</x:v>
      </x:c>
      <x:c r="M998" s="71" t="n">
        <x:v>1.074</x:v>
      </x:c>
      <x:c r="N998" s="71" t="n">
        <x:v>0.16706158512109195</x:v>
      </x:c>
      <x:c r="O998" s="71" t="n">
        <x:v>30.46585987192912</x:v>
      </x:c>
      <x:c r="P998" s="71" t="n">
        <x:v>1</x:v>
      </x:c>
      <x:c r="Q998" s="71" t="n">
        <x:v>525.2244784595895</x:v>
      </x:c>
      <x:c r="R998" s="34" t="str">
        <x:v>tract internal point; no person, address, building, parcel, or route condition</x:v>
      </x:c>
    </x:row>
    <x:row r="999" ht="86.4000015258789" hidden="0" customHeight="1">
      <x:c r="A999" s="36" t="str">
        <x:v>48201551201</x:v>
      </x:c>
      <x:c r="B999" s="63" t="n">
        <x:v>4843</x:v>
      </x:c>
      <x:c r="C999" s="63" t="n">
        <x:v>712</x:v>
      </x:c>
      <x:c r="D999" s="63" t="n">
        <x:v>502</x:v>
      </x:c>
      <x:c r="E999" s="45" t="n">
        <x:v>0.14701631220317984</x:v>
      </x:c>
      <x:c r="F999" s="45" t="n">
        <x:v>0.10365475944662399</x:v>
      </x:c>
      <x:c r="G999" s="66" t="n">
        <x:v>1650</x:v>
      </x:c>
      <x:c r="H999" s="66" t="n">
        <x:v>325</x:v>
      </x:c>
      <x:c r="I999" s="66" t="n">
        <x:v>0.19696969696969696</x:v>
      </x:c>
      <x:c r="J999" s="36" t="str">
        <x:v>low</x:v>
      </x:c>
      <x:c r="K999" s="72" t="n">
        <x:v>29.9779481</x:v>
      </x:c>
      <x:c r="L999" s="72" t="n">
        <x:v>-95.499204</x:v>
      </x:c>
      <x:c r="M999" s="72" t="n">
        <x:v>0.77</x:v>
      </x:c>
      <x:c r="N999" s="72" t="n">
        <x:v>0.03610337625168617</x:v>
      </x:c>
      <x:c r="O999" s="72" t="n">
        <x:v>31.641642867735307</x:v>
      </x:c>
      <x:c r="P999" s="72" t="n">
        <x:v>1</x:v>
      </x:c>
      <x:c r="Q999" s="72" t="n">
        <x:v>395.77418894167863</x:v>
      </x:c>
      <x:c r="R999" s="36" t="str">
        <x:v>tract internal point; no person, address, building, parcel, or route condition</x:v>
      </x:c>
    </x:row>
    <x:row r="1000" ht="86.4000015258789" hidden="0" customHeight="1">
      <x:c r="A1000" s="34" t="str">
        <x:v>48201551202</x:v>
      </x:c>
      <x:c r="B1000" s="62" t="n">
        <x:v>3674</x:v>
      </x:c>
      <x:c r="C1000" s="62" t="n">
        <x:v>395</x:v>
      </x:c>
      <x:c r="D1000" s="62" t="n">
        <x:v>135.5</x:v>
      </x:c>
      <x:c r="E1000" s="43" t="n">
        <x:v>0.10751224823081111</x:v>
      </x:c>
      <x:c r="F1000" s="43" t="n">
        <x:v>0.03688078388677191</x:v>
      </x:c>
      <x:c r="G1000" s="65" t="n">
        <x:v>1260</x:v>
      </x:c>
      <x:c r="H1000" s="65" t="n">
        <x:v>157</x:v>
      </x:c>
      <x:c r="I1000" s="65" t="n">
        <x:v>0.1246031746031746</x:v>
      </x:c>
      <x:c r="J1000" s="34" t="str">
        <x:v>low</x:v>
      </x:c>
      <x:c r="K1000" s="71" t="n">
        <x:v>29.9708756</x:v>
      </x:c>
      <x:c r="L1000" s="71" t="n">
        <x:v>-95.506244</x:v>
      </x:c>
      <x:c r="M1000" s="71" t="n">
        <x:v>0.608</x:v>
      </x:c>
      <x:c r="N1000" s="71" t="n">
        <x:v>0.04504506750870301</x:v>
      </x:c>
      <x:c r="O1000" s="71" t="n">
        <x:v>30.547052972562636</x:v>
      </x:c>
      <x:c r="P1000" s="71" t="n">
        <x:v>1</x:v>
      </x:c>
      <x:c r="Q1000" s="71" t="n">
        <x:v>296.03290002348876</x:v>
      </x:c>
      <x:c r="R1000" s="34" t="str">
        <x:v>tract internal point; no person, address, building, parcel, or route condition</x:v>
      </x:c>
    </x:row>
    <x:row r="1001" ht="86.4000015258789" hidden="0" customHeight="1">
      <x:c r="A1001" s="36" t="str">
        <x:v>48201551300</x:v>
      </x:c>
      <x:c r="B1001" s="63" t="n">
        <x:v>3616</x:v>
      </x:c>
      <x:c r="C1001" s="63" t="n">
        <x:v>533</x:v>
      </x:c>
      <x:c r="D1001" s="63" t="n">
        <x:v>32</x:v>
      </x:c>
      <x:c r="E1001" s="45" t="n">
        <x:v>0.1474004424778761</x:v>
      </x:c>
      <x:c r="F1001" s="45" t="n">
        <x:v>0.008849557522123894</x:v>
      </x:c>
      <x:c r="G1001" s="66" t="n">
        <x:v>1179</x:v>
      </x:c>
      <x:c r="H1001" s="66" t="n">
        <x:v>0</x:v>
      </x:c>
      <x:c r="I1001" s="66" t="n">
        <x:v>0</x:v>
      </x:c>
      <x:c r="J1001" s="36" t="str">
        <x:v>low</x:v>
      </x:c>
      <x:c r="K1001" s="72" t="n">
        <x:v>29.9502616</x:v>
      </x:c>
      <x:c r="L1001" s="72" t="n">
        <x:v>-95.5079947</x:v>
      </x:c>
      <x:c r="M1001" s="72" t="n">
        <x:v>0.767</x:v>
      </x:c>
      <x:c r="N1001" s="72" t="n">
        <x:v>0.058100044253986995</x:v>
      </x:c>
      <x:c r="O1001" s="72" t="n">
        <x:v>27.594443709559005</x:v>
      </x:c>
      <x:c r="P1001" s="72" t="n">
        <x:v>5</x:v>
      </x:c>
      <x:c r="Q1001" s="72" t="n">
        <x:v>292.8301440064553</x:v>
      </x:c>
      <x:c r="R1001" s="36" t="str">
        <x:v>tract internal point; no person, address, building, parcel, or route condition</x:v>
      </x:c>
    </x:row>
    <x:row r="1002" ht="86.4000015258789" hidden="0" customHeight="1">
      <x:c r="A1002" s="34" t="str">
        <x:v>48201551400</x:v>
      </x:c>
      <x:c r="B1002" s="62" t="n">
        <x:v>6451</x:v>
      </x:c>
      <x:c r="C1002" s="62" t="n">
        <x:v>410</x:v>
      </x:c>
      <x:c r="D1002" s="62" t="n">
        <x:v>18</x:v>
      </x:c>
      <x:c r="E1002" s="43" t="n">
        <x:v>0.06355603782359324</x:v>
      </x:c>
      <x:c r="F1002" s="43" t="n">
        <x:v>0.0027902650751821423</x:v>
      </x:c>
      <x:c r="G1002" s="65" t="n">
        <x:v>2534</x:v>
      </x:c>
      <x:c r="H1002" s="65" t="n">
        <x:v>313</x:v>
      </x:c>
      <x:c r="I1002" s="65" t="n">
        <x:v>0.12352012628255722</x:v>
      </x:c>
      <x:c r="J1002" s="34" t="str">
        <x:v>low</x:v>
      </x:c>
      <x:c r="K1002" s="71" t="n">
        <x:v>29.9625309</x:v>
      </x:c>
      <x:c r="L1002" s="71" t="n">
        <x:v>-95.5216718</x:v>
      </x:c>
      <x:c r="M1002" s="71" t="n">
        <x:v>3.056</x:v>
      </x:c>
      <x:c r="N1002" s="71" t="n">
        <x:v>0.20834064209211836</x:v>
      </x:c>
      <x:c r="O1002" s="71" t="n">
        <x:v>29.39208182422701</x:v>
      </x:c>
      <x:c r="P1002" s="71" t="n">
        <x:v>5</x:v>
      </x:c>
      <x:c r="Q1002" s="71" t="n">
        <x:v>513.6041722726353</x:v>
      </x:c>
      <x:c r="R1002" s="34" t="str">
        <x:v>tract internal point; no person, address, building, parcel, or route condition</x:v>
      </x:c>
    </x:row>
    <x:row r="1003" ht="86.4000015258789" hidden="0" customHeight="1">
      <x:c r="A1003" s="36" t="str">
        <x:v>48201551501</x:v>
      </x:c>
      <x:c r="B1003" s="63" t="n">
        <x:v>4311</x:v>
      </x:c>
      <x:c r="C1003" s="63" t="n">
        <x:v>659</x:v>
      </x:c>
      <x:c r="D1003" s="63" t="n">
        <x:v>112.5</x:v>
      </x:c>
      <x:c r="E1003" s="45" t="n">
        <x:v>0.1528647645557875</x:v>
      </x:c>
      <x:c r="F1003" s="45" t="n">
        <x:v>0.026096033402922755</x:v>
      </x:c>
      <x:c r="G1003" s="66" t="n">
        <x:v>1798</x:v>
      </x:c>
      <x:c r="H1003" s="66" t="n">
        <x:v>459</x:v>
      </x:c>
      <x:c r="I1003" s="66" t="n">
        <x:v>0.25528364849833146</x:v>
      </x:c>
      <x:c r="J1003" s="36" t="str">
        <x:v>high</x:v>
      </x:c>
      <x:c r="K1003" s="72" t="n">
        <x:v>29.9460826</x:v>
      </x:c>
      <x:c r="L1003" s="72" t="n">
        <x:v>-95.558878</x:v>
      </x:c>
      <x:c r="M1003" s="72" t="n">
        <x:v>1.492</x:v>
      </x:c>
      <x:c r="N1003" s="72" t="n">
        <x:v>0.028841897962772717</x:v>
      </x:c>
      <x:c r="O1003" s="72" t="n">
        <x:v>21.972097889398174</x:v>
      </x:c>
      <x:c r="P1003" s="72" t="n">
        <x:v>5</x:v>
      </x:c>
      <x:c r="Q1003" s="72" t="n">
        <x:v>753.9907357332584</x:v>
      </x:c>
      <x:c r="R1003" s="36" t="str">
        <x:v>tract internal point; no person, address, building, parcel, or route condition</x:v>
      </x:c>
    </x:row>
    <x:row r="1004" ht="86.4000015258789" hidden="0" customHeight="1">
      <x:c r="A1004" s="34" t="str">
        <x:v>48201551502</x:v>
      </x:c>
      <x:c r="B1004" s="62" t="n">
        <x:v>4924</x:v>
      </x:c>
      <x:c r="C1004" s="62" t="n">
        <x:v>648</x:v>
      </x:c>
      <x:c r="D1004" s="62" t="n">
        <x:v>225</x:v>
      </x:c>
      <x:c r="E1004" s="43" t="n">
        <x:v>0.13160032493907392</x:v>
      </x:c>
      <x:c r="F1004" s="43" t="n">
        <x:v>0.045694557270511776</x:v>
      </x:c>
      <x:c r="G1004" s="65" t="n">
        <x:v>1421</x:v>
      </x:c>
      <x:c r="H1004" s="65" t="n">
        <x:v>42</x:v>
      </x:c>
      <x:c r="I1004" s="65" t="n">
        <x:v>0.029556650246305417</x:v>
      </x:c>
      <x:c r="J1004" s="34" t="str">
        <x:v>low</x:v>
      </x:c>
      <x:c r="K1004" s="71" t="n">
        <x:v>29.9383278</x:v>
      </x:c>
      <x:c r="L1004" s="71" t="n">
        <x:v>-95.5293345</x:v>
      </x:c>
      <x:c r="M1004" s="71" t="n">
        <x:v>2.334</x:v>
      </x:c>
      <x:c r="N1004" s="71" t="n">
        <x:v>0.2208279686074561</x:v>
      </x:c>
      <x:c r="O1004" s="71" t="n">
        <x:v>23.37918684649077</x:v>
      </x:c>
      <x:c r="P1004" s="71" t="n">
        <x:v>5</x:v>
      </x:c>
      <x:c r="Q1004" s="71" t="n">
        <x:v>398.9572961487916</x:v>
      </x:c>
      <x:c r="R1004" s="34" t="str">
        <x:v>tract internal point; no person, address, building, parcel, or route condition</x:v>
      </x:c>
    </x:row>
    <x:row r="1005" ht="86.4000015258789" hidden="0" customHeight="1">
      <x:c r="A1005" s="36" t="str">
        <x:v>48201551601</x:v>
      </x:c>
      <x:c r="B1005" s="63" t="n">
        <x:v>3000</x:v>
      </x:c>
      <x:c r="C1005" s="63" t="n">
        <x:v>394</x:v>
      </x:c>
      <x:c r="D1005" s="63" t="n">
        <x:v>6</x:v>
      </x:c>
      <x:c r="E1005" s="45" t="n">
        <x:v>0.13133333333333333</x:v>
      </x:c>
      <x:c r="F1005" s="45" t="n">
        <x:v>0.002</x:v>
      </x:c>
      <x:c r="G1005" s="66" t="n">
        <x:v>1011</x:v>
      </x:c>
      <x:c r="H1005" s="66" t="n">
        <x:v>0</x:v>
      </x:c>
      <x:c r="I1005" s="66" t="n">
        <x:v>0</x:v>
      </x:c>
      <x:c r="J1005" s="36" t="str">
        <x:v>low</x:v>
      </x:c>
      <x:c r="K1005" s="72" t="n">
        <x:v>29.9298646</x:v>
      </x:c>
      <x:c r="L1005" s="72" t="n">
        <x:v>-95.5565503</x:v>
      </x:c>
      <x:c r="M1005" s="72" t="n">
        <x:v>0.53</x:v>
      </x:c>
      <x:c r="N1005" s="72" t="n">
        <x:v>0.005111839953462845</x:v>
      </x:c>
      <x:c r="O1005" s="72" t="n">
        <x:v>21.60344173754974</x:v>
      </x:c>
      <x:c r="P1005" s="72" t="n">
        <x:v>5</x:v>
      </x:c>
      <x:c r="Q1005" s="72" t="n">
        <x:v>242.02618107613895</x:v>
      </x:c>
      <x:c r="R1005" s="36" t="str">
        <x:v>tract internal point; no person, address, building, parcel, or route condition</x:v>
      </x:c>
    </x:row>
    <x:row r="1006" ht="86.4000015258789" hidden="0" customHeight="1">
      <x:c r="A1006" s="34" t="str">
        <x:v>48201551602</x:v>
      </x:c>
      <x:c r="B1006" s="62" t="n">
        <x:v>4474</x:v>
      </x:c>
      <x:c r="C1006" s="62" t="n">
        <x:v>399</x:v>
      </x:c>
      <x:c r="D1006" s="62" t="n">
        <x:v>52</x:v>
      </x:c>
      <x:c r="E1006" s="43" t="n">
        <x:v>0.089181940098346</x:v>
      </x:c>
      <x:c r="F1006" s="43" t="n">
        <x:v>0.0116227089852481</x:v>
      </x:c>
      <x:c r="G1006" s="65" t="n">
        <x:v>1634</x:v>
      </x:c>
      <x:c r="H1006" s="65" t="n">
        <x:v>230</x:v>
      </x:c>
      <x:c r="I1006" s="65" t="n">
        <x:v>0.14075887392900857</x:v>
      </x:c>
      <x:c r="J1006" s="34" t="str">
        <x:v>low</x:v>
      </x:c>
      <x:c r="K1006" s="71" t="n">
        <x:v>29.9281382</x:v>
      </x:c>
      <x:c r="L1006" s="71" t="n">
        <x:v>-95.5743279</x:v>
      </x:c>
      <x:c r="M1006" s="71" t="n">
        <x:v>0.65</x:v>
      </x:c>
      <x:c r="N1006" s="71" t="n">
        <x:v>0.04321038851270032</x:v>
      </x:c>
      <x:c r="O1006" s="71" t="n">
        <x:v>19.172612270383667</x:v>
      </x:c>
      <x:c r="P1006" s="71" t="n">
        <x:v>5</x:v>
      </x:c>
      <x:c r="Q1006" s="71" t="n">
        <x:v>358.3156977093322</x:v>
      </x:c>
      <x:c r="R1006" s="34" t="str">
        <x:v>tract internal point; no person, address, building, parcel, or route condition</x:v>
      </x:c>
    </x:row>
    <x:row r="1007" ht="86.4000015258789" hidden="0" customHeight="1">
      <x:c r="A1007" s="36" t="str">
        <x:v>48201551702</x:v>
      </x:c>
      <x:c r="B1007" s="63" t="n">
        <x:v>4086</x:v>
      </x:c>
      <x:c r="C1007" s="63" t="n">
        <x:v>510</x:v>
      </x:c>
      <x:c r="D1007" s="63" t="n">
        <x:v>13</x:v>
      </x:c>
      <x:c r="E1007" s="45" t="n">
        <x:v>0.12481644640234948</x:v>
      </x:c>
      <x:c r="F1007" s="45" t="n">
        <x:v>0.0031815956926089083</x:v>
      </x:c>
      <x:c r="G1007" s="66" t="n">
        <x:v>1481</x:v>
      </x:c>
      <x:c r="H1007" s="66" t="n">
        <x:v>0</x:v>
      </x:c>
      <x:c r="I1007" s="66" t="n">
        <x:v>0</x:v>
      </x:c>
      <x:c r="J1007" s="36" t="str">
        <x:v>low</x:v>
      </x:c>
      <x:c r="K1007" s="72" t="n">
        <x:v>29.9018874</x:v>
      </x:c>
      <x:c r="L1007" s="72" t="n">
        <x:v>-95.5603739</x:v>
      </x:c>
      <x:c r="M1007" s="72" t="n">
        <x:v>0.8</x:v>
      </x:c>
      <x:c r="N1007" s="72" t="n">
        <x:v>0.04689648619589328</x:v>
      </x:c>
      <x:c r="O1007" s="72" t="n">
        <x:v>21.29238983022008</x:v>
      </x:c>
      <x:c r="P1007" s="72" t="n">
        <x:v>5</x:v>
      </x:c>
      <x:c r="Q1007" s="72" t="n">
        <x:v>329.2590375989703</x:v>
      </x:c>
      <x:c r="R1007" s="36" t="str">
        <x:v>tract internal point; no person, address, building, parcel, or route condition</x:v>
      </x:c>
    </x:row>
    <x:row r="1008" ht="86.4000015258789" hidden="0" customHeight="1">
      <x:c r="A1008" s="34" t="str">
        <x:v>48201551703</x:v>
      </x:c>
      <x:c r="B1008" s="62" t="n">
        <x:v>8108</x:v>
      </x:c>
      <x:c r="C1008" s="62" t="n">
        <x:v>746</x:v>
      </x:c>
      <x:c r="D1008" s="62" t="n">
        <x:v>205</x:v>
      </x:c>
      <x:c r="E1008" s="43" t="n">
        <x:v>0.09200789343857918</x:v>
      </x:c>
      <x:c r="F1008" s="43" t="n">
        <x:v>0.02528367044893932</x:v>
      </x:c>
      <x:c r="G1008" s="65" t="n">
        <x:v>3134</x:v>
      </x:c>
      <x:c r="H1008" s="65" t="n">
        <x:v>423</x:v>
      </x:c>
      <x:c r="I1008" s="65" t="n">
        <x:v>0.13497128270580727</x:v>
      </x:c>
      <x:c r="J1008" s="34" t="str">
        <x:v>low</x:v>
      </x:c>
      <x:c r="K1008" s="71" t="n">
        <x:v>29.9152568</x:v>
      </x:c>
      <x:c r="L1008" s="71" t="n">
        <x:v>-95.5627546</x:v>
      </x:c>
      <x:c r="M1008" s="71" t="n">
        <x:v>1.194</x:v>
      </x:c>
      <x:c r="N1008" s="71" t="n">
        <x:v>0.028737689794421227</x:v>
      </x:c>
      <x:c r="O1008" s="71" t="n">
        <x:v>20.06469121148414</x:v>
      </x:c>
      <x:c r="P1008" s="71" t="n">
        <x:v>5</x:v>
      </x:c>
      <x:c r="Q1008" s="71" t="n">
        <x:v>650.5878155140467</x:v>
      </x:c>
      <x:c r="R1008" s="34" t="str">
        <x:v>tract internal point; no person, address, building, parcel, or route condition</x:v>
      </x:c>
    </x:row>
    <x:row r="1009" ht="86.4000015258789" hidden="0" customHeight="1">
      <x:c r="A1009" s="36" t="str">
        <x:v>48201551704</x:v>
      </x:c>
      <x:c r="B1009" s="63" t="n">
        <x:v>3988</x:v>
      </x:c>
      <x:c r="C1009" s="63" t="n">
        <x:v>438</x:v>
      </x:c>
      <x:c r="D1009" s="63" t="n">
        <x:v>120.5</x:v>
      </x:c>
      <x:c r="E1009" s="45" t="n">
        <x:v>0.10982948846539618</x:v>
      </x:c>
      <x:c r="F1009" s="45" t="n">
        <x:v>0.030215646940822467</x:v>
      </x:c>
      <x:c r="G1009" s="66" t="n">
        <x:v>1530</x:v>
      </x:c>
      <x:c r="H1009" s="66" t="n">
        <x:v>140</x:v>
      </x:c>
      <x:c r="I1009" s="66" t="n">
        <x:v>0.0915032679738562</x:v>
      </x:c>
      <x:c r="J1009" s="36" t="str">
        <x:v>low</x:v>
      </x:c>
      <x:c r="K1009" s="72" t="n">
        <x:v>29.9004533</x:v>
      </x:c>
      <x:c r="L1009" s="72" t="n">
        <x:v>-95.5761553</x:v>
      </x:c>
      <x:c r="M1009" s="72" t="n">
        <x:v>0.818</x:v>
      </x:c>
      <x:c r="N1009" s="72" t="n">
        <x:v>0.04100322701932285</x:v>
      </x:c>
      <x:c r="O1009" s="72" t="n">
        <x:v>19.380436541874722</x:v>
      </x:c>
      <x:c r="P1009" s="72" t="n">
        <x:v>5</x:v>
      </x:c>
      <x:c r="Q1009" s="72" t="n">
        <x:v>321.26983148531514</x:v>
      </x:c>
      <x:c r="R1009" s="36" t="str">
        <x:v>tract internal point; no person, address, building, parcel, or route condition</x:v>
      </x:c>
    </x:row>
    <x:row r="1010" ht="86.4000015258789" hidden="0" customHeight="1">
      <x:c r="A1010" s="34" t="str">
        <x:v>48201551705</x:v>
      </x:c>
      <x:c r="B1010" s="62" t="n">
        <x:v>4738</x:v>
      </x:c>
      <x:c r="C1010" s="62" t="n">
        <x:v>218</x:v>
      </x:c>
      <x:c r="D1010" s="62" t="n">
        <x:v>176</x:v>
      </x:c>
      <x:c r="E1010" s="43" t="n">
        <x:v>0.046010975094976786</x:v>
      </x:c>
      <x:c r="F1010" s="43" t="n">
        <x:v>0.037146475306036306</x:v>
      </x:c>
      <x:c r="G1010" s="65" t="n">
        <x:v>1873</x:v>
      </x:c>
      <x:c r="H1010" s="65" t="n">
        <x:v>98</x:v>
      </x:c>
      <x:c r="I1010" s="65" t="n">
        <x:v>0.05232247730912974</x:v>
      </x:c>
      <x:c r="J1010" s="34" t="str">
        <x:v>low</x:v>
      </x:c>
      <x:c r="K1010" s="71" t="n">
        <x:v>29.9183115</x:v>
      </x:c>
      <x:c r="L1010" s="71" t="n">
        <x:v>-95.5761904</x:v>
      </x:c>
      <x:c r="M1010" s="71" t="n">
        <x:v>0.921</x:v>
      </x:c>
      <x:c r="N1010" s="71" t="n">
        <x:v>0.0416926287865397</x:v>
      </x:c>
      <x:c r="O1010" s="71" t="n">
        <x:v>19.687369062952254</x:v>
      </x:c>
      <x:c r="P1010" s="71" t="n">
        <x:v>5</x:v>
      </x:c>
      <x:c r="Q1010" s="71" t="n">
        <x:v>377.1942742809008</x:v>
      </x:c>
      <x:c r="R1010" s="34" t="str">
        <x:v>tract internal point; no person, address, building, parcel, or route condition</x:v>
      </x:c>
    </x:row>
    <x:row r="1011" ht="86.4000015258789" hidden="0" customHeight="1">
      <x:c r="A1011" s="36" t="str">
        <x:v>48201551800</x:v>
      </x:c>
      <x:c r="B1011" s="63" t="n">
        <x:v>3846</x:v>
      </x:c>
      <x:c r="C1011" s="63" t="n">
        <x:v>613</x:v>
      </x:c>
      <x:c r="D1011" s="63" t="n">
        <x:v>0</x:v>
      </x:c>
      <x:c r="E1011" s="45" t="n">
        <x:v>0.15938637545501821</x:v>
      </x:c>
      <x:c r="F1011" s="45" t="n">
        <x:v>0</x:v>
      </x:c>
      <x:c r="G1011" s="66" t="n">
        <x:v>1521</x:v>
      </x:c>
      <x:c r="H1011" s="66" t="n">
        <x:v>0</x:v>
      </x:c>
      <x:c r="I1011" s="66" t="n">
        <x:v>0</x:v>
      </x:c>
      <x:c r="J1011" s="36" t="str">
        <x:v>low</x:v>
      </x:c>
      <x:c r="K1011" s="72" t="n">
        <x:v>29.8862932</x:v>
      </x:c>
      <x:c r="L1011" s="72" t="n">
        <x:v>-95.5645662</x:v>
      </x:c>
      <x:c r="M1011" s="72" t="n">
        <x:v>2.406</x:v>
      </x:c>
      <x:c r="N1011" s="72" t="n">
        <x:v>0.05719704468717836</x:v>
      </x:c>
      <x:c r="O1011" s="72" t="n">
        <x:v>17.88955695317247</x:v>
      </x:c>
      <x:c r="P1011" s="72" t="n">
        <x:v>5</x:v>
      </x:c>
      <x:c r="Q1011" s="72" t="n">
        <x:v>311.9130682011967</x:v>
      </x:c>
      <x:c r="R1011" s="36" t="str">
        <x:v>tract internal point; no person, address, building, parcel, or route condition</x:v>
      </x:c>
    </x:row>
    <x:row r="1012" ht="86.4000015258789" hidden="0" customHeight="1">
      <x:c r="A1012" s="34" t="str">
        <x:v>48201551901</x:v>
      </x:c>
      <x:c r="B1012" s="62" t="n">
        <x:v>2362</x:v>
      </x:c>
      <x:c r="C1012" s="62" t="n">
        <x:v>271</x:v>
      </x:c>
      <x:c r="D1012" s="62" t="n">
        <x:v>50</x:v>
      </x:c>
      <x:c r="E1012" s="43" t="n">
        <x:v>0.11473327688399661</x:v>
      </x:c>
      <x:c r="F1012" s="43" t="n">
        <x:v>0.021168501270110076</x:v>
      </x:c>
      <x:c r="G1012" s="65" t="n">
        <x:v>1349</x:v>
      </x:c>
      <x:c r="H1012" s="65" t="n">
        <x:v>317</x:v>
      </x:c>
      <x:c r="I1012" s="65" t="n">
        <x:v>0.23498888065233506</x:v>
      </x:c>
      <x:c r="J1012" s="34" t="str">
        <x:v>low</x:v>
      </x:c>
      <x:c r="K1012" s="71" t="n">
        <x:v>29.9034698</x:v>
      </x:c>
      <x:c r="L1012" s="71" t="n">
        <x:v>-95.5860688</x:v>
      </x:c>
      <x:c r="M1012" s="71" t="n">
        <x:v>0.146</x:v>
      </x:c>
      <x:c r="N1012" s="71" t="n">
        <x:v>0.10713080085455283</x:v>
      </x:c>
      <x:c r="O1012" s="71" t="n">
        <x:v>15.848743704699544</x:v>
      </x:c>
      <x:c r="P1012" s="71" t="n">
        <x:v>5</x:v>
      </x:c>
      <x:c r="Q1012" s="71" t="n">
        <x:v>190.29479431757736</x:v>
      </x:c>
      <x:c r="R1012" s="34" t="str">
        <x:v>tract internal point; no person, address, building, parcel, or route condition</x:v>
      </x:c>
    </x:row>
    <x:row r="1013" ht="86.4000015258789" hidden="0" customHeight="1">
      <x:c r="A1013" s="36" t="str">
        <x:v>48201551902</x:v>
      </x:c>
      <x:c r="B1013" s="63" t="n">
        <x:v>4690</x:v>
      </x:c>
      <x:c r="C1013" s="63" t="n">
        <x:v>902</x:v>
      </x:c>
      <x:c r="D1013" s="63" t="n">
        <x:v>123</x:v>
      </x:c>
      <x:c r="E1013" s="45" t="n">
        <x:v>0.19232409381663113</x:v>
      </x:c>
      <x:c r="F1013" s="45" t="n">
        <x:v>0.026226012793176972</x:v>
      </x:c>
      <x:c r="G1013" s="66" t="n">
        <x:v>2379</x:v>
      </x:c>
      <x:c r="H1013" s="66" t="n">
        <x:v>849</x:v>
      </x:c>
      <x:c r="I1013" s="66" t="n">
        <x:v>0.35687263556116017</x:v>
      </x:c>
      <x:c r="J1013" s="36" t="str">
        <x:v>low</x:v>
      </x:c>
      <x:c r="K1013" s="72" t="n">
        <x:v>29.9001734</x:v>
      </x:c>
      <x:c r="L1013" s="72" t="n">
        <x:v>-95.5905766</x:v>
      </x:c>
      <x:c r="M1013" s="72" t="n">
        <x:v>0.546</x:v>
      </x:c>
      <x:c r="N1013" s="72" t="n">
        <x:v>0.024341207981449817</x:v>
      </x:c>
      <x:c r="O1013" s="72" t="n">
        <x:v>14.63062979736715</x:v>
      </x:c>
      <x:c r="P1013" s="72" t="n">
        <x:v>5</x:v>
      </x:c>
      <x:c r="Q1013" s="72" t="n">
        <x:v>383.7569767943313</x:v>
      </x:c>
      <x:c r="R1013" s="36" t="str">
        <x:v>tract internal point; no person, address, building, parcel, or route condition</x:v>
      </x:c>
    </x:row>
    <x:row r="1014" ht="86.4000015258789" hidden="0" customHeight="1">
      <x:c r="A1014" s="34" t="str">
        <x:v>48201552002</x:v>
      </x:c>
      <x:c r="B1014" s="62" t="n">
        <x:v>1473</x:v>
      </x:c>
      <x:c r="C1014" s="62" t="n">
        <x:v>210</x:v>
      </x:c>
      <x:c r="D1014" s="62" t="n">
        <x:v>36</x:v>
      </x:c>
      <x:c r="E1014" s="43" t="n">
        <x:v>0.1425661914460285</x:v>
      </x:c>
      <x:c r="F1014" s="43" t="n">
        <x:v>0.024439918533604887</x:v>
      </x:c>
      <x:c r="G1014" s="65" t="n">
        <x:v>776</x:v>
      </x:c>
      <x:c r="H1014" s="65" t="n">
        <x:v>335</x:v>
      </x:c>
      <x:c r="I1014" s="65" t="n">
        <x:v>0.43170103092783507</x:v>
      </x:c>
      <x:c r="J1014" s="34" t="str">
        <x:v>low</x:v>
      </x:c>
      <x:c r="K1014" s="71" t="n">
        <x:v>29.9132313</x:v>
      </x:c>
      <x:c r="L1014" s="71" t="n">
        <x:v>-95.6088331</x:v>
      </x:c>
      <x:c r="M1014" s="71" t="n">
        <x:v>0.645</x:v>
      </x:c>
      <x:c r="N1014" s="71" t="n">
        <x:v>0.06466760510908297</x:v>
      </x:c>
      <x:c r="O1014" s="71" t="n">
        <x:v>13.564141837080726</x:v>
      </x:c>
      <x:c r="P1014" s="71" t="n">
        <x:v>5</x:v>
      </x:c>
      <x:c r="Q1014" s="71" t="n">
        <x:v>119.35473098078349</x:v>
      </x:c>
      <x:c r="R1014" s="34" t="str">
        <x:v>tract internal point; no person, address, building, parcel, or route condition</x:v>
      </x:c>
    </x:row>
    <x:row r="1015" ht="86.4000015258789" hidden="0" customHeight="1">
      <x:c r="A1015" s="36" t="str">
        <x:v>48201552003</x:v>
      </x:c>
      <x:c r="B1015" s="63" t="n">
        <x:v>4461</x:v>
      </x:c>
      <x:c r="C1015" s="63" t="n">
        <x:v>391</x:v>
      </x:c>
      <x:c r="D1015" s="63" t="n">
        <x:v>371</x:v>
      </x:c>
      <x:c r="E1015" s="45" t="n">
        <x:v>0.0876485093028469</x:v>
      </x:c>
      <x:c r="F1015" s="45" t="n">
        <x:v>0.08316520959426138</x:v>
      </x:c>
      <x:c r="G1015" s="66" t="n">
        <x:v>1972</x:v>
      </x:c>
      <x:c r="H1015" s="66" t="n">
        <x:v>210</x:v>
      </x:c>
      <x:c r="I1015" s="66" t="n">
        <x:v>0.10649087221095335</x:v>
      </x:c>
      <x:c r="J1015" s="36" t="str">
        <x:v>low</x:v>
      </x:c>
      <x:c r="K1015" s="72" t="n">
        <x:v>29.9248033</x:v>
      </x:c>
      <x:c r="L1015" s="72" t="n">
        <x:v>-95.5937346</x:v>
      </x:c>
      <x:c r="M1015" s="72" t="n">
        <x:v>1.03</x:v>
      </x:c>
      <x:c r="N1015" s="72" t="n">
        <x:v>0.032957548299314327</x:v>
      </x:c>
      <x:c r="O1015" s="72" t="n">
        <x:v>15.246085379867921</x:v>
      </x:c>
      <x:c r="P1015" s="72" t="n">
        <x:v>5</x:v>
      </x:c>
      <x:c r="Q1015" s="72" t="n">
        <x:v>359.67539535582733</x:v>
      </x:c>
      <x:c r="R1015" s="36" t="str">
        <x:v>tract internal point; no person, address, building, parcel, or route condition</x:v>
      </x:c>
    </x:row>
    <x:row r="1016" ht="86.4000015258789" hidden="0" customHeight="1">
      <x:c r="A1016" s="34" t="str">
        <x:v>48201552004</x:v>
      </x:c>
      <x:c r="B1016" s="62" t="n">
        <x:v>3238</x:v>
      </x:c>
      <x:c r="C1016" s="62" t="n">
        <x:v>575</x:v>
      </x:c>
      <x:c r="D1016" s="62" t="n">
        <x:v>171</x:v>
      </x:c>
      <x:c r="E1016" s="43" t="n">
        <x:v>0.1775787523162446</x:v>
      </x:c>
      <x:c r="F1016" s="43" t="n">
        <x:v>0.052810376775787524</x:v>
      </x:c>
      <x:c r="G1016" s="65" t="n">
        <x:v>1908</x:v>
      </x:c>
      <x:c r="H1016" s="65" t="n">
        <x:v>580</x:v>
      </x:c>
      <x:c r="I1016" s="65" t="n">
        <x:v>0.3039832285115304</x:v>
      </x:c>
      <x:c r="J1016" s="34" t="str">
        <x:v>low</x:v>
      </x:c>
      <x:c r="K1016" s="71" t="n">
        <x:v>29.9095372</x:v>
      </x:c>
      <x:c r="L1016" s="71" t="n">
        <x:v>-95.5949663</x:v>
      </x:c>
      <x:c r="M1016" s="71" t="n">
        <x:v>0.674</x:v>
      </x:c>
      <x:c r="N1016" s="71" t="n">
        <x:v>0.06567781822233733</x:v>
      </x:c>
      <x:c r="O1016" s="71" t="n">
        <x:v>15.068827460391814</x:v>
      </x:c>
      <x:c r="P1016" s="71" t="n">
        <x:v>5</x:v>
      </x:c>
      <x:c r="Q1016" s="71" t="n">
        <x:v>264.87381725163857</x:v>
      </x:c>
      <x:c r="R1016" s="34" t="str">
        <x:v>tract internal point; no person, address, building, parcel, or route condition</x:v>
      </x:c>
    </x:row>
    <x:row r="1017" ht="86.4000015258789" hidden="0" customHeight="1">
      <x:c r="A1017" s="36" t="str">
        <x:v>48201552101</x:v>
      </x:c>
      <x:c r="B1017" s="63" t="n">
        <x:v>4381</x:v>
      </x:c>
      <x:c r="C1017" s="63" t="n">
        <x:v>468</x:v>
      </x:c>
      <x:c r="D1017" s="63" t="n">
        <x:v>0</x:v>
      </x:c>
      <x:c r="E1017" s="45" t="n">
        <x:v>0.10682492581602374</x:v>
      </x:c>
      <x:c r="F1017" s="45" t="n">
        <x:v>0</x:v>
      </x:c>
      <x:c r="G1017" s="66" t="n">
        <x:v>1847</x:v>
      </x:c>
      <x:c r="H1017" s="66" t="n">
        <x:v>351</x:v>
      </x:c>
      <x:c r="I1017" s="66" t="n">
        <x:v>0.19003789929615592</x:v>
      </x:c>
      <x:c r="J1017" s="36" t="str">
        <x:v>low</x:v>
      </x:c>
      <x:c r="K1017" s="72" t="n">
        <x:v>29.9234939</x:v>
      </x:c>
      <x:c r="L1017" s="72" t="n">
        <x:v>-95.6188028</x:v>
      </x:c>
      <x:c r="M1017" s="72" t="n">
        <x:v>0.899</x:v>
      </x:c>
      <x:c r="N1017" s="72" t="n">
        <x:v>0.029425060729588972</x:v>
      </x:c>
      <x:c r="O1017" s="72" t="n">
        <x:v>12.325864525691232</x:v>
      </x:c>
      <x:c r="P1017" s="72" t="n">
        <x:v>5</x:v>
      </x:c>
      <x:c r="Q1017" s="72" t="n">
        <x:v>351.6822594801882</x:v>
      </x:c>
      <x:c r="R1017" s="36" t="str">
        <x:v>tract internal point; no person, address, building, parcel, or route condition</x:v>
      </x:c>
    </x:row>
    <x:row r="1018" ht="86.4000015258789" hidden="0" customHeight="1">
      <x:c r="A1018" s="34" t="str">
        <x:v>48201552102</x:v>
      </x:c>
      <x:c r="B1018" s="62" t="n">
        <x:v>5959</x:v>
      </x:c>
      <x:c r="C1018" s="62" t="n">
        <x:v>632</x:v>
      </x:c>
      <x:c r="D1018" s="62" t="n">
        <x:v>57</x:v>
      </x:c>
      <x:c r="E1018" s="43" t="n">
        <x:v>0.106058063433462</x:v>
      </x:c>
      <x:c r="F1018" s="43" t="n">
        <x:v>0.009565363315992616</x:v>
      </x:c>
      <x:c r="G1018" s="65" t="n">
        <x:v>2421</x:v>
      </x:c>
      <x:c r="H1018" s="65" t="n">
        <x:v>165</x:v>
      </x:c>
      <x:c r="I1018" s="65" t="n">
        <x:v>0.06815365551425032</x:v>
      </x:c>
      <x:c r="J1018" s="34" t="str">
        <x:v>low</x:v>
      </x:c>
      <x:c r="K1018" s="71" t="n">
        <x:v>29.9380579</x:v>
      </x:c>
      <x:c r="L1018" s="71" t="n">
        <x:v>-95.6157981</x:v>
      </x:c>
      <x:c r="M1018" s="71" t="n">
        <x:v>1.222</x:v>
      </x:c>
      <x:c r="N1018" s="71" t="n">
        <x:v>0.0590517686631064</x:v>
      </x:c>
      <x:c r="O1018" s="71" t="n">
        <x:v>15.599876965655213</x:v>
      </x:c>
      <x:c r="P1018" s="71" t="n">
        <x:v>5</x:v>
      </x:c>
      <x:c r="Q1018" s="71" t="n">
        <x:v>478.73146442582</x:v>
      </x:c>
      <x:c r="R1018" s="34" t="str">
        <x:v>tract internal point; no person, address, building, parcel, or route condition</x:v>
      </x:c>
    </x:row>
    <x:row r="1019" ht="86.4000015258789" hidden="0" customHeight="1">
      <x:c r="A1019" s="36" t="str">
        <x:v>48201552103</x:v>
      </x:c>
      <x:c r="B1019" s="63" t="n">
        <x:v>3986</x:v>
      </x:c>
      <x:c r="C1019" s="63" t="n">
        <x:v>384</x:v>
      </x:c>
      <x:c r="D1019" s="63" t="n">
        <x:v>118</x:v>
      </x:c>
      <x:c r="E1019" s="45" t="n">
        <x:v>0.0963371801304566</x:v>
      </x:c>
      <x:c r="F1019" s="45" t="n">
        <x:v>0.02960361264425489</x:v>
      </x:c>
      <x:c r="G1019" s="66" t="n">
        <x:v>1271</x:v>
      </x:c>
      <x:c r="H1019" s="66" t="n">
        <x:v>175</x:v>
      </x:c>
      <x:c r="I1019" s="66" t="n">
        <x:v>0.13768686073957515</x:v>
      </x:c>
      <x:c r="J1019" s="36" t="str">
        <x:v>low</x:v>
      </x:c>
      <x:c r="K1019" s="72" t="n">
        <x:v>29.9382426</x:v>
      </x:c>
      <x:c r="L1019" s="72" t="n">
        <x:v>-95.6248007</x:v>
      </x:c>
      <x:c r="M1019" s="72" t="n">
        <x:v>0.602</x:v>
      </x:c>
      <x:c r="N1019" s="72" t="n">
        <x:v>0.027049566718322853</x:v>
      </x:c>
      <x:c r="O1019" s="72" t="n">
        <x:v>14.706060245691743</x:v>
      </x:c>
      <x:c r="P1019" s="72" t="n">
        <x:v>5</x:v>
      </x:c>
      <x:c r="Q1019" s="72" t="n">
        <x:v>320.24416360746767</x:v>
      </x:c>
      <x:c r="R1019" s="36" t="str">
        <x:v>tract internal point; no person, address, building, parcel, or route condition</x:v>
      </x:c>
    </x:row>
    <x:row r="1020" ht="86.4000015258789" hidden="0" customHeight="1">
      <x:c r="A1020" s="34" t="str">
        <x:v>48201552200</x:v>
      </x:c>
      <x:c r="B1020" s="62" t="n">
        <x:v>7367</x:v>
      </x:c>
      <x:c r="C1020" s="62" t="n">
        <x:v>611</x:v>
      </x:c>
      <x:c r="D1020" s="62" t="n">
        <x:v>38</x:v>
      </x:c>
      <x:c r="E1020" s="43" t="n">
        <x:v>0.08293742364598887</x:v>
      </x:c>
      <x:c r="F1020" s="43" t="n">
        <x:v>0.0051581376408307315</x:v>
      </x:c>
      <x:c r="G1020" s="65" t="n">
        <x:v>3139</x:v>
      </x:c>
      <x:c r="H1020" s="65" t="n">
        <x:v>756</x:v>
      </x:c>
      <x:c r="I1020" s="65" t="n">
        <x:v>0.24084103217585218</x:v>
      </x:c>
      <x:c r="J1020" s="34" t="str">
        <x:v>low</x:v>
      </x:c>
      <x:c r="K1020" s="71" t="n">
        <x:v>29.9523563</x:v>
      </x:c>
      <x:c r="L1020" s="71" t="n">
        <x:v>-95.6385056</x:v>
      </x:c>
      <x:c r="M1020" s="71" t="n">
        <x:v>3.854</x:v>
      </x:c>
      <x:c r="N1020" s="71" t="n">
        <x:v>0.011136614620403313</x:v>
      </x:c>
      <x:c r="O1020" s="71" t="n">
        <x:v>12.901238219249908</x:v>
      </x:c>
      <x:c r="P1020" s="71" t="n">
        <x:v>5</x:v>
      </x:c>
      <x:c r="Q1020" s="71" t="n">
        <x:v>588.9141309357373</x:v>
      </x:c>
      <x:c r="R1020" s="34" t="str">
        <x:v>tract internal point; no person, address, building, parcel, or route condition</x:v>
      </x:c>
    </x:row>
    <x:row r="1021" ht="86.4000015258789" hidden="0" customHeight="1">
      <x:c r="A1021" s="36" t="str">
        <x:v>48201552301</x:v>
      </x:c>
      <x:c r="B1021" s="63" t="n">
        <x:v>4845</x:v>
      </x:c>
      <x:c r="C1021" s="63" t="n">
        <x:v>567</x:v>
      </x:c>
      <x:c r="D1021" s="63" t="n">
        <x:v>20</x:v>
      </x:c>
      <x:c r="E1021" s="45" t="n">
        <x:v>0.11702786377708978</x:v>
      </x:c>
      <x:c r="F1021" s="45" t="n">
        <x:v>0.0041279669762641896</x:v>
      </x:c>
      <x:c r="G1021" s="66" t="n">
        <x:v>1732</x:v>
      </x:c>
      <x:c r="H1021" s="66" t="n">
        <x:v>326</x:v>
      </x:c>
      <x:c r="I1021" s="66" t="n">
        <x:v>0.18822170900692842</x:v>
      </x:c>
      <x:c r="J1021" s="36" t="str">
        <x:v>low</x:v>
      </x:c>
      <x:c r="K1021" s="72" t="n">
        <x:v>29.9567545</x:v>
      </x:c>
      <x:c r="L1021" s="72" t="n">
        <x:v>-95.6135219</x:v>
      </x:c>
      <x:c r="M1021" s="72" t="n">
        <x:v>1.65</x:v>
      </x:c>
      <x:c r="N1021" s="72" t="n">
        <x:v>0.10952547676243583</x:v>
      </x:c>
      <x:c r="O1021" s="72" t="n">
        <x:v>19.3618620738962</x:v>
      </x:c>
      <x:c r="P1021" s="72" t="n">
        <x:v>5</x:v>
      </x:c>
      <x:c r="Q1021" s="72" t="n">
        <x:v>389.8638269176072</x:v>
      </x:c>
      <x:c r="R1021" s="36" t="str">
        <x:v>tract internal point; no person, address, building, parcel, or route condition</x:v>
      </x:c>
    </x:row>
    <x:row r="1022" ht="86.4000015258789" hidden="0" customHeight="1">
      <x:c r="A1022" s="34" t="str">
        <x:v>48201552303</x:v>
      </x:c>
      <x:c r="B1022" s="62" t="n">
        <x:v>3250</x:v>
      </x:c>
      <x:c r="C1022" s="62" t="n">
        <x:v>808</x:v>
      </x:c>
      <x:c r="D1022" s="62" t="n">
        <x:v>94</x:v>
      </x:c>
      <x:c r="E1022" s="43" t="n">
        <x:v>0.24861538461538463</x:v>
      </x:c>
      <x:c r="F1022" s="43" t="n">
        <x:v>0.028923076923076923</x:v>
      </x:c>
      <x:c r="G1022" s="65" t="n">
        <x:v>1638</x:v>
      </x:c>
      <x:c r="H1022" s="65" t="n">
        <x:v>462</x:v>
      </x:c>
      <x:c r="I1022" s="65" t="n">
        <x:v>0.28205128205128205</x:v>
      </x:c>
      <x:c r="J1022" s="34" t="str">
        <x:v>low</x:v>
      </x:c>
      <x:c r="K1022" s="71" t="n">
        <x:v>29.9588406</x:v>
      </x:c>
      <x:c r="L1022" s="71" t="n">
        <x:v>-95.589254</x:v>
      </x:c>
      <x:c r="M1022" s="71" t="n">
        <x:v>0.449</x:v>
      </x:c>
      <x:c r="N1022" s="71" t="n">
        <x:v>0.05315357354958404</x:v>
      </x:c>
      <x:c r="O1022" s="71" t="n">
        <x:v>22.731341584308673</x:v>
      </x:c>
      <x:c r="P1022" s="71" t="n">
        <x:v>5</x:v>
      </x:c>
      <x:c r="Q1022" s="71" t="n">
        <x:v>268.8743149514423</x:v>
      </x:c>
      <x:c r="R1022" s="34" t="str">
        <x:v>tract internal point; no person, address, building, parcel, or route condition</x:v>
      </x:c>
    </x:row>
    <x:row r="1023" ht="86.4000015258789" hidden="0" customHeight="1">
      <x:c r="A1023" s="36" t="str">
        <x:v>48201552304</x:v>
      </x:c>
      <x:c r="B1023" s="63" t="n">
        <x:v>2079</x:v>
      </x:c>
      <x:c r="C1023" s="63" t="n">
        <x:v>301</x:v>
      </x:c>
      <x:c r="D1023" s="63" t="n">
        <x:v>4</x:v>
      </x:c>
      <x:c r="E1023" s="45" t="n">
        <x:v>0.1447811447811448</x:v>
      </x:c>
      <x:c r="F1023" s="45" t="n">
        <x:v>0.001924001924001924</x:v>
      </x:c>
      <x:c r="G1023" s="66" t="n">
        <x:v>738</x:v>
      </x:c>
      <x:c r="H1023" s="66" t="n">
        <x:v>35</x:v>
      </x:c>
      <x:c r="I1023" s="66" t="n">
        <x:v>0.04742547425474255</x:v>
      </x:c>
      <x:c r="J1023" s="36" t="str">
        <x:v>low</x:v>
      </x:c>
      <x:c r="K1023" s="72" t="n">
        <x:v>29.9619098</x:v>
      </x:c>
      <x:c r="L1023" s="72" t="n">
        <x:v>-95.5989319</x:v>
      </x:c>
      <x:c r="M1023" s="72" t="n">
        <x:v>0.951</x:v>
      </x:c>
      <x:c r="N1023" s="72" t="n">
        <x:v>0.06347497847032876</x:v>
      </x:c>
      <x:c r="O1023" s="72" t="n">
        <x:v>21.73594047923737</x:v>
      </x:c>
      <x:c r="P1023" s="72" t="n">
        <x:v>5</x:v>
      </x:c>
      <x:c r="Q1023" s="72" t="n">
        <x:v>168.16237482318212</x:v>
      </x:c>
      <x:c r="R1023" s="36" t="str">
        <x:v>tract internal point; no person, address, building, parcel, or route condition</x:v>
      </x:c>
    </x:row>
    <x:row r="1024" ht="86.4000015258789" hidden="0" customHeight="1">
      <x:c r="A1024" s="34" t="str">
        <x:v>48201552401</x:v>
      </x:c>
      <x:c r="B1024" s="62" t="n">
        <x:v>5253</x:v>
      </x:c>
      <x:c r="C1024" s="62" t="n">
        <x:v>820</x:v>
      </x:c>
      <x:c r="D1024" s="62" t="n">
        <x:v>220</x:v>
      </x:c>
      <x:c r="E1024" s="43" t="n">
        <x:v>0.15610127546164096</x:v>
      </x:c>
      <x:c r="F1024" s="43" t="n">
        <x:v>0.04188083000190367</x:v>
      </x:c>
      <x:c r="G1024" s="65" t="n">
        <x:v>1979</x:v>
      </x:c>
      <x:c r="H1024" s="65" t="n">
        <x:v>408</x:v>
      </x:c>
      <x:c r="I1024" s="65" t="n">
        <x:v>0.20616472966144517</x:v>
      </x:c>
      <x:c r="J1024" s="34" t="str">
        <x:v>low</x:v>
      </x:c>
      <x:c r="K1024" s="71" t="n">
        <x:v>29.9314561</x:v>
      </x:c>
      <x:c r="L1024" s="71" t="n">
        <x:v>-95.5970688</x:v>
      </x:c>
      <x:c r="M1024" s="71" t="n">
        <x:v>0.992</x:v>
      </x:c>
      <x:c r="N1024" s="71" t="n">
        <x:v>0.04411712577600619</x:v>
      </x:c>
      <x:c r="O1024" s="71" t="n">
        <x:v>16.199714913995013</x:v>
      </x:c>
      <x:c r="P1024" s="71" t="n">
        <x:v>5</x:v>
      </x:c>
      <x:c r="Q1024" s="71" t="n">
        <x:v>427.47950862931737</x:v>
      </x:c>
      <x:c r="R1024" s="34" t="str">
        <x:v>tract internal point; no person, address, building, parcel, or route condition</x:v>
      </x:c>
    </x:row>
    <x:row r="1025" ht="86.4000015258789" hidden="0" customHeight="1">
      <x:c r="A1025" s="36" t="str">
        <x:v>48201552402</x:v>
      </x:c>
      <x:c r="B1025" s="63" t="n">
        <x:v>3108</x:v>
      </x:c>
      <x:c r="C1025" s="63" t="n">
        <x:v>677</x:v>
      </x:c>
      <x:c r="D1025" s="63" t="n">
        <x:v>102</x:v>
      </x:c>
      <x:c r="E1025" s="45" t="n">
        <x:v>0.21782496782496782</x:v>
      </x:c>
      <x:c r="F1025" s="45" t="n">
        <x:v>0.032818532818532815</x:v>
      </x:c>
      <x:c r="G1025" s="66" t="n">
        <x:v>1132</x:v>
      </x:c>
      <x:c r="H1025" s="66" t="n">
        <x:v>50</x:v>
      </x:c>
      <x:c r="I1025" s="66" t="n">
        <x:v>0.044169611307420496</x:v>
      </x:c>
      <x:c r="J1025" s="36" t="str">
        <x:v>low</x:v>
      </x:c>
      <x:c r="K1025" s="72" t="n">
        <x:v>29.9448636</x:v>
      </x:c>
      <x:c r="L1025" s="72" t="n">
        <x:v>-95.5965247</x:v>
      </x:c>
      <x:c r="M1025" s="72" t="n">
        <x:v>1.368</x:v>
      </x:c>
      <x:c r="N1025" s="72" t="n">
        <x:v>0.026712757167440163</x:v>
      </x:c>
      <x:c r="O1025" s="72" t="n">
        <x:v>18.625765424285973</x:v>
      </x:c>
      <x:c r="P1025" s="72" t="n">
        <x:v>5</x:v>
      </x:c>
      <x:c r="Q1025" s="72" t="n">
        <x:v>255.71747182870877</x:v>
      </x:c>
      <x:c r="R1025" s="36" t="str">
        <x:v>tract internal point; no person, address, building, parcel, or route condition</x:v>
      </x:c>
    </x:row>
    <x:row r="1026" ht="86.4000015258789" hidden="0" customHeight="1">
      <x:c r="A1026" s="34" t="str">
        <x:v>48201552501</x:v>
      </x:c>
      <x:c r="B1026" s="62" t="n">
        <x:v>5114</x:v>
      </x:c>
      <x:c r="C1026" s="62" t="n">
        <x:v>638</x:v>
      </x:c>
      <x:c r="D1026" s="62" t="n">
        <x:v>672</x:v>
      </x:c>
      <x:c r="E1026" s="43" t="n">
        <x:v>0.12475557293703558</x:v>
      </x:c>
      <x:c r="F1026" s="43" t="n">
        <x:v>0.13140398904966757</x:v>
      </x:c>
      <x:c r="G1026" s="65" t="n">
        <x:v>1719</x:v>
      </x:c>
      <x:c r="H1026" s="65" t="n">
        <x:v>197</x:v>
      </x:c>
      <x:c r="I1026" s="65" t="n">
        <x:v>0.11460151250727167</x:v>
      </x:c>
      <x:c r="J1026" s="34" t="str">
        <x:v>low</x:v>
      </x:c>
      <x:c r="K1026" s="71" t="n">
        <x:v>29.9454743</x:v>
      </x:c>
      <x:c r="L1026" s="71" t="n">
        <x:v>-95.5802668</x:v>
      </x:c>
      <x:c r="M1026" s="71" t="n">
        <x:v>1.026</x:v>
      </x:c>
      <x:c r="N1026" s="71" t="n">
        <x:v>0.1068273788169571</x:v>
      </x:c>
      <x:c r="O1026" s="71" t="n">
        <x:v>20.25123965768058</x:v>
      </x:c>
      <x:c r="P1026" s="71" t="n">
        <x:v>5</x:v>
      </x:c>
      <x:c r="Q1026" s="71" t="n">
        <x:v>417.24640842274675</x:v>
      </x:c>
      <x:c r="R1026" s="34" t="str">
        <x:v>tract internal point; no person, address, building, parcel, or route condition</x:v>
      </x:c>
    </x:row>
    <x:row r="1027" ht="86.4000015258789" hidden="0" customHeight="1">
      <x:c r="A1027" s="36" t="str">
        <x:v>48201552502</x:v>
      </x:c>
      <x:c r="B1027" s="63" t="n">
        <x:v>6384</x:v>
      </x:c>
      <x:c r="C1027" s="63" t="n">
        <x:v>952</x:v>
      </x:c>
      <x:c r="D1027" s="63" t="n">
        <x:v>21</x:v>
      </x:c>
      <x:c r="E1027" s="45" t="n">
        <x:v>0.14912280701754385</x:v>
      </x:c>
      <x:c r="F1027" s="45" t="n">
        <x:v>0.003289473684210526</x:v>
      </x:c>
      <x:c r="G1027" s="66" t="n">
        <x:v>2273</x:v>
      </x:c>
      <x:c r="H1027" s="66" t="n">
        <x:v>156</x:v>
      </x:c>
      <x:c r="I1027" s="66" t="n">
        <x:v>0.0686317641882974</x:v>
      </x:c>
      <x:c r="J1027" s="36" t="str">
        <x:v>low</x:v>
      </x:c>
      <x:c r="K1027" s="72" t="n">
        <x:v>29.9554541</x:v>
      </x:c>
      <x:c r="L1027" s="72" t="n">
        <x:v>-95.5726421</x:v>
      </x:c>
      <x:c r="M1027" s="72" t="n">
        <x:v>1.085</x:v>
      </x:c>
      <x:c r="N1027" s="72" t="n">
        <x:v>0.013859464973090013</x:v>
      </x:c>
      <x:c r="O1027" s="72" t="n">
        <x:v>22.515337436043634</x:v>
      </x:c>
      <x:c r="P1027" s="72" t="n">
        <x:v>5</x:v>
      </x:c>
      <x:c r="Q1027" s="72" t="n">
        <x:v>516.8815937673664</x:v>
      </x:c>
      <x:c r="R1027" s="36" t="str">
        <x:v>tract internal point; no person, address, building, parcel, or route condition</x:v>
      </x:c>
    </x:row>
    <x:row r="1028" ht="86.4000015258789" hidden="0" customHeight="1">
      <x:c r="A1028" s="34" t="str">
        <x:v>48201552602</x:v>
      </x:c>
      <x:c r="B1028" s="62" t="n">
        <x:v>7901</x:v>
      </x:c>
      <x:c r="C1028" s="62" t="n">
        <x:v>864</x:v>
      </x:c>
      <x:c r="D1028" s="62" t="n">
        <x:v>353.5</x:v>
      </x:c>
      <x:c r="E1028" s="43" t="n">
        <x:v>0.10935324642450323</x:v>
      </x:c>
      <x:c r="F1028" s="43" t="n">
        <x:v>0.044741172003543855</x:v>
      </x:c>
      <x:c r="G1028" s="65" t="n">
        <x:v>3313</x:v>
      </x:c>
      <x:c r="H1028" s="65" t="n">
        <x:v>1301</x:v>
      </x:c>
      <x:c r="I1028" s="65" t="n">
        <x:v>0.39269544219740415</x:v>
      </x:c>
      <x:c r="J1028" s="34" t="str">
        <x:v>low</x:v>
      </x:c>
      <x:c r="K1028" s="71" t="n">
        <x:v>29.9754278</x:v>
      </x:c>
      <x:c r="L1028" s="71" t="n">
        <x:v>-95.5770636</x:v>
      </x:c>
      <x:c r="M1028" s="71" t="n">
        <x:v>2.013</x:v>
      </x:c>
      <x:c r="N1028" s="71" t="n">
        <x:v>0.060249146735540854</x:v>
      </x:c>
      <x:c r="O1028" s="71" t="n">
        <x:v>25.315343655061938</x:v>
      </x:c>
      <x:c r="P1028" s="71" t="n">
        <x:v>5</x:v>
      </x:c>
      <x:c r="Q1028" s="71" t="n">
        <x:v>637.340587865679</x:v>
      </x:c>
      <x:c r="R1028" s="34" t="str">
        <x:v>tract internal point; no person, address, building, parcel, or route condition</x:v>
      </x:c>
    </x:row>
    <x:row r="1029" ht="86.4000015258789" hidden="0" customHeight="1">
      <x:c r="A1029" s="36" t="str">
        <x:v>48201552603</x:v>
      </x:c>
      <x:c r="B1029" s="63" t="n">
        <x:v>5552</x:v>
      </x:c>
      <x:c r="C1029" s="63" t="n">
        <x:v>414</x:v>
      </x:c>
      <x:c r="D1029" s="63" t="n">
        <x:v>307.5</x:v>
      </x:c>
      <x:c r="E1029" s="45" t="n">
        <x:v>0.07456772334293948</x:v>
      </x:c>
      <x:c r="F1029" s="45" t="n">
        <x:v>0.05538544668587896</x:v>
      </x:c>
      <x:c r="G1029" s="66" t="n">
        <x:v>1866</x:v>
      </x:c>
      <x:c r="H1029" s="66" t="n">
        <x:v>864</x:v>
      </x:c>
      <x:c r="I1029" s="66" t="n">
        <x:v>0.4630225080385852</x:v>
      </x:c>
      <x:c r="J1029" s="36" t="str">
        <x:v>low</x:v>
      </x:c>
      <x:c r="K1029" s="72" t="n">
        <x:v>29.9608453</x:v>
      </x:c>
      <x:c r="L1029" s="72" t="n">
        <x:v>-95.5571827</x:v>
      </x:c>
      <x:c r="M1029" s="72" t="n">
        <x:v>0.558</x:v>
      </x:c>
      <x:c r="N1029" s="72" t="n">
        <x:v>0.10096875931285638</x:v>
      </x:c>
      <x:c r="O1029" s="72" t="n">
        <x:v>24.512250894088904</x:v>
      </x:c>
      <x:c r="P1029" s="72" t="n">
        <x:v>5</x:v>
      </x:c>
      <x:c r="Q1029" s="72" t="n">
        <x:v>445.2852601792294</x:v>
      </x:c>
      <x:c r="R1029" s="36" t="str">
        <x:v>tract internal point; no person, address, building, parcel, or route condition</x:v>
      </x:c>
    </x:row>
    <x:row r="1030" ht="86.4000015258789" hidden="0" customHeight="1">
      <x:c r="A1030" s="34" t="str">
        <x:v>48201552604</x:v>
      </x:c>
      <x:c r="B1030" s="62" t="n">
        <x:v>3025</x:v>
      </x:c>
      <x:c r="C1030" s="62" t="n">
        <x:v>269</x:v>
      </x:c>
      <x:c r="D1030" s="62" t="n">
        <x:v>84</x:v>
      </x:c>
      <x:c r="E1030" s="43" t="n">
        <x:v>0.08892561983471074</x:v>
      </x:c>
      <x:c r="F1030" s="43" t="n">
        <x:v>0.027768595041322314</x:v>
      </x:c>
      <x:c r="G1030" s="65" t="n">
        <x:v>1161</x:v>
      </x:c>
      <x:c r="H1030" s="65" t="n">
        <x:v>37</x:v>
      </x:c>
      <x:c r="I1030" s="65" t="n">
        <x:v>0.03186907838070629</x:v>
      </x:c>
      <x:c r="J1030" s="34" t="str">
        <x:v>low</x:v>
      </x:c>
      <x:c r="K1030" s="71" t="n">
        <x:v>29.9641416</x:v>
      </x:c>
      <x:c r="L1030" s="71" t="n">
        <x:v>-95.5739305</x:v>
      </x:c>
      <x:c r="M1030" s="71" t="n">
        <x:v>0.57</x:v>
      </x:c>
      <x:c r="N1030" s="71" t="n">
        <x:v>0.0980443428165832</x:v>
      </x:c>
      <x:c r="O1030" s="71" t="n">
        <x:v>24.30362354203686</x:v>
      </x:c>
      <x:c r="P1030" s="71" t="n">
        <x:v>5</x:v>
      </x:c>
      <x:c r="Q1030" s="71" t="n">
        <x:v>242.63922394565702</x:v>
      </x:c>
      <x:c r="R1030" s="34" t="str">
        <x:v>tract internal point; no person, address, building, parcel, or route condition</x:v>
      </x:c>
    </x:row>
    <x:row r="1031" ht="86.4000015258789" hidden="0" customHeight="1">
      <x:c r="A1031" s="36" t="str">
        <x:v>48201552701</x:v>
      </x:c>
      <x:c r="B1031" s="63" t="n">
        <x:v>3164</x:v>
      </x:c>
      <x:c r="C1031" s="63" t="n">
        <x:v>304</x:v>
      </x:c>
      <x:c r="D1031" s="63" t="n">
        <x:v>218</x:v>
      </x:c>
      <x:c r="E1031" s="45" t="n">
        <x:v>0.09608091024020228</x:v>
      </x:c>
      <x:c r="F1031" s="45" t="n">
        <x:v>0.06890012642225031</x:v>
      </x:c>
      <x:c r="G1031" s="66" t="n">
        <x:v>1881</x:v>
      </x:c>
      <x:c r="H1031" s="66" t="n">
        <x:v>878</x:v>
      </x:c>
      <x:c r="I1031" s="66" t="n">
        <x:v>0.46677299308878256</x:v>
      </x:c>
      <x:c r="J1031" s="36" t="str">
        <x:v>low</x:v>
      </x:c>
      <x:c r="K1031" s="72" t="n">
        <x:v>29.9705797</x:v>
      </x:c>
      <x:c r="L1031" s="72" t="n">
        <x:v>-95.5483846</x:v>
      </x:c>
      <x:c r="M1031" s="72" t="n">
        <x:v>0.808</x:v>
      </x:c>
      <x:c r="N1031" s="72" t="n">
        <x:v>0.05187548844707908</x:v>
      </x:c>
      <x:c r="O1031" s="72" t="n">
        <x:v>26.483627750562373</x:v>
      </x:c>
      <x:c r="P1031" s="72" t="n">
        <x:v>5</x:v>
      </x:c>
      <x:c r="Q1031" s="72" t="n">
        <x:v>255.16730515093616</x:v>
      </x:c>
      <x:c r="R1031" s="36" t="str">
        <x:v>tract internal point; no person, address, building, parcel, or route condition</x:v>
      </x:c>
    </x:row>
    <x:row r="1032" ht="86.4000015258789" hidden="0" customHeight="1">
      <x:c r="A1032" s="34" t="str">
        <x:v>48201552702</x:v>
      </x:c>
      <x:c r="B1032" s="62" t="n">
        <x:v>6008</x:v>
      </x:c>
      <x:c r="C1032" s="62" t="n">
        <x:v>804</x:v>
      </x:c>
      <x:c r="D1032" s="62" t="n">
        <x:v>190</x:v>
      </x:c>
      <x:c r="E1032" s="43" t="n">
        <x:v>0.13382157123834887</x:v>
      </x:c>
      <x:c r="F1032" s="43" t="n">
        <x:v>0.03162450066577896</x:v>
      </x:c>
      <x:c r="G1032" s="65" t="n">
        <x:v>2808</x:v>
      </x:c>
      <x:c r="H1032" s="65" t="n">
        <x:v>572</x:v>
      </x:c>
      <x:c r="I1032" s="65" t="n">
        <x:v>0.2037037037037037</x:v>
      </x:c>
      <x:c r="J1032" s="34" t="str">
        <x:v>low</x:v>
      </x:c>
      <x:c r="K1032" s="71" t="n">
        <x:v>29.9812593</x:v>
      </x:c>
      <x:c r="L1032" s="71" t="n">
        <x:v>-95.5575315</x:v>
      </x:c>
      <x:c r="M1032" s="71" t="n">
        <x:v>1.11</x:v>
      </x:c>
      <x:c r="N1032" s="71" t="n">
        <x:v>0.04465904455102383</x:v>
      </x:c>
      <x:c r="O1032" s="71" t="n">
        <x:v>26.771236630529064</x:v>
      </x:c>
      <x:c r="P1032" s="71" t="n">
        <x:v>2</x:v>
      </x:c>
      <x:c r="Q1032" s="71" t="n">
        <x:v>486.3316241030501</x:v>
      </x:c>
      <x:c r="R1032" s="34" t="str">
        <x:v>tract internal point; no person, address, building, parcel, or route condition</x:v>
      </x:c>
    </x:row>
    <x:row r="1033" ht="86.4000015258789" hidden="0" customHeight="1">
      <x:c r="A1033" s="36" t="str">
        <x:v>48201552801</x:v>
      </x:c>
      <x:c r="B1033" s="63" t="n">
        <x:v>5307</x:v>
      </x:c>
      <x:c r="C1033" s="63" t="n">
        <x:v>708</x:v>
      </x:c>
      <x:c r="D1033" s="63" t="n">
        <x:v>59</x:v>
      </x:c>
      <x:c r="E1033" s="45" t="n">
        <x:v>0.13340870548332392</x:v>
      </x:c>
      <x:c r="F1033" s="45" t="n">
        <x:v>0.011117392123610325</x:v>
      </x:c>
      <x:c r="G1033" s="66" t="n">
        <x:v>2578</x:v>
      </x:c>
      <x:c r="H1033" s="66" t="n">
        <x:v>325</x:v>
      </x:c>
      <x:c r="I1033" s="66" t="n">
        <x:v>0.126066718386346</x:v>
      </x:c>
      <x:c r="J1033" s="36" t="str">
        <x:v>low</x:v>
      </x:c>
      <x:c r="K1033" s="72" t="n">
        <x:v>29.9862036</x:v>
      </x:c>
      <x:c r="L1033" s="72" t="n">
        <x:v>-95.5368629</x:v>
      </x:c>
      <x:c r="M1033" s="72" t="n">
        <x:v>1.385</x:v>
      </x:c>
      <x:c r="N1033" s="72" t="n">
        <x:v>0.06093703999391672</x:v>
      </x:c>
      <x:c r="O1033" s="72" t="n">
        <x:v>30.88344054240931</x:v>
      </x:c>
      <x:c r="P1033" s="72" t="n">
        <x:v>5</x:v>
      </x:c>
      <x:c r="Q1033" s="72" t="n">
        <x:v>428.69773484438525</x:v>
      </x:c>
      <x:c r="R1033" s="36" t="str">
        <x:v>tract internal point; no person, address, building, parcel, or route condition</x:v>
      </x:c>
    </x:row>
    <x:row r="1034" ht="86.4000015258789" hidden="0" customHeight="1">
      <x:c r="A1034" s="34" t="str">
        <x:v>48201552802</x:v>
      </x:c>
      <x:c r="B1034" s="62" t="n">
        <x:v>4051</x:v>
      </x:c>
      <x:c r="C1034" s="62" t="n">
        <x:v>307</x:v>
      </x:c>
      <x:c r="D1034" s="62" t="n">
        <x:v>80</x:v>
      </x:c>
      <x:c r="E1034" s="43" t="n">
        <x:v>0.07578375709701309</x:v>
      </x:c>
      <x:c r="F1034" s="43" t="n">
        <x:v>0.01974821031843989</x:v>
      </x:c>
      <x:c r="G1034" s="65" t="n">
        <x:v>1972</x:v>
      </x:c>
      <x:c r="H1034" s="65" t="n">
        <x:v>299</x:v>
      </x:c>
      <x:c r="I1034" s="65" t="n">
        <x:v>0.15162271805273833</x:v>
      </x:c>
      <x:c r="J1034" s="34" t="str">
        <x:v>low</x:v>
      </x:c>
      <x:c r="K1034" s="71" t="n">
        <x:v>29.9759575</x:v>
      </x:c>
      <x:c r="L1034" s="71" t="n">
        <x:v>-95.5301385</x:v>
      </x:c>
      <x:c r="M1034" s="71" t="n">
        <x:v>1.1</x:v>
      </x:c>
      <x:c r="N1034" s="71" t="n">
        <x:v>0.05078768651088472</x:v>
      </x:c>
      <x:c r="O1034" s="71" t="n">
        <x:v>28.621044711662087</x:v>
      </x:c>
      <x:c r="P1034" s="71" t="n">
        <x:v>5</x:v>
      </x:c>
      <x:c r="Q1034" s="71" t="n">
        <x:v>323.84382558489415</x:v>
      </x:c>
      <x:c r="R1034" s="34" t="str">
        <x:v>tract internal point; no person, address, building, parcel, or route condition</x:v>
      </x:c>
    </x:row>
    <x:row r="1035" ht="86.4000015258789" hidden="0" customHeight="1">
      <x:c r="A1035" s="36" t="str">
        <x:v>48201552901</x:v>
      </x:c>
      <x:c r="B1035" s="63" t="n">
        <x:v>5079</x:v>
      </x:c>
      <x:c r="C1035" s="63" t="n">
        <x:v>478</x:v>
      </x:c>
      <x:c r="D1035" s="63" t="n">
        <x:v>22</x:v>
      </x:c>
      <x:c r="E1035" s="45" t="n">
        <x:v>0.09411301437290805</x:v>
      </x:c>
      <x:c r="F1035" s="45" t="n">
        <x:v>0.0043315613309706635</x:v>
      </x:c>
      <x:c r="G1035" s="66" t="n">
        <x:v>2513</x:v>
      </x:c>
      <x:c r="H1035" s="66" t="n">
        <x:v>250</x:v>
      </x:c>
      <x:c r="I1035" s="66" t="n">
        <x:v>0.09948269001193792</x:v>
      </x:c>
      <x:c r="J1035" s="36" t="str">
        <x:v>low</x:v>
      </x:c>
      <x:c r="K1035" s="72" t="n">
        <x:v>29.9937663</x:v>
      </x:c>
      <x:c r="L1035" s="72" t="n">
        <x:v>-95.5061963</x:v>
      </x:c>
      <x:c r="M1035" s="72" t="n">
        <x:v>0.749</x:v>
      </x:c>
      <x:c r="N1035" s="72" t="n">
        <x:v>0.03573550205490705</x:v>
      </x:c>
      <x:c r="O1035" s="72" t="n">
        <x:v>30.487132882607224</x:v>
      </x:c>
      <x:c r="P1035" s="72" t="n">
        <x:v>2</x:v>
      </x:c>
      <x:c r="Q1035" s="72" t="n">
        <x:v>406.87183678474906</x:v>
      </x:c>
      <x:c r="R1035" s="36" t="str">
        <x:v>tract internal point; no person, address, building, parcel, or route condition</x:v>
      </x:c>
    </x:row>
    <x:row r="1036" ht="86.4000015258789" hidden="0" customHeight="1">
      <x:c r="A1036" s="34" t="str">
        <x:v>48201552902</x:v>
      </x:c>
      <x:c r="B1036" s="62" t="n">
        <x:v>5286</x:v>
      </x:c>
      <x:c r="C1036" s="62" t="n">
        <x:v>649</x:v>
      </x:c>
      <x:c r="D1036" s="62" t="n">
        <x:v>97</x:v>
      </x:c>
      <x:c r="E1036" s="43" t="n">
        <x:v>0.12277714718123345</x:v>
      </x:c>
      <x:c r="F1036" s="43" t="n">
        <x:v>0.01835035944003027</x:v>
      </x:c>
      <x:c r="G1036" s="65" t="n">
        <x:v>1872</x:v>
      </x:c>
      <x:c r="H1036" s="65" t="n">
        <x:v>140</x:v>
      </x:c>
      <x:c r="I1036" s="65" t="n">
        <x:v>0.07478632478632478</x:v>
      </x:c>
      <x:c r="J1036" s="34" t="str">
        <x:v>low</x:v>
      </x:c>
      <x:c r="K1036" s="71" t="n">
        <x:v>29.9945434</x:v>
      </x:c>
      <x:c r="L1036" s="71" t="n">
        <x:v>-95.5178223</x:v>
      </x:c>
      <x:c r="M1036" s="71" t="n">
        <x:v>1.116</x:v>
      </x:c>
      <x:c r="N1036" s="71" t="n">
        <x:v>0.01957522887947663</x:v>
      </x:c>
      <x:c r="O1036" s="71" t="n">
        <x:v>31.13530785406103</x:v>
      </x:c>
      <x:c r="P1036" s="71" t="n">
        <x:v>2</x:v>
      </x:c>
      <x:c r="Q1036" s="71" t="n">
        <x:v>426.418472893613</x:v>
      </x:c>
      <x:c r="R1036" s="34" t="str">
        <x:v>tract internal point; no person, address, building, parcel, or route condition</x:v>
      </x:c>
    </x:row>
    <x:row r="1037" ht="86.4000015258789" hidden="0" customHeight="1">
      <x:c r="A1037" s="36" t="str">
        <x:v>48201553001</x:v>
      </x:c>
      <x:c r="B1037" s="63" t="n">
        <x:v>7211</x:v>
      </x:c>
      <x:c r="C1037" s="63" t="n">
        <x:v>772</x:v>
      </x:c>
      <x:c r="D1037" s="63" t="n">
        <x:v>36</x:v>
      </x:c>
      <x:c r="E1037" s="45" t="n">
        <x:v>0.10705866037997504</x:v>
      </x:c>
      <x:c r="F1037" s="45" t="n">
        <x:v>0.0049923727638330325</x:v>
      </x:c>
      <x:c r="G1037" s="66" t="n">
        <x:v>2678</x:v>
      </x:c>
      <x:c r="H1037" s="66" t="n">
        <x:v>50</x:v>
      </x:c>
      <x:c r="I1037" s="66" t="n">
        <x:v>0.018670649738610903</x:v>
      </x:c>
      <x:c r="J1037" s="36" t="str">
        <x:v>low</x:v>
      </x:c>
      <x:c r="K1037" s="72" t="n">
        <x:v>30.0019366</x:v>
      </x:c>
      <x:c r="L1037" s="72" t="n">
        <x:v>-95.4947839</x:v>
      </x:c>
      <x:c r="M1037" s="72" t="n">
        <x:v>1.807</x:v>
      </x:c>
      <x:c r="N1037" s="72" t="n">
        <x:v>0.050704452376111805</x:v>
      </x:c>
      <x:c r="O1037" s="72" t="n">
        <x:v>32.0731854131736</x:v>
      </x:c>
      <x:c r="P1037" s="72" t="n">
        <x:v>2</x:v>
      </x:c>
      <x:c r="Q1037" s="72" t="n">
        <x:v>579.1683212151938</x:v>
      </x:c>
      <x:c r="R1037" s="36" t="str">
        <x:v>tract internal point; no person, address, building, parcel, or route condition</x:v>
      </x:c>
    </x:row>
    <x:row r="1038" ht="86.4000015258789" hidden="0" customHeight="1">
      <x:c r="A1038" s="34" t="str">
        <x:v>48201553002</x:v>
      </x:c>
      <x:c r="B1038" s="62" t="n">
        <x:v>4832</x:v>
      </x:c>
      <x:c r="C1038" s="62" t="n">
        <x:v>343</x:v>
      </x:c>
      <x:c r="D1038" s="62" t="n">
        <x:v>43</x:v>
      </x:c>
      <x:c r="E1038" s="43" t="n">
        <x:v>0.07098509933774834</x:v>
      </x:c>
      <x:c r="F1038" s="43" t="n">
        <x:v>0.008899006622516557</x:v>
      </x:c>
      <x:c r="G1038" s="65" t="n">
        <x:v>1684</x:v>
      </x:c>
      <x:c r="H1038" s="65" t="n">
        <x:v>82</x:v>
      </x:c>
      <x:c r="I1038" s="65" t="n">
        <x:v>0.048693586698337295</x:v>
      </x:c>
      <x:c r="J1038" s="34" t="str">
        <x:v>low</x:v>
      </x:c>
      <x:c r="K1038" s="71" t="n">
        <x:v>30.0121778</x:v>
      </x:c>
      <x:c r="L1038" s="71" t="n">
        <x:v>-95.4809464</x:v>
      </x:c>
      <x:c r="M1038" s="71" t="n">
        <x:v>1.759</x:v>
      </x:c>
      <x:c r="N1038" s="71" t="n">
        <x:v>0.1275954296116769</x:v>
      </x:c>
      <x:c r="O1038" s="71" t="n">
        <x:v>34.32640043518202</x:v>
      </x:c>
      <x:c r="P1038" s="71" t="n">
        <x:v>1</x:v>
      </x:c>
      <x:c r="Q1038" s="71" t="n">
        <x:v>385.5017911152672</x:v>
      </x:c>
      <x:c r="R1038" s="34" t="str">
        <x:v>tract internal point; no person, address, building, parcel, or route condition</x:v>
      </x:c>
    </x:row>
    <x:row r="1039" ht="86.4000015258789" hidden="0" customHeight="1">
      <x:c r="A1039" s="36" t="str">
        <x:v>48201553101</x:v>
      </x:c>
      <x:c r="B1039" s="63" t="n">
        <x:v>3491</x:v>
      </x:c>
      <x:c r="C1039" s="63" t="n">
        <x:v>368</x:v>
      </x:c>
      <x:c r="D1039" s="63" t="n">
        <x:v>53</x:v>
      </x:c>
      <x:c r="E1039" s="45" t="n">
        <x:v>0.10541392151246061</x:v>
      </x:c>
      <x:c r="F1039" s="45" t="n">
        <x:v>0.01518189630478373</x:v>
      </x:c>
      <x:c r="G1039" s="66" t="n">
        <x:v>1520</x:v>
      </x:c>
      <x:c r="H1039" s="66" t="n">
        <x:v>128</x:v>
      </x:c>
      <x:c r="I1039" s="66" t="n">
        <x:v>0.08421052631578947</x:v>
      </x:c>
      <x:c r="J1039" s="36" t="str">
        <x:v>moderate</x:v>
      </x:c>
      <x:c r="K1039" s="72" t="n">
        <x:v>30.0214429</x:v>
      </x:c>
      <x:c r="L1039" s="72" t="n">
        <x:v>-95.4664935</x:v>
      </x:c>
      <x:c r="M1039" s="72" t="n">
        <x:v>0.721</x:v>
      </x:c>
      <x:c r="N1039" s="72" t="n">
        <x:v>0.0867860745893731</x:v>
      </x:c>
      <x:c r="O1039" s="72" t="n">
        <x:v>30.323593898894547</x:v>
      </x:c>
      <x:c r="P1039" s="72" t="n">
        <x:v>2</x:v>
      </x:c>
      <x:c r="Q1039" s="72" t="n">
        <x:v>496.40572009395663</x:v>
      </x:c>
      <x:c r="R1039" s="36" t="str">
        <x:v>tract internal point; no person, address, building, parcel, or route condition</x:v>
      </x:c>
    </x:row>
    <x:row r="1040" ht="86.4000015258789" hidden="0" customHeight="1">
      <x:c r="A1040" s="34" t="str">
        <x:v>48201553102</x:v>
      </x:c>
      <x:c r="B1040" s="62" t="n">
        <x:v>5005</x:v>
      </x:c>
      <x:c r="C1040" s="62" t="n">
        <x:v>798</x:v>
      </x:c>
      <x:c r="D1040" s="62" t="n">
        <x:v>137</x:v>
      </x:c>
      <x:c r="E1040" s="43" t="n">
        <x:v>0.15944055944055943</x:v>
      </x:c>
      <x:c r="F1040" s="43" t="n">
        <x:v>0.027372627372627373</x:v>
      </x:c>
      <x:c r="G1040" s="65" t="n">
        <x:v>1542</x:v>
      </x:c>
      <x:c r="H1040" s="65" t="n">
        <x:v>150</x:v>
      </x:c>
      <x:c r="I1040" s="65" t="n">
        <x:v>0.09727626459143969</x:v>
      </x:c>
      <x:c r="J1040" s="34" t="str">
        <x:v>low</x:v>
      </x:c>
      <x:c r="K1040" s="71" t="n">
        <x:v>30.0151924</x:v>
      </x:c>
      <x:c r="L1040" s="71" t="n">
        <x:v>-95.4595253</x:v>
      </x:c>
      <x:c r="M1040" s="71" t="n">
        <x:v>0.582</x:v>
      </x:c>
      <x:c r="N1040" s="71" t="n">
        <x:v>0.0355690886306527</x:v>
      </x:c>
      <x:c r="O1040" s="71" t="n">
        <x:v>29.85550171592364</x:v>
      </x:c>
      <x:c r="P1040" s="71" t="n">
        <x:v>2</x:v>
      </x:c>
      <x:c r="Q1040" s="71" t="n">
        <x:v>406.9897296442717</x:v>
      </x:c>
      <x:c r="R1040" s="34" t="str">
        <x:v>tract internal point; no person, address, building, parcel, or route condition</x:v>
      </x:c>
    </x:row>
    <x:row r="1041" ht="86.4000015258789" hidden="0" customHeight="1">
      <x:c r="A1041" s="36" t="str">
        <x:v>48201553201</x:v>
      </x:c>
      <x:c r="B1041" s="63" t="n">
        <x:v>2545</x:v>
      </x:c>
      <x:c r="C1041" s="63" t="n">
        <x:v>296</x:v>
      </x:c>
      <x:c r="D1041" s="63" t="n">
        <x:v>45</x:v>
      </x:c>
      <x:c r="E1041" s="45" t="n">
        <x:v>0.11630648330058939</x:v>
      </x:c>
      <x:c r="F1041" s="45" t="n">
        <x:v>0.01768172888015717</x:v>
      </x:c>
      <x:c r="G1041" s="66" t="n">
        <x:v>1042</x:v>
      </x:c>
      <x:c r="H1041" s="66" t="n">
        <x:v>177</x:v>
      </x:c>
      <x:c r="I1041" s="66" t="n">
        <x:v>0.16986564299424184</x:v>
      </x:c>
      <x:c r="J1041" s="36" t="str">
        <x:v>low</x:v>
      </x:c>
      <x:c r="K1041" s="72" t="n">
        <x:v>30.0236878</x:v>
      </x:c>
      <x:c r="L1041" s="72" t="n">
        <x:v>-95.4502063</x:v>
      </x:c>
      <x:c r="M1041" s="72" t="n">
        <x:v>0.888</x:v>
      </x:c>
      <x:c r="N1041" s="72" t="n">
        <x:v>0.03287264032141138</x:v>
      </x:c>
      <x:c r="O1041" s="72" t="n">
        <x:v>29.021326896995806</x:v>
      </x:c>
      <x:c r="P1041" s="72" t="n">
        <x:v>2</x:v>
      </x:c>
      <x:c r="Q1041" s="72" t="n">
        <x:v>205.03140175791503</x:v>
      </x:c>
      <x:c r="R1041" s="36" t="str">
        <x:v>tract internal point; no person, address, building, parcel, or route condition</x:v>
      </x:c>
    </x:row>
    <x:row r="1042" ht="86.4000015258789" hidden="0" customHeight="1">
      <x:c r="A1042" s="34" t="str">
        <x:v>48201553202</x:v>
      </x:c>
      <x:c r="B1042" s="62" t="n">
        <x:v>4728</x:v>
      </x:c>
      <x:c r="C1042" s="62" t="n">
        <x:v>394</x:v>
      </x:c>
      <x:c r="D1042" s="62" t="n">
        <x:v>457</x:v>
      </x:c>
      <x:c r="E1042" s="43" t="n">
        <x:v>0.08333333333333333</x:v>
      </x:c>
      <x:c r="F1042" s="43" t="n">
        <x:v>0.09665820642978003</x:v>
      </x:c>
      <x:c r="G1042" s="65" t="n">
        <x:v>2271</x:v>
      </x:c>
      <x:c r="H1042" s="65" t="n">
        <x:v>254</x:v>
      </x:c>
      <x:c r="I1042" s="65" t="n">
        <x:v>0.11184500220167327</x:v>
      </x:c>
      <x:c r="J1042" s="34" t="str">
        <x:v>low</x:v>
      </x:c>
      <x:c r="K1042" s="71" t="n">
        <x:v>30.0318213</x:v>
      </x:c>
      <x:c r="L1042" s="71" t="n">
        <x:v>-95.4458248</x:v>
      </x:c>
      <x:c r="M1042" s="71" t="n">
        <x:v>0.741</x:v>
      </x:c>
      <x:c r="N1042" s="71" t="n">
        <x:v>0.12517995266404233</x:v>
      </x:c>
      <x:c r="O1042" s="71" t="n">
        <x:v>28.58733050600988</x:v>
      </x:c>
      <x:c r="P1042" s="71" t="n">
        <x:v>2</x:v>
      </x:c>
      <x:c r="Q1042" s="71" t="n">
        <x:v>381.3834005559409</x:v>
      </x:c>
      <x:c r="R1042" s="34" t="str">
        <x:v>tract internal point; no person, address, building, parcel, or route condition</x:v>
      </x:c>
    </x:row>
    <x:row r="1043" ht="86.4000015258789" hidden="0" customHeight="1">
      <x:c r="A1043" s="36" t="str">
        <x:v>48201553300</x:v>
      </x:c>
      <x:c r="B1043" s="63" t="n">
        <x:v>3755</x:v>
      </x:c>
      <x:c r="C1043" s="63" t="n">
        <x:v>453</x:v>
      </x:c>
      <x:c r="D1043" s="63" t="n">
        <x:v>245</x:v>
      </x:c>
      <x:c r="E1043" s="45" t="n">
        <x:v>0.12063914780292943</x:v>
      </x:c>
      <x:c r="F1043" s="45" t="n">
        <x:v>0.06524633821571238</x:v>
      </x:c>
      <x:c r="G1043" s="66" t="n">
        <x:v>2799</x:v>
      </x:c>
      <x:c r="H1043" s="66" t="n">
        <x:v>926</x:v>
      </x:c>
      <x:c r="I1043" s="66" t="n">
        <x:v>0.330832440157199</x:v>
      </x:c>
      <x:c r="J1043" s="36" t="str">
        <x:v>low</x:v>
      </x:c>
      <x:c r="K1043" s="72" t="n">
        <x:v>30.0258952</x:v>
      </x:c>
      <x:c r="L1043" s="72" t="n">
        <x:v>-95.4347051</x:v>
      </x:c>
      <x:c r="M1043" s="72" t="n">
        <x:v>0.53</x:v>
      </x:c>
      <x:c r="N1043" s="72" t="n">
        <x:v>0.17241127985495397</x:v>
      </x:c>
      <x:c r="O1043" s="72" t="n">
        <x:v>26.444419598253315</x:v>
      </x:c>
      <x:c r="P1043" s="72" t="n">
        <x:v>2</x:v>
      </x:c>
      <x:c r="Q1043" s="72" t="n">
        <x:v>304.1714370925392</x:v>
      </x:c>
      <x:c r="R1043" s="36" t="str">
        <x:v>tract internal point; no person, address, building, parcel, or route condition</x:v>
      </x:c>
    </x:row>
    <x:row r="1044" ht="86.4000015258789" hidden="0" customHeight="1">
      <x:c r="A1044" s="34" t="str">
        <x:v>48201553401</x:v>
      </x:c>
      <x:c r="B1044" s="62" t="n">
        <x:v>4462</x:v>
      </x:c>
      <x:c r="C1044" s="62" t="n">
        <x:v>630</x:v>
      </x:c>
      <x:c r="D1044" s="62" t="n">
        <x:v>130.5</x:v>
      </x:c>
      <x:c r="E1044" s="43" t="n">
        <x:v>0.14119229045271178</x:v>
      </x:c>
      <x:c r="F1044" s="43" t="n">
        <x:v>0.02924697445091887</x:v>
      </x:c>
      <x:c r="G1044" s="65" t="n">
        <x:v>1597</x:v>
      </x:c>
      <x:c r="H1044" s="65" t="n">
        <x:v>6</x:v>
      </x:c>
      <x:c r="I1044" s="65" t="n">
        <x:v>0.003757044458359424</x:v>
      </x:c>
      <x:c r="J1044" s="34" t="str">
        <x:v>low</x:v>
      </x:c>
      <x:c r="K1044" s="71" t="n">
        <x:v>30.0424343</x:v>
      </x:c>
      <x:c r="L1044" s="71" t="n">
        <x:v>-95.4426933</x:v>
      </x:c>
      <x:c r="M1044" s="71" t="n">
        <x:v>1.413</x:v>
      </x:c>
      <x:c r="N1044" s="71" t="n">
        <x:v>0.04426710999294782</x:v>
      </x:c>
      <x:c r="O1044" s="71" t="n">
        <x:v>25.346813548424425</x:v>
      </x:c>
      <x:c r="P1044" s="71" t="n">
        <x:v>2</x:v>
      </x:c>
      <x:c r="Q1044" s="71" t="n">
        <x:v>361.6206275379519</x:v>
      </x:c>
      <x:c r="R1044" s="34" t="str">
        <x:v>tract internal point; no person, address, building, parcel, or route condition</x:v>
      </x:c>
    </x:row>
    <x:row r="1045" ht="86.4000015258789" hidden="0" customHeight="1">
      <x:c r="A1045" s="36" t="str">
        <x:v>48201553403</x:v>
      </x:c>
      <x:c r="B1045" s="63" t="n">
        <x:v>8462</x:v>
      </x:c>
      <x:c r="C1045" s="63" t="n">
        <x:v>942</x:v>
      </x:c>
      <x:c r="D1045" s="63" t="n">
        <x:v>185</x:v>
      </x:c>
      <x:c r="E1045" s="45" t="n">
        <x:v>0.11132120066178208</x:v>
      </x:c>
      <x:c r="F1045" s="45" t="n">
        <x:v>0.02186244386669818</x:v>
      </x:c>
      <x:c r="G1045" s="66" t="n">
        <x:v>2997</x:v>
      </x:c>
      <x:c r="H1045" s="66" t="n">
        <x:v>780</x:v>
      </x:c>
      <x:c r="I1045" s="66" t="n">
        <x:v>0.2602602602602603</x:v>
      </x:c>
      <x:c r="J1045" s="36" t="str">
        <x:v>low</x:v>
      </x:c>
      <x:c r="K1045" s="72" t="n">
        <x:v>30.0590538</x:v>
      </x:c>
      <x:c r="L1045" s="72" t="n">
        <x:v>-95.4624926</x:v>
      </x:c>
      <x:c r="M1045" s="72" t="n">
        <x:v>2.567</x:v>
      </x:c>
      <x:c r="N1045" s="72" t="n">
        <x:v>0.021201114353986764</x:v>
      </x:c>
      <x:c r="O1045" s="72" t="n">
        <x:v>26.706605161085708</x:v>
      </x:c>
      <x:c r="P1045" s="72" t="n">
        <x:v>2</x:v>
      </x:c>
      <x:c r="Q1045" s="72" t="n">
        <x:v>681.3342732775675</x:v>
      </x:c>
      <x:c r="R1045" s="36" t="str">
        <x:v>tract internal point; no person, address, building, parcel, or route condition</x:v>
      </x:c>
    </x:row>
    <x:row r="1046" ht="86.4000015258789" hidden="0" customHeight="1">
      <x:c r="A1046" s="34" t="str">
        <x:v>48201553404</x:v>
      </x:c>
      <x:c r="B1046" s="62" t="n">
        <x:v>3489</x:v>
      </x:c>
      <x:c r="C1046" s="62" t="n">
        <x:v>439</x:v>
      </x:c>
      <x:c r="D1046" s="62" t="n">
        <x:v>27</x:v>
      </x:c>
      <x:c r="E1046" s="43" t="n">
        <x:v>0.12582401834336487</x:v>
      </x:c>
      <x:c r="F1046" s="43" t="n">
        <x:v>0.007738607050730868</x:v>
      </x:c>
      <x:c r="G1046" s="65" t="n">
        <x:v>1097</x:v>
      </x:c>
      <x:c r="H1046" s="65" t="n">
        <x:v>0</x:v>
      </x:c>
      <x:c r="I1046" s="65" t="n">
        <x:v>0</x:v>
      </x:c>
      <x:c r="J1046" s="34" t="str">
        <x:v>low</x:v>
      </x:c>
      <x:c r="K1046" s="71" t="n">
        <x:v>30.0460218</x:v>
      </x:c>
      <x:c r="L1046" s="71" t="n">
        <x:v>-95.462355</x:v>
      </x:c>
      <x:c r="M1046" s="71" t="n">
        <x:v>0.779</x:v>
      </x:c>
      <x:c r="N1046" s="71" t="n">
        <x:v>0.03531963570707759</x:v>
      </x:c>
      <x:c r="O1046" s="71" t="n">
        <x:v>26.683445078987553</x:v>
      </x:c>
      <x:c r="P1046" s="71" t="n">
        <x:v>2</x:v>
      </x:c>
      <x:c r="Q1046" s="71" t="n">
        <x:v>281.3316604410077</x:v>
      </x:c>
      <x:c r="R1046" s="34" t="str">
        <x:v>tract internal point; no person, address, building, parcel, or route condition</x:v>
      </x:c>
    </x:row>
    <x:row r="1047" ht="86.4000015258789" hidden="0" customHeight="1">
      <x:c r="A1047" s="36" t="str">
        <x:v>48201553405</x:v>
      </x:c>
      <x:c r="B1047" s="63" t="n">
        <x:v>6518</x:v>
      </x:c>
      <x:c r="C1047" s="63" t="n">
        <x:v>905</x:v>
      </x:c>
      <x:c r="D1047" s="63" t="n">
        <x:v>17</x:v>
      </x:c>
      <x:c r="E1047" s="45" t="n">
        <x:v>0.1388462718625345</x:v>
      </x:c>
      <x:c r="F1047" s="45" t="n">
        <x:v>0.002608162012887389</x:v>
      </x:c>
      <x:c r="G1047" s="66" t="n">
        <x:v>2369</x:v>
      </x:c>
      <x:c r="H1047" s="66" t="n">
        <x:v>175</x:v>
      </x:c>
      <x:c r="I1047" s="66" t="n">
        <x:v>0.07387083157450401</x:v>
      </x:c>
      <x:c r="J1047" s="36" t="str">
        <x:v>high</x:v>
      </x:c>
      <x:c r="K1047" s="72" t="n">
        <x:v>30.0550828</x:v>
      </x:c>
      <x:c r="L1047" s="72" t="n">
        <x:v>-95.447725</x:v>
      </x:c>
      <x:c r="M1047" s="72" t="n">
        <x:v>1.277</x:v>
      </x:c>
      <x:c r="N1047" s="72" t="n">
        <x:v>0.07410521811772508</x:v>
      </x:c>
      <x:c r="O1047" s="72" t="n">
        <x:v>25.55198593127003</x:v>
      </x:c>
      <x:c r="P1047" s="72" t="n">
        <x:v>2</x:v>
      </x:c>
      <x:c r="Q1047" s="72" t="n">
        <x:v>1134.3082639233605</x:v>
      </x:c>
      <x:c r="R1047" s="36" t="str">
        <x:v>tract internal point; no person, address, building, parcel, or route condition</x:v>
      </x:c>
    </x:row>
    <x:row r="1048" ht="86.4000015258789" hidden="0" customHeight="1">
      <x:c r="A1048" s="34" t="str">
        <x:v>48201553500</x:v>
      </x:c>
      <x:c r="B1048" s="62" t="n">
        <x:v>7369</x:v>
      </x:c>
      <x:c r="C1048" s="62" t="n">
        <x:v>775</x:v>
      </x:c>
      <x:c r="D1048" s="62" t="n">
        <x:v>180</x:v>
      </x:c>
      <x:c r="E1048" s="43" t="n">
        <x:v>0.10517030804722487</x:v>
      </x:c>
      <x:c r="F1048" s="43" t="n">
        <x:v>0.024426652191613517</x:v>
      </x:c>
      <x:c r="G1048" s="65" t="n">
        <x:v>2661</x:v>
      </x:c>
      <x:c r="H1048" s="65" t="n">
        <x:v>42</x:v>
      </x:c>
      <x:c r="I1048" s="65" t="n">
        <x:v>0.015783540022547914</x:v>
      </x:c>
      <x:c r="J1048" s="34" t="str">
        <x:v>low</x:v>
      </x:c>
      <x:c r="K1048" s="71" t="n">
        <x:v>30.037378</x:v>
      </x:c>
      <x:c r="L1048" s="71" t="n">
        <x:v>-95.4753518</x:v>
      </x:c>
      <x:c r="M1048" s="71" t="n">
        <x:v>1.367</x:v>
      </x:c>
      <x:c r="N1048" s="71" t="n">
        <x:v>0.09120080404120916</x:v>
      </x:c>
      <x:c r="O1048" s="71" t="n">
        <x:v>27.359478855435935</x:v>
      </x:c>
      <x:c r="P1048" s="71" t="n">
        <x:v>2</x:v>
      </x:c>
      <x:c r="Q1048" s="71" t="n">
        <x:v>592.7652976801455</x:v>
      </x:c>
      <x:c r="R1048" s="34" t="str">
        <x:v>tract internal point; no person, address, building, parcel, or route condition</x:v>
      </x:c>
    </x:row>
    <x:row r="1049" ht="86.4000015258789" hidden="0" customHeight="1">
      <x:c r="A1049" s="36" t="str">
        <x:v>48201553601</x:v>
      </x:c>
      <x:c r="B1049" s="63" t="n">
        <x:v>5127</x:v>
      </x:c>
      <x:c r="C1049" s="63" t="n">
        <x:v>443</x:v>
      </x:c>
      <x:c r="D1049" s="63" t="n">
        <x:v>181</x:v>
      </x:c>
      <x:c r="E1049" s="45" t="n">
        <x:v>0.08640530524673298</x:v>
      </x:c>
      <x:c r="F1049" s="45" t="n">
        <x:v>0.035303296274624536</x:v>
      </x:c>
      <x:c r="G1049" s="66" t="n">
        <x:v>1807</x:v>
      </x:c>
      <x:c r="H1049" s="66" t="n">
        <x:v>213</x:v>
      </x:c>
      <x:c r="I1049" s="66" t="n">
        <x:v>0.11787493082457111</x:v>
      </x:c>
      <x:c r="J1049" s="36" t="str">
        <x:v>low</x:v>
      </x:c>
      <x:c r="K1049" s="72" t="n">
        <x:v>30.028144</x:v>
      </x:c>
      <x:c r="L1049" s="72" t="n">
        <x:v>-95.497809</x:v>
      </x:c>
      <x:c r="M1049" s="72" t="n">
        <x:v>1.14</x:v>
      </x:c>
      <x:c r="N1049" s="72" t="n">
        <x:v>0.00842831371168121</x:v>
      </x:c>
      <x:c r="O1049" s="72" t="n">
        <x:v>27.50331050048114</x:v>
      </x:c>
      <x:c r="P1049" s="72" t="n">
        <x:v>2</x:v>
      </x:c>
      <x:c r="Q1049" s="72" t="n">
        <x:v>411.3439059226435</x:v>
      </x:c>
      <x:c r="R1049" s="36" t="str">
        <x:v>tract internal point; no person, address, building, parcel, or route condition</x:v>
      </x:c>
    </x:row>
    <x:row r="1050" ht="86.4000015258789" hidden="0" customHeight="1">
      <x:c r="A1050" s="34" t="str">
        <x:v>48201553602</x:v>
      </x:c>
      <x:c r="B1050" s="62" t="n">
        <x:v>2398</x:v>
      </x:c>
      <x:c r="C1050" s="62" t="n">
        <x:v>421</x:v>
      </x:c>
      <x:c r="D1050" s="62" t="n">
        <x:v>158</x:v>
      </x:c>
      <x:c r="E1050" s="43" t="n">
        <x:v>0.1755629691409508</x:v>
      </x:c>
      <x:c r="F1050" s="43" t="n">
        <x:v>0.0658882402001668</x:v>
      </x:c>
      <x:c r="G1050" s="65" t="n">
        <x:v>1411</x:v>
      </x:c>
      <x:c r="H1050" s="65" t="n">
        <x:v>431</x:v>
      </x:c>
      <x:c r="I1050" s="65" t="n">
        <x:v>0.3054571226080794</x:v>
      </x:c>
      <x:c r="J1050" s="34" t="str">
        <x:v>low</x:v>
      </x:c>
      <x:c r="K1050" s="71" t="n">
        <x:v>30.0293005</x:v>
      </x:c>
      <x:c r="L1050" s="71" t="n">
        <x:v>-95.4867693</x:v>
      </x:c>
      <x:c r="M1050" s="71" t="n">
        <x:v>0.718</x:v>
      </x:c>
      <x:c r="N1050" s="71" t="n">
        <x:v>0.08341548305476842</x:v>
      </x:c>
      <x:c r="O1050" s="71" t="n">
        <x:v>27.174420255191972</x:v>
      </x:c>
      <x:c r="P1050" s="71" t="n">
        <x:v>2</x:v>
      </x:c>
      <x:c r="Q1050" s="71" t="n">
        <x:v>196.3309087251397</x:v>
      </x:c>
      <x:c r="R1050" s="34" t="str">
        <x:v>tract internal point; no person, address, building, parcel, or route condition</x:v>
      </x:c>
    </x:row>
    <x:row r="1051" ht="86.4000015258789" hidden="0" customHeight="1">
      <x:c r="A1051" s="36" t="str">
        <x:v>48201553700</x:v>
      </x:c>
      <x:c r="B1051" s="63" t="n">
        <x:v>4376</x:v>
      </x:c>
      <x:c r="C1051" s="63" t="n">
        <x:v>556</x:v>
      </x:c>
      <x:c r="D1051" s="63" t="n">
        <x:v>422</x:v>
      </x:c>
      <x:c r="E1051" s="45" t="n">
        <x:v>0.12705667276051189</x:v>
      </x:c>
      <x:c r="F1051" s="45" t="n">
        <x:v>0.09643510054844608</x:v>
      </x:c>
      <x:c r="G1051" s="66" t="n">
        <x:v>1852</x:v>
      </x:c>
      <x:c r="H1051" s="66" t="n">
        <x:v>38</x:v>
      </x:c>
      <x:c r="I1051" s="66" t="n">
        <x:v>0.020518358531317494</x:v>
      </x:c>
      <x:c r="J1051" s="36" t="str">
        <x:v>moderate</x:v>
      </x:c>
      <x:c r="K1051" s="72" t="n">
        <x:v>30.0172559</x:v>
      </x:c>
      <x:c r="L1051" s="72" t="n">
        <x:v>-95.510313</x:v>
      </x:c>
      <x:c r="M1051" s="72" t="n">
        <x:v>1.213</x:v>
      </x:c>
      <x:c r="N1051" s="72" t="n">
        <x:v>0.010312756165701742</x:v>
      </x:c>
      <x:c r="O1051" s="72" t="n">
        <x:v>27.34252771400151</x:v>
      </x:c>
      <x:c r="P1051" s="72" t="n">
        <x:v>2</x:v>
      </x:c>
      <x:c r="Q1051" s="72" t="n">
        <x:v>629.8271852414822</x:v>
      </x:c>
      <x:c r="R1051" s="36" t="str">
        <x:v>tract internal point; no person, address, building, parcel, or route condition</x:v>
      </x:c>
    </x:row>
    <x:row r="1052" ht="86.4000015258789" hidden="0" customHeight="1">
      <x:c r="A1052" s="34" t="str">
        <x:v>48201553801</x:v>
      </x:c>
      <x:c r="B1052" s="62" t="n">
        <x:v>2624</x:v>
      </x:c>
      <x:c r="C1052" s="62" t="n">
        <x:v>175</x:v>
      </x:c>
      <x:c r="D1052" s="62" t="n">
        <x:v>40.5</x:v>
      </x:c>
      <x:c r="E1052" s="43" t="n">
        <x:v>0.06669207317073171</x:v>
      </x:c>
      <x:c r="F1052" s="43" t="n">
        <x:v>0.015434451219512195</x:v>
      </x:c>
      <x:c r="G1052" s="65" t="n">
        <x:v>950</x:v>
      </x:c>
      <x:c r="H1052" s="65" t="n">
        <x:v>108</x:v>
      </x:c>
      <x:c r="I1052" s="65" t="n">
        <x:v>0.11368421052631579</x:v>
      </x:c>
      <x:c r="J1052" s="34" t="str">
        <x:v>low</x:v>
      </x:c>
      <x:c r="K1052" s="71" t="n">
        <x:v>30.0430149</x:v>
      </x:c>
      <x:c r="L1052" s="71" t="n">
        <x:v>-95.5102012</x:v>
      </x:c>
      <x:c r="M1052" s="71" t="n">
        <x:v>1.428</x:v>
      </x:c>
      <x:c r="N1052" s="71" t="n">
        <x:v>0.05297643845080333</x:v>
      </x:c>
      <x:c r="O1052" s="71" t="n">
        <x:v>24.653363732300605</x:v>
      </x:c>
      <x:c r="P1052" s="71" t="n">
        <x:v>2</x:v>
      </x:c>
      <x:c r="Q1052" s="71" t="n">
        <x:v>209.30305303462097</x:v>
      </x:c>
      <x:c r="R1052" s="34" t="str">
        <x:v>tract internal point; no person, address, building, parcel, or route condition</x:v>
      </x:c>
    </x:row>
    <x:row r="1053" ht="86.4000015258789" hidden="0" customHeight="1">
      <x:c r="A1053" s="36" t="str">
        <x:v>48201553803</x:v>
      </x:c>
      <x:c r="B1053" s="63" t="n">
        <x:v>4828</x:v>
      </x:c>
      <x:c r="C1053" s="63" t="n">
        <x:v>667</x:v>
      </x:c>
      <x:c r="D1053" s="63" t="n">
        <x:v>12</x:v>
      </x:c>
      <x:c r="E1053" s="45" t="n">
        <x:v>0.13815244407622204</x:v>
      </x:c>
      <x:c r="F1053" s="45" t="n">
        <x:v>0.0024855012427506215</x:v>
      </x:c>
      <x:c r="G1053" s="66" t="n">
        <x:v>1513</x:v>
      </x:c>
      <x:c r="H1053" s="66" t="n">
        <x:v>21</x:v>
      </x:c>
      <x:c r="I1053" s="66" t="n">
        <x:v>0.013879709187045605</x:v>
      </x:c>
      <x:c r="J1053" s="36" t="str">
        <x:v>low</x:v>
      </x:c>
      <x:c r="K1053" s="72" t="n">
        <x:v>30.0369524</x:v>
      </x:c>
      <x:c r="L1053" s="72" t="n">
        <x:v>-95.5207019</x:v>
      </x:c>
      <x:c r="M1053" s="72" t="n">
        <x:v>1.031</x:v>
      </x:c>
      <x:c r="N1053" s="72" t="n">
        <x:v>0.046594762329428135</x:v>
      </x:c>
      <x:c r="O1053" s="72" t="n">
        <x:v>25.656700972322422</x:v>
      </x:c>
      <x:c r="P1053" s="72" t="n">
        <x:v>2</x:v>
      </x:c>
      <x:c r="Q1053" s="72" t="n">
        <x:v>390.0367364449072</x:v>
      </x:c>
      <x:c r="R1053" s="36" t="str">
        <x:v>tract internal point; no person, address, building, parcel, or route condition</x:v>
      </x:c>
    </x:row>
    <x:row r="1054" ht="86.4000015258789" hidden="0" customHeight="1">
      <x:c r="A1054" s="34" t="str">
        <x:v>48201553804</x:v>
      </x:c>
      <x:c r="B1054" s="62" t="n">
        <x:v>5826</x:v>
      </x:c>
      <x:c r="C1054" s="62" t="n">
        <x:v>645</x:v>
      </x:c>
      <x:c r="D1054" s="62" t="n">
        <x:v>286.5</x:v>
      </x:c>
      <x:c r="E1054" s="43" t="n">
        <x:v>0.11071060762100927</x:v>
      </x:c>
      <x:c r="F1054" s="43" t="n">
        <x:v>0.04917610710607621</x:v>
      </x:c>
      <x:c r="G1054" s="65" t="n">
        <x:v>2116</x:v>
      </x:c>
      <x:c r="H1054" s="65" t="n">
        <x:v>471</x:v>
      </x:c>
      <x:c r="I1054" s="65" t="n">
        <x:v>0.22258979206049148</x:v>
      </x:c>
      <x:c r="J1054" s="34" t="str">
        <x:v>low</x:v>
      </x:c>
      <x:c r="K1054" s="71" t="n">
        <x:v>30.0387788</x:v>
      </x:c>
      <x:c r="L1054" s="71" t="n">
        <x:v>-95.532343</x:v>
      </x:c>
      <x:c r="M1054" s="71" t="n">
        <x:v>1.054</x:v>
      </x:c>
      <x:c r="N1054" s="71" t="n">
        <x:v>0.1574140974629914</x:v>
      </x:c>
      <x:c r="O1054" s="71" t="n">
        <x:v>22.245025804119674</x:v>
      </x:c>
      <x:c r="P1054" s="71" t="n">
        <x:v>2</x:v>
      </x:c>
      <x:c r="Q1054" s="71" t="n">
        <x:v>470.28640592201054</x:v>
      </x:c>
      <x:c r="R1054" s="34" t="str">
        <x:v>tract internal point; no person, address, building, parcel, or route condition</x:v>
      </x:c>
    </x:row>
    <x:row r="1055" ht="86.4000015258789" hidden="0" customHeight="1">
      <x:c r="A1055" s="36" t="str">
        <x:v>48201553901</x:v>
      </x:c>
      <x:c r="B1055" s="63" t="n">
        <x:v>6293</x:v>
      </x:c>
      <x:c r="C1055" s="63" t="n">
        <x:v>423</x:v>
      </x:c>
      <x:c r="D1055" s="63" t="n">
        <x:v>135.5</x:v>
      </x:c>
      <x:c r="E1055" s="45" t="n">
        <x:v>0.06721754330208168</x:v>
      </x:c>
      <x:c r="F1055" s="45" t="n">
        <x:v>0.021531860797711744</x:v>
      </x:c>
      <x:c r="G1055" s="66" t="n">
        <x:v>1970</x:v>
      </x:c>
      <x:c r="H1055" s="66" t="n">
        <x:v>4</x:v>
      </x:c>
      <x:c r="I1055" s="66" t="n">
        <x:v>0.0020304568527918783</x:v>
      </x:c>
      <x:c r="J1055" s="36" t="str">
        <x:v>moderate</x:v>
      </x:c>
      <x:c r="K1055" s="72" t="n">
        <x:v>30.0319375</x:v>
      </x:c>
      <x:c r="L1055" s="72" t="n">
        <x:v>-95.5416941</x:v>
      </x:c>
      <x:c r="M1055" s="72" t="n">
        <x:v>1.497</x:v>
      </x:c>
      <x:c r="N1055" s="72" t="n">
        <x:v>0.09582122384111749</x:v>
      </x:c>
      <x:c r="O1055" s="72" t="n">
        <x:v>24.357636434859323</x:v>
      </x:c>
      <x:c r="P1055" s="72" t="n">
        <x:v>2</x:v>
      </x:c>
      <x:c r="Q1055" s="72" t="n">
        <x:v>888.7093246249171</x:v>
      </x:c>
      <x:c r="R1055" s="36" t="str">
        <x:v>tract internal point; no person, address, building, parcel, or route condition</x:v>
      </x:c>
    </x:row>
    <x:row r="1056" ht="86.4000015258789" hidden="0" customHeight="1">
      <x:c r="A1056" s="34" t="str">
        <x:v>48201554001</x:v>
      </x:c>
      <x:c r="B1056" s="62" t="n">
        <x:v>3566</x:v>
      </x:c>
      <x:c r="C1056" s="62" t="n">
        <x:v>326</x:v>
      </x:c>
      <x:c r="D1056" s="62" t="n">
        <x:v>191</x:v>
      </x:c>
      <x:c r="E1056" s="43" t="n">
        <x:v>0.09141895681435783</x:v>
      </x:c>
      <x:c r="F1056" s="43" t="n">
        <x:v>0.0535614133482894</x:v>
      </x:c>
      <x:c r="G1056" s="65" t="n">
        <x:v>1442</x:v>
      </x:c>
      <x:c r="H1056" s="65" t="n">
        <x:v>524</x:v>
      </x:c>
      <x:c r="I1056" s="65" t="n">
        <x:v>0.3633841886269071</x:v>
      </x:c>
      <x:c r="J1056" s="34" t="str">
        <x:v>low</x:v>
      </x:c>
      <x:c r="K1056" s="71" t="n">
        <x:v>30.0103797</x:v>
      </x:c>
      <x:c r="L1056" s="71" t="n">
        <x:v>-95.5250906</x:v>
      </x:c>
      <x:c r="M1056" s="71" t="n">
        <x:v>1.292</x:v>
      </x:c>
      <x:c r="N1056" s="71" t="n">
        <x:v>0.04511449552715407</x:v>
      </x:c>
      <x:c r="O1056" s="71" t="n">
        <x:v>27.372706847663768</x:v>
      </x:c>
      <x:c r="P1056" s="71" t="n">
        <x:v>2</x:v>
      </x:c>
      <x:c r="Q1056" s="71" t="n">
        <x:v>286.8962034104793</x:v>
      </x:c>
      <x:c r="R1056" s="34" t="str">
        <x:v>tract internal point; no person, address, building, parcel, or route condition</x:v>
      </x:c>
    </x:row>
    <x:row r="1057" ht="86.4000015258789" hidden="0" customHeight="1">
      <x:c r="A1057" s="36" t="str">
        <x:v>48201554002</x:v>
      </x:c>
      <x:c r="B1057" s="63" t="n">
        <x:v>4623</x:v>
      </x:c>
      <x:c r="C1057" s="63" t="n">
        <x:v>327</x:v>
      </x:c>
      <x:c r="D1057" s="63" t="n">
        <x:v>110.5</x:v>
      </x:c>
      <x:c r="E1057" s="45" t="n">
        <x:v>0.07073329007138222</x:v>
      </x:c>
      <x:c r="F1057" s="45" t="n">
        <x:v>0.02390222799048237</x:v>
      </x:c>
      <x:c r="G1057" s="66" t="n">
        <x:v>1573</x:v>
      </x:c>
      <x:c r="H1057" s="66" t="n">
        <x:v>0</x:v>
      </x:c>
      <x:c r="I1057" s="66" t="n">
        <x:v>0</x:v>
      </x:c>
      <x:c r="J1057" s="36" t="str">
        <x:v>low</x:v>
      </x:c>
      <x:c r="K1057" s="72" t="n">
        <x:v>30.0017798</x:v>
      </x:c>
      <x:c r="L1057" s="72" t="n">
        <x:v>-95.5417573</x:v>
      </x:c>
      <x:c r="M1057" s="72" t="n">
        <x:v>1.649</x:v>
      </x:c>
      <x:c r="N1057" s="72" t="n">
        <x:v>0.046198702363507475</x:v>
      </x:c>
      <x:c r="O1057" s="72" t="n">
        <x:v>29.826059735787354</x:v>
      </x:c>
      <x:c r="P1057" s="72" t="n">
        <x:v>2</x:v>
      </x:c>
      <x:c r="Q1057" s="72" t="n">
        <x:v>369.35439912264115</x:v>
      </x:c>
      <x:c r="R1057" s="36" t="str">
        <x:v>tract internal point; no person, address, building, parcel, or route condition</x:v>
      </x:c>
    </x:row>
    <x:row r="1058" ht="86.4000015258789" hidden="0" customHeight="1">
      <x:c r="A1058" s="34" t="str">
        <x:v>48201554103</x:v>
      </x:c>
      <x:c r="B1058" s="62" t="n">
        <x:v>5154</x:v>
      </x:c>
      <x:c r="C1058" s="62" t="n">
        <x:v>363</x:v>
      </x:c>
      <x:c r="D1058" s="62" t="n">
        <x:v>77</x:v>
      </x:c>
      <x:c r="E1058" s="43" t="n">
        <x:v>0.07043073341094296</x:v>
      </x:c>
      <x:c r="F1058" s="43" t="n">
        <x:v>0.014939852541715173</x:v>
      </x:c>
      <x:c r="G1058" s="65" t="n">
        <x:v>1847</x:v>
      </x:c>
      <x:c r="H1058" s="65" t="n">
        <x:v>0</x:v>
      </x:c>
      <x:c r="I1058" s="65" t="n">
        <x:v>0</x:v>
      </x:c>
      <x:c r="J1058" s="34" t="str">
        <x:v>low</x:v>
      </x:c>
      <x:c r="K1058" s="71" t="n">
        <x:v>30.0103359</x:v>
      </x:c>
      <x:c r="L1058" s="71" t="n">
        <x:v>-95.5551434</x:v>
      </x:c>
      <x:c r="M1058" s="71" t="n">
        <x:v>1.041</x:v>
      </x:c>
      <x:c r="N1058" s="71" t="n">
        <x:v>0.029513149220894996</x:v>
      </x:c>
      <x:c r="O1058" s="71" t="n">
        <x:v>27.729926194894087</x:v>
      </x:c>
      <x:c r="P1058" s="71" t="n">
        <x:v>2</x:v>
      </x:c>
      <x:c r="Q1058" s="71" t="n">
        <x:v>411.3910630664526</x:v>
      </x:c>
      <x:c r="R1058" s="34" t="str">
        <x:v>tract internal point; no person, address, building, parcel, or route condition</x:v>
      </x:c>
    </x:row>
    <x:row r="1059" ht="86.4000015258789" hidden="0" customHeight="1">
      <x:c r="A1059" s="36" t="str">
        <x:v>48201554104</x:v>
      </x:c>
      <x:c r="B1059" s="63" t="n">
        <x:v>4064</x:v>
      </x:c>
      <x:c r="C1059" s="63" t="n">
        <x:v>385</x:v>
      </x:c>
      <x:c r="D1059" s="63" t="n">
        <x:v>16</x:v>
      </x:c>
      <x:c r="E1059" s="45" t="n">
        <x:v>0.09473425196850394</x:v>
      </x:c>
      <x:c r="F1059" s="45" t="n">
        <x:v>0.003937007874015748</x:v>
      </x:c>
      <x:c r="G1059" s="66" t="n">
        <x:v>1370</x:v>
      </x:c>
      <x:c r="H1059" s="66" t="n">
        <x:v>0</x:v>
      </x:c>
      <x:c r="I1059" s="66" t="n">
        <x:v>0</x:v>
      </x:c>
      <x:c r="J1059" s="36" t="str">
        <x:v>low</x:v>
      </x:c>
      <x:c r="K1059" s="72" t="n">
        <x:v>30.0216841</x:v>
      </x:c>
      <x:c r="L1059" s="72" t="n">
        <x:v>-95.5602832</x:v>
      </x:c>
      <x:c r="M1059" s="72" t="n">
        <x:v>0.698</x:v>
      </x:c>
      <x:c r="N1059" s="72" t="n">
        <x:v>0.003263018838227245</x:v>
      </x:c>
      <x:c r="O1059" s="72" t="n">
        <x:v>24.080143008702404</x:v>
      </x:c>
      <x:c r="P1059" s="72" t="n">
        <x:v>2</x:v>
      </x:c>
      <x:c r="Q1059" s="72" t="n">
        <x:v>325.58863990583006</x:v>
      </x:c>
      <x:c r="R1059" s="36" t="str">
        <x:v>tract internal point; no person, address, building, parcel, or route condition</x:v>
      </x:c>
    </x:row>
    <x:row r="1060" ht="86.4000015258789" hidden="0" customHeight="1">
      <x:c r="A1060" s="34" t="str">
        <x:v>48201554201</x:v>
      </x:c>
      <x:c r="B1060" s="62" t="n">
        <x:v>6498</x:v>
      </x:c>
      <x:c r="C1060" s="62" t="n">
        <x:v>610</x:v>
      </x:c>
      <x:c r="D1060" s="62" t="n">
        <x:v>334</x:v>
      </x:c>
      <x:c r="E1060" s="43" t="n">
        <x:v>0.09387503847337643</x:v>
      </x:c>
      <x:c r="F1060" s="43" t="n">
        <x:v>0.051400430901815945</x:v>
      </x:c>
      <x:c r="G1060" s="65" t="n">
        <x:v>2877</x:v>
      </x:c>
      <x:c r="H1060" s="65" t="n">
        <x:v>888</x:v>
      </x:c>
      <x:c r="I1060" s="65" t="n">
        <x:v>0.3086548488008342</x:v>
      </x:c>
      <x:c r="J1060" s="34" t="str">
        <x:v>low</x:v>
      </x:c>
      <x:c r="K1060" s="71" t="n">
        <x:v>30.0021659</x:v>
      </x:c>
      <x:c r="L1060" s="71" t="n">
        <x:v>-95.5646443</x:v>
      </x:c>
      <x:c r="M1060" s="71" t="n">
        <x:v>1.097</x:v>
      </x:c>
      <x:c r="N1060" s="71" t="n">
        <x:v>0.03842866070207761</x:v>
      </x:c>
      <x:c r="O1060" s="71" t="n">
        <x:v>26.085301474923764</x:v>
      </x:c>
      <x:c r="P1060" s="71" t="n">
        <x:v>2</x:v>
      </x:c>
      <x:c r="Q1060" s="71" t="n">
        <x:v>522.9255676988969</x:v>
      </x:c>
      <x:c r="R1060" s="34" t="str">
        <x:v>tract internal point; no person, address, building, parcel, or route condition</x:v>
      </x:c>
    </x:row>
    <x:row r="1061" ht="86.4000015258789" hidden="0" customHeight="1">
      <x:c r="A1061" s="36" t="str">
        <x:v>48201554202</x:v>
      </x:c>
      <x:c r="B1061" s="63" t="n">
        <x:v>3163</x:v>
      </x:c>
      <x:c r="C1061" s="63" t="n">
        <x:v>465</x:v>
      </x:c>
      <x:c r="D1061" s="63" t="n">
        <x:v>136</x:v>
      </x:c>
      <x:c r="E1061" s="45" t="n">
        <x:v>0.14701233006639267</x:v>
      </x:c>
      <x:c r="F1061" s="45" t="n">
        <x:v>0.04299715460006323</x:v>
      </x:c>
      <x:c r="G1061" s="66" t="n">
        <x:v>1406</x:v>
      </x:c>
      <x:c r="H1061" s="66" t="n">
        <x:v>546</x:v>
      </x:c>
      <x:c r="I1061" s="66" t="n">
        <x:v>0.3883357041251778</x:v>
      </x:c>
      <x:c r="J1061" s="36" t="str">
        <x:v>low</x:v>
      </x:c>
      <x:c r="K1061" s="72" t="n">
        <x:v>30.0061995</x:v>
      </x:c>
      <x:c r="L1061" s="72" t="n">
        <x:v>-95.5751032</x:v>
      </x:c>
      <x:c r="M1061" s="72" t="n">
        <x:v>1.608</x:v>
      </x:c>
      <x:c r="N1061" s="72" t="n">
        <x:v>0.018468188448562607</x:v>
      </x:c>
      <x:c r="O1061" s="72" t="n">
        <x:v>24.634230856875217</x:v>
      </x:c>
      <x:c r="P1061" s="72" t="n">
        <x:v>2</x:v>
      </x:c>
      <x:c r="Q1061" s="72" t="n">
        <x:v>256.9749956636176</x:v>
      </x:c>
      <x:c r="R1061" s="36" t="str">
        <x:v>tract internal point; no person, address, building, parcel, or route condition</x:v>
      </x:c>
    </x:row>
    <x:row r="1062" ht="86.4000015258789" hidden="0" customHeight="1">
      <x:c r="A1062" s="34" t="str">
        <x:v>48201554301</x:v>
      </x:c>
      <x:c r="B1062" s="62" t="n">
        <x:v>7922</x:v>
      </x:c>
      <x:c r="C1062" s="62" t="n">
        <x:v>980</x:v>
      </x:c>
      <x:c r="D1062" s="62" t="n">
        <x:v>0</x:v>
      </x:c>
      <x:c r="E1062" s="43" t="n">
        <x:v>0.1237061348144408</x:v>
      </x:c>
      <x:c r="F1062" s="43" t="n">
        <x:v>0</x:v>
      </x:c>
      <x:c r="G1062" s="65" t="n">
        <x:v>2971</x:v>
      </x:c>
      <x:c r="H1062" s="65" t="n">
        <x:v>241</x:v>
      </x:c>
      <x:c r="I1062" s="65" t="n">
        <x:v>0.08111746886570179</x:v>
      </x:c>
      <x:c r="J1062" s="34" t="str">
        <x:v>low</x:v>
      </x:c>
      <x:c r="K1062" s="71" t="n">
        <x:v>29.9890785</x:v>
      </x:c>
      <x:c r="L1062" s="71" t="n">
        <x:v>-95.5943404</x:v>
      </x:c>
      <x:c r="M1062" s="71" t="n">
        <x:v>2.118</x:v>
      </x:c>
      <x:c r="N1062" s="71" t="n">
        <x:v>0.012662065357527843</x:v>
      </x:c>
      <x:c r="O1062" s="71" t="n">
        <x:v>22.32408772839768</x:v>
      </x:c>
      <x:c r="P1062" s="71" t="n">
        <x:v>5</x:v>
      </x:c>
      <x:c r="Q1062" s="71" t="n">
        <x:v>638.0361557368631</x:v>
      </x:c>
      <x:c r="R1062" s="34" t="str">
        <x:v>tract internal point; no person, address, building, parcel, or route condition</x:v>
      </x:c>
    </x:row>
    <x:row r="1063" ht="86.4000015258789" hidden="0" customHeight="1">
      <x:c r="A1063" s="36" t="str">
        <x:v>48201554302</x:v>
      </x:c>
      <x:c r="B1063" s="63" t="n">
        <x:v>4855</x:v>
      </x:c>
      <x:c r="C1063" s="63" t="n">
        <x:v>491</x:v>
      </x:c>
      <x:c r="D1063" s="63" t="n">
        <x:v>112.5</x:v>
      </x:c>
      <x:c r="E1063" s="45" t="n">
        <x:v>0.10113285272914521</x:v>
      </x:c>
      <x:c r="F1063" s="45" t="n">
        <x:v>0.023171987641606592</x:v>
      </x:c>
      <x:c r="G1063" s="66" t="n">
        <x:v>1650</x:v>
      </x:c>
      <x:c r="H1063" s="66" t="n">
        <x:v>82</x:v>
      </x:c>
      <x:c r="I1063" s="66" t="n">
        <x:v>0.0496969696969697</x:v>
      </x:c>
      <x:c r="J1063" s="36" t="str">
        <x:v>moderate</x:v>
      </x:c>
      <x:c r="K1063" s="72" t="n">
        <x:v>29.974321</x:v>
      </x:c>
      <x:c r="L1063" s="72" t="n">
        <x:v>-95.6143116</x:v>
      </x:c>
      <x:c r="M1063" s="72" t="n">
        <x:v>2.284</x:v>
      </x:c>
      <x:c r="N1063" s="72" t="n">
        <x:v>0.08865359732769676</x:v>
      </x:c>
      <x:c r="O1063" s="72" t="n">
        <x:v>23.07427012772485</x:v>
      </x:c>
      <x:c r="P1063" s="72" t="n">
        <x:v>5</x:v>
      </x:c>
      <x:c r="Q1063" s="72" t="n">
        <x:v>690.3222435139481</x:v>
      </x:c>
      <x:c r="R1063" s="36" t="str">
        <x:v>tract internal point; no person, address, building, parcel, or route condition</x:v>
      </x:c>
    </x:row>
    <x:row r="1064" ht="86.4000015258789" hidden="0" customHeight="1">
      <x:c r="A1064" s="34" t="str">
        <x:v>48201554404</x:v>
      </x:c>
      <x:c r="B1064" s="62" t="n">
        <x:v>4766</x:v>
      </x:c>
      <x:c r="C1064" s="62" t="n">
        <x:v>428</x:v>
      </x:c>
      <x:c r="D1064" s="62" t="n">
        <x:v>45</x:v>
      </x:c>
      <x:c r="E1064" s="43" t="n">
        <x:v>0.08980276961812841</x:v>
      </x:c>
      <x:c r="F1064" s="43" t="n">
        <x:v>0.009441879983214435</x:v>
      </x:c>
      <x:c r="G1064" s="65" t="n">
        <x:v>1780</x:v>
      </x:c>
      <x:c r="H1064" s="65" t="n">
        <x:v>0</x:v>
      </x:c>
      <x:c r="I1064" s="65" t="n">
        <x:v>0</x:v>
      </x:c>
      <x:c r="J1064" s="34" t="str">
        <x:v>low</x:v>
      </x:c>
      <x:c r="K1064" s="71" t="n">
        <x:v>29.977581</x:v>
      </x:c>
      <x:c r="L1064" s="71" t="n">
        <x:v>-95.640576</x:v>
      </x:c>
      <x:c r="M1064" s="71" t="n">
        <x:v>2.301</x:v>
      </x:c>
      <x:c r="N1064" s="71" t="n">
        <x:v>0.07043051708268634</x:v>
      </x:c>
      <x:c r="O1064" s="71" t="n">
        <x:v>15.193924443249323</x:v>
      </x:c>
      <x:c r="P1064" s="71" t="n">
        <x:v>5</x:v>
      </x:c>
      <x:c r="Q1064" s="71" t="n">
        <x:v>381.6663434187953</x:v>
      </x:c>
      <x:c r="R1064" s="34" t="str">
        <x:v>tract internal point; no person, address, building, parcel, or route condition</x:v>
      </x:c>
    </x:row>
    <x:row r="1065" ht="86.4000015258789" hidden="0" customHeight="1">
      <x:c r="A1065" s="36" t="str">
        <x:v>48201554405</x:v>
      </x:c>
      <x:c r="B1065" s="63" t="n">
        <x:v>8825</x:v>
      </x:c>
      <x:c r="C1065" s="63" t="n">
        <x:v>1217</x:v>
      </x:c>
      <x:c r="D1065" s="63" t="n">
        <x:v>48</x:v>
      </x:c>
      <x:c r="E1065" s="45" t="n">
        <x:v>0.13790368271954676</x:v>
      </x:c>
      <x:c r="F1065" s="45" t="n">
        <x:v>0.005439093484419263</x:v>
      </x:c>
      <x:c r="G1065" s="66" t="n">
        <x:v>2756</x:v>
      </x:c>
      <x:c r="H1065" s="66" t="n">
        <x:v>35</x:v>
      </x:c>
      <x:c r="I1065" s="66" t="n">
        <x:v>0.01269956458635704</x:v>
      </x:c>
      <x:c r="J1065" s="36" t="str">
        <x:v>low</x:v>
      </x:c>
      <x:c r="K1065" s="72" t="n">
        <x:v>29.9862557</x:v>
      </x:c>
      <x:c r="L1065" s="72" t="n">
        <x:v>-95.7131058</x:v>
      </x:c>
      <x:c r="M1065" s="72" t="n">
        <x:v>1.548</x:v>
      </x:c>
      <x:c r="N1065" s="72" t="n">
        <x:v>0.05361647457366981</x:v>
      </x:c>
      <x:c r="O1065" s="72" t="n">
        <x:v>7.969129632173977</x:v>
      </x:c>
      <x:c r="P1065" s="72" t="n">
        <x:v>5</x:v>
      </x:c>
      <x:c r="Q1065" s="72" t="n">
        <x:v>713.1103286809196</x:v>
      </x:c>
      <x:c r="R1065" s="36" t="str">
        <x:v>tract internal point; no person, address, building, parcel, or route condition</x:v>
      </x:c>
    </x:row>
    <x:row r="1066" ht="86.4000015258789" hidden="0" customHeight="1">
      <x:c r="A1066" s="34" t="str">
        <x:v>48201554406</x:v>
      </x:c>
      <x:c r="B1066" s="62" t="n">
        <x:v>5054</x:v>
      </x:c>
      <x:c r="C1066" s="62" t="n">
        <x:v>275</x:v>
      </x:c>
      <x:c r="D1066" s="62" t="n">
        <x:v>0</x:v>
      </x:c>
      <x:c r="E1066" s="43" t="n">
        <x:v>0.05441234665611397</x:v>
      </x:c>
      <x:c r="F1066" s="43" t="n">
        <x:v>0</x:v>
      </x:c>
      <x:c r="G1066" s="65" t="n">
        <x:v>1644</x:v>
      </x:c>
      <x:c r="H1066" s="65" t="n">
        <x:v>0</x:v>
      </x:c>
      <x:c r="I1066" s="65" t="n">
        <x:v>0</x:v>
      </x:c>
      <x:c r="J1066" s="34" t="str">
        <x:v>moderate</x:v>
      </x:c>
      <x:c r="K1066" s="71" t="n">
        <x:v>30.0135715</x:v>
      </x:c>
      <x:c r="L1066" s="71" t="n">
        <x:v>-95.714333</x:v>
      </x:c>
      <x:c r="M1066" s="71" t="n">
        <x:v>2.614</x:v>
      </x:c>
      <x:c r="N1066" s="71" t="n">
        <x:v>0.10088420927106313</x:v>
      </x:c>
      <x:c r="O1066" s="71" t="n">
        <x:v>13.334427006036618</x:v>
      </x:c>
      <x:c r="P1066" s="71" t="n">
        <x:v>5</x:v>
      </x:c>
      <x:c r="Q1066" s="71" t="n">
        <x:v>710.422371483802</x:v>
      </x:c>
      <x:c r="R1066" s="34" t="str">
        <x:v>tract internal point; no person, address, building, parcel, or route condition</x:v>
      </x:c>
    </x:row>
    <x:row r="1067" ht="86.4000015258789" hidden="0" customHeight="1">
      <x:c r="A1067" s="36" t="str">
        <x:v>48201554407</x:v>
      </x:c>
      <x:c r="B1067" s="63" t="n">
        <x:v>6308</x:v>
      </x:c>
      <x:c r="C1067" s="63" t="n">
        <x:v>657</x:v>
      </x:c>
      <x:c r="D1067" s="63" t="n">
        <x:v>0</x:v>
      </x:c>
      <x:c r="E1067" s="45" t="n">
        <x:v>0.10415345592897908</x:v>
      </x:c>
      <x:c r="F1067" s="45" t="n">
        <x:v>0</x:v>
      </x:c>
      <x:c r="G1067" s="66" t="n">
        <x:v>2126</x:v>
      </x:c>
      <x:c r="H1067" s="66" t="n">
        <x:v>33</x:v>
      </x:c>
      <x:c r="I1067" s="66" t="n">
        <x:v>0.015522107243650047</x:v>
      </x:c>
      <x:c r="J1067" s="36" t="str">
        <x:v>low</x:v>
      </x:c>
      <x:c r="K1067" s="72" t="n">
        <x:v>29.9887021</x:v>
      </x:c>
      <x:c r="L1067" s="72" t="n">
        <x:v>-95.6857695</x:v>
      </x:c>
      <x:c r="M1067" s="72" t="n">
        <x:v>2.492</x:v>
      </x:c>
      <x:c r="N1067" s="72" t="n">
        <x:v>0.13103710653108425</x:v>
      </x:c>
      <x:c r="O1067" s="72" t="n">
        <x:v>12.236684168406931</x:v>
      </x:c>
      <x:c r="P1067" s="72" t="n">
        <x:v>5</x:v>
      </x:c>
      <x:c r="Q1067" s="72" t="n">
        <x:v>506.1061864069913</x:v>
      </x:c>
      <x:c r="R1067" s="36" t="str">
        <x:v>tract internal point; no person, address, building, parcel, or route condition</x:v>
      </x:c>
    </x:row>
    <x:row r="1068" ht="86.4000015258789" hidden="0" customHeight="1">
      <x:c r="A1068" s="34" t="str">
        <x:v>48201554408</x:v>
      </x:c>
      <x:c r="B1068" s="62" t="n">
        <x:v>9142</x:v>
      </x:c>
      <x:c r="C1068" s="62" t="n">
        <x:v>781</x:v>
      </x:c>
      <x:c r="D1068" s="62" t="n">
        <x:v>21</x:v>
      </x:c>
      <x:c r="E1068" s="43" t="n">
        <x:v>0.08542988405162984</x:v>
      </x:c>
      <x:c r="F1068" s="43" t="n">
        <x:v>0.002297090352220521</x:v>
      </x:c>
      <x:c r="G1068" s="65" t="n">
        <x:v>3041</x:v>
      </x:c>
      <x:c r="H1068" s="65" t="n">
        <x:v>171</x:v>
      </x:c>
      <x:c r="I1068" s="65" t="n">
        <x:v>0.05623150279513318</x:v>
      </x:c>
      <x:c r="J1068" s="34" t="str">
        <x:v>high</x:v>
      </x:c>
      <x:c r="K1068" s="71" t="n">
        <x:v>30.003513</x:v>
      </x:c>
      <x:c r="L1068" s="71" t="n">
        <x:v>-95.6730825</x:v>
      </x:c>
      <x:c r="M1068" s="71" t="n">
        <x:v>2.993</x:v>
      </x:c>
      <x:c r="N1068" s="71" t="n">
        <x:v>0.035241740028374886</x:v>
      </x:c>
      <x:c r="O1068" s="71" t="n">
        <x:v>13.721742246259325</x:v>
      </x:c>
      <x:c r="P1068" s="71" t="n">
        <x:v>5</x:v>
      </x:c>
      <x:c r="Q1068" s="71" t="n">
        <x:v>1574.3738933195682</x:v>
      </x:c>
      <x:c r="R1068" s="34" t="str">
        <x:v>tract internal point; no person, address, building, parcel, or route condition</x:v>
      </x:c>
    </x:row>
    <x:row r="1069" ht="86.4000015258789" hidden="0" customHeight="1">
      <x:c r="A1069" s="36" t="str">
        <x:v>48201554409</x:v>
      </x:c>
      <x:c r="B1069" s="63" t="n">
        <x:v>7224</x:v>
      </x:c>
      <x:c r="C1069" s="63" t="n">
        <x:v>329</x:v>
      </x:c>
      <x:c r="D1069" s="63" t="n">
        <x:v>0</x:v>
      </x:c>
      <x:c r="E1069" s="45" t="n">
        <x:v>0.045542635658914726</x:v>
      </x:c>
      <x:c r="F1069" s="45" t="n">
        <x:v>0</x:v>
      </x:c>
      <x:c r="G1069" s="66" t="n">
        <x:v>2571</x:v>
      </x:c>
      <x:c r="H1069" s="66" t="n">
        <x:v>302</x:v>
      </x:c>
      <x:c r="I1069" s="66" t="n">
        <x:v>0.11746402178140801</x:v>
      </x:c>
      <x:c r="J1069" s="36" t="str">
        <x:v>low</x:v>
      </x:c>
      <x:c r="K1069" s="72" t="n">
        <x:v>29.9713163</x:v>
      </x:c>
      <x:c r="L1069" s="72" t="n">
        <x:v>-95.6695965</x:v>
      </x:c>
      <x:c r="M1069" s="72" t="n">
        <x:v>2.054</x:v>
      </x:c>
      <x:c r="N1069" s="72" t="n">
        <x:v>0.022163736031048632</x:v>
      </x:c>
      <x:c r="O1069" s="72" t="n">
        <x:v>9.660535621603563</x:v>
      </x:c>
      <x:c r="P1069" s="72" t="n">
        <x:v>5</x:v>
      </x:c>
      <x:c r="Q1069" s="72" t="n">
        <x:v>572.9435782323953</x:v>
      </x:c>
      <x:c r="R1069" s="36" t="str">
        <x:v>tract internal point; no person, address, building, parcel, or route condition</x:v>
      </x:c>
    </x:row>
    <x:row r="1070" ht="86.4000015258789" hidden="0" customHeight="1">
      <x:c r="A1070" s="34" t="str">
        <x:v>48201554410</x:v>
      </x:c>
      <x:c r="B1070" s="62" t="n">
        <x:v>4586</x:v>
      </x:c>
      <x:c r="C1070" s="62" t="n">
        <x:v>232</x:v>
      </x:c>
      <x:c r="D1070" s="62" t="n">
        <x:v>58</x:v>
      </x:c>
      <x:c r="E1070" s="43" t="n">
        <x:v>0.05058874836458788</x:v>
      </x:c>
      <x:c r="F1070" s="43" t="n">
        <x:v>0.01264718709114697</x:v>
      </x:c>
      <x:c r="G1070" s="65" t="n">
        <x:v>1658</x:v>
      </x:c>
      <x:c r="H1070" s="65" t="n">
        <x:v>160</x:v>
      </x:c>
      <x:c r="I1070" s="65" t="n">
        <x:v>0.09650180940892641</x:v>
      </x:c>
      <x:c r="J1070" s="34" t="str">
        <x:v>low</x:v>
      </x:c>
      <x:c r="K1070" s="71" t="n">
        <x:v>29.9597961</x:v>
      </x:c>
      <x:c r="L1070" s="71" t="n">
        <x:v>-95.653965</x:v>
      </x:c>
      <x:c r="M1070" s="71" t="n">
        <x:v>1.365</x:v>
      </x:c>
      <x:c r="N1070" s="71" t="n">
        <x:v>0.09919000092354595</x:v>
      </x:c>
      <x:c r="O1070" s="71" t="n">
        <x:v>13.273656317150115</x:v>
      </x:c>
      <x:c r="P1070" s="71" t="n">
        <x:v>5</x:v>
      </x:c>
      <x:c r="Q1070" s="71" t="n">
        <x:v>364.54044069213086</x:v>
      </x:c>
      <x:c r="R1070" s="34" t="str">
        <x:v>tract internal point; no person, address, building, parcel, or route condition</x:v>
      </x:c>
    </x:row>
    <x:row r="1071" ht="86.4000015258789" hidden="0" customHeight="1">
      <x:c r="A1071" s="36" t="str">
        <x:v>48201554501</x:v>
      </x:c>
      <x:c r="B1071" s="63" t="n">
        <x:v>6535</x:v>
      </x:c>
      <x:c r="C1071" s="63" t="n">
        <x:v>446</x:v>
      </x:c>
      <x:c r="D1071" s="63" t="n">
        <x:v>30</x:v>
      </x:c>
      <x:c r="E1071" s="45" t="n">
        <x:v>0.06824789594491201</x:v>
      </x:c>
      <x:c r="F1071" s="45" t="n">
        <x:v>0.0045906656465187455</x:v>
      </x:c>
      <x:c r="G1071" s="66" t="n">
        <x:v>2305</x:v>
      </x:c>
      <x:c r="H1071" s="66" t="n">
        <x:v>0</x:v>
      </x:c>
      <x:c r="I1071" s="66" t="n">
        <x:v>0</x:v>
      </x:c>
      <x:c r="J1071" s="36" t="str">
        <x:v>moderate</x:v>
      </x:c>
      <x:c r="K1071" s="72" t="n">
        <x:v>30.0099953</x:v>
      </x:c>
      <x:c r="L1071" s="72" t="n">
        <x:v>-95.6608637</x:v>
      </x:c>
      <x:c r="M1071" s="72" t="n">
        <x:v>4.75</x:v>
      </x:c>
      <x:c r="N1071" s="72" t="n">
        <x:v>0.30491367459326957</x:v>
      </x:c>
      <x:c r="O1071" s="72" t="n">
        <x:v>16.750511278965103</x:v>
      </x:c>
      <x:c r="P1071" s="72" t="n">
        <x:v>5</x:v>
      </x:c>
      <x:c r="Q1071" s="72" t="n">
        <x:v>921.5328127417208</x:v>
      </x:c>
      <x:c r="R1071" s="36" t="str">
        <x:v>tract internal point; no person, address, building, parcel, or route condition</x:v>
      </x:c>
    </x:row>
    <x:row r="1072" ht="86.4000015258789" hidden="0" customHeight="1">
      <x:c r="A1072" s="34" t="str">
        <x:v>48201554502</x:v>
      </x:c>
      <x:c r="B1072" s="62" t="n">
        <x:v>6006</x:v>
      </x:c>
      <x:c r="C1072" s="62" t="n">
        <x:v>398</x:v>
      </x:c>
      <x:c r="D1072" s="62" t="n">
        <x:v>38</x:v>
      </x:c>
      <x:c r="E1072" s="43" t="n">
        <x:v>0.06626706626706627</x:v>
      </x:c>
      <x:c r="F1072" s="43" t="n">
        <x:v>0.006327006327006327</x:v>
      </x:c>
      <x:c r="G1072" s="65" t="n">
        <x:v>2216</x:v>
      </x:c>
      <x:c r="H1072" s="65" t="n">
        <x:v>0</x:v>
      </x:c>
      <x:c r="I1072" s="65" t="n">
        <x:v>0</x:v>
      </x:c>
      <x:c r="J1072" s="34" t="str">
        <x:v>moderate</x:v>
      </x:c>
      <x:c r="K1072" s="71" t="n">
        <x:v>29.9897522</x:v>
      </x:c>
      <x:c r="L1072" s="71" t="n">
        <x:v>-95.6389888</x:v>
      </x:c>
      <x:c r="M1072" s="71" t="n">
        <x:v>1.785</x:v>
      </x:c>
      <x:c r="N1072" s="71" t="n">
        <x:v>0.12067239308615632</x:v>
      </x:c>
      <x:c r="O1072" s="71" t="n">
        <x:v>16.338019141852538</x:v>
      </x:c>
      <x:c r="P1072" s="71" t="n">
        <x:v>5</x:v>
      </x:c>
      <x:c r="Q1072" s="71" t="n">
        <x:v>846.750046763254</x:v>
      </x:c>
      <x:c r="R1072" s="34" t="str">
        <x:v>tract internal point; no person, address, building, parcel, or route condition</x:v>
      </x:c>
    </x:row>
    <x:row r="1073" ht="86.4000015258789" hidden="0" customHeight="1">
      <x:c r="A1073" s="36" t="str">
        <x:v>48201554600</x:v>
      </x:c>
      <x:c r="B1073" s="63" t="n">
        <x:v>4626</x:v>
      </x:c>
      <x:c r="C1073" s="63" t="n">
        <x:v>597</x:v>
      </x:c>
      <x:c r="D1073" s="63" t="n">
        <x:v>7</x:v>
      </x:c>
      <x:c r="E1073" s="45" t="n">
        <x:v>0.12905317769131</x:v>
      </x:c>
      <x:c r="F1073" s="45" t="n">
        <x:v>0.0015131863380890619</x:v>
      </x:c>
      <x:c r="G1073" s="66" t="n">
        <x:v>1589</x:v>
      </x:c>
      <x:c r="H1073" s="66" t="n">
        <x:v>35</x:v>
      </x:c>
      <x:c r="I1073" s="66" t="n">
        <x:v>0.022026431718061675</x:v>
      </x:c>
      <x:c r="J1073" s="36" t="str">
        <x:v>low</x:v>
      </x:c>
      <x:c r="K1073" s="72" t="n">
        <x:v>30.003665</x:v>
      </x:c>
      <x:c r="L1073" s="72" t="n">
        <x:v>-95.618923</x:v>
      </x:c>
      <x:c r="M1073" s="72" t="n">
        <x:v>1.407</x:v>
      </x:c>
      <x:c r="N1073" s="72" t="n">
        <x:v>0.049323759582786515</x:v>
      </x:c>
      <x:c r="O1073" s="72" t="n">
        <x:v>20.18933924648353</x:v>
      </x:c>
      <x:c r="P1073" s="72" t="n">
        <x:v>5</x:v>
      </x:c>
      <x:c r="Q1073" s="72" t="n">
        <x:v>373.02086705379713</x:v>
      </x:c>
      <x:c r="R1073" s="36" t="str">
        <x:v>tract internal point; no person, address, building, parcel, or route condition</x:v>
      </x:c>
    </x:row>
    <x:row r="1074" ht="86.4000015258789" hidden="0" customHeight="1">
      <x:c r="A1074" s="34" t="str">
        <x:v>48201554701</x:v>
      </x:c>
      <x:c r="B1074" s="62" t="n">
        <x:v>3382</x:v>
      </x:c>
      <x:c r="C1074" s="62" t="n">
        <x:v>213</x:v>
      </x:c>
      <x:c r="D1074" s="62" t="n">
        <x:v>0</x:v>
      </x:c>
      <x:c r="E1074" s="43" t="n">
        <x:v>0.06298048492016559</x:v>
      </x:c>
      <x:c r="F1074" s="43" t="n">
        <x:v>0</x:v>
      </x:c>
      <x:c r="G1074" s="65" t="n">
        <x:v>1235</x:v>
      </x:c>
      <x:c r="H1074" s="65" t="n">
        <x:v>313</x:v>
      </x:c>
      <x:c r="I1074" s="65" t="n">
        <x:v>0.2534412955465587</x:v>
      </x:c>
      <x:c r="J1074" s="34" t="str">
        <x:v>low</x:v>
      </x:c>
      <x:c r="K1074" s="71" t="n">
        <x:v>30.0029583</x:v>
      </x:c>
      <x:c r="L1074" s="71" t="n">
        <x:v>-95.5883784</x:v>
      </x:c>
      <x:c r="M1074" s="71" t="n">
        <x:v>0.577</x:v>
      </x:c>
      <x:c r="N1074" s="71" t="n">
        <x:v>0.033502510518483034</x:v>
      </x:c>
      <x:c r="O1074" s="71" t="n">
        <x:v>23.331537847038465</x:v>
      </x:c>
      <x:c r="P1074" s="71" t="n">
        <x:v>5</x:v>
      </x:c>
      <x:c r="Q1074" s="71" t="n">
        <x:v>269.15725781429677</x:v>
      </x:c>
      <x:c r="R1074" s="34" t="str">
        <x:v>tract internal point; no person, address, building, parcel, or route condition</x:v>
      </x:c>
    </x:row>
    <x:row r="1075" ht="86.4000015258789" hidden="0" customHeight="1">
      <x:c r="A1075" s="36" t="str">
        <x:v>48201554702</x:v>
      </x:c>
      <x:c r="B1075" s="63" t="n">
        <x:v>4383</x:v>
      </x:c>
      <x:c r="C1075" s="63" t="n">
        <x:v>414</x:v>
      </x:c>
      <x:c r="D1075" s="63" t="n">
        <x:v>0</x:v>
      </x:c>
      <x:c r="E1075" s="45" t="n">
        <x:v>0.0944558521560575</x:v>
      </x:c>
      <x:c r="F1075" s="45" t="n">
        <x:v>0</x:v>
      </x:c>
      <x:c r="G1075" s="66" t="n">
        <x:v>1657</x:v>
      </x:c>
      <x:c r="H1075" s="66" t="n">
        <x:v>0</x:v>
      </x:c>
      <x:c r="I1075" s="66" t="n">
        <x:v>0</x:v>
      </x:c>
      <x:c r="J1075" s="36" t="str">
        <x:v>low</x:v>
      </x:c>
      <x:c r="K1075" s="72" t="n">
        <x:v>30.005473</x:v>
      </x:c>
      <x:c r="L1075" s="72" t="n">
        <x:v>-95.601681</x:v>
      </x:c>
      <x:c r="M1075" s="72" t="n">
        <x:v>1.2</x:v>
      </x:c>
      <x:c r="N1075" s="72" t="n">
        <x:v>0.016596892042862525</x:v>
      </x:c>
      <x:c r="O1075" s="72" t="n">
        <x:v>21.676709270928715</x:v>
      </x:c>
      <x:c r="P1075" s="72" t="n">
        <x:v>5</x:v>
      </x:c>
      <x:c r="Q1075" s="72" t="n">
        <x:v>350.9906213709883</x:v>
      </x:c>
      <x:c r="R1075" s="36" t="str">
        <x:v>tract internal point; no person, address, building, parcel, or route condition</x:v>
      </x:c>
    </x:row>
    <x:row r="1076" ht="86.4000015258789" hidden="0" customHeight="1">
      <x:c r="A1076" s="34" t="str">
        <x:v>48201554803</x:v>
      </x:c>
      <x:c r="B1076" s="62" t="n">
        <x:v>7977</x:v>
      </x:c>
      <x:c r="C1076" s="62" t="n">
        <x:v>996</x:v>
      </x:c>
      <x:c r="D1076" s="62" t="n">
        <x:v>0</x:v>
      </x:c>
      <x:c r="E1076" s="43" t="n">
        <x:v>0.12485896953742008</x:v>
      </x:c>
      <x:c r="F1076" s="43" t="n">
        <x:v>0</x:v>
      </x:c>
      <x:c r="G1076" s="65" t="n">
        <x:v>2939</x:v>
      </x:c>
      <x:c r="H1076" s="65" t="n">
        <x:v>82</x:v>
      </x:c>
      <x:c r="I1076" s="65" t="n">
        <x:v>0.027900646478394013</x:v>
      </x:c>
      <x:c r="J1076" s="34" t="str">
        <x:v>low</x:v>
      </x:c>
      <x:c r="K1076" s="71" t="n">
        <x:v>30.0786071</x:v>
      </x:c>
      <x:c r="L1076" s="71" t="n">
        <x:v>-95.5810113</x:v>
      </x:c>
      <x:c r="M1076" s="71" t="n">
        <x:v>6.091</x:v>
      </x:c>
      <x:c r="N1076" s="71" t="n">
        <x:v>0.05438100904442956</x:v>
      </x:c>
      <x:c r="O1076" s="71" t="n">
        <x:v>16.250214619334734</x:v>
      </x:c>
      <x:c r="P1076" s="71" t="n">
        <x:v>2</x:v>
      </x:c>
      <x:c r="Q1076" s="71" t="n">
        <x:v>642.6103986863438</x:v>
      </x:c>
      <x:c r="R1076" s="34" t="str">
        <x:v>tract internal point; no person, address, building, parcel, or route condition</x:v>
      </x:c>
    </x:row>
    <x:row r="1077" ht="86.4000015258789" hidden="0" customHeight="1">
      <x:c r="A1077" s="36" t="str">
        <x:v>48201554804</x:v>
      </x:c>
      <x:c r="B1077" s="63" t="n">
        <x:v>4622</x:v>
      </x:c>
      <x:c r="C1077" s="63" t="n">
        <x:v>645</x:v>
      </x:c>
      <x:c r="D1077" s="63" t="n">
        <x:v>0</x:v>
      </x:c>
      <x:c r="E1077" s="45" t="n">
        <x:v>0.13954997836434443</x:v>
      </x:c>
      <x:c r="F1077" s="45" t="n">
        <x:v>0</x:v>
      </x:c>
      <x:c r="G1077" s="66" t="n">
        <x:v>1768</x:v>
      </x:c>
      <x:c r="H1077" s="66" t="n">
        <x:v>241</x:v>
      </x:c>
      <x:c r="I1077" s="66" t="n">
        <x:v>0.13631221719457012</x:v>
      </x:c>
      <x:c r="J1077" s="36" t="str">
        <x:v>low</x:v>
      </x:c>
      <x:c r="K1077" s="72" t="n">
        <x:v>30.0615711</x:v>
      </x:c>
      <x:c r="L1077" s="72" t="n">
        <x:v>-95.5594272</x:v>
      </x:c>
      <x:c r="M1077" s="72" t="n">
        <x:v>3.245</x:v>
      </x:c>
      <x:c r="N1077" s="72" t="n">
        <x:v>0.17168148107963283</x:v>
      </x:c>
      <x:c r="O1077" s="72" t="n">
        <x:v>16.295600919941524</x:v>
      </x:c>
      <x:c r="P1077" s="72" t="n">
        <x:v>2</x:v>
      </x:c>
      <x:c r="Q1077" s="72" t="n">
        <x:v>373.405983728238</x:v>
      </x:c>
      <x:c r="R1077" s="36" t="str">
        <x:v>tract internal point; no person, address, building, parcel, or route condition</x:v>
      </x:c>
    </x:row>
    <x:row r="1078" ht="86.4000015258789" hidden="0" customHeight="1">
      <x:c r="A1078" s="34" t="str">
        <x:v>48201554805</x:v>
      </x:c>
      <x:c r="B1078" s="62" t="n">
        <x:v>8907</x:v>
      </x:c>
      <x:c r="C1078" s="62" t="n">
        <x:v>927</x:v>
      </x:c>
      <x:c r="D1078" s="62" t="n">
        <x:v>0</x:v>
      </x:c>
      <x:c r="E1078" s="43" t="n">
        <x:v>0.10407544627820815</x:v>
      </x:c>
      <x:c r="F1078" s="43" t="n">
        <x:v>0</x:v>
      </x:c>
      <x:c r="G1078" s="65" t="n">
        <x:v>2541</x:v>
      </x:c>
      <x:c r="H1078" s="65" t="n">
        <x:v>0</x:v>
      </x:c>
      <x:c r="I1078" s="65" t="n">
        <x:v>0</x:v>
      </x:c>
      <x:c r="J1078" s="34" t="str">
        <x:v>low</x:v>
      </x:c>
      <x:c r="K1078" s="71" t="n">
        <x:v>30.0311806</x:v>
      </x:c>
      <x:c r="L1078" s="71" t="n">
        <x:v>-95.583542</x:v>
      </x:c>
      <x:c r="M1078" s="71" t="n">
        <x:v>1.526</x:v>
      </x:c>
      <x:c r="N1078" s="71" t="n">
        <x:v>0.06835325711933526</x:v>
      </x:c>
      <x:c r="O1078" s="71" t="n">
        <x:v>26.076242913691488</x:v>
      </x:c>
      <x:c r="P1078" s="71" t="n">
        <x:v>2</x:v>
      </x:c>
      <x:c r="Q1078" s="71" t="n">
        <x:v>714.6193572828101</x:v>
      </x:c>
      <x:c r="R1078" s="34" t="str">
        <x:v>tract internal point; no person, address, building, parcel, or route condition</x:v>
      </x:c>
    </x:row>
    <x:row r="1079" ht="86.4000015258789" hidden="0" customHeight="1">
      <x:c r="A1079" s="36" t="str">
        <x:v>48201554806</x:v>
      </x:c>
      <x:c r="B1079" s="63" t="n">
        <x:v>2073</x:v>
      </x:c>
      <x:c r="C1079" s="63" t="n">
        <x:v>169</x:v>
      </x:c>
      <x:c r="D1079" s="63" t="n">
        <x:v>0</x:v>
      </x:c>
      <x:c r="E1079" s="45" t="n">
        <x:v>0.08152436082971538</x:v>
      </x:c>
      <x:c r="F1079" s="45" t="n">
        <x:v>0</x:v>
      </x:c>
      <x:c r="G1079" s="66" t="n">
        <x:v>752</x:v>
      </x:c>
      <x:c r="H1079" s="66" t="n">
        <x:v>0</x:v>
      </x:c>
      <x:c r="I1079" s="66" t="n">
        <x:v>0</x:v>
      </x:c>
      <x:c r="J1079" s="36" t="str">
        <x:v>low</x:v>
      </x:c>
      <x:c r="K1079" s="72" t="n">
        <x:v>30.059152</x:v>
      </x:c>
      <x:c r="L1079" s="72" t="n">
        <x:v>-95.5981573</x:v>
      </x:c>
      <x:c r="M1079" s="72" t="n">
        <x:v>1.731</x:v>
      </x:c>
      <x:c r="N1079" s="72" t="n">
        <x:v>0.104813063752988</x:v>
      </x:c>
      <x:c r="O1079" s="72" t="n">
        <x:v>19.66236285850942</x:v>
      </x:c>
      <x:c r="P1079" s="72" t="n">
        <x:v>2</x:v>
      </x:c>
      <x:c r="Q1079" s="72" t="n">
        <x:v>165.58445096161898</x:v>
      </x:c>
      <x:c r="R1079" s="36" t="str">
        <x:v>tract internal point; no person, address, building, parcel, or route condition</x:v>
      </x:c>
    </x:row>
    <x:row r="1080" ht="86.4000015258789" hidden="0" customHeight="1">
      <x:c r="A1080" s="34" t="str">
        <x:v>48201554807</x:v>
      </x:c>
      <x:c r="B1080" s="62" t="n">
        <x:v>6516</x:v>
      </x:c>
      <x:c r="C1080" s="62" t="n">
        <x:v>1157</x:v>
      </x:c>
      <x:c r="D1080" s="62" t="n">
        <x:v>320</x:v>
      </x:c>
      <x:c r="E1080" s="43" t="n">
        <x:v>0.17756292203806015</x:v>
      </x:c>
      <x:c r="F1080" s="43" t="n">
        <x:v>0.04910988336402701</x:v>
      </x:c>
      <x:c r="G1080" s="65" t="n">
        <x:v>2195</x:v>
      </x:c>
      <x:c r="H1080" s="65" t="n">
        <x:v>0</x:v>
      </x:c>
      <x:c r="I1080" s="65" t="n">
        <x:v>0</x:v>
      </x:c>
      <x:c r="J1080" s="34" t="str">
        <x:v>low</x:v>
      </x:c>
      <x:c r="K1080" s="71" t="n">
        <x:v>30.0325647</x:v>
      </x:c>
      <x:c r="L1080" s="71" t="n">
        <x:v>-95.5932037</x:v>
      </x:c>
      <x:c r="M1080" s="71" t="n">
        <x:v>2.189</x:v>
      </x:c>
      <x:c r="N1080" s="71" t="n">
        <x:v>0.15318460007341908</x:v>
      </x:c>
      <x:c r="O1080" s="71" t="n">
        <x:v>26.687269830789166</x:v>
      </x:c>
      <x:c r="P1080" s="71" t="n">
        <x:v>2</x:v>
      </x:c>
      <x:c r="Q1080" s="71" t="n">
        <x:v>532.8285678988038</x:v>
      </x:c>
      <x:c r="R1080" s="34" t="str">
        <x:v>tract internal point; no person, address, building, parcel, or route condition</x:v>
      </x:c>
    </x:row>
    <x:row r="1081" ht="86.4000015258789" hidden="0" customHeight="1">
      <x:c r="A1081" s="36" t="str">
        <x:v>48201554808</x:v>
      </x:c>
      <x:c r="B1081" s="63" t="n">
        <x:v>3205</x:v>
      </x:c>
      <x:c r="C1081" s="63" t="n">
        <x:v>253</x:v>
      </x:c>
      <x:c r="D1081" s="63" t="n">
        <x:v>0</x:v>
      </x:c>
      <x:c r="E1081" s="45" t="n">
        <x:v>0.07893915756630265</x:v>
      </x:c>
      <x:c r="F1081" s="45" t="n">
        <x:v>0</x:v>
      </x:c>
      <x:c r="G1081" s="66" t="n">
        <x:v>1045</x:v>
      </x:c>
      <x:c r="H1081" s="66" t="n">
        <x:v>0</x:v>
      </x:c>
      <x:c r="I1081" s="66" t="n">
        <x:v>0</x:v>
      </x:c>
      <x:c r="J1081" s="36" t="str">
        <x:v>low</x:v>
      </x:c>
      <x:c r="K1081" s="72" t="n">
        <x:v>30.0372701</x:v>
      </x:c>
      <x:c r="L1081" s="72" t="n">
        <x:v>-95.5754111</x:v>
      </x:c>
      <x:c r="M1081" s="72" t="n">
        <x:v>0.784</x:v>
      </x:c>
      <x:c r="N1081" s="72" t="n">
        <x:v>0.0357474314155847</x:v>
      </x:c>
      <x:c r="O1081" s="72" t="n">
        <x:v>19.433100064699918</x:v>
      </x:c>
      <x:c r="P1081" s="72" t="n">
        <x:v>2</x:v>
      </x:c>
      <x:c r="Q1081" s="72" t="n">
        <x:v>255.87466230807235</x:v>
      </x:c>
      <x:c r="R1081" s="36" t="str">
        <x:v>tract internal point; no person, address, building, parcel, or route condition</x:v>
      </x:c>
    </x:row>
    <x:row r="1082" ht="86.4000015258789" hidden="0" customHeight="1">
      <x:c r="A1082" s="34" t="str">
        <x:v>48201554809</x:v>
      </x:c>
      <x:c r="B1082" s="62" t="n">
        <x:v>10919</x:v>
      </x:c>
      <x:c r="C1082" s="62" t="n">
        <x:v>862</x:v>
      </x:c>
      <x:c r="D1082" s="62" t="n">
        <x:v>163</x:v>
      </x:c>
      <x:c r="E1082" s="43" t="n">
        <x:v>0.07894495832951735</x:v>
      </x:c>
      <x:c r="F1082" s="43" t="n">
        <x:v>0.014928106969502702</x:v>
      </x:c>
      <x:c r="G1082" s="65" t="n">
        <x:v>3696</x:v>
      </x:c>
      <x:c r="H1082" s="65" t="n">
        <x:v>319</x:v>
      </x:c>
      <x:c r="I1082" s="65" t="n">
        <x:v>0.08630952380952381</x:v>
      </x:c>
      <x:c r="J1082" s="34" t="str">
        <x:v>low</x:v>
      </x:c>
      <x:c r="K1082" s="71" t="n">
        <x:v>30.0537697</x:v>
      </x:c>
      <x:c r="L1082" s="71" t="n">
        <x:v>-95.5753629</x:v>
      </x:c>
      <x:c r="M1082" s="71" t="n">
        <x:v>2.876</x:v>
      </x:c>
      <x:c r="N1082" s="71" t="n">
        <x:v>0.04110995552558907</x:v>
      </x:c>
      <x:c r="O1082" s="71" t="n">
        <x:v>17.353727590590925</x:v>
      </x:c>
      <x:c r="P1082" s="71" t="n">
        <x:v>2</x:v>
      </x:c>
      <x:c r="Q1082" s="71" t="n">
        <x:v>873.0123438135446</x:v>
      </x:c>
      <x:c r="R1082" s="34" t="str">
        <x:v>tract internal point; no person, address, building, parcel, or route condition</x:v>
      </x:c>
    </x:row>
    <x:row r="1083" ht="86.4000015258789" hidden="0" customHeight="1">
      <x:c r="A1083" s="36" t="str">
        <x:v>48201554902</x:v>
      </x:c>
      <x:c r="B1083" s="63" t="n">
        <x:v>11277</x:v>
      </x:c>
      <x:c r="C1083" s="63" t="n">
        <x:v>695</x:v>
      </x:c>
      <x:c r="D1083" s="63" t="n">
        <x:v>0</x:v>
      </x:c>
      <x:c r="E1083" s="45" t="n">
        <x:v>0.06162986609913984</x:v>
      </x:c>
      <x:c r="F1083" s="45" t="n">
        <x:v>0</x:v>
      </x:c>
      <x:c r="G1083" s="66" t="n">
        <x:v>4154</x:v>
      </x:c>
      <x:c r="H1083" s="66" t="n">
        <x:v>468</x:v>
      </x:c>
      <x:c r="I1083" s="66" t="n">
        <x:v>0.11266249398170439</x:v>
      </x:c>
      <x:c r="J1083" s="36" t="str">
        <x:v>low</x:v>
      </x:c>
      <x:c r="K1083" s="72" t="n">
        <x:v>30.0975632</x:v>
      </x:c>
      <x:c r="L1083" s="72" t="n">
        <x:v>-95.520548</x:v>
      </x:c>
      <x:c r="M1083" s="72" t="n">
        <x:v>4.911</x:v>
      </x:c>
      <x:c r="N1083" s="72" t="n">
        <x:v>0.1996884641094036</x:v>
      </x:c>
      <x:c r="O1083" s="72" t="n">
        <x:v>13.956870227626663</x:v>
      </x:c>
      <x:c r="P1083" s="72" t="n">
        <x:v>2</x:v>
      </x:c>
      <x:c r="Q1083" s="72" t="n">
        <x:v>897.2432562074438</x:v>
      </x:c>
      <x:c r="R1083" s="36" t="str">
        <x:v>tract internal point; no person, address, building, parcel, or route condition</x:v>
      </x:c>
    </x:row>
    <x:row r="1084" ht="86.4000015258789" hidden="0" customHeight="1">
      <x:c r="A1084" s="34" t="str">
        <x:v>48201554904</x:v>
      </x:c>
      <x:c r="B1084" s="62" t="n">
        <x:v>3847</x:v>
      </x:c>
      <x:c r="C1084" s="62" t="n">
        <x:v>679</x:v>
      </x:c>
      <x:c r="D1084" s="62" t="n">
        <x:v>0</x:v>
      </x:c>
      <x:c r="E1084" s="43" t="n">
        <x:v>0.17650116974265662</x:v>
      </x:c>
      <x:c r="F1084" s="43" t="n">
        <x:v>0</x:v>
      </x:c>
      <x:c r="G1084" s="65" t="n">
        <x:v>1271</x:v>
      </x:c>
      <x:c r="H1084" s="65" t="n">
        <x:v>63</x:v>
      </x:c>
      <x:c r="I1084" s="65" t="n">
        <x:v>0.04956726986624705</x:v>
      </x:c>
      <x:c r="J1084" s="34" t="str">
        <x:v>low</x:v>
      </x:c>
      <x:c r="K1084" s="71" t="n">
        <x:v>30.070044</x:v>
      </x:c>
      <x:c r="L1084" s="71" t="n">
        <x:v>-95.5211691</x:v>
      </x:c>
      <x:c r="M1084" s="71" t="n">
        <x:v>0.703</x:v>
      </x:c>
      <x:c r="N1084" s="71" t="n">
        <x:v>0.026604351834490378</x:v>
      </x:c>
      <x:c r="O1084" s="71" t="n">
        <x:v>18.48840757789307</x:v>
      </x:c>
      <x:c r="P1084" s="71" t="n">
        <x:v>2</x:v>
      </x:c>
      <x:c r="Q1084" s="71" t="n">
        <x:v>313.02912060467827</x:v>
      </x:c>
      <x:c r="R1084" s="34" t="str">
        <x:v>tract internal point; no person, address, building, parcel, or route condition</x:v>
      </x:c>
    </x:row>
    <x:row r="1085" ht="86.4000015258789" hidden="0" customHeight="1">
      <x:c r="A1085" s="36" t="str">
        <x:v>48201554905</x:v>
      </x:c>
      <x:c r="B1085" s="63" t="n">
        <x:v>8210</x:v>
      </x:c>
      <x:c r="C1085" s="63" t="n">
        <x:v>733</x:v>
      </x:c>
      <x:c r="D1085" s="63" t="n">
        <x:v>355.5</x:v>
      </x:c>
      <x:c r="E1085" s="45" t="n">
        <x:v>0.08928136419001217</x:v>
      </x:c>
      <x:c r="F1085" s="45" t="n">
        <x:v>0.043300852618757615</x:v>
      </x:c>
      <x:c r="G1085" s="66" t="n">
        <x:v>2637</x:v>
      </x:c>
      <x:c r="H1085" s="66" t="n">
        <x:v>27</x:v>
      </x:c>
      <x:c r="I1085" s="66" t="n">
        <x:v>0.010238907849829351</x:v>
      </x:c>
      <x:c r="J1085" s="36" t="str">
        <x:v>low</x:v>
      </x:c>
      <x:c r="K1085" s="72" t="n">
        <x:v>30.0607645</x:v>
      </x:c>
      <x:c r="L1085" s="72" t="n">
        <x:v>-95.5315089</x:v>
      </x:c>
      <x:c r="M1085" s="72" t="n">
        <x:v>3.786</x:v>
      </x:c>
      <x:c r="N1085" s="72" t="n">
        <x:v>0.029062250928614523</x:v>
      </x:c>
      <x:c r="O1085" s="72" t="n">
        <x:v>19.773379745951786</x:v>
      </x:c>
      <x:c r="P1085" s="72" t="n">
        <x:v>2</x:v>
      </x:c>
      <x:c r="Q1085" s="72" t="n">
        <x:v>659.5830406956288</x:v>
      </x:c>
      <x:c r="R1085" s="36" t="str">
        <x:v>tract internal point; no person, address, building, parcel, or route condition</x:v>
      </x:c>
    </x:row>
    <x:row r="1086" ht="86.4000015258789" hidden="0" customHeight="1">
      <x:c r="A1086" s="34" t="str">
        <x:v>48201554906</x:v>
      </x:c>
      <x:c r="B1086" s="62" t="n">
        <x:v>4743</x:v>
      </x:c>
      <x:c r="C1086" s="62" t="n">
        <x:v>482</x:v>
      </x:c>
      <x:c r="D1086" s="62" t="n">
        <x:v>0</x:v>
      </x:c>
      <x:c r="E1086" s="43" t="n">
        <x:v>0.10162344507695552</x:v>
      </x:c>
      <x:c r="F1086" s="43" t="n">
        <x:v>0</x:v>
      </x:c>
      <x:c r="G1086" s="65" t="n">
        <x:v>1678</x:v>
      </x:c>
      <x:c r="H1086" s="65" t="n">
        <x:v>328</x:v>
      </x:c>
      <x:c r="I1086" s="65" t="n">
        <x:v>0.19547079856972585</x:v>
      </x:c>
      <x:c r="J1086" s="34" t="str">
        <x:v>moderate</x:v>
      </x:c>
      <x:c r="K1086" s="71" t="n">
        <x:v>30.0530825</x:v>
      </x:c>
      <x:c r="L1086" s="71" t="n">
        <x:v>-95.5008906</x:v>
      </x:c>
      <x:c r="M1086" s="71" t="n">
        <x:v>0.756</x:v>
      </x:c>
      <x:c r="N1086" s="71" t="n">
        <x:v>0.010153757043086513</x:v>
      </x:c>
      <x:c r="O1086" s="71" t="n">
        <x:v>22.91238446606363</x:v>
      </x:c>
      <x:c r="P1086" s="71" t="n">
        <x:v>2</x:v>
      </x:c>
      <x:c r="Q1086" s="71" t="n">
        <x:v>672.9336513131165</x:v>
      </x:c>
      <x:c r="R1086" s="34" t="str">
        <x:v>tract internal point; no person, address, building, parcel, or route condition</x:v>
      </x:c>
    </x:row>
    <x:row r="1087" ht="86.4000015258789" hidden="0" customHeight="1">
      <x:c r="A1087" s="36" t="str">
        <x:v>48201554907</x:v>
      </x:c>
      <x:c r="B1087" s="63" t="n">
        <x:v>4389</x:v>
      </x:c>
      <x:c r="C1087" s="63" t="n">
        <x:v>332</x:v>
      </x:c>
      <x:c r="D1087" s="63" t="n">
        <x:v>10</x:v>
      </x:c>
      <x:c r="E1087" s="45" t="n">
        <x:v>0.07564365459102301</x:v>
      </x:c>
      <x:c r="F1087" s="45" t="n">
        <x:v>0.00227842333105491</x:v>
      </x:c>
      <x:c r="G1087" s="66" t="n">
        <x:v>1656</x:v>
      </x:c>
      <x:c r="H1087" s="66" t="n">
        <x:v>236</x:v>
      </x:c>
      <x:c r="I1087" s="66" t="n">
        <x:v>0.14251207729468598</x:v>
      </x:c>
      <x:c r="J1087" s="36" t="str">
        <x:v>low</x:v>
      </x:c>
      <x:c r="K1087" s="72" t="n">
        <x:v>30.0770221</x:v>
      </x:c>
      <x:c r="L1087" s="72" t="n">
        <x:v>-95.5344217</x:v>
      </x:c>
      <x:c r="M1087" s="72" t="n">
        <x:v>1.231</x:v>
      </x:c>
      <x:c r="N1087" s="72" t="n">
        <x:v>0.05786051830932576</x:v>
      </x:c>
      <x:c r="O1087" s="72" t="n">
        <x:v>18.72076351548824</x:v>
      </x:c>
      <x:c r="P1087" s="72" t="n">
        <x:v>2</x:v>
      </x:c>
      <x:c r="Q1087" s="72" t="n">
        <x:v>350.2518261179793</x:v>
      </x:c>
      <x:c r="R1087" s="36" t="str">
        <x:v>tract internal point; no person, address, building, parcel, or route condition</x:v>
      </x:c>
    </x:row>
    <x:row r="1088" ht="86.4000015258789" hidden="0" customHeight="1">
      <x:c r="A1088" s="34" t="str">
        <x:v>48201554908</x:v>
      </x:c>
      <x:c r="B1088" s="62" t="n">
        <x:v>7681</x:v>
      </x:c>
      <x:c r="C1088" s="62" t="n">
        <x:v>555</x:v>
      </x:c>
      <x:c r="D1088" s="62" t="n">
        <x:v>262</x:v>
      </x:c>
      <x:c r="E1088" s="43" t="n">
        <x:v>0.07225621663845853</x:v>
      </x:c>
      <x:c r="F1088" s="43" t="n">
        <x:v>0.03411014190860565</x:v>
      </x:c>
      <x:c r="G1088" s="65" t="n">
        <x:v>2646</x:v>
      </x:c>
      <x:c r="H1088" s="65" t="n">
        <x:v>0</x:v>
      </x:c>
      <x:c r="I1088" s="65" t="n">
        <x:v>0</x:v>
      </x:c>
      <x:c r="J1088" s="34" t="str">
        <x:v>low</x:v>
      </x:c>
      <x:c r="K1088" s="71" t="n">
        <x:v>30.0886061</x:v>
      </x:c>
      <x:c r="L1088" s="71" t="n">
        <x:v>-95.5465971</x:v>
      </x:c>
      <x:c r="M1088" s="71" t="n">
        <x:v>2.144</x:v>
      </x:c>
      <x:c r="N1088" s="71" t="n">
        <x:v>0.041867629219103114</x:v>
      </x:c>
      <x:c r="O1088" s="71" t="n">
        <x:v>12.860187124051405</x:v>
      </x:c>
      <x:c r="P1088" s="71" t="n">
        <x:v>2</x:v>
      </x:c>
      <x:c r="Q1088" s="71" t="n">
        <x:v>614.4733028802591</x:v>
      </x:c>
      <x:c r="R1088" s="34" t="str">
        <x:v>tract internal point; no person, address, building, parcel, or route condition</x:v>
      </x:c>
    </x:row>
    <x:row r="1089" ht="86.4000015258789" hidden="0" customHeight="1">
      <x:c r="A1089" s="36" t="str">
        <x:v>48201555001</x:v>
      </x:c>
      <x:c r="B1089" s="63" t="n">
        <x:v>2483</x:v>
      </x:c>
      <x:c r="C1089" s="63" t="n">
        <x:v>153</x:v>
      </x:c>
      <x:c r="D1089" s="63" t="n">
        <x:v>0</x:v>
      </x:c>
      <x:c r="E1089" s="45" t="n">
        <x:v>0.06161900926298832</x:v>
      </x:c>
      <x:c r="F1089" s="45" t="n">
        <x:v>0</x:v>
      </x:c>
      <x:c r="G1089" s="66" t="n">
        <x:v>709</x:v>
      </x:c>
      <x:c r="H1089" s="66" t="n">
        <x:v>0</x:v>
      </x:c>
      <x:c r="I1089" s="66" t="n">
        <x:v>0</x:v>
      </x:c>
      <x:c r="J1089" s="36" t="str">
        <x:v>low</x:v>
      </x:c>
      <x:c r="K1089" s="72" t="n">
        <x:v>30.067281</x:v>
      </x:c>
      <x:c r="L1089" s="72" t="n">
        <x:v>-95.460054</x:v>
      </x:c>
      <x:c r="M1089" s="72" t="n">
        <x:v>0.753</x:v>
      </x:c>
      <x:c r="N1089" s="72" t="n">
        <x:v>0.2595659095865354</x:v>
      </x:c>
      <x:c r="O1089" s="72" t="n">
        <x:v>24.444326545079402</x:v>
      </x:c>
      <x:c r="P1089" s="72" t="n">
        <x:v>2</x:v>
      </x:c>
      <x:c r="Q1089" s="72" t="n">
        <x:v>197.55699446417577</x:v>
      </x:c>
      <x:c r="R1089" s="36" t="str">
        <x:v>tract internal point; no person, address, building, parcel, or route condition</x:v>
      </x:c>
    </x:row>
    <x:row r="1090" ht="86.4000015258789" hidden="0" customHeight="1">
      <x:c r="A1090" s="34" t="str">
        <x:v>48201555002</x:v>
      </x:c>
      <x:c r="B1090" s="62" t="n">
        <x:v>4839</x:v>
      </x:c>
      <x:c r="C1090" s="62" t="n">
        <x:v>547</x:v>
      </x:c>
      <x:c r="D1090" s="62" t="n">
        <x:v>0</x:v>
      </x:c>
      <x:c r="E1090" s="43" t="n">
        <x:v>0.11303988427361025</x:v>
      </x:c>
      <x:c r="F1090" s="43" t="n">
        <x:v>0</x:v>
      </x:c>
      <x:c r="G1090" s="65" t="n">
        <x:v>1845</x:v>
      </x:c>
      <x:c r="H1090" s="65" t="n">
        <x:v>0</x:v>
      </x:c>
      <x:c r="I1090" s="65" t="n">
        <x:v>0</x:v>
      </x:c>
      <x:c r="J1090" s="34" t="str">
        <x:v>low</x:v>
      </x:c>
      <x:c r="K1090" s="71" t="n">
        <x:v>30.062073</x:v>
      </x:c>
      <x:c r="L1090" s="71" t="n">
        <x:v>-95.4871411</x:v>
      </x:c>
      <x:c r="M1090" s="71" t="n">
        <x:v>1.39</x:v>
      </x:c>
      <x:c r="N1090" s="71" t="n">
        <x:v>0.06658924745421897</x:v>
      </x:c>
      <x:c r="O1090" s="71" t="n">
        <x:v>22.483959892775886</x:v>
      </x:c>
      <x:c r="P1090" s="71" t="n">
        <x:v>2</x:v>
      </x:c>
      <x:c r="Q1090" s="71" t="n">
        <x:v>388.9206840414256</x:v>
      </x:c>
      <x:c r="R1090" s="34" t="str">
        <x:v>tract internal point; no person, address, building, parcel, or route condition</x:v>
      </x:c>
    </x:row>
    <x:row r="1091" ht="86.4000015258789" hidden="0" customHeight="1">
      <x:c r="A1091" s="36" t="str">
        <x:v>48201555101</x:v>
      </x:c>
      <x:c r="B1091" s="63" t="n">
        <x:v>5187</x:v>
      </x:c>
      <x:c r="C1091" s="63" t="n">
        <x:v>739</x:v>
      </x:c>
      <x:c r="D1091" s="63" t="n">
        <x:v>13</x:v>
      </x:c>
      <x:c r="E1091" s="45" t="n">
        <x:v>0.1424715635241951</x:v>
      </x:c>
      <x:c r="F1091" s="45" t="n">
        <x:v>0.002506265664160401</x:v>
      </x:c>
      <x:c r="G1091" s="66" t="n">
        <x:v>2111</x:v>
      </x:c>
      <x:c r="H1091" s="66" t="n">
        <x:v>293</x:v>
      </x:c>
      <x:c r="I1091" s="66" t="n">
        <x:v>0.13879677877783042</x:v>
      </x:c>
      <x:c r="J1091" s="36" t="str">
        <x:v>low</x:v>
      </x:c>
      <x:c r="K1091" s="72" t="n">
        <x:v>30.0789393</x:v>
      </x:c>
      <x:c r="L1091" s="72" t="n">
        <x:v>-95.4883887</x:v>
      </x:c>
      <x:c r="M1091" s="72" t="n">
        <x:v>1.347</x:v>
      </x:c>
      <x:c r="N1091" s="72" t="n">
        <x:v>0.05885908479140941</x:v>
      </x:c>
      <x:c r="O1091" s="72" t="n">
        <x:v>18.706242081403648</x:v>
      </x:c>
      <x:c r="P1091" s="72" t="n">
        <x:v>2</x:v>
      </x:c>
      <x:c r="Q1091" s="72" t="n">
        <x:v>419.3920584660599</x:v>
      </x:c>
      <x:c r="R1091" s="36" t="str">
        <x:v>tract internal point; no person, address, building, parcel, or route condition</x:v>
      </x:c>
    </x:row>
    <x:row r="1092" ht="86.4000015258789" hidden="0" customHeight="1">
      <x:c r="A1092" s="34" t="str">
        <x:v>48201555102</x:v>
      </x:c>
      <x:c r="B1092" s="62" t="n">
        <x:v>6083</x:v>
      </x:c>
      <x:c r="C1092" s="62" t="n">
        <x:v>495</x:v>
      </x:c>
      <x:c r="D1092" s="62" t="n">
        <x:v>113</x:v>
      </x:c>
      <x:c r="E1092" s="43" t="n">
        <x:v>0.081374321880651</x:v>
      </x:c>
      <x:c r="F1092" s="43" t="n">
        <x:v>0.018576360348512247</x:v>
      </x:c>
      <x:c r="G1092" s="65" t="n">
        <x:v>2582</x:v>
      </x:c>
      <x:c r="H1092" s="65" t="n">
        <x:v>1033</x:v>
      </x:c>
      <x:c r="I1092" s="65" t="n">
        <x:v>0.40007745933384975</x:v>
      </x:c>
      <x:c r="J1092" s="34" t="str">
        <x:v>low</x:v>
      </x:c>
      <x:c r="K1092" s="71" t="n">
        <x:v>30.077085</x:v>
      </x:c>
      <x:c r="L1092" s="71" t="n">
        <x:v>-95.4518284</x:v>
      </x:c>
      <x:c r="M1092" s="71" t="n">
        <x:v>1.566</x:v>
      </x:c>
      <x:c r="N1092" s="71" t="n">
        <x:v>0.12195508657881096</x:v>
      </x:c>
      <x:c r="O1092" s="71" t="n">
        <x:v>20.32570662107303</x:v>
      </x:c>
      <x:c r="P1092" s="71" t="n">
        <x:v>2</x:v>
      </x:c>
      <x:c r="Q1092" s="71" t="n">
        <x:v>486.76389792130004</x:v>
      </x:c>
      <x:c r="R1092" s="34" t="str">
        <x:v>tract internal point; no person, address, building, parcel, or route condition</x:v>
      </x:c>
    </x:row>
    <x:row r="1093" ht="86.4000015258789" hidden="0" customHeight="1">
      <x:c r="A1093" s="36" t="str">
        <x:v>48201555200</x:v>
      </x:c>
      <x:c r="B1093" s="63" t="n">
        <x:v>12791</x:v>
      </x:c>
      <x:c r="C1093" s="63" t="n">
        <x:v>976</x:v>
      </x:c>
      <x:c r="D1093" s="63" t="n">
        <x:v>69</x:v>
      </x:c>
      <x:c r="E1093" s="45" t="n">
        <x:v>0.07630365100461262</x:v>
      </x:c>
      <x:c r="F1093" s="45" t="n">
        <x:v>0.005394417950121179</x:v>
      </x:c>
      <x:c r="G1093" s="66" t="n">
        <x:v>4142</x:v>
      </x:c>
      <x:c r="H1093" s="66" t="n">
        <x:v>597</x:v>
      </x:c>
      <x:c r="I1093" s="66" t="n">
        <x:v>0.144133268952197</x:v>
      </x:c>
      <x:c r="J1093" s="36" t="str">
        <x:v>low</x:v>
      </x:c>
      <x:c r="K1093" s="72" t="n">
        <x:v>30.0968234</x:v>
      </x:c>
      <x:c r="L1093" s="72" t="n">
        <x:v>-95.4685384</x:v>
      </x:c>
      <x:c r="M1093" s="72" t="n">
        <x:v>7.208</x:v>
      </x:c>
      <x:c r="N1093" s="72" t="n">
        <x:v>0.5548607313910521</x:v>
      </x:c>
      <x:c r="O1093" s="72" t="n">
        <x:v>19.68747635584931</x:v>
      </x:c>
      <x:c r="P1093" s="72" t="n">
        <x:v>2</x:v>
      </x:c>
      <x:c r="Q1093" s="72" t="n">
        <x:v>1021.1958087096126</x:v>
      </x:c>
      <x:c r="R1093" s="36" t="str">
        <x:v>tract internal point; no person, address, building, parcel, or route condition</x:v>
      </x:c>
    </x:row>
    <x:row r="1094" ht="86.4000015258789" hidden="0" customHeight="1">
      <x:c r="A1094" s="34" t="str">
        <x:v>48201555301</x:v>
      </x:c>
      <x:c r="B1094" s="62" t="n">
        <x:v>5032</x:v>
      </x:c>
      <x:c r="C1094" s="62" t="n">
        <x:v>357</x:v>
      </x:c>
      <x:c r="D1094" s="62" t="n">
        <x:v>35</x:v>
      </x:c>
      <x:c r="E1094" s="43" t="n">
        <x:v>0.07094594594594594</x:v>
      </x:c>
      <x:c r="F1094" s="43" t="n">
        <x:v>0.006955484896661367</x:v>
      </x:c>
      <x:c r="G1094" s="65" t="n">
        <x:v>1863</x:v>
      </x:c>
      <x:c r="H1094" s="65" t="n">
        <x:v>529</x:v>
      </x:c>
      <x:c r="I1094" s="65" t="n">
        <x:v>0.2839506172839506</x:v>
      </x:c>
      <x:c r="J1094" s="34" t="str">
        <x:v>moderate</x:v>
      </x:c>
      <x:c r="K1094" s="71" t="n">
        <x:v>30.1234693</x:v>
      </x:c>
      <x:c r="L1094" s="71" t="n">
        <x:v>-95.5170643</x:v>
      </x:c>
      <x:c r="M1094" s="71" t="n">
        <x:v>2.714</x:v>
      </x:c>
      <x:c r="N1094" s="71" t="n">
        <x:v>0.022954256783626375</x:v>
      </x:c>
      <x:c r="O1094" s="71" t="n">
        <x:v>10.736117741130295</x:v>
      </x:c>
      <x:c r="P1094" s="71" t="n">
        <x:v>2</x:v>
      </x:c>
      <x:c r="Q1094" s="71" t="n">
        <x:v>710.1303599394458</x:v>
      </x:c>
      <x:c r="R1094" s="34" t="str">
        <x:v>tract internal point; no person, address, building, parcel, or route condition</x:v>
      </x:c>
    </x:row>
    <x:row r="1095" ht="86.4000015258789" hidden="0" customHeight="1">
      <x:c r="A1095" s="36" t="str">
        <x:v>48201555303</x:v>
      </x:c>
      <x:c r="B1095" s="63" t="n">
        <x:v>16375</x:v>
      </x:c>
      <x:c r="C1095" s="63" t="n">
        <x:v>1003</x:v>
      </x:c>
      <x:c r="D1095" s="63" t="n">
        <x:v>108</x:v>
      </x:c>
      <x:c r="E1095" s="45" t="n">
        <x:v>0.06125190839694657</x:v>
      </x:c>
      <x:c r="F1095" s="45" t="n">
        <x:v>0.006595419847328244</x:v>
      </x:c>
      <x:c r="G1095" s="66" t="n">
        <x:v>5681</x:v>
      </x:c>
      <x:c r="H1095" s="66" t="n">
        <x:v>56</x:v>
      </x:c>
      <x:c r="I1095" s="66" t="n">
        <x:v>0.00985741946840345</x:v>
      </x:c>
      <x:c r="J1095" s="36" t="str">
        <x:v>low</x:v>
      </x:c>
      <x:c r="K1095" s="72" t="n">
        <x:v>30.1348325</x:v>
      </x:c>
      <x:c r="L1095" s="72" t="n">
        <x:v>-95.5687953</x:v>
      </x:c>
      <x:c r="M1095" s="72" t="n">
        <x:v>8.128</x:v>
      </x:c>
      <x:c r="N1095" s="72" t="n">
        <x:v>0.0342557425370345</x:v>
      </x:c>
      <x:c r="O1095" s="72" t="n">
        <x:v>0.205534455222207</x:v>
      </x:c>
      <x:c r="P1095" s="72" t="n">
        <x:v>2</x:v>
      </x:c>
      <x:c r="Q1095" s="72" t="n">
        <x:v>1303.6120834582293</x:v>
      </x:c>
      <x:c r="R1095" s="36" t="str">
        <x:v>tract internal point; no person, address, building, parcel, or route condition</x:v>
      </x:c>
    </x:row>
    <x:row r="1096" ht="86.4000015258789" hidden="0" customHeight="1">
      <x:c r="A1096" s="34" t="str">
        <x:v>48201555304</x:v>
      </x:c>
      <x:c r="B1096" s="62" t="n">
        <x:v>9377</x:v>
      </x:c>
      <x:c r="C1096" s="62" t="n">
        <x:v>929</x:v>
      </x:c>
      <x:c r="D1096" s="62" t="n">
        <x:v>96</x:v>
      </x:c>
      <x:c r="E1096" s="43" t="n">
        <x:v>0.09907219793110802</x:v>
      </x:c>
      <x:c r="F1096" s="43" t="n">
        <x:v>0.010237815932601046</x:v>
      </x:c>
      <x:c r="G1096" s="65" t="n">
        <x:v>3346</x:v>
      </x:c>
      <x:c r="H1096" s="65" t="n">
        <x:v>391</x:v>
      </x:c>
      <x:c r="I1096" s="65" t="n">
        <x:v>0.11685594739988045</x:v>
      </x:c>
      <x:c r="J1096" s="34" t="str">
        <x:v>low</x:v>
      </x:c>
      <x:c r="K1096" s="71" t="n">
        <x:v>30.1260677</x:v>
      </x:c>
      <x:c r="L1096" s="71" t="n">
        <x:v>-95.5366034</x:v>
      </x:c>
      <x:c r="M1096" s="71" t="n">
        <x:v>2.571</x:v>
      </x:c>
      <x:c r="N1096" s="71" t="n">
        <x:v>0.24944590905394276</x:v>
      </x:c>
      <x:c r="O1096" s="71" t="n">
        <x:v>11.348015089487008</x:v>
      </x:c>
      <x:c r="P1096" s="71" t="n">
        <x:v>2</x:v>
      </x:c>
      <x:c r="Q1096" s="71" t="n">
        <x:v>752.3450723300748</x:v>
      </x:c>
      <x:c r="R1096" s="34" t="str">
        <x:v>tract internal point; no person, address, building, parcel, or route condition</x:v>
      </x:c>
    </x:row>
    <x:row r="1097" ht="86.4000015258789" hidden="0" customHeight="1">
      <x:c r="A1097" s="36" t="str">
        <x:v>48201555305</x:v>
      </x:c>
      <x:c r="B1097" s="63" t="n">
        <x:v>12542</x:v>
      </x:c>
      <x:c r="C1097" s="63" t="n">
        <x:v>674</x:v>
      </x:c>
      <x:c r="D1097" s="63" t="n">
        <x:v>174.5</x:v>
      </x:c>
      <x:c r="E1097" s="45" t="n">
        <x:v>0.053739435496730985</x:v>
      </x:c>
      <x:c r="F1097" s="45" t="n">
        <x:v>0.013913251475043853</x:v>
      </x:c>
      <x:c r="G1097" s="66" t="n">
        <x:v>4254</x:v>
      </x:c>
      <x:c r="H1097" s="66" t="n">
        <x:v>622</x:v>
      </x:c>
      <x:c r="I1097" s="66" t="n">
        <x:v>0.1462153267512929</x:v>
      </x:c>
      <x:c r="J1097" s="36" t="str">
        <x:v>low</x:v>
      </x:c>
      <x:c r="K1097" s="72" t="n">
        <x:v>30.147498</x:v>
      </x:c>
      <x:c r="L1097" s="72" t="n">
        <x:v>-95.5291406</x:v>
      </x:c>
      <x:c r="M1097" s="72" t="n">
        <x:v>4.659</x:v>
      </x:c>
      <x:c r="N1097" s="72" t="n">
        <x:v>0.06528750609421156</x:v>
      </x:c>
      <x:c r="O1097" s="72" t="n">
        <x:v>7.863609601532578</x:v>
      </x:c>
      <x:c r="P1097" s="72" t="n">
        <x:v>2</x:v>
      </x:c>
      <x:c r="Q1097" s="72" t="n">
        <x:v>997.7076213307064</x:v>
      </x:c>
      <x:c r="R1097" s="36" t="str">
        <x:v>tract internal point; no person, address, building, parcel, or route condition</x:v>
      </x:c>
    </x:row>
    <x:row r="1098" ht="86.4000015258789" hidden="0" customHeight="1">
      <x:c r="A1098" s="34" t="str">
        <x:v>48201555401</x:v>
      </x:c>
      <x:c r="B1098" s="62" t="n">
        <x:v>3856</x:v>
      </x:c>
      <x:c r="C1098" s="62" t="n">
        <x:v>283</x:v>
      </x:c>
      <x:c r="D1098" s="62" t="n">
        <x:v>48</x:v>
      </x:c>
      <x:c r="E1098" s="43" t="n">
        <x:v>0.07339211618257262</x:v>
      </x:c>
      <x:c r="F1098" s="43" t="n">
        <x:v>0.012448132780082987</x:v>
      </x:c>
      <x:c r="G1098" s="65" t="n">
        <x:v>1282</x:v>
      </x:c>
      <x:c r="H1098" s="65" t="n">
        <x:v>77</x:v>
      </x:c>
      <x:c r="I1098" s="65" t="n">
        <x:v>0.06006240249609984</x:v>
      </x:c>
      <x:c r="J1098" s="34" t="str">
        <x:v>low</x:v>
      </x:c>
      <x:c r="K1098" s="71" t="n">
        <x:v>30.1074172</x:v>
      </x:c>
      <x:c r="L1098" s="71" t="n">
        <x:v>-95.6076922</x:v>
      </x:c>
      <x:c r="M1098" s="71" t="n">
        <x:v>5.189</x:v>
      </x:c>
      <x:c r="N1098" s="71" t="n">
        <x:v>0.012136311853002197</x:v>
      </x:c>
      <x:c r="O1098" s="71" t="n">
        <x:v>9.806125501336245</x:v>
      </x:c>
      <x:c r="P1098" s="71" t="n">
        <x:v>2</x:v>
      </x:c>
      <x:c r="Q1098" s="71" t="n">
        <x:v>307.88899192948844</x:v>
      </x:c>
      <x:c r="R1098" s="34" t="str">
        <x:v>tract internal point; no person, address, building, parcel, or route condition</x:v>
      </x:c>
    </x:row>
    <x:row r="1099" ht="86.4000015258789" hidden="0" customHeight="1">
      <x:c r="A1099" s="36" t="str">
        <x:v>48201555403</x:v>
      </x:c>
      <x:c r="B1099" s="63" t="n">
        <x:v>4411</x:v>
      </x:c>
      <x:c r="C1099" s="63" t="n">
        <x:v>885</x:v>
      </x:c>
      <x:c r="D1099" s="63" t="n">
        <x:v>9</x:v>
      </x:c>
      <x:c r="E1099" s="45" t="n">
        <x:v>0.20063477669462706</x:v>
      </x:c>
      <x:c r="F1099" s="45" t="n">
        <x:v>0.0020403536613012923</x:v>
      </x:c>
      <x:c r="G1099" s="66" t="n">
        <x:v>1819</x:v>
      </x:c>
      <x:c r="H1099" s="66" t="n">
        <x:v>172</x:v>
      </x:c>
      <x:c r="I1099" s="66" t="n">
        <x:v>0.09455744914788346</x:v>
      </x:c>
      <x:c r="J1099" s="36" t="str">
        <x:v>low</x:v>
      </x:c>
      <x:c r="K1099" s="72" t="n">
        <x:v>30.1119553</x:v>
      </x:c>
      <x:c r="L1099" s="72" t="n">
        <x:v>-95.6321573</x:v>
      </x:c>
      <x:c r="M1099" s="72" t="n">
        <x:v>2.659</x:v>
      </x:c>
      <x:c r="N1099" s="72" t="n">
        <x:v>0.12357519412629646</x:v>
      </x:c>
      <x:c r="O1099" s="72" t="n">
        <x:v>12.819251531318747</x:v>
      </x:c>
      <x:c r="P1099" s="72" t="n">
        <x:v>2</x:v>
      </x:c>
      <x:c r="Q1099" s="72" t="n">
        <x:v>360.665695375818</x:v>
      </x:c>
      <x:c r="R1099" s="36" t="str">
        <x:v>tract internal point; no person, address, building, parcel, or route condition</x:v>
      </x:c>
    </x:row>
    <x:row r="1100" ht="86.4000015258789" hidden="0" customHeight="1">
      <x:c r="A1100" s="34" t="str">
        <x:v>48201555404</x:v>
      </x:c>
      <x:c r="B1100" s="62" t="n">
        <x:v>3669</x:v>
      </x:c>
      <x:c r="C1100" s="62" t="n">
        <x:v>744</x:v>
      </x:c>
      <x:c r="D1100" s="62" t="n">
        <x:v>401</x:v>
      </x:c>
      <x:c r="E1100" s="43" t="n">
        <x:v>0.2027800490596893</x:v>
      </x:c>
      <x:c r="F1100" s="43" t="n">
        <x:v>0.10929408558190243</x:v>
      </x:c>
      <x:c r="G1100" s="65" t="n">
        <x:v>1991</x:v>
      </x:c>
      <x:c r="H1100" s="65" t="n">
        <x:v>783</x:v>
      </x:c>
      <x:c r="I1100" s="65" t="n">
        <x:v>0.39326971371170266</x:v>
      </x:c>
      <x:c r="J1100" s="34" t="str">
        <x:v>low</x:v>
      </x:c>
      <x:c r="K1100" s="71" t="n">
        <x:v>30.0821798</x:v>
      </x:c>
      <x:c r="L1100" s="71" t="n">
        <x:v>-95.6173684</x:v>
      </x:c>
      <x:c r="M1100" s="71" t="n">
        <x:v>2.813</x:v>
      </x:c>
      <x:c r="N1100" s="71" t="n">
        <x:v>0.16446482928300377</x:v>
      </x:c>
      <x:c r="O1100" s="71" t="n">
        <x:v>15.890319375456967</x:v>
      </x:c>
      <x:c r="P1100" s="71" t="n">
        <x:v>2</x:v>
      </x:c>
      <x:c r="Q1100" s="71" t="n">
        <x:v>303.21257516842127</x:v>
      </x:c>
      <x:c r="R1100" s="34" t="str">
        <x:v>tract internal point; no person, address, building, parcel, or route condition</x:v>
      </x:c>
    </x:row>
    <x:row r="1101" ht="86.4000015258789" hidden="0" customHeight="1">
      <x:c r="A1101" s="36" t="str">
        <x:v>48201555501</x:v>
      </x:c>
      <x:c r="B1101" s="63" t="n">
        <x:v>5948</x:v>
      </x:c>
      <x:c r="C1101" s="63" t="n">
        <x:v>700</x:v>
      </x:c>
      <x:c r="D1101" s="63" t="n">
        <x:v>0</x:v>
      </x:c>
      <x:c r="E1101" s="45" t="n">
        <x:v>0.11768661735036987</x:v>
      </x:c>
      <x:c r="F1101" s="45" t="n">
        <x:v>0</x:v>
      </x:c>
      <x:c r="G1101" s="66" t="n">
        <x:v>2383</x:v>
      </x:c>
      <x:c r="H1101" s="66" t="n">
        <x:v>90</x:v>
      </x:c>
      <x:c r="I1101" s="66" t="n">
        <x:v>0.03776751993285774</x:v>
      </x:c>
      <x:c r="J1101" s="36" t="str">
        <x:v>high</x:v>
      </x:c>
      <x:c r="K1101" s="72" t="n">
        <x:v>30.074519</x:v>
      </x:c>
      <x:c r="L1101" s="72" t="n">
        <x:v>-95.6557622</x:v>
      </x:c>
      <x:c r="M1101" s="72" t="n">
        <x:v>16.345</x:v>
      </x:c>
      <x:c r="N1101" s="72" t="n">
        <x:v>0.32719155470461464</x:v>
      </x:c>
      <x:c r="O1101" s="72"/>
      <x:c r="P1101" s="72" t="n">
        <x:v>-1</x:v>
      </x:c>
      <x:c r="Q1101" s="72" t="n">
        <x:v>1030.5891490091212</x:v>
      </x:c>
      <x:c r="R1101" s="36" t="str">
        <x:v>tract internal point; no person, address, building, parcel, or route condition</x:v>
      </x:c>
    </x:row>
    <x:row r="1102" ht="86.4000015258789" hidden="0" customHeight="1">
      <x:c r="A1102" s="34" t="str">
        <x:v>48201555503</x:v>
      </x:c>
      <x:c r="B1102" s="62" t="n">
        <x:v>13885</x:v>
      </x:c>
      <x:c r="C1102" s="62" t="n">
        <x:v>860</x:v>
      </x:c>
      <x:c r="D1102" s="62" t="n">
        <x:v>0</x:v>
      </x:c>
      <x:c r="E1102" s="43" t="n">
        <x:v>0.061937342455887646</x:v>
      </x:c>
      <x:c r="F1102" s="43" t="n">
        <x:v>0</x:v>
      </x:c>
      <x:c r="G1102" s="65" t="n">
        <x:v>4694</x:v>
      </x:c>
      <x:c r="H1102" s="65" t="n">
        <x:v>183</x:v>
      </x:c>
      <x:c r="I1102" s="65" t="n">
        <x:v>0.038985939497230504</x:v>
      </x:c>
      <x:c r="J1102" s="34" t="str">
        <x:v>low</x:v>
      </x:c>
      <x:c r="K1102" s="71" t="n">
        <x:v>30.0371605</x:v>
      </x:c>
      <x:c r="L1102" s="71" t="n">
        <x:v>-95.6531192</x:v>
      </x:c>
      <x:c r="M1102" s="71" t="n">
        <x:v>8.99</x:v>
      </x:c>
      <x:c r="N1102" s="71" t="n">
        <x:v>0.025813297671013615</x:v>
      </x:c>
      <x:c r="O1102" s="71" t="n">
        <x:v>22.4592163720011</x:v>
      </x:c>
      <x:c r="P1102" s="71" t="n">
        <x:v>5</x:v>
      </x:c>
      <x:c r="Q1102" s="71" t="n">
        <x:v>1104.813284207081</x:v>
      </x:c>
      <x:c r="R1102" s="34" t="str">
        <x:v>tract internal point; no person, address, building, parcel, or route condition</x:v>
      </x:c>
    </x:row>
    <x:row r="1103" ht="86.4000015258789" hidden="0" customHeight="1">
      <x:c r="A1103" s="36" t="str">
        <x:v>48201555504</x:v>
      </x:c>
      <x:c r="B1103" s="63" t="n">
        <x:v>8095</x:v>
      </x:c>
      <x:c r="C1103" s="63" t="n">
        <x:v>518</x:v>
      </x:c>
      <x:c r="D1103" s="63" t="n">
        <x:v>22.5</x:v>
      </x:c>
      <x:c r="E1103" s="45" t="n">
        <x:v>0.06399011735639283</x:v>
      </x:c>
      <x:c r="F1103" s="45" t="n">
        <x:v>0.002779493514515133</x:v>
      </x:c>
      <x:c r="G1103" s="66" t="n">
        <x:v>2844</x:v>
      </x:c>
      <x:c r="H1103" s="66" t="n">
        <x:v>376</x:v>
      </x:c>
      <x:c r="I1103" s="66" t="n">
        <x:v>0.13220815752461323</x:v>
      </x:c>
      <x:c r="J1103" s="36" t="str">
        <x:v>low</x:v>
      </x:c>
      <x:c r="K1103" s="72" t="n">
        <x:v>30.0274335</x:v>
      </x:c>
      <x:c r="L1103" s="72" t="n">
        <x:v>-95.6238958</x:v>
      </x:c>
      <x:c r="M1103" s="72" t="n">
        <x:v>1.194</x:v>
      </x:c>
      <x:c r="N1103" s="72" t="n">
        <x:v>0.01948474094593073</x:v>
      </x:c>
      <x:c r="O1103" s="72" t="n">
        <x:v>22.950265334638562</x:v>
      </x:c>
      <x:c r="P1103" s="72" t="n">
        <x:v>5</x:v>
      </x:c>
      <x:c r="Q1103" s="72" t="n">
        <x:v>644.5477713445002</x:v>
      </x:c>
      <x:c r="R1103" s="36" t="str">
        <x:v>tract internal point; no person, address, building, parcel, or route condition</x:v>
      </x:c>
    </x:row>
    <x:row r="1104" ht="86.4000015258789" hidden="0" customHeight="1">
      <x:c r="A1104" s="34" t="str">
        <x:v>48201555505</x:v>
      </x:c>
      <x:c r="B1104" s="62" t="n">
        <x:v>11508</x:v>
      </x:c>
      <x:c r="C1104" s="62" t="n">
        <x:v>1014</x:v>
      </x:c>
      <x:c r="D1104" s="62" t="n">
        <x:v>338</x:v>
      </x:c>
      <x:c r="E1104" s="43" t="n">
        <x:v>0.0881126173096976</x:v>
      </x:c>
      <x:c r="F1104" s="43" t="n">
        <x:v>0.029370872436565866</x:v>
      </x:c>
      <x:c r="G1104" s="65" t="n">
        <x:v>3592</x:v>
      </x:c>
      <x:c r="H1104" s="65" t="n">
        <x:v>486</x:v>
      </x:c>
      <x:c r="I1104" s="65" t="n">
        <x:v>0.13530066815144767</x:v>
      </x:c>
      <x:c r="J1104" s="34" t="str">
        <x:v>low</x:v>
      </x:c>
      <x:c r="K1104" s="71" t="n">
        <x:v>30.0146297</x:v>
      </x:c>
      <x:c r="L1104" s="71" t="n">
        <x:v>-95.6149184</x:v>
      </x:c>
      <x:c r="M1104" s="71" t="n">
        <x:v>2.89</x:v>
      </x:c>
      <x:c r="N1104" s="71" t="n">
        <x:v>0.11468618906770235</x:v>
      </x:c>
      <x:c r="O1104" s="71" t="n">
        <x:v>21.286840374927074</x:v>
      </x:c>
      <x:c r="P1104" s="71" t="n">
        <x:v>5</x:v>
      </x:c>
      <x:c r="Q1104" s="71" t="n">
        <x:v>923.0696519668836</x:v>
      </x:c>
      <x:c r="R1104" s="34" t="str">
        <x:v>tract internal point; no person, address, building, parcel, or route condition</x:v>
      </x:c>
    </x:row>
    <x:row r="1105" ht="86.4000015258789" hidden="0" customHeight="1">
      <x:c r="A1105" s="36" t="str">
        <x:v>48201555600</x:v>
      </x:c>
      <x:c r="B1105" s="63" t="n">
        <x:v>9965</x:v>
      </x:c>
      <x:c r="C1105" s="63" t="n">
        <x:v>554</x:v>
      </x:c>
      <x:c r="D1105" s="63" t="n">
        <x:v>417</x:v>
      </x:c>
      <x:c r="E1105" s="45" t="n">
        <x:v>0.05559458103361766</x:v>
      </x:c>
      <x:c r="F1105" s="45" t="n">
        <x:v>0.04184646261916709</x:v>
      </x:c>
      <x:c r="G1105" s="66" t="n">
        <x:v>3092</x:v>
      </x:c>
      <x:c r="H1105" s="66" t="n">
        <x:v>0</x:v>
      </x:c>
      <x:c r="I1105" s="66" t="n">
        <x:v>0</x:v>
      </x:c>
      <x:c r="J1105" s="36" t="str">
        <x:v>low</x:v>
      </x:c>
      <x:c r="K1105" s="72" t="n">
        <x:v>30.058696</x:v>
      </x:c>
      <x:c r="L1105" s="72" t="n">
        <x:v>-95.7296478</x:v>
      </x:c>
      <x:c r="M1105" s="72" t="n">
        <x:v>20.967</x:v>
      </x:c>
      <x:c r="N1105" s="72" t="n">
        <x:v>0.09329876744642783</x:v>
      </x:c>
      <x:c r="O1105" s="72" t="n">
        <x:v>17.851025417752947</x:v>
      </x:c>
      <x:c r="P1105" s="72" t="n">
        <x:v>5</x:v>
      </x:c>
      <x:c r="Q1105" s="72" t="n">
        <x:v>795.1873374806247</x:v>
      </x:c>
      <x:c r="R1105" s="36" t="str">
        <x:v>tract internal point; no person, address, building, parcel, or route condition</x:v>
      </x:c>
    </x:row>
    <x:row r="1106" ht="86.4000015258789" hidden="0" customHeight="1">
      <x:c r="A1106" s="34" t="str">
        <x:v>48201555701</x:v>
      </x:c>
      <x:c r="B1106" s="62" t="n">
        <x:v>12304</x:v>
      </x:c>
      <x:c r="C1106" s="62" t="n">
        <x:v>774</x:v>
      </x:c>
      <x:c r="D1106" s="62" t="n">
        <x:v>0</x:v>
      </x:c>
      <x:c r="E1106" s="43" t="n">
        <x:v>0.06290637191157347</x:v>
      </x:c>
      <x:c r="F1106" s="43" t="n">
        <x:v>0</x:v>
      </x:c>
      <x:c r="G1106" s="65" t="n">
        <x:v>3836</x:v>
      </x:c>
      <x:c r="H1106" s="65" t="n">
        <x:v>65</x:v>
      </x:c>
      <x:c r="I1106" s="65" t="n">
        <x:v>0.01694473409801877</x:v>
      </x:c>
      <x:c r="J1106" s="34" t="str">
        <x:v>low</x:v>
      </x:c>
      <x:c r="K1106" s="71" t="n">
        <x:v>30.009967</x:v>
      </x:c>
      <x:c r="L1106" s="71" t="n">
        <x:v>-95.740363</x:v>
      </x:c>
      <x:c r="M1106" s="71" t="n">
        <x:v>4.156</x:v>
      </x:c>
      <x:c r="N1106" s="71" t="n">
        <x:v>0.03144314874642105</x:v>
      </x:c>
      <x:c r="O1106" s="71" t="n">
        <x:v>11.905954583038868</x:v>
      </x:c>
      <x:c r="P1106" s="71" t="n">
        <x:v>5</x:v>
      </x:c>
      <x:c r="Q1106" s="71" t="n">
        <x:v>979.2023721476261</x:v>
      </x:c>
      <x:c r="R1106" s="34" t="str">
        <x:v>tract internal point; no person, address, building, parcel, or route condition</x:v>
      </x:c>
    </x:row>
    <x:row r="1107" ht="86.4000015258789" hidden="0" customHeight="1">
      <x:c r="A1107" s="36" t="str">
        <x:v>48201555703</x:v>
      </x:c>
      <x:c r="B1107" s="63" t="n">
        <x:v>6280</x:v>
      </x:c>
      <x:c r="C1107" s="63" t="n">
        <x:v>542</x:v>
      </x:c>
      <x:c r="D1107" s="63" t="n">
        <x:v>20</x:v>
      </x:c>
      <x:c r="E1107" s="45" t="n">
        <x:v>0.08630573248407643</x:v>
      </x:c>
      <x:c r="F1107" s="45" t="n">
        <x:v>0.0031847133757961785</x:v>
      </x:c>
      <x:c r="G1107" s="66" t="n">
        <x:v>2186</x:v>
      </x:c>
      <x:c r="H1107" s="66" t="n">
        <x:v>56</x:v>
      </x:c>
      <x:c r="I1107" s="66" t="n">
        <x:v>0.025617566331198535</x:v>
      </x:c>
      <x:c r="J1107" s="36" t="str">
        <x:v>low</x:v>
      </x:c>
      <x:c r="K1107" s="72" t="n">
        <x:v>30.0004953</x:v>
      </x:c>
      <x:c r="L1107" s="72" t="n">
        <x:v>-95.7489515</x:v>
      </x:c>
      <x:c r="M1107" s="72" t="n">
        <x:v>1.485</x:v>
      </x:c>
      <x:c r="N1107" s="72" t="n">
        <x:v>0.025281393521330898</x:v>
      </x:c>
      <x:c r="O1107" s="72" t="n">
        <x:v>11.139894554302765</x:v>
      </x:c>
      <x:c r="P1107" s="72" t="n">
        <x:v>5</x:v>
      </x:c>
      <x:c r="Q1107" s="72" t="n">
        <x:v>502.25501966258315</x:v>
      </x:c>
      <x:c r="R1107" s="36" t="str">
        <x:v>tract internal point; no person, address, building, parcel, or route condition</x:v>
      </x:c>
    </x:row>
    <x:row r="1108" ht="86.4000015258789" hidden="0" customHeight="1">
      <x:c r="A1108" s="34" t="str">
        <x:v>48201555704</x:v>
      </x:c>
      <x:c r="B1108" s="62" t="n">
        <x:v>8211</x:v>
      </x:c>
      <x:c r="C1108" s="62" t="n">
        <x:v>676</x:v>
      </x:c>
      <x:c r="D1108" s="62" t="n">
        <x:v>0</x:v>
      </x:c>
      <x:c r="E1108" s="43" t="n">
        <x:v>0.08232858360735598</x:v>
      </x:c>
      <x:c r="F1108" s="43" t="n">
        <x:v>0</x:v>
      </x:c>
      <x:c r="G1108" s="65" t="n">
        <x:v>2388</x:v>
      </x:c>
      <x:c r="H1108" s="65" t="n">
        <x:v>0</x:v>
      </x:c>
      <x:c r="I1108" s="65" t="n">
        <x:v>0</x:v>
      </x:c>
      <x:c r="J1108" s="34" t="str">
        <x:v>low</x:v>
      </x:c>
      <x:c r="K1108" s="71" t="n">
        <x:v>30.0131548</x:v>
      </x:c>
      <x:c r="L1108" s="71" t="n">
        <x:v>-95.7659789</x:v>
      </x:c>
      <x:c r="M1108" s="71" t="n">
        <x:v>3.055</x:v>
      </x:c>
      <x:c r="N1108" s="71" t="n">
        <x:v>0.029311902362941223</x:v>
      </x:c>
      <x:c r="O1108" s="71" t="n">
        <x:v>12.06239177384521</x:v>
      </x:c>
      <x:c r="P1108" s="71" t="n">
        <x:v>5</x:v>
      </x:c>
      <x:c r="Q1108" s="71" t="n">
        <x:v>655.9715894322501</x:v>
      </x:c>
      <x:c r="R1108" s="34" t="str">
        <x:v>tract internal point; no person, address, building, parcel, or route condition</x:v>
      </x:c>
    </x:row>
    <x:row r="1109" ht="86.4000015258789" hidden="0" customHeight="1">
      <x:c r="A1109" s="36" t="str">
        <x:v>48201556000</x:v>
      </x:c>
      <x:c r="B1109" s="63" t="n">
        <x:v>15767</x:v>
      </x:c>
      <x:c r="C1109" s="63" t="n">
        <x:v>1286</x:v>
      </x:c>
      <x:c r="D1109" s="63" t="n">
        <x:v>410</x:v>
      </x:c>
      <x:c r="E1109" s="45" t="n">
        <x:v>0.08156275765840046</x:v>
      </x:c>
      <x:c r="F1109" s="45" t="n">
        <x:v>0.026003678569163444</x:v>
      </x:c>
      <x:c r="G1109" s="66" t="n">
        <x:v>5903</x:v>
      </x:c>
      <x:c r="H1109" s="66" t="n">
        <x:v>420</x:v>
      </x:c>
      <x:c r="I1109" s="66" t="n">
        <x:v>0.07115026257834998</x:v>
      </x:c>
      <x:c r="J1109" s="36" t="str">
        <x:v>low</x:v>
      </x:c>
      <x:c r="K1109" s="72" t="n">
        <x:v>30.0771931</x:v>
      </x:c>
      <x:c r="L1109" s="72" t="n">
        <x:v>-95.8554199</x:v>
      </x:c>
      <x:c r="M1109" s="72" t="n">
        <x:v>51.342</x:v>
      </x:c>
      <x:c r="N1109" s="72" t="n">
        <x:v>0.4514719907070728</x:v>
      </x:c>
      <x:c r="O1109" s="72" t="n">
        <x:v>2.7088319442424367</x:v>
      </x:c>
      <x:c r="P1109" s="72" t="n">
        <x:v>4</x:v>
      </x:c>
      <x:c r="Q1109" s="72" t="n">
        <x:v>1262.6482445360746</x:v>
      </x:c>
      <x:c r="R1109" s="36" t="str">
        <x:v>tract internal point; no person, address, building, parcel, or route condition</x:v>
      </x:c>
    </x:row>
    <x:row r="1110" ht="86.4000015258789" hidden="0" customHeight="1">
      <x:c r="A1110" s="34" t="str">
        <x:v>48201556100</x:v>
      </x:c>
      <x:c r="B1110" s="62" t="n">
        <x:v>3757</x:v>
      </x:c>
      <x:c r="C1110" s="62" t="n">
        <x:v>512</x:v>
      </x:c>
      <x:c r="D1110" s="62" t="n">
        <x:v>0</x:v>
      </x:c>
      <x:c r="E1110" s="43" t="n">
        <x:v>0.1362789459675273</x:v>
      </x:c>
      <x:c r="F1110" s="43" t="n">
        <x:v>0</x:v>
      </x:c>
      <x:c r="G1110" s="65" t="n">
        <x:v>1260</x:v>
      </x:c>
      <x:c r="H1110" s="65" t="n">
        <x:v>0</x:v>
      </x:c>
      <x:c r="I1110" s="65" t="n">
        <x:v>0</x:v>
      </x:c>
      <x:c r="J1110" s="34" t="str">
        <x:v>low</x:v>
      </x:c>
      <x:c r="K1110" s="71" t="n">
        <x:v>30.021634</x:v>
      </x:c>
      <x:c r="L1110" s="71" t="n">
        <x:v>-95.5443711</x:v>
      </x:c>
      <x:c r="M1110" s="71" t="n">
        <x:v>0.82</x:v>
      </x:c>
      <x:c r="N1110" s="71" t="n">
        <x:v>0.02962327500723881</x:v>
      </x:c>
      <x:c r="O1110" s="71" t="n">
        <x:v>25.58349917938413</x:v>
      </x:c>
      <x:c r="P1110" s="71" t="n">
        <x:v>2</x:v>
      </x:c>
      <x:c r="Q1110" s="71" t="n">
        <x:v>303.330468027944</x:v>
      </x:c>
      <x:c r="R1110" s="34" t="str">
        <x:v>tract internal point; no person, address, building, parcel, or route condition</x:v>
      </x:c>
    </x:row>
    <x:row r="1111" ht="86.4000015258789" hidden="0" customHeight="1">
      <x:c r="A1111" s="36" t="str">
        <x:v>48201980000</x:v>
      </x:c>
      <x:c r="B1111" s="63" t="n">
        <x:v>35</x:v>
      </x:c>
      <x:c r="C1111" s="63" t="n">
        <x:v>6</x:v>
      </x:c>
      <x:c r="D1111" s="63" t="n">
        <x:v>0</x:v>
      </x:c>
      <x:c r="E1111" s="45" t="n">
        <x:v>0.17142857142857143</x:v>
      </x:c>
      <x:c r="F1111" s="45" t="n">
        <x:v>0</x:v>
      </x:c>
      <x:c r="G1111" s="66" t="n">
        <x:v>22</x:v>
      </x:c>
      <x:c r="H1111" s="66" t="n">
        <x:v>0</x:v>
      </x:c>
      <x:c r="I1111" s="66" t="n">
        <x:v>0</x:v>
      </x:c>
      <x:c r="J1111" s="36" t="str">
        <x:v>low</x:v>
      </x:c>
      <x:c r="K1111" s="72" t="n">
        <x:v>29.6471554</x:v>
      </x:c>
      <x:c r="L1111" s="72" t="n">
        <x:v>-95.2762041</x:v>
      </x:c>
      <x:c r="M1111" s="72" t="n">
        <x:v>2.134</x:v>
      </x:c>
      <x:c r="N1111" s="72" t="n">
        <x:v>0.881734341675239</x:v>
      </x:c>
      <x:c r="O1111" s="72" t="n">
        <x:v>18.377483171838186</x:v>
      </x:c>
      <x:c r="P1111" s="72" t="n">
        <x:v>3</x:v>
      </x:c>
      <x:c r="Q1111" s="72" t="n">
        <x:v>2.845147676481207</x:v>
      </x:c>
      <x:c r="R1111" s="36" t="str">
        <x:v>tract internal point; no person, address, building, parcel, or route condition</x:v>
      </x:c>
    </x:row>
    <x:row r="1112" ht="86.4000015258789" hidden="0" customHeight="1">
      <x:c r="A1112" s="34" t="str">
        <x:v>48201980200</x:v>
      </x:c>
      <x:c r="B1112" s="62" t="n">
        <x:v>160</x:v>
      </x:c>
      <x:c r="C1112" s="62" t="n">
        <x:v>25</x:v>
      </x:c>
      <x:c r="D1112" s="62" t="n">
        <x:v>31</x:v>
      </x:c>
      <x:c r="E1112" s="43" t="n">
        <x:v>0.15625</x:v>
      </x:c>
      <x:c r="F1112" s="43" t="n">
        <x:v>0.19375</x:v>
      </x:c>
      <x:c r="G1112" s="65" t="n">
        <x:v>145</x:v>
      </x:c>
      <x:c r="H1112" s="65" t="n">
        <x:v>52</x:v>
      </x:c>
      <x:c r="I1112" s="65" t="n">
        <x:v>0.3586206896551724</x:v>
      </x:c>
      <x:c r="J1112" s="34" t="str">
        <x:v>low</x:v>
      </x:c>
      <x:c r="K1112" s="71" t="n">
        <x:v>29.7663846</x:v>
      </x:c>
      <x:c r="L1112" s="71" t="n">
        <x:v>-95.3513042</x:v>
      </x:c>
      <x:c r="M1112" s="71" t="n">
        <x:v>0.256</x:v>
      </x:c>
      <x:c r="N1112" s="71" t="n">
        <x:v>0.06576956480534564</x:v>
      </x:c>
      <x:c r="O1112" s="71" t="n">
        <x:v>14.231173433353353</x:v>
      </x:c>
      <x:c r="P1112" s="71" t="n">
        <x:v>3</x:v>
      </x:c>
      <x:c r="Q1112" s="71" t="n">
        <x:v>13.211859790510799</x:v>
      </x:c>
      <x:c r="R1112" s="34" t="str">
        <x:v>tract internal point; no person, address, building, parcel, or route condition</x:v>
      </x:c>
    </x:row>
    <x:row r="1113" ht="86.4000015258789" hidden="0" customHeight="1">
      <x:c r="A1113" s="36" t="str">
        <x:v>48201980300</x:v>
      </x:c>
      <x:c r="B1113" s="63" t="n">
        <x:v>2908</x:v>
      </x:c>
      <x:c r="C1113" s="63" t="n">
        <x:v>207</x:v>
      </x:c>
      <x:c r="D1113" s="63" t="n">
        <x:v>0</x:v>
      </x:c>
      <x:c r="E1113" s="45" t="n">
        <x:v>0.07118294360385144</x:v>
      </x:c>
      <x:c r="F1113" s="45" t="n">
        <x:v>0</x:v>
      </x:c>
      <x:c r="G1113" s="66" t="n">
        <x:v>5</x:v>
      </x:c>
      <x:c r="H1113" s="66" t="n">
        <x:v>0</x:v>
      </x:c>
      <x:c r="I1113" s="66" t="n">
        <x:v>0</x:v>
      </x:c>
      <x:c r="J1113" s="36" t="str">
        <x:v>moderate</x:v>
      </x:c>
      <x:c r="K1113" s="72" t="n">
        <x:v>29.7172259</x:v>
      </x:c>
      <x:c r="L1113" s="72" t="n">
        <x:v>-95.4027324</x:v>
      </x:c>
      <x:c r="M1113" s="72" t="n">
        <x:v>0.47</x:v>
      </x:c>
      <x:c r="N1113" s="72" t="n">
        <x:v>0.37727237806884917</x:v>
      </x:c>
      <x:c r="O1113" s="72" t="n">
        <x:v>15.229710725988385</x:v>
      </x:c>
      <x:c r="P1113" s="72" t="n">
        <x:v>3</x:v>
      </x:c>
      <x:c r="Q1113" s="72" t="n">
        <x:v>410.1232613925085</x:v>
      </x:c>
      <x:c r="R1113" s="36" t="str">
        <x:v>tract internal point; no person, address, building, parcel, or route condition</x:v>
      </x:c>
    </x:row>
    <x:row r="1114" ht="86.4000015258789" hidden="0" customHeight="1">
      <x:c r="A1114" s="34" t="str">
        <x:v>48201980400</x:v>
      </x:c>
      <x:c r="B1114" s="62" t="n">
        <x:v>4285</x:v>
      </x:c>
      <x:c r="C1114" s="62" t="n">
        <x:v>202</x:v>
      </x:c>
      <x:c r="D1114" s="62" t="n">
        <x:v>0</x:v>
      </x:c>
      <x:c r="E1114" s="43" t="n">
        <x:v>0.04714119019836639</x:v>
      </x:c>
      <x:c r="F1114" s="43" t="n">
        <x:v>0</x:v>
      </x:c>
      <x:c r="G1114" s="65" t="n">
        <x:v>0</x:v>
      </x:c>
      <x:c r="H1114" s="65" t="n">
        <x:v>0</x:v>
      </x:c>
      <x:c r="I1114" s="65" t="n">
        <x:v>0</x:v>
      </x:c>
      <x:c r="J1114" s="34" t="str">
        <x:v>low</x:v>
      </x:c>
      <x:c r="K1114" s="71" t="n">
        <x:v>29.7222846</x:v>
      </x:c>
      <x:c r="L1114" s="71" t="n">
        <x:v>-95.3445785</x:v>
      </x:c>
      <x:c r="M1114" s="71" t="n">
        <x:v>0.516</x:v>
      </x:c>
      <x:c r="N1114" s="71" t="n">
        <x:v>0.06442039160078387</x:v>
      </x:c>
      <x:c r="O1114" s="71" t="n">
        <x:v>14.086287111006623</x:v>
      </x:c>
      <x:c r="P1114" s="71" t="n">
        <x:v>3</x:v>
      </x:c>
      <x:c r="Q1114" s="71" t="n">
        <x:v>339.9558497196634</x:v>
      </x:c>
      <x:c r="R1114" s="34" t="str">
        <x:v>tract internal point; no person, address, building, parcel, or route condition</x:v>
      </x:c>
    </x:row>
    <x:row r="1115" ht="86.4000015258789" hidden="0" customHeight="1">
      <x:c r="A1115" s="36" t="str">
        <x:v>48201980700</x:v>
      </x:c>
      <x:c r="B1115" s="63" t="n">
        <x:v>2014</x:v>
      </x:c>
      <x:c r="C1115" s="63" t="n">
        <x:v>114</x:v>
      </x:c>
      <x:c r="D1115" s="63" t="n">
        <x:v>117</x:v>
      </x:c>
      <x:c r="E1115" s="45" t="n">
        <x:v>0.05660377358490566</x:v>
      </x:c>
      <x:c r="F1115" s="45" t="n">
        <x:v>0.05809334657398212</x:v>
      </x:c>
      <x:c r="G1115" s="66" t="n">
        <x:v>1781</x:v>
      </x:c>
      <x:c r="H1115" s="66" t="n">
        <x:v>1613</x:v>
      </x:c>
      <x:c r="I1115" s="66" t="n">
        <x:v>0.905670971364402</x:v>
      </x:c>
      <x:c r="J1115" s="36" t="str">
        <x:v>moderate</x:v>
      </x:c>
      <x:c r="K1115" s="72" t="n">
        <x:v>29.762179</x:v>
      </x:c>
      <x:c r="L1115" s="72" t="n">
        <x:v>-95.365248</x:v>
      </x:c>
      <x:c r="M1115" s="72" t="n">
        <x:v>0.485</x:v>
      </x:c>
      <x:c r="N1115" s="72" t="n">
        <x:v>0.0727114280598935</x:v>
      </x:c>
      <x:c r="O1115" s="72" t="n">
        <x:v>14.454903540759906</x:v>
      </x:c>
      <x:c r="P1115" s="72" t="n">
        <x:v>3</x:v>
      </x:c>
      <x:c r="Q1115" s="72" t="n">
        <x:v>284.8503088636853</x:v>
      </x:c>
      <x:c r="R1115" s="36" t="str">
        <x:v>tract internal point; no person, address, building, parcel, or route condition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</x:cols>
  <x:sheetData>
    <x:row r="1" ht="29" customHeight="1">
      <x:c r="A1" s="2" t="str">
        <x:v>Reference tract outcomes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6" t="str">
        <x:v>Generated service closure by architecture preserves the geographic tail used in the bottom-decile admission rule.</x:v>
      </x:c>
      <x:c r="B2" s="6"/>
      <x:c r="C2" s="6"/>
      <x:c r="D2" s="6"/>
      <x:c r="E2" s="6"/>
      <x:c r="F2" s="6"/>
      <x:c r="G2" s="6"/>
      <x:c r="H2" s="6"/>
      <x:c r="I2" s="6"/>
    </x:row>
    <x:row r="4" ht="34" customHeight="1">
      <x:c r="A4" s="25" t="str">
        <x:v>Architecture</x:v>
      </x:c>
      <x:c r="B4" s="26" t="str">
        <x:v>GEOID</x:v>
      </x:c>
      <x:c r="C4" s="26" t="str">
        <x:v>Demand</x:v>
      </x:c>
      <x:c r="D4" s="26" t="str">
        <x:v>Local service</x:v>
      </x:c>
      <x:c r="E4" s="26" t="str">
        <x:v>Movement demand</x:v>
      </x:c>
      <x:c r="F4" s="26" t="str">
        <x:v>Arrived</x:v>
      </x:c>
      <x:c r="G4" s="26" t="str">
        <x:v>Total service</x:v>
      </x:c>
      <x:c r="H4" s="26" t="str">
        <x:v>Closure 168h</x:v>
      </x:c>
      <x:c r="I4" s="27" t="str">
        <x:v>Outcome boundary</x:v>
      </x:c>
    </x:row>
    <x:row r="5" ht="75.5999984741211" hidden="0" customHeight="1">
      <x:c r="A5" s="35" t="str">
        <x:v>M0</x:v>
      </x:c>
      <x:c r="B5" s="35" t="str">
        <x:v>48201100001</x:v>
      </x:c>
      <x:c r="C5" s="64" t="n">
        <x:v>401.32694262519794</x:v>
      </x:c>
      <x:c r="D5" s="64" t="n">
        <x:v>44.17447198647314</x:v>
      </x:c>
      <x:c r="E5" s="64" t="n">
        <x:v>357.1524706387248</x:v>
      </x:c>
      <x:c r="F5" s="64" t="n">
        <x:v>128.33690490033473</x:v>
      </x:c>
      <x:c r="G5" s="64" t="n">
        <x:v>172.51137688680785</x:v>
      </x:c>
      <x:c r="H5" s="41" t="n">
        <x:v>0.4298524683101514</x:v>
      </x:c>
      <x:c r="I5" s="35" t="str">
        <x:v>generated design-reference observation; not predicted tract behavior</x:v>
      </x:c>
    </x:row>
    <x:row r="6" ht="75.5999984741211" hidden="0" customHeight="1">
      <x:c r="A6" s="34" t="str">
        <x:v>M0</x:v>
      </x:c>
      <x:c r="B6" s="34" t="str">
        <x:v>48201210400</x:v>
      </x:c>
      <x:c r="C6" s="65" t="n">
        <x:v>299.7190167645652</x:v>
      </x:c>
      <x:c r="D6" s="65" t="n">
        <x:v>53.49816067777397</x:v>
      </x:c>
      <x:c r="E6" s="65" t="n">
        <x:v>246.22085608679123</x:v>
      </x:c>
      <x:c r="F6" s="65" t="n">
        <x:v>190.7473371186405</x:v>
      </x:c>
      <x:c r="G6" s="65" t="n">
        <x:v>244.24549779641447</x:v>
      </x:c>
      <x:c r="H6" s="43" t="n">
        <x:v>0.8149149174217191</x:v>
      </x:c>
      <x:c r="I6" s="34" t="str">
        <x:v>generated design-reference observation; not predicted tract behavior</x:v>
      </x:c>
    </x:row>
    <x:row r="7" ht="75.5999984741211" hidden="0" customHeight="1">
      <x:c r="A7" s="36" t="str">
        <x:v>M0</x:v>
      </x:c>
      <x:c r="B7" s="36" t="str">
        <x:v>48201210500</x:v>
      </x:c>
      <x:c r="C7" s="66" t="n">
        <x:v>397.1613949220625</x:v>
      </x:c>
      <x:c r="D7" s="66" t="n">
        <x:v>71.52720095517363</x:v>
      </x:c>
      <x:c r="E7" s="66" t="n">
        <x:v>325.6341939668889</x:v>
      </x:c>
      <x:c r="F7" s="66" t="n">
        <x:v>253.74690931877709</x:v>
      </x:c>
      <x:c r="G7" s="66" t="n">
        <x:v>325.2741102739507</x:v>
      </x:c>
      <x:c r="H7" s="45" t="n">
        <x:v>0.8189973004243811</x:v>
      </x:c>
      <x:c r="I7" s="36" t="str">
        <x:v>generated design-reference observation; not predicted tract behavior</x:v>
      </x:c>
    </x:row>
    <x:row r="8" ht="75.5999984741211" hidden="0" customHeight="1">
      <x:c r="A8" s="34" t="str">
        <x:v>M0</x:v>
      </x:c>
      <x:c r="B8" s="34" t="str">
        <x:v>48201210600</x:v>
      </x:c>
      <x:c r="C8" s="65" t="n">
        <x:v>448.51945429213555</x:v>
      </x:c>
      <x:c r="D8" s="65" t="n">
        <x:v>82.44948074771186</x:v>
      </x:c>
      <x:c r="E8" s="65" t="n">
        <x:v>366.0699735444237</x:v>
      </x:c>
      <x:c r="F8" s="65" t="n">
        <x:v>292.61355765137625</x:v>
      </x:c>
      <x:c r="G8" s="65" t="n">
        <x:v>375.0630383990881</x:v>
      </x:c>
      <x:c r="H8" s="43" t="n">
        <x:v>0.8362246828089582</x:v>
      </x:c>
      <x:c r="I8" s="34" t="str">
        <x:v>generated design-reference observation; not predicted tract behavior</x:v>
      </x:c>
    </x:row>
    <x:row r="9" ht="75.5999984741211" hidden="0" customHeight="1">
      <x:c r="A9" s="36" t="str">
        <x:v>M0</x:v>
      </x:c>
      <x:c r="B9" s="36" t="str">
        <x:v>48201210700</x:v>
      </x:c>
      <x:c r="C9" s="66" t="n">
        <x:v>181.14630841861566</x:v>
      </x:c>
      <x:c r="D9" s="66" t="n">
        <x:v>33.10448786350201</x:v>
      </x:c>
      <x:c r="E9" s="66" t="n">
        <x:v>148.04182055511365</x:v>
      </x:c>
      <x:c r="F9" s="66" t="n">
        <x:v>100.34786092062876</x:v>
      </x:c>
      <x:c r="G9" s="66" t="n">
        <x:v>133.45234878413078</x:v>
      </x:c>
      <x:c r="H9" s="45" t="n">
        <x:v>0.7367102865587098</x:v>
      </x:c>
      <x:c r="I9" s="36" t="str">
        <x:v>generated design-reference observation; not predicted tract behavior</x:v>
      </x:c>
    </x:row>
    <x:row r="10" ht="75.5999984741211" hidden="0" customHeight="1">
      <x:c r="A10" s="34" t="str">
        <x:v>M0</x:v>
      </x:c>
      <x:c r="B10" s="34" t="str">
        <x:v>48201210800</x:v>
      </x:c>
      <x:c r="C10" s="65" t="n">
        <x:v>184.95031801921485</x:v>
      </x:c>
      <x:c r="D10" s="65" t="n">
        <x:v>32.823380944116835</x:v>
      </x:c>
      <x:c r="E10" s="65" t="n">
        <x:v>152.126937075098</x:v>
      </x:c>
      <x:c r="F10" s="65" t="n">
        <x:v>0</x:v>
      </x:c>
      <x:c r="G10" s="65" t="n">
        <x:v>32.823380944116835</x:v>
      </x:c>
      <x:c r="H10" s="43" t="n">
        <x:v>0.17747134092900965</x:v>
      </x:c>
      <x:c r="I10" s="34" t="str">
        <x:v>generated design-reference observation; not predicted tract behavior</x:v>
      </x:c>
    </x:row>
    <x:row r="11" ht="75.5999984741211" hidden="0" customHeight="1">
      <x:c r="A11" s="36" t="str">
        <x:v>M0</x:v>
      </x:c>
      <x:c r="B11" s="36" t="str">
        <x:v>48201210900</x:v>
      </x:c>
      <x:c r="C11" s="66" t="n">
        <x:v>314.54298583670305</x:v>
      </x:c>
      <x:c r="D11" s="66" t="n">
        <x:v>28.308868725303274</x:v>
      </x:c>
      <x:c r="E11" s="66" t="n">
        <x:v>286.23411711139977</x:v>
      </x:c>
      <x:c r="F11" s="66" t="n">
        <x:v>286.23411711139977</x:v>
      </x:c>
      <x:c r="G11" s="66" t="n">
        <x:v>314.54298583670305</x:v>
      </x:c>
      <x:c r="H11" s="45" t="n">
        <x:v>1</x:v>
      </x:c>
      <x:c r="I11" s="36" t="str">
        <x:v>generated design-reference observation; not predicted tract behavior</x:v>
      </x:c>
    </x:row>
    <x:row r="12" ht="75.5999984741211" hidden="0" customHeight="1">
      <x:c r="A12" s="34" t="str">
        <x:v>M0</x:v>
      </x:c>
      <x:c r="B12" s="34" t="str">
        <x:v>48201211000</x:v>
      </x:c>
      <x:c r="C12" s="65" t="n">
        <x:v>301.62676506314926</x:v>
      </x:c>
      <x:c r="D12" s="65" t="n">
        <x:v>27.05065164639407</x:v>
      </x:c>
      <x:c r="E12" s="65" t="n">
        <x:v>274.5761134167552</x:v>
      </x:c>
      <x:c r="F12" s="65" t="n">
        <x:v>274.5761134167552</x:v>
      </x:c>
      <x:c r="G12" s="65" t="n">
        <x:v>301.62676506314926</x:v>
      </x:c>
      <x:c r="H12" s="43" t="n">
        <x:v>1</x:v>
      </x:c>
      <x:c r="I12" s="34" t="str">
        <x:v>generated design-reference observation; not predicted tract behavior</x:v>
      </x:c>
    </x:row>
    <x:row r="13" ht="75.5999984741211" hidden="0" customHeight="1">
      <x:c r="A13" s="36" t="str">
        <x:v>M0</x:v>
      </x:c>
      <x:c r="B13" s="36" t="str">
        <x:v>48201211101</x:v>
      </x:c>
      <x:c r="C13" s="66" t="n">
        <x:v>429.67412955273994</x:v>
      </x:c>
      <x:c r="D13" s="66" t="n">
        <x:v>68.07487451976097</x:v>
      </x:c>
      <x:c r="E13" s="66" t="n">
        <x:v>361.599255032979</x:v>
      </x:c>
      <x:c r="F13" s="66" t="n">
        <x:v>361.599255032979</x:v>
      </x:c>
      <x:c r="G13" s="66" t="n">
        <x:v>429.67412955273994</x:v>
      </x:c>
      <x:c r="H13" s="45" t="n">
        <x:v>1</x:v>
      </x:c>
      <x:c r="I13" s="36" t="str">
        <x:v>generated design-reference observation; not predicted tract behavior</x:v>
      </x:c>
    </x:row>
    <x:row r="14" ht="75.5999984741211" hidden="0" customHeight="1">
      <x:c r="A14" s="34" t="str">
        <x:v>M0</x:v>
      </x:c>
      <x:c r="B14" s="34" t="str">
        <x:v>48201211102</x:v>
      </x:c>
      <x:c r="C14" s="65" t="n">
        <x:v>345.4774675966933</x:v>
      </x:c>
      <x:c r="D14" s="65" t="n">
        <x:v>55.356610005505594</x:v>
      </x:c>
      <x:c r="E14" s="65" t="n">
        <x:v>290.1208575911877</x:v>
      </x:c>
      <x:c r="F14" s="65" t="n">
        <x:v>290.1208575911877</x:v>
      </x:c>
      <x:c r="G14" s="65" t="n">
        <x:v>345.4774675966933</x:v>
      </x:c>
      <x:c r="H14" s="43" t="n">
        <x:v>1</x:v>
      </x:c>
      <x:c r="I14" s="34" t="str">
        <x:v>generated design-reference observation; not predicted tract behavior</x:v>
      </x:c>
    </x:row>
    <x:row r="15" ht="75.5999984741211" hidden="0" customHeight="1">
      <x:c r="A15" s="36" t="str">
        <x:v>M0</x:v>
      </x:c>
      <x:c r="B15" s="36" t="str">
        <x:v>48201211200</x:v>
      </x:c>
      <x:c r="C15" s="66" t="n">
        <x:v>416.044505834382</x:v>
      </x:c>
      <x:c r="D15" s="66" t="n">
        <x:v>34.87132215228177</x:v>
      </x:c>
      <x:c r="E15" s="66" t="n">
        <x:v>381.1731836821002</x:v>
      </x:c>
      <x:c r="F15" s="66" t="n">
        <x:v>381.1731836821002</x:v>
      </x:c>
      <x:c r="G15" s="66" t="n">
        <x:v>416.044505834382</x:v>
      </x:c>
      <x:c r="H15" s="45" t="n">
        <x:v>1</x:v>
      </x:c>
      <x:c r="I15" s="36" t="str">
        <x:v>generated design-reference observation; not predicted tract behavior</x:v>
      </x:c>
    </x:row>
    <x:row r="16" ht="75.5999984741211" hidden="0" customHeight="1">
      <x:c r="A16" s="34" t="str">
        <x:v>M0</x:v>
      </x:c>
      <x:c r="B16" s="34" t="str">
        <x:v>48201211301</x:v>
      </x:c>
      <x:c r="C16" s="65" t="n">
        <x:v>224.3776200055905</x:v>
      </x:c>
      <x:c r="D16" s="65" t="n">
        <x:v>41.70800980299093</x:v>
      </x:c>
      <x:c r="E16" s="65" t="n">
        <x:v>182.66961020259959</x:v>
      </x:c>
      <x:c r="F16" s="65" t="n">
        <x:v>182.66961020259959</x:v>
      </x:c>
      <x:c r="G16" s="65" t="n">
        <x:v>224.3776200055905</x:v>
      </x:c>
      <x:c r="H16" s="43" t="n">
        <x:v>1</x:v>
      </x:c>
      <x:c r="I16" s="34" t="str">
        <x:v>generated design-reference observation; not predicted tract behavior</x:v>
      </x:c>
    </x:row>
    <x:row r="17" ht="75.5999984741211" hidden="0" customHeight="1">
      <x:c r="A17" s="36" t="str">
        <x:v>M0</x:v>
      </x:c>
      <x:c r="B17" s="36" t="str">
        <x:v>48201211302</x:v>
      </x:c>
      <x:c r="C17" s="66" t="n">
        <x:v>175.89221664588723</x:v>
      </x:c>
      <x:c r="D17" s="66" t="n">
        <x:v>29.672410423276194</x:v>
      </x:c>
      <x:c r="E17" s="66" t="n">
        <x:v>146.21980622261103</x:v>
      </x:c>
      <x:c r="F17" s="66" t="n">
        <x:v>104.28985707916513</x:v>
      </x:c>
      <x:c r="G17" s="66" t="n">
        <x:v>133.96226750244134</x:v>
      </x:c>
      <x:c r="H17" s="45" t="n">
        <x:v>0.7616156647348369</x:v>
      </x:c>
      <x:c r="I17" s="36" t="str">
        <x:v>generated design-reference observation; not predicted tract behavior</x:v>
      </x:c>
    </x:row>
    <x:row r="18" ht="75.5999984741211" hidden="0" customHeight="1">
      <x:c r="A18" s="34" t="str">
        <x:v>M0</x:v>
      </x:c>
      <x:c r="B18" s="34" t="str">
        <x:v>48201211400</x:v>
      </x:c>
      <x:c r="C18" s="65" t="n">
        <x:v>354.0558357185785</x:v>
      </x:c>
      <x:c r="D18" s="65" t="n">
        <x:v>63.99761349102201</x:v>
      </x:c>
      <x:c r="E18" s="65" t="n">
        <x:v>290.0582222275565</x:v>
      </x:c>
      <x:c r="F18" s="65" t="n">
        <x:v>0</x:v>
      </x:c>
      <x:c r="G18" s="65" t="n">
        <x:v>63.99761349102201</x:v>
      </x:c>
      <x:c r="H18" s="43" t="n">
        <x:v>0.18075570866141732</x:v>
      </x:c>
      <x:c r="I18" s="34" t="str">
        <x:v>generated design-reference observation; not predicted tract behavior</x:v>
      </x:c>
    </x:row>
    <x:row r="19" ht="75.5999984741211" hidden="0" customHeight="1">
      <x:c r="A19" s="36" t="str">
        <x:v>M0</x:v>
      </x:c>
      <x:c r="B19" s="36" t="str">
        <x:v>48201211501</x:v>
      </x:c>
      <x:c r="C19" s="66" t="n">
        <x:v>255.21839205672933</x:v>
      </x:c>
      <x:c r="D19" s="66" t="n">
        <x:v>47.3607279985947</x:v>
      </x:c>
      <x:c r="E19" s="66" t="n">
        <x:v>207.85766405813462</x:v>
      </x:c>
      <x:c r="F19" s="66" t="n">
        <x:v>143.94266644531922</x:v>
      </x:c>
      <x:c r="G19" s="66" t="n">
        <x:v>191.30339444391393</x:v>
      </x:c>
      <x:c r="H19" s="45" t="n">
        <x:v>0.7495674308667828</x:v>
      </x:c>
      <x:c r="I19" s="36" t="str">
        <x:v>generated design-reference observation; not predicted tract behavior</x:v>
      </x:c>
    </x:row>
    <x:row r="20" ht="75.5999984741211" hidden="0" customHeight="1">
      <x:c r="A20" s="34" t="str">
        <x:v>M0</x:v>
      </x:c>
      <x:c r="B20" s="34" t="str">
        <x:v>48201211502</x:v>
      </x:c>
      <x:c r="C20" s="65" t="n">
        <x:v>226.63723314644227</x:v>
      </x:c>
      <x:c r="D20" s="65" t="n">
        <x:v>41.97345745410333</x:v>
      </x:c>
      <x:c r="E20" s="65" t="n">
        <x:v>184.66377569233893</x:v>
      </x:c>
      <x:c r="F20" s="65" t="n">
        <x:v>59.68734419513947</x:v>
      </x:c>
      <x:c r="G20" s="65" t="n">
        <x:v>101.6608016492428</x:v>
      </x:c>
      <x:c r="H20" s="43" t="n">
        <x:v>0.4485617841246517</x:v>
      </x:c>
      <x:c r="I20" s="34" t="str">
        <x:v>generated design-reference observation; not predicted tract behavior</x:v>
      </x:c>
    </x:row>
    <x:row r="21" ht="75.5999984741211" hidden="0" customHeight="1">
      <x:c r="A21" s="36" t="str">
        <x:v>M0</x:v>
      </x:c>
      <x:c r="B21" s="36" t="str">
        <x:v>48201211600</x:v>
      </x:c>
      <x:c r="C21" s="66" t="n">
        <x:v>229.8596379733961</x:v>
      </x:c>
      <x:c r="D21" s="66" t="n">
        <x:v>39.98369043020175</x:v>
      </x:c>
      <x:c r="E21" s="66" t="n">
        <x:v>189.87594754319434</x:v>
      </x:c>
      <x:c r="F21" s="66" t="n">
        <x:v>121.10180481261082</x:v>
      </x:c>
      <x:c r="G21" s="66" t="n">
        <x:v>161.08549524281256</x:v>
      </x:c>
      <x:c r="H21" s="45" t="n">
        <x:v>0.700799395070206</x:v>
      </x:c>
      <x:c r="I21" s="36" t="str">
        <x:v>generated design-reference observation; not predicted tract behavior</x:v>
      </x:c>
    </x:row>
    <x:row r="22" ht="75.5999984741211" hidden="0" customHeight="1">
      <x:c r="A22" s="34" t="str">
        <x:v>M0</x:v>
      </x:c>
      <x:c r="B22" s="34" t="str">
        <x:v>48201211700</x:v>
      </x:c>
      <x:c r="C22" s="65" t="n">
        <x:v>551.1717899723859</x:v>
      </x:c>
      <x:c r="D22" s="65" t="n">
        <x:v>88.46758315943728</x:v>
      </x:c>
      <x:c r="E22" s="65" t="n">
        <x:v>462.70420681294866</x:v>
      </x:c>
      <x:c r="F22" s="65" t="n">
        <x:v>462.70420681294866</x:v>
      </x:c>
      <x:c r="G22" s="65" t="n">
        <x:v>551.1717899723859</x:v>
      </x:c>
      <x:c r="H22" s="43" t="n">
        <x:v>1</x:v>
      </x:c>
      <x:c r="I22" s="34" t="str">
        <x:v>generated design-reference observation; not predicted tract behavior</x:v>
      </x:c>
    </x:row>
    <x:row r="23" ht="75.5999984741211" hidden="0" customHeight="1">
      <x:c r="A23" s="36" t="str">
        <x:v>M0</x:v>
      </x:c>
      <x:c r="B23" s="36" t="str">
        <x:v>48201211900</x:v>
      </x:c>
      <x:c r="C23" s="66" t="n">
        <x:v>340.2859497263269</x:v>
      </x:c>
      <x:c r="D23" s="66" t="n">
        <x:v>63.160532804288245</x:v>
      </x:c>
      <x:c r="E23" s="66" t="n">
        <x:v>277.12541692203865</x:v>
      </x:c>
      <x:c r="F23" s="66" t="n">
        <x:v>191.39159205433185</x:v>
      </x:c>
      <x:c r="G23" s="66" t="n">
        <x:v>254.5521248586201</x:v>
      </x:c>
      <x:c r="H23" s="45" t="n">
        <x:v>0.74805358570738</x:v>
      </x:c>
      <x:c r="I23" s="36" t="str">
        <x:v>generated design-reference observation; not predicted tract behavior</x:v>
      </x:c>
    </x:row>
    <x:row r="24" ht="75.5999984741211" hidden="0" customHeight="1">
      <x:c r="A24" s="34" t="str">
        <x:v>M0</x:v>
      </x:c>
      <x:c r="B24" s="34" t="str">
        <x:v>48201212300</x:v>
      </x:c>
      <x:c r="C24" s="65" t="n">
        <x:v>390.9641602731525</x:v>
      </x:c>
      <x:c r="D24" s="65" t="n">
        <x:v>64.79384439316686</x:v>
      </x:c>
      <x:c r="E24" s="65" t="n">
        <x:v>326.17031587998565</x:v>
      </x:c>
      <x:c r="F24" s="65" t="n">
        <x:v>326.17031587998565</x:v>
      </x:c>
      <x:c r="G24" s="65" t="n">
        <x:v>390.9641602731525</x:v>
      </x:c>
      <x:c r="H24" s="43" t="n">
        <x:v>1</x:v>
      </x:c>
      <x:c r="I24" s="34" t="str">
        <x:v>generated design-reference observation; not predicted tract behavior</x:v>
      </x:c>
    </x:row>
    <x:row r="25" ht="75.5999984741211" hidden="0" customHeight="1">
      <x:c r="A25" s="36" t="str">
        <x:v>M0</x:v>
      </x:c>
      <x:c r="B25" s="36" t="str">
        <x:v>48201212400</x:v>
      </x:c>
      <x:c r="C25" s="66" t="n">
        <x:v>238.08070004411252</x:v>
      </x:c>
      <x:c r="D25" s="66" t="n">
        <x:v>44.75917160829315</x:v>
      </x:c>
      <x:c r="E25" s="66" t="n">
        <x:v>193.32152843581937</x:v>
      </x:c>
      <x:c r="F25" s="66" t="n">
        <x:v>0</x:v>
      </x:c>
      <x:c r="G25" s="66" t="n">
        <x:v>44.75917160829315</x:v>
      </x:c>
      <x:c r="H25" s="45" t="n">
        <x:v>0.188</x:v>
      </x:c>
      <x:c r="I25" s="36" t="str">
        <x:v>generated design-reference observation; not predicted tract behavior</x:v>
      </x:c>
    </x:row>
    <x:row r="26" ht="75.5999984741211" hidden="0" customHeight="1">
      <x:c r="A26" s="34" t="str">
        <x:v>M0</x:v>
      </x:c>
      <x:c r="B26" s="34" t="str">
        <x:v>48201212500</x:v>
      </x:c>
      <x:c r="C26" s="65" t="n">
        <x:v>286.10239148969316</x:v>
      </x:c>
      <x:c r="D26" s="65" t="n">
        <x:v>53.24678025435257</x:v>
      </x:c>
      <x:c r="E26" s="65" t="n">
        <x:v>232.85561123534058</x:v>
      </x:c>
      <x:c r="F26" s="65" t="n">
        <x:v>232.85561123534058</x:v>
      </x:c>
      <x:c r="G26" s="65" t="n">
        <x:v>286.10239148969316</x:v>
      </x:c>
      <x:c r="H26" s="43" t="n">
        <x:v>1</x:v>
      </x:c>
      <x:c r="I26" s="34" t="str">
        <x:v>generated design-reference observation; not predicted tract behavior</x:v>
      </x:c>
    </x:row>
    <x:row r="27" ht="75.5999984741211" hidden="0" customHeight="1">
      <x:c r="A27" s="36" t="str">
        <x:v>M0</x:v>
      </x:c>
      <x:c r="B27" s="36" t="str">
        <x:v>48201220100</x:v>
      </x:c>
      <x:c r="C27" s="66" t="n">
        <x:v>124.90355490231863</x:v>
      </x:c>
      <x:c r="D27" s="66" t="n">
        <x:v>23.4818683216359</x:v>
      </x:c>
      <x:c r="E27" s="66" t="n">
        <x:v>101.42168658068273</x:v>
      </x:c>
      <x:c r="F27" s="66" t="n">
        <x:v>33.20828189223142</x:v>
      </x:c>
      <x:c r="G27" s="66" t="n">
        <x:v>56.69015021386732</x:v>
      </x:c>
      <x:c r="H27" s="45" t="n">
        <x:v>0.45387139107611546</x:v>
      </x:c>
      <x:c r="I27" s="36" t="str">
        <x:v>generated design-reference observation; not predicted tract behavior</x:v>
      </x:c>
    </x:row>
    <x:row r="28" ht="75.5999984741211" hidden="0" customHeight="1">
      <x:c r="A28" s="34" t="str">
        <x:v>M0</x:v>
      </x:c>
      <x:c r="B28" s="34" t="str">
        <x:v>48201220200</x:v>
      </x:c>
      <x:c r="C28" s="65" t="n">
        <x:v>194.64897059594912</x:v>
      </x:c>
      <x:c r="D28" s="65" t="n">
        <x:v>36.41923556848683</x:v>
      </x:c>
      <x:c r="E28" s="65" t="n">
        <x:v>158.22973502746228</x:v>
      </x:c>
      <x:c r="F28" s="65" t="n">
        <x:v>131.3996989474354</x:v>
      </x:c>
      <x:c r="G28" s="65" t="n">
        <x:v>167.81893451592225</x:v>
      </x:c>
      <x:c r="H28" s="43" t="n">
        <x:v>0.8621619420956483</x:v>
      </x:c>
      <x:c r="I28" s="34" t="str">
        <x:v>generated design-reference observation; not predicted tract behavior</x:v>
      </x:c>
    </x:row>
    <x:row r="29" ht="75.5999984741211" hidden="0" customHeight="1">
      <x:c r="A29" s="36" t="str">
        <x:v>M0</x:v>
      </x:c>
      <x:c r="B29" s="36" t="str">
        <x:v>48201220300</x:v>
      </x:c>
      <x:c r="C29" s="66" t="n">
        <x:v>307.40956096742946</x:v>
      </x:c>
      <x:c r="D29" s="66" t="n">
        <x:v>56.43019315491546</x:v>
      </x:c>
      <x:c r="E29" s="66" t="n">
        <x:v>250.979367812514</x:v>
      </x:c>
      <x:c r="F29" s="66" t="n">
        <x:v>77.98091789215238</x:v>
      </x:c>
      <x:c r="G29" s="66" t="n">
        <x:v>134.41111104706783</x:v>
      </x:c>
      <x:c r="H29" s="45" t="n">
        <x:v>0.4372379005521852</x:v>
      </x:c>
      <x:c r="I29" s="36" t="str">
        <x:v>generated design-reference observation; not predicted tract behavior</x:v>
      </x:c>
    </x:row>
    <x:row r="30" ht="75.5999984741211" hidden="0" customHeight="1">
      <x:c r="A30" s="34" t="str">
        <x:v>M0</x:v>
      </x:c>
      <x:c r="B30" s="34" t="str">
        <x:v>48201220400</x:v>
      </x:c>
      <x:c r="C30" s="65" t="n">
        <x:v>342.7656295382877</x:v>
      </x:c>
      <x:c r="D30" s="65" t="n">
        <x:v>60.14268925531564</x:v>
      </x:c>
      <x:c r="E30" s="65" t="n">
        <x:v>282.6229402829721</x:v>
      </x:c>
      <x:c r="F30" s="65" t="n">
        <x:v>120.71870677333766</x:v>
      </x:c>
      <x:c r="G30" s="65" t="n">
        <x:v>180.8613960286533</x:v>
      </x:c>
      <x:c r="H30" s="43" t="n">
        <x:v>0.5276532430403751</x:v>
      </x:c>
      <x:c r="I30" s="34" t="str">
        <x:v>generated design-reference observation; not predicted tract behavior</x:v>
      </x:c>
    </x:row>
    <x:row r="31" ht="75.5999984741211" hidden="0" customHeight="1">
      <x:c r="A31" s="36" t="str">
        <x:v>M0</x:v>
      </x:c>
      <x:c r="B31" s="36" t="str">
        <x:v>48201220500</x:v>
      </x:c>
      <x:c r="C31" s="66" t="n">
        <x:v>281.58316520798957</x:v>
      </x:c>
      <x:c r="D31" s="66" t="n">
        <x:v>42.38499531393949</x:v>
      </x:c>
      <x:c r="E31" s="66" t="n">
        <x:v>239.19816989405007</x:v>
      </x:c>
      <x:c r="F31" s="66" t="n">
        <x:v>239.19816989405007</x:v>
      </x:c>
      <x:c r="G31" s="66" t="n">
        <x:v>281.58316520798957</x:v>
      </x:c>
      <x:c r="H31" s="45" t="n">
        <x:v>1</x:v>
      </x:c>
      <x:c r="I31" s="36" t="str">
        <x:v>generated design-reference observation; not predicted tract behavior</x:v>
      </x:c>
    </x:row>
    <x:row r="32" ht="75.5999984741211" hidden="0" customHeight="1">
      <x:c r="A32" s="34" t="str">
        <x:v>M0</x:v>
      </x:c>
      <x:c r="B32" s="34" t="str">
        <x:v>48201220600</x:v>
      </x:c>
      <x:c r="C32" s="65" t="n">
        <x:v>256.4051801759245</x:v>
      </x:c>
      <x:c r="D32" s="65" t="n">
        <x:v>44.3665378925448</x:v>
      </x:c>
      <x:c r="E32" s="65" t="n">
        <x:v>212.03864228337972</x:v>
      </x:c>
      <x:c r="F32" s="65" t="n">
        <x:v>56.511780627085464</x:v>
      </x:c>
      <x:c r="G32" s="65" t="n">
        <x:v>100.87831851963026</x:v>
      </x:c>
      <x:c r="H32" s="43" t="n">
        <x:v>0.39343323114773154</x:v>
      </x:c>
      <x:c r="I32" s="34" t="str">
        <x:v>generated design-reference observation; not predicted tract behavior</x:v>
      </x:c>
    </x:row>
    <x:row r="33" ht="75.5999984741211" hidden="0" customHeight="1">
      <x:c r="A33" s="36" t="str">
        <x:v>M0</x:v>
      </x:c>
      <x:c r="B33" s="36" t="str">
        <x:v>48201220701</x:v>
      </x:c>
      <x:c r="C33" s="66" t="n">
        <x:v>281.81895092703496</x:v>
      </x:c>
      <x:c r="D33" s="66" t="n">
        <x:v>44.30591066554025</x:v>
      </x:c>
      <x:c r="E33" s="66" t="n">
        <x:v>237.51304026149472</x:v>
      </x:c>
      <x:c r="F33" s="66" t="n">
        <x:v>166.23172035516265</x:v>
      </x:c>
      <x:c r="G33" s="66" t="n">
        <x:v>210.53763102070292</x:v>
      </x:c>
      <x:c r="H33" s="45" t="n">
        <x:v>0.7470669744818286</x:v>
      </x:c>
      <x:c r="I33" s="36" t="str">
        <x:v>generated design-reference observation; not predicted tract behavior</x:v>
      </x:c>
    </x:row>
    <x:row r="34" ht="75.5999984741211" hidden="0" customHeight="1">
      <x:c r="A34" s="34" t="str">
        <x:v>M0</x:v>
      </x:c>
      <x:c r="B34" s="34" t="str">
        <x:v>48201220702</x:v>
      </x:c>
      <x:c r="C34" s="65" t="n">
        <x:v>310.0425014967699</x:v>
      </x:c>
      <x:c r="D34" s="65" t="n">
        <x:v>53.318787543807446</x:v>
      </x:c>
      <x:c r="E34" s="65" t="n">
        <x:v>256.72371395296244</x:v>
      </x:c>
      <x:c r="F34" s="65" t="n">
        <x:v>66.58392406617584</x:v>
      </x:c>
      <x:c r="G34" s="65" t="n">
        <x:v>119.90271160998329</x:v>
      </x:c>
      <x:c r="H34" s="43" t="n">
        <x:v>0.38672991938568935</x:v>
      </x:c>
      <x:c r="I34" s="34" t="str">
        <x:v>generated design-reference observation; not predicted tract behavior</x:v>
      </x:c>
    </x:row>
    <x:row r="35" ht="75.5999984741211" hidden="0" customHeight="1">
      <x:c r="A35" s="36" t="str">
        <x:v>M0</x:v>
      </x:c>
      <x:c r="B35" s="36" t="str">
        <x:v>48201220800</x:v>
      </x:c>
      <x:c r="C35" s="66" t="n">
        <x:v>319.04165644033606</x:v>
      </x:c>
      <x:c r="D35" s="66" t="n">
        <x:v>51.3644248230959</x:v>
      </x:c>
      <x:c r="E35" s="66" t="n">
        <x:v>267.6772316172402</x:v>
      </x:c>
      <x:c r="F35" s="66" t="n">
        <x:v>56.51628548151852</x:v>
      </x:c>
      <x:c r="G35" s="66" t="n">
        <x:v>107.88071030461442</x:v>
      </x:c>
      <x:c r="H35" s="45" t="n">
        <x:v>0.33813988902978626</x:v>
      </x:c>
      <x:c r="I35" s="36" t="str">
        <x:v>generated design-reference observation; not predicted tract behavior</x:v>
      </x:c>
    </x:row>
    <x:row r="36" ht="75.5999984741211" hidden="0" customHeight="1">
      <x:c r="A36" s="34" t="str">
        <x:v>M0</x:v>
      </x:c>
      <x:c r="B36" s="34" t="str">
        <x:v>48201220900</x:v>
      </x:c>
      <x:c r="C36" s="65" t="n">
        <x:v>148.0419934646409</x:v>
      </x:c>
      <x:c r="D36" s="65" t="n">
        <x:v>26.591355092602246</x:v>
      </x:c>
      <x:c r="E36" s="65" t="n">
        <x:v>121.45063837203867</x:v>
      </x:c>
      <x:c r="F36" s="65" t="n">
        <x:v>95.06933544408581</x:v>
      </x:c>
      <x:c r="G36" s="65" t="n">
        <x:v>121.66069053668805</x:v>
      </x:c>
      <x:c r="H36" s="43" t="n">
        <x:v>0.8217985160119186</x:v>
      </x:c>
      <x:c r="I36" s="34" t="str">
        <x:v>generated design-reference observation; not predicted tract behavior</x:v>
      </x:c>
    </x:row>
    <x:row r="37" ht="75.5999984741211" hidden="0" customHeight="1">
      <x:c r="A37" s="36" t="str">
        <x:v>M0</x:v>
      </x:c>
      <x:c r="B37" s="36" t="str">
        <x:v>48201221000</x:v>
      </x:c>
      <x:c r="C37" s="66" t="n">
        <x:v>500.71636670112014</x:v>
      </x:c>
      <x:c r="D37" s="66" t="n">
        <x:v>77.02798230482716</x:v>
      </x:c>
      <x:c r="E37" s="66" t="n">
        <x:v>423.688384396293</x:v>
      </x:c>
      <x:c r="F37" s="66" t="n">
        <x:v>423.688384396293</x:v>
      </x:c>
      <x:c r="G37" s="66" t="n">
        <x:v>500.71636670112014</x:v>
      </x:c>
      <x:c r="H37" s="45" t="n">
        <x:v>1</x:v>
      </x:c>
      <x:c r="I37" s="36" t="str">
        <x:v>generated design-reference observation; not predicted tract behavior</x:v>
      </x:c>
    </x:row>
    <x:row r="38" ht="75.5999984741211" hidden="0" customHeight="1">
      <x:c r="A38" s="34" t="str">
        <x:v>M0</x:v>
      </x:c>
      <x:c r="B38" s="34" t="str">
        <x:v>48201221100</x:v>
      </x:c>
      <x:c r="C38" s="65" t="n">
        <x:v>263.64773151260255</x:v>
      </x:c>
      <x:c r="D38" s="65" t="n">
        <x:v>49.56577352436928</x:v>
      </x:c>
      <x:c r="E38" s="65" t="n">
        <x:v>214.08195798823328</x:v>
      </x:c>
      <x:c r="F38" s="65" t="n">
        <x:v>150.73227250018257</x:v>
      </x:c>
      <x:c r="G38" s="65" t="n">
        <x:v>200.29804602455187</x:v>
      </x:c>
      <x:c r="H38" s="43" t="n">
        <x:v>0.7597184503557068</x:v>
      </x:c>
      <x:c r="I38" s="34" t="str">
        <x:v>generated design-reference observation; not predicted tract behavior</x:v>
      </x:c>
    </x:row>
    <x:row r="39" ht="75.5999984741211" hidden="0" customHeight="1">
      <x:c r="A39" s="36" t="str">
        <x:v>M0</x:v>
      </x:c>
      <x:c r="B39" s="36" t="str">
        <x:v>48201221200</x:v>
      </x:c>
      <x:c r="C39" s="66" t="n">
        <x:v>435.52766117273376</x:v>
      </x:c>
      <x:c r="D39" s="66" t="n">
        <x:v>81.87920030047394</x:v>
      </x:c>
      <x:c r="E39" s="66" t="n">
        <x:v>353.6484608722598</x:v>
      </x:c>
      <x:c r="F39" s="66" t="n">
        <x:v>119.70191550399717</x:v>
      </x:c>
      <x:c r="G39" s="66" t="n">
        <x:v>201.5811158044711</x:v>
      </x:c>
      <x:c r="H39" s="45" t="n">
        <x:v>0.46284342827199304</x:v>
      </x:c>
      <x:c r="I39" s="36" t="str">
        <x:v>generated design-reference observation; not predicted tract behavior</x:v>
      </x:c>
    </x:row>
    <x:row r="40" ht="75.5999984741211" hidden="0" customHeight="1">
      <x:c r="A40" s="34" t="str">
        <x:v>M0</x:v>
      </x:c>
      <x:c r="B40" s="34" t="str">
        <x:v>48201221301</x:v>
      </x:c>
      <x:c r="C40" s="65" t="n">
        <x:v>329.98211380404285</x:v>
      </x:c>
      <x:c r="D40" s="65" t="n">
        <x:v>62.03663739516006</x:v>
      </x:c>
      <x:c r="E40" s="65" t="n">
        <x:v>267.94547640888277</x:v>
      </x:c>
      <x:c r="F40" s="65" t="n">
        <x:v>222.7230645927118</x:v>
      </x:c>
      <x:c r="G40" s="65" t="n">
        <x:v>284.75970198787184</x:v>
      </x:c>
      <x:c r="H40" s="43" t="n">
        <x:v>0.8629549605133265</x:v>
      </x:c>
      <x:c r="I40" s="34" t="str">
        <x:v>generated design-reference observation; not predicted tract behavior</x:v>
      </x:c>
    </x:row>
    <x:row r="41" ht="75.5999984741211" hidden="0" customHeight="1">
      <x:c r="A41" s="36" t="str">
        <x:v>M0</x:v>
      </x:c>
      <x:c r="B41" s="36" t="str">
        <x:v>48201221302</x:v>
      </x:c>
      <x:c r="C41" s="66" t="n">
        <x:v>275.03618174249544</x:v>
      </x:c>
      <x:c r="D41" s="66" t="n">
        <x:v>49.3337414976678</x:v>
      </x:c>
      <x:c r="E41" s="66" t="n">
        <x:v>225.70244024482764</x:v>
      </x:c>
      <x:c r="F41" s="66" t="n">
        <x:v>13.436987032748018</x:v>
      </x:c>
      <x:c r="G41" s="66" t="n">
        <x:v>62.77072853041582</x:v>
      </x:c>
      <x:c r="H41" s="45" t="n">
        <x:v>0.22822716681394797</x:v>
      </x:c>
      <x:c r="I41" s="36" t="str">
        <x:v>generated design-reference observation; not predicted tract behavior</x:v>
      </x:c>
    </x:row>
    <x:row r="42" ht="75.5999984741211" hidden="0" customHeight="1">
      <x:c r="A42" s="34" t="str">
        <x:v>M0</x:v>
      </x:c>
      <x:c r="B42" s="34" t="str">
        <x:v>48201221400</x:v>
      </x:c>
      <x:c r="C42" s="65" t="n">
        <x:v>463.18925577874376</x:v>
      </x:c>
      <x:c r="D42" s="65" t="n">
        <x:v>72.03704225957783</x:v>
      </x:c>
      <x:c r="E42" s="65" t="n">
        <x:v>391.1522135191659</x:v>
      </x:c>
      <x:c r="F42" s="65" t="n">
        <x:v>0</x:v>
      </x:c>
      <x:c r="G42" s="65" t="n">
        <x:v>72.03704225957783</x:v>
      </x:c>
      <x:c r="H42" s="43" t="n">
        <x:v>0.1555239923224568</x:v>
      </x:c>
      <x:c r="I42" s="34" t="str">
        <x:v>generated design-reference observation; not predicted tract behavior</x:v>
      </x:c>
    </x:row>
    <x:row r="43" ht="75.5999984741211" hidden="0" customHeight="1">
      <x:c r="A43" s="36" t="str">
        <x:v>M0</x:v>
      </x:c>
      <x:c r="B43" s="36" t="str">
        <x:v>48201221501</x:v>
      </x:c>
      <x:c r="C43" s="66" t="n">
        <x:v>385.6078946888377</x:v>
      </x:c>
      <x:c r="D43" s="66" t="n">
        <x:v>69.79892294627189</x:v>
      </x:c>
      <x:c r="E43" s="66" t="n">
        <x:v>315.8089717425658</x:v>
      </x:c>
      <x:c r="F43" s="66" t="n">
        <x:v>94.2333999756833</x:v>
      </x:c>
      <x:c r="G43" s="66" t="n">
        <x:v>164.0323229219552</x:v>
      </x:c>
      <x:c r="H43" s="45" t="n">
        <x:v>0.42538631905946683</x:v>
      </x:c>
      <x:c r="I43" s="36" t="str">
        <x:v>generated design-reference observation; not predicted tract behavior</x:v>
      </x:c>
    </x:row>
    <x:row r="44" ht="75.5999984741211" hidden="0" customHeight="1">
      <x:c r="A44" s="34" t="str">
        <x:v>M0</x:v>
      </x:c>
      <x:c r="B44" s="34" t="str">
        <x:v>48201221502</x:v>
      </x:c>
      <x:c r="C44" s="65" t="n">
        <x:v>238.24575004744432</x:v>
      </x:c>
      <x:c r="D44" s="65" t="n">
        <x:v>33.894246666062024</x:v>
      </x:c>
      <x:c r="E44" s="65" t="n">
        <x:v>204.3515033813823</x:v>
      </x:c>
      <x:c r="F44" s="65" t="n">
        <x:v>0</x:v>
      </x:c>
      <x:c r="G44" s="65" t="n">
        <x:v>33.894246666062024</x:v>
      </x:c>
      <x:c r="H44" s="43" t="n">
        <x:v>0.14226590257879654</x:v>
      </x:c>
      <x:c r="I44" s="34" t="str">
        <x:v>generated design-reference observation; not predicted tract behavior</x:v>
      </x:c>
    </x:row>
    <x:row r="45" ht="75.5999984741211" hidden="0" customHeight="1">
      <x:c r="A45" s="36" t="str">
        <x:v>M0</x:v>
      </x:c>
      <x:c r="B45" s="36" t="str">
        <x:v>48201221601</x:v>
      </x:c>
      <x:c r="C45" s="66" t="n">
        <x:v>560.2897446436251</x:v>
      </x:c>
      <x:c r="D45" s="66" t="n">
        <x:v>50.07742040346172</x:v>
      </x:c>
      <x:c r="E45" s="66" t="n">
        <x:v>510.2123242401634</x:v>
      </x:c>
      <x:c r="F45" s="66" t="n">
        <x:v>510.2123242401634</x:v>
      </x:c>
      <x:c r="G45" s="66" t="n">
        <x:v>560.2897446436251</x:v>
      </x:c>
      <x:c r="H45" s="45" t="n">
        <x:v>1</x:v>
      </x:c>
      <x:c r="I45" s="36" t="str">
        <x:v>generated design-reference observation; not predicted tract behavior</x:v>
      </x:c>
    </x:row>
    <x:row r="46" ht="75.5999984741211" hidden="0" customHeight="1">
      <x:c r="A46" s="34" t="str">
        <x:v>M0</x:v>
      </x:c>
      <x:c r="B46" s="34" t="str">
        <x:v>48201221602</x:v>
      </x:c>
      <x:c r="C46" s="65" t="n">
        <x:v>447.41912093659033</x:v>
      </x:c>
      <x:c r="D46" s="65" t="n">
        <x:v>84.11479473607898</x:v>
      </x:c>
      <x:c r="E46" s="65" t="n">
        <x:v>363.30432620051135</x:v>
      </x:c>
      <x:c r="F46" s="65" t="n">
        <x:v>78.82921250183996</x:v>
      </x:c>
      <x:c r="G46" s="65" t="n">
        <x:v>162.94400723791892</x:v>
      </x:c>
      <x:c r="H46" s="43" t="n">
        <x:v>0.36418650793650786</x:v>
      </x:c>
      <x:c r="I46" s="34" t="str">
        <x:v>generated design-reference observation; not predicted tract behavior</x:v>
      </x:c>
    </x:row>
    <x:row r="47" ht="75.5999984741211" hidden="0" customHeight="1">
      <x:c r="A47" s="36" t="str">
        <x:v>M0</x:v>
      </x:c>
      <x:c r="B47" s="36" t="str">
        <x:v>48201221701</x:v>
      </x:c>
      <x:c r="C47" s="66" t="n">
        <x:v>752.3538387221931</x:v>
      </x:c>
      <x:c r="D47" s="66" t="n">
        <x:v>123.38602955043969</x:v>
      </x:c>
      <x:c r="E47" s="66" t="n">
        <x:v>628.9678091717534</x:v>
      </x:c>
      <x:c r="F47" s="66" t="n">
        <x:v>628.9678091717534</x:v>
      </x:c>
      <x:c r="G47" s="66" t="n">
        <x:v>752.3538387221931</x:v>
      </x:c>
      <x:c r="H47" s="45" t="n">
        <x:v>1</x:v>
      </x:c>
      <x:c r="I47" s="36" t="str">
        <x:v>generated design-reference observation; not predicted tract behavior</x:v>
      </x:c>
    </x:row>
    <x:row r="48" ht="75.5999984741211" hidden="0" customHeight="1">
      <x:c r="A48" s="34" t="str">
        <x:v>M0</x:v>
      </x:c>
      <x:c r="B48" s="34" t="str">
        <x:v>48201221702</x:v>
      </x:c>
      <x:c r="C48" s="65" t="n">
        <x:v>503.88496401783027</x:v>
      </x:c>
      <x:c r="D48" s="65" t="n">
        <x:v>45.15065860409172</x:v>
      </x:c>
      <x:c r="E48" s="65" t="n">
        <x:v>458.7343054137385</x:v>
      </x:c>
      <x:c r="F48" s="65" t="n">
        <x:v>458.7343054137385</x:v>
      </x:c>
      <x:c r="G48" s="65" t="n">
        <x:v>503.88496401783027</x:v>
      </x:c>
      <x:c r="H48" s="43" t="n">
        <x:v>1</x:v>
      </x:c>
      <x:c r="I48" s="34" t="str">
        <x:v>generated design-reference observation; not predicted tract behavior</x:v>
      </x:c>
    </x:row>
    <x:row r="49" ht="75.5999984741211" hidden="0" customHeight="1">
      <x:c r="A49" s="36" t="str">
        <x:v>M0</x:v>
      </x:c>
      <x:c r="B49" s="36" t="str">
        <x:v>48201221800</x:v>
      </x:c>
      <x:c r="C49" s="66" t="n">
        <x:v>576.50031511738</x:v>
      </x:c>
      <x:c r="D49" s="66" t="n">
        <x:v>93.19437212044713</x:v>
      </x:c>
      <x:c r="E49" s="66" t="n">
        <x:v>483.3059429969328</x:v>
      </x:c>
      <x:c r="F49" s="66" t="n">
        <x:v>483.3059429969328</x:v>
      </x:c>
      <x:c r="G49" s="66" t="n">
        <x:v>576.50031511738</x:v>
      </x:c>
      <x:c r="H49" s="45" t="n">
        <x:v>1</x:v>
      </x:c>
      <x:c r="I49" s="36" t="str">
        <x:v>generated design-reference observation; not predicted tract behavior</x:v>
      </x:c>
    </x:row>
    <x:row r="50" ht="75.5999984741211" hidden="0" customHeight="1">
      <x:c r="A50" s="34" t="str">
        <x:v>M0</x:v>
      </x:c>
      <x:c r="B50" s="34" t="str">
        <x:v>48201221900</x:v>
      </x:c>
      <x:c r="C50" s="65" t="n">
        <x:v>839.0126477059638</x:v>
      </x:c>
      <x:c r="D50" s="65" t="n">
        <x:v>75.51113829353675</x:v>
      </x:c>
      <x:c r="E50" s="65" t="n">
        <x:v>763.501509412427</x:v>
      </x:c>
      <x:c r="F50" s="65" t="n">
        <x:v>763.501509412427</x:v>
      </x:c>
      <x:c r="G50" s="65" t="n">
        <x:v>839.0126477059638</x:v>
      </x:c>
      <x:c r="H50" s="43" t="n">
        <x:v>1</x:v>
      </x:c>
      <x:c r="I50" s="34" t="str">
        <x:v>generated design-reference observation; not predicted tract behavior</x:v>
      </x:c>
    </x:row>
    <x:row r="51" ht="75.5999984741211" hidden="0" customHeight="1">
      <x:c r="A51" s="36" t="str">
        <x:v>M0</x:v>
      </x:c>
      <x:c r="B51" s="36" t="str">
        <x:v>48201222000</x:v>
      </x:c>
      <x:c r="C51" s="66" t="n">
        <x:v>357.77762260689525</x:v>
      </x:c>
      <x:c r="D51" s="66" t="n">
        <x:v>32.19998603462057</x:v>
      </x:c>
      <x:c r="E51" s="66" t="n">
        <x:v>325.5776365722747</x:v>
      </x:c>
      <x:c r="F51" s="66" t="n">
        <x:v>325.5776365722747</x:v>
      </x:c>
      <x:c r="G51" s="66" t="n">
        <x:v>357.77762260689525</x:v>
      </x:c>
      <x:c r="H51" s="45" t="n">
        <x:v>1</x:v>
      </x:c>
      <x:c r="I51" s="36" t="str">
        <x:v>generated design-reference observation; not predicted tract behavior</x:v>
      </x:c>
    </x:row>
    <x:row r="52" ht="75.5999984741211" hidden="0" customHeight="1">
      <x:c r="A52" s="34" t="str">
        <x:v>M0</x:v>
      </x:c>
      <x:c r="B52" s="34" t="str">
        <x:v>48201222100</x:v>
      </x:c>
      <x:c r="C52" s="65" t="n">
        <x:v>853.4862633827511</x:v>
      </x:c>
      <x:c r="D52" s="65" t="n">
        <x:v>76.8137637044476</x:v>
      </x:c>
      <x:c r="E52" s="65" t="n">
        <x:v>776.6724996783034</x:v>
      </x:c>
      <x:c r="F52" s="65" t="n">
        <x:v>776.6724996783034</x:v>
      </x:c>
      <x:c r="G52" s="65" t="n">
        <x:v>853.4862633827511</x:v>
      </x:c>
      <x:c r="H52" s="43" t="n">
        <x:v>1</x:v>
      </x:c>
      <x:c r="I52" s="34" t="str">
        <x:v>generated design-reference observation; not predicted tract behavior</x:v>
      </x:c>
    </x:row>
    <x:row r="53" ht="75.5999984741211" hidden="0" customHeight="1">
      <x:c r="A53" s="36" t="str">
        <x:v>M0</x:v>
      </x:c>
      <x:c r="B53" s="36" t="str">
        <x:v>48201222200</x:v>
      </x:c>
      <x:c r="C53" s="66" t="n">
        <x:v>275.099057934241</x:v>
      </x:c>
      <x:c r="D53" s="66" t="n">
        <x:v>47.98106249238336</x:v>
      </x:c>
      <x:c r="E53" s="66" t="n">
        <x:v>227.11799544185763</x:v>
      </x:c>
      <x:c r="F53" s="66" t="n">
        <x:v>146.3263477076863</x:v>
      </x:c>
      <x:c r="G53" s="66" t="n">
        <x:v>194.30741020006965</x:v>
      </x:c>
      <x:c r="H53" s="45" t="n">
        <x:v>0.7063179774556568</x:v>
      </x:c>
      <x:c r="I53" s="36" t="str">
        <x:v>generated design-reference observation; not predicted tract behavior</x:v>
      </x:c>
    </x:row>
    <x:row r="54" ht="75.5999984741211" hidden="0" customHeight="1">
      <x:c r="A54" s="34" t="str">
        <x:v>M0</x:v>
      </x:c>
      <x:c r="B54" s="34" t="str">
        <x:v>48201222300</x:v>
      </x:c>
      <x:c r="C54" s="65" t="n">
        <x:v>814.9407395277285</x:v>
      </x:c>
      <x:c r="D54" s="65" t="n">
        <x:v>73.34466655749556</x:v>
      </x:c>
      <x:c r="E54" s="65" t="n">
        <x:v>741.596072970233</x:v>
      </x:c>
      <x:c r="F54" s="65" t="n">
        <x:v>741.596072970233</x:v>
      </x:c>
      <x:c r="G54" s="65" t="n">
        <x:v>814.9407395277285</x:v>
      </x:c>
      <x:c r="H54" s="43" t="n">
        <x:v>1</x:v>
      </x:c>
      <x:c r="I54" s="34" t="str">
        <x:v>generated design-reference observation; not predicted tract behavior</x:v>
      </x:c>
    </x:row>
    <x:row r="55" ht="75.5999984741211" hidden="0" customHeight="1">
      <x:c r="A55" s="36" t="str">
        <x:v>M0</x:v>
      </x:c>
      <x:c r="B55" s="36" t="str">
        <x:v>48201222401</x:v>
      </x:c>
      <x:c r="C55" s="66" t="n">
        <x:v>265.54187678893396</x:v>
      </x:c>
      <x:c r="D55" s="66" t="n">
        <x:v>49.92187283631958</x:v>
      </x:c>
      <x:c r="E55" s="66" t="n">
        <x:v>215.62000395261438</x:v>
      </x:c>
      <x:c r="F55" s="66" t="n">
        <x:v>155.33818587077417</x:v>
      </x:c>
      <x:c r="G55" s="66" t="n">
        <x:v>205.26005870709375</x:v>
      </x:c>
      <x:c r="H55" s="45" t="n">
        <x:v>0.7729856442577031</x:v>
      </x:c>
      <x:c r="I55" s="36" t="str">
        <x:v>generated design-reference observation; not predicted tract behavior</x:v>
      </x:c>
    </x:row>
    <x:row r="56" ht="75.5999984741211" hidden="0" customHeight="1">
      <x:c r="A56" s="34" t="str">
        <x:v>M0</x:v>
      </x:c>
      <x:c r="B56" s="34" t="str">
        <x:v>48201222402</x:v>
      </x:c>
      <x:c r="C56" s="65" t="n">
        <x:v>583.0312772455544</x:v>
      </x:c>
      <x:c r="D56" s="65" t="n">
        <x:v>109.01256498596052</x:v>
      </x:c>
      <x:c r="E56" s="65" t="n">
        <x:v>474.0187122595939</x:v>
      </x:c>
      <x:c r="F56" s="65" t="n">
        <x:v>474.0187122595939</x:v>
      </x:c>
      <x:c r="G56" s="65" t="n">
        <x:v>583.0312772455544</x:v>
      </x:c>
      <x:c r="H56" s="43" t="n">
        <x:v>1</x:v>
      </x:c>
      <x:c r="I56" s="34" t="str">
        <x:v>generated design-reference observation; not predicted tract behavior</x:v>
      </x:c>
    </x:row>
    <x:row r="57" ht="75.5999984741211" hidden="0" customHeight="1">
      <x:c r="A57" s="36" t="str">
        <x:v>M0</x:v>
      </x:c>
      <x:c r="B57" s="36" t="str">
        <x:v>48201222501</x:v>
      </x:c>
      <x:c r="C57" s="66" t="n">
        <x:v>273.7393602877458</x:v>
      </x:c>
      <x:c r="D57" s="66" t="n">
        <x:v>48.00384756962204</x:v>
      </x:c>
      <x:c r="E57" s="66" t="n">
        <x:v>225.73551271812374</x:v>
      </x:c>
      <x:c r="F57" s="66" t="n">
        <x:v>65.63107946332825</x:v>
      </x:c>
      <x:c r="G57" s="66" t="n">
        <x:v>113.63492703295029</x:v>
      </x:c>
      <x:c r="H57" s="45" t="n">
        <x:v>0.41512089059279234</x:v>
      </x:c>
      <x:c r="I57" s="36" t="str">
        <x:v>generated design-reference observation; not predicted tract behavior</x:v>
      </x:c>
    </x:row>
    <x:row r="58" ht="75.5999984741211" hidden="0" customHeight="1">
      <x:c r="A58" s="34" t="str">
        <x:v>M0</x:v>
      </x:c>
      <x:c r="B58" s="34" t="str">
        <x:v>48201222502</x:v>
      </x:c>
      <x:c r="C58" s="65" t="n">
        <x:v>556.0734123240799</x:v>
      </x:c>
      <x:c r="D58" s="65" t="n">
        <x:v>91.19603962114911</x:v>
      </x:c>
      <x:c r="E58" s="65" t="n">
        <x:v>464.87737270293076</x:v>
      </x:c>
      <x:c r="F58" s="65" t="n">
        <x:v>464.87737270293076</x:v>
      </x:c>
      <x:c r="G58" s="65" t="n">
        <x:v>556.0734123240799</x:v>
      </x:c>
      <x:c r="H58" s="43" t="n">
        <x:v>1</x:v>
      </x:c>
      <x:c r="I58" s="34" t="str">
        <x:v>generated design-reference observation; not predicted tract behavior</x:v>
      </x:c>
    </x:row>
    <x:row r="59" ht="75.5999984741211" hidden="0" customHeight="1">
      <x:c r="A59" s="36" t="str">
        <x:v>M0</x:v>
      </x:c>
      <x:c r="B59" s="36" t="str">
        <x:v>48201222504</x:v>
      </x:c>
      <x:c r="C59" s="66" t="n">
        <x:v>264.15860057053413</x:v>
      </x:c>
      <x:c r="D59" s="66" t="n">
        <x:v>46.278987373369446</x:v>
      </x:c>
      <x:c r="E59" s="66" t="n">
        <x:v>217.8796131971647</x:v>
      </x:c>
      <x:c r="F59" s="66" t="n">
        <x:v>217.8796131971647</x:v>
      </x:c>
      <x:c r="G59" s="66" t="n">
        <x:v>264.15860057053413</x:v>
      </x:c>
      <x:c r="H59" s="45" t="n">
        <x:v>1</x:v>
      </x:c>
      <x:c r="I59" s="36" t="str">
        <x:v>generated design-reference observation; not predicted tract behavior</x:v>
      </x:c>
    </x:row>
    <x:row r="60" ht="75.5999984741211" hidden="0" customHeight="1">
      <x:c r="A60" s="34" t="str">
        <x:v>M0</x:v>
      </x:c>
      <x:c r="B60" s="34" t="str">
        <x:v>48201222505</x:v>
      </x:c>
      <x:c r="C60" s="65" t="n">
        <x:v>265.89948512948604</x:v>
      </x:c>
      <x:c r="D60" s="65" t="n">
        <x:v>49.98910320434337</x:v>
      </x:c>
      <x:c r="E60" s="65" t="n">
        <x:v>215.91038192514267</x:v>
      </x:c>
      <x:c r="F60" s="65" t="n">
        <x:v>215.91038192514264</x:v>
      </x:c>
      <x:c r="G60" s="65" t="n">
        <x:v>265.89948512948604</x:v>
      </x:c>
      <x:c r="H60" s="43" t="n">
        <x:v>1</x:v>
      </x:c>
      <x:c r="I60" s="34" t="str">
        <x:v>generated design-reference observation; not predicted tract behavior</x:v>
      </x:c>
    </x:row>
    <x:row r="61" ht="75.5999984741211" hidden="0" customHeight="1">
      <x:c r="A61" s="36" t="str">
        <x:v>M0</x:v>
      </x:c>
      <x:c r="B61" s="36" t="str">
        <x:v>48201222601</x:v>
      </x:c>
      <x:c r="C61" s="66" t="n">
        <x:v>184.4669572951718</x:v>
      </x:c>
      <x:c r="D61" s="66" t="n">
        <x:v>30.255208877643383</x:v>
      </x:c>
      <x:c r="E61" s="66" t="n">
        <x:v>154.2117484175284</x:v>
      </x:c>
      <x:c r="F61" s="66" t="n">
        <x:v>154.2117484175284</x:v>
      </x:c>
      <x:c r="G61" s="66" t="n">
        <x:v>184.4669572951718</x:v>
      </x:c>
      <x:c r="H61" s="45" t="n">
        <x:v>1</x:v>
      </x:c>
      <x:c r="I61" s="36" t="str">
        <x:v>generated design-reference observation; not predicted tract behavior</x:v>
      </x:c>
    </x:row>
    <x:row r="62" ht="75.5999984741211" hidden="0" customHeight="1">
      <x:c r="A62" s="34" t="str">
        <x:v>M0</x:v>
      </x:c>
      <x:c r="B62" s="34" t="str">
        <x:v>48201222602</x:v>
      </x:c>
      <x:c r="C62" s="65" t="n">
        <x:v>191.36368957724983</x:v>
      </x:c>
      <x:c r="D62" s="65" t="n">
        <x:v>31.292266358777216</x:v>
      </x:c>
      <x:c r="E62" s="65" t="n">
        <x:v>160.0714232184726</x:v>
      </x:c>
      <x:c r="F62" s="65" t="n">
        <x:v>113.68216522721511</x:v>
      </x:c>
      <x:c r="G62" s="65" t="n">
        <x:v>144.97443158599233</x:v>
      </x:c>
      <x:c r="H62" s="43" t="n">
        <x:v>0.7575858926333512</x:v>
      </x:c>
      <x:c r="I62" s="34" t="str">
        <x:v>generated design-reference observation; not predicted tract behavior</x:v>
      </x:c>
    </x:row>
    <x:row r="63" ht="75.5999984741211" hidden="0" customHeight="1">
      <x:c r="A63" s="36" t="str">
        <x:v>M0</x:v>
      </x:c>
      <x:c r="B63" s="36" t="str">
        <x:v>48201222701</x:v>
      </x:c>
      <x:c r="C63" s="66" t="n">
        <x:v>222.67996282846357</x:v>
      </x:c>
      <x:c r="D63" s="66" t="n">
        <x:v>35.52226817892468</x:v>
      </x:c>
      <x:c r="E63" s="66" t="n">
        <x:v>187.15769464953888</x:v>
      </x:c>
      <x:c r="F63" s="66" t="n">
        <x:v>177.0535935276053</x:v>
      </x:c>
      <x:c r="G63" s="66" t="n">
        <x:v>212.57586170653</x:v>
      </x:c>
      <x:c r="H63" s="45" t="n">
        <x:v>0.9546250098410648</x:v>
      </x:c>
      <x:c r="I63" s="36" t="str">
        <x:v>generated design-reference observation; not predicted tract behavior</x:v>
      </x:c>
    </x:row>
    <x:row r="64" ht="75.5999984741211" hidden="0" customHeight="1">
      <x:c r="A64" s="34" t="str">
        <x:v>M0</x:v>
      </x:c>
      <x:c r="B64" s="34" t="str">
        <x:v>48201222702</x:v>
      </x:c>
      <x:c r="C64" s="65" t="n">
        <x:v>479.3717133398433</x:v>
      </x:c>
      <x:c r="D64" s="65" t="n">
        <x:v>64.57977608329286</x:v>
      </x:c>
      <x:c r="E64" s="65" t="n">
        <x:v>414.79193725655045</x:v>
      </x:c>
      <x:c r="F64" s="65" t="n">
        <x:v>414.79193725655045</x:v>
      </x:c>
      <x:c r="G64" s="65" t="n">
        <x:v>479.3717133398433</x:v>
      </x:c>
      <x:c r="H64" s="43" t="n">
        <x:v>1</x:v>
      </x:c>
      <x:c r="I64" s="34" t="str">
        <x:v>generated design-reference observation; not predicted tract behavior</x:v>
      </x:c>
    </x:row>
    <x:row r="65" ht="75.5999984741211" hidden="0" customHeight="1">
      <x:c r="A65" s="36" t="str">
        <x:v>M0</x:v>
      </x:c>
      <x:c r="B65" s="36" t="str">
        <x:v>48201222800</x:v>
      </x:c>
      <x:c r="C65" s="66" t="n">
        <x:v>324.8970017966302</x:v>
      </x:c>
      <x:c r="D65" s="66" t="n">
        <x:v>61.08063633776648</x:v>
      </x:c>
      <x:c r="E65" s="66" t="n">
        <x:v>263.81636545886374</x:v>
      </x:c>
      <x:c r="F65" s="66" t="n">
        <x:v>263.81636545886374</x:v>
      </x:c>
      <x:c r="G65" s="66" t="n">
        <x:v>324.8970017966302</x:v>
      </x:c>
      <x:c r="H65" s="45" t="n">
        <x:v>1</x:v>
      </x:c>
      <x:c r="I65" s="36" t="str">
        <x:v>generated design-reference observation; not predicted tract behavior</x:v>
      </x:c>
    </x:row>
    <x:row r="66" ht="75.5999984741211" hidden="0" customHeight="1">
      <x:c r="A66" s="34" t="str">
        <x:v>M0</x:v>
      </x:c>
      <x:c r="B66" s="34" t="str">
        <x:v>48201222900</x:v>
      </x:c>
      <x:c r="C66" s="65" t="n">
        <x:v>1357.4474043251957</x:v>
      </x:c>
      <x:c r="D66" s="65" t="n">
        <x:v>122.17026638926762</x:v>
      </x:c>
      <x:c r="E66" s="65" t="n">
        <x:v>1235.277137935928</x:v>
      </x:c>
      <x:c r="F66" s="65" t="n">
        <x:v>1235.277137935928</x:v>
      </x:c>
      <x:c r="G66" s="65" t="n">
        <x:v>1357.4474043251957</x:v>
      </x:c>
      <x:c r="H66" s="43" t="n">
        <x:v>1</x:v>
      </x:c>
      <x:c r="I66" s="34" t="str">
        <x:v>generated design-reference observation; not predicted tract behavior</x:v>
      </x:c>
    </x:row>
    <x:row r="67" ht="75.5999984741211" hidden="0" customHeight="1">
      <x:c r="A67" s="36" t="str">
        <x:v>M0</x:v>
      </x:c>
      <x:c r="B67" s="36" t="str">
        <x:v>48201223001</x:v>
      </x:c>
      <x:c r="C67" s="66" t="n">
        <x:v>702.2242834062232</x:v>
      </x:c>
      <x:c r="D67" s="66" t="n">
        <x:v>60.29015116960712</x:v>
      </x:c>
      <x:c r="E67" s="66" t="n">
        <x:v>641.934132236616</x:v>
      </x:c>
      <x:c r="F67" s="66" t="n">
        <x:v>641.934132236616</x:v>
      </x:c>
      <x:c r="G67" s="66" t="n">
        <x:v>702.2242834062232</x:v>
      </x:c>
      <x:c r="H67" s="45" t="n">
        <x:v>1</x:v>
      </x:c>
      <x:c r="I67" s="36" t="str">
        <x:v>generated design-reference observation; not predicted tract behavior</x:v>
      </x:c>
    </x:row>
    <x:row r="68" ht="75.5999984741211" hidden="0" customHeight="1">
      <x:c r="A68" s="34" t="str">
        <x:v>M0</x:v>
      </x:c>
      <x:c r="B68" s="34" t="str">
        <x:v>48201223002</x:v>
      </x:c>
      <x:c r="C68" s="65" t="n">
        <x:v>395.0081876441645</x:v>
      </x:c>
      <x:c r="D68" s="65" t="n">
        <x:v>55.641488790908255</x:v>
      </x:c>
      <x:c r="E68" s="65" t="n">
        <x:v>339.36669885325625</x:v>
      </x:c>
      <x:c r="F68" s="65" t="n">
        <x:v>339.36669885325625</x:v>
      </x:c>
      <x:c r="G68" s="65" t="n">
        <x:v>395.0081876441645</x:v>
      </x:c>
      <x:c r="H68" s="43" t="n">
        <x:v>1</x:v>
      </x:c>
      <x:c r="I68" s="34" t="str">
        <x:v>generated design-reference observation; not predicted tract behavior</x:v>
      </x:c>
    </x:row>
    <x:row r="69" ht="75.5999984741211" hidden="0" customHeight="1">
      <x:c r="A69" s="36" t="str">
        <x:v>M0</x:v>
      </x:c>
      <x:c r="B69" s="36" t="str">
        <x:v>48201223100</x:v>
      </x:c>
      <x:c r="C69" s="66" t="n">
        <x:v>310.00501761322926</x:v>
      </x:c>
      <x:c r="D69" s="66" t="n">
        <x:v>50.840822888569605</x:v>
      </x:c>
      <x:c r="E69" s="66" t="n">
        <x:v>259.16419472465964</x:v>
      </x:c>
      <x:c r="F69" s="66" t="n">
        <x:v>259.16419472465964</x:v>
      </x:c>
      <x:c r="G69" s="66" t="n">
        <x:v>310.00501761322926</x:v>
      </x:c>
      <x:c r="H69" s="45" t="n">
        <x:v>1</x:v>
      </x:c>
      <x:c r="I69" s="36" t="str">
        <x:v>generated design-reference observation; not predicted tract behavior</x:v>
      </x:c>
    </x:row>
    <x:row r="70" ht="75.5999984741211" hidden="0" customHeight="1">
      <x:c r="A70" s="34" t="str">
        <x:v>M0</x:v>
      </x:c>
      <x:c r="B70" s="34" t="str">
        <x:v>48201230100</x:v>
      </x:c>
      <x:c r="C70" s="65" t="n">
        <x:v>145.47192912704602</x:v>
      </x:c>
      <x:c r="D70" s="65" t="n">
        <x:v>25.850341905475382</x:v>
      </x:c>
      <x:c r="E70" s="65" t="n">
        <x:v>119.62158722157065</x:v>
      </x:c>
      <x:c r="F70" s="65" t="n">
        <x:v>0</x:v>
      </x:c>
      <x:c r="G70" s="65" t="n">
        <x:v>25.850341905475382</x:v>
      </x:c>
      <x:c r="H70" s="43" t="n">
        <x:v>0.17769986320109443</x:v>
      </x:c>
      <x:c r="I70" s="34" t="str">
        <x:v>generated design-reference observation; not predicted tract behavior</x:v>
      </x:c>
    </x:row>
    <x:row r="71" ht="75.5999984741211" hidden="0" customHeight="1">
      <x:c r="A71" s="36" t="str">
        <x:v>M0</x:v>
      </x:c>
      <x:c r="B71" s="36" t="str">
        <x:v>48201230200</x:v>
      </x:c>
      <x:c r="C71" s="66" t="n">
        <x:v>428.44623007740347</x:v>
      </x:c>
      <x:c r="D71" s="66" t="n">
        <x:v>77.94407145876366</x:v>
      </x:c>
      <x:c r="E71" s="66" t="n">
        <x:v>350.5021586186398</x:v>
      </x:c>
      <x:c r="F71" s="66" t="n">
        <x:v>350.5021586186398</x:v>
      </x:c>
      <x:c r="G71" s="66" t="n">
        <x:v>428.44623007740347</x:v>
      </x:c>
      <x:c r="H71" s="45" t="n">
        <x:v>1</x:v>
      </x:c>
      <x:c r="I71" s="36" t="str">
        <x:v>generated design-reference observation; not predicted tract behavior</x:v>
      </x:c>
    </x:row>
    <x:row r="72" ht="75.5999984741211" hidden="0" customHeight="1">
      <x:c r="A72" s="34" t="str">
        <x:v>M0</x:v>
      </x:c>
      <x:c r="B72" s="34" t="str">
        <x:v>48201230300</x:v>
      </x:c>
      <x:c r="C72" s="65" t="n">
        <x:v>176.96504166754386</x:v>
      </x:c>
      <x:c r="D72" s="65" t="n">
        <x:v>33.26942783349824</x:v>
      </x:c>
      <x:c r="E72" s="65" t="n">
        <x:v>143.69561383404562</x:v>
      </x:c>
      <x:c r="F72" s="65" t="n">
        <x:v>100.6438856019216</x:v>
      </x:c>
      <x:c r="G72" s="65" t="n">
        <x:v>133.91331343541984</x:v>
      </x:c>
      <x:c r="H72" s="43" t="n">
        <x:v>0.7567218484145398</x:v>
      </x:c>
      <x:c r="I72" s="34" t="str">
        <x:v>generated design-reference observation; not predicted tract behavior</x:v>
      </x:c>
    </x:row>
    <x:row r="73" ht="75.5999984741211" hidden="0" customHeight="1">
      <x:c r="A73" s="36" t="str">
        <x:v>M0</x:v>
      </x:c>
      <x:c r="B73" s="36" t="str">
        <x:v>48201230400</x:v>
      </x:c>
      <x:c r="C73" s="66" t="n">
        <x:v>340.74180211648144</x:v>
      </x:c>
      <x:c r="D73" s="66" t="n">
        <x:v>63.404305242010906</x:v>
      </x:c>
      <x:c r="E73" s="66" t="n">
        <x:v>277.3374968744705</x:v>
      </x:c>
      <x:c r="F73" s="66" t="n">
        <x:v>277.3374968744705</x:v>
      </x:c>
      <x:c r="G73" s="66" t="n">
        <x:v>340.7418021164814</x:v>
      </x:c>
      <x:c r="H73" s="45" t="n">
        <x:v>0.9999999999999998</x:v>
      </x:c>
      <x:c r="I73" s="36" t="str">
        <x:v>generated design-reference observation; not predicted tract behavior</x:v>
      </x:c>
    </x:row>
    <x:row r="74" ht="75.5999984741211" hidden="0" customHeight="1">
      <x:c r="A74" s="34" t="str">
        <x:v>M0</x:v>
      </x:c>
      <x:c r="B74" s="34" t="str">
        <x:v>48201230500</x:v>
      </x:c>
      <x:c r="C74" s="65" t="n">
        <x:v>296.21759883674093</x:v>
      </x:c>
      <x:c r="D74" s="65" t="n">
        <x:v>55.688908581307295</x:v>
      </x:c>
      <x:c r="E74" s="65" t="n">
        <x:v>240.52869025543365</x:v>
      </x:c>
      <x:c r="F74" s="65" t="n">
        <x:v>240.52869025543365</x:v>
      </x:c>
      <x:c r="G74" s="65" t="n">
        <x:v>296.21759883674093</x:v>
      </x:c>
      <x:c r="H74" s="43" t="n">
        <x:v>1</x:v>
      </x:c>
      <x:c r="I74" s="34" t="str">
        <x:v>generated design-reference observation; not predicted tract behavior</x:v>
      </x:c>
    </x:row>
    <x:row r="75" ht="75.5999984741211" hidden="0" customHeight="1">
      <x:c r="A75" s="36" t="str">
        <x:v>M0</x:v>
      </x:c>
      <x:c r="B75" s="36" t="str">
        <x:v>48201230600</x:v>
      </x:c>
      <x:c r="C75" s="66" t="n">
        <x:v>250.37299553034623</x:v>
      </x:c>
      <x:c r="D75" s="66" t="n">
        <x:v>46.90687417764831</x:v>
      </x:c>
      <x:c r="E75" s="66" t="n">
        <x:v>203.4661213526979</x:v>
      </x:c>
      <x:c r="F75" s="66" t="n">
        <x:v>168.58946343391614</x:v>
      </x:c>
      <x:c r="G75" s="66" t="n">
        <x:v>215.49633761156446</x:v>
      </x:c>
      <x:c r="H75" s="45" t="n">
        <x:v>0.8607011996445336</x:v>
      </x:c>
      <x:c r="I75" s="36" t="str">
        <x:v>generated design-reference observation; not predicted tract behavior</x:v>
      </x:c>
    </x:row>
    <x:row r="76" ht="75.5999984741211" hidden="0" customHeight="1">
      <x:c r="A76" s="34" t="str">
        <x:v>M0</x:v>
      </x:c>
      <x:c r="B76" s="34" t="str">
        <x:v>48201230700</x:v>
      </x:c>
      <x:c r="C76" s="65" t="n">
        <x:v>279.4689532605491</x:v>
      </x:c>
      <x:c r="D76" s="65" t="n">
        <x:v>51.55427443609096</x:v>
      </x:c>
      <x:c r="E76" s="65" t="n">
        <x:v>227.91467882445812</x:v>
      </x:c>
      <x:c r="F76" s="65" t="n">
        <x:v>186.23270441087553</x:v>
      </x:c>
      <x:c r="G76" s="65" t="n">
        <x:v>237.7869788469665</x:v>
      </x:c>
      <x:c r="H76" s="43" t="n">
        <x:v>0.8508529340118777</x:v>
      </x:c>
      <x:c r="I76" s="34" t="str">
        <x:v>generated design-reference observation; not predicted tract behavior</x:v>
      </x:c>
    </x:row>
    <x:row r="77" ht="75.5999984741211" hidden="0" customHeight="1">
      <x:c r="A77" s="36" t="str">
        <x:v>M0</x:v>
      </x:c>
      <x:c r="B77" s="36" t="str">
        <x:v>48201230800</x:v>
      </x:c>
      <x:c r="C77" s="66" t="n">
        <x:v>192.19679911787694</x:v>
      </x:c>
      <x:c r="D77" s="66" t="n">
        <x:v>35.616299947594904</x:v>
      </x:c>
      <x:c r="E77" s="66" t="n">
        <x:v>156.58049917028202</x:v>
      </x:c>
      <x:c r="F77" s="66" t="n">
        <x:v>108.23079947257757</x:v>
      </x:c>
      <x:c r="G77" s="66" t="n">
        <x:v>143.84709942017247</x:v>
      </x:c>
      <x:c r="H77" s="45" t="n">
        <x:v>0.7484364988406964</x:v>
      </x:c>
      <x:c r="I77" s="36" t="str">
        <x:v>generated design-reference observation; not predicted tract behavior</x:v>
      </x:c>
    </x:row>
    <x:row r="78" ht="75.5999984741211" hidden="0" customHeight="1">
      <x:c r="A78" s="34" t="str">
        <x:v>M0</x:v>
      </x:c>
      <x:c r="B78" s="34" t="str">
        <x:v>48201230900</x:v>
      </x:c>
      <x:c r="C78" s="65" t="n">
        <x:v>370.85556820056354</x:v>
      </x:c>
      <x:c r="D78" s="65" t="n">
        <x:v>65.78734232937686</x:v>
      </x:c>
      <x:c r="E78" s="65" t="n">
        <x:v>305.06822587118666</x:v>
      </x:c>
      <x:c r="F78" s="65" t="n">
        <x:v>305.06822587118666</x:v>
      </x:c>
      <x:c r="G78" s="65" t="n">
        <x:v>370.85556820056354</x:v>
      </x:c>
      <x:c r="H78" s="43" t="n">
        <x:v>1</x:v>
      </x:c>
      <x:c r="I78" s="34" t="str">
        <x:v>generated design-reference observation; not predicted tract behavior</x:v>
      </x:c>
    </x:row>
    <x:row r="79" ht="75.5999984741211" hidden="0" customHeight="1">
      <x:c r="A79" s="36" t="str">
        <x:v>M0</x:v>
      </x:c>
      <x:c r="B79" s="36" t="str">
        <x:v>48201231000</x:v>
      </x:c>
      <x:c r="C79" s="66" t="n">
        <x:v>494.2500945009916</x:v>
      </x:c>
      <x:c r="D79" s="66" t="n">
        <x:v>92.91901776618641</x:v>
      </x:c>
      <x:c r="E79" s="66" t="n">
        <x:v>401.3310767348052</x:v>
      </x:c>
      <x:c r="F79" s="66" t="n">
        <x:v>401.3310767348052</x:v>
      </x:c>
      <x:c r="G79" s="66" t="n">
        <x:v>494.2500945009916</x:v>
      </x:c>
      <x:c r="H79" s="45" t="n">
        <x:v>1</x:v>
      </x:c>
      <x:c r="I79" s="36" t="str">
        <x:v>generated design-reference observation; not predicted tract behavior</x:v>
      </x:c>
    </x:row>
    <x:row r="80" ht="75.5999984741211" hidden="0" customHeight="1">
      <x:c r="A80" s="34" t="str">
        <x:v>M0</x:v>
      </x:c>
      <x:c r="B80" s="34" t="str">
        <x:v>48201231100</x:v>
      </x:c>
      <x:c r="C80" s="65" t="n">
        <x:v>449.9341686064079</x:v>
      </x:c>
      <x:c r="D80" s="65" t="n">
        <x:v>82.64849232455043</x:v>
      </x:c>
      <x:c r="E80" s="65" t="n">
        <x:v>367.2856762818575</x:v>
      </x:c>
      <x:c r="F80" s="65" t="n">
        <x:v>250.17069675289997</x:v>
      </x:c>
      <x:c r="G80" s="65" t="n">
        <x:v>332.8191890774504</x:v>
      </x:c>
      <x:c r="H80" s="43" t="n">
        <x:v>0.7397064110696447</x:v>
      </x:c>
      <x:c r="I80" s="34" t="str">
        <x:v>generated design-reference observation; not predicted tract behavior</x:v>
      </x:c>
    </x:row>
    <x:row r="81" ht="75.5999984741211" hidden="0" customHeight="1">
      <x:c r="A81" s="36" t="str">
        <x:v>M0</x:v>
      </x:c>
      <x:c r="B81" s="36" t="str">
        <x:v>48201231200</x:v>
      </x:c>
      <x:c r="C81" s="66" t="n">
        <x:v>452.3549019886075</x:v>
      </x:c>
      <x:c r="D81" s="66" t="n">
        <x:v>79.51960743131828</x:v>
      </x:c>
      <x:c r="E81" s="66" t="n">
        <x:v>372.8352945572892</x:v>
      </x:c>
      <x:c r="F81" s="66" t="n">
        <x:v>372.8352945572892</x:v>
      </x:c>
      <x:c r="G81" s="66" t="n">
        <x:v>452.3549019886075</x:v>
      </x:c>
      <x:c r="H81" s="45" t="n">
        <x:v>1</x:v>
      </x:c>
      <x:c r="I81" s="36" t="str">
        <x:v>generated design-reference observation; not predicted tract behavior</x:v>
      </x:c>
    </x:row>
    <x:row r="82" ht="75.5999984741211" hidden="0" customHeight="1">
      <x:c r="A82" s="34" t="str">
        <x:v>M0</x:v>
      </x:c>
      <x:c r="B82" s="34" t="str">
        <x:v>48201231300</x:v>
      </x:c>
      <x:c r="C82" s="65" t="n">
        <x:v>440.1883588858646</x:v>
      </x:c>
      <x:c r="D82" s="65" t="n">
        <x:v>80.0776554753478</x:v>
      </x:c>
      <x:c r="E82" s="65" t="n">
        <x:v>360.1107034105168</x:v>
      </x:c>
      <x:c r="F82" s="65" t="n">
        <x:v>286.7568442634497</x:v>
      </x:c>
      <x:c r="G82" s="65" t="n">
        <x:v>366.8344997387975</x:v>
      </x:c>
      <x:c r="H82" s="43" t="n">
        <x:v>0.8333580212508827</x:v>
      </x:c>
      <x:c r="I82" s="34" t="str">
        <x:v>generated design-reference observation; not predicted tract behavior</x:v>
      </x:c>
    </x:row>
    <x:row r="83" ht="75.5999984741211" hidden="0" customHeight="1">
      <x:c r="A83" s="36" t="str">
        <x:v>M0</x:v>
      </x:c>
      <x:c r="B83" s="36" t="str">
        <x:v>48201231400</x:v>
      </x:c>
      <x:c r="C83" s="66" t="n">
        <x:v>307.4842264451272</x:v>
      </x:c>
      <x:c r="D83" s="66" t="n">
        <x:v>57.807034571683914</x:v>
      </x:c>
      <x:c r="E83" s="66" t="n">
        <x:v>249.6771918734433</x:v>
      </x:c>
      <x:c r="F83" s="66" t="n">
        <x:v>249.6771918734433</x:v>
      </x:c>
      <x:c r="G83" s="66" t="n">
        <x:v>307.4842264451272</x:v>
      </x:c>
      <x:c r="H83" s="45" t="n">
        <x:v>1</x:v>
      </x:c>
      <x:c r="I83" s="36" t="str">
        <x:v>generated design-reference observation; not predicted tract behavior</x:v>
      </x:c>
    </x:row>
    <x:row r="84" ht="75.5999984741211" hidden="0" customHeight="1">
      <x:c r="A84" s="34" t="str">
        <x:v>M0</x:v>
      </x:c>
      <x:c r="B84" s="34" t="str">
        <x:v>48201231500</x:v>
      </x:c>
      <x:c r="C84" s="65" t="n">
        <x:v>259.67081238470337</x:v>
      </x:c>
      <x:c r="D84" s="65" t="n">
        <x:v>48.69112919810605</x:v>
      </x:c>
      <x:c r="E84" s="65" t="n">
        <x:v>210.97968318659733</x:v>
      </x:c>
      <x:c r="F84" s="65" t="n">
        <x:v>210.97968318659733</x:v>
      </x:c>
      <x:c r="G84" s="65" t="n">
        <x:v>259.67081238470337</x:v>
      </x:c>
      <x:c r="H84" s="43" t="n">
        <x:v>1</x:v>
      </x:c>
      <x:c r="I84" s="34" t="str">
        <x:v>generated design-reference observation; not predicted tract behavior</x:v>
      </x:c>
    </x:row>
    <x:row r="85" ht="75.5999984741211" hidden="0" customHeight="1">
      <x:c r="A85" s="36" t="str">
        <x:v>M0</x:v>
      </x:c>
      <x:c r="B85" s="36" t="str">
        <x:v>48201231600</x:v>
      </x:c>
      <x:c r="C85" s="66" t="n">
        <x:v>230.43338322307326</x:v>
      </x:c>
      <x:c r="D85" s="66" t="n">
        <x:v>43.32147604593777</x:v>
      </x:c>
      <x:c r="E85" s="66" t="n">
        <x:v>187.1119071771355</x:v>
      </x:c>
      <x:c r="F85" s="66" t="n">
        <x:v>187.1119071771355</x:v>
      </x:c>
      <x:c r="G85" s="66" t="n">
        <x:v>230.43338322307326</x:v>
      </x:c>
      <x:c r="H85" s="45" t="n">
        <x:v>1</x:v>
      </x:c>
      <x:c r="I85" s="36" t="str">
        <x:v>generated design-reference observation; not predicted tract behavior</x:v>
      </x:c>
    </x:row>
    <x:row r="86" ht="75.5999984741211" hidden="0" customHeight="1">
      <x:c r="A86" s="34" t="str">
        <x:v>M0</x:v>
      </x:c>
      <x:c r="B86" s="34" t="str">
        <x:v>48201231700</x:v>
      </x:c>
      <x:c r="C86" s="65" t="n">
        <x:v>817.8862472794956</x:v>
      </x:c>
      <x:c r="D86" s="65" t="n">
        <x:v>73.41813353523415</x:v>
      </x:c>
      <x:c r="E86" s="65" t="n">
        <x:v>744.4681137442615</x:v>
      </x:c>
      <x:c r="F86" s="65" t="n">
        <x:v>744.4681137442615</x:v>
      </x:c>
      <x:c r="G86" s="65" t="n">
        <x:v>817.8862472794956</x:v>
      </x:c>
      <x:c r="H86" s="43" t="n">
        <x:v>1</x:v>
      </x:c>
      <x:c r="I86" s="34" t="str">
        <x:v>generated design-reference observation; not predicted tract behavior</x:v>
      </x:c>
    </x:row>
    <x:row r="87" ht="75.5999984741211" hidden="0" customHeight="1">
      <x:c r="A87" s="36" t="str">
        <x:v>M0</x:v>
      </x:c>
      <x:c r="B87" s="36" t="str">
        <x:v>48201231800</x:v>
      </x:c>
      <x:c r="C87" s="66" t="n">
        <x:v>261.2662957502439</x:v>
      </x:c>
      <x:c r="D87" s="66" t="n">
        <x:v>49.118063601045854</x:v>
      </x:c>
      <x:c r="E87" s="66" t="n">
        <x:v>212.14823214919804</x:v>
      </x:c>
      <x:c r="F87" s="66" t="n">
        <x:v>212.14823214919804</x:v>
      </x:c>
      <x:c r="G87" s="66" t="n">
        <x:v>261.2662957502439</x:v>
      </x:c>
      <x:c r="H87" s="45" t="n">
        <x:v>1</x:v>
      </x:c>
      <x:c r="I87" s="36" t="str">
        <x:v>generated design-reference observation; not predicted tract behavior</x:v>
      </x:c>
    </x:row>
    <x:row r="88" ht="75.5999984741211" hidden="0" customHeight="1">
      <x:c r="A88" s="34" t="str">
        <x:v>M0</x:v>
      </x:c>
      <x:c r="B88" s="34" t="str">
        <x:v>48201231900</x:v>
      </x:c>
      <x:c r="C88" s="65" t="n">
        <x:v>1033.5515849663586</x:v>
      </x:c>
      <x:c r="D88" s="65" t="n">
        <x:v>93.01964264697227</x:v>
      </x:c>
      <x:c r="E88" s="65" t="n">
        <x:v>940.5319423193864</x:v>
      </x:c>
      <x:c r="F88" s="65" t="n">
        <x:v>940.5319423193864</x:v>
      </x:c>
      <x:c r="G88" s="65" t="n">
        <x:v>1033.5515849663586</x:v>
      </x:c>
      <x:c r="H88" s="43" t="n">
        <x:v>1</x:v>
      </x:c>
      <x:c r="I88" s="34" t="str">
        <x:v>generated design-reference observation; not predicted tract behavior</x:v>
      </x:c>
    </x:row>
    <x:row r="89" ht="75.5999984741211" hidden="0" customHeight="1">
      <x:c r="A89" s="36" t="str">
        <x:v>M0</x:v>
      </x:c>
      <x:c r="B89" s="36" t="str">
        <x:v>48201232000</x:v>
      </x:c>
      <x:c r="C89" s="66" t="n">
        <x:v>687.3812701029317</x:v>
      </x:c>
      <x:c r="D89" s="66" t="n">
        <x:v>112.73052829688082</x:v>
      </x:c>
      <x:c r="E89" s="66" t="n">
        <x:v>574.6507418060509</x:v>
      </x:c>
      <x:c r="F89" s="66" t="n">
        <x:v>574.6507418060509</x:v>
      </x:c>
      <x:c r="G89" s="66" t="n">
        <x:v>687.3812701029317</x:v>
      </x:c>
      <x:c r="H89" s="45" t="n">
        <x:v>1</x:v>
      </x:c>
      <x:c r="I89" s="36" t="str">
        <x:v>generated design-reference observation; not predicted tract behavior</x:v>
      </x:c>
    </x:row>
    <x:row r="90" ht="75.5999984741211" hidden="0" customHeight="1">
      <x:c r="A90" s="34" t="str">
        <x:v>M0</x:v>
      </x:c>
      <x:c r="B90" s="34" t="str">
        <x:v>48201232100</x:v>
      </x:c>
      <x:c r="C90" s="65" t="n">
        <x:v>269.864614971433</x:v>
      </x:c>
      <x:c r="D90" s="65" t="n">
        <x:v>47.62401028489405</x:v>
      </x:c>
      <x:c r="E90" s="65" t="n">
        <x:v>222.24060468653897</x:v>
      </x:c>
      <x:c r="F90" s="65" t="n">
        <x:v>65.05012867133568</x:v>
      </x:c>
      <x:c r="G90" s="65" t="n">
        <x:v>112.67413895622974</x:v>
      </x:c>
      <x:c r="H90" s="43" t="n">
        <x:v>0.4175209816528079</x:v>
      </x:c>
      <x:c r="I90" s="34" t="str">
        <x:v>generated design-reference observation; not predicted tract behavior</x:v>
      </x:c>
    </x:row>
    <x:row r="91" ht="75.5999984741211" hidden="0" customHeight="1">
      <x:c r="A91" s="36" t="str">
        <x:v>M0</x:v>
      </x:c>
      <x:c r="B91" s="36" t="str">
        <x:v>48201232201</x:v>
      </x:c>
      <x:c r="C91" s="66" t="n">
        <x:v>961.983364290877</x:v>
      </x:c>
      <x:c r="D91" s="66" t="n">
        <x:v>145.20146209213024</x:v>
      </x:c>
      <x:c r="E91" s="66" t="n">
        <x:v>816.7819021987468</x:v>
      </x:c>
      <x:c r="F91" s="66" t="n">
        <x:v>816.7819021987468</x:v>
      </x:c>
      <x:c r="G91" s="66" t="n">
        <x:v>961.983364290877</x:v>
      </x:c>
      <x:c r="H91" s="45" t="n">
        <x:v>1</x:v>
      </x:c>
      <x:c r="I91" s="36" t="str">
        <x:v>generated design-reference observation; not predicted tract behavior</x:v>
      </x:c>
    </x:row>
    <x:row r="92" ht="75.5999984741211" hidden="0" customHeight="1">
      <x:c r="A92" s="34" t="str">
        <x:v>M0</x:v>
      </x:c>
      <x:c r="B92" s="34" t="str">
        <x:v>48201232202</x:v>
      </x:c>
      <x:c r="C92" s="65" t="n">
        <x:v>994.8029226456969</x:v>
      </x:c>
      <x:c r="D92" s="65" t="n">
        <x:v>89.53226303811272</x:v>
      </x:c>
      <x:c r="E92" s="65" t="n">
        <x:v>905.2706596075841</x:v>
      </x:c>
      <x:c r="F92" s="65" t="n">
        <x:v>905.2706596075841</x:v>
      </x:c>
      <x:c r="G92" s="65" t="n">
        <x:v>994.8029226456968</x:v>
      </x:c>
      <x:c r="H92" s="43" t="n">
        <x:v>0.9999999999999999</x:v>
      </x:c>
      <x:c r="I92" s="34" t="str">
        <x:v>generated design-reference observation; not predicted tract behavior</x:v>
      </x:c>
    </x:row>
    <x:row r="93" ht="75.5999984741211" hidden="0" customHeight="1">
      <x:c r="A93" s="36" t="str">
        <x:v>M0</x:v>
      </x:c>
      <x:c r="B93" s="36" t="str">
        <x:v>48201232203</x:v>
      </x:c>
      <x:c r="C93" s="66" t="n">
        <x:v>1010.8677896366571</x:v>
      </x:c>
      <x:c r="D93" s="66" t="n">
        <x:v>83.30350386794177</x:v>
      </x:c>
      <x:c r="E93" s="66" t="n">
        <x:v>927.5642857687153</x:v>
      </x:c>
      <x:c r="F93" s="66" t="n">
        <x:v>927.5642857687153</x:v>
      </x:c>
      <x:c r="G93" s="66" t="n">
        <x:v>1010.8677896366571</x:v>
      </x:c>
      <x:c r="H93" s="45" t="n">
        <x:v>1</x:v>
      </x:c>
      <x:c r="I93" s="36" t="str">
        <x:v>generated design-reference observation; not predicted tract behavior</x:v>
      </x:c>
    </x:row>
    <x:row r="94" ht="75.5999984741211" hidden="0" customHeight="1">
      <x:c r="A94" s="34" t="str">
        <x:v>M0</x:v>
      </x:c>
      <x:c r="B94" s="34" t="str">
        <x:v>48201232303</x:v>
      </x:c>
      <x:c r="C94" s="65" t="n">
        <x:v>443.48935895250025</x:v>
      </x:c>
      <x:c r="D94" s="65" t="n">
        <x:v>75.43562721534938</x:v>
      </x:c>
      <x:c r="E94" s="65" t="n">
        <x:v>368.0537317371509</x:v>
      </x:c>
      <x:c r="F94" s="65" t="n">
        <x:v>368.0537317371509</x:v>
      </x:c>
      <x:c r="G94" s="65" t="n">
        <x:v>443.48935895250025</x:v>
      </x:c>
      <x:c r="H94" s="43" t="n">
        <x:v>1</x:v>
      </x:c>
      <x:c r="I94" s="34" t="str">
        <x:v>generated design-reference observation; not predicted tract behavior</x:v>
      </x:c>
    </x:row>
    <x:row r="95" ht="75.5999984741211" hidden="0" customHeight="1">
      <x:c r="A95" s="36" t="str">
        <x:v>M0</x:v>
      </x:c>
      <x:c r="B95" s="36" t="str">
        <x:v>48201232304</x:v>
      </x:c>
      <x:c r="C95" s="66" t="n">
        <x:v>607.273978925406</x:v>
      </x:c>
      <x:c r="D95" s="66" t="n">
        <x:v>106.42601262992177</x:v>
      </x:c>
      <x:c r="E95" s="66" t="n">
        <x:v>500.84796629548424</x:v>
      </x:c>
      <x:c r="F95" s="66" t="n">
        <x:v>500.84796629548424</x:v>
      </x:c>
      <x:c r="G95" s="66" t="n">
        <x:v>607.273978925406</x:v>
      </x:c>
      <x:c r="H95" s="45" t="n">
        <x:v>1</x:v>
      </x:c>
      <x:c r="I95" s="36" t="str">
        <x:v>generated design-reference observation; not predicted tract behavior</x:v>
      </x:c>
    </x:row>
    <x:row r="96" ht="75.5999984741211" hidden="0" customHeight="1">
      <x:c r="A96" s="34" t="str">
        <x:v>M0</x:v>
      </x:c>
      <x:c r="B96" s="34" t="str">
        <x:v>48201232305</x:v>
      </x:c>
      <x:c r="C96" s="65" t="n">
        <x:v>973.1151708342707</x:v>
      </x:c>
      <x:c r="D96" s="65" t="n">
        <x:v>180.42875112190578</x:v>
      </x:c>
      <x:c r="E96" s="65" t="n">
        <x:v>792.6864197123649</x:v>
      </x:c>
      <x:c r="F96" s="65" t="n">
        <x:v>550.9874335834972</x:v>
      </x:c>
      <x:c r="G96" s="65" t="n">
        <x:v>731.416184705403</x:v>
      </x:c>
      <x:c r="H96" s="43" t="n">
        <x:v>0.7516234528317399</x:v>
      </x:c>
      <x:c r="I96" s="34" t="str">
        <x:v>generated design-reference observation; not predicted tract behavior</x:v>
      </x:c>
    </x:row>
    <x:row r="97" ht="75.5999984741211" hidden="0" customHeight="1">
      <x:c r="A97" s="36" t="str">
        <x:v>M0</x:v>
      </x:c>
      <x:c r="B97" s="36" t="str">
        <x:v>48201232306</x:v>
      </x:c>
      <x:c r="C97" s="66" t="n">
        <x:v>333.81756150051467</x:v>
      </x:c>
      <x:c r="D97" s="66" t="n">
        <x:v>62.75770156209676</x:v>
      </x:c>
      <x:c r="E97" s="66" t="n">
        <x:v>271.0598599384179</x:v>
      </x:c>
      <x:c r="F97" s="66" t="n">
        <x:v>94.0382686782626</x:v>
      </x:c>
      <x:c r="G97" s="66" t="n">
        <x:v>156.79597024035937</x:v>
      </x:c>
      <x:c r="H97" s="45" t="n">
        <x:v>0.4697055767095034</x:v>
      </x:c>
      <x:c r="I97" s="36" t="str">
        <x:v>generated design-reference observation; not predicted tract behavior</x:v>
      </x:c>
    </x:row>
    <x:row r="98" ht="75.5999984741211" hidden="0" customHeight="1">
      <x:c r="A98" s="34" t="str">
        <x:v>M0</x:v>
      </x:c>
      <x:c r="B98" s="34" t="str">
        <x:v>48201232402</x:v>
      </x:c>
      <x:c r="C98" s="65" t="n">
        <x:v>377.9959457256552</x:v>
      </x:c>
      <x:c r="D98" s="65" t="n">
        <x:v>69.75118705685779</x:v>
      </x:c>
      <x:c r="E98" s="65" t="n">
        <x:v>308.24475866879743</x:v>
      </x:c>
      <x:c r="F98" s="65" t="n">
        <x:v>212.8979978735139</x:v>
      </x:c>
      <x:c r="G98" s="65" t="n">
        <x:v>282.6491849303717</x:v>
      </x:c>
      <x:c r="H98" s="43" t="n">
        <x:v>0.7477571866220888</x:v>
      </x:c>
      <x:c r="I98" s="34" t="str">
        <x:v>generated design-reference observation; not predicted tract behavior</x:v>
      </x:c>
    </x:row>
    <x:row r="99" ht="75.5999984741211" hidden="0" customHeight="1">
      <x:c r="A99" s="36" t="str">
        <x:v>M0</x:v>
      </x:c>
      <x:c r="B99" s="36" t="str">
        <x:v>48201232403</x:v>
      </x:c>
      <x:c r="C99" s="66" t="n">
        <x:v>700.8700269686292</x:v>
      </x:c>
      <x:c r="D99" s="66" t="n">
        <x:v>60.126871737893865</x:v>
      </x:c>
      <x:c r="E99" s="66" t="n">
        <x:v>640.7431552307353</x:v>
      </x:c>
      <x:c r="F99" s="66" t="n">
        <x:v>640.7431552307353</x:v>
      </x:c>
      <x:c r="G99" s="66" t="n">
        <x:v>700.8700269686292</x:v>
      </x:c>
      <x:c r="H99" s="45" t="n">
        <x:v>1</x:v>
      </x:c>
      <x:c r="I99" s="36" t="str">
        <x:v>generated design-reference observation; not predicted tract behavior</x:v>
      </x:c>
    </x:row>
    <x:row r="100" ht="75.5999984741211" hidden="0" customHeight="1">
      <x:c r="A100" s="34" t="str">
        <x:v>M0</x:v>
      </x:c>
      <x:c r="B100" s="34" t="str">
        <x:v>48201232404</x:v>
      </x:c>
      <x:c r="C100" s="65" t="n">
        <x:v>322.6570374656989</x:v>
      </x:c>
      <x:c r="D100" s="65" t="n">
        <x:v>59.729442401005656</x:v>
      </x:c>
      <x:c r="E100" s="65" t="n">
        <x:v>262.92759506469326</x:v>
      </x:c>
      <x:c r="F100" s="65" t="n">
        <x:v>182.34676247170103</x:v>
      </x:c>
      <x:c r="G100" s="65" t="n">
        <x:v>242.07620487270668</x:v>
      </x:c>
      <x:c r="H100" s="43" t="n">
        <x:v>0.7502585617660404</x:v>
      </x:c>
      <x:c r="I100" s="34" t="str">
        <x:v>generated design-reference observation; not predicted tract behavior</x:v>
      </x:c>
    </x:row>
    <x:row r="101" ht="75.5999984741211" hidden="0" customHeight="1">
      <x:c r="A101" s="36" t="str">
        <x:v>M0</x:v>
      </x:c>
      <x:c r="B101" s="36" t="str">
        <x:v>48201232405</x:v>
      </x:c>
      <x:c r="C101" s="66" t="n">
        <x:v>511.52925794503574</x:v>
      </x:c>
      <x:c r="D101" s="66" t="n">
        <x:v>85.66357139045003</x:v>
      </x:c>
      <x:c r="E101" s="66" t="n">
        <x:v>425.8656865545857</x:v>
      </x:c>
      <x:c r="F101" s="66" t="n">
        <x:v>425.8656865545857</x:v>
      </x:c>
      <x:c r="G101" s="66" t="n">
        <x:v>511.52925794503574</x:v>
      </x:c>
      <x:c r="H101" s="45" t="n">
        <x:v>1</x:v>
      </x:c>
      <x:c r="I101" s="36" t="str">
        <x:v>generated design-reference observation; not predicted tract behavior</x:v>
      </x:c>
    </x:row>
    <x:row r="102" ht="75.5999984741211" hidden="0" customHeight="1">
      <x:c r="A102" s="34" t="str">
        <x:v>M0</x:v>
      </x:c>
      <x:c r="B102" s="34" t="str">
        <x:v>48201232500</x:v>
      </x:c>
      <x:c r="C102" s="65" t="n">
        <x:v>317.5955040301909</x:v>
      </x:c>
      <x:c r="D102" s="65" t="n">
        <x:v>55.10117721387245</x:v>
      </x:c>
      <x:c r="E102" s="65" t="n">
        <x:v>262.49432681631845</x:v>
      </x:c>
      <x:c r="F102" s="65" t="n">
        <x:v>262.49432681631845</x:v>
      </x:c>
      <x:c r="G102" s="65" t="n">
        <x:v>317.5955040301909</x:v>
      </x:c>
      <x:c r="H102" s="43" t="n">
        <x:v>1</x:v>
      </x:c>
      <x:c r="I102" s="34" t="str">
        <x:v>generated design-reference observation; not predicted tract behavior</x:v>
      </x:c>
    </x:row>
    <x:row r="103" ht="75.5999984741211" hidden="0" customHeight="1">
      <x:c r="A103" s="36" t="str">
        <x:v>M0</x:v>
      </x:c>
      <x:c r="B103" s="36" t="str">
        <x:v>48201232600</x:v>
      </x:c>
      <x:c r="C103" s="66" t="n">
        <x:v>206.04528034981033</x:v>
      </x:c>
      <x:c r="D103" s="66" t="n">
        <x:v>38.73651270576434</x:v>
      </x:c>
      <x:c r="E103" s="66" t="n">
        <x:v>167.308767644046</x:v>
      </x:c>
      <x:c r="F103" s="66" t="n">
        <x:v>36.15902104456602</x:v>
      </x:c>
      <x:c r="G103" s="66" t="n">
        <x:v>74.89553375033036</x:v>
      </x:c>
      <x:c r="H103" s="45" t="n">
        <x:v>0.3634906542056075</x:v>
      </x:c>
      <x:c r="I103" s="36" t="str">
        <x:v>generated design-reference observation; not predicted tract behavior</x:v>
      </x:c>
    </x:row>
    <x:row r="104" ht="75.5999984741211" hidden="0" customHeight="1">
      <x:c r="A104" s="34" t="str">
        <x:v>M0</x:v>
      </x:c>
      <x:c r="B104" s="34" t="str">
        <x:v>48201232701</x:v>
      </x:c>
      <x:c r="C104" s="65" t="n">
        <x:v>578.5631378696439</x:v>
      </x:c>
      <x:c r="D104" s="65" t="n">
        <x:v>101.61353787697017</x:v>
      </x:c>
      <x:c r="E104" s="65" t="n">
        <x:v>476.94959999267377</x:v>
      </x:c>
      <x:c r="F104" s="65" t="n">
        <x:v>476.94959999267377</x:v>
      </x:c>
      <x:c r="G104" s="65" t="n">
        <x:v>578.5631378696439</x:v>
      </x:c>
      <x:c r="H104" s="43" t="n">
        <x:v>1</x:v>
      </x:c>
      <x:c r="I104" s="34" t="str">
        <x:v>generated design-reference observation; not predicted tract behavior</x:v>
      </x:c>
    </x:row>
    <x:row r="105" ht="75.5999984741211" hidden="0" customHeight="1">
      <x:c r="A105" s="36" t="str">
        <x:v>M0</x:v>
      </x:c>
      <x:c r="B105" s="36" t="str">
        <x:v>48201232703</x:v>
      </x:c>
      <x:c r="C105" s="66" t="n">
        <x:v>384.8990260847845</x:v>
      </x:c>
      <x:c r="D105" s="66" t="n">
        <x:v>59.84111313264007</x:v>
      </x:c>
      <x:c r="E105" s="66" t="n">
        <x:v>325.0579129521444</x:v>
      </x:c>
      <x:c r="F105" s="66" t="n">
        <x:v>325.0579129521444</x:v>
      </x:c>
      <x:c r="G105" s="66" t="n">
        <x:v>384.8990260847845</x:v>
      </x:c>
      <x:c r="H105" s="45" t="n">
        <x:v>1</x:v>
      </x:c>
      <x:c r="I105" s="36" t="str">
        <x:v>generated design-reference observation; not predicted tract behavior</x:v>
      </x:c>
    </x:row>
    <x:row r="106" ht="75.5999984741211" hidden="0" customHeight="1">
      <x:c r="A106" s="34" t="str">
        <x:v>M0</x:v>
      </x:c>
      <x:c r="B106" s="34" t="str">
        <x:v>48201232704</x:v>
      </x:c>
      <x:c r="C106" s="65" t="n">
        <x:v>155.2727555153667</x:v>
      </x:c>
      <x:c r="D106" s="65" t="n">
        <x:v>25.323589967226194</x:v>
      </x:c>
      <x:c r="E106" s="65" t="n">
        <x:v>129.9491655481405</x:v>
      </x:c>
      <x:c r="F106" s="65" t="n">
        <x:v>61.09492540506025</x:v>
      </x:c>
      <x:c r="G106" s="65" t="n">
        <x:v>86.41851537228645</x:v>
      </x:c>
      <x:c r="H106" s="43" t="n">
        <x:v>0.5565594239984617</x:v>
      </x:c>
      <x:c r="I106" s="34" t="str">
        <x:v>generated design-reference observation; not predicted tract behavior</x:v>
      </x:c>
    </x:row>
    <x:row r="107" ht="75.5999984741211" hidden="0" customHeight="1">
      <x:c r="A107" s="36" t="str">
        <x:v>M0</x:v>
      </x:c>
      <x:c r="B107" s="36" t="str">
        <x:v>48201232801</x:v>
      </x:c>
      <x:c r="C107" s="66" t="n">
        <x:v>223.705630706311</x:v>
      </x:c>
      <x:c r="D107" s="66" t="n">
        <x:v>39.11445955918607</x:v>
      </x:c>
      <x:c r="E107" s="66" t="n">
        <x:v>184.59117114712495</x:v>
      </x:c>
      <x:c r="F107" s="66" t="n">
        <x:v>122.07452670779742</x:v>
      </x:c>
      <x:c r="G107" s="66" t="n">
        <x:v>161.18898626698348</x:v>
      </x:c>
      <x:c r="H107" s="45" t="n">
        <x:v>0.7205405861178269</x:v>
      </x:c>
      <x:c r="I107" s="36" t="str">
        <x:v>generated design-reference observation; not predicted tract behavior</x:v>
      </x:c>
    </x:row>
    <x:row r="108" ht="75.5999984741211" hidden="0" customHeight="1">
      <x:c r="A108" s="34" t="str">
        <x:v>M0</x:v>
      </x:c>
      <x:c r="B108" s="34" t="str">
        <x:v>48201232802</x:v>
      </x:c>
      <x:c r="C108" s="65" t="n">
        <x:v>227.89868674333516</x:v>
      </x:c>
      <x:c r="D108" s="65" t="n">
        <x:v>38.708199014585226</x:v>
      </x:c>
      <x:c r="E108" s="65" t="n">
        <x:v>189.19048772874993</x:v>
      </x:c>
      <x:c r="F108" s="65" t="n">
        <x:v>189.19048772874993</x:v>
      </x:c>
      <x:c r="G108" s="65" t="n">
        <x:v>227.89868674333516</x:v>
      </x:c>
      <x:c r="H108" s="43" t="n">
        <x:v>1</x:v>
      </x:c>
      <x:c r="I108" s="34" t="str">
        <x:v>generated design-reference observation; not predicted tract behavior</x:v>
      </x:c>
    </x:row>
    <x:row r="109" ht="75.5999984741211" hidden="0" customHeight="1">
      <x:c r="A109" s="36" t="str">
        <x:v>M0</x:v>
      </x:c>
      <x:c r="B109" s="36" t="str">
        <x:v>48201232901</x:v>
      </x:c>
      <x:c r="C109" s="66" t="n">
        <x:v>747.0755637987935</x:v>
      </x:c>
      <x:c r="D109" s="66" t="n">
        <x:v>61.925202104931</x:v>
      </x:c>
      <x:c r="E109" s="66" t="n">
        <x:v>685.1503616938625</x:v>
      </x:c>
      <x:c r="F109" s="66" t="n">
        <x:v>685.1503616938625</x:v>
      </x:c>
      <x:c r="G109" s="66" t="n">
        <x:v>747.0755637987935</x:v>
      </x:c>
      <x:c r="H109" s="45" t="n">
        <x:v>1</x:v>
      </x:c>
      <x:c r="I109" s="36" t="str">
        <x:v>generated design-reference observation; not predicted tract behavior</x:v>
      </x:c>
    </x:row>
    <x:row r="110" ht="75.5999984741211" hidden="0" customHeight="1">
      <x:c r="A110" s="34" t="str">
        <x:v>M0</x:v>
      </x:c>
      <x:c r="B110" s="34" t="str">
        <x:v>48201232902</x:v>
      </x:c>
      <x:c r="C110" s="65" t="n">
        <x:v>372.68290752316545</x:v>
      </x:c>
      <x:c r="D110" s="65" t="n">
        <x:v>66.03867282099316</x:v>
      </x:c>
      <x:c r="E110" s="65" t="n">
        <x:v>306.6442347021723</x:v>
      </x:c>
      <x:c r="F110" s="65" t="n">
        <x:v>306.6442347021723</x:v>
      </x:c>
      <x:c r="G110" s="65" t="n">
        <x:v>372.68290752316545</x:v>
      </x:c>
      <x:c r="H110" s="43" t="n">
        <x:v>1</x:v>
      </x:c>
      <x:c r="I110" s="34" t="str">
        <x:v>generated design-reference observation; not predicted tract behavior</x:v>
      </x:c>
    </x:row>
    <x:row r="111" ht="75.5999984741211" hidden="0" customHeight="1">
      <x:c r="A111" s="36" t="str">
        <x:v>M0</x:v>
      </x:c>
      <x:c r="B111" s="36" t="str">
        <x:v>48201233001</x:v>
      </x:c>
      <x:c r="C111" s="66" t="n">
        <x:v>333.786123404642</x:v>
      </x:c>
      <x:c r="D111" s="66" t="n">
        <x:v>58.12256070170668</x:v>
      </x:c>
      <x:c r="E111" s="66" t="n">
        <x:v>275.66356270293534</x:v>
      </x:c>
      <x:c r="F111" s="66" t="n">
        <x:v>275.66356270293534</x:v>
      </x:c>
      <x:c r="G111" s="66" t="n">
        <x:v>333.786123404642</x:v>
      </x:c>
      <x:c r="H111" s="45" t="n">
        <x:v>1</x:v>
      </x:c>
      <x:c r="I111" s="36" t="str">
        <x:v>generated design-reference observation; not predicted tract behavior</x:v>
      </x:c>
    </x:row>
    <x:row r="112" ht="75.5999984741211" hidden="0" customHeight="1">
      <x:c r="A112" s="34" t="str">
        <x:v>M0</x:v>
      </x:c>
      <x:c r="B112" s="34" t="str">
        <x:v>48201233002</x:v>
      </x:c>
      <x:c r="C112" s="65" t="n">
        <x:v>324.58262083790305</x:v>
      </x:c>
      <x:c r="D112" s="65" t="n">
        <x:v>61.02153271752577</x:v>
      </x:c>
      <x:c r="E112" s="65" t="n">
        <x:v>263.5610881203773</x:v>
      </x:c>
      <x:c r="F112" s="65" t="n">
        <x:v>186.243676607848</x:v>
      </x:c>
      <x:c r="G112" s="65" t="n">
        <x:v>247.26520932537375</x:v>
      </x:c>
      <x:c r="H112" s="43" t="n">
        <x:v>0.7617943582039727</x:v>
      </x:c>
      <x:c r="I112" s="34" t="str">
        <x:v>generated design-reference observation; not predicted tract behavior</x:v>
      </x:c>
    </x:row>
    <x:row r="113" ht="75.5999984741211" hidden="0" customHeight="1">
      <x:c r="A113" s="36" t="str">
        <x:v>M0</x:v>
      </x:c>
      <x:c r="B113" s="36" t="str">
        <x:v>48201233003</x:v>
      </x:c>
      <x:c r="C113" s="66" t="n">
        <x:v>224.64091405852452</x:v>
      </x:c>
      <x:c r="D113" s="66" t="n">
        <x:v>42.232491843002606</x:v>
      </x:c>
      <x:c r="E113" s="66" t="n">
        <x:v>182.4084222155219</x:v>
      </x:c>
      <x:c r="F113" s="66" t="n">
        <x:v>107.41829308247402</x:v>
      </x:c>
      <x:c r="G113" s="66" t="n">
        <x:v>149.65078492547661</x:v>
      </x:c>
      <x:c r="H113" s="45" t="n">
        <x:v>0.6661777777777778</x:v>
      </x:c>
      <x:c r="I113" s="36" t="str">
        <x:v>generated design-reference observation; not predicted tract behavior</x:v>
      </x:c>
    </x:row>
    <x:row r="114" ht="75.5999984741211" hidden="0" customHeight="1">
      <x:c r="A114" s="34" t="str">
        <x:v>M0</x:v>
      </x:c>
      <x:c r="B114" s="34" t="str">
        <x:v>48201233101</x:v>
      </x:c>
      <x:c r="C114" s="65" t="n">
        <x:v>352.7590142638288</x:v>
      </x:c>
      <x:c r="D114" s="65" t="n">
        <x:v>61.82174209702558</x:v>
      </x:c>
      <x:c r="E114" s="65" t="n">
        <x:v>290.93727216680327</x:v>
      </x:c>
      <x:c r="F114" s="65" t="n">
        <x:v>154.35448137259965</x:v>
      </x:c>
      <x:c r="G114" s="65" t="n">
        <x:v>216.17622346962523</x:v>
      </x:c>
      <x:c r="H114" s="43" t="n">
        <x:v>0.6128155900445589</x:v>
      </x:c>
      <x:c r="I114" s="34" t="str">
        <x:v>generated design-reference observation; not predicted tract behavior</x:v>
      </x:c>
    </x:row>
    <x:row r="115" ht="75.5999984741211" hidden="0" customHeight="1">
      <x:c r="A115" s="36" t="str">
        <x:v>M0</x:v>
      </x:c>
      <x:c r="B115" s="36" t="str">
        <x:v>48201233103</x:v>
      </x:c>
      <x:c r="C115" s="66" t="n">
        <x:v>405.26063437127203</x:v>
      </x:c>
      <x:c r="D115" s="66" t="n">
        <x:v>74.77476621716352</x:v>
      </x:c>
      <x:c r="E115" s="66" t="n">
        <x:v>330.4858681541085</x:v>
      </x:c>
      <x:c r="F115" s="66" t="n">
        <x:v>106.84358520908742</x:v>
      </x:c>
      <x:c r="G115" s="66" t="n">
        <x:v>181.61835142625094</x:v>
      </x:c>
      <x:c r="H115" s="45" t="n">
        <x:v>0.4481519694307754</x:v>
      </x:c>
      <x:c r="I115" s="36" t="str">
        <x:v>generated design-reference observation; not predicted tract behavior</x:v>
      </x:c>
    </x:row>
    <x:row r="116" ht="75.5999984741211" hidden="0" customHeight="1">
      <x:c r="A116" s="34" t="str">
        <x:v>M0</x:v>
      </x:c>
      <x:c r="B116" s="34" t="str">
        <x:v>48201233104</x:v>
      </x:c>
      <x:c r="C116" s="65" t="n">
        <x:v>363.9715320725879</x:v>
      </x:c>
      <x:c r="D116" s="65" t="n">
        <x:v>59.691331259904416</x:v>
      </x:c>
      <x:c r="E116" s="65" t="n">
        <x:v>304.28020081268346</x:v>
      </x:c>
      <x:c r="F116" s="65" t="n">
        <x:v>304.28020081268346</x:v>
      </x:c>
      <x:c r="G116" s="65" t="n">
        <x:v>363.9715320725879</x:v>
      </x:c>
      <x:c r="H116" s="43" t="n">
        <x:v>1</x:v>
      </x:c>
      <x:c r="I116" s="34" t="str">
        <x:v>generated design-reference observation; not predicted tract behavior</x:v>
      </x:c>
    </x:row>
    <x:row r="117" ht="75.5999984741211" hidden="0" customHeight="1">
      <x:c r="A117" s="36" t="str">
        <x:v>M0</x:v>
      </x:c>
      <x:c r="B117" s="36" t="str">
        <x:v>48201233105</x:v>
      </x:c>
      <x:c r="C117" s="66" t="n">
        <x:v>368.128313383605</x:v>
      </x:c>
      <x:c r="D117" s="66" t="n">
        <x:v>68.72360623883118</x:v>
      </x:c>
      <x:c r="E117" s="66" t="n">
        <x:v>299.40470714477385</x:v>
      </x:c>
      <x:c r="F117" s="66" t="n">
        <x:v>100.46162928759142</x:v>
      </x:c>
      <x:c r="G117" s="66" t="n">
        <x:v>169.18523552642262</x:v>
      </x:c>
      <x:c r="H117" s="45" t="n">
        <x:v>0.45958224177699847</x:v>
      </x:c>
      <x:c r="I117" s="36" t="str">
        <x:v>generated design-reference observation; not predicted tract behavior</x:v>
      </x:c>
    </x:row>
    <x:row r="118" ht="75.5999984741211" hidden="0" customHeight="1">
      <x:c r="A118" s="34" t="str">
        <x:v>M0</x:v>
      </x:c>
      <x:c r="B118" s="34" t="str">
        <x:v>48201233200</x:v>
      </x:c>
      <x:c r="C118" s="65" t="n">
        <x:v>508.9120364636317</x:v>
      </x:c>
      <x:c r="D118" s="65" t="n">
        <x:v>95.67546285516276</x:v>
      </x:c>
      <x:c r="E118" s="65" t="n">
        <x:v>413.2365736084689</x:v>
      </x:c>
      <x:c r="F118" s="65" t="n">
        <x:v>344.8052331049274</x:v>
      </x:c>
      <x:c r="G118" s="65" t="n">
        <x:v>440.4806959600902</x:v>
      </x:c>
      <x:c r="H118" s="43" t="n">
        <x:v>0.865534049893843</x:v>
      </x:c>
      <x:c r="I118" s="34" t="str">
        <x:v>generated design-reference observation; not predicted tract behavior</x:v>
      </x:c>
    </x:row>
    <x:row r="119" ht="75.5999984741211" hidden="0" customHeight="1">
      <x:c r="A119" s="36" t="str">
        <x:v>M0</x:v>
      </x:c>
      <x:c r="B119" s="36" t="str">
        <x:v>48201233300</x:v>
      </x:c>
      <x:c r="C119" s="66" t="n">
        <x:v>358.2135238977458</x:v>
      </x:c>
      <x:c r="D119" s="66" t="n">
        <x:v>66.87496092298136</x:v>
      </x:c>
      <x:c r="E119" s="66" t="n">
        <x:v>291.33856297476444</x:v>
      </x:c>
      <x:c r="F119" s="66" t="n">
        <x:v>291.33856297476444</x:v>
      </x:c>
      <x:c r="G119" s="66" t="n">
        <x:v>358.2135238977458</x:v>
      </x:c>
      <x:c r="H119" s="45" t="n">
        <x:v>1</x:v>
      </x:c>
      <x:c r="I119" s="36" t="str">
        <x:v>generated design-reference observation; not predicted tract behavior</x:v>
      </x:c>
    </x:row>
    <x:row r="120" ht="75.5999984741211" hidden="0" customHeight="1">
      <x:c r="A120" s="34" t="str">
        <x:v>M0</x:v>
      </x:c>
      <x:c r="B120" s="34" t="str">
        <x:v>48201233400</x:v>
      </x:c>
      <x:c r="C120" s="65" t="n">
        <x:v>226.08313670668554</x:v>
      </x:c>
      <x:c r="D120" s="65" t="n">
        <x:v>38.30775856372101</x:v>
      </x:c>
      <x:c r="E120" s="65" t="n">
        <x:v>187.77537814296454</x:v>
      </x:c>
      <x:c r="F120" s="65" t="n">
        <x:v>116.19953491362753</x:v>
      </x:c>
      <x:c r="G120" s="65" t="n">
        <x:v>154.50729347734853</x:v>
      </x:c>
      <x:c r="H120" s="43" t="n">
        <x:v>0.6834091906545083</x:v>
      </x:c>
      <x:c r="I120" s="34" t="str">
        <x:v>generated design-reference observation; not predicted tract behavior</x:v>
      </x:c>
    </x:row>
    <x:row r="121" ht="75.5999984741211" hidden="0" customHeight="1">
      <x:c r="A121" s="36" t="str">
        <x:v>M0</x:v>
      </x:c>
      <x:c r="B121" s="36" t="str">
        <x:v>48201233501</x:v>
      </x:c>
      <x:c r="C121" s="66" t="n">
        <x:v>292.41358923614183</x:v>
      </x:c>
      <x:c r="D121" s="66" t="n">
        <x:v>54.12997156354768</x:v>
      </x:c>
      <x:c r="E121" s="66" t="n">
        <x:v>238.28361767259415</x:v>
      </x:c>
      <x:c r="F121" s="66" t="n">
        <x:v>78.06569359389793</x:v>
      </x:c>
      <x:c r="G121" s="66" t="n">
        <x:v>132.1956651574456</x:v>
      </x:c>
      <x:c r="H121" s="45" t="n">
        <x:v>0.45208454744792836</x:v>
      </x:c>
      <x:c r="I121" s="36" t="str">
        <x:v>generated design-reference observation; not predicted tract behavior</x:v>
      </x:c>
    </x:row>
    <x:row r="122" ht="75.5999984741211" hidden="0" customHeight="1">
      <x:c r="A122" s="34" t="str">
        <x:v>M0</x:v>
      </x:c>
      <x:c r="B122" s="34" t="str">
        <x:v>48201233502</x:v>
      </x:c>
      <x:c r="C122" s="65" t="n">
        <x:v>239.7626381733031</x:v>
      </x:c>
      <x:c r="D122" s="65" t="n">
        <x:v>42.32880717961279</x:v>
      </x:c>
      <x:c r="E122" s="65" t="n">
        <x:v>197.4338309936903</x:v>
      </x:c>
      <x:c r="F122" s="65" t="n">
        <x:v>55.3318863035803</x:v>
      </x:c>
      <x:c r="G122" s="65" t="n">
        <x:v>97.66069348319309</x:v>
      </x:c>
      <x:c r="H122" s="43" t="n">
        <x:v>0.407322401134921</x:v>
      </x:c>
      <x:c r="I122" s="34" t="str">
        <x:v>generated design-reference observation; not predicted tract behavior</x:v>
      </x:c>
    </x:row>
    <x:row r="123" ht="75.5999984741211" hidden="0" customHeight="1">
      <x:c r="A123" s="36" t="str">
        <x:v>M0</x:v>
      </x:c>
      <x:c r="B123" s="36" t="str">
        <x:v>48201233600</x:v>
      </x:c>
      <x:c r="C123" s="66" t="n">
        <x:v>173.88017851003312</x:v>
      </x:c>
      <x:c r="D123" s="66" t="n">
        <x:v>32.68947355988623</x:v>
      </x:c>
      <x:c r="E123" s="66" t="n">
        <x:v>141.19070495014688</x:v>
      </x:c>
      <x:c r="F123" s="66" t="n">
        <x:v>45.6241240729863</x:v>
      </x:c>
      <x:c r="G123" s="66" t="n">
        <x:v>78.31359763287253</x:v>
      </x:c>
      <x:c r="H123" s="45" t="n">
        <x:v>0.45038829787234047</x:v>
      </x:c>
      <x:c r="I123" s="36" t="str">
        <x:v>generated design-reference observation; not predicted tract behavior</x:v>
      </x:c>
    </x:row>
    <x:row r="124" ht="75.5999984741211" hidden="0" customHeight="1">
      <x:c r="A124" s="34" t="str">
        <x:v>M0</x:v>
      </x:c>
      <x:c r="B124" s="34" t="str">
        <x:v>48201233701</x:v>
      </x:c>
      <x:c r="C124" s="65" t="n">
        <x:v>375.0407647136194</x:v>
      </x:c>
      <x:c r="D124" s="65" t="n">
        <x:v>70.50766376616045</x:v>
      </x:c>
      <x:c r="E124" s="65" t="n">
        <x:v>304.53310094745893</x:v>
      </x:c>
      <x:c r="F124" s="65" t="n">
        <x:v>101.85360598193225</x:v>
      </x:c>
      <x:c r="G124" s="65" t="n">
        <x:v>172.3612697480927</x:v>
      </x:c>
      <x:c r="H124" s="43" t="n">
        <x:v>0.45958009359251256</x:v>
      </x:c>
      <x:c r="I124" s="34" t="str">
        <x:v>generated design-reference observation; not predicted tract behavior</x:v>
      </x:c>
    </x:row>
    <x:row r="125" ht="75.5999984741211" hidden="0" customHeight="1">
      <x:c r="A125" s="36" t="str">
        <x:v>M0</x:v>
      </x:c>
      <x:c r="B125" s="36" t="str">
        <x:v>48201233702</x:v>
      </x:c>
      <x:c r="C125" s="66" t="n">
        <x:v>244.65126208151113</x:v>
      </x:c>
      <x:c r="D125" s="66" t="n">
        <x:v>45.40372935027635</x:v>
      </x:c>
      <x:c r="E125" s="66" t="n">
        <x:v>199.2475327312348</x:v>
      </x:c>
      <x:c r="F125" s="66" t="n">
        <x:v>41.20377809982484</x:v>
      </x:c>
      <x:c r="G125" s="66" t="n">
        <x:v>86.6075074501012</x:v>
      </x:c>
      <x:c r="H125" s="45" t="n">
        <x:v>0.35400392670464104</x:v>
      </x:c>
      <x:c r="I125" s="36" t="str">
        <x:v>generated design-reference observation; not predicted tract behavior</x:v>
      </x:c>
    </x:row>
    <x:row r="126" ht="75.5999984741211" hidden="0" customHeight="1">
      <x:c r="A126" s="34" t="str">
        <x:v>M0</x:v>
      </x:c>
      <x:c r="B126" s="34" t="str">
        <x:v>48201233703</x:v>
      </x:c>
      <x:c r="C126" s="65" t="n">
        <x:v>223.94141642535646</x:v>
      </x:c>
      <x:c r="D126" s="65" t="n">
        <x:v>41.80562302113607</x:v>
      </x:c>
      <x:c r="E126" s="65" t="n">
        <x:v>182.1357934042204</x:v>
      </x:c>
      <x:c r="F126" s="65" t="n">
        <x:v>0</x:v>
      </x:c>
      <x:c r="G126" s="65" t="n">
        <x:v>41.80562302113607</x:v>
      </x:c>
      <x:c r="H126" s="43" t="n">
        <x:v>0.18668106904231627</x:v>
      </x:c>
      <x:c r="I126" s="34" t="str">
        <x:v>generated design-reference observation; not predicted tract behavior</x:v>
      </x:c>
    </x:row>
    <x:row r="127" ht="75.5999984741211" hidden="0" customHeight="1">
      <x:c r="A127" s="36" t="str">
        <x:v>M0</x:v>
      </x:c>
      <x:c r="B127" s="36" t="str">
        <x:v>48201240101</x:v>
      </x:c>
      <x:c r="C127" s="66" t="n">
        <x:v>385.23517187911585</x:v>
      </x:c>
      <x:c r="D127" s="66" t="n">
        <x:v>28.771707943994226</x:v>
      </x:c>
      <x:c r="E127" s="66" t="n">
        <x:v>356.46346393512164</x:v>
      </x:c>
      <x:c r="F127" s="66" t="n">
        <x:v>356.46346393512164</x:v>
      </x:c>
      <x:c r="G127" s="66" t="n">
        <x:v>385.23517187911585</x:v>
      </x:c>
      <x:c r="H127" s="45" t="n">
        <x:v>1</x:v>
      </x:c>
      <x:c r="I127" s="36" t="str">
        <x:v>generated design-reference observation; not predicted tract behavior</x:v>
      </x:c>
    </x:row>
    <x:row r="128" ht="75.5999984741211" hidden="0" customHeight="1">
      <x:c r="A128" s="34" t="str">
        <x:v>M0</x:v>
      </x:c>
      <x:c r="B128" s="34" t="str">
        <x:v>48201240102</x:v>
      </x:c>
      <x:c r="C128" s="65" t="n">
        <x:v>136.700700378557</x:v>
      </x:c>
      <x:c r="D128" s="65" t="n">
        <x:v>23.035012949503756</x:v>
      </x:c>
      <x:c r="E128" s="65" t="n">
        <x:v>113.66568742905325</x:v>
      </x:c>
      <x:c r="F128" s="65" t="n">
        <x:v>113.66568742905325</x:v>
      </x:c>
      <x:c r="G128" s="65" t="n">
        <x:v>136.700700378557</x:v>
      </x:c>
      <x:c r="H128" s="43" t="n">
        <x:v>1</x:v>
      </x:c>
      <x:c r="I128" s="34" t="str">
        <x:v>generated design-reference observation; not predicted tract behavior</x:v>
      </x:c>
    </x:row>
    <x:row r="129" ht="75.5999984741211" hidden="0" customHeight="1">
      <x:c r="A129" s="36" t="str">
        <x:v>M0</x:v>
      </x:c>
      <x:c r="B129" s="36" t="str">
        <x:v>48201240400</x:v>
      </x:c>
      <x:c r="C129" s="66" t="n">
        <x:v>612.1861814055186</x:v>
      </x:c>
      <x:c r="D129" s="66" t="n">
        <x:v>110.10054954610838</x:v>
      </x:c>
      <x:c r="E129" s="66" t="n">
        <x:v>502.0856318594102</x:v>
      </x:c>
      <x:c r="F129" s="66" t="n">
        <x:v>152.12688030281652</x:v>
      </x:c>
      <x:c r="G129" s="66" t="n">
        <x:v>262.2274298489249</x:v>
      </x:c>
      <x:c r="H129" s="45" t="n">
        <x:v>0.42834588204339535</x:v>
      </x:c>
      <x:c r="I129" s="36" t="str">
        <x:v>generated design-reference observation; not predicted tract behavior</x:v>
      </x:c>
    </x:row>
    <x:row r="130" ht="75.5999984741211" hidden="0" customHeight="1">
      <x:c r="A130" s="34" t="str">
        <x:v>M0</x:v>
      </x:c>
      <x:c r="B130" s="34" t="str">
        <x:v>48201240503</x:v>
      </x:c>
      <x:c r="C130" s="65" t="n">
        <x:v>468.5050145856839</x:v>
      </x:c>
      <x:c r="D130" s="65" t="n">
        <x:v>37.624437134151854</x:v>
      </x:c>
      <x:c r="E130" s="65" t="n">
        <x:v>430.8805774515321</x:v>
      </x:c>
      <x:c r="F130" s="65" t="n">
        <x:v>430.8805774515321</x:v>
      </x:c>
      <x:c r="G130" s="65" t="n">
        <x:v>468.5050145856839</x:v>
      </x:c>
      <x:c r="H130" s="43" t="n">
        <x:v>1</x:v>
      </x:c>
      <x:c r="I130" s="34" t="str">
        <x:v>generated design-reference observation; not predicted tract behavior</x:v>
      </x:c>
    </x:row>
    <x:row r="131" ht="75.5999984741211" hidden="0" customHeight="1">
      <x:c r="A131" s="36" t="str">
        <x:v>M0</x:v>
      </x:c>
      <x:c r="B131" s="36" t="str">
        <x:v>48201240504</x:v>
      </x:c>
      <x:c r="C131" s="66" t="n">
        <x:v>507.01668202976674</x:v>
      </x:c>
      <x:c r="D131" s="66" t="n">
        <x:v>42.31873709800898</x:v>
      </x:c>
      <x:c r="E131" s="66" t="n">
        <x:v>464.6979449317578</x:v>
      </x:c>
      <x:c r="F131" s="66" t="n">
        <x:v>464.6979449317578</x:v>
      </x:c>
      <x:c r="G131" s="66" t="n">
        <x:v>507.01668202976674</x:v>
      </x:c>
      <x:c r="H131" s="45" t="n">
        <x:v>1</x:v>
      </x:c>
      <x:c r="I131" s="36" t="str">
        <x:v>generated design-reference observation; not predicted tract behavior</x:v>
      </x:c>
    </x:row>
    <x:row r="132" ht="75.5999984741211" hidden="0" customHeight="1">
      <x:c r="A132" s="34" t="str">
        <x:v>M0</x:v>
      </x:c>
      <x:c r="B132" s="34" t="str">
        <x:v>48201240505</x:v>
      </x:c>
      <x:c r="C132" s="65" t="n">
        <x:v>264.72327713870953</x:v>
      </x:c>
      <x:c r="D132" s="65" t="n">
        <x:v>21.513267712536614</x:v>
      </x:c>
      <x:c r="E132" s="65" t="n">
        <x:v>243.21000942617292</x:v>
      </x:c>
      <x:c r="F132" s="65" t="n">
        <x:v>243.21000942617292</x:v>
      </x:c>
      <x:c r="G132" s="65" t="n">
        <x:v>264.72327713870953</x:v>
      </x:c>
      <x:c r="H132" s="43" t="n">
        <x:v>1</x:v>
      </x:c>
      <x:c r="I132" s="34" t="str">
        <x:v>generated design-reference observation; not predicted tract behavior</x:v>
      </x:c>
    </x:row>
    <x:row r="133" ht="75.5999984741211" hidden="0" customHeight="1">
      <x:c r="A133" s="36" t="str">
        <x:v>M0</x:v>
      </x:c>
      <x:c r="B133" s="36" t="str">
        <x:v>48201240506</x:v>
      </x:c>
      <x:c r="C133" s="66" t="n">
        <x:v>440.43200412887813</x:v>
      </x:c>
      <x:c r="D133" s="66" t="n">
        <x:v>72.14031658329907</x:v>
      </x:c>
      <x:c r="E133" s="66" t="n">
        <x:v>368.29168754557907</x:v>
      </x:c>
      <x:c r="F133" s="66" t="n">
        <x:v>220.86559714964</x:v>
      </x:c>
      <x:c r="G133" s="66" t="n">
        <x:v>293.00591373293906</x:v>
      </x:c>
      <x:c r="H133" s="45" t="n">
        <x:v>0.6652693514234275</x:v>
      </x:c>
      <x:c r="I133" s="36" t="str">
        <x:v>generated design-reference observation; not predicted tract behavior</x:v>
      </x:c>
    </x:row>
    <x:row r="134" ht="75.5999984741211" hidden="0" customHeight="1">
      <x:c r="A134" s="34" t="str">
        <x:v>M0</x:v>
      </x:c>
      <x:c r="B134" s="34" t="str">
        <x:v>48201240600</x:v>
      </x:c>
      <x:c r="C134" s="65" t="n">
        <x:v>609.9740276978594</x:v>
      </x:c>
      <x:c r="D134" s="65" t="n">
        <x:v>50.8964589694597</x:v>
      </x:c>
      <x:c r="E134" s="65" t="n">
        <x:v>559.0775687283997</x:v>
      </x:c>
      <x:c r="F134" s="65" t="n">
        <x:v>559.0775687283997</x:v>
      </x:c>
      <x:c r="G134" s="65" t="n">
        <x:v>609.9740276978594</x:v>
      </x:c>
      <x:c r="H134" s="43" t="n">
        <x:v>1</x:v>
      </x:c>
      <x:c r="I134" s="34" t="str">
        <x:v>generated design-reference observation; not predicted tract behavior</x:v>
      </x:c>
    </x:row>
    <x:row r="135" ht="75.5999984741211" hidden="0" customHeight="1">
      <x:c r="A135" s="36" t="str">
        <x:v>M0</x:v>
      </x:c>
      <x:c r="B135" s="36" t="str">
        <x:v>48201240703</x:v>
      </x:c>
      <x:c r="C135" s="66" t="n">
        <x:v>501.2175624987833</x:v>
      </x:c>
      <x:c r="D135" s="66" t="n">
        <x:v>89.62425272910507</x:v>
      </x:c>
      <x:c r="E135" s="66" t="n">
        <x:v>411.5933097696782</x:v>
      </x:c>
      <x:c r="F135" s="66" t="n">
        <x:v>73.4560594435238</x:v>
      </x:c>
      <x:c r="G135" s="66" t="n">
        <x:v>163.08031217262885</x:v>
      </x:c>
      <x:c r="H135" s="45" t="n">
        <x:v>0.32536831183569054</x:v>
      </x:c>
      <x:c r="I135" s="36" t="str">
        <x:v>generated design-reference observation; not predicted tract behavior</x:v>
      </x:c>
    </x:row>
    <x:row r="136" ht="75.5999984741211" hidden="0" customHeight="1">
      <x:c r="A136" s="34" t="str">
        <x:v>M0</x:v>
      </x:c>
      <x:c r="B136" s="34" t="str">
        <x:v>48201240704</x:v>
      </x:c>
      <x:c r="C136" s="65" t="n">
        <x:v>372.0777241776156</x:v>
      </x:c>
      <x:c r="D136" s="65" t="n">
        <x:v>67.70557560694166</x:v>
      </x:c>
      <x:c r="E136" s="65" t="n">
        <x:v>304.37214857067397</x:v>
      </x:c>
      <x:c r="F136" s="65" t="n">
        <x:v>304.37214857067397</x:v>
      </x:c>
      <x:c r="G136" s="65" t="n">
        <x:v>372.0777241776156</x:v>
      </x:c>
      <x:c r="H136" s="43" t="n">
        <x:v>1</x:v>
      </x:c>
      <x:c r="I136" s="34" t="str">
        <x:v>generated design-reference observation; not predicted tract behavior</x:v>
      </x:c>
    </x:row>
    <x:row r="137" ht="75.5999984741211" hidden="0" customHeight="1">
      <x:c r="A137" s="36" t="str">
        <x:v>M0</x:v>
      </x:c>
      <x:c r="B137" s="36" t="str">
        <x:v>48201240705</x:v>
      </x:c>
      <x:c r="C137" s="66" t="n">
        <x:v>438.59287552032407</x:v>
      </x:c>
      <x:c r="D137" s="66" t="n">
        <x:v>79.46457616340906</x:v>
      </x:c>
      <x:c r="E137" s="66" t="n">
        <x:v>359.128299356915</x:v>
      </x:c>
      <x:c r="F137" s="66" t="n">
        <x:v>111.38625793162545</x:v>
      </x:c>
      <x:c r="G137" s="66" t="n">
        <x:v>190.85083409503451</x:v>
      </x:c>
      <x:c r="H137" s="45" t="n">
        <x:v>0.4351434889785177</x:v>
      </x:c>
      <x:c r="I137" s="36" t="str">
        <x:v>generated design-reference observation; not predicted tract behavior</x:v>
      </x:c>
    </x:row>
    <x:row r="138" ht="75.5999984741211" hidden="0" customHeight="1">
      <x:c r="A138" s="34" t="str">
        <x:v>M0</x:v>
      </x:c>
      <x:c r="B138" s="34" t="str">
        <x:v>48201240706</x:v>
      </x:c>
      <x:c r="C138" s="65" t="n">
        <x:v>898.6658300456842</x:v>
      </x:c>
      <x:c r="D138" s="65" t="n">
        <x:v>168.9491760485886</x:v>
      </x:c>
      <x:c r="E138" s="65" t="n">
        <x:v>729.7166539970956</x:v>
      </x:c>
      <x:c r="F138" s="65" t="n">
        <x:v>729.7166539970956</x:v>
      </x:c>
      <x:c r="G138" s="65" t="n">
        <x:v>898.6658300456842</x:v>
      </x:c>
      <x:c r="H138" s="43" t="n">
        <x:v>1</x:v>
      </x:c>
      <x:c r="I138" s="34" t="str">
        <x:v>generated design-reference observation; not predicted tract behavior</x:v>
      </x:c>
    </x:row>
    <x:row r="139" ht="75.5999984741211" hidden="0" customHeight="1">
      <x:c r="A139" s="36" t="str">
        <x:v>M0</x:v>
      </x:c>
      <x:c r="B139" s="36" t="str">
        <x:v>48201240707</x:v>
      </x:c>
      <x:c r="C139" s="66" t="n">
        <x:v>422.44941328968207</x:v>
      </x:c>
      <x:c r="D139" s="66" t="n">
        <x:v>79.42048969846023</x:v>
      </x:c>
      <x:c r="E139" s="66" t="n">
        <x:v>343.0289235912218</x:v>
      </x:c>
      <x:c r="F139" s="66" t="n">
        <x:v>116.42661448001276</x:v>
      </x:c>
      <x:c r="G139" s="66" t="n">
        <x:v>195.847104178473</x:v>
      </x:c>
      <x:c r="H139" s="45" t="n">
        <x:v>0.4635989494064623</x:v>
      </x:c>
      <x:c r="I139" s="36" t="str">
        <x:v>generated design-reference observation; not predicted tract behavior</x:v>
      </x:c>
    </x:row>
    <x:row r="140" ht="75.5999984741211" hidden="0" customHeight="1">
      <x:c r="A140" s="34" t="str">
        <x:v>M0</x:v>
      </x:c>
      <x:c r="B140" s="34" t="str">
        <x:v>48201240802</x:v>
      </x:c>
      <x:c r="C140" s="65" t="n">
        <x:v>720.1131645365681</x:v>
      </x:c>
      <x:c r="D140" s="65" t="n">
        <x:v>131.43880251912793</x:v>
      </x:c>
      <x:c r="E140" s="65" t="n">
        <x:v>588.6743620174402</x:v>
      </x:c>
      <x:c r="F140" s="65" t="n">
        <x:v>588.6743620174402</x:v>
      </x:c>
      <x:c r="G140" s="65" t="n">
        <x:v>720.1131645365681</x:v>
      </x:c>
      <x:c r="H140" s="43" t="n">
        <x:v>1</x:v>
      </x:c>
      <x:c r="I140" s="34" t="str">
        <x:v>generated design-reference observation; not predicted tract behavior</x:v>
      </x:c>
    </x:row>
    <x:row r="141" ht="75.5999984741211" hidden="0" customHeight="1">
      <x:c r="A141" s="36" t="str">
        <x:v>M0</x:v>
      </x:c>
      <x:c r="B141" s="36" t="str">
        <x:v>48201240803</x:v>
      </x:c>
      <x:c r="C141" s="66" t="n">
        <x:v>189.11193596036622</x:v>
      </x:c>
      <x:c r="D141" s="66" t="n">
        <x:v>33.68583749561826</x:v>
      </x:c>
      <x:c r="E141" s="66" t="n">
        <x:v>155.42609846474795</x:v>
      </x:c>
      <x:c r="F141" s="66" t="n">
        <x:v>155.42609846474795</x:v>
      </x:c>
      <x:c r="G141" s="66" t="n">
        <x:v>189.11193596036622</x:v>
      </x:c>
      <x:c r="H141" s="45" t="n">
        <x:v>1</x:v>
      </x:c>
      <x:c r="I141" s="36" t="str">
        <x:v>generated design-reference observation; not predicted tract behavior</x:v>
      </x:c>
    </x:row>
    <x:row r="142" ht="75.5999984741211" hidden="0" customHeight="1">
      <x:c r="A142" s="34" t="str">
        <x:v>M0</x:v>
      </x:c>
      <x:c r="B142" s="34" t="str">
        <x:v>48201240804</x:v>
      </x:c>
      <x:c r="C142" s="65" t="n">
        <x:v>237.62484765395806</x:v>
      </x:c>
      <x:c r="D142" s="65" t="n">
        <x:v>41.52308782958505</x:v>
      </x:c>
      <x:c r="E142" s="65" t="n">
        <x:v>196.101759824373</x:v>
      </x:c>
      <x:c r="F142" s="65" t="n">
        <x:v>196.101759824373</x:v>
      </x:c>
      <x:c r="G142" s="65" t="n">
        <x:v>237.62484765395806</x:v>
      </x:c>
      <x:c r="H142" s="43" t="n">
        <x:v>1</x:v>
      </x:c>
      <x:c r="I142" s="34" t="str">
        <x:v>generated design-reference observation; not predicted tract behavior</x:v>
      </x:c>
    </x:row>
    <x:row r="143" ht="75.5999984741211" hidden="0" customHeight="1">
      <x:c r="A143" s="36" t="str">
        <x:v>M0</x:v>
      </x:c>
      <x:c r="B143" s="36" t="str">
        <x:v>48201240903</x:v>
      </x:c>
      <x:c r="C143" s="66" t="n">
        <x:v>904.7351962854198</x:v>
      </x:c>
      <x:c r="D143" s="66" t="n">
        <x:v>148.37657219080887</x:v>
      </x:c>
      <x:c r="E143" s="66" t="n">
        <x:v>756.3586240946108</x:v>
      </x:c>
      <x:c r="F143" s="66" t="n">
        <x:v>756.3586240946108</x:v>
      </x:c>
      <x:c r="G143" s="66" t="n">
        <x:v>904.7351962854198</x:v>
      </x:c>
      <x:c r="H143" s="45" t="n">
        <x:v>1</x:v>
      </x:c>
      <x:c r="I143" s="36" t="str">
        <x:v>generated design-reference observation; not predicted tract behavior</x:v>
      </x:c>
    </x:row>
    <x:row r="144" ht="75.5999984741211" hidden="0" customHeight="1">
      <x:c r="A144" s="34" t="str">
        <x:v>M0</x:v>
      </x:c>
      <x:c r="B144" s="34" t="str">
        <x:v>48201240904</x:v>
      </x:c>
      <x:c r="C144" s="65" t="n">
        <x:v>728.9551290007707</x:v>
      </x:c>
      <x:c r="D144" s="65" t="n">
        <x:v>134.32483308290398</x:v>
      </x:c>
      <x:c r="E144" s="65" t="n">
        <x:v>594.6302959178668</x:v>
      </x:c>
      <x:c r="F144" s="65" t="n">
        <x:v>594.6302959178668</x:v>
      </x:c>
      <x:c r="G144" s="65" t="n">
        <x:v>728.9551290007707</x:v>
      </x:c>
      <x:c r="H144" s="43" t="n">
        <x:v>1</x:v>
      </x:c>
      <x:c r="I144" s="34" t="str">
        <x:v>generated design-reference observation; not predicted tract behavior</x:v>
      </x:c>
    </x:row>
    <x:row r="145" ht="75.5999984741211" hidden="0" customHeight="1">
      <x:c r="A145" s="36" t="str">
        <x:v>M0</x:v>
      </x:c>
      <x:c r="B145" s="36" t="str">
        <x:v>48201240905</x:v>
      </x:c>
      <x:c r="C145" s="66" t="n">
        <x:v>435.92063737114273</x:v>
      </x:c>
      <x:c r="D145" s="66" t="n">
        <x:v>77.10461345720027</x:v>
      </x:c>
      <x:c r="E145" s="66" t="n">
        <x:v>358.81602391394244</x:v>
      </x:c>
      <x:c r="F145" s="66" t="n">
        <x:v>281.1562309824022</x:v>
      </x:c>
      <x:c r="G145" s="66" t="n">
        <x:v>358.26084443960247</x:v>
      </x:c>
      <x:c r="H145" s="45" t="n">
        <x:v>0.8218487810077669</x:v>
      </x:c>
      <x:c r="I145" s="36" t="str">
        <x:v>generated design-reference observation; not predicted tract behavior</x:v>
      </x:c>
    </x:row>
    <x:row r="146" ht="75.5999984741211" hidden="0" customHeight="1">
      <x:c r="A146" s="34" t="str">
        <x:v>M0</x:v>
      </x:c>
      <x:c r="B146" s="34" t="str">
        <x:v>48201240906</x:v>
      </x:c>
      <x:c r="C146" s="65" t="n">
        <x:v>675.0623731509595</x:v>
      </x:c>
      <x:c r="D146" s="65" t="n">
        <x:v>124.82285102170489</x:v>
      </x:c>
      <x:c r="E146" s="65" t="n">
        <x:v>550.2395221292546</x:v>
      </x:c>
      <x:c r="F146" s="65" t="n">
        <x:v>179.44783057890325</x:v>
      </x:c>
      <x:c r="G146" s="65" t="n">
        <x:v>304.27068160060816</x:v>
      </x:c>
      <x:c r="H146" s="43" t="n">
        <x:v>0.4507297306178939</x:v>
      </x:c>
      <x:c r="I146" s="34" t="str">
        <x:v>generated design-reference observation; not predicted tract behavior</x:v>
      </x:c>
    </x:row>
    <x:row r="147" ht="75.5999984741211" hidden="0" customHeight="1">
      <x:c r="A147" s="36" t="str">
        <x:v>M0</x:v>
      </x:c>
      <x:c r="B147" s="36" t="str">
        <x:v>48201241001</x:v>
      </x:c>
      <x:c r="C147" s="66" t="n">
        <x:v>288.6763855892722</x:v>
      </x:c>
      <x:c r="D147" s="66" t="n">
        <x:v>53.932436188136116</x:v>
      </x:c>
      <x:c r="E147" s="66" t="n">
        <x:v>234.74394940113606</x:v>
      </x:c>
      <x:c r="F147" s="66" t="n">
        <x:v>234.74394940113606</x:v>
      </x:c>
      <x:c r="G147" s="66" t="n">
        <x:v>288.6763855892722</x:v>
      </x:c>
      <x:c r="H147" s="45" t="n">
        <x:v>1</x:v>
      </x:c>
      <x:c r="I147" s="36" t="str">
        <x:v>generated design-reference observation; not predicted tract behavior</x:v>
      </x:c>
    </x:row>
    <x:row r="148" ht="75.5999984741211" hidden="0" customHeight="1">
      <x:c r="A148" s="34" t="str">
        <x:v>M0</x:v>
      </x:c>
      <x:c r="B148" s="34" t="str">
        <x:v>48201241002</x:v>
      </x:c>
      <x:c r="C148" s="65" t="n">
        <x:v>439.58317554031476</x:v>
      </x:c>
      <x:c r="D148" s="65" t="n">
        <x:v>82.64163700157917</x:v>
      </x:c>
      <x:c r="E148" s="65" t="n">
        <x:v>356.9415385387356</x:v>
      </x:c>
      <x:c r="F148" s="65" t="n">
        <x:v>356.9415385387356</x:v>
      </x:c>
      <x:c r="G148" s="65" t="n">
        <x:v>439.58317554031476</x:v>
      </x:c>
      <x:c r="H148" s="43" t="n">
        <x:v>1</x:v>
      </x:c>
      <x:c r="I148" s="34" t="str">
        <x:v>generated design-reference observation; not predicted tract behavior</x:v>
      </x:c>
    </x:row>
    <x:row r="149" ht="75.5999984741211" hidden="0" customHeight="1">
      <x:c r="A149" s="36" t="str">
        <x:v>M0</x:v>
      </x:c>
      <x:c r="B149" s="36" t="str">
        <x:v>48201241101</x:v>
      </x:c>
      <x:c r="C149" s="66" t="n">
        <x:v>358.73225247964575</x:v>
      </x:c>
      <x:c r="D149" s="66" t="n">
        <x:v>67.4416634661734</x:v>
      </x:c>
      <x:c r="E149" s="66" t="n">
        <x:v>291.29058901347236</x:v>
      </x:c>
      <x:c r="F149" s="66" t="n">
        <x:v>291.29058901347236</x:v>
      </x:c>
      <x:c r="G149" s="66" t="n">
        <x:v>358.73225247964575</x:v>
      </x:c>
      <x:c r="H149" s="45" t="n">
        <x:v>1</x:v>
      </x:c>
      <x:c r="I149" s="36" t="str">
        <x:v>generated design-reference observation; not predicted tract behavior</x:v>
      </x:c>
    </x:row>
    <x:row r="150" ht="75.5999984741211" hidden="0" customHeight="1">
      <x:c r="A150" s="34" t="str">
        <x:v>M0</x:v>
      </x:c>
      <x:c r="B150" s="34" t="str">
        <x:v>48201241103</x:v>
      </x:c>
      <x:c r="C150" s="65" t="n">
        <x:v>470.0349011550286</x:v>
      </x:c>
      <x:c r="D150" s="65" t="n">
        <x:v>86.33651878999474</x:v>
      </x:c>
      <x:c r="E150" s="65" t="n">
        <x:v>383.69838236503386</x:v>
      </x:c>
      <x:c r="F150" s="65" t="n">
        <x:v>311.5960901379211</x:v>
      </x:c>
      <x:c r="G150" s="65" t="n">
        <x:v>397.93260892791585</x:v>
      </x:c>
      <x:c r="H150" s="43" t="n">
        <x:v>0.84660225857711</x:v>
      </x:c>
      <x:c r="I150" s="34" t="str">
        <x:v>generated design-reference observation; not predicted tract behavior</x:v>
      </x:c>
    </x:row>
    <x:row r="151" ht="75.5999984741211" hidden="0" customHeight="1">
      <x:c r="A151" s="36" t="str">
        <x:v>M0</x:v>
      </x:c>
      <x:c r="B151" s="36" t="str">
        <x:v>48201241104</x:v>
      </x:c>
      <x:c r="C151" s="66" t="n">
        <x:v>2026.5008691130981</x:v>
      </x:c>
      <x:c r="D151" s="66" t="n">
        <x:v>182.38507822017883</x:v>
      </x:c>
      <x:c r="E151" s="66" t="n">
        <x:v>1844.1157908929192</x:v>
      </x:c>
      <x:c r="F151" s="66" t="n">
        <x:v>1844.1157908929192</x:v>
      </x:c>
      <x:c r="G151" s="66" t="n">
        <x:v>2026.5008691130981</x:v>
      </x:c>
      <x:c r="H151" s="45" t="n">
        <x:v>1</x:v>
      </x:c>
      <x:c r="I151" s="36" t="str">
        <x:v>generated design-reference observation; not predicted tract behavior</x:v>
      </x:c>
    </x:row>
    <x:row r="152" ht="75.5999984741211" hidden="0" customHeight="1">
      <x:c r="A152" s="34" t="str">
        <x:v>M0</x:v>
      </x:c>
      <x:c r="B152" s="34" t="str">
        <x:v>48201241105</x:v>
      </x:c>
      <x:c r="C152" s="65" t="n">
        <x:v>448.1343376176947</x:v>
      </x:c>
      <x:c r="D152" s="65" t="n">
        <x:v>84.2492554721266</x:v>
      </x:c>
      <x:c r="E152" s="65" t="n">
        <x:v>363.8850821455681</x:v>
      </x:c>
      <x:c r="F152" s="65" t="n">
        <x:v>303.05058845232855</x:v>
      </x:c>
      <x:c r="G152" s="65" t="n">
        <x:v>387.29984392445516</x:v>
      </x:c>
      <x:c r="H152" s="43" t="n">
        <x:v>0.8642494257042679</x:v>
      </x:c>
      <x:c r="I152" s="34" t="str">
        <x:v>generated design-reference observation; not predicted tract behavior</x:v>
      </x:c>
    </x:row>
    <x:row r="153" ht="75.5999984741211" hidden="0" customHeight="1">
      <x:c r="A153" s="36" t="str">
        <x:v>M0</x:v>
      </x:c>
      <x:c r="B153" s="36" t="str">
        <x:v>48201241201</x:v>
      </x:c>
      <x:c r="C153" s="66" t="n">
        <x:v>532.2397081799571</x:v>
      </x:c>
      <x:c r="D153" s="66" t="n">
        <x:v>45.55613398590052</x:v>
      </x:c>
      <x:c r="E153" s="66" t="n">
        <x:v>486.6835741940566</x:v>
      </x:c>
      <x:c r="F153" s="66" t="n">
        <x:v>486.6835741940566</x:v>
      </x:c>
      <x:c r="G153" s="66" t="n">
        <x:v>532.2397081799571</x:v>
      </x:c>
      <x:c r="H153" s="45" t="n">
        <x:v>1</x:v>
      </x:c>
      <x:c r="I153" s="36" t="str">
        <x:v>generated design-reference observation; not predicted tract behavior</x:v>
      </x:c>
    </x:row>
    <x:row r="154" ht="75.5999984741211" hidden="0" customHeight="1">
      <x:c r="A154" s="34" t="str">
        <x:v>M0</x:v>
      </x:c>
      <x:c r="B154" s="34" t="str">
        <x:v>48201241202</x:v>
      </x:c>
      <x:c r="C154" s="65" t="n">
        <x:v>446.4956268703291</x:v>
      </x:c>
      <x:c r="D154" s="65" t="n">
        <x:v>80.63351322524447</x:v>
      </x:c>
      <x:c r="E154" s="65" t="n">
        <x:v>365.8621136450846</x:v>
      </x:c>
      <x:c r="F154" s="65" t="n">
        <x:v>292.95560129104837</x:v>
      </x:c>
      <x:c r="G154" s="65" t="n">
        <x:v>373.58911451629285</x:v>
      </x:c>
      <x:c r="H154" s="43" t="n">
        <x:v>0.8367139385774776</x:v>
      </x:c>
      <x:c r="I154" s="34" t="str">
        <x:v>generated design-reference observation; not predicted tract behavior</x:v>
      </x:c>
    </x:row>
    <x:row r="155" ht="75.5999984741211" hidden="0" customHeight="1">
      <x:c r="A155" s="36" t="str">
        <x:v>M0</x:v>
      </x:c>
      <x:c r="B155" s="36" t="str">
        <x:v>48201241301</x:v>
      </x:c>
      <x:c r="C155" s="66" t="n">
        <x:v>411.6975845012116</x:v>
      </x:c>
      <x:c r="D155" s="66" t="n">
        <x:v>77.39914588622779</x:v>
      </x:c>
      <x:c r="E155" s="66" t="n">
        <x:v>334.29843861498387</x:v>
      </x:c>
      <x:c r="F155" s="66" t="n">
        <x:v>115.2720198158082</x:v>
      </x:c>
      <x:c r="G155" s="66" t="n">
        <x:v>192.67116570203598</x:v>
      </x:c>
      <x:c r="H155" s="45" t="n">
        <x:v>0.46799197506943097</x:v>
      </x:c>
      <x:c r="I155" s="36" t="str">
        <x:v>generated design-reference observation; not predicted tract behavior</x:v>
      </x:c>
    </x:row>
    <x:row r="156" ht="75.5999984741211" hidden="0" customHeight="1">
      <x:c r="A156" s="34" t="str">
        <x:v>M0</x:v>
      </x:c>
      <x:c r="B156" s="34" t="str">
        <x:v>48201241302</x:v>
      </x:c>
      <x:c r="C156" s="65" t="n">
        <x:v>705.4079951921032</x:v>
      </x:c>
      <x:c r="D156" s="65" t="n">
        <x:v>123.98818226482298</x:v>
      </x:c>
      <x:c r="E156" s="65" t="n">
        <x:v>581.4198129272802</x:v>
      </x:c>
      <x:c r="F156" s="65" t="n">
        <x:v>581.4198129272802</x:v>
      </x:c>
      <x:c r="G156" s="65" t="n">
        <x:v>705.4079951921032</x:v>
      </x:c>
      <x:c r="H156" s="43" t="n">
        <x:v>1</x:v>
      </x:c>
      <x:c r="I156" s="34" t="str">
        <x:v>generated design-reference observation; not predicted tract behavior</x:v>
      </x:c>
    </x:row>
    <x:row r="157" ht="75.5999984741211" hidden="0" customHeight="1">
      <x:c r="A157" s="36" t="str">
        <x:v>M0</x:v>
      </x:c>
      <x:c r="B157" s="36" t="str">
        <x:v>48201241400</x:v>
      </x:c>
      <x:c r="C157" s="66" t="n">
        <x:v>821.3045356268874</x:v>
      </x:c>
      <x:c r="D157" s="66" t="n">
        <x:v>142.74530746223172</x:v>
      </x:c>
      <x:c r="E157" s="66" t="n">
        <x:v>678.5592281646557</x:v>
      </x:c>
      <x:c r="F157" s="66" t="n">
        <x:v>678.5592281646557</x:v>
      </x:c>
      <x:c r="G157" s="66" t="n">
        <x:v>821.3045356268874</x:v>
      </x:c>
      <x:c r="H157" s="45" t="n">
        <x:v>1</x:v>
      </x:c>
      <x:c r="I157" s="36" t="str">
        <x:v>generated design-reference observation; not predicted tract behavior</x:v>
      </x:c>
    </x:row>
    <x:row r="158" ht="75.5999984741211" hidden="0" customHeight="1">
      <x:c r="A158" s="34" t="str">
        <x:v>M0</x:v>
      </x:c>
      <x:c r="B158" s="34" t="str">
        <x:v>48201241501</x:v>
      </x:c>
      <x:c r="C158" s="65" t="n">
        <x:v>722.2842068880863</x:v>
      </x:c>
      <x:c r="D158" s="65" t="n">
        <x:v>59.429365925328085</x:v>
      </x:c>
      <x:c r="E158" s="65" t="n">
        <x:v>662.8548409627582</x:v>
      </x:c>
      <x:c r="F158" s="65" t="n">
        <x:v>662.8548409627582</x:v>
      </x:c>
      <x:c r="G158" s="65" t="n">
        <x:v>722.2842068880863</x:v>
      </x:c>
      <x:c r="H158" s="43" t="n">
        <x:v>1</x:v>
      </x:c>
      <x:c r="I158" s="34" t="str">
        <x:v>generated design-reference observation; not predicted tract behavior</x:v>
      </x:c>
    </x:row>
    <x:row r="159" ht="75.5999984741211" hidden="0" customHeight="1">
      <x:c r="A159" s="36" t="str">
        <x:v>M0</x:v>
      </x:c>
      <x:c r="B159" s="36" t="str">
        <x:v>48201241502</x:v>
      </x:c>
      <x:c r="C159" s="66" t="n">
        <x:v>194.381746781031</x:v>
      </x:c>
      <x:c r="D159" s="66" t="n">
        <x:v>32.68926138889462</x:v>
      </x:c>
      <x:c r="E159" s="66" t="n">
        <x:v>161.6924853921364</x:v>
      </x:c>
      <x:c r="F159" s="66" t="n">
        <x:v>99.93369564641662</x:v>
      </x:c>
      <x:c r="G159" s="66" t="n">
        <x:v>132.62295703531123</x:v>
      </x:c>
      <x:c r="H159" s="45" t="n">
        <x:v>0.6822809200532064</x:v>
      </x:c>
      <x:c r="I159" s="36" t="str">
        <x:v>generated design-reference observation; not predicted tract behavior</x:v>
      </x:c>
    </x:row>
    <x:row r="160" ht="75.5999984741211" hidden="0" customHeight="1">
      <x:c r="A160" s="34" t="str">
        <x:v>M0</x:v>
      </x:c>
      <x:c r="B160" s="34" t="str">
        <x:v>48201241503</x:v>
      </x:c>
      <x:c r="C160" s="65" t="n">
        <x:v>211.83381975237498</x:v>
      </x:c>
      <x:c r="D160" s="65" t="n">
        <x:v>37.3830602188303</x:v>
      </x:c>
      <x:c r="E160" s="65" t="n">
        <x:v>174.45075953354467</x:v>
      </x:c>
      <x:c r="F160" s="65" t="n">
        <x:v>92.73597477502646</x:v>
      </x:c>
      <x:c r="G160" s="65" t="n">
        <x:v>130.11903499385676</x:v>
      </x:c>
      <x:c r="H160" s="43" t="n">
        <x:v>0.6142505249915267</x:v>
      </x:c>
      <x:c r="I160" s="34" t="str">
        <x:v>generated design-reference observation; not predicted tract behavior</x:v>
      </x:c>
    </x:row>
    <x:row r="161" ht="75.5999984741211" hidden="0" customHeight="1">
      <x:c r="A161" s="36" t="str">
        <x:v>M0</x:v>
      </x:c>
      <x:c r="B161" s="36" t="str">
        <x:v>48201250101</x:v>
      </x:c>
      <x:c r="C161" s="66" t="n">
        <x:v>319.80010050326547</x:v>
      </x:c>
      <x:c r="D161" s="66" t="n">
        <x:v>56.958641713235394</x:v>
      </x:c>
      <x:c r="E161" s="66" t="n">
        <x:v>262.84145879003006</x:v>
      </x:c>
      <x:c r="F161" s="66" t="n">
        <x:v>143.68570526051712</x:v>
      </x:c>
      <x:c r="G161" s="66" t="n">
        <x:v>200.64434697375253</x:v>
      </x:c>
      <x:c r="H161" s="45" t="n">
        <x:v>0.6274055156893353</x:v>
      </x:c>
      <x:c r="I161" s="36" t="str">
        <x:v>generated design-reference observation; not predicted tract behavior</x:v>
      </x:c>
    </x:row>
    <x:row r="162" ht="75.5999984741211" hidden="0" customHeight="1">
      <x:c r="A162" s="34" t="str">
        <x:v>M0</x:v>
      </x:c>
      <x:c r="B162" s="34" t="str">
        <x:v>48201250102</x:v>
      </x:c>
      <x:c r="C162" s="65" t="n">
        <x:v>435.6848516520974</x:v>
      </x:c>
      <x:c r="D162" s="65" t="n">
        <x:v>81.90875211059432</x:v>
      </x:c>
      <x:c r="E162" s="65" t="n">
        <x:v>353.7760995415031</x:v>
      </x:c>
      <x:c r="F162" s="65" t="n">
        <x:v>353.7760995415031</x:v>
      </x:c>
      <x:c r="G162" s="65" t="n">
        <x:v>435.6848516520974</x:v>
      </x:c>
      <x:c r="H162" s="43" t="n">
        <x:v>1</x:v>
      </x:c>
      <x:c r="I162" s="34" t="str">
        <x:v>generated design-reference observation; not predicted tract behavior</x:v>
      </x:c>
    </x:row>
    <x:row r="163" ht="75.5999984741211" hidden="0" customHeight="1">
      <x:c r="A163" s="36" t="str">
        <x:v>M0</x:v>
      </x:c>
      <x:c r="B163" s="36" t="str">
        <x:v>48201250201</x:v>
      </x:c>
      <x:c r="C163" s="66" t="n">
        <x:v>641.3371558034988</x:v>
      </x:c>
      <x:c r="D163" s="66" t="n">
        <x:v>117.20817301277474</x:v>
      </x:c>
      <x:c r="E163" s="66" t="n">
        <x:v>524.1289827907241</x:v>
      </x:c>
      <x:c r="F163" s="66" t="n">
        <x:v>524.1289827907241</x:v>
      </x:c>
      <x:c r="G163" s="66" t="n">
        <x:v>641.3371558034988</x:v>
      </x:c>
      <x:c r="H163" s="45" t="n">
        <x:v>1</x:v>
      </x:c>
      <x:c r="I163" s="36" t="str">
        <x:v>generated design-reference observation; not predicted tract behavior</x:v>
      </x:c>
    </x:row>
    <x:row r="164" ht="75.5999984741211" hidden="0" customHeight="1">
      <x:c r="A164" s="34" t="str">
        <x:v>M0</x:v>
      </x:c>
      <x:c r="B164" s="34" t="str">
        <x:v>48201250202</x:v>
      </x:c>
      <x:c r="C164" s="65" t="n">
        <x:v>184.46302753318764</x:v>
      </x:c>
      <x:c r="D164" s="65" t="n">
        <x:v>30.383765501225504</x:v>
      </x:c>
      <x:c r="E164" s="65" t="n">
        <x:v>154.07926203196214</x:v>
      </x:c>
      <x:c r="F164" s="65" t="n">
        <x:v>154.07926203196214</x:v>
      </x:c>
      <x:c r="G164" s="65" t="n">
        <x:v>184.46302753318764</x:v>
      </x:c>
      <x:c r="H164" s="43" t="n">
        <x:v>1</x:v>
      </x:c>
      <x:c r="I164" s="34" t="str">
        <x:v>generated design-reference observation; not predicted tract behavior</x:v>
      </x:c>
    </x:row>
    <x:row r="165" ht="75.5999984741211" hidden="0" customHeight="1">
      <x:c r="A165" s="36" t="str">
        <x:v>M0</x:v>
      </x:c>
      <x:c r="B165" s="36" t="str">
        <x:v>48201250303</x:v>
      </x:c>
      <x:c r="C165" s="66" t="n">
        <x:v>276.5334210584338</x:v>
      </x:c>
      <x:c r="D165" s="66" t="n">
        <x:v>47.67686813567996</x:v>
      </x:c>
      <x:c r="E165" s="66" t="n">
        <x:v>228.85655292275385</x:v>
      </x:c>
      <x:c r="F165" s="66" t="n">
        <x:v>228.85655292275385</x:v>
      </x:c>
      <x:c r="G165" s="66" t="n">
        <x:v>276.5334210584338</x:v>
      </x:c>
      <x:c r="H165" s="45" t="n">
        <x:v>1</x:v>
      </x:c>
      <x:c r="I165" s="36" t="str">
        <x:v>generated design-reference observation; not predicted tract behavior</x:v>
      </x:c>
    </x:row>
    <x:row r="166" ht="75.5999984741211" hidden="0" customHeight="1">
      <x:c r="A166" s="34" t="str">
        <x:v>M0</x:v>
      </x:c>
      <x:c r="B166" s="34" t="str">
        <x:v>48201250304</x:v>
      </x:c>
      <x:c r="C166" s="65" t="n">
        <x:v>1460.6502089726025</x:v>
      </x:c>
      <x:c r="D166" s="65" t="n">
        <x:v>130.44842551157433</x:v>
      </x:c>
      <x:c r="E166" s="65" t="n">
        <x:v>1330.2017834610283</x:v>
      </x:c>
      <x:c r="F166" s="65" t="n">
        <x:v>1330.2017834610283</x:v>
      </x:c>
      <x:c r="G166" s="65" t="n">
        <x:v>1460.6502089726025</x:v>
      </x:c>
      <x:c r="H166" s="43" t="n">
        <x:v>1</x:v>
      </x:c>
      <x:c r="I166" s="34" t="str">
        <x:v>generated design-reference observation; not predicted tract behavior</x:v>
      </x:c>
    </x:row>
    <x:row r="167" ht="75.5999984741211" hidden="0" customHeight="1">
      <x:c r="A167" s="36" t="str">
        <x:v>M0</x:v>
      </x:c>
      <x:c r="B167" s="36" t="str">
        <x:v>48201250305</x:v>
      </x:c>
      <x:c r="C167" s="66" t="n">
        <x:v>466.24268084038175</x:v>
      </x:c>
      <x:c r="D167" s="66" t="n">
        <x:v>83.23556292967726</x:v>
      </x:c>
      <x:c r="E167" s="66" t="n">
        <x:v>383.0071179107045</x:v>
      </x:c>
      <x:c r="F167" s="66" t="n">
        <x:v>252.55978039166877</x:v>
      </x:c>
      <x:c r="G167" s="66" t="n">
        <x:v>335.795343321346</x:v>
      </x:c>
      <x:c r="H167" s="45" t="n">
        <x:v>0.7202157955940237</x:v>
      </x:c>
      <x:c r="I167" s="36" t="str">
        <x:v>generated design-reference observation; not predicted tract behavior</x:v>
      </x:c>
    </x:row>
    <x:row r="168" ht="75.5999984741211" hidden="0" customHeight="1">
      <x:c r="A168" s="34" t="str">
        <x:v>M0</x:v>
      </x:c>
      <x:c r="B168" s="34" t="str">
        <x:v>48201250306</x:v>
      </x:c>
      <x:c r="C168" s="65" t="n">
        <x:v>315.63062303814587</x:v>
      </x:c>
      <x:c r="D168" s="65" t="n">
        <x:v>59.33855713117143</x:v>
      </x:c>
      <x:c r="E168" s="65" t="n">
        <x:v>256.29206590697447</x:v>
      </x:c>
      <x:c r="F168" s="65" t="n">
        <x:v>87.48180654116366</x:v>
      </x:c>
      <x:c r="G168" s="65" t="n">
        <x:v>146.82036367233508</x:v>
      </x:c>
      <x:c r="H168" s="43" t="n">
        <x:v>0.46516514227642275</x:v>
      </x:c>
      <x:c r="I168" s="34" t="str">
        <x:v>generated design-reference observation; not predicted tract behavior</x:v>
      </x:c>
    </x:row>
    <x:row r="169" ht="75.5999984741211" hidden="0" customHeight="1">
      <x:c r="A169" s="36" t="str">
        <x:v>M0</x:v>
      </x:c>
      <x:c r="B169" s="36" t="str">
        <x:v>48201250403</x:v>
      </x:c>
      <x:c r="C169" s="66" t="n">
        <x:v>648.7801250013653</x:v>
      </x:c>
      <x:c r="D169" s="66" t="n">
        <x:v>98.38236256614111</x:v>
      </x:c>
      <x:c r="E169" s="66" t="n">
        <x:v>550.3977624352242</x:v>
      </x:c>
      <x:c r="F169" s="66" t="n">
        <x:v>550.3977624352242</x:v>
      </x:c>
      <x:c r="G169" s="66" t="n">
        <x:v>648.7801250013653</x:v>
      </x:c>
      <x:c r="H169" s="45" t="n">
        <x:v>1</x:v>
      </x:c>
      <x:c r="I169" s="36" t="str">
        <x:v>generated design-reference observation; not predicted tract behavior</x:v>
      </x:c>
    </x:row>
    <x:row r="170" ht="75.5999984741211" hidden="0" customHeight="1">
      <x:c r="A170" s="34" t="str">
        <x:v>M0</x:v>
      </x:c>
      <x:c r="B170" s="34" t="str">
        <x:v>48201250404</x:v>
      </x:c>
      <x:c r="C170" s="65" t="n">
        <x:v>406.0701653399947</x:v>
      </x:c>
      <x:c r="D170" s="65" t="n">
        <x:v>74.32620507428594</x:v>
      </x:c>
      <x:c r="E170" s="65" t="n">
        <x:v>331.7439602657087</x:v>
      </x:c>
      <x:c r="F170" s="65" t="n">
        <x:v>105.02979278310445</x:v>
      </x:c>
      <x:c r="G170" s="65" t="n">
        <x:v>179.35599785739038</x:v>
      </x:c>
      <x:c r="H170" s="43" t="n">
        <x:v>0.44168720868034983</x:v>
      </x:c>
      <x:c r="I170" s="34" t="str">
        <x:v>generated design-reference observation; not predicted tract behavior</x:v>
      </x:c>
    </x:row>
    <x:row r="171" ht="75.5999984741211" hidden="0" customHeight="1">
      <x:c r="A171" s="36" t="str">
        <x:v>M0</x:v>
      </x:c>
      <x:c r="B171" s="36" t="str">
        <x:v>48201250405</x:v>
      </x:c>
      <x:c r="C171" s="66" t="n">
        <x:v>800.2410113921646</x:v>
      </x:c>
      <x:c r="D171" s="66" t="n">
        <x:v>150.44531014172694</x:v>
      </x:c>
      <x:c r="E171" s="66" t="n">
        <x:v>649.7957012504377</x:v>
      </x:c>
      <x:c r="F171" s="66" t="n">
        <x:v>220.48524999322132</x:v>
      </x:c>
      <x:c r="G171" s="66" t="n">
        <x:v>370.9305601349482</x:v>
      </x:c>
      <x:c r="H171" s="45" t="n">
        <x:v>0.4635235570964391</x:v>
      </x:c>
      <x:c r="I171" s="36" t="str">
        <x:v>generated design-reference observation; not predicted tract behavior</x:v>
      </x:c>
    </x:row>
    <x:row r="172" ht="75.5999984741211" hidden="0" customHeight="1">
      <x:c r="A172" s="34" t="str">
        <x:v>M0</x:v>
      </x:c>
      <x:c r="B172" s="34" t="str">
        <x:v>48201250406</x:v>
      </x:c>
      <x:c r="C172" s="65" t="n">
        <x:v>384.49577204734015</x:v>
      </x:c>
      <x:c r="D172" s="65" t="n">
        <x:v>68.45250058639289</x:v>
      </x:c>
      <x:c r="E172" s="65" t="n">
        <x:v>316.04327146094727</x:v>
      </x:c>
      <x:c r="F172" s="65" t="n">
        <x:v>252.4822325192351</x:v>
      </x:c>
      <x:c r="G172" s="65" t="n">
        <x:v>320.93473310562797</x:v>
      </x:c>
      <x:c r="H172" s="43" t="n">
        <x:v>0.8346898885174572</x:v>
      </x:c>
      <x:c r="I172" s="34" t="str">
        <x:v>generated design-reference observation; not predicted tract behavior</x:v>
      </x:c>
    </x:row>
    <x:row r="173" ht="75.5999984741211" hidden="0" customHeight="1">
      <x:c r="A173" s="36" t="str">
        <x:v>M0</x:v>
      </x:c>
      <x:c r="B173" s="36" t="str">
        <x:v>48201250407</x:v>
      </x:c>
      <x:c r="C173" s="66" t="n">
        <x:v>807.110235340354</x:v>
      </x:c>
      <x:c r="D173" s="66" t="n">
        <x:v>151.73672424398657</x:v>
      </x:c>
      <x:c r="E173" s="66" t="n">
        <x:v>655.3735110963675</x:v>
      </x:c>
      <x:c r="F173" s="66" t="n">
        <x:v>144.7660379232539</x:v>
      </x:c>
      <x:c r="G173" s="66" t="n">
        <x:v>296.50276216724046</x:v>
      </x:c>
      <x:c r="H173" s="45" t="n">
        <x:v>0.3673634024009209</x:v>
      </x:c>
      <x:c r="I173" s="36" t="str">
        <x:v>generated design-reference observation; not predicted tract behavior</x:v>
      </x:c>
    </x:row>
    <x:row r="174" ht="75.5999984741211" hidden="0" customHeight="1">
      <x:c r="A174" s="34" t="str">
        <x:v>M0</x:v>
      </x:c>
      <x:c r="B174" s="34" t="str">
        <x:v>48201250408</x:v>
      </x:c>
      <x:c r="C174" s="65" t="n">
        <x:v>1388.8486208931424</x:v>
      </x:c>
      <x:c r="D174" s="65" t="n">
        <x:v>236.89903810128527</x:v>
      </x:c>
      <x:c r="E174" s="65" t="n">
        <x:v>1151.9495827918572</x:v>
      </x:c>
      <x:c r="F174" s="65" t="n">
        <x:v>311.2164470729278</x:v>
      </x:c>
      <x:c r="G174" s="65" t="n">
        <x:v>548.1154851742131</x:v>
      </x:c>
      <x:c r="H174" s="43" t="n">
        <x:v>0.3946545915290108</x:v>
      </x:c>
      <x:c r="I174" s="34" t="str">
        <x:v>generated design-reference observation; not predicted tract behavior</x:v>
      </x:c>
    </x:row>
    <x:row r="175" ht="75.5999984741211" hidden="0" customHeight="1">
      <x:c r="A175" s="36" t="str">
        <x:v>M0</x:v>
      </x:c>
      <x:c r="B175" s="36" t="str">
        <x:v>48201250500</x:v>
      </x:c>
      <x:c r="C175" s="66" t="n">
        <x:v>440.1962184098328</x:v>
      </x:c>
      <x:c r="D175" s="66" t="n">
        <x:v>72.43308475448225</x:v>
      </x:c>
      <x:c r="E175" s="66" t="n">
        <x:v>367.76313365535054</x:v>
      </x:c>
      <x:c r="F175" s="66" t="n">
        <x:v>367.7631336553506</x:v>
      </x:c>
      <x:c r="G175" s="66" t="n">
        <x:v>440.1962184098328</x:v>
      </x:c>
      <x:c r="H175" s="45" t="n">
        <x:v>1</x:v>
      </x:c>
      <x:c r="I175" s="36" t="str">
        <x:v>generated design-reference observation; not predicted tract behavior</x:v>
      </x:c>
    </x:row>
    <x:row r="176" ht="75.5999984741211" hidden="0" customHeight="1">
      <x:c r="A176" s="34" t="str">
        <x:v>M0</x:v>
      </x:c>
      <x:c r="B176" s="34" t="str">
        <x:v>48201250601</x:v>
      </x:c>
      <x:c r="C176" s="65" t="n">
        <x:v>272.5840102644232</x:v>
      </x:c>
      <x:c r="D176" s="65" t="n">
        <x:v>47.964867881033825</x:v>
      </x:c>
      <x:c r="E176" s="65" t="n">
        <x:v>224.6191423833894</x:v>
      </x:c>
      <x:c r="F176" s="65" t="n">
        <x:v>224.6191423833894</x:v>
      </x:c>
      <x:c r="G176" s="65" t="n">
        <x:v>272.5840102644232</x:v>
      </x:c>
      <x:c r="H176" s="43" t="n">
        <x:v>1</x:v>
      </x:c>
      <x:c r="I176" s="34" t="str">
        <x:v>generated design-reference observation; not predicted tract behavior</x:v>
      </x:c>
    </x:row>
    <x:row r="177" ht="75.5999984741211" hidden="0" customHeight="1">
      <x:c r="A177" s="36" t="str">
        <x:v>M0</x:v>
      </x:c>
      <x:c r="B177" s="36" t="str">
        <x:v>48201250602</x:v>
      </x:c>
      <x:c r="C177" s="66" t="n">
        <x:v>373.49636825387205</x:v>
      </x:c>
      <x:c r="D177" s="66" t="n">
        <x:v>66.37730769561783</x:v>
      </x:c>
      <x:c r="E177" s="66" t="n">
        <x:v>307.1190605582542</x:v>
      </x:c>
      <x:c r="F177" s="66" t="n">
        <x:v>242.963503988351</x:v>
      </x:c>
      <x:c r="G177" s="66" t="n">
        <x:v>309.3408116839688</x:v>
      </x:c>
      <x:c r="H177" s="45" t="n">
        <x:v>0.828229771363411</x:v>
      </x:c>
      <x:c r="I177" s="36" t="str">
        <x:v>generated design-reference observation; not predicted tract behavior</x:v>
      </x:c>
    </x:row>
    <x:row r="178" ht="75.5999984741211" hidden="0" customHeight="1">
      <x:c r="A178" s="34" t="str">
        <x:v>M0</x:v>
      </x:c>
      <x:c r="B178" s="34" t="str">
        <x:v>48201250701</x:v>
      </x:c>
      <x:c r="C178" s="65" t="n">
        <x:v>1242.0224353285025</x:v>
      </x:c>
      <x:c r="D178" s="65" t="n">
        <x:v>111.2548376043952</x:v>
      </x:c>
      <x:c r="E178" s="65" t="n">
        <x:v>1130.7675977241074</x:v>
      </x:c>
      <x:c r="F178" s="65" t="n">
        <x:v>1130.7675977241074</x:v>
      </x:c>
      <x:c r="G178" s="65" t="n">
        <x:v>1242.0224353285025</x:v>
      </x:c>
      <x:c r="H178" s="43" t="n">
        <x:v>1</x:v>
      </x:c>
      <x:c r="I178" s="34" t="str">
        <x:v>generated design-reference observation; not predicted tract behavior</x:v>
      </x:c>
    </x:row>
    <x:row r="179" ht="75.5999984741211" hidden="0" customHeight="1">
      <x:c r="A179" s="36" t="str">
        <x:v>M0</x:v>
      </x:c>
      <x:c r="B179" s="36" t="str">
        <x:v>48201250702</x:v>
      </x:c>
      <x:c r="C179" s="66" t="n">
        <x:v>328.6695733013567</x:v>
      </x:c>
      <x:c r="D179" s="66" t="n">
        <x:v>61.45945261605262</x:v>
      </x:c>
      <x:c r="E179" s="66" t="n">
        <x:v>267.2101206853041</x:v>
      </x:c>
      <x:c r="F179" s="66" t="n">
        <x:v>89.74395744178105</x:v>
      </x:c>
      <x:c r="G179" s="66" t="n">
        <x:v>151.20341005783368</x:v>
      </x:c>
      <x:c r="H179" s="45" t="n">
        <x:v>0.46004687485688084</x:v>
      </x:c>
      <x:c r="I179" s="36" t="str">
        <x:v>generated design-reference observation; not predicted tract behavior</x:v>
      </x:c>
    </x:row>
    <x:row r="180" ht="75.5999984741211" hidden="0" customHeight="1">
      <x:c r="A180" s="34" t="str">
        <x:v>M0</x:v>
      </x:c>
      <x:c r="B180" s="34" t="str">
        <x:v>48201250801</x:v>
      </x:c>
      <x:c r="C180" s="65" t="n">
        <x:v>287.4856677080929</x:v>
      </x:c>
      <x:c r="D180" s="65" t="n">
        <x:v>53.67023130449968</x:v>
      </x:c>
      <x:c r="E180" s="65" t="n">
        <x:v>233.8154364035932</x:v>
      </x:c>
      <x:c r="F180" s="65" t="n">
        <x:v>233.8154364035932</x:v>
      </x:c>
      <x:c r="G180" s="65" t="n">
        <x:v>287.4856677080929</x:v>
      </x:c>
      <x:c r="H180" s="43" t="n">
        <x:v>1</x:v>
      </x:c>
      <x:c r="I180" s="34" t="str">
        <x:v>generated design-reference observation; not predicted tract behavior</x:v>
      </x:c>
    </x:row>
    <x:row r="181" ht="75.5999984741211" hidden="0" customHeight="1">
      <x:c r="A181" s="36" t="str">
        <x:v>M0</x:v>
      </x:c>
      <x:c r="B181" s="36" t="str">
        <x:v>48201250802</x:v>
      </x:c>
      <x:c r="C181" s="66" t="n">
        <x:v>656.9703535549756</x:v>
      </x:c>
      <x:c r="D181" s="66" t="n">
        <x:v>104.07421123931667</x:v>
      </x:c>
      <x:c r="E181" s="66" t="n">
        <x:v>552.896142315659</x:v>
      </x:c>
      <x:c r="F181" s="66" t="n">
        <x:v>552.896142315659</x:v>
      </x:c>
      <x:c r="G181" s="66" t="n">
        <x:v>656.9703535549756</x:v>
      </x:c>
      <x:c r="H181" s="45" t="n">
        <x:v>1</x:v>
      </x:c>
      <x:c r="I181" s="36" t="str">
        <x:v>generated design-reference observation; not predicted tract behavior</x:v>
      </x:c>
    </x:row>
    <x:row r="182" ht="75.5999984741211" hidden="0" customHeight="1">
      <x:c r="A182" s="34" t="str">
        <x:v>M0</x:v>
      </x:c>
      <x:c r="B182" s="34" t="str">
        <x:v>48201250901</x:v>
      </x:c>
      <x:c r="C182" s="65" t="n">
        <x:v>703.4854347137327</x:v>
      </x:c>
      <x:c r="D182" s="65" t="n">
        <x:v>52.41298321369533</x:v>
      </x:c>
      <x:c r="E182" s="65" t="n">
        <x:v>651.0724515000375</x:v>
      </x:c>
      <x:c r="F182" s="65" t="n">
        <x:v>651.0724515000375</x:v>
      </x:c>
      <x:c r="G182" s="65" t="n">
        <x:v>703.4854347137327</x:v>
      </x:c>
      <x:c r="H182" s="43" t="n">
        <x:v>1</x:v>
      </x:c>
      <x:c r="I182" s="34" t="str">
        <x:v>generated design-reference observation; not predicted tract behavior</x:v>
      </x:c>
    </x:row>
    <x:row r="183" ht="75.5999984741211" hidden="0" customHeight="1">
      <x:c r="A183" s="36" t="str">
        <x:v>M0</x:v>
      </x:c>
      <x:c r="B183" s="36" t="str">
        <x:v>48201250902</x:v>
      </x:c>
      <x:c r="C183" s="66" t="n">
        <x:v>451.3253043487758</x:v>
      </x:c>
      <x:c r="D183" s="66" t="n">
        <x:v>84.84915721756984</x:v>
      </x:c>
      <x:c r="E183" s="66" t="n">
        <x:v>366.47614713120595</x:v>
      </x:c>
      <x:c r="F183" s="66" t="n">
        <x:v>36.63262328587703</x:v>
      </x:c>
      <x:c r="G183" s="66" t="n">
        <x:v>121.48178050344687</x:v>
      </x:c>
      <x:c r="H183" s="45" t="n">
        <x:v>0.269166783543712</x:v>
      </x:c>
      <x:c r="I183" s="36" t="str">
        <x:v>generated design-reference observation; not predicted tract behavior</x:v>
      </x:c>
    </x:row>
    <x:row r="184" ht="75.5999984741211" hidden="0" customHeight="1">
      <x:c r="A184" s="34" t="str">
        <x:v>M0</x:v>
      </x:c>
      <x:c r="B184" s="34" t="str">
        <x:v>48201251000</x:v>
      </x:c>
      <x:c r="C184" s="65" t="n">
        <x:v>586.8247067177349</x:v>
      </x:c>
      <x:c r="D184" s="65" t="n">
        <x:v>47.50870716402494</x:v>
      </x:c>
      <x:c r="E184" s="65" t="n">
        <x:v>539.31599955371</x:v>
      </x:c>
      <x:c r="F184" s="65" t="n">
        <x:v>539.31599955371</x:v>
      </x:c>
      <x:c r="G184" s="65" t="n">
        <x:v>586.8247067177349</x:v>
      </x:c>
      <x:c r="H184" s="43" t="n">
        <x:v>1</x:v>
      </x:c>
      <x:c r="I184" s="34" t="str">
        <x:v>generated design-reference observation; not predicted tract behavior</x:v>
      </x:c>
    </x:row>
    <x:row r="185" ht="75.5999984741211" hidden="0" customHeight="1">
      <x:c r="A185" s="36" t="str">
        <x:v>M0</x:v>
      </x:c>
      <x:c r="B185" s="36" t="str">
        <x:v>48201251100</x:v>
      </x:c>
      <x:c r="C185" s="66" t="n">
        <x:v>594.439376285368</x:v>
      </x:c>
      <x:c r="D185" s="66" t="n">
        <x:v>109.03825890142487</x:v>
      </x:c>
      <x:c r="E185" s="66" t="n">
        <x:v>485.40111738394313</x:v>
      </x:c>
      <x:c r="F185" s="66" t="n">
        <x:v>485.40111738394313</x:v>
      </x:c>
      <x:c r="G185" s="66" t="n">
        <x:v>594.439376285368</x:v>
      </x:c>
      <x:c r="H185" s="45" t="n">
        <x:v>1</x:v>
      </x:c>
      <x:c r="I185" s="36" t="str">
        <x:v>generated design-reference observation; not predicted tract behavior</x:v>
      </x:c>
    </x:row>
    <x:row r="186" ht="75.5999984741211" hidden="0" customHeight="1">
      <x:c r="A186" s="34" t="str">
        <x:v>M0</x:v>
      </x:c>
      <x:c r="B186" s="34" t="str">
        <x:v>48201251200</x:v>
      </x:c>
      <x:c r="C186" s="65" t="n">
        <x:v>512.8182198758172</x:v>
      </x:c>
      <x:c r="D186" s="65" t="n">
        <x:v>92.65211954597305</x:v>
      </x:c>
      <x:c r="E186" s="65" t="n">
        <x:v>420.1661003298442</x:v>
      </x:c>
      <x:c r="F186" s="65" t="n">
        <x:v>281.1011819518355</x:v>
      </x:c>
      <x:c r="G186" s="65" t="n">
        <x:v>373.75330149780854</x:v>
      </x:c>
      <x:c r="H186" s="43" t="n">
        <x:v>0.7288221966612568</x:v>
      </x:c>
      <x:c r="I186" s="34" t="str">
        <x:v>generated design-reference observation; not predicted tract behavior</x:v>
      </x:c>
    </x:row>
    <x:row r="187" ht="75.5999984741211" hidden="0" customHeight="1">
      <x:c r="A187" s="36" t="str">
        <x:v>M0</x:v>
      </x:c>
      <x:c r="B187" s="36" t="str">
        <x:v>48201251300</x:v>
      </x:c>
      <x:c r="C187" s="66" t="n">
        <x:v>1251.9931483502892</x:v>
      </x:c>
      <x:c r="D187" s="66" t="n">
        <x:v>111.9304365520039</x:v>
      </x:c>
      <x:c r="E187" s="66" t="n">
        <x:v>1140.0627117982854</x:v>
      </x:c>
      <x:c r="F187" s="66" t="n">
        <x:v>1140.0627117982854</x:v>
      </x:c>
      <x:c r="G187" s="66" t="n">
        <x:v>1251.9931483502892</x:v>
      </x:c>
      <x:c r="H187" s="45" t="n">
        <x:v>1</x:v>
      </x:c>
      <x:c r="I187" s="36" t="str">
        <x:v>generated design-reference observation; not predicted tract behavior</x:v>
      </x:c>
    </x:row>
    <x:row r="188" ht="75.5999984741211" hidden="0" customHeight="1">
      <x:c r="A188" s="34" t="str">
        <x:v>M0</x:v>
      </x:c>
      <x:c r="B188" s="34" t="str">
        <x:v>48201251401</x:v>
      </x:c>
      <x:c r="C188" s="65" t="n">
        <x:v>421.4560903758574</x:v>
      </x:c>
      <x:c r="D188" s="65" t="n">
        <x:v>68.7382225656149</x:v>
      </x:c>
      <x:c r="E188" s="65" t="n">
        <x:v>352.7178678102425</x:v>
      </x:c>
      <x:c r="F188" s="65" t="n">
        <x:v>352.7178678102425</x:v>
      </x:c>
      <x:c r="G188" s="65" t="n">
        <x:v>421.4560903758574</x:v>
      </x:c>
      <x:c r="H188" s="43" t="n">
        <x:v>1</x:v>
      </x:c>
      <x:c r="I188" s="34" t="str">
        <x:v>generated design-reference observation; not predicted tract behavior</x:v>
      </x:c>
    </x:row>
    <x:row r="189" ht="75.5999984741211" hidden="0" customHeight="1">
      <x:c r="A189" s="36" t="str">
        <x:v>M0</x:v>
      </x:c>
      <x:c r="B189" s="36" t="str">
        <x:v>48201251402</x:v>
      </x:c>
      <x:c r="C189" s="66" t="n">
        <x:v>545.5924348231284</x:v>
      </x:c>
      <x:c r="D189" s="66" t="n">
        <x:v>99.36232725780539</x:v>
      </x:c>
      <x:c r="E189" s="66" t="n">
        <x:v>446.230107565323</x:v>
      </x:c>
      <x:c r="F189" s="66" t="n">
        <x:v>446.230107565323</x:v>
      </x:c>
      <x:c r="G189" s="66" t="n">
        <x:v>545.5924348231284</x:v>
      </x:c>
      <x:c r="H189" s="45" t="n">
        <x:v>1</x:v>
      </x:c>
      <x:c r="I189" s="36" t="str">
        <x:v>generated design-reference observation; not predicted tract behavior</x:v>
      </x:c>
    </x:row>
    <x:row r="190" ht="75.5999984741211" hidden="0" customHeight="1">
      <x:c r="A190" s="34" t="str">
        <x:v>M0</x:v>
      </x:c>
      <x:c r="B190" s="34" t="str">
        <x:v>48201251501</x:v>
      </x:c>
      <x:c r="C190" s="65" t="n">
        <x:v>1180.5730494726695</x:v>
      </x:c>
      <x:c r="D190" s="65" t="n">
        <x:v>106.25157445254024</x:v>
      </x:c>
      <x:c r="E190" s="65" t="n">
        <x:v>1074.3214750201291</x:v>
      </x:c>
      <x:c r="F190" s="65" t="n">
        <x:v>0</x:v>
      </x:c>
      <x:c r="G190" s="65" t="n">
        <x:v>106.25157445254024</x:v>
      </x:c>
      <x:c r="H190" s="43" t="n">
        <x:v>0.08999999999999998</x:v>
      </x:c>
      <x:c r="I190" s="34" t="str">
        <x:v>generated design-reference observation; not predicted tract behavior</x:v>
      </x:c>
    </x:row>
    <x:row r="191" ht="75.5999984741211" hidden="0" customHeight="1">
      <x:c r="A191" s="36" t="str">
        <x:v>M0</x:v>
      </x:c>
      <x:c r="B191" s="36" t="str">
        <x:v>48201251503</x:v>
      </x:c>
      <x:c r="C191" s="66" t="n">
        <x:v>222.0708497209296</x:v>
      </x:c>
      <x:c r="D191" s="66" t="n">
        <x:v>41.74931974753477</x:v>
      </x:c>
      <x:c r="E191" s="66" t="n">
        <x:v>180.32152997339483</x:v>
      </x:c>
      <x:c r="F191" s="66" t="n">
        <x:v>61.43634466349001</x:v>
      </x:c>
      <x:c r="G191" s="66" t="n">
        <x:v>103.18566441102479</x:v>
      </x:c>
      <x:c r="H191" s="45" t="n">
        <x:v>0.46465199975906524</x:v>
      </x:c>
      <x:c r="I191" s="36" t="str">
        <x:v>generated design-reference observation; not predicted tract behavior</x:v>
      </x:c>
    </x:row>
    <x:row r="192" ht="75.5999984741211" hidden="0" customHeight="1">
      <x:c r="A192" s="34" t="str">
        <x:v>M0</x:v>
      </x:c>
      <x:c r="B192" s="34" t="str">
        <x:v>48201251504</x:v>
      </x:c>
      <x:c r="C192" s="65" t="n">
        <x:v>447.67848522754025</x:v>
      </x:c>
      <x:c r="D192" s="65" t="n">
        <x:v>83.97890603607537</x:v>
      </x:c>
      <x:c r="E192" s="65" t="n">
        <x:v>363.69957919146486</x:v>
      </x:c>
      <x:c r="F192" s="65" t="n">
        <x:v>79.2588813193829</x:v>
      </x:c>
      <x:c r="G192" s="65" t="n">
        <x:v>163.23778735545827</x:v>
      </x:c>
      <x:c r="H192" s="43" t="n">
        <x:v>0.3646317451965329</x:v>
      </x:c>
      <x:c r="I192" s="34" t="str">
        <x:v>generated design-reference observation; not predicted tract behavior</x:v>
      </x:c>
    </x:row>
    <x:row r="193" ht="75.5999984741211" hidden="0" customHeight="1">
      <x:c r="A193" s="36" t="str">
        <x:v>M0</x:v>
      </x:c>
      <x:c r="B193" s="36" t="str">
        <x:v>48201251505</x:v>
      </x:c>
      <x:c r="C193" s="66" t="n">
        <x:v>309.19367290820634</x:v>
      </x:c>
      <x:c r="D193" s="66" t="n">
        <x:v>58.12841050674279</x:v>
      </x:c>
      <x:c r="E193" s="66" t="n">
        <x:v>251.06526240146354</x:v>
      </x:c>
      <x:c r="F193" s="66" t="n">
        <x:v>84.9868556960151</x:v>
      </x:c>
      <x:c r="G193" s="66" t="n">
        <x:v>143.11526620275788</x:v>
      </x:c>
      <x:c r="H193" s="45" t="n">
        <x:v>0.46286608925935574</x:v>
      </x:c>
      <x:c r="I193" s="36" t="str">
        <x:v>generated design-reference observation; not predicted tract behavior</x:v>
      </x:c>
    </x:row>
    <x:row r="194" ht="75.5999984741211" hidden="0" customHeight="1">
      <x:c r="A194" s="34" t="str">
        <x:v>M0</x:v>
      </x:c>
      <x:c r="B194" s="34" t="str">
        <x:v>48201251600</x:v>
      </x:c>
      <x:c r="C194" s="65" t="n">
        <x:v>605.1204693581246</x:v>
      </x:c>
      <x:c r="D194" s="65" t="n">
        <x:v>113.76264823932743</x:v>
      </x:c>
      <x:c r="E194" s="65" t="n">
        <x:v>491.35782111879723</x:v>
      </x:c>
      <x:c r="F194" s="65" t="n">
        <x:v>491.35782111879723</x:v>
      </x:c>
      <x:c r="G194" s="65" t="n">
        <x:v>605.1204693581246</x:v>
      </x:c>
      <x:c r="H194" s="43" t="n">
        <x:v>1</x:v>
      </x:c>
      <x:c r="I194" s="34" t="str">
        <x:v>generated design-reference observation; not predicted tract behavior</x:v>
      </x:c>
    </x:row>
    <x:row r="195" ht="75.5999984741211" hidden="0" customHeight="1">
      <x:c r="A195" s="36" t="str">
        <x:v>M0</x:v>
      </x:c>
      <x:c r="B195" s="36" t="str">
        <x:v>48201251701</x:v>
      </x:c>
      <x:c r="C195" s="66" t="n">
        <x:v>379.38708146802304</x:v>
      </x:c>
      <x:c r="D195" s="66" t="n">
        <x:v>70.47716179770855</x:v>
      </x:c>
      <x:c r="E195" s="66" t="n">
        <x:v>308.9099196703145</x:v>
      </x:c>
      <x:c r="F195" s="66" t="n">
        <x:v>308.9099196703145</x:v>
      </x:c>
      <x:c r="G195" s="66" t="n">
        <x:v>379.38708146802304</x:v>
      </x:c>
      <x:c r="H195" s="45" t="n">
        <x:v>1</x:v>
      </x:c>
      <x:c r="I195" s="36" t="str">
        <x:v>generated design-reference observation; not predicted tract behavior</x:v>
      </x:c>
    </x:row>
    <x:row r="196" ht="75.5999984741211" hidden="0" customHeight="1">
      <x:c r="A196" s="34" t="str">
        <x:v>M0</x:v>
      </x:c>
      <x:c r="B196" s="34" t="str">
        <x:v>48201251702</x:v>
      </x:c>
      <x:c r="C196" s="65" t="n">
        <x:v>320.786470761272</x:v>
      </x:c>
      <x:c r="D196" s="65" t="n">
        <x:v>59.58512586593129</x:v>
      </x:c>
      <x:c r="E196" s="65" t="n">
        <x:v>261.20134489534075</x:v>
      </x:c>
      <x:c r="F196" s="65" t="n">
        <x:v>261.20134489534075</x:v>
      </x:c>
      <x:c r="G196" s="65" t="n">
        <x:v>320.786470761272</x:v>
      </x:c>
      <x:c r="H196" s="43" t="n">
        <x:v>1</x:v>
      </x:c>
      <x:c r="I196" s="34" t="str">
        <x:v>generated design-reference observation; not predicted tract behavior</x:v>
      </x:c>
    </x:row>
    <x:row r="197" ht="75.5999984741211" hidden="0" customHeight="1">
      <x:c r="A197" s="36" t="str">
        <x:v>M0</x:v>
      </x:c>
      <x:c r="B197" s="36" t="str">
        <x:v>48201251800</x:v>
      </x:c>
      <x:c r="C197" s="66" t="n">
        <x:v>259.0281451556129</x:v>
      </x:c>
      <x:c r="D197" s="66" t="n">
        <x:v>42.48061580552052</x:v>
      </x:c>
      <x:c r="E197" s="66" t="n">
        <x:v>216.54752935009236</x:v>
      </x:c>
      <x:c r="F197" s="66" t="n">
        <x:v>216.54752935009236</x:v>
      </x:c>
      <x:c r="G197" s="66" t="n">
        <x:v>259.0281451556129</x:v>
      </x:c>
      <x:c r="H197" s="45" t="n">
        <x:v>1</x:v>
      </x:c>
      <x:c r="I197" s="36" t="str">
        <x:v>generated design-reference observation; not predicted tract behavior</x:v>
      </x:c>
    </x:row>
    <x:row r="198" ht="75.5999984741211" hidden="0" customHeight="1">
      <x:c r="A198" s="34" t="str">
        <x:v>M0</x:v>
      </x:c>
      <x:c r="B198" s="34" t="str">
        <x:v>48201251902</x:v>
      </x:c>
      <x:c r="C198" s="65" t="n">
        <x:v>631.7721151342237</x:v>
      </x:c>
      <x:c r="D198" s="65" t="n">
        <x:v>118.67443595897555</x:v>
      </x:c>
      <x:c r="E198" s="65" t="n">
        <x:v>513.0976791752481</x:v>
      </x:c>
      <x:c r="F198" s="65" t="n">
        <x:v>368.0269007356414</x:v>
      </x:c>
      <x:c r="G198" s="65" t="n">
        <x:v>486.70133669461694</x:v>
      </x:c>
      <x:c r="H198" s="43" t="n">
        <x:v>0.7703748314235338</x:v>
      </x:c>
      <x:c r="I198" s="34" t="str">
        <x:v>generated design-reference observation; not predicted tract behavior</x:v>
      </x:c>
    </x:row>
    <x:row r="199" ht="75.5999984741211" hidden="0" customHeight="1">
      <x:c r="A199" s="36" t="str">
        <x:v>M0</x:v>
      </x:c>
      <x:c r="B199" s="36" t="str">
        <x:v>48201251903</x:v>
      </x:c>
      <x:c r="C199" s="66" t="n">
        <x:v>353.6157023763605</x:v>
      </x:c>
      <x:c r="D199" s="66" t="n">
        <x:v>66.47975204675576</x:v>
      </x:c>
      <x:c r="E199" s="66" t="n">
        <x:v>287.1359503296047</x:v>
      </x:c>
      <x:c r="F199" s="66" t="n">
        <x:v>205.09341298594913</x:v>
      </x:c>
      <x:c r="G199" s="66" t="n">
        <x:v>271.5731650327049</x:v>
      </x:c>
      <x:c r="H199" s="45" t="n">
        <x:v>0.767989552521805</x:v>
      </x:c>
      <x:c r="I199" s="36" t="str">
        <x:v>generated design-reference observation; not predicted tract behavior</x:v>
      </x:c>
    </x:row>
    <x:row r="200" ht="75.5999984741211" hidden="0" customHeight="1">
      <x:c r="A200" s="34" t="str">
        <x:v>M0</x:v>
      </x:c>
      <x:c r="B200" s="34" t="str">
        <x:v>48201251904</x:v>
      </x:c>
      <x:c r="C200" s="65" t="n">
        <x:v>598.9271644711989</x:v>
      </x:c>
      <x:c r="D200" s="65" t="n">
        <x:v>111.72969141005518</x:v>
      </x:c>
      <x:c r="E200" s="65" t="n">
        <x:v>487.19747306114374</x:v>
      </x:c>
      <x:c r="F200" s="65" t="n">
        <x:v>346.5761409713815</x:v>
      </x:c>
      <x:c r="G200" s="65" t="n">
        <x:v>458.3058323814367</x:v>
      </x:c>
      <x:c r="H200" s="43" t="n">
        <x:v>0.7652112970799734</x:v>
      </x:c>
      <x:c r="I200" s="34" t="str">
        <x:v>generated design-reference observation; not predicted tract behavior</x:v>
      </x:c>
    </x:row>
    <x:row r="201" ht="75.5999984741211" hidden="0" customHeight="1">
      <x:c r="A201" s="36" t="str">
        <x:v>M0</x:v>
      </x:c>
      <x:c r="B201" s="36" t="str">
        <x:v>48201252001</x:v>
      </x:c>
      <x:c r="C201" s="66" t="n">
        <x:v>615.6836695713587</x:v>
      </x:c>
      <x:c r="D201" s="66" t="n">
        <x:v>106.77371895531596</x:v>
      </x:c>
      <x:c r="E201" s="66" t="n">
        <x:v>508.9099506160427</x:v>
      </x:c>
      <x:c r="F201" s="66" t="n">
        <x:v>508.9099506160427</x:v>
      </x:c>
      <x:c r="G201" s="66" t="n">
        <x:v>615.6836695713587</x:v>
      </x:c>
      <x:c r="H201" s="45" t="n">
        <x:v>1</x:v>
      </x:c>
      <x:c r="I201" s="36" t="str">
        <x:v>generated design-reference observation; not predicted tract behavior</x:v>
      </x:c>
    </x:row>
    <x:row r="202" ht="75.5999984741211" hidden="0" customHeight="1">
      <x:c r="A202" s="34" t="str">
        <x:v>M0</x:v>
      </x:c>
      <x:c r="B202" s="34" t="str">
        <x:v>48201252002</x:v>
      </x:c>
      <x:c r="C202" s="65" t="n">
        <x:v>525.5978058480781</x:v>
      </x:c>
      <x:c r="D202" s="65" t="n">
        <x:v>97.78625886002143</x:v>
      </x:c>
      <x:c r="E202" s="65" t="n">
        <x:v>427.81154698805665</x:v>
      </x:c>
      <x:c r="F202" s="65" t="n">
        <x:v>427.81154698805665</x:v>
      </x:c>
      <x:c r="G202" s="65" t="n">
        <x:v>525.5978058480781</x:v>
      </x:c>
      <x:c r="H202" s="43" t="n">
        <x:v>1</x:v>
      </x:c>
      <x:c r="I202" s="34" t="str">
        <x:v>generated design-reference observation; not predicted tract behavior</x:v>
      </x:c>
    </x:row>
    <x:row r="203" ht="75.5999984741211" hidden="0" customHeight="1">
      <x:c r="A203" s="36" t="str">
        <x:v>M0</x:v>
      </x:c>
      <x:c r="B203" s="36" t="str">
        <x:v>48201252003</x:v>
      </x:c>
      <x:c r="C203" s="66" t="n">
        <x:v>864.4847603080691</x:v>
      </x:c>
      <x:c r="D203" s="66" t="n">
        <x:v>162.523134937917</x:v>
      </x:c>
      <x:c r="E203" s="66" t="n">
        <x:v>701.9616253701521</x:v>
      </x:c>
      <x:c r="F203" s="66" t="n">
        <x:v>507.89482193388324</x:v>
      </x:c>
      <x:c r="G203" s="66" t="n">
        <x:v>670.4179568718002</x:v>
      </x:c>
      <x:c r="H203" s="45" t="n">
        <x:v>0.775511596795401</x:v>
      </x:c>
      <x:c r="I203" s="36" t="str">
        <x:v>generated design-reference observation; not predicted tract behavior</x:v>
      </x:c>
    </x:row>
    <x:row r="204" ht="75.5999984741211" hidden="0" customHeight="1">
      <x:c r="A204" s="34" t="str">
        <x:v>M0</x:v>
      </x:c>
      <x:c r="B204" s="34" t="str">
        <x:v>48201252100</x:v>
      </x:c>
      <x:c r="C204" s="65" t="n">
        <x:v>692.4482447473408</x:v>
      </x:c>
      <x:c r="D204" s="65" t="n">
        <x:v>62.320342027260665</x:v>
      </x:c>
      <x:c r="E204" s="65" t="n">
        <x:v>630.1279027200801</x:v>
      </x:c>
      <x:c r="F204" s="65" t="n">
        <x:v>630.1279027200801</x:v>
      </x:c>
      <x:c r="G204" s="65" t="n">
        <x:v>692.4482447473408</x:v>
      </x:c>
      <x:c r="H204" s="43" t="n">
        <x:v>1</x:v>
      </x:c>
      <x:c r="I204" s="34" t="str">
        <x:v>generated design-reference observation; not predicted tract behavior</x:v>
      </x:c>
    </x:row>
    <x:row r="205" ht="75.5999984741211" hidden="0" customHeight="1">
      <x:c r="A205" s="36" t="str">
        <x:v>M0</x:v>
      </x:c>
      <x:c r="B205" s="36" t="str">
        <x:v>48201252201</x:v>
      </x:c>
      <x:c r="C205" s="66" t="n">
        <x:v>718.0702928836082</x:v>
      </x:c>
      <x:c r="D205" s="66" t="n">
        <x:v>100.19528714376008</x:v>
      </x:c>
      <x:c r="E205" s="66" t="n">
        <x:v>617.8750057398481</x:v>
      </x:c>
      <x:c r="F205" s="66" t="n">
        <x:v>617.8750057398481</x:v>
      </x:c>
      <x:c r="G205" s="66" t="n">
        <x:v>718.0702928836082</x:v>
      </x:c>
      <x:c r="H205" s="45" t="n">
        <x:v>1</x:v>
      </x:c>
      <x:c r="I205" s="36" t="str">
        <x:v>generated design-reference observation; not predicted tract behavior</x:v>
      </x:c>
    </x:row>
    <x:row r="206" ht="75.5999984741211" hidden="0" customHeight="1">
      <x:c r="A206" s="34" t="str">
        <x:v>M0</x:v>
      </x:c>
      <x:c r="B206" s="34" t="str">
        <x:v>48201252202</x:v>
      </x:c>
      <x:c r="C206" s="65" t="n">
        <x:v>977.348733648669</x:v>
      </x:c>
      <x:c r="D206" s="65" t="n">
        <x:v>160.28519231838175</x:v>
      </x:c>
      <x:c r="E206" s="65" t="n">
        <x:v>817.0635413302873</x:v>
      </x:c>
      <x:c r="F206" s="65" t="n">
        <x:v>817.0635413302873</x:v>
      </x:c>
      <x:c r="G206" s="65" t="n">
        <x:v>977.348733648669</x:v>
      </x:c>
      <x:c r="H206" s="43" t="n">
        <x:v>1</x:v>
      </x:c>
      <x:c r="I206" s="34" t="str">
        <x:v>generated design-reference observation; not predicted tract behavior</x:v>
      </x:c>
    </x:row>
    <x:row r="207" ht="75.5999984741211" hidden="0" customHeight="1">
      <x:c r="A207" s="36" t="str">
        <x:v>M0</x:v>
      </x:c>
      <x:c r="B207" s="36" t="str">
        <x:v>48201252303</x:v>
      </x:c>
      <x:c r="C207" s="66" t="n">
        <x:v>434.3958897213158</x:v>
      </x:c>
      <x:c r="D207" s="66" t="n">
        <x:v>81.66642726760738</x:v>
      </x:c>
      <x:c r="E207" s="66" t="n">
        <x:v>352.72946245370844</x:v>
      </x:c>
      <x:c r="F207" s="66" t="n">
        <x:v>352.72946245370844</x:v>
      </x:c>
      <x:c r="G207" s="66" t="n">
        <x:v>434.3958897213158</x:v>
      </x:c>
      <x:c r="H207" s="45" t="n">
        <x:v>1</x:v>
      </x:c>
      <x:c r="I207" s="36" t="str">
        <x:v>generated design-reference observation; not predicted tract behavior</x:v>
      </x:c>
    </x:row>
    <x:row r="208" ht="75.5999984741211" hidden="0" customHeight="1">
      <x:c r="A208" s="34" t="str">
        <x:v>M0</x:v>
      </x:c>
      <x:c r="B208" s="34" t="str">
        <x:v>48201252304</x:v>
      </x:c>
      <x:c r="C208" s="65" t="n">
        <x:v>722.5973786892798</x:v>
      </x:c>
      <x:c r="D208" s="65" t="n">
        <x:v>62.10960289285101</x:v>
      </x:c>
      <x:c r="E208" s="65" t="n">
        <x:v>660.4877757964288</x:v>
      </x:c>
      <x:c r="F208" s="65" t="n">
        <x:v>660.4877757964288</x:v>
      </x:c>
      <x:c r="G208" s="65" t="n">
        <x:v>722.5973786892798</x:v>
      </x:c>
      <x:c r="H208" s="43" t="n">
        <x:v>1</x:v>
      </x:c>
      <x:c r="I208" s="34" t="str">
        <x:v>generated design-reference observation; not predicted tract behavior</x:v>
      </x:c>
    </x:row>
    <x:row r="209" ht="75.5999984741211" hidden="0" customHeight="1">
      <x:c r="A209" s="36" t="str">
        <x:v>M0</x:v>
      </x:c>
      <x:c r="B209" s="36" t="str">
        <x:v>48201252305</x:v>
      </x:c>
      <x:c r="C209" s="66" t="n">
        <x:v>477.599692974402</x:v>
      </x:c>
      <x:c r="D209" s="66" t="n">
        <x:v>89.78874227918757</x:v>
      </x:c>
      <x:c r="E209" s="66" t="n">
        <x:v>387.8109506952144</x:v>
      </x:c>
      <x:c r="F209" s="66" t="n">
        <x:v>387.8109506952144</x:v>
      </x:c>
      <x:c r="G209" s="66" t="n">
        <x:v>477.59969297440193</x:v>
      </x:c>
      <x:c r="H209" s="45" t="n">
        <x:v>0.9999999999999999</x:v>
      </x:c>
      <x:c r="I209" s="36" t="str">
        <x:v>generated design-reference observation; not predicted tract behavior</x:v>
      </x:c>
    </x:row>
    <x:row r="210" ht="75.5999984741211" hidden="0" customHeight="1">
      <x:c r="A210" s="34" t="str">
        <x:v>M0</x:v>
      </x:c>
      <x:c r="B210" s="34" t="str">
        <x:v>48201252306</x:v>
      </x:c>
      <x:c r="C210" s="65" t="n">
        <x:v>853.0177148384942</x:v>
      </x:c>
      <x:c r="D210" s="65" t="n">
        <x:v>159.55676032282747</x:v>
      </x:c>
      <x:c r="E210" s="65" t="n">
        <x:v>693.4609545156667</x:v>
      </x:c>
      <x:c r="F210" s="65" t="n">
        <x:v>693.4609545156667</x:v>
      </x:c>
      <x:c r="G210" s="65" t="n">
        <x:v>853.0177148384942</x:v>
      </x:c>
      <x:c r="H210" s="43" t="n">
        <x:v>1</x:v>
      </x:c>
      <x:c r="I210" s="34" t="str">
        <x:v>generated design-reference observation; not predicted tract behavior</x:v>
      </x:c>
    </x:row>
    <x:row r="211" ht="75.5999984741211" hidden="0" customHeight="1">
      <x:c r="A211" s="36" t="str">
        <x:v>M0</x:v>
      </x:c>
      <x:c r="B211" s="36" t="str">
        <x:v>48201252400</x:v>
      </x:c>
      <x:c r="C211" s="66" t="n">
        <x:v>520.8742319432018</x:v>
      </x:c>
      <x:c r="D211" s="66" t="n">
        <x:v>97.92435560532195</x:v>
      </x:c>
      <x:c r="E211" s="66" t="n">
        <x:v>422.9498763378799</x:v>
      </x:c>
      <x:c r="F211" s="66" t="n">
        <x:v>422.9498763378799</x:v>
      </x:c>
      <x:c r="G211" s="66" t="n">
        <x:v>520.8742319432018</x:v>
      </x:c>
      <x:c r="H211" s="45" t="n">
        <x:v>1</x:v>
      </x:c>
      <x:c r="I211" s="36" t="str">
        <x:v>generated design-reference observation; not predicted tract behavior</x:v>
      </x:c>
    </x:row>
    <x:row r="212" ht="75.5999984741211" hidden="0" customHeight="1">
      <x:c r="A212" s="34" t="str">
        <x:v>M0</x:v>
      </x:c>
      <x:c r="B212" s="34" t="str">
        <x:v>48201252500</x:v>
      </x:c>
      <x:c r="C212" s="65" t="n">
        <x:v>652.159115728916</x:v>
      </x:c>
      <x:c r="D212" s="65" t="n">
        <x:v>105.93187885053423</x:v>
      </x:c>
      <x:c r="E212" s="65" t="n">
        <x:v>546.2272368783819</x:v>
      </x:c>
      <x:c r="F212" s="65" t="n">
        <x:v>546.2272368783819</x:v>
      </x:c>
      <x:c r="G212" s="65" t="n">
        <x:v>652.159115728916</x:v>
      </x:c>
      <x:c r="H212" s="43" t="n">
        <x:v>1</x:v>
      </x:c>
      <x:c r="I212" s="34" t="str">
        <x:v>generated design-reference observation; not predicted tract behavior</x:v>
      </x:c>
    </x:row>
    <x:row r="213" ht="75.5999984741211" hidden="0" customHeight="1">
      <x:c r="A213" s="36" t="str">
        <x:v>M0</x:v>
      </x:c>
      <x:c r="B213" s="36" t="str">
        <x:v>48201252601</x:v>
      </x:c>
      <x:c r="C213" s="66" t="n">
        <x:v>294.8107440464367</x:v>
      </x:c>
      <x:c r="D213" s="66" t="n">
        <x:v>55.42441988073009</x:v>
      </x:c>
      <x:c r="E213" s="66" t="n">
        <x:v>239.3863241657066</x:v>
      </x:c>
      <x:c r="F213" s="66" t="n">
        <x:v>167.599052335551</x:v>
      </x:c>
      <x:c r="G213" s="66" t="n">
        <x:v>223.02347221628108</x:v>
      </x:c>
      <x:c r="H213" s="45" t="n">
        <x:v>0.756497097613077</x:v>
      </x:c>
      <x:c r="I213" s="36" t="str">
        <x:v>generated design-reference observation; not predicted tract behavior</x:v>
      </x:c>
    </x:row>
    <x:row r="214" ht="75.5999984741211" hidden="0" customHeight="1">
      <x:c r="A214" s="34" t="str">
        <x:v>M0</x:v>
      </x:c>
      <x:c r="B214" s="34" t="str">
        <x:v>48201252602</x:v>
      </x:c>
      <x:c r="C214" s="65" t="n">
        <x:v>312.6518634542056</x:v>
      </x:c>
      <x:c r="D214" s="65" t="n">
        <x:v>58.51825167728852</x:v>
      </x:c>
      <x:c r="E214" s="65" t="n">
        <x:v>254.13361177691712</x:v>
      </x:c>
      <x:c r="F214" s="65" t="n">
        <x:v>254.13361177691712</x:v>
      </x:c>
      <x:c r="G214" s="65" t="n">
        <x:v>312.6518634542056</x:v>
      </x:c>
      <x:c r="H214" s="43" t="n">
        <x:v>1</x:v>
      </x:c>
      <x:c r="I214" s="34" t="str">
        <x:v>generated design-reference observation; not predicted tract behavior</x:v>
      </x:c>
    </x:row>
    <x:row r="215" ht="75.5999984741211" hidden="0" customHeight="1">
      <x:c r="A215" s="36" t="str">
        <x:v>M0</x:v>
      </x:c>
      <x:c r="B215" s="36" t="str">
        <x:v>48201252700</x:v>
      </x:c>
      <x:c r="C215" s="66" t="n">
        <x:v>450.6179471916397</x:v>
      </x:c>
      <x:c r="D215" s="66" t="n">
        <x:v>84.16912792555418</x:v>
      </x:c>
      <x:c r="E215" s="66" t="n">
        <x:v>366.44881926608554</x:v>
      </x:c>
      <x:c r="F215" s="66" t="n">
        <x:v>366.44881926608554</x:v>
      </x:c>
      <x:c r="G215" s="66" t="n">
        <x:v>450.6179471916397</x:v>
      </x:c>
      <x:c r="H215" s="45" t="n">
        <x:v>1</x:v>
      </x:c>
      <x:c r="I215" s="36" t="str">
        <x:v>generated design-reference observation; not predicted tract behavior</x:v>
      </x:c>
    </x:row>
    <x:row r="216" ht="75.5999984741211" hidden="0" customHeight="1">
      <x:c r="A216" s="34" t="str">
        <x:v>M0</x:v>
      </x:c>
      <x:c r="B216" s="34" t="str">
        <x:v>48201252800</x:v>
      </x:c>
      <x:c r="C216" s="65" t="n">
        <x:v>545.3055621982897</x:v>
      </x:c>
      <x:c r="D216" s="65" t="n">
        <x:v>102.51744569327849</x:v>
      </x:c>
      <x:c r="E216" s="65" t="n">
        <x:v>442.78811650501126</x:v>
      </x:c>
      <x:c r="F216" s="65" t="n">
        <x:v>442.78811650501126</x:v>
      </x:c>
      <x:c r="G216" s="65" t="n">
        <x:v>545.3055621982897</x:v>
      </x:c>
      <x:c r="H216" s="43" t="n">
        <x:v>1</x:v>
      </x:c>
      <x:c r="I216" s="34" t="str">
        <x:v>generated design-reference observation; not predicted tract behavior</x:v>
      </x:c>
    </x:row>
    <x:row r="217" ht="75.5999984741211" hidden="0" customHeight="1">
      <x:c r="A217" s="36" t="str">
        <x:v>M0</x:v>
      </x:c>
      <x:c r="B217" s="36" t="str">
        <x:v>48201252901</x:v>
      </x:c>
      <x:c r="C217" s="66" t="n">
        <x:v>394.0716951344175</x:v>
      </x:c>
      <x:c r="D217" s="66" t="n">
        <x:v>35.46645256209757</x:v>
      </x:c>
      <x:c r="E217" s="66" t="n">
        <x:v>358.6052425723199</x:v>
      </x:c>
      <x:c r="F217" s="66" t="n">
        <x:v>358.6052425723199</x:v>
      </x:c>
      <x:c r="G217" s="66" t="n">
        <x:v>394.0716951344175</x:v>
      </x:c>
      <x:c r="H217" s="45" t="n">
        <x:v>1</x:v>
      </x:c>
      <x:c r="I217" s="36" t="str">
        <x:v>generated design-reference observation; not predicted tract behavior</x:v>
      </x:c>
    </x:row>
    <x:row r="218" ht="75.5999984741211" hidden="0" customHeight="1">
      <x:c r="A218" s="34" t="str">
        <x:v>M0</x:v>
      </x:c>
      <x:c r="B218" s="34" t="str">
        <x:v>48201252902</x:v>
      </x:c>
      <x:c r="C218" s="65" t="n">
        <x:v>516.3471461375302</x:v>
      </x:c>
      <x:c r="D218" s="65" t="n">
        <x:v>97.07326347385568</x:v>
      </x:c>
      <x:c r="E218" s="65" t="n">
        <x:v>419.27388266367456</x:v>
      </x:c>
      <x:c r="F218" s="65" t="n">
        <x:v>295.5192687435615</x:v>
      </x:c>
      <x:c r="G218" s="65" t="n">
        <x:v>392.59253221741716</x:v>
      </x:c>
      <x:c r="H218" s="43" t="n">
        <x:v>0.7603267204131099</x:v>
      </x:c>
      <x:c r="I218" s="34" t="str">
        <x:v>generated design-reference observation; not predicted tract behavior</x:v>
      </x:c>
    </x:row>
    <x:row r="219" ht="75.5999984741211" hidden="0" customHeight="1">
      <x:c r="A219" s="36" t="str">
        <x:v>M0</x:v>
      </x:c>
      <x:c r="B219" s="36" t="str">
        <x:v>48201253000</x:v>
      </x:c>
      <x:c r="C219" s="66" t="n">
        <x:v>860.0713353105524</x:v>
      </x:c>
      <x:c r="D219" s="66" t="n">
        <x:v>74.8616339809078</x:v>
      </x:c>
      <x:c r="E219" s="66" t="n">
        <x:v>785.2097013296446</x:v>
      </x:c>
      <x:c r="F219" s="66" t="n">
        <x:v>785.2097013296446</x:v>
      </x:c>
      <x:c r="G219" s="66" t="n">
        <x:v>860.0713353105524</x:v>
      </x:c>
      <x:c r="H219" s="45" t="n">
        <x:v>1</x:v>
      </x:c>
      <x:c r="I219" s="36" t="str">
        <x:v>generated design-reference observation; not predicted tract behavior</x:v>
      </x:c>
    </x:row>
    <x:row r="220" ht="75.5999984741211" hidden="0" customHeight="1">
      <x:c r="A220" s="34" t="str">
        <x:v>M0</x:v>
      </x:c>
      <x:c r="B220" s="34" t="str">
        <x:v>48201253101</x:v>
      </x:c>
      <x:c r="C220" s="65" t="n">
        <x:v>508.3775888337954</x:v>
      </x:c>
      <x:c r="D220" s="65" t="n">
        <x:v>92.9720934459245</x:v>
      </x:c>
      <x:c r="E220" s="65" t="n">
        <x:v>415.40549538787093</x:v>
      </x:c>
      <x:c r="F220" s="65" t="n">
        <x:v>283.37970130886566</x:v>
      </x:c>
      <x:c r="G220" s="65" t="n">
        <x:v>376.35179475479015</x:v>
      </x:c>
      <x:c r="H220" s="43" t="n">
        <x:v>0.7402997359071849</x:v>
      </x:c>
      <x:c r="I220" s="34" t="str">
        <x:v>generated design-reference observation; not predicted tract behavior</x:v>
      </x:c>
    </x:row>
    <x:row r="221" ht="75.5999984741211" hidden="0" customHeight="1">
      <x:c r="A221" s="36" t="str">
        <x:v>M0</x:v>
      </x:c>
      <x:c r="B221" s="36" t="str">
        <x:v>48201253102</x:v>
      </x:c>
      <x:c r="C221" s="66" t="n">
        <x:v>662.6246764713145</x:v>
      </x:c>
      <x:c r="D221" s="66" t="n">
        <x:v>124.57343917660712</x:v>
      </x:c>
      <x:c r="E221" s="66" t="n">
        <x:v>538.0512372947073</x:v>
      </x:c>
      <x:c r="F221" s="66" t="n">
        <x:v>186.57508498799191</x:v>
      </x:c>
      <x:c r="G221" s="66" t="n">
        <x:v>311.14852416459905</x:v>
      </x:c>
      <x:c r="H221" s="45" t="n">
        <x:v>0.4695697809226833</x:v>
      </x:c>
      <x:c r="I221" s="36" t="str">
        <x:v>generated design-reference observation; not predicted tract behavior</x:v>
      </x:c>
    </x:row>
    <x:row r="222" ht="75.5999984741211" hidden="0" customHeight="1">
      <x:c r="A222" s="34" t="str">
        <x:v>M0</x:v>
      </x:c>
      <x:c r="B222" s="34" t="str">
        <x:v>48201253201</x:v>
      </x:c>
      <x:c r="C222" s="65" t="n">
        <x:v>513.0147079750217</x:v>
      </x:c>
      <x:c r="D222" s="65" t="n">
        <x:v>96.44676509930407</x:v>
      </x:c>
      <x:c r="E222" s="65" t="n">
        <x:v>416.5679428757176</x:v>
      </x:c>
      <x:c r="F222" s="65" t="n">
        <x:v>348.2661072026308</x:v>
      </x:c>
      <x:c r="G222" s="65" t="n">
        <x:v>444.71287230193485</x:v>
      </x:c>
      <x:c r="H222" s="43" t="n">
        <x:v>0.8668618372703412</x:v>
      </x:c>
      <x:c r="I222" s="34" t="str">
        <x:v>generated design-reference observation; not predicted tract behavior</x:v>
      </x:c>
    </x:row>
    <x:row r="223" ht="75.5999984741211" hidden="0" customHeight="1">
      <x:c r="A223" s="36" t="str">
        <x:v>M0</x:v>
      </x:c>
      <x:c r="B223" s="36" t="str">
        <x:v>48201253202</x:v>
      </x:c>
      <x:c r="C223" s="66" t="n">
        <x:v>760.1477658941774</x:v>
      </x:c>
      <x:c r="D223" s="66" t="n">
        <x:v>114.13505028707216</x:v>
      </x:c>
      <x:c r="E223" s="66" t="n">
        <x:v>646.0127156071052</x:v>
      </x:c>
      <x:c r="F223" s="66" t="n">
        <x:v>646.0127156071052</x:v>
      </x:c>
      <x:c r="G223" s="66" t="n">
        <x:v>760.1477658941774</x:v>
      </x:c>
      <x:c r="H223" s="45" t="n">
        <x:v>1</x:v>
      </x:c>
      <x:c r="I223" s="36" t="str">
        <x:v>generated design-reference observation; not predicted tract behavior</x:v>
      </x:c>
    </x:row>
    <x:row r="224" ht="75.5999984741211" hidden="0" customHeight="1">
      <x:c r="A224" s="34" t="str">
        <x:v>M0</x:v>
      </x:c>
      <x:c r="B224" s="34" t="str">
        <x:v>48201253300</x:v>
      </x:c>
      <x:c r="C224" s="65" t="n">
        <x:v>639.8184539413395</x:v>
      </x:c>
      <x:c r="D224" s="65" t="n">
        <x:v>57.412053918398534</x:v>
      </x:c>
      <x:c r="E224" s="65" t="n">
        <x:v>582.4064000229409</x:v>
      </x:c>
      <x:c r="F224" s="65" t="n">
        <x:v>582.4064000229409</x:v>
      </x:c>
      <x:c r="G224" s="65" t="n">
        <x:v>639.8184539413395</x:v>
      </x:c>
      <x:c r="H224" s="43" t="n">
        <x:v>1</x:v>
      </x:c>
      <x:c r="I224" s="34" t="str">
        <x:v>generated design-reference observation; not predicted tract behavior</x:v>
      </x:c>
    </x:row>
    <x:row r="225" ht="75.5999984741211" hidden="0" customHeight="1">
      <x:c r="A225" s="36" t="str">
        <x:v>M0</x:v>
      </x:c>
      <x:c r="B225" s="36" t="str">
        <x:v>48201253501</x:v>
      </x:c>
      <x:c r="C225" s="66" t="n">
        <x:v>704.7163570829034</x:v>
      </x:c>
      <x:c r="D225" s="66" t="n">
        <x:v>118.81486269625675</x:v>
      </x:c>
      <x:c r="E225" s="66" t="n">
        <x:v>585.9014943866466</x:v>
      </x:c>
      <x:c r="F225" s="66" t="n">
        <x:v>149.15153350129233</x:v>
      </x:c>
      <x:c r="G225" s="66" t="n">
        <x:v>267.9663961975491</x:v>
      </x:c>
      <x:c r="H225" s="45" t="n">
        <x:v>0.3802471639891641</x:v>
      </x:c>
      <x:c r="I225" s="36" t="str">
        <x:v>generated design-reference observation; not predicted tract behavior</x:v>
      </x:c>
    </x:row>
    <x:row r="226" ht="75.5999984741211" hidden="0" customHeight="1">
      <x:c r="A226" s="34" t="str">
        <x:v>M0</x:v>
      </x:c>
      <x:c r="B226" s="34" t="str">
        <x:v>48201253502</x:v>
      </x:c>
      <x:c r="C226" s="65" t="n">
        <x:v>297.1135845691134</x:v>
      </x:c>
      <x:c r="D226" s="65" t="n">
        <x:v>52.24069069690023</x:v>
      </x:c>
      <x:c r="E226" s="65" t="n">
        <x:v>244.87289387221318</x:v>
      </x:c>
      <x:c r="F226" s="65" t="n">
        <x:v>244.87289387221318</x:v>
      </x:c>
      <x:c r="G226" s="65" t="n">
        <x:v>297.1135845691134</x:v>
      </x:c>
      <x:c r="H226" s="43" t="n">
        <x:v>1</x:v>
      </x:c>
      <x:c r="I226" s="34" t="str">
        <x:v>generated design-reference observation; not predicted tract behavior</x:v>
      </x:c>
    </x:row>
    <x:row r="227" ht="75.5999984741211" hidden="0" customHeight="1">
      <x:c r="A227" s="36" t="str">
        <x:v>M0</x:v>
      </x:c>
      <x:c r="B227" s="36" t="str">
        <x:v>48201253601</x:v>
      </x:c>
      <x:c r="C227" s="66" t="n">
        <x:v>343.1153783548718</x:v>
      </x:c>
      <x:c r="D227" s="66" t="n">
        <x:v>57.22099670129884</x:v>
      </x:c>
      <x:c r="E227" s="66" t="n">
        <x:v>285.89438165357296</x:v>
      </x:c>
      <x:c r="F227" s="66" t="n">
        <x:v>285.89438165357296</x:v>
      </x:c>
      <x:c r="G227" s="66" t="n">
        <x:v>343.1153783548718</x:v>
      </x:c>
      <x:c r="H227" s="45" t="n">
        <x:v>1</x:v>
      </x:c>
      <x:c r="I227" s="36" t="str">
        <x:v>generated design-reference observation; not predicted tract behavior</x:v>
      </x:c>
    </x:row>
    <x:row r="228" ht="75.5999984741211" hidden="0" customHeight="1">
      <x:c r="A228" s="34" t="str">
        <x:v>M0</x:v>
      </x:c>
      <x:c r="B228" s="34" t="str">
        <x:v>48201253602</x:v>
      </x:c>
      <x:c r="C228" s="65" t="n">
        <x:v>607.9471773822188</x:v>
      </x:c>
      <x:c r="D228" s="65" t="n">
        <x:v>92.28875682182284</x:v>
      </x:c>
      <x:c r="E228" s="65" t="n">
        <x:v>515.6584205603959</x:v>
      </x:c>
      <x:c r="F228" s="65" t="n">
        <x:v>515.6584205603959</x:v>
      </x:c>
      <x:c r="G228" s="65" t="n">
        <x:v>607.9471773822188</x:v>
      </x:c>
      <x:c r="H228" s="43" t="n">
        <x:v>1</x:v>
      </x:c>
      <x:c r="I228" s="34" t="str">
        <x:v>generated design-reference observation; not predicted tract behavior</x:v>
      </x:c>
    </x:row>
    <x:row r="229" ht="75.5999984741211" hidden="0" customHeight="1">
      <x:c r="A229" s="36" t="str">
        <x:v>M0</x:v>
      </x:c>
      <x:c r="B229" s="36" t="str">
        <x:v>48201253700</x:v>
      </x:c>
      <x:c r="C229" s="66" t="n">
        <x:v>473.4420047952347</x:v>
      </x:c>
      <x:c r="D229" s="66" t="n">
        <x:v>82.10690729796204</x:v>
      </x:c>
      <x:c r="E229" s="66" t="n">
        <x:v>391.33509749727267</x:v>
      </x:c>
      <x:c r="F229" s="66" t="n">
        <x:v>391.33509749727267</x:v>
      </x:c>
      <x:c r="G229" s="66" t="n">
        <x:v>473.4420047952347</x:v>
      </x:c>
      <x:c r="H229" s="45" t="n">
        <x:v>1</x:v>
      </x:c>
      <x:c r="I229" s="36" t="str">
        <x:v>generated design-reference observation; not predicted tract behavior</x:v>
      </x:c>
    </x:row>
    <x:row r="230" ht="75.5999984741211" hidden="0" customHeight="1">
      <x:c r="A230" s="34" t="str">
        <x:v>M0</x:v>
      </x:c>
      <x:c r="B230" s="34" t="str">
        <x:v>48201253800</x:v>
      </x:c>
      <x:c r="C230" s="65" t="n">
        <x:v>634.5936842388002</x:v>
      </x:c>
      <x:c r="D230" s="65" t="n">
        <x:v>116.3732779464532</x:v>
      </x:c>
      <x:c r="E230" s="65" t="n">
        <x:v>518.220406292347</x:v>
      </x:c>
      <x:c r="F230" s="65" t="n">
        <x:v>355.26917171516675</x:v>
      </x:c>
      <x:c r="G230" s="65" t="n">
        <x:v>471.64244966161993</x:v>
      </x:c>
      <x:c r="H230" s="43" t="n">
        <x:v>0.7432195771493669</x:v>
      </x:c>
      <x:c r="I230" s="34" t="str">
        <x:v>generated design-reference observation; not predicted tract behavior</x:v>
      </x:c>
    </x:row>
    <x:row r="231" ht="75.5999984741211" hidden="0" customHeight="1">
      <x:c r="A231" s="36" t="str">
        <x:v>M0</x:v>
      </x:c>
      <x:c r="B231" s="36" t="str">
        <x:v>48201253900</x:v>
      </x:c>
      <x:c r="C231" s="66" t="n">
        <x:v>324.22108273536685</x:v>
      </x:c>
      <x:c r="D231" s="66" t="n">
        <x:v>58.63105638988289</x:v>
      </x:c>
      <x:c r="E231" s="66" t="n">
        <x:v>265.590026345484</x:v>
      </x:c>
      <x:c r="F231" s="66" t="n">
        <x:v>265.590026345484</x:v>
      </x:c>
      <x:c r="G231" s="66" t="n">
        <x:v>324.22108273536685</x:v>
      </x:c>
      <x:c r="H231" s="45" t="n">
        <x:v>1</x:v>
      </x:c>
      <x:c r="I231" s="36" t="str">
        <x:v>generated design-reference observation; not predicted tract behavior</x:v>
      </x:c>
    </x:row>
    <x:row r="232" ht="75.5999984741211" hidden="0" customHeight="1">
      <x:c r="A232" s="34" t="str">
        <x:v>M0</x:v>
      </x:c>
      <x:c r="B232" s="34" t="str">
        <x:v>48201254000</x:v>
      </x:c>
      <x:c r="C232" s="65" t="n">
        <x:v>297.5537179113316</x:v>
      </x:c>
      <x:c r="D232" s="65" t="n">
        <x:v>49.7857135147399</x:v>
      </x:c>
      <x:c r="E232" s="65" t="n">
        <x:v>247.7680043965917</x:v>
      </x:c>
      <x:c r="F232" s="65" t="n">
        <x:v>247.7680043965917</x:v>
      </x:c>
      <x:c r="G232" s="65" t="n">
        <x:v>297.5537179113316</x:v>
      </x:c>
      <x:c r="H232" s="43" t="n">
        <x:v>1</x:v>
      </x:c>
      <x:c r="I232" s="34" t="str">
        <x:v>generated design-reference observation; not predicted tract behavior</x:v>
      </x:c>
    </x:row>
    <x:row r="233" ht="75.5999984741211" hidden="0" customHeight="1">
      <x:c r="A233" s="36" t="str">
        <x:v>M0</x:v>
      </x:c>
      <x:c r="B233" s="36" t="str">
        <x:v>48201254100</x:v>
      </x:c>
      <x:c r="C233" s="66" t="n">
        <x:v>496.52542668977975</x:v>
      </x:c>
      <x:c r="D233" s="66" t="n">
        <x:v>91.98900886905781</x:v>
      </x:c>
      <x:c r="E233" s="66" t="n">
        <x:v>404.5364178207219</x:v>
      </x:c>
      <x:c r="F233" s="66" t="n">
        <x:v>279.83363402181146</x:v>
      </x:c>
      <x:c r="G233" s="66" t="n">
        <x:v>371.82264289086925</x:v>
      </x:c>
      <x:c r="H233" s="45" t="n">
        <x:v>0.7488491483099362</x:v>
      </x:c>
      <x:c r="I233" s="36" t="str">
        <x:v>generated design-reference observation; not predicted tract behavior</x:v>
      </x:c>
    </x:row>
    <x:row r="234" ht="75.5999984741211" hidden="0" customHeight="1">
      <x:c r="A234" s="34" t="str">
        <x:v>M0</x:v>
      </x:c>
      <x:c r="B234" s="34" t="str">
        <x:v>48201254200</x:v>
      </x:c>
      <x:c r="C234" s="65" t="n">
        <x:v>210.25012567278668</x:v>
      </x:c>
      <x:c r="D234" s="65" t="n">
        <x:v>39.09638710592168</x:v>
      </x:c>
      <x:c r="E234" s="65" t="n">
        <x:v>171.153738566865</x:v>
      </x:c>
      <x:c r="F234" s="65" t="n">
        <x:v>139.814430496893</x:v>
      </x:c>
      <x:c r="G234" s="65" t="n">
        <x:v>178.9108176028147</x:v>
      </x:c>
      <x:c r="H234" s="43" t="n">
        <x:v>0.8509427379903425</x:v>
      </x:c>
      <x:c r="I234" s="34" t="str">
        <x:v>generated design-reference observation; not predicted tract behavior</x:v>
      </x:c>
    </x:row>
    <x:row r="235" ht="75.5999984741211" hidden="0" customHeight="1">
      <x:c r="A235" s="36" t="str">
        <x:v>M0</x:v>
      </x:c>
      <x:c r="B235" s="36" t="str">
        <x:v>48201254300</x:v>
      </x:c>
      <x:c r="C235" s="66" t="n">
        <x:v>426.67783718456303</x:v>
      </x:c>
      <x:c r="D235" s="66" t="n">
        <x:v>77.95706041985204</x:v>
      </x:c>
      <x:c r="E235" s="66" t="n">
        <x:v>348.720776764711</x:v>
      </x:c>
      <x:c r="F235" s="66" t="n">
        <x:v>282.6892168298199</x:v>
      </x:c>
      <x:c r="G235" s="66" t="n">
        <x:v>360.6462772496719</x:v>
      </x:c>
      <x:c r="H235" s="45" t="n">
        <x:v>0.8452425830912595</x:v>
      </x:c>
      <x:c r="I235" s="36" t="str">
        <x:v>generated design-reference observation; not predicted tract behavior</x:v>
      </x:c>
    </x:row>
    <x:row r="236" ht="75.5999984741211" hidden="0" customHeight="1">
      <x:c r="A236" s="34" t="str">
        <x:v>M0</x:v>
      </x:c>
      <x:c r="B236" s="34" t="str">
        <x:v>48201254400</x:v>
      </x:c>
      <x:c r="C236" s="65" t="n">
        <x:v>210.71383758690936</x:v>
      </x:c>
      <x:c r="D236" s="65" t="n">
        <x:v>39.290365649853754</x:v>
      </x:c>
      <x:c r="E236" s="65" t="n">
        <x:v>171.4234719370556</x:v>
      </x:c>
      <x:c r="F236" s="65" t="n">
        <x:v>120.06167366144564</x:v>
      </x:c>
      <x:c r="G236" s="65" t="n">
        <x:v>159.3520393112994</x:v>
      </x:c>
      <x:c r="H236" s="43" t="n">
        <x:v>0.7562485745416426</x:v>
      </x:c>
      <x:c r="I236" s="34" t="str">
        <x:v>generated design-reference observation; not predicted tract behavior</x:v>
      </x:c>
    </x:row>
    <x:row r="237" ht="75.5999984741211" hidden="0" customHeight="1">
      <x:c r="A237" s="36" t="str">
        <x:v>M0</x:v>
      </x:c>
      <x:c r="B237" s="36" t="str">
        <x:v>48201254600</x:v>
      </x:c>
      <x:c r="C237" s="66" t="n">
        <x:v>591.9454888723875</x:v>
      </x:c>
      <x:c r="D237" s="66" t="n">
        <x:v>52.574398607720205</x:v>
      </x:c>
      <x:c r="E237" s="66" t="n">
        <x:v>539.3710902646673</x:v>
      </x:c>
      <x:c r="F237" s="66" t="n">
        <x:v>539.3710902646673</x:v>
      </x:c>
      <x:c r="G237" s="66" t="n">
        <x:v>591.9454888723875</x:v>
      </x:c>
      <x:c r="H237" s="45" t="n">
        <x:v>1</x:v>
      </x:c>
      <x:c r="I237" s="36" t="str">
        <x:v>generated design-reference observation; not predicted tract behavior</x:v>
      </x:c>
    </x:row>
    <x:row r="238" ht="75.5999984741211" hidden="0" customHeight="1">
      <x:c r="A238" s="34" t="str">
        <x:v>M0</x:v>
      </x:c>
      <x:c r="B238" s="34" t="str">
        <x:v>48201254700</x:v>
      </x:c>
      <x:c r="C238" s="65" t="n">
        <x:v>217.98782701946004</x:v>
      </x:c>
      <x:c r="D238" s="65" t="n">
        <x:v>39.42806614133951</x:v>
      </x:c>
      <x:c r="E238" s="65" t="n">
        <x:v>178.55976087812053</x:v>
      </x:c>
      <x:c r="F238" s="65" t="n">
        <x:v>178.55976087812053</x:v>
      </x:c>
      <x:c r="G238" s="65" t="n">
        <x:v>217.98782701946004</x:v>
      </x:c>
      <x:c r="H238" s="43" t="n">
        <x:v>1</x:v>
      </x:c>
      <x:c r="I238" s="34" t="str">
        <x:v>generated design-reference observation; not predicted tract behavior</x:v>
      </x:c>
    </x:row>
    <x:row r="239" ht="75.5999984741211" hidden="0" customHeight="1">
      <x:c r="A239" s="36" t="str">
        <x:v>M0</x:v>
      </x:c>
      <x:c r="B239" s="36" t="str">
        <x:v>48201254800</x:v>
      </x:c>
      <x:c r="C239" s="66" t="n">
        <x:v>193.29320271143806</x:v>
      </x:c>
      <x:c r="D239" s="66" t="n">
        <x:v>35.275538048001565</x:v>
      </x:c>
      <x:c r="E239" s="66" t="n">
        <x:v>158.0176646634365</x:v>
      </x:c>
      <x:c r="F239" s="66" t="n">
        <x:v>88.09288261567623</x:v>
      </x:c>
      <x:c r="G239" s="66" t="n">
        <x:v>123.3684206636778</x:v>
      </x:c>
      <x:c r="H239" s="45" t="n">
        <x:v>0.6382450025821705</x:v>
      </x:c>
      <x:c r="I239" s="36" t="str">
        <x:v>generated design-reference observation; not predicted tract behavior</x:v>
      </x:c>
    </x:row>
    <x:row r="240" ht="75.5999984741211" hidden="0" customHeight="1">
      <x:c r="A240" s="34" t="str">
        <x:v>M0</x:v>
      </x:c>
      <x:c r="B240" s="34" t="str">
        <x:v>48201310101</x:v>
      </x:c>
      <x:c r="C240" s="65" t="n">
        <x:v>224.1457640485292</x:v>
      </x:c>
      <x:c r="D240" s="65" t="n">
        <x:v>35.93399146041652</x:v>
      </x:c>
      <x:c r="E240" s="65" t="n">
        <x:v>188.2117725881127</x:v>
      </x:c>
      <x:c r="F240" s="65" t="n">
        <x:v>39.302549654223824</x:v>
      </x:c>
      <x:c r="G240" s="65" t="n">
        <x:v>75.23654111464035</x:v>
      </x:c>
      <x:c r="H240" s="43" t="n">
        <x:v>0.33565899152281586</x:v>
      </x:c>
      <x:c r="I240" s="34" t="str">
        <x:v>generated design-reference observation; not predicted tract behavior</x:v>
      </x:c>
    </x:row>
    <x:row r="241" ht="75.5999984741211" hidden="0" customHeight="1">
      <x:c r="A241" s="36" t="str">
        <x:v>M0</x:v>
      </x:c>
      <x:c r="B241" s="36" t="str">
        <x:v>48201310102</x:v>
      </x:c>
      <x:c r="C241" s="66" t="n">
        <x:v>194.31887058928558</x:v>
      </x:c>
      <x:c r="D241" s="66" t="n">
        <x:v>28.138243629366066</x:v>
      </x:c>
      <x:c r="E241" s="66" t="n">
        <x:v>166.18062695991952</x:v>
      </x:c>
      <x:c r="F241" s="66" t="n">
        <x:v>84.80084329710947</x:v>
      </x:c>
      <x:c r="G241" s="66" t="n">
        <x:v>112.93908692647554</x:v>
      </x:c>
      <x:c r="H241" s="45" t="n">
        <x:v>0.581204936936798</x:v>
      </x:c>
      <x:c r="I241" s="36" t="str">
        <x:v>generated design-reference observation; not predicted tract behavior</x:v>
      </x:c>
    </x:row>
    <x:row r="242" ht="75.5999984741211" hidden="0" customHeight="1">
      <x:c r="A242" s="34" t="str">
        <x:v>M0</x:v>
      </x:c>
      <x:c r="B242" s="34" t="str">
        <x:v>48201310200</x:v>
      </x:c>
      <x:c r="C242" s="65" t="n">
        <x:v>172.03712013949487</x:v>
      </x:c>
      <x:c r="D242" s="65" t="n">
        <x:v>28.854511937141037</x:v>
      </x:c>
      <x:c r="E242" s="65" t="n">
        <x:v>143.18260820235383</x:v>
      </x:c>
      <x:c r="F242" s="65" t="n">
        <x:v>34.97987632561879</x:v>
      </x:c>
      <x:c r="G242" s="65" t="n">
        <x:v>63.83438826275983</x:v>
      </x:c>
      <x:c r="H242" s="43" t="n">
        <x:v>0.37105008623139146</x:v>
      </x:c>
      <x:c r="I242" s="34" t="str">
        <x:v>generated design-reference observation; not predicted tract behavior</x:v>
      </x:c>
    </x:row>
    <x:row r="243" ht="75.5999984741211" hidden="0" customHeight="1">
      <x:c r="A243" s="36" t="str">
        <x:v>M0</x:v>
      </x:c>
      <x:c r="B243" s="36" t="str">
        <x:v>48201310300</x:v>
      </x:c>
      <x:c r="C243" s="66" t="n">
        <x:v>337.5665544333366</x:v>
      </x:c>
      <x:c r="D243" s="66" t="n">
        <x:v>57.496361502442824</x:v>
      </x:c>
      <x:c r="E243" s="66" t="n">
        <x:v>280.07019293089377</x:v>
      </x:c>
      <x:c r="F243" s="66" t="n">
        <x:v>206.1160909482554</x:v>
      </x:c>
      <x:c r="G243" s="66" t="n">
        <x:v>263.61245245069824</x:v>
      </x:c>
      <x:c r="H243" s="45" t="n">
        <x:v>0.7809199370868272</x:v>
      </x:c>
      <x:c r="I243" s="36" t="str">
        <x:v>generated design-reference observation; not predicted tract behavior</x:v>
      </x:c>
    </x:row>
    <x:row r="244" ht="75.5999984741211" hidden="0" customHeight="1">
      <x:c r="A244" s="34" t="str">
        <x:v>M0</x:v>
      </x:c>
      <x:c r="B244" s="34" t="str">
        <x:v>48201310400</x:v>
      </x:c>
      <x:c r="C244" s="65" t="n">
        <x:v>246.44323354625618</x:v>
      </x:c>
      <x:c r="D244" s="65" t="n">
        <x:v>45.7651776778481</x:v>
      </x:c>
      <x:c r="E244" s="65" t="n">
        <x:v>200.67805586840808</x:v>
      </x:c>
      <x:c r="F244" s="65" t="n">
        <x:v>63.92658047753376</x:v>
      </x:c>
      <x:c r="G244" s="65" t="n">
        <x:v>109.69175815538186</x:v>
      </x:c>
      <x:c r="H244" s="43" t="n">
        <x:v>0.4450994923940294</x:v>
      </x:c>
      <x:c r="I244" s="34" t="str">
        <x:v>generated design-reference observation; not predicted tract behavior</x:v>
      </x:c>
    </x:row>
    <x:row r="245" ht="75.5999984741211" hidden="0" customHeight="1">
      <x:c r="A245" s="36" t="str">
        <x:v>M0</x:v>
      </x:c>
      <x:c r="B245" s="36" t="str">
        <x:v>48201310500</x:v>
      </x:c>
      <x:c r="C245" s="66" t="n">
        <x:v>281.1980485335487</x:v>
      </x:c>
      <x:c r="D245" s="66" t="n">
        <x:v>51.500572455284335</x:v>
      </x:c>
      <x:c r="E245" s="66" t="n">
        <x:v>229.69747607826434</x:v>
      </x:c>
      <x:c r="F245" s="66" t="n">
        <x:v>69.06001801202136</x:v>
      </x:c>
      <x:c r="G245" s="66" t="n">
        <x:v>120.5605904673057</x:v>
      </x:c>
      <x:c r="H245" s="45" t="n">
        <x:v>0.4287390723229791</x:v>
      </x:c>
      <x:c r="I245" s="36" t="str">
        <x:v>generated design-reference observation; not predicted tract behavior</x:v>
      </x:c>
    </x:row>
    <x:row r="246" ht="75.5999984741211" hidden="0" customHeight="1">
      <x:c r="A246" s="34" t="str">
        <x:v>M0</x:v>
      </x:c>
      <x:c r="B246" s="34" t="str">
        <x:v>48201310600</x:v>
      </x:c>
      <x:c r="C246" s="65" t="n">
        <x:v>379.646445758973</x:v>
      </x:c>
      <x:c r="D246" s="65" t="n">
        <x:v>71.37353180268693</x:v>
      </x:c>
      <x:c r="E246" s="65" t="n">
        <x:v>308.27291395628606</x:v>
      </x:c>
      <x:c r="F246" s="65" t="n">
        <x:v>252.94961407961608</x:v>
      </x:c>
      <x:c r="G246" s="65" t="n">
        <x:v>324.32314588230304</x:v>
      </x:c>
      <x:c r="H246" s="43" t="n">
        <x:v>0.8542767870088446</x:v>
      </x:c>
      <x:c r="I246" s="34" t="str">
        <x:v>generated design-reference observation; not predicted tract behavior</x:v>
      </x:c>
    </x:row>
    <x:row r="247" ht="75.5999984741211" hidden="0" customHeight="1">
      <x:c r="A247" s="36" t="str">
        <x:v>M0</x:v>
      </x:c>
      <x:c r="B247" s="36" t="str">
        <x:v>48201310700</x:v>
      </x:c>
      <x:c r="C247" s="66" t="n">
        <x:v>272.3246459734733</x:v>
      </x:c>
      <x:c r="D247" s="66" t="n">
        <x:v>48.581467352115524</x:v>
      </x:c>
      <x:c r="E247" s="66" t="n">
        <x:v>223.7431786213578</x:v>
      </x:c>
      <x:c r="F247" s="66" t="n">
        <x:v>63.6736653201463</x:v>
      </x:c>
      <x:c r="G247" s="66" t="n">
        <x:v>112.25513267226182</x:v>
      </x:c>
      <x:c r="H247" s="45" t="n">
        <x:v>0.4122106990022358</x:v>
      </x:c>
      <x:c r="I247" s="36" t="str">
        <x:v>generated design-reference observation; not predicted tract behavior</x:v>
      </x:c>
    </x:row>
    <x:row r="248" ht="75.5999984741211" hidden="0" customHeight="1">
      <x:c r="A248" s="34" t="str">
        <x:v>M0</x:v>
      </x:c>
      <x:c r="B248" s="34" t="str">
        <x:v>48201310800</x:v>
      </x:c>
      <x:c r="C248" s="65" t="n">
        <x:v>255.66638492291557</x:v>
      </x:c>
      <x:c r="D248" s="65" t="n">
        <x:v>42.88220404959619</x:v>
      </x:c>
      <x:c r="E248" s="65" t="n">
        <x:v>212.78418087331937</x:v>
      </x:c>
      <x:c r="F248" s="65" t="n">
        <x:v>50.00412735802587</x:v>
      </x:c>
      <x:c r="G248" s="65" t="n">
        <x:v>92.88633140762207</x:v>
      </x:c>
      <x:c r="H248" s="43" t="n">
        <x:v>0.3633106927045871</x:v>
      </x:c>
      <x:c r="I248" s="34" t="str">
        <x:v>generated design-reference observation; not predicted tract behavior</x:v>
      </x:c>
    </x:row>
    <x:row r="249" ht="75.5999984741211" hidden="0" customHeight="1">
      <x:c r="A249" s="36" t="str">
        <x:v>M0</x:v>
      </x:c>
      <x:c r="B249" s="36" t="str">
        <x:v>48201310900</x:v>
      </x:c>
      <x:c r="C249" s="66" t="n">
        <x:v>349.1672118103705</x:v>
      </x:c>
      <x:c r="D249" s="66" t="n">
        <x:v>60.107260210601964</x:v>
      </x:c>
      <x:c r="E249" s="66" t="n">
        <x:v>289.0599515997685</x:v>
      </x:c>
      <x:c r="F249" s="66" t="n">
        <x:v>0</x:v>
      </x:c>
      <x:c r="G249" s="66" t="n">
        <x:v>60.107260210601964</x:v>
      </x:c>
      <x:c r="H249" s="45" t="n">
        <x:v>0.17214462921348317</x:v>
      </x:c>
      <x:c r="I249" s="36" t="str">
        <x:v>generated design-reference observation; not predicted tract behavior</x:v>
      </x:c>
    </x:row>
    <x:row r="250" ht="75.5999984741211" hidden="0" customHeight="1">
      <x:c r="A250" s="34" t="str">
        <x:v>M0</x:v>
      </x:c>
      <x:c r="B250" s="34" t="str">
        <x:v>48201311001</x:v>
      </x:c>
      <x:c r="C250" s="65" t="n">
        <x:v>223.092587836793</x:v>
      </x:c>
      <x:c r="D250" s="65" t="n">
        <x:v>41.941406513317084</x:v>
      </x:c>
      <x:c r="E250" s="65" t="n">
        <x:v>181.15118132347592</x:v>
      </x:c>
      <x:c r="F250" s="65" t="n">
        <x:v>60.12809679914779</x:v>
      </x:c>
      <x:c r="G250" s="65" t="n">
        <x:v>102.06950331246487</x:v>
      </x:c>
      <x:c r="H250" s="43" t="n">
        <x:v>0.45752081815974754</x:v>
      </x:c>
      <x:c r="I250" s="34" t="str">
        <x:v>generated design-reference observation; not predicted tract behavior</x:v>
      </x:c>
    </x:row>
    <x:row r="251" ht="75.5999984741211" hidden="0" customHeight="1">
      <x:c r="A251" s="36" t="str">
        <x:v>M0</x:v>
      </x:c>
      <x:c r="B251" s="36" t="str">
        <x:v>48201311002</x:v>
      </x:c>
      <x:c r="C251" s="66" t="n">
        <x:v>294.8579011902458</x:v>
      </x:c>
      <x:c r="D251" s="66" t="n">
        <x:v>55.433285423766215</x:v>
      </x:c>
      <x:c r="E251" s="66" t="n">
        <x:v>239.42461576647958</x:v>
      </x:c>
      <x:c r="F251" s="66" t="n">
        <x:v>239.42461576647958</x:v>
      </x:c>
      <x:c r="G251" s="66" t="n">
        <x:v>294.8579011902458</x:v>
      </x:c>
      <x:c r="H251" s="45" t="n">
        <x:v>1</x:v>
      </x:c>
      <x:c r="I251" s="36" t="str">
        <x:v>generated design-reference observation; not predicted tract behavior</x:v>
      </x:c>
    </x:row>
    <x:row r="252" ht="75.5999984741211" hidden="0" customHeight="1">
      <x:c r="A252" s="34" t="str">
        <x:v>M0</x:v>
      </x:c>
      <x:c r="B252" s="34" t="str">
        <x:v>48201311100</x:v>
      </x:c>
      <x:c r="C252" s="65" t="n">
        <x:v>413.725341685002</x:v>
      </x:c>
      <x:c r="D252" s="65" t="n">
        <x:v>76.46387111090709</x:v>
      </x:c>
      <x:c r="E252" s="65" t="n">
        <x:v>337.2614705740949</x:v>
      </x:c>
      <x:c r="F252" s="65" t="n">
        <x:v>107.04379793745856</x:v>
      </x:c>
      <x:c r="G252" s="65" t="n">
        <x:v>183.50766904836564</x:v>
      </x:c>
      <x:c r="H252" s="43" t="n">
        <x:v>0.4435495014663203</x:v>
      </x:c>
      <x:c r="I252" s="34" t="str">
        <x:v>generated design-reference observation; not predicted tract behavior</x:v>
      </x:c>
    </x:row>
    <x:row r="253" ht="75.5999984741211" hidden="0" customHeight="1">
      <x:c r="A253" s="36" t="str">
        <x:v>M0</x:v>
      </x:c>
      <x:c r="B253" s="36" t="str">
        <x:v>48201311200</x:v>
      </x:c>
      <x:c r="C253" s="66" t="n">
        <x:v>371.40180511635214</x:v>
      </x:c>
      <x:c r="D253" s="66" t="n">
        <x:v>64.70975638621755</x:v>
      </x:c>
      <x:c r="E253" s="66" t="n">
        <x:v>306.6920487301346</x:v>
      </x:c>
      <x:c r="F253" s="66" t="n">
        <x:v>0</x:v>
      </x:c>
      <x:c r="G253" s="66" t="n">
        <x:v>64.70975638621755</x:v>
      </x:c>
      <x:c r="H253" s="45" t="n">
        <x:v>0.17423113052976516</x:v>
      </x:c>
      <x:c r="I253" s="36" t="str">
        <x:v>generated design-reference observation; not predicted tract behavior</x:v>
      </x:c>
    </x:row>
    <x:row r="254" ht="75.5999984741211" hidden="0" customHeight="1">
      <x:c r="A254" s="34" t="str">
        <x:v>M0</x:v>
      </x:c>
      <x:c r="B254" s="34" t="str">
        <x:v>48201311300</x:v>
      </x:c>
      <x:c r="C254" s="65" t="n">
        <x:v>330.43010667022907</x:v>
      </x:c>
      <x:c r="D254" s="65" t="n">
        <x:v>62.12086005400306</x:v>
      </x:c>
      <x:c r="E254" s="65" t="n">
        <x:v>268.309246616226</x:v>
      </x:c>
      <x:c r="F254" s="65" t="n">
        <x:v>58.06040604619122</x:v>
      </x:c>
      <x:c r="G254" s="65" t="n">
        <x:v>120.18126610019428</x:v>
      </x:c>
      <x:c r="H254" s="43" t="n">
        <x:v>0.36371161003236246</x:v>
      </x:c>
      <x:c r="I254" s="34" t="str">
        <x:v>generated design-reference observation; not predicted tract behavior</x:v>
      </x:c>
    </x:row>
    <x:row r="255" ht="75.5999984741211" hidden="0" customHeight="1">
      <x:c r="A255" s="36" t="str">
        <x:v>M0</x:v>
      </x:c>
      <x:c r="B255" s="36" t="str">
        <x:v>48201311400</x:v>
      </x:c>
      <x:c r="C255" s="66" t="n">
        <x:v>135.79685512221633</x:v>
      </x:c>
      <x:c r="D255" s="66" t="n">
        <x:v>25.228049297297957</x:v>
      </x:c>
      <x:c r="E255" s="66" t="n">
        <x:v>110.56880582491837</x:v>
      </x:c>
      <x:c r="F255" s="66" t="n">
        <x:v>35.50202323166837</x:v>
      </x:c>
      <x:c r="G255" s="66" t="n">
        <x:v>60.730072528966325</x:v>
      </x:c>
      <x:c r="H255" s="45" t="n">
        <x:v>0.44721265801265897</x:v>
      </x:c>
      <x:c r="I255" s="36" t="str">
        <x:v>generated design-reference observation; not predicted tract behavior</x:v>
      </x:c>
    </x:row>
    <x:row r="256" ht="75.5999984741211" hidden="0" customHeight="1">
      <x:c r="A256" s="34" t="str">
        <x:v>M0</x:v>
      </x:c>
      <x:c r="B256" s="34" t="str">
        <x:v>48201311501</x:v>
      </x:c>
      <x:c r="C256" s="65" t="n">
        <x:v>200.18993499351612</x:v>
      </x:c>
      <x:c r="D256" s="65" t="n">
        <x:v>36.63464171431636</x:v>
      </x:c>
      <x:c r="E256" s="65" t="n">
        <x:v>163.55529327919976</x:v>
      </x:c>
      <x:c r="F256" s="65" t="n">
        <x:v>50.660791049417384</x:v>
      </x:c>
      <x:c r="G256" s="65" t="n">
        <x:v>87.29543276373374</x:v>
      </x:c>
      <x:c r="H256" s="43" t="n">
        <x:v>0.43606304565991855</x:v>
      </x:c>
      <x:c r="I256" s="34" t="str">
        <x:v>generated design-reference observation; not predicted tract behavior</x:v>
      </x:c>
    </x:row>
    <x:row r="257" ht="75.5999984741211" hidden="0" customHeight="1">
      <x:c r="A257" s="36" t="str">
        <x:v>M0</x:v>
      </x:c>
      <x:c r="B257" s="36" t="str">
        <x:v>48201311502</x:v>
      </x:c>
      <x:c r="C257" s="66" t="n">
        <x:v>211.84560903832727</x:v>
      </x:c>
      <x:c r="D257" s="66" t="n">
        <x:v>38.639094563852254</x:v>
      </x:c>
      <x:c r="E257" s="66" t="n">
        <x:v>173.206514474475</x:v>
      </x:c>
      <x:c r="F257" s="66" t="n">
        <x:v>0</x:v>
      </x:c>
      <x:c r="G257" s="66" t="n">
        <x:v>38.639094563852254</x:v>
      </x:c>
      <x:c r="H257" s="45" t="n">
        <x:v>0.18239270919635459</x:v>
      </x:c>
      <x:c r="I257" s="36" t="str">
        <x:v>generated design-reference observation; not predicted tract behavior</x:v>
      </x:c>
    </x:row>
    <x:row r="258" ht="75.5999984741211" hidden="0" customHeight="1">
      <x:c r="A258" s="34" t="str">
        <x:v>M0</x:v>
      </x:c>
      <x:c r="B258" s="34" t="str">
        <x:v>48201311600</x:v>
      </x:c>
      <x:c r="C258" s="65" t="n">
        <x:v>291.1796439731375</x:v>
      </x:c>
      <x:c r="D258" s="65" t="n">
        <x:v>44.62541190277841</x:v>
      </x:c>
      <x:c r="E258" s="65" t="n">
        <x:v>246.5542320703591</x:v>
      </x:c>
      <x:c r="F258" s="65" t="n">
        <x:v>45.062175958527654</x:v>
      </x:c>
      <x:c r="G258" s="65" t="n">
        <x:v>89.68758786130607</x:v>
      </x:c>
      <x:c r="H258" s="43" t="n">
        <x:v>0.3080146216181929</x:v>
      </x:c>
      <x:c r="I258" s="34" t="str">
        <x:v>generated design-reference observation; not predicted tract behavior</x:v>
      </x:c>
    </x:row>
    <x:row r="259" ht="75.5999984741211" hidden="0" customHeight="1">
      <x:c r="A259" s="36" t="str">
        <x:v>M0</x:v>
      </x:c>
      <x:c r="B259" s="36" t="str">
        <x:v>48201311701</x:v>
      </x:c>
      <x:c r="C259" s="66" t="n">
        <x:v>290.7159320590149</x:v>
      </x:c>
      <x:c r="D259" s="66" t="n">
        <x:v>52.013030575760844</x:v>
      </x:c>
      <x:c r="E259" s="66" t="n">
        <x:v>238.70290148325407</x:v>
      </x:c>
      <x:c r="F259" s="66" t="n">
        <x:v>158.06500870600797</x:v>
      </x:c>
      <x:c r="G259" s="66" t="n">
        <x:v>210.0780392817688</x:v>
      </x:c>
      <x:c r="H259" s="45" t="n">
        <x:v>0.7226230698602486</x:v>
      </x:c>
      <x:c r="I259" s="36" t="str">
        <x:v>generated design-reference observation; not predicted tract behavior</x:v>
      </x:c>
    </x:row>
    <x:row r="260" ht="75.5999984741211" hidden="0" customHeight="1">
      <x:c r="A260" s="34" t="str">
        <x:v>M0</x:v>
      </x:c>
      <x:c r="B260" s="34" t="str">
        <x:v>48201311702</x:v>
      </x:c>
      <x:c r="C260" s="65" t="n">
        <x:v>156.23947696345283</x:v>
      </x:c>
      <x:c r="D260" s="65" t="n">
        <x:v>23.53217942917587</x:v>
      </x:c>
      <x:c r="E260" s="65" t="n">
        <x:v>132.70729753427696</x:v>
      </x:c>
      <x:c r="F260" s="65" t="n">
        <x:v>21.828195668537145</x:v>
      </x:c>
      <x:c r="G260" s="65" t="n">
        <x:v>45.36037509771302</x:v>
      </x:c>
      <x:c r="H260" s="43" t="n">
        <x:v>0.29032595333331546</x:v>
      </x:c>
      <x:c r="I260" s="34" t="str">
        <x:v>generated design-reference observation; not predicted tract behavior</x:v>
      </x:c>
    </x:row>
    <x:row r="261" ht="75.5999984741211" hidden="0" customHeight="1">
      <x:c r="A261" s="36" t="str">
        <x:v>M0</x:v>
      </x:c>
      <x:c r="B261" s="36" t="str">
        <x:v>48201311800</x:v>
      </x:c>
      <x:c r="C261" s="66" t="n">
        <x:v>292.68867257502814</x:v>
      </x:c>
      <x:c r="D261" s="66" t="n">
        <x:v>52.000314489825286</x:v>
      </x:c>
      <x:c r="E261" s="66" t="n">
        <x:v>240.68835808520285</x:v>
      </x:c>
      <x:c r="F261" s="66" t="n">
        <x:v>240.68835808520282</x:v>
      </x:c>
      <x:c r="G261" s="66" t="n">
        <x:v>292.68867257502814</x:v>
      </x:c>
      <x:c r="H261" s="45" t="n">
        <x:v>1</x:v>
      </x:c>
      <x:c r="I261" s="36" t="str">
        <x:v>generated design-reference observation; not predicted tract behavior</x:v>
      </x:c>
    </x:row>
    <x:row r="262" ht="75.5999984741211" hidden="0" customHeight="1">
      <x:c r="A262" s="34" t="str">
        <x:v>M0</x:v>
      </x:c>
      <x:c r="B262" s="34" t="str">
        <x:v>48201311900</x:v>
      </x:c>
      <x:c r="C262" s="65" t="n">
        <x:v>130.86893359416737</x:v>
      </x:c>
      <x:c r="D262" s="65" t="n">
        <x:v>24.12342851169759</x:v>
      </x:c>
      <x:c r="E262" s="65" t="n">
        <x:v>106.74550508246978</x:v>
      </x:c>
      <x:c r="F262" s="65" t="n">
        <x:v>0</x:v>
      </x:c>
      <x:c r="G262" s="65" t="n">
        <x:v>24.12342851169759</x:v>
      </x:c>
      <x:c r="H262" s="43" t="n">
        <x:v>0.18433273542600895</x:v>
      </x:c>
      <x:c r="I262" s="34" t="str">
        <x:v>generated design-reference observation; not predicted tract behavior</x:v>
      </x:c>
    </x:row>
    <x:row r="263" ht="75.5999984741211" hidden="0" customHeight="1">
      <x:c r="A263" s="36" t="str">
        <x:v>M0</x:v>
      </x:c>
      <x:c r="B263" s="36" t="str">
        <x:v>48201312000</x:v>
      </x:c>
      <x:c r="C263" s="66" t="n">
        <x:v>238.62300719791696</x:v>
      </x:c>
      <x:c r="D263" s="66" t="n">
        <x:v>41.76473246198151</x:v>
      </x:c>
      <x:c r="E263" s="66" t="n">
        <x:v>196.85827473593545</x:v>
      </x:c>
      <x:c r="F263" s="66" t="n">
        <x:v>0</x:v>
      </x:c>
      <x:c r="G263" s="66" t="n">
        <x:v>41.76473246198151</x:v>
      </x:c>
      <x:c r="H263" s="45" t="n">
        <x:v>0.17502391304347828</x:v>
      </x:c>
      <x:c r="I263" s="36" t="str">
        <x:v>generated design-reference observation; not predicted tract behavior</x:v>
      </x:c>
    </x:row>
    <x:row r="264" ht="75.5999984741211" hidden="0" customHeight="1">
      <x:c r="A264" s="34" t="str">
        <x:v>M0</x:v>
      </x:c>
      <x:c r="B264" s="34" t="str">
        <x:v>48201312200</x:v>
      </x:c>
      <x:c r="C264" s="65" t="n">
        <x:v>134.0638300872326</x:v>
      </x:c>
      <x:c r="D264" s="65" t="n">
        <x:v>23.653274903229025</x:v>
      </x:c>
      <x:c r="E264" s="65" t="n">
        <x:v>110.41055518400356</x:v>
      </x:c>
      <x:c r="F264" s="65" t="n">
        <x:v>110.41055518400356</x:v>
      </x:c>
      <x:c r="G264" s="65" t="n">
        <x:v>134.0638300872326</x:v>
      </x:c>
      <x:c r="H264" s="43" t="n">
        <x:v>1</x:v>
      </x:c>
      <x:c r="I264" s="34" t="str">
        <x:v>generated design-reference observation; not predicted tract behavior</x:v>
      </x:c>
    </x:row>
    <x:row r="265" ht="75.5999984741211" hidden="0" customHeight="1">
      <x:c r="A265" s="36" t="str">
        <x:v>M0</x:v>
      </x:c>
      <x:c r="B265" s="36" t="str">
        <x:v>48201312300</x:v>
      </x:c>
      <x:c r="C265" s="66" t="n">
        <x:v>227.9890712689692</x:v>
      </x:c>
      <x:c r="D265" s="66" t="n">
        <x:v>41.95958865333324</x:v>
      </x:c>
      <x:c r="E265" s="66" t="n">
        <x:v>186.02948261563597</x:v>
      </x:c>
      <x:c r="F265" s="66" t="n">
        <x:v>186.02948261563597</x:v>
      </x:c>
      <x:c r="G265" s="66" t="n">
        <x:v>227.9890712689692</x:v>
      </x:c>
      <x:c r="H265" s="45" t="n">
        <x:v>1</x:v>
      </x:c>
      <x:c r="I265" s="36" t="str">
        <x:v>generated design-reference observation; not predicted tract behavior</x:v>
      </x:c>
    </x:row>
    <x:row r="266" ht="75.5999984741211" hidden="0" customHeight="1">
      <x:c r="A266" s="34" t="str">
        <x:v>M0</x:v>
      </x:c>
      <x:c r="B266" s="34" t="str">
        <x:v>48201312400</x:v>
      </x:c>
      <x:c r="C266" s="65" t="n">
        <x:v>176.46203213358032</x:v>
      </x:c>
      <x:c r="D266" s="65" t="n">
        <x:v>33.1748620411131</x:v>
      </x:c>
      <x:c r="E266" s="65" t="n">
        <x:v>143.28717009246722</x:v>
      </x:c>
      <x:c r="F266" s="65" t="n">
        <x:v>143.28717009246722</x:v>
      </x:c>
      <x:c r="G266" s="65" t="n">
        <x:v>176.46203213358032</x:v>
      </x:c>
      <x:c r="H266" s="43" t="n">
        <x:v>1</x:v>
      </x:c>
      <x:c r="I266" s="34" t="str">
        <x:v>generated design-reference observation; not predicted tract behavior</x:v>
      </x:c>
    </x:row>
    <x:row r="267" ht="75.5999984741211" hidden="0" customHeight="1">
      <x:c r="A267" s="36" t="str">
        <x:v>M0</x:v>
      </x:c>
      <x:c r="B267" s="36" t="str">
        <x:v>48201312501</x:v>
      </x:c>
      <x:c r="C267" s="66" t="n">
        <x:v>268.48919827700155</x:v>
      </x:c>
      <x:c r="D267" s="66" t="n">
        <x:v>40.75977587276331</x:v>
      </x:c>
      <x:c r="E267" s="66" t="n">
        <x:v>227.72942240423822</x:v>
      </x:c>
      <x:c r="F267" s="66" t="n">
        <x:v>41.060481346407364</x:v>
      </x:c>
      <x:c r="G267" s="66" t="n">
        <x:v>81.82025721917068</x:v>
      </x:c>
      <x:c r="H267" s="45" t="n">
        <x:v>0.3047431991463446</x:v>
      </x:c>
      <x:c r="I267" s="36" t="str">
        <x:v>generated design-reference observation; not predicted tract behavior</x:v>
      </x:c>
    </x:row>
    <x:row r="268" ht="75.5999984741211" hidden="0" customHeight="1">
      <x:c r="A268" s="34" t="str">
        <x:v>M0</x:v>
      </x:c>
      <x:c r="B268" s="34" t="str">
        <x:v>48201312502</x:v>
      </x:c>
      <x:c r="C268" s="65" t="n">
        <x:v>168.88545102825466</x:v>
      </x:c>
      <x:c r="D268" s="65" t="n">
        <x:v>26.658568444809998</x:v>
      </x:c>
      <x:c r="E268" s="65" t="n">
        <x:v>142.22688258344468</x:v>
      </x:c>
      <x:c r="F268" s="65" t="n">
        <x:v>99.79411404423246</x:v>
      </x:c>
      <x:c r="G268" s="65" t="n">
        <x:v>126.45268248904246</x:v>
      </x:c>
      <x:c r="H268" s="43" t="n">
        <x:v>0.7487482297565515</x:v>
      </x:c>
      <x:c r="I268" s="34" t="str">
        <x:v>generated design-reference observation; not predicted tract behavior</x:v>
      </x:c>
    </x:row>
    <x:row r="269" ht="75.5999984741211" hidden="0" customHeight="1">
      <x:c r="A269" s="36" t="str">
        <x:v>M0</x:v>
      </x:c>
      <x:c r="B269" s="36" t="str">
        <x:v>48201312601</x:v>
      </x:c>
      <x:c r="C269" s="66" t="n">
        <x:v>268.0490649347834</x:v>
      </x:c>
      <x:c r="D269" s="66" t="n">
        <x:v>28.820599273871725</x:v>
      </x:c>
      <x:c r="E269" s="66" t="n">
        <x:v>239.2284656609117</x:v>
      </x:c>
      <x:c r="F269" s="66" t="n">
        <x:v>0</x:v>
      </x:c>
      <x:c r="G269" s="66" t="n">
        <x:v>28.820599273871725</x:v>
      </x:c>
      <x:c r="H269" s="45" t="n">
        <x:v>0.10751986499517842</x:v>
      </x:c>
      <x:c r="I269" s="36" t="str">
        <x:v>generated design-reference observation; not predicted tract behavior</x:v>
      </x:c>
    </x:row>
    <x:row r="270" ht="75.5999984741211" hidden="0" customHeight="1">
      <x:c r="A270" s="34" t="str">
        <x:v>M0</x:v>
      </x:c>
      <x:c r="B270" s="34" t="str">
        <x:v>48201312602</x:v>
      </x:c>
      <x:c r="C270" s="65" t="n">
        <x:v>199.56903260002989</x:v>
      </x:c>
      <x:c r="D270" s="65" t="n">
        <x:v>30.492232547304017</x:v>
      </x:c>
      <x:c r="E270" s="65" t="n">
        <x:v>169.07680005272587</x:v>
      </x:c>
      <x:c r="F270" s="65" t="n">
        <x:v>0</x:v>
      </x:c>
      <x:c r="G270" s="65" t="n">
        <x:v>30.492232547304017</x:v>
      </x:c>
      <x:c r="H270" s="43" t="n">
        <x:v>0.1527904011461318</x:v>
      </x:c>
      <x:c r="I270" s="34" t="str">
        <x:v>generated design-reference observation; not predicted tract behavior</x:v>
      </x:c>
    </x:row>
    <x:row r="271" ht="75.5999984741211" hidden="0" customHeight="1">
      <x:c r="A271" s="36" t="str">
        <x:v>M0</x:v>
      </x:c>
      <x:c r="B271" s="36" t="str">
        <x:v>48201312603</x:v>
      </x:c>
      <x:c r="C271" s="66" t="n">
        <x:v>338.82407826824544</x:v>
      </x:c>
      <x:c r="D271" s="66" t="n">
        <x:v>55.276936882965366</x:v>
      </x:c>
      <x:c r="E271" s="66" t="n">
        <x:v>283.5471413852801</x:v>
      </x:c>
      <x:c r="F271" s="66" t="n">
        <x:v>62.17266564032853</x:v>
      </x:c>
      <x:c r="G271" s="66" t="n">
        <x:v>117.44960252329389</x:v>
      </x:c>
      <x:c r="H271" s="45" t="n">
        <x:v>0.34663889037516865</x:v>
      </x:c>
      <x:c r="I271" s="36" t="str">
        <x:v>generated design-reference observation; not predicted tract behavior</x:v>
      </x:c>
    </x:row>
    <x:row r="272" ht="75.5999984741211" hidden="0" customHeight="1">
      <x:c r="A272" s="34" t="str">
        <x:v>M0</x:v>
      </x:c>
      <x:c r="B272" s="34" t="str">
        <x:v>48201312700</x:v>
      </x:c>
      <x:c r="C272" s="65" t="n">
        <x:v>184.98961563905576</x:v>
      </x:c>
      <x:c r="D272" s="65" t="n">
        <x:v>33.34926807183726</x:v>
      </x:c>
      <x:c r="E272" s="65" t="n">
        <x:v>151.6403475672185</x:v>
      </x:c>
      <x:c r="F272" s="65" t="n">
        <x:v>45.827841034405736</x:v>
      </x:c>
      <x:c r="G272" s="65" t="n">
        <x:v>79.177109106243</x:v>
      </x:c>
      <x:c r="H272" s="43" t="n">
        <x:v>0.4280083983780482</x:v>
      </x:c>
      <x:c r="I272" s="34" t="str">
        <x:v>generated design-reference observation; not predicted tract behavior</x:v>
      </x:c>
    </x:row>
    <x:row r="273" ht="75.5999984741211" hidden="0" customHeight="1">
      <x:c r="A273" s="36" t="str">
        <x:v>M0</x:v>
      </x:c>
      <x:c r="B273" s="36" t="str">
        <x:v>48201312800</x:v>
      </x:c>
      <x:c r="C273" s="66" t="n">
        <x:v>308.5806300386883</x:v>
      </x:c>
      <x:c r="D273" s="66" t="n">
        <x:v>48.51754973361293</x:v>
      </x:c>
      <x:c r="E273" s="66" t="n">
        <x:v>260.06308030507535</x:v>
      </x:c>
      <x:c r="F273" s="66" t="n">
        <x:v>0</x:v>
      </x:c>
      <x:c r="G273" s="66" t="n">
        <x:v>48.51754973361293</x:v>
      </x:c>
      <x:c r="H273" s="45" t="n">
        <x:v>0.15722811158798283</x:v>
      </x:c>
      <x:c r="I273" s="36" t="str">
        <x:v>generated design-reference observation; not predicted tract behavior</x:v>
      </x:c>
    </x:row>
    <x:row r="274" ht="75.5999984741211" hidden="0" customHeight="1">
      <x:c r="A274" s="34" t="str">
        <x:v>M0</x:v>
      </x:c>
      <x:c r="B274" s="34" t="str">
        <x:v>48201312901</x:v>
      </x:c>
      <x:c r="C274" s="65" t="n">
        <x:v>157.4812817504253</x:v>
      </x:c>
      <x:c r="D274" s="65" t="n">
        <x:v>25.285535097916938</x:v>
      </x:c>
      <x:c r="E274" s="65" t="n">
        <x:v>132.19574665250835</x:v>
      </x:c>
      <x:c r="F274" s="65" t="n">
        <x:v>89.64731188593522</x:v>
      </x:c>
      <x:c r="G274" s="65" t="n">
        <x:v>114.93284698385216</x:v>
      </x:c>
      <x:c r="H274" s="43" t="n">
        <x:v>0.7298190979039435</x:v>
      </x:c>
      <x:c r="I274" s="34" t="str">
        <x:v>generated design-reference observation; not predicted tract behavior</x:v>
      </x:c>
    </x:row>
    <x:row r="275" ht="75.5999984741211" hidden="0" customHeight="1">
      <x:c r="A275" s="36" t="str">
        <x:v>M0</x:v>
      </x:c>
      <x:c r="B275" s="36" t="str">
        <x:v>48201312902</x:v>
      </x:c>
      <x:c r="C275" s="66" t="n">
        <x:v>192.589775316286</x:v>
      </x:c>
      <x:c r="D275" s="66" t="n">
        <x:v>33.4384131508344</x:v>
      </x:c>
      <x:c r="E275" s="66" t="n">
        <x:v>159.1513621654516</x:v>
      </x:c>
      <x:c r="F275" s="66" t="n">
        <x:v>0</x:v>
      </x:c>
      <x:c r="G275" s="66" t="n">
        <x:v>33.4384131508344</x:v>
      </x:c>
      <x:c r="H275" s="45" t="n">
        <x:v>0.17362506963788302</x:v>
      </x:c>
      <x:c r="I275" s="36" t="str">
        <x:v>generated design-reference observation; not predicted tract behavior</x:v>
      </x:c>
    </x:row>
    <x:row r="276" ht="75.5999984741211" hidden="0" customHeight="1">
      <x:c r="A276" s="34" t="str">
        <x:v>M0</x:v>
      </x:c>
      <x:c r="B276" s="34" t="str">
        <x:v>48201313000</x:v>
      </x:c>
      <x:c r="C276" s="65" t="n">
        <x:v>196.9518111186259</x:v>
      </x:c>
      <x:c r="D276" s="65" t="n">
        <x:v>36.523224850555124</x:v>
      </x:c>
      <x:c r="E276" s="65" t="n">
        <x:v>160.42858626807077</x:v>
      </x:c>
      <x:c r="F276" s="65" t="n">
        <x:v>50.364270728178155</x:v>
      </x:c>
      <x:c r="G276" s="65" t="n">
        <x:v>86.88749557873328</x:v>
      </x:c>
      <x:c r="H276" s="43" t="n">
        <x:v>0.4411611910814069</x:v>
      </x:c>
      <x:c r="I276" s="34" t="str">
        <x:v>generated design-reference observation; not predicted tract behavior</x:v>
      </x:c>
    </x:row>
    <x:row r="277" ht="75.5999984741211" hidden="0" customHeight="1">
      <x:c r="A277" s="36" t="str">
        <x:v>M0</x:v>
      </x:c>
      <x:c r="B277" s="36" t="str">
        <x:v>48201313101</x:v>
      </x:c>
      <x:c r="C277" s="66" t="n">
        <x:v>330.1677194854451</x:v>
      </x:c>
      <x:c r="D277" s="66" t="n">
        <x:v>36.621161093208734</x:v>
      </x:c>
      <x:c r="E277" s="66" t="n">
        <x:v>293.54655839223636</x:v>
      </x:c>
      <x:c r="F277" s="66" t="n">
        <x:v>293.54655839223636</x:v>
      </x:c>
      <x:c r="G277" s="66" t="n">
        <x:v>330.1677194854451</x:v>
      </x:c>
      <x:c r="H277" s="45" t="n">
        <x:v>1</x:v>
      </x:c>
      <x:c r="I277" s="36" t="str">
        <x:v>generated design-reference observation; not predicted tract behavior</x:v>
      </x:c>
    </x:row>
    <x:row r="278" ht="75.5999984741211" hidden="0" customHeight="1">
      <x:c r="A278" s="34" t="str">
        <x:v>M0</x:v>
      </x:c>
      <x:c r="B278" s="34" t="str">
        <x:v>48201313102</x:v>
      </x:c>
      <x:c r="C278" s="65" t="n">
        <x:v>248.8564096938708</x:v>
      </x:c>
      <x:c r="D278" s="65" t="n">
        <x:v>25.87047377683673</x:v>
      </x:c>
      <x:c r="E278" s="65" t="n">
        <x:v>222.98593591703408</x:v>
      </x:c>
      <x:c r="F278" s="65" t="n">
        <x:v>222.98593591703408</x:v>
      </x:c>
      <x:c r="G278" s="65" t="n">
        <x:v>248.8564096938708</x:v>
      </x:c>
      <x:c r="H278" s="43" t="n">
        <x:v>1</x:v>
      </x:c>
      <x:c r="I278" s="34" t="str">
        <x:v>generated design-reference observation; not predicted tract behavior</x:v>
      </x:c>
    </x:row>
    <x:row r="279" ht="75.5999984741211" hidden="0" customHeight="1">
      <x:c r="A279" s="36" t="str">
        <x:v>M0</x:v>
      </x:c>
      <x:c r="B279" s="36" t="str">
        <x:v>48201313201</x:v>
      </x:c>
      <x:c r="C279" s="66" t="n">
        <x:v>137.83247182997496</x:v>
      </x:c>
      <x:c r="D279" s="66" t="n">
        <x:v>23.662659339710288</x:v>
      </x:c>
      <x:c r="E279" s="66" t="n">
        <x:v>114.16981249026468</x:v>
      </x:c>
      <x:c r="F279" s="66" t="n">
        <x:v>83.2314544818926</x:v>
      </x:c>
      <x:c r="G279" s="66" t="n">
        <x:v>106.89411382160289</x:v>
      </x:c>
      <x:c r="H279" s="45" t="n">
        <x:v>0.775536507489059</x:v>
      </x:c>
      <x:c r="I279" s="36" t="str">
        <x:v>generated design-reference observation; not predicted tract behavior</x:v>
      </x:c>
    </x:row>
    <x:row r="280" ht="75.5999984741211" hidden="0" customHeight="1">
      <x:c r="A280" s="34" t="str">
        <x:v>M0</x:v>
      </x:c>
      <x:c r="B280" s="34" t="str">
        <x:v>48201313202</x:v>
      </x:c>
      <x:c r="C280" s="65" t="n">
        <x:v>364.06886925403995</x:v>
      </x:c>
      <x:c r="D280" s="65" t="n">
        <x:v>58.54966181398029</x:v>
      </x:c>
      <x:c r="E280" s="65" t="n">
        <x:v>305.51920744005963</x:v>
      </x:c>
      <x:c r="F280" s="65" t="n">
        <x:v>305.51920744005963</x:v>
      </x:c>
      <x:c r="G280" s="65" t="n">
        <x:v>364.0688692540399</x:v>
      </x:c>
      <x:c r="H280" s="43" t="n">
        <x:v>0.9999999999999999</x:v>
      </x:c>
      <x:c r="I280" s="34" t="str">
        <x:v>generated design-reference observation; not predicted tract behavior</x:v>
      </x:c>
    </x:row>
    <x:row r="281" ht="75.5999984741211" hidden="0" customHeight="1">
      <x:c r="A281" s="36" t="str">
        <x:v>M0</x:v>
      </x:c>
      <x:c r="B281" s="36" t="str">
        <x:v>48201313300</x:v>
      </x:c>
      <x:c r="C281" s="66" t="n">
        <x:v>227.69826888214658</x:v>
      </x:c>
      <x:c r="D281" s="66" t="n">
        <x:v>39.53835540240096</x:v>
      </x:c>
      <x:c r="E281" s="66" t="n">
        <x:v>188.15991347974563</x:v>
      </x:c>
      <x:c r="F281" s="66" t="n">
        <x:v>138.92211793859792</x:v>
      </x:c>
      <x:c r="G281" s="66" t="n">
        <x:v>178.46047334099887</x:v>
      </x:c>
      <x:c r="H281" s="45" t="n">
        <x:v>0.7837585863833137</x:v>
      </x:c>
      <x:c r="I281" s="36" t="str">
        <x:v>generated design-reference observation; not predicted tract behavior</x:v>
      </x:c>
    </x:row>
    <x:row r="282" ht="75.5999984741211" hidden="0" customHeight="1">
      <x:c r="A282" s="34" t="str">
        <x:v>M0</x:v>
      </x:c>
      <x:c r="B282" s="34" t="str">
        <x:v>48201313400</x:v>
      </x:c>
      <x:c r="C282" s="65" t="n">
        <x:v>311.575108670565</x:v>
      </x:c>
      <x:c r="D282" s="65" t="n">
        <x:v>49.2711596601098</x:v>
      </x:c>
      <x:c r="E282" s="65" t="n">
        <x:v>262.3039490104552</x:v>
      </x:c>
      <x:c r="F282" s="65" t="n">
        <x:v>50.59789483079878</x:v>
      </x:c>
      <x:c r="G282" s="65" t="n">
        <x:v>99.86905449090858</x:v>
      </x:c>
      <x:c r="H282" s="43" t="n">
        <x:v>0.3205296306146916</x:v>
      </x:c>
      <x:c r="I282" s="34" t="str">
        <x:v>generated design-reference observation; not predicted tract behavior</x:v>
      </x:c>
    </x:row>
    <x:row r="283" ht="75.5999984741211" hidden="0" customHeight="1">
      <x:c r="A283" s="36" t="str">
        <x:v>M0</x:v>
      </x:c>
      <x:c r="B283" s="36" t="str">
        <x:v>48201313500</x:v>
      </x:c>
      <x:c r="C283" s="66" t="n">
        <x:v>150.3723423212064</x:v>
      </x:c>
      <x:c r="D283" s="66" t="n">
        <x:v>27.313496584930103</x:v>
      </x:c>
      <x:c r="E283" s="66" t="n">
        <x:v>123.05884573627628</x:v>
      </x:c>
      <x:c r="F283" s="66" t="n">
        <x:v>123.05884573627628</x:v>
      </x:c>
      <x:c r="G283" s="66" t="n">
        <x:v>150.3723423212064</x:v>
      </x:c>
      <x:c r="H283" s="45" t="n">
        <x:v>1</x:v>
      </x:c>
      <x:c r="I283" s="36" t="str">
        <x:v>generated design-reference observation; not predicted tract behavior</x:v>
      </x:c>
    </x:row>
    <x:row r="284" ht="75.5999984741211" hidden="0" customHeight="1">
      <x:c r="A284" s="34" t="str">
        <x:v>M0</x:v>
      </x:c>
      <x:c r="B284" s="34" t="str">
        <x:v>48201313600</x:v>
      </x:c>
      <x:c r="C284" s="65" t="n">
        <x:v>377.0763814213782</x:v>
      </x:c>
      <x:c r="D284" s="65" t="n">
        <x:v>67.52365473958093</x:v>
      </x:c>
      <x:c r="E284" s="65" t="n">
        <x:v>309.55272668179725</x:v>
      </x:c>
      <x:c r="F284" s="65" t="n">
        <x:v>205.3900019247166</x:v>
      </x:c>
      <x:c r="G284" s="65" t="n">
        <x:v>272.9136566642975</x:v>
      </x:c>
      <x:c r="H284" s="43" t="n">
        <x:v>0.7237622670387299</x:v>
      </x:c>
      <x:c r="I284" s="34" t="str">
        <x:v>generated design-reference observation; not predicted tract behavior</x:v>
      </x:c>
    </x:row>
    <x:row r="285" ht="75.5999984741211" hidden="0" customHeight="1">
      <x:c r="A285" s="36" t="str">
        <x:v>M0</x:v>
      </x:c>
      <x:c r="B285" s="36" t="str">
        <x:v>48201313700</x:v>
      </x:c>
      <x:c r="C285" s="66" t="n">
        <x:v>194.03985748841518</x:v>
      </x:c>
      <x:c r="D285" s="66" t="n">
        <x:v>35.64302075210129</x:v>
      </x:c>
      <x:c r="E285" s="66" t="n">
        <x:v>158.3968367363139</x:v>
      </x:c>
      <x:c r="F285" s="66" t="n">
        <x:v>158.3968367363139</x:v>
      </x:c>
      <x:c r="G285" s="66" t="n">
        <x:v>194.03985748841518</x:v>
      </x:c>
      <x:c r="H285" s="45" t="n">
        <x:v>1</x:v>
      </x:c>
      <x:c r="I285" s="36" t="str">
        <x:v>generated design-reference observation; not predicted tract behavior</x:v>
      </x:c>
    </x:row>
    <x:row r="286" ht="75.5999984741211" hidden="0" customHeight="1">
      <x:c r="A286" s="34" t="str">
        <x:v>M0</x:v>
      </x:c>
      <x:c r="B286" s="34" t="str">
        <x:v>48201313801</x:v>
      </x:c>
      <x:c r="C286" s="65" t="n">
        <x:v>131.64702646701718</x:v>
      </x:c>
      <x:c r="D286" s="65" t="n">
        <x:v>22.441904182109845</x:v>
      </x:c>
      <x:c r="E286" s="65" t="n">
        <x:v>109.20512228490733</x:v>
      </x:c>
      <x:c r="F286" s="65" t="n">
        <x:v>109.20512228490733</x:v>
      </x:c>
      <x:c r="G286" s="65" t="n">
        <x:v>131.64702646701718</x:v>
      </x:c>
      <x:c r="H286" s="43" t="n">
        <x:v>1</x:v>
      </x:c>
      <x:c r="I286" s="34" t="str">
        <x:v>generated design-reference observation; not predicted tract behavior</x:v>
      </x:c>
    </x:row>
    <x:row r="287" ht="75.5999984741211" hidden="0" customHeight="1">
      <x:c r="A287" s="36" t="str">
        <x:v>M0</x:v>
      </x:c>
      <x:c r="B287" s="36" t="str">
        <x:v>48201313802</x:v>
      </x:c>
      <x:c r="C287" s="66" t="n">
        <x:v>220.6836437405458</x:v>
      </x:c>
      <x:c r="D287" s="66" t="n">
        <x:v>40.07056277559348</x:v>
      </x:c>
      <x:c r="E287" s="66" t="n">
        <x:v>180.6130809649523</x:v>
      </x:c>
      <x:c r="F287" s="66" t="n">
        <x:v>54.31387844153864</x:v>
      </x:c>
      <x:c r="G287" s="66" t="n">
        <x:v>94.38444121713212</x:v>
      </x:c>
      <x:c r="H287" s="45" t="n">
        <x:v>0.4276911492729311</x:v>
      </x:c>
      <x:c r="I287" s="36" t="str">
        <x:v>generated design-reference observation; not predicted tract behavior</x:v>
      </x:c>
    </x:row>
    <x:row r="288" ht="75.5999984741211" hidden="0" customHeight="1">
      <x:c r="A288" s="34" t="str">
        <x:v>M0</x:v>
      </x:c>
      <x:c r="B288" s="34" t="str">
        <x:v>48201313901</x:v>
      </x:c>
      <x:c r="C288" s="65" t="n">
        <x:v>315.05687778846874</x:v>
      </x:c>
      <x:c r="D288" s="65" t="n">
        <x:v>37.14875833929473</x:v>
      </x:c>
      <x:c r="E288" s="65" t="n">
        <x:v>277.908119449174</x:v>
      </x:c>
      <x:c r="F288" s="65" t="n">
        <x:v>0</x:v>
      </x:c>
      <x:c r="G288" s="65" t="n">
        <x:v>37.14875833929473</x:v>
      </x:c>
      <x:c r="H288" s="43" t="n">
        <x:v>0.11791127557683934</x:v>
      </x:c>
      <x:c r="I288" s="34" t="str">
        <x:v>generated design-reference observation; not predicted tract behavior</x:v>
      </x:c>
    </x:row>
    <x:row r="289" ht="75.5999984741211" hidden="0" customHeight="1">
      <x:c r="A289" s="36" t="str">
        <x:v>M0</x:v>
      </x:c>
      <x:c r="B289" s="36" t="str">
        <x:v>48201313902</x:v>
      </x:c>
      <x:c r="C289" s="66" t="n">
        <x:v>215.46099006369016</x:v>
      </x:c>
      <x:c r="D289" s="66" t="n">
        <x:v>31.73956590167978</x:v>
      </x:c>
      <x:c r="E289" s="66" t="n">
        <x:v>183.72142416201038</x:v>
      </x:c>
      <x:c r="F289" s="66" t="n">
        <x:v>7.268867619334637</x:v>
      </x:c>
      <x:c r="G289" s="66" t="n">
        <x:v>39.00843352101442</x:v>
      </x:c>
      <x:c r="H289" s="45" t="n">
        <x:v>0.1810463857493811</x:v>
      </x:c>
      <x:c r="I289" s="36" t="str">
        <x:v>generated design-reference observation; not predicted tract behavior</x:v>
      </x:c>
    </x:row>
    <x:row r="290" ht="75.5999984741211" hidden="0" customHeight="1">
      <x:c r="A290" s="34" t="str">
        <x:v>M0</x:v>
      </x:c>
      <x:c r="B290" s="34" t="str">
        <x:v>48201314001</x:v>
      </x:c>
      <x:c r="C290" s="65" t="n">
        <x:v>230.5905737024369</x:v>
      </x:c>
      <x:c r="D290" s="65" t="n">
        <x:v>36.627461590492516</x:v>
      </x:c>
      <x:c r="E290" s="65" t="n">
        <x:v>193.96311211194438</x:v>
      </x:c>
      <x:c r="F290" s="65" t="n">
        <x:v>0</x:v>
      </x:c>
      <x:c r="G290" s="65" t="n">
        <x:v>36.627461590492516</x:v>
      </x:c>
      <x:c r="H290" s="43" t="n">
        <x:v>0.15884197260273972</x:v>
      </x:c>
      <x:c r="I290" s="34" t="str">
        <x:v>generated design-reference observation; not predicted tract behavior</x:v>
      </x:c>
    </x:row>
    <x:row r="291" ht="75.5999984741211" hidden="0" customHeight="1">
      <x:c r="A291" s="36" t="str">
        <x:v>M0</x:v>
      </x:c>
      <x:c r="B291" s="36" t="str">
        <x:v>48201314003</x:v>
      </x:c>
      <x:c r="C291" s="66" t="n">
        <x:v>211.80631141848636</x:v>
      </x:c>
      <x:c r="D291" s="66" t="n">
        <x:v>32.30066887992957</x:v>
      </x:c>
      <x:c r="E291" s="66" t="n">
        <x:v>179.5056425385568</x:v>
      </x:c>
      <x:c r="F291" s="66" t="n">
        <x:v>0</x:v>
      </x:c>
      <x:c r="G291" s="66" t="n">
        <x:v>32.30066887992957</x:v>
      </x:c>
      <x:c r="H291" s="45" t="n">
        <x:v>0.15250097442143729</x:v>
      </x:c>
      <x:c r="I291" s="36" t="str">
        <x:v>generated design-reference observation; not predicted tract behavior</x:v>
      </x:c>
    </x:row>
    <x:row r="292" ht="75.5999984741211" hidden="0" customHeight="1">
      <x:c r="A292" s="34" t="str">
        <x:v>M0</x:v>
      </x:c>
      <x:c r="B292" s="34" t="str">
        <x:v>48201314004</x:v>
      </x:c>
      <x:c r="C292" s="65" t="n">
        <x:v>179.38577504974327</x:v>
      </x:c>
      <x:c r="D292" s="65" t="n">
        <x:v>27.75440904168522</x:v>
      </x:c>
      <x:c r="E292" s="65" t="n">
        <x:v>151.63136600805805</x:v>
      </x:c>
      <x:c r="F292" s="65" t="n">
        <x:v>0</x:v>
      </x:c>
      <x:c r="G292" s="65" t="n">
        <x:v>27.75440904168522</x:v>
      </x:c>
      <x:c r="H292" s="43" t="n">
        <x:v>0.15471911880409128</x:v>
      </x:c>
      <x:c r="I292" s="34" t="str">
        <x:v>generated design-reference observation; not predicted tract behavior</x:v>
      </x:c>
    </x:row>
    <x:row r="293" ht="75.5999984741211" hidden="0" customHeight="1">
      <x:c r="A293" s="36" t="str">
        <x:v>M0</x:v>
      </x:c>
      <x:c r="B293" s="36" t="str">
        <x:v>48201314005</x:v>
      </x:c>
      <x:c r="C293" s="66" t="n">
        <x:v>218.97419727746657</x:v>
      </x:c>
      <x:c r="D293" s="66" t="n">
        <x:v>35.651002129551536</x:v>
      </x:c>
      <x:c r="E293" s="66" t="n">
        <x:v>183.32319514791504</x:v>
      </x:c>
      <x:c r="F293" s="66" t="n">
        <x:v>0</x:v>
      </x:c>
      <x:c r="G293" s="66" t="n">
        <x:v>35.651002129551536</x:v>
      </x:c>
      <x:c r="H293" s="45" t="n">
        <x:v>0.16280914634146343</x:v>
      </x:c>
      <x:c r="I293" s="36" t="str">
        <x:v>generated design-reference observation; not predicted tract behavior</x:v>
      </x:c>
    </x:row>
    <x:row r="294" ht="75.5999984741211" hidden="0" customHeight="1">
      <x:c r="A294" s="34" t="str">
        <x:v>M0</x:v>
      </x:c>
      <x:c r="B294" s="34" t="str">
        <x:v>48201314301</x:v>
      </x:c>
      <x:c r="C294" s="65" t="n">
        <x:v>190.49128241678181</x:v>
      </x:c>
      <x:c r="D294" s="65" t="n">
        <x:v>27.969921422760216</x:v>
      </x:c>
      <x:c r="E294" s="65" t="n">
        <x:v>162.5213609940216</x:v>
      </x:c>
      <x:c r="F294" s="65" t="n">
        <x:v>0</x:v>
      </x:c>
      <x:c r="G294" s="65" t="n">
        <x:v>27.969921422760216</x:v>
      </x:c>
      <x:c r="H294" s="43" t="n">
        <x:v>0.14683045369794903</x:v>
      </x:c>
      <x:c r="I294" s="34" t="str">
        <x:v>generated design-reference observation; not predicted tract behavior</x:v>
      </x:c>
    </x:row>
    <x:row r="295" ht="75.5999984741211" hidden="0" customHeight="1">
      <x:c r="A295" s="36" t="str">
        <x:v>M0</x:v>
      </x:c>
      <x:c r="B295" s="36" t="str">
        <x:v>48201314302</x:v>
      </x:c>
      <x:c r="C295" s="66" t="n">
        <x:v>138.23330755235213</x:v>
      </x:c>
      <x:c r="D295" s="66" t="n">
        <x:v>22.788771227399636</x:v>
      </x:c>
      <x:c r="E295" s="66" t="n">
        <x:v>115.4445363249525</x:v>
      </x:c>
      <x:c r="F295" s="66" t="n">
        <x:v>0</x:v>
      </x:c>
      <x:c r="G295" s="66" t="n">
        <x:v>22.788771227399636</x:v>
      </x:c>
      <x:c r="H295" s="45" t="n">
        <x:v>0.16485730994152045</x:v>
      </x:c>
      <x:c r="I295" s="36" t="str">
        <x:v>generated design-reference observation; not predicted tract behavior</x:v>
      </x:c>
    </x:row>
    <x:row r="296" ht="75.5999984741211" hidden="0" customHeight="1">
      <x:c r="A296" s="34" t="str">
        <x:v>M0</x:v>
      </x:c>
      <x:c r="B296" s="34" t="str">
        <x:v>48201314401</x:v>
      </x:c>
      <x:c r="C296" s="65" t="n">
        <x:v>214.7327749390999</x:v>
      </x:c>
      <x:c r="D296" s="65" t="n">
        <x:v>23.268270502774826</x:v>
      </x:c>
      <x:c r="E296" s="65" t="n">
        <x:v>191.46450443632506</x:v>
      </x:c>
      <x:c r="F296" s="65" t="n">
        <x:v>191.46450443632506</x:v>
      </x:c>
      <x:c r="G296" s="65" t="n">
        <x:v>214.7327749390999</x:v>
      </x:c>
      <x:c r="H296" s="43" t="n">
        <x:v>1</x:v>
      </x:c>
      <x:c r="I296" s="34" t="str">
        <x:v>generated design-reference observation; not predicted tract behavior</x:v>
      </x:c>
    </x:row>
    <x:row r="297" ht="75.5999984741211" hidden="0" customHeight="1">
      <x:c r="A297" s="36" t="str">
        <x:v>M0</x:v>
      </x:c>
      <x:c r="B297" s="36" t="str">
        <x:v>48201314402</x:v>
      </x:c>
      <x:c r="C297" s="66" t="n">
        <x:v>164.33478665067832</x:v>
      </x:c>
      <x:c r="D297" s="66" t="n">
        <x:v>25.283704072560013</x:v>
      </x:c>
      <x:c r="E297" s="66" t="n">
        <x:v>139.05108257811833</x:v>
      </x:c>
      <x:c r="F297" s="66" t="n">
        <x:v>0</x:v>
      </x:c>
      <x:c r="G297" s="66" t="n">
        <x:v>25.283704072560013</x:v>
      </x:c>
      <x:c r="H297" s="45" t="n">
        <x:v>0.15385485074626865</x:v>
      </x:c>
      <x:c r="I297" s="36" t="str">
        <x:v>generated design-reference observation; not predicted tract behavior</x:v>
      </x:c>
    </x:row>
    <x:row r="298" ht="75.5999984741211" hidden="0" customHeight="1">
      <x:c r="A298" s="34" t="str">
        <x:v>M0</x:v>
      </x:c>
      <x:c r="B298" s="34" t="str">
        <x:v>48201320100</x:v>
      </x:c>
      <x:c r="C298" s="65" t="n">
        <x:v>183.9600179992242</x:v>
      </x:c>
      <x:c r="D298" s="65" t="n">
        <x:v>32.1650226765383</x:v>
      </x:c>
      <x:c r="E298" s="65" t="n">
        <x:v>151.7949953226859</x:v>
      </x:c>
      <x:c r="F298" s="65" t="n">
        <x:v>0</x:v>
      </x:c>
      <x:c r="G298" s="65" t="n">
        <x:v>32.1650226765383</x:v>
      </x:c>
      <x:c r="H298" s="43" t="n">
        <x:v>0.17484789915966387</x:v>
      </x:c>
      <x:c r="I298" s="34" t="str">
        <x:v>generated design-reference observation; not predicted tract behavior</x:v>
      </x:c>
    </x:row>
    <x:row r="299" ht="75.5999984741211" hidden="0" customHeight="1">
      <x:c r="A299" s="36" t="str">
        <x:v>M0</x:v>
      </x:c>
      <x:c r="B299" s="36" t="str">
        <x:v>48201320201</x:v>
      </x:c>
      <x:c r="C299" s="66" t="n">
        <x:v>241.92400726455259</x:v>
      </x:c>
      <x:c r="D299" s="66" t="n">
        <x:v>39.86386932666706</x:v>
      </x:c>
      <x:c r="E299" s="66" t="n">
        <x:v>202.06013793788554</x:v>
      </x:c>
      <x:c r="F299" s="66" t="n">
        <x:v>202.06013793788554</x:v>
      </x:c>
      <x:c r="G299" s="66" t="n">
        <x:v>241.92400726455259</x:v>
      </x:c>
      <x:c r="H299" s="45" t="n">
        <x:v>1</x:v>
      </x:c>
      <x:c r="I299" s="36" t="str">
        <x:v>generated design-reference observation; not predicted tract behavior</x:v>
      </x:c>
    </x:row>
    <x:row r="300" ht="75.5999984741211" hidden="0" customHeight="1">
      <x:c r="A300" s="34" t="str">
        <x:v>M0</x:v>
      </x:c>
      <x:c r="B300" s="34" t="str">
        <x:v>48201320202</x:v>
      </x:c>
      <x:c r="C300" s="65" t="n">
        <x:v>435.19453827223623</x:v>
      </x:c>
      <x:c r="D300" s="65" t="n">
        <x:v>66.92718688456816</x:v>
      </x:c>
      <x:c r="E300" s="65" t="n">
        <x:v>368.2673513876681</x:v>
      </x:c>
      <x:c r="F300" s="65" t="n">
        <x:v>368.2673513876681</x:v>
      </x:c>
      <x:c r="G300" s="65" t="n">
        <x:v>435.19453827223623</x:v>
      </x:c>
      <x:c r="H300" s="43" t="n">
        <x:v>1</x:v>
      </x:c>
      <x:c r="I300" s="34" t="str">
        <x:v>generated design-reference observation; not predicted tract behavior</x:v>
      </x:c>
    </x:row>
    <x:row r="301" ht="75.5999984741211" hidden="0" customHeight="1">
      <x:c r="A301" s="36" t="str">
        <x:v>M0</x:v>
      </x:c>
      <x:c r="B301" s="36" t="str">
        <x:v>48201320500</x:v>
      </x:c>
      <x:c r="C301" s="66" t="n">
        <x:v>332.2849543267195</x:v>
      </x:c>
      <x:c r="D301" s="66" t="n">
        <x:v>62.46957141342327</x:v>
      </x:c>
      <x:c r="E301" s="66" t="n">
        <x:v>269.8153829132963</x:v>
      </x:c>
      <x:c r="F301" s="66" t="n">
        <x:v>90.17581991892644</x:v>
      </x:c>
      <x:c r="G301" s="66" t="n">
        <x:v>152.6453913323497</x:v>
      </x:c>
      <x:c r="H301" s="45" t="n">
        <x:v>0.4593809901553983</x:v>
      </x:c>
      <x:c r="I301" s="36" t="str">
        <x:v>generated design-reference observation; not predicted tract behavior</x:v>
      </x:c>
    </x:row>
    <x:row r="302" ht="75.5999984741211" hidden="0" customHeight="1">
      <x:c r="A302" s="34" t="str">
        <x:v>M0</x:v>
      </x:c>
      <x:c r="B302" s="34" t="str">
        <x:v>48201320601</x:v>
      </x:c>
      <x:c r="C302" s="65" t="n">
        <x:v>172.28862490647666</x:v>
      </x:c>
      <x:c r="D302" s="65" t="n">
        <x:v>29.133038558062132</x:v>
      </x:c>
      <x:c r="E302" s="65" t="n">
        <x:v>143.15558634841452</x:v>
      </x:c>
      <x:c r="F302" s="65" t="n">
        <x:v>106.08345922930171</x:v>
      </x:c>
      <x:c r="G302" s="65" t="n">
        <x:v>135.21649778736383</x:v>
      </x:c>
      <x:c r="H302" s="43" t="n">
        <x:v>0.7848254512493982</x:v>
      </x:c>
      <x:c r="I302" s="34" t="str">
        <x:v>generated design-reference observation; not predicted tract behavior</x:v>
      </x:c>
    </x:row>
    <x:row r="303" ht="75.5999984741211" hidden="0" customHeight="1">
      <x:c r="A303" s="36" t="str">
        <x:v>M0</x:v>
      </x:c>
      <x:c r="B303" s="36" t="str">
        <x:v>48201320602</x:v>
      </x:c>
      <x:c r="C303" s="66" t="n">
        <x:v>354.14229048222853</x:v>
      </x:c>
      <x:c r="D303" s="66" t="n">
        <x:v>61.05400241155803</x:v>
      </x:c>
      <x:c r="E303" s="66" t="n">
        <x:v>293.0882880706705</x:v>
      </x:c>
      <x:c r="F303" s="66" t="n">
        <x:v>0</x:v>
      </x:c>
      <x:c r="G303" s="66" t="n">
        <x:v>61.05400241155803</x:v>
      </x:c>
      <x:c r="H303" s="45" t="n">
        <x:v>0.17239963724304716</x:v>
      </x:c>
      <x:c r="I303" s="36" t="str">
        <x:v>generated design-reference observation; not predicted tract behavior</x:v>
      </x:c>
    </x:row>
    <x:row r="304" ht="75.5999984741211" hidden="0" customHeight="1">
      <x:c r="A304" s="34" t="str">
        <x:v>M0</x:v>
      </x:c>
      <x:c r="B304" s="34" t="str">
        <x:v>48201320700</x:v>
      </x:c>
      <x:c r="C304" s="65" t="n">
        <x:v>278.58868657611293</x:v>
      </x:c>
      <x:c r="D304" s="65" t="n">
        <x:v>48.427158589915244</x:v>
      </x:c>
      <x:c r="E304" s="65" t="n">
        <x:v>230.16152798619768</x:v>
      </x:c>
      <x:c r="F304" s="65" t="n">
        <x:v>174.77535294474234</x:v>
      </x:c>
      <x:c r="G304" s="65" t="n">
        <x:v>223.2025115346576</x:v>
      </x:c>
      <x:c r="H304" s="43" t="n">
        <x:v>0.8011901498149195</x:v>
      </x:c>
      <x:c r="I304" s="34" t="str">
        <x:v>generated design-reference observation; not predicted tract behavior</x:v>
      </x:c>
    </x:row>
    <x:row r="305" ht="75.5999984741211" hidden="0" customHeight="1">
      <x:c r="A305" s="36" t="str">
        <x:v>M0</x:v>
      </x:c>
      <x:c r="B305" s="36" t="str">
        <x:v>48201320800</x:v>
      </x:c>
      <x:c r="C305" s="66" t="n">
        <x:v>822.0251935168926</x:v>
      </x:c>
      <x:c r="D305" s="66" t="n">
        <x:v>73.56397818326873</x:v>
      </x:c>
      <x:c r="E305" s="66" t="n">
        <x:v>748.4612153336238</x:v>
      </x:c>
      <x:c r="F305" s="66" t="n">
        <x:v>748.4612153336238</x:v>
      </x:c>
      <x:c r="G305" s="66" t="n">
        <x:v>822.0251935168926</x:v>
      </x:c>
      <x:c r="H305" s="45" t="n">
        <x:v>1</x:v>
      </x:c>
      <x:c r="I305" s="36" t="str">
        <x:v>generated design-reference observation; not predicted tract behavior</x:v>
      </x:c>
    </x:row>
    <x:row r="306" ht="75.5999984741211" hidden="0" customHeight="1">
      <x:c r="A306" s="34" t="str">
        <x:v>M0</x:v>
      </x:c>
      <x:c r="B306" s="34" t="str">
        <x:v>48201320901</x:v>
      </x:c>
      <x:c r="C306" s="65" t="n">
        <x:v>225.6980200322447</x:v>
      </x:c>
      <x:c r="D306" s="65" t="n">
        <x:v>39.98293113956031</x:v>
      </x:c>
      <x:c r="E306" s="65" t="n">
        <x:v>185.71508889268438</x:v>
      </x:c>
      <x:c r="F306" s="65" t="n">
        <x:v>0</x:v>
      </x:c>
      <x:c r="G306" s="65" t="n">
        <x:v>39.98293113956031</x:v>
      </x:c>
      <x:c r="H306" s="43" t="n">
        <x:v>0.17715233449477352</x:v>
      </x:c>
      <x:c r="I306" s="34" t="str">
        <x:v>generated design-reference observation; not predicted tract behavior</x:v>
      </x:c>
    </x:row>
    <x:row r="307" ht="75.5999984741211" hidden="0" customHeight="1">
      <x:c r="A307" s="36" t="str">
        <x:v>M0</x:v>
      </x:c>
      <x:c r="B307" s="36" t="str">
        <x:v>48201320902</x:v>
      </x:c>
      <x:c r="C307" s="66" t="n">
        <x:v>521.5326182202286</x:v>
      </x:c>
      <x:c r="D307" s="66" t="n">
        <x:v>85.53134938811752</x:v>
      </x:c>
      <x:c r="E307" s="66" t="n">
        <x:v>436.0012688321111</x:v>
      </x:c>
      <x:c r="F307" s="66" t="n">
        <x:v>436.0012688321112</x:v>
      </x:c>
      <x:c r="G307" s="66" t="n">
        <x:v>521.5326182202286</x:v>
      </x:c>
      <x:c r="H307" s="45" t="n">
        <x:v>1</x:v>
      </x:c>
      <x:c r="I307" s="36" t="str">
        <x:v>generated design-reference observation; not predicted tract behavior</x:v>
      </x:c>
    </x:row>
    <x:row r="308" ht="75.5999984741211" hidden="0" customHeight="1">
      <x:c r="A308" s="34" t="str">
        <x:v>M0</x:v>
      </x:c>
      <x:c r="B308" s="34" t="str">
        <x:v>48201321001</x:v>
      </x:c>
      <x:c r="C308" s="65" t="n">
        <x:v>225.623354554547</x:v>
      </x:c>
      <x:c r="D308" s="65" t="n">
        <x:v>36.968213087335954</x:v>
      </x:c>
      <x:c r="E308" s="65" t="n">
        <x:v>188.65514146721105</x:v>
      </x:c>
      <x:c r="F308" s="65" t="n">
        <x:v>0</x:v>
      </x:c>
      <x:c r="G308" s="65" t="n">
        <x:v>36.968213087335954</x:v>
      </x:c>
      <x:c r="H308" s="43" t="n">
        <x:v>0.1638492307692308</x:v>
      </x:c>
      <x:c r="I308" s="34" t="str">
        <x:v>generated design-reference observation; not predicted tract behavior</x:v>
      </x:c>
    </x:row>
    <x:row r="309" ht="75.5999984741211" hidden="0" customHeight="1">
      <x:c r="A309" s="36" t="str">
        <x:v>M0</x:v>
      </x:c>
      <x:c r="B309" s="36" t="str">
        <x:v>48201321002</x:v>
      </x:c>
      <x:c r="C309" s="66" t="n">
        <x:v>739.1507453238007</x:v>
      </x:c>
      <x:c r="D309" s="66" t="n">
        <x:v>112.21367130282518</x:v>
      </x:c>
      <x:c r="E309" s="66" t="n">
        <x:v>626.9370740209755</x:v>
      </x:c>
      <x:c r="F309" s="66" t="n">
        <x:v>626.9370740209755</x:v>
      </x:c>
      <x:c r="G309" s="66" t="n">
        <x:v>739.1507453238007</x:v>
      </x:c>
      <x:c r="H309" s="45" t="n">
        <x:v>1</x:v>
      </x:c>
      <x:c r="I309" s="36" t="str">
        <x:v>generated design-reference observation; not predicted tract behavior</x:v>
      </x:c>
    </x:row>
    <x:row r="310" ht="75.5999984741211" hidden="0" customHeight="1">
      <x:c r="A310" s="34" t="str">
        <x:v>M0</x:v>
      </x:c>
      <x:c r="B310" s="34" t="str">
        <x:v>48201321101</x:v>
      </x:c>
      <x:c r="C310" s="65" t="n">
        <x:v>313.8386515734008</x:v>
      </x:c>
      <x:c r="D310" s="65" t="n">
        <x:v>54.72778613331422</x:v>
      </x:c>
      <x:c r="E310" s="65" t="n">
        <x:v>259.11086544008657</x:v>
      </x:c>
      <x:c r="F310" s="65" t="n">
        <x:v>0</x:v>
      </x:c>
      <x:c r="G310" s="65" t="n">
        <x:v>54.72778613331422</x:v>
      </x:c>
      <x:c r="H310" s="43" t="n">
        <x:v>0.1743819184123484</x:v>
      </x:c>
      <x:c r="I310" s="34" t="str">
        <x:v>generated design-reference observation; not predicted tract behavior</x:v>
      </x:c>
    </x:row>
    <x:row r="311" ht="75.5999984741211" hidden="0" customHeight="1">
      <x:c r="A311" s="36" t="str">
        <x:v>M0</x:v>
      </x:c>
      <x:c r="B311" s="36" t="str">
        <x:v>48201321102</x:v>
      </x:c>
      <x:c r="C311" s="66" t="n">
        <x:v>348.70349989624793</x:v>
      </x:c>
      <x:c r="D311" s="66" t="n">
        <x:v>65.5562579804946</x:v>
      </x:c>
      <x:c r="E311" s="66" t="n">
        <x:v>283.14724191575334</x:v>
      </x:c>
      <x:c r="F311" s="66" t="n">
        <x:v>93.28378854021379</x:v>
      </x:c>
      <x:c r="G311" s="66" t="n">
        <x:v>158.8400465207084</x:v>
      </x:c>
      <x:c r="H311" s="45" t="n">
        <x:v>0.4555160661363282</x:v>
      </x:c>
      <x:c r="I311" s="36" t="str">
        <x:v>generated design-reference observation; not predicted tract behavior</x:v>
      </x:c>
    </x:row>
    <x:row r="312" ht="75.5999984741211" hidden="0" customHeight="1">
      <x:c r="A312" s="34" t="str">
        <x:v>M0</x:v>
      </x:c>
      <x:c r="B312" s="34" t="str">
        <x:v>48201321200</x:v>
      </x:c>
      <x:c r="C312" s="65" t="n">
        <x:v>398.14383541808496</x:v>
      </x:c>
      <x:c r="D312" s="65" t="n">
        <x:v>68.00095481009633</x:v>
      </x:c>
      <x:c r="E312" s="65" t="n">
        <x:v>330.1428806079886</x:v>
      </x:c>
      <x:c r="F312" s="65" t="n">
        <x:v>86.93232410548683</x:v>
      </x:c>
      <x:c r="G312" s="65" t="n">
        <x:v>154.93327891558317</x:v>
      </x:c>
      <x:c r="H312" s="43" t="n">
        <x:v>0.3891389621865928</x:v>
      </x:c>
      <x:c r="I312" s="34" t="str">
        <x:v>generated design-reference observation; not predicted tract behavior</x:v>
      </x:c>
    </x:row>
    <x:row r="313" ht="75.5999984741211" hidden="0" customHeight="1">
      <x:c r="A313" s="36" t="str">
        <x:v>M0</x:v>
      </x:c>
      <x:c r="B313" s="36" t="str">
        <x:v>48201321301</x:v>
      </x:c>
      <x:c r="C313" s="66" t="n">
        <x:v>641.1388539679939</x:v>
      </x:c>
      <x:c r="D313" s="66" t="n">
        <x:v>51.86963742408453</x:v>
      </x:c>
      <x:c r="E313" s="66" t="n">
        <x:v>589.2692165439094</x:v>
      </x:c>
      <x:c r="F313" s="66" t="n">
        <x:v>589.2692165439094</x:v>
      </x:c>
      <x:c r="G313" s="66" t="n">
        <x:v>641.1388539679939</x:v>
      </x:c>
      <x:c r="H313" s="45" t="n">
        <x:v>1</x:v>
      </x:c>
      <x:c r="I313" s="36" t="str">
        <x:v>generated design-reference observation; not predicted tract behavior</x:v>
      </x:c>
    </x:row>
    <x:row r="314" ht="75.5999984741211" hidden="0" customHeight="1">
      <x:c r="A314" s="34" t="str">
        <x:v>M0</x:v>
      </x:c>
      <x:c r="B314" s="34" t="str">
        <x:v>48201321302</x:v>
      </x:c>
      <x:c r="C314" s="65" t="n">
        <x:v>334.6198375240358</x:v>
      </x:c>
      <x:c r="D314" s="65" t="n">
        <x:v>28.95489756094855</x:v>
      </x:c>
      <x:c r="E314" s="65" t="n">
        <x:v>305.66493996308725</x:v>
      </x:c>
      <x:c r="F314" s="65" t="n">
        <x:v>305.66493996308725</x:v>
      </x:c>
      <x:c r="G314" s="65" t="n">
        <x:v>334.6198375240358</x:v>
      </x:c>
      <x:c r="H314" s="43" t="n">
        <x:v>1</x:v>
      </x:c>
      <x:c r="I314" s="34" t="str">
        <x:v>generated design-reference observation; not predicted tract behavior</x:v>
      </x:c>
    </x:row>
    <x:row r="315" ht="75.5999984741211" hidden="0" customHeight="1">
      <x:c r="A315" s="36" t="str">
        <x:v>M0</x:v>
      </x:c>
      <x:c r="B315" s="36" t="str">
        <x:v>48201321401</x:v>
      </x:c>
      <x:c r="C315" s="66" t="n">
        <x:v>528.0403040658816</x:v>
      </x:c>
      <x:c r="D315" s="66" t="n">
        <x:v>85.31172959317001</x:v>
      </x:c>
      <x:c r="E315" s="66" t="n">
        <x:v>442.7285744727116</x:v>
      </x:c>
      <x:c r="F315" s="66" t="n">
        <x:v>442.7285744727116</x:v>
      </x:c>
      <x:c r="G315" s="66" t="n">
        <x:v>528.0403040658816</x:v>
      </x:c>
      <x:c r="H315" s="45" t="n">
        <x:v>1</x:v>
      </x:c>
      <x:c r="I315" s="36" t="str">
        <x:v>generated design-reference observation; not predicted tract behavior</x:v>
      </x:c>
    </x:row>
    <x:row r="316" ht="75.5999984741211" hidden="0" customHeight="1">
      <x:c r="A316" s="34" t="str">
        <x:v>M0</x:v>
      </x:c>
      <x:c r="B316" s="34" t="str">
        <x:v>48201321402</x:v>
      </x:c>
      <x:c r="C316" s="65" t="n">
        <x:v>690.8158820770263</x:v>
      </x:c>
      <x:c r="D316" s="65" t="n">
        <x:v>113.1221473808435</x:v>
      </x:c>
      <x:c r="E316" s="65" t="n">
        <x:v>577.6937346961829</x:v>
      </x:c>
      <x:c r="F316" s="65" t="n">
        <x:v>577.6937346961829</x:v>
      </x:c>
      <x:c r="G316" s="65" t="n">
        <x:v>690.8158820770263</x:v>
      </x:c>
      <x:c r="H316" s="43" t="n">
        <x:v>1</x:v>
      </x:c>
      <x:c r="I316" s="34" t="str">
        <x:v>generated design-reference observation; not predicted tract behavior</x:v>
      </x:c>
    </x:row>
    <x:row r="317" ht="75.5999984741211" hidden="0" customHeight="1">
      <x:c r="A317" s="36" t="str">
        <x:v>M0</x:v>
      </x:c>
      <x:c r="B317" s="36" t="str">
        <x:v>48201321500</x:v>
      </x:c>
      <x:c r="C317" s="66" t="n">
        <x:v>472.22921978906777</x:v>
      </x:c>
      <x:c r="D317" s="66" t="n">
        <x:v>37.85336465542836</x:v>
      </x:c>
      <x:c r="E317" s="66" t="n">
        <x:v>434.3758551336394</x:v>
      </x:c>
      <x:c r="F317" s="66" t="n">
        <x:v>434.3758551336394</x:v>
      </x:c>
      <x:c r="G317" s="66" t="n">
        <x:v>472.22921978906777</x:v>
      </x:c>
      <x:c r="H317" s="45" t="n">
        <x:v>1</x:v>
      </x:c>
      <x:c r="I317" s="36" t="str">
        <x:v>generated design-reference observation; not predicted tract behavior</x:v>
      </x:c>
    </x:row>
    <x:row r="318" ht="75.5999984741211" hidden="0" customHeight="1">
      <x:c r="A318" s="34" t="str">
        <x:v>M0</x:v>
      </x:c>
      <x:c r="B318" s="34" t="str">
        <x:v>48201321600</x:v>
      </x:c>
      <x:c r="C318" s="65" t="n">
        <x:v>562.2624851596383</x:v>
      </x:c>
      <x:c r="D318" s="65" t="n">
        <x:v>103.96875936299038</x:v>
      </x:c>
      <x:c r="E318" s="65" t="n">
        <x:v>458.29372579664795</x:v>
      </x:c>
      <x:c r="F318" s="65" t="n">
        <x:v>0</x:v>
      </x:c>
      <x:c r="G318" s="65" t="n">
        <x:v>103.96875936299038</x:v>
      </x:c>
      <x:c r="H318" s="43" t="n">
        <x:v>0.18491142857142856</x:v>
      </x:c>
      <x:c r="I318" s="34" t="str">
        <x:v>generated design-reference observation; not predicted tract behavior</x:v>
      </x:c>
    </x:row>
    <x:row r="319" ht="75.5999984741211" hidden="0" customHeight="1">
      <x:c r="A319" s="36" t="str">
        <x:v>M0</x:v>
      </x:c>
      <x:c r="B319" s="36" t="str">
        <x:v>48201321700</x:v>
      </x:c>
      <x:c r="C319" s="66" t="n">
        <x:v>257.0575206652835</x:v>
      </x:c>
      <x:c r="D319" s="66" t="n">
        <x:v>48.08695653674664</x:v>
      </x:c>
      <x:c r="E319" s="66" t="n">
        <x:v>208.97056412853686</x:v>
      </x:c>
      <x:c r="F319" s="66" t="n">
        <x:v>70.24463720697926</x:v>
      </x:c>
      <x:c r="G319" s="66" t="n">
        <x:v>118.3315937437259</x:v>
      </x:c>
      <x:c r="H319" s="45" t="n">
        <x:v>0.4603311875002729</x:v>
      </x:c>
      <x:c r="I319" s="36" t="str">
        <x:v>generated design-reference observation; not predicted tract behavior</x:v>
      </x:c>
    </x:row>
    <x:row r="320" ht="75.5999984741211" hidden="0" customHeight="1">
      <x:c r="A320" s="34" t="str">
        <x:v>M0</x:v>
      </x:c>
      <x:c r="B320" s="34" t="str">
        <x:v>48201321800</x:v>
      </x:c>
      <x:c r="C320" s="65" t="n">
        <x:v>334.4384638940009</x:v>
      </x:c>
      <x:c r="D320" s="65" t="n">
        <x:v>61.396964160091365</x:v>
      </x:c>
      <x:c r="E320" s="65" t="n">
        <x:v>273.0414997339095</x:v>
      </x:c>
      <x:c r="F320" s="65" t="n">
        <x:v>84.8833743418047</x:v>
      </x:c>
      <x:c r="G320" s="65" t="n">
        <x:v>146.28033850189607</x:v>
      </x:c>
      <x:c r="H320" s="43" t="n">
        <x:v>0.4373908933760057</x:v>
      </x:c>
      <x:c r="I320" s="34" t="str">
        <x:v>generated design-reference observation; not predicted tract behavior</x:v>
      </x:c>
    </x:row>
    <x:row r="321" ht="75.5999984741211" hidden="0" customHeight="1">
      <x:c r="A321" s="36" t="str">
        <x:v>M0</x:v>
      </x:c>
      <x:c r="B321" s="36" t="str">
        <x:v>48201321900</x:v>
      </x:c>
      <x:c r="C321" s="66" t="n">
        <x:v>428.9806777072397</x:v>
      </x:c>
      <x:c r="D321" s="66" t="n">
        <x:v>79.82355456046032</x:v>
      </x:c>
      <x:c r="E321" s="66" t="n">
        <x:v>349.1571231467794</x:v>
      </x:c>
      <x:c r="F321" s="66" t="n">
        <x:v>114.66380990100745</x:v>
      </x:c>
      <x:c r="G321" s="66" t="n">
        <x:v>194.4873644614678</x:v>
      </x:c>
      <x:c r="H321" s="45" t="n">
        <x:v>0.45337091987671485</x:v>
      </x:c>
      <x:c r="I321" s="36" t="str">
        <x:v>generated design-reference observation; not predicted tract behavior</x:v>
      </x:c>
    </x:row>
    <x:row r="322" ht="75.5999984741211" hidden="0" customHeight="1">
      <x:c r="A322" s="34" t="str">
        <x:v>M0</x:v>
      </x:c>
      <x:c r="B322" s="34" t="str">
        <x:v>48201322000</x:v>
      </x:c>
      <x:c r="C322" s="65" t="n">
        <x:v>733.5329994228522</x:v>
      </x:c>
      <x:c r="D322" s="65" t="n">
        <x:v>44.37874646508256</x:v>
      </x:c>
      <x:c r="E322" s="65" t="n">
        <x:v>689.1542529577696</x:v>
      </x:c>
      <x:c r="F322" s="65" t="n">
        <x:v>689.1542529577696</x:v>
      </x:c>
      <x:c r="G322" s="65" t="n">
        <x:v>733.5329994228522</x:v>
      </x:c>
      <x:c r="H322" s="43" t="n">
        <x:v>1</x:v>
      </x:c>
      <x:c r="I322" s="34" t="str">
        <x:v>generated design-reference observation; not predicted tract behavior</x:v>
      </x:c>
    </x:row>
    <x:row r="323" ht="75.5999984741211" hidden="0" customHeight="1">
      <x:c r="A323" s="36" t="str">
        <x:v>M0</x:v>
      </x:c>
      <x:c r="B323" s="36" t="str">
        <x:v>48201322100</x:v>
      </x:c>
      <x:c r="C323" s="66" t="n">
        <x:v>318.7940814353384</x:v>
      </x:c>
      <x:c r="D323" s="66" t="n">
        <x:v>57.87257843652259</x:v>
      </x:c>
      <x:c r="E323" s="66" t="n">
        <x:v>260.9215029988158</x:v>
      </x:c>
      <x:c r="F323" s="66" t="n">
        <x:v>260.9215029988158</x:v>
      </x:c>
      <x:c r="G323" s="66" t="n">
        <x:v>318.7940814353384</x:v>
      </x:c>
      <x:c r="H323" s="45" t="n">
        <x:v>1</x:v>
      </x:c>
      <x:c r="I323" s="36" t="str">
        <x:v>generated design-reference observation; not predicted tract behavior</x:v>
      </x:c>
    </x:row>
    <x:row r="324" ht="75.5999984741211" hidden="0" customHeight="1">
      <x:c r="A324" s="34" t="str">
        <x:v>M0</x:v>
      </x:c>
      <x:c r="B324" s="34" t="str">
        <x:v>48201322200</x:v>
      </x:c>
      <x:c r="C324" s="65" t="n">
        <x:v>239.6024248001055</x:v>
      </x:c>
      <x:c r="D324" s="65" t="n">
        <x:v>38.651791887208304</x:v>
      </x:c>
      <x:c r="E324" s="65" t="n">
        <x:v>200.9506329128972</x:v>
      </x:c>
      <x:c r="F324" s="65" t="n">
        <x:v>200.9506329128972</x:v>
      </x:c>
      <x:c r="G324" s="65" t="n">
        <x:v>239.6024248001055</x:v>
      </x:c>
      <x:c r="H324" s="43" t="n">
        <x:v>1</x:v>
      </x:c>
      <x:c r="I324" s="34" t="str">
        <x:v>generated design-reference observation; not predicted tract behavior</x:v>
      </x:c>
    </x:row>
    <x:row r="325" ht="75.5999984741211" hidden="0" customHeight="1">
      <x:c r="A325" s="36" t="str">
        <x:v>M0</x:v>
      </x:c>
      <x:c r="B325" s="36" t="str">
        <x:v>48201322600</x:v>
      </x:c>
      <x:c r="C325" s="66" t="n">
        <x:v>400.45846522671405</x:v>
      </x:c>
      <x:c r="D325" s="66" t="n">
        <x:v>73.30588419148508</x:v>
      </x:c>
      <x:c r="E325" s="66" t="n">
        <x:v>327.152581035229</x:v>
      </x:c>
      <x:c r="F325" s="66" t="n">
        <x:v>104.08510479458879</x:v>
      </x:c>
      <x:c r="G325" s="66" t="n">
        <x:v>177.39098898607386</x:v>
      </x:c>
      <x:c r="H325" s="45" t="n">
        <x:v>0.4429697568901344</x:v>
      </x:c>
      <x:c r="I325" s="36" t="str">
        <x:v>generated design-reference observation; not predicted tract behavior</x:v>
      </x:c>
    </x:row>
    <x:row r="326" ht="75.5999984741211" hidden="0" customHeight="1">
      <x:c r="A326" s="34" t="str">
        <x:v>M0</x:v>
      </x:c>
      <x:c r="B326" s="34" t="str">
        <x:v>48201322701</x:v>
      </x:c>
      <x:c r="C326" s="65" t="n">
        <x:v>233.54575471447254</x:v>
      </x:c>
      <x:c r="D326" s="65" t="n">
        <x:v>37.08264808624175</x:v>
      </x:c>
      <x:c r="E326" s="65" t="n">
        <x:v>196.46310662823078</x:v>
      </x:c>
      <x:c r="F326" s="65" t="n">
        <x:v>39.80390223344093</x:v>
      </x:c>
      <x:c r="G326" s="65" t="n">
        <x:v>76.88655031968267</x:v>
      </x:c>
      <x:c r="H326" s="43" t="n">
        <x:v>0.3292140780451451</x:v>
      </x:c>
      <x:c r="I326" s="34" t="str">
        <x:v>generated design-reference observation; not predicted tract behavior</x:v>
      </x:c>
    </x:row>
    <x:row r="327" ht="75.5999984741211" hidden="0" customHeight="1">
      <x:c r="A327" s="36" t="str">
        <x:v>M0</x:v>
      </x:c>
      <x:c r="B327" s="36" t="str">
        <x:v>48201322702</x:v>
      </x:c>
      <x:c r="C327" s="66" t="n">
        <x:v>349.0807570467204</x:v>
      </x:c>
      <x:c r="D327" s="66" t="n">
        <x:v>65.39372594497195</x:v>
      </x:c>
      <x:c r="E327" s="66" t="n">
        <x:v>283.68703110174846</x:v>
      </x:c>
      <x:c r="F327" s="66" t="n">
        <x:v>283.68703110174846</x:v>
      </x:c>
      <x:c r="G327" s="66" t="n">
        <x:v>349.0807570467204</x:v>
      </x:c>
      <x:c r="H327" s="45" t="n">
        <x:v>1</x:v>
      </x:c>
      <x:c r="I327" s="36" t="str">
        <x:v>generated design-reference observation; not predicted tract behavior</x:v>
      </x:c>
    </x:row>
    <x:row r="328" ht="75.5999984741211" hidden="0" customHeight="1">
      <x:c r="A328" s="34" t="str">
        <x:v>M0</x:v>
      </x:c>
      <x:c r="B328" s="34" t="str">
        <x:v>48201322800</x:v>
      </x:c>
      <x:c r="C328" s="65" t="n">
        <x:v>443.4343422847229</x:v>
      </x:c>
      <x:c r="D328" s="65" t="n">
        <x:v>83.36565634952791</x:v>
      </x:c>
      <x:c r="E328" s="65" t="n">
        <x:v>360.068685935195</x:v>
      </x:c>
      <x:c r="F328" s="65" t="n">
        <x:v>360.068685935195</x:v>
      </x:c>
      <x:c r="G328" s="65" t="n">
        <x:v>443.4343422847229</x:v>
      </x:c>
      <x:c r="H328" s="43" t="n">
        <x:v>1</x:v>
      </x:c>
      <x:c r="I328" s="34" t="str">
        <x:v>generated design-reference observation; not predicted tract behavior</x:v>
      </x:c>
    </x:row>
    <x:row r="329" ht="75.5999984741211" hidden="0" customHeight="1">
      <x:c r="A329" s="36" t="str">
        <x:v>M0</x:v>
      </x:c>
      <x:c r="B329" s="36" t="str">
        <x:v>48201322900</x:v>
      </x:c>
      <x:c r="C329" s="66" t="n">
        <x:v>303.9042132776211</x:v>
      </x:c>
      <x:c r="D329" s="66" t="n">
        <x:v>56.16663144406241</x:v>
      </x:c>
      <x:c r="E329" s="66" t="n">
        <x:v>247.73758183355872</x:v>
      </x:c>
      <x:c r="F329" s="66" t="n">
        <x:v>79.61291025340066</x:v>
      </x:c>
      <x:c r="G329" s="66" t="n">
        <x:v>135.77954169746306</x:v>
      </x:c>
      <x:c r="H329" s="45" t="n">
        <x:v>0.4467840055031629</x:v>
      </x:c>
      <x:c r="I329" s="36" t="str">
        <x:v>generated design-reference observation; not predicted tract behavior</x:v>
      </x:c>
    </x:row>
    <x:row r="330" ht="75.5999984741211" hidden="0" customHeight="1">
      <x:c r="A330" s="34" t="str">
        <x:v>M0</x:v>
      </x:c>
      <x:c r="B330" s="34" t="str">
        <x:v>48201323000</x:v>
      </x:c>
      <x:c r="C330" s="65" t="n">
        <x:v>529.3467987809</x:v>
      </x:c>
      <x:c r="D330" s="65" t="n">
        <x:v>76.24301472763608</x:v>
      </x:c>
      <x:c r="E330" s="65" t="n">
        <x:v>453.10378405326395</x:v>
      </x:c>
      <x:c r="F330" s="65" t="n">
        <x:v>63.71702207927274</x:v>
      </x:c>
      <x:c r="G330" s="65" t="n">
        <x:v>139.96003680690882</x:v>
      </x:c>
      <x:c r="H330" s="43" t="n">
        <x:v>0.2644014040119645</x:v>
      </x:c>
      <x:c r="I330" s="34" t="str">
        <x:v>generated design-reference observation; not predicted tract behavior</x:v>
      </x:c>
    </x:row>
    <x:row r="331" ht="75.5999984741211" hidden="0" customHeight="1">
      <x:c r="A331" s="36" t="str">
        <x:v>M0</x:v>
      </x:c>
      <x:c r="B331" s="36" t="str">
        <x:v>48201323100</x:v>
      </x:c>
      <x:c r="C331" s="66" t="n">
        <x:v>279.1781508737264</x:v>
      </x:c>
      <x:c r="D331" s="66" t="n">
        <x:v>45.392025233486756</x:v>
      </x:c>
      <x:c r="E331" s="66" t="n">
        <x:v>233.78612564023965</x:v>
      </x:c>
      <x:c r="F331" s="66" t="n">
        <x:v>53.38687316951298</x:v>
      </x:c>
      <x:c r="G331" s="66" t="n">
        <x:v>98.77889840299974</x:v>
      </x:c>
      <x:c r="H331" s="45" t="n">
        <x:v>0.3538203046830764</x:v>
      </x:c>
      <x:c r="I331" s="36" t="str">
        <x:v>generated design-reference observation; not predicted tract behavior</x:v>
      </x:c>
    </x:row>
    <x:row r="332" ht="75.5999984741211" hidden="0" customHeight="1">
      <x:c r="A332" s="34" t="str">
        <x:v>M0</x:v>
      </x:c>
      <x:c r="B332" s="34" t="str">
        <x:v>48201323200</x:v>
      </x:c>
      <x:c r="C332" s="65" t="n">
        <x:v>487.7070407974817</x:v>
      </x:c>
      <x:c r="D332" s="65" t="n">
        <x:v>88.73298225011997</x:v>
      </x:c>
      <x:c r="E332" s="65" t="n">
        <x:v>398.9740585473617</x:v>
      </x:c>
      <x:c r="F332" s="65" t="n">
        <x:v>122.80948097859515</x:v>
      </x:c>
      <x:c r="G332" s="65" t="n">
        <x:v>211.54246322871512</x:v>
      </x:c>
      <x:c r="H332" s="43" t="n">
        <x:v>0.4337490450882321</x:v>
      </x:c>
      <x:c r="I332" s="34" t="str">
        <x:v>generated design-reference observation; not predicted tract behavior</x:v>
      </x:c>
    </x:row>
    <x:row r="333" ht="75.5999984741211" hidden="0" customHeight="1">
      <x:c r="A333" s="36" t="str">
        <x:v>M0</x:v>
      </x:c>
      <x:c r="B333" s="36" t="str">
        <x:v>48201323300</x:v>
      </x:c>
      <x:c r="C333" s="66" t="n">
        <x:v>268.11194112652885</x:v>
      </x:c>
      <x:c r="D333" s="66" t="n">
        <x:v>45.80805438692425</x:v>
      </x:c>
      <x:c r="E333" s="66" t="n">
        <x:v>222.3038867396046</x:v>
      </x:c>
      <x:c r="F333" s="66" t="n">
        <x:v>161.11775617592434</x:v>
      </x:c>
      <x:c r="G333" s="66" t="n">
        <x:v>206.9258105628486</x:v>
      </x:c>
      <x:c r="H333" s="45" t="n">
        <x:v>0.7717888643579476</x:v>
      </x:c>
      <x:c r="I333" s="36" t="str">
        <x:v>generated design-reference observation; not predicted tract behavior</x:v>
      </x:c>
    </x:row>
    <x:row r="334" ht="75.5999984741211" hidden="0" customHeight="1">
      <x:c r="A334" s="34" t="str">
        <x:v>M0</x:v>
      </x:c>
      <x:c r="B334" s="34" t="str">
        <x:v>48201323400</x:v>
      </x:c>
      <x:c r="C334" s="65" t="n">
        <x:v>564.0465971004153</x:v>
      </x:c>
      <x:c r="D334" s="65" t="n">
        <x:v>99.92915855285923</x:v>
      </x:c>
      <x:c r="E334" s="65" t="n">
        <x:v>464.11743854755605</x:v>
      </x:c>
      <x:c r="F334" s="65" t="n">
        <x:v>130.74016953870722</x:v>
      </x:c>
      <x:c r="G334" s="65" t="n">
        <x:v>230.66932809156646</x:v>
      </x:c>
      <x:c r="H334" s="43" t="n">
        <x:v>0.40895438298425046</x:v>
      </x:c>
      <x:c r="I334" s="34" t="str">
        <x:v>generated design-reference observation; not predicted tract behavior</x:v>
      </x:c>
    </x:row>
    <x:row r="335" ht="75.5999984741211" hidden="0" customHeight="1">
      <x:c r="A335" s="36" t="str">
        <x:v>M0</x:v>
      </x:c>
      <x:c r="B335" s="36" t="str">
        <x:v>48201323500</x:v>
      </x:c>
      <x:c r="C335" s="66" t="n">
        <x:v>970.8325837002809</x:v>
      </x:c>
      <x:c r="D335" s="66" t="n">
        <x:v>75.24657434666844</x:v>
      </x:c>
      <x:c r="E335" s="66" t="n">
        <x:v>895.5860093536124</x:v>
      </x:c>
      <x:c r="F335" s="66" t="n">
        <x:v>895.5860093536124</x:v>
      </x:c>
      <x:c r="G335" s="66" t="n">
        <x:v>970.8325837002809</x:v>
      </x:c>
      <x:c r="H335" s="45" t="n">
        <x:v>1</x:v>
      </x:c>
      <x:c r="I335" s="36" t="str">
        <x:v>generated design-reference observation; not predicted tract behavior</x:v>
      </x:c>
    </x:row>
    <x:row r="336" ht="75.5999984741211" hidden="0" customHeight="1">
      <x:c r="A336" s="34" t="str">
        <x:v>M0</x:v>
      </x:c>
      <x:c r="B336" s="34" t="str">
        <x:v>48201323601</x:v>
      </x:c>
      <x:c r="C336" s="65" t="n">
        <x:v>601.4464441923839</x:v>
      </x:c>
      <x:c r="D336" s="65" t="n">
        <x:v>85.74380980400343</x:v>
      </x:c>
      <x:c r="E336" s="65" t="n">
        <x:v>515.7026343883804</x:v>
      </x:c>
      <x:c r="F336" s="65" t="n">
        <x:v>515.7026343883804</x:v>
      </x:c>
      <x:c r="G336" s="65" t="n">
        <x:v>601.4464441923838</x:v>
      </x:c>
      <x:c r="H336" s="43" t="n">
        <x:v>0.9999999999999998</x:v>
      </x:c>
      <x:c r="I336" s="34" t="str">
        <x:v>generated design-reference observation; not predicted tract behavior</x:v>
      </x:c>
    </x:row>
    <x:row r="337" ht="75.5999984741211" hidden="0" customHeight="1">
      <x:c r="A337" s="36" t="str">
        <x:v>M0</x:v>
      </x:c>
      <x:c r="B337" s="36" t="str">
        <x:v>48201323602</x:v>
      </x:c>
      <x:c r="C337" s="66" t="n">
        <x:v>350.06712730472714</x:v>
      </x:c>
      <x:c r="D337" s="66" t="n">
        <x:v>65.66573497869487</x:v>
      </x:c>
      <x:c r="E337" s="66" t="n">
        <x:v>284.40139232603224</x:v>
      </x:c>
      <x:c r="F337" s="66" t="n">
        <x:v>92.93823942371465</x:v>
      </x:c>
      <x:c r="G337" s="66" t="n">
        <x:v>158.6039744024095</x:v>
      </x:c>
      <x:c r="H337" s="45" t="n">
        <x:v>0.4530673177557389</x:v>
      </x:c>
      <x:c r="I337" s="36" t="str">
        <x:v>generated design-reference observation; not predicted tract behavior</x:v>
      </x:c>
    </x:row>
    <x:row r="338" ht="75.5999984741211" hidden="0" customHeight="1">
      <x:c r="A338" s="34" t="str">
        <x:v>M0</x:v>
      </x:c>
      <x:c r="B338" s="34" t="str">
        <x:v>48201323701</x:v>
      </x:c>
      <x:c r="C338" s="65" t="n">
        <x:v>317.57192545828644</x:v>
      </x:c>
      <x:c r="D338" s="65" t="n">
        <x:v>48.28094528769151</x:v>
      </x:c>
      <x:c r="E338" s="65" t="n">
        <x:v>269.29098017059493</x:v>
      </x:c>
      <x:c r="F338" s="65" t="n">
        <x:v>145.5943031238781</x:v>
      </x:c>
      <x:c r="G338" s="65" t="n">
        <x:v>193.8752484115696</x:v>
      </x:c>
      <x:c r="H338" s="43" t="n">
        <x:v>0.6104924046160227</x:v>
      </x:c>
      <x:c r="I338" s="34" t="str">
        <x:v>generated design-reference observation; not predicted tract behavior</x:v>
      </x:c>
    </x:row>
    <x:row r="339" ht="75.5999984741211" hidden="0" customHeight="1">
      <x:c r="A339" s="36" t="str">
        <x:v>M0</x:v>
      </x:c>
      <x:c r="B339" s="36" t="str">
        <x:v>48201323702</x:v>
      </x:c>
      <x:c r="C339" s="66" t="n">
        <x:v>290.44084872012854</x:v>
      </x:c>
      <x:c r="D339" s="66" t="n">
        <x:v>48.99689946541027</x:v>
      </x:c>
      <x:c r="E339" s="66" t="n">
        <x:v>241.44394925471826</x:v>
      </x:c>
      <x:c r="F339" s="66" t="n">
        <x:v>0</x:v>
      </x:c>
      <x:c r="G339" s="66" t="n">
        <x:v>48.99689946541027</x:v>
      </x:c>
      <x:c r="H339" s="45" t="n">
        <x:v>0.1686983758700696</x:v>
      </x:c>
      <x:c r="I339" s="36" t="str">
        <x:v>generated design-reference observation; not predicted tract behavior</x:v>
      </x:c>
    </x:row>
    <x:row r="340" ht="75.5999984741211" hidden="0" customHeight="1">
      <x:c r="A340" s="34" t="str">
        <x:v>M0</x:v>
      </x:c>
      <x:c r="B340" s="34" t="str">
        <x:v>48201323801</x:v>
      </x:c>
      <x:c r="C340" s="65" t="n">
        <x:v>329.69917094118836</x:v>
      </x:c>
      <x:c r="D340" s="65" t="n">
        <x:v>61.98344413694341</x:v>
      </x:c>
      <x:c r="E340" s="65" t="n">
        <x:v>267.7157268042449</x:v>
      </x:c>
      <x:c r="F340" s="65" t="n">
        <x:v>90.17815903698325</x:v>
      </x:c>
      <x:c r="G340" s="65" t="n">
        <x:v>152.16160317392666</x:v>
      </x:c>
      <x:c r="H340" s="43" t="n">
        <x:v>0.4615164871041462</x:v>
      </x:c>
      <x:c r="I340" s="34" t="str">
        <x:v>generated design-reference observation; not predicted tract behavior</x:v>
      </x:c>
    </x:row>
    <x:row r="341" ht="75.5999984741211" hidden="0" customHeight="1">
      <x:c r="A341" s="36" t="str">
        <x:v>M0</x:v>
      </x:c>
      <x:c r="B341" s="36" t="str">
        <x:v>48201323802</x:v>
      </x:c>
      <x:c r="C341" s="66" t="n">
        <x:v>404.2153176835042</x:v>
      </x:c>
      <x:c r="D341" s="66" t="n">
        <x:v>70.09083886074713</x:v>
      </x:c>
      <x:c r="E341" s="66" t="n">
        <x:v>334.1244788227571</x:v>
      </x:c>
      <x:c r="F341" s="66" t="n">
        <x:v>91.70676258318983</x:v>
      </x:c>
      <x:c r="G341" s="66" t="n">
        <x:v>161.79760144393697</x:v>
      </x:c>
      <x:c r="H341" s="45" t="n">
        <x:v>0.4002757796789447</x:v>
      </x:c>
      <x:c r="I341" s="36" t="str">
        <x:v>generated design-reference observation; not predicted tract behavior</x:v>
      </x:c>
    </x:row>
    <x:row r="342" ht="75.5999984741211" hidden="0" customHeight="1">
      <x:c r="A342" s="34" t="str">
        <x:v>M0</x:v>
      </x:c>
      <x:c r="B342" s="34" t="str">
        <x:v>48201323900</x:v>
      </x:c>
      <x:c r="C342" s="65" t="n">
        <x:v>267.46746016113804</x:v>
      </x:c>
      <x:c r="D342" s="65" t="n">
        <x:v>42.01392321693428</x:v>
      </x:c>
      <x:c r="E342" s="65" t="n">
        <x:v>225.45353694420376</x:v>
      </x:c>
      <x:c r="F342" s="65" t="n">
        <x:v>225.45353694420376</x:v>
      </x:c>
      <x:c r="G342" s="65" t="n">
        <x:v>267.46746016113804</x:v>
      </x:c>
      <x:c r="H342" s="43" t="n">
        <x:v>1</x:v>
      </x:c>
      <x:c r="I342" s="34" t="str">
        <x:v>generated design-reference observation; not predicted tract behavior</x:v>
      </x:c>
    </x:row>
    <x:row r="343" ht="75.5999984741211" hidden="0" customHeight="1">
      <x:c r="A343" s="36" t="str">
        <x:v>M0</x:v>
      </x:c>
      <x:c r="B343" s="36" t="str">
        <x:v>48201324000</x:v>
      </x:c>
      <x:c r="C343" s="66" t="n">
        <x:v>491.89616707252173</x:v>
      </x:c>
      <x:c r="D343" s="66" t="n">
        <x:v>88.20980598032062</x:v>
      </x:c>
      <x:c r="E343" s="66" t="n">
        <x:v>403.6863610922011</x:v>
      </x:c>
      <x:c r="F343" s="66" t="n">
        <x:v>117.54150829029942</x:v>
      </x:c>
      <x:c r="G343" s="66" t="n">
        <x:v>205.75131427062004</x:v>
      </x:c>
      <x:c r="H343" s="45" t="n">
        <x:v>0.4182820034868975</x:v>
      </x:c>
      <x:c r="I343" s="36" t="str">
        <x:v>generated design-reference observation; not predicted tract behavior</x:v>
      </x:c>
    </x:row>
    <x:row r="344" ht="75.5999984741211" hidden="0" customHeight="1">
      <x:c r="A344" s="34" t="str">
        <x:v>M0</x:v>
      </x:c>
      <x:c r="B344" s="34" t="str">
        <x:v>48201324101</x:v>
      </x:c>
      <x:c r="C344" s="65" t="n">
        <x:v>731.9477938963472</x:v>
      </x:c>
      <x:c r="D344" s="65" t="n">
        <x:v>118.58784636486212</x:v>
      </x:c>
      <x:c r="E344" s="65" t="n">
        <x:v>613.3599475314851</x:v>
      </x:c>
      <x:c r="F344" s="65" t="n">
        <x:v>613.3599475314851</x:v>
      </x:c>
      <x:c r="G344" s="65" t="n">
        <x:v>731.9477938963472</x:v>
      </x:c>
      <x:c r="H344" s="43" t="n">
        <x:v>1</x:v>
      </x:c>
      <x:c r="I344" s="34" t="str">
        <x:v>generated design-reference observation; not predicted tract behavior</x:v>
      </x:c>
    </x:row>
    <x:row r="345" ht="75.5999984741211" hidden="0" customHeight="1">
      <x:c r="A345" s="36" t="str">
        <x:v>M0</x:v>
      </x:c>
      <x:c r="B345" s="36" t="str">
        <x:v>48201324200</x:v>
      </x:c>
      <x:c r="C345" s="66" t="n">
        <x:v>105.70817905695563</x:v>
      </x:c>
      <x:c r="D345" s="66" t="n">
        <x:v>17.336141365340726</x:v>
      </x:c>
      <x:c r="E345" s="66" t="n">
        <x:v>88.3720376916149</x:v>
      </x:c>
      <x:c r="F345" s="66" t="n">
        <x:v>88.3720376916149</x:v>
      </x:c>
      <x:c r="G345" s="66" t="n">
        <x:v>105.70817905695563</x:v>
      </x:c>
      <x:c r="H345" s="45" t="n">
        <x:v>1</x:v>
      </x:c>
      <x:c r="I345" s="36" t="str">
        <x:v>generated design-reference observation; not predicted tract behavior</x:v>
      </x:c>
    </x:row>
    <x:row r="346" ht="75.5999984741211" hidden="0" customHeight="1">
      <x:c r="A346" s="34" t="str">
        <x:v>M0</x:v>
      </x:c>
      <x:c r="B346" s="34" t="str">
        <x:v>48201330101</x:v>
      </x:c>
      <x:c r="C346" s="65" t="n">
        <x:v>422.52014900539564</x:v>
      </x:c>
      <x:c r="D346" s="65" t="n">
        <x:v>79.43378801301438</x:v>
      </x:c>
      <x:c r="E346" s="65" t="n">
        <x:v>343.0863609923813</x:v>
      </x:c>
      <x:c r="F346" s="65" t="n">
        <x:v>116.358992718497</x:v>
      </x:c>
      <x:c r="G346" s="65" t="n">
        <x:v>195.79278073151139</x:v>
      </x:c>
      <x:c r="H346" s="43" t="n">
        <x:v>0.4633927664571828</x:v>
      </x:c>
      <x:c r="I346" s="34" t="str">
        <x:v>generated design-reference observation; not predicted tract behavior</x:v>
      </x:c>
    </x:row>
    <x:row r="347" ht="75.5999984741211" hidden="0" customHeight="1">
      <x:c r="A347" s="36" t="str">
        <x:v>M0</x:v>
      </x:c>
      <x:c r="B347" s="36" t="str">
        <x:v>48201330102</x:v>
      </x:c>
      <x:c r="C347" s="66" t="n">
        <x:v>295.50177757686976</x:v>
      </x:c>
      <x:c r="D347" s="66" t="n">
        <x:v>48.46229152260665</x:v>
      </x:c>
      <x:c r="E347" s="66" t="n">
        <x:v>247.0394860542631</x:v>
      </x:c>
      <x:c r="F347" s="66" t="n">
        <x:v>247.0394860542631</x:v>
      </x:c>
      <x:c r="G347" s="66" t="n">
        <x:v>295.50177757686976</x:v>
      </x:c>
      <x:c r="H347" s="45" t="n">
        <x:v>1</x:v>
      </x:c>
      <x:c r="I347" s="36" t="str">
        <x:v>generated design-reference observation; not predicted tract behavior</x:v>
      </x:c>
    </x:row>
    <x:row r="348" ht="75.5999984741211" hidden="0" customHeight="1">
      <x:c r="A348" s="34" t="str">
        <x:v>M0</x:v>
      </x:c>
      <x:c r="B348" s="34" t="str">
        <x:v>48201330200</x:v>
      </x:c>
      <x:c r="C348" s="65" t="n">
        <x:v>492.91004566441694</x:v>
      </x:c>
      <x:c r="D348" s="65" t="n">
        <x:v>86.4603061037072</x:v>
      </x:c>
      <x:c r="E348" s="65" t="n">
        <x:v>406.44973956070976</x:v>
      </x:c>
      <x:c r="F348" s="65" t="n">
        <x:v>316.17349356246234</x:v>
      </x:c>
      <x:c r="G348" s="65" t="n">
        <x:v>402.6337996661695</x:v>
      </x:c>
      <x:c r="H348" s="43" t="n">
        <x:v>0.8168504643143156</x:v>
      </x:c>
      <x:c r="I348" s="34" t="str">
        <x:v>generated design-reference observation; not predicted tract behavior</x:v>
      </x:c>
    </x:row>
    <x:row r="349" ht="75.5999984741211" hidden="0" customHeight="1">
      <x:c r="A349" s="36" t="str">
        <x:v>M0</x:v>
      </x:c>
      <x:c r="B349" s="36" t="str">
        <x:v>48201330301</x:v>
      </x:c>
      <x:c r="C349" s="66" t="n">
        <x:v>641.3214367555624</x:v>
      </x:c>
      <x:c r="D349" s="66" t="n">
        <x:v>120.56843011004574</x:v>
      </x:c>
      <x:c r="E349" s="66" t="n">
        <x:v>520.7530066455167</x:v>
      </x:c>
      <x:c r="F349" s="66" t="n">
        <x:v>174.44141368181397</x:v>
      </x:c>
      <x:c r="G349" s="66" t="n">
        <x:v>295.0098437918597</x:v>
      </x:c>
      <x:c r="H349" s="45" t="n">
        <x:v>0.4600030918727916</x:v>
      </x:c>
      <x:c r="I349" s="36" t="str">
        <x:v>generated design-reference observation; not predicted tract behavior</x:v>
      </x:c>
    </x:row>
    <x:row r="350" ht="75.5999984741211" hidden="0" customHeight="1">
      <x:c r="A350" s="34" t="str">
        <x:v>M0</x:v>
      </x:c>
      <x:c r="B350" s="34" t="str">
        <x:v>48201330302</x:v>
      </x:c>
      <x:c r="C350" s="65" t="n">
        <x:v>419.2741656065372</x:v>
      </x:c>
      <x:c r="D350" s="65" t="n">
        <x:v>78.51870070201895</x:v>
      </x:c>
      <x:c r="E350" s="65" t="n">
        <x:v>340.75546490451825</x:v>
      </x:c>
      <x:c r="F350" s="65" t="n">
        <x:v>340.75546490451825</x:v>
      </x:c>
      <x:c r="G350" s="65" t="n">
        <x:v>419.27416560653717</x:v>
      </x:c>
      <x:c r="H350" s="43" t="n">
        <x:v>0.9999999999999999</x:v>
      </x:c>
      <x:c r="I350" s="34" t="str">
        <x:v>generated design-reference observation; not predicted tract behavior</x:v>
      </x:c>
    </x:row>
    <x:row r="351" ht="75.5999984741211" hidden="0" customHeight="1">
      <x:c r="A351" s="36" t="str">
        <x:v>M0</x:v>
      </x:c>
      <x:c r="B351" s="36" t="str">
        <x:v>48201330303</x:v>
      </x:c>
      <x:c r="C351" s="66" t="n">
        <x:v>823.1509191806429</x:v>
      </x:c>
      <x:c r="D351" s="66" t="n">
        <x:v>62.95031297140699</x:v>
      </x:c>
      <x:c r="E351" s="66" t="n">
        <x:v>760.2006062092358</x:v>
      </x:c>
      <x:c r="F351" s="66" t="n">
        <x:v>760.2006062092358</x:v>
      </x:c>
      <x:c r="G351" s="66" t="n">
        <x:v>823.1509191806429</x:v>
      </x:c>
      <x:c r="H351" s="45" t="n">
        <x:v>1</x:v>
      </x:c>
      <x:c r="I351" s="36" t="str">
        <x:v>generated design-reference observation; not predicted tract behavior</x:v>
      </x:c>
    </x:row>
    <x:row r="352" ht="75.5999984741211" hidden="0" customHeight="1">
      <x:c r="A352" s="34" t="str">
        <x:v>M0</x:v>
      </x:c>
      <x:c r="B352" s="34" t="str">
        <x:v>48201330400</x:v>
      </x:c>
      <x:c r="C352" s="65" t="n">
        <x:v>878.8531792794357</x:v>
      </x:c>
      <x:c r="D352" s="65" t="n">
        <x:v>77.40701304120901</x:v>
      </x:c>
      <x:c r="E352" s="65" t="n">
        <x:v>801.4461662382267</x:v>
      </x:c>
      <x:c r="F352" s="65" t="n">
        <x:v>801.4461662382267</x:v>
      </x:c>
      <x:c r="G352" s="65" t="n">
        <x:v>878.8531792794357</x:v>
      </x:c>
      <x:c r="H352" s="43" t="n">
        <x:v>1</x:v>
      </x:c>
      <x:c r="I352" s="34" t="str">
        <x:v>generated design-reference observation; not predicted tract behavior</x:v>
      </x:c>
    </x:row>
    <x:row r="353" ht="75.5999984741211" hidden="0" customHeight="1">
      <x:c r="A353" s="36" t="str">
        <x:v>M0</x:v>
      </x:c>
      <x:c r="B353" s="36" t="str">
        <x:v>48201330500</x:v>
      </x:c>
      <x:c r="C353" s="66" t="n">
        <x:v>438.7893636195286</x:v>
      </x:c>
      <x:c r="D353" s="66" t="n">
        <x:v>82.33091442175593</x:v>
      </x:c>
      <x:c r="E353" s="66" t="n">
        <x:v>356.45844919777267</x:v>
      </x:c>
      <x:c r="F353" s="66" t="n">
        <x:v>0</x:v>
      </x:c>
      <x:c r="G353" s="66" t="n">
        <x:v>82.33091442175593</x:v>
      </x:c>
      <x:c r="H353" s="45" t="n">
        <x:v>0.18763197389885808</x:v>
      </x:c>
      <x:c r="I353" s="36" t="str">
        <x:v>generated design-reference observation; not predicted tract behavior</x:v>
      </x:c>
    </x:row>
    <x:row r="354" ht="75.5999984741211" hidden="0" customHeight="1">
      <x:c r="A354" s="34" t="str">
        <x:v>M0</x:v>
      </x:c>
      <x:c r="B354" s="34" t="str">
        <x:v>48201330600</x:v>
      </x:c>
      <x:c r="C354" s="65" t="n">
        <x:v>582.9801903397613</x:v>
      </x:c>
      <x:c r="D354" s="65" t="n">
        <x:v>107.48514420912821</x:v>
      </x:c>
      <x:c r="E354" s="65" t="n">
        <x:v>475.4950461306331</x:v>
      </x:c>
      <x:c r="F354" s="65" t="n">
        <x:v>0</x:v>
      </x:c>
      <x:c r="G354" s="65" t="n">
        <x:v>107.48514420912821</x:v>
      </x:c>
      <x:c r="H354" s="43" t="n">
        <x:v>0.18437186372745493</x:v>
      </x:c>
      <x:c r="I354" s="34" t="str">
        <x:v>generated design-reference observation; not predicted tract behavior</x:v>
      </x:c>
    </x:row>
    <x:row r="355" ht="75.5999984741211" hidden="0" customHeight="1">
      <x:c r="A355" s="36" t="str">
        <x:v>M0</x:v>
      </x:c>
      <x:c r="B355" s="36" t="str">
        <x:v>48201330700</x:v>
      </x:c>
      <x:c r="C355" s="66" t="n">
        <x:v>718.0303906850006</x:v>
      </x:c>
      <x:c r="D355" s="66" t="n">
        <x:v>134.98971344878012</x:v>
      </x:c>
      <x:c r="E355" s="66" t="n">
        <x:v>583.0406772362205</x:v>
      </x:c>
      <x:c r="F355" s="66" t="n">
        <x:v>0</x:v>
      </x:c>
      <x:c r="G355" s="66" t="n">
        <x:v>134.98971344878012</x:v>
      </x:c>
      <x:c r="H355" s="45" t="n">
        <x:v>0.188</x:v>
      </x:c>
      <x:c r="I355" s="36" t="str">
        <x:v>generated design-reference observation; not predicted tract behavior</x:v>
      </x:c>
    </x:row>
    <x:row r="356" ht="75.5999984741211" hidden="0" customHeight="1">
      <x:c r="A356" s="34" t="str">
        <x:v>M0</x:v>
      </x:c>
      <x:c r="B356" s="34" t="str">
        <x:v>48201330801</x:v>
      </x:c>
      <x:c r="C356" s="65" t="n">
        <x:v>545.9382538777284</x:v>
      </x:c>
      <x:c r="D356" s="65" t="n">
        <x:v>95.05865813078164</x:v>
      </x:c>
      <x:c r="E356" s="65" t="n">
        <x:v>450.87959574694673</x:v>
      </x:c>
      <x:c r="F356" s="65" t="n">
        <x:v>0</x:v>
      </x:c>
      <x:c r="G356" s="65" t="n">
        <x:v>95.05865813078164</x:v>
      </x:c>
      <x:c r="H356" s="43" t="n">
        <x:v>0.17411979734996103</x:v>
      </x:c>
      <x:c r="I356" s="34" t="str">
        <x:v>generated design-reference observation; not predicted tract behavior</x:v>
      </x:c>
    </x:row>
    <x:row r="357" ht="75.5999984741211" hidden="0" customHeight="1">
      <x:c r="A357" s="36" t="str">
        <x:v>M0</x:v>
      </x:c>
      <x:c r="B357" s="36" t="str">
        <x:v>48201330802</x:v>
      </x:c>
      <x:c r="C357" s="66" t="n">
        <x:v>1455.7053592390837</x:v>
      </x:c>
      <x:c r="D357" s="66" t="n">
        <x:v>235.21799978041477</x:v>
      </x:c>
      <x:c r="E357" s="66" t="n">
        <x:v>1220.4873594586688</x:v>
      </x:c>
      <x:c r="F357" s="66" t="n">
        <x:v>1220.4873594586688</x:v>
      </x:c>
      <x:c r="G357" s="66" t="n">
        <x:v>1455.7053592390837</x:v>
      </x:c>
      <x:c r="H357" s="45" t="n">
        <x:v>1</x:v>
      </x:c>
      <x:c r="I357" s="36" t="str">
        <x:v>generated design-reference observation; not predicted tract behavior</x:v>
      </x:c>
    </x:row>
    <x:row r="358" ht="75.5999984741211" hidden="0" customHeight="1">
      <x:c r="A358" s="34" t="str">
        <x:v>M0</x:v>
      </x:c>
      <x:c r="B358" s="34" t="str">
        <x:v>48201330901</x:v>
      </x:c>
      <x:c r="C358" s="65" t="n">
        <x:v>834.1862954107347</x:v>
      </x:c>
      <x:c r="D358" s="65" t="n">
        <x:v>155.38710187472495</x:v>
      </x:c>
      <x:c r="E358" s="65" t="n">
        <x:v>678.7991935360097</x:v>
      </x:c>
      <x:c r="F358" s="65" t="n">
        <x:v>223.91905121419515</x:v>
      </x:c>
      <x:c r="G358" s="65" t="n">
        <x:v>379.3061530889201</x:v>
      </x:c>
      <x:c r="H358" s="43" t="n">
        <x:v>0.4547019714608932</x:v>
      </x:c>
      <x:c r="I358" s="34" t="str">
        <x:v>generated design-reference observation; not predicted tract behavior</x:v>
      </x:c>
    </x:row>
    <x:row r="359" ht="75.5999984741211" hidden="0" customHeight="1">
      <x:c r="A359" s="36" t="str">
        <x:v>M0</x:v>
      </x:c>
      <x:c r="B359" s="36" t="str">
        <x:v>48201330902</x:v>
      </x:c>
      <x:c r="C359" s="66" t="n">
        <x:v>289.4741272720423</x:v>
      </x:c>
      <x:c r="D359" s="66" t="n">
        <x:v>53.92834611363045</x:v>
      </x:c>
      <x:c r="E359" s="66" t="n">
        <x:v>235.54578115841187</x:v>
      </x:c>
      <x:c r="F359" s="66" t="n">
        <x:v>22.000768189133815</x:v>
      </x:c>
      <x:c r="G359" s="66" t="n">
        <x:v>75.92911430276426</x:v>
      </x:c>
      <x:c r="H359" s="45" t="n">
        <x:v>0.2623001752118852</x:v>
      </x:c>
      <x:c r="I359" s="36" t="str">
        <x:v>generated design-reference observation; not predicted tract behavior</x:v>
      </x:c>
    </x:row>
    <x:row r="360" ht="75.5999984741211" hidden="0" customHeight="1">
      <x:c r="A360" s="34" t="str">
        <x:v>M0</x:v>
      </x:c>
      <x:c r="B360" s="34" t="str">
        <x:v>48201331100</x:v>
      </x:c>
      <x:c r="C360" s="65" t="n">
        <x:v>342.2429711944038</x:v>
      </x:c>
      <x:c r="D360" s="65" t="n">
        <x:v>62.051811520273</x:v>
      </x:c>
      <x:c r="E360" s="65" t="n">
        <x:v>280.1911596741308</x:v>
      </x:c>
      <x:c r="F360" s="65" t="n">
        <x:v>220.01991609576976</x:v>
      </x:c>
      <x:c r="G360" s="65" t="n">
        <x:v>282.0717276160428</x:v>
      </x:c>
      <x:c r="H360" s="43" t="n">
        <x:v>0.8241855972428954</x:v>
      </x:c>
      <x:c r="I360" s="34" t="str">
        <x:v>generated design-reference observation; not predicted tract behavior</x:v>
      </x:c>
    </x:row>
    <x:row r="361" ht="75.5999984741211" hidden="0" customHeight="1">
      <x:c r="A361" s="36" t="str">
        <x:v>M0</x:v>
      </x:c>
      <x:c r="B361" s="36" t="str">
        <x:v>48201331200</x:v>
      </x:c>
      <x:c r="C361" s="66" t="n">
        <x:v>425.7386240703654</x:v>
      </x:c>
      <x:c r="D361" s="66" t="n">
        <x:v>73.64323268662397</x:v>
      </x:c>
      <x:c r="E361" s="66" t="n">
        <x:v>352.09539138374146</x:v>
      </x:c>
      <x:c r="F361" s="66" t="n">
        <x:v>257.21812038376095</x:v>
      </x:c>
      <x:c r="G361" s="66" t="n">
        <x:v>330.8613530703849</x:v>
      </x:c>
      <x:c r="H361" s="45" t="n">
        <x:v>0.7771466678477841</x:v>
      </x:c>
      <x:c r="I361" s="36" t="str">
        <x:v>generated design-reference observation; not predicted tract behavior</x:v>
      </x:c>
    </x:row>
    <x:row r="362" ht="75.5999984741211" hidden="0" customHeight="1">
      <x:c r="A362" s="34" t="str">
        <x:v>M0</x:v>
      </x:c>
      <x:c r="B362" s="34" t="str">
        <x:v>48201331300</x:v>
      </x:c>
      <x:c r="C362" s="65" t="n">
        <x:v>859.6194126823821</x:v>
      </x:c>
      <x:c r="D362" s="65" t="n">
        <x:v>137.46853465381682</x:v>
      </x:c>
      <x:c r="E362" s="65" t="n">
        <x:v>722.1508780285652</x:v>
      </x:c>
      <x:c r="F362" s="65" t="n">
        <x:v>722.1508780285652</x:v>
      </x:c>
      <x:c r="G362" s="65" t="n">
        <x:v>859.6194126823821</x:v>
      </x:c>
      <x:c r="H362" s="43" t="n">
        <x:v>1</x:v>
      </x:c>
      <x:c r="I362" s="34" t="str">
        <x:v>generated design-reference observation; not predicted tract behavior</x:v>
      </x:c>
    </x:row>
    <x:row r="363" ht="75.5999984741211" hidden="0" customHeight="1">
      <x:c r="A363" s="36" t="str">
        <x:v>M0</x:v>
      </x:c>
      <x:c r="B363" s="36" t="str">
        <x:v>48201331400</x:v>
      </x:c>
      <x:c r="C363" s="66" t="n">
        <x:v>283.7248854893187</x:v>
      </x:c>
      <x:c r="D363" s="66" t="n">
        <x:v>41.33871581579374</x:v>
      </x:c>
      <x:c r="E363" s="66" t="n">
        <x:v>242.38616967352496</x:v>
      </x:c>
      <x:c r="F363" s="66" t="n">
        <x:v>0</x:v>
      </x:c>
      <x:c r="G363" s="66" t="n">
        <x:v>41.33871581579374</x:v>
      </x:c>
      <x:c r="H363" s="45" t="n">
        <x:v>0.14570000000000002</x:v>
      </x:c>
      <x:c r="I363" s="36" t="str">
        <x:v>generated design-reference observation; not predicted tract behavior</x:v>
      </x:c>
    </x:row>
    <x:row r="364" ht="75.5999984741211" hidden="0" customHeight="1">
      <x:c r="A364" s="34" t="str">
        <x:v>M0</x:v>
      </x:c>
      <x:c r="B364" s="34" t="str">
        <x:v>48201331501</x:v>
      </x:c>
      <x:c r="C364" s="65" t="n">
        <x:v>657.5265660204161</x:v>
      </x:c>
      <x:c r="D364" s="65" t="n">
        <x:v>107.83435682734826</x:v>
      </x:c>
      <x:c r="E364" s="65" t="n">
        <x:v>549.6922091930678</x:v>
      </x:c>
      <x:c r="F364" s="65" t="n">
        <x:v>549.6922091930678</x:v>
      </x:c>
      <x:c r="G364" s="65" t="n">
        <x:v>657.5265660204161</x:v>
      </x:c>
      <x:c r="H364" s="43" t="n">
        <x:v>1</x:v>
      </x:c>
      <x:c r="I364" s="34" t="str">
        <x:v>generated design-reference observation; not predicted tract behavior</x:v>
      </x:c>
    </x:row>
    <x:row r="365" ht="75.5999984741211" hidden="0" customHeight="1">
      <x:c r="A365" s="36" t="str">
        <x:v>M0</x:v>
      </x:c>
      <x:c r="B365" s="36" t="str">
        <x:v>48201331502</x:v>
      </x:c>
      <x:c r="C365" s="66" t="n">
        <x:v>500.5730815333925</x:v>
      </x:c>
      <x:c r="D365" s="66" t="n">
        <x:v>94.10773932827779</x:v>
      </x:c>
      <x:c r="E365" s="66" t="n">
        <x:v>406.4653422051147</x:v>
      </x:c>
      <x:c r="F365" s="66" t="n">
        <x:v>334.5148867669308</x:v>
      </x:c>
      <x:c r="G365" s="66" t="n">
        <x:v>428.62262609520855</x:v>
      </x:c>
      <x:c r="H365" s="45" t="n">
        <x:v>0.8562638342082239</x:v>
      </x:c>
      <x:c r="I365" s="36" t="str">
        <x:v>generated design-reference observation; not predicted tract behavior</x:v>
      </x:c>
    </x:row>
    <x:row r="366" ht="75.5999984741211" hidden="0" customHeight="1">
      <x:c r="A366" s="34" t="str">
        <x:v>M0</x:v>
      </x:c>
      <x:c r="B366" s="34" t="str">
        <x:v>48201331602</x:v>
      </x:c>
      <x:c r="C366" s="65" t="n">
        <x:v>271.2793292857054</x:v>
      </x:c>
      <x:c r="D366" s="65" t="n">
        <x:v>49.765800724404166</x:v>
      </x:c>
      <x:c r="E366" s="65" t="n">
        <x:v>221.51352856130123</x:v>
      </x:c>
      <x:c r="F366" s="65" t="n">
        <x:v>179.88912276025619</x:v>
      </x:c>
      <x:c r="G366" s="65" t="n">
        <x:v>229.65492348466034</x:v>
      </x:c>
      <x:c r="H366" s="43" t="n">
        <x:v>0.8465625600349109</x:v>
      </x:c>
      <x:c r="I366" s="34" t="str">
        <x:v>generated design-reference observation; not predicted tract behavior</x:v>
      </x:c>
    </x:row>
    <x:row r="367" ht="75.5999984741211" hidden="0" customHeight="1">
      <x:c r="A367" s="36" t="str">
        <x:v>M0</x:v>
      </x:c>
      <x:c r="B367" s="36" t="str">
        <x:v>48201331603</x:v>
      </x:c>
      <x:c r="C367" s="66" t="n">
        <x:v>369.3347503127207</x:v>
      </x:c>
      <x:c r="D367" s="66" t="n">
        <x:v>69.43493305879149</x:v>
      </x:c>
      <x:c r="E367" s="66" t="n">
        <x:v>299.8998172539292</x:v>
      </x:c>
      <x:c r="F367" s="66" t="n">
        <x:v>99.13943282199064</x:v>
      </x:c>
      <x:c r="G367" s="66" t="n">
        <x:v>168.57436588078212</x:v>
      </x:c>
      <x:c r="H367" s="45" t="n">
        <x:v>0.45642703736393053</x:v>
      </x:c>
      <x:c r="I367" s="36" t="str">
        <x:v>generated design-reference observation; not predicted tract behavior</x:v>
      </x:c>
    </x:row>
    <x:row r="368" ht="75.5999984741211" hidden="0" customHeight="1">
      <x:c r="A368" s="34" t="str">
        <x:v>M0</x:v>
      </x:c>
      <x:c r="B368" s="34" t="str">
        <x:v>48201331604</x:v>
      </x:c>
      <x:c r="C368" s="65" t="n">
        <x:v>225.80412360581514</x:v>
      </x:c>
      <x:c r="D368" s="65" t="n">
        <x:v>40.24952633149124</x:v>
      </x:c>
      <x:c r="E368" s="65" t="n">
        <x:v>185.5545972743239</x:v>
      </x:c>
      <x:c r="F368" s="65" t="n">
        <x:v>185.5545972743239</x:v>
      </x:c>
      <x:c r="G368" s="65" t="n">
        <x:v>225.80412360581514</x:v>
      </x:c>
      <x:c r="H368" s="43" t="n">
        <x:v>1</x:v>
      </x:c>
      <x:c r="I368" s="34" t="str">
        <x:v>generated design-reference observation; not predicted tract behavior</x:v>
      </x:c>
    </x:row>
    <x:row r="369" ht="75.5999984741211" hidden="0" customHeight="1">
      <x:c r="A369" s="36" t="str">
        <x:v>M0</x:v>
      </x:c>
      <x:c r="B369" s="36" t="str">
        <x:v>48201331700</x:v>
      </x:c>
      <x:c r="C369" s="66" t="n">
        <x:v>317.4108052169387</x:v>
      </x:c>
      <x:c r="D369" s="66" t="n">
        <x:v>57.841947952180725</x:v>
      </x:c>
      <x:c r="E369" s="66" t="n">
        <x:v>259.568857264758</x:v>
      </x:c>
      <x:c r="F369" s="66" t="n">
        <x:v>0</x:v>
      </x:c>
      <x:c r="G369" s="66" t="n">
        <x:v>57.841947952180725</x:v>
      </x:c>
      <x:c r="H369" s="45" t="n">
        <x:v>0.18223055737704918</x:v>
      </x:c>
      <x:c r="I369" s="36" t="str">
        <x:v>generated design-reference observation; not predicted tract behavior</x:v>
      </x:c>
    </x:row>
    <x:row r="370" ht="75.5999984741211" hidden="0" customHeight="1">
      <x:c r="A370" s="34" t="str">
        <x:v>M0</x:v>
      </x:c>
      <x:c r="B370" s="34" t="str">
        <x:v>48201331800</x:v>
      </x:c>
      <x:c r="C370" s="65" t="n">
        <x:v>346.1688034165098</x:v>
      </x:c>
      <x:c r="D370" s="65" t="n">
        <x:v>64.54618660724041</x:v>
      </x:c>
      <x:c r="E370" s="65" t="n">
        <x:v>281.62261680926935</x:v>
      </x:c>
      <x:c r="F370" s="65" t="n">
        <x:v>0</x:v>
      </x:c>
      <x:c r="G370" s="65" t="n">
        <x:v>64.54618660724041</x:v>
      </x:c>
      <x:c r="H370" s="43" t="n">
        <x:v>0.1864587044534413</x:v>
      </x:c>
      <x:c r="I370" s="34" t="str">
        <x:v>generated design-reference observation; not predicted tract behavior</x:v>
      </x:c>
    </x:row>
    <x:row r="371" ht="75.5999984741211" hidden="0" customHeight="1">
      <x:c r="A371" s="36" t="str">
        <x:v>M0</x:v>
      </x:c>
      <x:c r="B371" s="36" t="str">
        <x:v>48201331900</x:v>
      </x:c>
      <x:c r="C371" s="66" t="n">
        <x:v>276.364441293118</x:v>
      </x:c>
      <x:c r="D371" s="66" t="n">
        <x:v>51.95651496310618</x:v>
      </x:c>
      <x:c r="E371" s="66" t="n">
        <x:v>224.4079263300118</x:v>
      </x:c>
      <x:c r="F371" s="66" t="n">
        <x:v>156.96786947529372</x:v>
      </x:c>
      <x:c r="G371" s="66" t="n">
        <x:v>208.9243844383999</x:v>
      </x:c>
      <x:c r="H371" s="45" t="n">
        <x:v>0.7559741892293961</x:v>
      </x:c>
      <x:c r="I371" s="36" t="str">
        <x:v>generated design-reference observation; not predicted tract behavior</x:v>
      </x:c>
    </x:row>
    <x:row r="372" ht="75.5999984741211" hidden="0" customHeight="1">
      <x:c r="A372" s="34" t="str">
        <x:v>M0</x:v>
      </x:c>
      <x:c r="B372" s="34" t="str">
        <x:v>48201332000</x:v>
      </x:c>
      <x:c r="C372" s="65" t="n">
        <x:v>489.22392892334045</x:v>
      </x:c>
      <x:c r="D372" s="65" t="n">
        <x:v>84.18933442870708</x:v>
      </x:c>
      <x:c r="E372" s="65" t="n">
        <x:v>405.0345944946334</x:v>
      </x:c>
      <x:c r="F372" s="65" t="n">
        <x:v>303.1340569317102</x:v>
      </x:c>
      <x:c r="G372" s="65" t="n">
        <x:v>387.32339136041725</x:v>
      </x:c>
      <x:c r="H372" s="43" t="n">
        <x:v>0.7917098254225201</x:v>
      </x:c>
      <x:c r="I372" s="34" t="str">
        <x:v>generated design-reference observation; not predicted tract behavior</x:v>
      </x:c>
    </x:row>
    <x:row r="373" ht="75.5999984741211" hidden="0" customHeight="1">
      <x:c r="A373" s="36" t="str">
        <x:v>M0</x:v>
      </x:c>
      <x:c r="B373" s="36" t="str">
        <x:v>48201332100</x:v>
      </x:c>
      <x:c r="C373" s="66" t="n">
        <x:v>255.01011467157255</x:v>
      </x:c>
      <x:c r="D373" s="66" t="n">
        <x:v>47.94190155825564</x:v>
      </x:c>
      <x:c r="E373" s="66" t="n">
        <x:v>207.06821311331692</x:v>
      </x:c>
      <x:c r="F373" s="66" t="n">
        <x:v>173.9449669997563</x:v>
      </x:c>
      <x:c r="G373" s="66" t="n">
        <x:v>221.88686855801194</x:v>
      </x:c>
      <x:c r="H373" s="45" t="n">
        <x:v>0.8701100693350143</x:v>
      </x:c>
      <x:c r="I373" s="36" t="str">
        <x:v>generated design-reference observation; not predicted tract behavior</x:v>
      </x:c>
    </x:row>
    <x:row r="374" ht="75.5999984741211" hidden="0" customHeight="1">
      <x:c r="A374" s="34" t="str">
        <x:v>M0</x:v>
      </x:c>
      <x:c r="B374" s="34" t="str">
        <x:v>48201332200</x:v>
      </x:c>
      <x:c r="C374" s="65" t="n">
        <x:v>398.8787009091098</x:v>
      </x:c>
      <x:c r="D374" s="65" t="n">
        <x:v>74.98919577091264</x:v>
      </x:c>
      <x:c r="E374" s="65" t="n">
        <x:v>323.88950513819714</x:v>
      </x:c>
      <x:c r="F374" s="65" t="n">
        <x:v>226.41764928978375</x:v>
      </x:c>
      <x:c r="G374" s="65" t="n">
        <x:v>301.4068450606964</x:v>
      </x:c>
      <x:c r="H374" s="43" t="n">
        <x:v>0.7556353457172341</x:v>
      </x:c>
      <x:c r="I374" s="34" t="str">
        <x:v>generated design-reference observation; not predicted tract behavior</x:v>
      </x:c>
    </x:row>
    <x:row r="375" ht="75.5999984741211" hidden="0" customHeight="1">
      <x:c r="A375" s="36" t="str">
        <x:v>M0</x:v>
      </x:c>
      <x:c r="B375" s="36" t="str">
        <x:v>48201332300</x:v>
      </x:c>
      <x:c r="C375" s="66" t="n">
        <x:v>517.1397489007827</x:v>
      </x:c>
      <x:c r="D375" s="66" t="n">
        <x:v>45.14754011218401</x:v>
      </x:c>
      <x:c r="E375" s="66" t="n">
        <x:v>471.9922087885987</x:v>
      </x:c>
      <x:c r="F375" s="66" t="n">
        <x:v>471.9922087885987</x:v>
      </x:c>
      <x:c r="G375" s="66" t="n">
        <x:v>517.1397489007827</x:v>
      </x:c>
      <x:c r="H375" s="45" t="n">
        <x:v>1</x:v>
      </x:c>
      <x:c r="I375" s="36" t="str">
        <x:v>generated design-reference observation; not predicted tract behavior</x:v>
      </x:c>
    </x:row>
    <x:row r="376" ht="75.5999984741211" hidden="0" customHeight="1">
      <x:c r="A376" s="34" t="str">
        <x:v>M0</x:v>
      </x:c>
      <x:c r="B376" s="34" t="str">
        <x:v>48201332400</x:v>
      </x:c>
      <x:c r="C376" s="65" t="n">
        <x:v>330.82308286863815</x:v>
      </x:c>
      <x:c r="D376" s="65" t="n">
        <x:v>62.19473957930398</x:v>
      </x:c>
      <x:c r="E376" s="65" t="n">
        <x:v>268.62834328933417</x:v>
      </x:c>
      <x:c r="F376" s="65" t="n">
        <x:v>88.73856244073811</x:v>
      </x:c>
      <x:c r="G376" s="65" t="n">
        <x:v>150.93330202004208</x:v>
      </x:c>
      <x:c r="H376" s="43" t="n">
        <x:v>0.456235703721962</x:v>
      </x:c>
      <x:c r="I376" s="34" t="str">
        <x:v>generated design-reference observation; not predicted tract behavior</x:v>
      </x:c>
    </x:row>
    <x:row r="377" ht="75.5999984741211" hidden="0" customHeight="1">
      <x:c r="A377" s="36" t="str">
        <x:v>M0</x:v>
      </x:c>
      <x:c r="B377" s="36" t="str">
        <x:v>48201332500</x:v>
      </x:c>
      <x:c r="C377" s="66" t="n">
        <x:v>484.5444892684393</x:v>
      </x:c>
      <x:c r="D377" s="66" t="n">
        <x:v>79.46529624002406</x:v>
      </x:c>
      <x:c r="E377" s="66" t="n">
        <x:v>405.07919302841526</x:v>
      </x:c>
      <x:c r="F377" s="66" t="n">
        <x:v>405.07919302841526</x:v>
      </x:c>
      <x:c r="G377" s="66" t="n">
        <x:v>484.5444892684393</x:v>
      </x:c>
      <x:c r="H377" s="45" t="n">
        <x:v>1</x:v>
      </x:c>
      <x:c r="I377" s="36" t="str">
        <x:v>generated design-reference observation; not predicted tract behavior</x:v>
      </x:c>
    </x:row>
    <x:row r="378" ht="75.5999984741211" hidden="0" customHeight="1">
      <x:c r="A378" s="34" t="str">
        <x:v>M0</x:v>
      </x:c>
      <x:c r="B378" s="34" t="str">
        <x:v>48201332600</x:v>
      </x:c>
      <x:c r="C378" s="65" t="n">
        <x:v>514.0128675189806</x:v>
      </x:c>
      <x:c r="D378" s="65" t="n">
        <x:v>85.85186534544408</x:v>
      </x:c>
      <x:c r="E378" s="65" t="n">
        <x:v>428.1610021735365</x:v>
      </x:c>
      <x:c r="F378" s="65" t="n">
        <x:v>428.1610021735365</x:v>
      </x:c>
      <x:c r="G378" s="65" t="n">
        <x:v>514.0128675189806</x:v>
      </x:c>
      <x:c r="H378" s="43" t="n">
        <x:v>1</x:v>
      </x:c>
      <x:c r="I378" s="34" t="str">
        <x:v>generated design-reference observation; not predicted tract behavior</x:v>
      </x:c>
    </x:row>
    <x:row r="379" ht="75.5999984741211" hidden="0" customHeight="1">
      <x:c r="A379" s="36" t="str">
        <x:v>M0</x:v>
      </x:c>
      <x:c r="B379" s="36" t="str">
        <x:v>48201332700</x:v>
      </x:c>
      <x:c r="C379" s="66" t="n">
        <x:v>188.34956213545277</x:v>
      </x:c>
      <x:c r="D379" s="66" t="n">
        <x:v>35.40971768146512</x:v>
      </x:c>
      <x:c r="E379" s="66" t="n">
        <x:v>152.93984445398766</x:v>
      </x:c>
      <x:c r="F379" s="66" t="n">
        <x:v>50.72301492838025</x:v>
      </x:c>
      <x:c r="G379" s="66" t="n">
        <x:v>86.13273260984536</x:v>
      </x:c>
      <x:c r="H379" s="45" t="n">
        <x:v>0.4573025370130803</x:v>
      </x:c>
      <x:c r="I379" s="36" t="str">
        <x:v>generated design-reference observation; not predicted tract behavior</x:v>
      </x:c>
    </x:row>
    <x:row r="380" ht="75.5999984741211" hidden="0" customHeight="1">
      <x:c r="A380" s="34" t="str">
        <x:v>M0</x:v>
      </x:c>
      <x:c r="B380" s="34" t="str">
        <x:v>48201332800</x:v>
      </x:c>
      <x:c r="C380" s="65" t="n">
        <x:v>357.01101673061424</x:v>
      </x:c>
      <x:c r="D380" s="65" t="n">
        <x:v>63.8608706338897</x:v>
      </x:c>
      <x:c r="E380" s="65" t="n">
        <x:v>293.15014609672454</x:v>
      </x:c>
      <x:c r="F380" s="65" t="n">
        <x:v>87.21335409463748</x:v>
      </x:c>
      <x:c r="G380" s="65" t="n">
        <x:v>151.07422472852718</x:v>
      </x:c>
      <x:c r="H380" s="43" t="n">
        <x:v>0.4231640415806035</x:v>
      </x:c>
      <x:c r="I380" s="34" t="str">
        <x:v>generated design-reference observation; not predicted tract behavior</x:v>
      </x:c>
    </x:row>
    <x:row r="381" ht="75.5999984741211" hidden="0" customHeight="1">
      <x:c r="A381" s="36" t="str">
        <x:v>M0</x:v>
      </x:c>
      <x:c r="B381" s="36" t="str">
        <x:v>48201332900</x:v>
      </x:c>
      <x:c r="C381" s="66" t="n">
        <x:v>787.3477646117485</x:v>
      </x:c>
      <x:c r="D381" s="66" t="n">
        <x:v>68.43609928341904</x:v>
      </x:c>
      <x:c r="E381" s="66" t="n">
        <x:v>718.9116653283295</x:v>
      </x:c>
      <x:c r="F381" s="66" t="n">
        <x:v>718.9116653283295</x:v>
      </x:c>
      <x:c r="G381" s="66" t="n">
        <x:v>787.3477646117485</x:v>
      </x:c>
      <x:c r="H381" s="45" t="n">
        <x:v>1</x:v>
      </x:c>
      <x:c r="I381" s="36" t="str">
        <x:v>generated design-reference observation; not predicted tract behavior</x:v>
      </x:c>
    </x:row>
    <x:row r="382" ht="75.5999984741211" hidden="0" customHeight="1">
      <x:c r="A382" s="34" t="str">
        <x:v>M0</x:v>
      </x:c>
      <x:c r="B382" s="34" t="str">
        <x:v>48201333000</x:v>
      </x:c>
      <x:c r="C382" s="65" t="n">
        <x:v>283.54018667606647</x:v>
      </x:c>
      <x:c r="D382" s="65" t="n">
        <x:v>52.65489958535017</x:v>
      </x:c>
      <x:c r="E382" s="65" t="n">
        <x:v>230.8852870907163</x:v>
      </x:c>
      <x:c r="F382" s="65" t="n">
        <x:v>0</x:v>
      </x:c>
      <x:c r="G382" s="65" t="n">
        <x:v>52.65489958535017</x:v>
      </x:c>
      <x:c r="H382" s="43" t="n">
        <x:v>0.18570524412296563</x:v>
      </x:c>
      <x:c r="I382" s="34" t="str">
        <x:v>generated design-reference observation; not predicted tract behavior</x:v>
      </x:c>
    </x:row>
    <x:row r="383" ht="75.5999984741211" hidden="0" customHeight="1">
      <x:c r="A383" s="36" t="str">
        <x:v>M0</x:v>
      </x:c>
      <x:c r="B383" s="36" t="str">
        <x:v>48201333100</x:v>
      </x:c>
      <x:c r="C383" s="66" t="n">
        <x:v>500.3061600078578</x:v>
      </x:c>
      <x:c r="D383" s="66" t="n">
        <x:v>72.49156899744312</x:v>
      </x:c>
      <x:c r="E383" s="66" t="n">
        <x:v>427.8145910104147</x:v>
      </x:c>
      <x:c r="F383" s="66" t="n">
        <x:v>427.8145910104147</x:v>
      </x:c>
      <x:c r="G383" s="66" t="n">
        <x:v>500.3061600078578</x:v>
      </x:c>
      <x:c r="H383" s="45" t="n">
        <x:v>1</x:v>
      </x:c>
      <x:c r="I383" s="36" t="str">
        <x:v>generated design-reference observation; not predicted tract behavior</x:v>
      </x:c>
    </x:row>
    <x:row r="384" ht="75.5999984741211" hidden="0" customHeight="1">
      <x:c r="A384" s="34" t="str">
        <x:v>M0</x:v>
      </x:c>
      <x:c r="B384" s="34" t="str">
        <x:v>48201333201</x:v>
      </x:c>
      <x:c r="C384" s="65" t="n">
        <x:v>422.9249144897569</x:v>
      </x:c>
      <x:c r="D384" s="65" t="n">
        <x:v>74.88427273196461</x:v>
      </x:c>
      <x:c r="E384" s="65" t="n">
        <x:v>348.0406417577923</x:v>
      </x:c>
      <x:c r="F384" s="65" t="n">
        <x:v>0</x:v>
      </x:c>
      <x:c r="G384" s="65" t="n">
        <x:v>74.88427273196461</x:v>
      </x:c>
      <x:c r="H384" s="43" t="n">
        <x:v>0.1770628075253256</x:v>
      </x:c>
      <x:c r="I384" s="34" t="str">
        <x:v>generated design-reference observation; not predicted tract behavior</x:v>
      </x:c>
    </x:row>
    <x:row r="385" ht="75.5999984741211" hidden="0" customHeight="1">
      <x:c r="A385" s="36" t="str">
        <x:v>M0</x:v>
      </x:c>
      <x:c r="B385" s="36" t="str">
        <x:v>48201333203</x:v>
      </x:c>
      <x:c r="C385" s="66" t="n">
        <x:v>382.4420179765779</x:v>
      </x:c>
      <x:c r="D385" s="66" t="n">
        <x:v>32.1194496780824</x:v>
      </x:c>
      <x:c r="E385" s="66" t="n">
        <x:v>350.3225682984955</x:v>
      </x:c>
      <x:c r="F385" s="66" t="n">
        <x:v>350.3225682984955</x:v>
      </x:c>
      <x:c r="G385" s="66" t="n">
        <x:v>382.4420179765779</x:v>
      </x:c>
      <x:c r="H385" s="45" t="n">
        <x:v>1</x:v>
      </x:c>
      <x:c r="I385" s="36" t="str">
        <x:v>generated design-reference observation; not predicted tract behavior</x:v>
      </x:c>
    </x:row>
    <x:row r="386" ht="75.5999984741211" hidden="0" customHeight="1">
      <x:c r="A386" s="34" t="str">
        <x:v>M0</x:v>
      </x:c>
      <x:c r="B386" s="34" t="str">
        <x:v>48201333204</x:v>
      </x:c>
      <x:c r="C386" s="65" t="n">
        <x:v>187.74044902791883</x:v>
      </x:c>
      <x:c r="D386" s="65" t="n">
        <x:v>32.46270633846844</x:v>
      </x:c>
      <x:c r="E386" s="65" t="n">
        <x:v>155.27774268945038</x:v>
      </x:c>
      <x:c r="F386" s="65" t="n">
        <x:v>0</x:v>
      </x:c>
      <x:c r="G386" s="65" t="n">
        <x:v>32.46270633846844</x:v>
      </x:c>
      <x:c r="H386" s="43" t="n">
        <x:v>0.17291269146608318</x:v>
      </x:c>
      <x:c r="I386" s="34" t="str">
        <x:v>generated design-reference observation; not predicted tract behavior</x:v>
      </x:c>
    </x:row>
    <x:row r="387" ht="75.5999984741211" hidden="0" customHeight="1">
      <x:c r="A387" s="36" t="str">
        <x:v>M0</x:v>
      </x:c>
      <x:c r="B387" s="36" t="str">
        <x:v>48201333205</x:v>
      </x:c>
      <x:c r="C387" s="66" t="n">
        <x:v>112.82346656322578</x:v>
      </x:c>
      <x:c r="D387" s="66" t="n">
        <x:v>17.217299430708476</x:v>
      </x:c>
      <x:c r="E387" s="66" t="n">
        <x:v>95.6061671325173</x:v>
      </x:c>
      <x:c r="F387" s="66" t="n">
        <x:v>52.26011967484635</x:v>
      </x:c>
      <x:c r="G387" s="66" t="n">
        <x:v>69.47741910555483</x:v>
      </x:c>
      <x:c r="H387" s="45" t="n">
        <x:v>0.6158064560675415</x:v>
      </x:c>
      <x:c r="I387" s="36" t="str">
        <x:v>generated design-reference observation; not predicted tract behavior</x:v>
      </x:c>
    </x:row>
    <x:row r="388" ht="75.5999984741211" hidden="0" customHeight="1">
      <x:c r="A388" s="34" t="str">
        <x:v>M0</x:v>
      </x:c>
      <x:c r="B388" s="34" t="str">
        <x:v>48201333301</x:v>
      </x:c>
      <x:c r="C388" s="65" t="n">
        <x:v>376.2747099766238</x:v>
      </x:c>
      <x:c r="D388" s="65" t="n">
        <x:v>59.55849633362575</x:v>
      </x:c>
      <x:c r="E388" s="65" t="n">
        <x:v>316.71621364299807</x:v>
      </x:c>
      <x:c r="F388" s="65" t="n">
        <x:v>216.90236090426166</x:v>
      </x:c>
      <x:c r="G388" s="65" t="n">
        <x:v>276.4608572378874</x:v>
      </x:c>
      <x:c r="H388" s="43" t="n">
        <x:v>0.7347314339968866</x:v>
      </x:c>
      <x:c r="I388" s="34" t="str">
        <x:v>generated design-reference observation; not predicted tract behavior</x:v>
      </x:c>
    </x:row>
    <x:row r="389" ht="75.5999984741211" hidden="0" customHeight="1">
      <x:c r="A389" s="36" t="str">
        <x:v>M0</x:v>
      </x:c>
      <x:c r="B389" s="36" t="str">
        <x:v>48201333302</x:v>
      </x:c>
      <x:c r="C389" s="66" t="n">
        <x:v>290.0007153779104</x:v>
      </x:c>
      <x:c r="D389" s="66" t="n">
        <x:v>52.41781568033839</x:v>
      </x:c>
      <x:c r="E389" s="66" t="n">
        <x:v>237.58289969757203</x:v>
      </x:c>
      <x:c r="F389" s="66" t="n">
        <x:v>187.47448939191102</x:v>
      </x:c>
      <x:c r="G389" s="66" t="n">
        <x:v>239.89230507224943</x:v>
      </x:c>
      <x:c r="H389" s="45" t="n">
        <x:v>0.8272128044913168</x:v>
      </x:c>
      <x:c r="I389" s="36" t="str">
        <x:v>generated design-reference observation; not predicted tract behavior</x:v>
      </x:c>
    </x:row>
    <x:row r="390" ht="75.5999984741211" hidden="0" customHeight="1">
      <x:c r="A390" s="34" t="str">
        <x:v>M0</x:v>
      </x:c>
      <x:c r="B390" s="34" t="str">
        <x:v>48201333501</x:v>
      </x:c>
      <x:c r="C390" s="65" t="n">
        <x:v>267.39672444542447</x:v>
      </x:c>
      <x:c r="D390" s="65" t="n">
        <x:v>45.56128457861429</x:v>
      </x:c>
      <x:c r="E390" s="65" t="n">
        <x:v>221.8354398668102</x:v>
      </x:c>
      <x:c r="F390" s="65" t="n">
        <x:v>0</x:v>
      </x:c>
      <x:c r="G390" s="65" t="n">
        <x:v>45.56128457861429</x:v>
      </x:c>
      <x:c r="H390" s="43" t="n">
        <x:v>0.1703883421650265</x:v>
      </x:c>
      <x:c r="I390" s="34" t="str">
        <x:v>generated design-reference observation; not predicted tract behavior</x:v>
      </x:c>
    </x:row>
    <x:row r="391" ht="75.5999984741211" hidden="0" customHeight="1">
      <x:c r="A391" s="36" t="str">
        <x:v>M0</x:v>
      </x:c>
      <x:c r="B391" s="36" t="str">
        <x:v>48201333502</x:v>
      </x:c>
      <x:c r="C391" s="66" t="n">
        <x:v>200.8344159589069</x:v>
      </x:c>
      <x:c r="D391" s="66" t="n">
        <x:v>35.86464654290575</x:v>
      </x:c>
      <x:c r="E391" s="66" t="n">
        <x:v>164.96976941600116</x:v>
      </x:c>
      <x:c r="F391" s="66" t="n">
        <x:v>164.96976941600116</x:v>
      </x:c>
      <x:c r="G391" s="66" t="n">
        <x:v>200.8344159589069</x:v>
      </x:c>
      <x:c r="H391" s="45" t="n">
        <x:v>1</x:v>
      </x:c>
      <x:c r="I391" s="36" t="str">
        <x:v>generated design-reference observation; not predicted tract behavior</x:v>
      </x:c>
    </x:row>
    <x:row r="392" ht="75.5999984741211" hidden="0" customHeight="1">
      <x:c r="A392" s="34" t="str">
        <x:v>M0</x:v>
      </x:c>
      <x:c r="B392" s="34" t="str">
        <x:v>48201333600</x:v>
      </x:c>
      <x:c r="C392" s="65" t="n">
        <x:v>257.6273361529765</x:v>
      </x:c>
      <x:c r="D392" s="65" t="n">
        <x:v>48.43393919675958</x:v>
      </x:c>
      <x:c r="E392" s="65" t="n">
        <x:v>209.19339695621693</x:v>
      </x:c>
      <x:c r="F392" s="65" t="n">
        <x:v>45.50313812714543</x:v>
      </x:c>
      <x:c r="G392" s="65" t="n">
        <x:v>93.93707732390502</x:v>
      </x:c>
      <x:c r="H392" s="43" t="n">
        <x:v>0.3646238738738739</x:v>
      </x:c>
      <x:c r="I392" s="34" t="str">
        <x:v>generated design-reference observation; not predicted tract behavior</x:v>
      </x:c>
    </x:row>
    <x:row r="393" ht="75.5999984741211" hidden="0" customHeight="1">
      <x:c r="A393" s="36" t="str">
        <x:v>M0</x:v>
      </x:c>
      <x:c r="B393" s="36" t="str">
        <x:v>48201333700</x:v>
      </x:c>
      <x:c r="C393" s="66" t="n">
        <x:v>332.76438528877856</x:v>
      </x:c>
      <x:c r="D393" s="66" t="n">
        <x:v>62.559704434290374</x:v>
      </x:c>
      <x:c r="E393" s="66" t="n">
        <x:v>270.2046808544882</x:v>
      </x:c>
      <x:c r="F393" s="66" t="n">
        <x:v>226.8683251608128</x:v>
      </x:c>
      <x:c r="G393" s="66" t="n">
        <x:v>289.42802959510317</x:v>
      </x:c>
      <x:c r="H393" s="45" t="n">
        <x:v>0.8697686483003061</x:v>
      </x:c>
      <x:c r="I393" s="36" t="str">
        <x:v>generated design-reference observation; not predicted tract behavior</x:v>
      </x:c>
    </x:row>
    <x:row r="394" ht="75.5999984741211" hidden="0" customHeight="1">
      <x:c r="A394" s="34" t="str">
        <x:v>M0</x:v>
      </x:c>
      <x:c r="B394" s="34" t="str">
        <x:v>48201333801</x:v>
      </x:c>
      <x:c r="C394" s="65" t="n">
        <x:v>325.368573234721</x:v>
      </x:c>
      <x:c r="D394" s="65" t="n">
        <x:v>53.81244451493382</x:v>
      </x:c>
      <x:c r="E394" s="65" t="n">
        <x:v>271.5561287197872</x:v>
      </x:c>
      <x:c r="F394" s="65" t="n">
        <x:v>202.41848670272543</x:v>
      </x:c>
      <x:c r="G394" s="65" t="n">
        <x:v>256.23093121765925</x:v>
      </x:c>
      <x:c r="H394" s="43" t="n">
        <x:v>0.7875097729024191</x:v>
      </x:c>
      <x:c r="I394" s="34" t="str">
        <x:v>generated design-reference observation; not predicted tract behavior</x:v>
      </x:c>
    </x:row>
    <x:row r="395" ht="75.5999984741211" hidden="0" customHeight="1">
      <x:c r="A395" s="36" t="str">
        <x:v>M0</x:v>
      </x:c>
      <x:c r="B395" s="36" t="str">
        <x:v>48201333802</x:v>
      </x:c>
      <x:c r="C395" s="66" t="n">
        <x:v>488.42225747858595</x:v>
      </x:c>
      <x:c r="D395" s="66" t="n">
        <x:v>91.57496442812231</x:v>
      </x:c>
      <x:c r="E395" s="66" t="n">
        <x:v>396.84729305046363</x:v>
      </x:c>
      <x:c r="F395" s="66" t="n">
        <x:v>0</x:v>
      </x:c>
      <x:c r="G395" s="66" t="n">
        <x:v>91.57496442812231</x:v>
      </x:c>
      <x:c r="H395" s="45" t="n">
        <x:v>0.18749138276553104</x:v>
      </x:c>
      <x:c r="I395" s="36" t="str">
        <x:v>generated design-reference observation; not predicted tract behavior</x:v>
      </x:c>
    </x:row>
    <x:row r="396" ht="75.5999984741211" hidden="0" customHeight="1">
      <x:c r="A396" s="34" t="str">
        <x:v>M0</x:v>
      </x:c>
      <x:c r="B396" s="34" t="str">
        <x:v>48201333903</x:v>
      </x:c>
      <x:c r="C396" s="65" t="n">
        <x:v>297.3022131443498</x:v>
      </x:c>
      <x:c r="D396" s="65" t="n">
        <x:v>52.533384224064825</x:v>
      </x:c>
      <x:c r="E396" s="65" t="n">
        <x:v>244.768828920285</x:v>
      </x:c>
      <x:c r="F396" s="65" t="n">
        <x:v>41.118848822918224</x:v>
      </x:c>
      <x:c r="G396" s="65" t="n">
        <x:v>93.65223304698304</x:v>
      </x:c>
      <x:c r="H396" s="43" t="n">
        <x:v>0.31500684793594813</x:v>
      </x:c>
      <x:c r="I396" s="34" t="str">
        <x:v>generated design-reference observation; not predicted tract behavior</x:v>
      </x:c>
    </x:row>
    <x:row r="397" ht="75.5999984741211" hidden="0" customHeight="1">
      <x:c r="A397" s="36" t="str">
        <x:v>M0</x:v>
      </x:c>
      <x:c r="B397" s="36" t="str">
        <x:v>48201333904</x:v>
      </x:c>
      <x:c r="C397" s="66" t="n">
        <x:v>898.1927471606766</x:v>
      </x:c>
      <x:c r="D397" s="66" t="n">
        <x:v>132.00669713270685</x:v>
      </x:c>
      <x:c r="E397" s="66" t="n">
        <x:v>766.1860500279697</x:v>
      </x:c>
      <x:c r="F397" s="66" t="n">
        <x:v>766.1860500279697</x:v>
      </x:c>
      <x:c r="G397" s="66" t="n">
        <x:v>898.1927471606766</x:v>
      </x:c>
      <x:c r="H397" s="45" t="n">
        <x:v>1</x:v>
      </x:c>
      <x:c r="I397" s="36" t="str">
        <x:v>generated design-reference observation; not predicted tract behavior</x:v>
      </x:c>
    </x:row>
    <x:row r="398" ht="75.5999984741211" hidden="0" customHeight="1">
      <x:c r="A398" s="34" t="str">
        <x:v>M0</x:v>
      </x:c>
      <x:c r="B398" s="34" t="str">
        <x:v>48201333905</x:v>
      </x:c>
      <x:c r="C398" s="65" t="n">
        <x:v>278.80482348523793</x:v>
      </x:c>
      <x:c r="D398" s="65" t="n">
        <x:v>52.41530681522474</x:v>
      </x:c>
      <x:c r="E398" s="65" t="n">
        <x:v>226.3895166700132</x:v>
      </x:c>
      <x:c r="F398" s="65" t="n">
        <x:v>226.38951667001317</x:v>
      </x:c>
      <x:c r="G398" s="65" t="n">
        <x:v>278.8048234852379</x:v>
      </x:c>
      <x:c r="H398" s="43" t="n">
        <x:v>0.9999999999999998</x:v>
      </x:c>
      <x:c r="I398" s="34" t="str">
        <x:v>generated design-reference observation; not predicted tract behavior</x:v>
      </x:c>
    </x:row>
    <x:row r="399" ht="75.5999984741211" hidden="0" customHeight="1">
      <x:c r="A399" s="36" t="str">
        <x:v>M0</x:v>
      </x:c>
      <x:c r="B399" s="36" t="str">
        <x:v>48201333906</x:v>
      </x:c>
      <x:c r="C399" s="66" t="n">
        <x:v>456.2610854007929</x:v>
      </x:c>
      <x:c r="D399" s="66" t="n">
        <x:v>85.77708405534906</x:v>
      </x:c>
      <x:c r="E399" s="66" t="n">
        <x:v>370.48400134544386</x:v>
      </x:c>
      <x:c r="F399" s="66" t="n">
        <x:v>0</x:v>
      </x:c>
      <x:c r="G399" s="66" t="n">
        <x:v>85.77708405534906</x:v>
      </x:c>
      <x:c r="H399" s="45" t="n">
        <x:v>0.188</x:v>
      </x:c>
      <x:c r="I399" s="36" t="str">
        <x:v>generated design-reference observation; not predicted tract behavior</x:v>
      </x:c>
    </x:row>
    <x:row r="400" ht="75.5999984741211" hidden="0" customHeight="1">
      <x:c r="A400" s="34" t="str">
        <x:v>M0</x:v>
      </x:c>
      <x:c r="B400" s="34" t="str">
        <x:v>48201334001</x:v>
      </x:c>
      <x:c r="C400" s="65" t="n">
        <x:v>236.77601906539465</x:v>
      </x:c>
      <x:c r="D400" s="65" t="n">
        <x:v>41.37800880655078</x:v>
      </x:c>
      <x:c r="E400" s="65" t="n">
        <x:v>195.39801025884387</x:v>
      </x:c>
      <x:c r="F400" s="65" t="n">
        <x:v>0</x:v>
      </x:c>
      <x:c r="G400" s="65" t="n">
        <x:v>41.37800880655078</x:v>
      </x:c>
      <x:c r="H400" s="43" t="n">
        <x:v>0.17475591054313097</x:v>
      </x:c>
      <x:c r="I400" s="34" t="str">
        <x:v>generated design-reference observation; not predicted tract behavior</x:v>
      </x:c>
    </x:row>
    <x:row r="401" ht="75.5999984741211" hidden="0" customHeight="1">
      <x:c r="A401" s="36" t="str">
        <x:v>M0</x:v>
      </x:c>
      <x:c r="B401" s="36" t="str">
        <x:v>48201334002</x:v>
      </x:c>
      <x:c r="C401" s="66" t="n">
        <x:v>324.99494355684914</x:v>
      </x:c>
      <x:c r="D401" s="66" t="n">
        <x:v>40.71022481775474</x:v>
      </x:c>
      <x:c r="E401" s="66" t="n">
        <x:v>284.2847187390944</x:v>
      </x:c>
      <x:c r="F401" s="66" t="n">
        <x:v>284.2847187390944</x:v>
      </x:c>
      <x:c r="G401" s="66" t="n">
        <x:v>324.99494355684914</x:v>
      </x:c>
      <x:c r="H401" s="45" t="n">
        <x:v>1</x:v>
      </x:c>
      <x:c r="I401" s="36" t="str">
        <x:v>generated design-reference observation; not predicted tract behavior</x:v>
      </x:c>
    </x:row>
    <x:row r="402" ht="75.5999984741211" hidden="0" customHeight="1">
      <x:c r="A402" s="34" t="str">
        <x:v>M0</x:v>
      </x:c>
      <x:c r="B402" s="34" t="str">
        <x:v>48201334003</x:v>
      </x:c>
      <x:c r="C402" s="65" t="n">
        <x:v>843.9967950593237</x:v>
      </x:c>
      <x:c r="D402" s="65" t="n">
        <x:v>127.22104316604366</x:v>
      </x:c>
      <x:c r="E402" s="65" t="n">
        <x:v>716.7757518932801</x:v>
      </x:c>
      <x:c r="F402" s="65" t="n">
        <x:v>716.7757518932801</x:v>
      </x:c>
      <x:c r="G402" s="65" t="n">
        <x:v>843.9967950593237</x:v>
      </x:c>
      <x:c r="H402" s="43" t="n">
        <x:v>1</x:v>
      </x:c>
      <x:c r="I402" s="34" t="str">
        <x:v>generated design-reference observation; not predicted tract behavior</x:v>
      </x:c>
    </x:row>
    <x:row r="403" ht="75.5999984741211" hidden="0" customHeight="1">
      <x:c r="A403" s="36" t="str">
        <x:v>M0</x:v>
      </x:c>
      <x:c r="B403" s="36" t="str">
        <x:v>48201334101</x:v>
      </x:c>
      <x:c r="C403" s="66" t="n">
        <x:v>765.2504106858264</x:v>
      </x:c>
      <x:c r="D403" s="66" t="n">
        <x:v>110.03147902508091</x:v>
      </x:c>
      <x:c r="E403" s="66" t="n">
        <x:v>655.2189316607455</x:v>
      </x:c>
      <x:c r="F403" s="66" t="n">
        <x:v>423.04152845109644</x:v>
      </x:c>
      <x:c r="G403" s="66" t="n">
        <x:v>533.0730074761774</x:v>
      </x:c>
      <x:c r="H403" s="45" t="n">
        <x:v>0.6965994399120036</x:v>
      </x:c>
      <x:c r="I403" s="36" t="str">
        <x:v>generated design-reference observation; not predicted tract behavior</x:v>
      </x:c>
    </x:row>
    <x:row r="404" ht="75.5999984741211" hidden="0" customHeight="1">
      <x:c r="A404" s="34" t="str">
        <x:v>M0</x:v>
      </x:c>
      <x:c r="B404" s="34" t="str">
        <x:v>48201334102</x:v>
      </x:c>
      <x:c r="C404" s="65" t="n">
        <x:v>546.9442729456553</x:v>
      </x:c>
      <x:c r="D404" s="65" t="n">
        <x:v>99.40950760637897</x:v>
      </x:c>
      <x:c r="E404" s="65" t="n">
        <x:v>447.5347653392763</x:v>
      </x:c>
      <x:c r="F404" s="65" t="n">
        <x:v>301.6560752047992</x:v>
      </x:c>
      <x:c r="G404" s="65" t="n">
        <x:v>401.06558281117816</x:v>
      </x:c>
      <x:c r="H404" s="43" t="n">
        <x:v>0.7332841802167079</x:v>
      </x:c>
      <x:c r="I404" s="34" t="str">
        <x:v>generated design-reference observation; not predicted tract behavior</x:v>
      </x:c>
    </x:row>
    <x:row r="405" ht="75.5999984741211" hidden="0" customHeight="1">
      <x:c r="A405" s="36" t="str">
        <x:v>M0</x:v>
      </x:c>
      <x:c r="B405" s="36" t="str">
        <x:v>48201340101</x:v>
      </x:c>
      <x:c r="C405" s="66" t="n">
        <x:v>127.31642876054995</x:v>
      </x:c>
      <x:c r="D405" s="66" t="n">
        <x:v>18.35851976155626</x:v>
      </x:c>
      <x:c r="E405" s="66" t="n">
        <x:v>108.9579089989937</x:v>
      </x:c>
      <x:c r="F405" s="66" t="n">
        <x:v>108.9579089989937</x:v>
      </x:c>
      <x:c r="G405" s="66" t="n">
        <x:v>127.31642876054995</x:v>
      </x:c>
      <x:c r="H405" s="45" t="n">
        <x:v>1</x:v>
      </x:c>
      <x:c r="I405" s="36" t="str">
        <x:v>generated design-reference observation; not predicted tract behavior</x:v>
      </x:c>
    </x:row>
    <x:row r="406" ht="75.5999984741211" hidden="0" customHeight="1">
      <x:c r="A406" s="34" t="str">
        <x:v>M0</x:v>
      </x:c>
      <x:c r="B406" s="34" t="str">
        <x:v>48201340102</x:v>
      </x:c>
      <x:c r="C406" s="65" t="n">
        <x:v>779.948929663857</x:v>
      </x:c>
      <x:c r="D406" s="65" t="n">
        <x:v>119.47711582434485</x:v>
      </x:c>
      <x:c r="E406" s="65" t="n">
        <x:v>660.4718138395122</x:v>
      </x:c>
      <x:c r="F406" s="65" t="n">
        <x:v>660.4718138395122</x:v>
      </x:c>
      <x:c r="G406" s="65" t="n">
        <x:v>779.948929663857</x:v>
      </x:c>
      <x:c r="H406" s="43" t="n">
        <x:v>1</x:v>
      </x:c>
      <x:c r="I406" s="34" t="str">
        <x:v>generated design-reference observation; not predicted tract behavior</x:v>
      </x:c>
    </x:row>
    <x:row r="407" ht="75.5999984741211" hidden="0" customHeight="1">
      <x:c r="A407" s="36" t="str">
        <x:v>M0</x:v>
      </x:c>
      <x:c r="B407" s="36" t="str">
        <x:v>48201340202</x:v>
      </x:c>
      <x:c r="C407" s="66" t="n">
        <x:v>674.4886279012825</x:v>
      </x:c>
      <x:c r="D407" s="66" t="n">
        <x:v>125.09110845857141</x:v>
      </x:c>
      <x:c r="E407" s="66" t="n">
        <x:v>549.3975194427111</x:v>
      </x:c>
      <x:c r="F407" s="66" t="n">
        <x:v>549.3975194427111</x:v>
      </x:c>
      <x:c r="G407" s="66" t="n">
        <x:v>674.4886279012825</x:v>
      </x:c>
      <x:c r="H407" s="45" t="n">
        <x:v>1</x:v>
      </x:c>
      <x:c r="I407" s="36" t="str">
        <x:v>generated design-reference observation; not predicted tract behavior</x:v>
      </x:c>
    </x:row>
    <x:row r="408" ht="75.5999984741211" hidden="0" customHeight="1">
      <x:c r="A408" s="34" t="str">
        <x:v>M0</x:v>
      </x:c>
      <x:c r="B408" s="34" t="str">
        <x:v>48201340203</x:v>
      </x:c>
      <x:c r="C408" s="65" t="n">
        <x:v>799.7222828102646</x:v>
      </x:c>
      <x:c r="D408" s="65" t="n">
        <x:v>65.12811844522379</x:v>
      </x:c>
      <x:c r="E408" s="65" t="n">
        <x:v>734.5941643650408</x:v>
      </x:c>
      <x:c r="F408" s="65" t="n">
        <x:v>734.5941643650408</x:v>
      </x:c>
      <x:c r="G408" s="65" t="n">
        <x:v>799.7222828102646</x:v>
      </x:c>
      <x:c r="H408" s="43" t="n">
        <x:v>1</x:v>
      </x:c>
      <x:c r="I408" s="34" t="str">
        <x:v>generated design-reference observation; not predicted tract behavior</x:v>
      </x:c>
    </x:row>
    <x:row r="409" ht="75.5999984741211" hidden="0" customHeight="1">
      <x:c r="A409" s="36" t="str">
        <x:v>M0</x:v>
      </x:c>
      <x:c r="B409" s="36" t="str">
        <x:v>48201340301</x:v>
      </x:c>
      <x:c r="C409" s="66" t="n">
        <x:v>281.6067437798941</x:v>
      </x:c>
      <x:c r="D409" s="66" t="n">
        <x:v>52.94206783062009</x:v>
      </x:c>
      <x:c r="E409" s="66" t="n">
        <x:v>228.664675949274</x:v>
      </x:c>
      <x:c r="F409" s="66" t="n">
        <x:v>0</x:v>
      </x:c>
      <x:c r="G409" s="66" t="n">
        <x:v>52.94206783062009</x:v>
      </x:c>
      <x:c r="H409" s="45" t="n">
        <x:v>0.188</x:v>
      </x:c>
      <x:c r="I409" s="36" t="str">
        <x:v>generated design-reference observation; not predicted tract behavior</x:v>
      </x:c>
    </x:row>
    <x:row r="410" ht="75.5999984741211" hidden="0" customHeight="1">
      <x:c r="A410" s="34" t="str">
        <x:v>M0</x:v>
      </x:c>
      <x:c r="B410" s="34" t="str">
        <x:v>48201340302</x:v>
      </x:c>
      <x:c r="C410" s="65" t="n">
        <x:v>550.4653396834001</x:v>
      </x:c>
      <x:c r="D410" s="65" t="n">
        <x:v>103.48748386047922</x:v>
      </x:c>
      <x:c r="E410" s="65" t="n">
        <x:v>446.9778558229209</x:v>
      </x:c>
      <x:c r="F410" s="65" t="n">
        <x:v>0</x:v>
      </x:c>
      <x:c r="G410" s="65" t="n">
        <x:v>103.48748386047922</x:v>
      </x:c>
      <x:c r="H410" s="43" t="n">
        <x:v>0.188</x:v>
      </x:c>
      <x:c r="I410" s="34" t="str">
        <x:v>generated design-reference observation; not predicted tract behavior</x:v>
      </x:c>
    </x:row>
    <x:row r="411" ht="75.5999984741211" hidden="0" customHeight="1">
      <x:c r="A411" s="36" t="str">
        <x:v>M0</x:v>
      </x:c>
      <x:c r="B411" s="36" t="str">
        <x:v>48201340400</x:v>
      </x:c>
      <x:c r="C411" s="66" t="n">
        <x:v>85.49590172586346</x:v>
      </x:c>
      <x:c r="D411" s="66" t="n">
        <x:v>16.07322952446233</x:v>
      </x:c>
      <x:c r="E411" s="66" t="n">
        <x:v>69.42267220140113</x:v>
      </x:c>
      <x:c r="F411" s="66" t="n">
        <x:v>0</x:v>
      </x:c>
      <x:c r="G411" s="66" t="n">
        <x:v>16.07322952446233</x:v>
      </x:c>
      <x:c r="H411" s="45" t="n">
        <x:v>0.188</x:v>
      </x:c>
      <x:c r="I411" s="36" t="str">
        <x:v>generated design-reference observation; not predicted tract behavior</x:v>
      </x:c>
    </x:row>
    <x:row r="412" ht="75.5999984741211" hidden="0" customHeight="1">
      <x:c r="A412" s="34" t="str">
        <x:v>M0</x:v>
      </x:c>
      <x:c r="B412" s="34" t="str">
        <x:v>48201340501</x:v>
      </x:c>
      <x:c r="C412" s="65" t="n">
        <x:v>302.3951846757305</x:v>
      </x:c>
      <x:c r="D412" s="65" t="n">
        <x:v>53.950744709099446</x:v>
      </x:c>
      <x:c r="E412" s="65" t="n">
        <x:v>248.44443996663105</x:v>
      </x:c>
      <x:c r="F412" s="65" t="n">
        <x:v>248.44443996663105</x:v>
      </x:c>
      <x:c r="G412" s="65" t="n">
        <x:v>302.3951846757305</x:v>
      </x:c>
      <x:c r="H412" s="43" t="n">
        <x:v>1</x:v>
      </x:c>
      <x:c r="I412" s="34" t="str">
        <x:v>generated design-reference observation; not predicted tract behavior</x:v>
      </x:c>
    </x:row>
    <x:row r="413" ht="75.5999984741211" hidden="0" customHeight="1">
      <x:c r="A413" s="36" t="str">
        <x:v>M0</x:v>
      </x:c>
      <x:c r="B413" s="36" t="str">
        <x:v>48201340502</x:v>
      </x:c>
      <x:c r="C413" s="66" t="n">
        <x:v>177.8217297800755</x:v>
      </x:c>
      <x:c r="D413" s="66" t="n">
        <x:v>30.009724223762316</x:v>
      </x:c>
      <x:c r="E413" s="66" t="n">
        <x:v>147.81200555631318</x:v>
      </x:c>
      <x:c r="F413" s="66" t="n">
        <x:v>0</x:v>
      </x:c>
      <x:c r="G413" s="66" t="n">
        <x:v>30.009724223762316</x:v>
      </x:c>
      <x:c r="H413" s="45" t="n">
        <x:v>0.1687629754860524</x:v>
      </x:c>
      <x:c r="I413" s="36" t="str">
        <x:v>generated design-reference observation; not predicted tract behavior</x:v>
      </x:c>
    </x:row>
    <x:row r="414" ht="75.5999984741211" hidden="0" customHeight="1">
      <x:c r="A414" s="34" t="str">
        <x:v>M0</x:v>
      </x:c>
      <x:c r="B414" s="34" t="str">
        <x:v>48201340600</x:v>
      </x:c>
      <x:c r="C414" s="65" t="n">
        <x:v>350.4555691623853</x:v>
      </x:c>
      <x:c r="D414" s="65" t="n">
        <x:v>57.4747133426312</x:v>
      </x:c>
      <x:c r="E414" s="65" t="n">
        <x:v>292.9808558197541</x:v>
      </x:c>
      <x:c r="F414" s="65" t="n">
        <x:v>292.9808558197541</x:v>
      </x:c>
      <x:c r="G414" s="65" t="n">
        <x:v>350.4555691623853</x:v>
      </x:c>
      <x:c r="H414" s="43" t="n">
        <x:v>1</x:v>
      </x:c>
      <x:c r="I414" s="34" t="str">
        <x:v>generated design-reference observation; not predicted tract behavior</x:v>
      </x:c>
    </x:row>
    <x:row r="415" ht="75.5999984741211" hidden="0" customHeight="1">
      <x:c r="A415" s="36" t="str">
        <x:v>M0</x:v>
      </x:c>
      <x:c r="B415" s="36" t="str">
        <x:v>48201340701</x:v>
      </x:c>
      <x:c r="C415" s="66" t="n">
        <x:v>315.1354730281506</x:v>
      </x:c>
      <x:c r="D415" s="66" t="n">
        <x:v>58.24832570223435</x:v>
      </x:c>
      <x:c r="E415" s="66" t="n">
        <x:v>256.88714732591626</x:v>
      </x:c>
      <x:c r="F415" s="66" t="n">
        <x:v>0</x:v>
      </x:c>
      <x:c r="G415" s="66" t="n">
        <x:v>58.24832570223435</x:v>
      </x:c>
      <x:c r="H415" s="45" t="n">
        <x:v>0.18483582677165356</x:v>
      </x:c>
      <x:c r="I415" s="36" t="str">
        <x:v>generated design-reference observation; not predicted tract behavior</x:v>
      </x:c>
    </x:row>
    <x:row r="416" ht="75.5999984741211" hidden="0" customHeight="1">
      <x:c r="A416" s="34" t="str">
        <x:v>M0</x:v>
      </x:c>
      <x:c r="B416" s="34" t="str">
        <x:v>48201340702</x:v>
      </x:c>
      <x:c r="C416" s="65" t="n">
        <x:v>311.0524503266809</x:v>
      </x:c>
      <x:c r="D416" s="65" t="n">
        <x:v>58.477860661416</x:v>
      </x:c>
      <x:c r="E416" s="65" t="n">
        <x:v>252.5745896652649</x:v>
      </x:c>
      <x:c r="F416" s="65" t="n">
        <x:v>252.5745896652649</x:v>
      </x:c>
      <x:c r="G416" s="65" t="n">
        <x:v>311.0524503266809</x:v>
      </x:c>
      <x:c r="H416" s="43" t="n">
        <x:v>1</x:v>
      </x:c>
      <x:c r="I416" s="34" t="str">
        <x:v>generated design-reference observation; not predicted tract behavior</x:v>
      </x:c>
    </x:row>
    <x:row r="417" ht="75.5999984741211" hidden="0" customHeight="1">
      <x:c r="A417" s="36" t="str">
        <x:v>M0</x:v>
      </x:c>
      <x:c r="B417" s="36" t="str">
        <x:v>48201340800</x:v>
      </x:c>
      <x:c r="C417" s="66" t="n">
        <x:v>492.7764337569579</x:v>
      </x:c>
      <x:c r="D417" s="66" t="n">
        <x:v>92.64196954630808</x:v>
      </x:c>
      <x:c r="E417" s="66" t="n">
        <x:v>400.1344642106498</x:v>
      </x:c>
      <x:c r="F417" s="66" t="n">
        <x:v>0</x:v>
      </x:c>
      <x:c r="G417" s="66" t="n">
        <x:v>92.64196954630808</x:v>
      </x:c>
      <x:c r="H417" s="45" t="n">
        <x:v>0.18799999999999997</x:v>
      </x:c>
      <x:c r="I417" s="36" t="str">
        <x:v>generated design-reference observation; not predicted tract behavior</x:v>
      </x:c>
    </x:row>
    <x:row r="418" ht="75.5999984741211" hidden="0" customHeight="1">
      <x:c r="A418" s="34" t="str">
        <x:v>M0</x:v>
      </x:c>
      <x:c r="B418" s="34" t="str">
        <x:v>48201340900</x:v>
      </x:c>
      <x:c r="C418" s="65" t="n">
        <x:v>376.502636171701</x:v>
      </x:c>
      <x:c r="D418" s="65" t="n">
        <x:v>64.75147886450186</x:v>
      </x:c>
      <x:c r="E418" s="65" t="n">
        <x:v>311.75115730719915</x:v>
      </x:c>
      <x:c r="F418" s="65" t="n">
        <x:v>237.7214095117045</x:v>
      </x:c>
      <x:c r="G418" s="65" t="n">
        <x:v>302.47288837620636</x:v>
      </x:c>
      <x:c r="H418" s="43" t="n">
        <x:v>0.8033752205609154</x:v>
      </x:c>
      <x:c r="I418" s="34" t="str">
        <x:v>generated design-reference observation; not predicted tract behavior</x:v>
      </x:c>
    </x:row>
    <x:row r="419" ht="75.5999984741211" hidden="0" customHeight="1">
      <x:c r="A419" s="36" t="str">
        <x:v>M0</x:v>
      </x:c>
      <x:c r="B419" s="36" t="str">
        <x:v>48201341001</x:v>
      </x:c>
      <x:c r="C419" s="66" t="n">
        <x:v>323.2307827153761</x:v>
      </x:c>
      <x:c r="D419" s="66" t="n">
        <x:v>49.1143614923523</x:v>
      </x:c>
      <x:c r="E419" s="66" t="n">
        <x:v>274.1164212230238</x:v>
      </x:c>
      <x:c r="F419" s="66" t="n">
        <x:v>148.3918959517206</x:v>
      </x:c>
      <x:c r="G419" s="66" t="n">
        <x:v>197.5062574440729</x:v>
      </x:c>
      <x:c r="H419" s="45" t="n">
        <x:v>0.6110378961585131</x:v>
      </x:c>
      <x:c r="I419" s="36" t="str">
        <x:v>generated design-reference observation; not predicted tract behavior</x:v>
      </x:c>
    </x:row>
    <x:row r="420" ht="75.5999984741211" hidden="0" customHeight="1">
      <x:c r="A420" s="34" t="str">
        <x:v>M0</x:v>
      </x:c>
      <x:c r="B420" s="34" t="str">
        <x:v>48201341002</x:v>
      </x:c>
      <x:c r="C420" s="65" t="n">
        <x:v>287.08483198571565</x:v>
      </x:c>
      <x:c r="D420" s="65" t="n">
        <x:v>46.47917792069348</x:v>
      </x:c>
      <x:c r="E420" s="65" t="n">
        <x:v>240.60565406502218</x:v>
      </x:c>
      <x:c r="F420" s="65" t="n">
        <x:v>52.90325613774391</x:v>
      </x:c>
      <x:c r="G420" s="65" t="n">
        <x:v>99.38243405843738</x:v>
      </x:c>
      <x:c r="H420" s="43" t="n">
        <x:v>0.34617793413544856</x:v>
      </x:c>
      <x:c r="I420" s="34" t="str">
        <x:v>generated design-reference observation; not predicted tract behavior</x:v>
      </x:c>
    </x:row>
    <x:row r="421" ht="75.5999984741211" hidden="0" customHeight="1">
      <x:c r="A421" s="36" t="str">
        <x:v>M0</x:v>
      </x:c>
      <x:c r="B421" s="36" t="str">
        <x:v>48201341101</x:v>
      </x:c>
      <x:c r="C421" s="66" t="n">
        <x:v>158.0628865240706</x:v>
      </x:c>
      <x:c r="D421" s="66" t="n">
        <x:v>26.18321553210225</x:v>
      </x:c>
      <x:c r="E421" s="66" t="n">
        <x:v>131.87967099196834</x:v>
      </x:c>
      <x:c r="F421" s="66" t="n">
        <x:v>97.06243601489743</x:v>
      </x:c>
      <x:c r="G421" s="66" t="n">
        <x:v>123.24565154699968</x:v>
      </x:c>
      <x:c r="H421" s="45" t="n">
        <x:v>0.7797254261090014</x:v>
      </x:c>
      <x:c r="I421" s="36" t="str">
        <x:v>generated design-reference observation; not predicted tract behavior</x:v>
      </x:c>
    </x:row>
    <x:row r="422" ht="75.5999984741211" hidden="0" customHeight="1">
      <x:c r="A422" s="34" t="str">
        <x:v>M0</x:v>
      </x:c>
      <x:c r="B422" s="34" t="str">
        <x:v>48201341102</x:v>
      </x:c>
      <x:c r="C422" s="65" t="n">
        <x:v>164.0046866440148</x:v>
      </x:c>
      <x:c r="D422" s="65" t="n">
        <x:v>26.68668497219828</x:v>
      </x:c>
      <x:c r="E422" s="65" t="n">
        <x:v>137.31800167181655</x:v>
      </x:c>
      <x:c r="F422" s="65" t="n">
        <x:v>0</x:v>
      </x:c>
      <x:c r="G422" s="65" t="n">
        <x:v>26.68668497219828</x:v>
      </x:c>
      <x:c r="H422" s="43" t="n">
        <x:v>0.16271903881700556</x:v>
      </x:c>
      <x:c r="I422" s="34" t="str">
        <x:v>generated design-reference observation; not predicted tract behavior</x:v>
      </x:c>
    </x:row>
    <x:row r="423" ht="75.5999984741211" hidden="0" customHeight="1">
      <x:c r="A423" s="36" t="str">
        <x:v>M0</x:v>
      </x:c>
      <x:c r="B423" s="36" t="str">
        <x:v>48201341201</x:v>
      </x:c>
      <x:c r="C423" s="66" t="n">
        <x:v>741.3060686273824</x:v>
      </x:c>
      <x:c r="D423" s="66" t="n">
        <x:v>102.07550724084331</x:v>
      </x:c>
      <x:c r="E423" s="66" t="n">
        <x:v>639.2305613865391</x:v>
      </x:c>
      <x:c r="F423" s="66" t="n">
        <x:v>639.2305613865391</x:v>
      </x:c>
      <x:c r="G423" s="66" t="n">
        <x:v>741.3060686273824</x:v>
      </x:c>
      <x:c r="H423" s="45" t="n">
        <x:v>1</x:v>
      </x:c>
      <x:c r="I423" s="36" t="str">
        <x:v>generated design-reference observation; not predicted tract behavior</x:v>
      </x:c>
    </x:row>
    <x:row r="424" ht="75.5999984741211" hidden="0" customHeight="1">
      <x:c r="A424" s="34" t="str">
        <x:v>M0</x:v>
      </x:c>
      <x:c r="B424" s="34" t="str">
        <x:v>48201341203</x:v>
      </x:c>
      <x:c r="C424" s="65" t="n">
        <x:v>468.57272740756366</x:v>
      </x:c>
      <x:c r="D424" s="65" t="n">
        <x:v>37.04404018870904</x:v>
      </x:c>
      <x:c r="E424" s="65" t="n">
        <x:v>431.5286872188546</x:v>
      </x:c>
      <x:c r="F424" s="65" t="n">
        <x:v>431.5286872188546</x:v>
      </x:c>
      <x:c r="G424" s="65" t="n">
        <x:v>468.57272740756366</x:v>
      </x:c>
      <x:c r="H424" s="43" t="n">
        <x:v>1</x:v>
      </x:c>
      <x:c r="I424" s="34" t="str">
        <x:v>generated design-reference observation; not predicted tract behavior</x:v>
      </x:c>
    </x:row>
    <x:row r="425" ht="75.5999984741211" hidden="0" customHeight="1">
      <x:c r="A425" s="36" t="str">
        <x:v>M0</x:v>
      </x:c>
      <x:c r="B425" s="36" t="str">
        <x:v>48201341204</x:v>
      </x:c>
      <x:c r="C425" s="66" t="n">
        <x:v>612.7333251894572</x:v>
      </x:c>
      <x:c r="D425" s="66" t="n">
        <x:v>46.282409711716966</x:v>
      </x:c>
      <x:c r="E425" s="66" t="n">
        <x:v>566.4509154777403</x:v>
      </x:c>
      <x:c r="F425" s="66" t="n">
        <x:v>566.4509154777403</x:v>
      </x:c>
      <x:c r="G425" s="66" t="n">
        <x:v>612.7333251894572</x:v>
      </x:c>
      <x:c r="H425" s="45" t="n">
        <x:v>1</x:v>
      </x:c>
      <x:c r="I425" s="36" t="str">
        <x:v>generated design-reference observation; not predicted tract behavior</x:v>
      </x:c>
    </x:row>
    <x:row r="426" ht="75.5999984741211" hidden="0" customHeight="1">
      <x:c r="A426" s="34" t="str">
        <x:v>M0</x:v>
      </x:c>
      <x:c r="B426" s="34" t="str">
        <x:v>48201341302</x:v>
      </x:c>
      <x:c r="C426" s="65" t="n">
        <x:v>478.3427202787783</x:v>
      </x:c>
      <x:c r="D426" s="65" t="n">
        <x:v>65.82062236781518</x:v>
      </x:c>
      <x:c r="E426" s="65" t="n">
        <x:v>412.5220979109631</x:v>
      </x:c>
      <x:c r="F426" s="65" t="n">
        <x:v>412.5220979109631</x:v>
      </x:c>
      <x:c r="G426" s="65" t="n">
        <x:v>478.3427202787783</x:v>
      </x:c>
      <x:c r="H426" s="43" t="n">
        <x:v>1</x:v>
      </x:c>
      <x:c r="I426" s="34" t="str">
        <x:v>generated design-reference observation; not predicted tract behavior</x:v>
      </x:c>
    </x:row>
    <x:row r="427" ht="75.5999984741211" hidden="0" customHeight="1">
      <x:c r="A427" s="36" t="str">
        <x:v>M0</x:v>
      </x:c>
      <x:c r="B427" s="36" t="str">
        <x:v>48201341303</x:v>
      </x:c>
      <x:c r="C427" s="66" t="n">
        <x:v>241.24022867932092</x:v>
      </x:c>
      <x:c r="D427" s="66" t="n">
        <x:v>42.70977849182881</x:v>
      </x:c>
      <x:c r="E427" s="66" t="n">
        <x:v>198.5304501874921</x:v>
      </x:c>
      <x:c r="F427" s="66" t="n">
        <x:v>0</x:v>
      </x:c>
      <x:c r="G427" s="66" t="n">
        <x:v>42.70977849182881</x:v>
      </x:c>
      <x:c r="H427" s="45" t="n">
        <x:v>0.1770425219941349</x:v>
      </x:c>
      <x:c r="I427" s="36" t="str">
        <x:v>generated design-reference observation; not predicted tract behavior</x:v>
      </x:c>
    </x:row>
    <x:row r="428" ht="75.5999984741211" hidden="0" customHeight="1">
      <x:c r="A428" s="34" t="str">
        <x:v>M0</x:v>
      </x:c>
      <x:c r="B428" s="34" t="str">
        <x:v>48201341304</x:v>
      </x:c>
      <x:c r="C428" s="65" t="n">
        <x:v>223.87551733977708</x:v>
      </x:c>
      <x:c r="D428" s="65" t="n">
        <x:v>29.38768677025077</x:v>
      </x:c>
      <x:c r="E428" s="65" t="n">
        <x:v>194.4878305695263</x:v>
      </x:c>
      <x:c r="F428" s="65" t="n">
        <x:v>194.4878305695263</x:v>
      </x:c>
      <x:c r="G428" s="65" t="n">
        <x:v>223.87551733977708</x:v>
      </x:c>
      <x:c r="H428" s="43" t="n">
        <x:v>1</x:v>
      </x:c>
      <x:c r="I428" s="34" t="str">
        <x:v>generated design-reference observation; not predicted tract behavior</x:v>
      </x:c>
    </x:row>
    <x:row r="429" ht="75.5999984741211" hidden="0" customHeight="1">
      <x:c r="A429" s="36" t="str">
        <x:v>M0</x:v>
      </x:c>
      <x:c r="B429" s="36" t="str">
        <x:v>48201341400</x:v>
      </x:c>
      <x:c r="C429" s="66" t="n">
        <x:v>976.8590248475748</x:v>
      </x:c>
      <x:c r="D429" s="66" t="n">
        <x:v>82.54966879090667</x:v>
      </x:c>
      <x:c r="E429" s="66" t="n">
        <x:v>894.3093560566681</x:v>
      </x:c>
      <x:c r="F429" s="66" t="n">
        <x:v>894.3093560566681</x:v>
      </x:c>
      <x:c r="G429" s="66" t="n">
        <x:v>976.8590248475748</x:v>
      </x:c>
      <x:c r="H429" s="45" t="n">
        <x:v>1</x:v>
      </x:c>
      <x:c r="I429" s="36" t="str">
        <x:v>generated design-reference observation; not predicted tract behavior</x:v>
      </x:c>
    </x:row>
    <x:row r="430" ht="75.5999984741211" hidden="0" customHeight="1">
      <x:c r="A430" s="34" t="str">
        <x:v>M0</x:v>
      </x:c>
      <x:c r="B430" s="34" t="str">
        <x:v>48201341501</x:v>
      </x:c>
      <x:c r="C430" s="65" t="n">
        <x:v>886.1437946280731</x:v>
      </x:c>
      <x:c r="D430" s="65" t="n">
        <x:v>136.78904780886668</x:v>
      </x:c>
      <x:c r="E430" s="65" t="n">
        <x:v>749.3547468192064</x:v>
      </x:c>
      <x:c r="F430" s="65" t="n">
        <x:v>749.3547468192064</x:v>
      </x:c>
      <x:c r="G430" s="65" t="n">
        <x:v>886.1437946280731</x:v>
      </x:c>
      <x:c r="H430" s="43" t="n">
        <x:v>1</x:v>
      </x:c>
      <x:c r="I430" s="34" t="str">
        <x:v>generated design-reference observation; not predicted tract behavior</x:v>
      </x:c>
    </x:row>
    <x:row r="431" ht="75.5999984741211" hidden="0" customHeight="1">
      <x:c r="A431" s="36" t="str">
        <x:v>M0</x:v>
      </x:c>
      <x:c r="B431" s="36" t="str">
        <x:v>48201341502</x:v>
      </x:c>
      <x:c r="C431" s="66" t="n">
        <x:v>869.2633508807223</x:v>
      </x:c>
      <x:c r="D431" s="66" t="n">
        <x:v>66.8592981581662</x:v>
      </x:c>
      <x:c r="E431" s="66" t="n">
        <x:v>802.4040527225561</x:v>
      </x:c>
      <x:c r="F431" s="66" t="n">
        <x:v>802.4040527225561</x:v>
      </x:c>
      <x:c r="G431" s="66" t="n">
        <x:v>869.2633508807223</x:v>
      </x:c>
      <x:c r="H431" s="45" t="n">
        <x:v>1</x:v>
      </x:c>
      <x:c r="I431" s="36" t="str">
        <x:v>generated design-reference observation; not predicted tract behavior</x:v>
      </x:c>
    </x:row>
    <x:row r="432" ht="75.5999984741211" hidden="0" customHeight="1">
      <x:c r="A432" s="34" t="str">
        <x:v>M0</x:v>
      </x:c>
      <x:c r="B432" s="34" t="str">
        <x:v>48201341600</x:v>
      </x:c>
      <x:c r="C432" s="65" t="n">
        <x:v>1179.2526494460153</x:v>
      </x:c>
      <x:c r="D432" s="65" t="n">
        <x:v>101.42336245616349</x:v>
      </x:c>
      <x:c r="E432" s="65" t="n">
        <x:v>1077.8292869898519</x:v>
      </x:c>
      <x:c r="F432" s="65" t="n">
        <x:v>1077.8292869898519</x:v>
      </x:c>
      <x:c r="G432" s="65" t="n">
        <x:v>1179.2526494460153</x:v>
      </x:c>
      <x:c r="H432" s="43" t="n">
        <x:v>1</x:v>
      </x:c>
      <x:c r="I432" s="34" t="str">
        <x:v>generated design-reference observation; not predicted tract behavior</x:v>
      </x:c>
    </x:row>
    <x:row r="433" ht="75.5999984741211" hidden="0" customHeight="1">
      <x:c r="A433" s="36" t="str">
        <x:v>M0</x:v>
      </x:c>
      <x:c r="B433" s="36" t="str">
        <x:v>48201341700</x:v>
      </x:c>
      <x:c r="C433" s="66" t="n">
        <x:v>535.6422774794123</x:v>
      </x:c>
      <x:c r="D433" s="66" t="n">
        <x:v>45.79741472448975</x:v>
      </x:c>
      <x:c r="E433" s="66" t="n">
        <x:v>489.8448627549226</x:v>
      </x:c>
      <x:c r="F433" s="66" t="n">
        <x:v>489.8448627549226</x:v>
      </x:c>
      <x:c r="G433" s="66" t="n">
        <x:v>535.6422774794123</x:v>
      </x:c>
      <x:c r="H433" s="45" t="n">
        <x:v>1</x:v>
      </x:c>
      <x:c r="I433" s="36" t="str">
        <x:v>generated design-reference observation; not predicted tract behavior</x:v>
      </x:c>
    </x:row>
    <x:row r="434" ht="75.5999984741211" hidden="0" customHeight="1">
      <x:c r="A434" s="34" t="str">
        <x:v>M0</x:v>
      </x:c>
      <x:c r="B434" s="34" t="str">
        <x:v>48201341800</x:v>
      </x:c>
      <x:c r="C434" s="65" t="n">
        <x:v>456.071247668023</x:v>
      </x:c>
      <x:c r="D434" s="65" t="n">
        <x:v>39.837217696565816</x:v>
      </x:c>
      <x:c r="E434" s="65" t="n">
        <x:v>416.2340299714572</x:v>
      </x:c>
      <x:c r="F434" s="65" t="n">
        <x:v>416.2340299714572</x:v>
      </x:c>
      <x:c r="G434" s="65" t="n">
        <x:v>456.071247668023</x:v>
      </x:c>
      <x:c r="H434" s="43" t="n">
        <x:v>1</x:v>
      </x:c>
      <x:c r="I434" s="34" t="str">
        <x:v>generated design-reference observation; not predicted tract behavior</x:v>
      </x:c>
    </x:row>
    <x:row r="435" ht="75.5999984741211" hidden="0" customHeight="1">
      <x:c r="A435" s="36" t="str">
        <x:v>M0</x:v>
      </x:c>
      <x:c r="B435" s="36" t="str">
        <x:v>48201342001</x:v>
      </x:c>
      <x:c r="C435" s="66" t="n">
        <x:v>1111.6752532100686</x:v>
      </x:c>
      <x:c r="D435" s="66" t="n">
        <x:v>97.42923952747653</x:v>
      </x:c>
      <x:c r="E435" s="66" t="n">
        <x:v>1014.2460136825921</x:v>
      </x:c>
      <x:c r="F435" s="66" t="n">
        <x:v>1014.2460136825921</x:v>
      </x:c>
      <x:c r="G435" s="66" t="n">
        <x:v>1111.6752532100686</x:v>
      </x:c>
      <x:c r="H435" s="45" t="n">
        <x:v>1</x:v>
      </x:c>
      <x:c r="I435" s="36" t="str">
        <x:v>generated design-reference observation; not predicted tract behavior</x:v>
      </x:c>
    </x:row>
    <x:row r="436" ht="75.5999984741211" hidden="0" customHeight="1">
      <x:c r="A436" s="34" t="str">
        <x:v>M0</x:v>
      </x:c>
      <x:c r="B436" s="34" t="str">
        <x:v>48201342002</x:v>
      </x:c>
      <x:c r="C436" s="65" t="n">
        <x:v>714.5395528855947</x:v>
      </x:c>
      <x:c r="D436" s="65" t="n">
        <x:v>58.45869585383778</x:v>
      </x:c>
      <x:c r="E436" s="65" t="n">
        <x:v>656.080857031757</x:v>
      </x:c>
      <x:c r="F436" s="65" t="n">
        <x:v>656.080857031757</x:v>
      </x:c>
      <x:c r="G436" s="65" t="n">
        <x:v>714.5395528855947</x:v>
      </x:c>
      <x:c r="H436" s="43" t="n">
        <x:v>1</x:v>
      </x:c>
      <x:c r="I436" s="34" t="str">
        <x:v>generated design-reference observation; not predicted tract behavior</x:v>
      </x:c>
    </x:row>
    <x:row r="437" ht="75.5999984741211" hidden="0" customHeight="1">
      <x:c r="A437" s="36" t="str">
        <x:v>M0</x:v>
      </x:c>
      <x:c r="B437" s="36" t="str">
        <x:v>48201342100</x:v>
      </x:c>
      <x:c r="C437" s="66" t="n">
        <x:v>560.7734076570516</x:v>
      </x:c>
      <x:c r="D437" s="66" t="n">
        <x:v>90.43619746935747</x:v>
      </x:c>
      <x:c r="E437" s="66" t="n">
        <x:v>470.33721018769415</x:v>
      </x:c>
      <x:c r="F437" s="66" t="n">
        <x:v>470.33721018769415</x:v>
      </x:c>
      <x:c r="G437" s="66" t="n">
        <x:v>560.7734076570516</x:v>
      </x:c>
      <x:c r="H437" s="45" t="n">
        <x:v>1</x:v>
      </x:c>
      <x:c r="I437" s="36" t="str">
        <x:v>generated design-reference observation; not predicted tract behavior</x:v>
      </x:c>
    </x:row>
    <x:row r="438" ht="75.5999984741211" hidden="0" customHeight="1">
      <x:c r="A438" s="34" t="str">
        <x:v>M0</x:v>
      </x:c>
      <x:c r="B438" s="34" t="str">
        <x:v>48201342200</x:v>
      </x:c>
      <x:c r="C438" s="65" t="n">
        <x:v>315.58346589433677</x:v>
      </x:c>
      <x:c r="D438" s="65" t="n">
        <x:v>57.512240178015446</x:v>
      </x:c>
      <x:c r="E438" s="65" t="n">
        <x:v>258.07122571632135</x:v>
      </x:c>
      <x:c r="F438" s="65" t="n">
        <x:v>78.88124813943828</x:v>
      </x:c>
      <x:c r="G438" s="65" t="n">
        <x:v>136.39348831745372</x:v>
      </x:c>
      <x:c r="H438" s="43" t="n">
        <x:v>0.4321946586489446</x:v>
      </x:c>
      <x:c r="I438" s="34" t="str">
        <x:v>generated design-reference observation; not predicted tract behavior</x:v>
      </x:c>
    </x:row>
    <x:row r="439" ht="75.5999984741211" hidden="0" customHeight="1">
      <x:c r="A439" s="36" t="str">
        <x:v>M0</x:v>
      </x:c>
      <x:c r="B439" s="36" t="str">
        <x:v>48201342300</x:v>
      </x:c>
      <x:c r="C439" s="66" t="n">
        <x:v>577.957954524094</x:v>
      </x:c>
      <x:c r="D439" s="66" t="n">
        <x:v>102.31230207285394</x:v>
      </x:c>
      <x:c r="E439" s="66" t="n">
        <x:v>475.6456524512401</x:v>
      </x:c>
      <x:c r="F439" s="66" t="n">
        <x:v>372.8339812220866</x:v>
      </x:c>
      <x:c r="G439" s="66" t="n">
        <x:v>475.14628329494053</x:v>
      </x:c>
      <x:c r="H439" s="45" t="n">
        <x:v>0.8221121961824864</x:v>
      </x:c>
      <x:c r="I439" s="36" t="str">
        <x:v>generated design-reference observation; not predicted tract behavior</x:v>
      </x:c>
    </x:row>
    <x:row r="440" ht="75.5999984741211" hidden="0" customHeight="1">
      <x:c r="A440" s="34" t="str">
        <x:v>M0</x:v>
      </x:c>
      <x:c r="B440" s="34" t="str">
        <x:v>48201342400</x:v>
      </x:c>
      <x:c r="C440" s="65" t="n">
        <x:v>610.752725149476</x:v>
      </x:c>
      <x:c r="D440" s="65" t="n">
        <x:v>52.24325701995995</x:v>
      </x:c>
      <x:c r="E440" s="65" t="n">
        <x:v>558.509468129516</x:v>
      </x:c>
      <x:c r="F440" s="65" t="n">
        <x:v>558.509468129516</x:v>
      </x:c>
      <x:c r="G440" s="65" t="n">
        <x:v>610.752725149476</x:v>
      </x:c>
      <x:c r="H440" s="43" t="n">
        <x:v>1</x:v>
      </x:c>
      <x:c r="I440" s="34" t="str">
        <x:v>generated design-reference observation; not predicted tract behavior</x:v>
      </x:c>
    </x:row>
    <x:row r="441" ht="75.5999984741211" hidden="0" customHeight="1">
      <x:c r="A441" s="36" t="str">
        <x:v>M0</x:v>
      </x:c>
      <x:c r="B441" s="36" t="str">
        <x:v>48201342500</x:v>
      </x:c>
      <x:c r="C441" s="66" t="n">
        <x:v>1096.177481102351</x:v>
      </x:c>
      <x:c r="D441" s="66" t="n">
        <x:v>91.99030336322002</x:v>
      </x:c>
      <x:c r="E441" s="66" t="n">
        <x:v>1004.187177739131</x:v>
      </x:c>
      <x:c r="F441" s="66" t="n">
        <x:v>1004.187177739131</x:v>
      </x:c>
      <x:c r="G441" s="66" t="n">
        <x:v>1096.177481102351</x:v>
      </x:c>
      <x:c r="H441" s="45" t="n">
        <x:v>1</x:v>
      </x:c>
      <x:c r="I441" s="36" t="str">
        <x:v>generated design-reference observation; not predicted tract behavior</x:v>
      </x:c>
    </x:row>
    <x:row r="442" ht="75.5999984741211" hidden="0" customHeight="1">
      <x:c r="A442" s="34" t="str">
        <x:v>M0</x:v>
      </x:c>
      <x:c r="B442" s="34" t="str">
        <x:v>48201342700</x:v>
      </x:c>
      <x:c r="C442" s="65" t="n">
        <x:v>380.33022434420474</x:v>
      </x:c>
      <x:c r="D442" s="65" t="n">
        <x:v>70.55724686764825</x:v>
      </x:c>
      <x:c r="E442" s="65" t="n">
        <x:v>309.7729774765565</x:v>
      </x:c>
      <x:c r="F442" s="65" t="n">
        <x:v>309.7729774765565</x:v>
      </x:c>
      <x:c r="G442" s="65" t="n">
        <x:v>380.33022434420474</x:v>
      </x:c>
      <x:c r="H442" s="43" t="n">
        <x:v>1</x:v>
      </x:c>
      <x:c r="I442" s="34" t="str">
        <x:v>generated design-reference observation; not predicted tract behavior</x:v>
      </x:c>
    </x:row>
    <x:row r="443" ht="75.5999984741211" hidden="0" customHeight="1">
      <x:c r="A443" s="36" t="str">
        <x:v>M0</x:v>
      </x:c>
      <x:c r="B443" s="36" t="str">
        <x:v>48201342801</x:v>
      </x:c>
      <x:c r="C443" s="66" t="n">
        <x:v>428.1397086426444</x:v>
      </x:c>
      <x:c r="D443" s="66" t="n">
        <x:v>80.49026522481715</x:v>
      </x:c>
      <x:c r="E443" s="66" t="n">
        <x:v>347.64944341782723</x:v>
      </x:c>
      <x:c r="F443" s="66" t="n">
        <x:v>347.64944341782723</x:v>
      </x:c>
      <x:c r="G443" s="66" t="n">
        <x:v>428.1397086426444</x:v>
      </x:c>
      <x:c r="H443" s="45" t="n">
        <x:v>1</x:v>
      </x:c>
      <x:c r="I443" s="36" t="str">
        <x:v>generated design-reference observation; not predicted tract behavior</x:v>
      </x:c>
    </x:row>
    <x:row r="444" ht="75.5999984741211" hidden="0" customHeight="1">
      <x:c r="A444" s="34" t="str">
        <x:v>M0</x:v>
      </x:c>
      <x:c r="B444" s="34" t="str">
        <x:v>48201342802</x:v>
      </x:c>
      <x:c r="C444" s="65" t="n">
        <x:v>294.07194879342774</x:v>
      </x:c>
      <x:c r="D444" s="65" t="n">
        <x:v>55.28552637316441</x:v>
      </x:c>
      <x:c r="E444" s="65" t="n">
        <x:v>238.78642242026334</x:v>
      </x:c>
      <x:c r="F444" s="65" t="n">
        <x:v>81.44640544680966</x:v>
      </x:c>
      <x:c r="G444" s="65" t="n">
        <x:v>136.73193181997408</x:v>
      </x:c>
      <x:c r="H444" s="43" t="n">
        <x:v>0.46496081105655573</x:v>
      </x:c>
      <x:c r="I444" s="34" t="str">
        <x:v>generated design-reference observation; not predicted tract behavior</x:v>
      </x:c>
    </x:row>
    <x:row r="445" ht="75.5999984741211" hidden="0" customHeight="1">
      <x:c r="A445" s="36" t="str">
        <x:v>M0</x:v>
      </x:c>
      <x:c r="B445" s="36" t="str">
        <x:v>48201342900</x:v>
      </x:c>
      <x:c r="C445" s="66" t="n">
        <x:v>982.1947347538189</x:v>
      </x:c>
      <x:c r="D445" s="66" t="n">
        <x:v>156.41972299981143</x:v>
      </x:c>
      <x:c r="E445" s="66" t="n">
        <x:v>825.7750117540074</x:v>
      </x:c>
      <x:c r="F445" s="66" t="n">
        <x:v>825.7750117540074</x:v>
      </x:c>
      <x:c r="G445" s="66" t="n">
        <x:v>982.1947347538189</x:v>
      </x:c>
      <x:c r="H445" s="45" t="n">
        <x:v>1</x:v>
      </x:c>
      <x:c r="I445" s="36" t="str">
        <x:v>generated design-reference observation; not predicted tract behavior</x:v>
      </x:c>
    </x:row>
    <x:row r="446" ht="75.5999984741211" hidden="0" customHeight="1">
      <x:c r="A446" s="34" t="str">
        <x:v>M0</x:v>
      </x:c>
      <x:c r="B446" s="34" t="str">
        <x:v>48201343000</x:v>
      </x:c>
      <x:c r="C446" s="65" t="n">
        <x:v>1255.9555575877853</x:v>
      </x:c>
      <x:c r="D446" s="65" t="n">
        <x:v>189.00245999935586</x:v>
      </x:c>
      <x:c r="E446" s="65" t="n">
        <x:v>1066.9530975884295</x:v>
      </x:c>
      <x:c r="F446" s="65" t="n">
        <x:v>1066.9530975884295</x:v>
      </x:c>
      <x:c r="G446" s="65" t="n">
        <x:v>1255.9555575877853</x:v>
      </x:c>
      <x:c r="H446" s="43" t="n">
        <x:v>1</x:v>
      </x:c>
      <x:c r="I446" s="34" t="str">
        <x:v>generated design-reference observation; not predicted tract behavior</x:v>
      </x:c>
    </x:row>
    <x:row r="447" ht="75.5999984741211" hidden="0" customHeight="1">
      <x:c r="A447" s="36" t="str">
        <x:v>M0</x:v>
      </x:c>
      <x:c r="B447" s="36" t="str">
        <x:v>48201343100</x:v>
      </x:c>
      <x:c r="C447" s="66" t="n">
        <x:v>321.69817554158084</x:v>
      </x:c>
      <x:c r="D447" s="66" t="n">
        <x:v>60.38501993238915</x:v>
      </x:c>
      <x:c r="E447" s="66" t="n">
        <x:v>261.3131556091917</x:v>
      </x:c>
      <x:c r="F447" s="66" t="n">
        <x:v>261.3131556091917</x:v>
      </x:c>
      <x:c r="G447" s="66" t="n">
        <x:v>321.69817554158084</x:v>
      </x:c>
      <x:c r="H447" s="45" t="n">
        <x:v>1</x:v>
      </x:c>
      <x:c r="I447" s="36" t="str">
        <x:v>generated design-reference observation; not predicted tract behavior</x:v>
      </x:c>
    </x:row>
    <x:row r="448" ht="75.5999984741211" hidden="0" customHeight="1">
      <x:c r="A448" s="34" t="str">
        <x:v>M0</x:v>
      </x:c>
      <x:c r="B448" s="34" t="str">
        <x:v>48201343200</x:v>
      </x:c>
      <x:c r="C448" s="65" t="n">
        <x:v>441.3437089091871</x:v>
      </x:c>
      <x:c r="D448" s="65" t="n">
        <x:v>82.31617435189433</x:v>
      </x:c>
      <x:c r="E448" s="65" t="n">
        <x:v>359.02753455729277</x:v>
      </x:c>
      <x:c r="F448" s="65" t="n">
        <x:v>359.02753455729277</x:v>
      </x:c>
      <x:c r="G448" s="65" t="n">
        <x:v>441.3437089091871</x:v>
      </x:c>
      <x:c r="H448" s="43" t="n">
        <x:v>1</x:v>
      </x:c>
      <x:c r="I448" s="34" t="str">
        <x:v>generated design-reference observation; not predicted tract behavior</x:v>
      </x:c>
    </x:row>
    <x:row r="449" ht="75.5999984741211" hidden="0" customHeight="1">
      <x:c r="A449" s="36" t="str">
        <x:v>M0</x:v>
      </x:c>
      <x:c r="B449" s="36" t="str">
        <x:v>48201343301</x:v>
      </x:c>
      <x:c r="C449" s="66" t="n">
        <x:v>367.7156883752756</x:v>
      </x:c>
      <x:c r="D449" s="66" t="n">
        <x:v>69.13054941455181</x:v>
      </x:c>
      <x:c r="E449" s="66" t="n">
        <x:v>298.5851389607238</x:v>
      </x:c>
      <x:c r="F449" s="66" t="n">
        <x:v>298.5851389607238</x:v>
      </x:c>
      <x:c r="G449" s="66" t="n">
        <x:v>367.7156883752756</x:v>
      </x:c>
      <x:c r="H449" s="45" t="n">
        <x:v>1</x:v>
      </x:c>
      <x:c r="I449" s="36" t="str">
        <x:v>generated design-reference observation; not predicted tract behavior</x:v>
      </x:c>
    </x:row>
    <x:row r="450" ht="75.5999984741211" hidden="0" customHeight="1">
      <x:c r="A450" s="34" t="str">
        <x:v>M0</x:v>
      </x:c>
      <x:c r="B450" s="34" t="str">
        <x:v>48201343302</x:v>
      </x:c>
      <x:c r="C450" s="65" t="n">
        <x:v>396.53656276659217</x:v>
      </x:c>
      <x:c r="D450" s="65" t="n">
        <x:v>72.80415376190335</x:v>
      </x:c>
      <x:c r="E450" s="65" t="n">
        <x:v>323.7324090046888</x:v>
      </x:c>
      <x:c r="F450" s="65" t="n">
        <x:v>323.7324090046888</x:v>
      </x:c>
      <x:c r="G450" s="65" t="n">
        <x:v>396.53656276659217</x:v>
      </x:c>
      <x:c r="H450" s="43" t="n">
        <x:v>1</x:v>
      </x:c>
      <x:c r="I450" s="34" t="str">
        <x:v>generated design-reference observation; not predicted tract behavior</x:v>
      </x:c>
    </x:row>
    <x:row r="451" ht="75.5999984741211" hidden="0" customHeight="1">
      <x:c r="A451" s="36" t="str">
        <x:v>M0</x:v>
      </x:c>
      <x:c r="B451" s="36" t="str">
        <x:v>48201343602</x:v>
      </x:c>
      <x:c r="C451" s="66" t="n">
        <x:v>409.3028480059838</x:v>
      </x:c>
      <x:c r="D451" s="66" t="n">
        <x:v>63.709740557958874</x:v>
      </x:c>
      <x:c r="E451" s="66" t="n">
        <x:v>345.5931074480249</x:v>
      </x:c>
      <x:c r="F451" s="66" t="n">
        <x:v>345.5931074480249</x:v>
      </x:c>
      <x:c r="G451" s="66" t="n">
        <x:v>409.3028480059838</x:v>
      </x:c>
      <x:c r="H451" s="45" t="n">
        <x:v>1</x:v>
      </x:c>
      <x:c r="I451" s="36" t="str">
        <x:v>generated design-reference observation; not predicted tract behavior</x:v>
      </x:c>
    </x:row>
    <x:row r="452" ht="75.5999984741211" hidden="0" customHeight="1">
      <x:c r="A452" s="34" t="str">
        <x:v>M0</x:v>
      </x:c>
      <x:c r="B452" s="34" t="str">
        <x:v>48201343700</x:v>
      </x:c>
      <x:c r="C452" s="65" t="n">
        <x:v>548.0500475101015</x:v>
      </x:c>
      <x:c r="D452" s="65" t="n">
        <x:v>87.89808135492675</x:v>
      </x:c>
      <x:c r="E452" s="65" t="n">
        <x:v>460.1519661551748</x:v>
      </x:c>
      <x:c r="F452" s="65" t="n">
        <x:v>460.1519661551748</x:v>
      </x:c>
      <x:c r="G452" s="65" t="n">
        <x:v>548.0500475101015</x:v>
      </x:c>
      <x:c r="H452" s="43" t="n">
        <x:v>1</x:v>
      </x:c>
      <x:c r="I452" s="34" t="str">
        <x:v>generated design-reference observation; not predicted tract behavior</x:v>
      </x:c>
    </x:row>
    <x:row r="453" ht="75.5999984741211" hidden="0" customHeight="1">
      <x:c r="A453" s="36" t="str">
        <x:v>M0</x:v>
      </x:c>
      <x:c r="B453" s="36" t="str">
        <x:v>48201350101</x:v>
      </x:c>
      <x:c r="C453" s="66" t="n">
        <x:v>611.1662570259556</x:v>
      </x:c>
      <x:c r="D453" s="66" t="n">
        <x:v>100.23126615225674</x:v>
      </x:c>
      <x:c r="E453" s="66" t="n">
        <x:v>510.93499087369884</x:v>
      </x:c>
      <x:c r="F453" s="66" t="n">
        <x:v>510.93499087369884</x:v>
      </x:c>
      <x:c r="G453" s="66" t="n">
        <x:v>611.1662570259556</x:v>
      </x:c>
      <x:c r="H453" s="45" t="n">
        <x:v>1</x:v>
      </x:c>
      <x:c r="I453" s="36" t="str">
        <x:v>generated design-reference observation; not predicted tract behavior</x:v>
      </x:c>
    </x:row>
    <x:row r="454" ht="75.5999984741211" hidden="0" customHeight="1">
      <x:c r="A454" s="34" t="str">
        <x:v>M0</x:v>
      </x:c>
      <x:c r="B454" s="34" t="str">
        <x:v>48201350102</x:v>
      </x:c>
      <x:c r="C454" s="65" t="n">
        <x:v>749.3572440646328</x:v>
      </x:c>
      <x:c r="D454" s="65" t="n">
        <x:v>122.89458802659979</x:v>
      </x:c>
      <x:c r="E454" s="65" t="n">
        <x:v>626.4626560380331</x:v>
      </x:c>
      <x:c r="F454" s="65" t="n">
        <x:v>626.4626560380331</x:v>
      </x:c>
      <x:c r="G454" s="65" t="n">
        <x:v>749.3572440646328</x:v>
      </x:c>
      <x:c r="H454" s="43" t="n">
        <x:v>1</x:v>
      </x:c>
      <x:c r="I454" s="34" t="str">
        <x:v>generated design-reference observation; not predicted tract behavior</x:v>
      </x:c>
    </x:row>
    <x:row r="455" ht="75.5999984741211" hidden="0" customHeight="1">
      <x:c r="A455" s="36" t="str">
        <x:v>M0</x:v>
      </x:c>
      <x:c r="B455" s="36" t="str">
        <x:v>48201350103</x:v>
      </x:c>
      <x:c r="C455" s="66" t="n">
        <x:v>1205.9172936655998</x:v>
      </x:c>
      <x:c r="D455" s="66" t="n">
        <x:v>196.67533875804514</x:v>
      </x:c>
      <x:c r="E455" s="66" t="n">
        <x:v>1009.2419549075546</x:v>
      </x:c>
      <x:c r="F455" s="66" t="n">
        <x:v>1009.2419549075546</x:v>
      </x:c>
      <x:c r="G455" s="66" t="n">
        <x:v>1205.9172936655998</x:v>
      </x:c>
      <x:c r="H455" s="45" t="n">
        <x:v>1</x:v>
      </x:c>
      <x:c r="I455" s="36" t="str">
        <x:v>generated design-reference observation; not predicted tract behavior</x:v>
      </x:c>
    </x:row>
    <x:row r="456" ht="75.5999984741211" hidden="0" customHeight="1">
      <x:c r="A456" s="34" t="str">
        <x:v>M0</x:v>
      </x:c>
      <x:c r="B456" s="34" t="str">
        <x:v>48201350104</x:v>
      </x:c>
      <x:c r="C456" s="65" t="n">
        <x:v>962.1314860887389</x:v>
      </x:c>
      <x:c r="D456" s="65" t="n">
        <x:v>76.79594054344996</x:v>
      </x:c>
      <x:c r="E456" s="65" t="n">
        <x:v>885.3355455452889</x:v>
      </x:c>
      <x:c r="F456" s="65" t="n">
        <x:v>885.3355455452889</x:v>
      </x:c>
      <x:c r="G456" s="65" t="n">
        <x:v>962.1314860887389</x:v>
      </x:c>
      <x:c r="H456" s="43" t="n">
        <x:v>1</x:v>
      </x:c>
      <x:c r="I456" s="34" t="str">
        <x:v>generated design-reference observation; not predicted tract behavior</x:v>
      </x:c>
    </x:row>
    <x:row r="457" ht="75.5999984741211" hidden="0" customHeight="1">
      <x:c r="A457" s="36" t="str">
        <x:v>M0</x:v>
      </x:c>
      <x:c r="B457" s="36" t="str">
        <x:v>48201350201</x:v>
      </x:c>
      <x:c r="C457" s="66" t="n">
        <x:v>304.5879918628528</x:v>
      </x:c>
      <x:c r="D457" s="66" t="n">
        <x:v>55.948072497944864</x:v>
      </x:c>
      <x:c r="E457" s="66" t="n">
        <x:v>248.63991936490794</x:v>
      </x:c>
      <x:c r="F457" s="66" t="n">
        <x:v>0</x:v>
      </x:c>
      <x:c r="G457" s="66" t="n">
        <x:v>55.948072497944864</x:v>
      </x:c>
      <x:c r="H457" s="45" t="n">
        <x:v>0.1836844327176781</x:v>
      </x:c>
      <x:c r="I457" s="36" t="str">
        <x:v>generated design-reference observation; not predicted tract behavior</x:v>
      </x:c>
    </x:row>
    <x:row r="458" ht="75.5999984741211" hidden="0" customHeight="1">
      <x:c r="A458" s="34" t="str">
        <x:v>M0</x:v>
      </x:c>
      <x:c r="B458" s="34" t="str">
        <x:v>48201350202</x:v>
      </x:c>
      <x:c r="C458" s="65" t="n">
        <x:v>645.5679980134466</x:v>
      </x:c>
      <x:c r="D458" s="65" t="n">
        <x:v>105.87315167420525</x:v>
      </x:c>
      <x:c r="E458" s="65" t="n">
        <x:v>539.6948463392414</x:v>
      </x:c>
      <x:c r="F458" s="65" t="n">
        <x:v>539.6948463392414</x:v>
      </x:c>
      <x:c r="G458" s="65" t="n">
        <x:v>645.5679980134466</x:v>
      </x:c>
      <x:c r="H458" s="43" t="n">
        <x:v>1</x:v>
      </x:c>
      <x:c r="I458" s="34" t="str">
        <x:v>generated design-reference observation; not predicted tract behavior</x:v>
      </x:c>
    </x:row>
    <x:row r="459" ht="75.5999984741211" hidden="0" customHeight="1">
      <x:c r="A459" s="36" t="str">
        <x:v>M0</x:v>
      </x:c>
      <x:c r="B459" s="36" t="str">
        <x:v>48201350300</x:v>
      </x:c>
      <x:c r="C459" s="66" t="n">
        <x:v>913.7597435371908</x:v>
      </x:c>
      <x:c r="D459" s="66" t="n">
        <x:v>149.8565979400993</x:v>
      </x:c>
      <x:c r="E459" s="66" t="n">
        <x:v>763.9031455970916</x:v>
      </x:c>
      <x:c r="F459" s="66" t="n">
        <x:v>763.9031455970916</x:v>
      </x:c>
      <x:c r="G459" s="66" t="n">
        <x:v>913.7597435371908</x:v>
      </x:c>
      <x:c r="H459" s="45" t="n">
        <x:v>1</x:v>
      </x:c>
      <x:c r="I459" s="36" t="str">
        <x:v>generated design-reference observation; not predicted tract behavior</x:v>
      </x:c>
    </x:row>
    <x:row r="460" ht="75.5999984741211" hidden="0" customHeight="1">
      <x:c r="A460" s="34" t="str">
        <x:v>M0</x:v>
      </x:c>
      <x:c r="B460" s="34" t="str">
        <x:v>48201350400</x:v>
      </x:c>
      <x:c r="C460" s="65" t="n">
        <x:v>1013.3562358407363</x:v>
      </x:c>
      <x:c r="D460" s="65" t="n">
        <x:v>87.83137132747942</x:v>
      </x:c>
      <x:c r="E460" s="65" t="n">
        <x:v>925.524864513257</x:v>
      </x:c>
      <x:c r="F460" s="65" t="n">
        <x:v>925.524864513257</x:v>
      </x:c>
      <x:c r="G460" s="65" t="n">
        <x:v>1013.3562358407363</x:v>
      </x:c>
      <x:c r="H460" s="43" t="n">
        <x:v>1</x:v>
      </x:c>
      <x:c r="I460" s="34" t="str">
        <x:v>generated design-reference observation; not predicted tract behavior</x:v>
      </x:c>
    </x:row>
    <x:row r="461" ht="75.5999984741211" hidden="0" customHeight="1">
      <x:c r="A461" s="36" t="str">
        <x:v>M0</x:v>
      </x:c>
      <x:c r="B461" s="36" t="str">
        <x:v>48201350500</x:v>
      </x:c>
      <x:c r="C461" s="66" t="n">
        <x:v>1196.7902703128593</x:v>
      </x:c>
      <x:c r="D461" s="66" t="n">
        <x:v>104.84949938417839</x:v>
      </x:c>
      <x:c r="E461" s="66" t="n">
        <x:v>1091.9407709286809</x:v>
      </x:c>
      <x:c r="F461" s="66" t="n">
        <x:v>1091.9407709286809</x:v>
      </x:c>
      <x:c r="G461" s="66" t="n">
        <x:v>1196.7902703128593</x:v>
      </x:c>
      <x:c r="H461" s="45" t="n">
        <x:v>1</x:v>
      </x:c>
      <x:c r="I461" s="36" t="str">
        <x:v>generated design-reference observation; not predicted tract behavior</x:v>
      </x:c>
    </x:row>
    <x:row r="462" ht="75.5999984741211" hidden="0" customHeight="1">
      <x:c r="A462" s="34" t="str">
        <x:v>M0</x:v>
      </x:c>
      <x:c r="B462" s="34" t="str">
        <x:v>48201350601</x:v>
      </x:c>
      <x:c r="C462" s="65" t="n">
        <x:v>310.52979198279695</x:v>
      </x:c>
      <x:c r="D462" s="65" t="n">
        <x:v>55.49956315730774</x:v>
      </x:c>
      <x:c r="E462" s="65" t="n">
        <x:v>255.03022882548922</x:v>
      </x:c>
      <x:c r="F462" s="65" t="n">
        <x:v>0</x:v>
      </x:c>
      <x:c r="G462" s="65" t="n">
        <x:v>55.49956315730774</x:v>
      </x:c>
      <x:c r="H462" s="43" t="n">
        <x:v>0.17872540603248258</x:v>
      </x:c>
      <x:c r="I462" s="34" t="str">
        <x:v>generated design-reference observation; not predicted tract behavior</x:v>
      </x:c>
    </x:row>
    <x:row r="463" ht="75.5999984741211" hidden="0" customHeight="1">
      <x:c r="A463" s="36" t="str">
        <x:v>M0</x:v>
      </x:c>
      <x:c r="B463" s="36" t="str">
        <x:v>48201350603</x:v>
      </x:c>
      <x:c r="C463" s="66" t="n">
        <x:v>357.3804143571187</x:v>
      </x:c>
      <x:c r="D463" s="66" t="n">
        <x:v>67.18751789913831</x:v>
      </x:c>
      <x:c r="E463" s="66" t="n">
        <x:v>290.1928964579804</x:v>
      </x:c>
      <x:c r="F463" s="66" t="n">
        <x:v>241.71194359929436</x:v>
      </x:c>
      <x:c r="G463" s="66" t="n">
        <x:v>308.8994614984327</x:v>
      </x:c>
      <x:c r="H463" s="45" t="n">
        <x:v>0.864343565256935</x:v>
      </x:c>
      <x:c r="I463" s="36" t="str">
        <x:v>generated design-reference observation; not predicted tract behavior</x:v>
      </x:c>
    </x:row>
    <x:row r="464" ht="75.5999984741211" hidden="0" customHeight="1">
      <x:c r="A464" s="34" t="str">
        <x:v>M0</x:v>
      </x:c>
      <x:c r="B464" s="34" t="str">
        <x:v>48201350604</x:v>
      </x:c>
      <x:c r="C464" s="65" t="n">
        <x:v>294.32345356040946</x:v>
      </x:c>
      <x:c r="D464" s="65" t="n">
        <x:v>53.6075757758154</x:v>
      </x:c>
      <x:c r="E464" s="65" t="n">
        <x:v>240.71587778459406</x:v>
      </x:c>
      <x:c r="F464" s="65" t="n">
        <x:v>240.71587778459406</x:v>
      </x:c>
      <x:c r="G464" s="65" t="n">
        <x:v>294.32345356040946</x:v>
      </x:c>
      <x:c r="H464" s="43" t="n">
        <x:v>1</x:v>
      </x:c>
      <x:c r="I464" s="34" t="str">
        <x:v>generated design-reference observation; not predicted tract behavior</x:v>
      </x:c>
    </x:row>
    <x:row r="465" ht="75.5999984741211" hidden="0" customHeight="1">
      <x:c r="A465" s="36" t="str">
        <x:v>M0</x:v>
      </x:c>
      <x:c r="B465" s="36" t="str">
        <x:v>48201350700</x:v>
      </x:c>
      <x:c r="C465" s="66" t="n">
        <x:v>188.72681928592542</x:v>
      </x:c>
      <x:c r="D465" s="66" t="n">
        <x:v>35.48064202575397</x:v>
      </x:c>
      <x:c r="E465" s="66" t="n">
        <x:v>153.24617726017144</x:v>
      </x:c>
      <x:c r="F465" s="66" t="n">
        <x:v>33.40896533913484</x:v>
      </x:c>
      <x:c r="G465" s="66" t="n">
        <x:v>68.8896073648888</x:v>
      </x:c>
      <x:c r="H465" s="45" t="n">
        <x:v>0.36502288135593214</x:v>
      </x:c>
      <x:c r="I465" s="36" t="str">
        <x:v>generated design-reference observation; not predicted tract behavior</x:v>
      </x:c>
    </x:row>
    <x:row r="466" ht="75.5999984741211" hidden="0" customHeight="1">
      <x:c r="A466" s="34" t="str">
        <x:v>M0</x:v>
      </x:c>
      <x:c r="B466" s="34" t="str">
        <x:v>48201350801</x:v>
      </x:c>
      <x:c r="C466" s="65" t="n">
        <x:v>382.51517200735873</x:v>
      </x:c>
      <x:c r="D466" s="65" t="n">
        <x:v>71.17857199747174</x:v>
      </x:c>
      <x:c r="E466" s="65" t="n">
        <x:v>311.336600009887</x:v>
      </x:c>
      <x:c r="F466" s="65" t="n">
        <x:v>103.44573771440628</x:v>
      </x:c>
      <x:c r="G466" s="65" t="n">
        <x:v>174.62430971187803</x:v>
      </x:c>
      <x:c r="H466" s="43" t="n">
        <x:v>0.4565160351561654</x:v>
      </x:c>
      <x:c r="I466" s="34" t="str">
        <x:v>generated design-reference observation; not predicted tract behavior</x:v>
      </x:c>
    </x:row>
    <x:row r="467" ht="75.5999984741211" hidden="0" customHeight="1">
      <x:c r="A467" s="36" t="str">
        <x:v>M0</x:v>
      </x:c>
      <x:c r="B467" s="36" t="str">
        <x:v>48201350803</x:v>
      </x:c>
      <x:c r="C467" s="66" t="n">
        <x:v>245.59440495769277</x:v>
      </x:c>
      <x:c r="D467" s="66" t="n">
        <x:v>43.92555497967643</x:v>
      </x:c>
      <x:c r="E467" s="66" t="n">
        <x:v>201.66884997801634</x:v>
      </x:c>
      <x:c r="F467" s="66" t="n">
        <x:v>0</x:v>
      </x:c>
      <x:c r="G467" s="66" t="n">
        <x:v>43.92555497967643</x:v>
      </x:c>
      <x:c r="H467" s="45" t="n">
        <x:v>0.17885405405405408</x:v>
      </x:c>
      <x:c r="I467" s="36" t="str">
        <x:v>generated design-reference observation; not predicted tract behavior</x:v>
      </x:c>
    </x:row>
    <x:row r="468" ht="75.5999984741211" hidden="0" customHeight="1">
      <x:c r="A468" s="34" t="str">
        <x:v>M0</x:v>
      </x:c>
      <x:c r="B468" s="34" t="str">
        <x:v>48201350804</x:v>
      </x:c>
      <x:c r="C468" s="65" t="n">
        <x:v>521.3851010011334</x:v>
      </x:c>
      <x:c r="D468" s="65" t="n">
        <x:v>90.22416404033206</x:v>
      </x:c>
      <x:c r="E468" s="65" t="n">
        <x:v>431.16093696080134</x:v>
      </x:c>
      <x:c r="F468" s="65" t="n">
        <x:v>65.00185947816276</x:v>
      </x:c>
      <x:c r="G468" s="65" t="n">
        <x:v>155.2260235184948</x:v>
      </x:c>
      <x:c r="H468" s="43" t="n">
        <x:v>0.29771856391837587</x:v>
      </x:c>
      <x:c r="I468" s="34" t="str">
        <x:v>generated design-reference observation; not predicted tract behavior</x:v>
      </x:c>
    </x:row>
    <x:row r="469" ht="75.5999984741211" hidden="0" customHeight="1">
      <x:c r="A469" s="36" t="str">
        <x:v>M0</x:v>
      </x:c>
      <x:c r="B469" s="36" t="str">
        <x:v>48201410101</x:v>
      </x:c>
      <x:c r="C469" s="66" t="n">
        <x:v>176.100494031044</x:v>
      </x:c>
      <x:c r="D469" s="66" t="n">
        <x:v>27.376853725903068</x:v>
      </x:c>
      <x:c r="E469" s="66" t="n">
        <x:v>148.72364030514095</x:v>
      </x:c>
      <x:c r="F469" s="66" t="n">
        <x:v>0</x:v>
      </x:c>
      <x:c r="G469" s="66" t="n">
        <x:v>27.376853725903068</x:v>
      </x:c>
      <x:c r="H469" s="45" t="n">
        <x:v>0.15546153846153843</x:v>
      </x:c>
      <x:c r="I469" s="36" t="str">
        <x:v>generated design-reference observation; not predicted tract behavior</x:v>
      </x:c>
    </x:row>
    <x:row r="470" ht="75.5999984741211" hidden="0" customHeight="1">
      <x:c r="A470" s="34" t="str">
        <x:v>M0</x:v>
      </x:c>
      <x:c r="B470" s="34" t="str">
        <x:v>48201410102</x:v>
      </x:c>
      <x:c r="C470" s="65" t="n">
        <x:v>321.7060350655491</x:v>
      </x:c>
      <x:c r="D470" s="65" t="n">
        <x:v>38.24914964509613</x:v>
      </x:c>
      <x:c r="E470" s="65" t="n">
        <x:v>283.456885420453</x:v>
      </x:c>
      <x:c r="F470" s="65" t="n">
        <x:v>283.456885420453</x:v>
      </x:c>
      <x:c r="G470" s="65" t="n">
        <x:v>321.7060350655491</x:v>
      </x:c>
      <x:c r="H470" s="43" t="n">
        <x:v>1</x:v>
      </x:c>
      <x:c r="I470" s="34" t="str">
        <x:v>generated design-reference observation; not predicted tract behavior</x:v>
      </x:c>
    </x:row>
    <x:row r="471" ht="75.5999984741211" hidden="0" customHeight="1">
      <x:c r="A471" s="36" t="str">
        <x:v>M0</x:v>
      </x:c>
      <x:c r="B471" s="36" t="str">
        <x:v>48201410201</x:v>
      </x:c>
      <x:c r="C471" s="66" t="n">
        <x:v>139.5065504351973</x:v>
      </x:c>
      <x:c r="D471" s="66" t="n">
        <x:v>17.51378680577967</x:v>
      </x:c>
      <x:c r="E471" s="66" t="n">
        <x:v>121.99276362941764</x:v>
      </x:c>
      <x:c r="F471" s="66" t="n">
        <x:v>121.99276362941764</x:v>
      </x:c>
      <x:c r="G471" s="66" t="n">
        <x:v>139.5065504351973</x:v>
      </x:c>
      <x:c r="H471" s="45" t="n">
        <x:v>1</x:v>
      </x:c>
      <x:c r="I471" s="36" t="str">
        <x:v>generated design-reference observation; not predicted tract behavior</x:v>
      </x:c>
    </x:row>
    <x:row r="472" ht="75.5999984741211" hidden="0" customHeight="1">
      <x:c r="A472" s="34" t="str">
        <x:v>M0</x:v>
      </x:c>
      <x:c r="B472" s="34" t="str">
        <x:v>48201410202</x:v>
      </x:c>
      <x:c r="C472" s="65" t="n">
        <x:v>311.59082771850126</x:v>
      </x:c>
      <x:c r="D472" s="65" t="n">
        <x:v>47.22323677145583</x:v>
      </x:c>
      <x:c r="E472" s="65" t="n">
        <x:v>264.3675909470454</x:v>
      </x:c>
      <x:c r="F472" s="65" t="n">
        <x:v>264.3675909470454</x:v>
      </x:c>
      <x:c r="G472" s="65" t="n">
        <x:v>311.59082771850126</x:v>
      </x:c>
      <x:c r="H472" s="43" t="n">
        <x:v>1</x:v>
      </x:c>
      <x:c r="I472" s="34" t="str">
        <x:v>generated design-reference observation; not predicted tract behavior</x:v>
      </x:c>
    </x:row>
    <x:row r="473" ht="75.5999984741211" hidden="0" customHeight="1">
      <x:c r="A473" s="36" t="str">
        <x:v>M0</x:v>
      </x:c>
      <x:c r="B473" s="36" t="str">
        <x:v>48201410300</x:v>
      </x:c>
      <x:c r="C473" s="66" t="n">
        <x:v>300.2966917762264</x:v>
      </x:c>
      <x:c r="D473" s="66" t="n">
        <x:v>38.125515938951835</x:v>
      </x:c>
      <x:c r="E473" s="66" t="n">
        <x:v>262.1711758372746</x:v>
      </x:c>
      <x:c r="F473" s="66" t="n">
        <x:v>0</x:v>
      </x:c>
      <x:c r="G473" s="66" t="n">
        <x:v>38.125515938951835</x:v>
      </x:c>
      <x:c r="H473" s="45" t="n">
        <x:v>0.12695949367088605</x:v>
      </x:c>
      <x:c r="I473" s="36" t="str">
        <x:v>generated design-reference observation; not predicted tract behavior</x:v>
      </x:c>
    </x:row>
    <x:row r="474" ht="75.5999984741211" hidden="0" customHeight="1">
      <x:c r="A474" s="34" t="str">
        <x:v>M0</x:v>
      </x:c>
      <x:c r="B474" s="34" t="str">
        <x:v>48201410401</x:v>
      </x:c>
      <x:c r="C474" s="65" t="n">
        <x:v>311.58296819453307</x:v>
      </x:c>
      <x:c r="D474" s="65" t="n">
        <x:v>55.123239046767075</x:v>
      </x:c>
      <x:c r="E474" s="65" t="n">
        <x:v>256.459729147766</x:v>
      </x:c>
      <x:c r="F474" s="65" t="n">
        <x:v>43.33244392929879</x:v>
      </x:c>
      <x:c r="G474" s="65" t="n">
        <x:v>98.45568297606587</x:v>
      </x:c>
      <x:c r="H474" s="43" t="n">
        <x:v>0.3159854453745246</x:v>
      </x:c>
      <x:c r="I474" s="34" t="str">
        <x:v>generated design-reference observation; not predicted tract behavior</x:v>
      </x:c>
    </x:row>
    <x:row r="475" ht="75.5999984741211" hidden="0" customHeight="1">
      <x:c r="A475" s="36" t="str">
        <x:v>M0</x:v>
      </x:c>
      <x:c r="B475" s="36" t="str">
        <x:v>48201410402</x:v>
      </x:c>
      <x:c r="C475" s="66" t="n">
        <x:v>243.57450729787044</x:v>
      </x:c>
      <x:c r="D475" s="66" t="n">
        <x:v>44.14191101410408</x:v>
      </x:c>
      <x:c r="E475" s="66" t="n">
        <x:v>199.43259628376637</x:v>
      </x:c>
      <x:c r="F475" s="66" t="n">
        <x:v>37.32867927700412</x:v>
      </x:c>
      <x:c r="G475" s="66" t="n">
        <x:v>81.47059029110821</x:v>
      </x:c>
      <x:c r="H475" s="45" t="n">
        <x:v>0.3344791341052648</x:v>
      </x:c>
      <x:c r="I475" s="36" t="str">
        <x:v>generated design-reference observation; not predicted tract behavior</x:v>
      </x:c>
    </x:row>
    <x:row r="476" ht="75.5999984741211" hidden="0" customHeight="1">
      <x:c r="A476" s="34" t="str">
        <x:v>M0</x:v>
      </x:c>
      <x:c r="B476" s="34" t="str">
        <x:v>48201410501</x:v>
      </x:c>
      <x:c r="C476" s="65" t="n">
        <x:v>145.85704580148686</x:v>
      </x:c>
      <x:c r="D476" s="65" t="n">
        <x:v>25.834929237588362</x:v>
      </x:c>
      <x:c r="E476" s="65" t="n">
        <x:v>120.02211656389849</x:v>
      </x:c>
      <x:c r="F476" s="65" t="n">
        <x:v>120.02211656389849</x:v>
      </x:c>
      <x:c r="G476" s="65" t="n">
        <x:v>145.85704580148686</x:v>
      </x:c>
      <x:c r="H476" s="43" t="n">
        <x:v>1</x:v>
      </x:c>
      <x:c r="I476" s="34" t="str">
        <x:v>generated design-reference observation; not predicted tract behavior</x:v>
      </x:c>
    </x:row>
    <x:row r="477" ht="75.5999984741211" hidden="0" customHeight="1">
      <x:c r="A477" s="36" t="str">
        <x:v>M0</x:v>
      </x:c>
      <x:c r="B477" s="36" t="str">
        <x:v>48201410502</x:v>
      </x:c>
      <x:c r="C477" s="66" t="n">
        <x:v>241.70394059344352</x:v>
      </x:c>
      <x:c r="D477" s="66" t="n">
        <x:v>41.16353174372135</x:v>
      </x:c>
      <x:c r="E477" s="66" t="n">
        <x:v>200.54040884972216</x:v>
      </x:c>
      <x:c r="F477" s="66" t="n">
        <x:v>53.474165508696</x:v>
      </x:c>
      <x:c r="G477" s="66" t="n">
        <x:v>94.63769725241735</x:v>
      </x:c>
      <x:c r="H477" s="45" t="n">
        <x:v>0.391543873964397</x:v>
      </x:c>
      <x:c r="I477" s="36" t="str">
        <x:v>generated design-reference observation; not predicted tract behavior</x:v>
      </x:c>
    </x:row>
    <x:row r="478" ht="75.5999984741211" hidden="0" customHeight="1">
      <x:c r="A478" s="34" t="str">
        <x:v>M0</x:v>
      </x:c>
      <x:c r="B478" s="34" t="str">
        <x:v>48201410601</x:v>
      </x:c>
      <x:c r="C478" s="65" t="n">
        <x:v>294.8421821423094</x:v>
      </x:c>
      <x:c r="D478" s="65" t="n">
        <x:v>31.319679175196253</x:v>
      </x:c>
      <x:c r="E478" s="65" t="n">
        <x:v>263.52250296711316</x:v>
      </x:c>
      <x:c r="F478" s="65" t="n">
        <x:v>0</x:v>
      </x:c>
      <x:c r="G478" s="65" t="n">
        <x:v>31.319679175196253</x:v>
      </x:c>
      <x:c r="H478" s="43" t="n">
        <x:v>0.10622523191094618</x:v>
      </x:c>
      <x:c r="I478" s="34" t="str">
        <x:v>generated design-reference observation; not predicted tract behavior</x:v>
      </x:c>
    </x:row>
    <x:row r="479" ht="75.5999984741211" hidden="0" customHeight="1">
      <x:c r="A479" s="36" t="str">
        <x:v>M0</x:v>
      </x:c>
      <x:c r="B479" s="36" t="str">
        <x:v>48201410602</x:v>
      </x:c>
      <x:c r="C479" s="66" t="n">
        <x:v>213.18958763688605</x:v>
      </x:c>
      <x:c r="D479" s="66" t="n">
        <x:v>25.528316328052888</x:v>
      </x:c>
      <x:c r="E479" s="66" t="n">
        <x:v>187.66127130883316</x:v>
      </x:c>
      <x:c r="F479" s="66" t="n">
        <x:v>6.756044661604909</x:v>
      </x:c>
      <x:c r="G479" s="66" t="n">
        <x:v>32.2843609896578</x:v>
      </x:c>
      <x:c r="H479" s="45" t="n">
        <x:v>0.15143498023292748</x:v>
      </x:c>
      <x:c r="I479" s="36" t="str">
        <x:v>generated design-reference observation; not predicted tract behavior</x:v>
      </x:c>
    </x:row>
    <x:row r="480" ht="75.5999984741211" hidden="0" customHeight="1">
      <x:c r="A480" s="34" t="str">
        <x:v>M0</x:v>
      </x:c>
      <x:c r="B480" s="34" t="str">
        <x:v>48201410703</x:v>
      </x:c>
      <x:c r="C480" s="65" t="n">
        <x:v>184.9188799233421</x:v>
      </x:c>
      <x:c r="D480" s="65" t="n">
        <x:v>26.06085100907219</x:v>
      </x:c>
      <x:c r="E480" s="65" t="n">
        <x:v>158.8580289142699</x:v>
      </x:c>
      <x:c r="F480" s="65" t="n">
        <x:v>19.4728049719094</x:v>
      </x:c>
      <x:c r="G480" s="65" t="n">
        <x:v>45.53365598098159</x:v>
      </x:c>
      <x:c r="H480" s="43" t="n">
        <x:v>0.24623584135842438</x:v>
      </x:c>
      <x:c r="I480" s="34" t="str">
        <x:v>generated design-reference observation; not predicted tract behavior</x:v>
      </x:c>
    </x:row>
    <x:row r="481" ht="75.5999984741211" hidden="0" customHeight="1">
      <x:c r="A481" s="36" t="str">
        <x:v>M0</x:v>
      </x:c>
      <x:c r="B481" s="36" t="str">
        <x:v>48201410704</x:v>
      </x:c>
      <x:c r="C481" s="66" t="n">
        <x:v>171.75417727664038</x:v>
      </x:c>
      <x:c r="D481" s="66" t="n">
        <x:v>27.251956862707566</x:v>
      </x:c>
      <x:c r="E481" s="66" t="n">
        <x:v>144.5022204139328</x:v>
      </x:c>
      <x:c r="F481" s="66" t="n">
        <x:v>144.5022204139328</x:v>
      </x:c>
      <x:c r="G481" s="66" t="n">
        <x:v>171.75417727664038</x:v>
      </x:c>
      <x:c r="H481" s="45" t="n">
        <x:v>1</x:v>
      </x:c>
      <x:c r="I481" s="36" t="str">
        <x:v>generated design-reference observation; not predicted tract behavior</x:v>
      </x:c>
    </x:row>
    <x:row r="482" ht="75.5999984741211" hidden="0" customHeight="1">
      <x:c r="A482" s="34" t="str">
        <x:v>M0</x:v>
      </x:c>
      <x:c r="B482" s="34" t="str">
        <x:v>48201410705</x:v>
      </x:c>
      <x:c r="C482" s="65" t="n">
        <x:v>89.37850656614447</x:v>
      </x:c>
      <x:c r="D482" s="65" t="n">
        <x:v>16.034966994534187</x:v>
      </x:c>
      <x:c r="E482" s="65" t="n">
        <x:v>73.34353957161028</x:v>
      </x:c>
      <x:c r="F482" s="65" t="n">
        <x:v>4.244338895843269</x:v>
      </x:c>
      <x:c r="G482" s="65" t="n">
        <x:v>20.279305890377458</x:v>
      </x:c>
      <x:c r="H482" s="43" t="n">
        <x:v>0.22689242268072335</x:v>
      </x:c>
      <x:c r="I482" s="34" t="str">
        <x:v>generated design-reference observation; not predicted tract behavior</x:v>
      </x:c>
    </x:row>
    <x:row r="483" ht="75.5999984741211" hidden="0" customHeight="1">
      <x:c r="A483" s="36" t="str">
        <x:v>M0</x:v>
      </x:c>
      <x:c r="B483" s="36" t="str">
        <x:v>48201410706</x:v>
      </x:c>
      <x:c r="C483" s="66" t="n">
        <x:v>150.08546969636777</x:v>
      </x:c>
      <x:c r="D483" s="66" t="n">
        <x:v>19.382382606579366</x:v>
      </x:c>
      <x:c r="E483" s="66" t="n">
        <x:v>130.7030870897884</x:v>
      </x:c>
      <x:c r="F483" s="66" t="n">
        <x:v>73.50056581745127</x:v>
      </x:c>
      <x:c r="G483" s="66" t="n">
        <x:v>92.88294842403064</x:v>
      </x:c>
      <x:c r="H483" s="45" t="n">
        <x:v>0.6188670269809504</x:v>
      </x:c>
      <x:c r="I483" s="36" t="str">
        <x:v>generated design-reference observation; not predicted tract behavior</x:v>
      </x:c>
    </x:row>
    <x:row r="484" ht="75.5999984741211" hidden="0" customHeight="1">
      <x:c r="A484" s="34" t="str">
        <x:v>M0</x:v>
      </x:c>
      <x:c r="B484" s="34" t="str">
        <x:v>48201410801</x:v>
      </x:c>
      <x:c r="C484" s="65" t="n">
        <x:v>217.41801153176698</x:v>
      </x:c>
      <x:c r="D484" s="65" t="n">
        <x:v>34.8747272375021</x:v>
      </x:c>
      <x:c r="E484" s="65" t="n">
        <x:v>182.54328429426488</x:v>
      </x:c>
      <x:c r="F484" s="65" t="n">
        <x:v>105.97020027587575</x:v>
      </x:c>
      <x:c r="G484" s="65" t="n">
        <x:v>140.84492751337785</x:v>
      </x:c>
      <x:c r="H484" s="43" t="n">
        <x:v>0.6478070814882739</x:v>
      </x:c>
      <x:c r="I484" s="34" t="str">
        <x:v>generated design-reference observation; not predicted tract behavior</x:v>
      </x:c>
    </x:row>
    <x:row r="485" ht="75.5999984741211" hidden="0" customHeight="1">
      <x:c r="A485" s="36" t="str">
        <x:v>M0</x:v>
      </x:c>
      <x:c r="B485" s="36" t="str">
        <x:v>48201410802</x:v>
      </x:c>
      <x:c r="C485" s="66" t="n">
        <x:v>114.89052136685714</x:v>
      </x:c>
      <x:c r="D485" s="66" t="n">
        <x:v>18.680518115390985</x:v>
      </x:c>
      <x:c r="E485" s="66" t="n">
        <x:v>96.21000325146616</x:v>
      </x:c>
      <x:c r="F485" s="66" t="n">
        <x:v>10.195260994734555</x:v>
      </x:c>
      <x:c r="G485" s="66" t="n">
        <x:v>28.875779110125542</x:v>
      </x:c>
      <x:c r="H485" s="45" t="n">
        <x:v>0.2513329974186664</x:v>
      </x:c>
      <x:c r="I485" s="36" t="str">
        <x:v>generated design-reference observation; not predicted tract behavior</x:v>
      </x:c>
    </x:row>
    <x:row r="486" ht="75.5999984741211" hidden="0" customHeight="1">
      <x:c r="A486" s="34" t="str">
        <x:v>M0</x:v>
      </x:c>
      <x:c r="B486" s="34" t="str">
        <x:v>48201410900</x:v>
      </x:c>
      <x:c r="C486" s="65" t="n">
        <x:v>282.4870104643303</x:v>
      </x:c>
      <x:c r="D486" s="65" t="n">
        <x:v>41.55295422496029</x:v>
      </x:c>
      <x:c r="E486" s="65" t="n">
        <x:v>240.93405623937002</x:v>
      </x:c>
      <x:c r="F486" s="65" t="n">
        <x:v>240.93405623937002</x:v>
      </x:c>
      <x:c r="G486" s="65" t="n">
        <x:v>282.4870104643303</x:v>
      </x:c>
      <x:c r="H486" s="43" t="n">
        <x:v>1</x:v>
      </x:c>
      <x:c r="I486" s="34" t="str">
        <x:v>generated design-reference observation; not predicted tract behavior</x:v>
      </x:c>
    </x:row>
    <x:row r="487" ht="75.5999984741211" hidden="0" customHeight="1">
      <x:c r="A487" s="36" t="str">
        <x:v>M0</x:v>
      </x:c>
      <x:c r="B487" s="36" t="str">
        <x:v>48201411001</x:v>
      </x:c>
      <x:c r="C487" s="66" t="n">
        <x:v>215.90112340590824</x:v>
      </x:c>
      <x:c r="D487" s="66" t="n">
        <x:v>25.61867641664012</x:v>
      </x:c>
      <x:c r="E487" s="66" t="n">
        <x:v>190.28244698926812</x:v>
      </x:c>
      <x:c r="F487" s="66" t="n">
        <x:v>190.28244698926815</x:v>
      </x:c>
      <x:c r="G487" s="66" t="n">
        <x:v>215.90112340590824</x:v>
      </x:c>
      <x:c r="H487" s="45" t="n">
        <x:v>1</x:v>
      </x:c>
      <x:c r="I487" s="36" t="str">
        <x:v>generated design-reference observation; not predicted tract behavior</x:v>
      </x:c>
    </x:row>
    <x:row r="488" ht="75.5999984741211" hidden="0" customHeight="1">
      <x:c r="A488" s="34" t="str">
        <x:v>M0</x:v>
      </x:c>
      <x:c r="B488" s="34" t="str">
        <x:v>48201411002</x:v>
      </x:c>
      <x:c r="C488" s="65" t="n">
        <x:v>173.54614874138545</x:v>
      </x:c>
      <x:c r="D488" s="65" t="n">
        <x:v>26.211801719261786</x:v>
      </x:c>
      <x:c r="E488" s="65" t="n">
        <x:v>147.33434702212367</x:v>
      </x:c>
      <x:c r="F488" s="65" t="n">
        <x:v>26.618984868241192</x:v>
      </x:c>
      <x:c r="G488" s="65" t="n">
        <x:v>52.83078658750298</x:v>
      </x:c>
      <x:c r="H488" s="43" t="n">
        <x:v>0.30441923932423426</x:v>
      </x:c>
      <x:c r="I488" s="34" t="str">
        <x:v>generated design-reference observation; not predicted tract behavior</x:v>
      </x:c>
    </x:row>
    <x:row r="489" ht="75.5999984741211" hidden="0" customHeight="1">
      <x:c r="A489" s="36" t="str">
        <x:v>M0</x:v>
      </x:c>
      <x:c r="B489" s="36" t="str">
        <x:v>48201411003</x:v>
      </x:c>
      <x:c r="C489" s="66" t="n">
        <x:v>136.70070037855703</x:v>
      </x:c>
      <x:c r="D489" s="66" t="n">
        <x:v>19.31658693495568</x:v>
      </x:c>
      <x:c r="E489" s="66" t="n">
        <x:v>117.38411344360135</x:v>
      </x:c>
      <x:c r="F489" s="66" t="n">
        <x:v>13.943728973887765</x:v>
      </x:c>
      <x:c r="G489" s="66" t="n">
        <x:v>33.260315908843445</x:v>
      </x:c>
      <x:c r="H489" s="45" t="n">
        <x:v>0.24330757499221037</x:v>
      </x:c>
      <x:c r="I489" s="36" t="str">
        <x:v>generated design-reference observation; not predicted tract behavior</x:v>
      </x:c>
    </x:row>
    <x:row r="490" ht="75.5999984741211" hidden="0" customHeight="1">
      <x:c r="A490" s="34" t="str">
        <x:v>M0</x:v>
      </x:c>
      <x:c r="B490" s="34" t="str">
        <x:v>48201411100</x:v>
      </x:c>
      <x:c r="C490" s="65" t="n">
        <x:v>290.99887492186934</x:v>
      </x:c>
      <x:c r="D490" s="65" t="n">
        <x:v>46.08849503630985</x:v>
      </x:c>
      <x:c r="E490" s="65" t="n">
        <x:v>244.9103798855595</x:v>
      </x:c>
      <x:c r="F490" s="65" t="n">
        <x:v>0</x:v>
      </x:c>
      <x:c r="G490" s="65" t="n">
        <x:v>46.08849503630985</x:v>
      </x:c>
      <x:c r="H490" s="43" t="n">
        <x:v>0.15838032036613273</x:v>
      </x:c>
      <x:c r="I490" s="34" t="str">
        <x:v>generated design-reference observation; not predicted tract behavior</x:v>
      </x:c>
    </x:row>
    <x:row r="491" ht="75.5999984741211" hidden="0" customHeight="1">
      <x:c r="A491" s="36" t="str">
        <x:v>M0</x:v>
      </x:c>
      <x:c r="B491" s="36" t="str">
        <x:v>48201411200</x:v>
      </x:c>
      <x:c r="C491" s="66" t="n">
        <x:v>135.85187178999357</x:v>
      </x:c>
      <x:c r="D491" s="66" t="n">
        <x:v>21.684492309568448</x:v>
      </x:c>
      <x:c r="E491" s="66" t="n">
        <x:v>114.16737948042513</x:v>
      </x:c>
      <x:c r="F491" s="66" t="n">
        <x:v>114.16737948042513</x:v>
      </x:c>
      <x:c r="G491" s="66" t="n">
        <x:v>135.85187178999357</x:v>
      </x:c>
      <x:c r="H491" s="45" t="n">
        <x:v>1</x:v>
      </x:c>
      <x:c r="I491" s="36" t="str">
        <x:v>generated design-reference observation; not predicted tract behavior</x:v>
      </x:c>
    </x:row>
    <x:row r="492" ht="75.5999984741211" hidden="0" customHeight="1">
      <x:c r="A492" s="34" t="str">
        <x:v>M0</x:v>
      </x:c>
      <x:c r="B492" s="34" t="str">
        <x:v>48201411301</x:v>
      </x:c>
      <x:c r="C492" s="65" t="n">
        <x:v>154.39248883093052</x:v>
      </x:c>
      <x:c r="D492" s="65" t="n">
        <x:v>19.190197106572317</x:v>
      </x:c>
      <x:c r="E492" s="65" t="n">
        <x:v>135.2022917243582</x:v>
      </x:c>
      <x:c r="F492" s="65" t="n">
        <x:v>135.2022917243582</x:v>
      </x:c>
      <x:c r="G492" s="65" t="n">
        <x:v>154.39248883093052</x:v>
      </x:c>
      <x:c r="H492" s="43" t="n">
        <x:v>1</x:v>
      </x:c>
      <x:c r="I492" s="34" t="str">
        <x:v>generated design-reference observation; not predicted tract behavior</x:v>
      </x:c>
    </x:row>
    <x:row r="493" ht="75.5999984741211" hidden="0" customHeight="1">
      <x:c r="A493" s="36" t="str">
        <x:v>M0</x:v>
      </x:c>
      <x:c r="B493" s="36" t="str">
        <x:v>48201411302</x:v>
      </x:c>
      <x:c r="C493" s="66" t="n">
        <x:v>244.72985732119292</x:v>
      </x:c>
      <x:c r="D493" s="66" t="n">
        <x:v>26.73912064471683</x:v>
      </x:c>
      <x:c r="E493" s="66" t="n">
        <x:v>217.9907366764761</x:v>
      </x:c>
      <x:c r="F493" s="66" t="n">
        <x:v>0</x:v>
      </x:c>
      <x:c r="G493" s="66" t="n">
        <x:v>26.73912064471683</x:v>
      </x:c>
      <x:c r="H493" s="45" t="n">
        <x:v>0.10925974025974025</x:v>
      </x:c>
      <x:c r="I493" s="36" t="str">
        <x:v>generated design-reference observation; not predicted tract behavior</x:v>
      </x:c>
    </x:row>
    <x:row r="494" ht="75.5999984741211" hidden="0" customHeight="1">
      <x:c r="A494" s="34" t="str">
        <x:v>M0</x:v>
      </x:c>
      <x:c r="B494" s="34" t="str">
        <x:v>48201411400</x:v>
      </x:c>
      <x:c r="C494" s="65" t="n">
        <x:v>231.32150943147764</x:v>
      </x:c>
      <x:c r="D494" s="65" t="n">
        <x:v>37.112097625302546</x:v>
      </x:c>
      <x:c r="E494" s="65" t="n">
        <x:v>194.2094118061751</x:v>
      </x:c>
      <x:c r="F494" s="65" t="n">
        <x:v>43.15991108763078</x:v>
      </x:c>
      <x:c r="G494" s="65" t="n">
        <x:v>80.27200871293333</x:v>
      </x:c>
      <x:c r="H494" s="43" t="n">
        <x:v>0.34701489243356165</x:v>
      </x:c>
      <x:c r="I494" s="34" t="str">
        <x:v>generated design-reference observation; not predicted tract behavior</x:v>
      </x:c>
    </x:row>
    <x:row r="495" ht="75.5999984741211" hidden="0" customHeight="1">
      <x:c r="A495" s="36" t="str">
        <x:v>M0</x:v>
      </x:c>
      <x:c r="B495" s="36" t="str">
        <x:v>48201411503</x:v>
      </x:c>
      <x:c r="C495" s="66" t="n">
        <x:v>283.39871524463916</x:v>
      </x:c>
      <x:c r="D495" s="66" t="n">
        <x:v>37.80799730473753</x:v>
      </x:c>
      <x:c r="E495" s="66" t="n">
        <x:v>245.59071793990162</x:v>
      </x:c>
      <x:c r="F495" s="66" t="n">
        <x:v>0</x:v>
      </x:c>
      <x:c r="G495" s="66" t="n">
        <x:v>37.80799730473753</x:v>
      </x:c>
      <x:c r="H495" s="45" t="n">
        <x:v>0.1334092050209205</x:v>
      </x:c>
      <x:c r="I495" s="36" t="str">
        <x:v>generated design-reference observation; not predicted tract behavior</x:v>
      </x:c>
    </x:row>
    <x:row r="496" ht="75.5999984741211" hidden="0" customHeight="1">
      <x:c r="A496" s="34" t="str">
        <x:v>M0</x:v>
      </x:c>
      <x:c r="B496" s="34" t="str">
        <x:v>48201411504</x:v>
      </x:c>
      <x:c r="C496" s="65" t="n">
        <x:v>212.45079238387711</x:v>
      </x:c>
      <x:c r="D496" s="65" t="n">
        <x:v>25.73527192613281</x:v>
      </x:c>
      <x:c r="E496" s="65" t="n">
        <x:v>186.7155204577443</x:v>
      </x:c>
      <x:c r="F496" s="65" t="n">
        <x:v>0</x:v>
      </x:c>
      <x:c r="G496" s="65" t="n">
        <x:v>25.73527192613281</x:v>
      </x:c>
      <x:c r="H496" s="43" t="n">
        <x:v>0.12113521271143002</x:v>
      </x:c>
      <x:c r="I496" s="34" t="str">
        <x:v>generated design-reference observation; not predicted tract behavior</x:v>
      </x:c>
    </x:row>
    <x:row r="497" ht="75.5999984741211" hidden="0" customHeight="1">
      <x:c r="A497" s="36" t="str">
        <x:v>M0</x:v>
      </x:c>
      <x:c r="B497" s="36" t="str">
        <x:v>48201411505</x:v>
      </x:c>
      <x:c r="C497" s="66" t="n">
        <x:v>265.99379941710436</x:v>
      </x:c>
      <x:c r="D497" s="66" t="n">
        <x:v>35.83297289926785</x:v>
      </x:c>
      <x:c r="E497" s="66" t="n">
        <x:v>230.1608265178365</x:v>
      </x:c>
      <x:c r="F497" s="66" t="n">
        <x:v>138.12365352872894</x:v>
      </x:c>
      <x:c r="G497" s="66" t="n">
        <x:v>173.95662642799678</x:v>
      </x:c>
      <x:c r="H497" s="45" t="n">
        <x:v>0.6539875245558477</x:v>
      </x:c>
      <x:c r="I497" s="36" t="str">
        <x:v>generated design-reference observation; not predicted tract behavior</x:v>
      </x:c>
    </x:row>
    <x:row r="498" ht="75.5999984741211" hidden="0" customHeight="1">
      <x:c r="A498" s="34" t="str">
        <x:v>M0</x:v>
      </x:c>
      <x:c r="B498" s="34" t="str">
        <x:v>48201411506</x:v>
      </x:c>
      <x:c r="C498" s="65" t="n">
        <x:v>237.97066670855799</x:v>
      </x:c>
      <x:c r="D498" s="65" t="n">
        <x:v>26.256813034316593</x:v>
      </x:c>
      <x:c r="E498" s="65" t="n">
        <x:v>211.7138536742414</x:v>
      </x:c>
      <x:c r="F498" s="65" t="n">
        <x:v>211.7138536742414</x:v>
      </x:c>
      <x:c r="G498" s="65" t="n">
        <x:v>237.97066670855799</x:v>
      </x:c>
      <x:c r="H498" s="43" t="n">
        <x:v>1</x:v>
      </x:c>
      <x:c r="I498" s="34" t="str">
        <x:v>generated design-reference observation; not predicted tract behavior</x:v>
      </x:c>
    </x:row>
    <x:row r="499" ht="75.5999984741211" hidden="0" customHeight="1">
      <x:c r="A499" s="36" t="str">
        <x:v>M0</x:v>
      </x:c>
      <x:c r="B499" s="36" t="str">
        <x:v>48201411507</x:v>
      </x:c>
      <x:c r="C499" s="66" t="n">
        <x:v>181.17774651448835</x:v>
      </x:c>
      <x:c r="D499" s="66" t="n">
        <x:v>21.718471050636772</x:v>
      </x:c>
      <x:c r="E499" s="66" t="n">
        <x:v>159.45927546385158</x:v>
      </x:c>
      <x:c r="F499" s="66" t="n">
        <x:v>81.57921699751668</x:v>
      </x:c>
      <x:c r="G499" s="66" t="n">
        <x:v>103.29768804815345</x:v>
      </x:c>
      <x:c r="H499" s="45" t="n">
        <x:v>0.570145561667492</x:v>
      </x:c>
      <x:c r="I499" s="36" t="str">
        <x:v>generated design-reference observation; not predicted tract behavior</x:v>
      </x:c>
    </x:row>
    <x:row r="500" ht="75.5999984741211" hidden="0" customHeight="1">
      <x:c r="A500" s="34" t="str">
        <x:v>M0</x:v>
      </x:c>
      <x:c r="B500" s="34" t="str">
        <x:v>48201411600</x:v>
      </x:c>
      <x:c r="C500" s="65" t="n">
        <x:v>224.0042926171019</x:v>
      </x:c>
      <x:c r="D500" s="65" t="n">
        <x:v>37.58240897169279</x:v>
      </x:c>
      <x:c r="E500" s="65" t="n">
        <x:v>186.4218836454091</x:v>
      </x:c>
      <x:c r="F500" s="65" t="n">
        <x:v>47.446286774914086</x:v>
      </x:c>
      <x:c r="G500" s="65" t="n">
        <x:v>85.02869574660687</x:v>
      </x:c>
      <x:c r="H500" s="43" t="n">
        <x:v>0.37958511755821256</x:v>
      </x:c>
      <x:c r="I500" s="34" t="str">
        <x:v>generated design-reference observation; not predicted tract behavior</x:v>
      </x:c>
    </x:row>
    <x:row r="501" ht="75.5999984741211" hidden="0" customHeight="1">
      <x:c r="A501" s="36" t="str">
        <x:v>M0</x:v>
      </x:c>
      <x:c r="B501" s="36" t="str">
        <x:v>48201411700</x:v>
      </x:c>
      <x:c r="C501" s="66" t="n">
        <x:v>284.91560337049793</x:v>
      </x:c>
      <x:c r="D501" s="66" t="n">
        <x:v>41.522382406033046</x:v>
      </x:c>
      <x:c r="E501" s="66" t="n">
        <x:v>243.3932209644649</x:v>
      </x:c>
      <x:c r="F501" s="66" t="n">
        <x:v>0</x:v>
      </x:c>
      <x:c r="G501" s="66" t="n">
        <x:v>41.522382406033046</x:v>
      </x:c>
      <x:c r="H501" s="45" t="n">
        <x:v>0.14573572635135135</x:v>
      </x:c>
      <x:c r="I501" s="36" t="str">
        <x:v>generated design-reference observation; not predicted tract behavior</x:v>
      </x:c>
    </x:row>
    <x:row r="502" ht="75.5999984741211" hidden="0" customHeight="1">
      <x:c r="A502" s="34" t="str">
        <x:v>M0</x:v>
      </x:c>
      <x:c r="B502" s="34" t="str">
        <x:v>48201411801</x:v>
      </x:c>
      <x:c r="C502" s="65" t="n">
        <x:v>306.0891609407751</x:v>
      </x:c>
      <x:c r="D502" s="65" t="n">
        <x:v>42.49338687266807</x:v>
      </x:c>
      <x:c r="E502" s="65" t="n">
        <x:v>263.59577406810706</x:v>
      </x:c>
      <x:c r="F502" s="65" t="n">
        <x:v>263.59577406810706</x:v>
      </x:c>
      <x:c r="G502" s="65" t="n">
        <x:v>306.0891609407751</x:v>
      </x:c>
      <x:c r="H502" s="43" t="n">
        <x:v>1</x:v>
      </x:c>
      <x:c r="I502" s="34" t="str">
        <x:v>generated design-reference observation; not predicted tract behavior</x:v>
      </x:c>
    </x:row>
    <x:row r="503" ht="75.5999984741211" hidden="0" customHeight="1">
      <x:c r="A503" s="36" t="str">
        <x:v>M0</x:v>
      </x:c>
      <x:c r="B503" s="36" t="str">
        <x:v>48201411802</x:v>
      </x:c>
      <x:c r="C503" s="66" t="n">
        <x:v>181.6571774765474</x:v>
      </x:c>
      <x:c r="D503" s="66" t="n">
        <x:v>24.211781064701473</x:v>
      </x:c>
      <x:c r="E503" s="66" t="n">
        <x:v>157.4453964118459</x:v>
      </x:c>
      <x:c r="F503" s="66" t="n">
        <x:v>90.58587789826856</x:v>
      </x:c>
      <x:c r="G503" s="66" t="n">
        <x:v>114.79765896297003</x:v>
      </x:c>
      <x:c r="H503" s="45" t="n">
        <x:v>0.6319467282144182</x:v>
      </x:c>
      <x:c r="I503" s="36" t="str">
        <x:v>generated design-reference observation; not predicted tract behavior</x:v>
      </x:c>
    </x:row>
    <x:row r="504" ht="75.5999984741211" hidden="0" customHeight="1">
      <x:c r="A504" s="34" t="str">
        <x:v>M0</x:v>
      </x:c>
      <x:c r="B504" s="34" t="str">
        <x:v>48201411901</x:v>
      </x:c>
      <x:c r="C504" s="65" t="n">
        <x:v>173.71119874471728</x:v>
      </x:c>
      <x:c r="D504" s="65" t="n">
        <x:v>31.943130801684312</x:v>
      </x:c>
      <x:c r="E504" s="65" t="n">
        <x:v>141.76806794303297</x:v>
      </x:c>
      <x:c r="F504" s="65" t="n">
        <x:v>11.03739118348278</x:v>
      </x:c>
      <x:c r="G504" s="65" t="n">
        <x:v>42.980521985167094</x:v>
      </x:c>
      <x:c r="H504" s="43" t="n">
        <x:v>0.2474251648469162</x:v>
      </x:c>
      <x:c r="I504" s="34" t="str">
        <x:v>generated design-reference observation; not predicted tract behavior</x:v>
      </x:c>
    </x:row>
    <x:row r="505" ht="75.5999984741211" hidden="0" customHeight="1">
      <x:c r="A505" s="36" t="str">
        <x:v>M0</x:v>
      </x:c>
      <x:c r="B505" s="36" t="str">
        <x:v>48201411902</x:v>
      </x:c>
      <x:c r="C505" s="66" t="n">
        <x:v>192.81377174937907</x:v>
      </x:c>
      <x:c r="D505" s="66" t="n">
        <x:v>26.29427755167584</x:v>
      </x:c>
      <x:c r="E505" s="66" t="n">
        <x:v>166.51949419770324</x:v>
      </x:c>
      <x:c r="F505" s="66" t="n">
        <x:v>17.634958033633144</x:v>
      </x:c>
      <x:c r="G505" s="66" t="n">
        <x:v>43.92923558530899</x:v>
      </x:c>
      <x:c r="H505" s="45" t="n">
        <x:v>0.22783245816283584</x:v>
      </x:c>
      <x:c r="I505" s="36" t="str">
        <x:v>generated design-reference observation; not predicted tract behavior</x:v>
      </x:c>
    </x:row>
    <x:row r="506" ht="75.5999984741211" hidden="0" customHeight="1">
      <x:c r="A506" s="34" t="str">
        <x:v>M0</x:v>
      </x:c>
      <x:c r="B506" s="34" t="str">
        <x:v>48201412000</x:v>
      </x:c>
      <x:c r="C506" s="65" t="n">
        <x:v>543.4891052934898</x:v>
      </x:c>
      <x:c r="D506" s="65" t="n">
        <x:v>78.34345554302193</x:v>
      </x:c>
      <x:c r="E506" s="65" t="n">
        <x:v>465.1456497504679</x:v>
      </x:c>
      <x:c r="F506" s="65" t="n">
        <x:v>465.1456497504679</x:v>
      </x:c>
      <x:c r="G506" s="65" t="n">
        <x:v>543.4891052934898</x:v>
      </x:c>
      <x:c r="H506" s="43" t="n">
        <x:v>1</x:v>
      </x:c>
      <x:c r="I506" s="34" t="str">
        <x:v>generated design-reference observation; not predicted tract behavior</x:v>
      </x:c>
    </x:row>
    <x:row r="507" ht="75.5999984741211" hidden="0" customHeight="1">
      <x:c r="A507" s="36" t="str">
        <x:v>M0</x:v>
      </x:c>
      <x:c r="B507" s="36" t="str">
        <x:v>48201412201</x:v>
      </x:c>
      <x:c r="C507" s="66" t="n">
        <x:v>329.33340078728446</x:v>
      </x:c>
      <x:c r="D507" s="66" t="n">
        <x:v>41.96258770778105</x:v>
      </x:c>
      <x:c r="E507" s="66" t="n">
        <x:v>287.3708130795034</x:v>
      </x:c>
      <x:c r="F507" s="66" t="n">
        <x:v>287.3708130795034</x:v>
      </x:c>
      <x:c r="G507" s="66" t="n">
        <x:v>329.33340078728446</x:v>
      </x:c>
      <x:c r="H507" s="45" t="n">
        <x:v>1</x:v>
      </x:c>
      <x:c r="I507" s="36" t="str">
        <x:v>generated design-reference observation; not predicted tract behavior</x:v>
      </x:c>
    </x:row>
    <x:row r="508" ht="75.5999984741211" hidden="0" customHeight="1">
      <x:c r="A508" s="34" t="str">
        <x:v>M0</x:v>
      </x:c>
      <x:c r="B508" s="34" t="str">
        <x:v>48201412202</x:v>
      </x:c>
      <x:c r="C508" s="65" t="n">
        <x:v>493.54122589693844</x:v>
      </x:c>
      <x:c r="D508" s="65" t="n">
        <x:v>72.3450258751117</x:v>
      </x:c>
      <x:c r="E508" s="65" t="n">
        <x:v>421.1962000218267</x:v>
      </x:c>
      <x:c r="F508" s="65" t="n">
        <x:v>421.1962000218267</x:v>
      </x:c>
      <x:c r="G508" s="65" t="n">
        <x:v>493.5412258969384</x:v>
      </x:c>
      <x:c r="H508" s="43" t="n">
        <x:v>0.9999999999999999</x:v>
      </x:c>
      <x:c r="I508" s="34" t="str">
        <x:v>generated design-reference observation; not predicted tract behavior</x:v>
      </x:c>
    </x:row>
    <x:row r="509" ht="75.5999984741211" hidden="0" customHeight="1">
      <x:c r="A509" s="36" t="str">
        <x:v>M0</x:v>
      </x:c>
      <x:c r="B509" s="36" t="str">
        <x:v>48201412300</x:v>
      </x:c>
      <x:c r="C509" s="66" t="n">
        <x:v>976.3475512108762</x:v>
      </x:c>
      <x:c r="D509" s="66" t="n">
        <x:v>160.1209983985837</x:v>
      </x:c>
      <x:c r="E509" s="66" t="n">
        <x:v>816.2265528122925</x:v>
      </x:c>
      <x:c r="F509" s="66" t="n">
        <x:v>816.2265528122925</x:v>
      </x:c>
      <x:c r="G509" s="66" t="n">
        <x:v>976.3475512108762</x:v>
      </x:c>
      <x:c r="H509" s="45" t="n">
        <x:v>1</x:v>
      </x:c>
      <x:c r="I509" s="36" t="str">
        <x:v>generated design-reference observation; not predicted tract behavior</x:v>
      </x:c>
    </x:row>
    <x:row r="510" ht="75.5999984741211" hidden="0" customHeight="1">
      <x:c r="A510" s="34" t="str">
        <x:v>M0</x:v>
      </x:c>
      <x:c r="B510" s="34" t="str">
        <x:v>48201412400</x:v>
      </x:c>
      <x:c r="C510" s="65" t="n">
        <x:v>633.331323773757</x:v>
      </x:c>
      <x:c r="D510" s="65" t="n">
        <x:v>103.86633709889617</x:v>
      </x:c>
      <x:c r="E510" s="65" t="n">
        <x:v>529.4649866748609</x:v>
      </x:c>
      <x:c r="F510" s="65" t="n">
        <x:v>529.4649866748609</x:v>
      </x:c>
      <x:c r="G510" s="65" t="n">
        <x:v>633.331323773757</x:v>
      </x:c>
      <x:c r="H510" s="43" t="n">
        <x:v>1</x:v>
      </x:c>
      <x:c r="I510" s="34" t="str">
        <x:v>generated design-reference observation; not predicted tract behavior</x:v>
      </x:c>
    </x:row>
    <x:row r="511" ht="75.5999984741211" hidden="0" customHeight="1">
      <x:c r="A511" s="36" t="str">
        <x:v>M0</x:v>
      </x:c>
      <x:c r="B511" s="36" t="str">
        <x:v>48201412500</x:v>
      </x:c>
      <x:c r="C511" s="66" t="n">
        <x:v>293.5350828485244</x:v>
      </x:c>
      <x:c r="D511" s="66" t="n">
        <x:v>20.82281237320311</x:v>
      </x:c>
      <x:c r="E511" s="66" t="n">
        <x:v>272.71227047532125</x:v>
      </x:c>
      <x:c r="F511" s="66" t="n">
        <x:v>272.71227047532125</x:v>
      </x:c>
      <x:c r="G511" s="66" t="n">
        <x:v>293.5350828485244</x:v>
      </x:c>
      <x:c r="H511" s="45" t="n">
        <x:v>1</x:v>
      </x:c>
      <x:c r="I511" s="36" t="str">
        <x:v>generated design-reference observation; not predicted tract behavior</x:v>
      </x:c>
    </x:row>
    <x:row r="512" ht="75.5999984741211" hidden="0" customHeight="1">
      <x:c r="A512" s="34" t="str">
        <x:v>M0</x:v>
      </x:c>
      <x:c r="B512" s="34" t="str">
        <x:v>48201412600</x:v>
      </x:c>
      <x:c r="C512" s="65" t="n">
        <x:v>542.7938397116894</x:v>
      </x:c>
      <x:c r="D512" s="65" t="n">
        <x:v>88.71303733108415</x:v>
      </x:c>
      <x:c r="E512" s="65" t="n">
        <x:v>454.0808023806053</x:v>
      </x:c>
      <x:c r="F512" s="65" t="n">
        <x:v>454.0808023806053</x:v>
      </x:c>
      <x:c r="G512" s="65" t="n">
        <x:v>542.7938397116894</x:v>
      </x:c>
      <x:c r="H512" s="43" t="n">
        <x:v>1</x:v>
      </x:c>
      <x:c r="I512" s="34" t="str">
        <x:v>generated design-reference observation; not predicted tract behavior</x:v>
      </x:c>
    </x:row>
    <x:row r="513" ht="75.5999984741211" hidden="0" customHeight="1">
      <x:c r="A513" s="36" t="str">
        <x:v>M0</x:v>
      </x:c>
      <x:c r="B513" s="36" t="str">
        <x:v>48201412700</x:v>
      </x:c>
      <x:c r="C513" s="66" t="n">
        <x:v>539.9928262851835</x:v>
      </x:c>
      <x:c r="D513" s="66" t="n">
        <x:v>46.85623361129648</x:v>
      </x:c>
      <x:c r="E513" s="66" t="n">
        <x:v>493.136592673887</x:v>
      </x:c>
      <x:c r="F513" s="66" t="n">
        <x:v>493.136592673887</x:v>
      </x:c>
      <x:c r="G513" s="66" t="n">
        <x:v>539.9928262851835</x:v>
      </x:c>
      <x:c r="H513" s="45" t="n">
        <x:v>1</x:v>
      </x:c>
      <x:c r="I513" s="36" t="str">
        <x:v>generated design-reference observation; not predicted tract behavior</x:v>
      </x:c>
    </x:row>
    <x:row r="514" ht="75.5999984741211" hidden="0" customHeight="1">
      <x:c r="A514" s="34" t="str">
        <x:v>M0</x:v>
      </x:c>
      <x:c r="B514" s="34" t="str">
        <x:v>48201412800</x:v>
      </x:c>
      <x:c r="C514" s="65" t="n">
        <x:v>858.1245916815108</x:v>
      </x:c>
      <x:c r="D514" s="65" t="n">
        <x:v>77.23121325133597</x:v>
      </x:c>
      <x:c r="E514" s="65" t="n">
        <x:v>780.8933784301748</x:v>
      </x:c>
      <x:c r="F514" s="65" t="n">
        <x:v>780.8933784301748</x:v>
      </x:c>
      <x:c r="G514" s="65" t="n">
        <x:v>858.1245916815108</x:v>
      </x:c>
      <x:c r="H514" s="43" t="n">
        <x:v>1</x:v>
      </x:c>
      <x:c r="I514" s="34" t="str">
        <x:v>generated design-reference observation; not predicted tract behavior</x:v>
      </x:c>
    </x:row>
    <x:row r="515" ht="75.5999984741211" hidden="0" customHeight="1">
      <x:c r="A515" s="36" t="str">
        <x:v>M0</x:v>
      </x:c>
      <x:c r="B515" s="36" t="str">
        <x:v>48201412901</x:v>
      </x:c>
      <x:c r="C515" s="66" t="n">
        <x:v>336.4988683311976</x:v>
      </x:c>
      <x:c r="D515" s="66" t="n">
        <x:v>18.392120730304615</x:v>
      </x:c>
      <x:c r="E515" s="66" t="n">
        <x:v>318.106747600893</x:v>
      </x:c>
      <x:c r="F515" s="66" t="n">
        <x:v>318.106747600893</x:v>
      </x:c>
      <x:c r="G515" s="66" t="n">
        <x:v>336.4988683311976</x:v>
      </x:c>
      <x:c r="H515" s="45" t="n">
        <x:v>1</x:v>
      </x:c>
      <x:c r="I515" s="36" t="str">
        <x:v>generated design-reference observation; not predicted tract behavior</x:v>
      </x:c>
    </x:row>
    <x:row r="516" ht="75.5999984741211" hidden="0" customHeight="1">
      <x:c r="A516" s="34" t="str">
        <x:v>M0</x:v>
      </x:c>
      <x:c r="B516" s="34" t="str">
        <x:v>48201412902</x:v>
      </x:c>
      <x:c r="C516" s="65" t="n">
        <x:v>532.6375210085004</x:v>
      </x:c>
      <x:c r="D516" s="65" t="n">
        <x:v>39.28127798669905</x:v>
      </x:c>
      <x:c r="E516" s="65" t="n">
        <x:v>493.35624302180133</x:v>
      </x:c>
      <x:c r="F516" s="65" t="n">
        <x:v>493.35624302180133</x:v>
      </x:c>
      <x:c r="G516" s="65" t="n">
        <x:v>532.6375210085004</x:v>
      </x:c>
      <x:c r="H516" s="43" t="n">
        <x:v>1</x:v>
      </x:c>
      <x:c r="I516" s="34" t="str">
        <x:v>generated design-reference observation; not predicted tract behavior</x:v>
      </x:c>
    </x:row>
    <x:row r="517" ht="75.5999984741211" hidden="0" customHeight="1">
      <x:c r="A517" s="36" t="str">
        <x:v>M0</x:v>
      </x:c>
      <x:c r="B517" s="36" t="str">
        <x:v>48201413000</x:v>
      </x:c>
      <x:c r="C517" s="66" t="n">
        <x:v>544.2418058581349</x:v>
      </x:c>
      <x:c r="D517" s="66" t="n">
        <x:v>41.10342930377049</x:v>
      </x:c>
      <x:c r="E517" s="66" t="n">
        <x:v>503.13837655436436</x:v>
      </x:c>
      <x:c r="F517" s="66" t="n">
        <x:v>503.13837655436436</x:v>
      </x:c>
      <x:c r="G517" s="66" t="n">
        <x:v>544.2418058581349</x:v>
      </x:c>
      <x:c r="H517" s="45" t="n">
        <x:v>1</x:v>
      </x:c>
      <x:c r="I517" s="36" t="str">
        <x:v>generated design-reference observation; not predicted tract behavior</x:v>
      </x:c>
    </x:row>
    <x:row r="518" ht="75.5999984741211" hidden="0" customHeight="1">
      <x:c r="A518" s="34" t="str">
        <x:v>M0</x:v>
      </x:c>
      <x:c r="B518" s="34" t="str">
        <x:v>48201413100</x:v>
      </x:c>
      <x:c r="C518" s="65" t="n">
        <x:v>470.9172838651485</x:v>
      </x:c>
      <x:c r="D518" s="65" t="n">
        <x:v>76.59697862838026</x:v>
      </x:c>
      <x:c r="E518" s="65" t="n">
        <x:v>394.3203052367682</x:v>
      </x:c>
      <x:c r="F518" s="65" t="n">
        <x:v>394.3203052367682</x:v>
      </x:c>
      <x:c r="G518" s="65" t="n">
        <x:v>470.9172838651485</x:v>
      </x:c>
      <x:c r="H518" s="43" t="n">
        <x:v>1</x:v>
      </x:c>
      <x:c r="I518" s="34" t="str">
        <x:v>generated design-reference observation; not predicted tract behavior</x:v>
      </x:c>
    </x:row>
    <x:row r="519" ht="75.5999984741211" hidden="0" customHeight="1">
      <x:c r="A519" s="36" t="str">
        <x:v>M0</x:v>
      </x:c>
      <x:c r="B519" s="36" t="str">
        <x:v>48201413203</x:v>
      </x:c>
      <x:c r="C519" s="66" t="n">
        <x:v>333.7226426341297</x:v>
      </x:c>
      <x:c r="D519" s="66" t="n">
        <x:v>22.912834103952857</x:v>
      </x:c>
      <x:c r="E519" s="66" t="n">
        <x:v>310.8098085301769</x:v>
      </x:c>
      <x:c r="F519" s="66" t="n">
        <x:v>310.8098085301769</x:v>
      </x:c>
      <x:c r="G519" s="66" t="n">
        <x:v>333.7226426341297</x:v>
      </x:c>
      <x:c r="H519" s="45" t="n">
        <x:v>1</x:v>
      </x:c>
      <x:c r="I519" s="36" t="str">
        <x:v>generated design-reference observation; not predicted tract behavior</x:v>
      </x:c>
    </x:row>
    <x:row r="520" ht="75.5999984741211" hidden="0" customHeight="1">
      <x:c r="A520" s="34" t="str">
        <x:v>M0</x:v>
      </x:c>
      <x:c r="B520" s="34" t="str">
        <x:v>48201413204</x:v>
      </x:c>
      <x:c r="C520" s="65" t="n">
        <x:v>191.0855833445296</x:v>
      </x:c>
      <x:c r="D520" s="65" t="n">
        <x:v>11.28200112213992</x:v>
      </x:c>
      <x:c r="E520" s="65" t="n">
        <x:v>179.80358222238968</x:v>
      </x:c>
      <x:c r="F520" s="65" t="n">
        <x:v>179.80358222238968</x:v>
      </x:c>
      <x:c r="G520" s="65" t="n">
        <x:v>191.0855833445296</x:v>
      </x:c>
      <x:c r="H520" s="43" t="n">
        <x:v>1</x:v>
      </x:c>
      <x:c r="I520" s="34" t="str">
        <x:v>generated design-reference observation; not predicted tract behavior</x:v>
      </x:c>
    </x:row>
    <x:row r="521" ht="75.5999984741211" hidden="0" customHeight="1">
      <x:c r="A521" s="36" t="str">
        <x:v>M0</x:v>
      </x:c>
      <x:c r="B521" s="36" t="str">
        <x:v>48201413205</x:v>
      </x:c>
      <x:c r="C521" s="66" t="n">
        <x:v>258.866118046115</x:v>
      </x:c>
      <x:c r="D521" s="66" t="n">
        <x:v>13.975118658091437</x:v>
      </x:c>
      <x:c r="E521" s="66" t="n">
        <x:v>244.89099938802354</x:v>
      </x:c>
      <x:c r="F521" s="66" t="n">
        <x:v>244.89099938802354</x:v>
      </x:c>
      <x:c r="G521" s="66" t="n">
        <x:v>258.866118046115</x:v>
      </x:c>
      <x:c r="H521" s="45" t="n">
        <x:v>1</x:v>
      </x:c>
      <x:c r="I521" s="36" t="str">
        <x:v>generated design-reference observation; not predicted tract behavior</x:v>
      </x:c>
    </x:row>
    <x:row r="522" ht="75.5999984741211" hidden="0" customHeight="1">
      <x:c r="A522" s="34" t="str">
        <x:v>M0</x:v>
      </x:c>
      <x:c r="B522" s="34" t="str">
        <x:v>48201413206</x:v>
      </x:c>
      <x:c r="C522" s="65" t="n">
        <x:v>375.0818760697607</x:v>
      </x:c>
      <x:c r="D522" s="65" t="n">
        <x:v>39.13590372658842</x:v>
      </x:c>
      <x:c r="E522" s="65" t="n">
        <x:v>335.9459723431723</x:v>
      </x:c>
      <x:c r="F522" s="65" t="n">
        <x:v>335.9459723431723</x:v>
      </x:c>
      <x:c r="G522" s="65" t="n">
        <x:v>375.0818760697607</x:v>
      </x:c>
      <x:c r="H522" s="43" t="n">
        <x:v>1</x:v>
      </x:c>
      <x:c r="I522" s="34" t="str">
        <x:v>generated design-reference observation; not predicted tract behavior</x:v>
      </x:c>
    </x:row>
    <x:row r="523" ht="75.5999984741211" hidden="0" customHeight="1">
      <x:c r="A523" s="36" t="str">
        <x:v>M0</x:v>
      </x:c>
      <x:c r="B523" s="36" t="str">
        <x:v>48201413301</x:v>
      </x:c>
      <x:c r="C523" s="66" t="n">
        <x:v>747.215826072687</x:v>
      </x:c>
      <x:c r="D523" s="66" t="n">
        <x:v>91.42637557973931</x:v>
      </x:c>
      <x:c r="E523" s="66" t="n">
        <x:v>655.7894504929477</x:v>
      </x:c>
      <x:c r="F523" s="66" t="n">
        <x:v>655.7894504929477</x:v>
      </x:c>
      <x:c r="G523" s="66" t="n">
        <x:v>747.215826072687</x:v>
      </x:c>
      <x:c r="H523" s="45" t="n">
        <x:v>1</x:v>
      </x:c>
      <x:c r="I523" s="36" t="str">
        <x:v>generated design-reference observation; not predicted tract behavior</x:v>
      </x:c>
    </x:row>
    <x:row r="524" ht="75.5999984741211" hidden="0" customHeight="1">
      <x:c r="A524" s="34" t="str">
        <x:v>M0</x:v>
      </x:c>
      <x:c r="B524" s="34" t="str">
        <x:v>48201413302</x:v>
      </x:c>
      <x:c r="C524" s="65" t="n">
        <x:v>535.2710661166074</x:v>
      </x:c>
      <x:c r="D524" s="65" t="n">
        <x:v>87.78445484312363</x:v>
      </x:c>
      <x:c r="E524" s="65" t="n">
        <x:v>447.48661127348373</x:v>
      </x:c>
      <x:c r="F524" s="65" t="n">
        <x:v>447.48661127348373</x:v>
      </x:c>
      <x:c r="G524" s="65" t="n">
        <x:v>535.2710661166074</x:v>
      </x:c>
      <x:c r="H524" s="43" t="n">
        <x:v>1</x:v>
      </x:c>
      <x:c r="I524" s="34" t="str">
        <x:v>generated design-reference observation; not predicted tract behavior</x:v>
      </x:c>
    </x:row>
    <x:row r="525" ht="75.5999984741211" hidden="0" customHeight="1">
      <x:c r="A525" s="36" t="str">
        <x:v>M0</x:v>
      </x:c>
      <x:c r="B525" s="36" t="str">
        <x:v>48201420100</x:v>
      </x:c>
      <x:c r="C525" s="66" t="n">
        <x:v>225.23823788010625</x:v>
      </x:c>
      <x:c r="D525" s="66" t="n">
        <x:v>38.0699362425689</x:v>
      </x:c>
      <x:c r="E525" s="66" t="n">
        <x:v>187.16830163753735</x:v>
      </x:c>
      <x:c r="F525" s="66" t="n">
        <x:v>0</x:v>
      </x:c>
      <x:c r="G525" s="66" t="n">
        <x:v>38.0699362425689</x:v>
      </x:c>
      <x:c r="H525" s="45" t="n">
        <x:v>0.1690207515423444</x:v>
      </x:c>
      <x:c r="I525" s="36" t="str">
        <x:v>generated design-reference observation; not predicted tract behavior</x:v>
      </x:c>
    </x:row>
    <x:row r="526" ht="75.5999984741211" hidden="0" customHeight="1">
      <x:c r="A526" s="34" t="str">
        <x:v>M0</x:v>
      </x:c>
      <x:c r="B526" s="34" t="str">
        <x:v>48201420200</x:v>
      </x:c>
      <x:c r="C526" s="65" t="n">
        <x:v>204.1511350734789</x:v>
      </x:c>
      <x:c r="D526" s="65" t="n">
        <x:v>34.94379984758221</x:v>
      </x:c>
      <x:c r="E526" s="65" t="n">
        <x:v>169.2073352258967</x:v>
      </x:c>
      <x:c r="F526" s="65" t="n">
        <x:v>42.42037902415303</x:v>
      </x:c>
      <x:c r="G526" s="65" t="n">
        <x:v>77.36417887173525</x:v>
      </x:c>
      <x:c r="H526" s="43" t="n">
        <x:v>0.37895541870923233</x:v>
      </x:c>
      <x:c r="I526" s="34" t="str">
        <x:v>generated design-reference observation; not predicted tract behavior</x:v>
      </x:c>
    </x:row>
    <x:row r="527" ht="75.5999984741211" hidden="0" customHeight="1">
      <x:c r="A527" s="36" t="str">
        <x:v>M0</x:v>
      </x:c>
      <x:c r="B527" s="36" t="str">
        <x:v>48201420300</x:v>
      </x:c>
      <x:c r="C527" s="66" t="n">
        <x:v>693.4470088700665</x:v>
      </x:c>
      <x:c r="D527" s="66" t="n">
        <x:v>54.52129712998078</x:v>
      </x:c>
      <x:c r="E527" s="66" t="n">
        <x:v>638.9257117400857</x:v>
      </x:c>
      <x:c r="F527" s="66" t="n">
        <x:v>638.9257117400857</x:v>
      </x:c>
      <x:c r="G527" s="66" t="n">
        <x:v>693.4470088700665</x:v>
      </x:c>
      <x:c r="H527" s="45" t="n">
        <x:v>1</x:v>
      </x:c>
      <x:c r="I527" s="36" t="str">
        <x:v>generated design-reference observation; not predicted tract behavior</x:v>
      </x:c>
    </x:row>
    <x:row r="528" ht="75.5999984741211" hidden="0" customHeight="1">
      <x:c r="A528" s="34" t="str">
        <x:v>M0</x:v>
      </x:c>
      <x:c r="B528" s="34" t="str">
        <x:v>48201420400</x:v>
      </x:c>
      <x:c r="C528" s="65" t="n">
        <x:v>300.1552203447992</x:v>
      </x:c>
      <x:c r="D528" s="65" t="n">
        <x:v>53.91013643875408</x:v>
      </x:c>
      <x:c r="E528" s="65" t="n">
        <x:v>246.24508390604512</x:v>
      </x:c>
      <x:c r="F528" s="65" t="n">
        <x:v>134.0158550034313</x:v>
      </x:c>
      <x:c r="G528" s="65" t="n">
        <x:v>187.9259914421854</x:v>
      </x:c>
      <x:c r="H528" s="43" t="n">
        <x:v>0.6260960286691265</x:v>
      </x:c>
      <x:c r="I528" s="34" t="str">
        <x:v>generated design-reference observation; not predicted tract behavior</x:v>
      </x:c>
    </x:row>
    <x:row r="529" ht="75.5999984741211" hidden="0" customHeight="1">
      <x:c r="A529" s="36" t="str">
        <x:v>M0</x:v>
      </x:c>
      <x:c r="B529" s="36" t="str">
        <x:v>48201420500</x:v>
      </x:c>
      <x:c r="C529" s="66" t="n">
        <x:v>283.2965414330528</x:v>
      </x:c>
      <x:c r="D529" s="66" t="n">
        <x:v>47.28959641129172</x:v>
      </x:c>
      <x:c r="E529" s="66" t="n">
        <x:v>236.0069450217611</x:v>
      </x:c>
      <x:c r="F529" s="66" t="n">
        <x:v>24.67473995544374</x:v>
      </x:c>
      <x:c r="G529" s="66" t="n">
        <x:v>71.96433636673547</x:v>
      </x:c>
      <x:c r="H529" s="45" t="n">
        <x:v>0.2540247614838662</x:v>
      </x:c>
      <x:c r="I529" s="36" t="str">
        <x:v>generated design-reference observation; not predicted tract behavior</x:v>
      </x:c>
    </x:row>
    <x:row r="530" ht="75.5999984741211" hidden="0" customHeight="1">
      <x:c r="A530" s="34" t="str">
        <x:v>M0</x:v>
      </x:c>
      <x:c r="B530" s="34" t="str">
        <x:v>48201420600</x:v>
      </x:c>
      <x:c r="C530" s="65" t="n">
        <x:v>188.927237147114</x:v>
      </x:c>
      <x:c r="D530" s="65" t="n">
        <x:v>34.27107319900009</x:v>
      </x:c>
      <x:c r="E530" s="65" t="n">
        <x:v>154.6561639481139</x:v>
      </x:c>
      <x:c r="F530" s="65" t="n">
        <x:v>0</x:v>
      </x:c>
      <x:c r="G530" s="65" t="n">
        <x:v>34.27107319900009</x:v>
      </x:c>
      <x:c r="H530" s="43" t="n">
        <x:v>0.18139826589595373</x:v>
      </x:c>
      <x:c r="I530" s="34" t="str">
        <x:v>generated design-reference observation; not predicted tract behavior</x:v>
      </x:c>
    </x:row>
    <x:row r="531" ht="75.5999984741211" hidden="0" customHeight="1">
      <x:c r="A531" s="36" t="str">
        <x:v>M0</x:v>
      </x:c>
      <x:c r="B531" s="36" t="str">
        <x:v>48201420700</x:v>
      </x:c>
      <x:c r="C531" s="66" t="n">
        <x:v>494.03274843433314</x:v>
      </x:c>
      <x:c r="D531" s="66" t="n">
        <x:v>44.46294735908998</x:v>
      </x:c>
      <x:c r="E531" s="66" t="n">
        <x:v>449.56980107524316</x:v>
      </x:c>
      <x:c r="F531" s="66" t="n">
        <x:v>449.56980107524316</x:v>
      </x:c>
      <x:c r="G531" s="66" t="n">
        <x:v>494.03274843433314</x:v>
      </x:c>
      <x:c r="H531" s="45" t="n">
        <x:v>1</x:v>
      </x:c>
      <x:c r="I531" s="36" t="str">
        <x:v>generated design-reference observation; not predicted tract behavior</x:v>
      </x:c>
    </x:row>
    <x:row r="532" ht="75.5999984741211" hidden="0" customHeight="1">
      <x:c r="A532" s="34" t="str">
        <x:v>M0</x:v>
      </x:c>
      <x:c r="B532" s="34" t="str">
        <x:v>48201420800</x:v>
      </x:c>
      <x:c r="C532" s="65" t="n">
        <x:v>484.1466764398961</x:v>
      </x:c>
      <x:c r="D532" s="65" t="n">
        <x:v>43.573200879590644</x:v>
      </x:c>
      <x:c r="E532" s="65" t="n">
        <x:v>440.5734755603055</x:v>
      </x:c>
      <x:c r="F532" s="65" t="n">
        <x:v>440.5734755603055</x:v>
      </x:c>
      <x:c r="G532" s="65" t="n">
        <x:v>484.1466764398961</x:v>
      </x:c>
      <x:c r="H532" s="43" t="n">
        <x:v>1</x:v>
      </x:c>
      <x:c r="I532" s="34" t="str">
        <x:v>generated design-reference observation; not predicted tract behavior</x:v>
      </x:c>
    </x:row>
    <x:row r="533" ht="75.5999984741211" hidden="0" customHeight="1">
      <x:c r="A533" s="36" t="str">
        <x:v>M0</x:v>
      </x:c>
      <x:c r="B533" s="36" t="str">
        <x:v>48201420900</x:v>
      </x:c>
      <x:c r="C533" s="66" t="n">
        <x:v>1050.056585299537</x:v>
      </x:c>
      <x:c r="D533" s="66" t="n">
        <x:v>94.50509267695833</x:v>
      </x:c>
      <x:c r="E533" s="66" t="n">
        <x:v>955.5514926225785</x:v>
      </x:c>
      <x:c r="F533" s="66" t="n">
        <x:v>955.5514926225785</x:v>
      </x:c>
      <x:c r="G533" s="66" t="n">
        <x:v>1050.056585299537</x:v>
      </x:c>
      <x:c r="H533" s="45" t="n">
        <x:v>1</x:v>
      </x:c>
      <x:c r="I533" s="36" t="str">
        <x:v>generated design-reference observation; not predicted tract behavior</x:v>
      </x:c>
    </x:row>
    <x:row r="534" ht="75.5999984741211" hidden="0" customHeight="1">
      <x:c r="A534" s="34" t="str">
        <x:v>M0</x:v>
      </x:c>
      <x:c r="B534" s="34" t="str">
        <x:v>48201421000</x:v>
      </x:c>
      <x:c r="C534" s="65" t="n">
        <x:v>499.3989895682997</x:v>
      </x:c>
      <x:c r="D534" s="65" t="n">
        <x:v>44.94590906114698</x:v>
      </x:c>
      <x:c r="E534" s="65" t="n">
        <x:v>454.4530805071528</x:v>
      </x:c>
      <x:c r="F534" s="65" t="n">
        <x:v>454.4530805071528</x:v>
      </x:c>
      <x:c r="G534" s="65" t="n">
        <x:v>499.3989895682997</x:v>
      </x:c>
      <x:c r="H534" s="43" t="n">
        <x:v>1</x:v>
      </x:c>
      <x:c r="I534" s="34" t="str">
        <x:v>generated design-reference observation; not predicted tract behavior</x:v>
      </x:c>
    </x:row>
    <x:row r="535" ht="75.5999984741211" hidden="0" customHeight="1">
      <x:c r="A535" s="36" t="str">
        <x:v>M0</x:v>
      </x:c>
      <x:c r="B535" s="36" t="str">
        <x:v>48201421101</x:v>
      </x:c>
      <x:c r="C535" s="66" t="n">
        <x:v>225.33255216772437</x:v>
      </x:c>
      <x:c r="D535" s="66" t="n">
        <x:v>36.839987679895714</x:v>
      </x:c>
      <x:c r="E535" s="66" t="n">
        <x:v>188.49256448782864</x:v>
      </x:c>
      <x:c r="F535" s="66" t="n">
        <x:v>0</x:v>
      </x:c>
      <x:c r="G535" s="66" t="n">
        <x:v>36.839987679895714</x:v>
      </x:c>
      <x:c r="H535" s="45" t="n">
        <x:v>0.16349163636363637</x:v>
      </x:c>
      <x:c r="I535" s="36" t="str">
        <x:v>generated design-reference observation; not predicted tract behavior</x:v>
      </x:c>
    </x:row>
    <x:row r="536" ht="75.5999984741211" hidden="0" customHeight="1">
      <x:c r="A536" s="34" t="str">
        <x:v>M0</x:v>
      </x:c>
      <x:c r="B536" s="34" t="str">
        <x:v>48201421103</x:v>
      </x:c>
      <x:c r="C536" s="65" t="n">
        <x:v>123.64996082939392</x:v>
      </x:c>
      <x:c r="D536" s="65" t="n">
        <x:v>16.830243468410465</x:v>
      </x:c>
      <x:c r="E536" s="65" t="n">
        <x:v>106.81971736098345</x:v>
      </x:c>
      <x:c r="F536" s="65" t="n">
        <x:v>11.120782675485685</x:v>
      </x:c>
      <x:c r="G536" s="65" t="n">
        <x:v>27.95102614389615</x:v>
      </x:c>
      <x:c r="H536" s="43" t="n">
        <x:v>0.2260496158382257</x:v>
      </x:c>
      <x:c r="I536" s="34" t="str">
        <x:v>generated design-reference observation; not predicted tract behavior</x:v>
      </x:c>
    </x:row>
    <x:row r="537" ht="75.5999984741211" hidden="0" customHeight="1">
      <x:c r="A537" s="36" t="str">
        <x:v>M0</x:v>
      </x:c>
      <x:c r="B537" s="36" t="str">
        <x:v>48201421104</x:v>
      </x:c>
      <x:c r="C537" s="66" t="n">
        <x:v>393.98221747693356</x:v>
      </x:c>
      <x:c r="D537" s="66" t="n">
        <x:v>53.65041114179937</x:v>
      </x:c>
      <x:c r="E537" s="66" t="n">
        <x:v>340.33180633513416</x:v>
      </x:c>
      <x:c r="F537" s="66" t="n">
        <x:v>0</x:v>
      </x:c>
      <x:c r="G537" s="66" t="n">
        <x:v>53.65041114179937</x:v>
      </x:c>
      <x:c r="H537" s="45" t="n">
        <x:v>0.13617470221213837</x:v>
      </x:c>
      <x:c r="I537" s="36" t="str">
        <x:v>generated design-reference observation; not predicted tract behavior</x:v>
      </x:c>
    </x:row>
    <x:row r="538" ht="75.5999984741211" hidden="0" customHeight="1">
      <x:c r="A538" s="34" t="str">
        <x:v>M0</x:v>
      </x:c>
      <x:c r="B538" s="34" t="str">
        <x:v>48201421203</x:v>
      </x:c>
      <x:c r="C538" s="65" t="n">
        <x:v>191.04537885653855</x:v>
      </x:c>
      <x:c r="D538" s="65" t="n">
        <x:v>29.412531606814692</x:v>
      </x:c>
      <x:c r="E538" s="65" t="n">
        <x:v>161.63284724972385</x:v>
      </x:c>
      <x:c r="F538" s="65" t="n">
        <x:v>0</x:v>
      </x:c>
      <x:c r="G538" s="65" t="n">
        <x:v>29.412531606814692</x:v>
      </x:c>
      <x:c r="H538" s="43" t="n">
        <x:v>0.15395573440643862</x:v>
      </x:c>
      <x:c r="I538" s="34" t="str">
        <x:v>generated design-reference observation; not predicted tract behavior</x:v>
      </x:c>
    </x:row>
    <x:row r="539" ht="75.5999984741211" hidden="0" customHeight="1">
      <x:c r="A539" s="36" t="str">
        <x:v>M0</x:v>
      </x:c>
      <x:c r="B539" s="36" t="str">
        <x:v>48201421204</x:v>
      </x:c>
      <x:c r="C539" s="66" t="n">
        <x:v>263.8520791357752</x:v>
      </x:c>
      <x:c r="D539" s="66" t="n">
        <x:v>36.357893299594444</x:v>
      </x:c>
      <x:c r="E539" s="66" t="n">
        <x:v>227.49418583618078</x:v>
      </x:c>
      <x:c r="F539" s="66" t="n">
        <x:v>82.31443565607921</x:v>
      </x:c>
      <x:c r="G539" s="66" t="n">
        <x:v>118.67232895567366</x:v>
      </x:c>
      <x:c r="H539" s="45" t="n">
        <x:v>0.44976840563233256</x:v>
      </x:c>
      <x:c r="I539" s="36" t="str">
        <x:v>generated design-reference observation; not predicted tract behavior</x:v>
      </x:c>
    </x:row>
    <x:row r="540" ht="75.5999984741211" hidden="0" customHeight="1">
      <x:c r="A540" s="34" t="str">
        <x:v>M0</x:v>
      </x:c>
      <x:c r="B540" s="34" t="str">
        <x:v>48201421205</x:v>
      </x:c>
      <x:c r="C540" s="65" t="n">
        <x:v>195.63927061593978</x:v>
      </x:c>
      <x:c r="D540" s="65" t="n">
        <x:v>29.22863702289224</x:v>
      </x:c>
      <x:c r="E540" s="65" t="n">
        <x:v>166.41063359304755</x:v>
      </x:c>
      <x:c r="F540" s="65" t="n">
        <x:v>166.41063359304755</x:v>
      </x:c>
      <x:c r="G540" s="65" t="n">
        <x:v>195.63927061593978</x:v>
      </x:c>
      <x:c r="H540" s="43" t="n">
        <x:v>1</x:v>
      </x:c>
      <x:c r="I540" s="34" t="str">
        <x:v>generated design-reference observation; not predicted tract behavior</x:v>
      </x:c>
    </x:row>
    <x:row r="541" ht="75.5999984741211" hidden="0" customHeight="1">
      <x:c r="A541" s="36" t="str">
        <x:v>M0</x:v>
      </x:c>
      <x:c r="B541" s="36" t="str">
        <x:v>48201421206</x:v>
      </x:c>
      <x:c r="C541" s="66" t="n">
        <x:v>164.0361247398875</x:v>
      </x:c>
      <x:c r="D541" s="66" t="n">
        <x:v>20.81190581780317</x:v>
      </x:c>
      <x:c r="E541" s="66" t="n">
        <x:v>143.22421892208433</x:v>
      </x:c>
      <x:c r="F541" s="66" t="n">
        <x:v>0</x:v>
      </x:c>
      <x:c r="G541" s="66" t="n">
        <x:v>20.81190581780317</x:v>
      </x:c>
      <x:c r="H541" s="45" t="n">
        <x:v>0.1268739178690344</x:v>
      </x:c>
      <x:c r="I541" s="36" t="str">
        <x:v>generated design-reference observation; not predicted tract behavior</x:v>
      </x:c>
    </x:row>
    <x:row r="542" ht="75.5999984741211" hidden="0" customHeight="1">
      <x:c r="A542" s="34" t="str">
        <x:v>M0</x:v>
      </x:c>
      <x:c r="B542" s="34" t="str">
        <x:v>48201421301</x:v>
      </x:c>
      <x:c r="C542" s="65" t="n">
        <x:v>293.6553940231142</x:v>
      </x:c>
      <x:c r="D542" s="65" t="n">
        <x:v>39.5818995468586</x:v>
      </x:c>
      <x:c r="E542" s="65" t="n">
        <x:v>254.07349447625558</x:v>
      </x:c>
      <x:c r="F542" s="65" t="n">
        <x:v>0</x:v>
      </x:c>
      <x:c r="G542" s="65" t="n">
        <x:v>39.5818995468586</x:v>
      </x:c>
      <x:c r="H542" s="43" t="n">
        <x:v>0.13479030303030304</x:v>
      </x:c>
      <x:c r="I542" s="34" t="str">
        <x:v>generated design-reference observation; not predicted tract behavior</x:v>
      </x:c>
    </x:row>
    <x:row r="543" ht="75.5999984741211" hidden="0" customHeight="1">
      <x:c r="A543" s="36" t="str">
        <x:v>M0</x:v>
      </x:c>
      <x:c r="B543" s="36" t="str">
        <x:v>48201421302</x:v>
      </x:c>
      <x:c r="C543" s="66" t="n">
        <x:v>935.7065573501837</x:v>
      </x:c>
      <x:c r="D543" s="66" t="n">
        <x:v>67.4605541343203</x:v>
      </x:c>
      <x:c r="E543" s="66" t="n">
        <x:v>868.2460032158634</x:v>
      </x:c>
      <x:c r="F543" s="66" t="n">
        <x:v>868.2460032158634</x:v>
      </x:c>
      <x:c r="G543" s="66" t="n">
        <x:v>935.7065573501837</x:v>
      </x:c>
      <x:c r="H543" s="45" t="n">
        <x:v>1</x:v>
      </x:c>
      <x:c r="I543" s="36" t="str">
        <x:v>generated design-reference observation; not predicted tract behavior</x:v>
      </x:c>
    </x:row>
    <x:row r="544" ht="75.5999984741211" hidden="0" customHeight="1">
      <x:c r="A544" s="34" t="str">
        <x:v>M0</x:v>
      </x:c>
      <x:c r="B544" s="34" t="str">
        <x:v>48201421401</x:v>
      </x:c>
      <x:c r="C544" s="65" t="n">
        <x:v>271.87272334530303</x:v>
      </x:c>
      <x:c r="D544" s="65" t="n">
        <x:v>38.904022064554724</x:v>
      </x:c>
      <x:c r="E544" s="65" t="n">
        <x:v>232.9687012807483</x:v>
      </x:c>
      <x:c r="F544" s="65" t="n">
        <x:v>146.31010619008455</x:v>
      </x:c>
      <x:c r="G544" s="65" t="n">
        <x:v>185.21412825463926</x:v>
      </x:c>
      <x:c r="H544" s="43" t="n">
        <x:v>0.6812530730396242</x:v>
      </x:c>
      <x:c r="I544" s="34" t="str">
        <x:v>generated design-reference observation; not predicted tract behavior</x:v>
      </x:c>
    </x:row>
    <x:row r="545" ht="75.5999984741211" hidden="0" customHeight="1">
      <x:c r="A545" s="36" t="str">
        <x:v>M0</x:v>
      </x:c>
      <x:c r="B545" s="36" t="str">
        <x:v>48201421402</x:v>
      </x:c>
      <x:c r="C545" s="66" t="n">
        <x:v>292.64937495518717</x:v>
      </x:c>
      <x:c r="D545" s="66" t="n">
        <x:v>44.61150287744071</x:v>
      </x:c>
      <x:c r="E545" s="66" t="n">
        <x:v>248.03787207774647</x:v>
      </x:c>
      <x:c r="F545" s="66" t="n">
        <x:v>0</x:v>
      </x:c>
      <x:c r="G545" s="66" t="n">
        <x:v>44.61150287744071</x:v>
      </x:c>
      <x:c r="H545" s="45" t="n">
        <x:v>0.1524401098901099</x:v>
      </x:c>
      <x:c r="I545" s="36" t="str">
        <x:v>generated design-reference observation; not predicted tract behavior</x:v>
      </x:c>
    </x:row>
    <x:row r="546" ht="75.5999984741211" hidden="0" customHeight="1">
      <x:c r="A546" s="34" t="str">
        <x:v>M0</x:v>
      </x:c>
      <x:c r="B546" s="34" t="str">
        <x:v>48201421403</x:v>
      </x:c>
      <x:c r="C546" s="65" t="n">
        <x:v>362.60699779595853</x:v>
      </x:c>
      <x:c r="D546" s="65" t="n">
        <x:v>59.18682861492381</x:v>
      </x:c>
      <x:c r="E546" s="65" t="n">
        <x:v>303.42016918103474</x:v>
      </x:c>
      <x:c r="F546" s="65" t="n">
        <x:v>144.13719204283746</x:v>
      </x:c>
      <x:c r="G546" s="65" t="n">
        <x:v>203.32402065776125</x:v>
      </x:c>
      <x:c r="H546" s="43" t="n">
        <x:v>0.5607283419614894</x:v>
      </x:c>
      <x:c r="I546" s="34" t="str">
        <x:v>generated design-reference observation; not predicted tract behavior</x:v>
      </x:c>
    </x:row>
    <x:row r="547" ht="75.5999984741211" hidden="0" customHeight="1">
      <x:c r="A547" s="36" t="str">
        <x:v>M0</x:v>
      </x:c>
      <x:c r="B547" s="36" t="str">
        <x:v>48201421501</x:v>
      </x:c>
      <x:c r="C547" s="66" t="n">
        <x:v>698.9656038532625</x:v>
      </x:c>
      <x:c r="D547" s="66" t="n">
        <x:v>52.307976977096175</x:v>
      </x:c>
      <x:c r="E547" s="66" t="n">
        <x:v>646.6576268761663</x:v>
      </x:c>
      <x:c r="F547" s="66" t="n">
        <x:v>646.6576268761663</x:v>
      </x:c>
      <x:c r="G547" s="66" t="n">
        <x:v>698.9656038532625</x:v>
      </x:c>
      <x:c r="H547" s="45" t="n">
        <x:v>1</x:v>
      </x:c>
      <x:c r="I547" s="36" t="str">
        <x:v>generated design-reference observation; not predicted tract behavior</x:v>
      </x:c>
    </x:row>
    <x:row r="548" ht="75.5999984741211" hidden="0" customHeight="1">
      <x:c r="A548" s="34" t="str">
        <x:v>M0</x:v>
      </x:c>
      <x:c r="B548" s="34" t="str">
        <x:v>48201421502</x:v>
      </x:c>
      <x:c r="C548" s="65" t="n">
        <x:v>442.487874225324</x:v>
      </x:c>
      <x:c r="D548" s="65" t="n">
        <x:v>57.8621759556527</x:v>
      </x:c>
      <x:c r="E548" s="65" t="n">
        <x:v>384.62569826967126</x:v>
      </x:c>
      <x:c r="F548" s="65" t="n">
        <x:v>384.62569826967126</x:v>
      </x:c>
      <x:c r="G548" s="65" t="n">
        <x:v>442.48787422532394</x:v>
      </x:c>
      <x:c r="H548" s="43" t="n">
        <x:v>0.9999999999999999</x:v>
      </x:c>
      <x:c r="I548" s="34" t="str">
        <x:v>generated design-reference observation; not predicted tract behavior</x:v>
      </x:c>
    </x:row>
    <x:row r="549" ht="75.5999984741211" hidden="0" customHeight="1">
      <x:c r="A549" s="36" t="str">
        <x:v>M0</x:v>
      </x:c>
      <x:c r="B549" s="36" t="str">
        <x:v>48201421601</x:v>
      </x:c>
      <x:c r="C549" s="66" t="n">
        <x:v>267.36528634955175</x:v>
      </x:c>
      <x:c r="D549" s="66" t="n">
        <x:v>43.28130021662377</x:v>
      </x:c>
      <x:c r="E549" s="66" t="n">
        <x:v>224.08398613292798</x:v>
      </x:c>
      <x:c r="F549" s="66" t="n">
        <x:v>158.0503637372236</x:v>
      </x:c>
      <x:c r="G549" s="66" t="n">
        <x:v>201.33166395384737</x:v>
      </x:c>
      <x:c r="H549" s="45" t="n">
        <x:v>0.7530209575921819</x:v>
      </x:c>
      <x:c r="I549" s="36" t="str">
        <x:v>generated design-reference observation; not predicted tract behavior</x:v>
      </x:c>
    </x:row>
    <x:row r="550" ht="75.5999984741211" hidden="0" customHeight="1">
      <x:c r="A550" s="34" t="str">
        <x:v>M0</x:v>
      </x:c>
      <x:c r="B550" s="34" t="str">
        <x:v>48201421602</x:v>
      </x:c>
      <x:c r="C550" s="65" t="n">
        <x:v>501.33726909460637</x:v>
      </x:c>
      <x:c r="D550" s="65" t="n">
        <x:v>39.358132659626186</x:v>
      </x:c>
      <x:c r="E550" s="65" t="n">
        <x:v>461.9791364349802</x:v>
      </x:c>
      <x:c r="F550" s="65" t="n">
        <x:v>461.9791364349802</x:v>
      </x:c>
      <x:c r="G550" s="65" t="n">
        <x:v>501.33726909460637</x:v>
      </x:c>
      <x:c r="H550" s="43" t="n">
        <x:v>1</x:v>
      </x:c>
      <x:c r="I550" s="34" t="str">
        <x:v>generated design-reference observation; not predicted tract behavior</x:v>
      </x:c>
    </x:row>
    <x:row r="551" ht="75.5999984741211" hidden="0" customHeight="1">
      <x:c r="A551" s="36" t="str">
        <x:v>M0</x:v>
      </x:c>
      <x:c r="B551" s="36" t="str">
        <x:v>48201421700</x:v>
      </x:c>
      <x:c r="C551" s="66" t="n">
        <x:v>646.054683920707</x:v>
      </x:c>
      <x:c r="D551" s="66" t="n">
        <x:v>97.44551610566147</x:v>
      </x:c>
      <x:c r="E551" s="66" t="n">
        <x:v>548.6091678150456</x:v>
      </x:c>
      <x:c r="F551" s="66" t="n">
        <x:v>548.6091678150456</x:v>
      </x:c>
      <x:c r="G551" s="66" t="n">
        <x:v>646.054683920707</x:v>
      </x:c>
      <x:c r="H551" s="45" t="n">
        <x:v>1</x:v>
      </x:c>
      <x:c r="I551" s="36" t="str">
        <x:v>generated design-reference observation; not predicted tract behavior</x:v>
      </x:c>
    </x:row>
    <x:row r="552" ht="75.5999984741211" hidden="0" customHeight="1">
      <x:c r="A552" s="34" t="str">
        <x:v>M0</x:v>
      </x:c>
      <x:c r="B552" s="34" t="str">
        <x:v>48201421801</x:v>
      </x:c>
      <x:c r="C552" s="65" t="n">
        <x:v>409.7048928858945</x:v>
      </x:c>
      <x:c r="D552" s="65" t="n">
        <x:v>25.091125146772065</x:v>
      </x:c>
      <x:c r="E552" s="65" t="n">
        <x:v>384.6137677391224</x:v>
      </x:c>
      <x:c r="F552" s="65" t="n">
        <x:v>384.6137677391224</x:v>
      </x:c>
      <x:c r="G552" s="65" t="n">
        <x:v>409.7048928858945</x:v>
      </x:c>
      <x:c r="H552" s="43" t="n">
        <x:v>1</x:v>
      </x:c>
      <x:c r="I552" s="34" t="str">
        <x:v>generated design-reference observation; not predicted tract behavior</x:v>
      </x:c>
    </x:row>
    <x:row r="553" ht="75.5999984741211" hidden="0" customHeight="1">
      <x:c r="A553" s="36" t="str">
        <x:v>M0</x:v>
      </x:c>
      <x:c r="B553" s="36" t="str">
        <x:v>48201421802</x:v>
      </x:c>
      <x:c r="C553" s="66" t="n">
        <x:v>424.5255367748152</x:v>
      </x:c>
      <x:c r="D553" s="66" t="n">
        <x:v>34.42094522531121</x:v>
      </x:c>
      <x:c r="E553" s="66" t="n">
        <x:v>390.104591549504</x:v>
      </x:c>
      <x:c r="F553" s="66" t="n">
        <x:v>390.104591549504</x:v>
      </x:c>
      <x:c r="G553" s="66" t="n">
        <x:v>424.5255367748152</x:v>
      </x:c>
      <x:c r="H553" s="45" t="n">
        <x:v>1</x:v>
      </x:c>
      <x:c r="I553" s="36" t="str">
        <x:v>generated design-reference observation; not predicted tract behavior</x:v>
      </x:c>
    </x:row>
    <x:row r="554" ht="75.5999984741211" hidden="0" customHeight="1">
      <x:c r="A554" s="34" t="str">
        <x:v>M0</x:v>
      </x:c>
      <x:c r="B554" s="34" t="str">
        <x:v>48201421900</x:v>
      </x:c>
      <x:c r="C554" s="65" t="n">
        <x:v>525.7223490740353</x:v>
      </x:c>
      <x:c r="D554" s="65" t="n">
        <x:v>47.31501141666317</x:v>
      </x:c>
      <x:c r="E554" s="65" t="n">
        <x:v>478.40733765737207</x:v>
      </x:c>
      <x:c r="F554" s="65" t="n">
        <x:v>478.40733765737207</x:v>
      </x:c>
      <x:c r="G554" s="65" t="n">
        <x:v>525.7223490740353</x:v>
      </x:c>
      <x:c r="H554" s="43" t="n">
        <x:v>1</x:v>
      </x:c>
      <x:c r="I554" s="34" t="str">
        <x:v>generated design-reference observation; not predicted tract behavior</x:v>
      </x:c>
    </x:row>
    <x:row r="555" ht="75.5999984741211" hidden="0" customHeight="1">
      <x:c r="A555" s="36" t="str">
        <x:v>M0</x:v>
      </x:c>
      <x:c r="B555" s="36" t="str">
        <x:v>48201422000</x:v>
      </x:c>
      <x:c r="C555" s="66" t="n">
        <x:v>181.5314250930565</x:v>
      </x:c>
      <x:c r="D555" s="66" t="n">
        <x:v>33.54618221435551</x:v>
      </x:c>
      <x:c r="E555" s="66" t="n">
        <x:v>147.985242878701</x:v>
      </x:c>
      <x:c r="F555" s="66" t="n">
        <x:v>0</x:v>
      </x:c>
      <x:c r="G555" s="66" t="n">
        <x:v>33.54618221435551</x:v>
      </x:c>
      <x:c r="H555" s="45" t="n">
        <x:v>0.18479545454545457</x:v>
      </x:c>
      <x:c r="I555" s="36" t="str">
        <x:v>generated design-reference observation; not predicted tract behavior</x:v>
      </x:c>
    </x:row>
    <x:row r="556" ht="75.5999984741211" hidden="0" customHeight="1">
      <x:c r="A556" s="34" t="str">
        <x:v>M0</x:v>
      </x:c>
      <x:c r="B556" s="34" t="str">
        <x:v>48201422100</x:v>
      </x:c>
      <x:c r="C556" s="65" t="n">
        <x:v>723.3265006820201</x:v>
      </x:c>
      <x:c r="D556" s="65" t="n">
        <x:v>113.66283632099578</x:v>
      </x:c>
      <x:c r="E556" s="65" t="n">
        <x:v>609.6636643610243</x:v>
      </x:c>
      <x:c r="F556" s="65" t="n">
        <x:v>609.6636643610243</x:v>
      </x:c>
      <x:c r="G556" s="65" t="n">
        <x:v>723.3265006820201</x:v>
      </x:c>
      <x:c r="H556" s="43" t="n">
        <x:v>1</x:v>
      </x:c>
      <x:c r="I556" s="34" t="str">
        <x:v>generated design-reference observation; not predicted tract behavior</x:v>
      </x:c>
    </x:row>
    <x:row r="557" ht="75.5999984741211" hidden="0" customHeight="1">
      <x:c r="A557" s="36" t="str">
        <x:v>M0</x:v>
      </x:c>
      <x:c r="B557" s="36" t="str">
        <x:v>48201422200</x:v>
      </x:c>
      <x:c r="C557" s="66" t="n">
        <x:v>819.6346890730323</x:v>
      </x:c>
      <x:c r="D557" s="66" t="n">
        <x:v>109.65450326606297</x:v>
      </x:c>
      <x:c r="E557" s="66" t="n">
        <x:v>709.9801858069693</x:v>
      </x:c>
      <x:c r="F557" s="66" t="n">
        <x:v>709.9801858069693</x:v>
      </x:c>
      <x:c r="G557" s="66" t="n">
        <x:v>819.6346890730323</x:v>
      </x:c>
      <x:c r="H557" s="45" t="n">
        <x:v>1</x:v>
      </x:c>
      <x:c r="I557" s="36" t="str">
        <x:v>generated design-reference observation; not predicted tract behavior</x:v>
      </x:c>
    </x:row>
    <x:row r="558" ht="75.5999984741211" hidden="0" customHeight="1">
      <x:c r="A558" s="34" t="str">
        <x:v>M0</x:v>
      </x:c>
      <x:c r="B558" s="34" t="str">
        <x:v>48201422302</x:v>
      </x:c>
      <x:c r="C558" s="65" t="n">
        <x:v>300.2712994680214</x:v>
      </x:c>
      <x:c r="D558" s="65" t="n">
        <x:v>49.077876406734916</x:v>
      </x:c>
      <x:c r="E558" s="65" t="n">
        <x:v>251.19342306128652</x:v>
      </x:c>
      <x:c r="F558" s="65" t="n">
        <x:v>251.19342306128652</x:v>
      </x:c>
      <x:c r="G558" s="65" t="n">
        <x:v>300.2712994680214</x:v>
      </x:c>
      <x:c r="H558" s="43" t="n">
        <x:v>1</x:v>
      </x:c>
      <x:c r="I558" s="34" t="str">
        <x:v>generated design-reference observation; not predicted tract behavior</x:v>
      </x:c>
    </x:row>
    <x:row r="559" ht="75.5999984741211" hidden="0" customHeight="1">
      <x:c r="A559" s="36" t="str">
        <x:v>M0</x:v>
      </x:c>
      <x:c r="B559" s="36" t="str">
        <x:v>48201422303</x:v>
      </x:c>
      <x:c r="C559" s="66" t="n">
        <x:v>544.7835084331724</x:v>
      </x:c>
      <x:c r="D559" s="66" t="n">
        <x:v>41.173287424227226</x:v>
      </x:c>
      <x:c r="E559" s="66" t="n">
        <x:v>503.6102210089452</x:v>
      </x:c>
      <x:c r="F559" s="66" t="n">
        <x:v>503.6102210089452</x:v>
      </x:c>
      <x:c r="G559" s="66" t="n">
        <x:v>544.7835084331724</x:v>
      </x:c>
      <x:c r="H559" s="45" t="n">
        <x:v>1</x:v>
      </x:c>
      <x:c r="I559" s="36" t="str">
        <x:v>generated design-reference observation; not predicted tract behavior</x:v>
      </x:c>
    </x:row>
    <x:row r="560" ht="75.5999984741211" hidden="0" customHeight="1">
      <x:c r="A560" s="34" t="str">
        <x:v>M0</x:v>
      </x:c>
      <x:c r="B560" s="34" t="str">
        <x:v>48201422304</x:v>
      </x:c>
      <x:c r="C560" s="65" t="n">
        <x:v>631.3915328005332</x:v>
      </x:c>
      <x:c r="D560" s="65" t="n">
        <x:v>100.94785575599123</x:v>
      </x:c>
      <x:c r="E560" s="65" t="n">
        <x:v>530.443677044542</x:v>
      </x:c>
      <x:c r="F560" s="65" t="n">
        <x:v>530.443677044542</x:v>
      </x:c>
      <x:c r="G560" s="65" t="n">
        <x:v>631.3915328005332</x:v>
      </x:c>
      <x:c r="H560" s="43" t="n">
        <x:v>1</x:v>
      </x:c>
      <x:c r="I560" s="34" t="str">
        <x:v>generated design-reference observation; not predicted tract behavior</x:v>
      </x:c>
    </x:row>
    <x:row r="561" ht="75.5999984741211" hidden="0" customHeight="1">
      <x:c r="A561" s="36" t="str">
        <x:v>M0</x:v>
      </x:c>
      <x:c r="B561" s="36" t="str">
        <x:v>48201422403</x:v>
      </x:c>
      <x:c r="C561" s="66" t="n">
        <x:v>206.02956130187397</x:v>
      </x:c>
      <x:c r="D561" s="66" t="n">
        <x:v>36.556937256768435</x:v>
      </x:c>
      <x:c r="E561" s="66" t="n">
        <x:v>169.47262404510553</x:v>
      </x:c>
      <x:c r="F561" s="66" t="n">
        <x:v>169.47262404510553</x:v>
      </x:c>
      <x:c r="G561" s="66" t="n">
        <x:v>206.02956130187397</x:v>
      </x:c>
      <x:c r="H561" s="45" t="n">
        <x:v>1</x:v>
      </x:c>
      <x:c r="I561" s="36" t="str">
        <x:v>generated design-reference observation; not predicted tract behavior</x:v>
      </x:c>
    </x:row>
    <x:row r="562" ht="75.5999984741211" hidden="0" customHeight="1">
      <x:c r="A562" s="34" t="str">
        <x:v>M0</x:v>
      </x:c>
      <x:c r="B562" s="34" t="str">
        <x:v>48201422404</x:v>
      </x:c>
      <x:c r="C562" s="65" t="n">
        <x:v>463.6550837185501</x:v>
      </x:c>
      <x:c r="D562" s="65" t="n">
        <x:v>36.51068242147555</x:v>
      </x:c>
      <x:c r="E562" s="65" t="n">
        <x:v>427.1444012970745</x:v>
      </x:c>
      <x:c r="F562" s="65" t="n">
        <x:v>427.1444012970745</x:v>
      </x:c>
      <x:c r="G562" s="65" t="n">
        <x:v>463.6550837185501</x:v>
      </x:c>
      <x:c r="H562" s="43" t="n">
        <x:v>1</x:v>
      </x:c>
      <x:c r="I562" s="34" t="str">
        <x:v>generated design-reference observation; not predicted tract behavior</x:v>
      </x:c>
    </x:row>
    <x:row r="563" ht="75.5999984741211" hidden="0" customHeight="1">
      <x:c r="A563" s="36" t="str">
        <x:v>M0</x:v>
      </x:c>
      <x:c r="B563" s="36" t="str">
        <x:v>48201422405</x:v>
      </x:c>
      <x:c r="C563" s="66" t="n">
        <x:v>259.9319904119536</x:v>
      </x:c>
      <x:c r="D563" s="66" t="n">
        <x:v>28.301808397042453</x:v>
      </x:c>
      <x:c r="E563" s="66" t="n">
        <x:v>231.63018201491116</x:v>
      </x:c>
      <x:c r="F563" s="66" t="n">
        <x:v>231.63018201491116</x:v>
      </x:c>
      <x:c r="G563" s="66" t="n">
        <x:v>259.9319904119536</x:v>
      </x:c>
      <x:c r="H563" s="45" t="n">
        <x:v>1</x:v>
      </x:c>
      <x:c r="I563" s="36" t="str">
        <x:v>generated design-reference observation; not predicted tract behavior</x:v>
      </x:c>
    </x:row>
    <x:row r="564" ht="75.5999984741211" hidden="0" customHeight="1">
      <x:c r="A564" s="34" t="str">
        <x:v>M0</x:v>
      </x:c>
      <x:c r="B564" s="34" t="str">
        <x:v>48201422406</x:v>
      </x:c>
      <x:c r="C564" s="65" t="n">
        <x:v>226.6372331464422</x:v>
      </x:c>
      <x:c r="D564" s="65" t="n">
        <x:v>39.0714269346746</x:v>
      </x:c>
      <x:c r="E564" s="65" t="n">
        <x:v>187.5658062117676</x:v>
      </x:c>
      <x:c r="F564" s="65" t="n">
        <x:v>0</x:v>
      </x:c>
      <x:c r="G564" s="65" t="n">
        <x:v>39.0714269346746</x:v>
      </x:c>
      <x:c r="H564" s="43" t="n">
        <x:v>0.17239632867132867</x:v>
      </x:c>
      <x:c r="I564" s="34" t="str">
        <x:v>generated design-reference observation; not predicted tract behavior</x:v>
      </x:c>
    </x:row>
    <x:row r="565" ht="75.5999984741211" hidden="0" customHeight="1">
      <x:c r="A565" s="36" t="str">
        <x:v>M0</x:v>
      </x:c>
      <x:c r="B565" s="36" t="str">
        <x:v>48201422501</x:v>
      </x:c>
      <x:c r="C565" s="66" t="n">
        <x:v>656.7297312057959</x:v>
      </x:c>
      <x:c r="D565" s="66" t="n">
        <x:v>53.96372862935192</x:v>
      </x:c>
      <x:c r="E565" s="66" t="n">
        <x:v>602.766002576444</x:v>
      </x:c>
      <x:c r="F565" s="66" t="n">
        <x:v>602.766002576444</x:v>
      </x:c>
      <x:c r="G565" s="66" t="n">
        <x:v>656.7297312057958</x:v>
      </x:c>
      <x:c r="H565" s="45" t="n">
        <x:v>0.9999999999999998</x:v>
      </x:c>
      <x:c r="I565" s="36" t="str">
        <x:v>generated design-reference observation; not predicted tract behavior</x:v>
      </x:c>
    </x:row>
    <x:row r="566" ht="75.5999984741211" hidden="0" customHeight="1">
      <x:c r="A566" s="34" t="str">
        <x:v>M0</x:v>
      </x:c>
      <x:c r="B566" s="34" t="str">
        <x:v>48201422502</x:v>
      </x:c>
      <x:c r="C566" s="65" t="n">
        <x:v>527.2120311553889</x:v>
      </x:c>
      <x:c r="D566" s="65" t="n">
        <x:v>41.81963769368531</x:v>
      </x:c>
      <x:c r="E566" s="65" t="n">
        <x:v>485.3923934617036</x:v>
      </x:c>
      <x:c r="F566" s="65" t="n">
        <x:v>485.3923934617036</x:v>
      </x:c>
      <x:c r="G566" s="65" t="n">
        <x:v>527.2120311553889</x:v>
      </x:c>
      <x:c r="H566" s="43" t="n">
        <x:v>1</x:v>
      </x:c>
      <x:c r="I566" s="34" t="str">
        <x:v>generated design-reference observation; not predicted tract behavior</x:v>
      </x:c>
    </x:row>
    <x:row r="567" ht="75.5999984741211" hidden="0" customHeight="1">
      <x:c r="A567" s="36" t="str">
        <x:v>M0</x:v>
      </x:c>
      <x:c r="B567" s="36" t="str">
        <x:v>48201422601</x:v>
      </x:c>
      <x:c r="C567" s="66" t="n">
        <x:v>550.6068111148272</x:v>
      </x:c>
      <x:c r="D567" s="66" t="n">
        <x:v>43.61896872801287</x:v>
      </x:c>
      <x:c r="E567" s="66" t="n">
        <x:v>506.98784238681435</x:v>
      </x:c>
      <x:c r="F567" s="66" t="n">
        <x:v>506.98784238681435</x:v>
      </x:c>
      <x:c r="G567" s="66" t="n">
        <x:v>550.6068111148272</x:v>
      </x:c>
      <x:c r="H567" s="45" t="n">
        <x:v>1</x:v>
      </x:c>
      <x:c r="I567" s="36" t="str">
        <x:v>generated design-reference observation; not predicted tract behavior</x:v>
      </x:c>
    </x:row>
    <x:row r="568" ht="75.5999984741211" hidden="0" customHeight="1">
      <x:c r="A568" s="34" t="str">
        <x:v>M0</x:v>
      </x:c>
      <x:c r="B568" s="34" t="str">
        <x:v>48201422602</x:v>
      </x:c>
      <x:c r="C568" s="65" t="n">
        <x:v>335.78546538639364</x:v>
      </x:c>
      <x:c r="D568" s="65" t="n">
        <x:v>55.068816323368566</x:v>
      </x:c>
      <x:c r="E568" s="65" t="n">
        <x:v>280.7166490630251</x:v>
      </x:c>
      <x:c r="F568" s="65" t="n">
        <x:v>280.7166490630251</x:v>
      </x:c>
      <x:c r="G568" s="65" t="n">
        <x:v>335.78546538639364</x:v>
      </x:c>
      <x:c r="H568" s="43" t="n">
        <x:v>1</x:v>
      </x:c>
      <x:c r="I568" s="34" t="str">
        <x:v>generated design-reference observation; not predicted tract behavior</x:v>
      </x:c>
    </x:row>
    <x:row r="569" ht="75.5999984741211" hidden="0" customHeight="1">
      <x:c r="A569" s="36" t="str">
        <x:v>M0</x:v>
      </x:c>
      <x:c r="B569" s="36" t="str">
        <x:v>48201422701</x:v>
      </x:c>
      <x:c r="C569" s="66" t="n">
        <x:v>380.9039695938819</x:v>
      </x:c>
      <x:c r="D569" s="66" t="n">
        <x:v>67.35226380882011</x:v>
      </x:c>
      <x:c r="E569" s="66" t="n">
        <x:v>313.5517057850618</x:v>
      </x:c>
      <x:c r="F569" s="66" t="n">
        <x:v>0</x:v>
      </x:c>
      <x:c r="G569" s="66" t="n">
        <x:v>67.35226380882011</x:v>
      </x:c>
      <x:c r="H569" s="45" t="n">
        <x:v>0.17682216302610548</x:v>
      </x:c>
      <x:c r="I569" s="36" t="str">
        <x:v>generated design-reference observation; not predicted tract behavior</x:v>
      </x:c>
    </x:row>
    <x:row r="570" ht="75.5999984741211" hidden="0" customHeight="1">
      <x:c r="A570" s="34" t="str">
        <x:v>M0</x:v>
      </x:c>
      <x:c r="B570" s="34" t="str">
        <x:v>48201422702</x:v>
      </x:c>
      <x:c r="C570" s="65" t="n">
        <x:v>277.4804936965996</x:v>
      </x:c>
      <x:c r="D570" s="65" t="n">
        <x:v>52.166332814960725</x:v>
      </x:c>
      <x:c r="E570" s="65" t="n">
        <x:v>225.31416088163886</x:v>
      </x:c>
      <x:c r="F570" s="65" t="n">
        <x:v>0</x:v>
      </x:c>
      <x:c r="G570" s="65" t="n">
        <x:v>52.166332814960725</x:v>
      </x:c>
      <x:c r="H570" s="43" t="n">
        <x:v>0.18800000000000003</x:v>
      </x:c>
      <x:c r="I570" s="34" t="str">
        <x:v>generated design-reference observation; not predicted tract behavior</x:v>
      </x:c>
    </x:row>
    <x:row r="571" ht="75.5999984741211" hidden="0" customHeight="1">
      <x:c r="A571" s="36" t="str">
        <x:v>M0</x:v>
      </x:c>
      <x:c r="B571" s="36" t="str">
        <x:v>48201422800</x:v>
      </x:c>
      <x:c r="C571" s="66" t="n">
        <x:v>753.7706690621493</x:v>
      </x:c>
      <x:c r="D571" s="66" t="n">
        <x:v>57.296807756368594</x:v>
      </x:c>
      <x:c r="E571" s="66" t="n">
        <x:v>696.4738613057807</x:v>
      </x:c>
      <x:c r="F571" s="66" t="n">
        <x:v>696.4738613057807</x:v>
      </x:c>
      <x:c r="G571" s="66" t="n">
        <x:v>753.7706690621493</x:v>
      </x:c>
      <x:c r="H571" s="45" t="n">
        <x:v>1</x:v>
      </x:c>
      <x:c r="I571" s="36" t="str">
        <x:v>generated design-reference observation; not predicted tract behavior</x:v>
      </x:c>
    </x:row>
    <x:row r="572" ht="75.5999984741211" hidden="0" customHeight="1">
      <x:c r="A572" s="34" t="str">
        <x:v>M0</x:v>
      </x:c>
      <x:c r="B572" s="34" t="str">
        <x:v>48201422900</x:v>
      </x:c>
      <x:c r="C572" s="65" t="n">
        <x:v>708.4877194300963</x:v>
      </x:c>
      <x:c r="D572" s="65" t="n">
        <x:v>56.725206256558394</x:v>
      </x:c>
      <x:c r="E572" s="65" t="n">
        <x:v>651.7625131735379</x:v>
      </x:c>
      <x:c r="F572" s="65" t="n">
        <x:v>651.7625131735379</x:v>
      </x:c>
      <x:c r="G572" s="65" t="n">
        <x:v>708.4877194300963</x:v>
      </x:c>
      <x:c r="H572" s="43" t="n">
        <x:v>1</x:v>
      </x:c>
      <x:c r="I572" s="34" t="str">
        <x:v>generated design-reference observation; not predicted tract behavior</x:v>
      </x:c>
    </x:row>
    <x:row r="573" ht="75.5999984741211" hidden="0" customHeight="1">
      <x:c r="A573" s="36" t="str">
        <x:v>M0</x:v>
      </x:c>
      <x:c r="B573" s="36" t="str">
        <x:v>48201423001</x:v>
      </x:c>
      <x:c r="C573" s="66" t="n">
        <x:v>468.10145825885627</x:v>
      </x:c>
      <x:c r="D573" s="66" t="n">
        <x:v>59.6477459064062</x:v>
      </x:c>
      <x:c r="E573" s="66" t="n">
        <x:v>408.45371235245005</x:v>
      </x:c>
      <x:c r="F573" s="66" t="n">
        <x:v>408.45371235245005</x:v>
      </x:c>
      <x:c r="G573" s="66" t="n">
        <x:v>468.10145825885627</x:v>
      </x:c>
      <x:c r="H573" s="45" t="n">
        <x:v>1</x:v>
      </x:c>
      <x:c r="I573" s="36" t="str">
        <x:v>generated design-reference observation; not predicted tract behavior</x:v>
      </x:c>
    </x:row>
    <x:row r="574" ht="75.5999984741211" hidden="0" customHeight="1">
      <x:c r="A574" s="34" t="str">
        <x:v>M0</x:v>
      </x:c>
      <x:c r="B574" s="34" t="str">
        <x:v>48201423002</x:v>
      </x:c>
      <x:c r="C574" s="65" t="n">
        <x:v>540.9323416887642</x:v>
      </x:c>
      <x:c r="D574" s="65" t="n">
        <x:v>40.36783687484861</x:v>
      </x:c>
      <x:c r="E574" s="65" t="n">
        <x:v>500.56450481391556</x:v>
      </x:c>
      <x:c r="F574" s="65" t="n">
        <x:v>500.56450481391556</x:v>
      </x:c>
      <x:c r="G574" s="65" t="n">
        <x:v>540.9323416887642</x:v>
      </x:c>
      <x:c r="H574" s="43" t="n">
        <x:v>1</x:v>
      </x:c>
      <x:c r="I574" s="34" t="str">
        <x:v>generated design-reference observation; not predicted tract behavior</x:v>
      </x:c>
    </x:row>
    <x:row r="575" ht="75.5999984741211" hidden="0" customHeight="1">
      <x:c r="A575" s="36" t="str">
        <x:v>M0</x:v>
      </x:c>
      <x:c r="B575" s="36" t="str">
        <x:v>48201423100</x:v>
      </x:c>
      <x:c r="C575" s="66" t="n">
        <x:v>231.35687728933442</x:v>
      </x:c>
      <x:c r="D575" s="66" t="n">
        <x:v>38.60189497572544</x:v>
      </x:c>
      <x:c r="E575" s="66" t="n">
        <x:v>192.754982313609</x:v>
      </x:c>
      <x:c r="F575" s="66" t="n">
        <x:v>192.754982313609</x:v>
      </x:c>
      <x:c r="G575" s="66" t="n">
        <x:v>231.35687728933442</x:v>
      </x:c>
      <x:c r="H575" s="45" t="n">
        <x:v>1</x:v>
      </x:c>
      <x:c r="I575" s="36" t="str">
        <x:v>generated design-reference observation; not predicted tract behavior</x:v>
      </x:c>
    </x:row>
    <x:row r="576" ht="75.5999984741211" hidden="0" customHeight="1">
      <x:c r="A576" s="34" t="str">
        <x:v>M0</x:v>
      </x:c>
      <x:c r="B576" s="34" t="str">
        <x:v>48201423201</x:v>
      </x:c>
      <x:c r="C576" s="65" t="n">
        <x:v>373.8582086457917</x:v>
      </x:c>
      <x:c r="D576" s="65" t="n">
        <x:v>60.51086261559811</x:v>
      </x:c>
      <x:c r="E576" s="65" t="n">
        <x:v>313.3473460301936</x:v>
      </x:c>
      <x:c r="F576" s="65" t="n">
        <x:v>313.3473460301936</x:v>
      </x:c>
      <x:c r="G576" s="65" t="n">
        <x:v>373.8582086457917</x:v>
      </x:c>
      <x:c r="H576" s="43" t="n">
        <x:v>1</x:v>
      </x:c>
      <x:c r="I576" s="34" t="str">
        <x:v>generated design-reference observation; not predicted tract behavior</x:v>
      </x:c>
    </x:row>
    <x:row r="577" ht="75.5999984741211" hidden="0" customHeight="1">
      <x:c r="A577" s="36" t="str">
        <x:v>M0</x:v>
      </x:c>
      <x:c r="B577" s="36" t="str">
        <x:v>48201423203</x:v>
      </x:c>
      <x:c r="C577" s="66" t="n">
        <x:v>186.51436328888266</x:v>
      </x:c>
      <x:c r="D577" s="66" t="n">
        <x:v>31.39266338680059</x:v>
      </x:c>
      <x:c r="E577" s="66" t="n">
        <x:v>155.12169990208207</x:v>
      </x:c>
      <x:c r="F577" s="66" t="n">
        <x:v>0</x:v>
      </x:c>
      <x:c r="G577" s="66" t="n">
        <x:v>31.39266338680059</x:v>
      </x:c>
      <x:c r="H577" s="45" t="n">
        <x:v>0.16831231028667792</x:v>
      </x:c>
      <x:c r="I577" s="36" t="str">
        <x:v>generated design-reference observation; not predicted tract behavior</x:v>
      </x:c>
    </x:row>
    <x:row r="578" ht="75.5999984741211" hidden="0" customHeight="1">
      <x:c r="A578" s="34" t="str">
        <x:v>M0</x:v>
      </x:c>
      <x:c r="B578" s="34" t="str">
        <x:v>48201423204</x:v>
      </x:c>
      <x:c r="C578" s="65" t="n">
        <x:v>594.1809188625682</x:v>
      </x:c>
      <x:c r="D578" s="65" t="n">
        <x:v>79.29378647622714</x:v>
      </x:c>
      <x:c r="E578" s="65" t="n">
        <x:v>514.887132386341</x:v>
      </x:c>
      <x:c r="F578" s="65" t="n">
        <x:v>514.887132386341</x:v>
      </x:c>
      <x:c r="G578" s="65" t="n">
        <x:v>594.1809188625682</x:v>
      </x:c>
      <x:c r="H578" s="43" t="n">
        <x:v>1</x:v>
      </x:c>
      <x:c r="I578" s="34" t="str">
        <x:v>generated design-reference observation; not predicted tract behavior</x:v>
      </x:c>
    </x:row>
    <x:row r="579" ht="75.5999984741211" hidden="0" customHeight="1">
      <x:c r="A579" s="36" t="str">
        <x:v>M0</x:v>
      </x:c>
      <x:c r="B579" s="36" t="str">
        <x:v>48201423301</x:v>
      </x:c>
      <x:c r="C579" s="66" t="n">
        <x:v>376.5419337915419</x:v>
      </x:c>
      <x:c r="D579" s="66" t="n">
        <x:v>63.9647556753222</x:v>
      </x:c>
      <x:c r="E579" s="66" t="n">
        <x:v>312.5771781162197</x:v>
      </x:c>
      <x:c r="F579" s="66" t="n">
        <x:v>312.5771781162197</x:v>
      </x:c>
      <x:c r="G579" s="66" t="n">
        <x:v>376.5419337915419</x:v>
      </x:c>
      <x:c r="H579" s="45" t="n">
        <x:v>1</x:v>
      </x:c>
      <x:c r="I579" s="36" t="str">
        <x:v>generated design-reference observation; not predicted tract behavior</x:v>
      </x:c>
    </x:row>
    <x:row r="580" ht="75.5999984741211" hidden="0" customHeight="1">
      <x:c r="A580" s="34" t="str">
        <x:v>M0</x:v>
      </x:c>
      <x:c r="B580" s="34" t="str">
        <x:v>48201423303</x:v>
      </x:c>
      <x:c r="C580" s="65" t="n">
        <x:v>204.3246491795456</x:v>
      </x:c>
      <x:c r="D580" s="65" t="n">
        <x:v>26.39422175943293</x:v>
      </x:c>
      <x:c r="E580" s="65" t="n">
        <x:v>177.93042742011266</x:v>
      </x:c>
      <x:c r="F580" s="65" t="n">
        <x:v>177.93042742011266</x:v>
      </x:c>
      <x:c r="G580" s="65" t="n">
        <x:v>204.3246491795456</x:v>
      </x:c>
      <x:c r="H580" s="43" t="n">
        <x:v>1</x:v>
      </x:c>
      <x:c r="I580" s="34" t="str">
        <x:v>generated design-reference observation; not predicted tract behavior</x:v>
      </x:c>
    </x:row>
    <x:row r="581" ht="75.5999984741211" hidden="0" customHeight="1">
      <x:c r="A581" s="36" t="str">
        <x:v>M0</x:v>
      </x:c>
      <x:c r="B581" s="36" t="str">
        <x:v>48201423304</x:v>
      </x:c>
      <x:c r="C581" s="66" t="n">
        <x:v>285.02170694406834</x:v>
      </x:c>
      <x:c r="D581" s="66" t="n">
        <x:v>48.544368457418585</x:v>
      </x:c>
      <x:c r="E581" s="66" t="n">
        <x:v>236.47733848664976</x:v>
      </x:c>
      <x:c r="F581" s="66" t="n">
        <x:v>0</x:v>
      </x:c>
      <x:c r="G581" s="66" t="n">
        <x:v>48.544368457418585</x:v>
      </x:c>
      <x:c r="H581" s="45" t="n">
        <x:v>0.17031814516129035</x:v>
      </x:c>
      <x:c r="I581" s="36" t="str">
        <x:v>generated design-reference observation; not predicted tract behavior</x:v>
      </x:c>
    </x:row>
    <x:row r="582" ht="75.5999984741211" hidden="0" customHeight="1">
      <x:c r="A582" s="34" t="str">
        <x:v>M0</x:v>
      </x:c>
      <x:c r="B582" s="34" t="str">
        <x:v>48201423401</x:v>
      </x:c>
      <x:c r="C582" s="65" t="n">
        <x:v>689.8077469834157</x:v>
      </x:c>
      <x:c r="D582" s="65" t="n">
        <x:v>104.31750309092662</x:v>
      </x:c>
      <x:c r="E582" s="65" t="n">
        <x:v>585.490243892489</x:v>
      </x:c>
      <x:c r="F582" s="65" t="n">
        <x:v>585.490243892489</x:v>
      </x:c>
      <x:c r="G582" s="65" t="n">
        <x:v>689.8077469834157</x:v>
      </x:c>
      <x:c r="H582" s="43" t="n">
        <x:v>1</x:v>
      </x:c>
      <x:c r="I582" s="34" t="str">
        <x:v>generated design-reference observation; not predicted tract behavior</x:v>
      </x:c>
    </x:row>
    <x:row r="583" ht="75.5999984741211" hidden="0" customHeight="1">
      <x:c r="A583" s="36" t="str">
        <x:v>M0</x:v>
      </x:c>
      <x:c r="B583" s="36" t="str">
        <x:v>48201423402</x:v>
      </x:c>
      <x:c r="C583" s="66" t="n">
        <x:v>367.2755550330575</x:v>
      </x:c>
      <x:c r="D583" s="66" t="n">
        <x:v>68.31718747462195</x:v>
      </x:c>
      <x:c r="E583" s="66" t="n">
        <x:v>298.95836755843555</x:v>
      </x:c>
      <x:c r="F583" s="66" t="n">
        <x:v>100.13960047091754</x:v>
      </x:c>
      <x:c r="G583" s="66" t="n">
        <x:v>168.45678794553947</x:v>
      </x:c>
      <x:c r="H583" s="45" t="n">
        <x:v>0.4586659407005106</x:v>
      </x:c>
      <x:c r="I583" s="36" t="str">
        <x:v>generated design-reference observation; not predicted tract behavior</x:v>
      </x:c>
    </x:row>
    <x:row r="584" ht="75.5999984741211" hidden="0" customHeight="1">
      <x:c r="A584" s="34" t="str">
        <x:v>M0</x:v>
      </x:c>
      <x:c r="B584" s="34" t="str">
        <x:v>48201423500</x:v>
      </x:c>
      <x:c r="C584" s="65" t="n">
        <x:v>180.15600839862498</x:v>
      </x:c>
      <x:c r="D584" s="65" t="n">
        <x:v>33.749320143425564</x:v>
      </x:c>
      <x:c r="E584" s="65" t="n">
        <x:v>146.4066882551994</x:v>
      </x:c>
      <x:c r="F584" s="65" t="n">
        <x:v>49.86928485066638</x:v>
      </x:c>
      <x:c r="G584" s="65" t="n">
        <x:v>83.61860499409195</x:v>
      </x:c>
      <x:c r="H584" s="43" t="n">
        <x:v>0.4641455244116641</x:v>
      </x:c>
      <x:c r="I584" s="34" t="str">
        <x:v>generated design-reference observation; not predicted tract behavior</x:v>
      </x:c>
    </x:row>
    <x:row r="585" ht="75.5999984741211" hidden="0" customHeight="1">
      <x:c r="A585" s="36" t="str">
        <x:v>M0</x:v>
      </x:c>
      <x:c r="B585" s="36" t="str">
        <x:v>48201423600</x:v>
      </x:c>
      <x:c r="C585" s="66" t="n">
        <x:v>1019.4679225941463</x:v>
      </x:c>
      <x:c r="D585" s="66" t="n">
        <x:v>167.19273930544</x:v>
      </x:c>
      <x:c r="E585" s="66" t="n">
        <x:v>852.2751832887063</x:v>
      </x:c>
      <x:c r="F585" s="66" t="n">
        <x:v>852.2751832887063</x:v>
      </x:c>
      <x:c r="G585" s="66" t="n">
        <x:v>1019.4679225941463</x:v>
      </x:c>
      <x:c r="H585" s="45" t="n">
        <x:v>1</x:v>
      </x:c>
      <x:c r="I585" s="36" t="str">
        <x:v>generated design-reference observation; not predicted tract behavior</x:v>
      </x:c>
    </x:row>
    <x:row r="586" ht="75.5999984741211" hidden="0" customHeight="1">
      <x:c r="A586" s="34" t="str">
        <x:v>M0</x:v>
      </x:c>
      <x:c r="B586" s="34" t="str">
        <x:v>48201430101</x:v>
      </x:c>
      <x:c r="C586" s="65" t="n">
        <x:v>220.59325921491174</x:v>
      </x:c>
      <x:c r="D586" s="65" t="n">
        <x:v>32.01143655611784</x:v>
      </x:c>
      <x:c r="E586" s="65" t="n">
        <x:v>188.5818226587939</x:v>
      </x:c>
      <x:c r="F586" s="65" t="n">
        <x:v>27.60063297049649</x:v>
      </x:c>
      <x:c r="G586" s="65" t="n">
        <x:v>59.612069526614334</x:v>
      </x:c>
      <x:c r="H586" s="43" t="n">
        <x:v>0.27023522721760784</x:v>
      </x:c>
      <x:c r="I586" s="34" t="str">
        <x:v>generated design-reference observation; not predicted tract behavior</x:v>
      </x:c>
    </x:row>
    <x:row r="587" ht="75.5999984741211" hidden="0" customHeight="1">
      <x:c r="A587" s="36" t="str">
        <x:v>M0</x:v>
      </x:c>
      <x:c r="B587" s="36" t="str">
        <x:v>48201430102</x:v>
      </x:c>
      <x:c r="C587" s="66" t="n">
        <x:v>241.0516001040846</x:v>
      </x:c>
      <x:c r="D587" s="66" t="n">
        <x:v>35.497979665439246</x:v>
      </x:c>
      <x:c r="E587" s="66" t="n">
        <x:v>205.55362043864534</x:v>
      </x:c>
      <x:c r="F587" s="66" t="n">
        <x:v>205.55362043864534</x:v>
      </x:c>
      <x:c r="G587" s="66" t="n">
        <x:v>241.05160010408457</x:v>
      </x:c>
      <x:c r="H587" s="45" t="n">
        <x:v>0.9999999999999999</x:v>
      </x:c>
      <x:c r="I587" s="36" t="str">
        <x:v>generated design-reference observation; not predicted tract behavior</x:v>
      </x:c>
    </x:row>
    <x:row r="588" ht="75.5999984741211" hidden="0" customHeight="1">
      <x:c r="A588" s="34" t="str">
        <x:v>M0</x:v>
      </x:c>
      <x:c r="B588" s="34" t="str">
        <x:v>48201430200</x:v>
      </x:c>
      <x:c r="C588" s="65" t="n">
        <x:v>129.62712880719494</x:v>
      </x:c>
      <x:c r="D588" s="65" t="n">
        <x:v>21.912627946878743</x:v>
      </x:c>
      <x:c r="E588" s="65" t="n">
        <x:v>107.71450086031619</x:v>
      </x:c>
      <x:c r="F588" s="65" t="n">
        <x:v>0</x:v>
      </x:c>
      <x:c r="G588" s="65" t="n">
        <x:v>21.912627946878743</x:v>
      </x:c>
      <x:c r="H588" s="43" t="n">
        <x:v>0.1690435339308579</x:v>
      </x:c>
      <x:c r="I588" s="34" t="str">
        <x:v>generated design-reference observation; not predicted tract behavior</x:v>
      </x:c>
    </x:row>
    <x:row r="589" ht="75.5999984741211" hidden="0" customHeight="1">
      <x:c r="A589" s="36" t="str">
        <x:v>M0</x:v>
      </x:c>
      <x:c r="B589" s="36" t="str">
        <x:v>48201430300</x:v>
      </x:c>
      <x:c r="C589" s="66" t="n">
        <x:v>347.31236415387997</x:v>
      </x:c>
      <x:c r="D589" s="66" t="n">
        <x:v>65.29472446092943</x:v>
      </x:c>
      <x:c r="E589" s="66" t="n">
        <x:v>282.0176396929505</x:v>
      </x:c>
      <x:c r="F589" s="66" t="n">
        <x:v>282.0176396929505</x:v>
      </x:c>
      <x:c r="G589" s="66" t="n">
        <x:v>347.31236415387997</x:v>
      </x:c>
      <x:c r="H589" s="45" t="n">
        <x:v>1</x:v>
      </x:c>
      <x:c r="I589" s="36" t="str">
        <x:v>generated design-reference observation; not predicted tract behavior</x:v>
      </x:c>
    </x:row>
    <x:row r="590" ht="75.5999984741211" hidden="0" customHeight="1">
      <x:c r="A590" s="34" t="str">
        <x:v>M0</x:v>
      </x:c>
      <x:c r="B590" s="34" t="str">
        <x:v>48201430400</x:v>
      </x:c>
      <x:c r="C590" s="65" t="n">
        <x:v>246.5689859297471</x:v>
      </x:c>
      <x:c r="D590" s="65" t="n">
        <x:v>46.35496935479245</x:v>
      </x:c>
      <x:c r="E590" s="65" t="n">
        <x:v>200.21401657495466</x:v>
      </x:c>
      <x:c r="F590" s="65" t="n">
        <x:v>19.2313525365527</x:v>
      </x:c>
      <x:c r="G590" s="65" t="n">
        <x:v>65.58632189134515</x:v>
      </x:c>
      <x:c r="H590" s="43" t="n">
        <x:v>0.2659958292971693</x:v>
      </x:c>
      <x:c r="I590" s="34" t="str">
        <x:v>generated design-reference observation; not predicted tract behavior</x:v>
      </x:c>
    </x:row>
    <x:row r="591" ht="75.5999984741211" hidden="0" customHeight="1">
      <x:c r="A591" s="36" t="str">
        <x:v>M0</x:v>
      </x:c>
      <x:c r="B591" s="36" t="str">
        <x:v>48201430500</x:v>
      </x:c>
      <x:c r="C591" s="66" t="n">
        <x:v>183.56704180081513</x:v>
      </x:c>
      <x:c r="D591" s="66" t="n">
        <x:v>31.76069087634793</x:v>
      </x:c>
      <x:c r="E591" s="66" t="n">
        <x:v>151.8063509244672</x:v>
      </x:c>
      <x:c r="F591" s="66" t="n">
        <x:v>151.8063509244672</x:v>
      </x:c>
      <x:c r="G591" s="66" t="n">
        <x:v>183.56704180081513</x:v>
      </x:c>
      <x:c r="H591" s="45" t="n">
        <x:v>1</x:v>
      </x:c>
      <x:c r="I591" s="36" t="str">
        <x:v>generated design-reference observation; not predicted tract behavior</x:v>
      </x:c>
    </x:row>
    <x:row r="592" ht="75.5999984741211" hidden="0" customHeight="1">
      <x:c r="A592" s="34" t="str">
        <x:v>M0</x:v>
      </x:c>
      <x:c r="B592" s="34" t="str">
        <x:v>48201430600</x:v>
      </x:c>
      <x:c r="C592" s="65" t="n">
        <x:v>303.94351089746203</x:v>
      </x:c>
      <x:c r="D592" s="65" t="n">
        <x:v>57.141380048722866</x:v>
      </x:c>
      <x:c r="E592" s="65" t="n">
        <x:v>246.80213084873918</x:v>
      </x:c>
      <x:c r="F592" s="65" t="n">
        <x:v>246.80213084873918</x:v>
      </x:c>
      <x:c r="G592" s="65" t="n">
        <x:v>303.94351089746203</x:v>
      </x:c>
      <x:c r="H592" s="43" t="n">
        <x:v>1</x:v>
      </x:c>
      <x:c r="I592" s="34" t="str">
        <x:v>generated design-reference observation; not predicted tract behavior</x:v>
      </x:c>
    </x:row>
    <x:row r="593" ht="75.5999984741211" hidden="0" customHeight="1">
      <x:c r="A593" s="36" t="str">
        <x:v>M0</x:v>
      </x:c>
      <x:c r="B593" s="36" t="str">
        <x:v>48201430700</x:v>
      </x:c>
      <x:c r="C593" s="66" t="n">
        <x:v>312.75796702777603</x:v>
      </x:c>
      <x:c r="D593" s="66" t="n">
        <x:v>41.908838668031024</x:v>
      </x:c>
      <x:c r="E593" s="66" t="n">
        <x:v>270.849128359745</x:v>
      </x:c>
      <x:c r="F593" s="66" t="n">
        <x:v>270.849128359745</x:v>
      </x:c>
      <x:c r="G593" s="66" t="n">
        <x:v>312.75796702777603</x:v>
      </x:c>
      <x:c r="H593" s="45" t="n">
        <x:v>1</x:v>
      </x:c>
      <x:c r="I593" s="36" t="str">
        <x:v>generated design-reference observation; not predicted tract behavior</x:v>
      </x:c>
    </x:row>
    <x:row r="594" ht="75.5999984741211" hidden="0" customHeight="1">
      <x:c r="A594" s="34" t="str">
        <x:v>M0</x:v>
      </x:c>
      <x:c r="B594" s="34" t="str">
        <x:v>48201430800</x:v>
      </x:c>
      <x:c r="C594" s="65" t="n">
        <x:v>517.9426295030706</x:v>
      </x:c>
      <x:c r="D594" s="65" t="n">
        <x:v>76.45730179945299</x:v>
      </x:c>
      <x:c r="E594" s="65" t="n">
        <x:v>441.48532770361766</x:v>
      </x:c>
      <x:c r="F594" s="65" t="n">
        <x:v>73.08267886226368</x:v>
      </x:c>
      <x:c r="G594" s="65" t="n">
        <x:v>149.53998066171667</x:v>
      </x:c>
      <x:c r="H594" s="43" t="n">
        <x:v>0.2887191981188915</x:v>
      </x:c>
      <x:c r="I594" s="34" t="str">
        <x:v>generated design-reference observation; not predicted tract behavior</x:v>
      </x:c>
    </x:row>
    <x:row r="595" ht="75.5999984741211" hidden="0" customHeight="1">
      <x:c r="A595" s="36" t="str">
        <x:v>M0</x:v>
      </x:c>
      <x:c r="B595" s="36" t="str">
        <x:v>48201430900</x:v>
      </x:c>
      <x:c r="C595" s="66" t="n">
        <x:v>444.71937445352046</x:v>
      </x:c>
      <x:c r="D595" s="66" t="n">
        <x:v>73.7365963172269</x:v>
      </x:c>
      <x:c r="E595" s="66" t="n">
        <x:v>370.9827781362936</x:v>
      </x:c>
      <x:c r="F595" s="66" t="n">
        <x:v>370.9827781362936</x:v>
      </x:c>
      <x:c r="G595" s="66" t="n">
        <x:v>444.71937445352046</x:v>
      </x:c>
      <x:c r="H595" s="45" t="n">
        <x:v>1</x:v>
      </x:c>
      <x:c r="I595" s="36" t="str">
        <x:v>generated design-reference observation; not predicted tract behavior</x:v>
      </x:c>
    </x:row>
    <x:row r="596" ht="75.5999984741211" hidden="0" customHeight="1">
      <x:c r="A596" s="34" t="str">
        <x:v>M0</x:v>
      </x:c>
      <x:c r="B596" s="34" t="str">
        <x:v>48201431001</x:v>
      </x:c>
      <x:c r="C596" s="65" t="n">
        <x:v>207.57002799963723</x:v>
      </x:c>
      <x:c r="D596" s="65" t="n">
        <x:v>36.884588711302946</x:v>
      </x:c>
      <x:c r="E596" s="65" t="n">
        <x:v>170.6854392883343</x:v>
      </x:c>
      <x:c r="F596" s="65" t="n">
        <x:v>51.431286952521816</x:v>
      </x:c>
      <x:c r="G596" s="65" t="n">
        <x:v>88.31587566382476</x:v>
      </x:c>
      <x:c r="H596" s="43" t="n">
        <x:v>0.42547508672099377</x:v>
      </x:c>
      <x:c r="I596" s="34" t="str">
        <x:v>generated design-reference observation; not predicted tract behavior</x:v>
      </x:c>
    </x:row>
    <x:row r="597" ht="75.5999984741211" hidden="0" customHeight="1">
      <x:c r="A597" s="36" t="str">
        <x:v>M0</x:v>
      </x:c>
      <x:c r="B597" s="36" t="str">
        <x:v>48201431002</x:v>
      </x:c>
      <x:c r="C597" s="66" t="n">
        <x:v>241.95544536042536</x:v>
      </x:c>
      <x:c r="D597" s="66" t="n">
        <x:v>43.3547281517227</x:v>
      </x:c>
      <x:c r="E597" s="66" t="n">
        <x:v>198.60071720870266</x:v>
      </x:c>
      <x:c r="F597" s="66" t="n">
        <x:v>35.311003006903015</x:v>
      </x:c>
      <x:c r="G597" s="66" t="n">
        <x:v>78.66573115862572</x:v>
      </x:c>
      <x:c r="H597" s="45" t="n">
        <x:v>0.3251248635526366</x:v>
      </x:c>
      <x:c r="I597" s="36" t="str">
        <x:v>generated design-reference observation; not predicted tract behavior</x:v>
      </x:c>
    </x:row>
    <x:row r="598" ht="75.5999984741211" hidden="0" customHeight="1">
      <x:c r="A598" s="34" t="str">
        <x:v>M0</x:v>
      </x:c>
      <x:c r="B598" s="34" t="str">
        <x:v>48201431101</x:v>
      </x:c>
      <x:c r="C598" s="65" t="n">
        <x:v>454.43767584017513</x:v>
      </x:c>
      <x:c r="D598" s="65" t="n">
        <x:v>71.01266076193099</x:v>
      </x:c>
      <x:c r="E598" s="65" t="n">
        <x:v>383.42501507824414</x:v>
      </x:c>
      <x:c r="F598" s="65" t="n">
        <x:v>75.33651084665159</x:v>
      </x:c>
      <x:c r="G598" s="65" t="n">
        <x:v>146.3491716085826</x:v>
      </x:c>
      <x:c r="H598" s="43" t="n">
        <x:v>0.3220445385343739</x:v>
      </x:c>
      <x:c r="I598" s="34" t="str">
        <x:v>generated design-reference observation; not predicted tract behavior</x:v>
      </x:c>
    </x:row>
    <x:row r="599" ht="75.5999984741211" hidden="0" customHeight="1">
      <x:c r="A599" s="36" t="str">
        <x:v>M0</x:v>
      </x:c>
      <x:c r="B599" s="36" t="str">
        <x:v>48201431102</x:v>
      </x:c>
      <x:c r="C599" s="66" t="n">
        <x:v>331.46756383402885</x:v>
      </x:c>
      <x:c r="D599" s="66" t="n">
        <x:v>46.735689091900674</x:v>
      </x:c>
      <x:c r="E599" s="66" t="n">
        <x:v>284.7318747421282</x:v>
      </x:c>
      <x:c r="F599" s="66" t="n">
        <x:v>0</x:v>
      </x:c>
      <x:c r="G599" s="66" t="n">
        <x:v>46.735689091900674</x:v>
      </x:c>
      <x:c r="H599" s="45" t="n">
        <x:v>0.140996266878475</x:v>
      </x:c>
      <x:c r="I599" s="36" t="str">
        <x:v>generated design-reference observation; not predicted tract behavior</x:v>
      </x:c>
    </x:row>
    <x:row r="600" ht="75.5999984741211" hidden="0" customHeight="1">
      <x:c r="A600" s="34" t="str">
        <x:v>M0</x:v>
      </x:c>
      <x:c r="B600" s="34" t="str">
        <x:v>48201431203</x:v>
      </x:c>
      <x:c r="C600" s="65" t="n">
        <x:v>158.69950796549324</x:v>
      </x:c>
      <x:c r="D600" s="65" t="n">
        <x:v>23.736966422636193</x:v>
      </x:c>
      <x:c r="E600" s="65" t="n">
        <x:v>134.96254154285705</x:v>
      </x:c>
      <x:c r="F600" s="65" t="n">
        <x:v>0</x:v>
      </x:c>
      <x:c r="G600" s="65" t="n">
        <x:v>23.736966422636193</x:v>
      </x:c>
      <x:c r="H600" s="43" t="n">
        <x:v>0.1495717707442258</x:v>
      </x:c>
      <x:c r="I600" s="34" t="str">
        <x:v>generated design-reference observation; not predicted tract behavior</x:v>
      </x:c>
    </x:row>
    <x:row r="601" ht="75.5999984741211" hidden="0" customHeight="1">
      <x:c r="A601" s="36" t="str">
        <x:v>M0</x:v>
      </x:c>
      <x:c r="B601" s="36" t="str">
        <x:v>48201431204</x:v>
      </x:c>
      <x:c r="C601" s="66" t="n">
        <x:v>254.78611823847942</x:v>
      </x:c>
      <x:c r="D601" s="66" t="n">
        <x:v>33.98749446810269</x:v>
      </x:c>
      <x:c r="E601" s="66" t="n">
        <x:v>220.79862377037674</x:v>
      </x:c>
      <x:c r="F601" s="66" t="n">
        <x:v>0</x:v>
      </x:c>
      <x:c r="G601" s="66" t="n">
        <x:v>33.98749446810269</x:v>
      </x:c>
      <x:c r="H601" s="45" t="n">
        <x:v>0.13339617834394904</x:v>
      </x:c>
      <x:c r="I601" s="36" t="str">
        <x:v>generated design-reference observation; not predicted tract behavior</x:v>
      </x:c>
    </x:row>
    <x:row r="602" ht="75.5999984741211" hidden="0" customHeight="1">
      <x:c r="A602" s="34" t="str">
        <x:v>M0</x:v>
      </x:c>
      <x:c r="B602" s="34" t="str">
        <x:v>48201431205</x:v>
      </x:c>
      <x:c r="C602" s="65" t="n">
        <x:v>283.41836405455956</x:v>
      </x:c>
      <x:c r="D602" s="65" t="n">
        <x:v>42.0389781623304</x:v>
      </x:c>
      <x:c r="E602" s="65" t="n">
        <x:v>241.37938589222915</x:v>
      </x:c>
      <x:c r="F602" s="65" t="n">
        <x:v>98.63009492301639</x:v>
      </x:c>
      <x:c r="G602" s="65" t="n">
        <x:v>140.66907308534678</x:v>
      </x:c>
      <x:c r="H602" s="43" t="n">
        <x:v>0.4963301286230952</x:v>
      </x:c>
      <x:c r="I602" s="34" t="str">
        <x:v>generated design-reference observation; not predicted tract behavior</x:v>
      </x:c>
    </x:row>
    <x:row r="603" ht="75.5999984741211" hidden="0" customHeight="1">
      <x:c r="A603" s="36" t="str">
        <x:v>M0</x:v>
      </x:c>
      <x:c r="B603" s="36" t="str">
        <x:v>48201431206</x:v>
      </x:c>
      <x:c r="C603" s="66" t="n">
        <x:v>141.66791952644687</x:v>
      </x:c>
      <x:c r="D603" s="66" t="n">
        <x:v>17.063906955975025</x:v>
      </x:c>
      <x:c r="E603" s="66" t="n">
        <x:v>124.60401257047184</x:v>
      </x:c>
      <x:c r="F603" s="66" t="n">
        <x:v>0</x:v>
      </x:c>
      <x:c r="G603" s="66" t="n">
        <x:v>17.063906955975025</x:v>
      </x:c>
      <x:c r="H603" s="45" t="n">
        <x:v>0.12045004269854827</x:v>
      </x:c>
      <x:c r="I603" s="36" t="str">
        <x:v>generated design-reference observation; not predicted tract behavior</x:v>
      </x:c>
    </x:row>
    <x:row r="604" ht="75.5999984741211" hidden="0" customHeight="1">
      <x:c r="A604" s="34" t="str">
        <x:v>M0</x:v>
      </x:c>
      <x:c r="B604" s="34" t="str">
        <x:v>48201431302</x:v>
      </x:c>
      <x:c r="C604" s="65" t="n">
        <x:v>346.2906260380165</x:v>
      </x:c>
      <x:c r="D604" s="65" t="n">
        <x:v>56.73611714828445</x:v>
      </x:c>
      <x:c r="E604" s="65" t="n">
        <x:v>289.55450888973206</x:v>
      </x:c>
      <x:c r="F604" s="65" t="n">
        <x:v>289.55450888973206</x:v>
      </x:c>
      <x:c r="G604" s="65" t="n">
        <x:v>346.2906260380165</x:v>
      </x:c>
      <x:c r="H604" s="43" t="n">
        <x:v>1</x:v>
      </x:c>
      <x:c r="I604" s="34" t="str">
        <x:v>generated design-reference observation; not predicted tract behavior</x:v>
      </x:c>
    </x:row>
    <x:row r="605" ht="75.5999984741211" hidden="0" customHeight="1">
      <x:c r="A605" s="36" t="str">
        <x:v>M0</x:v>
      </x:c>
      <x:c r="B605" s="36" t="str">
        <x:v>48201431303</x:v>
      </x:c>
      <x:c r="C605" s="66" t="n">
        <x:v>130.85321454623096</x:v>
      </x:c>
      <x:c r="D605" s="66" t="n">
        <x:v>18.959883055094313</x:v>
      </x:c>
      <x:c r="E605" s="66" t="n">
        <x:v>111.89333149113665</x:v>
      </x:c>
      <x:c r="F605" s="66" t="n">
        <x:v>71.86915445093946</x:v>
      </x:c>
      <x:c r="G605" s="66" t="n">
        <x:v>90.82903750603377</x:v>
      </x:c>
      <x:c r="H605" s="45" t="n">
        <x:v>0.694129202870622</x:v>
      </x:c>
      <x:c r="I605" s="36" t="str">
        <x:v>generated design-reference observation; not predicted tract behavior</x:v>
      </x:c>
    </x:row>
    <x:row r="606" ht="75.5999984741211" hidden="0" customHeight="1">
      <x:c r="A606" s="34" t="str">
        <x:v>M0</x:v>
      </x:c>
      <x:c r="B606" s="34" t="str">
        <x:v>48201431304</x:v>
      </x:c>
      <x:c r="C606" s="65" t="n">
        <x:v>250.76990149073936</x:v>
      </x:c>
      <x:c r="D606" s="65" t="n">
        <x:v>35.619486167822764</x:v>
      </x:c>
      <x:c r="E606" s="65" t="n">
        <x:v>215.1504153229166</x:v>
      </x:c>
      <x:c r="F606" s="65" t="n">
        <x:v>136.1637582568874</x:v>
      </x:c>
      <x:c r="G606" s="65" t="n">
        <x:v>171.78324442471018</x:v>
      </x:c>
      <x:c r="H606" s="43" t="n">
        <x:v>0.6850233756264961</x:v>
      </x:c>
      <x:c r="I606" s="34" t="str">
        <x:v>generated design-reference observation; not predicted tract behavior</x:v>
      </x:c>
    </x:row>
    <x:row r="607" ht="75.5999984741211" hidden="0" customHeight="1">
      <x:c r="A607" s="36" t="str">
        <x:v>M0</x:v>
      </x:c>
      <x:c r="B607" s="36" t="str">
        <x:v>48201431401</x:v>
      </x:c>
      <x:c r="C607" s="66" t="n">
        <x:v>216.97787818954893</x:v>
      </x:c>
      <x:c r="D607" s="66" t="n">
        <x:v>28.83938026257843</x:v>
      </x:c>
      <x:c r="E607" s="66" t="n">
        <x:v>188.1384979269705</x:v>
      </x:c>
      <x:c r="F607" s="66" t="n">
        <x:v>0</x:v>
      </x:c>
      <x:c r="G607" s="66" t="n">
        <x:v>28.83938026257843</x:v>
      </x:c>
      <x:c r="H607" s="45" t="n">
        <x:v>0.13291391962725682</x:v>
      </x:c>
      <x:c r="I607" s="36" t="str">
        <x:v>generated design-reference observation; not predicted tract behavior</x:v>
      </x:c>
    </x:row>
    <x:row r="608" ht="75.5999984741211" hidden="0" customHeight="1">
      <x:c r="A608" s="34" t="str">
        <x:v>M0</x:v>
      </x:c>
      <x:c r="B608" s="34" t="str">
        <x:v>48201431403</x:v>
      </x:c>
      <x:c r="C608" s="65" t="n">
        <x:v>142.3124004918376</x:v>
      </x:c>
      <x:c r="D608" s="65" t="n">
        <x:v>22.648730623014842</x:v>
      </x:c>
      <x:c r="E608" s="65" t="n">
        <x:v>119.66366986882275</x:v>
      </x:c>
      <x:c r="F608" s="65" t="n">
        <x:v>25.35505325081516</x:v>
      </x:c>
      <x:c r="G608" s="65" t="n">
        <x:v>48.00378387383</x:v>
      </x:c>
      <x:c r="H608" s="43" t="n">
        <x:v>0.3373127268454957</x:v>
      </x:c>
      <x:c r="I608" s="34" t="str">
        <x:v>generated design-reference observation; not predicted tract behavior</x:v>
      </x:c>
    </x:row>
    <x:row r="609" ht="75.5999984741211" hidden="0" customHeight="1">
      <x:c r="A609" s="36" t="str">
        <x:v>M0</x:v>
      </x:c>
      <x:c r="B609" s="36" t="str">
        <x:v>48201431404</x:v>
      </x:c>
      <x:c r="C609" s="66" t="n">
        <x:v>165.17575571527365</x:v>
      </x:c>
      <x:c r="D609" s="66" t="n">
        <x:v>26.142177634233583</x:v>
      </x:c>
      <x:c r="E609" s="66" t="n">
        <x:v>139.03357808104008</x:v>
      </x:c>
      <x:c r="F609" s="66" t="n">
        <x:v>28.469509449633414</x:v>
      </x:c>
      <x:c r="G609" s="66" t="n">
        <x:v>54.611687083867</x:v>
      </x:c>
      <x:c r="H609" s="45" t="n">
        <x:v>0.33062774162816866</x:v>
      </x:c>
      <x:c r="I609" s="36" t="str">
        <x:v>generated design-reference observation; not predicted tract behavior</x:v>
      </x:c>
    </x:row>
    <x:row r="610" ht="75.5999984741211" hidden="0" customHeight="1">
      <x:c r="A610" s="34" t="str">
        <x:v>M0</x:v>
      </x:c>
      <x:c r="B610" s="34" t="str">
        <x:v>48201431503</x:v>
      </x:c>
      <x:c r="C610" s="65" t="n">
        <x:v>182.75751083209258</x:v>
      </x:c>
      <x:c r="D610" s="65" t="n">
        <x:v>21.778928464857554</x:v>
      </x:c>
      <x:c r="E610" s="65" t="n">
        <x:v>160.97858236723502</x:v>
      </x:c>
      <x:c r="F610" s="65" t="n">
        <x:v>0</x:v>
      </x:c>
      <x:c r="G610" s="65" t="n">
        <x:v>21.778928464857554</x:v>
      </x:c>
      <x:c r="H610" s="43" t="n">
        <x:v>0.11916844547563804</x:v>
      </x:c>
      <x:c r="I610" s="34" t="str">
        <x:v>generated design-reference observation; not predicted tract behavior</x:v>
      </x:c>
    </x:row>
    <x:row r="611" ht="75.5999984741211" hidden="0" customHeight="1">
      <x:c r="A611" s="36" t="str">
        <x:v>M0</x:v>
      </x:c>
      <x:c r="B611" s="36" t="str">
        <x:v>48201431504</x:v>
      </x:c>
      <x:c r="C611" s="66" t="n">
        <x:v>198.07572304607567</x:v>
      </x:c>
      <x:c r="D611" s="66" t="n">
        <x:v>35.341193724771884</x:v>
      </x:c>
      <x:c r="E611" s="66" t="n">
        <x:v>162.7345293213038</x:v>
      </x:c>
      <x:c r="F611" s="66" t="n">
        <x:v>162.7345293213038</x:v>
      </x:c>
      <x:c r="G611" s="66" t="n">
        <x:v>198.07572304607567</x:v>
      </x:c>
      <x:c r="H611" s="45" t="n">
        <x:v>1</x:v>
      </x:c>
      <x:c r="I611" s="36" t="str">
        <x:v>generated design-reference observation; not predicted tract behavior</x:v>
      </x:c>
    </x:row>
    <x:row r="612" ht="75.5999984741211" hidden="0" customHeight="1">
      <x:c r="A612" s="34" t="str">
        <x:v>M0</x:v>
      </x:c>
      <x:c r="B612" s="34" t="str">
        <x:v>48201431505</x:v>
      </x:c>
      <x:c r="C612" s="65" t="n">
        <x:v>121.80690245885566</x:v>
      </x:c>
      <x:c r="D612" s="65" t="n">
        <x:v>20.86888545006986</x:v>
      </x:c>
      <x:c r="E612" s="65" t="n">
        <x:v>100.9380170087858</x:v>
      </x:c>
      <x:c r="F612" s="65" t="n">
        <x:v>75.49318363495753</x:v>
      </x:c>
      <x:c r="G612" s="65" t="n">
        <x:v>96.3620690850274</x:v>
      </x:c>
      <x:c r="H612" s="43" t="n">
        <x:v>0.7911051602151766</x:v>
      </x:c>
      <x:c r="I612" s="34" t="str">
        <x:v>generated design-reference observation; not predicted tract behavior</x:v>
      </x:c>
    </x:row>
    <x:row r="613" ht="75.5999984741211" hidden="0" customHeight="1">
      <x:c r="A613" s="36" t="str">
        <x:v>M0</x:v>
      </x:c>
      <x:c r="B613" s="36" t="str">
        <x:v>48201431506</x:v>
      </x:c>
      <x:c r="C613" s="66" t="n">
        <x:v>227.28171411183305</x:v>
      </x:c>
      <x:c r="D613" s="66" t="n">
        <x:v>33.467058543519904</x:v>
      </x:c>
      <x:c r="E613" s="66" t="n">
        <x:v>193.81465556831316</x:v>
      </x:c>
      <x:c r="F613" s="66" t="n">
        <x:v>31.728589729068133</x:v>
      </x:c>
      <x:c r="G613" s="66" t="n">
        <x:v>65.19564827258804</x:v>
      </x:c>
      <x:c r="H613" s="45" t="n">
        <x:v>0.28684950976966317</x:v>
      </x:c>
      <x:c r="I613" s="36" t="str">
        <x:v>generated design-reference observation; not predicted tract behavior</x:v>
      </x:c>
    </x:row>
    <x:row r="614" ht="75.5999984741211" hidden="0" customHeight="1">
      <x:c r="A614" s="34" t="str">
        <x:v>M0</x:v>
      </x:c>
      <x:c r="B614" s="34" t="str">
        <x:v>48201431600</x:v>
      </x:c>
      <x:c r="C614" s="65" t="n">
        <x:v>288.7903486868107</x:v>
      </x:c>
      <x:c r="D614" s="65" t="n">
        <x:v>46.75515745239466</x:v>
      </x:c>
      <x:c r="E614" s="65" t="n">
        <x:v>242.03519123441606</x:v>
      </x:c>
      <x:c r="F614" s="65" t="n">
        <x:v>50.44881490399667</x:v>
      </x:c>
      <x:c r="G614" s="65" t="n">
        <x:v>97.20397235639133</x:v>
      </x:c>
      <x:c r="H614" s="43" t="n">
        <x:v>0.33659010004454043</x:v>
      </x:c>
      <x:c r="I614" s="34" t="str">
        <x:v>generated design-reference observation; not predicted tract behavior</x:v>
      </x:c>
    </x:row>
    <x:row r="615" ht="75.5999984741211" hidden="0" customHeight="1">
      <x:c r="A615" s="36" t="str">
        <x:v>M0</x:v>
      </x:c>
      <x:c r="B615" s="36" t="str">
        <x:v>48201431701</x:v>
      </x:c>
      <x:c r="C615" s="66" t="n">
        <x:v>162.42492232641055</x:v>
      </x:c>
      <x:c r="D615" s="66" t="n">
        <x:v>22.64144273967819</x:v>
      </x:c>
      <x:c r="E615" s="66" t="n">
        <x:v>139.78347958673237</x:v>
      </x:c>
      <x:c r="F615" s="66" t="n">
        <x:v>0</x:v>
      </x:c>
      <x:c r="G615" s="66" t="n">
        <x:v>22.64144273967819</x:v>
      </x:c>
      <x:c r="H615" s="45" t="n">
        <x:v>0.13939635873229939</x:v>
      </x:c>
      <x:c r="I615" s="36" t="str">
        <x:v>generated design-reference observation; not predicted tract behavior</x:v>
      </x:c>
    </x:row>
    <x:row r="616" ht="75.5999984741211" hidden="0" customHeight="1">
      <x:c r="A616" s="34" t="str">
        <x:v>M0</x:v>
      </x:c>
      <x:c r="B616" s="34" t="str">
        <x:v>48201431702</x:v>
      </x:c>
      <x:c r="C616" s="65" t="n">
        <x:v>229.16014034022808</x:v>
      </x:c>
      <x:c r="D616" s="65" t="n">
        <x:v>37.44179002043324</x:v>
      </x:c>
      <x:c r="E616" s="65" t="n">
        <x:v>191.71835031979484</x:v>
      </x:c>
      <x:c r="F616" s="65" t="n">
        <x:v>191.71835031979487</x:v>
      </x:c>
      <x:c r="G616" s="65" t="n">
        <x:v>229.16014034022808</x:v>
      </x:c>
      <x:c r="H616" s="43" t="n">
        <x:v>1</x:v>
      </x:c>
      <x:c r="I616" s="34" t="str">
        <x:v>generated design-reference observation; not predicted tract behavior</x:v>
      </x:c>
    </x:row>
    <x:row r="617" ht="75.5999984741211" hidden="0" customHeight="1">
      <x:c r="A617" s="36" t="str">
        <x:v>M0</x:v>
      </x:c>
      <x:c r="B617" s="36" t="str">
        <x:v>48201431801</x:v>
      </x:c>
      <x:c r="C617" s="66" t="n">
        <x:v>295.8089035903956</x:v>
      </x:c>
      <x:c r="D617" s="66" t="n">
        <x:v>39.59335410042807</x:v>
      </x:c>
      <x:c r="E617" s="66" t="n">
        <x:v>256.2155494899675</x:v>
      </x:c>
      <x:c r="F617" s="66" t="n">
        <x:v>24.48160878418181</x:v>
      </x:c>
      <x:c r="G617" s="66" t="n">
        <x:v>64.07496288460987</x:v>
      </x:c>
      <x:c r="H617" s="45" t="n">
        <x:v>0.21660931130502417</x:v>
      </x:c>
      <x:c r="I617" s="36" t="str">
        <x:v>generated design-reference observation; not predicted tract behavior</x:v>
      </x:c>
    </x:row>
    <x:row r="618" ht="75.5999984741211" hidden="0" customHeight="1">
      <x:c r="A618" s="34" t="str">
        <x:v>M0</x:v>
      </x:c>
      <x:c r="B618" s="34" t="str">
        <x:v>48201431803</x:v>
      </x:c>
      <x:c r="C618" s="65" t="n">
        <x:v>188.927237147114</x:v>
      </x:c>
      <x:c r="D618" s="65" t="n">
        <x:v>22.71905263101339</x:v>
      </x:c>
      <x:c r="E618" s="65" t="n">
        <x:v>166.2081845161006</x:v>
      </x:c>
      <x:c r="F618" s="65" t="n">
        <x:v>88.93396043900212</x:v>
      </x:c>
      <x:c r="G618" s="65" t="n">
        <x:v>111.6530130700155</x:v>
      </x:c>
      <x:c r="H618" s="43" t="n">
        <x:v>0.5909842051152924</x:v>
      </x:c>
      <x:c r="I618" s="34" t="str">
        <x:v>generated design-reference observation; not predicted tract behavior</x:v>
      </x:c>
    </x:row>
    <x:row r="619" ht="75.5999984741211" hidden="0" customHeight="1">
      <x:c r="A619" s="36" t="str">
        <x:v>M0</x:v>
      </x:c>
      <x:c r="B619" s="36" t="str">
        <x:v>48201431804</x:v>
      </x:c>
      <x:c r="C619" s="66" t="n">
        <x:v>202.74428028317465</x:v>
      </x:c>
      <x:c r="D619" s="66" t="n">
        <x:v>21.5546220169892</x:v>
      </x:c>
      <x:c r="E619" s="66" t="n">
        <x:v>181.18965826618546</x:v>
      </x:c>
      <x:c r="F619" s="66" t="n">
        <x:v>0</x:v>
      </x:c>
      <x:c r="G619" s="66" t="n">
        <x:v>21.5546220169892</x:v>
      </x:c>
      <x:c r="H619" s="45" t="n">
        <x:v>0.10631432850723915</x:v>
      </x:c>
      <x:c r="I619" s="36" t="str">
        <x:v>generated design-reference observation; not predicted tract behavior</x:v>
      </x:c>
    </x:row>
    <x:row r="620" ht="75.5999984741211" hidden="0" customHeight="1">
      <x:c r="A620" s="34" t="str">
        <x:v>M0</x:v>
      </x:c>
      <x:c r="B620" s="34" t="str">
        <x:v>48201431901</x:v>
      </x:c>
      <x:c r="C620" s="65" t="n">
        <x:v>199.21535402146174</x:v>
      </x:c>
      <x:c r="D620" s="65" t="n">
        <x:v>21.320122154609518</x:v>
      </x:c>
      <x:c r="E620" s="65" t="n">
        <x:v>177.8952318668522</x:v>
      </x:c>
      <x:c r="F620" s="65" t="n">
        <x:v>0</x:v>
      </x:c>
      <x:c r="G620" s="65" t="n">
        <x:v>21.320122154609518</x:v>
      </x:c>
      <x:c r="H620" s="43" t="n">
        <x:v>0.10702047670639218</x:v>
      </x:c>
      <x:c r="I620" s="34" t="str">
        <x:v>generated design-reference observation; not predicted tract behavior</x:v>
      </x:c>
    </x:row>
    <x:row r="621" ht="75.5999984741211" hidden="0" customHeight="1">
      <x:c r="A621" s="36" t="str">
        <x:v>M0</x:v>
      </x:c>
      <x:c r="B621" s="36" t="str">
        <x:v>48201431902</x:v>
      </x:c>
      <x:c r="C621" s="66" t="n">
        <x:v>195.00264917451725</x:v>
      </x:c>
      <x:c r="D621" s="66" t="n">
        <x:v>20.63049705884129</x:v>
      </x:c>
      <x:c r="E621" s="66" t="n">
        <x:v>174.37215211567596</x:v>
      </x:c>
      <x:c r="F621" s="66" t="n">
        <x:v>0</x:v>
      </x:c>
      <x:c r="G621" s="66" t="n">
        <x:v>20.63049705884129</x:v>
      </x:c>
      <x:c r="H621" s="45" t="n">
        <x:v>0.10579598352214213</x:v>
      </x:c>
      <x:c r="I621" s="36" t="str">
        <x:v>generated design-reference observation; not predicted tract behavior</x:v>
      </x:c>
    </x:row>
    <x:row r="622" ht="75.5999984741211" hidden="0" customHeight="1">
      <x:c r="A622" s="34" t="str">
        <x:v>M0</x:v>
      </x:c>
      <x:c r="B622" s="34" t="str">
        <x:v>48201432003</x:v>
      </x:c>
      <x:c r="C622" s="65" t="n">
        <x:v>142.65821954643755</x:v>
      </x:c>
      <x:c r="D622" s="65" t="n">
        <x:v>20.279511126199566</x:v>
      </x:c>
      <x:c r="E622" s="65" t="n">
        <x:v>122.37870842023798</x:v>
      </x:c>
      <x:c r="F622" s="65" t="n">
        <x:v>15.84408157091298</x:v>
      </x:c>
      <x:c r="G622" s="65" t="n">
        <x:v>36.12359269711254</x:v>
      </x:c>
      <x:c r="H622" s="43" t="n">
        <x:v>0.2532177452653104</x:v>
      </x:c>
      <x:c r="I622" s="34" t="str">
        <x:v>generated design-reference observation; not predicted tract behavior</x:v>
      </x:c>
    </x:row>
    <x:row r="623" ht="75.5999984741211" hidden="0" customHeight="1">
      <x:c r="A623" s="36" t="str">
        <x:v>M0</x:v>
      </x:c>
      <x:c r="B623" s="36" t="str">
        <x:v>48201432004</x:v>
      </x:c>
      <x:c r="C623" s="66" t="n">
        <x:v>160.98662944023366</x:v>
      </x:c>
      <x:c r="D623" s="66" t="n">
        <x:v>30.16576219046005</x:v>
      </x:c>
      <x:c r="E623" s="66" t="n">
        <x:v>130.8208672497736</x:v>
      </x:c>
      <x:c r="F623" s="66" t="n">
        <x:v>44.7144563974131</x:v>
      </x:c>
      <x:c r="G623" s="66" t="n">
        <x:v>74.88021858787314</x:v>
      </x:c>
      <x:c r="H623" s="45" t="n">
        <x:v>0.46513315328259885</x:v>
      </x:c>
      <x:c r="I623" s="36" t="str">
        <x:v>generated design-reference observation; not predicted tract behavior</x:v>
      </x:c>
    </x:row>
    <x:row r="624" ht="75.5999984741211" hidden="0" customHeight="1">
      <x:c r="A624" s="34" t="str">
        <x:v>M0</x:v>
      </x:c>
      <x:c r="B624" s="34" t="str">
        <x:v>48201432005</x:v>
      </x:c>
      <x:c r="C624" s="65" t="n">
        <x:v>292.8930201982008</x:v>
      </x:c>
      <x:c r="D624" s="65" t="n">
        <x:v>35.82597944633051</x:v>
      </x:c>
      <x:c r="E624" s="65" t="n">
        <x:v>257.0670407518703</x:v>
      </x:c>
      <x:c r="F624" s="65" t="n">
        <x:v>0</x:v>
      </x:c>
      <x:c r="G624" s="65" t="n">
        <x:v>35.82597944633051</x:v>
      </x:c>
      <x:c r="H624" s="43" t="n">
        <x:v>0.12231762785636563</x:v>
      </x:c>
      <x:c r="I624" s="34" t="str">
        <x:v>generated design-reference observation; not predicted tract behavior</x:v>
      </x:c>
    </x:row>
    <x:row r="625" ht="75.5999984741211" hidden="0" customHeight="1">
      <x:c r="A625" s="36" t="str">
        <x:v>M0</x:v>
      </x:c>
      <x:c r="B625" s="36" t="str">
        <x:v>48201432006</x:v>
      </x:c>
      <x:c r="C625" s="66" t="n">
        <x:v>182.78894892796535</x:v>
      </x:c>
      <x:c r="D625" s="66" t="n">
        <x:v>23.62238133217707</x:v>
      </x:c>
      <x:c r="E625" s="66" t="n">
        <x:v>159.16656759578828</x:v>
      </x:c>
      <x:c r="F625" s="66" t="n">
        <x:v>11.564674581050708</x:v>
      </x:c>
      <x:c r="G625" s="66" t="n">
        <x:v>35.18705591322778</x:v>
      </x:c>
      <x:c r="H625" s="45" t="n">
        <x:v>0.19250100249274107</x:v>
      </x:c>
      <x:c r="I625" s="36" t="str">
        <x:v>generated design-reference observation; not predicted tract behavior</x:v>
      </x:c>
    </x:row>
    <x:row r="626" ht="75.5999984741211" hidden="0" customHeight="1">
      <x:c r="A626" s="34" t="str">
        <x:v>M0</x:v>
      </x:c>
      <x:c r="B626" s="34" t="str">
        <x:v>48201432101</x:v>
      </x:c>
      <x:c r="C626" s="65" t="n">
        <x:v>253.3674741622229</x:v>
      </x:c>
      <x:c r="D626" s="65" t="n">
        <x:v>37.57207631585629</x:v>
      </x:c>
      <x:c r="E626" s="65" t="n">
        <x:v>215.7953978463666</x:v>
      </x:c>
      <x:c r="F626" s="65" t="n">
        <x:v>0</x:v>
      </x:c>
      <x:c r="G626" s="65" t="n">
        <x:v>37.57207631585629</x:v>
      </x:c>
      <x:c r="H626" s="43" t="n">
        <x:v>0.1482908429351122</x:v>
      </x:c>
      <x:c r="I626" s="34" t="str">
        <x:v>generated design-reference observation; not predicted tract behavior</x:v>
      </x:c>
    </x:row>
    <x:row r="627" ht="75.5999984741211" hidden="0" customHeight="1">
      <x:c r="A627" s="36" t="str">
        <x:v>M0</x:v>
      </x:c>
      <x:c r="B627" s="36" t="str">
        <x:v>48201432102</x:v>
      </x:c>
      <x:c r="C627" s="66" t="n">
        <x:v>386.32311136994207</x:v>
      </x:c>
      <x:c r="D627" s="66" t="n">
        <x:v>53.32547841785334</x:v>
      </x:c>
      <x:c r="E627" s="66" t="n">
        <x:v>332.99763295208874</x:v>
      </x:c>
      <x:c r="F627" s="66" t="n">
        <x:v>161.7540094357871</x:v>
      </x:c>
      <x:c r="G627" s="66" t="n">
        <x:v>215.07948785364044</x:v>
      </x:c>
      <x:c r="H627" s="45" t="n">
        <x:v>0.5567347164163856</x:v>
      </x:c>
      <x:c r="I627" s="36" t="str">
        <x:v>generated design-reference observation; not predicted tract behavior</x:v>
      </x:c>
    </x:row>
    <x:row r="628" ht="75.5999984741211" hidden="0" customHeight="1">
      <x:c r="A628" s="34" t="str">
        <x:v>M0</x:v>
      </x:c>
      <x:c r="B628" s="34" t="str">
        <x:v>48201432200</x:v>
      </x:c>
      <x:c r="C628" s="65" t="n">
        <x:v>309.20153243217453</x:v>
      </x:c>
      <x:c r="D628" s="65" t="n">
        <x:v>48.80522828561506</x:v>
      </x:c>
      <x:c r="E628" s="65" t="n">
        <x:v>260.3963041465595</x:v>
      </x:c>
      <x:c r="F628" s="65" t="n">
        <x:v>21.679333814121428</x:v>
      </x:c>
      <x:c r="G628" s="65" t="n">
        <x:v>70.48456209973648</x:v>
      </x:c>
      <x:c r="H628" s="43" t="n">
        <x:v>0.22795670365960347</x:v>
      </x:c>
      <x:c r="I628" s="34" t="str">
        <x:v>generated design-reference observation; not predicted tract behavior</x:v>
      </x:c>
    </x:row>
    <x:row r="629" ht="75.5999984741211" hidden="0" customHeight="1">
      <x:c r="A629" s="36" t="str">
        <x:v>M0</x:v>
      </x:c>
      <x:c r="B629" s="36" t="str">
        <x:v>48201432301</x:v>
      </x:c>
      <x:c r="C629" s="66" t="n">
        <x:v>282.8328295189302</x:v>
      </x:c>
      <x:c r="D629" s="66" t="n">
        <x:v>48.91164486699379</x:v>
      </x:c>
      <x:c r="E629" s="66" t="n">
        <x:v>233.92118465193644</x:v>
      </x:c>
      <x:c r="F629" s="66" t="n">
        <x:v>63.0720774215791</x:v>
      </x:c>
      <x:c r="G629" s="66" t="n">
        <x:v>111.98372228857289</x:v>
      </x:c>
      <x:c r="H629" s="45" t="n">
        <x:v>0.395936081674273</x:v>
      </x:c>
      <x:c r="I629" s="36" t="str">
        <x:v>generated design-reference observation; not predicted tract behavior</x:v>
      </x:c>
    </x:row>
    <x:row r="630" ht="75.5999984741211" hidden="0" customHeight="1">
      <x:c r="A630" s="34" t="str">
        <x:v>M0</x:v>
      </x:c>
      <x:c r="B630" s="34" t="str">
        <x:v>48201432302</x:v>
      </x:c>
      <x:c r="C630" s="65" t="n">
        <x:v>170.0290117656249</x:v>
      </x:c>
      <x:c r="D630" s="65" t="n">
        <x:v>25.69096822228206</x:v>
      </x:c>
      <x:c r="E630" s="65" t="n">
        <x:v>144.33804354334282</x:v>
      </x:c>
      <x:c r="F630" s="65" t="n">
        <x:v>144.33804354334282</x:v>
      </x:c>
      <x:c r="G630" s="65" t="n">
        <x:v>170.0290117656249</x:v>
      </x:c>
      <x:c r="H630" s="43" t="n">
        <x:v>1</x:v>
      </x:c>
      <x:c r="I630" s="34" t="str">
        <x:v>generated design-reference observation; not predicted tract behavior</x:v>
      </x:c>
    </x:row>
    <x:row r="631" ht="75.5999984741211" hidden="0" customHeight="1">
      <x:c r="A631" s="36" t="str">
        <x:v>M0</x:v>
      </x:c>
      <x:c r="B631" s="36" t="str">
        <x:v>48201432303</x:v>
      </x:c>
      <x:c r="C631" s="66" t="n">
        <x:v>221.4027901836343</x:v>
      </x:c>
      <x:c r="D631" s="66" t="n">
        <x:v>28.751873498378988</x:v>
      </x:c>
      <x:c r="E631" s="66" t="n">
        <x:v>192.6509166852553</x:v>
      </x:c>
      <x:c r="F631" s="66" t="n">
        <x:v>0</x:v>
      </x:c>
      <x:c r="G631" s="66" t="n">
        <x:v>28.751873498378988</x:v>
      </x:c>
      <x:c r="H631" s="45" t="n">
        <x:v>0.12986229068988614</x:v>
      </x:c>
      <x:c r="I631" s="36" t="str">
        <x:v>generated design-reference observation; not predicted tract behavior</x:v>
      </x:c>
    </x:row>
    <x:row r="632" ht="75.5999984741211" hidden="0" customHeight="1">
      <x:c r="A632" s="34" t="str">
        <x:v>M0</x:v>
      </x:c>
      <x:c r="B632" s="34" t="str">
        <x:v>48201432401</x:v>
      </x:c>
      <x:c r="C632" s="65" t="n">
        <x:v>302.1043822889079</x:v>
      </x:c>
      <x:c r="D632" s="65" t="n">
        <x:v>50.97970455749853</x:v>
      </x:c>
      <x:c r="E632" s="65" t="n">
        <x:v>251.12467773140938</x:v>
      </x:c>
      <x:c r="F632" s="65" t="n">
        <x:v>0</x:v>
      </x:c>
      <x:c r="G632" s="65" t="n">
        <x:v>50.97970455749853</x:v>
      </x:c>
      <x:c r="H632" s="43" t="n">
        <x:v>0.16874864300626302</x:v>
      </x:c>
      <x:c r="I632" s="34" t="str">
        <x:v>generated design-reference observation; not predicted tract behavior</x:v>
      </x:c>
    </x:row>
    <x:row r="633" ht="75.5999984741211" hidden="0" customHeight="1">
      <x:c r="A633" s="36" t="str">
        <x:v>M0</x:v>
      </x:c>
      <x:c r="B633" s="36" t="str">
        <x:v>48201432402</x:v>
      </x:c>
      <x:c r="C633" s="66" t="n">
        <x:v>240.21063103948936</x:v>
      </x:c>
      <x:c r="D633" s="66" t="n">
        <x:v>29.16130550755889</x:v>
      </x:c>
      <x:c r="E633" s="66" t="n">
        <x:v>211.04932553193046</x:v>
      </x:c>
      <x:c r="F633" s="66" t="n">
        <x:v>191.71316085813098</x:v>
      </x:c>
      <x:c r="G633" s="66" t="n">
        <x:v>220.87446636568987</x:v>
      </x:c>
      <x:c r="H633" s="45" t="n">
        <x:v>0.9195032934632242</x:v>
      </x:c>
      <x:c r="I633" s="36" t="str">
        <x:v>generated design-reference observation; not predicted tract behavior</x:v>
      </x:c>
    </x:row>
    <x:row r="634" ht="75.5999984741211" hidden="0" customHeight="1">
      <x:c r="A634" s="34" t="str">
        <x:v>M0</x:v>
      </x:c>
      <x:c r="B634" s="34" t="str">
        <x:v>48201432501</x:v>
      </x:c>
      <x:c r="C634" s="65" t="n">
        <x:v>285.11995099367067</x:v>
      </x:c>
      <x:c r="D634" s="65" t="n">
        <x:v>50.43981286888204</x:v>
      </x:c>
      <x:c r="E634" s="65" t="n">
        <x:v>234.68013812478864</x:v>
      </x:c>
      <x:c r="F634" s="65" t="n">
        <x:v>11.175682447270471</x:v>
      </x:c>
      <x:c r="G634" s="65" t="n">
        <x:v>61.61549531615252</x:v>
      </x:c>
      <x:c r="H634" s="43" t="n">
        <x:v>0.21610376650745255</x:v>
      </x:c>
      <x:c r="I634" s="34" t="str">
        <x:v>generated design-reference observation; not predicted tract behavior</x:v>
      </x:c>
    </x:row>
    <x:row r="635" ht="75.5999984741211" hidden="0" customHeight="1">
      <x:c r="A635" s="36" t="str">
        <x:v>M0</x:v>
      </x:c>
      <x:c r="B635" s="36" t="str">
        <x:v>48201432502</x:v>
      </x:c>
      <x:c r="C635" s="66" t="n">
        <x:v>154.79332455330768</x:v>
      </x:c>
      <x:c r="D635" s="66" t="n">
        <x:v>24.387317372851534</x:v>
      </x:c>
      <x:c r="E635" s="66" t="n">
        <x:v>130.40600718045616</x:v>
      </x:c>
      <x:c r="F635" s="66" t="n">
        <x:v>130.40600718045616</x:v>
      </x:c>
      <x:c r="G635" s="66" t="n">
        <x:v>154.79332455330768</x:v>
      </x:c>
      <x:c r="H635" s="45" t="n">
        <x:v>1</x:v>
      </x:c>
      <x:c r="I635" s="36" t="str">
        <x:v>generated design-reference observation; not predicted tract behavior</x:v>
      </x:c>
    </x:row>
    <x:row r="636" ht="75.5999984741211" hidden="0" customHeight="1">
      <x:c r="A636" s="34" t="str">
        <x:v>M0</x:v>
      </x:c>
      <x:c r="B636" s="34" t="str">
        <x:v>48201432600</x:v>
      </x:c>
      <x:c r="C636" s="65" t="n">
        <x:v>178.8120298000662</x:v>
      </x:c>
      <x:c r="D636" s="65" t="n">
        <x:v>32.03639118520502</x:v>
      </x:c>
      <x:c r="E636" s="65" t="n">
        <x:v>146.77563861486118</x:v>
      </x:c>
      <x:c r="F636" s="65" t="n">
        <x:v>43.072880556320314</x:v>
      </x:c>
      <x:c r="G636" s="65" t="n">
        <x:v>75.10927174152533</x:v>
      </x:c>
      <x:c r="H636" s="43" t="n">
        <x:v>0.4200459657300838</x:v>
      </x:c>
      <x:c r="I636" s="34" t="str">
        <x:v>generated design-reference observation; not predicted tract behavior</x:v>
      </x:c>
    </x:row>
    <x:row r="637" ht="75.5999984741211" hidden="0" customHeight="1">
      <x:c r="A637" s="36" t="str">
        <x:v>M0</x:v>
      </x:c>
      <x:c r="B637" s="36" t="str">
        <x:v>48201432703</x:v>
      </x:c>
      <x:c r="C637" s="66" t="n">
        <x:v>162.83361757275597</x:v>
      </x:c>
      <x:c r="D637" s="66" t="n">
        <x:v>22.075222739465165</x:v>
      </x:c>
      <x:c r="E637" s="66" t="n">
        <x:v>140.7583948332908</x:v>
      </x:c>
      <x:c r="F637" s="66" t="n">
        <x:v>0</x:v>
      </x:c>
      <x:c r="G637" s="66" t="n">
        <x:v>22.075222739465165</x:v>
      </x:c>
      <x:c r="H637" s="45" t="n">
        <x:v>0.13556919675755344</x:v>
      </x:c>
      <x:c r="I637" s="36" t="str">
        <x:v>generated design-reference observation; not predicted tract behavior</x:v>
      </x:c>
    </x:row>
    <x:row r="638" ht="75.5999984741211" hidden="0" customHeight="1">
      <x:c r="A638" s="34" t="str">
        <x:v>M0</x:v>
      </x:c>
      <x:c r="B638" s="34" t="str">
        <x:v>48201432704</x:v>
      </x:c>
      <x:c r="C638" s="65" t="n">
        <x:v>140.34751949979258</x:v>
      </x:c>
      <x:c r="D638" s="65" t="n">
        <x:v>18.732419410192225</x:v>
      </x:c>
      <x:c r="E638" s="65" t="n">
        <x:v>121.61510008960036</x:v>
      </x:c>
      <x:c r="F638" s="65" t="n">
        <x:v>72.24491499206214</x:v>
      </x:c>
      <x:c r="G638" s="65" t="n">
        <x:v>90.97733440225436</x:v>
      </x:c>
      <x:c r="H638" s="43" t="n">
        <x:v>0.6482290155643885</x:v>
      </x:c>
      <x:c r="I638" s="34" t="str">
        <x:v>generated design-reference observation; not predicted tract behavior</x:v>
      </x:c>
    </x:row>
    <x:row r="639" ht="75.5999984741211" hidden="0" customHeight="1">
      <x:c r="A639" s="36" t="str">
        <x:v>M0</x:v>
      </x:c>
      <x:c r="B639" s="36" t="str">
        <x:v>48201432705</x:v>
      </x:c>
      <x:c r="C639" s="66" t="n">
        <x:v>426.6267502787698</x:v>
      </x:c>
      <x:c r="D639" s="66" t="n">
        <x:v>55.53748162956705</x:v>
      </x:c>
      <x:c r="E639" s="66" t="n">
        <x:v>371.0892686492028</x:v>
      </x:c>
      <x:c r="F639" s="66" t="n">
        <x:v>26.01911437368044</x:v>
      </x:c>
      <x:c r="G639" s="66" t="n">
        <x:v>81.55659600324749</x:v>
      </x:c>
      <x:c r="H639" s="45" t="n">
        <x:v>0.19116615624771804</x:v>
      </x:c>
      <x:c r="I639" s="36" t="str">
        <x:v>generated design-reference observation; not predicted tract behavior</x:v>
      </x:c>
    </x:row>
    <x:row r="640" ht="75.5999984741211" hidden="0" customHeight="1">
      <x:c r="A640" s="34" t="str">
        <x:v>M0</x:v>
      </x:c>
      <x:c r="B640" s="34" t="str">
        <x:v>48201432706</x:v>
      </x:c>
      <x:c r="C640" s="65" t="n">
        <x:v>182.22306320225636</x:v>
      </x:c>
      <x:c r="D640" s="65" t="n">
        <x:v>28.07738043939096</x:v>
      </x:c>
      <x:c r="E640" s="65" t="n">
        <x:v>154.1456827628654</x:v>
      </x:c>
      <x:c r="F640" s="65" t="n">
        <x:v>27.33801124585198</x:v>
      </x:c>
      <x:c r="G640" s="65" t="n">
        <x:v>55.41539168524294</x:v>
      </x:c>
      <x:c r="H640" s="43" t="n">
        <x:v>0.3041074533125111</x:v>
      </x:c>
      <x:c r="I640" s="34" t="str">
        <x:v>generated design-reference observation; not predicted tract behavior</x:v>
      </x:c>
    </x:row>
    <x:row r="641" ht="75.5999984741211" hidden="0" customHeight="1">
      <x:c r="A641" s="36" t="str">
        <x:v>M0</x:v>
      </x:c>
      <x:c r="B641" s="36" t="str">
        <x:v>48201432803</x:v>
      </x:c>
      <x:c r="C641" s="66" t="n">
        <x:v>206.61902559948746</x:v>
      </x:c>
      <x:c r="D641" s="66" t="n">
        <x:v>32.547967657005415</x:v>
      </x:c>
      <x:c r="E641" s="66" t="n">
        <x:v>174.07105794248204</x:v>
      </x:c>
      <x:c r="F641" s="66" t="n">
        <x:v>35.558974744932605</x:v>
      </x:c>
      <x:c r="G641" s="66" t="n">
        <x:v>68.10694240193803</x:v>
      </x:c>
      <x:c r="H641" s="45" t="n">
        <x:v>0.3296257070438289</x:v>
      </x:c>
      <x:c r="I641" s="36" t="str">
        <x:v>generated design-reference observation; not predicted tract behavior</x:v>
      </x:c>
    </x:row>
    <x:row r="642" ht="75.5999984741211" hidden="0" customHeight="1">
      <x:c r="A642" s="34" t="str">
        <x:v>M0</x:v>
      </x:c>
      <x:c r="B642" s="34" t="str">
        <x:v>48201432804</x:v>
      </x:c>
      <x:c r="C642" s="65" t="n">
        <x:v>161.97299969824024</x:v>
      </x:c>
      <x:c r="D642" s="65" t="n">
        <x:v>27.8401727401001</x:v>
      </x:c>
      <x:c r="E642" s="65" t="n">
        <x:v>134.13282695814013</x:v>
      </x:c>
      <x:c r="F642" s="65" t="n">
        <x:v>0</x:v>
      </x:c>
      <x:c r="G642" s="65" t="n">
        <x:v>27.8401727401001</x:v>
      </x:c>
      <x:c r="H642" s="43" t="n">
        <x:v>0.17188156539649843</x:v>
      </x:c>
      <x:c r="I642" s="34" t="str">
        <x:v>generated design-reference observation; not predicted tract behavior</x:v>
      </x:c>
    </x:row>
    <x:row r="643" ht="75.5999984741211" hidden="0" customHeight="1">
      <x:c r="A643" s="36" t="str">
        <x:v>M0</x:v>
      </x:c>
      <x:c r="B643" s="36" t="str">
        <x:v>48201432805</x:v>
      </x:c>
      <x:c r="C643" s="66" t="n">
        <x:v>201.35314454080677</x:v>
      </x:c>
      <x:c r="D643" s="66" t="n">
        <x:v>32.67762953667586</x:v>
      </x:c>
      <x:c r="E643" s="66" t="n">
        <x:v>168.67551500413092</x:v>
      </x:c>
      <x:c r="F643" s="66" t="n">
        <x:v>0</x:v>
      </x:c>
      <x:c r="G643" s="66" t="n">
        <x:v>32.67762953667586</x:v>
      </x:c>
      <x:c r="H643" s="45" t="n">
        <x:v>0.1622901376146789</x:v>
      </x:c>
      <x:c r="I643" s="36" t="str">
        <x:v>generated design-reference observation; not predicted tract behavior</x:v>
      </x:c>
    </x:row>
    <x:row r="644" ht="75.5999984741211" hidden="0" customHeight="1">
      <x:c r="A644" s="34" t="str">
        <x:v>M0</x:v>
      </x:c>
      <x:c r="B644" s="34" t="str">
        <x:v>48201432806</x:v>
      </x:c>
      <x:c r="C644" s="65" t="n">
        <x:v>348.21620941022076</x:v>
      </x:c>
      <x:c r="D644" s="65" t="n">
        <x:v>49.812809717747285</x:v>
      </x:c>
      <x:c r="E644" s="65" t="n">
        <x:v>298.4033996924735</x:v>
      </x:c>
      <x:c r="F644" s="65" t="n">
        <x:v>181.7402124226805</x:v>
      </x:c>
      <x:c r="G644" s="65" t="n">
        <x:v>231.55302214042777</x:v>
      </x:c>
      <x:c r="H644" s="43" t="n">
        <x:v>0.6649691079361663</x:v>
      </x:c>
      <x:c r="I644" s="34" t="str">
        <x:v>generated design-reference observation; not predicted tract behavior</x:v>
      </x:c>
    </x:row>
    <x:row r="645" ht="75.5999984741211" hidden="0" customHeight="1">
      <x:c r="A645" s="36" t="str">
        <x:v>M0</x:v>
      </x:c>
      <x:c r="B645" s="36" t="str">
        <x:v>48201432901</x:v>
      </x:c>
      <x:c r="C645" s="66" t="n">
        <x:v>297.39652743196797</x:v>
      </x:c>
      <x:c r="D645" s="66" t="n">
        <x:v>50.19994686368573</x:v>
      </x:c>
      <x:c r="E645" s="66" t="n">
        <x:v>247.19658056828223</x:v>
      </x:c>
      <x:c r="F645" s="66" t="n">
        <x:v>0</x:v>
      </x:c>
      <x:c r="G645" s="66" t="n">
        <x:v>50.19994686368573</x:v>
      </x:c>
      <x:c r="H645" s="45" t="n">
        <x:v>0.16879802631578947</x:v>
      </x:c>
      <x:c r="I645" s="36" t="str">
        <x:v>generated design-reference observation; not predicted tract behavior</x:v>
      </x:c>
    </x:row>
    <x:row r="646" ht="75.5999984741211" hidden="0" customHeight="1">
      <x:c r="A646" s="34" t="str">
        <x:v>M0</x:v>
      </x:c>
      <x:c r="B646" s="34" t="str">
        <x:v>48201432903</x:v>
      </x:c>
      <x:c r="C646" s="65" t="n">
        <x:v>171.21579988482006</x:v>
      </x:c>
      <x:c r="D646" s="65" t="n">
        <x:v>25.448261046476265</x:v>
      </x:c>
      <x:c r="E646" s="65" t="n">
        <x:v>145.7675388383438</x:v>
      </x:c>
      <x:c r="F646" s="65" t="n">
        <x:v>92.8944807556165</x:v>
      </x:c>
      <x:c r="G646" s="65" t="n">
        <x:v>118.34274180209276</x:v>
      </x:c>
      <x:c r="H646" s="43" t="n">
        <x:v>0.6911905436396877</x:v>
      </x:c>
      <x:c r="I646" s="34" t="str">
        <x:v>generated design-reference observation; not predicted tract behavior</x:v>
      </x:c>
    </x:row>
    <x:row r="647" ht="75.5999984741211" hidden="0" customHeight="1">
      <x:c r="A647" s="36" t="str">
        <x:v>M0</x:v>
      </x:c>
      <x:c r="B647" s="36" t="str">
        <x:v>48201432904</x:v>
      </x:c>
      <x:c r="C647" s="66" t="n">
        <x:v>311.4532860490581</x:v>
      </x:c>
      <x:c r="D647" s="66" t="n">
        <x:v>53.12843436550962</x:v>
      </x:c>
      <x:c r="E647" s="66" t="n">
        <x:v>258.32485168354845</x:v>
      </x:c>
      <x:c r="F647" s="66" t="n">
        <x:v>258.32485168354845</x:v>
      </x:c>
      <x:c r="G647" s="66" t="n">
        <x:v>311.4532860490581</x:v>
      </x:c>
      <x:c r="H647" s="45" t="n">
        <x:v>1</x:v>
      </x:c>
      <x:c r="I647" s="36" t="str">
        <x:v>generated design-reference observation; not predicted tract behavior</x:v>
      </x:c>
    </x:row>
    <x:row r="648" ht="75.5999984741211" hidden="0" customHeight="1">
      <x:c r="A648" s="34" t="str">
        <x:v>M0</x:v>
      </x:c>
      <x:c r="B648" s="34" t="str">
        <x:v>48201433003</x:v>
      </x:c>
      <x:c r="C648" s="65" t="n">
        <x:v>450.633666239576</x:v>
      </x:c>
      <x:c r="D648" s="65" t="n">
        <x:v>73.58987718035827</x:v>
      </x:c>
      <x:c r="E648" s="65" t="n">
        <x:v>377.0437890592177</x:v>
      </x:c>
      <x:c r="F648" s="65" t="n">
        <x:v>0</x:v>
      </x:c>
      <x:c r="G648" s="65" t="n">
        <x:v>73.58987718035827</x:v>
      </x:c>
      <x:c r="H648" s="43" t="n">
        <x:v>0.1633031055900621</x:v>
      </x:c>
      <x:c r="I648" s="34" t="str">
        <x:v>generated design-reference observation; not predicted tract behavior</x:v>
      </x:c>
    </x:row>
    <x:row r="649" ht="75.5999984741211" hidden="0" customHeight="1">
      <x:c r="A649" s="36" t="str">
        <x:v>M0</x:v>
      </x:c>
      <x:c r="B649" s="36" t="str">
        <x:v>48201433004</x:v>
      </x:c>
      <x:c r="C649" s="66" t="n">
        <x:v>180.1088512548159</x:v>
      </x:c>
      <x:c r="D649" s="66" t="n">
        <x:v>28.961716428343927</x:v>
      </x:c>
      <x:c r="E649" s="66" t="n">
        <x:v>151.14713482647198</x:v>
      </x:c>
      <x:c r="F649" s="66" t="n">
        <x:v>0</x:v>
      </x:c>
      <x:c r="G649" s="66" t="n">
        <x:v>28.961716428343927</x:v>
      </x:c>
      <x:c r="H649" s="45" t="n">
        <x:v>0.16080118343195265</x:v>
      </x:c>
      <x:c r="I649" s="36" t="str">
        <x:v>generated design-reference observation; not predicted tract behavior</x:v>
      </x:c>
    </x:row>
    <x:row r="650" ht="75.5999984741211" hidden="0" customHeight="1">
      <x:c r="A650" s="34" t="str">
        <x:v>M0</x:v>
      </x:c>
      <x:c r="B650" s="34" t="str">
        <x:v>48201433005</x:v>
      </x:c>
      <x:c r="C650" s="65" t="n">
        <x:v>173.7033392207491</x:v>
      </x:c>
      <x:c r="D650" s="65" t="n">
        <x:v>26.162954576676825</x:v>
      </x:c>
      <x:c r="E650" s="65" t="n">
        <x:v>147.54038464407228</x:v>
      </x:c>
      <x:c r="F650" s="65" t="n">
        <x:v>0</x:v>
      </x:c>
      <x:c r="G650" s="65" t="n">
        <x:v>26.162954576676825</x:v>
      </x:c>
      <x:c r="H650" s="43" t="n">
        <x:v>0.15061860465116278</x:v>
      </x:c>
      <x:c r="I650" s="34" t="str">
        <x:v>generated design-reference observation; not predicted tract behavior</x:v>
      </x:c>
    </x:row>
    <x:row r="651" ht="75.5999984741211" hidden="0" customHeight="1">
      <x:c r="A651" s="36" t="str">
        <x:v>M0</x:v>
      </x:c>
      <x:c r="B651" s="36" t="str">
        <x:v>48201433006</x:v>
      </x:c>
      <x:c r="C651" s="66" t="n">
        <x:v>183.3233965578016</x:v>
      </x:c>
      <x:c r="D651" s="66" t="n">
        <x:v>30.8812977491706</x:v>
      </x:c>
      <x:c r="E651" s="66" t="n">
        <x:v>152.442098808631</x:v>
      </x:c>
      <x:c r="F651" s="66" t="n">
        <x:v>0</x:v>
      </x:c>
      <x:c r="G651" s="66" t="n">
        <x:v>30.8812977491706</x:v>
      </x:c>
      <x:c r="H651" s="45" t="n">
        <x:v>0.16845257249766138</x:v>
      </x:c>
      <x:c r="I651" s="36" t="str">
        <x:v>generated design-reference observation; not predicted tract behavior</x:v>
      </x:c>
    </x:row>
    <x:row r="652" ht="75.5999984741211" hidden="0" customHeight="1">
      <x:c r="A652" s="34" t="str">
        <x:v>M0</x:v>
      </x:c>
      <x:c r="B652" s="34" t="str">
        <x:v>48201433007</x:v>
      </x:c>
      <x:c r="C652" s="65" t="n">
        <x:v>140.09208497082676</x:v>
      </x:c>
      <x:c r="D652" s="65" t="n">
        <x:v>20.861363588214726</x:v>
      </x:c>
      <x:c r="E652" s="65" t="n">
        <x:v>119.23072138261203</x:v>
      </x:c>
      <x:c r="F652" s="65" t="n">
        <x:v>0</x:v>
      </x:c>
      <x:c r="G652" s="65" t="n">
        <x:v>20.861363588214726</x:v>
      </x:c>
      <x:c r="H652" s="43" t="n">
        <x:v>0.14891179321486267</x:v>
      </x:c>
      <x:c r="I652" s="34" t="str">
        <x:v>generated design-reference observation; not predicted tract behavior</x:v>
      </x:c>
    </x:row>
    <x:row r="653" ht="75.5999984741211" hidden="0" customHeight="1">
      <x:c r="A653" s="36" t="str">
        <x:v>M0</x:v>
      </x:c>
      <x:c r="B653" s="36" t="str">
        <x:v>48201433100</x:v>
      </x:c>
      <x:c r="C653" s="66" t="n">
        <x:v>474.2267480345191</x:v>
      </x:c>
      <x:c r="D653" s="66" t="n">
        <x:v>68.67625076301776</x:v>
      </x:c>
      <x:c r="E653" s="66" t="n">
        <x:v>405.55049727150134</x:v>
      </x:c>
      <x:c r="F653" s="66" t="n">
        <x:v>405.55049727150134</x:v>
      </x:c>
      <x:c r="G653" s="66" t="n">
        <x:v>474.2267480345191</x:v>
      </x:c>
      <x:c r="H653" s="45" t="n">
        <x:v>1</x:v>
      </x:c>
      <x:c r="I653" s="36" t="str">
        <x:v>generated design-reference observation; not predicted tract behavior</x:v>
      </x:c>
    </x:row>
    <x:row r="654" ht="75.5999984741211" hidden="0" customHeight="1">
      <x:c r="A654" s="34" t="str">
        <x:v>M0</x:v>
      </x:c>
      <x:c r="B654" s="34" t="str">
        <x:v>48201433201</x:v>
      </x:c>
      <x:c r="C654" s="65" t="n">
        <x:v>557.2275531898688</x:v>
      </x:c>
      <x:c r="D654" s="65" t="n">
        <x:v>85.72700494727576</x:v>
      </x:c>
      <x:c r="E654" s="65" t="n">
        <x:v>471.500548242593</x:v>
      </x:c>
      <x:c r="F654" s="65" t="n">
        <x:v>471.500548242593</x:v>
      </x:c>
      <x:c r="G654" s="65" t="n">
        <x:v>557.2275531898688</x:v>
      </x:c>
      <x:c r="H654" s="43" t="n">
        <x:v>1</x:v>
      </x:c>
      <x:c r="I654" s="34" t="str">
        <x:v>generated design-reference observation; not predicted tract behavior</x:v>
      </x:c>
    </x:row>
    <x:row r="655" ht="75.5999984741211" hidden="0" customHeight="1">
      <x:c r="A655" s="36" t="str">
        <x:v>M0</x:v>
      </x:c>
      <x:c r="B655" s="36" t="str">
        <x:v>48201433202</x:v>
      </x:c>
      <x:c r="C655" s="66" t="n">
        <x:v>520.5175304707997</x:v>
      </x:c>
      <x:c r="D655" s="66" t="n">
        <x:v>78.28780973493288</x:v>
      </x:c>
      <x:c r="E655" s="66" t="n">
        <x:v>442.2297207358668</x:v>
      </x:c>
      <x:c r="F655" s="66" t="n">
        <x:v>442.22972073586686</x:v>
      </x:c>
      <x:c r="G655" s="66" t="n">
        <x:v>520.5175304707997</x:v>
      </x:c>
      <x:c r="H655" s="45" t="n">
        <x:v>1</x:v>
      </x:c>
      <x:c r="I655" s="36" t="str">
        <x:v>generated design-reference observation; not predicted tract behavior</x:v>
      </x:c>
    </x:row>
    <x:row r="656" ht="75.5999984741211" hidden="0" customHeight="1">
      <x:c r="A656" s="34" t="str">
        <x:v>M0</x:v>
      </x:c>
      <x:c r="B656" s="34" t="str">
        <x:v>48201433300</x:v>
      </x:c>
      <x:c r="C656" s="65" t="n">
        <x:v>662.449046339564</x:v>
      </x:c>
      <x:c r="D656" s="65" t="n">
        <x:v>108.05107584167548</x:v>
      </x:c>
      <x:c r="E656" s="65" t="n">
        <x:v>554.3979704978885</x:v>
      </x:c>
      <x:c r="F656" s="65" t="n">
        <x:v>554.3979704978885</x:v>
      </x:c>
      <x:c r="G656" s="65" t="n">
        <x:v>662.449046339564</x:v>
      </x:c>
      <x:c r="H656" s="43" t="n">
        <x:v>1</x:v>
      </x:c>
      <x:c r="I656" s="34" t="str">
        <x:v>generated design-reference observation; not predicted tract behavior</x:v>
      </x:c>
    </x:row>
    <x:row r="657" ht="75.5999984741211" hidden="0" customHeight="1">
      <x:c r="A657" s="36" t="str">
        <x:v>M0</x:v>
      </x:c>
      <x:c r="B657" s="36" t="str">
        <x:v>48201433400</x:v>
      </x:c>
      <x:c r="C657" s="66" t="n">
        <x:v>762.5818000092462</x:v>
      </x:c>
      <x:c r="D657" s="66" t="n">
        <x:v>61.1638557370913</x:v>
      </x:c>
      <x:c r="E657" s="66" t="n">
        <x:v>701.4179442721548</x:v>
      </x:c>
      <x:c r="F657" s="66" t="n">
        <x:v>701.4179442721548</x:v>
      </x:c>
      <x:c r="G657" s="66" t="n">
        <x:v>762.5818000092462</x:v>
      </x:c>
      <x:c r="H657" s="45" t="n">
        <x:v>1</x:v>
      </x:c>
      <x:c r="I657" s="36" t="str">
        <x:v>generated design-reference observation; not predicted tract behavior</x:v>
      </x:c>
    </x:row>
    <x:row r="658" ht="75.5999984741211" hidden="0" customHeight="1">
      <x:c r="A658" s="34" t="str">
        <x:v>M0</x:v>
      </x:c>
      <x:c r="B658" s="34" t="str">
        <x:v>48201433503</x:v>
      </x:c>
      <x:c r="C658" s="65" t="n">
        <x:v>405.81140562781144</x:v>
      </x:c>
      <x:c r="D658" s="65" t="n">
        <x:v>31.79594504654019</x:v>
      </x:c>
      <x:c r="E658" s="65" t="n">
        <x:v>374.01546058127127</x:v>
      </x:c>
      <x:c r="F658" s="65" t="n">
        <x:v>374.01546058127127</x:v>
      </x:c>
      <x:c r="G658" s="65" t="n">
        <x:v>405.81140562781144</x:v>
      </x:c>
      <x:c r="H658" s="43" t="n">
        <x:v>1</x:v>
      </x:c>
      <x:c r="I658" s="34" t="str">
        <x:v>generated design-reference observation; not predicted tract behavior</x:v>
      </x:c>
    </x:row>
    <x:row r="659" ht="75.5999984741211" hidden="0" customHeight="1">
      <x:c r="A659" s="36" t="str">
        <x:v>M0</x:v>
      </x:c>
      <x:c r="B659" s="36" t="str">
        <x:v>48201433504</x:v>
      </x:c>
      <x:c r="C659" s="66" t="n">
        <x:v>588.0012169978946</x:v>
      </x:c>
      <x:c r="D659" s="66" t="n">
        <x:v>46.215538730149134</x:v>
      </x:c>
      <x:c r="E659" s="66" t="n">
        <x:v>541.7856782677455</x:v>
      </x:c>
      <x:c r="F659" s="66" t="n">
        <x:v>541.7856782677455</x:v>
      </x:c>
      <x:c r="G659" s="66" t="n">
        <x:v>588.0012169978946</x:v>
      </x:c>
      <x:c r="H659" s="45" t="n">
        <x:v>1</x:v>
      </x:c>
      <x:c r="I659" s="36" t="str">
        <x:v>generated design-reference observation; not predicted tract behavior</x:v>
      </x:c>
    </x:row>
    <x:row r="660" ht="75.5999984741211" hidden="0" customHeight="1">
      <x:c r="A660" s="34" t="str">
        <x:v>M0</x:v>
      </x:c>
      <x:c r="B660" s="34" t="str">
        <x:v>48201433505</x:v>
      </x:c>
      <x:c r="C660" s="65" t="n">
        <x:v>313.8776469038583</x:v>
      </x:c>
      <x:c r="D660" s="65" t="n">
        <x:v>44.128318276901965</x:v>
      </x:c>
      <x:c r="E660" s="65" t="n">
        <x:v>269.74932862695636</x:v>
      </x:c>
      <x:c r="F660" s="65" t="n">
        <x:v>269.74932862695636</x:v>
      </x:c>
      <x:c r="G660" s="65" t="n">
        <x:v>313.8776469038583</x:v>
      </x:c>
      <x:c r="H660" s="43" t="n">
        <x:v>1</x:v>
      </x:c>
      <x:c r="I660" s="34" t="str">
        <x:v>generated design-reference observation; not predicted tract behavior</x:v>
      </x:c>
    </x:row>
    <x:row r="661" ht="75.5999984741211" hidden="0" customHeight="1">
      <x:c r="A661" s="36" t="str">
        <x:v>M0</x:v>
      </x:c>
      <x:c r="B661" s="36" t="str">
        <x:v>48201433506</x:v>
      </x:c>
      <x:c r="C661" s="66" t="n">
        <x:v>226.38542609007712</x:v>
      </x:c>
      <x:c r="D661" s="66" t="n">
        <x:v>33.67782092725466</x:v>
      </x:c>
      <x:c r="E661" s="66" t="n">
        <x:v>192.70760516282246</x:v>
      </x:c>
      <x:c r="F661" s="66" t="n">
        <x:v>192.70760516282246</x:v>
      </x:c>
      <x:c r="G661" s="66" t="n">
        <x:v>226.38542609007712</x:v>
      </x:c>
      <x:c r="H661" s="45" t="n">
        <x:v>1</x:v>
      </x:c>
      <x:c r="I661" s="36" t="str">
        <x:v>generated design-reference observation; not predicted tract behavior</x:v>
      </x:c>
    </x:row>
    <x:row r="662" ht="75.5999984741211" hidden="0" customHeight="1">
      <x:c r="A662" s="34" t="str">
        <x:v>M0</x:v>
      </x:c>
      <x:c r="B662" s="34" t="str">
        <x:v>48201433507</x:v>
      </x:c>
      <x:c r="C662" s="65" t="n">
        <x:v>433.49113759682484</x:v>
      </x:c>
      <x:c r="D662" s="65" t="n">
        <x:v>62.763085291869714</x:v>
      </x:c>
      <x:c r="E662" s="65" t="n">
        <x:v>370.7280523049551</x:v>
      </x:c>
      <x:c r="F662" s="65" t="n">
        <x:v>370.7280523049551</x:v>
      </x:c>
      <x:c r="G662" s="65" t="n">
        <x:v>433.49113759682484</x:v>
      </x:c>
      <x:c r="H662" s="43" t="n">
        <x:v>1</x:v>
      </x:c>
      <x:c r="I662" s="34" t="str">
        <x:v>generated design-reference observation; not predicted tract behavior</x:v>
      </x:c>
    </x:row>
    <x:row r="663" ht="75.5999984741211" hidden="0" customHeight="1">
      <x:c r="A663" s="36" t="str">
        <x:v>M0</x:v>
      </x:c>
      <x:c r="B663" s="36" t="str">
        <x:v>48201433601</x:v>
      </x:c>
      <x:c r="C663" s="66" t="n">
        <x:v>414.29485488331176</x:v>
      </x:c>
      <x:c r="D663" s="66" t="n">
        <x:v>54.86191952544312</x:v>
      </x:c>
      <x:c r="E663" s="66" t="n">
        <x:v>359.43293535786864</x:v>
      </x:c>
      <x:c r="F663" s="66" t="n">
        <x:v>359.43293535786864</x:v>
      </x:c>
      <x:c r="G663" s="66" t="n">
        <x:v>414.29485488331176</x:v>
      </x:c>
      <x:c r="H663" s="45" t="n">
        <x:v>1</x:v>
      </x:c>
      <x:c r="I663" s="36" t="str">
        <x:v>generated design-reference observation; not predicted tract behavior</x:v>
      </x:c>
    </x:row>
    <x:row r="664" ht="75.5999984741211" hidden="0" customHeight="1">
      <x:c r="A664" s="34" t="str">
        <x:v>M0</x:v>
      </x:c>
      <x:c r="B664" s="34" t="str">
        <x:v>48201433602</x:v>
      </x:c>
      <x:c r="C664" s="65" t="n">
        <x:v>577.5849294249888</x:v>
      </x:c>
      <x:c r="D664" s="65" t="n">
        <x:v>82.00774106611406</x:v>
      </x:c>
      <x:c r="E664" s="65" t="n">
        <x:v>495.5771883588747</x:v>
      </x:c>
      <x:c r="F664" s="65" t="n">
        <x:v>495.5771883588747</x:v>
      </x:c>
      <x:c r="G664" s="65" t="n">
        <x:v>577.5849294249888</x:v>
      </x:c>
      <x:c r="H664" s="43" t="n">
        <x:v>1</x:v>
      </x:c>
      <x:c r="I664" s="34" t="str">
        <x:v>generated design-reference observation; not predicted tract behavior</x:v>
      </x:c>
    </x:row>
    <x:row r="665" ht="75.5999984741211" hidden="0" customHeight="1">
      <x:c r="A665" s="36" t="str">
        <x:v>M0</x:v>
      </x:c>
      <x:c r="B665" s="36" t="str">
        <x:v>48201440101</x:v>
      </x:c>
      <x:c r="C665" s="66" t="n">
        <x:v>260.390865695942</x:v>
      </x:c>
      <x:c r="D665" s="66" t="n">
        <x:v>35.25957780236925</x:v>
      </x:c>
      <x:c r="E665" s="66" t="n">
        <x:v>225.13128789357276</x:v>
      </x:c>
      <x:c r="F665" s="66" t="n">
        <x:v>225.13128789357276</x:v>
      </x:c>
      <x:c r="G665" s="66" t="n">
        <x:v>260.390865695942</x:v>
      </x:c>
      <x:c r="H665" s="45" t="n">
        <x:v>1</x:v>
      </x:c>
      <x:c r="I665" s="36" t="str">
        <x:v>generated design-reference observation; not predicted tract behavior</x:v>
      </x:c>
    </x:row>
    <x:row r="666" ht="75.5999984741211" hidden="0" customHeight="1">
      <x:c r="A666" s="34" t="str">
        <x:v>M0</x:v>
      </x:c>
      <x:c r="B666" s="34" t="str">
        <x:v>48201440102</x:v>
      </x:c>
      <x:c r="C666" s="65" t="n">
        <x:v>358.4335905688548</x:v>
      </x:c>
      <x:c r="D666" s="65" t="n">
        <x:v>63.941697776673855</x:v>
      </x:c>
      <x:c r="E666" s="65" t="n">
        <x:v>294.491892792181</x:v>
      </x:c>
      <x:c r="F666" s="65" t="n">
        <x:v>294.491892792181</x:v>
      </x:c>
      <x:c r="G666" s="65" t="n">
        <x:v>358.4335905688548</x:v>
      </x:c>
      <x:c r="H666" s="43" t="n">
        <x:v>1</x:v>
      </x:c>
      <x:c r="I666" s="34" t="str">
        <x:v>generated design-reference observation; not predicted tract behavior</x:v>
      </x:c>
    </x:row>
    <x:row r="667" ht="75.5999984741211" hidden="0" customHeight="1">
      <x:c r="A667" s="36" t="str">
        <x:v>M0</x:v>
      </x:c>
      <x:c r="B667" s="36" t="str">
        <x:v>48201450100</x:v>
      </x:c>
      <x:c r="C667" s="66" t="n">
        <x:v>148.7807887176499</x:v>
      </x:c>
      <x:c r="D667" s="66" t="n">
        <x:v>27.734784752814807</x:v>
      </x:c>
      <x:c r="E667" s="66" t="n">
        <x:v>121.0460039648351</x:v>
      </x:c>
      <x:c r="F667" s="66" t="n">
        <x:v>0</x:v>
      </x:c>
      <x:c r="G667" s="66" t="n">
        <x:v>27.734784752814807</x:v>
      </x:c>
      <x:c r="H667" s="45" t="n">
        <x:v>0.18641375</x:v>
      </x:c>
      <x:c r="I667" s="36" t="str">
        <x:v>generated design-reference observation; not predicted tract behavior</x:v>
      </x:c>
    </x:row>
    <x:row r="668" ht="75.5999984741211" hidden="0" customHeight="1">
      <x:c r="A668" s="34" t="str">
        <x:v>M0</x:v>
      </x:c>
      <x:c r="B668" s="34" t="str">
        <x:v>48201450200</x:v>
      </x:c>
      <x:c r="C668" s="65" t="n">
        <x:v>473.3476905076165</x:v>
      </x:c>
      <x:c r="D668" s="65" t="n">
        <x:v>73.28806068617426</x:v>
      </x:c>
      <x:c r="E668" s="65" t="n">
        <x:v>400.05962982144223</x:v>
      </x:c>
      <x:c r="F668" s="65" t="n">
        <x:v>400.05962982144223</x:v>
      </x:c>
      <x:c r="G668" s="65" t="n">
        <x:v>473.3476905076165</x:v>
      </x:c>
      <x:c r="H668" s="43" t="n">
        <x:v>1</x:v>
      </x:c>
      <x:c r="I668" s="34" t="str">
        <x:v>generated design-reference observation; not predicted tract behavior</x:v>
      </x:c>
    </x:row>
    <x:row r="669" ht="75.5999984741211" hidden="0" customHeight="1">
      <x:c r="A669" s="36" t="str">
        <x:v>M0</x:v>
      </x:c>
      <x:c r="B669" s="36" t="str">
        <x:v>48201450301</x:v>
      </x:c>
      <x:c r="C669" s="66" t="n">
        <x:v>217.14292819288065</x:v>
      </x:c>
      <x:c r="D669" s="66" t="n">
        <x:v>37.079861998629</x:v>
      </x:c>
      <x:c r="E669" s="66" t="n">
        <x:v>180.06306619425163</x:v>
      </x:c>
      <x:c r="F669" s="66" t="n">
        <x:v>136.77410714834795</x:v>
      </x:c>
      <x:c r="G669" s="66" t="n">
        <x:v>173.85396914697697</x:v>
      </x:c>
      <x:c r="H669" s="45" t="n">
        <x:v>0.800643016992699</x:v>
      </x:c>
      <x:c r="I669" s="36" t="str">
        <x:v>generated design-reference observation; not predicted tract behavior</x:v>
      </x:c>
    </x:row>
    <x:row r="670" ht="75.5999984741211" hidden="0" customHeight="1">
      <x:c r="A670" s="34" t="str">
        <x:v>M0</x:v>
      </x:c>
      <x:c r="B670" s="34" t="str">
        <x:v>48201450302</x:v>
      </x:c>
      <x:c r="C670" s="65" t="n">
        <x:v>462.8002093423188</x:v>
      </x:c>
      <x:c r="D670" s="65" t="n">
        <x:v>72.52349978378625</x:v>
      </x:c>
      <x:c r="E670" s="65" t="n">
        <x:v>390.27670955853256</x:v>
      </x:c>
      <x:c r="F670" s="65" t="n">
        <x:v>390.27670955853256</x:v>
      </x:c>
      <x:c r="G670" s="65" t="n">
        <x:v>462.8002093423188</x:v>
      </x:c>
      <x:c r="H670" s="43" t="n">
        <x:v>1</x:v>
      </x:c>
      <x:c r="I670" s="34" t="str">
        <x:v>generated design-reference observation; not predicted tract behavior</x:v>
      </x:c>
    </x:row>
    <x:row r="671" ht="75.5999984741211" hidden="0" customHeight="1">
      <x:c r="A671" s="36" t="str">
        <x:v>M0</x:v>
      </x:c>
      <x:c r="B671" s="36" t="str">
        <x:v>48201450401</x:v>
      </x:c>
      <x:c r="C671" s="66" t="n">
        <x:v>162.32274851482424</x:v>
      </x:c>
      <x:c r="D671" s="66" t="n">
        <x:v>26.002168352688887</x:v>
      </x:c>
      <x:c r="E671" s="66" t="n">
        <x:v>136.32058016213534</x:v>
      </x:c>
      <x:c r="F671" s="66" t="n">
        <x:v>29.503492262885196</x:v>
      </x:c>
      <x:c r="G671" s="66" t="n">
        <x:v>55.50566061557409</x:v>
      </x:c>
      <x:c r="H671" s="45" t="n">
        <x:v>0.3419462837059156</x:v>
      </x:c>
      <x:c r="I671" s="36" t="str">
        <x:v>generated design-reference observation; not predicted tract behavior</x:v>
      </x:c>
    </x:row>
    <x:row r="672" ht="75.5999984741211" hidden="0" customHeight="1">
      <x:c r="A672" s="34" t="str">
        <x:v>M0</x:v>
      </x:c>
      <x:c r="B672" s="34" t="str">
        <x:v>48201450402</x:v>
      </x:c>
      <x:c r="C672" s="65" t="n">
        <x:v>311.79185015845667</x:v>
      </x:c>
      <x:c r="D672" s="65" t="n">
        <x:v>42.8818022166893</x:v>
      </x:c>
      <x:c r="E672" s="65" t="n">
        <x:v>268.91004794176735</x:v>
      </x:c>
      <x:c r="F672" s="65" t="n">
        <x:v>268.91004794176735</x:v>
      </x:c>
      <x:c r="G672" s="65" t="n">
        <x:v>311.79185015845667</x:v>
      </x:c>
      <x:c r="H672" s="43" t="n">
        <x:v>1</x:v>
      </x:c>
      <x:c r="I672" s="34" t="str">
        <x:v>generated design-reference observation; not predicted tract behavior</x:v>
      </x:c>
    </x:row>
    <x:row r="673" ht="75.5999984741211" hidden="0" customHeight="1">
      <x:c r="A673" s="36" t="str">
        <x:v>M0</x:v>
      </x:c>
      <x:c r="B673" s="36" t="str">
        <x:v>48201450500</x:v>
      </x:c>
      <x:c r="C673" s="66" t="n">
        <x:v>273.7118519538572</x:v>
      </x:c>
      <x:c r="D673" s="66" t="n">
        <x:v>46.60650384198164</x:v>
      </x:c>
      <x:c r="E673" s="66" t="n">
        <x:v>227.10534811187557</x:v>
      </x:c>
      <x:c r="F673" s="66" t="n">
        <x:v>59.35138341232468</x:v>
      </x:c>
      <x:c r="G673" s="66" t="n">
        <x:v>105.95788725430631</x:v>
      </x:c>
      <x:c r="H673" s="45" t="n">
        <x:v>0.3871147211855805</x:v>
      </x:c>
      <x:c r="I673" s="36" t="str">
        <x:v>generated design-reference observation; not predicted tract behavior</x:v>
      </x:c>
    </x:row>
    <x:row r="674" ht="75.5999984741211" hidden="0" customHeight="1">
      <x:c r="A674" s="34" t="str">
        <x:v>M0</x:v>
      </x:c>
      <x:c r="B674" s="34" t="str">
        <x:v>48201450600</x:v>
      </x:c>
      <x:c r="C674" s="65" t="n">
        <x:v>456.4457842140452</x:v>
      </x:c>
      <x:c r="D674" s="65" t="n">
        <x:v>68.19634480741095</x:v>
      </x:c>
      <x:c r="E674" s="65" t="n">
        <x:v>388.2494394066342</x:v>
      </x:c>
      <x:c r="F674" s="65" t="n">
        <x:v>388.24943940663417</x:v>
      </x:c>
      <x:c r="G674" s="65" t="n">
        <x:v>456.44578421404515</x:v>
      </x:c>
      <x:c r="H674" s="43" t="n">
        <x:v>0.9999999999999999</x:v>
      </x:c>
      <x:c r="I674" s="34" t="str">
        <x:v>generated design-reference observation; not predicted tract behavior</x:v>
      </x:c>
    </x:row>
    <x:row r="675" ht="75.5999984741211" hidden="0" customHeight="1">
      <x:c r="A675" s="36" t="str">
        <x:v>M0</x:v>
      </x:c>
      <x:c r="B675" s="36" t="str">
        <x:v>48201450700</x:v>
      </x:c>
      <x:c r="C675" s="66" t="n">
        <x:v>1178.7786596928574</x:v>
      </x:c>
      <x:c r="D675" s="66" t="n">
        <x:v>105.80161692089152</x:v>
      </x:c>
      <x:c r="E675" s="66" t="n">
        <x:v>1072.977042771966</x:v>
      </x:c>
      <x:c r="F675" s="66" t="n">
        <x:v>1072.977042771966</x:v>
      </x:c>
      <x:c r="G675" s="66" t="n">
        <x:v>1178.7786596928574</x:v>
      </x:c>
      <x:c r="H675" s="45" t="n">
        <x:v>1</x:v>
      </x:c>
      <x:c r="I675" s="36" t="str">
        <x:v>generated design-reference observation; not predicted tract behavior</x:v>
      </x:c>
    </x:row>
    <x:row r="676" ht="75.5999984741211" hidden="0" customHeight="1">
      <x:c r="A676" s="34" t="str">
        <x:v>M0</x:v>
      </x:c>
      <x:c r="B676" s="34" t="str">
        <x:v>48201450801</x:v>
      </x:c>
      <x:c r="C676" s="65" t="n">
        <x:v>318.23696210174774</x:v>
      </x:c>
      <x:c r="D676" s="65" t="n">
        <x:v>42.67586664324481</x:v>
      </x:c>
      <x:c r="E676" s="65" t="n">
        <x:v>275.5610954585029</x:v>
      </x:c>
      <x:c r="F676" s="65" t="n">
        <x:v>275.5610954585029</x:v>
      </x:c>
      <x:c r="G676" s="65" t="n">
        <x:v>318.23696210174774</x:v>
      </x:c>
      <x:c r="H676" s="43" t="n">
        <x:v>1</x:v>
      </x:c>
      <x:c r="I676" s="34" t="str">
        <x:v>generated design-reference observation; not predicted tract behavior</x:v>
      </x:c>
    </x:row>
    <x:row r="677" ht="75.5999984741211" hidden="0" customHeight="1">
      <x:c r="A677" s="36" t="str">
        <x:v>M0</x:v>
      </x:c>
      <x:c r="B677" s="36" t="str">
        <x:v>48201450803</x:v>
      </x:c>
      <x:c r="C677" s="66" t="n">
        <x:v>341.4805973694904</x:v>
      </x:c>
      <x:c r="D677" s="66" t="n">
        <x:v>60.45939872326526</x:v>
      </x:c>
      <x:c r="E677" s="66" t="n">
        <x:v>281.0211986462251</x:v>
      </x:c>
      <x:c r="F677" s="66" t="n">
        <x:v>0</x:v>
      </x:c>
      <x:c r="G677" s="66" t="n">
        <x:v>60.45939872326526</x:v>
      </x:c>
      <x:c r="H677" s="45" t="n">
        <x:v>0.17705075834175932</x:v>
      </x:c>
      <x:c r="I677" s="36" t="str">
        <x:v>generated design-reference observation; not predicted tract behavior</x:v>
      </x:c>
    </x:row>
    <x:row r="678" ht="75.5999984741211" hidden="0" customHeight="1">
      <x:c r="A678" s="34" t="str">
        <x:v>M0</x:v>
      </x:c>
      <x:c r="B678" s="34" t="str">
        <x:v>48201450804</x:v>
      </x:c>
      <x:c r="C678" s="65" t="n">
        <x:v>183.2212227462152</x:v>
      </x:c>
      <x:c r="D678" s="65" t="n">
        <x:v>29.605367993443657</x:v>
      </x:c>
      <x:c r="E678" s="65" t="n">
        <x:v>153.61585475277155</x:v>
      </x:c>
      <x:c r="F678" s="65" t="n">
        <x:v>0</x:v>
      </x:c>
      <x:c r="G678" s="65" t="n">
        <x:v>29.605367993443657</x:v>
      </x:c>
      <x:c r="H678" s="43" t="n">
        <x:v>0.16158263518659557</x:v>
      </x:c>
      <x:c r="I678" s="34" t="str">
        <x:v>generated design-reference observation; not predicted tract behavior</x:v>
      </x:c>
    </x:row>
    <x:row r="679" ht="75.5999984741211" hidden="0" customHeight="1">
      <x:c r="A679" s="36" t="str">
        <x:v>M0</x:v>
      </x:c>
      <x:c r="B679" s="36" t="str">
        <x:v>48201450900</x:v>
      </x:c>
      <x:c r="C679" s="66" t="n">
        <x:v>222.1887425804523</x:v>
      </x:c>
      <x:c r="D679" s="66" t="n">
        <x:v>35.103682612542244</x:v>
      </x:c>
      <x:c r="E679" s="66" t="n">
        <x:v>187.08505996791007</x:v>
      </x:c>
      <x:c r="F679" s="66" t="n">
        <x:v>39.51310663629526</x:v>
      </x:c>
      <x:c r="G679" s="66" t="n">
        <x:v>74.6167892488375</x:v>
      </x:c>
      <x:c r="H679" s="45" t="n">
        <x:v>0.3358261466456588</x:v>
      </x:c>
      <x:c r="I679" s="36" t="str">
        <x:v>generated design-reference observation; not predicted tract behavior</x:v>
      </x:c>
    </x:row>
    <x:row r="680" ht="75.5999984741211" hidden="0" customHeight="1">
      <x:c r="A680" s="34" t="str">
        <x:v>M0</x:v>
      </x:c>
      <x:c r="B680" s="34" t="str">
        <x:v>48201451003</x:v>
      </x:c>
      <x:c r="C680" s="65" t="n">
        <x:v>308.96181695114507</x:v>
      </x:c>
      <x:c r="D680" s="65" t="n">
        <x:v>51.547055407717146</x:v>
      </x:c>
      <x:c r="E680" s="65" t="n">
        <x:v>257.4147615434279</x:v>
      </x:c>
      <x:c r="F680" s="65" t="n">
        <x:v>62.300444502381964</x:v>
      </x:c>
      <x:c r="G680" s="65" t="n">
        <x:v>113.84749991009912</x:v>
      </x:c>
      <x:c r="H680" s="43" t="n">
        <x:v>0.36848404451253397</x:v>
      </x:c>
      <x:c r="I680" s="34" t="str">
        <x:v>generated design-reference observation; not predicted tract behavior</x:v>
      </x:c>
    </x:row>
    <x:row r="681" ht="75.5999984741211" hidden="0" customHeight="1">
      <x:c r="A681" s="36" t="str">
        <x:v>M0</x:v>
      </x:c>
      <x:c r="B681" s="36" t="str">
        <x:v>48201451004</x:v>
      </x:c>
      <x:c r="C681" s="66" t="n">
        <x:v>136.37845989586162</x:v>
      </x:c>
      <x:c r="D681" s="66" t="n">
        <x:v>22.492527449370197</x:v>
      </x:c>
      <x:c r="E681" s="66" t="n">
        <x:v>113.88593244649142</x:v>
      </x:c>
      <x:c r="F681" s="66" t="n">
        <x:v>12.941329476021869</x:v>
      </x:c>
      <x:c r="G681" s="66" t="n">
        <x:v>35.433856925392064</x:v>
      </x:c>
      <x:c r="H681" s="45" t="n">
        <x:v>0.2598200401474639</x:v>
      </x:c>
      <x:c r="I681" s="36" t="str">
        <x:v>generated design-reference observation; not predicted tract behavior</x:v>
      </x:c>
    </x:row>
    <x:row r="682" ht="75.5999984741211" hidden="0" customHeight="1">
      <x:c r="A682" s="34" t="str">
        <x:v>M0</x:v>
      </x:c>
      <x:c r="B682" s="34" t="str">
        <x:v>48201451005</x:v>
      </x:c>
      <x:c r="C682" s="65" t="n">
        <x:v>163.94966997623752</x:v>
      </x:c>
      <x:c r="D682" s="65" t="n">
        <x:v>27.010824365690787</x:v>
      </x:c>
      <x:c r="E682" s="65" t="n">
        <x:v>136.93884561054674</x:v>
      </x:c>
      <x:c r="F682" s="65" t="n">
        <x:v>136.93884561054674</x:v>
      </x:c>
      <x:c r="G682" s="65" t="n">
        <x:v>163.94966997623752</x:v>
      </x:c>
      <x:c r="H682" s="43" t="n">
        <x:v>1</x:v>
      </x:c>
      <x:c r="I682" s="34" t="str">
        <x:v>generated design-reference observation; not predicted tract behavior</x:v>
      </x:c>
    </x:row>
    <x:row r="683" ht="75.5999984741211" hidden="0" customHeight="1">
      <x:c r="A683" s="36" t="str">
        <x:v>M0</x:v>
      </x:c>
      <x:c r="B683" s="36" t="str">
        <x:v>48201451006</x:v>
      </x:c>
      <x:c r="C683" s="66" t="n">
        <x:v>203.8210350668153</x:v>
      </x:c>
      <x:c r="D683" s="66" t="n">
        <x:v>36.20162997956947</x:v>
      </x:c>
      <x:c r="E683" s="66" t="n">
        <x:v>167.61940508724584</x:v>
      </x:c>
      <x:c r="F683" s="66" t="n">
        <x:v>45.750078770584004</x:v>
      </x:c>
      <x:c r="G683" s="66" t="n">
        <x:v>81.95170875015347</x:v>
      </x:c>
      <x:c r="H683" s="45" t="n">
        <x:v>0.4020767960641971</x:v>
      </x:c>
      <x:c r="I683" s="36" t="str">
        <x:v>generated design-reference observation; not predicted tract behavior</x:v>
      </x:c>
    </x:row>
    <x:row r="684" ht="75.5999984741211" hidden="0" customHeight="1">
      <x:c r="A684" s="34" t="str">
        <x:v>M0</x:v>
      </x:c>
      <x:c r="B684" s="34" t="str">
        <x:v>48201451100</x:v>
      </x:c>
      <x:c r="C684" s="65" t="n">
        <x:v>318.0985135641544</x:v>
      </x:c>
      <x:c r="D684" s="65" t="n">
        <x:v>55.27037686704548</x:v>
      </x:c>
      <x:c r="E684" s="65" t="n">
        <x:v>262.82813669710896</x:v>
      </x:c>
      <x:c r="F684" s="65" t="n">
        <x:v>202.62092261412582</x:v>
      </x:c>
      <x:c r="G684" s="65" t="n">
        <x:v>257.8912994811713</x:v>
      </x:c>
      <x:c r="H684" s="43" t="n">
        <x:v>0.8107277729518831</x:v>
      </x:c>
      <x:c r="I684" s="34" t="str">
        <x:v>generated design-reference observation; not predicted tract behavior</x:v>
      </x:c>
    </x:row>
    <x:row r="685" ht="75.5999984741211" hidden="0" customHeight="1">
      <x:c r="A685" s="36" t="str">
        <x:v>M0</x:v>
      </x:c>
      <x:c r="B685" s="36" t="str">
        <x:v>48201451200</x:v>
      </x:c>
      <x:c r="C685" s="66" t="n">
        <x:v>221.55998066299787</x:v>
      </x:c>
      <x:c r="D685" s="66" t="n">
        <x:v>41.01043247851056</x:v>
      </x:c>
      <x:c r="E685" s="66" t="n">
        <x:v>180.54954818448732</x:v>
      </x:c>
      <x:c r="F685" s="66" t="n">
        <x:v>127.3216511497736</x:v>
      </x:c>
      <x:c r="G685" s="66" t="n">
        <x:v>168.33208362828415</x:v>
      </x:c>
      <x:c r="H685" s="45" t="n">
        <x:v>0.7597585228368673</x:v>
      </x:c>
      <x:c r="I685" s="36" t="str">
        <x:v>generated design-reference observation; not predicted tract behavior</x:v>
      </x:c>
    </x:row>
    <x:row r="686" ht="75.5999984741211" hidden="0" customHeight="1">
      <x:c r="A686" s="34" t="str">
        <x:v>M0</x:v>
      </x:c>
      <x:c r="B686" s="34" t="str">
        <x:v>48201451301</x:v>
      </x:c>
      <x:c r="C686" s="65" t="n">
        <x:v>326.59858873574126</x:v>
      </x:c>
      <x:c r="D686" s="65" t="n">
        <x:v>57.66406086357323</x:v>
      </x:c>
      <x:c r="E686" s="65" t="n">
        <x:v>268.934527872168</x:v>
      </x:c>
      <x:c r="F686" s="65" t="n">
        <x:v>175.791810434061</x:v>
      </x:c>
      <x:c r="G686" s="65" t="n">
        <x:v>233.45587129763425</x:v>
      </x:c>
      <x:c r="H686" s="43" t="n">
        <x:v>0.7148097981725481</x:v>
      </x:c>
      <x:c r="I686" s="34" t="str">
        <x:v>generated design-reference observation; not predicted tract behavior</x:v>
      </x:c>
    </x:row>
    <x:row r="687" ht="75.5999984741211" hidden="0" customHeight="1">
      <x:c r="A687" s="36" t="str">
        <x:v>M0</x:v>
      </x:c>
      <x:c r="B687" s="36" t="str">
        <x:v>48201451302</x:v>
      </x:c>
      <x:c r="C687" s="66" t="n">
        <x:v>260.9833528873894</x:v>
      </x:c>
      <x:c r="D687" s="66" t="n">
        <x:v>48.80892917218462</x:v>
      </x:c>
      <x:c r="E687" s="66" t="n">
        <x:v>212.1744237152048</x:v>
      </x:c>
      <x:c r="F687" s="66" t="n">
        <x:v>44.986861892404576</x:v>
      </x:c>
      <x:c r="G687" s="66" t="n">
        <x:v>93.7957910645892</x:v>
      </x:c>
      <x:c r="H687" s="45" t="n">
        <x:v>0.359393769858803</x:v>
      </x:c>
      <x:c r="I687" s="36" t="str">
        <x:v>generated design-reference observation; not predicted tract behavior</x:v>
      </x:c>
    </x:row>
    <x:row r="688" ht="75.5999984741211" hidden="0" customHeight="1">
      <x:c r="A688" s="34" t="str">
        <x:v>M0</x:v>
      </x:c>
      <x:c r="B688" s="34" t="str">
        <x:v>48201451401</x:v>
      </x:c>
      <x:c r="C688" s="65" t="n">
        <x:v>283.01359857019827</x:v>
      </x:c>
      <x:c r="D688" s="65" t="n">
        <x:v>44.98041051551618</x:v>
      </x:c>
      <x:c r="E688" s="65" t="n">
        <x:v>238.03318805468209</x:v>
      </x:c>
      <x:c r="F688" s="65" t="n">
        <x:v>167.84612770104175</x:v>
      </x:c>
      <x:c r="G688" s="65" t="n">
        <x:v>212.82653821655794</x:v>
      </x:c>
      <x:c r="H688" s="43" t="n">
        <x:v>0.7520011027447813</x:v>
      </x:c>
      <x:c r="I688" s="34" t="str">
        <x:v>generated design-reference observation; not predicted tract behavior</x:v>
      </x:c>
    </x:row>
    <x:row r="689" ht="75.5999984741211" hidden="0" customHeight="1">
      <x:c r="A689" s="36" t="str">
        <x:v>M0</x:v>
      </x:c>
      <x:c r="B689" s="36" t="str">
        <x:v>48201451404</x:v>
      </x:c>
      <x:c r="C689" s="66" t="n">
        <x:v>290.4408487201286</x:v>
      </x:c>
      <x:c r="D689" s="66" t="n">
        <x:v>42.302951556352035</x:v>
      </x:c>
      <x:c r="E689" s="66" t="n">
        <x:v>248.13789716377656</x:v>
      </x:c>
      <x:c r="F689" s="66" t="n">
        <x:v>38.574854680317316</x:v>
      </x:c>
      <x:c r="G689" s="66" t="n">
        <x:v>80.87780623666936</x:v>
      </x:c>
      <x:c r="H689" s="45" t="n">
        <x:v>0.2784656724185651</x:v>
      </x:c>
      <x:c r="I689" s="36" t="str">
        <x:v>generated design-reference observation; not predicted tract behavior</x:v>
      </x:c>
    </x:row>
    <x:row r="690" ht="75.5999984741211" hidden="0" customHeight="1">
      <x:c r="A690" s="34" t="str">
        <x:v>M0</x:v>
      </x:c>
      <x:c r="B690" s="34" t="str">
        <x:v>48201451405</x:v>
      </x:c>
      <x:c r="C690" s="65" t="n">
        <x:v>228.6492712822964</x:v>
      </x:c>
      <x:c r="D690" s="65" t="n">
        <x:v>32.10357092906571</x:v>
      </x:c>
      <x:c r="E690" s="65" t="n">
        <x:v>196.5457003532307</x:v>
      </x:c>
      <x:c r="F690" s="65" t="n">
        <x:v>0</x:v>
      </x:c>
      <x:c r="G690" s="65" t="n">
        <x:v>32.10357092906571</x:v>
      </x:c>
      <x:c r="H690" s="43" t="n">
        <x:v>0.14040530612244898</x:v>
      </x:c>
      <x:c r="I690" s="34" t="str">
        <x:v>generated design-reference observation; not predicted tract behavior</x:v>
      </x:c>
    </x:row>
    <x:row r="691" ht="75.5999984741211" hidden="0" customHeight="1">
      <x:c r="A691" s="36" t="str">
        <x:v>M0</x:v>
      </x:c>
      <x:c r="B691" s="36" t="str">
        <x:v>48201451406</x:v>
      </x:c>
      <x:c r="C691" s="66" t="n">
        <x:v>198.5787325800392</x:v>
      </x:c>
      <x:c r="D691" s="66" t="n">
        <x:v>32.7313634887969</x:v>
      </x:c>
      <x:c r="E691" s="66" t="n">
        <x:v>165.84736909124229</x:v>
      </x:c>
      <x:c r="F691" s="66" t="n">
        <x:v>165.84736909124229</x:v>
      </x:c>
      <x:c r="G691" s="66" t="n">
        <x:v>198.57873258003917</x:v>
      </x:c>
      <x:c r="H691" s="45" t="n">
        <x:v>0.9999999999999999</x:v>
      </x:c>
      <x:c r="I691" s="36" t="str">
        <x:v>generated design-reference observation; not predicted tract behavior</x:v>
      </x:c>
    </x:row>
    <x:row r="692" ht="75.5999984741211" hidden="0" customHeight="1">
      <x:c r="A692" s="34" t="str">
        <x:v>M0</x:v>
      </x:c>
      <x:c r="B692" s="34" t="str">
        <x:v>48201451407</x:v>
      </x:c>
      <x:c r="C692" s="65" t="n">
        <x:v>257.17873870802345</x:v>
      </x:c>
      <x:c r="D692" s="65" t="n">
        <x:v>38.7481286148637</x:v>
      </x:c>
      <x:c r="E692" s="65" t="n">
        <x:v>218.43061009315974</x:v>
      </x:c>
      <x:c r="F692" s="65" t="n">
        <x:v>218.43061009315974</x:v>
      </x:c>
      <x:c r="G692" s="65" t="n">
        <x:v>257.17873870802345</x:v>
      </x:c>
      <x:c r="H692" s="43" t="n">
        <x:v>1</x:v>
      </x:c>
      <x:c r="I692" s="34" t="str">
        <x:v>generated design-reference observation; not predicted tract behavior</x:v>
      </x:c>
    </x:row>
    <x:row r="693" ht="75.5999984741211" hidden="0" customHeight="1">
      <x:c r="A693" s="36" t="str">
        <x:v>M0</x:v>
      </x:c>
      <x:c r="B693" s="36" t="str">
        <x:v>48201451501</x:v>
      </x:c>
      <x:c r="C693" s="66" t="n">
        <x:v>237.6327071779263</x:v>
      </x:c>
      <x:c r="D693" s="66" t="n">
        <x:v>35.001767943013405</x:v>
      </x:c>
      <x:c r="E693" s="66" t="n">
        <x:v>202.6309392349129</x:v>
      </x:c>
      <x:c r="F693" s="66" t="n">
        <x:v>202.6309392349129</x:v>
      </x:c>
      <x:c r="G693" s="66" t="n">
        <x:v>237.6327071779263</x:v>
      </x:c>
      <x:c r="H693" s="45" t="n">
        <x:v>1</x:v>
      </x:c>
      <x:c r="I693" s="36" t="str">
        <x:v>generated design-reference observation; not predicted tract behavior</x:v>
      </x:c>
    </x:row>
    <x:row r="694" ht="75.5999984741211" hidden="0" customHeight="1">
      <x:c r="A694" s="34" t="str">
        <x:v>M0</x:v>
      </x:c>
      <x:c r="B694" s="34" t="str">
        <x:v>48201451502</x:v>
      </x:c>
      <x:c r="C694" s="65" t="n">
        <x:v>393.8123308434674</x:v>
      </x:c>
      <x:c r="D694" s="65" t="n">
        <x:v>58.70202816180849</x:v>
      </x:c>
      <x:c r="E694" s="65" t="n">
        <x:v>335.11030268165894</x:v>
      </x:c>
      <x:c r="F694" s="65" t="n">
        <x:v>335.11030268165894</x:v>
      </x:c>
      <x:c r="G694" s="65" t="n">
        <x:v>393.8123308434674</x:v>
      </x:c>
      <x:c r="H694" s="43" t="n">
        <x:v>1</x:v>
      </x:c>
      <x:c r="I694" s="34" t="str">
        <x:v>generated design-reference observation; not predicted tract behavior</x:v>
      </x:c>
    </x:row>
    <x:row r="695" ht="75.5999984741211" hidden="0" customHeight="1">
      <x:c r="A695" s="36" t="str">
        <x:v>M0</x:v>
      </x:c>
      <x:c r="B695" s="36" t="str">
        <x:v>48201451603</x:v>
      </x:c>
      <x:c r="C695" s="66" t="n">
        <x:v>263.9699719952979</x:v>
      </x:c>
      <x:c r="D695" s="66" t="n">
        <x:v>42.26760339894202</x:v>
      </x:c>
      <x:c r="E695" s="66" t="n">
        <x:v>221.70236859635588</x:v>
      </x:c>
      <x:c r="F695" s="66" t="n">
        <x:v>221.70236859635585</x:v>
      </x:c>
      <x:c r="G695" s="66" t="n">
        <x:v>263.9699719952979</x:v>
      </x:c>
      <x:c r="H695" s="45" t="n">
        <x:v>1</x:v>
      </x:c>
      <x:c r="I695" s="36" t="str">
        <x:v>generated design-reference observation; not predicted tract behavior</x:v>
      </x:c>
    </x:row>
    <x:row r="696" ht="75.5999984741211" hidden="0" customHeight="1">
      <x:c r="A696" s="34" t="str">
        <x:v>M0</x:v>
      </x:c>
      <x:c r="B696" s="34" t="str">
        <x:v>48201451604</x:v>
      </x:c>
      <x:c r="C696" s="65" t="n">
        <x:v>284.3025605009799</x:v>
      </x:c>
      <x:c r="D696" s="65" t="n">
        <x:v>46.677941149681466</x:v>
      </x:c>
      <x:c r="E696" s="65" t="n">
        <x:v>237.62461935129843</x:v>
      </x:c>
      <x:c r="F696" s="65" t="n">
        <x:v>113.99362776542965</x:v>
      </x:c>
      <x:c r="G696" s="65" t="n">
        <x:v>160.67156891511112</x:v>
      </x:c>
      <x:c r="H696" s="43" t="n">
        <x:v>0.5651428838065542</x:v>
      </x:c>
      <x:c r="I696" s="34" t="str">
        <x:v>generated design-reference observation; not predicted tract behavior</x:v>
      </x:c>
    </x:row>
    <x:row r="697" ht="75.5999984741211" hidden="0" customHeight="1">
      <x:c r="A697" s="36" t="str">
        <x:v>M0</x:v>
      </x:c>
      <x:c r="B697" s="36" t="str">
        <x:v>48201451605</x:v>
      </x:c>
      <x:c r="C697" s="66" t="n">
        <x:v>252.369314618264</x:v>
      </x:c>
      <x:c r="D697" s="66" t="n">
        <x:v>36.212702381224354</x:v>
      </x:c>
      <x:c r="E697" s="66" t="n">
        <x:v>216.15661223703967</x:v>
      </x:c>
      <x:c r="F697" s="66" t="n">
        <x:v>216.15661223703967</x:v>
      </x:c>
      <x:c r="G697" s="66" t="n">
        <x:v>252.369314618264</x:v>
      </x:c>
      <x:c r="H697" s="45" t="n">
        <x:v>1</x:v>
      </x:c>
      <x:c r="I697" s="36" t="str">
        <x:v>generated design-reference observation; not predicted tract behavior</x:v>
      </x:c>
    </x:row>
    <x:row r="698" ht="75.5999984741211" hidden="0" customHeight="1">
      <x:c r="A698" s="34" t="str">
        <x:v>M0</x:v>
      </x:c>
      <x:c r="B698" s="34" t="str">
        <x:v>48201451606</x:v>
      </x:c>
      <x:c r="C698" s="65" t="n">
        <x:v>509.86303886378147</x:v>
      </x:c>
      <x:c r="D698" s="65" t="n">
        <x:v>91.92607358210101</x:v>
      </x:c>
      <x:c r="E698" s="65" t="n">
        <x:v>417.93696528168044</x:v>
      </x:c>
      <x:c r="F698" s="65" t="n">
        <x:v>417.93696528168044</x:v>
      </x:c>
      <x:c r="G698" s="65" t="n">
        <x:v>509.86303886378147</x:v>
      </x:c>
      <x:c r="H698" s="43" t="n">
        <x:v>1</x:v>
      </x:c>
      <x:c r="I698" s="34" t="str">
        <x:v>generated design-reference observation; not predicted tract behavior</x:v>
      </x:c>
    </x:row>
    <x:row r="699" ht="75.5999984741211" hidden="0" customHeight="1">
      <x:c r="A699" s="36" t="str">
        <x:v>M0</x:v>
      </x:c>
      <x:c r="B699" s="36" t="str">
        <x:v>48201451700</x:v>
      </x:c>
      <x:c r="C699" s="66" t="n">
        <x:v>697.7407272717599</x:v>
      </x:c>
      <x:c r="D699" s="66" t="n">
        <x:v>107.77045285271537</x:v>
      </x:c>
      <x:c r="E699" s="66" t="n">
        <x:v>589.9702744190445</x:v>
      </x:c>
      <x:c r="F699" s="66" t="n">
        <x:v>589.9702744190445</x:v>
      </x:c>
      <x:c r="G699" s="66" t="n">
        <x:v>697.7407272717599</x:v>
      </x:c>
      <x:c r="H699" s="45" t="n">
        <x:v>1</x:v>
      </x:c>
      <x:c r="I699" s="36" t="str">
        <x:v>generated design-reference observation; not predicted tract behavior</x:v>
      </x:c>
    </x:row>
    <x:row r="700" ht="75.5999984741211" hidden="0" customHeight="1">
      <x:c r="A700" s="34" t="str">
        <x:v>M0</x:v>
      </x:c>
      <x:c r="B700" s="34" t="str">
        <x:v>48201451800</x:v>
      </x:c>
      <x:c r="C700" s="65" t="n">
        <x:v>828.0265446453651</x:v>
      </x:c>
      <x:c r="D700" s="65" t="n">
        <x:v>133.04121454243784</x:v>
      </x:c>
      <x:c r="E700" s="65" t="n">
        <x:v>694.9853301029273</x:v>
      </x:c>
      <x:c r="F700" s="65" t="n">
        <x:v>694.9853301029273</x:v>
      </x:c>
      <x:c r="G700" s="65" t="n">
        <x:v>828.0265446453651</x:v>
      </x:c>
      <x:c r="H700" s="43" t="n">
        <x:v>1</x:v>
      </x:c>
      <x:c r="I700" s="34" t="str">
        <x:v>generated design-reference observation; not predicted tract behavior</x:v>
      </x:c>
    </x:row>
    <x:row r="701" ht="75.5999984741211" hidden="0" customHeight="1">
      <x:c r="A701" s="36" t="str">
        <x:v>M0</x:v>
      </x:c>
      <x:c r="B701" s="36" t="str">
        <x:v>48201451902</x:v>
      </x:c>
      <x:c r="C701" s="66" t="n">
        <x:v>358.24254367855144</x:v>
      </x:c>
      <x:c r="D701" s="66" t="n">
        <x:v>58.75177716328244</x:v>
      </x:c>
      <x:c r="E701" s="66" t="n">
        <x:v>299.490766515269</x:v>
      </x:c>
      <x:c r="F701" s="66" t="n">
        <x:v>299.490766515269</x:v>
      </x:c>
      <x:c r="G701" s="66" t="n">
        <x:v>358.24254367855144</x:v>
      </x:c>
      <x:c r="H701" s="45" t="n">
        <x:v>1</x:v>
      </x:c>
      <x:c r="I701" s="36" t="str">
        <x:v>generated design-reference observation; not predicted tract behavior</x:v>
      </x:c>
    </x:row>
    <x:row r="702" ht="75.5999984741211" hidden="0" customHeight="1">
      <x:c r="A702" s="34" t="str">
        <x:v>M0</x:v>
      </x:c>
      <x:c r="B702" s="34" t="str">
        <x:v>48201451903</x:v>
      </x:c>
      <x:c r="C702" s="65" t="n">
        <x:v>680.5392521992475</x:v>
      </x:c>
      <x:c r="D702" s="65" t="n">
        <x:v>53.70409514208655</x:v>
      </x:c>
      <x:c r="E702" s="65" t="n">
        <x:v>626.8351570571609</x:v>
      </x:c>
      <x:c r="F702" s="65" t="n">
        <x:v>626.8351570571609</x:v>
      </x:c>
      <x:c r="G702" s="65" t="n">
        <x:v>680.5392521992475</x:v>
      </x:c>
      <x:c r="H702" s="43" t="n">
        <x:v>1</x:v>
      </x:c>
      <x:c r="I702" s="34" t="str">
        <x:v>generated design-reference observation; not predicted tract behavior</x:v>
      </x:c>
    </x:row>
    <x:row r="703" ht="75.5999984741211" hidden="0" customHeight="1">
      <x:c r="A703" s="36" t="str">
        <x:v>M0</x:v>
      </x:c>
      <x:c r="B703" s="36" t="str">
        <x:v>48201451904</x:v>
      </x:c>
      <x:c r="C703" s="66" t="n">
        <x:v>619.7754586649467</x:v>
      </x:c>
      <x:c r="D703" s="66" t="n">
        <x:v>50.15832684327965</x:v>
      </x:c>
      <x:c r="E703" s="66" t="n">
        <x:v>569.617131821667</x:v>
      </x:c>
      <x:c r="F703" s="66" t="n">
        <x:v>569.617131821667</x:v>
      </x:c>
      <x:c r="G703" s="66" t="n">
        <x:v>619.7754586649467</x:v>
      </x:c>
      <x:c r="H703" s="45" t="n">
        <x:v>1</x:v>
      </x:c>
      <x:c r="I703" s="36" t="str">
        <x:v>generated design-reference observation; not predicted tract behavior</x:v>
      </x:c>
    </x:row>
    <x:row r="704" ht="75.5999984741211" hidden="0" customHeight="1">
      <x:c r="A704" s="34" t="str">
        <x:v>M0</x:v>
      </x:c>
      <x:c r="B704" s="34" t="str">
        <x:v>48201452001</x:v>
      </x:c>
      <x:c r="C704" s="65" t="n">
        <x:v>1105.6657402682451</x:v>
      </x:c>
      <x:c r="D704" s="65" t="n">
        <x:v>96.00333405363337</x:v>
      </x:c>
      <x:c r="E704" s="65" t="n">
        <x:v>1009.6624062146118</x:v>
      </x:c>
      <x:c r="F704" s="65" t="n">
        <x:v>1009.6624062146118</x:v>
      </x:c>
      <x:c r="G704" s="65" t="n">
        <x:v>1105.6657402682451</x:v>
      </x:c>
      <x:c r="H704" s="43" t="n">
        <x:v>1</x:v>
      </x:c>
      <x:c r="I704" s="34" t="str">
        <x:v>generated design-reference observation; not predicted tract behavior</x:v>
      </x:c>
    </x:row>
    <x:row r="705" ht="75.5999984741211" hidden="0" customHeight="1">
      <x:c r="A705" s="36" t="str">
        <x:v>M0</x:v>
      </x:c>
      <x:c r="B705" s="36" t="str">
        <x:v>48201452002</x:v>
      </x:c>
      <x:c r="C705" s="66" t="n">
        <x:v>518.6403133999381</x:v>
      </x:c>
      <x:c r="D705" s="66" t="n">
        <x:v>61.64399074084351</x:v>
      </x:c>
      <x:c r="E705" s="66" t="n">
        <x:v>456.99632265909463</x:v>
      </x:c>
      <x:c r="F705" s="66" t="n">
        <x:v>456.99632265909463</x:v>
      </x:c>
      <x:c r="G705" s="66" t="n">
        <x:v>518.6403133999381</x:v>
      </x:c>
      <x:c r="H705" s="45" t="n">
        <x:v>1</x:v>
      </x:c>
      <x:c r="I705" s="36" t="str">
        <x:v>generated design-reference observation; not predicted tract behavior</x:v>
      </x:c>
    </x:row>
    <x:row r="706" ht="75.5999984741211" hidden="0" customHeight="1">
      <x:c r="A706" s="34" t="str">
        <x:v>M0</x:v>
      </x:c>
      <x:c r="B706" s="34" t="str">
        <x:v>48201452101</x:v>
      </x:c>
      <x:c r="C706" s="65" t="n">
        <x:v>1006.5637933959282</x:v>
      </x:c>
      <x:c r="D706" s="65" t="n">
        <x:v>131.2686480370125</x:v>
      </x:c>
      <x:c r="E706" s="65" t="n">
        <x:v>875.2951453589158</x:v>
      </x:c>
      <x:c r="F706" s="65" t="n">
        <x:v>875.2951453589158</x:v>
      </x:c>
      <x:c r="G706" s="65" t="n">
        <x:v>1006.5637933959282</x:v>
      </x:c>
      <x:c r="H706" s="43" t="n">
        <x:v>1</x:v>
      </x:c>
      <x:c r="I706" s="34" t="str">
        <x:v>generated design-reference observation; not predicted tract behavior</x:v>
      </x:c>
    </x:row>
    <x:row r="707" ht="75.5999984741211" hidden="0" customHeight="1">
      <x:c r="A707" s="36" t="str">
        <x:v>M0</x:v>
      </x:c>
      <x:c r="B707" s="36" t="str">
        <x:v>48201452102</x:v>
      </x:c>
      <x:c r="C707" s="66" t="n">
        <x:v>144.85888625752796</x:v>
      </x:c>
      <x:c r="D707" s="66" t="n">
        <x:v>20.819271615970084</x:v>
      </x:c>
      <x:c r="E707" s="66" t="n">
        <x:v>124.03961464155788</x:v>
      </x:c>
      <x:c r="F707" s="66" t="n">
        <x:v>0</x:v>
      </x:c>
      <x:c r="G707" s="66" t="n">
        <x:v>20.819271615970084</x:v>
      </x:c>
      <x:c r="H707" s="45" t="n">
        <x:v>0.14372105263157894</x:v>
      </x:c>
      <x:c r="I707" s="36" t="str">
        <x:v>generated design-reference observation; not predicted tract behavior</x:v>
      </x:c>
    </x:row>
    <x:row r="708" ht="75.5999984741211" hidden="0" customHeight="1">
      <x:c r="A708" s="34" t="str">
        <x:v>M0</x:v>
      </x:c>
      <x:c r="B708" s="34" t="str">
        <x:v>48201452103</x:v>
      </x:c>
      <x:c r="C708" s="65" t="n">
        <x:v>200.55147309605238</x:v>
      </x:c>
      <x:c r="D708" s="65" t="n">
        <x:v>30.816906652183494</x:v>
      </x:c>
      <x:c r="E708" s="65" t="n">
        <x:v>169.73456644386889</x:v>
      </x:c>
      <x:c r="F708" s="65" t="n">
        <x:v>169.73456644386889</x:v>
      </x:c>
      <x:c r="G708" s="65" t="n">
        <x:v>200.55147309605238</x:v>
      </x:c>
      <x:c r="H708" s="43" t="n">
        <x:v>1</x:v>
      </x:c>
      <x:c r="I708" s="34" t="str">
        <x:v>generated design-reference observation; not predicted tract behavior</x:v>
      </x:c>
    </x:row>
    <x:row r="709" ht="75.5999984741211" hidden="0" customHeight="1">
      <x:c r="A709" s="36" t="str">
        <x:v>M0</x:v>
      </x:c>
      <x:c r="B709" s="36" t="str">
        <x:v>48201452202</x:v>
      </x:c>
      <x:c r="C709" s="66" t="n">
        <x:v>252.34573604635946</x:v>
      </x:c>
      <x:c r="D709" s="66" t="n">
        <x:v>38.34364783572609</x:v>
      </x:c>
      <x:c r="E709" s="66" t="n">
        <x:v>214.00208821063336</x:v>
      </x:c>
      <x:c r="F709" s="66" t="n">
        <x:v>0</x:v>
      </x:c>
      <x:c r="G709" s="66" t="n">
        <x:v>38.34364783572609</x:v>
      </x:c>
      <x:c r="H709" s="45" t="n">
        <x:v>0.15194886363636365</x:v>
      </x:c>
      <x:c r="I709" s="36" t="str">
        <x:v>generated design-reference observation; not predicted tract behavior</x:v>
      </x:c>
    </x:row>
    <x:row r="710" ht="75.5999984741211" hidden="0" customHeight="1">
      <x:c r="A710" s="34" t="str">
        <x:v>M0</x:v>
      </x:c>
      <x:c r="B710" s="34" t="str">
        <x:v>48201452203</x:v>
      </x:c>
      <x:c r="C710" s="65" t="n">
        <x:v>182.73393226018806</x:v>
      </x:c>
      <x:c r="D710" s="65" t="n">
        <x:v>29.497508895469117</x:v>
      </x:c>
      <x:c r="E710" s="65" t="n">
        <x:v>153.23642336471895</x:v>
      </x:c>
      <x:c r="F710" s="65" t="n">
        <x:v>106.67079134246217</x:v>
      </x:c>
      <x:c r="G710" s="65" t="n">
        <x:v>136.16830023793128</x:v>
      </x:c>
      <x:c r="H710" s="43" t="n">
        <x:v>0.7451724950790546</x:v>
      </x:c>
      <x:c r="I710" s="34" t="str">
        <x:v>generated design-reference observation; not predicted tract behavior</x:v>
      </x:c>
    </x:row>
    <x:row r="711" ht="75.5999984741211" hidden="0" customHeight="1">
      <x:c r="A711" s="36" t="str">
        <x:v>M0</x:v>
      </x:c>
      <x:c r="B711" s="36" t="str">
        <x:v>48201452204</x:v>
      </x:c>
      <x:c r="C711" s="66" t="n">
        <x:v>196.6335003979146</x:v>
      </x:c>
      <x:c r="D711" s="66" t="n">
        <x:v>27.798525730511518</x:v>
      </x:c>
      <x:c r="E711" s="66" t="n">
        <x:v>168.83497466740306</x:v>
      </x:c>
      <x:c r="F711" s="66" t="n">
        <x:v>83.87721296802266</x:v>
      </x:c>
      <x:c r="G711" s="66" t="n">
        <x:v>111.67573869853418</x:v>
      </x:c>
      <x:c r="H711" s="45" t="n">
        <x:v>0.5679385174578246</x:v>
      </x:c>
      <x:c r="I711" s="36" t="str">
        <x:v>generated design-reference observation; not predicted tract behavior</x:v>
      </x:c>
    </x:row>
    <x:row r="712" ht="75.5999984741211" hidden="0" customHeight="1">
      <x:c r="A712" s="34" t="str">
        <x:v>M0</x:v>
      </x:c>
      <x:c r="B712" s="34" t="str">
        <x:v>48201452300</x:v>
      </x:c>
      <x:c r="C712" s="65" t="n">
        <x:v>388.24839245276274</x:v>
      </x:c>
      <x:c r="D712" s="65" t="n">
        <x:v>33.2928530285263</x:v>
      </x:c>
      <x:c r="E712" s="65" t="n">
        <x:v>354.95553942423646</x:v>
      </x:c>
      <x:c r="F712" s="65" t="n">
        <x:v>354.95553942423646</x:v>
      </x:c>
      <x:c r="G712" s="65" t="n">
        <x:v>388.24839245276274</x:v>
      </x:c>
      <x:c r="H712" s="43" t="n">
        <x:v>1</x:v>
      </x:c>
      <x:c r="I712" s="34" t="str">
        <x:v>generated design-reference observation; not predicted tract behavior</x:v>
      </x:c>
    </x:row>
    <x:row r="713" ht="75.5999984741211" hidden="0" customHeight="1">
      <x:c r="A713" s="36" t="str">
        <x:v>M0</x:v>
      </x:c>
      <x:c r="B713" s="36" t="str">
        <x:v>48201452401</x:v>
      </x:c>
      <x:c r="C713" s="66" t="n">
        <x:v>556.1254060980232</x:v>
      </x:c>
      <x:c r="D713" s="66" t="n">
        <x:v>48.200759707139134</x:v>
      </x:c>
      <x:c r="E713" s="66" t="n">
        <x:v>507.92464639088405</x:v>
      </x:c>
      <x:c r="F713" s="66" t="n">
        <x:v>507.92464639088405</x:v>
      </x:c>
      <x:c r="G713" s="66" t="n">
        <x:v>556.1254060980232</x:v>
      </x:c>
      <x:c r="H713" s="45" t="n">
        <x:v>1</x:v>
      </x:c>
      <x:c r="I713" s="36" t="str">
        <x:v>generated design-reference observation; not predicted tract behavior</x:v>
      </x:c>
    </x:row>
    <x:row r="714" ht="75.5999984741211" hidden="0" customHeight="1">
      <x:c r="A714" s="34" t="str">
        <x:v>M0</x:v>
      </x:c>
      <x:c r="B714" s="34" t="str">
        <x:v>48201452402</x:v>
      </x:c>
      <x:c r="C714" s="65" t="n">
        <x:v>559.0978176049123</x:v>
      </x:c>
      <x:c r="D714" s="65" t="n">
        <x:v>86.07083594070396</x:v>
      </x:c>
      <x:c r="E714" s="65" t="n">
        <x:v>473.02698166420834</x:v>
      </x:c>
      <x:c r="F714" s="65" t="n">
        <x:v>473.02698166420834</x:v>
      </x:c>
      <x:c r="G714" s="65" t="n">
        <x:v>559.0978176049123</x:v>
      </x:c>
      <x:c r="H714" s="43" t="n">
        <x:v>1</x:v>
      </x:c>
      <x:c r="I714" s="34" t="str">
        <x:v>generated design-reference observation; not predicted tract behavior</x:v>
      </x:c>
    </x:row>
    <x:row r="715" ht="75.5999984741211" hidden="0" customHeight="1">
      <x:c r="A715" s="36" t="str">
        <x:v>M0</x:v>
      </x:c>
      <x:c r="B715" s="36" t="str">
        <x:v>48201452501</x:v>
      </x:c>
      <x:c r="C715" s="66" t="n">
        <x:v>201.49461597223404</x:v>
      </x:c>
      <x:c r="D715" s="66" t="n">
        <x:v>32.88814941041359</x:v>
      </x:c>
      <x:c r="E715" s="66" t="n">
        <x:v>168.60646656182047</x:v>
      </x:c>
      <x:c r="F715" s="66" t="n">
        <x:v>0</x:v>
      </x:c>
      <x:c r="G715" s="66" t="n">
        <x:v>32.88814941041359</x:v>
      </x:c>
      <x:c r="H715" s="45" t="n">
        <x:v>0.1632209836065574</x:v>
      </x:c>
      <x:c r="I715" s="36" t="str">
        <x:v>generated design-reference observation; not predicted tract behavior</x:v>
      </x:c>
    </x:row>
    <x:row r="716" ht="75.5999984741211" hidden="0" customHeight="1">
      <x:c r="A716" s="34" t="str">
        <x:v>M0</x:v>
      </x:c>
      <x:c r="B716" s="34" t="str">
        <x:v>48201452502</x:v>
      </x:c>
      <x:c r="C716" s="65" t="n">
        <x:v>367.43274551242115</x:v>
      </x:c>
      <x:c r="D716" s="65" t="n">
        <x:v>66.40107035231031</x:v>
      </x:c>
      <x:c r="E716" s="65" t="n">
        <x:v>301.0316751601108</x:v>
      </x:c>
      <x:c r="F716" s="65" t="n">
        <x:v>0</x:v>
      </x:c>
      <x:c r="G716" s="65" t="n">
        <x:v>66.40107035231031</x:v>
      </x:c>
      <x:c r="H716" s="43" t="n">
        <x:v>0.18071625668449195</x:v>
      </x:c>
      <x:c r="I716" s="34" t="str">
        <x:v>generated design-reference observation; not predicted tract behavior</x:v>
      </x:c>
    </x:row>
    <x:row r="717" ht="75.5999984741211" hidden="0" customHeight="1">
      <x:c r="A717" s="36" t="str">
        <x:v>M0</x:v>
      </x:c>
      <x:c r="B717" s="36" t="str">
        <x:v>48201452601</x:v>
      </x:c>
      <x:c r="C717" s="66" t="n">
        <x:v>772.0089967196949</x:v>
      </x:c>
      <x:c r="D717" s="66" t="n">
        <x:v>103.40777710428786</x:v>
      </x:c>
      <x:c r="E717" s="66" t="n">
        <x:v>668.601219615407</x:v>
      </x:c>
      <x:c r="F717" s="66" t="n">
        <x:v>668.601219615407</x:v>
      </x:c>
      <x:c r="G717" s="66" t="n">
        <x:v>772.0089967196949</x:v>
      </x:c>
      <x:c r="H717" s="45" t="n">
        <x:v>1</x:v>
      </x:c>
      <x:c r="I717" s="36" t="str">
        <x:v>generated design-reference observation; not predicted tract behavior</x:v>
      </x:c>
    </x:row>
    <x:row r="718" ht="75.5999984741211" hidden="0" customHeight="1">
      <x:c r="A718" s="34" t="str">
        <x:v>M0</x:v>
      </x:c>
      <x:c r="B718" s="34" t="str">
        <x:v>48201452602</x:v>
      </x:c>
      <x:c r="C718" s="65" t="n">
        <x:v>241.71180011741174</x:v>
      </x:c>
      <x:c r="D718" s="65" t="n">
        <x:v>41.68343877589994</x:v>
      </x:c>
      <x:c r="E718" s="65" t="n">
        <x:v>200.0283613415118</x:v>
      </x:c>
      <x:c r="F718" s="65" t="n">
        <x:v>0</x:v>
      </x:c>
      <x:c r="G718" s="65" t="n">
        <x:v>41.68343877589994</x:v>
      </x:c>
      <x:c r="H718" s="43" t="n">
        <x:v>0.17245098814229246</x:v>
      </x:c>
      <x:c r="I718" s="34" t="str">
        <x:v>generated design-reference observation; not predicted tract behavior</x:v>
      </x:c>
    </x:row>
    <x:row r="719" ht="75.5999984741211" hidden="0" customHeight="1">
      <x:c r="A719" s="36" t="str">
        <x:v>M0</x:v>
      </x:c>
      <x:c r="B719" s="36" t="str">
        <x:v>48201452701</x:v>
      </x:c>
      <x:c r="C719" s="66" t="n">
        <x:v>323.11288985585344</x:v>
      </x:c>
      <x:c r="D719" s="66" t="n">
        <x:v>59.503663879177196</x:v>
      </x:c>
      <x:c r="E719" s="66" t="n">
        <x:v>263.60922597667627</x:v>
      </x:c>
      <x:c r="F719" s="66" t="n">
        <x:v>0</x:v>
      </x:c>
      <x:c r="G719" s="66" t="n">
        <x:v>59.503663879177196</x:v>
      </x:c>
      <x:c r="H719" s="45" t="n">
        <x:v>0.18415750577367207</x:v>
      </x:c>
      <x:c r="I719" s="36" t="str">
        <x:v>generated design-reference observation; not predicted tract behavior</x:v>
      </x:c>
    </x:row>
    <x:row r="720" ht="75.5999984741211" hidden="0" customHeight="1">
      <x:c r="A720" s="34" t="str">
        <x:v>M0</x:v>
      </x:c>
      <x:c r="B720" s="34" t="str">
        <x:v>48201452702</x:v>
      </x:c>
      <x:c r="C720" s="65" t="n">
        <x:v>348.15333321847527</x:v>
      </x:c>
      <x:c r="D720" s="65" t="n">
        <x:v>54.30498465671922</x:v>
      </x:c>
      <x:c r="E720" s="65" t="n">
        <x:v>293.84834856175604</x:v>
      </x:c>
      <x:c r="F720" s="65" t="n">
        <x:v>0</x:v>
      </x:c>
      <x:c r="G720" s="65" t="n">
        <x:v>54.30498465671922</x:v>
      </x:c>
      <x:c r="H720" s="43" t="n">
        <x:v>0.1559800796812749</x:v>
      </x:c>
      <x:c r="I720" s="34" t="str">
        <x:v>generated design-reference observation; not predicted tract behavior</x:v>
      </x:c>
    </x:row>
    <x:row r="721" ht="75.5999984741211" hidden="0" customHeight="1">
      <x:c r="A721" s="36" t="str">
        <x:v>M0</x:v>
      </x:c>
      <x:c r="B721" s="36" t="str">
        <x:v>48201452703</x:v>
      </x:c>
      <x:c r="C721" s="66" t="n">
        <x:v>322.5037767483194</x:v>
      </x:c>
      <x:c r="D721" s="66" t="n">
        <x:v>55.062961097575396</x:v>
      </x:c>
      <x:c r="E721" s="66" t="n">
        <x:v>267.440815650744</x:v>
      </x:c>
      <x:c r="F721" s="66" t="n">
        <x:v>37.618158877698434</x:v>
      </x:c>
      <x:c r="G721" s="66" t="n">
        <x:v>92.68111997527383</x:v>
      </x:c>
      <x:c r="H721" s="45" t="n">
        <x:v>0.28737995228999064</x:v>
      </x:c>
      <x:c r="I721" s="36" t="str">
        <x:v>generated design-reference observation; not predicted tract behavior</x:v>
      </x:c>
    </x:row>
    <x:row r="722" ht="75.5999984741211" hidden="0" customHeight="1">
      <x:c r="A722" s="34" t="str">
        <x:v>M0</x:v>
      </x:c>
      <x:c r="B722" s="34" t="str">
        <x:v>48201452801</x:v>
      </x:c>
      <x:c r="C722" s="65" t="n">
        <x:v>940.5480241145826</x:v>
      </x:c>
      <x:c r="D722" s="65" t="n">
        <x:v>83.24482669035658</x:v>
      </x:c>
      <x:c r="E722" s="65" t="n">
        <x:v>857.303197424226</x:v>
      </x:c>
      <x:c r="F722" s="65" t="n">
        <x:v>857.303197424226</x:v>
      </x:c>
      <x:c r="G722" s="65" t="n">
        <x:v>940.5480241145826</x:v>
      </x:c>
      <x:c r="H722" s="43" t="n">
        <x:v>1</x:v>
      </x:c>
      <x:c r="I722" s="34" t="str">
        <x:v>generated design-reference observation; not predicted tract behavior</x:v>
      </x:c>
    </x:row>
    <x:row r="723" ht="75.5999984741211" hidden="0" customHeight="1">
      <x:c r="A723" s="36" t="str">
        <x:v>M0</x:v>
      </x:c>
      <x:c r="B723" s="36" t="str">
        <x:v>48201452802</x:v>
      </x:c>
      <x:c r="C723" s="66" t="n">
        <x:v>900.8973302738808</x:v>
      </x:c>
      <x:c r="D723" s="66" t="n">
        <x:v>138.5555184357627</x:v>
      </x:c>
      <x:c r="E723" s="66" t="n">
        <x:v>762.3418118381181</x:v>
      </x:c>
      <x:c r="F723" s="66" t="n">
        <x:v>762.3418118381181</x:v>
      </x:c>
      <x:c r="G723" s="66" t="n">
        <x:v>900.8973302738808</x:v>
      </x:c>
      <x:c r="H723" s="45" t="n">
        <x:v>1</x:v>
      </x:c>
      <x:c r="I723" s="36" t="str">
        <x:v>generated design-reference observation; not predicted tract behavior</x:v>
      </x:c>
    </x:row>
    <x:row r="724" ht="75.5999984741211" hidden="0" customHeight="1">
      <x:c r="A724" s="34" t="str">
        <x:v>M0</x:v>
      </x:c>
      <x:c r="B724" s="34" t="str">
        <x:v>48201452900</x:v>
      </x:c>
      <x:c r="C724" s="65" t="n">
        <x:v>743.4783201364339</x:v>
      </x:c>
      <x:c r="D724" s="65" t="n">
        <x:v>66.91304881227904</x:v>
      </x:c>
      <x:c r="E724" s="65" t="n">
        <x:v>676.5652713241549</x:v>
      </x:c>
      <x:c r="F724" s="65" t="n">
        <x:v>676.5652713241549</x:v>
      </x:c>
      <x:c r="G724" s="65" t="n">
        <x:v>743.4783201364339</x:v>
      </x:c>
      <x:c r="H724" s="43" t="n">
        <x:v>1</x:v>
      </x:c>
      <x:c r="I724" s="34" t="str">
        <x:v>generated design-reference observation; not predicted tract behavior</x:v>
      </x:c>
    </x:row>
    <x:row r="725" ht="75.5999984741211" hidden="0" customHeight="1">
      <x:c r="A725" s="36" t="str">
        <x:v>M0</x:v>
      </x:c>
      <x:c r="B725" s="36" t="str">
        <x:v>48201453001</x:v>
      </x:c>
      <x:c r="C725" s="66" t="n">
        <x:v>546.1716212817065</x:v>
      </x:c>
      <x:c r="D725" s="66" t="n">
        <x:v>48.85527957025461</x:v>
      </x:c>
      <x:c r="E725" s="66" t="n">
        <x:v>497.3163417114519</x:v>
      </x:c>
      <x:c r="F725" s="66" t="n">
        <x:v>497.3163417114519</x:v>
      </x:c>
      <x:c r="G725" s="66" t="n">
        <x:v>546.1716212817065</x:v>
      </x:c>
      <x:c r="H725" s="45" t="n">
        <x:v>1</x:v>
      </x:c>
      <x:c r="I725" s="36" t="str">
        <x:v>generated design-reference observation; not predicted tract behavior</x:v>
      </x:c>
    </x:row>
    <x:row r="726" ht="75.5999984741211" hidden="0" customHeight="1">
      <x:c r="A726" s="34" t="str">
        <x:v>M0</x:v>
      </x:c>
      <x:c r="B726" s="34" t="str">
        <x:v>48201453002</x:v>
      </x:c>
      <x:c r="C726" s="65" t="n">
        <x:v>883.6269332219549</x:v>
      </x:c>
      <x:c r="D726" s="65" t="n">
        <x:v>78.43038673626795</x:v>
      </x:c>
      <x:c r="E726" s="65" t="n">
        <x:v>805.196546485687</x:v>
      </x:c>
      <x:c r="F726" s="65" t="n">
        <x:v>805.196546485687</x:v>
      </x:c>
      <x:c r="G726" s="65" t="n">
        <x:v>883.6269332219549</x:v>
      </x:c>
      <x:c r="H726" s="43" t="n">
        <x:v>1</x:v>
      </x:c>
      <x:c r="I726" s="34" t="str">
        <x:v>generated design-reference observation; not predicted tract behavior</x:v>
      </x:c>
    </x:row>
    <x:row r="727" ht="75.5999984741211" hidden="0" customHeight="1">
      <x:c r="A727" s="36" t="str">
        <x:v>M0</x:v>
      </x:c>
      <x:c r="B727" s="36" t="str">
        <x:v>48201453100</x:v>
      </x:c>
      <x:c r="C727" s="66" t="n">
        <x:v>650.0938746615848</x:v>
      </x:c>
      <x:c r="D727" s="66" t="n">
        <x:v>52.955801565139645</x:v>
      </x:c>
      <x:c r="E727" s="66" t="n">
        <x:v>597.1380730964452</x:v>
      </x:c>
      <x:c r="F727" s="66" t="n">
        <x:v>597.1380730964452</x:v>
      </x:c>
      <x:c r="G727" s="66" t="n">
        <x:v>650.0938746615848</x:v>
      </x:c>
      <x:c r="H727" s="45" t="n">
        <x:v>1</x:v>
      </x:c>
      <x:c r="I727" s="36" t="str">
        <x:v>generated design-reference observation; not predicted tract behavior</x:v>
      </x:c>
    </x:row>
    <x:row r="728" ht="75.5999984741211" hidden="0" customHeight="1">
      <x:c r="A728" s="34" t="str">
        <x:v>M0</x:v>
      </x:c>
      <x:c r="B728" s="34" t="str">
        <x:v>48201453201</x:v>
      </x:c>
      <x:c r="C728" s="65" t="n">
        <x:v>704.5095911446632</x:v>
      </x:c>
      <x:c r="D728" s="65" t="n">
        <x:v>52.16074372497693</x:v>
      </x:c>
      <x:c r="E728" s="65" t="n">
        <x:v>652.3488474196863</x:v>
      </x:c>
      <x:c r="F728" s="65" t="n">
        <x:v>652.3488474196863</x:v>
      </x:c>
      <x:c r="G728" s="65" t="n">
        <x:v>704.5095911446632</x:v>
      </x:c>
      <x:c r="H728" s="43" t="n">
        <x:v>1</x:v>
      </x:c>
      <x:c r="I728" s="34" t="str">
        <x:v>generated design-reference observation; not predicted tract behavior</x:v>
      </x:c>
    </x:row>
    <x:row r="729" ht="75.5999984741211" hidden="0" customHeight="1">
      <x:c r="A729" s="36" t="str">
        <x:v>M0</x:v>
      </x:c>
      <x:c r="B729" s="36" t="str">
        <x:v>48201453202</x:v>
      </x:c>
      <x:c r="C729" s="66" t="n">
        <x:v>729.1111103226008</x:v>
      </x:c>
      <x:c r="D729" s="66" t="n">
        <x:v>103.79271693425488</x:v>
      </x:c>
      <x:c r="E729" s="66" t="n">
        <x:v>625.3183933883458</x:v>
      </x:c>
      <x:c r="F729" s="66" t="n">
        <x:v>625.3183933883458</x:v>
      </x:c>
      <x:c r="G729" s="66" t="n">
        <x:v>729.1111103226008</x:v>
      </x:c>
      <x:c r="H729" s="45" t="n">
        <x:v>1</x:v>
      </x:c>
      <x:c r="I729" s="36" t="str">
        <x:v>generated design-reference observation; not predicted tract behavior</x:v>
      </x:c>
    </x:row>
    <x:row r="730" ht="75.5999984741211" hidden="0" customHeight="1">
      <x:c r="A730" s="34" t="str">
        <x:v>M0</x:v>
      </x:c>
      <x:c r="B730" s="34" t="str">
        <x:v>48201453300</x:v>
      </x:c>
      <x:c r="C730" s="65" t="n">
        <x:v>673.5593903367368</x:v>
      </x:c>
      <x:c r="D730" s="65" t="n">
        <x:v>88.32869189291803</x:v>
      </x:c>
      <x:c r="E730" s="65" t="n">
        <x:v>585.2306984438187</x:v>
      </x:c>
      <x:c r="F730" s="65" t="n">
        <x:v>585.2306984438187</x:v>
      </x:c>
      <x:c r="G730" s="65" t="n">
        <x:v>673.5593903367368</x:v>
      </x:c>
      <x:c r="H730" s="43" t="n">
        <x:v>1</x:v>
      </x:c>
      <x:c r="I730" s="34" t="str">
        <x:v>generated design-reference observation; not predicted tract behavior</x:v>
      </x:c>
    </x:row>
    <x:row r="731" ht="75.5999984741211" hidden="0" customHeight="1">
      <x:c r="A731" s="36" t="str">
        <x:v>M0</x:v>
      </x:c>
      <x:c r="B731" s="36" t="str">
        <x:v>48201453401</x:v>
      </x:c>
      <x:c r="C731" s="66" t="n">
        <x:v>297.6401726749816</x:v>
      </x:c>
      <x:c r="D731" s="66" t="n">
        <x:v>50.92028074123586</x:v>
      </x:c>
      <x:c r="E731" s="66" t="n">
        <x:v>246.71989193374577</x:v>
      </x:c>
      <x:c r="F731" s="66" t="n">
        <x:v>0</x:v>
      </x:c>
      <x:c r="G731" s="66" t="n">
        <x:v>50.92028074123586</x:v>
      </x:c>
      <x:c r="H731" s="45" t="n">
        <x:v>0.17108</x:v>
      </x:c>
      <x:c r="I731" s="36" t="str">
        <x:v>generated design-reference observation; not predicted tract behavior</x:v>
      </x:c>
    </x:row>
    <x:row r="732" ht="75.5999984741211" hidden="0" customHeight="1">
      <x:c r="A732" s="34" t="str">
        <x:v>M0</x:v>
      </x:c>
      <x:c r="B732" s="34" t="str">
        <x:v>48201453403</x:v>
      </x:c>
      <x:c r="C732" s="65" t="n">
        <x:v>322.72777318141254</x:v>
      </x:c>
      <x:c r="D732" s="65" t="n">
        <x:v>52.423063633873944</x:v>
      </x:c>
      <x:c r="E732" s="65" t="n">
        <x:v>270.3047095475386</x:v>
      </x:c>
      <x:c r="F732" s="65" t="n">
        <x:v>0</x:v>
      </x:c>
      <x:c r="G732" s="65" t="n">
        <x:v>52.423063633873944</x:v>
      </x:c>
      <x:c r="H732" s="43" t="n">
        <x:v>0.16243741007194246</x:v>
      </x:c>
      <x:c r="I732" s="34" t="str">
        <x:v>generated design-reference observation; not predicted tract behavior</x:v>
      </x:c>
    </x:row>
    <x:row r="733" ht="75.5999984741211" hidden="0" customHeight="1">
      <x:c r="A733" s="36" t="str">
        <x:v>M0</x:v>
      </x:c>
      <x:c r="B733" s="36" t="str">
        <x:v>48201453404</x:v>
      </x:c>
      <x:c r="C733" s="66" t="n">
        <x:v>369.0242991159776</x:v>
      </x:c>
      <x:c r="D733" s="66" t="n">
        <x:v>63.86986480927143</x:v>
      </x:c>
      <x:c r="E733" s="66" t="n">
        <x:v>305.1544343067062</x:v>
      </x:c>
      <x:c r="F733" s="66" t="n">
        <x:v>0</x:v>
      </x:c>
      <x:c r="G733" s="66" t="n">
        <x:v>63.86986480927143</x:v>
      </x:c>
      <x:c r="H733" s="45" t="n">
        <x:v>0.17307766714082504</x:v>
      </x:c>
      <x:c r="I733" s="36" t="str">
        <x:v>generated design-reference observation; not predicted tract behavior</x:v>
      </x:c>
    </x:row>
    <x:row r="734" ht="75.5999984741211" hidden="0" customHeight="1">
      <x:c r="A734" s="34" t="str">
        <x:v>M0</x:v>
      </x:c>
      <x:c r="B734" s="34" t="str">
        <x:v>48201453405</x:v>
      </x:c>
      <x:c r="C734" s="65" t="n">
        <x:v>331.9469947960878</x:v>
      </x:c>
      <x:c r="D734" s="65" t="n">
        <x:v>54.67215734032435</x:v>
      </x:c>
      <x:c r="E734" s="65" t="n">
        <x:v>277.2748374557634</x:v>
      </x:c>
      <x:c r="F734" s="65" t="n">
        <x:v>0</x:v>
      </x:c>
      <x:c r="G734" s="65" t="n">
        <x:v>54.67215734032435</x:v>
      </x:c>
      <x:c r="H734" s="43" t="n">
        <x:v>0.16470146799765123</x:v>
      </x:c>
      <x:c r="I734" s="34" t="str">
        <x:v>generated design-reference observation; not predicted tract behavior</x:v>
      </x:c>
    </x:row>
    <x:row r="735" ht="75.5999984741211" hidden="0" customHeight="1">
      <x:c r="A735" s="36" t="str">
        <x:v>M0</x:v>
      </x:c>
      <x:c r="B735" s="36" t="str">
        <x:v>48201453501</x:v>
      </x:c>
      <x:c r="C735" s="66" t="n">
        <x:v>483.40002166291896</x:v>
      </x:c>
      <x:c r="D735" s="66" t="n">
        <x:v>86.8263089405554</x:v>
      </x:c>
      <x:c r="E735" s="66" t="n">
        <x:v>396.57371272236355</x:v>
      </x:c>
      <x:c r="F735" s="66" t="n">
        <x:v>0</x:v>
      </x:c>
      <x:c r="G735" s="66" t="n">
        <x:v>86.8263089405554</x:v>
      </x:c>
      <x:c r="H735" s="45" t="n">
        <x:v>0.1796158565361019</x:v>
      </x:c>
      <x:c r="I735" s="36" t="str">
        <x:v>generated design-reference observation; not predicted tract behavior</x:v>
      </x:c>
    </x:row>
    <x:row r="736" ht="75.5999984741211" hidden="0" customHeight="1">
      <x:c r="A736" s="34" t="str">
        <x:v>M0</x:v>
      </x:c>
      <x:c r="B736" s="34" t="str">
        <x:v>48201453502</x:v>
      </x:c>
      <x:c r="C736" s="65" t="n">
        <x:v>521.1015535595122</x:v>
      </x:c>
      <x:c r="D736" s="65" t="n">
        <x:v>84.78409126672192</x:v>
      </x:c>
      <x:c r="E736" s="65" t="n">
        <x:v>436.3174622927903</x:v>
      </x:c>
      <x:c r="F736" s="65" t="n">
        <x:v>436.3174622927903</x:v>
      </x:c>
      <x:c r="G736" s="65" t="n">
        <x:v>521.1015535595122</x:v>
      </x:c>
      <x:c r="H736" s="43" t="n">
        <x:v>1</x:v>
      </x:c>
      <x:c r="I736" s="34" t="str">
        <x:v>generated design-reference observation; not predicted tract behavior</x:v>
      </x:c>
    </x:row>
    <x:row r="737" ht="75.5999984741211" hidden="0" customHeight="1">
      <x:c r="A737" s="36" t="str">
        <x:v>M0</x:v>
      </x:c>
      <x:c r="B737" s="36" t="str">
        <x:v>48201453601</x:v>
      </x:c>
      <x:c r="C737" s="66" t="n">
        <x:v>131.26190979257638</x:v>
      </x:c>
      <x:c r="D737" s="66" t="n">
        <x:v>22.18824165497202</x:v>
      </x:c>
      <x:c r="E737" s="66" t="n">
        <x:v>109.07366813760436</x:v>
      </x:c>
      <x:c r="F737" s="66" t="n">
        <x:v>0</x:v>
      </x:c>
      <x:c r="G737" s="66" t="n">
        <x:v>22.18824165497202</x:v>
      </x:c>
      <x:c r="H737" s="45" t="n">
        <x:v>0.16903793103448275</x:v>
      </x:c>
      <x:c r="I737" s="36" t="str">
        <x:v>generated design-reference observation; not predicted tract behavior</x:v>
      </x:c>
    </x:row>
    <x:row r="738" ht="75.5999984741211" hidden="0" customHeight="1">
      <x:c r="A738" s="34" t="str">
        <x:v>M0</x:v>
      </x:c>
      <x:c r="B738" s="34" t="str">
        <x:v>48201453603</x:v>
      </x:c>
      <x:c r="C738" s="65" t="n">
        <x:v>602.3055506199826</x:v>
      </x:c>
      <x:c r="D738" s="65" t="n">
        <x:v>49.27775955996314</x:v>
      </x:c>
      <x:c r="E738" s="65" t="n">
        <x:v>553.0277910600195</x:v>
      </x:c>
      <x:c r="F738" s="65" t="n">
        <x:v>553.0277910600195</x:v>
      </x:c>
      <x:c r="G738" s="65" t="n">
        <x:v>602.3055506199826</x:v>
      </x:c>
      <x:c r="H738" s="43" t="n">
        <x:v>1</x:v>
      </x:c>
      <x:c r="I738" s="34" t="str">
        <x:v>generated design-reference observation; not predicted tract behavior</x:v>
      </x:c>
    </x:row>
    <x:row r="739" ht="75.5999984741211" hidden="0" customHeight="1">
      <x:c r="A739" s="36" t="str">
        <x:v>M0</x:v>
      </x:c>
      <x:c r="B739" s="36" t="str">
        <x:v>48201453604</x:v>
      </x:c>
      <x:c r="C739" s="66" t="n">
        <x:v>291.26216897480344</x:v>
      </x:c>
      <x:c r="D739" s="66" t="n">
        <x:v>54.757287767263044</x:v>
      </x:c>
      <x:c r="E739" s="66" t="n">
        <x:v>236.5048812075404</x:v>
      </x:c>
      <x:c r="F739" s="66" t="n">
        <x:v>0</x:v>
      </x:c>
      <x:c r="G739" s="66" t="n">
        <x:v>54.757287767263044</x:v>
      </x:c>
      <x:c r="H739" s="45" t="n">
        <x:v>0.188</x:v>
      </x:c>
      <x:c r="I739" s="36" t="str">
        <x:v>generated design-reference observation; not predicted tract behavior</x:v>
      </x:c>
    </x:row>
    <x:row r="740" ht="75.5999984741211" hidden="0" customHeight="1">
      <x:c r="A740" s="34" t="str">
        <x:v>M0</x:v>
      </x:c>
      <x:c r="B740" s="34" t="str">
        <x:v>48201453701</x:v>
      </x:c>
      <x:c r="C740" s="65" t="n">
        <x:v>366.81970264290305</x:v>
      </x:c>
      <x:c r="D740" s="65" t="n">
        <x:v>65.37862293709792</x:v>
      </x:c>
      <x:c r="E740" s="65" t="n">
        <x:v>301.4410797058051</x:v>
      </x:c>
      <x:c r="F740" s="65" t="n">
        <x:v>0</x:v>
      </x:c>
      <x:c r="G740" s="65" t="n">
        <x:v>65.37862293709792</x:v>
      </x:c>
      <x:c r="H740" s="43" t="n">
        <x:v>0.17823094688221708</x:v>
      </x:c>
      <x:c r="I740" s="34" t="str">
        <x:v>generated design-reference observation; not predicted tract behavior</x:v>
      </x:c>
    </x:row>
    <x:row r="741" ht="75.5999984741211" hidden="0" customHeight="1">
      <x:c r="A741" s="36" t="str">
        <x:v>M0</x:v>
      </x:c>
      <x:c r="B741" s="36" t="str">
        <x:v>48201453702</x:v>
      </x:c>
      <x:c r="C741" s="66" t="n">
        <x:v>780.9996875605259</x:v>
      </x:c>
      <x:c r="D741" s="66" t="n">
        <x:v>63.445202441282795</x:v>
      </x:c>
      <x:c r="E741" s="66" t="n">
        <x:v>717.554485119243</x:v>
      </x:c>
      <x:c r="F741" s="66" t="n">
        <x:v>717.554485119243</x:v>
      </x:c>
      <x:c r="G741" s="66" t="n">
        <x:v>780.9996875605259</x:v>
      </x:c>
      <x:c r="H741" s="45" t="n">
        <x:v>1</x:v>
      </x:c>
      <x:c r="I741" s="36" t="str">
        <x:v>generated design-reference observation; not predicted tract behavior</x:v>
      </x:c>
    </x:row>
    <x:row r="742" ht="75.5999984741211" hidden="0" customHeight="1">
      <x:c r="A742" s="34" t="str">
        <x:v>M0</x:v>
      </x:c>
      <x:c r="B742" s="34" t="str">
        <x:v>48201453800</x:v>
      </x:c>
      <x:c r="C742" s="65" t="n">
        <x:v>628.9928665433214</x:v>
      </x:c>
      <x:c r="D742" s="65" t="n">
        <x:v>54.144111753898486</x:v>
      </x:c>
      <x:c r="E742" s="65" t="n">
        <x:v>574.8487547894229</x:v>
      </x:c>
      <x:c r="F742" s="65" t="n">
        <x:v>574.8487547894229</x:v>
      </x:c>
      <x:c r="G742" s="65" t="n">
        <x:v>628.9928665433214</x:v>
      </x:c>
      <x:c r="H742" s="43" t="n">
        <x:v>1</x:v>
      </x:c>
      <x:c r="I742" s="34" t="str">
        <x:v>generated design-reference observation; not predicted tract behavior</x:v>
      </x:c>
    </x:row>
    <x:row r="743" ht="75.5999984741211" hidden="0" customHeight="1">
      <x:c r="A743" s="36" t="str">
        <x:v>M0</x:v>
      </x:c>
      <x:c r="B743" s="36" t="str">
        <x:v>48201453901</x:v>
      </x:c>
      <x:c r="C743" s="66" t="n">
        <x:v>492.32451112878744</x:v>
      </x:c>
      <x:c r="D743" s="66" t="n">
        <x:v>91.73572759787268</x:v>
      </x:c>
      <x:c r="E743" s="66" t="n">
        <x:v>400.5887835309147</x:v>
      </x:c>
      <x:c r="F743" s="66" t="n">
        <x:v>129.3910464834717</x:v>
      </x:c>
      <x:c r="G743" s="66" t="n">
        <x:v>221.1267740813444</x:v>
      </x:c>
      <x:c r="H743" s="45" t="n">
        <x:v>0.4491484154919512</x:v>
      </x:c>
      <x:c r="I743" s="36" t="str">
        <x:v>generated design-reference observation; not predicted tract behavior</x:v>
      </x:c>
    </x:row>
    <x:row r="744" ht="75.5999984741211" hidden="0" customHeight="1">
      <x:c r="A744" s="34" t="str">
        <x:v>M0</x:v>
      </x:c>
      <x:c r="B744" s="34" t="str">
        <x:v>48201453902</x:v>
      </x:c>
      <x:c r="C744" s="65" t="n">
        <x:v>533.0462162548457</x:v>
      </x:c>
      <x:c r="D744" s="65" t="n">
        <x:v>85.33518495119819</x:v>
      </x:c>
      <x:c r="E744" s="65" t="n">
        <x:v>447.71103130364753</x:v>
      </x:c>
      <x:c r="F744" s="65" t="n">
        <x:v>447.71103130364753</x:v>
      </x:c>
      <x:c r="G744" s="65" t="n">
        <x:v>533.0462162548457</x:v>
      </x:c>
      <x:c r="H744" s="43" t="n">
        <x:v>1</x:v>
      </x:c>
      <x:c r="I744" s="34" t="str">
        <x:v>generated design-reference observation; not predicted tract behavior</x:v>
      </x:c>
    </x:row>
    <x:row r="745" ht="75.5999984741211" hidden="0" customHeight="1">
      <x:c r="A745" s="36" t="str">
        <x:v>M0</x:v>
      </x:c>
      <x:c r="B745" s="36" t="str">
        <x:v>48201454000</x:v>
      </x:c>
      <x:c r="C745" s="66" t="n">
        <x:v>346.003753413178</x:v>
      </x:c>
      <x:c r="D745" s="66" t="n">
        <x:v>65.04870564167747</x:v>
      </x:c>
      <x:c r="E745" s="66" t="n">
        <x:v>280.9550477715005</x:v>
      </x:c>
      <x:c r="F745" s="66" t="n">
        <x:v>95.85579380941161</x:v>
      </x:c>
      <x:c r="G745" s="66" t="n">
        <x:v>160.90449945108907</x:v>
      </x:c>
      <x:c r="H745" s="45" t="n">
        <x:v>0.4650368612011733</x:v>
      </x:c>
      <x:c r="I745" s="36" t="str">
        <x:v>generated design-reference observation; not predicted tract behavior</x:v>
      </x:c>
    </x:row>
    <x:row r="746" ht="75.5999984741211" hidden="0" customHeight="1">
      <x:c r="A746" s="34" t="str">
        <x:v>M0</x:v>
      </x:c>
      <x:c r="B746" s="34" t="str">
        <x:v>48201454100</x:v>
      </x:c>
      <x:c r="C746" s="65" t="n">
        <x:v>668.5879391374795</x:v>
      </x:c>
      <x:c r="D746" s="65" t="n">
        <x:v>57.78988020263464</x:v>
      </x:c>
      <x:c r="E746" s="65" t="n">
        <x:v>610.7980589348448</x:v>
      </x:c>
      <x:c r="F746" s="65" t="n">
        <x:v>610.7980589348448</x:v>
      </x:c>
      <x:c r="G746" s="65" t="n">
        <x:v>668.5879391374795</x:v>
      </x:c>
      <x:c r="H746" s="43" t="n">
        <x:v>1</x:v>
      </x:c>
      <x:c r="I746" s="34" t="str">
        <x:v>generated design-reference observation; not predicted tract behavior</x:v>
      </x:c>
    </x:row>
    <x:row r="747" ht="75.5999984741211" hidden="0" customHeight="1">
      <x:c r="A747" s="36" t="str">
        <x:v>M0</x:v>
      </x:c>
      <x:c r="B747" s="36" t="str">
        <x:v>48201454200</x:v>
      </x:c>
      <x:c r="C747" s="66" t="n">
        <x:v>344.0192236112125</x:v>
      </x:c>
      <x:c r="D747" s="66" t="n">
        <x:v>64.67561403890795</x:v>
      </x:c>
      <x:c r="E747" s="66" t="n">
        <x:v>279.34360957230456</x:v>
      </x:c>
      <x:c r="F747" s="66" t="n">
        <x:v>100.39900528318702</x:v>
      </x:c>
      <x:c r="G747" s="66" t="n">
        <x:v>165.07461932209497</x:v>
      </x:c>
      <x:c r="H747" s="45" t="n">
        <x:v>0.47984126465168486</x:v>
      </x:c>
      <x:c r="I747" s="36" t="str">
        <x:v>generated design-reference observation; not predicted tract behavior</x:v>
      </x:c>
    </x:row>
    <x:row r="748" ht="75.5999984741211" hidden="0" customHeight="1">
      <x:c r="A748" s="34" t="str">
        <x:v>M0</x:v>
      </x:c>
      <x:c r="B748" s="34" t="str">
        <x:v>48201454302</x:v>
      </x:c>
      <x:c r="C748" s="65" t="n">
        <x:v>471.9251166693759</x:v>
      </x:c>
      <x:c r="D748" s="65" t="n">
        <x:v>88.17936285172615</x:v>
      </x:c>
      <x:c r="E748" s="65" t="n">
        <x:v>383.74575381764976</x:v>
      </x:c>
      <x:c r="F748" s="65" t="n">
        <x:v>0</x:v>
      </x:c>
      <x:c r="G748" s="65" t="n">
        <x:v>88.17936285172615</x:v>
      </x:c>
      <x:c r="H748" s="43" t="n">
        <x:v>0.186850328022493</x:v>
      </x:c>
      <x:c r="I748" s="34" t="str">
        <x:v>generated design-reference observation; not predicted tract behavior</x:v>
      </x:c>
    </x:row>
    <x:row r="749" ht="75.5999984741211" hidden="0" customHeight="1">
      <x:c r="A749" s="36" t="str">
        <x:v>M0</x:v>
      </x:c>
      <x:c r="B749" s="36" t="str">
        <x:v>48201454303</x:v>
      </x:c>
      <x:c r="C749" s="66" t="n">
        <x:v>661.4865569428454</x:v>
      </x:c>
      <x:c r="D749" s="66" t="n">
        <x:v>57.87457799826454</x:v>
      </x:c>
      <x:c r="E749" s="66" t="n">
        <x:v>603.6119789445809</x:v>
      </x:c>
      <x:c r="F749" s="66" t="n">
        <x:v>603.6119789445809</x:v>
      </x:c>
      <x:c r="G749" s="66" t="n">
        <x:v>661.4865569428454</x:v>
      </x:c>
      <x:c r="H749" s="45" t="n">
        <x:v>1</x:v>
      </x:c>
      <x:c r="I749" s="36" t="str">
        <x:v>generated design-reference observation; not predicted tract behavior</x:v>
      </x:c>
    </x:row>
    <x:row r="750" ht="75.5999984741211" hidden="0" customHeight="1">
      <x:c r="A750" s="34" t="str">
        <x:v>M0</x:v>
      </x:c>
      <x:c r="B750" s="34" t="str">
        <x:v>48201454304</x:v>
      </x:c>
      <x:c r="C750" s="65" t="n">
        <x:v>477.5289572586883</x:v>
      </x:c>
      <x:c r="D750" s="65" t="n">
        <x:v>78.67620375533954</x:v>
      </x:c>
      <x:c r="E750" s="65" t="n">
        <x:v>398.85275350334877</x:v>
      </x:c>
      <x:c r="F750" s="65" t="n">
        <x:v>243.3321970574411</x:v>
      </x:c>
      <x:c r="G750" s="65" t="n">
        <x:v>322.0084008127807</x:v>
      </x:c>
      <x:c r="H750" s="43" t="n">
        <x:v>0.6743222498197976</x:v>
      </x:c>
      <x:c r="I750" s="34" t="str">
        <x:v>generated design-reference observation; not predicted tract behavior</x:v>
      </x:c>
    </x:row>
    <x:row r="751" ht="75.5999984741211" hidden="0" customHeight="1">
      <x:c r="A751" s="36" t="str">
        <x:v>M0</x:v>
      </x:c>
      <x:c r="B751" s="36" t="str">
        <x:v>48201454305</x:v>
      </x:c>
      <x:c r="C751" s="66" t="n">
        <x:v>282.03115807417583</x:v>
      </x:c>
      <x:c r="D751" s="66" t="n">
        <x:v>48.439147012634855</x:v>
      </x:c>
      <x:c r="E751" s="66" t="n">
        <x:v>233.59201106154097</x:v>
      </x:c>
      <x:c r="F751" s="66" t="n">
        <x:v>64.0861323991932</x:v>
      </x:c>
      <x:c r="G751" s="66" t="n">
        <x:v>112.52527941182805</x:v>
      </x:c>
      <x:c r="H751" s="45" t="n">
        <x:v>0.3989817301754767</x:v>
      </x:c>
      <x:c r="I751" s="36" t="str">
        <x:v>generated design-reference observation; not predicted tract behavior</x:v>
      </x:c>
    </x:row>
    <x:row r="752" ht="75.5999984741211" hidden="0" customHeight="1">
      <x:c r="A752" s="34" t="str">
        <x:v>M0</x:v>
      </x:c>
      <x:c r="B752" s="34" t="str">
        <x:v>48201454400</x:v>
      </x:c>
      <x:c r="C752" s="65" t="n">
        <x:v>172.2614188619714</x:v>
      </x:c>
      <x:c r="D752" s="65" t="n">
        <x:v>8.748419200775833</x:v>
      </x:c>
      <x:c r="E752" s="65" t="n">
        <x:v>163.51299966119558</x:v>
      </x:c>
      <x:c r="F752" s="65" t="n">
        <x:v>163.51299966119558</x:v>
      </x:c>
      <x:c r="G752" s="65" t="n">
        <x:v>172.2614188619714</x:v>
      </x:c>
      <x:c r="H752" s="43" t="n">
        <x:v>1</x:v>
      </x:c>
      <x:c r="I752" s="34" t="str">
        <x:v>generated design-reference observation; not predicted tract behavior</x:v>
      </x:c>
    </x:row>
    <x:row r="753" ht="75.5999984741211" hidden="0" customHeight="1">
      <x:c r="A753" s="36" t="str">
        <x:v>M0</x:v>
      </x:c>
      <x:c r="B753" s="36" t="str">
        <x:v>48201454502</x:v>
      </x:c>
      <x:c r="C753" s="66" t="n">
        <x:v>377.7867614723483</x:v>
      </x:c>
      <x:c r="D753" s="66" t="n">
        <x:v>34.00080853251134</x:v>
      </x:c>
      <x:c r="E753" s="66" t="n">
        <x:v>343.785952939837</x:v>
      </x:c>
      <x:c r="F753" s="66" t="n">
        <x:v>343.785952939837</x:v>
      </x:c>
      <x:c r="G753" s="66" t="n">
        <x:v>377.7867614723483</x:v>
      </x:c>
      <x:c r="H753" s="45" t="n">
        <x:v>1</x:v>
      </x:c>
      <x:c r="I753" s="36" t="str">
        <x:v>generated design-reference observation; not predicted tract behavior</x:v>
      </x:c>
    </x:row>
    <x:row r="754" ht="75.5999984741211" hidden="0" customHeight="1">
      <x:c r="A754" s="34" t="str">
        <x:v>M0</x:v>
      </x:c>
      <x:c r="B754" s="34" t="str">
        <x:v>48201454503</x:v>
      </x:c>
      <x:c r="C754" s="65" t="n">
        <x:v>217.57913177311465</x:v>
      </x:c>
      <x:c r="D754" s="65" t="n">
        <x:v>40.904876773345556</x:v>
      </x:c>
      <x:c r="E754" s="65" t="n">
        <x:v>176.6742549997691</x:v>
      </x:c>
      <x:c r="F754" s="65" t="n">
        <x:v>176.6742549997691</x:v>
      </x:c>
      <x:c r="G754" s="65" t="n">
        <x:v>217.57913177311465</x:v>
      </x:c>
      <x:c r="H754" s="43" t="n">
        <x:v>1</x:v>
      </x:c>
      <x:c r="I754" s="34" t="str">
        <x:v>generated design-reference observation; not predicted tract behavior</x:v>
      </x:c>
    </x:row>
    <x:row r="755" ht="75.5999984741211" hidden="0" customHeight="1">
      <x:c r="A755" s="36" t="str">
        <x:v>M0</x:v>
      </x:c>
      <x:c r="B755" s="36" t="str">
        <x:v>48201454504</x:v>
      </x:c>
      <x:c r="C755" s="66" t="n">
        <x:v>904.1608464569757</x:v>
      </x:c>
      <x:c r="D755" s="66" t="n">
        <x:v>75.81328759197159</x:v>
      </x:c>
      <x:c r="E755" s="66" t="n">
        <x:v>828.3475588650041</x:v>
      </x:c>
      <x:c r="F755" s="66" t="n">
        <x:v>828.3475588650041</x:v>
      </x:c>
      <x:c r="G755" s="66" t="n">
        <x:v>904.1608464569757</x:v>
      </x:c>
      <x:c r="H755" s="45" t="n">
        <x:v>1</x:v>
      </x:c>
      <x:c r="I755" s="36" t="str">
        <x:v>generated design-reference observation; not predicted tract behavior</x:v>
      </x:c>
    </x:row>
    <x:row r="756" ht="75.5999984741211" hidden="0" customHeight="1">
      <x:c r="A756" s="34" t="str">
        <x:v>M0</x:v>
      </x:c>
      <x:c r="B756" s="34" t="str">
        <x:v>48201454505</x:v>
      </x:c>
      <x:c r="C756" s="65" t="n">
        <x:v>196.02438729038064</x:v>
      </x:c>
      <x:c r="D756" s="65" t="n">
        <x:v>36.85258481059156</x:v>
      </x:c>
      <x:c r="E756" s="65" t="n">
        <x:v>159.17180247978908</x:v>
      </x:c>
      <x:c r="F756" s="65" t="n">
        <x:v>159.17180247978908</x:v>
      </x:c>
      <x:c r="G756" s="65" t="n">
        <x:v>196.02438729038064</x:v>
      </x:c>
      <x:c r="H756" s="43" t="n">
        <x:v>1</x:v>
      </x:c>
      <x:c r="I756" s="34" t="str">
        <x:v>generated design-reference observation; not predicted tract behavior</x:v>
      </x:c>
    </x:row>
    <x:row r="757" ht="75.5999984741211" hidden="0" customHeight="1">
      <x:c r="A757" s="36" t="str">
        <x:v>M0</x:v>
      </x:c>
      <x:c r="B757" s="36" t="str">
        <x:v>48201454600</x:v>
      </x:c>
      <x:c r="C757" s="66" t="n">
        <x:v>425.01161810330876</x:v>
      </x:c>
      <x:c r="D757" s="66" t="n">
        <x:v>68.91403583176745</x:v>
      </x:c>
      <x:c r="E757" s="66" t="n">
        <x:v>356.09758227154134</x:v>
      </x:c>
      <x:c r="F757" s="66" t="n">
        <x:v>80.87607067425036</x:v>
      </x:c>
      <x:c r="G757" s="66" t="n">
        <x:v>149.79010650601782</x:v>
      </x:c>
      <x:c r="H757" s="45" t="n">
        <x:v>0.3524376749381188</x:v>
      </x:c>
      <x:c r="I757" s="36" t="str">
        <x:v>generated design-reference observation; not predicted tract behavior</x:v>
      </x:c>
    </x:row>
    <x:row r="758" ht="75.5999984741211" hidden="0" customHeight="1">
      <x:c r="A758" s="34" t="str">
        <x:v>M0</x:v>
      </x:c>
      <x:c r="B758" s="34" t="str">
        <x:v>48201454700</x:v>
      </x:c>
      <x:c r="C758" s="65" t="n">
        <x:v>606.0793312822426</x:v>
      </x:c>
      <x:c r="D758" s="65" t="n">
        <x:v>113.02117707732477</x:v>
      </x:c>
      <x:c r="E758" s="65" t="n">
        <x:v>493.05815420491786</x:v>
      </x:c>
      <x:c r="F758" s="65" t="n">
        <x:v>493.05815420491786</x:v>
      </x:c>
      <x:c r="G758" s="65" t="n">
        <x:v>606.0793312822426</x:v>
      </x:c>
      <x:c r="H758" s="43" t="n">
        <x:v>1</x:v>
      </x:c>
      <x:c r="I758" s="34" t="str">
        <x:v>generated design-reference observation; not predicted tract behavior</x:v>
      </x:c>
    </x:row>
    <x:row r="759" ht="75.5999984741211" hidden="0" customHeight="1">
      <x:c r="A759" s="36" t="str">
        <x:v>M0</x:v>
      </x:c>
      <x:c r="B759" s="36" t="str">
        <x:v>48201454801</x:v>
      </x:c>
      <x:c r="C759" s="66" t="n">
        <x:v>330.3357923826109</x:v>
      </x:c>
      <x:c r="D759" s="66" t="n">
        <x:v>49.5381904203461</x:v>
      </x:c>
      <x:c r="E759" s="66" t="n">
        <x:v>280.7976019622648</x:v>
      </x:c>
      <x:c r="F759" s="66" t="n">
        <x:v>280.7976019622648</x:v>
      </x:c>
      <x:c r="G759" s="66" t="n">
        <x:v>330.3357923826109</x:v>
      </x:c>
      <x:c r="H759" s="45" t="n">
        <x:v>1</x:v>
      </x:c>
      <x:c r="I759" s="36" t="str">
        <x:v>generated design-reference observation; not predicted tract behavior</x:v>
      </x:c>
    </x:row>
    <x:row r="760" ht="75.5999984741211" hidden="0" customHeight="1">
      <x:c r="A760" s="34" t="str">
        <x:v>M0</x:v>
      </x:c>
      <x:c r="B760" s="34" t="str">
        <x:v>48201454802</x:v>
      </x:c>
      <x:c r="C760" s="65" t="n">
        <x:v>348.34982131767975</x:v>
      </x:c>
      <x:c r="D760" s="65" t="n">
        <x:v>63.72696671377356</x:v>
      </x:c>
      <x:c r="E760" s="65" t="n">
        <x:v>284.6228546039062</x:v>
      </x:c>
      <x:c r="F760" s="65" t="n">
        <x:v>89.96821155762267</x:v>
      </x:c>
      <x:c r="G760" s="65" t="n">
        <x:v>153.69517827139623</x:v>
      </x:c>
      <x:c r="H760" s="43" t="n">
        <x:v>0.44120929268751646</x:v>
      </x:c>
      <x:c r="I760" s="34" t="str">
        <x:v>generated design-reference observation; not predicted tract behavior</x:v>
      </x:c>
    </x:row>
    <x:row r="761" ht="75.5999984741211" hidden="0" customHeight="1">
      <x:c r="A761" s="36" t="str">
        <x:v>M0</x:v>
      </x:c>
      <x:c r="B761" s="36" t="str">
        <x:v>48201454901</x:v>
      </x:c>
      <x:c r="C761" s="66" t="n">
        <x:v>192.34613007327235</x:v>
      </x:c>
      <x:c r="D761" s="66" t="n">
        <x:v>34.75598060697156</x:v>
      </x:c>
      <x:c r="E761" s="66" t="n">
        <x:v>157.59014946630077</x:v>
      </x:c>
      <x:c r="F761" s="66" t="n">
        <x:v>157.59014946630077</x:v>
      </x:c>
      <x:c r="G761" s="66" t="n">
        <x:v>192.34613007327232</x:v>
      </x:c>
      <x:c r="H761" s="45" t="n">
        <x:v>0.9999999999999999</x:v>
      </x:c>
      <x:c r="I761" s="36" t="str">
        <x:v>generated design-reference observation; not predicted tract behavior</x:v>
      </x:c>
    </x:row>
    <x:row r="762" ht="75.5999984741211" hidden="0" customHeight="1">
      <x:c r="A762" s="34" t="str">
        <x:v>M0</x:v>
      </x:c>
      <x:c r="B762" s="34" t="str">
        <x:v>48201454902</x:v>
      </x:c>
      <x:c r="C762" s="65" t="n">
        <x:v>683.8336018994487</x:v>
      </x:c>
      <x:c r="D762" s="65" t="n">
        <x:v>115.6096384225792</x:v>
      </x:c>
      <x:c r="E762" s="65" t="n">
        <x:v>568.2239634768695</x:v>
      </x:c>
      <x:c r="F762" s="65" t="n">
        <x:v>568.2239634768695</x:v>
      </x:c>
      <x:c r="G762" s="65" t="n">
        <x:v>683.8336018994487</x:v>
      </x:c>
      <x:c r="H762" s="43" t="n">
        <x:v>1</x:v>
      </x:c>
      <x:c r="I762" s="34" t="str">
        <x:v>generated design-reference observation; not predicted tract behavior</x:v>
      </x:c>
    </x:row>
    <x:row r="763" ht="75.5999984741211" hidden="0" customHeight="1">
      <x:c r="A763" s="36" t="str">
        <x:v>M0</x:v>
      </x:c>
      <x:c r="B763" s="36" t="str">
        <x:v>48201455000</x:v>
      </x:c>
      <x:c r="C763" s="66" t="n">
        <x:v>289.23048202902885</x:v>
      </x:c>
      <x:c r="D763" s="66" t="n">
        <x:v>48.22641046180298</x:v>
      </x:c>
      <x:c r="E763" s="66" t="n">
        <x:v>241.00407156722588</x:v>
      </x:c>
      <x:c r="F763" s="66" t="n">
        <x:v>59.33988906575129</x:v>
      </x:c>
      <x:c r="G763" s="66" t="n">
        <x:v>107.56629952755426</x:v>
      </x:c>
      <x:c r="H763" s="45" t="n">
        <x:v>0.37190512830095923</x:v>
      </x:c>
      <x:c r="I763" s="36" t="str">
        <x:v>generated design-reference observation; not predicted tract behavior</x:v>
      </x:c>
    </x:row>
    <x:row r="764" ht="75.5999984741211" hidden="0" customHeight="1">
      <x:c r="A764" s="34" t="str">
        <x:v>M0</x:v>
      </x:c>
      <x:c r="B764" s="34" t="str">
        <x:v>48201455102</x:v>
      </x:c>
      <x:c r="C764" s="65" t="n">
        <x:v>230.88137608925956</x:v>
      </x:c>
      <x:c r="D764" s="65" t="n">
        <x:v>43.4056987047808</x:v>
      </x:c>
      <x:c r="E764" s="65" t="n">
        <x:v>187.47567738447876</x:v>
      </x:c>
      <x:c r="F764" s="65" t="n">
        <x:v>187.47567738447873</x:v>
      </x:c>
      <x:c r="G764" s="65" t="n">
        <x:v>230.88137608925953</x:v>
      </x:c>
      <x:c r="H764" s="43" t="n">
        <x:v>0.9999999999999999</x:v>
      </x:c>
      <x:c r="I764" s="34" t="str">
        <x:v>generated design-reference observation; not predicted tract behavior</x:v>
      </x:c>
    </x:row>
    <x:row r="765" ht="75.5999984741211" hidden="0" customHeight="1">
      <x:c r="A765" s="36" t="str">
        <x:v>M0</x:v>
      </x:c>
      <x:c r="B765" s="36" t="str">
        <x:v>48201455103</x:v>
      </x:c>
      <x:c r="C765" s="66" t="n">
        <x:v>303.6291299387348</x:v>
      </x:c>
      <x:c r="D765" s="66" t="n">
        <x:v>57.082276428482146</x:v>
      </x:c>
      <x:c r="E765" s="66" t="n">
        <x:v>246.54685351025267</x:v>
      </x:c>
      <x:c r="F765" s="66" t="n">
        <x:v>85.16705448193734</x:v>
      </x:c>
      <x:c r="G765" s="66" t="n">
        <x:v>142.24933091041947</x:v>
      </x:c>
      <x:c r="H765" s="45" t="n">
        <x:v>0.4684969816272965</x:v>
      </x:c>
      <x:c r="I765" s="36" t="str">
        <x:v>generated design-reference observation; not predicted tract behavior</x:v>
      </x:c>
    </x:row>
    <x:row r="766" ht="75.5999984741211" hidden="0" customHeight="1">
      <x:c r="A766" s="34" t="str">
        <x:v>M0</x:v>
      </x:c>
      <x:c r="B766" s="34" t="str">
        <x:v>48201455104</x:v>
      </x:c>
      <x:c r="C766" s="65" t="n">
        <x:v>274.2580888696457</x:v>
      </x:c>
      <x:c r="D766" s="65" t="n">
        <x:v>50.048163850107755</x:v>
      </x:c>
      <x:c r="E766" s="65" t="n">
        <x:v>224.20992501953793</x:v>
      </x:c>
      <x:c r="F766" s="65" t="n">
        <x:v>224.20992501953793</x:v>
      </x:c>
      <x:c r="G766" s="65" t="n">
        <x:v>274.2580888696457</x:v>
      </x:c>
      <x:c r="H766" s="43" t="n">
        <x:v>1</x:v>
      </x:c>
      <x:c r="I766" s="34" t="str">
        <x:v>generated design-reference observation; not predicted tract behavior</x:v>
      </x:c>
    </x:row>
    <x:row r="767" ht="75.5999984741211" hidden="0" customHeight="1">
      <x:c r="A767" s="36" t="str">
        <x:v>M0</x:v>
      </x:c>
      <x:c r="B767" s="36" t="str">
        <x:v>48201455200</x:v>
      </x:c>
      <x:c r="C767" s="66" t="n">
        <x:v>337.9438115838092</x:v>
      </x:c>
      <x:c r="D767" s="66" t="n">
        <x:v>63.353963593073196</x:v>
      </x:c>
      <x:c r="E767" s="66" t="n">
        <x:v>274.58984799073596</x:v>
      </x:c>
      <x:c r="F767" s="66" t="n">
        <x:v>274.58984799073596</x:v>
      </x:c>
      <x:c r="G767" s="66" t="n">
        <x:v>337.9438115838092</x:v>
      </x:c>
      <x:c r="H767" s="45" t="n">
        <x:v>1</x:v>
      </x:c>
      <x:c r="I767" s="36" t="str">
        <x:v>generated design-reference observation; not predicted tract behavior</x:v>
      </x:c>
    </x:row>
    <x:row r="768" ht="75.5999984741211" hidden="0" customHeight="1">
      <x:c r="A768" s="34" t="str">
        <x:v>M0</x:v>
      </x:c>
      <x:c r="B768" s="34" t="str">
        <x:v>48201455300</x:v>
      </x:c>
      <x:c r="C768" s="65" t="n">
        <x:v>1065.7396607992735</x:v>
      </x:c>
      <x:c r="D768" s="65" t="n">
        <x:v>162.46781396733263</x:v>
      </x:c>
      <x:c r="E768" s="65" t="n">
        <x:v>903.2718468319408</x:v>
      </x:c>
      <x:c r="F768" s="65" t="n">
        <x:v>903.2718468319408</x:v>
      </x:c>
      <x:c r="G768" s="65" t="n">
        <x:v>1065.7396607992735</x:v>
      </x:c>
      <x:c r="H768" s="43" t="n">
        <x:v>1</x:v>
      </x:c>
      <x:c r="I768" s="34" t="str">
        <x:v>generated design-reference observation; not predicted tract behavior</x:v>
      </x:c>
    </x:row>
    <x:row r="769" ht="75.5999984741211" hidden="0" customHeight="1">
      <x:c r="A769" s="36" t="str">
        <x:v>M0</x:v>
      </x:c>
      <x:c r="B769" s="36" t="str">
        <x:v>48201510100</x:v>
      </x:c>
      <x:c r="C769" s="66" t="n">
        <x:v>246.78119307688792</x:v>
      </x:c>
      <x:c r="D769" s="66" t="n">
        <x:v>41.30691365766405</x:v>
      </x:c>
      <x:c r="E769" s="66" t="n">
        <x:v>205.47427941922388</x:v>
      </x:c>
      <x:c r="F769" s="66" t="n">
        <x:v>52.1192599886034</x:v>
      </x:c>
      <x:c r="G769" s="66" t="n">
        <x:v>93.42617364626744</x:v>
      </x:c>
      <x:c r="H769" s="45" t="n">
        <x:v>0.37857898521934485</x:v>
      </x:c>
      <x:c r="I769" s="36" t="str">
        <x:v>generated design-reference observation; not predicted tract behavior</x:v>
      </x:c>
    </x:row>
    <x:row r="770" ht="75.5999984741211" hidden="0" customHeight="1">
      <x:c r="A770" s="34" t="str">
        <x:v>M0</x:v>
      </x:c>
      <x:c r="B770" s="34" t="str">
        <x:v>48201510201</x:v>
      </x:c>
      <x:c r="C770" s="65" t="n">
        <x:v>194.72756583563088</x:v>
      </x:c>
      <x:c r="D770" s="65" t="n">
        <x:v>22.48825203164629</x:v>
      </x:c>
      <x:c r="E770" s="65" t="n">
        <x:v>172.2393138039846</x:v>
      </x:c>
      <x:c r="F770" s="65" t="n">
        <x:v>0</x:v>
      </x:c>
      <x:c r="G770" s="65" t="n">
        <x:v>22.48825203164629</x:v>
      </x:c>
      <x:c r="H770" s="43" t="n">
        <x:v>0.1154857142857143</x:v>
      </x:c>
      <x:c r="I770" s="34" t="str">
        <x:v>generated design-reference observation; not predicted tract behavior</x:v>
      </x:c>
    </x:row>
    <x:row r="771" ht="75.5999984741211" hidden="0" customHeight="1">
      <x:c r="A771" s="36" t="str">
        <x:v>M0</x:v>
      </x:c>
      <x:c r="B771" s="36" t="str">
        <x:v>48201510202</x:v>
      </x:c>
      <x:c r="C771" s="66" t="n">
        <x:v>528.5844249559865</x:v>
      </x:c>
      <x:c r="D771" s="66" t="n">
        <x:v>72.27802926221207</x:v>
      </x:c>
      <x:c r="E771" s="66" t="n">
        <x:v>456.30639569377445</x:v>
      </x:c>
      <x:c r="F771" s="66" t="n">
        <x:v>456.3063956937745</x:v>
      </x:c>
      <x:c r="G771" s="66" t="n">
        <x:v>528.5844249559865</x:v>
      </x:c>
      <x:c r="H771" s="45" t="n">
        <x:v>1</x:v>
      </x:c>
      <x:c r="I771" s="36" t="str">
        <x:v>generated design-reference observation; not predicted tract behavior</x:v>
      </x:c>
    </x:row>
    <x:row r="772" ht="75.5999984741211" hidden="0" customHeight="1">
      <x:c r="A772" s="34" t="str">
        <x:v>M0</x:v>
      </x:c>
      <x:c r="B772" s="34" t="str">
        <x:v>48201510301</x:v>
      </x:c>
      <x:c r="C772" s="65" t="n">
        <x:v>504.98529737337554</x:v>
      </x:c>
      <x:c r="D772" s="65" t="n">
        <x:v>73.20292878550927</x:v>
      </x:c>
      <x:c r="E772" s="65" t="n">
        <x:v>431.78236858786624</x:v>
      </x:c>
      <x:c r="F772" s="65" t="n">
        <x:v>431.78236858786624</x:v>
      </x:c>
      <x:c r="G772" s="65" t="n">
        <x:v>504.9852973733755</x:v>
      </x:c>
      <x:c r="H772" s="43" t="n">
        <x:v>0.9999999999999999</x:v>
      </x:c>
      <x:c r="I772" s="34" t="str">
        <x:v>generated design-reference observation; not predicted tract behavior</x:v>
      </x:c>
    </x:row>
    <x:row r="773" ht="75.5999984741211" hidden="0" customHeight="1">
      <x:c r="A773" s="36" t="str">
        <x:v>M0</x:v>
      </x:c>
      <x:c r="B773" s="36" t="str">
        <x:v>48201510302</x:v>
      </x:c>
      <x:c r="C773" s="66" t="n">
        <x:v>275.76711747153627</x:v>
      </x:c>
      <x:c r="D773" s="66" t="n">
        <x:v>51.316733307624766</x:v>
      </x:c>
      <x:c r="E773" s="66" t="n">
        <x:v>224.4503841639115</x:v>
      </x:c>
      <x:c r="F773" s="66" t="n">
        <x:v>20.38675331997198</x:v>
      </x:c>
      <x:c r="G773" s="66" t="n">
        <x:v>71.70348662759675</x:v>
      </x:c>
      <x:c r="H773" s="45" t="n">
        <x:v>0.2600146358457612</x:v>
      </x:c>
      <x:c r="I773" s="36" t="str">
        <x:v>generated design-reference observation; not predicted tract behavior</x:v>
      </x:c>
    </x:row>
    <x:row r="774" ht="75.5999984741211" hidden="0" customHeight="1">
      <x:c r="A774" s="34" t="str">
        <x:v>M0</x:v>
      </x:c>
      <x:c r="B774" s="34" t="str">
        <x:v>48201510400</x:v>
      </x:c>
      <x:c r="C774" s="65" t="n">
        <x:v>306.71006333426146</x:v>
      </x:c>
      <x:c r="D774" s="65" t="n">
        <x:v>53.33904340146839</x:v>
      </x:c>
      <x:c r="E774" s="65" t="n">
        <x:v>253.37101993279308</x:v>
      </x:c>
      <x:c r="F774" s="65" t="n">
        <x:v>39.275145827706574</x:v>
      </x:c>
      <x:c r="G774" s="65" t="n">
        <x:v>92.61418922917497</x:v>
      </x:c>
      <x:c r="H774" s="43" t="n">
        <x:v>0.3019600603330754</x:v>
      </x:c>
      <x:c r="I774" s="34" t="str">
        <x:v>generated design-reference observation; not predicted tract behavior</x:v>
      </x:c>
    </x:row>
    <x:row r="775" ht="75.5999984741211" hidden="0" customHeight="1">
      <x:c r="A775" s="36" t="str">
        <x:v>M0</x:v>
      </x:c>
      <x:c r="B775" s="36" t="str">
        <x:v>48201510500</x:v>
      </x:c>
      <x:c r="C775" s="66" t="n">
        <x:v>404.60829388191314</x:v>
      </x:c>
      <x:c r="D775" s="66" t="n">
        <x:v>61.17581792512083</x:v>
      </x:c>
      <x:c r="E775" s="66" t="n">
        <x:v>343.4324759567923</x:v>
      </x:c>
      <x:c r="F775" s="66" t="n">
        <x:v>343.4324759567923</x:v>
      </x:c>
      <x:c r="G775" s="66" t="n">
        <x:v>404.60829388191314</x:v>
      </x:c>
      <x:c r="H775" s="45" t="n">
        <x:v>1</x:v>
      </x:c>
      <x:c r="I775" s="36" t="str">
        <x:v>generated design-reference observation; not predicted tract behavior</x:v>
      </x:c>
    </x:row>
    <x:row r="776" ht="75.5999984741211" hidden="0" customHeight="1">
      <x:c r="A776" s="34" t="str">
        <x:v>M0</x:v>
      </x:c>
      <x:c r="B776" s="34" t="str">
        <x:v>48201510601</x:v>
      </x:c>
      <x:c r="C776" s="65" t="n">
        <x:v>272.80407693553235</x:v>
      </x:c>
      <x:c r="D776" s="65" t="n">
        <x:v>42.09719917148216</x:v>
      </x:c>
      <x:c r="E776" s="65" t="n">
        <x:v>230.7068777640502</x:v>
      </x:c>
      <x:c r="F776" s="65" t="n">
        <x:v>16.05477520612563</x:v>
      </x:c>
      <x:c r="G776" s="65" t="n">
        <x:v>58.151974377607786</x:v>
      </x:c>
      <x:c r="H776" s="43" t="n">
        <x:v>0.21316387581461974</x:v>
      </x:c>
      <x:c r="I776" s="34" t="str">
        <x:v>generated design-reference observation; not predicted tract behavior</x:v>
      </x:c>
    </x:row>
    <x:row r="777" ht="75.5999984741211" hidden="0" customHeight="1">
      <x:c r="A777" s="36" t="str">
        <x:v>M0</x:v>
      </x:c>
      <x:c r="B777" s="36" t="str">
        <x:v>48201510602</x:v>
      </x:c>
      <x:c r="C777" s="66" t="n">
        <x:v>363.4086692407129</x:v>
      </x:c>
      <x:c r="D777" s="66" t="n">
        <x:v>56.737922976650616</x:v>
      </x:c>
      <x:c r="E777" s="66" t="n">
        <x:v>306.6707462640623</x:v>
      </x:c>
      <x:c r="F777" s="66" t="n">
        <x:v>0</x:v>
      </x:c>
      <x:c r="G777" s="66" t="n">
        <x:v>56.737922976650616</x:v>
      </x:c>
      <x:c r="H777" s="45" t="n">
        <x:v>0.15612704863424381</x:v>
      </x:c>
      <x:c r="I777" s="36" t="str">
        <x:v>generated design-reference observation; not predicted tract behavior</x:v>
      </x:c>
    </x:row>
    <x:row r="778" ht="75.5999984741211" hidden="0" customHeight="1">
      <x:c r="A778" s="34" t="str">
        <x:v>M0</x:v>
      </x:c>
      <x:c r="B778" s="34" t="str">
        <x:v>48201510701</x:v>
      </x:c>
      <x:c r="C778" s="65" t="n">
        <x:v>173.1610320669446</x:v>
      </x:c>
      <x:c r="D778" s="65" t="n">
        <x:v>22.07415618639474</x:v>
      </x:c>
      <x:c r="E778" s="65" t="n">
        <x:v>151.08687588054988</x:v>
      </x:c>
      <x:c r="F778" s="65" t="n">
        <x:v>151.08687588054988</x:v>
      </x:c>
      <x:c r="G778" s="65" t="n">
        <x:v>173.1610320669446</x:v>
      </x:c>
      <x:c r="H778" s="43" t="n">
        <x:v>1</x:v>
      </x:c>
      <x:c r="I778" s="34" t="str">
        <x:v>generated design-reference observation; not predicted tract behavior</x:v>
      </x:c>
    </x:row>
    <x:row r="779" ht="75.5999984741211" hidden="0" customHeight="1">
      <x:c r="A779" s="36" t="str">
        <x:v>M0</x:v>
      </x:c>
      <x:c r="B779" s="36" t="str">
        <x:v>48201510702</x:v>
      </x:c>
      <x:c r="C779" s="66" t="n">
        <x:v>163.28161043894224</x:v>
      </x:c>
      <x:c r="D779" s="66" t="n">
        <x:v>30.69694276252114</x:v>
      </x:c>
      <x:c r="E779" s="66" t="n">
        <x:v>132.5846676764211</x:v>
      </x:c>
      <x:c r="F779" s="66" t="n">
        <x:v>13.038189909615683</x:v>
      </x:c>
      <x:c r="G779" s="66" t="n">
        <x:v>43.73513267213682</x:v>
      </x:c>
      <x:c r="H779" s="45" t="n">
        <x:v>0.2678509389671362</x:v>
      </x:c>
      <x:c r="I779" s="36" t="str">
        <x:v>generated design-reference observation; not predicted tract behavior</x:v>
      </x:c>
    </x:row>
    <x:row r="780" ht="75.5999984741211" hidden="0" customHeight="1">
      <x:c r="A780" s="34" t="str">
        <x:v>M0</x:v>
      </x:c>
      <x:c r="B780" s="34" t="str">
        <x:v>48201510801</x:v>
      </x:c>
      <x:c r="C780" s="65" t="n">
        <x:v>360.95649776264077</x:v>
      </x:c>
      <x:c r="D780" s="65" t="n">
        <x:v>57.990474904809346</x:v>
      </x:c>
      <x:c r="E780" s="65" t="n">
        <x:v>302.96602285783143</x:v>
      </x:c>
      <x:c r="F780" s="65" t="n">
        <x:v>63.88258379121154</x:v>
      </x:c>
      <x:c r="G780" s="65" t="n">
        <x:v>121.87305869602088</x:v>
      </x:c>
      <x:c r="H780" s="43" t="n">
        <x:v>0.3376391876900431</x:v>
      </x:c>
      <x:c r="I780" s="34" t="str">
        <x:v>generated design-reference observation; not predicted tract behavior</x:v>
      </x:c>
    </x:row>
    <x:row r="781" ht="75.5999984741211" hidden="0" customHeight="1">
      <x:c r="A781" s="36" t="str">
        <x:v>M0</x:v>
      </x:c>
      <x:c r="B781" s="36" t="str">
        <x:v>48201510802</x:v>
      </x:c>
      <x:c r="C781" s="66" t="n">
        <x:v>223.97285452122915</x:v>
      </x:c>
      <x:c r="D781" s="66" t="n">
        <x:v>38.47750334809724</x:v>
      </x:c>
      <x:c r="E781" s="66" t="n">
        <x:v>185.49535117313192</x:v>
      </x:c>
      <x:c r="F781" s="66" t="n">
        <x:v>4.623906657604875</x:v>
      </x:c>
      <x:c r="G781" s="66" t="n">
        <x:v>43.101410005702114</x:v>
      </x:c>
      <x:c r="H781" s="45" t="n">
        <x:v>0.1924403298687108</x:v>
      </x:c>
      <x:c r="I781" s="36" t="str">
        <x:v>generated design-reference observation; not predicted tract behavior</x:v>
      </x:c>
    </x:row>
    <x:row r="782" ht="75.5999984741211" hidden="0" customHeight="1">
      <x:c r="A782" s="34" t="str">
        <x:v>M0</x:v>
      </x:c>
      <x:c r="B782" s="34" t="str">
        <x:v>48201510803</x:v>
      </x:c>
      <x:c r="C782" s="65" t="n">
        <x:v>352.4440287263348</x:v>
      </x:c>
      <x:c r="D782" s="65" t="n">
        <x:v>41.66113036249564</x:v>
      </x:c>
      <x:c r="E782" s="65" t="n">
        <x:v>310.7828983638392</x:v>
      </x:c>
      <x:c r="F782" s="65" t="n">
        <x:v>310.7828983638392</x:v>
      </x:c>
      <x:c r="G782" s="65" t="n">
        <x:v>352.4440287263348</x:v>
      </x:c>
      <x:c r="H782" s="43" t="n">
        <x:v>1</x:v>
      </x:c>
      <x:c r="I782" s="34" t="str">
        <x:v>generated design-reference observation; not predicted tract behavior</x:v>
      </x:c>
    </x:row>
    <x:row r="783" ht="75.5999984741211" hidden="0" customHeight="1">
      <x:c r="A783" s="36" t="str">
        <x:v>M0</x:v>
      </x:c>
      <x:c r="B783" s="36" t="str">
        <x:v>48201510901</x:v>
      </x:c>
      <x:c r="C783" s="66" t="n">
        <x:v>907.1825311333577</x:v>
      </x:c>
      <x:c r="D783" s="66" t="n">
        <x:v>148.77793510587068</x:v>
      </x:c>
      <x:c r="E783" s="66" t="n">
        <x:v>758.404596027487</x:v>
      </x:c>
      <x:c r="F783" s="66" t="n">
        <x:v>758.404596027487</x:v>
      </x:c>
      <x:c r="G783" s="66" t="n">
        <x:v>907.1825311333577</x:v>
      </x:c>
      <x:c r="H783" s="45" t="n">
        <x:v>1</x:v>
      </x:c>
      <x:c r="I783" s="36" t="str">
        <x:v>generated design-reference observation; not predicted tract behavior</x:v>
      </x:c>
    </x:row>
    <x:row r="784" ht="75.5999984741211" hidden="0" customHeight="1">
      <x:c r="A784" s="34" t="str">
        <x:v>M0</x:v>
      </x:c>
      <x:c r="B784" s="34" t="str">
        <x:v>48201510902</x:v>
      </x:c>
      <x:c r="C784" s="65" t="n">
        <x:v>456.4182758801566</x:v>
      </x:c>
      <x:c r="D784" s="65" t="n">
        <x:v>69.81404396893095</x:v>
      </x:c>
      <x:c r="E784" s="65" t="n">
        <x:v>386.60423191122567</x:v>
      </x:c>
      <x:c r="F784" s="65" t="n">
        <x:v>386.60423191122567</x:v>
      </x:c>
      <x:c r="G784" s="65" t="n">
        <x:v>456.4182758801566</x:v>
      </x:c>
      <x:c r="H784" s="43" t="n">
        <x:v>1</x:v>
      </x:c>
      <x:c r="I784" s="34" t="str">
        <x:v>generated design-reference observation; not predicted tract behavior</x:v>
      </x:c>
    </x:row>
    <x:row r="785" ht="75.5999984741211" hidden="0" customHeight="1">
      <x:c r="A785" s="36" t="str">
        <x:v>M0</x:v>
      </x:c>
      <x:c r="B785" s="36" t="str">
        <x:v>48201511001</x:v>
      </x:c>
      <x:c r="C785" s="66" t="n">
        <x:v>288.6410177314153</x:v>
      </x:c>
      <x:c r="D785" s="66" t="n">
        <x:v>46.05015870045241</x:v>
      </x:c>
      <x:c r="E785" s="66" t="n">
        <x:v>242.59085903096286</x:v>
      </x:c>
      <x:c r="F785" s="66" t="n">
        <x:v>242.59085903096286</x:v>
      </x:c>
      <x:c r="G785" s="66" t="n">
        <x:v>288.6410177314153</x:v>
      </x:c>
      <x:c r="H785" s="45" t="n">
        <x:v>1</x:v>
      </x:c>
      <x:c r="I785" s="36" t="str">
        <x:v>generated design-reference observation; not predicted tract behavior</x:v>
      </x:c>
    </x:row>
    <x:row r="786" ht="75.5999984741211" hidden="0" customHeight="1">
      <x:c r="A786" s="34" t="str">
        <x:v>M0</x:v>
      </x:c>
      <x:c r="B786" s="34" t="str">
        <x:v>48201511003</x:v>
      </x:c>
      <x:c r="C786" s="65" t="n">
        <x:v>151.6337959180993</x:v>
      </x:c>
      <x:c r="D786" s="65" t="n">
        <x:v>23.84148282140003</x:v>
      </x:c>
      <x:c r="E786" s="65" t="n">
        <x:v>127.79231309669927</x:v>
      </x:c>
      <x:c r="F786" s="65" t="n">
        <x:v>26.00375505083497</x:v>
      </x:c>
      <x:c r="G786" s="65" t="n">
        <x:v>49.845237872235</x:v>
      </x:c>
      <x:c r="H786" s="43" t="n">
        <x:v>0.3287211638436955</x:v>
      </x:c>
      <x:c r="I786" s="34" t="str">
        <x:v>generated design-reference observation; not predicted tract behavior</x:v>
      </x:c>
    </x:row>
    <x:row r="787" ht="75.5999984741211" hidden="0" customHeight="1">
      <x:c r="A787" s="36" t="str">
        <x:v>M0</x:v>
      </x:c>
      <x:c r="B787" s="36" t="str">
        <x:v>48201511004</x:v>
      </x:c>
      <x:c r="C787" s="66" t="n">
        <x:v>263.08154349751015</x:v>
      </x:c>
      <x:c r="D787" s="66" t="n">
        <x:v>35.61076599966582</x:v>
      </x:c>
      <x:c r="E787" s="66" t="n">
        <x:v>227.47077749784432</x:v>
      </x:c>
      <x:c r="F787" s="66" t="n">
        <x:v>227.47077749784432</x:v>
      </x:c>
      <x:c r="G787" s="66" t="n">
        <x:v>263.08154349751015</x:v>
      </x:c>
      <x:c r="H787" s="45" t="n">
        <x:v>1</x:v>
      </x:c>
      <x:c r="I787" s="36" t="str">
        <x:v>generated design-reference observation; not predicted tract behavior</x:v>
      </x:c>
    </x:row>
    <x:row r="788" ht="75.5999984741211" hidden="0" customHeight="1">
      <x:c r="A788" s="34" t="str">
        <x:v>M0</x:v>
      </x:c>
      <x:c r="B788" s="34" t="str">
        <x:v>48201511100</x:v>
      </x:c>
      <x:c r="C788" s="65" t="n">
        <x:v>620.4689105104468</x:v>
      </x:c>
      <x:c r="D788" s="65" t="n">
        <x:v>89.73420960547463</x:v>
      </x:c>
      <x:c r="E788" s="65" t="n">
        <x:v>530.7347009049722</x:v>
      </x:c>
      <x:c r="F788" s="65" t="n">
        <x:v>530.7347009049722</x:v>
      </x:c>
      <x:c r="G788" s="65" t="n">
        <x:v>620.4689105104468</x:v>
      </x:c>
      <x:c r="H788" s="43" t="n">
        <x:v>1</x:v>
      </x:c>
      <x:c r="I788" s="34" t="str">
        <x:v>generated design-reference observation; not predicted tract behavior</x:v>
      </x:c>
    </x:row>
    <x:row r="789" ht="75.5999984741211" hidden="0" customHeight="1">
      <x:c r="A789" s="36" t="str">
        <x:v>M0</x:v>
      </x:c>
      <x:c r="B789" s="36" t="str">
        <x:v>48201511201</x:v>
      </x:c>
      <x:c r="C789" s="66" t="n">
        <x:v>496.4534818165324</x:v>
      </x:c>
      <x:c r="D789" s="66" t="n">
        <x:v>42.23331069429686</x:v>
      </x:c>
      <x:c r="E789" s="66" t="n">
        <x:v>454.22017112223557</x:v>
      </x:c>
      <x:c r="F789" s="66" t="n">
        <x:v>454.22017112223557</x:v>
      </x:c>
      <x:c r="G789" s="66" t="n">
        <x:v>496.4534818165324</x:v>
      </x:c>
      <x:c r="H789" s="45" t="n">
        <x:v>1</x:v>
      </x:c>
      <x:c r="I789" s="36" t="str">
        <x:v>generated design-reference observation; not predicted tract behavior</x:v>
      </x:c>
    </x:row>
    <x:row r="790" ht="75.5999984741211" hidden="0" customHeight="1">
      <x:c r="A790" s="34" t="str">
        <x:v>M0</x:v>
      </x:c>
      <x:c r="B790" s="34" t="str">
        <x:v>48201511202</x:v>
      </x:c>
      <x:c r="C790" s="65" t="n">
        <x:v>606.7068840421636</x:v>
      </x:c>
      <x:c r="D790" s="65" t="n">
        <x:v>53.827673391046055</x:v>
      </x:c>
      <x:c r="E790" s="65" t="n">
        <x:v>552.8792106511175</x:v>
      </x:c>
      <x:c r="F790" s="65" t="n">
        <x:v>552.8792106511175</x:v>
      </x:c>
      <x:c r="G790" s="65" t="n">
        <x:v>606.7068840421636</x:v>
      </x:c>
      <x:c r="H790" s="43" t="n">
        <x:v>1</x:v>
      </x:c>
      <x:c r="I790" s="34" t="str">
        <x:v>generated design-reference observation; not predicted tract behavior</x:v>
      </x:c>
    </x:row>
    <x:row r="791" ht="75.5999984741211" hidden="0" customHeight="1">
      <x:c r="A791" s="36" t="str">
        <x:v>M0</x:v>
      </x:c>
      <x:c r="B791" s="36" t="str">
        <x:v>48201511301</x:v>
      </x:c>
      <x:c r="C791" s="66" t="n">
        <x:v>408.3808653866395</x:v>
      </x:c>
      <x:c r="D791" s="66" t="n">
        <x:v>68.56220397496445</x:v>
      </x:c>
      <x:c r="E791" s="66" t="n">
        <x:v>339.81866141167507</x:v>
      </x:c>
      <x:c r="F791" s="66" t="n">
        <x:v>339.81866141167507</x:v>
      </x:c>
      <x:c r="G791" s="66" t="n">
        <x:v>408.3808653866395</x:v>
      </x:c>
      <x:c r="H791" s="45" t="n">
        <x:v>1</x:v>
      </x:c>
      <x:c r="I791" s="36" t="str">
        <x:v>generated design-reference observation; not predicted tract behavior</x:v>
      </x:c>
    </x:row>
    <x:row r="792" ht="75.5999984741211" hidden="0" customHeight="1">
      <x:c r="A792" s="34" t="str">
        <x:v>M0</x:v>
      </x:c>
      <x:c r="B792" s="34" t="str">
        <x:v>48201511302</x:v>
      </x:c>
      <x:c r="C792" s="65" t="n">
        <x:v>396.35579371532395</x:v>
      </x:c>
      <x:c r="D792" s="65" t="n">
        <x:v>72.41575026610663</x:v>
      </x:c>
      <x:c r="E792" s="65" t="n">
        <x:v>323.94004344921734</x:v>
      </x:c>
      <x:c r="F792" s="65" t="n">
        <x:v>63.02661327116928</x:v>
      </x:c>
      <x:c r="G792" s="65" t="n">
        <x:v>135.44236353727592</x:v>
      </x:c>
      <x:c r="H792" s="43" t="n">
        <x:v>0.34171914649632995</x:v>
      </x:c>
      <x:c r="I792" s="34" t="str">
        <x:v>generated design-reference observation; not predicted tract behavior</x:v>
      </x:c>
    </x:row>
    <x:row r="793" ht="75.5999984741211" hidden="0" customHeight="1">
      <x:c r="A793" s="36" t="str">
        <x:v>M0</x:v>
      </x:c>
      <x:c r="B793" s="36" t="str">
        <x:v>48201511400</x:v>
      </x:c>
      <x:c r="C793" s="66" t="n">
        <x:v>216.8246174721694</x:v>
      </x:c>
      <x:c r="D793" s="66" t="n">
        <x:v>39.62161205637287</x:v>
      </x:c>
      <x:c r="E793" s="66" t="n">
        <x:v>177.20300541579653</x:v>
      </x:c>
      <x:c r="F793" s="66" t="n">
        <x:v>143.8943504208007</x:v>
      </x:c>
      <x:c r="G793" s="66" t="n">
        <x:v>183.51596247717356</x:v>
      </x:c>
      <x:c r="H793" s="45" t="n">
        <x:v>0.846379735920571</x:v>
      </x:c>
      <x:c r="I793" s="36" t="str">
        <x:v>generated design-reference observation; not predicted tract behavior</x:v>
      </x:c>
    </x:row>
    <x:row r="794" ht="75.5999984741211" hidden="0" customHeight="1">
      <x:c r="A794" s="34" t="str">
        <x:v>M0</x:v>
      </x:c>
      <x:c r="B794" s="34" t="str">
        <x:v>48201511501</x:v>
      </x:c>
      <x:c r="C794" s="65" t="n">
        <x:v>298.1117441130724</x:v>
      </x:c>
      <x:c r="D794" s="65" t="n">
        <x:v>44.45956497459971</x:v>
      </x:c>
      <x:c r="E794" s="65" t="n">
        <x:v>253.6521791384727</x:v>
      </x:c>
      <x:c r="F794" s="65" t="n">
        <x:v>0</x:v>
      </x:c>
      <x:c r="G794" s="65" t="n">
        <x:v>44.45956497459971</x:v>
      </x:c>
      <x:c r="H794" s="43" t="n">
        <x:v>0.14913724753405355</x:v>
      </x:c>
      <x:c r="I794" s="34" t="str">
        <x:v>generated design-reference observation; not predicted tract behavior</x:v>
      </x:c>
    </x:row>
    <x:row r="795" ht="75.5999984741211" hidden="0" customHeight="1">
      <x:c r="A795" s="36" t="str">
        <x:v>M0</x:v>
      </x:c>
      <x:c r="B795" s="36" t="str">
        <x:v>48201511502</x:v>
      </x:c>
      <x:c r="C795" s="66" t="n">
        <x:v>433.07548969466154</x:v>
      </x:c>
      <x:c r="D795" s="66" t="n">
        <x:v>80.51784820268894</x:v>
      </x:c>
      <x:c r="E795" s="66" t="n">
        <x:v>352.5576414919726</x:v>
      </x:c>
      <x:c r="F795" s="66" t="n">
        <x:v>31.24611683077091</x:v>
      </x:c>
      <x:c r="G795" s="66" t="n">
        <x:v>111.76396503345984</x:v>
      </x:c>
      <x:c r="H795" s="45" t="n">
        <x:v>0.25807040041046575</x:v>
      </x:c>
      <x:c r="I795" s="36" t="str">
        <x:v>generated design-reference observation; not predicted tract behavior</x:v>
      </x:c>
    </x:row>
    <x:row r="796" ht="75.5999984741211" hidden="0" customHeight="1">
      <x:c r="A796" s="34" t="str">
        <x:v>M0</x:v>
      </x:c>
      <x:c r="B796" s="34" t="str">
        <x:v>48201511600</x:v>
      </x:c>
      <x:c r="C796" s="65" t="n">
        <x:v>284.263262881139</x:v>
      </x:c>
      <x:c r="D796" s="65" t="n">
        <x:v>48.177728068556554</x:v>
      </x:c>
      <x:c r="E796" s="65" t="n">
        <x:v>236.08553481258244</x:v>
      </x:c>
      <x:c r="F796" s="65" t="n">
        <x:v>31.786193650324687</x:v>
      </x:c>
      <x:c r="G796" s="65" t="n">
        <x:v>79.96392171888124</x:v>
      </x:c>
      <x:c r="H796" s="43" t="n">
        <x:v>0.2813023424427416</x:v>
      </x:c>
      <x:c r="I796" s="34" t="str">
        <x:v>generated design-reference observation; not predicted tract behavior</x:v>
      </x:c>
    </x:row>
    <x:row r="797" ht="75.5999984741211" hidden="0" customHeight="1">
      <x:c r="A797" s="36" t="str">
        <x:v>M0</x:v>
      </x:c>
      <x:c r="B797" s="36" t="str">
        <x:v>48201520100</x:v>
      </x:c>
      <x:c r="C797" s="66" t="n">
        <x:v>271.60942929236893</x:v>
      </x:c>
      <x:c r="D797" s="66" t="n">
        <x:v>43.458992891310686</x:v>
      </x:c>
      <x:c r="E797" s="66" t="n">
        <x:v>228.15043640105824</x:v>
      </x:c>
      <x:c r="F797" s="66" t="n">
        <x:v>50.39340331479</x:v>
      </x:c>
      <x:c r="G797" s="66" t="n">
        <x:v>93.85239620610068</x:v>
      </x:c>
      <x:c r="H797" s="45" t="n">
        <x:v>0.34554174518394576</x:v>
      </x:c>
      <x:c r="I797" s="36" t="str">
        <x:v>generated design-reference observation; not predicted tract behavior</x:v>
      </x:c>
    </x:row>
    <x:row r="798" ht="75.5999984741211" hidden="0" customHeight="1">
      <x:c r="A798" s="34" t="str">
        <x:v>M0</x:v>
      </x:c>
      <x:c r="B798" s="34" t="str">
        <x:v>48201520200</x:v>
      </x:c>
      <x:c r="C798" s="65" t="n">
        <x:v>257.5605301992469</x:v>
      </x:c>
      <x:c r="D798" s="65" t="n">
        <x:v>46.685272141419894</x:v>
      </x:c>
      <x:c r="E798" s="65" t="n">
        <x:v>210.875258057827</x:v>
      </x:c>
      <x:c r="F798" s="65" t="n">
        <x:v>64.5159983589516</x:v>
      </x:c>
      <x:c r="G798" s="65" t="n">
        <x:v>111.20127050037149</x:v>
      </x:c>
      <x:c r="H798" s="43" t="n">
        <x:v>0.43174810369565175</x:v>
      </x:c>
      <x:c r="I798" s="34" t="str">
        <x:v>generated design-reference observation; not predicted tract behavior</x:v>
      </x:c>
    </x:row>
    <x:row r="799" ht="75.5999984741211" hidden="0" customHeight="1">
      <x:c r="A799" s="36" t="str">
        <x:v>M0</x:v>
      </x:c>
      <x:c r="B799" s="36" t="str">
        <x:v>48201520301</x:v>
      </x:c>
      <x:c r="C799" s="66" t="n">
        <x:v>200.88943262668414</x:v>
      </x:c>
      <x:c r="D799" s="66" t="n">
        <x:v>33.34811711088618</x:v>
      </x:c>
      <x:c r="E799" s="66" t="n">
        <x:v>167.54131551579798</x:v>
      </x:c>
      <x:c r="F799" s="66" t="n">
        <x:v>37.80038101721131</x:v>
      </x:c>
      <x:c r="G799" s="66" t="n">
        <x:v>71.14849812809749</x:v>
      </x:c>
      <x:c r="H799" s="45" t="n">
        <x:v>0.35416745021284324</x:v>
      </x:c>
      <x:c r="I799" s="36" t="str">
        <x:v>generated design-reference observation; not predicted tract behavior</x:v>
      </x:c>
    </x:row>
    <x:row r="800" ht="75.5999984741211" hidden="0" customHeight="1">
      <x:c r="A800" s="34" t="str">
        <x:v>M0</x:v>
      </x:c>
      <x:c r="B800" s="34" t="str">
        <x:v>48201520302</x:v>
      </x:c>
      <x:c r="C800" s="65" t="n">
        <x:v>210.39159710421393</x:v>
      </x:c>
      <x:c r="D800" s="65" t="n">
        <x:v>36.23971331842402</x:v>
      </x:c>
      <x:c r="E800" s="65" t="n">
        <x:v>174.1518837857899</x:v>
      </x:c>
      <x:c r="F800" s="65" t="n">
        <x:v>132.87646272249364</x:v>
      </x:c>
      <x:c r="G800" s="65" t="n">
        <x:v>169.11617604091765</x:v>
      </x:c>
      <x:c r="H800" s="43" t="n">
        <x:v>0.8038162092431325</x:v>
      </x:c>
      <x:c r="I800" s="34" t="str">
        <x:v>generated design-reference observation; not predicted tract behavior</x:v>
      </x:c>
    </x:row>
    <x:row r="801" ht="75.5999984741211" hidden="0" customHeight="1">
      <x:c r="A801" s="36" t="str">
        <x:v>M0</x:v>
      </x:c>
      <x:c r="B801" s="36" t="str">
        <x:v>48201520400</x:v>
      </x:c>
      <x:c r="C801" s="66" t="n">
        <x:v>312.62828488230116</x:v>
      </x:c>
      <x:c r="D801" s="66" t="n">
        <x:v>47.64156359306963</x:v>
      </x:c>
      <x:c r="E801" s="66" t="n">
        <x:v>264.9867212892315</x:v>
      </x:c>
      <x:c r="F801" s="66" t="n">
        <x:v>45.301031838171085</x:v>
      </x:c>
      <x:c r="G801" s="66" t="n">
        <x:v>92.9425954312407</x:v>
      </x:c>
      <x:c r="H801" s="45" t="n">
        <x:v>0.29729426262960146</x:v>
      </x:c>
      <x:c r="I801" s="36" t="str">
        <x:v>generated design-reference observation; not predicted tract behavior</x:v>
      </x:c>
    </x:row>
    <x:row r="802" ht="75.5999984741211" hidden="0" customHeight="1">
      <x:c r="A802" s="34" t="str">
        <x:v>M0</x:v>
      </x:c>
      <x:c r="B802" s="34" t="str">
        <x:v>48201520501</x:v>
      </x:c>
      <x:c r="C802" s="65" t="n">
        <x:v>325.4668172843233</x:v>
      </x:c>
      <x:c r="D802" s="65" t="n">
        <x:v>60.59177695806201</x:v>
      </x:c>
      <x:c r="E802" s="65" t="n">
        <x:v>264.87504032626134</x:v>
      </x:c>
      <x:c r="F802" s="65" t="n">
        <x:v>85.60903016563867</x:v>
      </x:c>
      <x:c r="G802" s="65" t="n">
        <x:v>146.20080712370068</x:v>
      </x:c>
      <x:c r="H802" s="43" t="n">
        <x:v>0.4492034190876721</x:v>
      </x:c>
      <x:c r="I802" s="34" t="str">
        <x:v>generated design-reference observation; not predicted tract behavior</x:v>
      </x:c>
    </x:row>
    <x:row r="803" ht="75.5999984741211" hidden="0" customHeight="1">
      <x:c r="A803" s="36" t="str">
        <x:v>M0</x:v>
      </x:c>
      <x:c r="B803" s="36" t="str">
        <x:v>48201520502</x:v>
      </x:c>
      <x:c r="C803" s="66" t="n">
        <x:v>652.2147369754598</x:v>
      </x:c>
      <x:c r="D803" s="66" t="n">
        <x:v>97.04194620046638</x:v>
      </x:c>
      <x:c r="E803" s="66" t="n">
        <x:v>555.1727907749935</x:v>
      </x:c>
      <x:c r="F803" s="66" t="n">
        <x:v>555.1727907749935</x:v>
      </x:c>
      <x:c r="G803" s="66" t="n">
        <x:v>652.2147369754598</x:v>
      </x:c>
      <x:c r="H803" s="45" t="n">
        <x:v>1</x:v>
      </x:c>
      <x:c r="I803" s="36" t="str">
        <x:v>generated design-reference observation; not predicted tract behavior</x:v>
      </x:c>
    </x:row>
    <x:row r="804" ht="75.5999984741211" hidden="0" customHeight="1">
      <x:c r="A804" s="34" t="str">
        <x:v>M0</x:v>
      </x:c>
      <x:c r="B804" s="34" t="str">
        <x:v>48201520601</x:v>
      </x:c>
      <x:c r="C804" s="65" t="n">
        <x:v>384.335860963526</x:v>
      </x:c>
      <x:c r="D804" s="65" t="n">
        <x:v>53.962515780634064</x:v>
      </x:c>
      <x:c r="E804" s="65" t="n">
        <x:v>330.3733451828919</x:v>
      </x:c>
      <x:c r="F804" s="65" t="n">
        <x:v>330.3733451828919</x:v>
      </x:c>
      <x:c r="G804" s="65" t="n">
        <x:v>384.335860963526</x:v>
      </x:c>
      <x:c r="H804" s="43" t="n">
        <x:v>1</x:v>
      </x:c>
      <x:c r="I804" s="34" t="str">
        <x:v>generated design-reference observation; not predicted tract behavior</x:v>
      </x:c>
    </x:row>
    <x:row r="805" ht="75.5999984741211" hidden="0" customHeight="1">
      <x:c r="A805" s="36" t="str">
        <x:v>M0</x:v>
      </x:c>
      <x:c r="B805" s="36" t="str">
        <x:v>48201520603</x:v>
      </x:c>
      <x:c r="C805" s="66" t="n">
        <x:v>170.00150343173624</x:v>
      </x:c>
      <x:c r="D805" s="66" t="n">
        <x:v>30.44198383505091</x:v>
      </x:c>
      <x:c r="E805" s="66" t="n">
        <x:v>139.55951959668533</x:v>
      </x:c>
      <x:c r="F805" s="66" t="n">
        <x:v>139.55951959668533</x:v>
      </x:c>
      <x:c r="G805" s="66" t="n">
        <x:v>170.00150343173624</x:v>
      </x:c>
      <x:c r="H805" s="45" t="n">
        <x:v>1</x:v>
      </x:c>
      <x:c r="I805" s="36" t="str">
        <x:v>generated design-reference observation; not predicted tract behavior</x:v>
      </x:c>
    </x:row>
    <x:row r="806" ht="75.5999984741211" hidden="0" customHeight="1">
      <x:c r="A806" s="34" t="str">
        <x:v>M0</x:v>
      </x:c>
      <x:c r="B806" s="34" t="str">
        <x:v>48201520604</x:v>
      </x:c>
      <x:c r="C806" s="65" t="n">
        <x:v>276.450896056768</x:v>
      </x:c>
      <x:c r="D806" s="65" t="n">
        <x:v>51.495467523847836</x:v>
      </x:c>
      <x:c r="E806" s="65" t="n">
        <x:v>224.95542853292017</x:v>
      </x:c>
      <x:c r="F806" s="65" t="n">
        <x:v>46.84226796320075</x:v>
      </x:c>
      <x:c r="G806" s="65" t="n">
        <x:v>98.33773548704858</x:v>
      </x:c>
      <x:c r="H806" s="43" t="n">
        <x:v>0.3557150180727045</x:v>
      </x:c>
      <x:c r="I806" s="34" t="str">
        <x:v>generated design-reference observation; not predicted tract behavior</x:v>
      </x:c>
    </x:row>
    <x:row r="807" ht="75.5999984741211" hidden="0" customHeight="1">
      <x:c r="A807" s="36" t="str">
        <x:v>M0</x:v>
      </x:c>
      <x:c r="B807" s="36" t="str">
        <x:v>48201520700</x:v>
      </x:c>
      <x:c r="C807" s="66" t="n">
        <x:v>354.81035001952387</x:v>
      </x:c>
      <x:c r="D807" s="66" t="n">
        <x:v>64.1222420951413</x:v>
      </x:c>
      <x:c r="E807" s="66" t="n">
        <x:v>290.68810792438256</x:v>
      </x:c>
      <x:c r="F807" s="66" t="n">
        <x:v>290.68810792438256</x:v>
      </x:c>
      <x:c r="G807" s="66" t="n">
        <x:v>354.81035001952387</x:v>
      </x:c>
      <x:c r="H807" s="45" t="n">
        <x:v>1</x:v>
      </x:c>
      <x:c r="I807" s="36" t="str">
        <x:v>generated design-reference observation; not predicted tract behavior</x:v>
      </x:c>
    </x:row>
    <x:row r="808" ht="75.5999984741211" hidden="0" customHeight="1">
      <x:c r="A808" s="34" t="str">
        <x:v>M0</x:v>
      </x:c>
      <x:c r="B808" s="34" t="str">
        <x:v>48201521000</x:v>
      </x:c>
      <x:c r="C808" s="65" t="n">
        <x:v>174.48143209359893</x:v>
      </x:c>
      <x:c r="D808" s="65" t="n">
        <x:v>29.3882549641158</x:v>
      </x:c>
      <x:c r="E808" s="65" t="n">
        <x:v>145.09317712948314</x:v>
      </x:c>
      <x:c r="F808" s="65" t="n">
        <x:v>35.77375122310006</x:v>
      </x:c>
      <x:c r="G808" s="65" t="n">
        <x:v>65.16200618721585</x:v>
      </x:c>
      <x:c r="H808" s="43" t="n">
        <x:v>0.3734609775111217</x:v>
      </x:c>
      <x:c r="I808" s="34" t="str">
        <x:v>generated design-reference observation; not predicted tract behavior</x:v>
      </x:c>
    </x:row>
    <x:row r="809" ht="75.5999984741211" hidden="0" customHeight="1">
      <x:c r="A809" s="36" t="str">
        <x:v>M0</x:v>
      </x:c>
      <x:c r="B809" s="36" t="str">
        <x:v>48201521100</x:v>
      </x:c>
      <x:c r="C809" s="66" t="n">
        <x:v>202.31986598889296</x:v>
      </x:c>
      <x:c r="D809" s="66" t="n">
        <x:v>32.86818170728254</x:v>
      </x:c>
      <x:c r="E809" s="66" t="n">
        <x:v>169.45168428161043</x:v>
      </x:c>
      <x:c r="F809" s="66" t="n">
        <x:v>37.37139492019853</x:v>
      </x:c>
      <x:c r="G809" s="66" t="n">
        <x:v>70.23957662748107</x:v>
      </x:c>
      <x:c r="H809" s="45" t="n">
        <x:v>0.3471709329391169</x:v>
      </x:c>
      <x:c r="I809" s="36" t="str">
        <x:v>generated design-reference observation; not predicted tract behavior</x:v>
      </x:c>
    </x:row>
    <x:row r="810" ht="75.5999984741211" hidden="0" customHeight="1">
      <x:c r="A810" s="34" t="str">
        <x:v>M0</x:v>
      </x:c>
      <x:c r="B810" s="34" t="str">
        <x:v>48201521201</x:v>
      </x:c>
      <x:c r="C810" s="65" t="n">
        <x:v>166.40184145430973</x:v>
      </x:c>
      <x:c r="D810" s="65" t="n">
        <x:v>27.442703314746225</x:v>
      </x:c>
      <x:c r="E810" s="65" t="n">
        <x:v>138.9591381395635</x:v>
      </x:c>
      <x:c r="F810" s="65" t="n">
        <x:v>138.9591381395635</x:v>
      </x:c>
      <x:c r="G810" s="65" t="n">
        <x:v>166.4018414543097</x:v>
      </x:c>
      <x:c r="H810" s="43" t="n">
        <x:v>0.9999999999999998</x:v>
      </x:c>
      <x:c r="I810" s="34" t="str">
        <x:v>generated design-reference observation; not predicted tract behavior</x:v>
      </x:c>
    </x:row>
    <x:row r="811" ht="75.5999984741211" hidden="0" customHeight="1">
      <x:c r="A811" s="36" t="str">
        <x:v>M0</x:v>
      </x:c>
      <x:c r="B811" s="36" t="str">
        <x:v>48201521202</x:v>
      </x:c>
      <x:c r="C811" s="66" t="n">
        <x:v>268.5756530406515</x:v>
      </x:c>
      <x:c r="D811" s="66" t="n">
        <x:v>46.3279620501734</x:v>
      </x:c>
      <x:c r="E811" s="66" t="n">
        <x:v>222.2476909904781</x:v>
      </x:c>
      <x:c r="F811" s="66" t="n">
        <x:v>222.2476909904781</x:v>
      </x:c>
      <x:c r="G811" s="66" t="n">
        <x:v>268.5756530406515</x:v>
      </x:c>
      <x:c r="H811" s="45" t="n">
        <x:v>1</x:v>
      </x:c>
      <x:c r="I811" s="36" t="str">
        <x:v>generated design-reference observation; not predicted tract behavior</x:v>
      </x:c>
    </x:row>
    <x:row r="812" ht="75.5999984741211" hidden="0" customHeight="1">
      <x:c r="A812" s="34" t="str">
        <x:v>M0</x:v>
      </x:c>
      <x:c r="B812" s="34" t="str">
        <x:v>48201521300</x:v>
      </x:c>
      <x:c r="C812" s="65" t="n">
        <x:v>579.4591236020167</x:v>
      </x:c>
      <x:c r="D812" s="65" t="n">
        <x:v>104.0887222927633</x:v>
      </x:c>
      <x:c r="E812" s="65" t="n">
        <x:v>475.3704013092534</x:v>
      </x:c>
      <x:c r="F812" s="65" t="n">
        <x:v>378.53466221273624</x:v>
      </x:c>
      <x:c r="G812" s="65" t="n">
        <x:v>482.62338450549953</x:v>
      </x:c>
      <x:c r="H812" s="43" t="n">
        <x:v>0.8328859877214985</x:v>
      </x:c>
      <x:c r="I812" s="34" t="str">
        <x:v>generated design-reference observation; not predicted tract behavior</x:v>
      </x:c>
    </x:row>
    <x:row r="813" ht="75.5999984741211" hidden="0" customHeight="1">
      <x:c r="A813" s="36" t="str">
        <x:v>M0</x:v>
      </x:c>
      <x:c r="B813" s="36" t="str">
        <x:v>48201521401</x:v>
      </x:c>
      <x:c r="C813" s="66" t="n">
        <x:v>261.74572671230294</x:v>
      </x:c>
      <x:c r="D813" s="66" t="n">
        <x:v>45.372122265640094</x:v>
      </x:c>
      <x:c r="E813" s="66" t="n">
        <x:v>216.37360444666285</x:v>
      </x:c>
      <x:c r="F813" s="66" t="n">
        <x:v>216.37360444666285</x:v>
      </x:c>
      <x:c r="G813" s="66" t="n">
        <x:v>261.74572671230294</x:v>
      </x:c>
      <x:c r="H813" s="45" t="n">
        <x:v>1</x:v>
      </x:c>
      <x:c r="I813" s="36" t="str">
        <x:v>generated design-reference observation; not predicted tract behavior</x:v>
      </x:c>
    </x:row>
    <x:row r="814" ht="75.5999984741211" hidden="0" customHeight="1">
      <x:c r="A814" s="34" t="str">
        <x:v>M0</x:v>
      </x:c>
      <x:c r="B814" s="34" t="str">
        <x:v>48201521402</x:v>
      </x:c>
      <x:c r="C814" s="65" t="n">
        <x:v>591.852383742303</x:v>
      </x:c>
      <x:c r="D814" s="65" t="n">
        <x:v>47.23014661181799</x:v>
      </x:c>
      <x:c r="E814" s="65" t="n">
        <x:v>544.622237130485</x:v>
      </x:c>
      <x:c r="F814" s="65" t="n">
        <x:v>544.622237130485</x:v>
      </x:c>
      <x:c r="G814" s="65" t="n">
        <x:v>591.852383742303</x:v>
      </x:c>
      <x:c r="H814" s="43" t="n">
        <x:v>1</x:v>
      </x:c>
      <x:c r="I814" s="34" t="str">
        <x:v>generated design-reference observation; not predicted tract behavior</x:v>
      </x:c>
    </x:row>
    <x:row r="815" ht="75.5999984741211" hidden="0" customHeight="1">
      <x:c r="A815" s="36" t="str">
        <x:v>M0</x:v>
      </x:c>
      <x:c r="B815" s="36" t="str">
        <x:v>48201521501</x:v>
      </x:c>
      <x:c r="C815" s="66" t="n">
        <x:v>497.0628972134499</x:v>
      </x:c>
      <x:c r="D815" s="66" t="n">
        <x:v>41.31675662044401</x:v>
      </x:c>
      <x:c r="E815" s="66" t="n">
        <x:v>455.74614059300586</x:v>
      </x:c>
      <x:c r="F815" s="66" t="n">
        <x:v>455.74614059300586</x:v>
      </x:c>
      <x:c r="G815" s="66" t="n">
        <x:v>497.0628972134499</x:v>
      </x:c>
      <x:c r="H815" s="45" t="n">
        <x:v>1</x:v>
      </x:c>
      <x:c r="I815" s="36" t="str">
        <x:v>generated design-reference observation; not predicted tract behavior</x:v>
      </x:c>
    </x:row>
    <x:row r="816" ht="75.5999984741211" hidden="0" customHeight="1">
      <x:c r="A816" s="34" t="str">
        <x:v>M0</x:v>
      </x:c>
      <x:c r="B816" s="34" t="str">
        <x:v>48201521502</x:v>
      </x:c>
      <x:c r="C816" s="65" t="n">
        <x:v>507.7276666595036</x:v>
      </x:c>
      <x:c r="D816" s="65" t="n">
        <x:v>45.44658998399571</x:v>
      </x:c>
      <x:c r="E816" s="65" t="n">
        <x:v>462.2810766755079</x:v>
      </x:c>
      <x:c r="F816" s="65" t="n">
        <x:v>462.2810766755079</x:v>
      </x:c>
      <x:c r="G816" s="65" t="n">
        <x:v>507.7276666595036</x:v>
      </x:c>
      <x:c r="H816" s="43" t="n">
        <x:v>1</x:v>
      </x:c>
      <x:c r="I816" s="34" t="str">
        <x:v>generated design-reference observation; not predicted tract behavior</x:v>
      </x:c>
    </x:row>
    <x:row r="817" ht="75.5999984741211" hidden="0" customHeight="1">
      <x:c r="A817" s="36" t="str">
        <x:v>M0</x:v>
      </x:c>
      <x:c r="B817" s="36" t="str">
        <x:v>48201521600</x:v>
      </x:c>
      <x:c r="C817" s="66" t="n">
        <x:v>236.51665477444467</x:v>
      </x:c>
      <x:c r="D817" s="66" t="n">
        <x:v>44.22736051540095</x:v>
      </x:c>
      <x:c r="E817" s="66" t="n">
        <x:v>192.28929425904371</x:v>
      </x:c>
      <x:c r="F817" s="66" t="n">
        <x:v>112.33998540035802</x:v>
      </x:c>
      <x:c r="G817" s="66" t="n">
        <x:v>156.56734591575898</x:v>
      </x:c>
      <x:c r="H817" s="45" t="n">
        <x:v>0.6619717586698926</x:v>
      </x:c>
      <x:c r="I817" s="36" t="str">
        <x:v>generated design-reference observation; not predicted tract behavior</x:v>
      </x:c>
    </x:row>
    <x:row r="818" ht="75.5999984741211" hidden="0" customHeight="1">
      <x:c r="A818" s="34" t="str">
        <x:v>M0</x:v>
      </x:c>
      <x:c r="B818" s="34" t="str">
        <x:v>48201521701</x:v>
      </x:c>
      <x:c r="C818" s="65" t="n">
        <x:v>663.3250809726328</x:v>
      </x:c>
      <x:c r="D818" s="65" t="n">
        <x:v>88.41494633013744</x:v>
      </x:c>
      <x:c r="E818" s="65" t="n">
        <x:v>574.9101346424953</x:v>
      </x:c>
      <x:c r="F818" s="65" t="n">
        <x:v>574.9101346424953</x:v>
      </x:c>
      <x:c r="G818" s="65" t="n">
        <x:v>663.3250809726328</x:v>
      </x:c>
      <x:c r="H818" s="43" t="n">
        <x:v>1</x:v>
      </x:c>
      <x:c r="I818" s="34" t="str">
        <x:v>generated design-reference observation; not predicted tract behavior</x:v>
      </x:c>
    </x:row>
    <x:row r="819" ht="75.5999984741211" hidden="0" customHeight="1">
      <x:c r="A819" s="36" t="str">
        <x:v>M0</x:v>
      </x:c>
      <x:c r="B819" s="36" t="str">
        <x:v>48201521702</x:v>
      </x:c>
      <x:c r="C819" s="66" t="n">
        <x:v>450.20532218331016</x:v>
      </x:c>
      <x:c r="D819" s="66" t="n">
        <x:v>67.31094345850394</x:v>
      </x:c>
      <x:c r="E819" s="66" t="n">
        <x:v>382.8943787248062</x:v>
      </x:c>
      <x:c r="F819" s="66" t="n">
        <x:v>382.8943787248062</x:v>
      </x:c>
      <x:c r="G819" s="66" t="n">
        <x:v>450.20532218331016</x:v>
      </x:c>
      <x:c r="H819" s="45" t="n">
        <x:v>1</x:v>
      </x:c>
      <x:c r="I819" s="36" t="str">
        <x:v>generated design-reference observation; not predicted tract behavior</x:v>
      </x:c>
    </x:row>
    <x:row r="820" ht="75.5999984741211" hidden="0" customHeight="1">
      <x:c r="A820" s="34" t="str">
        <x:v>M0</x:v>
      </x:c>
      <x:c r="B820" s="34" t="str">
        <x:v>48201521800</x:v>
      </x:c>
      <x:c r="C820" s="65" t="n">
        <x:v>375.48875757980574</x:v>
      </x:c>
      <x:c r="D820" s="65" t="n">
        <x:v>67.24806022592436</x:v>
      </x:c>
      <x:c r="E820" s="65" t="n">
        <x:v>308.2406973538814</x:v>
      </x:c>
      <x:c r="F820" s="65" t="n">
        <x:v>308.2406973538814</x:v>
      </x:c>
      <x:c r="G820" s="65" t="n">
        <x:v>375.48875757980574</x:v>
      </x:c>
      <x:c r="H820" s="43" t="n">
        <x:v>1</x:v>
      </x:c>
      <x:c r="I820" s="34" t="str">
        <x:v>generated design-reference observation; not predicted tract behavior</x:v>
      </x:c>
    </x:row>
    <x:row r="821" ht="75.5999984741211" hidden="0" customHeight="1">
      <x:c r="A821" s="36" t="str">
        <x:v>M0</x:v>
      </x:c>
      <x:c r="B821" s="36" t="str">
        <x:v>48201521900</x:v>
      </x:c>
      <x:c r="C821" s="66" t="n">
        <x:v>583.7386344026906</x:v>
      </x:c>
      <x:c r="D821" s="66" t="n">
        <x:v>96.56676659026323</x:v>
      </x:c>
      <x:c r="E821" s="66" t="n">
        <x:v>487.1718678124274</x:v>
      </x:c>
      <x:c r="F821" s="66" t="n">
        <x:v>487.1718678124274</x:v>
      </x:c>
      <x:c r="G821" s="66" t="n">
        <x:v>583.7386344026906</x:v>
      </x:c>
      <x:c r="H821" s="45" t="n">
        <x:v>1</x:v>
      </x:c>
      <x:c r="I821" s="36" t="str">
        <x:v>generated design-reference observation; not predicted tract behavior</x:v>
      </x:c>
    </x:row>
    <x:row r="822" ht="75.5999984741211" hidden="0" customHeight="1">
      <x:c r="A822" s="34" t="str">
        <x:v>M0</x:v>
      </x:c>
      <x:c r="B822" s="34" t="str">
        <x:v>48201522001</x:v>
      </x:c>
      <x:c r="C822" s="65" t="n">
        <x:v>390.6352694240224</x:v>
      </x:c>
      <x:c r="D822" s="65" t="n">
        <x:v>29.677629404030643</x:v>
      </x:c>
      <x:c r="E822" s="65" t="n">
        <x:v>360.95764001999174</x:v>
      </x:c>
      <x:c r="F822" s="65" t="n">
        <x:v>360.95764001999174</x:v>
      </x:c>
      <x:c r="G822" s="65" t="n">
        <x:v>390.6352694240224</x:v>
      </x:c>
      <x:c r="H822" s="43" t="n">
        <x:v>1</x:v>
      </x:c>
      <x:c r="I822" s="34" t="str">
        <x:v>generated design-reference observation; not predicted tract behavior</x:v>
      </x:c>
    </x:row>
    <x:row r="823" ht="75.5999984741211" hidden="0" customHeight="1">
      <x:c r="A823" s="36" t="str">
        <x:v>M0</x:v>
      </x:c>
      <x:c r="B823" s="36" t="str">
        <x:v>48201522002</x:v>
      </x:c>
      <x:c r="C823" s="66" t="n">
        <x:v>439.06021490704734</x:v>
      </x:c>
      <x:c r="D823" s="66" t="n">
        <x:v>65.55620613354694</x:v>
      </x:c>
      <x:c r="E823" s="66" t="n">
        <x:v>373.5040087735004</x:v>
      </x:c>
      <x:c r="F823" s="66" t="n">
        <x:v>373.5040087735004</x:v>
      </x:c>
      <x:c r="G823" s="66" t="n">
        <x:v>439.06021490704734</x:v>
      </x:c>
      <x:c r="H823" s="45" t="n">
        <x:v>1</x:v>
      </x:c>
      <x:c r="I823" s="36" t="str">
        <x:v>generated design-reference observation; not predicted tract behavior</x:v>
      </x:c>
    </x:row>
    <x:row r="824" ht="75.5999984741211" hidden="0" customHeight="1">
      <x:c r="A824" s="34" t="str">
        <x:v>M0</x:v>
      </x:c>
      <x:c r="B824" s="34" t="str">
        <x:v>48201522101</x:v>
      </x:c>
      <x:c r="C824" s="65" t="n">
        <x:v>273.40926028108225</x:v>
      </x:c>
      <x:c r="D824" s="65" t="n">
        <x:v>40.60774270715241</x:v>
      </x:c>
      <x:c r="E824" s="65" t="n">
        <x:v>232.80151757392986</x:v>
      </x:c>
      <x:c r="F824" s="65" t="n">
        <x:v>232.80151757392986</x:v>
      </x:c>
      <x:c r="G824" s="65" t="n">
        <x:v>273.40926028108225</x:v>
      </x:c>
      <x:c r="H824" s="43" t="n">
        <x:v>1</x:v>
      </x:c>
      <x:c r="I824" s="34" t="str">
        <x:v>generated design-reference observation; not predicted tract behavior</x:v>
      </x:c>
    </x:row>
    <x:row r="825" ht="75.5999984741211" hidden="0" customHeight="1">
      <x:c r="A825" s="36" t="str">
        <x:v>M0</x:v>
      </x:c>
      <x:c r="B825" s="36" t="str">
        <x:v>48201522102</x:v>
      </x:c>
      <x:c r="C825" s="66" t="n">
        <x:v>364.80373474506484</x:v>
      </x:c>
      <x:c r="D825" s="66" t="n">
        <x:v>68.5831021320722</x:v>
      </x:c>
      <x:c r="E825" s="66" t="n">
        <x:v>296.22063261299263</x:v>
      </x:c>
      <x:c r="F825" s="66" t="n">
        <x:v>296.22063261299263</x:v>
      </x:c>
      <x:c r="G825" s="66" t="n">
        <x:v>364.80373474506484</x:v>
      </x:c>
      <x:c r="H825" s="45" t="n">
        <x:v>1</x:v>
      </x:c>
      <x:c r="I825" s="36" t="str">
        <x:v>generated design-reference observation; not predicted tract behavior</x:v>
      </x:c>
    </x:row>
    <x:row r="826" ht="75.5999984741211" hidden="0" customHeight="1">
      <x:c r="A826" s="34" t="str">
        <x:v>M0</x:v>
      </x:c>
      <x:c r="B826" s="34" t="str">
        <x:v>48201522201</x:v>
      </x:c>
      <x:c r="C826" s="65" t="n">
        <x:v>416.5351215036265</x:v>
      </x:c>
      <x:c r="D826" s="65" t="n">
        <x:v>70.96009768259943</x:v>
      </x:c>
      <x:c r="E826" s="65" t="n">
        <x:v>345.57502382102706</x:v>
      </x:c>
      <x:c r="F826" s="65" t="n">
        <x:v>345.57502382102706</x:v>
      </x:c>
      <x:c r="G826" s="65" t="n">
        <x:v>416.5351215036265</x:v>
      </x:c>
      <x:c r="H826" s="43" t="n">
        <x:v>1</x:v>
      </x:c>
      <x:c r="I826" s="34" t="str">
        <x:v>generated design-reference observation; not predicted tract behavior</x:v>
      </x:c>
    </x:row>
    <x:row r="827" ht="75.5999984741211" hidden="0" customHeight="1">
      <x:c r="A827" s="36" t="str">
        <x:v>M0</x:v>
      </x:c>
      <x:c r="B827" s="36" t="str">
        <x:v>48201522202</x:v>
      </x:c>
      <x:c r="C827" s="66" t="n">
        <x:v>328.5988375856431</x:v>
      </x:c>
      <x:c r="D827" s="66" t="n">
        <x:v>60.560977766284076</x:v>
      </x:c>
      <x:c r="E827" s="66" t="n">
        <x:v>268.037859819359</x:v>
      </x:c>
      <x:c r="F827" s="66" t="n">
        <x:v>86.53251245907006</x:v>
      </x:c>
      <x:c r="G827" s="66" t="n">
        <x:v>147.09349022535415</x:v>
      </x:c>
      <x:c r="H827" s="45" t="n">
        <x:v>0.4476384983772714</x:v>
      </x:c>
      <x:c r="I827" s="36" t="str">
        <x:v>generated design-reference observation; not predicted tract behavior</x:v>
      </x:c>
    </x:row>
    <x:row r="828" ht="75.5999984741211" hidden="0" customHeight="1">
      <x:c r="A828" s="34" t="str">
        <x:v>M0</x:v>
      </x:c>
      <x:c r="B828" s="34" t="str">
        <x:v>48201522301</x:v>
      </x:c>
      <x:c r="C828" s="65" t="n">
        <x:v>318.6526100039111</x:v>
      </x:c>
      <x:c r="D828" s="65" t="n">
        <x:v>53.96880283793113</x:v>
      </x:c>
      <x:c r="E828" s="65" t="n">
        <x:v>264.68380716597994</x:v>
      </x:c>
      <x:c r="F828" s="65" t="n">
        <x:v>64.28753668204189</x:v>
      </x:c>
      <x:c r="G828" s="65" t="n">
        <x:v>118.25633951997301</x:v>
      </x:c>
      <x:c r="H828" s="43" t="n">
        <x:v>0.37111366989437666</x:v>
      </x:c>
      <x:c r="I828" s="34" t="str">
        <x:v>generated design-reference observation; not predicted tract behavior</x:v>
      </x:c>
    </x:row>
    <x:row r="829" ht="75.5999984741211" hidden="0" customHeight="1">
      <x:c r="A829" s="36" t="str">
        <x:v>M0</x:v>
      </x:c>
      <x:c r="B829" s="36" t="str">
        <x:v>48201522302</x:v>
      </x:c>
      <x:c r="C829" s="66" t="n">
        <x:v>253.0766717754002</x:v>
      </x:c>
      <x:c r="D829" s="66" t="n">
        <x:v>37.552531434027294</x:v>
      </x:c>
      <x:c r="E829" s="66" t="n">
        <x:v>215.5241403413729</x:v>
      </x:c>
      <x:c r="F829" s="66" t="n">
        <x:v>36.58191121999336</x:v>
      </x:c>
      <x:c r="G829" s="66" t="n">
        <x:v>74.13444265402066</x:v>
      </x:c>
      <x:c r="H829" s="45" t="n">
        <x:v>0.2929327390547213</x:v>
      </x:c>
      <x:c r="I829" s="36" t="str">
        <x:v>generated design-reference observation; not predicted tract behavior</x:v>
      </x:c>
    </x:row>
    <x:row r="830" ht="75.5999984741211" hidden="0" customHeight="1">
      <x:c r="A830" s="34" t="str">
        <x:v>M0</x:v>
      </x:c>
      <x:c r="B830" s="34" t="str">
        <x:v>48201522401</x:v>
      </x:c>
      <x:c r="C830" s="65" t="n">
        <x:v>486.48881458241385</x:v>
      </x:c>
      <x:c r="D830" s="65" t="n">
        <x:v>80.95306152576781</x:v>
      </x:c>
      <x:c r="E830" s="65" t="n">
        <x:v>405.53575305664606</x:v>
      </x:c>
      <x:c r="F830" s="65" t="n">
        <x:v>299.55129092931685</x:v>
      </x:c>
      <x:c r="G830" s="65" t="n">
        <x:v>380.50435245508464</x:v>
      </x:c>
      <x:c r="H830" s="43" t="n">
        <x:v>0.7821440926276942</x:v>
      </x:c>
      <x:c r="I830" s="34" t="str">
        <x:v>generated design-reference observation; not predicted tract behavior</x:v>
      </x:c>
    </x:row>
    <x:row r="831" ht="75.5999984741211" hidden="0" customHeight="1">
      <x:c r="A831" s="36" t="str">
        <x:v>M0</x:v>
      </x:c>
      <x:c r="B831" s="36" t="str">
        <x:v>48201522402</x:v>
      </x:c>
      <x:c r="C831" s="66" t="n">
        <x:v>309.31549552971313</x:v>
      </x:c>
      <x:c r="D831" s="66" t="n">
        <x:v>54.382246565909185</x:v>
      </x:c>
      <x:c r="E831" s="66" t="n">
        <x:v>254.93324896380395</x:v>
      </x:c>
      <x:c r="F831" s="66" t="n">
        <x:v>254.93324896380392</x:v>
      </x:c>
      <x:c r="G831" s="66" t="n">
        <x:v>309.3154955297131</x:v>
      </x:c>
      <x:c r="H831" s="45" t="n">
        <x:v>0.9999999999999998</x:v>
      </x:c>
      <x:c r="I831" s="36" t="str">
        <x:v>generated design-reference observation; not predicted tract behavior</x:v>
      </x:c>
    </x:row>
    <x:row r="832" ht="75.5999984741211" hidden="0" customHeight="1">
      <x:c r="A832" s="34" t="str">
        <x:v>M0</x:v>
      </x:c>
      <x:c r="B832" s="34" t="str">
        <x:v>48201522500</x:v>
      </x:c>
      <x:c r="C832" s="65" t="n">
        <x:v>437.0759873944652</x:v>
      </x:c>
      <x:c r="D832" s="65" t="n">
        <x:v>82.17028563015946</x:v>
      </x:c>
      <x:c r="E832" s="65" t="n">
        <x:v>354.9057017643057</x:v>
      </x:c>
      <x:c r="F832" s="65" t="n">
        <x:v>354.9057017643057</x:v>
      </x:c>
      <x:c r="G832" s="65" t="n">
        <x:v>437.0759873944652</x:v>
      </x:c>
      <x:c r="H832" s="43" t="n">
        <x:v>1</x:v>
      </x:c>
      <x:c r="I832" s="34" t="str">
        <x:v>generated design-reference observation; not predicted tract behavior</x:v>
      </x:c>
    </x:row>
    <x:row r="833" ht="75.5999984741211" hidden="0" customHeight="1">
      <x:c r="A833" s="36" t="str">
        <x:v>M0</x:v>
      </x:c>
      <x:c r="B833" s="36" t="str">
        <x:v>48201530101</x:v>
      </x:c>
      <x:c r="C833" s="66" t="n">
        <x:v>271.18501499808724</x:v>
      </x:c>
      <x:c r="D833" s="66" t="n">
        <x:v>43.930397327685206</x:v>
      </x:c>
      <x:c r="E833" s="66" t="n">
        <x:v>227.25461767040204</x:v>
      </x:c>
      <x:c r="F833" s="66" t="n">
        <x:v>0</x:v>
      </x:c>
      <x:c r="G833" s="66" t="n">
        <x:v>43.930397327685206</x:v>
      </x:c>
      <x:c r="H833" s="45" t="n">
        <x:v>0.1619941917808219</x:v>
      </x:c>
      <x:c r="I833" s="36" t="str">
        <x:v>generated design-reference observation; not predicted tract behavior</x:v>
      </x:c>
    </x:row>
    <x:row r="834" ht="75.5999984741211" hidden="0" customHeight="1">
      <x:c r="A834" s="34" t="str">
        <x:v>M0</x:v>
      </x:c>
      <x:c r="B834" s="34" t="str">
        <x:v>48201530102</x:v>
      </x:c>
      <x:c r="C834" s="65" t="n">
        <x:v>508.9634256588082</x:v>
      </x:c>
      <x:c r="D834" s="65" t="n">
        <x:v>34.34234741242188</x:v>
      </x:c>
      <x:c r="E834" s="65" t="n">
        <x:v>474.62107824638633</x:v>
      </x:c>
      <x:c r="F834" s="65" t="n">
        <x:v>474.62107824638633</x:v>
      </x:c>
      <x:c r="G834" s="65" t="n">
        <x:v>508.9634256588082</x:v>
      </x:c>
      <x:c r="H834" s="43" t="n">
        <x:v>1</x:v>
      </x:c>
      <x:c r="I834" s="34" t="str">
        <x:v>generated design-reference observation; not predicted tract behavior</x:v>
      </x:c>
    </x:row>
    <x:row r="835" ht="75.5999984741211" hidden="0" customHeight="1">
      <x:c r="A835" s="36" t="str">
        <x:v>M0</x:v>
      </x:c>
      <x:c r="B835" s="36" t="str">
        <x:v>48201530200</x:v>
      </x:c>
      <x:c r="C835" s="66" t="n">
        <x:v>336.80418060842317</x:v>
      </x:c>
      <x:c r="D835" s="66" t="n">
        <x:v>58.010541902932665</x:v>
      </x:c>
      <x:c r="E835" s="66" t="n">
        <x:v>278.7936387054905</x:v>
      </x:c>
      <x:c r="F835" s="66" t="n">
        <x:v>0</x:v>
      </x:c>
      <x:c r="G835" s="66" t="n">
        <x:v>58.010541902932665</x:v>
      </x:c>
      <x:c r="H835" s="45" t="n">
        <x:v>0.17223818836850233</x:v>
      </x:c>
      <x:c r="I835" s="36" t="str">
        <x:v>generated design-reference observation; not predicted tract behavior</x:v>
      </x:c>
    </x:row>
    <x:row r="836" ht="75.5999984741211" hidden="0" customHeight="1">
      <x:c r="A836" s="34" t="str">
        <x:v>M0</x:v>
      </x:c>
      <x:c r="B836" s="34" t="str">
        <x:v>48201530300</x:v>
      </x:c>
      <x:c r="C836" s="65" t="n">
        <x:v>342.7242158927631</x:v>
      </x:c>
      <x:c r="D836" s="65" t="n">
        <x:v>56.20677140641315</x:v>
      </x:c>
      <x:c r="E836" s="65" t="n">
        <x:v>286.5174444863499</x:v>
      </x:c>
      <x:c r="F836" s="65" t="n">
        <x:v>286.5174444863499</x:v>
      </x:c>
      <x:c r="G836" s="65" t="n">
        <x:v>342.7242158927631</x:v>
      </x:c>
      <x:c r="H836" s="43" t="n">
        <x:v>1</x:v>
      </x:c>
      <x:c r="I836" s="34" t="str">
        <x:v>generated design-reference observation; not predicted tract behavior</x:v>
      </x:c>
    </x:row>
    <x:row r="837" ht="75.5999984741211" hidden="0" customHeight="1">
      <x:c r="A837" s="36" t="str">
        <x:v>M0</x:v>
      </x:c>
      <x:c r="B837" s="36" t="str">
        <x:v>48201530400</x:v>
      </x:c>
      <x:c r="C837" s="66" t="n">
        <x:v>616.4575303928411</x:v>
      </x:c>
      <x:c r="D837" s="66" t="n">
        <x:v>52.14660695023415</x:v>
      </x:c>
      <x:c r="E837" s="66" t="n">
        <x:v>564.310923442607</x:v>
      </x:c>
      <x:c r="F837" s="66" t="n">
        <x:v>564.310923442607</x:v>
      </x:c>
      <x:c r="G837" s="66" t="n">
        <x:v>616.4575303928411</x:v>
      </x:c>
      <x:c r="H837" s="45" t="n">
        <x:v>1</x:v>
      </x:c>
      <x:c r="I837" s="36" t="str">
        <x:v>generated design-reference observation; not predicted tract behavior</x:v>
      </x:c>
    </x:row>
    <x:row r="838" ht="75.5999984741211" hidden="0" customHeight="1">
      <x:c r="A838" s="34" t="str">
        <x:v>M0</x:v>
      </x:c>
      <x:c r="B838" s="34" t="str">
        <x:v>48201530501</x:v>
      </x:c>
      <x:c r="C838" s="65" t="n">
        <x:v>284.8339852369822</x:v>
      </x:c>
      <x:c r="D838" s="65" t="n">
        <x:v>19.919368553546917</x:v>
      </x:c>
      <x:c r="E838" s="65" t="n">
        <x:v>264.91461668343527</x:v>
      </x:c>
      <x:c r="F838" s="65" t="n">
        <x:v>264.91461668343527</x:v>
      </x:c>
      <x:c r="G838" s="65" t="n">
        <x:v>284.8339852369822</x:v>
      </x:c>
      <x:c r="H838" s="43" t="n">
        <x:v>1</x:v>
      </x:c>
      <x:c r="I838" s="34" t="str">
        <x:v>generated design-reference observation; not predicted tract behavior</x:v>
      </x:c>
    </x:row>
    <x:row r="839" ht="75.5999984741211" hidden="0" customHeight="1">
      <x:c r="A839" s="36" t="str">
        <x:v>M0</x:v>
      </x:c>
      <x:c r="B839" s="36" t="str">
        <x:v>48201530502</x:v>
      </x:c>
      <x:c r="C839" s="66" t="n">
        <x:v>446.9892654334075</x:v>
      </x:c>
      <x:c r="D839" s="66" t="n">
        <x:v>34.49038992765756</x:v>
      </x:c>
      <x:c r="E839" s="66" t="n">
        <x:v>412.49887550575</x:v>
      </x:c>
      <x:c r="F839" s="66" t="n">
        <x:v>412.49887550575</x:v>
      </x:c>
      <x:c r="G839" s="66" t="n">
        <x:v>446.9892654334075</x:v>
      </x:c>
      <x:c r="H839" s="45" t="n">
        <x:v>1</x:v>
      </x:c>
      <x:c r="I839" s="36" t="str">
        <x:v>generated design-reference observation; not predicted tract behavior</x:v>
      </x:c>
    </x:row>
    <x:row r="840" ht="75.5999984741211" hidden="0" customHeight="1">
      <x:c r="A840" s="34" t="str">
        <x:v>M0</x:v>
      </x:c>
      <x:c r="B840" s="34" t="str">
        <x:v>48201530600</x:v>
      </x:c>
      <x:c r="C840" s="65" t="n">
        <x:v>290.15790585727416</x:v>
      </x:c>
      <x:c r="D840" s="65" t="n">
        <x:v>49.64344232615129</x:v>
      </x:c>
      <x:c r="E840" s="65" t="n">
        <x:v>240.51446353112289</x:v>
      </x:c>
      <x:c r="F840" s="65" t="n">
        <x:v>61.43859195477452</x:v>
      </x:c>
      <x:c r="G840" s="65" t="n">
        <x:v>111.08203428092581</x:v>
      </x:c>
      <x:c r="H840" s="43" t="n">
        <x:v>0.3828330437963871</x:v>
      </x:c>
      <x:c r="I840" s="34" t="str">
        <x:v>generated design-reference observation; not predicted tract behavior</x:v>
      </x:c>
    </x:row>
    <x:row r="841" ht="75.5999984741211" hidden="0" customHeight="1">
      <x:c r="A841" s="36" t="str">
        <x:v>M0</x:v>
      </x:c>
      <x:c r="B841" s="36" t="str">
        <x:v>48201530701</x:v>
      </x:c>
      <x:c r="C841" s="66" t="n">
        <x:v>209.66428884777386</x:v>
      </x:c>
      <x:c r="D841" s="66" t="n">
        <x:v>25.242649828417175</x:v>
      </x:c>
      <x:c r="E841" s="66" t="n">
        <x:v>184.4216390193567</x:v>
      </x:c>
      <x:c r="F841" s="66" t="n">
        <x:v>184.4216390193567</x:v>
      </x:c>
      <x:c r="G841" s="66" t="n">
        <x:v>209.66428884777386</x:v>
      </x:c>
      <x:c r="H841" s="45" t="n">
        <x:v>1</x:v>
      </x:c>
      <x:c r="I841" s="36" t="str">
        <x:v>generated design-reference observation; not predicted tract behavior</x:v>
      </x:c>
    </x:row>
    <x:row r="842" ht="75.5999984741211" hidden="0" customHeight="1">
      <x:c r="A842" s="34" t="str">
        <x:v>M0</x:v>
      </x:c>
      <x:c r="B842" s="34" t="str">
        <x:v>48201530702</x:v>
      </x:c>
      <x:c r="C842" s="65" t="n">
        <x:v>748.8022407567258</x:v>
      </x:c>
      <x:c r="D842" s="65" t="n">
        <x:v>66.48323328048374</x:v>
      </x:c>
      <x:c r="E842" s="65" t="n">
        <x:v>682.3190074762421</x:v>
      </x:c>
      <x:c r="F842" s="65" t="n">
        <x:v>682.3190074762421</x:v>
      </x:c>
      <x:c r="G842" s="65" t="n">
        <x:v>748.8022407567258</x:v>
      </x:c>
      <x:c r="H842" s="43" t="n">
        <x:v>1</x:v>
      </x:c>
      <x:c r="I842" s="34" t="str">
        <x:v>generated design-reference observation; not predicted tract behavior</x:v>
      </x:c>
    </x:row>
    <x:row r="843" ht="75.5999984741211" hidden="0" customHeight="1">
      <x:c r="A843" s="36" t="str">
        <x:v>M0</x:v>
      </x:c>
      <x:c r="B843" s="36" t="str">
        <x:v>48201530800</x:v>
      </x:c>
      <x:c r="C843" s="66" t="n">
        <x:v>316.59734448623203</x:v>
      </x:c>
      <x:c r="D843" s="66" t="n">
        <x:v>53.430113664928946</x:v>
      </x:c>
      <x:c r="E843" s="66" t="n">
        <x:v>263.16723082130306</x:v>
      </x:c>
      <x:c r="F843" s="66" t="n">
        <x:v>64.34449203727854</x:v>
      </x:c>
      <x:c r="G843" s="66" t="n">
        <x:v>117.77460570220748</x:v>
      </x:c>
      <x:c r="H843" s="45" t="n">
        <x:v>0.3720012430721104</x:v>
      </x:c>
      <x:c r="I843" s="36" t="str">
        <x:v>generated design-reference observation; not predicted tract behavior</x:v>
      </x:c>
    </x:row>
    <x:row r="844" ht="75.5999984741211" hidden="0" customHeight="1">
      <x:c r="A844" s="34" t="str">
        <x:v>M0</x:v>
      </x:c>
      <x:c r="B844" s="34" t="str">
        <x:v>48201530900</x:v>
      </x:c>
      <x:c r="C844" s="65" t="n">
        <x:v>373.5946123034743</x:v>
      </x:c>
      <x:c r="D844" s="65" t="n">
        <x:v>67.52995250895566</x:v>
      </x:c>
      <x:c r="E844" s="65" t="n">
        <x:v>306.06465979451866</x:v>
      </x:c>
      <x:c r="F844" s="65" t="n">
        <x:v>129.53926731775903</x:v>
      </x:c>
      <x:c r="G844" s="65" t="n">
        <x:v>197.0692198267147</x:v>
      </x:c>
      <x:c r="H844" s="43" t="n">
        <x:v>0.5274948121217379</x:v>
      </x:c>
      <x:c r="I844" s="34" t="str">
        <x:v>generated design-reference observation; not predicted tract behavior</x:v>
      </x:c>
    </x:row>
    <x:row r="845" ht="75.5999984741211" hidden="0" customHeight="1">
      <x:c r="A845" s="36" t="str">
        <x:v>M0</x:v>
      </x:c>
      <x:c r="B845" s="36" t="str">
        <x:v>48201531000</x:v>
      </x:c>
      <x:c r="C845" s="66" t="n">
        <x:v>401.3858890549593</x:v>
      </x:c>
      <x:c r="D845" s="66" t="n">
        <x:v>74.03949411855346</x:v>
      </x:c>
      <x:c r="E845" s="66" t="n">
        <x:v>327.34639493640583</x:v>
      </x:c>
      <x:c r="F845" s="66" t="n">
        <x:v>66.62391619586012</x:v>
      </x:c>
      <x:c r="G845" s="66" t="n">
        <x:v>140.66341031441357</x:v>
      </x:c>
      <x:c r="H845" s="45" t="n">
        <x:v>0.3504443333710553</x:v>
      </x:c>
      <x:c r="I845" s="36" t="str">
        <x:v>generated design-reference observation; not predicted tract behavior</x:v>
      </x:c>
    </x:row>
    <x:row r="846" ht="75.5999984741211" hidden="0" customHeight="1">
      <x:c r="A846" s="34" t="str">
        <x:v>M0</x:v>
      </x:c>
      <x:c r="B846" s="34" t="str">
        <x:v>48201531100</x:v>
      </x:c>
      <x:c r="C846" s="65" t="n">
        <x:v>283.4694509603528</x:v>
      </x:c>
      <x:c r="D846" s="65" t="n">
        <x:v>52.17567475001577</x:v>
      </x:c>
      <x:c r="E846" s="65" t="n">
        <x:v>231.293776210337</x:v>
      </x:c>
      <x:c r="F846" s="65" t="n">
        <x:v>0</x:v>
      </x:c>
      <x:c r="G846" s="65" t="n">
        <x:v>52.17567475001577</x:v>
      </x:c>
      <x:c r="H846" s="43" t="n">
        <x:v>0.18406101459346771</x:v>
      </x:c>
      <x:c r="I846" s="34" t="str">
        <x:v>generated design-reference observation; not predicted tract behavior</x:v>
      </x:c>
    </x:row>
    <x:row r="847" ht="75.5999984741211" hidden="0" customHeight="1">
      <x:c r="A847" s="36" t="str">
        <x:v>M0</x:v>
      </x:c>
      <x:c r="B847" s="36" t="str">
        <x:v>48201531200</x:v>
      </x:c>
      <x:c r="C847" s="66" t="n">
        <x:v>658.0924517461251</x:v>
      </x:c>
      <x:c r="D847" s="66" t="n">
        <x:v>57.83514671761154</x:v>
      </x:c>
      <x:c r="E847" s="66" t="n">
        <x:v>600.2573050285135</x:v>
      </x:c>
      <x:c r="F847" s="66" t="n">
        <x:v>600.2573050285135</x:v>
      </x:c>
      <x:c r="G847" s="66" t="n">
        <x:v>658.0924517461251</x:v>
      </x:c>
      <x:c r="H847" s="45" t="n">
        <x:v>1</x:v>
      </x:c>
      <x:c r="I847" s="36" t="str">
        <x:v>generated design-reference observation; not predicted tract behavior</x:v>
      </x:c>
    </x:row>
    <x:row r="848" ht="75.5999984741211" hidden="0" customHeight="1">
      <x:c r="A848" s="34" t="str">
        <x:v>M0</x:v>
      </x:c>
      <x:c r="B848" s="34" t="str">
        <x:v>48201531300</x:v>
      </x:c>
      <x:c r="C848" s="65" t="n">
        <x:v>408.8602963486985</x:v>
      </x:c>
      <x:c r="D848" s="65" t="n">
        <x:v>65.39867416020957</x:v>
      </x:c>
      <x:c r="E848" s="65" t="n">
        <x:v>343.46162218848895</x:v>
      </x:c>
      <x:c r="F848" s="65" t="n">
        <x:v>74.523632509486</x:v>
      </x:c>
      <x:c r="G848" s="65" t="n">
        <x:v>139.92230666969556</x:v>
      </x:c>
      <x:c r="H848" s="43" t="n">
        <x:v>0.34222522440858905</x:v>
      </x:c>
      <x:c r="I848" s="34" t="str">
        <x:v>generated design-reference observation; not predicted tract behavior</x:v>
      </x:c>
    </x:row>
    <x:row r="849" ht="75.5999984741211" hidden="0" customHeight="1">
      <x:c r="A849" s="36" t="str">
        <x:v>M0</x:v>
      </x:c>
      <x:c r="B849" s="36" t="str">
        <x:v>48201531400</x:v>
      </x:c>
      <x:c r="C849" s="66" t="n">
        <x:v>309.1289829801605</x:v>
      </x:c>
      <x:c r="D849" s="66" t="n">
        <x:v>47.96845349192263</x:v>
      </x:c>
      <x:c r="E849" s="66" t="n">
        <x:v>261.1605294882379</x:v>
      </x:c>
      <x:c r="F849" s="66" t="n">
        <x:v>261.1605294882379</x:v>
      </x:c>
      <x:c r="G849" s="66" t="n">
        <x:v>309.1289829801605</x:v>
      </x:c>
      <x:c r="H849" s="45" t="n">
        <x:v>1</x:v>
      </x:c>
      <x:c r="I849" s="36" t="str">
        <x:v>generated design-reference observation; not predicted tract behavior</x:v>
      </x:c>
    </x:row>
    <x:row r="850" ht="75.5999984741211" hidden="0" customHeight="1">
      <x:c r="A850" s="34" t="str">
        <x:v>M0</x:v>
      </x:c>
      <x:c r="B850" s="34" t="str">
        <x:v>48201531500</x:v>
      </x:c>
      <x:c r="C850" s="65" t="n">
        <x:v>211.1461114051592</x:v>
      </x:c>
      <x:c r="D850" s="65" t="n">
        <x:v>36.88627267580078</x:v>
      </x:c>
      <x:c r="E850" s="65" t="n">
        <x:v>174.25983872935842</x:v>
      </x:c>
      <x:c r="F850" s="65" t="n">
        <x:v>174.25983872935842</x:v>
      </x:c>
      <x:c r="G850" s="65" t="n">
        <x:v>211.1461114051592</x:v>
      </x:c>
      <x:c r="H850" s="43" t="n">
        <x:v>1</x:v>
      </x:c>
      <x:c r="I850" s="34" t="str">
        <x:v>generated design-reference observation; not predicted tract behavior</x:v>
      </x:c>
    </x:row>
    <x:row r="851" ht="75.5999984741211" hidden="0" customHeight="1">
      <x:c r="A851" s="36" t="str">
        <x:v>M0</x:v>
      </x:c>
      <x:c r="B851" s="36" t="str">
        <x:v>48201531600</x:v>
      </x:c>
      <x:c r="C851" s="66" t="n">
        <x:v>514.8882975732824</x:v>
      </x:c>
      <x:c r="D851" s="66" t="n">
        <x:v>45.19333886086313</x:v>
      </x:c>
      <x:c r="E851" s="66" t="n">
        <x:v>469.6949587124193</x:v>
      </x:c>
      <x:c r="F851" s="66" t="n">
        <x:v>469.6949587124193</x:v>
      </x:c>
      <x:c r="G851" s="66" t="n">
        <x:v>514.8882975732824</x:v>
      </x:c>
      <x:c r="H851" s="45" t="n">
        <x:v>1</x:v>
      </x:c>
      <x:c r="I851" s="36" t="str">
        <x:v>generated design-reference observation; not predicted tract behavior</x:v>
      </x:c>
    </x:row>
    <x:row r="852" ht="75.5999984741211" hidden="0" customHeight="1">
      <x:c r="A852" s="34" t="str">
        <x:v>M0</x:v>
      </x:c>
      <x:c r="B852" s="34" t="str">
        <x:v>48201531700</x:v>
      </x:c>
      <x:c r="C852" s="65" t="n">
        <x:v>309.90103006534264</x:v>
      </x:c>
      <x:c r="D852" s="65" t="n">
        <x:v>58.26139365228442</x:v>
      </x:c>
      <x:c r="E852" s="65" t="n">
        <x:v>251.6396364130582</x:v>
      </x:c>
      <x:c r="F852" s="65" t="n">
        <x:v>25.16851418362032</x:v>
      </x:c>
      <x:c r="G852" s="65" t="n">
        <x:v>83.42990783590474</x:v>
      </x:c>
      <x:c r="H852" s="43" t="n">
        <x:v>0.26921468385669306</x:v>
      </x:c>
      <x:c r="I852" s="34" t="str">
        <x:v>generated design-reference observation; not predicted tract behavior</x:v>
      </x:c>
    </x:row>
    <x:row r="853" ht="75.5999984741211" hidden="0" customHeight="1">
      <x:c r="A853" s="36" t="str">
        <x:v>M0</x:v>
      </x:c>
      <x:c r="B853" s="36" t="str">
        <x:v>48201531800</x:v>
      </x:c>
      <x:c r="C853" s="66" t="n">
        <x:v>238.23789052347612</x:v>
      </x:c>
      <x:c r="D853" s="66" t="n">
        <x:v>44.60480014353942</x:v>
      </x:c>
      <x:c r="E853" s="66" t="n">
        <x:v>193.6330903799367</x:v>
      </x:c>
      <x:c r="F853" s="66" t="n">
        <x:v>0</x:v>
      </x:c>
      <x:c r="G853" s="66" t="n">
        <x:v>44.60480014353942</x:v>
      </x:c>
      <x:c r="H853" s="45" t="n">
        <x:v>0.18722798479087455</x:v>
      </x:c>
      <x:c r="I853" s="36" t="str">
        <x:v>generated design-reference observation; not predicted tract behavior</x:v>
      </x:c>
    </x:row>
    <x:row r="854" ht="75.5999984741211" hidden="0" customHeight="1">
      <x:c r="A854" s="34" t="str">
        <x:v>M0</x:v>
      </x:c>
      <x:c r="B854" s="34" t="str">
        <x:v>48201531900</x:v>
      </x:c>
      <x:c r="C854" s="65" t="n">
        <x:v>501.44548869386057</x:v>
      </x:c>
      <x:c r="D854" s="65" t="n">
        <x:v>91.25857999210369</x:v>
      </x:c>
      <x:c r="E854" s="65" t="n">
        <x:v>410.18690870175686</x:v>
      </x:c>
      <x:c r="F854" s="65" t="n">
        <x:v>0</x:v>
      </x:c>
      <x:c r="G854" s="65" t="n">
        <x:v>91.25857999210369</x:v>
      </x:c>
      <x:c r="H854" s="43" t="n">
        <x:v>0.18199102803738318</x:v>
      </x:c>
      <x:c r="I854" s="34" t="str">
        <x:v>generated design-reference observation; not predicted tract behavior</x:v>
      </x:c>
    </x:row>
    <x:row r="855" ht="75.5999984741211" hidden="0" customHeight="1">
      <x:c r="A855" s="36" t="str">
        <x:v>M0</x:v>
      </x:c>
      <x:c r="B855" s="36" t="str">
        <x:v>48201532003</x:v>
      </x:c>
      <x:c r="C855" s="66" t="n">
        <x:v>563.902102775154</x:v>
      </x:c>
      <x:c r="D855" s="66" t="n">
        <x:v>85.44794904823469</x:v>
      </x:c>
      <x:c r="E855" s="66" t="n">
        <x:v>478.45415372691934</x:v>
      </x:c>
      <x:c r="F855" s="66" t="n">
        <x:v>478.45415372691934</x:v>
      </x:c>
      <x:c r="G855" s="66" t="n">
        <x:v>563.902102775154</x:v>
      </x:c>
      <x:c r="H855" s="45" t="n">
        <x:v>1</x:v>
      </x:c>
      <x:c r="I855" s="36" t="str">
        <x:v>generated design-reference observation; not predicted tract behavior</x:v>
      </x:c>
    </x:row>
    <x:row r="856" ht="75.5999984741211" hidden="0" customHeight="1">
      <x:c r="A856" s="34" t="str">
        <x:v>M0</x:v>
      </x:c>
      <x:c r="B856" s="34" t="str">
        <x:v>48201532004</x:v>
      </x:c>
      <x:c r="C856" s="65" t="n">
        <x:v>775.0403546563451</x:v>
      </x:c>
      <x:c r="D856" s="65" t="n">
        <x:v>116.29788258229868</x:v>
      </x:c>
      <x:c r="E856" s="65" t="n">
        <x:v>658.7424720740464</x:v>
      </x:c>
      <x:c r="F856" s="65" t="n">
        <x:v>658.7424720740464</x:v>
      </x:c>
      <x:c r="G856" s="65" t="n">
        <x:v>775.0403546563451</x:v>
      </x:c>
      <x:c r="H856" s="43" t="n">
        <x:v>1</x:v>
      </x:c>
      <x:c r="I856" s="34" t="str">
        <x:v>generated design-reference observation; not predicted tract behavior</x:v>
      </x:c>
    </x:row>
    <x:row r="857" ht="75.5999984741211" hidden="0" customHeight="1">
      <x:c r="A857" s="36" t="str">
        <x:v>M0</x:v>
      </x:c>
      <x:c r="B857" s="36" t="str">
        <x:v>48201532101</x:v>
      </x:c>
      <x:c r="C857" s="66" t="n">
        <x:v>304.54083471904374</x:v>
      </x:c>
      <x:c r="D857" s="66" t="n">
        <x:v>51.54690907043972</x:v>
      </x:c>
      <x:c r="E857" s="66" t="n">
        <x:v>252.99392564860403</x:v>
      </x:c>
      <x:c r="F857" s="66" t="n">
        <x:v>252.99392564860403</x:v>
      </x:c>
      <x:c r="G857" s="66" t="n">
        <x:v>304.54083471904374</x:v>
      </x:c>
      <x:c r="H857" s="45" t="n">
        <x:v>1</x:v>
      </x:c>
      <x:c r="I857" s="36" t="str">
        <x:v>generated design-reference observation; not predicted tract behavior</x:v>
      </x:c>
    </x:row>
    <x:row r="858" ht="75.5999984741211" hidden="0" customHeight="1">
      <x:c r="A858" s="34" t="str">
        <x:v>M0</x:v>
      </x:c>
      <x:c r="B858" s="34" t="str">
        <x:v>48201532102</x:v>
      </x:c>
      <x:c r="C858" s="65" t="n">
        <x:v>265.63619107655217</x:v>
      </x:c>
      <x:c r="D858" s="65" t="n">
        <x:v>41.46468384996896</x:v>
      </x:c>
      <x:c r="E858" s="65" t="n">
        <x:v>224.1715072265832</x:v>
      </x:c>
      <x:c r="F858" s="65" t="n">
        <x:v>224.1715072265832</x:v>
      </x:c>
      <x:c r="G858" s="65" t="n">
        <x:v>265.63619107655217</x:v>
      </x:c>
      <x:c r="H858" s="43" t="n">
        <x:v>1</x:v>
      </x:c>
      <x:c r="I858" s="34" t="str">
        <x:v>generated design-reference observation; not predicted tract behavior</x:v>
      </x:c>
    </x:row>
    <x:row r="859" ht="75.5999984741211" hidden="0" customHeight="1">
      <x:c r="A859" s="36" t="str">
        <x:v>M0</x:v>
      </x:c>
      <x:c r="B859" s="36" t="str">
        <x:v>48201532200</x:v>
      </x:c>
      <x:c r="C859" s="66" t="n">
        <x:v>288.77855940085846</x:v>
      </x:c>
      <x:c r="D859" s="66" t="n">
        <x:v>49.32789011065726</x:v>
      </x:c>
      <x:c r="E859" s="66" t="n">
        <x:v>239.4506692902012</x:v>
      </x:c>
      <x:c r="F859" s="66" t="n">
        <x:v>239.4506692902012</x:v>
      </x:c>
      <x:c r="G859" s="66" t="n">
        <x:v>288.77855940085846</x:v>
      </x:c>
      <x:c r="H859" s="45" t="n">
        <x:v>1</x:v>
      </x:c>
      <x:c r="I859" s="36" t="str">
        <x:v>generated design-reference observation; not predicted tract behavior</x:v>
      </x:c>
    </x:row>
    <x:row r="860" ht="75.5999984741211" hidden="0" customHeight="1">
      <x:c r="A860" s="34" t="str">
        <x:v>M0</x:v>
      </x:c>
      <x:c r="B860" s="34" t="str">
        <x:v>48201532301</x:v>
      </x:c>
      <x:c r="C860" s="65" t="n">
        <x:v>819.2066473061499</x:v>
      </x:c>
      <x:c r="D860" s="65" t="n">
        <x:v>67.74101726454536</x:v>
      </x:c>
      <x:c r="E860" s="65" t="n">
        <x:v>751.4656300416045</x:v>
      </x:c>
      <x:c r="F860" s="65" t="n">
        <x:v>751.4656300416045</x:v>
      </x:c>
      <x:c r="G860" s="65" t="n">
        <x:v>819.2066473061499</x:v>
      </x:c>
      <x:c r="H860" s="43" t="n">
        <x:v>1</x:v>
      </x:c>
      <x:c r="I860" s="34" t="str">
        <x:v>generated design-reference observation; not predicted tract behavior</x:v>
      </x:c>
    </x:row>
    <x:row r="861" ht="75.5999984741211" hidden="0" customHeight="1">
      <x:c r="A861" s="36" t="str">
        <x:v>M0</x:v>
      </x:c>
      <x:c r="B861" s="36" t="str">
        <x:v>48201532302</x:v>
      </x:c>
      <x:c r="C861" s="66" t="n">
        <x:v>758.7475614703077</x:v>
      </x:c>
      <x:c r="D861" s="66" t="n">
        <x:v>66.80530125268994</x:v>
      </x:c>
      <x:c r="E861" s="66" t="n">
        <x:v>691.9422602176178</x:v>
      </x:c>
      <x:c r="F861" s="66" t="n">
        <x:v>691.9422602176178</x:v>
      </x:c>
      <x:c r="G861" s="66" t="n">
        <x:v>758.7475614703077</x:v>
      </x:c>
      <x:c r="H861" s="45" t="n">
        <x:v>1</x:v>
      </x:c>
      <x:c r="I861" s="36" t="str">
        <x:v>generated design-reference observation; not predicted tract behavior</x:v>
      </x:c>
    </x:row>
    <x:row r="862" ht="75.5999984741211" hidden="0" customHeight="1">
      <x:c r="A862" s="34" t="str">
        <x:v>M0</x:v>
      </x:c>
      <x:c r="B862" s="34" t="str">
        <x:v>48201532400</x:v>
      </x:c>
      <x:c r="C862" s="65" t="n">
        <x:v>1268.4473640670576</x:v>
      </x:c>
      <x:c r="D862" s="65" t="n">
        <x:v>110.83493063069258</x:v>
      </x:c>
      <x:c r="E862" s="65" t="n">
        <x:v>1157.612433436365</x:v>
      </x:c>
      <x:c r="F862" s="65" t="n">
        <x:v>1157.612433436365</x:v>
      </x:c>
      <x:c r="G862" s="65" t="n">
        <x:v>1268.4473640670576</x:v>
      </x:c>
      <x:c r="H862" s="43" t="n">
        <x:v>1</x:v>
      </x:c>
      <x:c r="I862" s="34" t="str">
        <x:v>generated design-reference observation; not predicted tract behavior</x:v>
      </x:c>
    </x:row>
    <x:row r="863" ht="75.5999984741211" hidden="0" customHeight="1">
      <x:c r="A863" s="36" t="str">
        <x:v>M0</x:v>
      </x:c>
      <x:c r="B863" s="36" t="str">
        <x:v>48201532502</x:v>
      </x:c>
      <x:c r="C863" s="66" t="n">
        <x:v>460.62312120313294</x:v>
      </x:c>
      <x:c r="D863" s="66" t="n">
        <x:v>86.597146786189</x:v>
      </x:c>
      <x:c r="E863" s="66" t="n">
        <x:v>374.02597441694394</x:v>
      </x:c>
      <x:c r="F863" s="66" t="n">
        <x:v>129.33717980945465</x:v>
      </x:c>
      <x:c r="G863" s="66" t="n">
        <x:v>215.93432659564365</x:v>
      </x:c>
      <x:c r="H863" s="45" t="n">
        <x:v>0.4687874243733794</x:v>
      </x:c>
      <x:c r="I863" s="36" t="str">
        <x:v>generated design-reference observation; not predicted tract behavior</x:v>
      </x:c>
    </x:row>
    <x:row r="864" ht="75.5999984741211" hidden="0" customHeight="1">
      <x:c r="A864" s="34" t="str">
        <x:v>M0</x:v>
      </x:c>
      <x:c r="B864" s="34" t="str">
        <x:v>48201532503</x:v>
      </x:c>
      <x:c r="C864" s="65" t="n">
        <x:v>450.1935328973579</x:v>
      </x:c>
      <x:c r="D864" s="65" t="n">
        <x:v>84.63638418470327</x:v>
      </x:c>
      <x:c r="E864" s="65" t="n">
        <x:v>365.5571487126546</x:v>
      </x:c>
      <x:c r="F864" s="65" t="n">
        <x:v>365.5571487126546</x:v>
      </x:c>
      <x:c r="G864" s="65" t="n">
        <x:v>450.1935328973579</x:v>
      </x:c>
      <x:c r="H864" s="43" t="n">
        <x:v>1</x:v>
      </x:c>
      <x:c r="I864" s="34" t="str">
        <x:v>generated design-reference observation; not predicted tract behavior</x:v>
      </x:c>
    </x:row>
    <x:row r="865" ht="75.5999984741211" hidden="0" customHeight="1">
      <x:c r="A865" s="36" t="str">
        <x:v>M0</x:v>
      </x:c>
      <x:c r="B865" s="36" t="str">
        <x:v>48201532504</x:v>
      </x:c>
      <x:c r="C865" s="66" t="n">
        <x:v>376.3375861683692</x:v>
      </x:c>
      <x:c r="D865" s="66" t="n">
        <x:v>70.75146619965341</x:v>
      </x:c>
      <x:c r="E865" s="66" t="n">
        <x:v>305.5861199687158</x:v>
      </x:c>
      <x:c r="F865" s="66" t="n">
        <x:v>254.5070446832473</x:v>
      </x:c>
      <x:c r="G865" s="66" t="n">
        <x:v>325.25851088290074</x:v>
      </x:c>
      <x:c r="H865" s="45" t="n">
        <x:v>0.8642732558139534</x:v>
      </x:c>
      <x:c r="I865" s="36" t="str">
        <x:v>generated design-reference observation; not predicted tract behavior</x:v>
      </x:c>
    </x:row>
    <x:row r="866" ht="75.5999984741211" hidden="0" customHeight="1">
      <x:c r="A866" s="34" t="str">
        <x:v>M0</x:v>
      </x:c>
      <x:c r="B866" s="34" t="str">
        <x:v>48201532600</x:v>
      </x:c>
      <x:c r="C866" s="65" t="n">
        <x:v>517.1566771062525</x:v>
      </x:c>
      <x:c r="D866" s="65" t="n">
        <x:v>88.31528823643119</x:v>
      </x:c>
      <x:c r="E866" s="65" t="n">
        <x:v>428.8413888698213</x:v>
      </x:c>
      <x:c r="F866" s="65" t="n">
        <x:v>324.84550471293636</x:v>
      </x:c>
      <x:c r="G866" s="65" t="n">
        <x:v>413.16079294936753</x:v>
      </x:c>
      <x:c r="H866" s="43" t="n">
        <x:v>0.798908360346823</x:v>
      </x:c>
      <x:c r="I866" s="34" t="str">
        <x:v>generated design-reference observation; not predicted tract behavior</x:v>
      </x:c>
    </x:row>
    <x:row r="867" ht="75.5999984741211" hidden="0" customHeight="1">
      <x:c r="A867" s="36" t="str">
        <x:v>M0</x:v>
      </x:c>
      <x:c r="B867" s="36" t="str">
        <x:v>48201532700</x:v>
      </x:c>
      <x:c r="C867" s="66" t="n">
        <x:v>446.271630437236</x:v>
      </x:c>
      <x:c r="D867" s="66" t="n">
        <x:v>80.27984801612222</x:v>
      </x:c>
      <x:c r="E867" s="66" t="n">
        <x:v>365.9917824211138</x:v>
      </x:c>
      <x:c r="F867" s="66" t="n">
        <x:v>365.9917824211138</x:v>
      </x:c>
      <x:c r="G867" s="66" t="n">
        <x:v>446.271630437236</x:v>
      </x:c>
      <x:c r="H867" s="45" t="n">
        <x:v>1</x:v>
      </x:c>
      <x:c r="I867" s="36" t="str">
        <x:v>generated design-reference observation; not predicted tract behavior</x:v>
      </x:c>
    </x:row>
    <x:row r="868" ht="75.5999984741211" hidden="0" customHeight="1">
      <x:c r="A868" s="34" t="str">
        <x:v>M0</x:v>
      </x:c>
      <x:c r="B868" s="34" t="str">
        <x:v>48201532800</x:v>
      </x:c>
      <x:c r="C868" s="65" t="n">
        <x:v>330.37629915998525</x:v>
      </x:c>
      <x:c r="D868" s="65" t="n">
        <x:v>52.57530063250068</x:v>
      </x:c>
      <x:c r="E868" s="65" t="n">
        <x:v>277.8009985274846</x:v>
      </x:c>
      <x:c r="F868" s="65" t="n">
        <x:v>277.8009985274846</x:v>
      </x:c>
      <x:c r="G868" s="65" t="n">
        <x:v>330.37629915998525</x:v>
      </x:c>
      <x:c r="H868" s="43" t="n">
        <x:v>1</x:v>
      </x:c>
      <x:c r="I868" s="34" t="str">
        <x:v>generated design-reference observation; not predicted tract behavior</x:v>
      </x:c>
    </x:row>
    <x:row r="869" ht="75.5999984741211" hidden="0" customHeight="1">
      <x:c r="A869" s="36" t="str">
        <x:v>M0</x:v>
      </x:c>
      <x:c r="B869" s="36" t="str">
        <x:v>48201532900</x:v>
      </x:c>
      <x:c r="C869" s="66" t="n">
        <x:v>417.58829771536256</x:v>
      </x:c>
      <x:c r="D869" s="66" t="n">
        <x:v>76.4878588283899</x:v>
      </x:c>
      <x:c r="E869" s="66" t="n">
        <x:v>341.10043888697265</x:v>
      </x:c>
      <x:c r="F869" s="66" t="n">
        <x:v>231.8845417987648</x:v>
      </x:c>
      <x:c r="G869" s="66" t="n">
        <x:v>308.37240062715466</x:v>
      </x:c>
      <x:c r="H869" s="45" t="n">
        <x:v>0.7384603503361297</x:v>
      </x:c>
      <x:c r="I869" s="36" t="str">
        <x:v>generated design-reference observation; not predicted tract behavior</x:v>
      </x:c>
    </x:row>
    <x:row r="870" ht="75.5999984741211" hidden="0" customHeight="1">
      <x:c r="A870" s="34" t="str">
        <x:v>M0</x:v>
      </x:c>
      <x:c r="B870" s="34" t="str">
        <x:v>48201533000</x:v>
      </x:c>
      <x:c r="C870" s="65" t="n">
        <x:v>208.6310637353416</x:v>
      </x:c>
      <x:c r="D870" s="65" t="n">
        <x:v>35.74125061947914</x:v>
      </x:c>
      <x:c r="E870" s="65" t="n">
        <x:v>172.88981311586247</x:v>
      </x:c>
      <x:c r="F870" s="65" t="n">
        <x:v>172.88981311586247</x:v>
      </x:c>
      <x:c r="G870" s="65" t="n">
        <x:v>208.6310637353416</x:v>
      </x:c>
      <x:c r="H870" s="43" t="n">
        <x:v>1</x:v>
      </x:c>
      <x:c r="I870" s="34" t="str">
        <x:v>generated design-reference observation; not predicted tract behavior</x:v>
      </x:c>
    </x:row>
    <x:row r="871" ht="75.5999984741211" hidden="0" customHeight="1">
      <x:c r="A871" s="36" t="str">
        <x:v>M0</x:v>
      </x:c>
      <x:c r="B871" s="36" t="str">
        <x:v>48201533100</x:v>
      </x:c>
      <x:c r="C871" s="66" t="n">
        <x:v>712.7527203403674</x:v>
      </x:c>
      <x:c r="D871" s="66" t="n">
        <x:v>129.51038740013394</x:v>
      </x:c>
      <x:c r="E871" s="66" t="n">
        <x:v>583.2423329402335</x:v>
      </x:c>
      <x:c r="F871" s="66" t="n">
        <x:v>394.7250563661551</x:v>
      </x:c>
      <x:c r="G871" s="66" t="n">
        <x:v>524.2354437662891</x:v>
      </x:c>
      <x:c r="H871" s="45" t="n">
        <x:v>0.7355081626569536</x:v>
      </x:c>
      <x:c r="I871" s="36" t="str">
        <x:v>generated design-reference observation; not predicted tract behavior</x:v>
      </x:c>
    </x:row>
    <x:row r="872" ht="75.5999984741211" hidden="0" customHeight="1">
      <x:c r="A872" s="34" t="str">
        <x:v>M0</x:v>
      </x:c>
      <x:c r="B872" s="34" t="str">
        <x:v>48201533200</x:v>
      </x:c>
      <x:c r="C872" s="65" t="n">
        <x:v>305.7079740283186</x:v>
      </x:c>
      <x:c r="D872" s="65" t="n">
        <x:v>53.63097481169064</x:v>
      </x:c>
      <x:c r="E872" s="65" t="n">
        <x:v>252.07699921662794</x:v>
      </x:c>
      <x:c r="F872" s="65" t="n">
        <x:v>191.90592694292647</x:v>
      </x:c>
      <x:c r="G872" s="65" t="n">
        <x:v>245.5369017546171</x:v>
      </x:c>
      <x:c r="H872" s="43" t="n">
        <x:v>0.803174671956291</x:v>
      </x:c>
      <x:c r="I872" s="34" t="str">
        <x:v>generated design-reference observation; not predicted tract behavior</x:v>
      </x:c>
    </x:row>
    <x:row r="873" ht="75.5999984741211" hidden="0" customHeight="1">
      <x:c r="A873" s="36" t="str">
        <x:v>M0</x:v>
      </x:c>
      <x:c r="B873" s="36" t="str">
        <x:v>48201533301</x:v>
      </x:c>
      <x:c r="C873" s="66" t="n">
        <x:v>258.4840242655081</x:v>
      </x:c>
      <x:c r="D873" s="66" t="n">
        <x:v>44.79435192498831</x:v>
      </x:c>
      <x:c r="E873" s="66" t="n">
        <x:v>213.68967234051976</x:v>
      </x:c>
      <x:c r="F873" s="66" t="n">
        <x:v>55.21538940968631</x:v>
      </x:c>
      <x:c r="G873" s="66" t="n">
        <x:v>100.00974133467463</x:v>
      </x:c>
      <x:c r="H873" s="45" t="n">
        <x:v>0.38690879105142384</x:v>
      </x:c>
      <x:c r="I873" s="36" t="str">
        <x:v>generated design-reference observation; not predicted tract behavior</x:v>
      </x:c>
    </x:row>
    <x:row r="874" ht="75.5999984741211" hidden="0" customHeight="1">
      <x:c r="A874" s="34" t="str">
        <x:v>M0</x:v>
      </x:c>
      <x:c r="B874" s="34" t="str">
        <x:v>48201533302</x:v>
      </x:c>
      <x:c r="C874" s="65" t="n">
        <x:v>320.2991802752449</x:v>
      </x:c>
      <x:c r="D874" s="65" t="n">
        <x:v>57.602604580700046</x:v>
      </x:c>
      <x:c r="E874" s="65" t="n">
        <x:v>262.6965756945449</x:v>
      </x:c>
      <x:c r="F874" s="65" t="n">
        <x:v>208.9422856995748</x:v>
      </x:c>
      <x:c r="G874" s="65" t="n">
        <x:v>266.54489028027484</x:v>
      </x:c>
      <x:c r="H874" s="43" t="n">
        <x:v>0.8321747500297159</x:v>
      </x:c>
      <x:c r="I874" s="34" t="str">
        <x:v>generated design-reference observation; not predicted tract behavior</x:v>
      </x:c>
    </x:row>
    <x:row r="875" ht="75.5999984741211" hidden="0" customHeight="1">
      <x:c r="A875" s="36" t="str">
        <x:v>M0</x:v>
      </x:c>
      <x:c r="B875" s="36" t="str">
        <x:v>48201533401</x:v>
      </x:c>
      <x:c r="C875" s="66" t="n">
        <x:v>343.50442479129674</x:v>
      </x:c>
      <x:c r="D875" s="66" t="n">
        <x:v>63.78958499505599</x:v>
      </x:c>
      <x:c r="E875" s="66" t="n">
        <x:v>279.71483979624077</x:v>
      </x:c>
      <x:c r="F875" s="66" t="n">
        <x:v>279.71483979624077</x:v>
      </x:c>
      <x:c r="G875" s="66" t="n">
        <x:v>343.50442479129674</x:v>
      </x:c>
      <x:c r="H875" s="45" t="n">
        <x:v>1</x:v>
      </x:c>
      <x:c r="I875" s="36" t="str">
        <x:v>generated design-reference observation; not predicted tract behavior</x:v>
      </x:c>
    </x:row>
    <x:row r="876" ht="75.5999984741211" hidden="0" customHeight="1">
      <x:c r="A876" s="34" t="str">
        <x:v>M0</x:v>
      </x:c>
      <x:c r="B876" s="34" t="str">
        <x:v>48201533402</x:v>
      </x:c>
      <x:c r="C876" s="65" t="n">
        <x:v>520.9056700390745</x:v>
      </x:c>
      <x:c r="D876" s="65" t="n">
        <x:v>97.930265967346</x:v>
      </x:c>
      <x:c r="E876" s="65" t="n">
        <x:v>422.97540407172846</x:v>
      </x:c>
      <x:c r="F876" s="65" t="n">
        <x:v>140.47280302332805</x:v>
      </x:c>
      <x:c r="G876" s="65" t="n">
        <x:v>238.40306899067406</x:v>
      </x:c>
      <x:c r="H876" s="43" t="n">
        <x:v>0.4576703282434818</x:v>
      </x:c>
      <x:c r="I876" s="34" t="str">
        <x:v>generated design-reference observation; not predicted tract behavior</x:v>
      </x:c>
    </x:row>
    <x:row r="877" ht="75.5999984741211" hidden="0" customHeight="1">
      <x:c r="A877" s="36" t="str">
        <x:v>M0</x:v>
      </x:c>
      <x:c r="B877" s="36" t="str">
        <x:v>48201533500</x:v>
      </x:c>
      <x:c r="C877" s="66" t="n">
        <x:v>337.2993306184185</x:v>
      </x:c>
      <x:c r="D877" s="66" t="n">
        <x:v>63.412274156262676</x:v>
      </x:c>
      <x:c r="E877" s="66" t="n">
        <x:v>273.8870564621558</x:v>
      </x:c>
      <x:c r="F877" s="66" t="n">
        <x:v>273.8870564621558</x:v>
      </x:c>
      <x:c r="G877" s="66" t="n">
        <x:v>337.2993306184185</x:v>
      </x:c>
      <x:c r="H877" s="45" t="n">
        <x:v>1</x:v>
      </x:c>
      <x:c r="I877" s="36" t="str">
        <x:v>generated design-reference observation; not predicted tract behavior</x:v>
      </x:c>
    </x:row>
    <x:row r="878" ht="75.5999984741211" hidden="0" customHeight="1">
      <x:c r="A878" s="34" t="str">
        <x:v>M0</x:v>
      </x:c>
      <x:c r="B878" s="34" t="str">
        <x:v>48201533600</x:v>
      </x:c>
      <x:c r="C878" s="65" t="n">
        <x:v>436.6594326241517</x:v>
      </x:c>
      <x:c r="D878" s="65" t="n">
        <x:v>79.516630855626</x:v>
      </x:c>
      <x:c r="E878" s="65" t="n">
        <x:v>357.1428017685257</x:v>
      </x:c>
      <x:c r="F878" s="65" t="n">
        <x:v>357.1428017685257</x:v>
      </x:c>
      <x:c r="G878" s="65" t="n">
        <x:v>436.6594326241517</x:v>
      </x:c>
      <x:c r="H878" s="43" t="n">
        <x:v>1</x:v>
      </x:c>
      <x:c r="I878" s="34" t="str">
        <x:v>generated design-reference observation; not predicted tract behavior</x:v>
      </x:c>
    </x:row>
    <x:row r="879" ht="75.5999984741211" hidden="0" customHeight="1">
      <x:c r="A879" s="36" t="str">
        <x:v>M0</x:v>
      </x:c>
      <x:c r="B879" s="36" t="str">
        <x:v>48201533701</x:v>
      </x:c>
      <x:c r="C879" s="66" t="n">
        <x:v>579.3097926466212</x:v>
      </x:c>
      <x:c r="D879" s="66" t="n">
        <x:v>99.03092375294314</x:v>
      </x:c>
      <x:c r="E879" s="66" t="n">
        <x:v>480.27886889367807</x:v>
      </x:c>
      <x:c r="F879" s="66" t="n">
        <x:v>69.31521672821395</x:v>
      </x:c>
      <x:c r="G879" s="66" t="n">
        <x:v>168.34614048115708</x:v>
      </x:c>
      <x:c r="H879" s="45" t="n">
        <x:v>0.290597781390946</x:v>
      </x:c>
      <x:c r="I879" s="36" t="str">
        <x:v>generated design-reference observation; not predicted tract behavior</x:v>
      </x:c>
    </x:row>
    <x:row r="880" ht="75.5999984741211" hidden="0" customHeight="1">
      <x:c r="A880" s="34" t="str">
        <x:v>M0</x:v>
      </x:c>
      <x:c r="B880" s="34" t="str">
        <x:v>48201533702</x:v>
      </x:c>
      <x:c r="C880" s="65" t="n">
        <x:v>261.75358623627113</x:v>
      </x:c>
      <x:c r="D880" s="65" t="n">
        <x:v>49.209674212418975</x:v>
      </x:c>
      <x:c r="E880" s="65" t="n">
        <x:v>212.54391202385216</x:v>
      </x:c>
      <x:c r="F880" s="65" t="n">
        <x:v>124.3332030983431</x:v>
      </x:c>
      <x:c r="G880" s="65" t="n">
        <x:v>173.5428773107621</x:v>
      </x:c>
      <x:c r="H880" s="43" t="n">
        <x:v>0.6630009537065678</x:v>
      </x:c>
      <x:c r="I880" s="34" t="str">
        <x:v>generated design-reference observation; not predicted tract behavior</x:v>
      </x:c>
    </x:row>
    <x:row r="881" ht="75.5999984741211" hidden="0" customHeight="1">
      <x:c r="A881" s="36" t="str">
        <x:v>M0</x:v>
      </x:c>
      <x:c r="B881" s="36" t="str">
        <x:v>48201533802</x:v>
      </x:c>
      <x:c r="C881" s="66" t="n">
        <x:v>984.551685076123</x:v>
      </x:c>
      <x:c r="D881" s="66" t="n">
        <x:v>161.4664763524842</x:v>
      </x:c>
      <x:c r="E881" s="66" t="n">
        <x:v>823.0852087236389</x:v>
      </x:c>
      <x:c r="F881" s="66" t="n">
        <x:v>823.0852087236389</x:v>
      </x:c>
      <x:c r="G881" s="66" t="n">
        <x:v>984.551685076123</x:v>
      </x:c>
      <x:c r="H881" s="45" t="n">
        <x:v>1</x:v>
      </x:c>
      <x:c r="I881" s="36" t="str">
        <x:v>generated design-reference observation; not predicted tract behavior</x:v>
      </x:c>
    </x:row>
    <x:row r="882" ht="75.5999984741211" hidden="0" customHeight="1">
      <x:c r="A882" s="34" t="str">
        <x:v>M0</x:v>
      </x:c>
      <x:c r="B882" s="34" t="str">
        <x:v>48201533803</x:v>
      </x:c>
      <x:c r="C882" s="65" t="n">
        <x:v>1199.9389165302655</x:v>
      </x:c>
      <x:c r="D882" s="65" t="n">
        <x:v>107.99450248772389</x:v>
      </x:c>
      <x:c r="E882" s="65" t="n">
        <x:v>1091.9444140425417</x:v>
      </x:c>
      <x:c r="F882" s="65" t="n">
        <x:v>1091.9444140425417</x:v>
      </x:c>
      <x:c r="G882" s="65" t="n">
        <x:v>1199.9389165302655</x:v>
      </x:c>
      <x:c r="H882" s="43" t="n">
        <x:v>1</x:v>
      </x:c>
      <x:c r="I882" s="34" t="str">
        <x:v>generated design-reference observation; not predicted tract behavior</x:v>
      </x:c>
    </x:row>
    <x:row r="883" ht="75.5999984741211" hidden="0" customHeight="1">
      <x:c r="A883" s="36" t="str">
        <x:v>M0</x:v>
      </x:c>
      <x:c r="B883" s="36" t="str">
        <x:v>48201533804</x:v>
      </x:c>
      <x:c r="C883" s="66" t="n">
        <x:v>514.7045056281804</x:v>
      </x:c>
      <x:c r="D883" s="66" t="n">
        <x:v>96.76444705809791</x:v>
      </x:c>
      <x:c r="E883" s="66" t="n">
        <x:v>417.9400585700825</x:v>
      </x:c>
      <x:c r="F883" s="66" t="n">
        <x:v>417.9400585700825</x:v>
      </x:c>
      <x:c r="G883" s="66" t="n">
        <x:v>514.7045056281804</x:v>
      </x:c>
      <x:c r="H883" s="45" t="n">
        <x:v>1</x:v>
      </x:c>
      <x:c r="I883" s="36" t="str">
        <x:v>generated design-reference observation; not predicted tract behavior</x:v>
      </x:c>
    </x:row>
    <x:row r="884" ht="75.5999984741211" hidden="0" customHeight="1">
      <x:c r="A884" s="34" t="str">
        <x:v>M0</x:v>
      </x:c>
      <x:c r="B884" s="34" t="str">
        <x:v>48201533902</x:v>
      </x:c>
      <x:c r="C884" s="65" t="n">
        <x:v>455.9781425379384</x:v>
      </x:c>
      <x:c r="D884" s="65" t="n">
        <x:v>76.93913190696416</x:v>
      </x:c>
      <x:c r="E884" s="65" t="n">
        <x:v>379.03901063097425</x:v>
      </x:c>
      <x:c r="F884" s="65" t="n">
        <x:v>379.03901063097425</x:v>
      </x:c>
      <x:c r="G884" s="65" t="n">
        <x:v>455.9781425379384</x:v>
      </x:c>
      <x:c r="H884" s="43" t="n">
        <x:v>1</x:v>
      </x:c>
      <x:c r="I884" s="34" t="str">
        <x:v>generated design-reference observation; not predicted tract behavior</x:v>
      </x:c>
    </x:row>
    <x:row r="885" ht="75.5999984741211" hidden="0" customHeight="1">
      <x:c r="A885" s="36" t="str">
        <x:v>M0</x:v>
      </x:c>
      <x:c r="B885" s="36" t="str">
        <x:v>48201533903</x:v>
      </x:c>
      <x:c r="C885" s="66" t="n">
        <x:v>330.54799952975173</x:v>
      </x:c>
      <x:c r="D885" s="66" t="n">
        <x:v>62.143023911593325</x:v>
      </x:c>
      <x:c r="E885" s="66" t="n">
        <x:v>268.4049756181584</x:v>
      </x:c>
      <x:c r="F885" s="66" t="n">
        <x:v>91.81727443342453</x:v>
      </x:c>
      <x:c r="G885" s="66" t="n">
        <x:v>153.96029834501786</x:v>
      </x:c>
      <x:c r="H885" s="45" t="n">
        <x:v>0.4657728939943571</x:v>
      </x:c>
      <x:c r="I885" s="36" t="str">
        <x:v>generated design-reference observation; not predicted tract behavior</x:v>
      </x:c>
    </x:row>
    <x:row r="886" ht="75.5999984741211" hidden="0" customHeight="1">
      <x:c r="A886" s="34" t="str">
        <x:v>M0</x:v>
      </x:c>
      <x:c r="B886" s="34" t="str">
        <x:v>48201533904</x:v>
      </x:c>
      <x:c r="C886" s="65" t="n">
        <x:v>354.0008190508013</x:v>
      </x:c>
      <x:c r="D886" s="65" t="n">
        <x:v>64.89921175951628</x:v>
      </x:c>
      <x:c r="E886" s="65" t="n">
        <x:v>289.101607291285</x:v>
      </x:c>
      <x:c r="F886" s="65" t="n">
        <x:v>196.87540442637209</x:v>
      </x:c>
      <x:c r="G886" s="65" t="n">
        <x:v>261.77461618588836</x:v>
      </x:c>
      <x:c r="H886" s="43" t="n">
        <x:v>0.7394746059848017</x:v>
      </x:c>
      <x:c r="I886" s="34" t="str">
        <x:v>generated design-reference observation; not predicted tract behavior</x:v>
      </x:c>
    </x:row>
    <x:row r="887" ht="75.5999984741211" hidden="0" customHeight="1">
      <x:c r="A887" s="36" t="str">
        <x:v>M0</x:v>
      </x:c>
      <x:c r="B887" s="36" t="str">
        <x:v>48201534001</x:v>
      </x:c>
      <x:c r="C887" s="66" t="n">
        <x:v>476.0344385472005</x:v>
      </x:c>
      <x:c r="D887" s="66" t="n">
        <x:v>72.7754649158981</x:v>
      </x:c>
      <x:c r="E887" s="66" t="n">
        <x:v>403.2589736313024</x:v>
      </x:c>
      <x:c r="F887" s="66" t="n">
        <x:v>403.2589736313024</x:v>
      </x:c>
      <x:c r="G887" s="66" t="n">
        <x:v>476.0344385472005</x:v>
      </x:c>
      <x:c r="H887" s="45" t="n">
        <x:v>1</x:v>
      </x:c>
      <x:c r="I887" s="36" t="str">
        <x:v>generated design-reference observation; not predicted tract behavior</x:v>
      </x:c>
    </x:row>
    <x:row r="888" ht="75.5999984741211" hidden="0" customHeight="1">
      <x:c r="A888" s="34" t="str">
        <x:v>M0</x:v>
      </x:c>
      <x:c r="B888" s="34" t="str">
        <x:v>48201534002</x:v>
      </x:c>
      <x:c r="C888" s="65" t="n">
        <x:v>419.0698179833646</x:v>
      </x:c>
      <x:c r="D888" s="65" t="n">
        <x:v>78.78512578087255</x:v>
      </x:c>
      <x:c r="E888" s="65" t="n">
        <x:v>340.28469220249207</x:v>
      </x:c>
      <x:c r="F888" s="65" t="n">
        <x:v>115.73876553391574</x:v>
      </x:c>
      <x:c r="G888" s="65" t="n">
        <x:v>194.52389131478827</x:v>
      </x:c>
      <x:c r="H888" s="43" t="n">
        <x:v>0.4641801508179959</x:v>
      </x:c>
      <x:c r="I888" s="34" t="str">
        <x:v>generated design-reference observation; not predicted tract behavior</x:v>
      </x:c>
    </x:row>
    <x:row r="889" ht="75.5999984741211" hidden="0" customHeight="1">
      <x:c r="A889" s="36" t="str">
        <x:v>M0</x:v>
      </x:c>
      <x:c r="B889" s="36" t="str">
        <x:v>48201534003</x:v>
      </x:c>
      <x:c r="C889" s="66" t="n">
        <x:v>184.22724181414225</x:v>
      </x:c>
      <x:c r="D889" s="66" t="n">
        <x:v>34.27226507367557</x:v>
      </x:c>
      <x:c r="E889" s="66" t="n">
        <x:v>149.9549767404667</x:v>
      </x:c>
      <x:c r="F889" s="66" t="n">
        <x:v>31.537560515182186</x:v>
      </x:c>
      <x:c r="G889" s="66" t="n">
        <x:v>65.80982558885776</x:v>
      </x:c>
      <x:c r="H889" s="45" t="n">
        <x:v>0.3572209242281879</x:v>
      </x:c>
      <x:c r="I889" s="36" t="str">
        <x:v>generated design-reference observation; not predicted tract behavior</x:v>
      </x:c>
    </x:row>
    <x:row r="890" ht="75.5999984741211" hidden="0" customHeight="1">
      <x:c r="A890" s="34" t="str">
        <x:v>M0</x:v>
      </x:c>
      <x:c r="B890" s="34" t="str">
        <x:v>48201534101</x:v>
      </x:c>
      <x:c r="C890" s="65" t="n">
        <x:v>236.88605240094915</x:v>
      </x:c>
      <x:c r="D890" s="65" t="n">
        <x:v>44.534577851378444</x:v>
      </x:c>
      <x:c r="E890" s="65" t="n">
        <x:v>192.3514745495707</x:v>
      </x:c>
      <x:c r="F890" s="65" t="n">
        <x:v>66.43420735315541</x:v>
      </x:c>
      <x:c r="G890" s="65" t="n">
        <x:v>110.96878520453386</x:v>
      </x:c>
      <x:c r="H890" s="43" t="n">
        <x:v>0.46844794820047087</x:v>
      </x:c>
      <x:c r="I890" s="34" t="str">
        <x:v>generated design-reference observation; not predicted tract behavior</x:v>
      </x:c>
    </x:row>
    <x:row r="891" ht="75.5999984741211" hidden="0" customHeight="1">
      <x:c r="A891" s="36" t="str">
        <x:v>M0</x:v>
      </x:c>
      <x:c r="B891" s="36" t="str">
        <x:v>48201534102</x:v>
      </x:c>
      <x:c r="C891" s="66" t="n">
        <x:v>434.0815087625885</x:v>
      </x:c>
      <x:c r="D891" s="66" t="n">
        <x:v>81.60732364736664</x:v>
      </x:c>
      <x:c r="E891" s="66" t="n">
        <x:v>352.47418511522187</x:v>
      </x:c>
      <x:c r="F891" s="66" t="n">
        <x:v>352.47418511522187</x:v>
      </x:c>
      <x:c r="G891" s="66" t="n">
        <x:v>434.0815087625885</x:v>
      </x:c>
      <x:c r="H891" s="45" t="n">
        <x:v>1</x:v>
      </x:c>
      <x:c r="I891" s="36" t="str">
        <x:v>generated design-reference observation; not predicted tract behavior</x:v>
      </x:c>
    </x:row>
    <x:row r="892" ht="75.5999984741211" hidden="0" customHeight="1">
      <x:c r="A892" s="34" t="str">
        <x:v>M0</x:v>
      </x:c>
      <x:c r="B892" s="34" t="str">
        <x:v>48201534201</x:v>
      </x:c>
      <x:c r="C892" s="65" t="n">
        <x:v>263.451243413398</x:v>
      </x:c>
      <x:c r="D892" s="65" t="n">
        <x:v>48.89412691066504</x:v>
      </x:c>
      <x:c r="E892" s="65" t="n">
        <x:v>214.55711650273298</x:v>
      </x:c>
      <x:c r="F892" s="65" t="n">
        <x:v>214.55711650273298</x:v>
      </x:c>
      <x:c r="G892" s="65" t="n">
        <x:v>263.451243413398</x:v>
      </x:c>
      <x:c r="H892" s="43" t="n">
        <x:v>1</x:v>
      </x:c>
      <x:c r="I892" s="34" t="str">
        <x:v>generated design-reference observation; not predicted tract behavior</x:v>
      </x:c>
    </x:row>
    <x:row r="893" ht="75.5999984741211" hidden="0" customHeight="1">
      <x:c r="A893" s="36" t="str">
        <x:v>M0</x:v>
      </x:c>
      <x:c r="B893" s="36" t="str">
        <x:v>48201534203</x:v>
      </x:c>
      <x:c r="C893" s="66" t="n">
        <x:v>377.0673127398764</x:v>
      </x:c>
      <x:c r="D893" s="66" t="n">
        <x:v>32.814183960483504</x:v>
      </x:c>
      <x:c r="E893" s="66" t="n">
        <x:v>344.2531287793929</x:v>
      </x:c>
      <x:c r="F893" s="66" t="n">
        <x:v>344.2531287793929</x:v>
      </x:c>
      <x:c r="G893" s="66" t="n">
        <x:v>377.0673127398764</x:v>
      </x:c>
      <x:c r="H893" s="45" t="n">
        <x:v>1</x:v>
      </x:c>
      <x:c r="I893" s="36" t="str">
        <x:v>generated design-reference observation; not predicted tract behavior</x:v>
      </x:c>
    </x:row>
    <x:row r="894" ht="75.5999984741211" hidden="0" customHeight="1">
      <x:c r="A894" s="34" t="str">
        <x:v>M0</x:v>
      </x:c>
      <x:c r="B894" s="34" t="str">
        <x:v>48201534204</x:v>
      </x:c>
      <x:c r="C894" s="65" t="n">
        <x:v>823.0493499478233</x:v>
      </x:c>
      <x:c r="D894" s="65" t="n">
        <x:v>65.83946271326484</x:v>
      </x:c>
      <x:c r="E894" s="65" t="n">
        <x:v>757.2098872345584</x:v>
      </x:c>
      <x:c r="F894" s="65" t="n">
        <x:v>757.2098872345584</x:v>
      </x:c>
      <x:c r="G894" s="65" t="n">
        <x:v>823.0493499478233</x:v>
      </x:c>
      <x:c r="H894" s="43" t="n">
        <x:v>1</x:v>
      </x:c>
      <x:c r="I894" s="34" t="str">
        <x:v>generated design-reference observation; not predicted tract behavior</x:v>
      </x:c>
    </x:row>
    <x:row r="895" ht="75.5999984741211" hidden="0" customHeight="1">
      <x:c r="A895" s="36" t="str">
        <x:v>M0</x:v>
      </x:c>
      <x:c r="B895" s="36" t="str">
        <x:v>48201534205</x:v>
      </x:c>
      <x:c r="C895" s="66" t="n">
        <x:v>303.8256180379393</x:v>
      </x:c>
      <x:c r="D895" s="66" t="n">
        <x:v>55.549772307002414</x:v>
      </x:c>
      <x:c r="E895" s="66" t="n">
        <x:v>248.2758457309369</x:v>
      </x:c>
      <x:c r="F895" s="66" t="n">
        <x:v>248.2758457309369</x:v>
      </x:c>
      <x:c r="G895" s="66" t="n">
        <x:v>303.8256180379393</x:v>
      </x:c>
      <x:c r="H895" s="45" t="n">
        <x:v>1</x:v>
      </x:c>
      <x:c r="I895" s="36" t="str">
        <x:v>generated design-reference observation; not predicted tract behavior</x:v>
      </x:c>
    </x:row>
    <x:row r="896" ht="75.5999984741211" hidden="0" customHeight="1">
      <x:c r="A896" s="34" t="str">
        <x:v>M0</x:v>
      </x:c>
      <x:c r="B896" s="34" t="str">
        <x:v>48201540101</x:v>
      </x:c>
      <x:c r="C896" s="65" t="n">
        <x:v>1217.747388684628</x:v>
      </x:c>
      <x:c r="D896" s="65" t="n">
        <x:v>109.59726498161652</x:v>
      </x:c>
      <x:c r="E896" s="65" t="n">
        <x:v>1108.1501237030116</x:v>
      </x:c>
      <x:c r="F896" s="65" t="n">
        <x:v>1108.1501237030116</x:v>
      </x:c>
      <x:c r="G896" s="65" t="n">
        <x:v>1217.747388684628</x:v>
      </x:c>
      <x:c r="H896" s="43" t="n">
        <x:v>1</x:v>
      </x:c>
      <x:c r="I896" s="34" t="str">
        <x:v>generated design-reference observation; not predicted tract behavior</x:v>
      </x:c>
    </x:row>
    <x:row r="897" ht="75.5999984741211" hidden="0" customHeight="1">
      <x:c r="A897" s="36" t="str">
        <x:v>M0</x:v>
      </x:c>
      <x:c r="B897" s="36" t="str">
        <x:v>48201540102</x:v>
      </x:c>
      <x:c r="C897" s="66" t="n">
        <x:v>512.2366151021719</x:v>
      </x:c>
      <x:c r="D897" s="66" t="n">
        <x:v>91.7590974321351</x:v>
      </x:c>
      <x:c r="E897" s="66" t="n">
        <x:v>420.4775176700368</x:v>
      </x:c>
      <x:c r="F897" s="66" t="n">
        <x:v>420.4775176700367</x:v>
      </x:c>
      <x:c r="G897" s="66" t="n">
        <x:v>512.2366151021719</x:v>
      </x:c>
      <x:c r="H897" s="45" t="n">
        <x:v>1</x:v>
      </x:c>
      <x:c r="I897" s="36" t="str">
        <x:v>generated design-reference observation; not predicted tract behavior</x:v>
      </x:c>
    </x:row>
    <x:row r="898" ht="75.5999984741211" hidden="0" customHeight="1">
      <x:c r="A898" s="34" t="str">
        <x:v>M0</x:v>
      </x:c>
      <x:c r="B898" s="34" t="str">
        <x:v>48201540200</x:v>
      </x:c>
      <x:c r="C898" s="65" t="n">
        <x:v>196.18157776974425</x:v>
      </x:c>
      <x:c r="D898" s="65" t="n">
        <x:v>34.680674372677714</x:v>
      </x:c>
      <x:c r="E898" s="65" t="n">
        <x:v>161.50090339706654</x:v>
      </x:c>
      <x:c r="F898" s="65" t="n">
        <x:v>161.50090339706654</x:v>
      </x:c>
      <x:c r="G898" s="65" t="n">
        <x:v>196.18157776974425</x:v>
      </x:c>
      <x:c r="H898" s="43" t="n">
        <x:v>1</x:v>
      </x:c>
      <x:c r="I898" s="34" t="str">
        <x:v>generated design-reference observation; not predicted tract behavior</x:v>
      </x:c>
    </x:row>
    <x:row r="899" ht="75.5999984741211" hidden="0" customHeight="1">
      <x:c r="A899" s="36" t="str">
        <x:v>M0</x:v>
      </x:c>
      <x:c r="B899" s="36" t="str">
        <x:v>48201540502</x:v>
      </x:c>
      <x:c r="C899" s="66" t="n">
        <x:v>412.9708273840568</x:v>
      </x:c>
      <x:c r="D899" s="66" t="n">
        <x:v>77.63851554820269</x:v>
      </x:c>
      <x:c r="E899" s="66" t="n">
        <x:v>335.3323118358541</x:v>
      </x:c>
      <x:c r="F899" s="66" t="n">
        <x:v>335.3323118358541</x:v>
      </x:c>
      <x:c r="G899" s="66" t="n">
        <x:v>412.9708273840568</x:v>
      </x:c>
      <x:c r="H899" s="45" t="n">
        <x:v>1</x:v>
      </x:c>
      <x:c r="I899" s="36" t="str">
        <x:v>generated design-reference observation; not predicted tract behavior</x:v>
      </x:c>
    </x:row>
    <x:row r="900" ht="75.5999984741211" hidden="0" customHeight="1">
      <x:c r="A900" s="34" t="str">
        <x:v>M0</x:v>
      </x:c>
      <x:c r="B900" s="34" t="str">
        <x:v>48201540503</x:v>
      </x:c>
      <x:c r="C900" s="65" t="n">
        <x:v>890.1442923278767</x:v>
      </x:c>
      <x:c r="D900" s="65" t="n">
        <x:v>72.50573578342336</x:v>
      </x:c>
      <x:c r="E900" s="65" t="n">
        <x:v>817.6385565444533</x:v>
      </x:c>
      <x:c r="F900" s="65" t="n">
        <x:v>817.6385565444533</x:v>
      </x:c>
      <x:c r="G900" s="65" t="n">
        <x:v>890.1442923278767</x:v>
      </x:c>
      <x:c r="H900" s="43" t="n">
        <x:v>1</x:v>
      </x:c>
      <x:c r="I900" s="34" t="str">
        <x:v>generated design-reference observation; not predicted tract behavior</x:v>
      </x:c>
    </x:row>
    <x:row r="901" ht="75.5999984741211" hidden="0" customHeight="1">
      <x:c r="A901" s="36" t="str">
        <x:v>M0</x:v>
      </x:c>
      <x:c r="B901" s="36" t="str">
        <x:v>48201540504</x:v>
      </x:c>
      <x:c r="C901" s="66" t="n">
        <x:v>274.04195196052075</x:v>
      </x:c>
      <x:c r="D901" s="66" t="n">
        <x:v>46.574420366941325</x:v>
      </x:c>
      <x:c r="E901" s="66" t="n">
        <x:v>227.46753159357942</x:v>
      </x:c>
      <x:c r="F901" s="66" t="n">
        <x:v>227.46753159357942</x:v>
      </x:c>
      <x:c r="G901" s="66" t="n">
        <x:v>274.04195196052075</x:v>
      </x:c>
      <x:c r="H901" s="45" t="n">
        <x:v>1</x:v>
      </x:c>
      <x:c r="I901" s="36" t="str">
        <x:v>generated design-reference observation; not predicted tract behavior</x:v>
      </x:c>
    </x:row>
    <x:row r="902" ht="75.5999984741211" hidden="0" customHeight="1">
      <x:c r="A902" s="34" t="str">
        <x:v>M0</x:v>
      </x:c>
      <x:c r="B902" s="34" t="str">
        <x:v>48201540601</x:v>
      </x:c>
      <x:c r="C902" s="65" t="n">
        <x:v>331.7505066968834</x:v>
      </x:c>
      <x:c r="D902" s="65" t="n">
        <x:v>61.21652516290911</x:v>
      </x:c>
      <x:c r="E902" s="65" t="n">
        <x:v>270.53398153397427</x:v>
      </x:c>
      <x:c r="F902" s="65" t="n">
        <x:v>270.53398153397427</x:v>
      </x:c>
      <x:c r="G902" s="65" t="n">
        <x:v>331.75050669688335</x:v>
      </x:c>
      <x:c r="H902" s="43" t="n">
        <x:v>0.9999999999999998</x:v>
      </x:c>
      <x:c r="I902" s="34" t="str">
        <x:v>generated design-reference observation; not predicted tract behavior</x:v>
      </x:c>
    </x:row>
    <x:row r="903" ht="75.5999984741211" hidden="0" customHeight="1">
      <x:c r="A903" s="36" t="str">
        <x:v>M0</x:v>
      </x:c>
      <x:c r="B903" s="36" t="str">
        <x:v>48201540602</x:v>
      </x:c>
      <x:c r="C903" s="66" t="n">
        <x:v>599.6109430564303</x:v>
      </x:c>
      <x:c r="D903" s="66" t="n">
        <x:v>105.57832488080442</x:v>
      </x:c>
      <x:c r="E903" s="66" t="n">
        <x:v>494.0326181756259</x:v>
      </x:c>
      <x:c r="F903" s="66" t="n">
        <x:v>494.0326181756259</x:v>
      </x:c>
      <x:c r="G903" s="66" t="n">
        <x:v>599.6109430564303</x:v>
      </x:c>
      <x:c r="H903" s="45" t="n">
        <x:v>1</x:v>
      </x:c>
      <x:c r="I903" s="36" t="str">
        <x:v>generated design-reference observation; not predicted tract behavior</x:v>
      </x:c>
    </x:row>
    <x:row r="904" ht="75.5999984741211" hidden="0" customHeight="1">
      <x:c r="A904" s="34" t="str">
        <x:v>M0</x:v>
      </x:c>
      <x:c r="B904" s="34" t="str">
        <x:v>48201540700</x:v>
      </x:c>
      <x:c r="C904" s="65" t="n">
        <x:v>432.525323016889</x:v>
      </x:c>
      <x:c r="D904" s="65" t="n">
        <x:v>81.31476072717513</x:v>
      </x:c>
      <x:c r="E904" s="65" t="n">
        <x:v>351.21056228971383</x:v>
      </x:c>
      <x:c r="F904" s="65" t="n">
        <x:v>351.21056228971383</x:v>
      </x:c>
      <x:c r="G904" s="65" t="n">
        <x:v>432.52532301688893</x:v>
      </x:c>
      <x:c r="H904" s="43" t="n">
        <x:v>0.9999999999999999</x:v>
      </x:c>
      <x:c r="I904" s="34" t="str">
        <x:v>generated design-reference observation; not predicted tract behavior</x:v>
      </x:c>
    </x:row>
    <x:row r="905" ht="75.5999984741211" hidden="0" customHeight="1">
      <x:c r="A905" s="36" t="str">
        <x:v>M0</x:v>
      </x:c>
      <x:c r="B905" s="36" t="str">
        <x:v>48201540800</x:v>
      </x:c>
      <x:c r="C905" s="66" t="n">
        <x:v>549.6715277626139</x:v>
      </x:c>
      <x:c r="D905" s="66" t="n">
        <x:v>96.51717946226542</x:v>
      </x:c>
      <x:c r="E905" s="66" t="n">
        <x:v>453.1543483003485</x:v>
      </x:c>
      <x:c r="F905" s="66" t="n">
        <x:v>300.07978095271875</x:v>
      </x:c>
      <x:c r="G905" s="66" t="n">
        <x:v>396.59696041498415</x:v>
      </x:c>
      <x:c r="H905" s="45" t="n">
        <x:v>0.7215162881535718</x:v>
      </x:c>
      <x:c r="I905" s="36" t="str">
        <x:v>generated design-reference observation; not predicted tract behavior</x:v>
      </x:c>
    </x:row>
    <x:row r="906" ht="75.5999984741211" hidden="0" customHeight="1">
      <x:c r="A906" s="34" t="str">
        <x:v>M0</x:v>
      </x:c>
      <x:c r="B906" s="34" t="str">
        <x:v>48201540901</x:v>
      </x:c>
      <x:c r="C906" s="65" t="n">
        <x:v>248.63604073337845</x:v>
      </x:c>
      <x:c r="D906" s="65" t="n">
        <x:v>44.640114753270765</x:v>
      </x:c>
      <x:c r="E906" s="65" t="n">
        <x:v>203.9959259801077</x:v>
      </x:c>
      <x:c r="F906" s="65" t="n">
        <x:v>61.86133709585359</x:v>
      </x:c>
      <x:c r="G906" s="65" t="n">
        <x:v>106.50145184912435</x:v>
      </x:c>
      <x:c r="H906" s="43" t="n">
        <x:v>0.42834277578981306</x:v>
      </x:c>
      <x:c r="I906" s="34" t="str">
        <x:v>generated design-reference observation; not predicted tract behavior</x:v>
      </x:c>
    </x:row>
    <x:row r="907" ht="75.5999984741211" hidden="0" customHeight="1">
      <x:c r="A907" s="36" t="str">
        <x:v>M0</x:v>
      </x:c>
      <x:c r="B907" s="36" t="str">
        <x:v>48201540903</x:v>
      </x:c>
      <x:c r="C907" s="66" t="n">
        <x:v>284.5344164580412</x:v>
      </x:c>
      <x:c r="D907" s="66" t="n">
        <x:v>43.96773187843358</x:v>
      </x:c>
      <x:c r="E907" s="66" t="n">
        <x:v>240.56668457960762</x:v>
      </x:c>
      <x:c r="F907" s="66" t="n">
        <x:v>240.56668457960762</x:v>
      </x:c>
      <x:c r="G907" s="66" t="n">
        <x:v>284.5344164580412</x:v>
      </x:c>
      <x:c r="H907" s="45" t="n">
        <x:v>1</x:v>
      </x:c>
      <x:c r="I907" s="36" t="str">
        <x:v>generated design-reference observation; not predicted tract behavior</x:v>
      </x:c>
    </x:row>
    <x:row r="908" ht="75.5999984741211" hidden="0" customHeight="1">
      <x:c r="A908" s="34" t="str">
        <x:v>M0</x:v>
      </x:c>
      <x:c r="B908" s="34" t="str">
        <x:v>48201540904</x:v>
      </x:c>
      <x:c r="C908" s="65" t="n">
        <x:v>302.10438228890786</x:v>
      </x:c>
      <x:c r="D908" s="65" t="n">
        <x:v>51.008238135130505</x:v>
      </x:c>
      <x:c r="E908" s="65" t="n">
        <x:v>251.09614415377735</x:v>
      </x:c>
      <x:c r="F908" s="65" t="n">
        <x:v>251.09614415377735</x:v>
      </x:c>
      <x:c r="G908" s="65" t="n">
        <x:v>302.10438228890786</x:v>
      </x:c>
      <x:c r="H908" s="43" t="n">
        <x:v>1</x:v>
      </x:c>
      <x:c r="I908" s="34" t="str">
        <x:v>generated design-reference observation; not predicted tract behavior</x:v>
      </x:c>
    </x:row>
    <x:row r="909" ht="75.5999984741211" hidden="0" customHeight="1">
      <x:c r="A909" s="36" t="str">
        <x:v>M0</x:v>
      </x:c>
      <x:c r="B909" s="36" t="str">
        <x:v>48201541004</x:v>
      </x:c>
      <x:c r="C909" s="66" t="n">
        <x:v>459.15339022108327</x:v>
      </x:c>
      <x:c r="D909" s="66" t="n">
        <x:v>82.36242943108742</x:v>
      </x:c>
      <x:c r="E909" s="66" t="n">
        <x:v>376.79096078999584</x:v>
      </x:c>
      <x:c r="F909" s="66" t="n">
        <x:v>376.7909607899958</x:v>
      </x:c>
      <x:c r="G909" s="66" t="n">
        <x:v>459.1533902210832</x:v>
      </x:c>
      <x:c r="H909" s="45" t="n">
        <x:v>0.9999999999999999</x:v>
      </x:c>
      <x:c r="I909" s="36" t="str">
        <x:v>generated design-reference observation; not predicted tract behavior</x:v>
      </x:c>
    </x:row>
    <x:row r="910" ht="75.5999984741211" hidden="0" customHeight="1">
      <x:c r="A910" s="34" t="str">
        <x:v>M0</x:v>
      </x:c>
      <x:c r="B910" s="34" t="str">
        <x:v>48201541005</x:v>
      </x:c>
      <x:c r="C910" s="65" t="n">
        <x:v>365.8529811948169</x:v>
      </x:c>
      <x:c r="D910" s="65" t="n">
        <x:v>60.59989270110119</x:v>
      </x:c>
      <x:c r="E910" s="65" t="n">
        <x:v>305.2530884937157</x:v>
      </x:c>
      <x:c r="F910" s="65" t="n">
        <x:v>74.99702560560102</x:v>
      </x:c>
      <x:c r="G910" s="65" t="n">
        <x:v>135.5969183067022</x:v>
      </x:c>
      <x:c r="H910" s="43" t="n">
        <x:v>0.3706322628938666</x:v>
      </x:c>
      <x:c r="I910" s="34" t="str">
        <x:v>generated design-reference observation; not predicted tract behavior</x:v>
      </x:c>
    </x:row>
    <x:row r="911" ht="75.5999984741211" hidden="0" customHeight="1">
      <x:c r="A911" s="36" t="str">
        <x:v>M0</x:v>
      </x:c>
      <x:c r="B911" s="36" t="str">
        <x:v>48201541006</x:v>
      </x:c>
      <x:c r="C911" s="66" t="n">
        <x:v>501.31187678640157</x:v>
      </x:c>
      <x:c r="D911" s="66" t="n">
        <x:v>89.15476873065535</x:v>
      </x:c>
      <x:c r="E911" s="66" t="n">
        <x:v>412.1571080557462</x:v>
      </x:c>
      <x:c r="F911" s="66" t="n">
        <x:v>327.8462283351148</x:v>
      </x:c>
      <x:c r="G911" s="66" t="n">
        <x:v>417.00099706577015</x:v>
      </x:c>
      <x:c r="H911" s="45" t="n">
        <x:v>0.831819504734067</x:v>
      </x:c>
      <x:c r="I911" s="36" t="str">
        <x:v>generated design-reference observation; not predicted tract behavior</x:v>
      </x:c>
    </x:row>
    <x:row r="912" ht="75.5999984741211" hidden="0" customHeight="1">
      <x:c r="A912" s="34" t="str">
        <x:v>M0</x:v>
      </x:c>
      <x:c r="B912" s="34" t="str">
        <x:v>48201541007</x:v>
      </x:c>
      <x:c r="C912" s="65" t="n">
        <x:v>592.9775048272865</x:v>
      </x:c>
      <x:c r="D912" s="65" t="n">
        <x:v>111.47977090752984</x:v>
      </x:c>
      <x:c r="E912" s="65" t="n">
        <x:v>481.4977339197566</x:v>
      </x:c>
      <x:c r="F912" s="65" t="n">
        <x:v>404.67064984007857</x:v>
      </x:c>
      <x:c r="G912" s="65" t="n">
        <x:v>516.1504207476085</x:v>
      </x:c>
      <x:c r="H912" s="43" t="n">
        <x:v>0.8704384509458668</x:v>
      </x:c>
      <x:c r="I912" s="34" t="str">
        <x:v>generated design-reference observation; not predicted tract behavior</x:v>
      </x:c>
    </x:row>
    <x:row r="913" ht="75.5999984741211" hidden="0" customHeight="1">
      <x:c r="A913" s="36" t="str">
        <x:v>M0</x:v>
      </x:c>
      <x:c r="B913" s="36" t="str">
        <x:v>48201541008</x:v>
      </x:c>
      <x:c r="C913" s="66" t="n">
        <x:v>266.374986329561</x:v>
      </x:c>
      <x:c r="D913" s="66" t="n">
        <x:v>50.07849742995747</x:v>
      </x:c>
      <x:c r="E913" s="66" t="n">
        <x:v>216.29648889960353</x:v>
      </x:c>
      <x:c r="F913" s="66" t="n">
        <x:v>216.29648889960353</x:v>
      </x:c>
      <x:c r="G913" s="66" t="n">
        <x:v>266.374986329561</x:v>
      </x:c>
      <x:c r="H913" s="45" t="n">
        <x:v>1</x:v>
      </x:c>
      <x:c r="I913" s="36" t="str">
        <x:v>generated design-reference observation; not predicted tract behavior</x:v>
      </x:c>
    </x:row>
    <x:row r="914" ht="75.5999984741211" hidden="0" customHeight="1">
      <x:c r="A914" s="34" t="str">
        <x:v>M0</x:v>
      </x:c>
      <x:c r="B914" s="34" t="str">
        <x:v>48201541009</x:v>
      </x:c>
      <x:c r="C914" s="65" t="n">
        <x:v>393.31808770162235</x:v>
      </x:c>
      <x:c r="D914" s="65" t="n">
        <x:v>73.09916498646406</x:v>
      </x:c>
      <x:c r="E914" s="65" t="n">
        <x:v>320.21892271515827</x:v>
      </x:c>
      <x:c r="F914" s="65" t="n">
        <x:v>320.21892271515827</x:v>
      </x:c>
      <x:c r="G914" s="65" t="n">
        <x:v>393.31808770162235</x:v>
      </x:c>
      <x:c r="H914" s="43" t="n">
        <x:v>1</x:v>
      </x:c>
      <x:c r="I914" s="34" t="str">
        <x:v>generated design-reference observation; not predicted tract behavior</x:v>
      </x:c>
    </x:row>
    <x:row r="915" ht="75.5999984741211" hidden="0" customHeight="1">
      <x:c r="A915" s="36" t="str">
        <x:v>M0</x:v>
      </x:c>
      <x:c r="B915" s="36" t="str">
        <x:v>48201541100</x:v>
      </x:c>
      <x:c r="C915" s="66" t="n">
        <x:v>647.93915593677</x:v>
      </x:c>
      <x:c r="D915" s="66" t="n">
        <x:v>119.86040533549031</x:v>
      </x:c>
      <x:c r="E915" s="66" t="n">
        <x:v>528.0787506012797</x:v>
      </x:c>
      <x:c r="F915" s="66" t="n">
        <x:v>303.79278868982703</x:v>
      </x:c>
      <x:c r="G915" s="66" t="n">
        <x:v>423.65319402531736</x:v>
      </x:c>
      <x:c r="H915" s="45" t="n">
        <x:v>0.6538471863346689</x:v>
      </x:c>
      <x:c r="I915" s="36" t="str">
        <x:v>generated design-reference observation; not predicted tract behavior</x:v>
      </x:c>
    </x:row>
    <x:row r="916" ht="75.5999984741211" hidden="0" customHeight="1">
      <x:c r="A916" s="34" t="str">
        <x:v>M0</x:v>
      </x:c>
      <x:c r="B916" s="34" t="str">
        <x:v>48201541203</x:v>
      </x:c>
      <x:c r="C916" s="65" t="n">
        <x:v>200.52789452414783</x:v>
      </x:c>
      <x:c r="D916" s="65" t="n">
        <x:v>37.69924417053979</x:v>
      </x:c>
      <x:c r="E916" s="65" t="n">
        <x:v>162.82865035360803</x:v>
      </x:c>
      <x:c r="F916" s="65" t="n">
        <x:v>162.82865035360803</x:v>
      </x:c>
      <x:c r="G916" s="65" t="n">
        <x:v>200.52789452414783</x:v>
      </x:c>
      <x:c r="H916" s="43" t="n">
        <x:v>1</x:v>
      </x:c>
      <x:c r="I916" s="34" t="str">
        <x:v>generated design-reference observation; not predicted tract behavior</x:v>
      </x:c>
    </x:row>
    <x:row r="917" ht="75.5999984741211" hidden="0" customHeight="1">
      <x:c r="A917" s="36" t="str">
        <x:v>M0</x:v>
      </x:c>
      <x:c r="B917" s="36" t="str">
        <x:v>48201541204</x:v>
      </x:c>
      <x:c r="C917" s="66" t="n">
        <x:v>469.6537142425719</x:v>
      </x:c>
      <x:c r="D917" s="66" t="n">
        <x:v>86.44834631843248</x:v>
      </x:c>
      <x:c r="E917" s="66" t="n">
        <x:v>383.2053679241394</x:v>
      </x:c>
      <x:c r="F917" s="66" t="n">
        <x:v>383.2053679241394</x:v>
      </x:c>
      <x:c r="G917" s="66" t="n">
        <x:v>469.6537142425719</x:v>
      </x:c>
      <x:c r="H917" s="45" t="n">
        <x:v>1</x:v>
      </x:c>
      <x:c r="I917" s="36" t="str">
        <x:v>generated design-reference observation; not predicted tract behavior</x:v>
      </x:c>
    </x:row>
    <x:row r="918" ht="75.5999984741211" hidden="0" customHeight="1">
      <x:c r="A918" s="34" t="str">
        <x:v>M0</x:v>
      </x:c>
      <x:c r="B918" s="34" t="str">
        <x:v>48201541205</x:v>
      </x:c>
      <x:c r="C918" s="65" t="n">
        <x:v>261.42348622960753</x:v>
      </x:c>
      <x:c r="D918" s="65" t="n">
        <x:v>49.147615411166214</x:v>
      </x:c>
      <x:c r="E918" s="65" t="n">
        <x:v>212.27587081844132</x:v>
      </x:c>
      <x:c r="F918" s="65" t="n">
        <x:v>179.68243756955073</x:v>
      </x:c>
      <x:c r="G918" s="65" t="n">
        <x:v>228.83005298071694</x:v>
      </x:c>
      <x:c r="H918" s="43" t="n">
        <x:v>0.8753232400081151</x:v>
      </x:c>
      <x:c r="I918" s="34" t="str">
        <x:v>generated design-reference observation; not predicted tract behavior</x:v>
      </x:c>
    </x:row>
    <x:row r="919" ht="75.5999984741211" hidden="0" customHeight="1">
      <x:c r="A919" s="36" t="str">
        <x:v>M0</x:v>
      </x:c>
      <x:c r="B919" s="36" t="str">
        <x:v>48201541206</x:v>
      </x:c>
      <x:c r="C919" s="66" t="n">
        <x:v>387.38021734366225</x:v>
      </x:c>
      <x:c r="D919" s="66" t="n">
        <x:v>69.24679638496193</x:v>
      </x:c>
      <x:c r="E919" s="66" t="n">
        <x:v>318.1334209587003</x:v>
      </x:c>
      <x:c r="F919" s="66" t="n">
        <x:v>318.1334209587003</x:v>
      </x:c>
      <x:c r="G919" s="66" t="n">
        <x:v>387.38021734366225</x:v>
      </x:c>
      <x:c r="H919" s="45" t="n">
        <x:v>1</x:v>
      </x:c>
      <x:c r="I919" s="36" t="str">
        <x:v>generated design-reference observation; not predicted tract behavior</x:v>
      </x:c>
    </x:row>
    <x:row r="920" ht="75.5999984741211" hidden="0" customHeight="1">
      <x:c r="A920" s="34" t="str">
        <x:v>M0</x:v>
      </x:c>
      <x:c r="B920" s="34" t="str">
        <x:v>48201541207</x:v>
      </x:c>
      <x:c r="C920" s="65" t="n">
        <x:v>339.9872878155361</x:v>
      </x:c>
      <x:c r="D920" s="65" t="n">
        <x:v>63.917610109320776</x:v>
      </x:c>
      <x:c r="E920" s="65" t="n">
        <x:v>276.0696777062153</x:v>
      </x:c>
      <x:c r="F920" s="65" t="n">
        <x:v>95.19178723504433</x:v>
      </x:c>
      <x:c r="G920" s="65" t="n">
        <x:v>159.1093973443651</x:v>
      </x:c>
      <x:c r="H920" s="43" t="n">
        <x:v>0.46798631315501327</x:v>
      </x:c>
      <x:c r="I920" s="34" t="str">
        <x:v>generated design-reference observation; not predicted tract behavior</x:v>
      </x:c>
    </x:row>
    <x:row r="921" ht="75.5999984741211" hidden="0" customHeight="1">
      <x:c r="A921" s="36" t="str">
        <x:v>M0</x:v>
      </x:c>
      <x:c r="B921" s="36" t="str">
        <x:v>48201541301</x:v>
      </x:c>
      <x:c r="C921" s="66" t="n">
        <x:v>884.1136191292153</x:v>
      </x:c>
      <x:c r="D921" s="66" t="n">
        <x:v>140.9147706435441</x:v>
      </x:c>
      <x:c r="E921" s="66" t="n">
        <x:v>743.1988484856712</x:v>
      </x:c>
      <x:c r="F921" s="66" t="n">
        <x:v>743.1988484856712</x:v>
      </x:c>
      <x:c r="G921" s="66" t="n">
        <x:v>884.1136191292153</x:v>
      </x:c>
      <x:c r="H921" s="45" t="n">
        <x:v>1</x:v>
      </x:c>
      <x:c r="I921" s="36" t="str">
        <x:v>generated design-reference observation; not predicted tract behavior</x:v>
      </x:c>
    </x:row>
    <x:row r="922" ht="75.5999984741211" hidden="0" customHeight="1">
      <x:c r="A922" s="34" t="str">
        <x:v>M0</x:v>
      </x:c>
      <x:c r="B922" s="34" t="str">
        <x:v>48201541302</x:v>
      </x:c>
      <x:c r="C922" s="65" t="n">
        <x:v>596.498571565031</x:v>
      </x:c>
      <x:c r="D922" s="65" t="n">
        <x:v>111.03791127300734</x:v>
      </x:c>
      <x:c r="E922" s="65" t="n">
        <x:v>485.4606602920237</x:v>
      </x:c>
      <x:c r="F922" s="65" t="n">
        <x:v>485.4606602920237</x:v>
      </x:c>
      <x:c r="G922" s="65" t="n">
        <x:v>596.498571565031</x:v>
      </x:c>
      <x:c r="H922" s="43" t="n">
        <x:v>1</x:v>
      </x:c>
      <x:c r="I922" s="34" t="str">
        <x:v>generated design-reference observation; not predicted tract behavior</x:v>
      </x:c>
    </x:row>
    <x:row r="923" ht="75.5999984741211" hidden="0" customHeight="1">
      <x:c r="A923" s="36" t="str">
        <x:v>M0</x:v>
      </x:c>
      <x:c r="B923" s="36" t="str">
        <x:v>48201541401</x:v>
      </x:c>
      <x:c r="C923" s="66" t="n">
        <x:v>364.87054069879446</x:v>
      </x:c>
      <x:c r="D923" s="66" t="n">
        <x:v>62.88486052145676</x:v>
      </x:c>
      <x:c r="E923" s="66" t="n">
        <x:v>301.9856801773377</x:v>
      </x:c>
      <x:c r="F923" s="66" t="n">
        <x:v>301.9856801773377</x:v>
      </x:c>
      <x:c r="G923" s="66" t="n">
        <x:v>364.87054069879446</x:v>
      </x:c>
      <x:c r="H923" s="45" t="n">
        <x:v>1</x:v>
      </x:c>
      <x:c r="I923" s="36" t="str">
        <x:v>generated design-reference observation; not predicted tract behavior</x:v>
      </x:c>
    </x:row>
    <x:row r="924" ht="75.5999984741211" hidden="0" customHeight="1">
      <x:c r="A924" s="34" t="str">
        <x:v>M0</x:v>
      </x:c>
      <x:c r="B924" s="34" t="str">
        <x:v>48201541402</x:v>
      </x:c>
      <x:c r="C924" s="65" t="n">
        <x:v>190.21619907789557</x:v>
      </x:c>
      <x:c r="D924" s="65" t="n">
        <x:v>35.66370391795768</x:v>
      </x:c>
      <x:c r="E924" s="65" t="n">
        <x:v>154.55249515993788</x:v>
      </x:c>
      <x:c r="F924" s="65" t="n">
        <x:v>154.55249515993788</x:v>
      </x:c>
      <x:c r="G924" s="65" t="n">
        <x:v>190.21619907789557</x:v>
      </x:c>
      <x:c r="H924" s="43" t="n">
        <x:v>1</x:v>
      </x:c>
      <x:c r="I924" s="34" t="str">
        <x:v>generated design-reference observation; not predicted tract behavior</x:v>
      </x:c>
    </x:row>
    <x:row r="925" ht="75.5999984741211" hidden="0" customHeight="1">
      <x:c r="A925" s="36" t="str">
        <x:v>M0</x:v>
      </x:c>
      <x:c r="B925" s="36" t="str">
        <x:v>48201541403</x:v>
      </x:c>
      <x:c r="C925" s="66" t="n">
        <x:v>264.6773291524341</x:v>
      </x:c>
      <x:c r="D925" s="66" t="n">
        <x:v>48.967178610151855</x:v>
      </x:c>
      <x:c r="E925" s="66" t="n">
        <x:v>215.71015054228224</x:v>
      </x:c>
      <x:c r="F925" s="66" t="n">
        <x:v>215.71015054228224</x:v>
      </x:c>
      <x:c r="G925" s="66" t="n">
        <x:v>264.6773291524341</x:v>
      </x:c>
      <x:c r="H925" s="45" t="n">
        <x:v>1</x:v>
      </x:c>
      <x:c r="I925" s="36" t="str">
        <x:v>generated design-reference observation; not predicted tract behavior</x:v>
      </x:c>
    </x:row>
    <x:row r="926" ht="75.5999984741211" hidden="0" customHeight="1">
      <x:c r="A926" s="34" t="str">
        <x:v>M0</x:v>
      </x:c>
      <x:c r="B926" s="34" t="str">
        <x:v>48201541404</x:v>
      </x:c>
      <x:c r="C926" s="65" t="n">
        <x:v>270.79203879967827</x:v>
      </x:c>
      <x:c r="D926" s="65" t="n">
        <x:v>50.90890329433952</x:v>
      </x:c>
      <x:c r="E926" s="65" t="n">
        <x:v>219.88313550533874</x:v>
      </x:c>
      <x:c r="F926" s="65" t="n">
        <x:v>219.88313550533877</x:v>
      </x:c>
      <x:c r="G926" s="65" t="n">
        <x:v>270.79203879967827</x:v>
      </x:c>
      <x:c r="H926" s="43" t="n">
        <x:v>1</x:v>
      </x:c>
      <x:c r="I926" s="34" t="str">
        <x:v>generated design-reference observation; not predicted tract behavior</x:v>
      </x:c>
    </x:row>
    <x:row r="927" ht="75.5999984741211" hidden="0" customHeight="1">
      <x:c r="A927" s="36" t="str">
        <x:v>M0</x:v>
      </x:c>
      <x:c r="B927" s="36" t="str">
        <x:v>48201541500</x:v>
      </x:c>
      <x:c r="C927" s="66" t="n">
        <x:v>411.32032735073903</x:v>
      </x:c>
      <x:c r="D927" s="66" t="n">
        <x:v>75.42203117301803</x:v>
      </x:c>
      <x:c r="E927" s="66" t="n">
        <x:v>335.898296177721</x:v>
      </x:c>
      <x:c r="F927" s="66" t="n">
        <x:v>335.898296177721</x:v>
      </x:c>
      <x:c r="G927" s="66" t="n">
        <x:v>411.32032735073903</x:v>
      </x:c>
      <x:c r="H927" s="45" t="n">
        <x:v>1</x:v>
      </x:c>
      <x:c r="I927" s="36" t="str">
        <x:v>generated design-reference observation; not predicted tract behavior</x:v>
      </x:c>
    </x:row>
    <x:row r="928" ht="75.5999984741211" hidden="0" customHeight="1">
      <x:c r="A928" s="34" t="str">
        <x:v>M0</x:v>
      </x:c>
      <x:c r="B928" s="34" t="str">
        <x:v>48201541603</x:v>
      </x:c>
      <x:c r="C928" s="65" t="n">
        <x:v>544.9558133817058</x:v>
      </x:c>
      <x:c r="D928" s="65" t="n">
        <x:v>98.81844387714075</x:v>
      </x:c>
      <x:c r="E928" s="65" t="n">
        <x:v>446.137369504565</x:v>
      </x:c>
      <x:c r="F928" s="65" t="n">
        <x:v>361.7934416218763</x:v>
      </x:c>
      <x:c r="G928" s="65" t="n">
        <x:v>460.61188549901703</x:v>
      </x:c>
      <x:c r="H928" s="43" t="n">
        <x:v>0.8452279509428569</x:v>
      </x:c>
      <x:c r="I928" s="34" t="str">
        <x:v>generated design-reference observation; not predicted tract behavior</x:v>
      </x:c>
    </x:row>
    <x:row r="929" ht="75.5999984741211" hidden="0" customHeight="1">
      <x:c r="A929" s="36" t="str">
        <x:v>M0</x:v>
      </x:c>
      <x:c r="B929" s="36" t="str">
        <x:v>48201541604</x:v>
      </x:c>
      <x:c r="C929" s="66" t="n">
        <x:v>815.8853938508272</x:v>
      </x:c>
      <x:c r="D929" s="66" t="n">
        <x:v>153.3864540439555</x:v>
      </x:c>
      <x:c r="E929" s="66" t="n">
        <x:v>662.4989398068717</x:v>
      </x:c>
      <x:c r="F929" s="66" t="n">
        <x:v>662.4989398068717</x:v>
      </x:c>
      <x:c r="G929" s="66" t="n">
        <x:v>815.8853938508272</x:v>
      </x:c>
      <x:c r="H929" s="45" t="n">
        <x:v>1</x:v>
      </x:c>
      <x:c r="I929" s="36" t="str">
        <x:v>generated design-reference observation; not predicted tract behavior</x:v>
      </x:c>
    </x:row>
    <x:row r="930" ht="75.5999984741211" hidden="0" customHeight="1">
      <x:c r="A930" s="34" t="str">
        <x:v>M0</x:v>
      </x:c>
      <x:c r="B930" s="34" t="str">
        <x:v>48201541701</x:v>
      </x:c>
      <x:c r="C930" s="65" t="n">
        <x:v>974.3451863352907</x:v>
      </x:c>
      <x:c r="D930" s="65" t="n">
        <x:v>153.49111164258892</x:v>
      </x:c>
      <x:c r="E930" s="65" t="n">
        <x:v>820.8540746927017</x:v>
      </x:c>
      <x:c r="F930" s="65" t="n">
        <x:v>820.8540746927017</x:v>
      </x:c>
      <x:c r="G930" s="65" t="n">
        <x:v>974.3451863352907</x:v>
      </x:c>
      <x:c r="H930" s="43" t="n">
        <x:v>1</x:v>
      </x:c>
      <x:c r="I930" s="34" t="str">
        <x:v>generated design-reference observation; not predicted tract behavior</x:v>
      </x:c>
    </x:row>
    <x:row r="931" ht="75.5999984741211" hidden="0" customHeight="1">
      <x:c r="A931" s="36" t="str">
        <x:v>M0</x:v>
      </x:c>
      <x:c r="B931" s="36" t="str">
        <x:v>48201541702</x:v>
      </x:c>
      <x:c r="C931" s="66" t="n">
        <x:v>211.94778284991358</x:v>
      </x:c>
      <x:c r="D931" s="66" t="n">
        <x:v>34.77274473654152</x:v>
      </x:c>
      <x:c r="E931" s="66" t="n">
        <x:v>177.17503811337207</x:v>
      </x:c>
      <x:c r="F931" s="66" t="n">
        <x:v>41.568741927975395</x:v>
      </x:c>
      <x:c r="G931" s="66" t="n">
        <x:v>76.3414866645169</x:v>
      </x:c>
      <x:c r="H931" s="45" t="n">
        <x:v>0.3601900696388815</x:v>
      </x:c>
      <x:c r="I931" s="36" t="str">
        <x:v>generated design-reference observation; not predicted tract behavior</x:v>
      </x:c>
    </x:row>
    <x:row r="932" ht="75.5999984741211" hidden="0" customHeight="1">
      <x:c r="A932" s="34" t="str">
        <x:v>M0</x:v>
      </x:c>
      <x:c r="B932" s="34" t="str">
        <x:v>48201541703</x:v>
      </x:c>
      <x:c r="C932" s="65" t="n">
        <x:v>640.7664334476553</x:v>
      </x:c>
      <x:c r="D932" s="65" t="n">
        <x:v>44.56008334098981</x:v>
      </x:c>
      <x:c r="E932" s="65" t="n">
        <x:v>596.2063501066656</x:v>
      </x:c>
      <x:c r="F932" s="65" t="n">
        <x:v>596.2063501066656</x:v>
      </x:c>
      <x:c r="G932" s="65" t="n">
        <x:v>640.7664334476553</x:v>
      </x:c>
      <x:c r="H932" s="43" t="n">
        <x:v>1</x:v>
      </x:c>
      <x:c r="I932" s="34" t="str">
        <x:v>generated design-reference observation; not predicted tract behavior</x:v>
      </x:c>
    </x:row>
    <x:row r="933" ht="75.5999984741211" hidden="0" customHeight="1">
      <x:c r="A933" s="36" t="str">
        <x:v>M0</x:v>
      </x:c>
      <x:c r="B933" s="36" t="str">
        <x:v>48201541801</x:v>
      </x:c>
      <x:c r="C933" s="66" t="n">
        <x:v>321.3248481530923</x:v>
      </x:c>
      <x:c r="D933" s="66" t="n">
        <x:v>50.81193567519396</x:v>
      </x:c>
      <x:c r="E933" s="66" t="n">
        <x:v>270.51291247789834</x:v>
      </x:c>
      <x:c r="F933" s="66" t="n">
        <x:v>270.51291247789834</x:v>
      </x:c>
      <x:c r="G933" s="66" t="n">
        <x:v>321.3248481530923</x:v>
      </x:c>
      <x:c r="H933" s="45" t="n">
        <x:v>1</x:v>
      </x:c>
      <x:c r="I933" s="36" t="str">
        <x:v>generated design-reference observation; not predicted tract behavior</x:v>
      </x:c>
    </x:row>
    <x:row r="934" ht="75.5999984741211" hidden="0" customHeight="1">
      <x:c r="A934" s="34" t="str">
        <x:v>M0</x:v>
      </x:c>
      <x:c r="B934" s="34" t="str">
        <x:v>48201541802</x:v>
      </x:c>
      <x:c r="C934" s="65" t="n">
        <x:v>716.4185836927568</x:v>
      </x:c>
      <x:c r="D934" s="65" t="n">
        <x:v>47.805633111260505</x:v>
      </x:c>
      <x:c r="E934" s="65" t="n">
        <x:v>668.6129505814963</x:v>
      </x:c>
      <x:c r="F934" s="65" t="n">
        <x:v>668.6129505814963</x:v>
      </x:c>
      <x:c r="G934" s="65" t="n">
        <x:v>716.4185836927568</x:v>
      </x:c>
      <x:c r="H934" s="43" t="n">
        <x:v>1</x:v>
      </x:c>
      <x:c r="I934" s="34" t="str">
        <x:v>generated design-reference observation; not predicted tract behavior</x:v>
      </x:c>
    </x:row>
    <x:row r="935" ht="75.5999984741211" hidden="0" customHeight="1">
      <x:c r="A935" s="36" t="str">
        <x:v>M0</x:v>
      </x:c>
      <x:c r="B935" s="36" t="str">
        <x:v>48201541901</x:v>
      </x:c>
      <x:c r="C935" s="66" t="n">
        <x:v>219.9644972974573</x:v>
      </x:c>
      <x:c r="D935" s="66" t="n">
        <x:v>37.10478394215789</x:v>
      </x:c>
      <x:c r="E935" s="66" t="n">
        <x:v>182.85971335529942</x:v>
      </x:c>
      <x:c r="F935" s="66" t="n">
        <x:v>182.85971335529942</x:v>
      </x:c>
      <x:c r="G935" s="66" t="n">
        <x:v>219.9644972974573</x:v>
      </x:c>
      <x:c r="H935" s="45" t="n">
        <x:v>1</x:v>
      </x:c>
      <x:c r="I935" s="36" t="str">
        <x:v>generated design-reference observation; not predicted tract behavior</x:v>
      </x:c>
    </x:row>
    <x:row r="936" ht="75.5999984741211" hidden="0" customHeight="1">
      <x:c r="A936" s="34" t="str">
        <x:v>M0</x:v>
      </x:c>
      <x:c r="B936" s="34" t="str">
        <x:v>48201541902</x:v>
      </x:c>
      <x:c r="C936" s="65" t="n">
        <x:v>379.6975326647663</x:v>
      </x:c>
      <x:c r="D936" s="65" t="n">
        <x:v>71.38313614097606</x:v>
      </x:c>
      <x:c r="E936" s="65" t="n">
        <x:v>308.31439652379026</x:v>
      </x:c>
      <x:c r="F936" s="65" t="n">
        <x:v>308.31439652379026</x:v>
      </x:c>
      <x:c r="G936" s="65" t="n">
        <x:v>379.6975326647663</x:v>
      </x:c>
      <x:c r="H936" s="43" t="n">
        <x:v>1</x:v>
      </x:c>
      <x:c r="I936" s="34" t="str">
        <x:v>generated design-reference observation; not predicted tract behavior</x:v>
      </x:c>
    </x:row>
    <x:row r="937" ht="75.5999984741211" hidden="0" customHeight="1">
      <x:c r="A937" s="36" t="str">
        <x:v>M0</x:v>
      </x:c>
      <x:c r="B937" s="36" t="str">
        <x:v>48201542001</x:v>
      </x:c>
      <x:c r="C937" s="66" t="n">
        <x:v>348.12189512260255</x:v>
      </x:c>
      <x:c r="D937" s="66" t="n">
        <x:v>65.44691628304928</x:v>
      </x:c>
      <x:c r="E937" s="66" t="n">
        <x:v>282.67497883955326</x:v>
      </x:c>
      <x:c r="F937" s="66" t="n">
        <x:v>235.60504728208687</x:v>
      </x:c>
      <x:c r="G937" s="66" t="n">
        <x:v>301.05196356513613</x:v>
      </x:c>
      <x:c r="H937" s="45" t="n">
        <x:v>0.8647889368151084</x:v>
      </x:c>
      <x:c r="I937" s="36" t="str">
        <x:v>generated design-reference observation; not predicted tract behavior</x:v>
      </x:c>
    </x:row>
    <x:row r="938" ht="75.5999984741211" hidden="0" customHeight="1">
      <x:c r="A938" s="34" t="str">
        <x:v>M0</x:v>
      </x:c>
      <x:c r="B938" s="34" t="str">
        <x:v>48201542002</x:v>
      </x:c>
      <x:c r="C938" s="65" t="n">
        <x:v>198.3901040048029</x:v>
      </x:c>
      <x:c r="D938" s="65" t="n">
        <x:v>37.29733955290295</x:v>
      </x:c>
      <x:c r="E938" s="65" t="n">
        <x:v>161.09276445189997</x:v>
      </x:c>
      <x:c r="F938" s="65" t="n">
        <x:v>161.09276445189997</x:v>
      </x:c>
      <x:c r="G938" s="65" t="n">
        <x:v>198.3901040048029</x:v>
      </x:c>
      <x:c r="H938" s="43" t="n">
        <x:v>1</x:v>
      </x:c>
      <x:c r="I938" s="34" t="str">
        <x:v>generated design-reference observation; not predicted tract behavior</x:v>
      </x:c>
    </x:row>
    <x:row r="939" ht="75.5999984741211" hidden="0" customHeight="1">
      <x:c r="A939" s="36" t="str">
        <x:v>M0</x:v>
      </x:c>
      <x:c r="B939" s="36" t="str">
        <x:v>48201542003</x:v>
      </x:c>
      <x:c r="C939" s="66" t="n">
        <x:v>306.71006333426146</x:v>
      </x:c>
      <x:c r="D939" s="66" t="n">
        <x:v>57.66149190684115</x:v>
      </x:c>
      <x:c r="E939" s="66" t="n">
        <x:v>249.0485714274203</x:v>
      </x:c>
      <x:c r="F939" s="66" t="n">
        <x:v>84.38789735112078</x:v>
      </x:c>
      <x:c r="G939" s="66" t="n">
        <x:v>142.04938925796193</x:v>
      </x:c>
      <x:c r="H939" s="45" t="n">
        <x:v>0.4631389909862606</x:v>
      </x:c>
      <x:c r="I939" s="36" t="str">
        <x:v>generated design-reference observation; not predicted tract behavior</x:v>
      </x:c>
    </x:row>
    <x:row r="940" ht="75.5999984741211" hidden="0" customHeight="1">
      <x:c r="A940" s="34" t="str">
        <x:v>M0</x:v>
      </x:c>
      <x:c r="B940" s="34" t="str">
        <x:v>48201542004</x:v>
      </x:c>
      <x:c r="C940" s="65" t="n">
        <x:v>519.6281951048618</x:v>
      </x:c>
      <x:c r="D940" s="65" t="n">
        <x:v>46.76653755943756</x:v>
      </x:c>
      <x:c r="E940" s="65" t="n">
        <x:v>472.86165754542424</x:v>
      </x:c>
      <x:c r="F940" s="65" t="n">
        <x:v>472.86165754542424</x:v>
      </x:c>
      <x:c r="G940" s="65" t="n">
        <x:v>519.6281951048618</x:v>
      </x:c>
      <x:c r="H940" s="43" t="n">
        <x:v>1</x:v>
      </x:c>
      <x:c r="I940" s="34" t="str">
        <x:v>generated design-reference observation; not predicted tract behavior</x:v>
      </x:c>
    </x:row>
    <x:row r="941" ht="75.5999984741211" hidden="0" customHeight="1">
      <x:c r="A941" s="36" t="str">
        <x:v>M0</x:v>
      </x:c>
      <x:c r="B941" s="36" t="str">
        <x:v>48201542103</x:v>
      </x:c>
      <x:c r="C941" s="66" t="n">
        <x:v>763.5684725566359</x:v>
      </x:c>
      <x:c r="D941" s="66" t="n">
        <x:v>143.55087284064754</x:v>
      </x:c>
      <x:c r="E941" s="66" t="n">
        <x:v>620.0175997159884</x:v>
      </x:c>
      <x:c r="F941" s="66" t="n">
        <x:v>620.0175997159884</x:v>
      </x:c>
      <x:c r="G941" s="66" t="n">
        <x:v>763.5684725566359</x:v>
      </x:c>
      <x:c r="H941" s="45" t="n">
        <x:v>1</x:v>
      </x:c>
      <x:c r="I941" s="36" t="str">
        <x:v>generated design-reference observation; not predicted tract behavior</x:v>
      </x:c>
    </x:row>
    <x:row r="942" ht="75.5999984741211" hidden="0" customHeight="1">
      <x:c r="A942" s="34" t="str">
        <x:v>M0</x:v>
      </x:c>
      <x:c r="B942" s="34" t="str">
        <x:v>48201542104</x:v>
      </x:c>
      <x:c r="C942" s="65" t="n">
        <x:v>640.001036728908</x:v>
      </x:c>
      <x:c r="D942" s="65" t="n">
        <x:v>118.35172112809573</x:v>
      </x:c>
      <x:c r="E942" s="65" t="n">
        <x:v>521.6493156008123</x:v>
      </x:c>
      <x:c r="F942" s="65" t="n">
        <x:v>521.6493156008123</x:v>
      </x:c>
      <x:c r="G942" s="65" t="n">
        <x:v>640.001036728908</x:v>
      </x:c>
      <x:c r="H942" s="43" t="n">
        <x:v>1</x:v>
      </x:c>
      <x:c r="I942" s="34" t="str">
        <x:v>generated design-reference observation; not predicted tract behavior</x:v>
      </x:c>
    </x:row>
    <x:row r="943" ht="75.5999984741211" hidden="0" customHeight="1">
      <x:c r="A943" s="36" t="str">
        <x:v>M0</x:v>
      </x:c>
      <x:c r="B943" s="36" t="str">
        <x:v>48201542105</x:v>
      </x:c>
      <x:c r="C943" s="66" t="n">
        <x:v>803.4869947910229</x:v>
      </x:c>
      <x:c r="D943" s="66" t="n">
        <x:v>140.65512483225555</x:v>
      </x:c>
      <x:c r="E943" s="66" t="n">
        <x:v>662.8318699587674</x:v>
      </x:c>
      <x:c r="F943" s="66" t="n">
        <x:v>662.8318699587674</x:v>
      </x:c>
      <x:c r="G943" s="66" t="n">
        <x:v>803.4869947910229</x:v>
      </x:c>
      <x:c r="H943" s="45" t="n">
        <x:v>1</x:v>
      </x:c>
      <x:c r="I943" s="36" t="str">
        <x:v>generated design-reference observation; not predicted tract behavior</x:v>
      </x:c>
    </x:row>
    <x:row r="944" ht="75.5999984741211" hidden="0" customHeight="1">
      <x:c r="A944" s="34" t="str">
        <x:v>M0</x:v>
      </x:c>
      <x:c r="B944" s="34" t="str">
        <x:v>48201542106</x:v>
      </x:c>
      <x:c r="C944" s="65" t="n">
        <x:v>676.7521708041185</x:v>
      </x:c>
      <x:c r="D944" s="65" t="n">
        <x:v>126.19888954080338</x:v>
      </x:c>
      <x:c r="E944" s="65" t="n">
        <x:v>550.5532812633151</x:v>
      </x:c>
      <x:c r="F944" s="65" t="n">
        <x:v>186.22095306542593</x:v>
      </x:c>
      <x:c r="G944" s="65" t="n">
        <x:v>312.4198426062293</x:v>
      </x:c>
      <x:c r="H944" s="43" t="n">
        <x:v>0.461645866957488</x:v>
      </x:c>
      <x:c r="I944" s="34" t="str">
        <x:v>generated design-reference observation; not predicted tract behavior</x:v>
      </x:c>
    </x:row>
    <x:row r="945" ht="75.5999984741211" hidden="0" customHeight="1">
      <x:c r="A945" s="36" t="str">
        <x:v>M0</x:v>
      </x:c>
      <x:c r="B945" s="36" t="str">
        <x:v>48201542107</x:v>
      </x:c>
      <x:c r="C945" s="66" t="n">
        <x:v>305.2324728282436</x:v>
      </x:c>
      <x:c r="D945" s="66" t="n">
        <x:v>57.3837048917098</x:v>
      </x:c>
      <x:c r="E945" s="66" t="n">
        <x:v>247.84876793653382</x:v>
      </x:c>
      <x:c r="F945" s="66" t="n">
        <x:v>178.22641485546077</x:v>
      </x:c>
      <x:c r="G945" s="66" t="n">
        <x:v>235.6101197471706</x:v>
      </x:c>
      <x:c r="H945" s="45" t="n">
        <x:v>0.7719038461538462</x:v>
      </x:c>
      <x:c r="I945" s="36" t="str">
        <x:v>generated design-reference observation; not predicted tract behavior</x:v>
      </x:c>
    </x:row>
    <x:row r="946" ht="75.5999984741211" hidden="0" customHeight="1">
      <x:c r="A946" s="34" t="str">
        <x:v>M0</x:v>
      </x:c>
      <x:c r="B946" s="34" t="str">
        <x:v>48201542108</x:v>
      </x:c>
      <x:c r="C946" s="65" t="n">
        <x:v>416.6648036491015</x:v>
      </x:c>
      <x:c r="D946" s="65" t="n">
        <x:v>78.33298308603108</x:v>
      </x:c>
      <x:c r="E946" s="65" t="n">
        <x:v>338.33182056307044</x:v>
      </x:c>
      <x:c r="F946" s="65" t="n">
        <x:v>114.82925383557105</x:v>
      </x:c>
      <x:c r="G946" s="65" t="n">
        <x:v>193.16223692160213</x:v>
      </x:c>
      <x:c r="H946" s="43" t="n">
        <x:v>0.46359144144144143</x:v>
      </x:c>
      <x:c r="I946" s="34" t="str">
        <x:v>generated design-reference observation; not predicted tract behavior</x:v>
      </x:c>
    </x:row>
    <x:row r="947" ht="75.5999984741211" hidden="0" customHeight="1">
      <x:c r="A947" s="36" t="str">
        <x:v>M0</x:v>
      </x:c>
      <x:c r="B947" s="36" t="str">
        <x:v>48201542201</x:v>
      </x:c>
      <x:c r="C947" s="66" t="n">
        <x:v>603.2970597975068</x:v>
      </x:c>
      <x:c r="D947" s="66" t="n">
        <x:v>113.41984724193128</x:v>
      </x:c>
      <x:c r="E947" s="66" t="n">
        <x:v>489.8772125555755</x:v>
      </x:c>
      <x:c r="F947" s="66" t="n">
        <x:v>489.8772125555755</x:v>
      </x:c>
      <x:c r="G947" s="66" t="n">
        <x:v>603.2970597975068</x:v>
      </x:c>
      <x:c r="H947" s="45" t="n">
        <x:v>1</x:v>
      </x:c>
      <x:c r="I947" s="36" t="str">
        <x:v>generated design-reference observation; not predicted tract behavior</x:v>
      </x:c>
    </x:row>
    <x:row r="948" ht="75.5999984741211" hidden="0" customHeight="1">
      <x:c r="A948" s="34" t="str">
        <x:v>M0</x:v>
      </x:c>
      <x:c r="B948" s="34" t="str">
        <x:v>48201542202</x:v>
      </x:c>
      <x:c r="C948" s="65" t="n">
        <x:v>955.28191095047</x:v>
      </x:c>
      <x:c r="D948" s="65" t="n">
        <x:v>172.0375007923796</x:v>
      </x:c>
      <x:c r="E948" s="65" t="n">
        <x:v>783.2444101580904</x:v>
      </x:c>
      <x:c r="F948" s="65" t="n">
        <x:v>783.2444101580904</x:v>
      </x:c>
      <x:c r="G948" s="65" t="n">
        <x:v>955.28191095047</x:v>
      </x:c>
      <x:c r="H948" s="43" t="n">
        <x:v>1</x:v>
      </x:c>
      <x:c r="I948" s="34" t="str">
        <x:v>generated design-reference observation; not predicted tract behavior</x:v>
      </x:c>
    </x:row>
    <x:row r="949" ht="75.5999984741211" hidden="0" customHeight="1">
      <x:c r="A949" s="36" t="str">
        <x:v>M0</x:v>
      </x:c>
      <x:c r="B949" s="36" t="str">
        <x:v>48201542203</x:v>
      </x:c>
      <x:c r="C949" s="66" t="n">
        <x:v>1000.3444916220307</x:v>
      </x:c>
      <x:c r="D949" s="66" t="n">
        <x:v>188.06476442494176</x:v>
      </x:c>
      <x:c r="E949" s="66" t="n">
        <x:v>812.279727197089</x:v>
      </x:c>
      <x:c r="F949" s="66" t="n">
        <x:v>275.1297718050533</x:v>
      </x:c>
      <x:c r="G949" s="66" t="n">
        <x:v>463.19453622999504</x:v>
      </x:c>
      <x:c r="H949" s="45" t="n">
        <x:v>0.4630350245433331</x:v>
      </x:c>
      <x:c r="I949" s="36" t="str">
        <x:v>generated design-reference observation; not predicted tract behavior</x:v>
      </x:c>
    </x:row>
    <x:row r="950" ht="75.5999984741211" hidden="0" customHeight="1">
      <x:c r="A950" s="34" t="str">
        <x:v>M0</x:v>
      </x:c>
      <x:c r="B950" s="34" t="str">
        <x:v>48201542302</x:v>
      </x:c>
      <x:c r="C950" s="65" t="n">
        <x:v>627.7676876724357</x:v>
      </x:c>
      <x:c r="D950" s="65" t="n">
        <x:v>113.5928470074765</x:v>
      </x:c>
      <x:c r="E950" s="65" t="n">
        <x:v>514.1748406649592</x:v>
      </x:c>
      <x:c r="F950" s="65" t="n">
        <x:v>346.42056851684026</x:v>
      </x:c>
      <x:c r="G950" s="65" t="n">
        <x:v>460.01341552431677</x:v>
      </x:c>
      <x:c r="H950" s="43" t="n">
        <x:v>0.7327765104156622</x:v>
      </x:c>
      <x:c r="I950" s="34" t="str">
        <x:v>generated design-reference observation; not predicted tract behavior</x:v>
      </x:c>
    </x:row>
    <x:row r="951" ht="75.5999984741211" hidden="0" customHeight="1">
      <x:c r="A951" s="36" t="str">
        <x:v>M0</x:v>
      </x:c>
      <x:c r="B951" s="36" t="str">
        <x:v>48201542303</x:v>
      </x:c>
      <x:c r="C951" s="66" t="n">
        <x:v>292.0441916096373</x:v>
      </x:c>
      <x:c r="D951" s="66" t="n">
        <x:v>54.4231241994923</x:v>
      </x:c>
      <x:c r="E951" s="66" t="n">
        <x:v>237.62106741014503</x:v>
      </x:c>
      <x:c r="F951" s="66" t="n">
        <x:v>237.62106741014503</x:v>
      </x:c>
      <x:c r="G951" s="66" t="n">
        <x:v>292.0441916096373</x:v>
      </x:c>
      <x:c r="H951" s="45" t="n">
        <x:v>1</x:v>
      </x:c>
      <x:c r="I951" s="36" t="str">
        <x:v>generated design-reference observation; not predicted tract behavior</x:v>
      </x:c>
    </x:row>
    <x:row r="952" ht="75.5999984741211" hidden="0" customHeight="1">
      <x:c r="A952" s="34" t="str">
        <x:v>M0</x:v>
      </x:c>
      <x:c r="B952" s="34" t="str">
        <x:v>48201542304</x:v>
      </x:c>
      <x:c r="C952" s="65" t="n">
        <x:v>440.1019041222147</x:v>
      </x:c>
      <x:c r="D952" s="65" t="n">
        <x:v>82.73915797497637</x:v>
      </x:c>
      <x:c r="E952" s="65" t="n">
        <x:v>357.36274614723834</x:v>
      </x:c>
      <x:c r="F952" s="65" t="n">
        <x:v>123.46824645370873</x:v>
      </x:c>
      <x:c r="G952" s="65" t="n">
        <x:v>206.2074044286851</x:v>
      </x:c>
      <x:c r="H952" s="43" t="n">
        <x:v>0.46854467680608364</x:v>
      </x:c>
      <x:c r="I952" s="34" t="str">
        <x:v>generated design-reference observation; not predicted tract behavior</x:v>
      </x:c>
    </x:row>
    <x:row r="953" ht="75.5999984741211" hidden="0" customHeight="1">
      <x:c r="A953" s="36" t="str">
        <x:v>M0</x:v>
      </x:c>
      <x:c r="B953" s="36" t="str">
        <x:v>48201542305</x:v>
      </x:c>
      <x:c r="C953" s="66" t="n">
        <x:v>381.8156743741908</x:v>
      </x:c>
      <x:c r="D953" s="66" t="n">
        <x:v>71.51095342840277</x:v>
      </x:c>
      <x:c r="E953" s="66" t="n">
        <x:v>310.304720945788</x:v>
      </x:c>
      <x:c r="F953" s="66" t="n">
        <x:v>310.304720945788</x:v>
      </x:c>
      <x:c r="G953" s="66" t="n">
        <x:v>381.8156743741908</x:v>
      </x:c>
      <x:c r="H953" s="45" t="n">
        <x:v>1</x:v>
      </x:c>
      <x:c r="I953" s="36" t="str">
        <x:v>generated design-reference observation; not predicted tract behavior</x:v>
      </x:c>
    </x:row>
    <x:row r="954" ht="75.5999984741211" hidden="0" customHeight="1">
      <x:c r="A954" s="34" t="str">
        <x:v>M0</x:v>
      </x:c>
      <x:c r="B954" s="34" t="str">
        <x:v>48201542401</x:v>
      </x:c>
      <x:c r="C954" s="65" t="n">
        <x:v>401.3230128632139</x:v>
      </x:c>
      <x:c r="D954" s="65" t="n">
        <x:v>64.98340218480556</x:v>
      </x:c>
      <x:c r="E954" s="65" t="n">
        <x:v>336.33961067840835</x:v>
      </x:c>
      <x:c r="F954" s="65" t="n">
        <x:v>336.33961067840835</x:v>
      </x:c>
      <x:c r="G954" s="65" t="n">
        <x:v>401.3230128632139</x:v>
      </x:c>
      <x:c r="H954" s="43" t="n">
        <x:v>1</x:v>
      </x:c>
      <x:c r="I954" s="34" t="str">
        <x:v>generated design-reference observation; not predicted tract behavior</x:v>
      </x:c>
    </x:row>
    <x:row r="955" ht="75.5999984741211" hidden="0" customHeight="1">
      <x:c r="A955" s="36" t="str">
        <x:v>M0</x:v>
      </x:c>
      <x:c r="B955" s="36" t="str">
        <x:v>48201542402</x:v>
      </x:c>
      <x:c r="C955" s="66" t="n">
        <x:v>411.42250116232526</x:v>
      </x:c>
      <x:c r="D955" s="66" t="n">
        <x:v>74.71860387514137</x:v>
      </x:c>
      <x:c r="E955" s="66" t="n">
        <x:v>336.7038972871839</x:v>
      </x:c>
      <x:c r="F955" s="66" t="n">
        <x:v>64.55381994570878</x:v>
      </x:c>
      <x:c r="G955" s="66" t="n">
        <x:v>139.27242382085015</x:v>
      </x:c>
      <x:c r="H955" s="45" t="n">
        <x:v>0.3385143579346933</x:v>
      </x:c>
      <x:c r="I955" s="36" t="str">
        <x:v>generated design-reference observation; not predicted tract behavior</x:v>
      </x:c>
    </x:row>
    <x:row r="956" ht="75.5999984741211" hidden="0" customHeight="1">
      <x:c r="A956" s="34" t="str">
        <x:v>M0</x:v>
      </x:c>
      <x:c r="B956" s="34" t="str">
        <x:v>48201542500</x:v>
      </x:c>
      <x:c r="C956" s="65" t="n">
        <x:v>314.42811587101426</x:v>
      </x:c>
      <x:c r="D956" s="65" t="n">
        <x:v>50.012274156515375</x:v>
      </x:c>
      <x:c r="E956" s="65" t="n">
        <x:v>264.41584171449887</x:v>
      </x:c>
      <x:c r="F956" s="65" t="n">
        <x:v>186.92529536806308</x:v>
      </x:c>
      <x:c r="G956" s="65" t="n">
        <x:v>236.93756952457846</x:v>
      </x:c>
      <x:c r="H956" s="43" t="n">
        <x:v>0.7535508358348456</x:v>
      </x:c>
      <x:c r="I956" s="34" t="str">
        <x:v>generated design-reference observation; not predicted tract behavior</x:v>
      </x:c>
    </x:row>
    <x:row r="957" ht="75.5999984741211" hidden="0" customHeight="1">
      <x:c r="A957" s="36" t="str">
        <x:v>M0</x:v>
      </x:c>
      <x:c r="B957" s="36" t="str">
        <x:v>48201542600</x:v>
      </x:c>
      <x:c r="C957" s="66" t="n">
        <x:v>492.8078718528306</x:v>
      </x:c>
      <x:c r="D957" s="66" t="n">
        <x:v>85.53275243685962</x:v>
      </x:c>
      <x:c r="E957" s="66" t="n">
        <x:v>407.27511941597095</x:v>
      </x:c>
      <x:c r="F957" s="66" t="n">
        <x:v>261.9346859238331</x:v>
      </x:c>
      <x:c r="G957" s="66" t="n">
        <x:v>347.46743836069277</x:v>
      </x:c>
      <x:c r="H957" s="45" t="n">
        <x:v>0.7050768833182488</x:v>
      </x:c>
      <x:c r="I957" s="36" t="str">
        <x:v>generated design-reference observation; not predicted tract behavior</x:v>
      </x:c>
    </x:row>
    <x:row r="958" ht="75.5999984741211" hidden="0" customHeight="1">
      <x:c r="A958" s="34" t="str">
        <x:v>M0</x:v>
      </x:c>
      <x:c r="B958" s="34" t="str">
        <x:v>48201542700</x:v>
      </x:c>
      <x:c r="C958" s="65" t="n">
        <x:v>392.8740245974202</x:v>
      </x:c>
      <x:c r="D958" s="65" t="n">
        <x:v>71.82782949418548</x:v>
      </x:c>
      <x:c r="E958" s="65" t="n">
        <x:v>321.0461951032347</x:v>
      </x:c>
      <x:c r="F958" s="65" t="n">
        <x:v>321.0461951032347</x:v>
      </x:c>
      <x:c r="G958" s="65" t="n">
        <x:v>392.8740245974202</x:v>
      </x:c>
      <x:c r="H958" s="43" t="n">
        <x:v>1</x:v>
      </x:c>
      <x:c r="I958" s="34" t="str">
        <x:v>generated design-reference observation; not predicted tract behavior</x:v>
      </x:c>
    </x:row>
    <x:row r="959" ht="75.5999984741211" hidden="0" customHeight="1">
      <x:c r="A959" s="36" t="str">
        <x:v>M0</x:v>
      </x:c>
      <x:c r="B959" s="36" t="str">
        <x:v>48201542800</x:v>
      </x:c>
      <x:c r="C959" s="66" t="n">
        <x:v>711.5069857914111</x:v>
      </x:c>
      <x:c r="D959" s="66" t="n">
        <x:v>133.7633133287853</x:v>
      </x:c>
      <x:c r="E959" s="66" t="n">
        <x:v>577.7436724626258</x:v>
      </x:c>
      <x:c r="F959" s="66" t="n">
        <x:v>196.14341076988035</x:v>
      </x:c>
      <x:c r="G959" s="66" t="n">
        <x:v>329.9067240986657</x:v>
      </x:c>
      <x:c r="H959" s="45" t="n">
        <x:v>0.4636732044615269</x:v>
      </x:c>
      <x:c r="I959" s="36" t="str">
        <x:v>generated design-reference observation; not predicted tract behavior</x:v>
      </x:c>
    </x:row>
    <x:row r="960" ht="75.5999984741211" hidden="0" customHeight="1">
      <x:c r="A960" s="34" t="str">
        <x:v>M0</x:v>
      </x:c>
      <x:c r="B960" s="34" t="str">
        <x:v>48201542901</x:v>
      </x:c>
      <x:c r="C960" s="65" t="n">
        <x:v>765.7219821239173</x:v>
      </x:c>
      <x:c r="D960" s="65" t="n">
        <x:v>138.3489111708473</x:v>
      </x:c>
      <x:c r="E960" s="65" t="n">
        <x:v>627.37307095307</x:v>
      </x:c>
      <x:c r="F960" s="65" t="n">
        <x:v>194.13450788121744</x:v>
      </x:c>
      <x:c r="G960" s="65" t="n">
        <x:v>332.48341905206473</x:v>
      </x:c>
      <x:c r="H960" s="43" t="n">
        <x:v>0.43420905604647864</x:v>
      </x:c>
      <x:c r="I960" s="34" t="str">
        <x:v>generated design-reference observation; not predicted tract behavior</x:v>
      </x:c>
    </x:row>
    <x:row r="961" ht="75.5999984741211" hidden="0" customHeight="1">
      <x:c r="A961" s="36" t="str">
        <x:v>M0</x:v>
      </x:c>
      <x:c r="B961" s="36" t="str">
        <x:v>48201542902</x:v>
      </x:c>
      <x:c r="C961" s="66" t="n">
        <x:v>3386.421302883821</x:v>
      </x:c>
      <x:c r="D961" s="66" t="n">
        <x:v>619.0769023887536</x:v>
      </x:c>
      <x:c r="E961" s="66" t="n">
        <x:v>2767.3444004950675</x:v>
      </x:c>
      <x:c r="F961" s="66" t="n">
        <x:v>2767.3444004950675</x:v>
      </x:c>
      <x:c r="G961" s="66" t="n">
        <x:v>3386.421302883821</x:v>
      </x:c>
      <x:c r="H961" s="45" t="n">
        <x:v>1</x:v>
      </x:c>
      <x:c r="I961" s="36" t="str">
        <x:v>generated design-reference observation; not predicted tract behavior</x:v>
      </x:c>
    </x:row>
    <x:row r="962" ht="75.5999984741211" hidden="0" customHeight="1">
      <x:c r="A962" s="34" t="str">
        <x:v>M0</x:v>
      </x:c>
      <x:c r="B962" s="34" t="str">
        <x:v>48201543004</x:v>
      </x:c>
      <x:c r="C962" s="65" t="n">
        <x:v>2565.8915349465665</x:v>
      </x:c>
      <x:c r="D962" s="65" t="n">
        <x:v>411.6584101455553</x:v>
      </x:c>
      <x:c r="E962" s="65" t="n">
        <x:v>2154.2331248010114</x:v>
      </x:c>
      <x:c r="F962" s="65" t="n">
        <x:v>2154.2331248010114</x:v>
      </x:c>
      <x:c r="G962" s="65" t="n">
        <x:v>2565.8915349465665</x:v>
      </x:c>
      <x:c r="H962" s="43" t="n">
        <x:v>1</x:v>
      </x:c>
      <x:c r="I962" s="34" t="str">
        <x:v>generated design-reference observation; not predicted tract behavior</x:v>
      </x:c>
    </x:row>
    <x:row r="963" ht="75.5999984741211" hidden="0" customHeight="1">
      <x:c r="A963" s="36" t="str">
        <x:v>M0</x:v>
      </x:c>
      <x:c r="B963" s="36" t="str">
        <x:v>48201543005</x:v>
      </x:c>
      <x:c r="C963" s="66" t="n">
        <x:v>960.4259693876437</x:v>
      </x:c>
      <x:c r="D963" s="66" t="n">
        <x:v>178.94030577818987</x:v>
      </x:c>
      <x:c r="E963" s="66" t="n">
        <x:v>781.4856636094538</x:v>
      </x:c>
      <x:c r="F963" s="66" t="n">
        <x:v>781.4856636094538</x:v>
      </x:c>
      <x:c r="G963" s="66" t="n">
        <x:v>960.4259693876437</x:v>
      </x:c>
      <x:c r="H963" s="45" t="n">
        <x:v>1</x:v>
      </x:c>
      <x:c r="I963" s="36" t="str">
        <x:v>generated design-reference observation; not predicted tract behavior</x:v>
      </x:c>
    </x:row>
    <x:row r="964" ht="75.5999984741211" hidden="0" customHeight="1">
      <x:c r="A964" s="34" t="str">
        <x:v>M0</x:v>
      </x:c>
      <x:c r="B964" s="34" t="str">
        <x:v>48201543006</x:v>
      </x:c>
      <x:c r="C964" s="65" t="n">
        <x:v>1416.4669881173277</x:v>
      </x:c>
      <x:c r="D964" s="65" t="n">
        <x:v>252.9718796715952</x:v>
      </x:c>
      <x:c r="E964" s="65" t="n">
        <x:v>1163.4951084457325</x:v>
      </x:c>
      <x:c r="F964" s="65" t="n">
        <x:v>1163.4951084457325</x:v>
      </x:c>
      <x:c r="G964" s="65" t="n">
        <x:v>1416.4669881173277</x:v>
      </x:c>
      <x:c r="H964" s="43" t="n">
        <x:v>1</x:v>
      </x:c>
      <x:c r="I964" s="34" t="str">
        <x:v>generated design-reference observation; not predicted tract behavior</x:v>
      </x:c>
    </x:row>
    <x:row r="965" ht="75.5999984741211" hidden="0" customHeight="1">
      <x:c r="A965" s="36" t="str">
        <x:v>M0</x:v>
      </x:c>
      <x:c r="B965" s="36" t="str">
        <x:v>48201543007</x:v>
      </x:c>
      <x:c r="C965" s="66" t="n">
        <x:v>1876.1076688244377</x:v>
      </x:c>
      <x:c r="D965" s="66" t="n">
        <x:v>347.6092047371032</x:v>
      </x:c>
      <x:c r="E965" s="66" t="n">
        <x:v>1528.4984640873345</x:v>
      </x:c>
      <x:c r="F965" s="66" t="n">
        <x:v>1270.457799050067</x:v>
      </x:c>
      <x:c r="G965" s="66" t="n">
        <x:v>1618.0670037871703</x:v>
      </x:c>
      <x:c r="H965" s="45" t="n">
        <x:v>0.8624595649145473</x:v>
      </x:c>
      <x:c r="I965" s="36" t="str">
        <x:v>generated design-reference observation; not predicted tract behavior</x:v>
      </x:c>
    </x:row>
    <x:row r="966" ht="75.5999984741211" hidden="0" customHeight="1">
      <x:c r="A966" s="34" t="str">
        <x:v>M0</x:v>
      </x:c>
      <x:c r="B966" s="34" t="str">
        <x:v>48201543008</x:v>
      </x:c>
      <x:c r="C966" s="65" t="n">
        <x:v>419.50602156359855</x:v>
      </x:c>
      <x:c r="D966" s="65" t="n">
        <x:v>76.98587616428354</x:v>
      </x:c>
      <x:c r="E966" s="65" t="n">
        <x:v>342.520145399315</x:v>
      </x:c>
      <x:c r="F966" s="65" t="n">
        <x:v>342.520145399315</x:v>
      </x:c>
      <x:c r="G966" s="65" t="n">
        <x:v>419.50602156359855</x:v>
      </x:c>
      <x:c r="H966" s="43" t="n">
        <x:v>1</x:v>
      </x:c>
      <x:c r="I966" s="34" t="str">
        <x:v>generated design-reference observation; not predicted tract behavior</x:v>
      </x:c>
    </x:row>
    <x:row r="967" ht="75.5999984741211" hidden="0" customHeight="1">
      <x:c r="A967" s="36" t="str">
        <x:v>M0</x:v>
      </x:c>
      <x:c r="B967" s="36" t="str">
        <x:v>48201543009</x:v>
      </x:c>
      <x:c r="C967" s="66" t="n">
        <x:v>422.4729918615867</x:v>
      </x:c>
      <x:c r="D967" s="66" t="n">
        <x:v>79.4249224699783</x:v>
      </x:c>
      <x:c r="E967" s="66" t="n">
        <x:v>343.0480693916084</x:v>
      </x:c>
      <x:c r="F967" s="66" t="n">
        <x:v>343.04806939160835</x:v>
      </x:c>
      <x:c r="G967" s="66" t="n">
        <x:v>422.47299186158665</x:v>
      </x:c>
      <x:c r="H967" s="45" t="n">
        <x:v>0.9999999999999999</x:v>
      </x:c>
      <x:c r="I967" s="36" t="str">
        <x:v>generated design-reference observation; not predicted tract behavior</x:v>
      </x:c>
    </x:row>
    <x:row r="968" ht="75.5999984741211" hidden="0" customHeight="1">
      <x:c r="A968" s="34" t="str">
        <x:v>M0</x:v>
      </x:c>
      <x:c r="B968" s="34" t="str">
        <x:v>48201543010</x:v>
      </x:c>
      <x:c r="C968" s="65" t="n">
        <x:v>444.75474231137724</x:v>
      </x:c>
      <x:c r="D968" s="65" t="n">
        <x:v>83.61389155453892</x:v>
      </x:c>
      <x:c r="E968" s="65" t="n">
        <x:v>361.1408507568383</x:v>
      </x:c>
      <x:c r="F968" s="65" t="n">
        <x:v>124.88053147216303</x:v>
      </x:c>
      <x:c r="G968" s="65" t="n">
        <x:v>208.49442302670195</x:v>
      </x:c>
      <x:c r="H968" s="43" t="n">
        <x:v>0.4687851599808978</x:v>
      </x:c>
      <x:c r="I968" s="34" t="str">
        <x:v>generated design-reference observation; not predicted tract behavior</x:v>
      </x:c>
    </x:row>
    <x:row r="969" ht="75.5999984741211" hidden="0" customHeight="1">
      <x:c r="A969" s="36" t="str">
        <x:v>M0</x:v>
      </x:c>
      <x:c r="B969" s="36" t="str">
        <x:v>48201543011</x:v>
      </x:c>
      <x:c r="C969" s="66" t="n">
        <x:v>331.27893525879256</x:v>
      </x:c>
      <x:c r="D969" s="66" t="n">
        <x:v>62.280439828652995</x:v>
      </x:c>
      <x:c r="E969" s="66" t="n">
        <x:v>268.99849543013954</x:v>
      </x:c>
      <x:c r="F969" s="66" t="n">
        <x:v>268.99849543013954</x:v>
      </x:c>
      <x:c r="G969" s="66" t="n">
        <x:v>331.27893525879256</x:v>
      </x:c>
      <x:c r="H969" s="45" t="n">
        <x:v>1</x:v>
      </x:c>
      <x:c r="I969" s="36" t="str">
        <x:v>generated design-reference observation; not predicted tract behavior</x:v>
      </x:c>
    </x:row>
    <x:row r="970" ht="75.5999984741211" hidden="0" customHeight="1">
      <x:c r="A970" s="34" t="str">
        <x:v>M0</x:v>
      </x:c>
      <x:c r="B970" s="34" t="str">
        <x:v>48201543100</x:v>
      </x:c>
      <x:c r="C970" s="65" t="n">
        <x:v>796.5990289010631</x:v>
      </x:c>
      <x:c r="D970" s="65" t="n">
        <x:v>71.69391260109568</x:v>
      </x:c>
      <x:c r="E970" s="65" t="n">
        <x:v>724.9051162999674</x:v>
      </x:c>
      <x:c r="F970" s="65" t="n">
        <x:v>724.9051162999674</x:v>
      </x:c>
      <x:c r="G970" s="65" t="n">
        <x:v>796.5990289010631</x:v>
      </x:c>
      <x:c r="H970" s="43" t="n">
        <x:v>1</x:v>
      </x:c>
      <x:c r="I970" s="34" t="str">
        <x:v>generated design-reference observation; not predicted tract behavior</x:v>
      </x:c>
    </x:row>
    <x:row r="971" ht="75.5999984741211" hidden="0" customHeight="1">
      <x:c r="A971" s="36" t="str">
        <x:v>M0</x:v>
      </x:c>
      <x:c r="B971" s="36" t="str">
        <x:v>48201543201</x:v>
      </x:c>
      <x:c r="C971" s="66" t="n">
        <x:v>533.1822464773719</x:v>
      </x:c>
      <x:c r="D971" s="66" t="n">
        <x:v>85.5464778088312</x:v>
      </x:c>
      <x:c r="E971" s="66" t="n">
        <x:v>447.6357686685407</x:v>
      </x:c>
      <x:c r="F971" s="66" t="n">
        <x:v>447.6357686685407</x:v>
      </x:c>
      <x:c r="G971" s="66" t="n">
        <x:v>533.1822464773719</x:v>
      </x:c>
      <x:c r="H971" s="45" t="n">
        <x:v>1</x:v>
      </x:c>
      <x:c r="I971" s="36" t="str">
        <x:v>generated design-reference observation; not predicted tract behavior</x:v>
      </x:c>
    </x:row>
    <x:row r="972" ht="75.5999984741211" hidden="0" customHeight="1">
      <x:c r="A972" s="34" t="str">
        <x:v>M0</x:v>
      </x:c>
      <x:c r="B972" s="34" t="str">
        <x:v>48201543202</x:v>
      </x:c>
      <x:c r="C972" s="65" t="n">
        <x:v>673.8272187304217</x:v>
      </x:c>
      <x:c r="D972" s="65" t="n">
        <x:v>50.011605992822965</x:v>
      </x:c>
      <x:c r="E972" s="65" t="n">
        <x:v>623.8156127375987</x:v>
      </x:c>
      <x:c r="F972" s="65" t="n">
        <x:v>623.8156127375987</x:v>
      </x:c>
      <x:c r="G972" s="65" t="n">
        <x:v>673.8272187304217</x:v>
      </x:c>
      <x:c r="H972" s="43" t="n">
        <x:v>1</x:v>
      </x:c>
      <x:c r="I972" s="34" t="str">
        <x:v>generated design-reference observation; not predicted tract behavior</x:v>
      </x:c>
    </x:row>
    <x:row r="973" ht="75.5999984741211" hidden="0" customHeight="1">
      <x:c r="A973" s="36" t="str">
        <x:v>M0</x:v>
      </x:c>
      <x:c r="B973" s="36" t="str">
        <x:v>48201550101</x:v>
      </x:c>
      <x:c r="C973" s="66" t="n">
        <x:v>348.8286477009719</x:v>
      </x:c>
      <x:c r="D973" s="66" t="n">
        <x:v>43.4140016641948</x:v>
      </x:c>
      <x:c r="E973" s="66" t="n">
        <x:v>305.41464603677707</x:v>
      </x:c>
      <x:c r="F973" s="66" t="n">
        <x:v>305.41464603677707</x:v>
      </x:c>
      <x:c r="G973" s="66" t="n">
        <x:v>348.8286477009719</x:v>
      </x:c>
      <x:c r="H973" s="45" t="n">
        <x:v>1</x:v>
      </x:c>
      <x:c r="I973" s="36" t="str">
        <x:v>generated design-reference observation; not predicted tract behavior</x:v>
      </x:c>
    </x:row>
    <x:row r="974" ht="75.5999984741211" hidden="0" customHeight="1">
      <x:c r="A974" s="34" t="str">
        <x:v>M0</x:v>
      </x:c>
      <x:c r="B974" s="34" t="str">
        <x:v>48201550102</x:v>
      </x:c>
      <x:c r="C974" s="65" t="n">
        <x:v>332.1422737377587</x:v>
      </x:c>
      <x:c r="D974" s="65" t="n">
        <x:v>46.03104133685745</x:v>
      </x:c>
      <x:c r="E974" s="65" t="n">
        <x:v>286.11123240090126</x:v>
      </x:c>
      <x:c r="F974" s="65" t="n">
        <x:v>286.11123240090126</x:v>
      </x:c>
      <x:c r="G974" s="65" t="n">
        <x:v>332.1422737377587</x:v>
      </x:c>
      <x:c r="H974" s="43" t="n">
        <x:v>1</x:v>
      </x:c>
      <x:c r="I974" s="34" t="str">
        <x:v>generated design-reference observation; not predicted tract behavior</x:v>
      </x:c>
    </x:row>
    <x:row r="975" ht="75.5999984741211" hidden="0" customHeight="1">
      <x:c r="A975" s="36" t="str">
        <x:v>M0</x:v>
      </x:c>
      <x:c r="B975" s="36" t="str">
        <x:v>48201550201</x:v>
      </x:c>
      <x:c r="C975" s="66" t="n">
        <x:v>337.4468478375135</x:v>
      </x:c>
      <x:c r="D975" s="66" t="n">
        <x:v>28.44688510113986</x:v>
      </x:c>
      <x:c r="E975" s="66" t="n">
        <x:v>308.9999627363736</x:v>
      </x:c>
      <x:c r="F975" s="66" t="n">
        <x:v>308.9999627363736</x:v>
      </x:c>
      <x:c r="G975" s="66" t="n">
        <x:v>337.4468478375135</x:v>
      </x:c>
      <x:c r="H975" s="45" t="n">
        <x:v>1</x:v>
      </x:c>
      <x:c r="I975" s="36" t="str">
        <x:v>generated design-reference observation; not predicted tract behavior</x:v>
      </x:c>
    </x:row>
    <x:row r="976" ht="75.5999984741211" hidden="0" customHeight="1">
      <x:c r="A976" s="34" t="str">
        <x:v>M0</x:v>
      </x:c>
      <x:c r="B976" s="34" t="str">
        <x:v>48201550202</x:v>
      </x:c>
      <x:c r="C976" s="65" t="n">
        <x:v>325.12009136157326</x:v>
      </x:c>
      <x:c r="D976" s="65" t="n">
        <x:v>46.485999898413304</x:v>
      </x:c>
      <x:c r="E976" s="65" t="n">
        <x:v>278.63409146315996</x:v>
      </x:c>
      <x:c r="F976" s="65" t="n">
        <x:v>278.63409146315996</x:v>
      </x:c>
      <x:c r="G976" s="65" t="n">
        <x:v>325.12009136157326</x:v>
      </x:c>
      <x:c r="H976" s="43" t="n">
        <x:v>1</x:v>
      </x:c>
      <x:c r="I976" s="34" t="str">
        <x:v>generated design-reference observation; not predicted tract behavior</x:v>
      </x:c>
    </x:row>
    <x:row r="977" ht="75.5999984741211" hidden="0" customHeight="1">
      <x:c r="A977" s="36" t="str">
        <x:v>M0</x:v>
      </x:c>
      <x:c r="B977" s="36" t="str">
        <x:v>48201550303</x:v>
      </x:c>
      <x:c r="C977" s="66" t="n">
        <x:v>277.20148059572904</x:v>
      </x:c>
      <x:c r="D977" s="66" t="n">
        <x:v>44.67585350754701</x:v>
      </x:c>
      <x:c r="E977" s="66" t="n">
        <x:v>232.52562708818203</x:v>
      </x:c>
      <x:c r="F977" s="66" t="n">
        <x:v>232.52562708818203</x:v>
      </x:c>
      <x:c r="G977" s="66" t="n">
        <x:v>277.20148059572904</x:v>
      </x:c>
      <x:c r="H977" s="45" t="n">
        <x:v>1</x:v>
      </x:c>
      <x:c r="I977" s="36" t="str">
        <x:v>generated design-reference observation; not predicted tract behavior</x:v>
      </x:c>
    </x:row>
    <x:row r="978" ht="75.5999984741211" hidden="0" customHeight="1">
      <x:c r="A978" s="34" t="str">
        <x:v>M0</x:v>
      </x:c>
      <x:c r="B978" s="34" t="str">
        <x:v>48201550304</x:v>
      </x:c>
      <x:c r="C978" s="65" t="n">
        <x:v>130.067262149413</x:v>
      </x:c>
      <x:c r="D978" s="65" t="n">
        <x:v>21.78397618913169</x:v>
      </x:c>
      <x:c r="E978" s="65" t="n">
        <x:v>108.28328596028132</x:v>
      </x:c>
      <x:c r="F978" s="65" t="n">
        <x:v>108.28328596028132</x:v>
      </x:c>
      <x:c r="G978" s="65" t="n">
        <x:v>130.067262149413</x:v>
      </x:c>
      <x:c r="H978" s="43" t="n">
        <x:v>1</x:v>
      </x:c>
      <x:c r="I978" s="34" t="str">
        <x:v>generated design-reference observation; not predicted tract behavior</x:v>
      </x:c>
    </x:row>
    <x:row r="979" ht="75.5999984741211" hidden="0" customHeight="1">
      <x:c r="A979" s="36" t="str">
        <x:v>M0</x:v>
      </x:c>
      <x:c r="B979" s="36" t="str">
        <x:v>48201550305</x:v>
      </x:c>
      <x:c r="C979" s="66" t="n">
        <x:v>261.6042552808757</x:v>
      </x:c>
      <x:c r="D979" s="66" t="n">
        <x:v>45.084488191751156</x:v>
      </x:c>
      <x:c r="E979" s="66" t="n">
        <x:v>216.51976708912454</x:v>
      </x:c>
      <x:c r="F979" s="66" t="n">
        <x:v>216.51976708912454</x:v>
      </x:c>
      <x:c r="G979" s="66" t="n">
        <x:v>261.6042552808757</x:v>
      </x:c>
      <x:c r="H979" s="45" t="n">
        <x:v>1</x:v>
      </x:c>
      <x:c r="I979" s="36" t="str">
        <x:v>generated design-reference observation; not predicted tract behavior</x:v>
      </x:c>
    </x:row>
    <x:row r="980" ht="75.5999984741211" hidden="0" customHeight="1">
      <x:c r="A980" s="34" t="str">
        <x:v>M0</x:v>
      </x:c>
      <x:c r="B980" s="34" t="str">
        <x:v>48201550306</x:v>
      </x:c>
      <x:c r="C980" s="65" t="n">
        <x:v>410.28679994892326</x:v>
      </x:c>
      <x:c r="D980" s="65" t="n">
        <x:v>73.04072696637883</x:v>
      </x:c>
      <x:c r="E980" s="65" t="n">
        <x:v>337.24607298254443</x:v>
      </x:c>
      <x:c r="F980" s="65" t="n">
        <x:v>181.88683034099174</x:v>
      </x:c>
      <x:c r="G980" s="65" t="n">
        <x:v>254.92755730737056</x:v>
      </x:c>
      <x:c r="H980" s="43" t="n">
        <x:v>0.6213398952613308</x:v>
      </x:c>
      <x:c r="I980" s="34" t="str">
        <x:v>generated design-reference observation; not predicted tract behavior</x:v>
      </x:c>
    </x:row>
    <x:row r="981" ht="75.5999984741211" hidden="0" customHeight="1">
      <x:c r="A981" s="36" t="str">
        <x:v>M0</x:v>
      </x:c>
      <x:c r="B981" s="36" t="str">
        <x:v>48201550307</x:v>
      </x:c>
      <x:c r="C981" s="66" t="n">
        <x:v>228.9479331930872</x:v>
      </x:c>
      <x:c r="D981" s="66" t="n">
        <x:v>35.92764200049369</x:v>
      </x:c>
      <x:c r="E981" s="66" t="n">
        <x:v>193.0202911925935</x:v>
      </x:c>
      <x:c r="F981" s="66" t="n">
        <x:v>193.0202911925935</x:v>
      </x:c>
      <x:c r="G981" s="66" t="n">
        <x:v>228.94793319308718</x:v>
      </x:c>
      <x:c r="H981" s="45" t="n">
        <x:v>0.9999999999999999</x:v>
      </x:c>
      <x:c r="I981" s="36" t="str">
        <x:v>generated design-reference observation; not predicted tract behavior</x:v>
      </x:c>
    </x:row>
    <x:row r="982" ht="75.5999984741211" hidden="0" customHeight="1">
      <x:c r="A982" s="34" t="str">
        <x:v>M0</x:v>
      </x:c>
      <x:c r="B982" s="34" t="str">
        <x:v>48201550308</x:v>
      </x:c>
      <x:c r="C982" s="65" t="n">
        <x:v>247.01697879593337</x:v>
      </x:c>
      <x:c r="D982" s="65" t="n">
        <x:v>38.360770638903645</x:v>
      </x:c>
      <x:c r="E982" s="65" t="n">
        <x:v>208.6562081570297</x:v>
      </x:c>
      <x:c r="F982" s="65" t="n">
        <x:v>140.67979484171963</x:v>
      </x:c>
      <x:c r="G982" s="65" t="n">
        <x:v>179.0405654806233</x:v>
      </x:c>
      <x:c r="H982" s="43" t="n">
        <x:v>0.7248107654516047</x:v>
      </x:c>
      <x:c r="I982" s="34" t="str">
        <x:v>generated design-reference observation; not predicted tract behavior</x:v>
      </x:c>
    </x:row>
    <x:row r="983" ht="75.5999984741211" hidden="0" customHeight="1">
      <x:c r="A983" s="36" t="str">
        <x:v>M0</x:v>
      </x:c>
      <x:c r="B983" s="36" t="str">
        <x:v>48201550403</x:v>
      </x:c>
      <x:c r="C983" s="66" t="n">
        <x:v>243.3623001507296</x:v>
      </x:c>
      <x:c r="D983" s="66" t="n">
        <x:v>42.028947187896655</x:v>
      </x:c>
      <x:c r="E983" s="66" t="n">
        <x:v>201.33335296283295</x:v>
      </x:c>
      <x:c r="F983" s="66" t="n">
        <x:v>200.71326425095918</x:v>
      </x:c>
      <x:c r="G983" s="66" t="n">
        <x:v>242.74221143885583</x:v>
      </x:c>
      <x:c r="H983" s="45" t="n">
        <x:v>0.9974519935442355</x:v>
      </x:c>
      <x:c r="I983" s="36" t="str">
        <x:v>generated design-reference observation; not predicted tract behavior</x:v>
      </x:c>
    </x:row>
    <x:row r="984" ht="75.5999984741211" hidden="0" customHeight="1">
      <x:c r="A984" s="34" t="str">
        <x:v>M0</x:v>
      </x:c>
      <x:c r="B984" s="34" t="str">
        <x:v>48201550404</x:v>
      </x:c>
      <x:c r="C984" s="65" t="n">
        <x:v>503.88194112399634</x:v>
      </x:c>
      <x:c r="D984" s="65" t="n">
        <x:v>93.89745099676841</x:v>
      </x:c>
      <x:c r="E984" s="65" t="n">
        <x:v>409.9844901272279</x:v>
      </x:c>
      <x:c r="F984" s="65" t="n">
        <x:v>409.9844901272279</x:v>
      </x:c>
      <x:c r="G984" s="65" t="n">
        <x:v>503.8819411239963</x:v>
      </x:c>
      <x:c r="H984" s="43" t="n">
        <x:v>0.9999999999999999</x:v>
      </x:c>
      <x:c r="I984" s="34" t="str">
        <x:v>generated design-reference observation; not predicted tract behavior</x:v>
      </x:c>
    </x:row>
    <x:row r="985" ht="75.5999984741211" hidden="0" customHeight="1">
      <x:c r="A985" s="36" t="str">
        <x:v>M0</x:v>
      </x:c>
      <x:c r="B985" s="36" t="str">
        <x:v>48201550405</x:v>
      </x:c>
      <x:c r="C985" s="66" t="n">
        <x:v>575.3407330426901</x:v>
      </x:c>
      <x:c r="D985" s="66" t="n">
        <x:v>97.39534707165285</x:v>
      </x:c>
      <x:c r="E985" s="66" t="n">
        <x:v>477.94538597103724</x:v>
      </x:c>
      <x:c r="F985" s="66" t="n">
        <x:v>477.94538597103724</x:v>
      </x:c>
      <x:c r="G985" s="66" t="n">
        <x:v>575.3407330426901</x:v>
      </x:c>
      <x:c r="H985" s="45" t="n">
        <x:v>1</x:v>
      </x:c>
      <x:c r="I985" s="36" t="str">
        <x:v>generated design-reference observation; not predicted tract behavior</x:v>
      </x:c>
    </x:row>
    <x:row r="986" ht="75.5999984741211" hidden="0" customHeight="1">
      <x:c r="A986" s="34" t="str">
        <x:v>M0</x:v>
      </x:c>
      <x:c r="B986" s="34" t="str">
        <x:v>48201550406</x:v>
      </x:c>
      <x:c r="C986" s="65" t="n">
        <x:v>344.76194862620554</x:v>
      </x:c>
      <x:c r="D986" s="65" t="n">
        <x:v>56.17722931068241</x:v>
      </x:c>
      <x:c r="E986" s="65" t="n">
        <x:v>288.5847193155231</x:v>
      </x:c>
      <x:c r="F986" s="65" t="n">
        <x:v>288.5847193155231</x:v>
      </x:c>
      <x:c r="G986" s="65" t="n">
        <x:v>344.7619486262055</x:v>
      </x:c>
      <x:c r="H986" s="43" t="n">
        <x:v>0.9999999999999999</x:v>
      </x:c>
      <x:c r="I986" s="34" t="str">
        <x:v>generated design-reference observation; not predicted tract behavior</x:v>
      </x:c>
    </x:row>
    <x:row r="987" ht="75.5999984741211" hidden="0" customHeight="1">
      <x:c r="A987" s="36" t="str">
        <x:v>M0</x:v>
      </x:c>
      <x:c r="B987" s="36" t="str">
        <x:v>48201550407</x:v>
      </x:c>
      <x:c r="C987" s="66" t="n">
        <x:v>503.19030301479654</x:v>
      </x:c>
      <x:c r="D987" s="66" t="n">
        <x:v>94.35097568311691</x:v>
      </x:c>
      <x:c r="E987" s="66" t="n">
        <x:v>408.8393273316796</x:v>
      </x:c>
      <x:c r="F987" s="66" t="n">
        <x:v>408.8393273316796</x:v>
      </x:c>
      <x:c r="G987" s="66" t="n">
        <x:v>503.19030301479654</x:v>
      </x:c>
      <x:c r="H987" s="45" t="n">
        <x:v>1</x:v>
      </x:c>
      <x:c r="I987" s="36" t="str">
        <x:v>generated design-reference observation; not predicted tract behavior</x:v>
      </x:c>
    </x:row>
    <x:row r="988" ht="75.5999984741211" hidden="0" customHeight="1">
      <x:c r="A988" s="34" t="str">
        <x:v>M0</x:v>
      </x:c>
      <x:c r="B988" s="34" t="str">
        <x:v>48201550500</x:v>
      </x:c>
      <x:c r="C988" s="65" t="n">
        <x:v>521.8055855334312</x:v>
      </x:c>
      <x:c r="D988" s="65" t="n">
        <x:v>92.54410754801434</x:v>
      </x:c>
      <x:c r="E988" s="65" t="n">
        <x:v>429.2614779854169</x:v>
      </x:c>
      <x:c r="F988" s="65" t="n">
        <x:v>429.2614779854169</x:v>
      </x:c>
      <x:c r="G988" s="65" t="n">
        <x:v>521.8055855334312</x:v>
      </x:c>
      <x:c r="H988" s="43" t="n">
        <x:v>1</x:v>
      </x:c>
      <x:c r="I988" s="34" t="str">
        <x:v>generated design-reference observation; not predicted tract behavior</x:v>
      </x:c>
    </x:row>
    <x:row r="989" ht="75.5999984741211" hidden="0" customHeight="1">
      <x:c r="A989" s="36" t="str">
        <x:v>M0</x:v>
      </x:c>
      <x:c r="B989" s="36" t="str">
        <x:v>48201550601</x:v>
      </x:c>
      <x:c r="C989" s="66" t="n">
        <x:v>573.5094639581043</x:v>
      </x:c>
      <x:c r="D989" s="66" t="n">
        <x:v>104.76002873262821</x:v>
      </x:c>
      <x:c r="E989" s="66" t="n">
        <x:v>468.74943522547613</x:v>
      </x:c>
      <x:c r="F989" s="66" t="n">
        <x:v>264.2384968434135</x:v>
      </x:c>
      <x:c r="G989" s="66" t="n">
        <x:v>368.9985255760417</x:v>
      </x:c>
      <x:c r="H989" s="45" t="n">
        <x:v>0.6434044227088771</x:v>
      </x:c>
      <x:c r="I989" s="36" t="str">
        <x:v>generated design-reference observation; not predicted tract behavior</x:v>
      </x:c>
    </x:row>
    <x:row r="990" ht="75.5999984741211" hidden="0" customHeight="1">
      <x:c r="A990" s="34" t="str">
        <x:v>M0</x:v>
      </x:c>
      <x:c r="B990" s="34" t="str">
        <x:v>48201550602</x:v>
      </x:c>
      <x:c r="C990" s="65" t="n">
        <x:v>375.38779292575293</x:v>
      </x:c>
      <x:c r="D990" s="65" t="n">
        <x:v>61.56359803982349</x:v>
      </x:c>
      <x:c r="E990" s="65" t="n">
        <x:v>313.82419488592944</x:v>
      </x:c>
      <x:c r="F990" s="65" t="n">
        <x:v>313.82419488592944</x:v>
      </x:c>
      <x:c r="G990" s="65" t="n">
        <x:v>375.38779292575293</x:v>
      </x:c>
      <x:c r="H990" s="43" t="n">
        <x:v>1</x:v>
      </x:c>
      <x:c r="I990" s="34" t="str">
        <x:v>generated design-reference observation; not predicted tract behavior</x:v>
      </x:c>
    </x:row>
    <x:row r="991" ht="75.5999984741211" hidden="0" customHeight="1">
      <x:c r="A991" s="36" t="str">
        <x:v>M0</x:v>
      </x:c>
      <x:c r="B991" s="36" t="str">
        <x:v>48201550603</x:v>
      </x:c>
      <x:c r="C991" s="66" t="n">
        <x:v>401.55093905829114</x:v>
      </x:c>
      <x:c r="D991" s="66" t="n">
        <x:v>71.6417881750457</x:v>
      </x:c>
      <x:c r="E991" s="66" t="n">
        <x:v>329.90915088324545</x:v>
      </x:c>
      <x:c r="F991" s="66" t="n">
        <x:v>329.90915088324545</x:v>
      </x:c>
      <x:c r="G991" s="66" t="n">
        <x:v>401.55093905829114</x:v>
      </x:c>
      <x:c r="H991" s="45" t="n">
        <x:v>1</x:v>
      </x:c>
      <x:c r="I991" s="36" t="str">
        <x:v>generated design-reference observation; not predicted tract behavior</x:v>
      </x:c>
    </x:row>
    <x:row r="992" ht="75.5999984741211" hidden="0" customHeight="1">
      <x:c r="A992" s="34" t="str">
        <x:v>M0</x:v>
      </x:c>
      <x:c r="B992" s="34" t="str">
        <x:v>48201550700</x:v>
      </x:c>
      <x:c r="C992" s="65" t="n">
        <x:v>407.5634748939488</x:v>
      </x:c>
      <x:c r="D992" s="65" t="n">
        <x:v>76.62193328006238</x:v>
      </x:c>
      <x:c r="E992" s="65" t="n">
        <x:v>330.94154161388644</x:v>
      </x:c>
      <x:c r="F992" s="65" t="n">
        <x:v>330.94154161388644</x:v>
      </x:c>
      <x:c r="G992" s="65" t="n">
        <x:v>407.5634748939488</x:v>
      </x:c>
      <x:c r="H992" s="43" t="n">
        <x:v>1</x:v>
      </x:c>
      <x:c r="I992" s="34" t="str">
        <x:v>generated design-reference observation; not predicted tract behavior</x:v>
      </x:c>
    </x:row>
    <x:row r="993" ht="75.5999984741211" hidden="0" customHeight="1">
      <x:c r="A993" s="36" t="str">
        <x:v>M0</x:v>
      </x:c>
      <x:c r="B993" s="36" t="str">
        <x:v>48201550800</x:v>
      </x:c>
      <x:c r="C993" s="66" t="n">
        <x:v>627.9009972905112</x:v>
      </x:c>
      <x:c r="D993" s="66" t="n">
        <x:v>54.768617723446575</x:v>
      </x:c>
      <x:c r="E993" s="66" t="n">
        <x:v>573.1323795670646</x:v>
      </x:c>
      <x:c r="F993" s="66" t="n">
        <x:v>573.1323795670646</x:v>
      </x:c>
      <x:c r="G993" s="66" t="n">
        <x:v>627.9009972905112</x:v>
      </x:c>
      <x:c r="H993" s="45" t="n">
        <x:v>1</x:v>
      </x:c>
      <x:c r="I993" s="36" t="str">
        <x:v>generated design-reference observation; not predicted tract behavior</x:v>
      </x:c>
    </x:row>
    <x:row r="994" ht="75.5999984741211" hidden="0" customHeight="1">
      <x:c r="A994" s="34" t="str">
        <x:v>M0</x:v>
      </x:c>
      <x:c r="B994" s="34" t="str">
        <x:v>48201550901</x:v>
      </x:c>
      <x:c r="C994" s="65" t="n">
        <x:v>973.7865555547831</x:v>
      </x:c>
      <x:c r="D994" s="65" t="n">
        <x:v>87.64078999993048</x:v>
      </x:c>
      <x:c r="E994" s="65" t="n">
        <x:v>886.1457655548527</x:v>
      </x:c>
      <x:c r="F994" s="65" t="n">
        <x:v>886.1457655548527</x:v>
      </x:c>
      <x:c r="G994" s="65" t="n">
        <x:v>973.7865555547831</x:v>
      </x:c>
      <x:c r="H994" s="43" t="n">
        <x:v>1</x:v>
      </x:c>
      <x:c r="I994" s="34" t="str">
        <x:v>generated design-reference observation; not predicted tract behavior</x:v>
      </x:c>
    </x:row>
    <x:row r="995" ht="75.5999984741211" hidden="0" customHeight="1">
      <x:c r="A995" s="36" t="str">
        <x:v>M0</x:v>
      </x:c>
      <x:c r="B995" s="36" t="str">
        <x:v>48201550902</x:v>
      </x:c>
      <x:c r="C995" s="66" t="n">
        <x:v>361.49094539247693</x:v>
      </x:c>
      <x:c r="D995" s="66" t="n">
        <x:v>65.7789449569491</x:v>
      </x:c>
      <x:c r="E995" s="66" t="n">
        <x:v>295.71200043552784</x:v>
      </x:c>
      <x:c r="F995" s="66" t="n">
        <x:v>93.9989881912416</x:v>
      </x:c>
      <x:c r="G995" s="66" t="n">
        <x:v>159.7779331481907</x:v>
      </x:c>
      <x:c r="H995" s="45" t="n">
        <x:v>0.4419970546557316</x:v>
      </x:c>
      <x:c r="I995" s="36" t="str">
        <x:v>generated design-reference observation; not predicted tract behavior</x:v>
      </x:c>
    </x:row>
    <x:row r="996" ht="75.5999984741211" hidden="0" customHeight="1">
      <x:c r="A996" s="34" t="str">
        <x:v>M0</x:v>
      </x:c>
      <x:c r="B996" s="34" t="str">
        <x:v>48201551000</x:v>
      </x:c>
      <x:c r="C996" s="65" t="n">
        <x:v>295.3766297721457</x:v>
      </x:c>
      <x:c r="D996" s="65" t="n">
        <x:v>53.92978834259581</x:v>
      </x:c>
      <x:c r="E996" s="65" t="n">
        <x:v>241.44684142954986</x:v>
      </x:c>
      <x:c r="F996" s="65" t="n">
        <x:v>241.44684142954986</x:v>
      </x:c>
      <x:c r="G996" s="65" t="n">
        <x:v>295.3766297721457</x:v>
      </x:c>
      <x:c r="H996" s="43" t="n">
        <x:v>1</x:v>
      </x:c>
      <x:c r="I996" s="34" t="str">
        <x:v>generated design-reference observation; not predicted tract behavior</x:v>
      </x:c>
    </x:row>
    <x:row r="997" ht="75.5999984741211" hidden="0" customHeight="1">
      <x:c r="A997" s="36" t="str">
        <x:v>M0</x:v>
      </x:c>
      <x:c r="B997" s="36" t="str">
        <x:v>48201551101</x:v>
      </x:c>
      <x:c r="C997" s="66" t="n">
        <x:v>301.7035465665307</x:v>
      </x:c>
      <x:c r="D997" s="66" t="n">
        <x:v>48.74397924215511</x:v>
      </x:c>
      <x:c r="E997" s="66" t="n">
        <x:v>252.95956732437557</x:v>
      </x:c>
      <x:c r="F997" s="66" t="n">
        <x:v>148.69865279299088</x:v>
      </x:c>
      <x:c r="G997" s="66" t="n">
        <x:v>197.442632035146</x:v>
      </x:c>
      <x:c r="H997" s="45" t="n">
        <x:v>0.6544259564797876</x:v>
      </x:c>
      <x:c r="I997" s="36" t="str">
        <x:v>generated design-reference observation; not predicted tract behavior</x:v>
      </x:c>
    </x:row>
    <x:row r="998" ht="75.5999984741211" hidden="0" customHeight="1">
      <x:c r="A998" s="34" t="str">
        <x:v>M0</x:v>
      </x:c>
      <x:c r="B998" s="34" t="str">
        <x:v>48201551102</x:v>
      </x:c>
      <x:c r="C998" s="65" t="n">
        <x:v>525.2244784595895</x:v>
      </x:c>
      <x:c r="D998" s="65" t="n">
        <x:v>98.74220195040283</x:v>
      </x:c>
      <x:c r="E998" s="65" t="n">
        <x:v>426.48227650918665</x:v>
      </x:c>
      <x:c r="F998" s="65" t="n">
        <x:v>426.48227650918665</x:v>
      </x:c>
      <x:c r="G998" s="65" t="n">
        <x:v>525.2244784595895</x:v>
      </x:c>
      <x:c r="H998" s="43" t="n">
        <x:v>1</x:v>
      </x:c>
      <x:c r="I998" s="34" t="str">
        <x:v>generated design-reference observation; not predicted tract behavior</x:v>
      </x:c>
    </x:row>
    <x:row r="999" ht="75.5999984741211" hidden="0" customHeight="1">
      <x:c r="A999" s="36" t="str">
        <x:v>M0</x:v>
      </x:c>
      <x:c r="B999" s="36" t="str">
        <x:v>48201551201</x:v>
      </x:c>
      <x:c r="C999" s="66" t="n">
        <x:v>395.77418894167863</x:v>
      </x:c>
      <x:c r="D999" s="66" t="n">
        <x:v>67.81051035439833</x:v>
      </x:c>
      <x:c r="E999" s="66" t="n">
        <x:v>327.9636785872803</x:v>
      </x:c>
      <x:c r="F999" s="66" t="n">
        <x:v>206.0556747363296</x:v>
      </x:c>
      <x:c r="G999" s="66" t="n">
        <x:v>273.8661850907279</x:v>
      </x:c>
      <x:c r="H999" s="45" t="n">
        <x:v>0.6919758608388807</x:v>
      </x:c>
      <x:c r="I999" s="36" t="str">
        <x:v>generated design-reference observation; not predicted tract behavior</x:v>
      </x:c>
    </x:row>
    <x:row r="1000" ht="75.5999984741211" hidden="0" customHeight="1">
      <x:c r="A1000" s="34" t="str">
        <x:v>M0</x:v>
      </x:c>
      <x:c r="B1000" s="34" t="str">
        <x:v>48201551202</x:v>
      </x:c>
      <x:c r="C1000" s="65" t="n">
        <x:v>296.03290002348876</x:v>
      </x:c>
      <x:c r="D1000" s="65" t="n">
        <x:v>52.53357553402543</x:v>
      </x:c>
      <x:c r="E1000" s="65" t="n">
        <x:v>243.49932448946333</x:v>
      </x:c>
      <x:c r="F1000" s="65" t="n">
        <x:v>243.49932448946333</x:v>
      </x:c>
      <x:c r="G1000" s="65" t="n">
        <x:v>296.03290002348876</x:v>
      </x:c>
      <x:c r="H1000" s="43" t="n">
        <x:v>1</x:v>
      </x:c>
      <x:c r="I1000" s="34" t="str">
        <x:v>generated design-reference observation; not predicted tract behavior</x:v>
      </x:c>
    </x:row>
    <x:row r="1001" ht="75.5999984741211" hidden="0" customHeight="1">
      <x:c r="A1001" s="36" t="str">
        <x:v>M0</x:v>
      </x:c>
      <x:c r="B1001" s="36" t="str">
        <x:v>48201551300</x:v>
      </x:c>
      <x:c r="C1001" s="66" t="n">
        <x:v>292.8301440064553</x:v>
      </x:c>
      <x:c r="D1001" s="66" t="n">
        <x:v>55.0520670732136</x:v>
      </x:c>
      <x:c r="E1001" s="66" t="n">
        <x:v>237.77807693324172</x:v>
      </x:c>
      <x:c r="F1001" s="66" t="n">
        <x:v>237.77807693324172</x:v>
      </x:c>
      <x:c r="G1001" s="66" t="n">
        <x:v>292.8301440064553</x:v>
      </x:c>
      <x:c r="H1001" s="45" t="n">
        <x:v>1</x:v>
      </x:c>
      <x:c r="I1001" s="36" t="str">
        <x:v>generated design-reference observation; not predicted tract behavior</x:v>
      </x:c>
    </x:row>
    <x:row r="1002" ht="75.5999984741211" hidden="0" customHeight="1">
      <x:c r="A1002" s="34" t="str">
        <x:v>M0</x:v>
      </x:c>
      <x:c r="B1002" s="34" t="str">
        <x:v>48201551400</x:v>
      </x:c>
      <x:c r="C1002" s="65" t="n">
        <x:v>513.6041722726353</x:v>
      </x:c>
      <x:c r="D1002" s="65" t="n">
        <x:v>91.19052212958184</x:v>
      </x:c>
      <x:c r="E1002" s="65" t="n">
        <x:v>422.4136501430535</x:v>
      </x:c>
      <x:c r="F1002" s="65" t="n">
        <x:v>126.58452640191712</x:v>
      </x:c>
      <x:c r="G1002" s="65" t="n">
        <x:v>217.77504853149895</x:v>
      </x:c>
      <x:c r="H1002" s="43" t="n">
        <x:v>0.42401339453274134</x:v>
      </x:c>
      <x:c r="I1002" s="34" t="str">
        <x:v>generated design-reference observation; not predicted tract behavior</x:v>
      </x:c>
    </x:row>
    <x:row r="1003" ht="75.5999984741211" hidden="0" customHeight="1">
      <x:c r="A1003" s="36" t="str">
        <x:v>M0</x:v>
      </x:c>
      <x:c r="B1003" s="36" t="str">
        <x:v>48201551501</x:v>
      </x:c>
      <x:c r="C1003" s="66" t="n">
        <x:v>753.9907357332584</x:v>
      </x:c>
      <x:c r="D1003" s="66" t="n">
        <x:v>60.06366522494018</x:v>
      </x:c>
      <x:c r="E1003" s="66" t="n">
        <x:v>693.9270705083181</x:v>
      </x:c>
      <x:c r="F1003" s="66" t="n">
        <x:v>693.9270705083181</x:v>
      </x:c>
      <x:c r="G1003" s="66" t="n">
        <x:v>753.9907357332584</x:v>
      </x:c>
      <x:c r="H1003" s="45" t="n">
        <x:v>1</x:v>
      </x:c>
      <x:c r="I1003" s="36" t="str">
        <x:v>generated design-reference observation; not predicted tract behavior</x:v>
      </x:c>
    </x:row>
    <x:row r="1004" ht="75.5999984741211" hidden="0" customHeight="1">
      <x:c r="A1004" s="34" t="str">
        <x:v>M0</x:v>
      </x:c>
      <x:c r="B1004" s="34" t="str">
        <x:v>48201551502</x:v>
      </x:c>
      <x:c r="C1004" s="65" t="n">
        <x:v>398.9572961487916</x:v>
      </x:c>
      <x:c r="D1004" s="65" t="n">
        <x:v>74.0063819049131</x:v>
      </x:c>
      <x:c r="E1004" s="65" t="n">
        <x:v>324.9509142438785</x:v>
      </x:c>
      <x:c r="F1004" s="65" t="n">
        <x:v>267.3777368037718</x:v>
      </x:c>
      <x:c r="G1004" s="65" t="n">
        <x:v>341.3841187086849</x:v>
      </x:c>
      <x:c r="H1004" s="43" t="n">
        <x:v>0.8556908772044748</x:v>
      </x:c>
      <x:c r="I1004" s="34" t="str">
        <x:v>generated design-reference observation; not predicted tract behavior</x:v>
      </x:c>
    </x:row>
    <x:row r="1005" ht="75.5999984741211" hidden="0" customHeight="1">
      <x:c r="A1005" s="36" t="str">
        <x:v>M0</x:v>
      </x:c>
      <x:c r="B1005" s="36" t="str">
        <x:v>48201551601</x:v>
      </x:c>
      <x:c r="C1005" s="66" t="n">
        <x:v>242.02618107613895</x:v>
      </x:c>
      <x:c r="D1005" s="66" t="n">
        <x:v>45.50092204231412</x:v>
      </x:c>
      <x:c r="E1005" s="66" t="n">
        <x:v>196.52525903382482</x:v>
      </x:c>
      <x:c r="F1005" s="66" t="n">
        <x:v>196.52525903382485</x:v>
      </x:c>
      <x:c r="G1005" s="66" t="n">
        <x:v>242.02618107613895</x:v>
      </x:c>
      <x:c r="H1005" s="45" t="n">
        <x:v>1</x:v>
      </x:c>
      <x:c r="I1005" s="36" t="str">
        <x:v>generated design-reference observation; not predicted tract behavior</x:v>
      </x:c>
    </x:row>
    <x:row r="1006" ht="75.5999984741211" hidden="0" customHeight="1">
      <x:c r="A1006" s="34" t="str">
        <x:v>M0</x:v>
      </x:c>
      <x:c r="B1006" s="34" t="str">
        <x:v>48201551602</x:v>
      </x:c>
      <x:c r="C1006" s="65" t="n">
        <x:v>358.3156977093322</x:v>
      </x:c>
      <x:c r="D1006" s="65" t="n">
        <x:v>63.09645591474724</x:v>
      </x:c>
      <x:c r="E1006" s="65" t="n">
        <x:v>295.21924179458495</x:v>
      </x:c>
      <x:c r="F1006" s="65" t="n">
        <x:v>295.21924179458495</x:v>
      </x:c>
      <x:c r="G1006" s="65" t="n">
        <x:v>358.3156977093322</x:v>
      </x:c>
      <x:c r="H1006" s="43" t="n">
        <x:v>1</x:v>
      </x:c>
      <x:c r="I1006" s="34" t="str">
        <x:v>generated design-reference observation; not predicted tract behavior</x:v>
      </x:c>
    </x:row>
    <x:row r="1007" ht="75.5999984741211" hidden="0" customHeight="1">
      <x:c r="A1007" s="36" t="str">
        <x:v>M0</x:v>
      </x:c>
      <x:c r="B1007" s="36" t="str">
        <x:v>48201551702</x:v>
      </x:c>
      <x:c r="C1007" s="66" t="n">
        <x:v>329.2590375989703</x:v>
      </x:c>
      <x:c r="D1007" s="66" t="n">
        <x:v>61.900699068606414</x:v>
      </x:c>
      <x:c r="E1007" s="66" t="n">
        <x:v>267.3583385303639</x:v>
      </x:c>
      <x:c r="F1007" s="66" t="n">
        <x:v>90.44718633489173</x:v>
      </x:c>
      <x:c r="G1007" s="66" t="n">
        <x:v>152.34788540349814</x:v>
      </x:c>
      <x:c r="H1007" s="45" t="n">
        <x:v>0.462699176048295</x:v>
      </x:c>
      <x:c r="I1007" s="36" t="str">
        <x:v>generated design-reference observation; not predicted tract behavior</x:v>
      </x:c>
    </x:row>
    <x:row r="1008" ht="75.5999984741211" hidden="0" customHeight="1">
      <x:c r="A1008" s="34" t="str">
        <x:v>M0</x:v>
      </x:c>
      <x:c r="B1008" s="34" t="str">
        <x:v>48201551703</x:v>
      </x:c>
      <x:c r="C1008" s="65" t="n">
        <x:v>650.5878155140467</x:v>
      </x:c>
      <x:c r="D1008" s="65" t="n">
        <x:v>114.88172646775037</x:v>
      </x:c>
      <x:c r="E1008" s="65" t="n">
        <x:v>535.7060890462964</x:v>
      </x:c>
      <x:c r="F1008" s="65" t="n">
        <x:v>423.1780660345868</x:v>
      </x:c>
      <x:c r="G1008" s="65" t="n">
        <x:v>538.0597925023371</x:v>
      </x:c>
      <x:c r="H1008" s="43" t="n">
        <x:v>0.8270363810567245</x:v>
      </x:c>
      <x:c r="I1008" s="34" t="str">
        <x:v>generated design-reference observation; not predicted tract behavior</x:v>
      </x:c>
    </x:row>
    <x:row r="1009" ht="75.5999984741211" hidden="0" customHeight="1">
      <x:c r="A1009" s="36" t="str">
        <x:v>M0</x:v>
      </x:c>
      <x:c r="B1009" s="36" t="str">
        <x:v>48201551704</x:v>
      </x:c>
      <x:c r="C1009" s="66" t="n">
        <x:v>321.26983148531514</x:v>
      </x:c>
      <x:c r="D1009" s="66" t="n">
        <x:v>57.911721859035275</x:v>
      </x:c>
      <x:c r="E1009" s="66" t="n">
        <x:v>263.3581096262799</x:v>
      </x:c>
      <x:c r="F1009" s="66" t="n">
        <x:v>263.3581096262799</x:v>
      </x:c>
      <x:c r="G1009" s="66" t="n">
        <x:v>321.26983148531514</x:v>
      </x:c>
      <x:c r="H1009" s="45" t="n">
        <x:v>1</x:v>
      </x:c>
      <x:c r="I1009" s="36" t="str">
        <x:v>generated design-reference observation; not predicted tract behavior</x:v>
      </x:c>
    </x:row>
    <x:row r="1010" ht="75.5999984741211" hidden="0" customHeight="1">
      <x:c r="A1010" s="34" t="str">
        <x:v>M0</x:v>
      </x:c>
      <x:c r="B1010" s="34" t="str">
        <x:v>48201551705</x:v>
      </x:c>
      <x:c r="C1010" s="65" t="n">
        <x:v>377.1942742809008</x:v>
      </x:c>
      <x:c r="D1010" s="65" t="n">
        <x:v>69.24288005749057</x:v>
      </x:c>
      <x:c r="E1010" s="65" t="n">
        <x:v>307.95139422341026</x:v>
      </x:c>
      <x:c r="F1010" s="65" t="n">
        <x:v>307.95139422341026</x:v>
      </x:c>
      <x:c r="G1010" s="65" t="n">
        <x:v>377.1942742809008</x:v>
      </x:c>
      <x:c r="H1010" s="43" t="n">
        <x:v>1</x:v>
      </x:c>
      <x:c r="I1010" s="34" t="str">
        <x:v>generated design-reference observation; not predicted tract behavior</x:v>
      </x:c>
    </x:row>
    <x:row r="1011" ht="75.5999984741211" hidden="0" customHeight="1">
      <x:c r="A1011" s="36" t="str">
        <x:v>M0</x:v>
      </x:c>
      <x:c r="B1011" s="36" t="str">
        <x:v>48201551800</x:v>
      </x:c>
      <x:c r="C1011" s="66" t="n">
        <x:v>311.9130682011967</x:v>
      </x:c>
      <x:c r="D1011" s="66" t="n">
        <x:v>58.639656821824985</x:v>
      </x:c>
      <x:c r="E1011" s="66" t="n">
        <x:v>253.27341137937174</x:v>
      </x:c>
      <x:c r="F1011" s="66" t="n">
        <x:v>253.27341137937174</x:v>
      </x:c>
      <x:c r="G1011" s="66" t="n">
        <x:v>311.9130682011967</x:v>
      </x:c>
      <x:c r="H1011" s="45" t="n">
        <x:v>1</x:v>
      </x:c>
      <x:c r="I1011" s="36" t="str">
        <x:v>generated design-reference observation; not predicted tract behavior</x:v>
      </x:c>
    </x:row>
    <x:row r="1012" ht="75.5999984741211" hidden="0" customHeight="1">
      <x:c r="A1012" s="34" t="str">
        <x:v>M0</x:v>
      </x:c>
      <x:c r="B1012" s="34" t="str">
        <x:v>48201551901</x:v>
      </x:c>
      <x:c r="C1012" s="65" t="n">
        <x:v>190.29479431757736</x:v>
      </x:c>
      <x:c r="D1012" s="65" t="n">
        <x:v>31.992349535583227</x:v>
      </x:c>
      <x:c r="E1012" s="65" t="n">
        <x:v>158.30244478199413</x:v>
      </x:c>
      <x:c r="F1012" s="65" t="n">
        <x:v>158.30244478199413</x:v>
      </x:c>
      <x:c r="G1012" s="65" t="n">
        <x:v>190.29479431757736</x:v>
      </x:c>
      <x:c r="H1012" s="43" t="n">
        <x:v>1</x:v>
      </x:c>
      <x:c r="I1012" s="34" t="str">
        <x:v>generated design-reference observation; not predicted tract behavior</x:v>
      </x:c>
    </x:row>
    <x:row r="1013" ht="75.5999984741211" hidden="0" customHeight="1">
      <x:c r="A1013" s="36" t="str">
        <x:v>M0</x:v>
      </x:c>
      <x:c r="B1013" s="36" t="str">
        <x:v>48201551902</x:v>
      </x:c>
      <x:c r="C1013" s="66" t="n">
        <x:v>383.7569767943313</x:v>
      </x:c>
      <x:c r="D1013" s="66" t="n">
        <x:v>60.56014166631975</x:v>
      </x:c>
      <x:c r="E1013" s="66" t="n">
        <x:v>323.19683512801157</x:v>
      </x:c>
      <x:c r="F1013" s="66" t="n">
        <x:v>183.93565473079218</x:v>
      </x:c>
      <x:c r="G1013" s="66" t="n">
        <x:v>244.49579639711192</x:v>
      </x:c>
      <x:c r="H1013" s="45" t="n">
        <x:v>0.6371110134321954</x:v>
      </x:c>
      <x:c r="I1013" s="36" t="str">
        <x:v>generated design-reference observation; not predicted tract behavior</x:v>
      </x:c>
    </x:row>
    <x:row r="1014" ht="75.5999984741211" hidden="0" customHeight="1">
      <x:c r="A1014" s="34" t="str">
        <x:v>M0</x:v>
      </x:c>
      <x:c r="B1014" s="34" t="str">
        <x:v>48201552002</x:v>
      </x:c>
      <x:c r="C1014" s="65" t="n">
        <x:v>119.35473098078349</x:v>
      </x:c>
      <x:c r="D1014" s="65" t="n">
        <x:v>18.07962701365742</x:v>
      </x:c>
      <x:c r="E1014" s="65" t="n">
        <x:v>101.27510396712607</x:v>
      </x:c>
      <x:c r="F1014" s="65" t="n">
        <x:v>68.09954175221407</x:v>
      </x:c>
      <x:c r="G1014" s="65" t="n">
        <x:v>86.17916876587148</x:v>
      </x:c>
      <x:c r="H1014" s="43" t="n">
        <x:v>0.7220423359652716</x:v>
      </x:c>
      <x:c r="I1014" s="34" t="str">
        <x:v>generated design-reference observation; not predicted tract behavior</x:v>
      </x:c>
    </x:row>
    <x:row r="1015" ht="75.5999984741211" hidden="0" customHeight="1">
      <x:c r="A1015" s="36" t="str">
        <x:v>M0</x:v>
      </x:c>
      <x:c r="B1015" s="36" t="str">
        <x:v>48201552003</x:v>
      </x:c>
      <x:c r="C1015" s="66" t="n">
        <x:v>359.67539535582733</x:v>
      </x:c>
      <x:c r="D1015" s="66" t="n">
        <x:v>64.37861272755902</x:v>
      </x:c>
      <x:c r="E1015" s="66" t="n">
        <x:v>295.2967826282683</x:v>
      </x:c>
      <x:c r="F1015" s="66" t="n">
        <x:v>295.2967826282683</x:v>
      </x:c>
      <x:c r="G1015" s="66" t="n">
        <x:v>359.67539535582733</x:v>
      </x:c>
      <x:c r="H1015" s="45" t="n">
        <x:v>1</x:v>
      </x:c>
      <x:c r="I1015" s="36" t="str">
        <x:v>generated design-reference observation; not predicted tract behavior</x:v>
      </x:c>
    </x:row>
    <x:row r="1016" ht="75.5999984741211" hidden="0" customHeight="1">
      <x:c r="A1016" s="34" t="str">
        <x:v>M0</x:v>
      </x:c>
      <x:c r="B1016" s="34" t="str">
        <x:v>48201552004</x:v>
      </x:c>
      <x:c r="C1016" s="65" t="n">
        <x:v>264.87381725163857</x:v>
      </x:c>
      <x:c r="D1016" s="65" t="n">
        <x:v>42.98452268266686</x:v>
      </x:c>
      <x:c r="E1016" s="65" t="n">
        <x:v>221.8892945689717</x:v>
      </x:c>
      <x:c r="F1016" s="65" t="n">
        <x:v>130.59843545820564</x:v>
      </x:c>
      <x:c r="G1016" s="65" t="n">
        <x:v>173.5829581408725</x:v>
      </x:c>
      <x:c r="H1016" s="43" t="n">
        <x:v>0.655342079266231</x:v>
      </x:c>
      <x:c r="I1016" s="34" t="str">
        <x:v>generated design-reference observation; not predicted tract behavior</x:v>
      </x:c>
    </x:row>
    <x:row r="1017" ht="75.5999984741211" hidden="0" customHeight="1">
      <x:c r="A1017" s="36" t="str">
        <x:v>M0</x:v>
      </x:c>
      <x:c r="B1017" s="36" t="str">
        <x:v>48201552101</x:v>
      </x:c>
      <x:c r="C1017" s="66" t="n">
        <x:v>351.6822594801882</x:v>
      </x:c>
      <x:c r="D1017" s="66" t="n">
        <x:v>60.46219655143596</x:v>
      </x:c>
      <x:c r="E1017" s="66" t="n">
        <x:v>291.2200629287522</x:v>
      </x:c>
      <x:c r="F1017" s="66" t="n">
        <x:v>291.2200629287522</x:v>
      </x:c>
      <x:c r="G1017" s="66" t="n">
        <x:v>351.6822594801882</x:v>
      </x:c>
      <x:c r="H1017" s="45" t="n">
        <x:v>1</x:v>
      </x:c>
      <x:c r="I1017" s="36" t="str">
        <x:v>generated design-reference observation; not predicted tract behavior</x:v>
      </x:c>
    </x:row>
    <x:row r="1018" ht="75.5999984741211" hidden="0" customHeight="1">
      <x:c r="A1018" s="34" t="str">
        <x:v>M0</x:v>
      </x:c>
      <x:c r="B1018" s="34" t="str">
        <x:v>48201552102</x:v>
      </x:c>
      <x:c r="C1018" s="65" t="n">
        <x:v>478.73146442582</x:v>
      </x:c>
      <x:c r="D1018" s="65" t="n">
        <x:v>87.24124579040195</x:v>
      </x:c>
      <x:c r="E1018" s="65" t="n">
        <x:v>391.49021863541805</x:v>
      </x:c>
      <x:c r="F1018" s="65" t="n">
        <x:v>123.14507821840445</x:v>
      </x:c>
      <x:c r="G1018" s="65" t="n">
        <x:v>210.3863240088064</x:v>
      </x:c>
      <x:c r="H1018" s="43" t="n">
        <x:v>0.4394662553904602</x:v>
      </x:c>
      <x:c r="I1018" s="34" t="str">
        <x:v>generated design-reference observation; not predicted tract behavior</x:v>
      </x:c>
    </x:row>
    <x:row r="1019" ht="75.5999984741211" hidden="0" customHeight="1">
      <x:c r="A1019" s="36" t="str">
        <x:v>M0</x:v>
      </x:c>
      <x:c r="B1019" s="36" t="str">
        <x:v>48201552103</x:v>
      </x:c>
      <x:c r="C1019" s="66" t="n">
        <x:v>320.24416360746767</x:v>
      </x:c>
      <x:c r="D1019" s="66" t="n">
        <x:v>56.47559997125777</x:v>
      </x:c>
      <x:c r="E1019" s="66" t="n">
        <x:v>263.7685636362099</x:v>
      </x:c>
      <x:c r="F1019" s="66" t="n">
        <x:v>75.97193491056328</x:v>
      </x:c>
      <x:c r="G1019" s="66" t="n">
        <x:v>132.44753488182104</x:v>
      </x:c>
      <x:c r="H1019" s="45" t="n">
        <x:v>0.41358297803099303</x:v>
      </x:c>
      <x:c r="I1019" s="36" t="str">
        <x:v>generated design-reference observation; not predicted tract behavior</x:v>
      </x:c>
    </x:row>
    <x:row r="1020" ht="75.5999984741211" hidden="0" customHeight="1">
      <x:c r="A1020" s="34" t="str">
        <x:v>M0</x:v>
      </x:c>
      <x:c r="B1020" s="34" t="str">
        <x:v>48201552200</x:v>
      </x:c>
      <x:c r="C1020" s="65" t="n">
        <x:v>588.9141309357373</x:v>
      </x:c>
      <x:c r="D1020" s="65" t="n">
        <x:v>98.71664208239343</x:v>
      </x:c>
      <x:c r="E1020" s="65" t="n">
        <x:v>490.1974888533438</x:v>
      </x:c>
      <x:c r="F1020" s="65" t="n">
        <x:v>490.1974888533438</x:v>
      </x:c>
      <x:c r="G1020" s="65" t="n">
        <x:v>588.9141309357373</x:v>
      </x:c>
      <x:c r="H1020" s="43" t="n">
        <x:v>1</x:v>
      </x:c>
      <x:c r="I1020" s="34" t="str">
        <x:v>generated design-reference observation; not predicted tract behavior</x:v>
      </x:c>
    </x:row>
    <x:row r="1021" ht="75.5999984741211" hidden="0" customHeight="1">
      <x:c r="A1021" s="36" t="str">
        <x:v>M0</x:v>
      </x:c>
      <x:c r="B1021" s="36" t="str">
        <x:v>48201552301</x:v>
      </x:c>
      <x:c r="C1021" s="66" t="n">
        <x:v>389.8638269176072</x:v>
      </x:c>
      <x:c r="D1021" s="66" t="n">
        <x:v>67.08638075331797</x:v>
      </x:c>
      <x:c r="E1021" s="66" t="n">
        <x:v>322.77744616428924</x:v>
      </x:c>
      <x:c r="F1021" s="66" t="n">
        <x:v>322.77744616428924</x:v>
      </x:c>
      <x:c r="G1021" s="66" t="n">
        <x:v>389.8638269176072</x:v>
      </x:c>
      <x:c r="H1021" s="45" t="n">
        <x:v>1</x:v>
      </x:c>
      <x:c r="I1021" s="36" t="str">
        <x:v>generated design-reference observation; not predicted tract behavior</x:v>
      </x:c>
    </x:row>
    <x:row r="1022" ht="75.5999984741211" hidden="0" customHeight="1">
      <x:c r="A1022" s="34" t="str">
        <x:v>M0</x:v>
      </x:c>
      <x:c r="B1022" s="34" t="str">
        <x:v>48201552303</x:v>
      </x:c>
      <x:c r="C1022" s="65" t="n">
        <x:v>268.8743149514423</x:v>
      </x:c>
      <x:c r="D1022" s="65" t="n">
        <x:v>44.132616403337494</x:v>
      </x:c>
      <x:c r="E1022" s="65" t="n">
        <x:v>224.74169854810478</x:v>
      </x:c>
      <x:c r="F1022" s="65" t="n">
        <x:v>160.67014533510215</x:v>
      </x:c>
      <x:c r="G1022" s="65" t="n">
        <x:v>204.80276173843964</x:v>
      </x:c>
      <x:c r="H1022" s="43" t="n">
        <x:v>0.7617044483234714</x:v>
      </x:c>
      <x:c r="I1022" s="34" t="str">
        <x:v>generated design-reference observation; not predicted tract behavior</x:v>
      </x:c>
    </x:row>
    <x:row r="1023" ht="75.5999984741211" hidden="0" customHeight="1">
      <x:c r="A1023" s="36" t="str">
        <x:v>M0</x:v>
      </x:c>
      <x:c r="B1023" s="36" t="str">
        <x:v>48201552304</x:v>
      </x:c>
      <x:c r="C1023" s="66" t="n">
        <x:v>168.16237482318212</x:v>
      </x:c>
      <x:c r="D1023" s="66" t="n">
        <x:v>30.939826206796933</x:v>
      </x:c>
      <x:c r="E1023" s="66" t="n">
        <x:v>137.22254861638518</x:v>
      </x:c>
      <x:c r="F1023" s="66" t="n">
        <x:v>137.22254861638518</x:v>
      </x:c>
      <x:c r="G1023" s="66" t="n">
        <x:v>168.16237482318212</x:v>
      </x:c>
      <x:c r="H1023" s="45" t="n">
        <x:v>1</x:v>
      </x:c>
      <x:c r="I1023" s="36" t="str">
        <x:v>generated design-reference observation; not predicted tract behavior</x:v>
      </x:c>
    </x:row>
    <x:row r="1024" ht="75.5999984741211" hidden="0" customHeight="1">
      <x:c r="A1024" s="34" t="str">
        <x:v>M0</x:v>
      </x:c>
      <x:c r="B1024" s="34" t="str">
        <x:v>48201552401</x:v>
      </x:c>
      <x:c r="C1024" s="65" t="n">
        <x:v>427.47950862931737</x:v>
      </x:c>
      <x:c r="D1024" s="65" t="n">
        <x:v>72.9102483279931</x:v>
      </x:c>
      <x:c r="E1024" s="65" t="n">
        <x:v>354.5692603013243</x:v>
      </x:c>
      <x:c r="F1024" s="65" t="n">
        <x:v>178.65048924816372</x:v>
      </x:c>
      <x:c r="G1024" s="65" t="n">
        <x:v>251.56073757615684</x:v>
      </x:c>
      <x:c r="H1024" s="43" t="n">
        <x:v>0.5884743771292534</x:v>
      </x:c>
      <x:c r="I1024" s="34" t="str">
        <x:v>generated design-reference observation; not predicted tract behavior</x:v>
      </x:c>
    </x:row>
    <x:row r="1025" ht="75.5999984741211" hidden="0" customHeight="1">
      <x:c r="A1025" s="36" t="str">
        <x:v>M0</x:v>
      </x:c>
      <x:c r="B1025" s="36" t="str">
        <x:v>48201552402</x:v>
      </x:c>
      <x:c r="C1025" s="66" t="n">
        <x:v>255.71747182870877</x:v>
      </x:c>
      <x:c r="D1025" s="66" t="n">
        <x:v>47.119332666840144</x:v>
      </x:c>
      <x:c r="E1025" s="66" t="n">
        <x:v>208.59813916186863</x:v>
      </x:c>
      <x:c r="F1025" s="66" t="n">
        <x:v>142.3974470079516</x:v>
      </x:c>
      <x:c r="G1025" s="66" t="n">
        <x:v>189.51677967479174</x:v>
      </x:c>
      <x:c r="H1025" s="45" t="n">
        <x:v>0.7411178372737031</x:v>
      </x:c>
      <x:c r="I1025" s="36" t="str">
        <x:v>generated design-reference observation; not predicted tract behavior</x:v>
      </x:c>
    </x:row>
    <x:row r="1026" ht="75.5999984741211" hidden="0" customHeight="1">
      <x:c r="A1026" s="34" t="str">
        <x:v>M0</x:v>
      </x:c>
      <x:c r="B1026" s="34" t="str">
        <x:v>48201552501</x:v>
      </x:c>
      <x:c r="C1026" s="65" t="n">
        <x:v>417.24640842274675</x:v>
      </x:c>
      <x:c r="D1026" s="65" t="n">
        <x:v>74.39700070432852</x:v>
      </x:c>
      <x:c r="E1026" s="65" t="n">
        <x:v>342.8494077184182</x:v>
      </x:c>
      <x:c r="F1026" s="65" t="n">
        <x:v>226.15935026597523</x:v>
      </x:c>
      <x:c r="G1026" s="65" t="n">
        <x:v>300.55635097030375</x:v>
      </x:c>
      <x:c r="H1026" s="43" t="n">
        <x:v>0.720332985265113</x:v>
      </x:c>
      <x:c r="I1026" s="34" t="str">
        <x:v>generated design-reference observation; not predicted tract behavior</x:v>
      </x:c>
    </x:row>
    <x:row r="1027" ht="75.5999984741211" hidden="0" customHeight="1">
      <x:c r="A1027" s="36" t="str">
        <x:v>M0</x:v>
      </x:c>
      <x:c r="B1027" s="36" t="str">
        <x:v>48201552502</x:v>
      </x:c>
      <x:c r="C1027" s="66" t="n">
        <x:v>516.8815937673664</x:v>
      </x:c>
      <x:c r="D1027" s="66" t="n">
        <x:v>94.17259729570695</x:v>
      </x:c>
      <x:c r="E1027" s="66" t="n">
        <x:v>422.7089964716595</x:v>
      </x:c>
      <x:c r="F1027" s="66" t="n">
        <x:v>236.51214311615897</x:v>
      </x:c>
      <x:c r="G1027" s="66" t="n">
        <x:v>330.6847404118659</x:v>
      </x:c>
      <x:c r="H1027" s="45" t="n">
        <x:v>0.6397688453203029</x:v>
      </x:c>
      <x:c r="I1027" s="36" t="str">
        <x:v>generated design-reference observation; not predicted tract behavior</x:v>
      </x:c>
    </x:row>
    <x:row r="1028" ht="75.5999984741211" hidden="0" customHeight="1">
      <x:c r="A1028" s="34" t="str">
        <x:v>M0</x:v>
      </x:c>
      <x:c r="B1028" s="34" t="str">
        <x:v>48201552602</x:v>
      </x:c>
      <x:c r="C1028" s="65" t="n">
        <x:v>637.340587865679</x:v>
      </x:c>
      <x:c r="D1028" s="65" t="n">
        <x:v>98.64627957784792</x:v>
      </x:c>
      <x:c r="E1028" s="65" t="n">
        <x:v>538.6943082878311</x:v>
      </x:c>
      <x:c r="F1028" s="65" t="n">
        <x:v>538.6943082878311</x:v>
      </x:c>
      <x:c r="G1028" s="65" t="n">
        <x:v>637.340587865679</x:v>
      </x:c>
      <x:c r="H1028" s="43" t="n">
        <x:v>1</x:v>
      </x:c>
      <x:c r="I1028" s="34" t="str">
        <x:v>generated design-reference observation; not predicted tract behavior</x:v>
      </x:c>
    </x:row>
    <x:row r="1029" ht="75.5999984741211" hidden="0" customHeight="1">
      <x:c r="A1029" s="36" t="str">
        <x:v>M0</x:v>
      </x:c>
      <x:c r="B1029" s="36" t="str">
        <x:v>48201552603</x:v>
      </x:c>
      <x:c r="C1029" s="66" t="n">
        <x:v>445.2852601792294</x:v>
      </x:c>
      <x:c r="D1029" s="66" t="n">
        <x:v>66.27104642621138</x:v>
      </x:c>
      <x:c r="E1029" s="66" t="n">
        <x:v>379.014213753018</x:v>
      </x:c>
      <x:c r="F1029" s="66" t="n">
        <x:v>63.142557759681395</x:v>
      </x:c>
      <x:c r="G1029" s="66" t="n">
        <x:v>129.41360418589278</x:v>
      </x:c>
      <x:c r="H1029" s="45" t="n">
        <x:v>0.2906307838121639</x:v>
      </x:c>
      <x:c r="I1029" s="36" t="str">
        <x:v>generated design-reference observation; not predicted tract behavior</x:v>
      </x:c>
    </x:row>
    <x:row r="1030" ht="75.5999984741211" hidden="0" customHeight="1">
      <x:c r="A1030" s="34" t="str">
        <x:v>M0</x:v>
      </x:c>
      <x:c r="B1030" s="34" t="str">
        <x:v>48201552604</x:v>
      </x:c>
      <x:c r="C1030" s="65" t="n">
        <x:v>242.63922394565702</x:v>
      </x:c>
      <x:c r="D1030" s="65" t="n">
        <x:v>44.961988659238564</x:v>
      </x:c>
      <x:c r="E1030" s="65" t="n">
        <x:v>197.67723528641847</x:v>
      </x:c>
      <x:c r="F1030" s="65" t="n">
        <x:v>64.99350949872732</x:v>
      </x:c>
      <x:c r="G1030" s="65" t="n">
        <x:v>109.95549815796588</x:v>
      </x:c>
      <x:c r="H1030" s="43" t="n">
        <x:v>0.45316456412089495</x:v>
      </x:c>
      <x:c r="I1030" s="34" t="str">
        <x:v>generated design-reference observation; not predicted tract behavior</x:v>
      </x:c>
    </x:row>
    <x:row r="1031" ht="75.5999984741211" hidden="0" customHeight="1">
      <x:c r="A1031" s="36" t="str">
        <x:v>M0</x:v>
      </x:c>
      <x:c r="B1031" s="36" t="str">
        <x:v>48201552701</x:v>
      </x:c>
      <x:c r="C1031" s="66" t="n">
        <x:v>255.16730515093616</x:v>
      </x:c>
      <x:c r="D1031" s="66" t="n">
        <x:v>37.895152876166875</x:v>
      </x:c>
      <x:c r="E1031" s="66" t="n">
        <x:v>217.27215227476927</x:v>
      </x:c>
      <x:c r="F1031" s="66" t="n">
        <x:v>217.27215227476927</x:v>
      </x:c>
      <x:c r="G1031" s="66" t="n">
        <x:v>255.16730515093616</x:v>
      </x:c>
      <x:c r="H1031" s="45" t="n">
        <x:v>1</x:v>
      </x:c>
      <x:c r="I1031" s="36" t="str">
        <x:v>generated design-reference observation; not predicted tract behavior</x:v>
      </x:c>
    </x:row>
    <x:row r="1032" ht="75.5999984741211" hidden="0" customHeight="1">
      <x:c r="A1032" s="34" t="str">
        <x:v>M0</x:v>
      </x:c>
      <x:c r="B1032" s="34" t="str">
        <x:v>48201552702</x:v>
      </x:c>
      <x:c r="C1032" s="65" t="n">
        <x:v>486.3316241030501</x:v>
      </x:c>
      <x:c r="D1032" s="65" t="n">
        <x:v>83.04923034266419</x:v>
      </x:c>
      <x:c r="E1032" s="65" t="n">
        <x:v>403.2823937603859</x:v>
      </x:c>
      <x:c r="F1032" s="65" t="n">
        <x:v>403.2823937603859</x:v>
      </x:c>
      <x:c r="G1032" s="65" t="n">
        <x:v>486.3316241030501</x:v>
      </x:c>
      <x:c r="H1032" s="43" t="n">
        <x:v>1</x:v>
      </x:c>
      <x:c r="I1032" s="34" t="str">
        <x:v>generated design-reference observation; not predicted tract behavior</x:v>
      </x:c>
    </x:row>
    <x:row r="1033" ht="75.5999984741211" hidden="0" customHeight="1">
      <x:c r="A1033" s="36" t="str">
        <x:v>M0</x:v>
      </x:c>
      <x:c r="B1033" s="36" t="str">
        <x:v>48201552801</x:v>
      </x:c>
      <x:c r="C1033" s="66" t="n">
        <x:v>428.69773484438525</x:v>
      </x:c>
      <x:c r="D1033" s="66" t="n">
        <x:v>76.02300804541224</x:v>
      </x:c>
      <x:c r="E1033" s="66" t="n">
        <x:v>352.674726798973</x:v>
      </x:c>
      <x:c r="F1033" s="66" t="n">
        <x:v>352.674726798973</x:v>
      </x:c>
      <x:c r="G1033" s="66" t="n">
        <x:v>428.6977348443852</x:v>
      </x:c>
      <x:c r="H1033" s="45" t="n">
        <x:v>0.9999999999999999</x:v>
      </x:c>
      <x:c r="I1033" s="36" t="str">
        <x:v>generated design-reference observation; not predicted tract behavior</x:v>
      </x:c>
    </x:row>
    <x:row r="1034" ht="75.5999984741211" hidden="0" customHeight="1">
      <x:c r="A1034" s="34" t="str">
        <x:v>M0</x:v>
      </x:c>
      <x:c r="B1034" s="34" t="str">
        <x:v>48201552802</x:v>
      </x:c>
      <x:c r="C1034" s="65" t="n">
        <x:v>323.84382558489415</x:v>
      </x:c>
      <x:c r="D1034" s="65" t="n">
        <x:v>56.72860315230284</x:v>
      </x:c>
      <x:c r="E1034" s="65" t="n">
        <x:v>267.1152224325913</x:v>
      </x:c>
      <x:c r="F1034" s="65" t="n">
        <x:v>267.1152224325913</x:v>
      </x:c>
      <x:c r="G1034" s="65" t="n">
        <x:v>323.84382558489415</x:v>
      </x:c>
      <x:c r="H1034" s="43" t="n">
        <x:v>1</x:v>
      </x:c>
      <x:c r="I1034" s="34" t="str">
        <x:v>generated design-reference observation; not predicted tract behavior</x:v>
      </x:c>
    </x:row>
    <x:row r="1035" ht="75.5999984741211" hidden="0" customHeight="1">
      <x:c r="A1035" s="36" t="str">
        <x:v>M0</x:v>
      </x:c>
      <x:c r="B1035" s="36" t="str">
        <x:v>48201552901</x:v>
      </x:c>
      <x:c r="C1035" s="66" t="n">
        <x:v>406.87183678474906</x:v>
      </x:c>
      <x:c r="D1035" s="66" t="n">
        <x:v>73.06757608831539</x:v>
      </x:c>
      <x:c r="E1035" s="66" t="n">
        <x:v>333.8042606964337</x:v>
      </x:c>
      <x:c r="F1035" s="66" t="n">
        <x:v>333.8042606964337</x:v>
      </x:c>
      <x:c r="G1035" s="66" t="n">
        <x:v>406.87183678474906</x:v>
      </x:c>
      <x:c r="H1035" s="45" t="n">
        <x:v>1</x:v>
      </x:c>
      <x:c r="I1035" s="36" t="str">
        <x:v>generated design-reference observation; not predicted tract behavior</x:v>
      </x:c>
    </x:row>
    <x:row r="1036" ht="75.5999984741211" hidden="0" customHeight="1">
      <x:c r="A1036" s="34" t="str">
        <x:v>M0</x:v>
      </x:c>
      <x:c r="B1036" s="34" t="str">
        <x:v>48201552902</x:v>
      </x:c>
      <x:c r="C1036" s="65" t="n">
        <x:v>426.418472893613</x:v>
      </x:c>
      <x:c r="D1036" s="65" t="n">
        <x:v>77.46875602742234</x:v>
      </x:c>
      <x:c r="E1036" s="65" t="n">
        <x:v>348.94971686619067</x:v>
      </x:c>
      <x:c r="F1036" s="65" t="n">
        <x:v>107.91111391350786</x:v>
      </x:c>
      <x:c r="G1036" s="65" t="n">
        <x:v>185.3798699409302</x:v>
      </x:c>
      <x:c r="H1036" s="43" t="n">
        <x:v>0.4347369584693873</x:v>
      </x:c>
      <x:c r="I1036" s="34" t="str">
        <x:v>generated design-reference observation; not predicted tract behavior</x:v>
      </x:c>
    </x:row>
    <x:row r="1037" ht="75.5999984741211" hidden="0" customHeight="1">
      <x:c r="A1037" s="36" t="str">
        <x:v>M0</x:v>
      </x:c>
      <x:c r="B1037" s="36" t="str">
        <x:v>48201553001</x:v>
      </x:c>
      <x:c r="C1037" s="66" t="n">
        <x:v>579.1683212151938</x:v>
      </x:c>
      <x:c r="D1037" s="66" t="n">
        <x:v>107.96882661446827</x:v>
      </x:c>
      <x:c r="E1037" s="66" t="n">
        <x:v>471.19949460072553</x:v>
      </x:c>
      <x:c r="F1037" s="66" t="n">
        <x:v>471.19949460072553</x:v>
      </x:c>
      <x:c r="G1037" s="66" t="n">
        <x:v>579.1683212151938</x:v>
      </x:c>
      <x:c r="H1037" s="45" t="n">
        <x:v>1</x:v>
      </x:c>
      <x:c r="I1037" s="36" t="str">
        <x:v>generated design-reference observation; not predicted tract behavior</x:v>
      </x:c>
    </x:row>
    <x:row r="1038" ht="75.5999984741211" hidden="0" customHeight="1">
      <x:c r="A1038" s="34" t="str">
        <x:v>M0</x:v>
      </x:c>
      <x:c r="B1038" s="34" t="str">
        <x:v>48201553002</x:v>
      </x:c>
      <x:c r="C1038" s="65" t="n">
        <x:v>385.5017911152672</x:v>
      </x:c>
      <x:c r="D1038" s="65" t="n">
        <x:v>70.88627080014244</x:v>
      </x:c>
      <x:c r="E1038" s="65" t="n">
        <x:v>314.6155203151248</x:v>
      </x:c>
      <x:c r="F1038" s="65" t="n">
        <x:v>314.6155203151248</x:v>
      </x:c>
      <x:c r="G1038" s="65" t="n">
        <x:v>385.5017911152672</x:v>
      </x:c>
      <x:c r="H1038" s="43" t="n">
        <x:v>1</x:v>
      </x:c>
      <x:c r="I1038" s="34" t="str">
        <x:v>generated design-reference observation; not predicted tract behavior</x:v>
      </x:c>
    </x:row>
    <x:row r="1039" ht="75.5999984741211" hidden="0" customHeight="1">
      <x:c r="A1039" s="36" t="str">
        <x:v>M0</x:v>
      </x:c>
      <x:c r="B1039" s="36" t="str">
        <x:v>48201553101</x:v>
      </x:c>
      <x:c r="C1039" s="66" t="n">
        <x:v>496.40572009395663</x:v>
      </x:c>
      <x:c r="D1039" s="66" t="n">
        <x:v>78.32550717810918</x:v>
      </x:c>
      <x:c r="E1039" s="66" t="n">
        <x:v>418.0802129158475</x:v>
      </x:c>
      <x:c r="F1039" s="66" t="n">
        <x:v>418.0802129158475</x:v>
      </x:c>
      <x:c r="G1039" s="66" t="n">
        <x:v>496.40572009395663</x:v>
      </x:c>
      <x:c r="H1039" s="45" t="n">
        <x:v>1</x:v>
      </x:c>
      <x:c r="I1039" s="36" t="str">
        <x:v>generated design-reference observation; not predicted tract behavior</x:v>
      </x:c>
    </x:row>
    <x:row r="1040" ht="75.5999984741211" hidden="0" customHeight="1">
      <x:c r="A1040" s="34" t="str">
        <x:v>M0</x:v>
      </x:c>
      <x:c r="B1040" s="34" t="str">
        <x:v>48201553102</x:v>
      </x:c>
      <x:c r="C1040" s="65" t="n">
        <x:v>406.9897296442717</x:v>
      </x:c>
      <x:c r="D1040" s="65" t="n">
        <x:v>73.16471789608948</x:v>
      </x:c>
      <x:c r="E1040" s="65" t="n">
        <x:v>333.8250117481822</x:v>
      </x:c>
      <x:c r="F1040" s="65" t="n">
        <x:v>265.5501005880662</x:v>
      </x:c>
      <x:c r="G1040" s="65" t="n">
        <x:v>338.71481848415567</x:v>
      </x:c>
      <x:c r="H1040" s="43" t="n">
        <x:v>0.8322441423281332</x:v>
      </x:c>
      <x:c r="I1040" s="34" t="str">
        <x:v>generated design-reference observation; not predicted tract behavior</x:v>
      </x:c>
    </x:row>
    <x:row r="1041" ht="75.5999984741211" hidden="0" customHeight="1">
      <x:c r="A1041" s="36" t="str">
        <x:v>M0</x:v>
      </x:c>
      <x:c r="B1041" s="36" t="str">
        <x:v>48201553201</x:v>
      </x:c>
      <x:c r="C1041" s="66" t="n">
        <x:v>205.03140175791503</x:v>
      </x:c>
      <x:c r="D1041" s="66" t="n">
        <x:v>35.59947242088786</x:v>
      </x:c>
      <x:c r="E1041" s="66" t="n">
        <x:v>169.43192933702719</x:v>
      </x:c>
      <x:c r="F1041" s="66" t="n">
        <x:v>169.43192933702719</x:v>
      </x:c>
      <x:c r="G1041" s="66" t="n">
        <x:v>205.03140175791503</x:v>
      </x:c>
      <x:c r="H1041" s="45" t="n">
        <x:v>1</x:v>
      </x:c>
      <x:c r="I1041" s="36" t="str">
        <x:v>generated design-reference observation; not predicted tract behavior</x:v>
      </x:c>
    </x:row>
    <x:row r="1042" ht="75.5999984741211" hidden="0" customHeight="1">
      <x:c r="A1042" s="34" t="str">
        <x:v>M0</x:v>
      </x:c>
      <x:c r="B1042" s="34" t="str">
        <x:v>48201553202</x:v>
      </x:c>
      <x:c r="C1042" s="65" t="n">
        <x:v>381.3834005559409</x:v>
      </x:c>
      <x:c r="D1042" s="65" t="n">
        <x:v>68.09139631706365</x:v>
      </x:c>
      <x:c r="E1042" s="65" t="n">
        <x:v>313.29200423887727</x:v>
      </x:c>
      <x:c r="F1042" s="65" t="n">
        <x:v>313.29200423887727</x:v>
      </x:c>
      <x:c r="G1042" s="65" t="n">
        <x:v>381.3834005559409</x:v>
      </x:c>
      <x:c r="H1042" s="43" t="n">
        <x:v>1</x:v>
      </x:c>
      <x:c r="I1042" s="34" t="str">
        <x:v>generated design-reference observation; not predicted tract behavior</x:v>
      </x:c>
    </x:row>
    <x:row r="1043" ht="75.5999984741211" hidden="0" customHeight="1">
      <x:c r="A1043" s="36" t="str">
        <x:v>M0</x:v>
      </x:c>
      <x:c r="B1043" s="36" t="str">
        <x:v>48201553300</x:v>
      </x:c>
      <x:c r="C1043" s="66" t="n">
        <x:v>304.1714370925392</x:v>
      </x:c>
      <x:c r="D1043" s="66" t="n">
        <x:v>48.67095089034817</x:v>
      </x:c>
      <x:c r="E1043" s="66" t="n">
        <x:v>255.500486202191</x:v>
      </x:c>
      <x:c r="F1043" s="66" t="n">
        <x:v>181.29992909626114</x:v>
      </x:c>
      <x:c r="G1043" s="66" t="n">
        <x:v>229.9708799866093</x:v>
      </x:c>
      <x:c r="H1043" s="45" t="n">
        <x:v>0.7560567888451815</x:v>
      </x:c>
      <x:c r="I1043" s="36" t="str">
        <x:v>generated design-reference observation; not predicted tract behavior</x:v>
      </x:c>
    </x:row>
    <x:row r="1044" ht="75.5999984741211" hidden="0" customHeight="1">
      <x:c r="A1044" s="34" t="str">
        <x:v>M0</x:v>
      </x:c>
      <x:c r="B1044" s="34" t="str">
        <x:v>48201553401</x:v>
      </x:c>
      <x:c r="C1044" s="65" t="n">
        <x:v>361.6206275379519</x:v>
      </x:c>
      <x:c r="D1044" s="65" t="n">
        <x:v>67.86973832119365</x:v>
      </x:c>
      <x:c r="E1044" s="65" t="n">
        <x:v>293.75088921675825</x:v>
      </x:c>
      <x:c r="F1044" s="65" t="n">
        <x:v>293.75088921675825</x:v>
      </x:c>
      <x:c r="G1044" s="65" t="n">
        <x:v>361.6206275379519</x:v>
      </x:c>
      <x:c r="H1044" s="43" t="n">
        <x:v>1</x:v>
      </x:c>
      <x:c r="I1044" s="34" t="str">
        <x:v>generated design-reference observation; not predicted tract behavior</x:v>
      </x:c>
    </x:row>
    <x:row r="1045" ht="75.5999984741211" hidden="0" customHeight="1">
      <x:c r="A1045" s="36" t="str">
        <x:v>M0</x:v>
      </x:c>
      <x:c r="B1045" s="36" t="str">
        <x:v>48201553403</x:v>
      </x:c>
      <x:c r="C1045" s="66" t="n">
        <x:v>681.3342732775675</x:v>
      </x:c>
      <x:c r="D1045" s="66" t="n">
        <x:v>113.08921307086398</x:v>
      </x:c>
      <x:c r="E1045" s="66" t="n">
        <x:v>568.2450602067036</x:v>
      </x:c>
      <x:c r="F1045" s="66" t="n">
        <x:v>136.85162199284747</x:v>
      </x:c>
      <x:c r="G1045" s="66" t="n">
        <x:v>249.94083506371146</x:v>
      </x:c>
      <x:c r="H1045" s="45" t="n">
        <x:v>0.36684024988405145</x:v>
      </x:c>
      <x:c r="I1045" s="36" t="str">
        <x:v>generated design-reference observation; not predicted tract behavior</x:v>
      </x:c>
    </x:row>
    <x:row r="1046" ht="75.5999984741211" hidden="0" customHeight="1">
      <x:c r="A1046" s="34" t="str">
        <x:v>M0</x:v>
      </x:c>
      <x:c r="B1046" s="34" t="str">
        <x:v>48201553404</x:v>
      </x:c>
      <x:c r="C1046" s="65" t="n">
        <x:v>281.3316604410077</x:v>
      </x:c>
      <x:c r="D1046" s="65" t="n">
        <x:v>52.89035216290945</x:v>
      </x:c>
      <x:c r="E1046" s="65" t="n">
        <x:v>228.4413082780983</x:v>
      </x:c>
      <x:c r="F1046" s="65" t="n">
        <x:v>228.4413082780983</x:v>
      </x:c>
      <x:c r="G1046" s="65" t="n">
        <x:v>281.3316604410077</x:v>
      </x:c>
      <x:c r="H1046" s="43" t="n">
        <x:v>1</x:v>
      </x:c>
      <x:c r="I1046" s="34" t="str">
        <x:v>generated design-reference observation; not predicted tract behavior</x:v>
      </x:c>
    </x:row>
    <x:row r="1047" ht="75.5999984741211" hidden="0" customHeight="1">
      <x:c r="A1047" s="36" t="str">
        <x:v>M0</x:v>
      </x:c>
      <x:c r="B1047" s="36" t="str">
        <x:v>48201553405</x:v>
      </x:c>
      <x:c r="C1047" s="66" t="n">
        <x:v>1134.3082639233605</x:v>
      </x:c>
      <x:c r="D1047" s="66" t="n">
        <x:v>98.6941558170295</x:v>
      </x:c>
      <x:c r="E1047" s="66" t="n">
        <x:v>1035.614108106331</x:v>
      </x:c>
      <x:c r="F1047" s="66" t="n">
        <x:v>1035.614108106331</x:v>
      </x:c>
      <x:c r="G1047" s="66" t="n">
        <x:v>1134.3082639233605</x:v>
      </x:c>
      <x:c r="H1047" s="45" t="n">
        <x:v>1</x:v>
      </x:c>
      <x:c r="I1047" s="36" t="str">
        <x:v>generated design-reference observation; not predicted tract behavior</x:v>
      </x:c>
    </x:row>
    <x:row r="1048" ht="75.5999984741211" hidden="0" customHeight="1">
      <x:c r="A1048" s="34" t="str">
        <x:v>M0</x:v>
      </x:c>
      <x:c r="B1048" s="34" t="str">
        <x:v>48201553500</x:v>
      </x:c>
      <x:c r="C1048" s="65" t="n">
        <x:v>592.7652976801455</x:v>
      </x:c>
      <x:c r="D1048" s="65" t="n">
        <x:v>110.64836387979479</x:v>
      </x:c>
      <x:c r="E1048" s="65" t="n">
        <x:v>482.11693380035075</x:v>
      </x:c>
      <x:c r="F1048" s="65" t="n">
        <x:v>160.5767568907647</x:v>
      </x:c>
      <x:c r="G1048" s="65" t="n">
        <x:v>271.2251207705595</x:v>
      </x:c>
      <x:c r="H1048" s="43" t="n">
        <x:v>0.4575590403689789</x:v>
      </x:c>
      <x:c r="I1048" s="34" t="str">
        <x:v>generated design-reference observation; not predicted tract behavior</x:v>
      </x:c>
    </x:row>
    <x:row r="1049" ht="75.5999984741211" hidden="0" customHeight="1">
      <x:c r="A1049" s="36" t="str">
        <x:v>M0</x:v>
      </x:c>
      <x:c r="B1049" s="36" t="str">
        <x:v>48201553601</x:v>
      </x:c>
      <x:c r="C1049" s="66" t="n">
        <x:v>411.3439059226435</x:v>
      </x:c>
      <x:c r="D1049" s="66" t="n">
        <x:v>73.23064273850133</x:v>
      </x:c>
      <x:c r="E1049" s="66" t="n">
        <x:v>338.11326318414217</x:v>
      </x:c>
      <x:c r="F1049" s="66" t="n">
        <x:v>100.15623645573241</x:v>
      </x:c>
      <x:c r="G1049" s="66" t="n">
        <x:v>173.38687919423376</x:v>
      </x:c>
      <x:c r="H1049" s="45" t="n">
        <x:v>0.4215131832458472</x:v>
      </x:c>
      <x:c r="I1049" s="36" t="str">
        <x:v>generated design-reference observation; not predicted tract behavior</x:v>
      </x:c>
    </x:row>
    <x:row r="1050" ht="75.5999984741211" hidden="0" customHeight="1">
      <x:c r="A1050" s="34" t="str">
        <x:v>M0</x:v>
      </x:c>
      <x:c r="B1050" s="34" t="str">
        <x:v>48201553602</x:v>
      </x:c>
      <x:c r="C1050" s="65" t="n">
        <x:v>196.3309087251397</x:v>
      </x:c>
      <x:c r="D1050" s="65" t="n">
        <x:v>31.836691781161644</x:v>
      </x:c>
      <x:c r="E1050" s="65" t="n">
        <x:v>164.49421694397805</x:v>
      </x:c>
      <x:c r="F1050" s="65" t="n">
        <x:v>164.49421694397805</x:v>
      </x:c>
      <x:c r="G1050" s="65" t="n">
        <x:v>196.3309087251397</x:v>
      </x:c>
      <x:c r="H1050" s="43" t="n">
        <x:v>1</x:v>
      </x:c>
      <x:c r="I1050" s="34" t="str">
        <x:v>generated design-reference observation; not predicted tract behavior</x:v>
      </x:c>
    </x:row>
    <x:row r="1051" ht="75.5999984741211" hidden="0" customHeight="1">
      <x:c r="A1051" s="36" t="str">
        <x:v>M0</x:v>
      </x:c>
      <x:c r="B1051" s="36" t="str">
        <x:v>48201553700</x:v>
      </x:c>
      <x:c r="C1051" s="66" t="n">
        <x:v>629.8271852414822</x:v>
      </x:c>
      <x:c r="D1051" s="66" t="n">
        <x:v>102.33793950363591</x:v>
      </x:c>
      <x:c r="E1051" s="66" t="n">
        <x:v>527.4892457378463</x:v>
      </x:c>
      <x:c r="F1051" s="66" t="n">
        <x:v>527.4892457378463</x:v>
      </x:c>
      <x:c r="G1051" s="66" t="n">
        <x:v>629.8271852414822</x:v>
      </x:c>
      <x:c r="H1051" s="45" t="n">
        <x:v>1</x:v>
      </x:c>
      <x:c r="I1051" s="36" t="str">
        <x:v>generated design-reference observation; not predicted tract behavior</x:v>
      </x:c>
    </x:row>
    <x:row r="1052" ht="75.5999984741211" hidden="0" customHeight="1">
      <x:c r="A1052" s="34" t="str">
        <x:v>M0</x:v>
      </x:c>
      <x:c r="B1052" s="34" t="str">
        <x:v>48201553801</x:v>
      </x:c>
      <x:c r="C1052" s="65" t="n">
        <x:v>209.30305303462097</x:v>
      </x:c>
      <x:c r="D1052" s="65" t="n">
        <x:v>37.335963302122714</x:v>
      </x:c>
      <x:c r="E1052" s="65" t="n">
        <x:v>171.96708973249827</x:v>
      </x:c>
      <x:c r="F1052" s="65" t="n">
        <x:v>171.96708973249827</x:v>
      </x:c>
      <x:c r="G1052" s="65" t="n">
        <x:v>209.30305303462097</x:v>
      </x:c>
      <x:c r="H1052" s="43" t="n">
        <x:v>1</x:v>
      </x:c>
      <x:c r="I1052" s="34" t="str">
        <x:v>generated design-reference observation; not predicted tract behavior</x:v>
      </x:c>
    </x:row>
    <x:row r="1053" ht="75.5999984741211" hidden="0" customHeight="1">
      <x:c r="A1053" s="36" t="str">
        <x:v>M0</x:v>
      </x:c>
      <x:c r="B1053" s="36" t="str">
        <x:v>48201553803</x:v>
      </x:c>
      <x:c r="C1053" s="66" t="n">
        <x:v>390.0367364449072</x:v>
      </x:c>
      <x:c r="D1053" s="66" t="n">
        <x:v>72.86891618993204</x:v>
      </x:c>
      <x:c r="E1053" s="66" t="n">
        <x:v>317.16782025497514</x:v>
      </x:c>
      <x:c r="F1053" s="66" t="n">
        <x:v>317.16782025497514</x:v>
      </x:c>
      <x:c r="G1053" s="66" t="n">
        <x:v>390.0367364449072</x:v>
      </x:c>
      <x:c r="H1053" s="45" t="n">
        <x:v>1</x:v>
      </x:c>
      <x:c r="I1053" s="36" t="str">
        <x:v>generated design-reference observation; not predicted tract behavior</x:v>
      </x:c>
    </x:row>
    <x:row r="1054" ht="75.5999984741211" hidden="0" customHeight="1">
      <x:c r="A1054" s="34" t="str">
        <x:v>M0</x:v>
      </x:c>
      <x:c r="B1054" s="34" t="str">
        <x:v>48201553804</x:v>
      </x:c>
      <x:c r="C1054" s="65" t="n">
        <x:v>470.28640592201054</x:v>
      </x:c>
      <x:c r="D1054" s="65" t="n">
        <x:v>79.55783566389943</x:v>
      </x:c>
      <x:c r="E1054" s="65" t="n">
        <x:v>390.7285702581111</x:v>
      </x:c>
      <x:c r="F1054" s="65" t="n">
        <x:v>390.72857025811106</x:v>
      </x:c>
      <x:c r="G1054" s="65" t="n">
        <x:v>470.2864059220105</x:v>
      </x:c>
      <x:c r="H1054" s="43" t="n">
        <x:v>0.9999999999999999</x:v>
      </x:c>
      <x:c r="I1054" s="34" t="str">
        <x:v>generated design-reference observation; not predicted tract behavior</x:v>
      </x:c>
    </x:row>
    <x:row r="1055" ht="75.5999984741211" hidden="0" customHeight="1">
      <x:c r="A1055" s="36" t="str">
        <x:v>M0</x:v>
      </x:c>
      <x:c r="B1055" s="36" t="str">
        <x:v>48201553901</x:v>
      </x:c>
      <x:c r="C1055" s="66" t="n">
        <x:v>888.7093246249171</x:v>
      </x:c>
      <x:c r="D1055" s="66" t="n">
        <x:v>145.61515817623805</x:v>
      </x:c>
      <x:c r="E1055" s="66" t="n">
        <x:v>743.0941664486791</x:v>
      </x:c>
      <x:c r="F1055" s="66" t="n">
        <x:v>743.0941664486791</x:v>
      </x:c>
      <x:c r="G1055" s="66" t="n">
        <x:v>888.7093246249171</x:v>
      </x:c>
      <x:c r="H1055" s="45" t="n">
        <x:v>1</x:v>
      </x:c>
      <x:c r="I1055" s="36" t="str">
        <x:v>generated design-reference observation; not predicted tract behavior</x:v>
      </x:c>
    </x:row>
    <x:row r="1056" ht="75.5999984741211" hidden="0" customHeight="1">
      <x:c r="A1056" s="34" t="str">
        <x:v>M0</x:v>
      </x:c>
      <x:c r="B1056" s="34" t="str">
        <x:v>48201554001</x:v>
      </x:c>
      <x:c r="C1056" s="65" t="n">
        <x:v>286.8962034104793</x:v>
      </x:c>
      <x:c r="D1056" s="65" t="n">
        <x:v>45.116636410609836</x:v>
      </x:c>
      <x:c r="E1056" s="65" t="n">
        <x:v>241.77956699986947</x:v>
      </x:c>
      <x:c r="F1056" s="65" t="n">
        <x:v>241.77956699986947</x:v>
      </x:c>
      <x:c r="G1056" s="65" t="n">
        <x:v>286.8962034104793</x:v>
      </x:c>
      <x:c r="H1056" s="43" t="n">
        <x:v>1</x:v>
      </x:c>
      <x:c r="I1056" s="34" t="str">
        <x:v>generated design-reference observation; not predicted tract behavior</x:v>
      </x:c>
    </x:row>
    <x:row r="1057" ht="75.5999984741211" hidden="0" customHeight="1">
      <x:c r="A1057" s="36" t="str">
        <x:v>M0</x:v>
      </x:c>
      <x:c r="B1057" s="36" t="str">
        <x:v>48201554002</x:v>
      </x:c>
      <x:c r="C1057" s="66" t="n">
        <x:v>369.35439912264115</x:v>
      </x:c>
      <x:c r="D1057" s="66" t="n">
        <x:v>69.43862703505654</x:v>
      </x:c>
      <x:c r="E1057" s="66" t="n">
        <x:v>299.9157720875846</x:v>
      </x:c>
      <x:c r="F1057" s="66" t="n">
        <x:v>299.9157720875846</x:v>
      </x:c>
      <x:c r="G1057" s="66" t="n">
        <x:v>369.35439912264115</x:v>
      </x:c>
      <x:c r="H1057" s="45" t="n">
        <x:v>1</x:v>
      </x:c>
      <x:c r="I1057" s="36" t="str">
        <x:v>generated design-reference observation; not predicted tract behavior</x:v>
      </x:c>
    </x:row>
    <x:row r="1058" ht="75.5999984741211" hidden="0" customHeight="1">
      <x:c r="A1058" s="34" t="str">
        <x:v>M0</x:v>
      </x:c>
      <x:c r="B1058" s="34" t="str">
        <x:v>48201554103</x:v>
      </x:c>
      <x:c r="C1058" s="65" t="n">
        <x:v>411.3910630664526</x:v>
      </x:c>
      <x:c r="D1058" s="65" t="n">
        <x:v>77.3415198564931</x:v>
      </x:c>
      <x:c r="E1058" s="65" t="n">
        <x:v>334.0495432099595</x:v>
      </x:c>
      <x:c r="F1058" s="65" t="n">
        <x:v>73.19621345203356</x:v>
      </x:c>
      <x:c r="G1058" s="65" t="n">
        <x:v>150.53773330852664</x:v>
      </x:c>
      <x:c r="H1058" s="43" t="n">
        <x:v>0.36592368387013324</x:v>
      </x:c>
      <x:c r="I1058" s="34" t="str">
        <x:v>generated design-reference observation; not predicted tract behavior</x:v>
      </x:c>
    </x:row>
    <x:row r="1059" ht="75.5999984741211" hidden="0" customHeight="1">
      <x:c r="A1059" s="36" t="str">
        <x:v>M0</x:v>
      </x:c>
      <x:c r="B1059" s="36" t="str">
        <x:v>48201554104</x:v>
      </x:c>
      <x:c r="C1059" s="66" t="n">
        <x:v>325.58863990583006</x:v>
      </x:c>
      <x:c r="D1059" s="66" t="n">
        <x:v>61.21066430229605</x:v>
      </x:c>
      <x:c r="E1059" s="66" t="n">
        <x:v>264.377975603534</x:v>
      </x:c>
      <x:c r="F1059" s="66" t="n">
        <x:v>264.377975603534</x:v>
      </x:c>
      <x:c r="G1059" s="66" t="n">
        <x:v>325.58863990583006</x:v>
      </x:c>
      <x:c r="H1059" s="45" t="n">
        <x:v>1</x:v>
      </x:c>
      <x:c r="I1059" s="36" t="str">
        <x:v>generated design-reference observation; not predicted tract behavior</x:v>
      </x:c>
    </x:row>
    <x:row r="1060" ht="75.5999984741211" hidden="0" customHeight="1">
      <x:c r="A1060" s="34" t="str">
        <x:v>M0</x:v>
      </x:c>
      <x:c r="B1060" s="34" t="str">
        <x:v>48201554201</x:v>
      </x:c>
      <x:c r="C1060" s="65" t="n">
        <x:v>522.9255676988969</x:v>
      </x:c>
      <x:c r="D1060" s="65" t="n">
        <x:v>84.65526960946906</x:v>
      </x:c>
      <x:c r="E1060" s="65" t="n">
        <x:v>438.2702980894278</x:v>
      </x:c>
      <x:c r="F1060" s="65" t="n">
        <x:v>438.2702980894278</x:v>
      </x:c>
      <x:c r="G1060" s="65" t="n">
        <x:v>522.9255676988969</x:v>
      </x:c>
      <x:c r="H1060" s="43" t="n">
        <x:v>1</x:v>
      </x:c>
      <x:c r="I1060" s="34" t="str">
        <x:v>generated design-reference observation; not predicted tract behavior</x:v>
      </x:c>
    </x:row>
    <x:row r="1061" ht="75.5999984741211" hidden="0" customHeight="1">
      <x:c r="A1061" s="36" t="str">
        <x:v>M0</x:v>
      </x:c>
      <x:c r="B1061" s="36" t="str">
        <x:v>48201554202</x:v>
      </x:c>
      <x:c r="C1061" s="66" t="n">
        <x:v>256.9749956636176</x:v>
      </x:c>
      <x:c r="D1061" s="66" t="n">
        <x:v>39.86884811100794</x:v>
      </x:c>
      <x:c r="E1061" s="66" t="n">
        <x:v>217.10614755260968</x:v>
      </x:c>
      <x:c r="F1061" s="66" t="n">
        <x:v>149.06098631910592</x:v>
      </x:c>
      <x:c r="G1061" s="66" t="n">
        <x:v>188.92983443011386</x:v>
      </x:c>
      <x:c r="H1061" s="45" t="n">
        <x:v>0.7352070731326116</x:v>
      </x:c>
      <x:c r="I1061" s="36" t="str">
        <x:v>generated design-reference observation; not predicted tract behavior</x:v>
      </x:c>
    </x:row>
    <x:row r="1062" ht="75.5999984741211" hidden="0" customHeight="1">
      <x:c r="A1062" s="34" t="str">
        <x:v>M0</x:v>
      </x:c>
      <x:c r="B1062" s="34" t="str">
        <x:v>48201554301</x:v>
      </x:c>
      <x:c r="C1062" s="65" t="n">
        <x:v>638.0361557368631</x:v>
      </x:c>
      <x:c r="D1062" s="65" t="n">
        <x:v>115.57224999988446</x:v>
      </x:c>
      <x:c r="E1062" s="65" t="n">
        <x:v>522.4639057369786</x:v>
      </x:c>
      <x:c r="F1062" s="65" t="n">
        <x:v>522.4639057369786</x:v>
      </x:c>
      <x:c r="G1062" s="65" t="n">
        <x:v>638.0361557368631</x:v>
      </x:c>
      <x:c r="H1062" s="43" t="n">
        <x:v>1</x:v>
      </x:c>
      <x:c r="I1062" s="34" t="str">
        <x:v>generated design-reference observation; not predicted tract behavior</x:v>
      </x:c>
    </x:row>
    <x:row r="1063" ht="75.5999984741211" hidden="0" customHeight="1">
      <x:c r="A1063" s="36" t="str">
        <x:v>M0</x:v>
      </x:c>
      <x:c r="B1063" s="36" t="str">
        <x:v>48201554302</x:v>
      </x:c>
      <x:c r="C1063" s="66" t="n">
        <x:v>690.3222435139481</x:v>
      </x:c>
      <x:c r="D1063" s="66" t="n">
        <x:v>110.68099697334871</x:v>
      </x:c>
      <x:c r="E1063" s="66" t="n">
        <x:v>579.6412465405995</x:v>
      </x:c>
      <x:c r="F1063" s="66" t="n">
        <x:v>579.6412465405995</x:v>
      </x:c>
      <x:c r="G1063" s="66" t="n">
        <x:v>690.3222435139481</x:v>
      </x:c>
      <x:c r="H1063" s="45" t="n">
        <x:v>1</x:v>
      </x:c>
      <x:c r="I1063" s="36" t="str">
        <x:v>generated design-reference observation; not predicted tract behavior</x:v>
      </x:c>
    </x:row>
    <x:row r="1064" ht="75.5999984741211" hidden="0" customHeight="1">
      <x:c r="A1064" s="34" t="str">
        <x:v>M0</x:v>
      </x:c>
      <x:c r="B1064" s="34" t="str">
        <x:v>48201554404</x:v>
      </x:c>
      <x:c r="C1064" s="65" t="n">
        <x:v>381.6663434187953</x:v>
      </x:c>
      <x:c r="D1064" s="65" t="n">
        <x:v>71.75327256273351</x:v>
      </x:c>
      <x:c r="E1064" s="65" t="n">
        <x:v>309.9130708560618</x:v>
      </x:c>
      <x:c r="F1064" s="65" t="n">
        <x:v>309.9130708560618</x:v>
      </x:c>
      <x:c r="G1064" s="65" t="n">
        <x:v>381.6663434187953</x:v>
      </x:c>
      <x:c r="H1064" s="43" t="n">
        <x:v>1</x:v>
      </x:c>
      <x:c r="I1064" s="34" t="str">
        <x:v>generated design-reference observation; not predicted tract behavior</x:v>
      </x:c>
    </x:row>
    <x:row r="1065" ht="75.5999984741211" hidden="0" customHeight="1">
      <x:c r="A1065" s="36" t="str">
        <x:v>M0</x:v>
      </x:c>
      <x:c r="B1065" s="36" t="str">
        <x:v>48201554405</x:v>
      </x:c>
      <x:c r="C1065" s="66" t="n">
        <x:v>713.1103286809196</x:v>
      </x:c>
      <x:c r="D1065" s="66" t="n">
        <x:v>133.29858806079943</x:v>
      </x:c>
      <x:c r="E1065" s="66" t="n">
        <x:v>579.8117406201202</x:v>
      </x:c>
      <x:c r="F1065" s="66" t="n">
        <x:v>579.8117406201202</x:v>
      </x:c>
      <x:c r="G1065" s="66" t="n">
        <x:v>713.1103286809196</x:v>
      </x:c>
      <x:c r="H1065" s="45" t="n">
        <x:v>1</x:v>
      </x:c>
      <x:c r="I1065" s="36" t="str">
        <x:v>generated design-reference observation; not predicted tract behavior</x:v>
      </x:c>
    </x:row>
    <x:row r="1066" ht="75.5999984741211" hidden="0" customHeight="1">
      <x:c r="A1066" s="34" t="str">
        <x:v>M0</x:v>
      </x:c>
      <x:c r="B1066" s="34" t="str">
        <x:v>48201554406</x:v>
      </x:c>
      <x:c r="C1066" s="65" t="n">
        <x:v>710.422371483802</x:v>
      </x:c>
      <x:c r="D1066" s="65" t="n">
        <x:v>116.50926892334354</x:v>
      </x:c>
      <x:c r="E1066" s="65" t="n">
        <x:v>593.9131025604584</x:v>
      </x:c>
      <x:c r="F1066" s="65" t="n">
        <x:v>593.9131025604584</x:v>
      </x:c>
      <x:c r="G1066" s="65" t="n">
        <x:v>710.422371483802</x:v>
      </x:c>
      <x:c r="H1066" s="43" t="n">
        <x:v>1</x:v>
      </x:c>
      <x:c r="I1066" s="34" t="str">
        <x:v>generated design-reference observation; not predicted tract behavior</x:v>
      </x:c>
    </x:row>
    <x:row r="1067" ht="75.5999984741211" hidden="0" customHeight="1">
      <x:c r="A1067" s="36" t="str">
        <x:v>M0</x:v>
      </x:c>
      <x:c r="B1067" s="36" t="str">
        <x:v>48201554407</x:v>
      </x:c>
      <x:c r="C1067" s="66" t="n">
        <x:v>506.1061864069913</x:v>
      </x:c>
      <x:c r="D1067" s="66" t="n">
        <x:v>94.48335944563804</x:v>
      </x:c>
      <x:c r="E1067" s="66" t="n">
        <x:v>411.62282696135327</x:v>
      </x:c>
      <x:c r="F1067" s="66" t="n">
        <x:v>292.3866820393992</x:v>
      </x:c>
      <x:c r="G1067" s="66" t="n">
        <x:v>386.87004148503723</x:v>
      </x:c>
      <x:c r="H1067" s="45" t="n">
        <x:v>0.7644048855271868</x:v>
      </x:c>
      <x:c r="I1067" s="36" t="str">
        <x:v>generated design-reference observation; not predicted tract behavior</x:v>
      </x:c>
    </x:row>
    <x:row r="1068" ht="75.5999984741211" hidden="0" customHeight="1">
      <x:c r="A1068" s="34" t="str">
        <x:v>M0</x:v>
      </x:c>
      <x:c r="B1068" s="34" t="str">
        <x:v>48201554408</x:v>
      </x:c>
      <x:c r="C1068" s="65" t="n">
        <x:v>1574.3738933195682</x:v>
      </x:c>
      <x:c r="D1068" s="65" t="n">
        <x:v>138.1082092944584</x:v>
      </x:c>
      <x:c r="E1068" s="65" t="n">
        <x:v>1436.2656840251097</x:v>
      </x:c>
      <x:c r="F1068" s="65" t="n">
        <x:v>1436.2656840251097</x:v>
      </x:c>
      <x:c r="G1068" s="65" t="n">
        <x:v>1574.3738933195682</x:v>
      </x:c>
      <x:c r="H1068" s="43" t="n">
        <x:v>1</x:v>
      </x:c>
      <x:c r="I1068" s="34" t="str">
        <x:v>generated design-reference observation; not predicted tract behavior</x:v>
      </x:c>
    </x:row>
    <x:row r="1069" ht="75.5999984741211" hidden="0" customHeight="1">
      <x:c r="A1069" s="36" t="str">
        <x:v>M0</x:v>
      </x:c>
      <x:c r="B1069" s="36" t="str">
        <x:v>48201554409</x:v>
      </x:c>
      <x:c r="C1069" s="66" t="n">
        <x:v>572.9435782323953</x:v>
      </x:c>
      <x:c r="D1069" s="66" t="n">
        <x:v>102.01979096946584</x:v>
      </x:c>
      <x:c r="E1069" s="66" t="n">
        <x:v>470.9237872629295</x:v>
      </x:c>
      <x:c r="F1069" s="66" t="n">
        <x:v>319.95731365258536</x:v>
      </x:c>
      <x:c r="G1069" s="66" t="n">
        <x:v>421.97710462205123</x:v>
      </x:c>
      <x:c r="H1069" s="45" t="n">
        <x:v>0.7365072594476142</x:v>
      </x:c>
      <x:c r="I1069" s="36" t="str">
        <x:v>generated design-reference observation; not predicted tract behavior</x:v>
      </x:c>
    </x:row>
    <x:row r="1070" ht="75.5999984741211" hidden="0" customHeight="1">
      <x:c r="A1070" s="34" t="str">
        <x:v>M0</x:v>
      </x:c>
      <x:c r="B1070" s="34" t="str">
        <x:v>48201554410</x:v>
      </x:c>
      <x:c r="C1070" s="65" t="n">
        <x:v>364.54044069213086</x:v>
      </x:c>
      <x:c r="D1070" s="65" t="n">
        <x:v>65.55747534396338</x:v>
      </x:c>
      <x:c r="E1070" s="65" t="n">
        <x:v>298.98296534816745</x:v>
      </x:c>
      <x:c r="F1070" s="65" t="n">
        <x:v>92.86439675895768</x:v>
      </x:c>
      <x:c r="G1070" s="65" t="n">
        <x:v>158.42187210292104</x:v>
      </x:c>
      <x:c r="H1070" s="43" t="n">
        <x:v>0.4345796910821061</x:v>
      </x:c>
      <x:c r="I1070" s="34" t="str">
        <x:v>generated design-reference observation; not predicted tract behavior</x:v>
      </x:c>
    </x:row>
    <x:row r="1071" ht="75.5999984741211" hidden="0" customHeight="1">
      <x:c r="A1071" s="36" t="str">
        <x:v>M0</x:v>
      </x:c>
      <x:c r="B1071" s="36" t="str">
        <x:v>48201554501</x:v>
      </x:c>
      <x:c r="C1071" s="66" t="n">
        <x:v>921.5328127417208</x:v>
      </x:c>
      <x:c r="D1071" s="66" t="n">
        <x:v>151.13138128964223</x:v>
      </x:c>
      <x:c r="E1071" s="66" t="n">
        <x:v>770.4014314520786</x:v>
      </x:c>
      <x:c r="F1071" s="66" t="n">
        <x:v>770.4014314520786</x:v>
      </x:c>
      <x:c r="G1071" s="66" t="n">
        <x:v>921.5328127417208</x:v>
      </x:c>
      <x:c r="H1071" s="45" t="n">
        <x:v>1</x:v>
      </x:c>
      <x:c r="I1071" s="36" t="str">
        <x:v>generated design-reference observation; not predicted tract behavior</x:v>
      </x:c>
    </x:row>
    <x:row r="1072" ht="75.5999984741211" hidden="0" customHeight="1">
      <x:c r="A1072" s="34" t="str">
        <x:v>M0</x:v>
      </x:c>
      <x:c r="B1072" s="34" t="str">
        <x:v>48201554502</x:v>
      </x:c>
      <x:c r="C1072" s="65" t="n">
        <x:v>846.750046763254</x:v>
      </x:c>
      <x:c r="D1072" s="65" t="n">
        <x:v>138.86700766917366</x:v>
      </x:c>
      <x:c r="E1072" s="65" t="n">
        <x:v>707.8830390940803</x:v>
      </x:c>
      <x:c r="F1072" s="65" t="n">
        <x:v>707.8830390940803</x:v>
      </x:c>
      <x:c r="G1072" s="65" t="n">
        <x:v>846.750046763254</x:v>
      </x:c>
      <x:c r="H1072" s="43" t="n">
        <x:v>1</x:v>
      </x:c>
      <x:c r="I1072" s="34" t="str">
        <x:v>generated design-reference observation; not predicted tract behavior</x:v>
      </x:c>
    </x:row>
    <x:row r="1073" ht="75.5999984741211" hidden="0" customHeight="1">
      <x:c r="A1073" s="36" t="str">
        <x:v>M0</x:v>
      </x:c>
      <x:c r="B1073" s="36" t="str">
        <x:v>48201554600</x:v>
      </x:c>
      <x:c r="C1073" s="66" t="n">
        <x:v>373.02086705379713</x:v>
      </x:c>
      <x:c r="D1073" s="66" t="n">
        <x:v>69.43282244768322</x:v>
      </x:c>
      <x:c r="E1073" s="66" t="n">
        <x:v>303.5880446061139</x:v>
      </x:c>
      <x:c r="F1073" s="66" t="n">
        <x:v>303.5880446061139</x:v>
      </x:c>
      <x:c r="G1073" s="66" t="n">
        <x:v>373.02086705379713</x:v>
      </x:c>
      <x:c r="H1073" s="45" t="n">
        <x:v>1</x:v>
      </x:c>
      <x:c r="I1073" s="36" t="str">
        <x:v>generated design-reference observation; not predicted tract behavior</x:v>
      </x:c>
    </x:row>
    <x:row r="1074" ht="75.5999984741211" hidden="0" customHeight="1">
      <x:c r="A1074" s="34" t="str">
        <x:v>M0</x:v>
      </x:c>
      <x:c r="B1074" s="34" t="str">
        <x:v>48201554701</x:v>
      </x:c>
      <x:c r="C1074" s="65" t="n">
        <x:v>269.15725781429677</x:v>
      </x:c>
      <x:c r="D1074" s="65" t="n">
        <x:v>44.83052774401004</x:v>
      </x:c>
      <x:c r="E1074" s="65" t="n">
        <x:v>224.32673007028671</x:v>
      </x:c>
      <x:c r="F1074" s="65" t="n">
        <x:v>56.3629030426526</x:v>
      </x:c>
      <x:c r="G1074" s="65" t="n">
        <x:v>101.19343078666265</x:v>
      </x:c>
      <x:c r="H1074" s="43" t="n">
        <x:v>0.3759639684562412</x:v>
      </x:c>
      <x:c r="I1074" s="34" t="str">
        <x:v>generated design-reference observation; not predicted tract behavior</x:v>
      </x:c>
    </x:row>
    <x:row r="1075" ht="75.5999984741211" hidden="0" customHeight="1">
      <x:c r="A1075" s="36" t="str">
        <x:v>M0</x:v>
      </x:c>
      <x:c r="B1075" s="36" t="str">
        <x:v>48201554702</x:v>
      </x:c>
      <x:c r="C1075" s="66" t="n">
        <x:v>350.9906213709883</x:v>
      </x:c>
      <x:c r="D1075" s="66" t="n">
        <x:v>65.9862368177458</x:v>
      </x:c>
      <x:c r="E1075" s="66" t="n">
        <x:v>285.0043845532425</x:v>
      </x:c>
      <x:c r="F1075" s="66" t="n">
        <x:v>285.0043845532425</x:v>
      </x:c>
      <x:c r="G1075" s="66" t="n">
        <x:v>350.9906213709883</x:v>
      </x:c>
      <x:c r="H1075" s="45" t="n">
        <x:v>1</x:v>
      </x:c>
      <x:c r="I1075" s="36" t="str">
        <x:v>generated design-reference observation; not predicted tract behavior</x:v>
      </x:c>
    </x:row>
    <x:row r="1076" ht="75.5999984741211" hidden="0" customHeight="1">
      <x:c r="A1076" s="34" t="str">
        <x:v>M0</x:v>
      </x:c>
      <x:c r="B1076" s="34" t="str">
        <x:v>48201554803</x:v>
      </x:c>
      <x:c r="C1076" s="65" t="n">
        <x:v>642.6103986863438</x:v>
      </x:c>
      <x:c r="D1076" s="65" t="n">
        <x:v>119.29394077890304</x:v>
      </x:c>
      <x:c r="E1076" s="65" t="n">
        <x:v>523.3164579074408</x:v>
      </x:c>
      <x:c r="F1076" s="65" t="n">
        <x:v>302.5274404680582</x:v>
      </x:c>
      <x:c r="G1076" s="65" t="n">
        <x:v>421.82138124696127</x:v>
      </x:c>
      <x:c r="H1076" s="43" t="n">
        <x:v>0.656418542415855</x:v>
      </x:c>
      <x:c r="I1076" s="34" t="str">
        <x:v>generated design-reference observation; not predicted tract behavior</x:v>
      </x:c>
    </x:row>
    <x:row r="1077" ht="75.5999984741211" hidden="0" customHeight="1">
      <x:c r="A1077" s="36" t="str">
        <x:v>M0</x:v>
      </x:c>
      <x:c r="B1077" s="36" t="str">
        <x:v>48201554804</x:v>
      </x:c>
      <x:c r="C1077" s="66" t="n">
        <x:v>373.405983728238</x:v>
      </x:c>
      <x:c r="D1077" s="66" t="n">
        <x:v>65.89420206769519</x:v>
      </x:c>
      <x:c r="E1077" s="66" t="n">
        <x:v>307.51178166054285</x:v>
      </x:c>
      <x:c r="F1077" s="66" t="n">
        <x:v>307.51178166054285</x:v>
      </x:c>
      <x:c r="G1077" s="66" t="n">
        <x:v>373.405983728238</x:v>
      </x:c>
      <x:c r="H1077" s="45" t="n">
        <x:v>1</x:v>
      </x:c>
      <x:c r="I1077" s="36" t="str">
        <x:v>generated design-reference observation; not predicted tract behavior</x:v>
      </x:c>
    </x:row>
    <x:row r="1078" ht="75.5999984741211" hidden="0" customHeight="1">
      <x:c r="A1078" s="34" t="str">
        <x:v>M0</x:v>
      </x:c>
      <x:c r="B1078" s="34" t="str">
        <x:v>48201554805</x:v>
      </x:c>
      <x:c r="C1078" s="65" t="n">
        <x:v>714.6193572828101</x:v>
      </x:c>
      <x:c r="D1078" s="65" t="n">
        <x:v>134.3484391691683</x:v>
      </x:c>
      <x:c r="E1078" s="65" t="n">
        <x:v>580.2709181136419</x:v>
      </x:c>
      <x:c r="F1078" s="65" t="n">
        <x:v>580.2709181136419</x:v>
      </x:c>
      <x:c r="G1078" s="65" t="n">
        <x:v>714.6193572828101</x:v>
      </x:c>
      <x:c r="H1078" s="43" t="n">
        <x:v>1</x:v>
      </x:c>
      <x:c r="I1078" s="34" t="str">
        <x:v>generated design-reference observation; not predicted tract behavior</x:v>
      </x:c>
    </x:row>
    <x:row r="1079" ht="75.5999984741211" hidden="0" customHeight="1">
      <x:c r="A1079" s="36" t="str">
        <x:v>M0</x:v>
      </x:c>
      <x:c r="B1079" s="36" t="str">
        <x:v>48201554806</x:v>
      </x:c>
      <x:c r="C1079" s="66" t="n">
        <x:v>165.58445096161898</x:v>
      </x:c>
      <x:c r="D1079" s="66" t="n">
        <x:v>31.129876780784368</x:v>
      </x:c>
      <x:c r="E1079" s="66" t="n">
        <x:v>134.4545741808346</x:v>
      </x:c>
      <x:c r="F1079" s="66" t="n">
        <x:v>134.4545741808346</x:v>
      </x:c>
      <x:c r="G1079" s="66" t="n">
        <x:v>165.58445096161898</x:v>
      </x:c>
      <x:c r="H1079" s="45" t="n">
        <x:v>1</x:v>
      </x:c>
      <x:c r="I1079" s="36" t="str">
        <x:v>generated design-reference observation; not predicted tract behavior</x:v>
      </x:c>
    </x:row>
    <x:row r="1080" ht="75.5999984741211" hidden="0" customHeight="1">
      <x:c r="A1080" s="34" t="str">
        <x:v>M0</x:v>
      </x:c>
      <x:c r="B1080" s="34" t="str">
        <x:v>48201554807</x:v>
      </x:c>
      <x:c r="C1080" s="65" t="n">
        <x:v>532.8285678988038</x:v>
      </x:c>
      <x:c r="D1080" s="65" t="n">
        <x:v>100.17177076497512</x:v>
      </x:c>
      <x:c r="E1080" s="65" t="n">
        <x:v>432.6567971338287</x:v>
      </x:c>
      <x:c r="F1080" s="65" t="n">
        <x:v>304.10529519741993</x:v>
      </x:c>
      <x:c r="G1080" s="65" t="n">
        <x:v>404.27706596239506</x:v>
      </x:c>
      <x:c r="H1080" s="43" t="n">
        <x:v>0.7587375946388377</x:v>
      </x:c>
      <x:c r="I1080" s="34" t="str">
        <x:v>generated design-reference observation; not predicted tract behavior</x:v>
      </x:c>
    </x:row>
    <x:row r="1081" ht="75.5999984741211" hidden="0" customHeight="1">
      <x:c r="A1081" s="36" t="str">
        <x:v>M0</x:v>
      </x:c>
      <x:c r="B1081" s="36" t="str">
        <x:v>48201554808</x:v>
      </x:c>
      <x:c r="C1081" s="66" t="n">
        <x:v>255.87466230807235</x:v>
      </x:c>
      <x:c r="D1081" s="66" t="n">
        <x:v>48.1044365139176</x:v>
      </x:c>
      <x:c r="E1081" s="66" t="n">
        <x:v>207.77022579415475</x:v>
      </x:c>
      <x:c r="F1081" s="66" t="n">
        <x:v>149.4489721509606</x:v>
      </x:c>
      <x:c r="G1081" s="66" t="n">
        <x:v>197.5534086648782</x:v>
      </x:c>
      <x:c r="H1081" s="45" t="n">
        <x:v>0.7720710088403535</x:v>
      </x:c>
      <x:c r="I1081" s="36" t="str">
        <x:v>generated design-reference observation; not predicted tract behavior</x:v>
      </x:c>
    </x:row>
    <x:row r="1082" ht="75.5999984741211" hidden="0" customHeight="1">
      <x:c r="A1082" s="34" t="str">
        <x:v>M0</x:v>
      </x:c>
      <x:c r="B1082" s="34" t="str">
        <x:v>48201554809</x:v>
      </x:c>
      <x:c r="C1082" s="65" t="n">
        <x:v>873.0123438135446</x:v>
      </x:c>
      <x:c r="D1082" s="65" t="n">
        <x:v>157.75177157649352</x:v>
      </x:c>
      <x:c r="E1082" s="65" t="n">
        <x:v>715.2605722370511</x:v>
      </x:c>
      <x:c r="F1082" s="65" t="n">
        <x:v>490.44592494858244</x:v>
      </x:c>
      <x:c r="G1082" s="65" t="n">
        <x:v>648.197696525076</x:v>
      </x:c>
      <x:c r="H1082" s="43" t="n">
        <x:v>0.7424839993597114</x:v>
      </x:c>
      <x:c r="I1082" s="34" t="str">
        <x:v>generated design-reference observation; not predicted tract behavior</x:v>
      </x:c>
    </x:row>
    <x:row r="1083" ht="75.5999984741211" hidden="0" customHeight="1">
      <x:c r="A1083" s="36" t="str">
        <x:v>M0</x:v>
      </x:c>
      <x:c r="B1083" s="36" t="str">
        <x:v>48201554902</x:v>
      </x:c>
      <x:c r="C1083" s="66" t="n">
        <x:v>897.2432562074438</x:v>
      </x:c>
      <x:c r="D1083" s="66" t="n">
        <x:v>160.1298850812098</x:v>
      </x:c>
      <x:c r="E1083" s="66" t="n">
        <x:v>737.1133711262339</x:v>
      </x:c>
      <x:c r="F1083" s="66" t="n">
        <x:v>224.24057428502974</x:v>
      </x:c>
      <x:c r="G1083" s="66" t="n">
        <x:v>384.3704593662395</x:v>
      </x:c>
      <x:c r="H1083" s="45" t="n">
        <x:v>0.42839046903616135</x:v>
      </x:c>
      <x:c r="I1083" s="36" t="str">
        <x:v>generated design-reference observation; not predicted tract behavior</x:v>
      </x:c>
    </x:row>
    <x:row r="1084" ht="75.5999984741211" hidden="0" customHeight="1">
      <x:c r="A1084" s="34" t="str">
        <x:v>M0</x:v>
      </x:c>
      <x:c r="B1084" s="34" t="str">
        <x:v>48201554904</x:v>
      </x:c>
      <x:c r="C1084" s="65" t="n">
        <x:v>313.02912060467827</x:v>
      </x:c>
      <x:c r="D1084" s="65" t="n">
        <x:v>57.53682116699281</x:v>
      </x:c>
      <x:c r="E1084" s="65" t="n">
        <x:v>255.49229943768546</x:v>
      </x:c>
      <x:c r="F1084" s="65" t="n">
        <x:v>255.49229943768546</x:v>
      </x:c>
      <x:c r="G1084" s="65" t="n">
        <x:v>313.02912060467827</x:v>
      </x:c>
      <x:c r="H1084" s="43" t="n">
        <x:v>1</x:v>
      </x:c>
      <x:c r="I1084" s="34" t="str">
        <x:v>generated design-reference observation; not predicted tract behavior</x:v>
      </x:c>
    </x:row>
    <x:row r="1085" ht="75.5999984741211" hidden="0" customHeight="1">
      <x:c r="A1085" s="36" t="str">
        <x:v>M0</x:v>
      </x:c>
      <x:c r="B1085" s="36" t="str">
        <x:v>48201554905</x:v>
      </x:c>
      <x:c r="C1085" s="66" t="n">
        <x:v>659.5830406956288</x:v>
      </x:c>
      <x:c r="D1085" s="66" t="n">
        <x:v>123.43027316706302</x:v>
      </x:c>
      <x:c r="E1085" s="66" t="n">
        <x:v>536.1527675285658</x:v>
      </x:c>
      <x:c r="F1085" s="66" t="n">
        <x:v>179.91061914741738</x:v>
      </x:c>
      <x:c r="G1085" s="66" t="n">
        <x:v>303.3408923144804</x:v>
      </x:c>
      <x:c r="H1085" s="45" t="n">
        <x:v>0.459897956130834</x:v>
      </x:c>
      <x:c r="I1085" s="36" t="str">
        <x:v>generated design-reference observation; not predicted tract behavior</x:v>
      </x:c>
    </x:row>
    <x:row r="1086" ht="75.5999984741211" hidden="0" customHeight="1">
      <x:c r="A1086" s="34" t="str">
        <x:v>M0</x:v>
      </x:c>
      <x:c r="B1086" s="34" t="str">
        <x:v>48201554906</x:v>
      </x:c>
      <x:c r="C1086" s="65" t="n">
        <x:v>672.9336513131165</x:v>
      </x:c>
      <x:c r="D1086" s="65" t="n">
        <x:v>100.65354960370281</x:v>
      </x:c>
      <x:c r="E1086" s="65" t="n">
        <x:v>572.2801017094137</x:v>
      </x:c>
      <x:c r="F1086" s="65" t="n">
        <x:v>572.2801017094137</x:v>
      </x:c>
      <x:c r="G1086" s="65" t="n">
        <x:v>672.9336513131165</x:v>
      </x:c>
      <x:c r="H1086" s="43" t="n">
        <x:v>1</x:v>
      </x:c>
      <x:c r="I1086" s="34" t="str">
        <x:v>generated design-reference observation; not predicted tract behavior</x:v>
      </x:c>
    </x:row>
    <x:row r="1087" ht="75.5999984741211" hidden="0" customHeight="1">
      <x:c r="A1087" s="36" t="str">
        <x:v>M0</x:v>
      </x:c>
      <x:c r="B1087" s="36" t="str">
        <x:v>48201554907</x:v>
      </x:c>
      <x:c r="C1087" s="66" t="n">
        <x:v>350.2518261179793</x:v>
      </x:c>
      <x:c r="D1087" s="66" t="n">
        <x:v>61.624524554418564</x:v>
      </x:c>
      <x:c r="E1087" s="66" t="n">
        <x:v>288.62730156356076</x:v>
      </x:c>
      <x:c r="F1087" s="66" t="n">
        <x:v>288.62730156356076</x:v>
      </x:c>
      <x:c r="G1087" s="66" t="n">
        <x:v>350.2518261179793</x:v>
      </x:c>
      <x:c r="H1087" s="45" t="n">
        <x:v>1</x:v>
      </x:c>
      <x:c r="I1087" s="36" t="str">
        <x:v>generated design-reference observation; not predicted tract behavior</x:v>
      </x:c>
    </x:row>
    <x:row r="1088" ht="75.5999984741211" hidden="0" customHeight="1">
      <x:c r="A1088" s="34" t="str">
        <x:v>M0</x:v>
      </x:c>
      <x:c r="B1088" s="34" t="str">
        <x:v>48201554908</x:v>
      </x:c>
      <x:c r="C1088" s="65" t="n">
        <x:v>614.4733028802591</x:v>
      </x:c>
      <x:c r="D1088" s="65" t="n">
        <x:v>115.52098094148872</x:v>
      </x:c>
      <x:c r="E1088" s="65" t="n">
        <x:v>498.9523219387704</x:v>
      </x:c>
      <x:c r="F1088" s="65" t="n">
        <x:v>420.26361289716937</x:v>
      </x:c>
      <x:c r="G1088" s="65" t="n">
        <x:v>535.7845938386581</x:v>
      </x:c>
      <x:c r="H1088" s="43" t="n">
        <x:v>0.8719412077420475</x:v>
      </x:c>
      <x:c r="I1088" s="34" t="str">
        <x:v>generated design-reference observation; not predicted tract behavior</x:v>
      </x:c>
    </x:row>
    <x:row r="1089" ht="75.5999984741211" hidden="0" customHeight="1">
      <x:c r="A1089" s="36" t="str">
        <x:v>M0</x:v>
      </x:c>
      <x:c r="B1089" s="36" t="str">
        <x:v>48201555001</x:v>
      </x:c>
      <x:c r="C1089" s="66" t="n">
        <x:v>197.55699446417577</x:v>
      </x:c>
      <x:c r="D1089" s="66" t="n">
        <x:v>37.14071495926505</x:v>
      </x:c>
      <x:c r="E1089" s="66" t="n">
        <x:v>160.41627950491073</x:v>
      </x:c>
      <x:c r="F1089" s="66" t="n">
        <x:v>115.73461727907068</x:v>
      </x:c>
      <x:c r="G1089" s="66" t="n">
        <x:v>152.87533223833572</x:v>
      </x:c>
      <x:c r="H1089" s="45" t="n">
        <x:v>0.77382900389314</x:v>
      </x:c>
      <x:c r="I1089" s="36" t="str">
        <x:v>generated design-reference observation; not predicted tract behavior</x:v>
      </x:c>
    </x:row>
    <x:row r="1090" ht="75.5999984741211" hidden="0" customHeight="1">
      <x:c r="A1090" s="34" t="str">
        <x:v>M0</x:v>
      </x:c>
      <x:c r="B1090" s="34" t="str">
        <x:v>48201555002</x:v>
      </x:c>
      <x:c r="C1090" s="65" t="n">
        <x:v>388.9206840414256</x:v>
      </x:c>
      <x:c r="D1090" s="65" t="n">
        <x:v>73.117088599788</x:v>
      </x:c>
      <x:c r="E1090" s="65" t="n">
        <x:v>315.8035954416376</x:v>
      </x:c>
      <x:c r="F1090" s="65" t="n">
        <x:v>107.38480648367421</x:v>
      </x:c>
      <x:c r="G1090" s="65" t="n">
        <x:v>180.50189508346222</x:v>
      </x:c>
      <x:c r="H1090" s="43" t="n">
        <x:v>0.46410978507956185</x:v>
      </x:c>
      <x:c r="I1090" s="34" t="str">
        <x:v>generated design-reference observation; not predicted tract behavior</x:v>
      </x:c>
    </x:row>
    <x:row r="1091" ht="75.5999984741211" hidden="0" customHeight="1">
      <x:c r="A1091" s="36" t="str">
        <x:v>M0</x:v>
      </x:c>
      <x:c r="B1091" s="36" t="str">
        <x:v>48201555101</x:v>
      </x:c>
      <x:c r="C1091" s="66" t="n">
        <x:v>419.3920584660599</x:v>
      </x:c>
      <x:c r="D1091" s="66" t="n">
        <x:v>73.92111842371543</x:v>
      </x:c>
      <x:c r="E1091" s="66" t="n">
        <x:v>345.47094004234447</x:v>
      </x:c>
      <x:c r="F1091" s="66" t="n">
        <x:v>345.47094004234447</x:v>
      </x:c>
      <x:c r="G1091" s="66" t="n">
        <x:v>419.3920584660599</x:v>
      </x:c>
      <x:c r="H1091" s="45" t="n">
        <x:v>1</x:v>
      </x:c>
      <x:c r="I1091" s="36" t="str">
        <x:v>generated design-reference observation; not predicted tract behavior</x:v>
      </x:c>
    </x:row>
    <x:row r="1092" ht="75.5999984741211" hidden="0" customHeight="1">
      <x:c r="A1092" s="34" t="str">
        <x:v>M0</x:v>
      </x:c>
      <x:c r="B1092" s="34" t="str">
        <x:v>48201555102</x:v>
      </x:c>
      <x:c r="C1092" s="65" t="n">
        <x:v>486.76389792130004</x:v>
      </x:c>
      <x:c r="D1092" s="65" t="n">
        <x:v>75.03633271069215</x:v>
      </x:c>
      <x:c r="E1092" s="65" t="n">
        <x:v>411.7275652106079</x:v>
      </x:c>
      <x:c r="F1092" s="65" t="n">
        <x:v>411.7275652106079</x:v>
      </x:c>
      <x:c r="G1092" s="65" t="n">
        <x:v>486.76389792130004</x:v>
      </x:c>
      <x:c r="H1092" s="43" t="n">
        <x:v>1</x:v>
      </x:c>
      <x:c r="I1092" s="34" t="str">
        <x:v>generated design-reference observation; not predicted tract behavior</x:v>
      </x:c>
    </x:row>
    <x:row r="1093" ht="75.5999984741211" hidden="0" customHeight="1">
      <x:c r="A1093" s="36" t="str">
        <x:v>M0</x:v>
      </x:c>
      <x:c r="B1093" s="36" t="str">
        <x:v>48201555200</x:v>
      </x:c>
      <x:c r="C1093" s="66" t="n">
        <x:v>1021.1958087096126</x:v>
      </x:c>
      <x:c r="D1093" s="66" t="n">
        <x:v>179.5326826907511</x:v>
      </x:c>
      <x:c r="E1093" s="66" t="n">
        <x:v>841.6631260188615</x:v>
      </x:c>
      <x:c r="F1093" s="66" t="n">
        <x:v>266.37172528514674</x:v>
      </x:c>
      <x:c r="G1093" s="66" t="n">
        <x:v>445.9044079758978</x:v>
      </x:c>
      <x:c r="H1093" s="45" t="n">
        <x:v>0.4366492735015673</x:v>
      </x:c>
      <x:c r="I1093" s="36" t="str">
        <x:v>generated design-reference observation; not predicted tract behavior</x:v>
      </x:c>
    </x:row>
    <x:row r="1094" ht="75.5999984741211" hidden="0" customHeight="1">
      <x:c r="A1094" s="34" t="str">
        <x:v>M0</x:v>
      </x:c>
      <x:c r="B1094" s="34" t="str">
        <x:v>48201555301</x:v>
      </x:c>
      <x:c r="C1094" s="65" t="n">
        <x:v>710.1303599394458</x:v>
      </x:c>
      <x:c r="D1094" s="65" t="n">
        <x:v>101.58020282067142</x:v>
      </x:c>
      <x:c r="E1094" s="65" t="n">
        <x:v>608.5501571187745</x:v>
      </x:c>
      <x:c r="F1094" s="65" t="n">
        <x:v>608.5501571187745</x:v>
      </x:c>
      <x:c r="G1094" s="65" t="n">
        <x:v>710.1303599394458</x:v>
      </x:c>
      <x:c r="H1094" s="43" t="n">
        <x:v>1</x:v>
      </x:c>
      <x:c r="I1094" s="34" t="str">
        <x:v>generated design-reference observation; not predicted tract behavior</x:v>
      </x:c>
    </x:row>
    <x:row r="1095" ht="75.5999984741211" hidden="0" customHeight="1">
      <x:c r="A1095" s="36" t="str">
        <x:v>M0</x:v>
      </x:c>
      <x:c r="B1095" s="36" t="str">
        <x:v>48201555303</x:v>
      </x:c>
      <x:c r="C1095" s="66" t="n">
        <x:v>1303.6120834582293</x:v>
      </x:c>
      <x:c r="D1095" s="66" t="n">
        <x:v>243.99194044448762</x:v>
      </x:c>
      <x:c r="E1095" s="66" t="n">
        <x:v>1059.6201430137417</x:v>
      </x:c>
      <x:c r="F1095" s="66" t="n">
        <x:v>230.21733988682666</x:v>
      </x:c>
      <x:c r="G1095" s="66" t="n">
        <x:v>474.2092803313143</x:v>
      </x:c>
      <x:c r="H1095" s="45" t="n">
        <x:v>0.36376563730011563</x:v>
      </x:c>
      <x:c r="I1095" s="36" t="str">
        <x:v>generated design-reference observation; not predicted tract behavior</x:v>
      </x:c>
    </x:row>
    <x:row r="1096" ht="75.5999984741211" hidden="0" customHeight="1">
      <x:c r="A1096" s="34" t="str">
        <x:v>M0</x:v>
      </x:c>
      <x:c r="B1096" s="34" t="str">
        <x:v>48201555304</x:v>
      </x:c>
      <x:c r="C1096" s="65" t="n">
        <x:v>752.3450723300748</x:v>
      </x:c>
      <x:c r="D1096" s="65" t="n">
        <x:v>134.00318031963877</x:v>
      </x:c>
      <x:c r="E1096" s="65" t="n">
        <x:v>618.341892010436</x:v>
      </x:c>
      <x:c r="F1096" s="65" t="n">
        <x:v>618.341892010436</x:v>
      </x:c>
      <x:c r="G1096" s="65" t="n">
        <x:v>752.3450723300748</x:v>
      </x:c>
      <x:c r="H1096" s="43" t="n">
        <x:v>1</x:v>
      </x:c>
      <x:c r="I1096" s="34" t="str">
        <x:v>generated design-reference observation; not predicted tract behavior</x:v>
      </x:c>
    </x:row>
    <x:row r="1097" ht="75.5999984741211" hidden="0" customHeight="1">
      <x:c r="A1097" s="36" t="str">
        <x:v>M0</x:v>
      </x:c>
      <x:c r="B1097" s="36" t="str">
        <x:v>48201555305</x:v>
      </x:c>
      <x:c r="C1097" s="66" t="n">
        <x:v>997.7076213307064</x:v>
      </x:c>
      <x:c r="D1097" s="66" t="n">
        <x:v>175.22757247082927</x:v>
      </x:c>
      <x:c r="E1097" s="66" t="n">
        <x:v>822.4800488598771</x:v>
      </x:c>
      <x:c r="F1097" s="66" t="n">
        <x:v>136.90924928374915</x:v>
      </x:c>
      <x:c r="G1097" s="66" t="n">
        <x:v>312.1368217545784</x:v>
      </x:c>
      <x:c r="H1097" s="45" t="n">
        <x:v>0.31285400159443666</x:v>
      </x:c>
      <x:c r="I1097" s="36" t="str">
        <x:v>generated design-reference observation; not predicted tract behavior</x:v>
      </x:c>
    </x:row>
    <x:row r="1098" ht="75.5999984741211" hidden="0" customHeight="1">
      <x:c r="A1098" s="34" t="str">
        <x:v>M0</x:v>
      </x:c>
      <x:c r="B1098" s="34" t="str">
        <x:v>48201555401</x:v>
      </x:c>
      <x:c r="C1098" s="65" t="n">
        <x:v>307.88899192948844</x:v>
      </x:c>
      <x:c r="D1098" s="65" t="n">
        <x:v>56.31866053638885</x:v>
      </x:c>
      <x:c r="E1098" s="65" t="n">
        <x:v>251.5703313930996</x:v>
      </x:c>
      <x:c r="F1098" s="65" t="n">
        <x:v>251.5703313930996</x:v>
      </x:c>
      <x:c r="G1098" s="65" t="n">
        <x:v>307.88899192948844</x:v>
      </x:c>
      <x:c r="H1098" s="43" t="n">
        <x:v>1</x:v>
      </x:c>
      <x:c r="I1098" s="34" t="str">
        <x:v>generated design-reference observation; not predicted tract behavior</x:v>
      </x:c>
    </x:row>
    <x:row r="1099" ht="75.5999984741211" hidden="0" customHeight="1">
      <x:c r="A1099" s="36" t="str">
        <x:v>M0</x:v>
      </x:c>
      <x:c r="B1099" s="36" t="str">
        <x:v>48201555403</x:v>
      </x:c>
      <x:c r="C1099" s="66" t="n">
        <x:v>360.665695375818</x:v>
      </x:c>
      <x:c r="D1099" s="66" t="n">
        <x:v>64.91998378917351</x:v>
      </x:c>
      <x:c r="E1099" s="66" t="n">
        <x:v>295.7457115866445</x:v>
      </x:c>
      <x:c r="F1099" s="66" t="n">
        <x:v>295.7457115866445</x:v>
      </x:c>
      <x:c r="G1099" s="66" t="n">
        <x:v>360.665695375818</x:v>
      </x:c>
      <x:c r="H1099" s="45" t="n">
        <x:v>1</x:v>
      </x:c>
      <x:c r="I1099" s="36" t="str">
        <x:v>generated design-reference observation; not predicted tract behavior</x:v>
      </x:c>
    </x:row>
    <x:row r="1100" ht="75.5999984741211" hidden="0" customHeight="1">
      <x:c r="A1100" s="34" t="str">
        <x:v>M0</x:v>
      </x:c>
      <x:c r="B1100" s="34" t="str">
        <x:v>48201555404</x:v>
      </x:c>
      <x:c r="C1100" s="65" t="n">
        <x:v>303.21257516842127</x:v>
      </x:c>
      <x:c r="D1100" s="65" t="n">
        <x:v>46.91589443714209</x:v>
      </x:c>
      <x:c r="E1100" s="65" t="n">
        <x:v>256.2966807312792</x:v>
      </x:c>
      <x:c r="F1100" s="65" t="n">
        <x:v>256.2966807312792</x:v>
      </x:c>
      <x:c r="G1100" s="65" t="n">
        <x:v>303.21257516842127</x:v>
      </x:c>
      <x:c r="H1100" s="43" t="n">
        <x:v>1</x:v>
      </x:c>
      <x:c r="I1100" s="34" t="str">
        <x:v>generated design-reference observation; not predicted tract behavior</x:v>
      </x:c>
    </x:row>
    <x:row r="1101" ht="75.5999984741211" hidden="0" customHeight="1">
      <x:c r="A1101" s="36" t="str">
        <x:v>M0</x:v>
      </x:c>
      <x:c r="B1101" s="36" t="str">
        <x:v>48201555501</x:v>
      </x:c>
      <x:c r="C1101" s="66" t="n">
        <x:v>1030.5891490091212</x:v>
      </x:c>
      <x:c r="D1101" s="66" t="n">
        <x:v>91.17665016359547</x:v>
      </x:c>
      <x:c r="E1101" s="66" t="n">
        <x:v>939.4124988455258</x:v>
      </x:c>
      <x:c r="F1101" s="66" t="n">
        <x:v>0</x:v>
      </x:c>
      <x:c r="G1101" s="66" t="n">
        <x:v>91.17665016359547</x:v>
      </x:c>
      <x:c r="H1101" s="45" t="n">
        <x:v>0.08847041544271927</x:v>
      </x:c>
      <x:c r="I1101" s="36" t="str">
        <x:v>generated design-reference observation; not predicted tract behavior</x:v>
      </x:c>
    </x:row>
    <x:row r="1102" ht="75.5999984741211" hidden="0" customHeight="1">
      <x:c r="A1102" s="34" t="str">
        <x:v>M0</x:v>
      </x:c>
      <x:c r="B1102" s="34" t="str">
        <x:v>48201555503</x:v>
      </x:c>
      <x:c r="C1102" s="65" t="n">
        <x:v>1104.813284207081</x:v>
      </x:c>
      <x:c r="D1102" s="65" t="n">
        <x:v>204.0609906768969</x:v>
      </x:c>
      <x:c r="E1102" s="65" t="n">
        <x:v>900.7522935301843</x:v>
      </x:c>
      <x:c r="F1102" s="65" t="n">
        <x:v>298.87390897631735</x:v>
      </x:c>
      <x:c r="G1102" s="65" t="n">
        <x:v>502.93489965321425</x:v>
      </x:c>
      <x:c r="H1102" s="43" t="n">
        <x:v>0.455221625991009</x:v>
      </x:c>
      <x:c r="I1102" s="34" t="str">
        <x:v>generated design-reference observation; not predicted tract behavior</x:v>
      </x:c>
    </x:row>
    <x:row r="1103" ht="75.5999984741211" hidden="0" customHeight="1">
      <x:c r="A1103" s="36" t="str">
        <x:v>M0</x:v>
      </x:c>
      <x:c r="B1103" s="36" t="str">
        <x:v>48201555504</x:v>
      </x:c>
      <x:c r="C1103" s="66" t="n">
        <x:v>644.5477713445002</x:v>
      </x:c>
      <x:c r="D1103" s="66" t="n">
        <x:v>113.96583657276604</x:v>
      </x:c>
      <x:c r="E1103" s="66" t="n">
        <x:v>530.5819347717342</x:v>
      </x:c>
      <x:c r="F1103" s="66" t="n">
        <x:v>157.24231693911213</x:v>
      </x:c>
      <x:c r="G1103" s="66" t="n">
        <x:v>271.20815351187815</x:v>
      </x:c>
      <x:c r="H1103" s="45" t="n">
        <x:v>0.4207727736706762</x:v>
      </x:c>
      <x:c r="I1103" s="36" t="str">
        <x:v>generated design-reference observation; not predicted tract behavior</x:v>
      </x:c>
    </x:row>
    <x:row r="1104" ht="75.5999984741211" hidden="0" customHeight="1">
      <x:c r="A1104" s="34" t="str">
        <x:v>M0</x:v>
      </x:c>
      <x:c r="B1104" s="34" t="str">
        <x:v>48201555505</x:v>
      </x:c>
      <x:c r="C1104" s="65" t="n">
        <x:v>923.0696519668836</x:v>
      </x:c>
      <x:c r="D1104" s="65" t="n">
        <x:v>162.97123638981597</x:v>
      </x:c>
      <x:c r="E1104" s="65" t="n">
        <x:v>760.0984155770676</x:v>
      </x:c>
      <x:c r="F1104" s="65" t="n">
        <x:v>220.40365964060504</x:v>
      </x:c>
      <x:c r="G1104" s="65" t="n">
        <x:v>383.37489603042104</x:v>
      </x:c>
      <x:c r="H1104" s="43" t="n">
        <x:v>0.4153260755713537</x:v>
      </x:c>
      <x:c r="I1104" s="34" t="str">
        <x:v>generated design-reference observation; not predicted tract behavior</x:v>
      </x:c>
    </x:row>
    <x:row r="1105" ht="75.5999984741211" hidden="0" customHeight="1">
      <x:c r="A1105" s="36" t="str">
        <x:v>M0</x:v>
      </x:c>
      <x:c r="B1105" s="36" t="str">
        <x:v>48201555600</x:v>
      </x:c>
      <x:c r="C1105" s="66" t="n">
        <x:v>795.1873374806247</x:v>
      </x:c>
      <x:c r="D1105" s="66" t="n">
        <x:v>149.49521944635745</x:v>
      </x:c>
      <x:c r="E1105" s="66" t="n">
        <x:v>645.6921180342672</x:v>
      </x:c>
      <x:c r="F1105" s="66" t="n">
        <x:v>645.6921180342672</x:v>
      </x:c>
      <x:c r="G1105" s="66" t="n">
        <x:v>795.1873374806246</x:v>
      </x:c>
      <x:c r="H1105" s="45" t="n">
        <x:v>0.9999999999999999</x:v>
      </x:c>
      <x:c r="I1105" s="36" t="str">
        <x:v>generated design-reference observation; not predicted tract behavior</x:v>
      </x:c>
    </x:row>
    <x:row r="1106" ht="75.5999984741211" hidden="0" customHeight="1">
      <x:c r="A1106" s="34" t="str">
        <x:v>M0</x:v>
      </x:c>
      <x:c r="B1106" s="34" t="str">
        <x:v>48201555701</x:v>
      </x:c>
      <x:c r="C1106" s="65" t="n">
        <x:v>979.2023721476261</x:v>
      </x:c>
      <x:c r="D1106" s="65" t="n">
        <x:v>182.68633536822713</x:v>
      </x:c>
      <x:c r="E1106" s="65" t="n">
        <x:v>796.516036779399</x:v>
      </x:c>
      <x:c r="F1106" s="65" t="n">
        <x:v>270.77490576929364</x:v>
      </x:c>
      <x:c r="G1106" s="65" t="n">
        <x:v>453.4612411375208</x:v>
      </x:c>
      <x:c r="H1106" s="43" t="n">
        <x:v>0.46309246590464376</x:v>
      </x:c>
      <x:c r="I1106" s="34" t="str">
        <x:v>generated design-reference observation; not predicted tract behavior</x:v>
      </x:c>
    </x:row>
    <x:row r="1107" ht="75.5999984741211" hidden="0" customHeight="1">
      <x:c r="A1107" s="36" t="str">
        <x:v>M0</x:v>
      </x:c>
      <x:c r="B1107" s="36" t="str">
        <x:v>48201555703</x:v>
      </x:c>
      <x:c r="C1107" s="66" t="n">
        <x:v>502.25501966258315</x:v>
      </x:c>
      <x:c r="D1107" s="66" t="n">
        <x:v>93.33543345816058</x:v>
      </x:c>
      <x:c r="E1107" s="66" t="n">
        <x:v>408.91958620442256</x:v>
      </x:c>
      <x:c r="F1107" s="66" t="n">
        <x:v>408.91958620442256</x:v>
      </x:c>
      <x:c r="G1107" s="66" t="n">
        <x:v>502.25501966258315</x:v>
      </x:c>
      <x:c r="H1107" s="45" t="n">
        <x:v>1</x:v>
      </x:c>
      <x:c r="I1107" s="36" t="str">
        <x:v>generated design-reference observation; not predicted tract behavior</x:v>
      </x:c>
    </x:row>
    <x:row r="1108" ht="75.5999984741211" hidden="0" customHeight="1">
      <x:c r="A1108" s="34" t="str">
        <x:v>M0</x:v>
      </x:c>
      <x:c r="B1108" s="34" t="str">
        <x:v>48201555704</x:v>
      </x:c>
      <x:c r="C1108" s="65" t="n">
        <x:v>655.9715894322501</x:v>
      </x:c>
      <x:c r="D1108" s="65" t="n">
        <x:v>123.322658813263</x:v>
      </x:c>
      <x:c r="E1108" s="65" t="n">
        <x:v>532.648930618987</x:v>
      </x:c>
      <x:c r="F1108" s="65" t="n">
        <x:v>532.648930618987</x:v>
      </x:c>
      <x:c r="G1108" s="65" t="n">
        <x:v>655.9715894322501</x:v>
      </x:c>
      <x:c r="H1108" s="43" t="n">
        <x:v>1</x:v>
      </x:c>
      <x:c r="I1108" s="34" t="str">
        <x:v>generated design-reference observation; not predicted tract behavior</x:v>
      </x:c>
    </x:row>
    <x:row r="1109" ht="75.5999984741211" hidden="0" customHeight="1">
      <x:c r="A1109" s="36" t="str">
        <x:v>M0</x:v>
      </x:c>
      <x:c r="B1109" s="36" t="str">
        <x:v>48201556000</x:v>
      </x:c>
      <x:c r="C1109" s="66" t="n">
        <x:v>1262.6482445360746</x:v>
      </x:c>
      <x:c r="D1109" s="66" t="n">
        <x:v>229.77759597229823</x:v>
      </x:c>
      <x:c r="E1109" s="66" t="n">
        <x:v>1032.8706485637763</x:v>
      </x:c>
      <x:c r="F1109" s="66" t="n">
        <x:v>325.48129767490207</x:v>
      </x:c>
      <x:c r="G1109" s="66" t="n">
        <x:v>555.2588936472002</x:v>
      </x:c>
      <x:c r="H1109" s="45" t="n">
        <x:v>0.4397573877364514</x:v>
      </x:c>
      <x:c r="I1109" s="36" t="str">
        <x:v>generated design-reference observation; not predicted tract behavior</x:v>
      </x:c>
    </x:row>
    <x:row r="1110" ht="75.5999984741211" hidden="0" customHeight="1">
      <x:c r="A1110" s="34" t="str">
        <x:v>M0</x:v>
      </x:c>
      <x:c r="B1110" s="34" t="str">
        <x:v>48201556100</x:v>
      </x:c>
      <x:c r="C1110" s="65" t="n">
        <x:v>303.330468027944</x:v>
      </x:c>
      <x:c r="D1110" s="65" t="n">
        <x:v>57.026127989253474</x:v>
      </x:c>
      <x:c r="E1110" s="65" t="n">
        <x:v>246.30434003869053</x:v>
      </x:c>
      <x:c r="F1110" s="65" t="n">
        <x:v>246.3043400386905</x:v>
      </x:c>
      <x:c r="G1110" s="65" t="n">
        <x:v>303.330468027944</x:v>
      </x:c>
      <x:c r="H1110" s="43" t="n">
        <x:v>1</x:v>
      </x:c>
      <x:c r="I1110" s="34" t="str">
        <x:v>generated design-reference observation; not predicted tract behavior</x:v>
      </x:c>
    </x:row>
    <x:row r="1111" ht="75.5999984741211" hidden="0" customHeight="1">
      <x:c r="A1111" s="36" t="str">
        <x:v>M0</x:v>
      </x:c>
      <x:c r="B1111" s="36" t="str">
        <x:v>48201980000</x:v>
      </x:c>
      <x:c r="C1111" s="66" t="n">
        <x:v>2.845147676481207</x:v>
      </x:c>
      <x:c r="D1111" s="66" t="n">
        <x:v>0.5348877631784669</x:v>
      </x:c>
      <x:c r="E1111" s="66" t="n">
        <x:v>2.31025991330274</x:v>
      </x:c>
      <x:c r="F1111" s="66" t="n">
        <x:v>0</x:v>
      </x:c>
      <x:c r="G1111" s="66" t="n">
        <x:v>0.5348877631784669</x:v>
      </x:c>
      <x:c r="H1111" s="45" t="n">
        <x:v>0.188</x:v>
      </x:c>
      <x:c r="I1111" s="36" t="str">
        <x:v>generated design-reference observation; not predicted tract behavior</x:v>
      </x:c>
    </x:row>
    <x:row r="1112" ht="75.5999984741211" hidden="0" customHeight="1">
      <x:c r="A1112" s="34" t="str">
        <x:v>M0</x:v>
      </x:c>
      <x:c r="B1112" s="34" t="str">
        <x:v>48201980200</x:v>
      </x:c>
      <x:c r="C1112" s="65" t="n">
        <x:v>13.211859790510799</x:v>
      </x:c>
      <x:c r="D1112" s="65" t="n">
        <x:v>2.082990926199374</x:v>
      </x:c>
      <x:c r="E1112" s="65" t="n">
        <x:v>11.128868864311425</x:v>
      </x:c>
      <x:c r="F1112" s="65" t="n">
        <x:v>0</x:v>
      </x:c>
      <x:c r="G1112" s="65" t="n">
        <x:v>2.082990926199374</x:v>
      </x:c>
      <x:c r="H1112" s="43" t="n">
        <x:v>0.1576606896551724</x:v>
      </x:c>
      <x:c r="I1112" s="34" t="str">
        <x:v>generated design-reference observation; not predicted tract behavior</x:v>
      </x:c>
    </x:row>
    <x:row r="1113" ht="75.5999984741211" hidden="0" customHeight="1">
      <x:c r="A1113" s="36" t="str">
        <x:v>M0</x:v>
      </x:c>
      <x:c r="B1113" s="36" t="str">
        <x:v>48201980300</x:v>
      </x:c>
      <x:c r="C1113" s="66" t="n">
        <x:v>410.1232613925085</x:v>
      </x:c>
      <x:c r="D1113" s="66" t="n">
        <x:v>67.26021486837139</x:v>
      </x:c>
      <x:c r="E1113" s="66" t="n">
        <x:v>342.8630465241371</x:v>
      </x:c>
      <x:c r="F1113" s="66" t="n">
        <x:v>342.8630465241371</x:v>
      </x:c>
      <x:c r="G1113" s="66" t="n">
        <x:v>410.1232613925085</x:v>
      </x:c>
      <x:c r="H1113" s="45" t="n">
        <x:v>1</x:v>
      </x:c>
      <x:c r="I1113" s="36" t="str">
        <x:v>generated design-reference observation; not predicted tract behavior</x:v>
      </x:c>
    </x:row>
    <x:row r="1114" ht="75.5999984741211" hidden="0" customHeight="1">
      <x:c r="A1114" s="34" t="str">
        <x:v>M0</x:v>
      </x:c>
      <x:c r="B1114" s="34" t="str">
        <x:v>48201980400</x:v>
      </x:c>
      <x:c r="C1114" s="65" t="n">
        <x:v>339.9558497196634</x:v>
      </x:c>
      <x:c r="D1114" s="65" t="n">
        <x:v>63.911699747296716</x:v>
      </x:c>
      <x:c r="E1114" s="65" t="n">
        <x:v>276.04414997236665</x:v>
      </x:c>
      <x:c r="F1114" s="65" t="n">
        <x:v>0</x:v>
      </x:c>
      <x:c r="G1114" s="65" t="n">
        <x:v>63.911699747296716</x:v>
      </x:c>
      <x:c r="H1114" s="43" t="n">
        <x:v>0.188</x:v>
      </x:c>
      <x:c r="I1114" s="34" t="str">
        <x:v>generated design-reference observation; not predicted tract behavior</x:v>
      </x:c>
    </x:row>
    <x:row r="1115" ht="75.5999984741211" hidden="0" customHeight="1">
      <x:c r="A1115" s="36" t="str">
        <x:v>M0</x:v>
      </x:c>
      <x:c r="B1115" s="36" t="str">
        <x:v>48201980700</x:v>
      </x:c>
      <x:c r="C1115" s="66" t="n">
        <x:v>284.8503088636853</x:v>
      </x:c>
      <x:c r="D1115" s="66" t="n">
        <x:v>27.67647824659904</x:v>
      </x:c>
      <x:c r="E1115" s="66" t="n">
        <x:v>257.17383061708625</x:v>
      </x:c>
      <x:c r="F1115" s="66" t="n">
        <x:v>257.17383061708625</x:v>
      </x:c>
      <x:c r="G1115" s="66" t="n">
        <x:v>284.8503088636853</x:v>
      </x:c>
      <x:c r="H1115" s="45" t="n">
        <x:v>1</x:v>
      </x:c>
      <x:c r="I1115" s="36" t="str">
        <x:v>generated design-reference observation; not predicted tract behavior</x:v>
      </x:c>
    </x:row>
    <x:row r="1116" ht="75.5999984741211" hidden="0" customHeight="1">
      <x:c r="A1116" s="34" t="str">
        <x:v>B1</x:v>
      </x:c>
      <x:c r="B1116" s="34" t="str">
        <x:v>48201100001</x:v>
      </x:c>
      <x:c r="C1116" s="65" t="n">
        <x:v>401.32694262519794</x:v>
      </x:c>
      <x:c r="D1116" s="65" t="n">
        <x:v>200.03577172712562</x:v>
      </x:c>
      <x:c r="E1116" s="65" t="n">
        <x:v>201.29117089807232</x:v>
      </x:c>
      <x:c r="F1116" s="65" t="n">
        <x:v>201.29117089807232</x:v>
      </x:c>
      <x:c r="G1116" s="65" t="n">
        <x:v>401.32694262519794</x:v>
      </x:c>
      <x:c r="H1116" s="43" t="n">
        <x:v>1</x:v>
      </x:c>
      <x:c r="I1116" s="34" t="str">
        <x:v>generated design-reference observation; not predicted tract behavior</x:v>
      </x:c>
    </x:row>
    <x:row r="1117" ht="75.5999984741211" hidden="0" customHeight="1">
      <x:c r="A1117" s="36" t="str">
        <x:v>B1</x:v>
      </x:c>
      <x:c r="B1117" s="36" t="str">
        <x:v>48201210400</x:v>
      </x:c>
      <x:c r="C1117" s="66" t="n">
        <x:v>299.7190167645652</x:v>
      </x:c>
      <x:c r="D1117" s="66" t="n">
        <x:v>179.01307611408978</x:v>
      </x:c>
      <x:c r="E1117" s="66" t="n">
        <x:v>120.70594065047541</x:v>
      </x:c>
      <x:c r="F1117" s="66" t="n">
        <x:v>120.70594065047541</x:v>
      </x:c>
      <x:c r="G1117" s="66" t="n">
        <x:v>299.7190167645652</x:v>
      </x:c>
      <x:c r="H1117" s="45" t="n">
        <x:v>1</x:v>
      </x:c>
      <x:c r="I1117" s="36" t="str">
        <x:v>generated design-reference observation; not predicted tract behavior</x:v>
      </x:c>
    </x:row>
    <x:row r="1118" ht="75.5999984741211" hidden="0" customHeight="1">
      <x:c r="A1118" s="34" t="str">
        <x:v>B1</x:v>
      </x:c>
      <x:c r="B1118" s="34" t="str">
        <x:v>48201210500</x:v>
      </x:c>
      <x:c r="C1118" s="65" t="n">
        <x:v>397.1613949220625</x:v>
      </x:c>
      <x:c r="D1118" s="65" t="n">
        <x:v>238.131297100462</x:v>
      </x:c>
      <x:c r="E1118" s="65" t="n">
        <x:v>159.03009782160052</x:v>
      </x:c>
      <x:c r="F1118" s="65" t="n">
        <x:v>159.03009782160052</x:v>
      </x:c>
      <x:c r="G1118" s="65" t="n">
        <x:v>397.1613949220625</x:v>
      </x:c>
      <x:c r="H1118" s="43" t="n">
        <x:v>1</x:v>
      </x:c>
      <x:c r="I1118" s="34" t="str">
        <x:v>generated design-reference observation; not predicted tract behavior</x:v>
      </x:c>
    </x:row>
    <x:row r="1119" ht="75.5999984741211" hidden="0" customHeight="1">
      <x:c r="A1119" s="36" t="str">
        <x:v>B1</x:v>
      </x:c>
      <x:c r="B1119" s="36" t="str">
        <x:v>48201210600</x:v>
      </x:c>
      <x:c r="C1119" s="66" t="n">
        <x:v>448.51945429213555</x:v>
      </x:c>
      <x:c r="D1119" s="66" t="n">
        <x:v>271.3411313980809</x:v>
      </x:c>
      <x:c r="E1119" s="66" t="n">
        <x:v>177.17832289405465</x:v>
      </x:c>
      <x:c r="F1119" s="66" t="n">
        <x:v>177.17832289405465</x:v>
      </x:c>
      <x:c r="G1119" s="66" t="n">
        <x:v>448.51945429213555</x:v>
      </x:c>
      <x:c r="H1119" s="45" t="n">
        <x:v>1</x:v>
      </x:c>
      <x:c r="I1119" s="36" t="str">
        <x:v>generated design-reference observation; not predicted tract behavior</x:v>
      </x:c>
    </x:row>
    <x:row r="1120" ht="75.5999984741211" hidden="0" customHeight="1">
      <x:c r="A1120" s="34" t="str">
        <x:v>B1</x:v>
      </x:c>
      <x:c r="B1120" s="34" t="str">
        <x:v>48201210700</x:v>
      </x:c>
      <x:c r="C1120" s="65" t="n">
        <x:v>181.14630841861566</x:v>
      </x:c>
      <x:c r="D1120" s="65" t="n">
        <x:v>109.306701604933</x:v>
      </x:c>
      <x:c r="E1120" s="65" t="n">
        <x:v>71.83960681368266</x:v>
      </x:c>
      <x:c r="F1120" s="65" t="n">
        <x:v>71.83960681368266</x:v>
      </x:c>
      <x:c r="G1120" s="65" t="n">
        <x:v>181.14630841861566</x:v>
      </x:c>
      <x:c r="H1120" s="43" t="n">
        <x:v>1</x:v>
      </x:c>
      <x:c r="I1120" s="34" t="str">
        <x:v>generated design-reference observation; not predicted tract behavior</x:v>
      </x:c>
    </x:row>
    <x:row r="1121" ht="75.5999984741211" hidden="0" customHeight="1">
      <x:c r="A1121" s="36" t="str">
        <x:v>B1</x:v>
      </x:c>
      <x:c r="B1121" s="36" t="str">
        <x:v>48201210800</x:v>
      </x:c>
      <x:c r="C1121" s="66" t="n">
        <x:v>184.95031801921485</x:v>
      </x:c>
      <x:c r="D1121" s="66" t="n">
        <x:v>110.19190820246891</x:v>
      </x:c>
      <x:c r="E1121" s="66" t="n">
        <x:v>74.75840981674594</x:v>
      </x:c>
      <x:c r="F1121" s="66" t="n">
        <x:v>74.75840981674594</x:v>
      </x:c>
      <x:c r="G1121" s="66" t="n">
        <x:v>184.95031801921485</x:v>
      </x:c>
      <x:c r="H1121" s="45" t="n">
        <x:v>1</x:v>
      </x:c>
      <x:c r="I1121" s="36" t="str">
        <x:v>generated design-reference observation; not predicted tract behavior</x:v>
      </x:c>
    </x:row>
    <x:row r="1122" ht="75.5999984741211" hidden="0" customHeight="1">
      <x:c r="A1122" s="34" t="str">
        <x:v>B1</x:v>
      </x:c>
      <x:c r="B1122" s="34" t="str">
        <x:v>48201210900</x:v>
      </x:c>
      <x:c r="C1122" s="65" t="n">
        <x:v>314.54298583670305</x:v>
      </x:c>
      <x:c r="D1122" s="65" t="n">
        <x:v>92.00382335723565</x:v>
      </x:c>
      <x:c r="E1122" s="65" t="n">
        <x:v>222.5391624794674</x:v>
      </x:c>
      <x:c r="F1122" s="65" t="n">
        <x:v>222.5391624794674</x:v>
      </x:c>
      <x:c r="G1122" s="65" t="n">
        <x:v>314.54298583670305</x:v>
      </x:c>
      <x:c r="H1122" s="43" t="n">
        <x:v>1</x:v>
      </x:c>
      <x:c r="I1122" s="34" t="str">
        <x:v>generated design-reference observation; not predicted tract behavior</x:v>
      </x:c>
    </x:row>
    <x:row r="1123" ht="75.5999984741211" hidden="0" customHeight="1">
      <x:c r="A1123" s="36" t="str">
        <x:v>B1</x:v>
      </x:c>
      <x:c r="B1123" s="36" t="str">
        <x:v>48201211000</x:v>
      </x:c>
      <x:c r="C1123" s="66" t="n">
        <x:v>301.62676506314926</x:v>
      </x:c>
      <x:c r="D1123" s="66" t="n">
        <x:v>88.08751281199763</x:v>
      </x:c>
      <x:c r="E1123" s="66" t="n">
        <x:v>213.53925225115165</x:v>
      </x:c>
      <x:c r="F1123" s="66" t="n">
        <x:v>213.53925225115165</x:v>
      </x:c>
      <x:c r="G1123" s="66" t="n">
        <x:v>301.62676506314926</x:v>
      </x:c>
      <x:c r="H1123" s="45" t="n">
        <x:v>1</x:v>
      </x:c>
      <x:c r="I1123" s="36" t="str">
        <x:v>generated design-reference observation; not predicted tract behavior</x:v>
      </x:c>
    </x:row>
    <x:row r="1124" ht="75.5999984741211" hidden="0" customHeight="1">
      <x:c r="A1124" s="34" t="str">
        <x:v>B1</x:v>
      </x:c>
      <x:c r="B1124" s="34" t="str">
        <x:v>48201211101</x:v>
      </x:c>
      <x:c r="C1124" s="65" t="n">
        <x:v>429.67412955273994</x:v>
      </x:c>
      <x:c r="D1124" s="65" t="n">
        <x:v>225.56165822388274</x:v>
      </x:c>
      <x:c r="E1124" s="65" t="n">
        <x:v>204.1124713288572</x:v>
      </x:c>
      <x:c r="F1124" s="65" t="n">
        <x:v>204.1124713288572</x:v>
      </x:c>
      <x:c r="G1124" s="65" t="n">
        <x:v>429.67412955273994</x:v>
      </x:c>
      <x:c r="H1124" s="43" t="n">
        <x:v>1</x:v>
      </x:c>
      <x:c r="I1124" s="34" t="str">
        <x:v>generated design-reference observation; not predicted tract behavior</x:v>
      </x:c>
    </x:row>
    <x:row r="1125" ht="75.5999984741211" hidden="0" customHeight="1">
      <x:c r="A1125" s="36" t="str">
        <x:v>B1</x:v>
      </x:c>
      <x:c r="B1125" s="36" t="str">
        <x:v>48201211102</x:v>
      </x:c>
      <x:c r="C1125" s="66" t="n">
        <x:v>345.4774675966933</x:v>
      </x:c>
      <x:c r="D1125" s="66" t="n">
        <x:v>182.25926457964007</x:v>
      </x:c>
      <x:c r="E1125" s="66" t="n">
        <x:v>163.21820301705324</x:v>
      </x:c>
      <x:c r="F1125" s="66" t="n">
        <x:v>163.21820301705324</x:v>
      </x:c>
      <x:c r="G1125" s="66" t="n">
        <x:v>345.4774675966933</x:v>
      </x:c>
      <x:c r="H1125" s="45" t="n">
        <x:v>1</x:v>
      </x:c>
      <x:c r="I1125" s="36" t="str">
        <x:v>generated design-reference observation; not predicted tract behavior</x:v>
      </x:c>
    </x:row>
    <x:row r="1126" ht="75.5999984741211" hidden="0" customHeight="1">
      <x:c r="A1126" s="34" t="str">
        <x:v>B1</x:v>
      </x:c>
      <x:c r="B1126" s="34" t="str">
        <x:v>48201211200</x:v>
      </x:c>
      <x:c r="C1126" s="65" t="n">
        <x:v>416.044505834382</x:v>
      </x:c>
      <x:c r="D1126" s="65" t="n">
        <x:v>117.97691975138295</x:v>
      </x:c>
      <x:c r="E1126" s="65" t="n">
        <x:v>298.067586082999</x:v>
      </x:c>
      <x:c r="F1126" s="65" t="n">
        <x:v>298.067586082999</x:v>
      </x:c>
      <x:c r="G1126" s="65" t="n">
        <x:v>416.044505834382</x:v>
      </x:c>
      <x:c r="H1126" s="43" t="n">
        <x:v>1</x:v>
      </x:c>
      <x:c r="I1126" s="34" t="str">
        <x:v>generated design-reference observation; not predicted tract behavior</x:v>
      </x:c>
    </x:row>
    <x:row r="1127" ht="75.5999984741211" hidden="0" customHeight="1">
      <x:c r="A1127" s="36" t="str">
        <x:v>B1</x:v>
      </x:c>
      <x:c r="B1127" s="36" t="str">
        <x:v>48201211301</x:v>
      </x:c>
      <x:c r="C1127" s="66" t="n">
        <x:v>224.3776200055905</x:v>
      </x:c>
      <x:c r="D1127" s="66" t="n">
        <x:v>136.408639617329</x:v>
      </x:c>
      <x:c r="E1127" s="66" t="n">
        <x:v>87.96898038826151</x:v>
      </x:c>
      <x:c r="F1127" s="66" t="n">
        <x:v>87.96898038826151</x:v>
      </x:c>
      <x:c r="G1127" s="66" t="n">
        <x:v>224.3776200055905</x:v>
      </x:c>
      <x:c r="H1127" s="45" t="n">
        <x:v>1</x:v>
      </x:c>
      <x:c r="I1127" s="36" t="str">
        <x:v>generated design-reference observation; not predicted tract behavior</x:v>
      </x:c>
    </x:row>
    <x:row r="1128" ht="75.5999984741211" hidden="0" customHeight="1">
      <x:c r="A1128" s="34" t="str">
        <x:v>B1</x:v>
      </x:c>
      <x:c r="B1128" s="34" t="str">
        <x:v>48201211302</x:v>
      </x:c>
      <x:c r="C1128" s="65" t="n">
        <x:v>175.89221664588723</x:v>
      </x:c>
      <x:c r="D1128" s="65" t="n">
        <x:v>102.56578415064176</x:v>
      </x:c>
      <x:c r="E1128" s="65" t="n">
        <x:v>73.32643249524547</x:v>
      </x:c>
      <x:c r="F1128" s="65" t="n">
        <x:v>73.32643249524547</x:v>
      </x:c>
      <x:c r="G1128" s="65" t="n">
        <x:v>175.89221664588723</x:v>
      </x:c>
      <x:c r="H1128" s="43" t="n">
        <x:v>1</x:v>
      </x:c>
      <x:c r="I1128" s="34" t="str">
        <x:v>generated design-reference observation; not predicted tract behavior</x:v>
      </x:c>
    </x:row>
    <x:row r="1129" ht="75.5999984741211" hidden="0" customHeight="1">
      <x:c r="A1129" s="36" t="str">
        <x:v>B1</x:v>
      </x:c>
      <x:c r="B1129" s="36" t="str">
        <x:v>48201211400</x:v>
      </x:c>
      <x:c r="C1129" s="66" t="n">
        <x:v>354.0558357185785</x:v>
      </x:c>
      <x:c r="D1129" s="66" t="n">
        <x:v>212.62328372261592</x:v>
      </x:c>
      <x:c r="E1129" s="66" t="n">
        <x:v>141.4325519959626</x:v>
      </x:c>
      <x:c r="F1129" s="66" t="n">
        <x:v>141.4325519959626</x:v>
      </x:c>
      <x:c r="G1129" s="66" t="n">
        <x:v>354.0558357185785</x:v>
      </x:c>
      <x:c r="H1129" s="45" t="n">
        <x:v>1</x:v>
      </x:c>
      <x:c r="I1129" s="36" t="str">
        <x:v>generated design-reference observation; not predicted tract behavior</x:v>
      </x:c>
    </x:row>
    <x:row r="1130" ht="75.5999984741211" hidden="0" customHeight="1">
      <x:c r="A1130" s="34" t="str">
        <x:v>B1</x:v>
      </x:c>
      <x:c r="B1130" s="34" t="str">
        <x:v>48201211501</x:v>
      </x:c>
      <x:c r="C1130" s="65" t="n">
        <x:v>255.21839205672933</x:v>
      </x:c>
      <x:c r="D1130" s="65" t="n">
        <x:v>155.04240574611546</x:v>
      </x:c>
      <x:c r="E1130" s="65" t="n">
        <x:v>100.17598631061387</x:v>
      </x:c>
      <x:c r="F1130" s="65" t="n">
        <x:v>100.17598631061387</x:v>
      </x:c>
      <x:c r="G1130" s="65" t="n">
        <x:v>255.21839205672933</x:v>
      </x:c>
      <x:c r="H1130" s="43" t="n">
        <x:v>1</x:v>
      </x:c>
      <x:c r="I1130" s="34" t="str">
        <x:v>generated design-reference observation; not predicted tract behavior</x:v>
      </x:c>
    </x:row>
    <x:row r="1131" ht="75.5999984741211" hidden="0" customHeight="1">
      <x:c r="A1131" s="36" t="str">
        <x:v>B1</x:v>
      </x:c>
      <x:c r="B1131" s="36" t="str">
        <x:v>48201211502</x:v>
      </x:c>
      <x:c r="C1131" s="66" t="n">
        <x:v>226.63723314644227</x:v>
      </x:c>
      <x:c r="D1131" s="66" t="n">
        <x:v>137.55907712952492</x:v>
      </x:c>
      <x:c r="E1131" s="66" t="n">
        <x:v>89.07815601691735</x:v>
      </x:c>
      <x:c r="F1131" s="66" t="n">
        <x:v>89.07815601691735</x:v>
      </x:c>
      <x:c r="G1131" s="66" t="n">
        <x:v>226.63723314644227</x:v>
      </x:c>
      <x:c r="H1131" s="45" t="n">
        <x:v>1</x:v>
      </x:c>
      <x:c r="I1131" s="36" t="str">
        <x:v>generated design-reference observation; not predicted tract behavior</x:v>
      </x:c>
    </x:row>
    <x:row r="1132" ht="75.5999984741211" hidden="0" customHeight="1">
      <x:c r="A1132" s="34" t="str">
        <x:v>B1</x:v>
      </x:c>
      <x:c r="B1132" s="34" t="str">
        <x:v>48201211600</x:v>
      </x:c>
      <x:c r="C1132" s="65" t="n">
        <x:v>229.8596379733961</x:v>
      </x:c>
      <x:c r="D1132" s="65" t="n">
        <x:v>135.77879662237197</x:v>
      </x:c>
      <x:c r="E1132" s="65" t="n">
        <x:v>94.08084135102413</x:v>
      </x:c>
      <x:c r="F1132" s="65" t="n">
        <x:v>94.08084135102413</x:v>
      </x:c>
      <x:c r="G1132" s="65" t="n">
        <x:v>229.8596379733961</x:v>
      </x:c>
      <x:c r="H1132" s="43" t="n">
        <x:v>1</x:v>
      </x:c>
      <x:c r="I1132" s="34" t="str">
        <x:v>generated design-reference observation; not predicted tract behavior</x:v>
      </x:c>
    </x:row>
    <x:row r="1133" ht="75.5999984741211" hidden="0" customHeight="1">
      <x:c r="A1133" s="36" t="str">
        <x:v>B1</x:v>
      </x:c>
      <x:c r="B1133" s="36" t="str">
        <x:v>48201211700</x:v>
      </x:c>
      <x:c r="C1133" s="66" t="n">
        <x:v>551.1717899723859</x:v>
      </x:c>
      <x:c r="D1133" s="66" t="n">
        <x:v>290.99460014989927</x:v>
      </x:c>
      <x:c r="E1133" s="66" t="n">
        <x:v>260.17718982248664</x:v>
      </x:c>
      <x:c r="F1133" s="66" t="n">
        <x:v>260.17718982248664</x:v>
      </x:c>
      <x:c r="G1133" s="66" t="n">
        <x:v>551.1717899723859</x:v>
      </x:c>
      <x:c r="H1133" s="45" t="n">
        <x:v>1</x:v>
      </x:c>
      <x:c r="I1133" s="36" t="str">
        <x:v>generated design-reference observation; not predicted tract behavior</x:v>
      </x:c>
    </x:row>
    <x:row r="1134" ht="75.5999984741211" hidden="0" customHeight="1">
      <x:c r="A1134" s="34" t="str">
        <x:v>B1</x:v>
      </x:c>
      <x:c r="B1134" s="34" t="str">
        <x:v>48201211900</x:v>
      </x:c>
      <x:c r="C1134" s="65" t="n">
        <x:v>340.2859497263269</x:v>
      </x:c>
      <x:c r="D1134" s="65" t="n">
        <x:v>206.74005587440845</x:v>
      </x:c>
      <x:c r="E1134" s="65" t="n">
        <x:v>133.54589385191846</x:v>
      </x:c>
      <x:c r="F1134" s="65" t="n">
        <x:v>133.54589385191846</x:v>
      </x:c>
      <x:c r="G1134" s="65" t="n">
        <x:v>340.2859497263269</x:v>
      </x:c>
      <x:c r="H1134" s="43" t="n">
        <x:v>1</x:v>
      </x:c>
      <x:c r="I1134" s="34" t="str">
        <x:v>generated design-reference observation; not predicted tract behavior</x:v>
      </x:c>
    </x:row>
    <x:row r="1135" ht="75.5999984741211" hidden="0" customHeight="1">
      <x:c r="A1135" s="36" t="str">
        <x:v>B1</x:v>
      </x:c>
      <x:c r="B1135" s="36" t="str">
        <x:v>48201212300</x:v>
      </x:c>
      <x:c r="C1135" s="66" t="n">
        <x:v>390.9641602731525</x:v>
      </x:c>
      <x:c r="D1135" s="66" t="n">
        <x:v>226.3017207495167</x:v>
      </x:c>
      <x:c r="E1135" s="66" t="n">
        <x:v>164.6624395236358</x:v>
      </x:c>
      <x:c r="F1135" s="66" t="n">
        <x:v>164.6624395236358</x:v>
      </x:c>
      <x:c r="G1135" s="66" t="n">
        <x:v>390.9641602731525</x:v>
      </x:c>
      <x:c r="H1135" s="45" t="n">
        <x:v>1</x:v>
      </x:c>
      <x:c r="I1135" s="36" t="str">
        <x:v>generated design-reference observation; not predicted tract behavior</x:v>
      </x:c>
    </x:row>
    <x:row r="1136" ht="75.5999984741211" hidden="0" customHeight="1">
      <x:c r="A1136" s="34" t="str">
        <x:v>B1</x:v>
      </x:c>
      <x:c r="B1136" s="34" t="str">
        <x:v>48201212400</x:v>
      </x:c>
      <x:c r="C1136" s="65" t="n">
        <x:v>238.08070004411252</x:v>
      </x:c>
      <x:c r="D1136" s="65" t="n">
        <x:v>145.46730772695275</x:v>
      </x:c>
      <x:c r="E1136" s="65" t="n">
        <x:v>92.61339231715976</x:v>
      </x:c>
      <x:c r="F1136" s="65" t="n">
        <x:v>92.61339231715976</x:v>
      </x:c>
      <x:c r="G1136" s="65" t="n">
        <x:v>238.08070004411252</x:v>
      </x:c>
      <x:c r="H1136" s="43" t="n">
        <x:v>1</x:v>
      </x:c>
      <x:c r="I1136" s="34" t="str">
        <x:v>generated design-reference observation; not predicted tract behavior</x:v>
      </x:c>
    </x:row>
    <x:row r="1137" ht="75.5999984741211" hidden="0" customHeight="1">
      <x:c r="A1137" s="36" t="str">
        <x:v>B1</x:v>
      </x:c>
      <x:c r="B1137" s="36" t="str">
        <x:v>48201212500</x:v>
      </x:c>
      <x:c r="C1137" s="66" t="n">
        <x:v>286.10239148969316</x:v>
      </x:c>
      <x:c r="D1137" s="66" t="n">
        <x:v>174.02788325639955</x:v>
      </x:c>
      <x:c r="E1137" s="66" t="n">
        <x:v>112.07450823329361</x:v>
      </x:c>
      <x:c r="F1137" s="66" t="n">
        <x:v>112.07450823329361</x:v>
      </x:c>
      <x:c r="G1137" s="66" t="n">
        <x:v>286.10239148969316</x:v>
      </x:c>
      <x:c r="H1137" s="45" t="n">
        <x:v>1</x:v>
      </x:c>
      <x:c r="I1137" s="36" t="str">
        <x:v>generated design-reference observation; not predicted tract behavior</x:v>
      </x:c>
    </x:row>
    <x:row r="1138" ht="75.5999984741211" hidden="0" customHeight="1">
      <x:c r="A1138" s="34" t="str">
        <x:v>B1</x:v>
      </x:c>
      <x:c r="B1138" s="34" t="str">
        <x:v>48201220100</x:v>
      </x:c>
      <x:c r="C1138" s="65" t="n">
        <x:v>124.90355490231863</x:v>
      </x:c>
      <x:c r="D1138" s="65" t="n">
        <x:v>76.31607204531667</x:v>
      </x:c>
      <x:c r="E1138" s="65" t="n">
        <x:v>48.58748285700196</x:v>
      </x:c>
      <x:c r="F1138" s="65" t="n">
        <x:v>48.58748285700196</x:v>
      </x:c>
      <x:c r="G1138" s="65" t="n">
        <x:v>124.90355490231863</x:v>
      </x:c>
      <x:c r="H1138" s="43" t="n">
        <x:v>1</x:v>
      </x:c>
      <x:c r="I1138" s="34" t="str">
        <x:v>generated design-reference observation; not predicted tract behavior</x:v>
      </x:c>
    </x:row>
    <x:row r="1139" ht="75.5999984741211" hidden="0" customHeight="1">
      <x:c r="A1139" s="36" t="str">
        <x:v>B1</x:v>
      </x:c>
      <x:c r="B1139" s="36" t="str">
        <x:v>48201220200</x:v>
      </x:c>
      <x:c r="C1139" s="66" t="n">
        <x:v>194.64897059594912</x:v>
      </x:c>
      <x:c r="D1139" s="66" t="n">
        <x:v>118.67807417343927</x:v>
      </x:c>
      <x:c r="E1139" s="66" t="n">
        <x:v>75.97089642250985</x:v>
      </x:c>
      <x:c r="F1139" s="66" t="n">
        <x:v>75.97089642250985</x:v>
      </x:c>
      <x:c r="G1139" s="66" t="n">
        <x:v>194.64897059594912</x:v>
      </x:c>
      <x:c r="H1139" s="45" t="n">
        <x:v>1</x:v>
      </x:c>
      <x:c r="I1139" s="36" t="str">
        <x:v>generated design-reference observation; not predicted tract behavior</x:v>
      </x:c>
    </x:row>
    <x:row r="1140" ht="75.5999984741211" hidden="0" customHeight="1">
      <x:c r="A1140" s="34" t="str">
        <x:v>B1</x:v>
      </x:c>
      <x:c r="B1140" s="34" t="str">
        <x:v>48201220300</x:v>
      </x:c>
      <x:c r="C1140" s="65" t="n">
        <x:v>307.40956096742946</x:v>
      </x:c>
      <x:c r="D1140" s="65" t="n">
        <x:v>185.8587466410442</x:v>
      </x:c>
      <x:c r="E1140" s="65" t="n">
        <x:v>121.55081432638525</x:v>
      </x:c>
      <x:c r="F1140" s="65" t="n">
        <x:v>121.55081432638525</x:v>
      </x:c>
      <x:c r="G1140" s="65" t="n">
        <x:v>307.40956096742946</x:v>
      </x:c>
      <x:c r="H1140" s="43" t="n">
        <x:v>1</x:v>
      </x:c>
      <x:c r="I1140" s="34" t="str">
        <x:v>generated design-reference observation; not predicted tract behavior</x:v>
      </x:c>
    </x:row>
    <x:row r="1141" ht="75.5999984741211" hidden="0" customHeight="1">
      <x:c r="A1141" s="36" t="str">
        <x:v>B1</x:v>
      </x:c>
      <x:c r="B1141" s="36" t="str">
        <x:v>48201220400</x:v>
      </x:c>
      <x:c r="C1141" s="66" t="n">
        <x:v>342.7656295382877</x:v>
      </x:c>
      <x:c r="D1141" s="66" t="n">
        <x:v>203.22266206206356</x:v>
      </x:c>
      <x:c r="E1141" s="66" t="n">
        <x:v>139.54296747622416</x:v>
      </x:c>
      <x:c r="F1141" s="66" t="n">
        <x:v>139.54296747622416</x:v>
      </x:c>
      <x:c r="G1141" s="66" t="n">
        <x:v>342.7656295382877</x:v>
      </x:c>
      <x:c r="H1141" s="45" t="n">
        <x:v>1</x:v>
      </x:c>
      <x:c r="I1141" s="36" t="str">
        <x:v>generated design-reference observation; not predicted tract behavior</x:v>
      </x:c>
    </x:row>
    <x:row r="1142" ht="75.5999984741211" hidden="0" customHeight="1">
      <x:c r="A1142" s="34" t="str">
        <x:v>B1</x:v>
      </x:c>
      <x:c r="B1142" s="34" t="str">
        <x:v>48201220500</x:v>
      </x:c>
      <x:c r="C1142" s="65" t="n">
        <x:v>281.58316520798957</x:v>
      </x:c>
      <x:c r="D1142" s="65" t="n">
        <x:v>156.80461208795793</x:v>
      </x:c>
      <x:c r="E1142" s="65" t="n">
        <x:v>124.77855312003163</x:v>
      </x:c>
      <x:c r="F1142" s="65" t="n">
        <x:v>124.77855312003163</x:v>
      </x:c>
      <x:c r="G1142" s="65" t="n">
        <x:v>281.58316520798957</x:v>
      </x:c>
      <x:c r="H1142" s="43" t="n">
        <x:v>1</x:v>
      </x:c>
      <x:c r="I1142" s="34" t="str">
        <x:v>generated design-reference observation; not predicted tract behavior</x:v>
      </x:c>
    </x:row>
    <x:row r="1143" ht="75.5999984741211" hidden="0" customHeight="1">
      <x:c r="A1143" s="36" t="str">
        <x:v>B1</x:v>
      </x:c>
      <x:c r="B1143" s="36" t="str">
        <x:v>48201220600</x:v>
      </x:c>
      <x:c r="C1143" s="66" t="n">
        <x:v>256.4051801759245</x:v>
      </x:c>
      <x:c r="D1143" s="66" t="n">
        <x:v>151.12031311561464</x:v>
      </x:c>
      <x:c r="E1143" s="66" t="n">
        <x:v>105.28486706030986</x:v>
      </x:c>
      <x:c r="F1143" s="66" t="n">
        <x:v>105.28486706030986</x:v>
      </x:c>
      <x:c r="G1143" s="66" t="n">
        <x:v>256.4051801759245</x:v>
      </x:c>
      <x:c r="H1143" s="45" t="n">
        <x:v>1</x:v>
      </x:c>
      <x:c r="I1143" s="36" t="str">
        <x:v>generated design-reference observation; not predicted tract behavior</x:v>
      </x:c>
    </x:row>
    <x:row r="1144" ht="75.5999984741211" hidden="0" customHeight="1">
      <x:c r="A1144" s="34" t="str">
        <x:v>B1</x:v>
      </x:c>
      <x:c r="B1144" s="34" t="str">
        <x:v>48201220701</x:v>
      </x:c>
      <x:c r="C1144" s="65" t="n">
        <x:v>281.81895092703496</x:v>
      </x:c>
      <x:c r="D1144" s="65" t="n">
        <x:v>159.659303748235</x:v>
      </x:c>
      <x:c r="E1144" s="65" t="n">
        <x:v>122.15964717879996</x:v>
      </x:c>
      <x:c r="F1144" s="65" t="n">
        <x:v>122.15964717879996</x:v>
      </x:c>
      <x:c r="G1144" s="65" t="n">
        <x:v>281.81895092703496</x:v>
      </x:c>
      <x:c r="H1144" s="43" t="n">
        <x:v>1</x:v>
      </x:c>
      <x:c r="I1144" s="34" t="str">
        <x:v>generated design-reference observation; not predicted tract behavior</x:v>
      </x:c>
    </x:row>
    <x:row r="1145" ht="75.5999984741211" hidden="0" customHeight="1">
      <x:c r="A1145" s="36" t="str">
        <x:v>B1</x:v>
      </x:c>
      <x:c r="B1145" s="36" t="str">
        <x:v>48201220702</x:v>
      </x:c>
      <x:c r="C1145" s="66" t="n">
        <x:v>310.0425014967699</x:v>
      </x:c>
      <x:c r="D1145" s="66" t="n">
        <x:v>182.25823112690318</x:v>
      </x:c>
      <x:c r="E1145" s="66" t="n">
        <x:v>127.7842703698667</x:v>
      </x:c>
      <x:c r="F1145" s="66" t="n">
        <x:v>127.7842703698667</x:v>
      </x:c>
      <x:c r="G1145" s="66" t="n">
        <x:v>310.0425014967699</x:v>
      </x:c>
      <x:c r="H1145" s="45" t="n">
        <x:v>1</x:v>
      </x:c>
      <x:c r="I1145" s="36" t="str">
        <x:v>generated design-reference observation; not predicted tract behavior</x:v>
      </x:c>
    </x:row>
    <x:row r="1146" ht="75.5999984741211" hidden="0" customHeight="1">
      <x:c r="A1146" s="34" t="str">
        <x:v>B1</x:v>
      </x:c>
      <x:c r="B1146" s="34" t="str">
        <x:v>48201220800</x:v>
      </x:c>
      <x:c r="C1146" s="65" t="n">
        <x:v>319.04165644033606</x:v>
      </x:c>
      <x:c r="D1146" s="65" t="n">
        <x:v>182.48997590283037</x:v>
      </x:c>
      <x:c r="E1146" s="65" t="n">
        <x:v>136.5516805375057</x:v>
      </x:c>
      <x:c r="F1146" s="65" t="n">
        <x:v>136.5516805375057</x:v>
      </x:c>
      <x:c r="G1146" s="65" t="n">
        <x:v>319.04165644033606</x:v>
      </x:c>
      <x:c r="H1146" s="43" t="n">
        <x:v>1</x:v>
      </x:c>
      <x:c r="I1146" s="34" t="str">
        <x:v>generated design-reference observation; not predicted tract behavior</x:v>
      </x:c>
    </x:row>
    <x:row r="1147" ht="75.5999984741211" hidden="0" customHeight="1">
      <x:c r="A1147" s="36" t="str">
        <x:v>B1</x:v>
      </x:c>
      <x:c r="B1147" s="36" t="str">
        <x:v>48201220900</x:v>
      </x:c>
      <x:c r="C1147" s="66" t="n">
        <x:v>148.0419934646409</x:v>
      </x:c>
      <x:c r="D1147" s="66" t="n">
        <x:v>88.6617673598119</x:v>
      </x:c>
      <x:c r="E1147" s="66" t="n">
        <x:v>59.380226104829006</x:v>
      </x:c>
      <x:c r="F1147" s="66" t="n">
        <x:v>59.380226104829006</x:v>
      </x:c>
      <x:c r="G1147" s="66" t="n">
        <x:v>148.0419934646409</x:v>
      </x:c>
      <x:c r="H1147" s="45" t="n">
        <x:v>1</x:v>
      </x:c>
      <x:c r="I1147" s="36" t="str">
        <x:v>generated design-reference observation; not predicted tract behavior</x:v>
      </x:c>
    </x:row>
    <x:row r="1148" ht="75.5999984741211" hidden="0" customHeight="1">
      <x:c r="A1148" s="34" t="str">
        <x:v>B1</x:v>
      </x:c>
      <x:c r="B1148" s="34" t="str">
        <x:v>48201221000</x:v>
      </x:c>
      <x:c r="C1148" s="65" t="n">
        <x:v>500.71636670112014</x:v>
      </x:c>
      <x:c r="D1148" s="65" t="n">
        <x:v>259.5303208023598</x:v>
      </x:c>
      <x:c r="E1148" s="65" t="n">
        <x:v>241.1860458987603</x:v>
      </x:c>
      <x:c r="F1148" s="65" t="n">
        <x:v>241.1860458987603</x:v>
      </x:c>
      <x:c r="G1148" s="65" t="n">
        <x:v>500.71636670112014</x:v>
      </x:c>
      <x:c r="H1148" s="43" t="n">
        <x:v>1</x:v>
      </x:c>
      <x:c r="I1148" s="34" t="str">
        <x:v>generated design-reference observation; not predicted tract behavior</x:v>
      </x:c>
    </x:row>
    <x:row r="1149" ht="75.5999984741211" hidden="0" customHeight="1">
      <x:c r="A1149" s="36" t="str">
        <x:v>B1</x:v>
      </x:c>
      <x:c r="B1149" s="36" t="str">
        <x:v>48201221100</x:v>
      </x:c>
      <x:c r="C1149" s="66" t="n">
        <x:v>263.64773151260255</x:v>
      </x:c>
      <x:c r="D1149" s="66" t="n">
        <x:v>161.08876395420015</x:v>
      </x:c>
      <x:c r="E1149" s="66" t="n">
        <x:v>102.5589675584024</x:v>
      </x:c>
      <x:c r="F1149" s="66" t="n">
        <x:v>102.5589675584024</x:v>
      </x:c>
      <x:c r="G1149" s="66" t="n">
        <x:v>263.64773151260255</x:v>
      </x:c>
      <x:c r="H1149" s="45" t="n">
        <x:v>1</x:v>
      </x:c>
      <x:c r="I1149" s="36" t="str">
        <x:v>generated design-reference observation; not predicted tract behavior</x:v>
      </x:c>
    </x:row>
    <x:row r="1150" ht="75.5999984741211" hidden="0" customHeight="1">
      <x:c r="A1150" s="34" t="str">
        <x:v>B1</x:v>
      </x:c>
      <x:c r="B1150" s="34" t="str">
        <x:v>48201221200</x:v>
      </x:c>
      <x:c r="C1150" s="65" t="n">
        <x:v>435.52766117273376</x:v>
      </x:c>
      <x:c r="D1150" s="65" t="n">
        <x:v>266.1074009765403</x:v>
      </x:c>
      <x:c r="E1150" s="65" t="n">
        <x:v>169.42026019619345</x:v>
      </x:c>
      <x:c r="F1150" s="65" t="n">
        <x:v>169.42026019619345</x:v>
      </x:c>
      <x:c r="G1150" s="65" t="n">
        <x:v>435.52766117273376</x:v>
      </x:c>
      <x:c r="H1150" s="43" t="n">
        <x:v>1</x:v>
      </x:c>
      <x:c r="I1150" s="34" t="str">
        <x:v>generated design-reference observation; not predicted tract behavior</x:v>
      </x:c>
    </x:row>
    <x:row r="1151" ht="75.5999984741211" hidden="0" customHeight="1">
      <x:c r="A1151" s="36" t="str">
        <x:v>B1</x:v>
      </x:c>
      <x:c r="B1151" s="36" t="str">
        <x:v>48201221301</x:v>
      </x:c>
      <x:c r="C1151" s="66" t="n">
        <x:v>329.98211380404285</x:v>
      </x:c>
      <x:c r="D1151" s="66" t="n">
        <x:v>201.61907153427018</x:v>
      </x:c>
      <x:c r="E1151" s="66" t="n">
        <x:v>128.36304226977268</x:v>
      </x:c>
      <x:c r="F1151" s="66" t="n">
        <x:v>128.36304226977268</x:v>
      </x:c>
      <x:c r="G1151" s="66" t="n">
        <x:v>329.98211380404285</x:v>
      </x:c>
      <x:c r="H1151" s="45" t="n">
        <x:v>1</x:v>
      </x:c>
      <x:c r="I1151" s="36" t="str">
        <x:v>generated design-reference observation; not predicted tract behavior</x:v>
      </x:c>
    </x:row>
    <x:row r="1152" ht="75.5999984741211" hidden="0" customHeight="1">
      <x:c r="A1152" s="34" t="str">
        <x:v>B1</x:v>
      </x:c>
      <x:c r="B1152" s="34" t="str">
        <x:v>48201221302</x:v>
      </x:c>
      <x:c r="C1152" s="65" t="n">
        <x:v>275.03618174249544</x:v>
      </x:c>
      <x:c r="D1152" s="65" t="n">
        <x:v>164.61935274366724</x:v>
      </x:c>
      <x:c r="E1152" s="65" t="n">
        <x:v>110.41682899882821</x:v>
      </x:c>
      <x:c r="F1152" s="65" t="n">
        <x:v>110.41682899882821</x:v>
      </x:c>
      <x:c r="G1152" s="65" t="n">
        <x:v>275.03618174249544</x:v>
      </x:c>
      <x:c r="H1152" s="43" t="n">
        <x:v>1</x:v>
      </x:c>
      <x:c r="I1152" s="34" t="str">
        <x:v>generated design-reference observation; not predicted tract behavior</x:v>
      </x:c>
    </x:row>
    <x:row r="1153" ht="75.5999984741211" hidden="0" customHeight="1">
      <x:c r="A1153" s="36" t="str">
        <x:v>B1</x:v>
      </x:c>
      <x:c r="B1153" s="36" t="str">
        <x:v>48201221400</x:v>
      </x:c>
      <x:c r="C1153" s="66" t="n">
        <x:v>463.18925577874376</x:v>
      </x:c>
      <x:c r="D1153" s="66" t="n">
        <x:v>261.2805250865082</x:v>
      </x:c>
      <x:c r="E1153" s="66" t="n">
        <x:v>201.90873069223557</x:v>
      </x:c>
      <x:c r="F1153" s="66" t="n">
        <x:v>201.90873069223557</x:v>
      </x:c>
      <x:c r="G1153" s="66" t="n">
        <x:v>463.18925577874376</x:v>
      </x:c>
      <x:c r="H1153" s="45" t="n">
        <x:v>1</x:v>
      </x:c>
      <x:c r="I1153" s="36" t="str">
        <x:v>generated design-reference observation; not predicted tract behavior</x:v>
      </x:c>
    </x:row>
    <x:row r="1154" ht="75.5999984741211" hidden="0" customHeight="1">
      <x:c r="A1154" s="34" t="str">
        <x:v>B1</x:v>
      </x:c>
      <x:c r="B1154" s="34" t="str">
        <x:v>48201221501</x:v>
      </x:c>
      <x:c r="C1154" s="65" t="n">
        <x:v>385.6078946888377</x:v>
      </x:c>
      <x:c r="D1154" s="65" t="n">
        <x:v>231.7131240639926</x:v>
      </x:c>
      <x:c r="E1154" s="65" t="n">
        <x:v>153.89477062484508</x:v>
      </x:c>
      <x:c r="F1154" s="65" t="n">
        <x:v>153.89477062484508</x:v>
      </x:c>
      <x:c r="G1154" s="65" t="n">
        <x:v>385.6078946888377</x:v>
      </x:c>
      <x:c r="H1154" s="43" t="n">
        <x:v>1</x:v>
      </x:c>
      <x:c r="I1154" s="34" t="str">
        <x:v>generated design-reference observation; not predicted tract behavior</x:v>
      </x:c>
    </x:row>
    <x:row r="1155" ht="75.5999984741211" hidden="0" customHeight="1">
      <x:c r="A1155" s="36" t="str">
        <x:v>B1</x:v>
      </x:c>
      <x:c r="B1155" s="36" t="str">
        <x:v>48201221502</x:v>
      </x:c>
      <x:c r="C1155" s="66" t="n">
        <x:v>238.24575004744432</x:v>
      </x:c>
      <x:c r="D1155" s="66" t="n">
        <x:v>129.82955256152763</x:v>
      </x:c>
      <x:c r="E1155" s="66" t="n">
        <x:v>108.41619748591668</x:v>
      </x:c>
      <x:c r="F1155" s="66" t="n">
        <x:v>108.41619748591668</x:v>
      </x:c>
      <x:c r="G1155" s="66" t="n">
        <x:v>238.24575004744432</x:v>
      </x:c>
      <x:c r="H1155" s="45" t="n">
        <x:v>1</x:v>
      </x:c>
      <x:c r="I1155" s="36" t="str">
        <x:v>generated design-reference observation; not predicted tract behavior</x:v>
      </x:c>
    </x:row>
    <x:row r="1156" ht="75.5999984741211" hidden="0" customHeight="1">
      <x:c r="A1156" s="34" t="str">
        <x:v>B1</x:v>
      </x:c>
      <x:c r="B1156" s="34" t="str">
        <x:v>48201221601</x:v>
      </x:c>
      <x:c r="C1156" s="65" t="n">
        <x:v>560.2897446436251</x:v>
      </x:c>
      <x:c r="D1156" s="65" t="n">
        <x:v>163.3811351984782</x:v>
      </x:c>
      <x:c r="E1156" s="65" t="n">
        <x:v>396.9086094451469</x:v>
      </x:c>
      <x:c r="F1156" s="65" t="n">
        <x:v>396.9086094451469</x:v>
      </x:c>
      <x:c r="G1156" s="65" t="n">
        <x:v>560.2897446436251</x:v>
      </x:c>
      <x:c r="H1156" s="43" t="n">
        <x:v>1</x:v>
      </x:c>
      <x:c r="I1156" s="34" t="str">
        <x:v>generated design-reference observation; not predicted tract behavior</x:v>
      </x:c>
    </x:row>
    <x:row r="1157" ht="75.5999984741211" hidden="0" customHeight="1">
      <x:c r="A1157" s="36" t="str">
        <x:v>B1</x:v>
      </x:c>
      <x:c r="B1157" s="36" t="str">
        <x:v>48201221602</x:v>
      </x:c>
      <x:c r="C1157" s="66" t="n">
        <x:v>447.41912093659033</x:v>
      </x:c>
      <x:c r="D1157" s="66" t="n">
        <x:v>273.37308289225666</x:v>
      </x:c>
      <x:c r="E1157" s="66" t="n">
        <x:v>174.04603804433367</x:v>
      </x:c>
      <x:c r="F1157" s="66" t="n">
        <x:v>174.04603804433367</x:v>
      </x:c>
      <x:c r="G1157" s="66" t="n">
        <x:v>447.41912093659033</x:v>
      </x:c>
      <x:c r="H1157" s="45" t="n">
        <x:v>1</x:v>
      </x:c>
      <x:c r="I1157" s="36" t="str">
        <x:v>generated design-reference observation; not predicted tract behavior</x:v>
      </x:c>
    </x:row>
    <x:row r="1158" ht="75.5999984741211" hidden="0" customHeight="1">
      <x:c r="A1158" s="34" t="str">
        <x:v>B1</x:v>
      </x:c>
      <x:c r="B1158" s="34" t="str">
        <x:v>48201221701</x:v>
      </x:c>
      <x:c r="C1158" s="65" t="n">
        <x:v>752.3538387221931</x:v>
      </x:c>
      <x:c r="D1158" s="65" t="n">
        <x:v>401.004596038929</x:v>
      </x:c>
      <x:c r="E1158" s="65" t="n">
        <x:v>351.34924268326415</x:v>
      </x:c>
      <x:c r="F1158" s="65" t="n">
        <x:v>351.34924268326415</x:v>
      </x:c>
      <x:c r="G1158" s="65" t="n">
        <x:v>752.3538387221931</x:v>
      </x:c>
      <x:c r="H1158" s="43" t="n">
        <x:v>1</x:v>
      </x:c>
      <x:c r="I1158" s="34" t="str">
        <x:v>generated design-reference observation; not predicted tract behavior</x:v>
      </x:c>
    </x:row>
    <x:row r="1159" ht="75.5999984741211" hidden="0" customHeight="1">
      <x:c r="A1159" s="36" t="str">
        <x:v>B1</x:v>
      </x:c>
      <x:c r="B1159" s="36" t="str">
        <x:v>48201221702</x:v>
      </x:c>
      <x:c r="C1159" s="66" t="n">
        <x:v>503.88496401783027</x:v>
      </x:c>
      <x:c r="D1159" s="66" t="n">
        <x:v>147.09892463658545</x:v>
      </x:c>
      <x:c r="E1159" s="66" t="n">
        <x:v>356.7860393812448</x:v>
      </x:c>
      <x:c r="F1159" s="66" t="n">
        <x:v>356.7860393812448</x:v>
      </x:c>
      <x:c r="G1159" s="66" t="n">
        <x:v>503.88496401783027</x:v>
      </x:c>
      <x:c r="H1159" s="45" t="n">
        <x:v>1</x:v>
      </x:c>
      <x:c r="I1159" s="36" t="str">
        <x:v>generated design-reference observation; not predicted tract behavior</x:v>
      </x:c>
    </x:row>
    <x:row r="1160" ht="75.5999984741211" hidden="0" customHeight="1">
      <x:c r="A1160" s="34" t="str">
        <x:v>B1</x:v>
      </x:c>
      <x:c r="B1160" s="34" t="str">
        <x:v>48201221800</x:v>
      </x:c>
      <x:c r="C1160" s="65" t="n">
        <x:v>576.50031511738</x:v>
      </x:c>
      <x:c r="D1160" s="65" t="n">
        <x:v>305.32224192818114</x:v>
      </x:c>
      <x:c r="E1160" s="65" t="n">
        <x:v>271.1780731891988</x:v>
      </x:c>
      <x:c r="F1160" s="65" t="n">
        <x:v>271.1780731891988</x:v>
      </x:c>
      <x:c r="G1160" s="65" t="n">
        <x:v>576.50031511738</x:v>
      </x:c>
      <x:c r="H1160" s="43" t="n">
        <x:v>1</x:v>
      </x:c>
      <x:c r="I1160" s="34" t="str">
        <x:v>generated design-reference observation; not predicted tract behavior</x:v>
      </x:c>
    </x:row>
    <x:row r="1161" ht="75.5999984741211" hidden="0" customHeight="1">
      <x:c r="A1161" s="36" t="str">
        <x:v>B1</x:v>
      </x:c>
      <x:c r="B1161" s="36" t="str">
        <x:v>48201221900</x:v>
      </x:c>
      <x:c r="C1161" s="66" t="n">
        <x:v>839.0126477059638</x:v>
      </x:c>
      <x:c r="D1161" s="66" t="n">
        <x:v>245.4111994539944</x:v>
      </x:c>
      <x:c r="E1161" s="66" t="n">
        <x:v>593.6014482519694</x:v>
      </x:c>
      <x:c r="F1161" s="66" t="n">
        <x:v>593.6014482519694</x:v>
      </x:c>
      <x:c r="G1161" s="66" t="n">
        <x:v>839.0126477059638</x:v>
      </x:c>
      <x:c r="H1161" s="45" t="n">
        <x:v>1</x:v>
      </x:c>
      <x:c r="I1161" s="36" t="str">
        <x:v>generated design-reference observation; not predicted tract behavior</x:v>
      </x:c>
    </x:row>
    <x:row r="1162" ht="75.5999984741211" hidden="0" customHeight="1">
      <x:c r="A1162" s="34" t="str">
        <x:v>B1</x:v>
      </x:c>
      <x:c r="B1162" s="34" t="str">
        <x:v>48201222000</x:v>
      </x:c>
      <x:c r="C1162" s="65" t="n">
        <x:v>357.77762260689525</x:v>
      </x:c>
      <x:c r="D1162" s="65" t="n">
        <x:v>104.64995461251686</x:v>
      </x:c>
      <x:c r="E1162" s="65" t="n">
        <x:v>253.12766799437838</x:v>
      </x:c>
      <x:c r="F1162" s="65" t="n">
        <x:v>253.12766799437838</x:v>
      </x:c>
      <x:c r="G1162" s="65" t="n">
        <x:v>357.77762260689525</x:v>
      </x:c>
      <x:c r="H1162" s="43" t="n">
        <x:v>1</x:v>
      </x:c>
      <x:c r="I1162" s="34" t="str">
        <x:v>generated design-reference observation; not predicted tract behavior</x:v>
      </x:c>
    </x:row>
    <x:row r="1163" ht="75.5999984741211" hidden="0" customHeight="1">
      <x:c r="A1163" s="36" t="str">
        <x:v>B1</x:v>
      </x:c>
      <x:c r="B1163" s="36" t="str">
        <x:v>48201222100</x:v>
      </x:c>
      <x:c r="C1163" s="66" t="n">
        <x:v>853.4862633827511</x:v>
      </x:c>
      <x:c r="D1163" s="66" t="n">
        <x:v>249.64473203945468</x:v>
      </x:c>
      <x:c r="E1163" s="66" t="n">
        <x:v>603.8415313432964</x:v>
      </x:c>
      <x:c r="F1163" s="66" t="n">
        <x:v>603.8415313432964</x:v>
      </x:c>
      <x:c r="G1163" s="66" t="n">
        <x:v>853.4862633827511</x:v>
      </x:c>
      <x:c r="H1163" s="45" t="n">
        <x:v>1</x:v>
      </x:c>
      <x:c r="I1163" s="36" t="str">
        <x:v>generated design-reference observation; not predicted tract behavior</x:v>
      </x:c>
    </x:row>
    <x:row r="1164" ht="75.5999984741211" hidden="0" customHeight="1">
      <x:c r="A1164" s="34" t="str">
        <x:v>B1</x:v>
      </x:c>
      <x:c r="B1164" s="34" t="str">
        <x:v>48201222200</x:v>
      </x:c>
      <x:c r="C1164" s="65" t="n">
        <x:v>275.099057934241</x:v>
      </x:c>
      <x:c r="D1164" s="65" t="n">
        <x:v>162.6868260433433</x:v>
      </x:c>
      <x:c r="E1164" s="65" t="n">
        <x:v>112.41223189089769</x:v>
      </x:c>
      <x:c r="F1164" s="65" t="n">
        <x:v>112.41223189089769</x:v>
      </x:c>
      <x:c r="G1164" s="65" t="n">
        <x:v>275.099057934241</x:v>
      </x:c>
      <x:c r="H1164" s="43" t="n">
        <x:v>1</x:v>
      </x:c>
      <x:c r="I1164" s="34" t="str">
        <x:v>generated design-reference observation; not predicted tract behavior</x:v>
      </x:c>
    </x:row>
    <x:row r="1165" ht="75.5999984741211" hidden="0" customHeight="1">
      <x:c r="A1165" s="36" t="str">
        <x:v>B1</x:v>
      </x:c>
      <x:c r="B1165" s="36" t="str">
        <x:v>48201222300</x:v>
      </x:c>
      <x:c r="C1165" s="66" t="n">
        <x:v>814.9407395277285</x:v>
      </x:c>
      <x:c r="D1165" s="66" t="n">
        <x:v>238.37016631186057</x:v>
      </x:c>
      <x:c r="E1165" s="66" t="n">
        <x:v>576.570573215868</x:v>
      </x:c>
      <x:c r="F1165" s="66" t="n">
        <x:v>576.570573215868</x:v>
      </x:c>
      <x:c r="G1165" s="66" t="n">
        <x:v>814.9407395277285</x:v>
      </x:c>
      <x:c r="H1165" s="45" t="n">
        <x:v>1</x:v>
      </x:c>
      <x:c r="I1165" s="36" t="str">
        <x:v>generated design-reference observation; not predicted tract behavior</x:v>
      </x:c>
    </x:row>
    <x:row r="1166" ht="75.5999984741211" hidden="0" customHeight="1">
      <x:c r="A1166" s="34" t="str">
        <x:v>B1</x:v>
      </x:c>
      <x:c r="B1166" s="34" t="str">
        <x:v>48201222401</x:v>
      </x:c>
      <x:c r="C1166" s="65" t="n">
        <x:v>265.54187678893396</x:v>
      </x:c>
      <x:c r="D1166" s="65" t="n">
        <x:v>162.24608671803864</x:v>
      </x:c>
      <x:c r="E1166" s="65" t="n">
        <x:v>103.29579007089532</x:v>
      </x:c>
      <x:c r="F1166" s="65" t="n">
        <x:v>75.486155112114</x:v>
      </x:c>
      <x:c r="G1166" s="65" t="n">
        <x:v>237.73224183015265</x:v>
      </x:c>
      <x:c r="H1166" s="43" t="n">
        <x:v>0.8952721307272908</x:v>
      </x:c>
      <x:c r="I1166" s="34" t="str">
        <x:v>generated design-reference observation; not predicted tract behavior</x:v>
      </x:c>
    </x:row>
    <x:row r="1167" ht="75.5999984741211" hidden="0" customHeight="1">
      <x:c r="A1167" s="36" t="str">
        <x:v>B1</x:v>
      </x:c>
      <x:c r="B1167" s="36" t="str">
        <x:v>48201222402</x:v>
      </x:c>
      <x:c r="C1167" s="66" t="n">
        <x:v>583.0312772455544</x:v>
      </x:c>
      <x:c r="D1167" s="66" t="n">
        <x:v>355.36932186696174</x:v>
      </x:c>
      <x:c r="E1167" s="66" t="n">
        <x:v>227.66195537859267</x:v>
      </x:c>
      <x:c r="F1167" s="66" t="n">
        <x:v>227.66195537859267</x:v>
      </x:c>
      <x:c r="G1167" s="66" t="n">
        <x:v>583.0312772455544</x:v>
      </x:c>
      <x:c r="H1167" s="45" t="n">
        <x:v>1</x:v>
      </x:c>
      <x:c r="I1167" s="36" t="str">
        <x:v>generated design-reference observation; not predicted tract behavior</x:v>
      </x:c>
    </x:row>
    <x:row r="1168" ht="75.5999984741211" hidden="0" customHeight="1">
      <x:c r="A1168" s="34" t="str">
        <x:v>B1</x:v>
      </x:c>
      <x:c r="B1168" s="34" t="str">
        <x:v>48201222501</x:v>
      </x:c>
      <x:c r="C1168" s="65" t="n">
        <x:v>273.7393602877458</x:v>
      </x:c>
      <x:c r="D1168" s="65" t="n">
        <x:v>162.25819600934997</x:v>
      </x:c>
      <x:c r="E1168" s="65" t="n">
        <x:v>111.48116427839582</x:v>
      </x:c>
      <x:c r="F1168" s="65" t="n">
        <x:v>111.48116427839582</x:v>
      </x:c>
      <x:c r="G1168" s="65" t="n">
        <x:v>273.7393602877458</x:v>
      </x:c>
      <x:c r="H1168" s="43" t="n">
        <x:v>1</x:v>
      </x:c>
      <x:c r="I1168" s="34" t="str">
        <x:v>generated design-reference observation; not predicted tract behavior</x:v>
      </x:c>
    </x:row>
    <x:row r="1169" ht="75.5999984741211" hidden="0" customHeight="1">
      <x:c r="A1169" s="36" t="str">
        <x:v>B1</x:v>
      </x:c>
      <x:c r="B1169" s="36" t="str">
        <x:v>48201222502</x:v>
      </x:c>
      <x:c r="C1169" s="66" t="n">
        <x:v>556.0734123240799</x:v>
      </x:c>
      <x:c r="D1169" s="66" t="n">
        <x:v>296.3871287687346</x:v>
      </x:c>
      <x:c r="E1169" s="66" t="n">
        <x:v>259.68628355534526</x:v>
      </x:c>
      <x:c r="F1169" s="66" t="n">
        <x:v>259.68628355534526</x:v>
      </x:c>
      <x:c r="G1169" s="66" t="n">
        <x:v>556.0734123240799</x:v>
      </x:c>
      <x:c r="H1169" s="45" t="n">
        <x:v>1</x:v>
      </x:c>
      <x:c r="I1169" s="36" t="str">
        <x:v>generated design-reference observation; not predicted tract behavior</x:v>
      </x:c>
    </x:row>
    <x:row r="1170" ht="75.5999984741211" hidden="0" customHeight="1">
      <x:c r="A1170" s="34" t="str">
        <x:v>B1</x:v>
      </x:c>
      <x:c r="B1170" s="34" t="str">
        <x:v>48201222504</x:v>
      </x:c>
      <x:c r="C1170" s="65" t="n">
        <x:v>264.15860057053413</x:v>
      </x:c>
      <x:c r="D1170" s="65" t="n">
        <x:v>156.51459562186494</x:v>
      </x:c>
      <x:c r="E1170" s="65" t="n">
        <x:v>107.64400494866919</x:v>
      </x:c>
      <x:c r="F1170" s="65" t="n">
        <x:v>107.64400494866919</x:v>
      </x:c>
      <x:c r="G1170" s="65" t="n">
        <x:v>264.15860057053413</x:v>
      </x:c>
      <x:c r="H1170" s="43" t="n">
        <x:v>1</x:v>
      </x:c>
      <x:c r="I1170" s="34" t="str">
        <x:v>generated design-reference observation; not predicted tract behavior</x:v>
      </x:c>
    </x:row>
    <x:row r="1171" ht="75.5999984741211" hidden="0" customHeight="1">
      <x:c r="A1171" s="36" t="str">
        <x:v>B1</x:v>
      </x:c>
      <x:c r="B1171" s="36" t="str">
        <x:v>48201222505</x:v>
      </x:c>
      <x:c r="C1171" s="66" t="n">
        <x:v>265.89948512948604</x:v>
      </x:c>
      <x:c r="D1171" s="66" t="n">
        <x:v>162.46458541411596</x:v>
      </x:c>
      <x:c r="E1171" s="66" t="n">
        <x:v>103.43489971537008</x:v>
      </x:c>
      <x:c r="F1171" s="66" t="n">
        <x:v>103.43489971537008</x:v>
      </x:c>
      <x:c r="G1171" s="66" t="n">
        <x:v>265.89948512948604</x:v>
      </x:c>
      <x:c r="H1171" s="45" t="n">
        <x:v>1</x:v>
      </x:c>
      <x:c r="I1171" s="36" t="str">
        <x:v>generated design-reference observation; not predicted tract behavior</x:v>
      </x:c>
    </x:row>
    <x:row r="1172" ht="75.5999984741211" hidden="0" customHeight="1">
      <x:c r="A1172" s="34" t="str">
        <x:v>B1</x:v>
      </x:c>
      <x:c r="B1172" s="34" t="str">
        <x:v>48201222601</x:v>
      </x:c>
      <x:c r="C1172" s="65" t="n">
        <x:v>184.4669572951718</x:v>
      </x:c>
      <x:c r="D1172" s="65" t="n">
        <x:v>106.31825221623487</x:v>
      </x:c>
      <x:c r="E1172" s="65" t="n">
        <x:v>78.14870507893693</x:v>
      </x:c>
      <x:c r="F1172" s="65" t="n">
        <x:v>78.14870507893693</x:v>
      </x:c>
      <x:c r="G1172" s="65" t="n">
        <x:v>184.4669572951718</x:v>
      </x:c>
      <x:c r="H1172" s="43" t="n">
        <x:v>1</x:v>
      </x:c>
      <x:c r="I1172" s="34" t="str">
        <x:v>generated design-reference observation; not predicted tract behavior</x:v>
      </x:c>
    </x:row>
    <x:row r="1173" ht="75.5999984741211" hidden="0" customHeight="1">
      <x:c r="A1173" s="36" t="str">
        <x:v>B1</x:v>
      </x:c>
      <x:c r="B1173" s="36" t="str">
        <x:v>48201222602</x:v>
      </x:c>
      <x:c r="C1173" s="66" t="n">
        <x:v>191.36368957724983</x:v>
      </x:c>
      <x:c r="D1173" s="66" t="n">
        <x:v>110.15728159140022</x:v>
      </x:c>
      <x:c r="E1173" s="66" t="n">
        <x:v>81.20640798584961</x:v>
      </x:c>
      <x:c r="F1173" s="66" t="n">
        <x:v>81.20640798584961</x:v>
      </x:c>
      <x:c r="G1173" s="66" t="n">
        <x:v>191.36368957724983</x:v>
      </x:c>
      <x:c r="H1173" s="45" t="n">
        <x:v>1</x:v>
      </x:c>
      <x:c r="I1173" s="36" t="str">
        <x:v>generated design-reference observation; not predicted tract behavior</x:v>
      </x:c>
    </x:row>
    <x:row r="1174" ht="75.5999984741211" hidden="0" customHeight="1">
      <x:c r="A1174" s="34" t="str">
        <x:v>B1</x:v>
      </x:c>
      <x:c r="B1174" s="34" t="str">
        <x:v>48201222701</x:v>
      </x:c>
      <x:c r="C1174" s="65" t="n">
        <x:v>222.67996282846357</x:v>
      </x:c>
      <x:c r="D1174" s="65" t="n">
        <x:v>126.8974191963308</x:v>
      </x:c>
      <x:c r="E1174" s="65" t="n">
        <x:v>95.78254363213277</x:v>
      </x:c>
      <x:c r="F1174" s="65" t="n">
        <x:v>95.78254363213277</x:v>
      </x:c>
      <x:c r="G1174" s="65" t="n">
        <x:v>222.67996282846357</x:v>
      </x:c>
      <x:c r="H1174" s="43" t="n">
        <x:v>1</x:v>
      </x:c>
      <x:c r="I1174" s="34" t="str">
        <x:v>generated design-reference observation; not predicted tract behavior</x:v>
      </x:c>
    </x:row>
    <x:row r="1175" ht="75.5999984741211" hidden="0" customHeight="1">
      <x:c r="A1175" s="36" t="str">
        <x:v>B1</x:v>
      </x:c>
      <x:c r="B1175" s="36" t="str">
        <x:v>48201222702</x:v>
      </x:c>
      <x:c r="C1175" s="66" t="n">
        <x:v>479.3717133398433</x:v>
      </x:c>
      <x:c r="D1175" s="66" t="n">
        <x:v>235.22918945927663</x:v>
      </x:c>
      <x:c r="E1175" s="66" t="n">
        <x:v>244.1425238805667</x:v>
      </x:c>
      <x:c r="F1175" s="66" t="n">
        <x:v>244.1425238805667</x:v>
      </x:c>
      <x:c r="G1175" s="66" t="n">
        <x:v>479.3717133398433</x:v>
      </x:c>
      <x:c r="H1175" s="45" t="n">
        <x:v>1</x:v>
      </x:c>
      <x:c r="I1175" s="36" t="str">
        <x:v>generated design-reference observation; not predicted tract behavior</x:v>
      </x:c>
    </x:row>
    <x:row r="1176" ht="75.5999984741211" hidden="0" customHeight="1">
      <x:c r="A1176" s="34" t="str">
        <x:v>B1</x:v>
      </x:c>
      <x:c r="B1176" s="34" t="str">
        <x:v>48201222800</x:v>
      </x:c>
      <x:c r="C1176" s="65" t="n">
        <x:v>324.8970017966302</x:v>
      </x:c>
      <x:c r="D1176" s="65" t="n">
        <x:v>198.51206809774106</x:v>
      </x:c>
      <x:c r="E1176" s="65" t="n">
        <x:v>126.38493369888914</x:v>
      </x:c>
      <x:c r="F1176" s="65" t="n">
        <x:v>126.38493369888914</x:v>
      </x:c>
      <x:c r="G1176" s="65" t="n">
        <x:v>324.8970017966302</x:v>
      </x:c>
      <x:c r="H1176" s="43" t="n">
        <x:v>1</x:v>
      </x:c>
      <x:c r="I1176" s="34" t="str">
        <x:v>generated design-reference observation; not predicted tract behavior</x:v>
      </x:c>
    </x:row>
    <x:row r="1177" ht="75.5999984741211" hidden="0" customHeight="1">
      <x:c r="A1177" s="36" t="str">
        <x:v>B1</x:v>
      </x:c>
      <x:c r="B1177" s="36" t="str">
        <x:v>48201222900</x:v>
      </x:c>
      <x:c r="C1177" s="66" t="n">
        <x:v>1357.4474043251957</x:v>
      </x:c>
      <x:c r="D1177" s="66" t="n">
        <x:v>397.05336576511974</x:v>
      </x:c>
      <x:c r="E1177" s="66" t="n">
        <x:v>960.3940385600761</x:v>
      </x:c>
      <x:c r="F1177" s="66" t="n">
        <x:v>960.3940385600761</x:v>
      </x:c>
      <x:c r="G1177" s="66" t="n">
        <x:v>1357.4474043251957</x:v>
      </x:c>
      <x:c r="H1177" s="45" t="n">
        <x:v>1</x:v>
      </x:c>
      <x:c r="I1177" s="36" t="str">
        <x:v>generated design-reference observation; not predicted tract behavior</x:v>
      </x:c>
    </x:row>
    <x:row r="1178" ht="75.5999984741211" hidden="0" customHeight="1">
      <x:c r="A1178" s="34" t="str">
        <x:v>B1</x:v>
      </x:c>
      <x:c r="B1178" s="34" t="str">
        <x:v>48201223001</x:v>
      </x:c>
      <x:c r="C1178" s="65" t="n">
        <x:v>702.2242834062232</x:v>
      </x:c>
      <x:c r="D1178" s="65" t="n">
        <x:v>201.197219965166</x:v>
      </x:c>
      <x:c r="E1178" s="65" t="n">
        <x:v>501.0270634410572</x:v>
      </x:c>
      <x:c r="F1178" s="65" t="n">
        <x:v>501.0270634410572</x:v>
      </x:c>
      <x:c r="G1178" s="65" t="n">
        <x:v>702.2242834062232</x:v>
      </x:c>
      <x:c r="H1178" s="43" t="n">
        <x:v>1</x:v>
      </x:c>
      <x:c r="I1178" s="34" t="str">
        <x:v>generated design-reference observation; not predicted tract behavior</x:v>
      </x:c>
    </x:row>
    <x:row r="1179" ht="75.5999984741211" hidden="0" customHeight="1">
      <x:c r="A1179" s="36" t="str">
        <x:v>B1</x:v>
      </x:c>
      <x:c r="B1179" s="36" t="str">
        <x:v>48201223002</x:v>
      </x:c>
      <x:c r="C1179" s="66" t="n">
        <x:v>395.0081876441645</x:v>
      </x:c>
      <x:c r="D1179" s="66" t="n">
        <x:v>197.3373527059451</x:v>
      </x:c>
      <x:c r="E1179" s="66" t="n">
        <x:v>197.67083493821937</x:v>
      </x:c>
      <x:c r="F1179" s="66" t="n">
        <x:v>197.67083493821937</x:v>
      </x:c>
      <x:c r="G1179" s="66" t="n">
        <x:v>395.0081876441645</x:v>
      </x:c>
      <x:c r="H1179" s="45" t="n">
        <x:v>1</x:v>
      </x:c>
      <x:c r="I1179" s="36" t="str">
        <x:v>generated design-reference observation; not predicted tract behavior</x:v>
      </x:c>
    </x:row>
    <x:row r="1180" ht="75.5999984741211" hidden="0" customHeight="1">
      <x:c r="A1180" s="34" t="str">
        <x:v>B1</x:v>
      </x:c>
      <x:c r="B1180" s="34" t="str">
        <x:v>48201223100</x:v>
      </x:c>
      <x:c r="C1180" s="65" t="n">
        <x:v>310.00501761322926</x:v>
      </x:c>
      <x:c r="D1180" s="65" t="n">
        <x:v>165.2326743878512</x:v>
      </x:c>
      <x:c r="E1180" s="65" t="n">
        <x:v>144.77234322537805</x:v>
      </x:c>
      <x:c r="F1180" s="65" t="n">
        <x:v>144.77234322537805</x:v>
      </x:c>
      <x:c r="G1180" s="65" t="n">
        <x:v>310.00501761322926</x:v>
      </x:c>
      <x:c r="H1180" s="43" t="n">
        <x:v>1</x:v>
      </x:c>
      <x:c r="I1180" s="34" t="str">
        <x:v>generated design-reference observation; not predicted tract behavior</x:v>
      </x:c>
    </x:row>
    <x:row r="1181" ht="75.5999984741211" hidden="0" customHeight="1">
      <x:c r="A1181" s="36" t="str">
        <x:v>B1</x:v>
      </x:c>
      <x:c r="B1181" s="36" t="str">
        <x:v>48201230100</x:v>
      </x:c>
      <x:c r="C1181" s="66" t="n">
        <x:v>145.47192912704602</x:v>
      </x:c>
      <x:c r="D1181" s="66" t="n">
        <x:v>86.71902091714506</x:v>
      </x:c>
      <x:c r="E1181" s="66" t="n">
        <x:v>58.752908209900966</x:v>
      </x:c>
      <x:c r="F1181" s="66" t="n">
        <x:v>58.752908209900966</x:v>
      </x:c>
      <x:c r="G1181" s="66" t="n">
        <x:v>145.47192912704602</x:v>
      </x:c>
      <x:c r="H1181" s="45" t="n">
        <x:v>1</x:v>
      </x:c>
      <x:c r="I1181" s="36" t="str">
        <x:v>generated design-reference observation; not predicted tract behavior</x:v>
      </x:c>
    </x:row>
    <x:row r="1182" ht="75.5999984741211" hidden="0" customHeight="1">
      <x:c r="A1182" s="34" t="str">
        <x:v>B1</x:v>
      </x:c>
      <x:c r="B1182" s="34" t="str">
        <x:v>48201230200</x:v>
      </x:c>
      <x:c r="C1182" s="65" t="n">
        <x:v>428.44623007740347</x:v>
      </x:c>
      <x:c r="D1182" s="65" t="n">
        <x:v>258.0195735389328</x:v>
      </x:c>
      <x:c r="E1182" s="65" t="n">
        <x:v>170.4266565384707</x:v>
      </x:c>
      <x:c r="F1182" s="65" t="n">
        <x:v>170.4266565384707</x:v>
      </x:c>
      <x:c r="G1182" s="65" t="n">
        <x:v>428.44623007740347</x:v>
      </x:c>
      <x:c r="H1182" s="43" t="n">
        <x:v>1</x:v>
      </x:c>
      <x:c r="I1182" s="34" t="str">
        <x:v>generated design-reference observation; not predicted tract behavior</x:v>
      </x:c>
    </x:row>
    <x:row r="1183" ht="75.5999984741211" hidden="0" customHeight="1">
      <x:c r="A1183" s="36" t="str">
        <x:v>B1</x:v>
      </x:c>
      <x:c r="B1183" s="36" t="str">
        <x:v>48201230300</x:v>
      </x:c>
      <x:c r="C1183" s="66" t="n">
        <x:v>176.96504166754386</x:v>
      </x:c>
      <x:c r="D1183" s="66" t="n">
        <x:v>108.12564045886928</x:v>
      </x:c>
      <x:c r="E1183" s="66" t="n">
        <x:v>68.83940120867457</x:v>
      </x:c>
      <x:c r="F1183" s="66" t="n">
        <x:v>68.83940120867459</x:v>
      </x:c>
      <x:c r="G1183" s="66" t="n">
        <x:v>176.96504166754386</x:v>
      </x:c>
      <x:c r="H1183" s="45" t="n">
        <x:v>1</x:v>
      </x:c>
      <x:c r="I1183" s="36" t="str">
        <x:v>generated design-reference observation; not predicted tract behavior</x:v>
      </x:c>
    </x:row>
    <x:row r="1184" ht="75.5999984741211" hidden="0" customHeight="1">
      <x:c r="A1184" s="34" t="str">
        <x:v>B1</x:v>
      </x:c>
      <x:c r="B1184" s="34" t="str">
        <x:v>48201230400</x:v>
      </x:c>
      <x:c r="C1184" s="65" t="n">
        <x:v>340.74180211648144</x:v>
      </x:c>
      <x:c r="D1184" s="65" t="n">
        <x:v>207.24690817911028</x:v>
      </x:c>
      <x:c r="E1184" s="65" t="n">
        <x:v>133.49489393737116</x:v>
      </x:c>
      <x:c r="F1184" s="65" t="n">
        <x:v>133.49489393737116</x:v>
      </x:c>
      <x:c r="G1184" s="65" t="n">
        <x:v>340.74180211648144</x:v>
      </x:c>
      <x:c r="H1184" s="43" t="n">
        <x:v>1</x:v>
      </x:c>
      <x:c r="I1184" s="34" t="str">
        <x:v>generated design-reference observation; not predicted tract behavior</x:v>
      </x:c>
    </x:row>
    <x:row r="1185" ht="75.5999984741211" hidden="0" customHeight="1">
      <x:c r="A1185" s="36" t="str">
        <x:v>B1</x:v>
      </x:c>
      <x:c r="B1185" s="36" t="str">
        <x:v>48201230500</x:v>
      </x:c>
      <x:c r="C1185" s="66" t="n">
        <x:v>296.21759883674093</x:v>
      </x:c>
      <x:c r="D1185" s="66" t="n">
        <x:v>180.9889528892487</x:v>
      </x:c>
      <x:c r="E1185" s="66" t="n">
        <x:v>115.22864594749223</x:v>
      </x:c>
      <x:c r="F1185" s="66" t="n">
        <x:v>115.22864594749223</x:v>
      </x:c>
      <x:c r="G1185" s="66" t="n">
        <x:v>296.21759883674093</x:v>
      </x:c>
      <x:c r="H1185" s="45" t="n">
        <x:v>1</x:v>
      </x:c>
      <x:c r="I1185" s="36" t="str">
        <x:v>generated design-reference observation; not predicted tract behavior</x:v>
      </x:c>
    </x:row>
    <x:row r="1186" ht="75.5999984741211" hidden="0" customHeight="1">
      <x:c r="A1186" s="34" t="str">
        <x:v>B1</x:v>
      </x:c>
      <x:c r="B1186" s="34" t="str">
        <x:v>48201230600</x:v>
      </x:c>
      <x:c r="C1186" s="65" t="n">
        <x:v>250.37299553034623</x:v>
      </x:c>
      <x:c r="D1186" s="65" t="n">
        <x:v>152.74209618384842</x:v>
      </x:c>
      <x:c r="E1186" s="65" t="n">
        <x:v>97.63089934649781</x:v>
      </x:c>
      <x:c r="F1186" s="65" t="n">
        <x:v>97.63089934649781</x:v>
      </x:c>
      <x:c r="G1186" s="65" t="n">
        <x:v>250.37299553034623</x:v>
      </x:c>
      <x:c r="H1186" s="43" t="n">
        <x:v>1</x:v>
      </x:c>
      <x:c r="I1186" s="34" t="str">
        <x:v>generated design-reference observation; not predicted tract behavior</x:v>
      </x:c>
    </x:row>
    <x:row r="1187" ht="75.5999984741211" hidden="0" customHeight="1">
      <x:c r="A1187" s="36" t="str">
        <x:v>B1</x:v>
      </x:c>
      <x:c r="B1187" s="36" t="str">
        <x:v>48201230700</x:v>
      </x:c>
      <x:c r="C1187" s="66" t="n">
        <x:v>279.4689532605491</x:v>
      </x:c>
      <x:c r="D1187" s="66" t="n">
        <x:v>169.3314688755733</x:v>
      </x:c>
      <x:c r="E1187" s="66" t="n">
        <x:v>110.13748438497578</x:v>
      </x:c>
      <x:c r="F1187" s="66" t="n">
        <x:v>110.13748438497578</x:v>
      </x:c>
      <x:c r="G1187" s="66" t="n">
        <x:v>279.4689532605491</x:v>
      </x:c>
      <x:c r="H1187" s="45" t="n">
        <x:v>1</x:v>
      </x:c>
      <x:c r="I1187" s="36" t="str">
        <x:v>generated design-reference observation; not predicted tract behavior</x:v>
      </x:c>
    </x:row>
    <x:row r="1188" ht="75.5999984741211" hidden="0" customHeight="1">
      <x:c r="A1188" s="34" t="str">
        <x:v>B1</x:v>
      </x:c>
      <x:c r="B1188" s="34" t="str">
        <x:v>48201230800</x:v>
      </x:c>
      <x:c r="C1188" s="65" t="n">
        <x:v>192.19679911787694</x:v>
      </x:c>
      <x:c r="D1188" s="65" t="n">
        <x:v>116.68590229153865</x:v>
      </x:c>
      <x:c r="E1188" s="65" t="n">
        <x:v>75.51089682633828</x:v>
      </x:c>
      <x:c r="F1188" s="65" t="n">
        <x:v>75.51089682633828</x:v>
      </x:c>
      <x:c r="G1188" s="65" t="n">
        <x:v>192.19679911787694</x:v>
      </x:c>
      <x:c r="H1188" s="43" t="n">
        <x:v>1</x:v>
      </x:c>
      <x:c r="I1188" s="34" t="str">
        <x:v>generated design-reference observation; not predicted tract behavior</x:v>
      </x:c>
    </x:row>
    <x:row r="1189" ht="75.5999984741211" hidden="0" customHeight="1">
      <x:c r="A1189" s="36" t="str">
        <x:v>B1</x:v>
      </x:c>
      <x:c r="B1189" s="36" t="str">
        <x:v>48201230900</x:v>
      </x:c>
      <x:c r="C1189" s="66" t="n">
        <x:v>370.85556820056354</x:v>
      </x:c>
      <x:c r="D1189" s="66" t="n">
        <x:v>220.9110234594023</x:v>
      </x:c>
      <x:c r="E1189" s="66" t="n">
        <x:v>149.94454474116125</x:v>
      </x:c>
      <x:c r="F1189" s="66" t="n">
        <x:v>149.94454474116125</x:v>
      </x:c>
      <x:c r="G1189" s="66" t="n">
        <x:v>370.85556820056354</x:v>
      </x:c>
      <x:c r="H1189" s="45" t="n">
        <x:v>1</x:v>
      </x:c>
      <x:c r="I1189" s="36" t="str">
        <x:v>generated design-reference observation; not predicted tract behavior</x:v>
      </x:c>
    </x:row>
    <x:row r="1190" ht="75.5999984741211" hidden="0" customHeight="1">
      <x:c r="A1190" s="34" t="str">
        <x:v>B1</x:v>
      </x:c>
      <x:c r="B1190" s="34" t="str">
        <x:v>48201231000</x:v>
      </x:c>
      <x:c r="C1190" s="65" t="n">
        <x:v>494.2500945009916</x:v>
      </x:c>
      <x:c r="D1190" s="65" t="n">
        <x:v>301.98680774010586</x:v>
      </x:c>
      <x:c r="E1190" s="65" t="n">
        <x:v>192.26328676088576</x:v>
      </x:c>
      <x:c r="F1190" s="65" t="n">
        <x:v>192.26328676088576</x:v>
      </x:c>
      <x:c r="G1190" s="65" t="n">
        <x:v>494.2500945009916</x:v>
      </x:c>
      <x:c r="H1190" s="43" t="n">
        <x:v>1</x:v>
      </x:c>
      <x:c r="I1190" s="34" t="str">
        <x:v>generated design-reference observation; not predicted tract behavior</x:v>
      </x:c>
    </x:row>
    <x:row r="1191" ht="75.5999984741211" hidden="0" customHeight="1">
      <x:c r="A1191" s="36" t="str">
        <x:v>B1</x:v>
      </x:c>
      <x:c r="B1191" s="36" t="str">
        <x:v>48201231100</x:v>
      </x:c>
      <x:c r="C1191" s="66" t="n">
        <x:v>449.9341686064079</x:v>
      </x:c>
      <x:c r="D1191" s="66" t="n">
        <x:v>272.10880947908134</x:v>
      </x:c>
      <x:c r="E1191" s="66" t="n">
        <x:v>177.82535912732658</x:v>
      </x:c>
      <x:c r="F1191" s="66" t="n">
        <x:v>177.82535912732658</x:v>
      </x:c>
      <x:c r="G1191" s="66" t="n">
        <x:v>449.9341686064079</x:v>
      </x:c>
      <x:c r="H1191" s="45" t="n">
        <x:v>1</x:v>
      </x:c>
      <x:c r="I1191" s="36" t="str">
        <x:v>generated design-reference observation; not predicted tract behavior</x:v>
      </x:c>
    </x:row>
    <x:row r="1192" ht="75.5999984741211" hidden="0" customHeight="1">
      <x:c r="A1192" s="34" t="str">
        <x:v>B1</x:v>
      </x:c>
      <x:c r="B1192" s="34" t="str">
        <x:v>48201231200</x:v>
      </x:c>
      <x:c r="C1192" s="65" t="n">
        <x:v>452.3549019886075</x:v>
      </x:c>
      <x:c r="D1192" s="65" t="n">
        <x:v>268.4110135758148</x:v>
      </x:c>
      <x:c r="E1192" s="65" t="n">
        <x:v>183.94388841279266</x:v>
      </x:c>
      <x:c r="F1192" s="65" t="n">
        <x:v>183.94388841279266</x:v>
      </x:c>
      <x:c r="G1192" s="65" t="n">
        <x:v>452.3549019886075</x:v>
      </x:c>
      <x:c r="H1192" s="43" t="n">
        <x:v>1</x:v>
      </x:c>
      <x:c r="I1192" s="34" t="str">
        <x:v>generated design-reference observation; not predicted tract behavior</x:v>
      </x:c>
    </x:row>
    <x:row r="1193" ht="75.5999984741211" hidden="0" customHeight="1">
      <x:c r="A1193" s="36" t="str">
        <x:v>B1</x:v>
      </x:c>
      <x:c r="B1193" s="36" t="str">
        <x:v>48201231300</x:v>
      </x:c>
      <x:c r="C1193" s="66" t="n">
        <x:v>440.1883588858646</x:v>
      </x:c>
      <x:c r="D1193" s="66" t="n">
        <x:v>265.0872175084264</x:v>
      </x:c>
      <x:c r="E1193" s="66" t="n">
        <x:v>175.10114137743818</x:v>
      </x:c>
      <x:c r="F1193" s="66" t="n">
        <x:v>175.10114137743818</x:v>
      </x:c>
      <x:c r="G1193" s="66" t="n">
        <x:v>440.1883588858646</x:v>
      </x:c>
      <x:c r="H1193" s="45" t="n">
        <x:v>1</x:v>
      </x:c>
      <x:c r="I1193" s="36" t="str">
        <x:v>generated design-reference observation; not predicted tract behavior</x:v>
      </x:c>
    </x:row>
    <x:row r="1194" ht="75.5999984741211" hidden="0" customHeight="1">
      <x:c r="A1194" s="34" t="str">
        <x:v>B1</x:v>
      </x:c>
      <x:c r="B1194" s="34" t="str">
        <x:v>48201231400</x:v>
      </x:c>
      <x:c r="C1194" s="65" t="n">
        <x:v>307.4842264451272</x:v>
      </x:c>
      <x:c r="D1194" s="65" t="n">
        <x:v>187.87286235797274</x:v>
      </x:c>
      <x:c r="E1194" s="65" t="n">
        <x:v>119.61136408715447</x:v>
      </x:c>
      <x:c r="F1194" s="65" t="n">
        <x:v>119.61136408715447</x:v>
      </x:c>
      <x:c r="G1194" s="65" t="n">
        <x:v>307.4842264451272</x:v>
      </x:c>
      <x:c r="H1194" s="43" t="n">
        <x:v>1</x:v>
      </x:c>
      <x:c r="I1194" s="34" t="str">
        <x:v>generated design-reference observation; not predicted tract behavior</x:v>
      </x:c>
    </x:row>
    <x:row r="1195" ht="75.5999984741211" hidden="0" customHeight="1">
      <x:c r="A1195" s="36" t="str">
        <x:v>B1</x:v>
      </x:c>
      <x:c r="B1195" s="36" t="str">
        <x:v>48201231500</x:v>
      </x:c>
      <x:c r="C1195" s="66" t="n">
        <x:v>259.67081238470337</x:v>
      </x:c>
      <x:c r="D1195" s="66" t="n">
        <x:v>158.47544571229415</x:v>
      </x:c>
      <x:c r="E1195" s="66" t="n">
        <x:v>101.19536667240922</x:v>
      </x:c>
      <x:c r="F1195" s="66" t="n">
        <x:v>101.19536667240922</x:v>
      </x:c>
      <x:c r="G1195" s="66" t="n">
        <x:v>259.67081238470337</x:v>
      </x:c>
      <x:c r="H1195" s="45" t="n">
        <x:v>1</x:v>
      </x:c>
      <x:c r="I1195" s="36" t="str">
        <x:v>generated design-reference observation; not predicted tract behavior</x:v>
      </x:c>
    </x:row>
    <x:row r="1196" ht="75.5999984741211" hidden="0" customHeight="1">
      <x:c r="A1196" s="34" t="str">
        <x:v>B1</x:v>
      </x:c>
      <x:c r="B1196" s="34" t="str">
        <x:v>48201231600</x:v>
      </x:c>
      <x:c r="C1196" s="65" t="n">
        <x:v>230.43338322307326</x:v>
      </x:c>
      <x:c r="D1196" s="65" t="n">
        <x:v>140.79479714929775</x:v>
      </x:c>
      <x:c r="E1196" s="65" t="n">
        <x:v>89.63858607377551</x:v>
      </x:c>
      <x:c r="F1196" s="65" t="n">
        <x:v>89.63858607377551</x:v>
      </x:c>
      <x:c r="G1196" s="65" t="n">
        <x:v>230.43338322307326</x:v>
      </x:c>
      <x:c r="H1196" s="43" t="n">
        <x:v>1</x:v>
      </x:c>
      <x:c r="I1196" s="34" t="str">
        <x:v>generated design-reference observation; not predicted tract behavior</x:v>
      </x:c>
    </x:row>
    <x:row r="1197" ht="75.5999984741211" hidden="0" customHeight="1">
      <x:c r="A1197" s="36" t="str">
        <x:v>B1</x:v>
      </x:c>
      <x:c r="B1197" s="36" t="str">
        <x:v>48201231700</x:v>
      </x:c>
      <x:c r="C1197" s="66" t="n">
        <x:v>817.8862472794956</x:v>
      </x:c>
      <x:c r="D1197" s="66" t="n">
        <x:v>238.95493028936738</x:v>
      </x:c>
      <x:c r="E1197" s="66" t="n">
        <x:v>578.9313169901282</x:v>
      </x:c>
      <x:c r="F1197" s="66" t="n">
        <x:v>578.9313169901282</x:v>
      </x:c>
      <x:c r="G1197" s="66" t="n">
        <x:v>817.8862472794956</x:v>
      </x:c>
      <x:c r="H1197" s="45" t="n">
        <x:v>1</x:v>
      </x:c>
      <x:c r="I1197" s="36" t="str">
        <x:v>generated design-reference observation; not predicted tract behavior</x:v>
      </x:c>
    </x:row>
    <x:row r="1198" ht="75.5999984741211" hidden="0" customHeight="1">
      <x:c r="A1198" s="34" t="str">
        <x:v>B1</x:v>
      </x:c>
      <x:c r="B1198" s="34" t="str">
        <x:v>48201231800</x:v>
      </x:c>
      <x:c r="C1198" s="65" t="n">
        <x:v>261.2662957502439</x:v>
      </x:c>
      <x:c r="D1198" s="65" t="n">
        <x:v>159.633706703399</x:v>
      </x:c>
      <x:c r="E1198" s="65" t="n">
        <x:v>101.63258904684488</x:v>
      </x:c>
      <x:c r="F1198" s="65" t="n">
        <x:v>101.63258904684488</x:v>
      </x:c>
      <x:c r="G1198" s="65" t="n">
        <x:v>261.2662957502439</x:v>
      </x:c>
      <x:c r="H1198" s="43" t="n">
        <x:v>1</x:v>
      </x:c>
      <x:c r="I1198" s="34" t="str">
        <x:v>generated design-reference observation; not predicted tract behavior</x:v>
      </x:c>
    </x:row>
    <x:row r="1199" ht="75.5999984741211" hidden="0" customHeight="1">
      <x:c r="A1199" s="36" t="str">
        <x:v>B1</x:v>
      </x:c>
      <x:c r="B1199" s="36" t="str">
        <x:v>48201231900</x:v>
      </x:c>
      <x:c r="C1199" s="66" t="n">
        <x:v>1033.5515849663586</x:v>
      </x:c>
      <x:c r="D1199" s="66" t="n">
        <x:v>302.31383860265987</x:v>
      </x:c>
      <x:c r="E1199" s="66" t="n">
        <x:v>731.2377463636988</x:v>
      </x:c>
      <x:c r="F1199" s="66" t="n">
        <x:v>731.2377463636988</x:v>
      </x:c>
      <x:c r="G1199" s="66" t="n">
        <x:v>1033.5515849663586</x:v>
      </x:c>
      <x:c r="H1199" s="45" t="n">
        <x:v>1</x:v>
      </x:c>
      <x:c r="I1199" s="36" t="str">
        <x:v>generated design-reference observation; not predicted tract behavior</x:v>
      </x:c>
    </x:row>
    <x:row r="1200" ht="75.5999984741211" hidden="0" customHeight="1">
      <x:c r="A1200" s="34" t="str">
        <x:v>B1</x:v>
      </x:c>
      <x:c r="B1200" s="34" t="str">
        <x:v>48201232000</x:v>
      </x:c>
      <x:c r="C1200" s="65" t="n">
        <x:v>687.3812701029317</x:v>
      </x:c>
      <x:c r="D1200" s="65" t="n">
        <x:v>366.3742169648626</x:v>
      </x:c>
      <x:c r="E1200" s="65" t="n">
        <x:v>321.00705313806907</x:v>
      </x:c>
      <x:c r="F1200" s="65" t="n">
        <x:v>321.00705313806907</x:v>
      </x:c>
      <x:c r="G1200" s="65" t="n">
        <x:v>687.3812701029317</x:v>
      </x:c>
      <x:c r="H1200" s="43" t="n">
        <x:v>1</x:v>
      </x:c>
      <x:c r="I1200" s="34" t="str">
        <x:v>generated design-reference observation; not predicted tract behavior</x:v>
      </x:c>
    </x:row>
    <x:row r="1201" ht="75.5999984741211" hidden="0" customHeight="1">
      <x:c r="A1201" s="36" t="str">
        <x:v>B1</x:v>
      </x:c>
      <x:c r="B1201" s="36" t="str">
        <x:v>48201232100</x:v>
      </x:c>
      <x:c r="C1201" s="66" t="n">
        <x:v>269.864614971433</x:v>
      </x:c>
      <x:c r="D1201" s="66" t="n">
        <x:v>160.3942813823723</x:v>
      </x:c>
      <x:c r="E1201" s="66" t="n">
        <x:v>109.47033358906071</x:v>
      </x:c>
      <x:c r="F1201" s="66" t="n">
        <x:v>89.93052362546207</x:v>
      </x:c>
      <x:c r="G1201" s="66" t="n">
        <x:v>250.32480500783436</x:v>
      </x:c>
      <x:c r="H1201" s="45" t="n">
        <x:v>0.9275940272285528</x:v>
      </x:c>
      <x:c r="I1201" s="36" t="str">
        <x:v>generated design-reference observation; not predicted tract behavior</x:v>
      </x:c>
    </x:row>
    <x:row r="1202" ht="75.5999984741211" hidden="0" customHeight="1">
      <x:c r="A1202" s="34" t="str">
        <x:v>B1</x:v>
      </x:c>
      <x:c r="B1202" s="34" t="str">
        <x:v>48201232201</x:v>
      </x:c>
      <x:c r="C1202" s="65" t="n">
        <x:v>961.983364290877</x:v>
      </x:c>
      <x:c r="D1202" s="65" t="n">
        <x:v>494.5894081147646</x:v>
      </x:c>
      <x:c r="E1202" s="65" t="n">
        <x:v>467.39395617611245</x:v>
      </x:c>
      <x:c r="F1202" s="65" t="n">
        <x:v>467.39395617611245</x:v>
      </x:c>
      <x:c r="G1202" s="65" t="n">
        <x:v>961.983364290877</x:v>
      </x:c>
      <x:c r="H1202" s="43" t="n">
        <x:v>1</x:v>
      </x:c>
      <x:c r="I1202" s="34" t="str">
        <x:v>generated design-reference observation; not predicted tract behavior</x:v>
      </x:c>
    </x:row>
    <x:row r="1203" ht="75.5999984741211" hidden="0" customHeight="1">
      <x:c r="A1203" s="36" t="str">
        <x:v>B1</x:v>
      </x:c>
      <x:c r="B1203" s="36" t="str">
        <x:v>48201232202</x:v>
      </x:c>
      <x:c r="C1203" s="66" t="n">
        <x:v>994.8029226456969</x:v>
      </x:c>
      <x:c r="D1203" s="66" t="n">
        <x:v>290.9798548738663</x:v>
      </x:c>
      <x:c r="E1203" s="66" t="n">
        <x:v>703.8230677718306</x:v>
      </x:c>
      <x:c r="F1203" s="66" t="n">
        <x:v>703.8230677718306</x:v>
      </x:c>
      <x:c r="G1203" s="66" t="n">
        <x:v>994.8029226456969</x:v>
      </x:c>
      <x:c r="H1203" s="45" t="n">
        <x:v>1</x:v>
      </x:c>
      <x:c r="I1203" s="36" t="str">
        <x:v>generated design-reference observation; not predicted tract behavior</x:v>
      </x:c>
    </x:row>
    <x:row r="1204" ht="75.5999984741211" hidden="0" customHeight="1">
      <x:c r="A1204" s="34" t="str">
        <x:v>B1</x:v>
      </x:c>
      <x:c r="B1204" s="34" t="str">
        <x:v>48201232203</x:v>
      </x:c>
      <x:c r="C1204" s="65" t="n">
        <x:v>1010.8677896366571</x:v>
      </x:c>
      <x:c r="D1204" s="65" t="n">
        <x:v>284.59329918076156</x:v>
      </x:c>
      <x:c r="E1204" s="65" t="n">
        <x:v>726.2744904558956</x:v>
      </x:c>
      <x:c r="F1204" s="65" t="n">
        <x:v>726.2744904558956</x:v>
      </x:c>
      <x:c r="G1204" s="65" t="n">
        <x:v>1010.8677896366571</x:v>
      </x:c>
      <x:c r="H1204" s="43" t="n">
        <x:v>1</x:v>
      </x:c>
      <x:c r="I1204" s="34" t="str">
        <x:v>generated design-reference observation; not predicted tract behavior</x:v>
      </x:c>
    </x:row>
    <x:row r="1205" ht="75.5999984741211" hidden="0" customHeight="1">
      <x:c r="A1205" s="36" t="str">
        <x:v>B1</x:v>
      </x:c>
      <x:c r="B1205" s="36" t="str">
        <x:v>48201232303</x:v>
      </x:c>
      <x:c r="C1205" s="66" t="n">
        <x:v>443.48935895250025</x:v>
      </x:c>
      <x:c r="D1205" s="66" t="n">
        <x:v>259.5025717110478</x:v>
      </x:c>
      <x:c r="E1205" s="66" t="n">
        <x:v>183.98678724145248</x:v>
      </x:c>
      <x:c r="F1205" s="66" t="n">
        <x:v>183.98678724145248</x:v>
      </x:c>
      <x:c r="G1205" s="66" t="n">
        <x:v>443.48935895250025</x:v>
      </x:c>
      <x:c r="H1205" s="45" t="n">
        <x:v>1</x:v>
      </x:c>
      <x:c r="I1205" s="36" t="str">
        <x:v>generated design-reference observation; not predicted tract behavior</x:v>
      </x:c>
    </x:row>
    <x:row r="1206" ht="75.5999984741211" hidden="0" customHeight="1">
      <x:c r="A1206" s="34" t="str">
        <x:v>B1</x:v>
      </x:c>
      <x:c r="B1206" s="34" t="str">
        <x:v>48201232304</x:v>
      </x:c>
      <x:c r="C1206" s="65" t="n">
        <x:v>607.273978925406</x:v>
      </x:c>
      <x:c r="D1206" s="65" t="n">
        <x:v>359.8622410895665</x:v>
      </x:c>
      <x:c r="E1206" s="65" t="n">
        <x:v>247.41173783583952</x:v>
      </x:c>
      <x:c r="F1206" s="65" t="n">
        <x:v>247.41173783583952</x:v>
      </x:c>
      <x:c r="G1206" s="65" t="n">
        <x:v>607.273978925406</x:v>
      </x:c>
      <x:c r="H1206" s="43" t="n">
        <x:v>1</x:v>
      </x:c>
      <x:c r="I1206" s="34" t="str">
        <x:v>generated design-reference observation; not predicted tract behavior</x:v>
      </x:c>
    </x:row>
    <x:row r="1207" ht="75.5999984741211" hidden="0" customHeight="1">
      <x:c r="A1207" s="36" t="str">
        <x:v>B1</x:v>
      </x:c>
      <x:c r="B1207" s="36" t="str">
        <x:v>48201232305</x:v>
      </x:c>
      <x:c r="C1207" s="66" t="n">
        <x:v>973.1151708342707</x:v>
      </x:c>
      <x:c r="D1207" s="66" t="n">
        <x:v>590.9378457203858</x:v>
      </x:c>
      <x:c r="E1207" s="66" t="n">
        <x:v>382.1773251138849</x:v>
      </x:c>
      <x:c r="F1207" s="66" t="n">
        <x:v>382.1773251138849</x:v>
      </x:c>
      <x:c r="G1207" s="66" t="n">
        <x:v>973.1151708342707</x:v>
      </x:c>
      <x:c r="H1207" s="45" t="n">
        <x:v>1</x:v>
      </x:c>
      <x:c r="I1207" s="36" t="str">
        <x:v>generated design-reference observation; not predicted tract behavior</x:v>
      </x:c>
    </x:row>
    <x:row r="1208" ht="75.5999984741211" hidden="0" customHeight="1">
      <x:c r="A1208" s="34" t="str">
        <x:v>B1</x:v>
      </x:c>
      <x:c r="B1208" s="34" t="str">
        <x:v>48201232306</x:v>
      </x:c>
      <x:c r="C1208" s="65" t="n">
        <x:v>333.81756150051467</x:v>
      </x:c>
      <x:c r="D1208" s="65" t="n">
        <x:v>203.96253007681446</x:v>
      </x:c>
      <x:c r="E1208" s="65" t="n">
        <x:v>129.8550314237002</x:v>
      </x:c>
      <x:c r="F1208" s="65" t="n">
        <x:v>129.8550314237002</x:v>
      </x:c>
      <x:c r="G1208" s="65" t="n">
        <x:v>333.81756150051467</x:v>
      </x:c>
      <x:c r="H1208" s="43" t="n">
        <x:v>1</x:v>
      </x:c>
      <x:c r="I1208" s="34" t="str">
        <x:v>generated design-reference observation; not predicted tract behavior</x:v>
      </x:c>
    </x:row>
    <x:row r="1209" ht="75.5999984741211" hidden="0" customHeight="1">
      <x:c r="A1209" s="36" t="str">
        <x:v>B1</x:v>
      </x:c>
      <x:c r="B1209" s="36" t="str">
        <x:v>48201232402</x:v>
      </x:c>
      <x:c r="C1209" s="66" t="n">
        <x:v>377.9959457256552</x:v>
      </x:c>
      <x:c r="D1209" s="66" t="n">
        <x:v>229.06033843678085</x:v>
      </x:c>
      <x:c r="E1209" s="66" t="n">
        <x:v>148.93560728887434</x:v>
      </x:c>
      <x:c r="F1209" s="66" t="n">
        <x:v>148.93560728887434</x:v>
      </x:c>
      <x:c r="G1209" s="66" t="n">
        <x:v>377.9959457256552</x:v>
      </x:c>
      <x:c r="H1209" s="45" t="n">
        <x:v>1</x:v>
      </x:c>
      <x:c r="I1209" s="36" t="str">
        <x:v>generated design-reference observation; not predicted tract behavior</x:v>
      </x:c>
    </x:row>
    <x:row r="1210" ht="75.5999984741211" hidden="0" customHeight="1">
      <x:c r="A1210" s="34" t="str">
        <x:v>B1</x:v>
      </x:c>
      <x:c r="B1210" s="34" t="str">
        <x:v>48201232403</x:v>
      </x:c>
      <x:c r="C1210" s="65" t="n">
        <x:v>700.8700269686292</x:v>
      </x:c>
      <x:c r="D1210" s="65" t="n">
        <x:v>200.7413052260267</x:v>
      </x:c>
      <x:c r="E1210" s="65" t="n">
        <x:v>500.12872174260247</x:v>
      </x:c>
      <x:c r="F1210" s="65" t="n">
        <x:v>500.12872174260247</x:v>
      </x:c>
      <x:c r="G1210" s="65" t="n">
        <x:v>700.8700269686292</x:v>
      </x:c>
      <x:c r="H1210" s="43" t="n">
        <x:v>1</x:v>
      </x:c>
      <x:c r="I1210" s="34" t="str">
        <x:v>generated design-reference observation; not predicted tract behavior</x:v>
      </x:c>
    </x:row>
    <x:row r="1211" ht="75.5999984741211" hidden="0" customHeight="1">
      <x:c r="A1211" s="36" t="str">
        <x:v>B1</x:v>
      </x:c>
      <x:c r="B1211" s="36" t="str">
        <x:v>48201232404</x:v>
      </x:c>
      <x:c r="C1211" s="66" t="n">
        <x:v>322.6570374656989</x:v>
      </x:c>
      <x:c r="D1211" s="66" t="n">
        <x:v>195.8000000745315</x:v>
      </x:c>
      <x:c r="E1211" s="66" t="n">
        <x:v>126.85703739116741</x:v>
      </x:c>
      <x:c r="F1211" s="66" t="n">
        <x:v>126.85703739116741</x:v>
      </x:c>
      <x:c r="G1211" s="66" t="n">
        <x:v>322.6570374656989</x:v>
      </x:c>
      <x:c r="H1211" s="45" t="n">
        <x:v>1</x:v>
      </x:c>
      <x:c r="I1211" s="36" t="str">
        <x:v>generated design-reference observation; not predicted tract behavior</x:v>
      </x:c>
    </x:row>
    <x:row r="1212" ht="75.5999984741211" hidden="0" customHeight="1">
      <x:c r="A1212" s="34" t="str">
        <x:v>B1</x:v>
      </x:c>
      <x:c r="B1212" s="34" t="str">
        <x:v>48201232405</x:v>
      </x:c>
      <x:c r="C1212" s="65" t="n">
        <x:v>511.52925794503574</x:v>
      </x:c>
      <x:c r="D1212" s="65" t="n">
        <x:v>297.37203456643715</x:v>
      </x:c>
      <x:c r="E1212" s="65" t="n">
        <x:v>214.1572233785986</x:v>
      </x:c>
      <x:c r="F1212" s="65" t="n">
        <x:v>214.1572233785986</x:v>
      </x:c>
      <x:c r="G1212" s="65" t="n">
        <x:v>511.52925794503574</x:v>
      </x:c>
      <x:c r="H1212" s="43" t="n">
        <x:v>1</x:v>
      </x:c>
      <x:c r="I1212" s="34" t="str">
        <x:v>generated design-reference observation; not predicted tract behavior</x:v>
      </x:c>
    </x:row>
    <x:row r="1213" ht="75.5999984741211" hidden="0" customHeight="1">
      <x:c r="A1213" s="36" t="str">
        <x:v>B1</x:v>
      </x:c>
      <x:c r="B1213" s="36" t="str">
        <x:v>48201232500</x:v>
      </x:c>
      <x:c r="C1213" s="66" t="n">
        <x:v>317.5955040301909</x:v>
      </x:c>
      <x:c r="D1213" s="66" t="n">
        <x:v>187.39661873250833</x:v>
      </x:c>
      <x:c r="E1213" s="66" t="n">
        <x:v>130.19888529768258</x:v>
      </x:c>
      <x:c r="F1213" s="66" t="n">
        <x:v>130.19888529768258</x:v>
      </x:c>
      <x:c r="G1213" s="66" t="n">
        <x:v>317.5955040301909</x:v>
      </x:c>
      <x:c r="H1213" s="45" t="n">
        <x:v>1</x:v>
      </x:c>
      <x:c r="I1213" s="36" t="str">
        <x:v>generated design-reference observation; not predicted tract behavior</x:v>
      </x:c>
    </x:row>
    <x:row r="1214" ht="75.5999984741211" hidden="0" customHeight="1">
      <x:c r="A1214" s="34" t="str">
        <x:v>B1</x:v>
      </x:c>
      <x:c r="B1214" s="34" t="str">
        <x:v>48201232600</x:v>
      </x:c>
      <x:c r="C1214" s="65" t="n">
        <x:v>206.04528034981033</x:v>
      </x:c>
      <x:c r="D1214" s="65" t="n">
        <x:v>125.89366629373411</x:v>
      </x:c>
      <x:c r="E1214" s="65" t="n">
        <x:v>80.15161405607621</x:v>
      </x:c>
      <x:c r="F1214" s="65" t="n">
        <x:v>80.15161405607621</x:v>
      </x:c>
      <x:c r="G1214" s="65" t="n">
        <x:v>206.04528034981033</x:v>
      </x:c>
      <x:c r="H1214" s="43" t="n">
        <x:v>1</x:v>
      </x:c>
      <x:c r="I1214" s="34" t="str">
        <x:v>generated design-reference observation; not predicted tract behavior</x:v>
      </x:c>
    </x:row>
    <x:row r="1215" ht="75.5999984741211" hidden="0" customHeight="1">
      <x:c r="A1215" s="36" t="str">
        <x:v>B1</x:v>
      </x:c>
      <x:c r="B1215" s="36" t="str">
        <x:v>48201232701</x:v>
      </x:c>
      <x:c r="C1215" s="66" t="n">
        <x:v>578.5631378696439</x:v>
      </x:c>
      <x:c r="D1215" s="66" t="n">
        <x:v>343.16515317693046</x:v>
      </x:c>
      <x:c r="E1215" s="66" t="n">
        <x:v>235.39798469271346</x:v>
      </x:c>
      <x:c r="F1215" s="66" t="n">
        <x:v>235.39798469271346</x:v>
      </x:c>
      <x:c r="G1215" s="66" t="n">
        <x:v>578.5631378696439</x:v>
      </x:c>
      <x:c r="H1215" s="45" t="n">
        <x:v>1</x:v>
      </x:c>
      <x:c r="I1215" s="36" t="str">
        <x:v>generated design-reference observation; not predicted tract behavior</x:v>
      </x:c>
    </x:row>
    <x:row r="1216" ht="75.5999984741211" hidden="0" customHeight="1">
      <x:c r="A1216" s="34" t="str">
        <x:v>B1</x:v>
      </x:c>
      <x:c r="B1216" s="34" t="str">
        <x:v>48201232703</x:v>
      </x:c>
      <x:c r="C1216" s="65" t="n">
        <x:v>384.8990260847845</x:v>
      </x:c>
      <x:c r="D1216" s="65" t="n">
        <x:v>200.4100416933635</x:v>
      </x:c>
      <x:c r="E1216" s="65" t="n">
        <x:v>184.488984391421</x:v>
      </x:c>
      <x:c r="F1216" s="65" t="n">
        <x:v>184.488984391421</x:v>
      </x:c>
      <x:c r="G1216" s="65" t="n">
        <x:v>384.8990260847845</x:v>
      </x:c>
      <x:c r="H1216" s="43" t="n">
        <x:v>1</x:v>
      </x:c>
      <x:c r="I1216" s="34" t="str">
        <x:v>generated design-reference observation; not predicted tract behavior</x:v>
      </x:c>
    </x:row>
    <x:row r="1217" ht="75.5999984741211" hidden="0" customHeight="1">
      <x:c r="A1217" s="36" t="str">
        <x:v>B1</x:v>
      </x:c>
      <x:c r="B1217" s="36" t="str">
        <x:v>48201232704</x:v>
      </x:c>
      <x:c r="C1217" s="66" t="n">
        <x:v>155.2727555153667</x:v>
      </x:c>
      <x:c r="D1217" s="66" t="n">
        <x:v>89.28499307482065</x:v>
      </x:c>
      <x:c r="E1217" s="66" t="n">
        <x:v>65.98776244054605</x:v>
      </x:c>
      <x:c r="F1217" s="66" t="n">
        <x:v>65.98776244054605</x:v>
      </x:c>
      <x:c r="G1217" s="66" t="n">
        <x:v>155.2727555153667</x:v>
      </x:c>
      <x:c r="H1217" s="45" t="n">
        <x:v>1</x:v>
      </x:c>
      <x:c r="I1217" s="36" t="str">
        <x:v>generated design-reference observation; not predicted tract behavior</x:v>
      </x:c>
    </x:row>
    <x:row r="1218" ht="75.5999984741211" hidden="0" customHeight="1">
      <x:c r="A1218" s="34" t="str">
        <x:v>B1</x:v>
      </x:c>
      <x:c r="B1218" s="34" t="str">
        <x:v>48201232801</x:v>
      </x:c>
      <x:c r="C1218" s="65" t="n">
        <x:v>223.705630706311</x:v>
      </x:c>
      <x:c r="D1218" s="65" t="n">
        <x:v>132.434297341911</x:v>
      </x:c>
      <x:c r="E1218" s="65" t="n">
        <x:v>91.27133336440002</x:v>
      </x:c>
      <x:c r="F1218" s="65" t="n">
        <x:v>91.27133336440002</x:v>
      </x:c>
      <x:c r="G1218" s="65" t="n">
        <x:v>223.705630706311</x:v>
      </x:c>
      <x:c r="H1218" s="43" t="n">
        <x:v>1</x:v>
      </x:c>
      <x:c r="I1218" s="34" t="str">
        <x:v>generated design-reference observation; not predicted tract behavior</x:v>
      </x:c>
    </x:row>
    <x:row r="1219" ht="75.5999984741211" hidden="0" customHeight="1">
      <x:c r="A1219" s="36" t="str">
        <x:v>B1</x:v>
      </x:c>
      <x:c r="B1219" s="36" t="str">
        <x:v>48201232802</x:v>
      </x:c>
      <x:c r="C1219" s="66" t="n">
        <x:v>227.89868674333516</x:v>
      </x:c>
      <x:c r="D1219" s="66" t="n">
        <x:v>133.27078613227744</x:v>
      </x:c>
      <x:c r="E1219" s="66" t="n">
        <x:v>94.62790061105773</x:v>
      </x:c>
      <x:c r="F1219" s="66" t="n">
        <x:v>94.62790061105773</x:v>
      </x:c>
      <x:c r="G1219" s="66" t="n">
        <x:v>227.89868674333516</x:v>
      </x:c>
      <x:c r="H1219" s="45" t="n">
        <x:v>1</x:v>
      </x:c>
      <x:c r="I1219" s="36" t="str">
        <x:v>generated design-reference observation; not predicted tract behavior</x:v>
      </x:c>
    </x:row>
    <x:row r="1220" ht="75.5999984741211" hidden="0" customHeight="1">
      <x:c r="A1220" s="34" t="str">
        <x:v>B1</x:v>
      </x:c>
      <x:c r="B1220" s="34" t="str">
        <x:v>48201232901</x:v>
      </x:c>
      <x:c r="C1220" s="65" t="n">
        <x:v>747.0755637987935</x:v>
      </x:c>
      <x:c r="D1220" s="65" t="n">
        <x:v>210.84729326887094</x:v>
      </x:c>
      <x:c r="E1220" s="65" t="n">
        <x:v>536.2282705299226</x:v>
      </x:c>
      <x:c r="F1220" s="65" t="n">
        <x:v>536.2282705299226</x:v>
      </x:c>
      <x:c r="G1220" s="65" t="n">
        <x:v>747.0755637987935</x:v>
      </x:c>
      <x:c r="H1220" s="43" t="n">
        <x:v>1</x:v>
      </x:c>
      <x:c r="I1220" s="34" t="str">
        <x:v>generated design-reference observation; not predicted tract behavior</x:v>
      </x:c>
    </x:row>
    <x:row r="1221" ht="75.5999984741211" hidden="0" customHeight="1">
      <x:c r="A1221" s="36" t="str">
        <x:v>B1</x:v>
      </x:c>
      <x:c r="B1221" s="36" t="str">
        <x:v>48201232902</x:v>
      </x:c>
      <x:c r="C1221" s="66" t="n">
        <x:v>372.68290752316545</x:v>
      </x:c>
      <x:c r="D1221" s="66" t="n">
        <x:v>221.89433657290905</x:v>
      </x:c>
      <x:c r="E1221" s="66" t="n">
        <x:v>150.7885709502564</x:v>
      </x:c>
      <x:c r="F1221" s="66" t="n">
        <x:v>150.78857095025637</x:v>
      </x:c>
      <x:c r="G1221" s="66" t="n">
        <x:v>372.68290752316545</x:v>
      </x:c>
      <x:c r="H1221" s="45" t="n">
        <x:v>1</x:v>
      </x:c>
      <x:c r="I1221" s="36" t="str">
        <x:v>generated design-reference observation; not predicted tract behavior</x:v>
      </x:c>
    </x:row>
    <x:row r="1222" ht="75.5999984741211" hidden="0" customHeight="1">
      <x:c r="A1222" s="34" t="str">
        <x:v>B1</x:v>
      </x:c>
      <x:c r="B1222" s="34" t="str">
        <x:v>48201233001</x:v>
      </x:c>
      <x:c r="C1222" s="65" t="n">
        <x:v>333.786123404642</x:v>
      </x:c>
      <x:c r="D1222" s="65" t="n">
        <x:v>197.25665512481865</x:v>
      </x:c>
      <x:c r="E1222" s="65" t="n">
        <x:v>136.52946827982336</x:v>
      </x:c>
      <x:c r="F1222" s="65" t="n">
        <x:v>136.52946827982336</x:v>
      </x:c>
      <x:c r="G1222" s="65" t="n">
        <x:v>333.786123404642</x:v>
      </x:c>
      <x:c r="H1222" s="43" t="n">
        <x:v>1</x:v>
      </x:c>
      <x:c r="I1222" s="34" t="str">
        <x:v>generated design-reference observation; not predicted tract behavior</x:v>
      </x:c>
    </x:row>
    <x:row r="1223" ht="75.5999984741211" hidden="0" customHeight="1">
      <x:c r="A1223" s="36" t="str">
        <x:v>B1</x:v>
      </x:c>
      <x:c r="B1223" s="36" t="str">
        <x:v>48201233002</x:v>
      </x:c>
      <x:c r="C1223" s="66" t="n">
        <x:v>324.58262083790305</x:v>
      </x:c>
      <x:c r="D1223" s="66" t="n">
        <x:v>198.31998133195876</x:v>
      </x:c>
      <x:c r="E1223" s="66" t="n">
        <x:v>126.26263950594429</x:v>
      </x:c>
      <x:c r="F1223" s="66" t="n">
        <x:v>126.26263950594429</x:v>
      </x:c>
      <x:c r="G1223" s="66" t="n">
        <x:v>324.58262083790305</x:v>
      </x:c>
      <x:c r="H1223" s="45" t="n">
        <x:v>1</x:v>
      </x:c>
      <x:c r="I1223" s="36" t="str">
        <x:v>generated design-reference observation; not predicted tract behavior</x:v>
      </x:c>
    </x:row>
    <x:row r="1224" ht="75.5999984741211" hidden="0" customHeight="1">
      <x:c r="A1224" s="34" t="str">
        <x:v>B1</x:v>
      </x:c>
      <x:c r="B1224" s="34" t="str">
        <x:v>48201233003</x:v>
      </x:c>
      <x:c r="C1224" s="65" t="n">
        <x:v>224.64091405852452</x:v>
      </x:c>
      <x:c r="D1224" s="65" t="n">
        <x:v>137.25559848975848</x:v>
      </x:c>
      <x:c r="E1224" s="65" t="n">
        <x:v>87.38531556876603</x:v>
      </x:c>
      <x:c r="F1224" s="65" t="n">
        <x:v>87.38531556876603</x:v>
      </x:c>
      <x:c r="G1224" s="65" t="n">
        <x:v>224.64091405852452</x:v>
      </x:c>
      <x:c r="H1224" s="43" t="n">
        <x:v>1</x:v>
      </x:c>
      <x:c r="I1224" s="34" t="str">
        <x:v>generated design-reference observation; not predicted tract behavior</x:v>
      </x:c>
    </x:row>
    <x:row r="1225" ht="75.5999984741211" hidden="0" customHeight="1">
      <x:c r="A1225" s="36" t="str">
        <x:v>B1</x:v>
      </x:c>
      <x:c r="B1225" s="36" t="str">
        <x:v>48201233101</x:v>
      </x:c>
      <x:c r="C1225" s="66" t="n">
        <x:v>352.7590142638288</x:v>
      </x:c>
      <x:c r="D1225" s="66" t="n">
        <x:v>209.04015953748106</x:v>
      </x:c>
      <x:c r="E1225" s="66" t="n">
        <x:v>143.71885472634776</x:v>
      </x:c>
      <x:c r="F1225" s="66" t="n">
        <x:v>143.71885472634776</x:v>
      </x:c>
      <x:c r="G1225" s="66" t="n">
        <x:v>352.7590142638288</x:v>
      </x:c>
      <x:c r="H1225" s="45" t="n">
        <x:v>1</x:v>
      </x:c>
      <x:c r="I1225" s="36" t="str">
        <x:v>generated design-reference observation; not predicted tract behavior</x:v>
      </x:c>
    </x:row>
    <x:row r="1226" ht="75.5999984741211" hidden="0" customHeight="1">
      <x:c r="A1226" s="34" t="str">
        <x:v>B1</x:v>
      </x:c>
      <x:c r="B1226" s="34" t="str">
        <x:v>48201233103</x:v>
      </x:c>
      <x:c r="C1226" s="65" t="n">
        <x:v>405.26063437127203</x:v>
      </x:c>
      <x:c r="D1226" s="65" t="n">
        <x:v>245.5714665363735</x:v>
      </x:c>
      <x:c r="E1226" s="65" t="n">
        <x:v>159.68916783489854</x:v>
      </x:c>
      <x:c r="F1226" s="65" t="n">
        <x:v>159.68916783489854</x:v>
      </x:c>
      <x:c r="G1226" s="65" t="n">
        <x:v>405.26063437127203</x:v>
      </x:c>
      <x:c r="H1226" s="43" t="n">
        <x:v>1</x:v>
      </x:c>
      <x:c r="I1226" s="34" t="str">
        <x:v>generated design-reference observation; not predicted tract behavior</x:v>
      </x:c>
    </x:row>
    <x:row r="1227" ht="75.5999984741211" hidden="0" customHeight="1">
      <x:c r="A1227" s="36" t="str">
        <x:v>B1</x:v>
      </x:c>
      <x:c r="B1227" s="36" t="str">
        <x:v>48201233104</x:v>
      </x:c>
      <x:c r="C1227" s="66" t="n">
        <x:v>363.9715320725879</x:v>
      </x:c>
      <x:c r="D1227" s="66" t="n">
        <x:v>193.99682659468937</x:v>
      </x:c>
      <x:c r="E1227" s="66" t="n">
        <x:v>169.9747054778985</x:v>
      </x:c>
      <x:c r="F1227" s="66" t="n">
        <x:v>169.9747054778985</x:v>
      </x:c>
      <x:c r="G1227" s="66" t="n">
        <x:v>363.9715320725879</x:v>
      </x:c>
      <x:c r="H1227" s="45" t="n">
        <x:v>1</x:v>
      </x:c>
      <x:c r="I1227" s="36" t="str">
        <x:v>generated design-reference observation; not predicted tract behavior</x:v>
      </x:c>
    </x:row>
    <x:row r="1228" ht="75.5999984741211" hidden="0" customHeight="1">
      <x:c r="A1228" s="34" t="str">
        <x:v>B1</x:v>
      </x:c>
      <x:c r="B1228" s="34" t="str">
        <x:v>48201233105</x:v>
      </x:c>
      <x:c r="C1228" s="65" t="n">
        <x:v>368.128313383605</x:v>
      </x:c>
      <x:c r="D1228" s="65" t="n">
        <x:v>224.2265420546354</x:v>
      </x:c>
      <x:c r="E1228" s="65" t="n">
        <x:v>143.90177132896963</x:v>
      </x:c>
      <x:c r="F1228" s="65" t="n">
        <x:v>122.22291776703423</x:v>
      </x:c>
      <x:c r="G1228" s="65" t="n">
        <x:v>346.4494598216696</x:v>
      </x:c>
      <x:c r="H1228" s="43" t="n">
        <x:v>0.9411106052596798</x:v>
      </x:c>
      <x:c r="I1228" s="34" t="str">
        <x:v>generated design-reference observation; not predicted tract behavior</x:v>
      </x:c>
    </x:row>
    <x:row r="1229" ht="75.5999984741211" hidden="0" customHeight="1">
      <x:c r="A1229" s="36" t="str">
        <x:v>B1</x:v>
      </x:c>
      <x:c r="B1229" s="36" t="str">
        <x:v>48201233200</x:v>
      </x:c>
      <x:c r="C1229" s="66" t="n">
        <x:v>508.9120364636317</x:v>
      </x:c>
      <x:c r="D1229" s="66" t="n">
        <x:v>310.94525427927897</x:v>
      </x:c>
      <x:c r="E1229" s="66" t="n">
        <x:v>197.96678218435272</x:v>
      </x:c>
      <x:c r="F1229" s="66" t="n">
        <x:v>197.96678218435272</x:v>
      </x:c>
      <x:c r="G1229" s="66" t="n">
        <x:v>508.9120364636317</x:v>
      </x:c>
      <x:c r="H1229" s="45" t="n">
        <x:v>1</x:v>
      </x:c>
      <x:c r="I1229" s="36" t="str">
        <x:v>generated design-reference observation; not predicted tract behavior</x:v>
      </x:c>
    </x:row>
    <x:row r="1230" ht="75.5999984741211" hidden="0" customHeight="1">
      <x:c r="A1230" s="34" t="str">
        <x:v>B1</x:v>
      </x:c>
      <x:c r="B1230" s="34" t="str">
        <x:v>48201233300</x:v>
      </x:c>
      <x:c r="C1230" s="65" t="n">
        <x:v>358.2135238977458</x:v>
      </x:c>
      <x:c r="D1230" s="65" t="n">
        <x:v>218.1907563895968</x:v>
      </x:c>
      <x:c r="E1230" s="65" t="n">
        <x:v>140.022767508149</x:v>
      </x:c>
      <x:c r="F1230" s="65" t="n">
        <x:v>140.022767508149</x:v>
      </x:c>
      <x:c r="G1230" s="65" t="n">
        <x:v>358.2135238977458</x:v>
      </x:c>
      <x:c r="H1230" s="43" t="n">
        <x:v>1</x:v>
      </x:c>
      <x:c r="I1230" s="34" t="str">
        <x:v>generated design-reference observation; not predicted tract behavior</x:v>
      </x:c>
    </x:row>
    <x:row r="1231" ht="75.5999984741211" hidden="0" customHeight="1">
      <x:c r="A1231" s="36" t="str">
        <x:v>B1</x:v>
      </x:c>
      <x:c r="B1231" s="36" t="str">
        <x:v>48201233400</x:v>
      </x:c>
      <x:c r="C1231" s="66" t="n">
        <x:v>226.08313670668554</x:v>
      </x:c>
      <x:c r="D1231" s="66" t="n">
        <x:v>132.07609377414417</x:v>
      </x:c>
      <x:c r="E1231" s="66" t="n">
        <x:v>94.00704293254137</x:v>
      </x:c>
      <x:c r="F1231" s="66" t="n">
        <x:v>94.00704293254137</x:v>
      </x:c>
      <x:c r="G1231" s="66" t="n">
        <x:v>226.08313670668554</x:v>
      </x:c>
      <x:c r="H1231" s="45" t="n">
        <x:v>1</x:v>
      </x:c>
      <x:c r="I1231" s="36" t="str">
        <x:v>generated design-reference observation; not predicted tract behavior</x:v>
      </x:c>
    </x:row>
    <x:row r="1232" ht="75.5999984741211" hidden="0" customHeight="1">
      <x:c r="A1232" s="34" t="str">
        <x:v>B1</x:v>
      </x:c>
      <x:c r="B1232" s="34" t="str">
        <x:v>48201233501</x:v>
      </x:c>
      <x:c r="C1232" s="65" t="n">
        <x:v>292.41358923614183</x:v>
      </x:c>
      <x:c r="D1232" s="65" t="n">
        <x:v>177.44590504917034</x:v>
      </x:c>
      <x:c r="E1232" s="65" t="n">
        <x:v>114.9676841869715</x:v>
      </x:c>
      <x:c r="F1232" s="65" t="n">
        <x:v>97.05581763547674</x:v>
      </x:c>
      <x:c r="G1232" s="65" t="n">
        <x:v>274.50172268464706</x:v>
      </x:c>
      <x:c r="H1232" s="43" t="n">
        <x:v>0.9387447532849444</x:v>
      </x:c>
      <x:c r="I1232" s="34" t="str">
        <x:v>generated design-reference observation; not predicted tract behavior</x:v>
      </x:c>
    </x:row>
    <x:row r="1233" ht="75.5999984741211" hidden="0" customHeight="1">
      <x:c r="A1233" s="36" t="str">
        <x:v>B1</x:v>
      </x:c>
      <x:c r="B1233" s="36" t="str">
        <x:v>48201233502</x:v>
      </x:c>
      <x:c r="C1233" s="66" t="n">
        <x:v>239.7626381733031</x:v>
      </x:c>
      <x:c r="D1233" s="66" t="n">
        <x:v>142.527705883823</x:v>
      </x:c>
      <x:c r="E1233" s="66" t="n">
        <x:v>97.2349322894801</x:v>
      </x:c>
      <x:c r="F1233" s="66" t="n">
        <x:v>97.2349322894801</x:v>
      </x:c>
      <x:c r="G1233" s="66" t="n">
        <x:v>239.7626381733031</x:v>
      </x:c>
      <x:c r="H1233" s="45" t="n">
        <x:v>1</x:v>
      </x:c>
      <x:c r="I1233" s="36" t="str">
        <x:v>generated design-reference observation; not predicted tract behavior</x:v>
      </x:c>
    </x:row>
    <x:row r="1234" ht="75.5999984741211" hidden="0" customHeight="1">
      <x:c r="A1234" s="34" t="str">
        <x:v>B1</x:v>
      </x:c>
      <x:c r="B1234" s="34" t="str">
        <x:v>48201233600</x:v>
      </x:c>
      <x:c r="C1234" s="65" t="n">
        <x:v>173.88017851003312</x:v>
      </x:c>
      <x:c r="D1234" s="65" t="n">
        <x:v>106.24078906963024</x:v>
      </x:c>
      <x:c r="E1234" s="65" t="n">
        <x:v>67.63938944040288</x:v>
      </x:c>
      <x:c r="F1234" s="65" t="n">
        <x:v>67.63938944040288</x:v>
      </x:c>
      <x:c r="G1234" s="65" t="n">
        <x:v>173.88017851003312</x:v>
      </x:c>
      <x:c r="H1234" s="43" t="n">
        <x:v>1</x:v>
      </x:c>
      <x:c r="I1234" s="34" t="str">
        <x:v>generated design-reference observation; not predicted tract behavior</x:v>
      </x:c>
    </x:row>
    <x:row r="1235" ht="75.5999984741211" hidden="0" customHeight="1">
      <x:c r="A1235" s="36" t="str">
        <x:v>B1</x:v>
      </x:c>
      <x:c r="B1235" s="36" t="str">
        <x:v>48201233701</x:v>
      </x:c>
      <x:c r="C1235" s="66" t="n">
        <x:v>375.0407647136194</x:v>
      </x:c>
      <x:c r="D1235" s="66" t="n">
        <x:v>229.14990724002143</x:v>
      </x:c>
      <x:c r="E1235" s="66" t="n">
        <x:v>145.89085747359798</x:v>
      </x:c>
      <x:c r="F1235" s="66" t="n">
        <x:v>145.89085747359798</x:v>
      </x:c>
      <x:c r="G1235" s="66" t="n">
        <x:v>375.0407647136194</x:v>
      </x:c>
      <x:c r="H1235" s="45" t="n">
        <x:v>1</x:v>
      </x:c>
      <x:c r="I1235" s="36" t="str">
        <x:v>generated design-reference observation; not predicted tract behavior</x:v>
      </x:c>
    </x:row>
    <x:row r="1236" ht="75.5999984741211" hidden="0" customHeight="1">
      <x:c r="A1236" s="34" t="str">
        <x:v>B1</x:v>
      </x:c>
      <x:c r="B1236" s="34" t="str">
        <x:v>48201233702</x:v>
      </x:c>
      <x:c r="C1236" s="65" t="n">
        <x:v>244.65126208151113</x:v>
      </x:c>
      <x:c r="D1236" s="65" t="n">
        <x:v>148.62867635695656</x:v>
      </x:c>
      <x:c r="E1236" s="65" t="n">
        <x:v>96.02258572455457</x:v>
      </x:c>
      <x:c r="F1236" s="65" t="n">
        <x:v>96.02258572455457</x:v>
      </x:c>
      <x:c r="G1236" s="65" t="n">
        <x:v>244.65126208151113</x:v>
      </x:c>
      <x:c r="H1236" s="43" t="n">
        <x:v>1</x:v>
      </x:c>
      <x:c r="I1236" s="34" t="str">
        <x:v>generated design-reference observation; not predicted tract behavior</x:v>
      </x:c>
    </x:row>
    <x:row r="1237" ht="75.5999984741211" hidden="0" customHeight="1">
      <x:c r="A1237" s="36" t="str">
        <x:v>B1</x:v>
      </x:c>
      <x:c r="B1237" s="36" t="str">
        <x:v>48201233703</x:v>
      </x:c>
      <x:c r="C1237" s="66" t="n">
        <x:v>223.94141642535646</x:v>
      </x:c>
      <x:c r="D1237" s="66" t="n">
        <x:v>136.40156960602587</x:v>
      </x:c>
      <x:c r="E1237" s="66" t="n">
        <x:v>87.53984681933059</x:v>
      </x:c>
      <x:c r="F1237" s="66" t="n">
        <x:v>87.53984681933059</x:v>
      </x:c>
      <x:c r="G1237" s="66" t="n">
        <x:v>223.94141642535646</x:v>
      </x:c>
      <x:c r="H1237" s="45" t="n">
        <x:v>1</x:v>
      </x:c>
      <x:c r="I1237" s="36" t="str">
        <x:v>generated design-reference observation; not predicted tract behavior</x:v>
      </x:c>
    </x:row>
    <x:row r="1238" ht="75.5999984741211" hidden="0" customHeight="1">
      <x:c r="A1238" s="34" t="str">
        <x:v>B1</x:v>
      </x:c>
      <x:c r="B1238" s="34" t="str">
        <x:v>48201240101</x:v>
      </x:c>
      <x:c r="C1238" s="65" t="n">
        <x:v>385.23517187911585</x:v>
      </x:c>
      <x:c r="D1238" s="65" t="n">
        <x:v>104.15984912723687</x:v>
      </x:c>
      <x:c r="E1238" s="65" t="n">
        <x:v>281.07532275187896</x:v>
      </x:c>
      <x:c r="F1238" s="65" t="n">
        <x:v>281.07532275187896</x:v>
      </x:c>
      <x:c r="G1238" s="65" t="n">
        <x:v>385.2351718791158</x:v>
      </x:c>
      <x:c r="H1238" s="43" t="n">
        <x:v>0.9999999999999999</x:v>
      </x:c>
      <x:c r="I1238" s="34" t="str">
        <x:v>generated design-reference observation; not predicted tract behavior</x:v>
      </x:c>
    </x:row>
    <x:row r="1239" ht="75.5999984741211" hidden="0" customHeight="1">
      <x:c r="A1239" s="36" t="str">
        <x:v>B1</x:v>
      </x:c>
      <x:c r="B1239" s="36" t="str">
        <x:v>48201240102</x:v>
      </x:c>
      <x:c r="C1239" s="66" t="n">
        <x:v>136.700700378557</x:v>
      </x:c>
      <x:c r="D1239" s="66" t="n">
        <x:v>79.67508977778228</x:v>
      </x:c>
      <x:c r="E1239" s="66" t="n">
        <x:v>57.025610600774726</x:v>
      </x:c>
      <x:c r="F1239" s="66" t="n">
        <x:v>57.025610600774726</x:v>
      </x:c>
      <x:c r="G1239" s="66" t="n">
        <x:v>136.700700378557</x:v>
      </x:c>
      <x:c r="H1239" s="45" t="n">
        <x:v>1</x:v>
      </x:c>
      <x:c r="I1239" s="36" t="str">
        <x:v>generated design-reference observation; not predicted tract behavior</x:v>
      </x:c>
    </x:row>
    <x:row r="1240" ht="75.5999984741211" hidden="0" customHeight="1">
      <x:c r="A1240" s="34" t="str">
        <x:v>B1</x:v>
      </x:c>
      <x:c r="B1240" s="34" t="str">
        <x:v>48201240400</x:v>
      </x:c>
      <x:c r="C1240" s="65" t="n">
        <x:v>612.1861814055186</x:v>
      </x:c>
      <x:c r="D1240" s="65" t="n">
        <x:v>366.8373253659187</x:v>
      </x:c>
      <x:c r="E1240" s="65" t="n">
        <x:v>245.34885603959992</x:v>
      </x:c>
      <x:c r="F1240" s="65" t="n">
        <x:v>245.34885603959992</x:v>
      </x:c>
      <x:c r="G1240" s="65" t="n">
        <x:v>612.1861814055186</x:v>
      </x:c>
      <x:c r="H1240" s="43" t="n">
        <x:v>1</x:v>
      </x:c>
      <x:c r="I1240" s="34" t="str">
        <x:v>generated design-reference observation; not predicted tract behavior</x:v>
      </x:c>
    </x:row>
    <x:row r="1241" ht="75.5999984741211" hidden="0" customHeight="1">
      <x:c r="A1241" s="36" t="str">
        <x:v>B1</x:v>
      </x:c>
      <x:c r="B1241" s="36" t="str">
        <x:v>48201240503</x:v>
      </x:c>
      <x:c r="C1241" s="66" t="n">
        <x:v>468.5050145856839</x:v>
      </x:c>
      <x:c r="D1241" s="66" t="n">
        <x:v>130.47847406394854</x:v>
      </x:c>
      <x:c r="E1241" s="66" t="n">
        <x:v>338.02654052173534</x:v>
      </x:c>
      <x:c r="F1241" s="66" t="n">
        <x:v>338.02654052173534</x:v>
      </x:c>
      <x:c r="G1241" s="66" t="n">
        <x:v>468.50501458568385</x:v>
      </x:c>
      <x:c r="H1241" s="45" t="n">
        <x:v>0.9999999999999999</x:v>
      </x:c>
      <x:c r="I1241" s="36" t="str">
        <x:v>generated design-reference observation; not predicted tract behavior</x:v>
      </x:c>
    </x:row>
    <x:row r="1242" ht="75.5999984741211" hidden="0" customHeight="1">
      <x:c r="A1242" s="34" t="str">
        <x:v>B1</x:v>
      </x:c>
      <x:c r="B1242" s="34" t="str">
        <x:v>48201240504</x:v>
      </x:c>
      <x:c r="C1242" s="65" t="n">
        <x:v>507.01668202976674</x:v>
      </x:c>
      <x:c r="D1242" s="65" t="n">
        <x:v>143.51727552696119</x:v>
      </x:c>
      <x:c r="E1242" s="65" t="n">
        <x:v>363.4994065028055</x:v>
      </x:c>
      <x:c r="F1242" s="65" t="n">
        <x:v>363.4994065028055</x:v>
      </x:c>
      <x:c r="G1242" s="65" t="n">
        <x:v>507.0166820297667</x:v>
      </x:c>
      <x:c r="H1242" s="43" t="n">
        <x:v>0.9999999999999999</x:v>
      </x:c>
      <x:c r="I1242" s="34" t="str">
        <x:v>generated design-reference observation; not predicted tract behavior</x:v>
      </x:c>
    </x:row>
    <x:row r="1243" ht="75.5999984741211" hidden="0" customHeight="1">
      <x:c r="A1243" s="36" t="str">
        <x:v>B1</x:v>
      </x:c>
      <x:c r="B1243" s="36" t="str">
        <x:v>48201240505</x:v>
      </x:c>
      <x:c r="C1243" s="66" t="n">
        <x:v>264.72327713870953</x:v>
      </x:c>
      <x:c r="D1243" s="66" t="n">
        <x:v>74.09225256425985</x:v>
      </x:c>
      <x:c r="E1243" s="66" t="n">
        <x:v>190.63102457444967</x:v>
      </x:c>
      <x:c r="F1243" s="66" t="n">
        <x:v>190.63102457444967</x:v>
      </x:c>
      <x:c r="G1243" s="66" t="n">
        <x:v>264.72327713870953</x:v>
      </x:c>
      <x:c r="H1243" s="45" t="n">
        <x:v>1</x:v>
      </x:c>
      <x:c r="I1243" s="36" t="str">
        <x:v>generated design-reference observation; not predicted tract behavior</x:v>
      </x:c>
    </x:row>
    <x:row r="1244" ht="75.5999984741211" hidden="0" customHeight="1">
      <x:c r="A1244" s="34" t="str">
        <x:v>B1</x:v>
      </x:c>
      <x:c r="B1244" s="34" t="str">
        <x:v>48201240506</x:v>
      </x:c>
      <x:c r="C1244" s="65" t="n">
        <x:v>440.43200412887813</x:v>
      </x:c>
      <x:c r="D1244" s="65" t="n">
        <x:v>253.70487646629007</x:v>
      </x:c>
      <x:c r="E1244" s="65" t="n">
        <x:v>186.72712766258806</x:v>
      </x:c>
      <x:c r="F1244" s="65" t="n">
        <x:v>186.72712766258806</x:v>
      </x:c>
      <x:c r="G1244" s="65" t="n">
        <x:v>440.43200412887813</x:v>
      </x:c>
      <x:c r="H1244" s="43" t="n">
        <x:v>1</x:v>
      </x:c>
      <x:c r="I1244" s="34" t="str">
        <x:v>generated design-reference observation; not predicted tract behavior</x:v>
      </x:c>
    </x:row>
    <x:row r="1245" ht="75.5999984741211" hidden="0" customHeight="1">
      <x:c r="A1245" s="36" t="str">
        <x:v>B1</x:v>
      </x:c>
      <x:c r="B1245" s="36" t="str">
        <x:v>48201240600</x:v>
      </x:c>
      <x:c r="C1245" s="66" t="n">
        <x:v>609.9740276978594</x:v>
      </x:c>
      <x:c r="D1245" s="66" t="n">
        <x:v>172.63788690123283</x:v>
      </x:c>
      <x:c r="E1245" s="66" t="n">
        <x:v>437.3361407966265</x:v>
      </x:c>
      <x:c r="F1245" s="66" t="n">
        <x:v>437.3361407966265</x:v>
      </x:c>
      <x:c r="G1245" s="66" t="n">
        <x:v>609.9740276978594</x:v>
      </x:c>
      <x:c r="H1245" s="45" t="n">
        <x:v>1</x:v>
      </x:c>
      <x:c r="I1245" s="36" t="str">
        <x:v>generated design-reference observation; not predicted tract behavior</x:v>
      </x:c>
    </x:row>
    <x:row r="1246" ht="75.5999984741211" hidden="0" customHeight="1">
      <x:c r="A1246" s="34" t="str">
        <x:v>B1</x:v>
      </x:c>
      <x:c r="B1246" s="34" t="str">
        <x:v>48201240703</x:v>
      </x:c>
      <x:c r="C1246" s="65" t="n">
        <x:v>501.2175624987833</x:v>
      </x:c>
      <x:c r="D1246" s="65" t="n">
        <x:v>299.5927709902387</x:v>
      </x:c>
      <x:c r="E1246" s="65" t="n">
        <x:v>201.6247915085446</x:v>
      </x:c>
      <x:c r="F1246" s="65" t="n">
        <x:v>201.6247915085446</x:v>
      </x:c>
      <x:c r="G1246" s="65" t="n">
        <x:v>501.2175624987833</x:v>
      </x:c>
      <x:c r="H1246" s="43" t="n">
        <x:v>1</x:v>
      </x:c>
      <x:c r="I1246" s="34" t="str">
        <x:v>generated design-reference observation; not predicted tract behavior</x:v>
      </x:c>
    </x:row>
    <x:row r="1247" ht="75.5999984741211" hidden="0" customHeight="1">
      <x:c r="A1247" s="36" t="str">
        <x:v>B1</x:v>
      </x:c>
      <x:c r="B1247" s="36" t="str">
        <x:v>48201240704</x:v>
      </x:c>
      <x:c r="C1247" s="66" t="n">
        <x:v>372.0777241776156</x:v>
      </x:c>
      <x:c r="D1247" s="66" t="n">
        <x:v>224.09665891698413</x:v>
      </x:c>
      <x:c r="E1247" s="66" t="n">
        <x:v>147.98106526063148</x:v>
      </x:c>
      <x:c r="F1247" s="66" t="n">
        <x:v>147.98106526063148</x:v>
      </x:c>
      <x:c r="G1247" s="66" t="n">
        <x:v>372.0777241776156</x:v>
      </x:c>
      <x:c r="H1247" s="45" t="n">
        <x:v>1</x:v>
      </x:c>
      <x:c r="I1247" s="36" t="str">
        <x:v>generated design-reference observation; not predicted tract behavior</x:v>
      </x:c>
    </x:row>
    <x:row r="1248" ht="75.5999984741211" hidden="0" customHeight="1">
      <x:c r="A1248" s="34" t="str">
        <x:v>B1</x:v>
      </x:c>
      <x:c r="B1248" s="34" t="str">
        <x:v>48201240705</x:v>
      </x:c>
      <x:c r="C1248" s="65" t="n">
        <x:v>438.59287552032407</x:v>
      </x:c>
      <x:c r="D1248" s="65" t="n">
        <x:v>263.6600805376564</x:v>
      </x:c>
      <x:c r="E1248" s="65" t="n">
        <x:v>174.93279498266764</x:v>
      </x:c>
      <x:c r="F1248" s="65" t="n">
        <x:v>145.69316920472812</x:v>
      </x:c>
      <x:c r="G1248" s="65" t="n">
        <x:v>409.35324974238455</x:v>
      </x:c>
      <x:c r="H1248" s="43" t="n">
        <x:v>0.9333331036368269</x:v>
      </x:c>
      <x:c r="I1248" s="34" t="str">
        <x:v>generated design-reference observation; not predicted tract behavior</x:v>
      </x:c>
    </x:row>
    <x:row r="1249" ht="75.5999984741211" hidden="0" customHeight="1">
      <x:c r="A1249" s="36" t="str">
        <x:v>B1</x:v>
      </x:c>
      <x:c r="B1249" s="36" t="str">
        <x:v>48201240706</x:v>
      </x:c>
      <x:c r="C1249" s="66" t="n">
        <x:v>898.6658300456842</x:v>
      </x:c>
      <x:c r="D1249" s="66" t="n">
        <x:v>549.084822157913</x:v>
      </x:c>
      <x:c r="E1249" s="66" t="n">
        <x:v>349.5810078877712</x:v>
      </x:c>
      <x:c r="F1249" s="66" t="n">
        <x:v>349.5810078877712</x:v>
      </x:c>
      <x:c r="G1249" s="66" t="n">
        <x:v>898.6658300456842</x:v>
      </x:c>
      <x:c r="H1249" s="45" t="n">
        <x:v>1</x:v>
      </x:c>
      <x:c r="I1249" s="36" t="str">
        <x:v>generated design-reference observation; not predicted tract behavior</x:v>
      </x:c>
    </x:row>
    <x:row r="1250" ht="75.5999984741211" hidden="0" customHeight="1">
      <x:c r="A1250" s="34" t="str">
        <x:v>B1</x:v>
      </x:c>
      <x:c r="B1250" s="34" t="str">
        <x:v>48201240707</x:v>
      </x:c>
      <x:c r="C1250" s="65" t="n">
        <x:v>422.44941328968207</x:v>
      </x:c>
      <x:c r="D1250" s="65" t="n">
        <x:v>258.1165915199957</x:v>
      </x:c>
      <x:c r="E1250" s="65" t="n">
        <x:v>164.33282176968635</x:v>
      </x:c>
      <x:c r="F1250" s="65" t="n">
        <x:v>139.98936648998546</x:v>
      </x:c>
      <x:c r="G1250" s="65" t="n">
        <x:v>398.1059580099812</x:v>
      </x:c>
      <x:c r="H1250" s="43" t="n">
        <x:v>0.9423754548736748</x:v>
      </x:c>
      <x:c r="I1250" s="34" t="str">
        <x:v>generated design-reference observation; not predicted tract behavior</x:v>
      </x:c>
    </x:row>
    <x:row r="1251" ht="75.5999984741211" hidden="0" customHeight="1">
      <x:c r="A1251" s="36" t="str">
        <x:v>B1</x:v>
      </x:c>
      <x:c r="B1251" s="36" t="str">
        <x:v>48201240802</x:v>
      </x:c>
      <x:c r="C1251" s="66" t="n">
        <x:v>720.1131645365681</x:v>
      </x:c>
      <x:c r="D1251" s="66" t="n">
        <x:v>434.29446115643094</x:v>
      </x:c>
      <x:c r="E1251" s="66" t="n">
        <x:v>285.81870338013715</x:v>
      </x:c>
      <x:c r="F1251" s="66" t="n">
        <x:v>285.81870338013715</x:v>
      </x:c>
      <x:c r="G1251" s="66" t="n">
        <x:v>720.1131645365681</x:v>
      </x:c>
      <x:c r="H1251" s="45" t="n">
        <x:v>1</x:v>
      </x:c>
      <x:c r="I1251" s="36" t="str">
        <x:v>generated design-reference observation; not predicted tract behavior</x:v>
      </x:c>
    </x:row>
    <x:row r="1252" ht="75.5999984741211" hidden="0" customHeight="1">
      <x:c r="A1252" s="34" t="str">
        <x:v>B1</x:v>
      </x:c>
      <x:c r="B1252" s="34" t="str">
        <x:v>48201240803</x:v>
      </x:c>
      <x:c r="C1252" s="65" t="n">
        <x:v>189.11193596036622</x:v>
      </x:c>
      <x:c r="D1252" s="65" t="n">
        <x:v>112.85031686688403</x:v>
      </x:c>
      <x:c r="E1252" s="65" t="n">
        <x:v>76.2616190934822</x:v>
      </x:c>
      <x:c r="F1252" s="65" t="n">
        <x:v>76.2616190934822</x:v>
      </x:c>
      <x:c r="G1252" s="65" t="n">
        <x:v>189.11193596036622</x:v>
      </x:c>
      <x:c r="H1252" s="43" t="n">
        <x:v>1</x:v>
      </x:c>
      <x:c r="I1252" s="34" t="str">
        <x:v>generated design-reference observation; not predicted tract behavior</x:v>
      </x:c>
    </x:row>
    <x:row r="1253" ht="75.5999984741211" hidden="0" customHeight="1">
      <x:c r="A1253" s="36" t="str">
        <x:v>B1</x:v>
      </x:c>
      <x:c r="B1253" s="36" t="str">
        <x:v>48201240804</x:v>
      </x:c>
      <x:c r="C1253" s="66" t="n">
        <x:v>237.62484765395806</x:v>
      </x:c>
      <x:c r="D1253" s="66" t="n">
        <x:v>140.63822792971638</x:v>
      </x:c>
      <x:c r="E1253" s="66" t="n">
        <x:v>96.98661972424168</x:v>
      </x:c>
      <x:c r="F1253" s="66" t="n">
        <x:v>96.98661972424168</x:v>
      </x:c>
      <x:c r="G1253" s="66" t="n">
        <x:v>237.62484765395806</x:v>
      </x:c>
      <x:c r="H1253" s="45" t="n">
        <x:v>1</x:v>
      </x:c>
      <x:c r="I1253" s="36" t="str">
        <x:v>generated design-reference observation; not predicted tract behavior</x:v>
      </x:c>
    </x:row>
    <x:row r="1254" ht="75.5999984741211" hidden="0" customHeight="1">
      <x:c r="A1254" s="34" t="str">
        <x:v>B1</x:v>
      </x:c>
      <x:c r="B1254" s="34" t="str">
        <x:v>48201240903</x:v>
      </x:c>
      <x:c r="C1254" s="65" t="n">
        <x:v>904.7351962854198</x:v>
      </x:c>
      <x:c r="D1254" s="65" t="n">
        <x:v>482.2238596201288</x:v>
      </x:c>
      <x:c r="E1254" s="65" t="n">
        <x:v>422.51133666529097</x:v>
      </x:c>
      <x:c r="F1254" s="65" t="n">
        <x:v>422.511336665291</x:v>
      </x:c>
      <x:c r="G1254" s="65" t="n">
        <x:v>904.7351962854198</x:v>
      </x:c>
      <x:c r="H1254" s="43" t="n">
        <x:v>1</x:v>
      </x:c>
      <x:c r="I1254" s="34" t="str">
        <x:v>generated design-reference observation; not predicted tract behavior</x:v>
      </x:c>
    </x:row>
    <x:row r="1255" ht="75.5999984741211" hidden="0" customHeight="1">
      <x:c r="A1255" s="36" t="str">
        <x:v>B1</x:v>
      </x:c>
      <x:c r="B1255" s="36" t="str">
        <x:v>48201240904</x:v>
      </x:c>
      <x:c r="C1255" s="66" t="n">
        <x:v>728.9551290007707</x:v>
      </x:c>
      <x:c r="D1255" s="66" t="n">
        <x:v>441.4645276861229</x:v>
      </x:c>
      <x:c r="E1255" s="66" t="n">
        <x:v>287.49060131464785</x:v>
      </x:c>
      <x:c r="F1255" s="66" t="n">
        <x:v>287.49060131464785</x:v>
      </x:c>
      <x:c r="G1255" s="66" t="n">
        <x:v>728.9551290007707</x:v>
      </x:c>
      <x:c r="H1255" s="45" t="n">
        <x:v>1</x:v>
      </x:c>
      <x:c r="I1255" s="36" t="str">
        <x:v>generated design-reference observation; not predicted tract behavior</x:v>
      </x:c>
    </x:row>
    <x:row r="1256" ht="75.5999984741211" hidden="0" customHeight="1">
      <x:c r="A1256" s="34" t="str">
        <x:v>B1</x:v>
      </x:c>
      <x:c r="B1256" s="34" t="str">
        <x:v>48201240905</x:v>
      </x:c>
      <x:c r="C1256" s="65" t="n">
        <x:v>435.92063737114273</x:v>
      </x:c>
      <x:c r="D1256" s="65" t="n">
        <x:v>259.34416912360496</x:v>
      </x:c>
      <x:c r="E1256" s="65" t="n">
        <x:v>176.57646824753778</x:v>
      </x:c>
      <x:c r="F1256" s="65" t="n">
        <x:v>176.57646824753778</x:v>
      </x:c>
      <x:c r="G1256" s="65" t="n">
        <x:v>435.92063737114273</x:v>
      </x:c>
      <x:c r="H1256" s="43" t="n">
        <x:v>1</x:v>
      </x:c>
      <x:c r="I1256" s="34" t="str">
        <x:v>generated design-reference observation; not predicted tract behavior</x:v>
      </x:c>
    </x:row>
    <x:row r="1257" ht="75.5999984741211" hidden="0" customHeight="1">
      <x:c r="A1257" s="36" t="str">
        <x:v>B1</x:v>
      </x:c>
      <x:c r="B1257" s="36" t="str">
        <x:v>48201240906</x:v>
      </x:c>
      <x:c r="C1257" s="66" t="n">
        <x:v>675.0623731509595</x:v>
      </x:c>
      <x:c r="D1257" s="66" t="n">
        <x:v>409.4458459175939</x:v>
      </x:c>
      <x:c r="E1257" s="66" t="n">
        <x:v>265.6165272333656</x:v>
      </x:c>
      <x:c r="F1257" s="66" t="n">
        <x:v>223.97645951833232</x:v>
      </x:c>
      <x:c r="G1257" s="66" t="n">
        <x:v>633.4223054359262</x:v>
      </x:c>
      <x:c r="H1257" s="45" t="n">
        <x:v>0.9383167106164253</x:v>
      </x:c>
      <x:c r="I1257" s="36" t="str">
        <x:v>generated design-reference observation; not predicted tract behavior</x:v>
      </x:c>
    </x:row>
    <x:row r="1258" ht="75.5999984741211" hidden="0" customHeight="1">
      <x:c r="A1258" s="34" t="str">
        <x:v>B1</x:v>
      </x:c>
      <x:c r="B1258" s="34" t="str">
        <x:v>48201241001</x:v>
      </x:c>
      <x:c r="C1258" s="65" t="n">
        <x:v>288.6763855892722</x:v>
      </x:c>
      <x:c r="D1258" s="65" t="n">
        <x:v>175.89200315788847</x:v>
      </x:c>
      <x:c r="E1258" s="65" t="n">
        <x:v>112.7843824313837</x:v>
      </x:c>
      <x:c r="F1258" s="65" t="n">
        <x:v>112.7843824313837</x:v>
      </x:c>
      <x:c r="G1258" s="65" t="n">
        <x:v>288.6763855892722</x:v>
      </x:c>
      <x:c r="H1258" s="43" t="n">
        <x:v>1</x:v>
      </x:c>
      <x:c r="I1258" s="34" t="str">
        <x:v>generated design-reference observation; not predicted tract behavior</x:v>
      </x:c>
    </x:row>
    <x:row r="1259" ht="75.5999984741211" hidden="0" customHeight="1">
      <x:c r="A1259" s="36" t="str">
        <x:v>B1</x:v>
      </x:c>
      <x:c r="B1259" s="36" t="str">
        <x:v>48201241002</x:v>
      </x:c>
      <x:c r="C1259" s="66" t="n">
        <x:v>439.58317554031476</x:v>
      </x:c>
      <x:c r="D1259" s="66" t="n">
        <x:v>268.58532025513233</x:v>
      </x:c>
      <x:c r="E1259" s="66" t="n">
        <x:v>170.99785528518242</x:v>
      </x:c>
      <x:c r="F1259" s="66" t="n">
        <x:v>170.99785528518242</x:v>
      </x:c>
      <x:c r="G1259" s="66" t="n">
        <x:v>439.58317554031476</x:v>
      </x:c>
      <x:c r="H1259" s="45" t="n">
        <x:v>1</x:v>
      </x:c>
      <x:c r="I1259" s="36" t="str">
        <x:v>generated design-reference observation; not predicted tract behavior</x:v>
      </x:c>
    </x:row>
    <x:row r="1260" ht="75.5999984741211" hidden="0" customHeight="1">
      <x:c r="A1260" s="34" t="str">
        <x:v>B1</x:v>
      </x:c>
      <x:c r="B1260" s="34" t="str">
        <x:v>48201241101</x:v>
      </x:c>
      <x:c r="C1260" s="65" t="n">
        <x:v>358.73225247964575</x:v>
      </x:c>
      <x:c r="D1260" s="65" t="n">
        <x:v>219.18540626506353</x:v>
      </x:c>
      <x:c r="E1260" s="65" t="n">
        <x:v>139.54684621458222</x:v>
      </x:c>
      <x:c r="F1260" s="65" t="n">
        <x:v>139.54684621458222</x:v>
      </x:c>
      <x:c r="G1260" s="65" t="n">
        <x:v>358.73225247964575</x:v>
      </x:c>
      <x:c r="H1260" s="43" t="n">
        <x:v>1</x:v>
      </x:c>
      <x:c r="I1260" s="34" t="str">
        <x:v>generated design-reference observation; not predicted tract behavior</x:v>
      </x:c>
    </x:row>
    <x:row r="1261" ht="75.5999984741211" hidden="0" customHeight="1">
      <x:c r="A1261" s="36" t="str">
        <x:v>B1</x:v>
      </x:c>
      <x:c r="B1261" s="36" t="str">
        <x:v>48201241103</x:v>
      </x:c>
      <x:c r="C1261" s="66" t="n">
        <x:v>470.0349011550286</x:v>
      </x:c>
      <x:c r="D1261" s="66" t="n">
        <x:v>284.25904081094933</x:v>
      </x:c>
      <x:c r="E1261" s="66" t="n">
        <x:v>185.77586034407926</x:v>
      </x:c>
      <x:c r="F1261" s="66" t="n">
        <x:v>185.77586034407926</x:v>
      </x:c>
      <x:c r="G1261" s="66" t="n">
        <x:v>470.0349011550286</x:v>
      </x:c>
      <x:c r="H1261" s="45" t="n">
        <x:v>1</x:v>
      </x:c>
      <x:c r="I1261" s="36" t="str">
        <x:v>generated design-reference observation; not predicted tract behavior</x:v>
      </x:c>
    </x:row>
    <x:row r="1262" ht="75.5999984741211" hidden="0" customHeight="1">
      <x:c r="A1262" s="34" t="str">
        <x:v>B1</x:v>
      </x:c>
      <x:c r="B1262" s="34" t="str">
        <x:v>48201241104</x:v>
      </x:c>
      <x:c r="C1262" s="65" t="n">
        <x:v>2026.5008691130981</x:v>
      </x:c>
      <x:c r="D1262" s="65" t="n">
        <x:v>592.7515042155812</x:v>
      </x:c>
      <x:c r="E1262" s="65" t="n">
        <x:v>1433.749364897517</x:v>
      </x:c>
      <x:c r="F1262" s="65" t="n">
        <x:v>1433.749364897517</x:v>
      </x:c>
      <x:c r="G1262" s="65" t="n">
        <x:v>2026.5008691130981</x:v>
      </x:c>
      <x:c r="H1262" s="43" t="n">
        <x:v>1</x:v>
      </x:c>
      <x:c r="I1262" s="34" t="str">
        <x:v>generated design-reference observation; not predicted tract behavior</x:v>
      </x:c>
    </x:row>
    <x:row r="1263" ht="75.5999984741211" hidden="0" customHeight="1">
      <x:c r="A1263" s="36" t="str">
        <x:v>B1</x:v>
      </x:c>
      <x:c r="B1263" s="36" t="str">
        <x:v>48201241105</x:v>
      </x:c>
      <x:c r="C1263" s="66" t="n">
        <x:v>448.1343376176947</x:v>
      </x:c>
      <x:c r="D1263" s="66" t="n">
        <x:v>273.81008028441147</x:v>
      </x:c>
      <x:c r="E1263" s="66" t="n">
        <x:v>174.32425733328324</x:v>
      </x:c>
      <x:c r="F1263" s="66" t="n">
        <x:v>174.32425733328324</x:v>
      </x:c>
      <x:c r="G1263" s="66" t="n">
        <x:v>448.1343376176947</x:v>
      </x:c>
      <x:c r="H1263" s="45" t="n">
        <x:v>1</x:v>
      </x:c>
      <x:c r="I1263" s="36" t="str">
        <x:v>generated design-reference observation; not predicted tract behavior</x:v>
      </x:c>
    </x:row>
    <x:row r="1264" ht="75.5999984741211" hidden="0" customHeight="1">
      <x:c r="A1264" s="34" t="str">
        <x:v>B1</x:v>
      </x:c>
      <x:c r="B1264" s="34" t="str">
        <x:v>48201241201</x:v>
      </x:c>
      <x:c r="C1264" s="65" t="n">
        <x:v>532.2397081799571</x:v>
      </x:c>
      <x:c r="D1264" s="65" t="n">
        <x:v>152.2922572255438</x:v>
      </x:c>
      <x:c r="E1264" s="65" t="n">
        <x:v>379.9474509544133</x:v>
      </x:c>
      <x:c r="F1264" s="65" t="n">
        <x:v>379.9474509544133</x:v>
      </x:c>
      <x:c r="G1264" s="65" t="n">
        <x:v>532.2397081799571</x:v>
      </x:c>
      <x:c r="H1264" s="43" t="n">
        <x:v>1</x:v>
      </x:c>
      <x:c r="I1264" s="34" t="str">
        <x:v>generated design-reference observation; not predicted tract behavior</x:v>
      </x:c>
    </x:row>
    <x:row r="1265" ht="75.5999984741211" hidden="0" customHeight="1">
      <x:c r="A1265" s="36" t="str">
        <x:v>B1</x:v>
      </x:c>
      <x:c r="B1265" s="36" t="str">
        <x:v>48201241202</x:v>
      </x:c>
      <x:c r="C1265" s="66" t="n">
        <x:v>446.4956268703291</x:v>
      </x:c>
      <x:c r="D1265" s="66" t="n">
        <x:v>268.03109022411485</x:v>
      </x:c>
      <x:c r="E1265" s="66" t="n">
        <x:v>178.46453664621424</x:v>
      </x:c>
      <x:c r="F1265" s="66" t="n">
        <x:v>178.46453664621424</x:v>
      </x:c>
      <x:c r="G1265" s="66" t="n">
        <x:v>446.4956268703291</x:v>
      </x:c>
      <x:c r="H1265" s="45" t="n">
        <x:v>1</x:v>
      </x:c>
      <x:c r="I1265" s="36" t="str">
        <x:v>generated design-reference observation; not predicted tract behavior</x:v>
      </x:c>
    </x:row>
    <x:row r="1266" ht="75.5999984741211" hidden="0" customHeight="1">
      <x:c r="A1266" s="34" t="str">
        <x:v>B1</x:v>
      </x:c>
      <x:c r="B1266" s="34" t="str">
        <x:v>48201241301</x:v>
      </x:c>
      <x:c r="C1266" s="65" t="n">
        <x:v>411.6975845012116</x:v>
      </x:c>
      <x:c r="D1266" s="65" t="n">
        <x:v>251.5472241302403</x:v>
      </x:c>
      <x:c r="E1266" s="65" t="n">
        <x:v>160.15036037097133</x:v>
      </x:c>
      <x:c r="F1266" s="65" t="n">
        <x:v>160.15036037097133</x:v>
      </x:c>
      <x:c r="G1266" s="65" t="n">
        <x:v>411.6975845012116</x:v>
      </x:c>
      <x:c r="H1266" s="43" t="n">
        <x:v>1</x:v>
      </x:c>
      <x:c r="I1266" s="34" t="str">
        <x:v>generated design-reference observation; not predicted tract behavior</x:v>
      </x:c>
    </x:row>
    <x:row r="1267" ht="75.5999984741211" hidden="0" customHeight="1">
      <x:c r="A1267" s="36" t="str">
        <x:v>B1</x:v>
      </x:c>
      <x:c r="B1267" s="36" t="str">
        <x:v>48201241302</x:v>
      </x:c>
      <x:c r="C1267" s="66" t="n">
        <x:v>705.4079951921032</x:v>
      </x:c>
      <x:c r="D1267" s="66" t="n">
        <x:v>418.5408660838416</x:v>
      </x:c>
      <x:c r="E1267" s="66" t="n">
        <x:v>286.86712910826157</x:v>
      </x:c>
      <x:c r="F1267" s="66" t="n">
        <x:v>286.86712910826157</x:v>
      </x:c>
      <x:c r="G1267" s="66" t="n">
        <x:v>705.4079951921032</x:v>
      </x:c>
      <x:c r="H1267" s="45" t="n">
        <x:v>1</x:v>
      </x:c>
      <x:c r="I1267" s="36" t="str">
        <x:v>generated design-reference observation; not predicted tract behavior</x:v>
      </x:c>
    </x:row>
    <x:row r="1268" ht="75.5999984741211" hidden="0" customHeight="1">
      <x:c r="A1268" s="34" t="str">
        <x:v>B1</x:v>
      </x:c>
      <x:c r="B1268" s="34" t="str">
        <x:v>48201241400</x:v>
      </x:c>
      <x:c r="C1268" s="65" t="n">
        <x:v>821.3045356268874</x:v>
      </x:c>
      <x:c r="D1268" s="65" t="n">
        <x:v>484.97492814990596</x:v>
      </x:c>
      <x:c r="E1268" s="65" t="n">
        <x:v>336.32960747698144</x:v>
      </x:c>
      <x:c r="F1268" s="65" t="n">
        <x:v>336.32960747698144</x:v>
      </x:c>
      <x:c r="G1268" s="65" t="n">
        <x:v>821.3045356268874</x:v>
      </x:c>
      <x:c r="H1268" s="43" t="n">
        <x:v>1</x:v>
      </x:c>
      <x:c r="I1268" s="34" t="str">
        <x:v>generated design-reference observation; not predicted tract behavior</x:v>
      </x:c>
    </x:row>
    <x:row r="1269" ht="75.5999984741211" hidden="0" customHeight="1">
      <x:c r="A1269" s="36" t="str">
        <x:v>B1</x:v>
      </x:c>
      <x:c r="B1269" s="36" t="str">
        <x:v>48201241501</x:v>
      </x:c>
      <x:c r="C1269" s="66" t="n">
        <x:v>722.2842068880863</x:v>
      </x:c>
      <x:c r="D1269" s="66" t="n">
        <x:v>203.21360106701013</x:v>
      </x:c>
      <x:c r="E1269" s="66" t="n">
        <x:v>519.0706058210761</x:v>
      </x:c>
      <x:c r="F1269" s="66" t="n">
        <x:v>519.0706058210761</x:v>
      </x:c>
      <x:c r="G1269" s="66" t="n">
        <x:v>722.2842068880863</x:v>
      </x:c>
      <x:c r="H1269" s="45" t="n">
        <x:v>1</x:v>
      </x:c>
      <x:c r="I1269" s="36" t="str">
        <x:v>generated design-reference observation; not predicted tract behavior</x:v>
      </x:c>
    </x:row>
    <x:row r="1270" ht="75.5999984741211" hidden="0" customHeight="1">
      <x:c r="A1270" s="34" t="str">
        <x:v>B1</x:v>
      </x:c>
      <x:c r="B1270" s="34" t="str">
        <x:v>48201241502</x:v>
      </x:c>
      <x:c r="C1270" s="65" t="n">
        <x:v>194.381746781031</x:v>
      </x:c>
      <x:c r="D1270" s="65" t="n">
        <x:v>113.19962605240887</x:v>
      </x:c>
      <x:c r="E1270" s="65" t="n">
        <x:v>81.18212072862214</x:v>
      </x:c>
      <x:c r="F1270" s="65" t="n">
        <x:v>81.18212072862214</x:v>
      </x:c>
      <x:c r="G1270" s="65" t="n">
        <x:v>194.381746781031</x:v>
      </x:c>
      <x:c r="H1270" s="43" t="n">
        <x:v>1</x:v>
      </x:c>
      <x:c r="I1270" s="34" t="str">
        <x:v>generated design-reference observation; not predicted tract behavior</x:v>
      </x:c>
    </x:row>
    <x:row r="1271" ht="75.5999984741211" hidden="0" customHeight="1">
      <x:c r="A1271" s="36" t="str">
        <x:v>B1</x:v>
      </x:c>
      <x:c r="B1271" s="36" t="str">
        <x:v>48201241503</x:v>
      </x:c>
      <x:c r="C1271" s="66" t="n">
        <x:v>211.83381975237498</x:v>
      </x:c>
      <x:c r="D1271" s="66" t="n">
        <x:v>125.90356690981106</x:v>
      </x:c>
      <x:c r="E1271" s="66" t="n">
        <x:v>85.93025284256392</x:v>
      </x:c>
      <x:c r="F1271" s="66" t="n">
        <x:v>85.93025284256392</x:v>
      </x:c>
      <x:c r="G1271" s="66" t="n">
        <x:v>211.83381975237498</x:v>
      </x:c>
      <x:c r="H1271" s="45" t="n">
        <x:v>1</x:v>
      </x:c>
      <x:c r="I1271" s="36" t="str">
        <x:v>generated design-reference observation; not predicted tract behavior</x:v>
      </x:c>
    </x:row>
    <x:row r="1272" ht="75.5999984741211" hidden="0" customHeight="1">
      <x:c r="A1272" s="34" t="str">
        <x:v>B1</x:v>
      </x:c>
      <x:c r="B1272" s="34" t="str">
        <x:v>48201250101</x:v>
      </x:c>
      <x:c r="C1272" s="65" t="n">
        <x:v>319.80010050326547</x:v>
      </x:c>
      <x:c r="D1272" s="65" t="n">
        <x:v>190.8279610343929</x:v>
      </x:c>
      <x:c r="E1272" s="65" t="n">
        <x:v>128.97213946887257</x:v>
      </x:c>
      <x:c r="F1272" s="65" t="n">
        <x:v>128.97213946887257</x:v>
      </x:c>
      <x:c r="G1272" s="65" t="n">
        <x:v>319.80010050326547</x:v>
      </x:c>
      <x:c r="H1272" s="43" t="n">
        <x:v>1</x:v>
      </x:c>
      <x:c r="I1272" s="34" t="str">
        <x:v>generated design-reference observation; not predicted tract behavior</x:v>
      </x:c>
    </x:row>
    <x:row r="1273" ht="75.5999984741211" hidden="0" customHeight="1">
      <x:c r="A1273" s="36" t="str">
        <x:v>B1</x:v>
      </x:c>
      <x:c r="B1273" s="36" t="str">
        <x:v>48201250102</x:v>
      </x:c>
      <x:c r="C1273" s="66" t="n">
        <x:v>435.6848516520974</x:v>
      </x:c>
      <x:c r="D1273" s="66" t="n">
        <x:v>266.2034443594315</x:v>
      </x:c>
      <x:c r="E1273" s="66" t="n">
        <x:v>169.4814072926659</x:v>
      </x:c>
      <x:c r="F1273" s="66" t="n">
        <x:v>169.4814072926659</x:v>
      </x:c>
      <x:c r="G1273" s="66" t="n">
        <x:v>435.6848516520974</x:v>
      </x:c>
      <x:c r="H1273" s="45" t="n">
        <x:v>1</x:v>
      </x:c>
      <x:c r="I1273" s="36" t="str">
        <x:v>generated design-reference observation; not predicted tract behavior</x:v>
      </x:c>
    </x:row>
    <x:row r="1274" ht="75.5999984741211" hidden="0" customHeight="1">
      <x:c r="A1274" s="34" t="str">
        <x:v>B1</x:v>
      </x:c>
      <x:c r="B1274" s="34" t="str">
        <x:v>48201250201</x:v>
      </x:c>
      <x:c r="C1274" s="65" t="n">
        <x:v>641.3371558034988</x:v>
      </x:c>
      <x:c r="D1274" s="65" t="n">
        <x:v>386.99902890508446</x:v>
      </x:c>
      <x:c r="E1274" s="65" t="n">
        <x:v>254.33812689841437</x:v>
      </x:c>
      <x:c r="F1274" s="65" t="n">
        <x:v>254.33812689841437</x:v>
      </x:c>
      <x:c r="G1274" s="65" t="n">
        <x:v>641.3371558034988</x:v>
      </x:c>
      <x:c r="H1274" s="43" t="n">
        <x:v>1</x:v>
      </x:c>
      <x:c r="I1274" s="34" t="str">
        <x:v>generated design-reference observation; not predicted tract behavior</x:v>
      </x:c>
    </x:row>
    <x:row r="1275" ht="75.5999984741211" hidden="0" customHeight="1">
      <x:c r="A1275" s="36" t="str">
        <x:v>B1</x:v>
      </x:c>
      <x:c r="B1275" s="36" t="str">
        <x:v>48201250202</x:v>
      </x:c>
      <x:c r="C1275" s="66" t="n">
        <x:v>184.46302753318764</x:v>
      </x:c>
      <x:c r="D1275" s="66" t="n">
        <x:v>106.50261118109108</x:v>
      </x:c>
      <x:c r="E1275" s="66" t="n">
        <x:v>77.96041635209656</x:v>
      </x:c>
      <x:c r="F1275" s="66" t="n">
        <x:v>77.96041635209656</x:v>
      </x:c>
      <x:c r="G1275" s="66" t="n">
        <x:v>184.46302753318764</x:v>
      </x:c>
      <x:c r="H1275" s="45" t="n">
        <x:v>1</x:v>
      </x:c>
      <x:c r="I1275" s="36" t="str">
        <x:v>generated design-reference observation; not predicted tract behavior</x:v>
      </x:c>
    </x:row>
    <x:row r="1276" ht="75.5999984741211" hidden="0" customHeight="1">
      <x:c r="A1276" s="34" t="str">
        <x:v>B1</x:v>
      </x:c>
      <x:c r="B1276" s="34" t="str">
        <x:v>48201250303</x:v>
      </x:c>
      <x:c r="C1276" s="65" t="n">
        <x:v>276.5334210584338</x:v>
      </x:c>
      <x:c r="D1276" s="65" t="n">
        <x:v>162.73432078859497</x:v>
      </x:c>
      <x:c r="E1276" s="65" t="n">
        <x:v>113.79910026983885</x:v>
      </x:c>
      <x:c r="F1276" s="65" t="n">
        <x:v>113.79910026983885</x:v>
      </x:c>
      <x:c r="G1276" s="65" t="n">
        <x:v>276.5334210584338</x:v>
      </x:c>
      <x:c r="H1276" s="43" t="n">
        <x:v>1</x:v>
      </x:c>
      <x:c r="I1276" s="34" t="str">
        <x:v>generated design-reference observation; not predicted tract behavior</x:v>
      </x:c>
    </x:row>
    <x:row r="1277" ht="75.5999984741211" hidden="0" customHeight="1">
      <x:c r="A1277" s="36" t="str">
        <x:v>B1</x:v>
      </x:c>
      <x:c r="B1277" s="36" t="str">
        <x:v>48201250304</x:v>
      </x:c>
      <x:c r="C1277" s="66" t="n">
        <x:v>1460.6502089726025</x:v>
      </x:c>
      <x:c r="D1277" s="66" t="n">
        <x:v>425.78116247476635</x:v>
      </x:c>
      <x:c r="E1277" s="66" t="n">
        <x:v>1034.8690464978363</x:v>
      </x:c>
      <x:c r="F1277" s="66" t="n">
        <x:v>1034.8690464978363</x:v>
      </x:c>
      <x:c r="G1277" s="66" t="n">
        <x:v>1460.6502089726025</x:v>
      </x:c>
      <x:c r="H1277" s="45" t="n">
        <x:v>1</x:v>
      </x:c>
      <x:c r="I1277" s="36" t="str">
        <x:v>generated design-reference observation; not predicted tract behavior</x:v>
      </x:c>
    </x:row>
    <x:row r="1278" ht="75.5999984741211" hidden="0" customHeight="1">
      <x:c r="A1278" s="34" t="str">
        <x:v>B1</x:v>
      </x:c>
      <x:c r="B1278" s="34" t="str">
        <x:v>48201250305</x:v>
      </x:c>
      <x:c r="C1278" s="65" t="n">
        <x:v>466.24268084038175</x:v>
      </x:c>
      <x:c r="D1278" s="65" t="n">
        <x:v>278.49263422813004</x:v>
      </x:c>
      <x:c r="E1278" s="65" t="n">
        <x:v>187.7500466122517</x:v>
      </x:c>
      <x:c r="F1278" s="65" t="n">
        <x:v>187.7500466122517</x:v>
      </x:c>
      <x:c r="G1278" s="65" t="n">
        <x:v>466.24268084038175</x:v>
      </x:c>
      <x:c r="H1278" s="43" t="n">
        <x:v>1</x:v>
      </x:c>
      <x:c r="I1278" s="34" t="str">
        <x:v>generated design-reference observation; not predicted tract behavior</x:v>
      </x:c>
    </x:row>
    <x:row r="1279" ht="75.5999984741211" hidden="0" customHeight="1">
      <x:c r="A1279" s="36" t="str">
        <x:v>B1</x:v>
      </x:c>
      <x:c r="B1279" s="36" t="str">
        <x:v>48201250306</x:v>
      </x:c>
      <x:c r="C1279" s="66" t="n">
        <x:v>315.63062303814587</x:v>
      </x:c>
      <x:c r="D1279" s="66" t="n">
        <x:v>192.85031067630712</x:v>
      </x:c>
      <x:c r="E1279" s="66" t="n">
        <x:v>122.78031236183875</x:v>
      </x:c>
      <x:c r="F1279" s="66" t="n">
        <x:v>104.74617412906741</x:v>
      </x:c>
      <x:c r="G1279" s="66" t="n">
        <x:v>297.59648480537453</x:v>
      </x:c>
      <x:c r="H1279" s="45" t="n">
        <x:v>0.9428631542174797</x:v>
      </x:c>
      <x:c r="I1279" s="36" t="str">
        <x:v>generated design-reference observation; not predicted tract behavior</x:v>
      </x:c>
    </x:row>
    <x:row r="1280" ht="75.5999984741211" hidden="0" customHeight="1">
      <x:c r="A1280" s="34" t="str">
        <x:v>B1</x:v>
      </x:c>
      <x:c r="B1280" s="34" t="str">
        <x:v>48201250403</x:v>
      </x:c>
      <x:c r="C1280" s="65" t="n">
        <x:v>648.7801250013653</x:v>
      </x:c>
      <x:c r="D1280" s="65" t="n">
        <x:v>334.21886072094145</x:v>
      </x:c>
      <x:c r="E1280" s="65" t="n">
        <x:v>314.5612642804238</x:v>
      </x:c>
      <x:c r="F1280" s="65" t="n">
        <x:v>314.5612642804238</x:v>
      </x:c>
      <x:c r="G1280" s="65" t="n">
        <x:v>648.7801250013653</x:v>
      </x:c>
      <x:c r="H1280" s="43" t="n">
        <x:v>1</x:v>
      </x:c>
      <x:c r="I1280" s="34" t="str">
        <x:v>generated design-reference observation; not predicted tract behavior</x:v>
      </x:c>
    </x:row>
    <x:row r="1281" ht="75.5999984741211" hidden="0" customHeight="1">
      <x:c r="A1281" s="36" t="str">
        <x:v>B1</x:v>
      </x:c>
      <x:c r="B1281" s="36" t="str">
        <x:v>48201250404</x:v>
      </x:c>
      <x:c r="C1281" s="66" t="n">
        <x:v>406.0701653399947</x:v>
      </x:c>
      <x:c r="D1281" s="66" t="n">
        <x:v>245.19833567548895</x:v>
      </x:c>
      <x:c r="E1281" s="66" t="n">
        <x:v>160.87182966450573</x:v>
      </x:c>
      <x:c r="F1281" s="66" t="n">
        <x:v>160.87182966450573</x:v>
      </x:c>
      <x:c r="G1281" s="66" t="n">
        <x:v>406.0701653399947</x:v>
      </x:c>
      <x:c r="H1281" s="45" t="n">
        <x:v>1</x:v>
      </x:c>
      <x:c r="I1281" s="36" t="str">
        <x:v>generated design-reference observation; not predicted tract behavior</x:v>
      </x:c>
    </x:row>
    <x:row r="1282" ht="75.5999984741211" hidden="0" customHeight="1">
      <x:c r="A1282" s="34" t="str">
        <x:v>B1</x:v>
      </x:c>
      <x:c r="B1282" s="34" t="str">
        <x:v>48201250405</x:v>
      </x:c>
      <x:c r="C1282" s="65" t="n">
        <x:v>800.2410113921646</x:v>
      </x:c>
      <x:c r="D1282" s="65" t="n">
        <x:v>488.94725796061255</x:v>
      </x:c>
      <x:c r="E1282" s="65" t="n">
        <x:v>311.2937534315521</x:v>
      </x:c>
      <x:c r="F1282" s="65" t="n">
        <x:v>311.2937534315521</x:v>
      </x:c>
      <x:c r="G1282" s="65" t="n">
        <x:v>800.2410113921646</x:v>
      </x:c>
      <x:c r="H1282" s="43" t="n">
        <x:v>1</x:v>
      </x:c>
      <x:c r="I1282" s="34" t="str">
        <x:v>generated design-reference observation; not predicted tract behavior</x:v>
      </x:c>
    </x:row>
    <x:row r="1283" ht="75.5999984741211" hidden="0" customHeight="1">
      <x:c r="A1283" s="36" t="str">
        <x:v>B1</x:v>
      </x:c>
      <x:c r="B1283" s="36" t="str">
        <x:v>48201250406</x:v>
      </x:c>
      <x:c r="C1283" s="66" t="n">
        <x:v>384.49577204734015</x:v>
      </x:c>
      <x:c r="D1283" s="66" t="n">
        <x:v>229.3907879141924</x:v>
      </x:c>
      <x:c r="E1283" s="66" t="n">
        <x:v>155.10498413314775</x:v>
      </x:c>
      <x:c r="F1283" s="66" t="n">
        <x:v>155.10498413314775</x:v>
      </x:c>
      <x:c r="G1283" s="66" t="n">
        <x:v>384.49577204734015</x:v>
      </x:c>
      <x:c r="H1283" s="45" t="n">
        <x:v>1</x:v>
      </x:c>
      <x:c r="I1283" s="36" t="str">
        <x:v>generated design-reference observation; not predicted tract behavior</x:v>
      </x:c>
    </x:row>
    <x:row r="1284" ht="75.5999984741211" hidden="0" customHeight="1">
      <x:c r="A1284" s="34" t="str">
        <x:v>B1</x:v>
      </x:c>
      <x:c r="B1284" s="34" t="str">
        <x:v>48201250407</x:v>
      </x:c>
      <x:c r="C1284" s="65" t="n">
        <x:v>807.110235340354</x:v>
      </x:c>
      <x:c r="D1284" s="65" t="n">
        <x:v>493.14435379295634</x:v>
      </x:c>
      <x:c r="E1284" s="65" t="n">
        <x:v>313.9658815473977</x:v>
      </x:c>
      <x:c r="F1284" s="65" t="n">
        <x:v>313.9658815473977</x:v>
      </x:c>
      <x:c r="G1284" s="65" t="n">
        <x:v>807.110235340354</x:v>
      </x:c>
      <x:c r="H1284" s="43" t="n">
        <x:v>1</x:v>
      </x:c>
      <x:c r="I1284" s="34" t="str">
        <x:v>generated design-reference observation; not predicted tract behavior</x:v>
      </x:c>
    </x:row>
    <x:row r="1285" ht="75.5999984741211" hidden="0" customHeight="1">
      <x:c r="A1285" s="36" t="str">
        <x:v>B1</x:v>
      </x:c>
      <x:c r="B1285" s="36" t="str">
        <x:v>48201250408</x:v>
      </x:c>
      <x:c r="C1285" s="66" t="n">
        <x:v>1388.8486208931424</x:v>
      </x:c>
      <x:c r="D1285" s="66" t="n">
        <x:v>813.6244480161398</x:v>
      </x:c>
      <x:c r="E1285" s="66" t="n">
        <x:v>575.2241728770026</x:v>
      </x:c>
      <x:c r="F1285" s="66" t="n">
        <x:v>575.2241728770026</x:v>
      </x:c>
      <x:c r="G1285" s="66" t="n">
        <x:v>1388.8486208931424</x:v>
      </x:c>
      <x:c r="H1285" s="45" t="n">
        <x:v>1</x:v>
      </x:c>
      <x:c r="I1285" s="36" t="str">
        <x:v>generated design-reference observation; not predicted tract behavior</x:v>
      </x:c>
    </x:row>
    <x:row r="1286" ht="75.5999984741211" hidden="0" customHeight="1">
      <x:c r="A1286" s="34" t="str">
        <x:v>B1</x:v>
      </x:c>
      <x:c r="B1286" s="34" t="str">
        <x:v>48201250500</x:v>
      </x:c>
      <x:c r="C1286" s="65" t="n">
        <x:v>440.1962184098328</x:v>
      </x:c>
      <x:c r="D1286" s="65" t="n">
        <x:v>254.04772767225649</x:v>
      </x:c>
      <x:c r="E1286" s="65" t="n">
        <x:v>186.1484907375763</x:v>
      </x:c>
      <x:c r="F1286" s="65" t="n">
        <x:v>186.1484907375763</x:v>
      </x:c>
      <x:c r="G1286" s="65" t="n">
        <x:v>440.1962184098328</x:v>
      </x:c>
      <x:c r="H1286" s="43" t="n">
        <x:v>1</x:v>
      </x:c>
      <x:c r="I1286" s="34" t="str">
        <x:v>generated design-reference observation; not predicted tract behavior</x:v>
      </x:c>
    </x:row>
    <x:row r="1287" ht="75.5999984741211" hidden="0" customHeight="1">
      <x:c r="A1287" s="36" t="str">
        <x:v>B1</x:v>
      </x:c>
      <x:c r="B1287" s="36" t="str">
        <x:v>48201250601</x:v>
      </x:c>
      <x:c r="C1287" s="66" t="n">
        <x:v>272.5840102644232</x:v>
      </x:c>
      <x:c r="D1287" s="66" t="n">
        <x:v>161.80971486791697</x:v>
      </x:c>
      <x:c r="E1287" s="66" t="n">
        <x:v>110.77429539650626</x:v>
      </x:c>
      <x:c r="F1287" s="66" t="n">
        <x:v>110.77429539650626</x:v>
      </x:c>
      <x:c r="G1287" s="66" t="n">
        <x:v>272.5840102644232</x:v>
      </x:c>
      <x:c r="H1287" s="45" t="n">
        <x:v>1</x:v>
      </x:c>
      <x:c r="I1287" s="36" t="str">
        <x:v>generated design-reference observation; not predicted tract behavior</x:v>
      </x:c>
    </x:row>
    <x:row r="1288" ht="75.5999984741211" hidden="0" customHeight="1">
      <x:c r="A1288" s="34" t="str">
        <x:v>B1</x:v>
      </x:c>
      <x:c r="B1288" s="34" t="str">
        <x:v>48201250602</x:v>
      </x:c>
      <x:c r="C1288" s="65" t="n">
        <x:v>373.49636825387205</x:v>
      </x:c>
      <x:c r="D1288" s="65" t="n">
        <x:v>222.65960056206785</x:v>
      </x:c>
      <x:c r="E1288" s="65" t="n">
        <x:v>150.8367676918042</x:v>
      </x:c>
      <x:c r="F1288" s="65" t="n">
        <x:v>150.8367676918042</x:v>
      </x:c>
      <x:c r="G1288" s="65" t="n">
        <x:v>373.49636825387205</x:v>
      </x:c>
      <x:c r="H1288" s="43" t="n">
        <x:v>1</x:v>
      </x:c>
      <x:c r="I1288" s="34" t="str">
        <x:v>generated design-reference observation; not predicted tract behavior</x:v>
      </x:c>
    </x:row>
    <x:row r="1289" ht="75.5999984741211" hidden="0" customHeight="1">
      <x:c r="A1289" s="36" t="str">
        <x:v>B1</x:v>
      </x:c>
      <x:c r="B1289" s="36" t="str">
        <x:v>48201250701</x:v>
      </x:c>
      <x:c r="C1289" s="66" t="n">
        <x:v>1242.0224353285025</x:v>
      </x:c>
      <x:c r="D1289" s="66" t="n">
        <x:v>362.5300778361192</x:v>
      </x:c>
      <x:c r="E1289" s="66" t="n">
        <x:v>879.4923574923833</x:v>
      </x:c>
      <x:c r="F1289" s="66" t="n">
        <x:v>879.4923574923833</x:v>
      </x:c>
      <x:c r="G1289" s="66" t="n">
        <x:v>1242.0224353285025</x:v>
      </x:c>
      <x:c r="H1289" s="45" t="n">
        <x:v>1</x:v>
      </x:c>
      <x:c r="I1289" s="36" t="str">
        <x:v>generated design-reference observation; not predicted tract behavior</x:v>
      </x:c>
    </x:row>
    <x:row r="1290" ht="75.5999984741211" hidden="0" customHeight="1">
      <x:c r="A1290" s="34" t="str">
        <x:v>B1</x:v>
      </x:c>
      <x:c r="B1290" s="34" t="str">
        <x:v>48201250702</x:v>
      </x:c>
      <x:c r="C1290" s="65" t="n">
        <x:v>328.6695733013567</x:v>
      </x:c>
      <x:c r="D1290" s="65" t="n">
        <x:v>200.33982560492544</x:v>
      </x:c>
      <x:c r="E1290" s="65" t="n">
        <x:v>128.32974769643127</x:v>
      </x:c>
      <x:c r="F1290" s="65" t="n">
        <x:v>128.32974769643127</x:v>
      </x:c>
      <x:c r="G1290" s="65" t="n">
        <x:v>328.6695733013567</x:v>
      </x:c>
      <x:c r="H1290" s="43" t="n">
        <x:v>1</x:v>
      </x:c>
      <x:c r="I1290" s="34" t="str">
        <x:v>generated design-reference observation; not predicted tract behavior</x:v>
      </x:c>
    </x:row>
    <x:row r="1291" ht="75.5999984741211" hidden="0" customHeight="1">
      <x:c r="A1291" s="36" t="str">
        <x:v>B1</x:v>
      </x:c>
      <x:c r="B1291" s="36" t="str">
        <x:v>48201250801</x:v>
      </x:c>
      <x:c r="C1291" s="66" t="n">
        <x:v>287.4856677080929</x:v>
      </x:c>
      <x:c r="D1291" s="66" t="n">
        <x:v>175.1090802007466</x:v>
      </x:c>
      <x:c r="E1291" s="66" t="n">
        <x:v>112.37658750734627</x:v>
      </x:c>
      <x:c r="F1291" s="66" t="n">
        <x:v>112.37658750734627</x:v>
      </x:c>
      <x:c r="G1291" s="66" t="n">
        <x:v>287.4856677080929</x:v>
      </x:c>
      <x:c r="H1291" s="45" t="n">
        <x:v>1</x:v>
      </x:c>
      <x:c r="I1291" s="36" t="str">
        <x:v>generated design-reference observation; not predicted tract behavior</x:v>
      </x:c>
    </x:row>
    <x:row r="1292" ht="75.5999984741211" hidden="0" customHeight="1">
      <x:c r="A1292" s="34" t="str">
        <x:v>B1</x:v>
      </x:c>
      <x:c r="B1292" s="34" t="str">
        <x:v>48201250802</x:v>
      </x:c>
      <x:c r="C1292" s="65" t="n">
        <x:v>656.9703535549756</x:v>
      </x:c>
      <x:c r="D1292" s="65" t="n">
        <x:v>344.8656375927919</x:v>
      </x:c>
      <x:c r="E1292" s="65" t="n">
        <x:v>312.1047159621837</x:v>
      </x:c>
      <x:c r="F1292" s="65" t="n">
        <x:v>312.1047159621837</x:v>
      </x:c>
      <x:c r="G1292" s="65" t="n">
        <x:v>656.9703535549756</x:v>
      </x:c>
      <x:c r="H1292" s="43" t="n">
        <x:v>1</x:v>
      </x:c>
      <x:c r="I1292" s="34" t="str">
        <x:v>generated design-reference observation; not predicted tract behavior</x:v>
      </x:c>
    </x:row>
    <x:row r="1293" ht="75.5999984741211" hidden="0" customHeight="1">
      <x:c r="A1293" s="36" t="str">
        <x:v>B1</x:v>
      </x:c>
      <x:c r="B1293" s="36" t="str">
        <x:v>48201250901</x:v>
      </x:c>
      <x:c r="C1293" s="66" t="n">
        <x:v>703.4854347137327</x:v>
      </x:c>
      <x:c r="D1293" s="66" t="n">
        <x:v>190.0240255607637</x:v>
      </x:c>
      <x:c r="E1293" s="66" t="n">
        <x:v>513.461409152969</x:v>
      </x:c>
      <x:c r="F1293" s="66" t="n">
        <x:v>513.461409152969</x:v>
      </x:c>
      <x:c r="G1293" s="66" t="n">
        <x:v>703.4854347137327</x:v>
      </x:c>
      <x:c r="H1293" s="45" t="n">
        <x:v>1</x:v>
      </x:c>
      <x:c r="I1293" s="36" t="str">
        <x:v>generated design-reference observation; not predicted tract behavior</x:v>
      </x:c>
    </x:row>
    <x:row r="1294" ht="75.5999984741211" hidden="0" customHeight="1">
      <x:c r="A1294" s="34" t="str">
        <x:v>B1</x:v>
      </x:c>
      <x:c r="B1294" s="34" t="str">
        <x:v>48201250902</x:v>
      </x:c>
      <x:c r="C1294" s="65" t="n">
        <x:v>451.3253043487758</x:v>
      </x:c>
      <x:c r="D1294" s="65" t="n">
        <x:v>275.759760957102</x:v>
      </x:c>
      <x:c r="E1294" s="65" t="n">
        <x:v>175.56554339167377</x:v>
      </x:c>
      <x:c r="F1294" s="65" t="n">
        <x:v>175.56554339167377</x:v>
      </x:c>
      <x:c r="G1294" s="65" t="n">
        <x:v>451.3253043487758</x:v>
      </x:c>
      <x:c r="H1294" s="43" t="n">
        <x:v>1</x:v>
      </x:c>
      <x:c r="I1294" s="34" t="str">
        <x:v>generated design-reference observation; not predicted tract behavior</x:v>
      </x:c>
    </x:row>
    <x:row r="1295" ht="75.5999984741211" hidden="0" customHeight="1">
      <x:c r="A1295" s="36" t="str">
        <x:v>B1</x:v>
      </x:c>
      <x:c r="B1295" s="36" t="str">
        <x:v>48201251000</x:v>
      </x:c>
      <x:c r="C1295" s="66" t="n">
        <x:v>586.8247067177349</x:v>
      </x:c>
      <x:c r="D1295" s="66" t="n">
        <x:v>163.98270296744573</x:v>
      </x:c>
      <x:c r="E1295" s="66" t="n">
        <x:v>422.84200375028917</x:v>
      </x:c>
      <x:c r="F1295" s="66" t="n">
        <x:v>422.84200375028917</x:v>
      </x:c>
      <x:c r="G1295" s="66" t="n">
        <x:v>586.8247067177349</x:v>
      </x:c>
      <x:c r="H1295" s="45" t="n">
        <x:v>1</x:v>
      </x:c>
      <x:c r="I1295" s="36" t="str">
        <x:v>generated design-reference observation; not predicted tract behavior</x:v>
      </x:c>
    </x:row>
    <x:row r="1296" ht="75.5999984741211" hidden="0" customHeight="1">
      <x:c r="A1296" s="34" t="str">
        <x:v>B1</x:v>
      </x:c>
      <x:c r="B1296" s="34" t="str">
        <x:v>48201251100</x:v>
      </x:c>
      <x:c r="C1296" s="65" t="n">
        <x:v>594.439376285368</x:v>
      </x:c>
      <x:c r="D1296" s="65" t="n">
        <x:v>359.2788511411469</x:v>
      </x:c>
      <x:c r="E1296" s="65" t="n">
        <x:v>235.16052514422108</x:v>
      </x:c>
      <x:c r="F1296" s="65" t="n">
        <x:v>235.16052514422108</x:v>
      </x:c>
      <x:c r="G1296" s="65" t="n">
        <x:v>594.439376285368</x:v>
      </x:c>
      <x:c r="H1296" s="43" t="n">
        <x:v>1</x:v>
      </x:c>
      <x:c r="I1296" s="34" t="str">
        <x:v>generated design-reference observation; not predicted tract behavior</x:v>
      </x:c>
    </x:row>
    <x:row r="1297" ht="75.5999984741211" hidden="0" customHeight="1">
      <x:c r="A1297" s="36" t="str">
        <x:v>B1</x:v>
      </x:c>
      <x:c r="B1297" s="36" t="str">
        <x:v>48201251200</x:v>
      </x:c>
      <x:c r="C1297" s="66" t="n">
        <x:v>512.8182198758172</x:v>
      </x:c>
      <x:c r="D1297" s="66" t="n">
        <x:v>307.90413509091906</x:v>
      </x:c>
      <x:c r="E1297" s="66" t="n">
        <x:v>204.9140847848982</x:v>
      </x:c>
      <x:c r="F1297" s="66" t="n">
        <x:v>204.9140847848982</x:v>
      </x:c>
      <x:c r="G1297" s="66" t="n">
        <x:v>512.8182198758172</x:v>
      </x:c>
      <x:c r="H1297" s="45" t="n">
        <x:v>1</x:v>
      </x:c>
      <x:c r="I1297" s="36" t="str">
        <x:v>generated design-reference observation; not predicted tract behavior</x:v>
      </x:c>
    </x:row>
    <x:row r="1298" ht="75.5999984741211" hidden="0" customHeight="1">
      <x:c r="A1298" s="34" t="str">
        <x:v>B1</x:v>
      </x:c>
      <x:c r="B1298" s="34" t="str">
        <x:v>48201251300</x:v>
      </x:c>
      <x:c r="C1298" s="65" t="n">
        <x:v>1251.9931483502892</x:v>
      </x:c>
      <x:c r="D1298" s="65" t="n">
        <x:v>365.12618384870535</x:v>
      </x:c>
      <x:c r="E1298" s="65" t="n">
        <x:v>886.8669645015839</x:v>
      </x:c>
      <x:c r="F1298" s="65" t="n">
        <x:v>886.8669645015839</x:v>
      </x:c>
      <x:c r="G1298" s="65" t="n">
        <x:v>1251.9931483502892</x:v>
      </x:c>
      <x:c r="H1298" s="43" t="n">
        <x:v>1</x:v>
      </x:c>
      <x:c r="I1298" s="34" t="str">
        <x:v>generated design-reference observation; not predicted tract behavior</x:v>
      </x:c>
    </x:row>
    <x:row r="1299" ht="75.5999984741211" hidden="0" customHeight="1">
      <x:c r="A1299" s="36" t="str">
        <x:v>B1</x:v>
      </x:c>
      <x:c r="B1299" s="36" t="str">
        <x:v>48201251401</x:v>
      </x:c>
      <x:c r="C1299" s="66" t="n">
        <x:v>421.4560903758574</x:v>
      </x:c>
      <x:c r="D1299" s="66" t="n">
        <x:v>224.0863749116282</x:v>
      </x:c>
      <x:c r="E1299" s="66" t="n">
        <x:v>197.3697154642292</x:v>
      </x:c>
      <x:c r="F1299" s="66" t="n">
        <x:v>197.3697154642292</x:v>
      </x:c>
      <x:c r="G1299" s="66" t="n">
        <x:v>421.4560903758574</x:v>
      </x:c>
      <x:c r="H1299" s="45" t="n">
        <x:v>1</x:v>
      </x:c>
      <x:c r="I1299" s="36" t="str">
        <x:v>generated design-reference observation; not predicted tract behavior</x:v>
      </x:c>
    </x:row>
    <x:row r="1300" ht="75.5999984741211" hidden="0" customHeight="1">
      <x:c r="A1300" s="34" t="str">
        <x:v>B1</x:v>
      </x:c>
      <x:c r="B1300" s="34" t="str">
        <x:v>48201251402</x:v>
      </x:c>
      <x:c r="C1300" s="65" t="n">
        <x:v>545.5924348231284</x:v>
      </x:c>
      <x:c r="D1300" s="65" t="n">
        <x:v>328.72168252623635</x:v>
      </x:c>
      <x:c r="E1300" s="65" t="n">
        <x:v>216.87075229689208</x:v>
      </x:c>
      <x:c r="F1300" s="65" t="n">
        <x:v>216.87075229689208</x:v>
      </x:c>
      <x:c r="G1300" s="65" t="n">
        <x:v>545.5924348231284</x:v>
      </x:c>
      <x:c r="H1300" s="43" t="n">
        <x:v>1</x:v>
      </x:c>
      <x:c r="I1300" s="34" t="str">
        <x:v>generated design-reference observation; not predicted tract behavior</x:v>
      </x:c>
    </x:row>
    <x:row r="1301" ht="75.5999984741211" hidden="0" customHeight="1">
      <x:c r="A1301" s="36" t="str">
        <x:v>B1</x:v>
      </x:c>
      <x:c r="B1301" s="36" t="str">
        <x:v>48201251501</x:v>
      </x:c>
      <x:c r="C1301" s="66" t="n">
        <x:v>1180.5730494726695</x:v>
      </x:c>
      <x:c r="D1301" s="66" t="n">
        <x:v>345.3176169707558</x:v>
      </x:c>
      <x:c r="E1301" s="66" t="n">
        <x:v>835.2554325019137</x:v>
      </x:c>
      <x:c r="F1301" s="66" t="n">
        <x:v>0</x:v>
      </x:c>
      <x:c r="G1301" s="66" t="n">
        <x:v>345.3176169707558</x:v>
      </x:c>
      <x:c r="H1301" s="45" t="n">
        <x:v>0.2925</x:v>
      </x:c>
      <x:c r="I1301" s="36" t="str">
        <x:v>generated design-reference observation; not predicted tract behavior</x:v>
      </x:c>
    </x:row>
    <x:row r="1302" ht="75.5999984741211" hidden="0" customHeight="1">
      <x:c r="A1302" s="34" t="str">
        <x:v>B1</x:v>
      </x:c>
      <x:c r="B1302" s="34" t="str">
        <x:v>48201251503</x:v>
      </x:c>
      <x:c r="C1302" s="65" t="n">
        <x:v>222.0708497209296</x:v>
      </x:c>
      <x:c r="D1302" s="65" t="n">
        <x:v>135.685289179488</x:v>
      </x:c>
      <x:c r="E1302" s="65" t="n">
        <x:v>86.3855605414416</x:v>
      </x:c>
      <x:c r="F1302" s="65" t="n">
        <x:v>73.6616483284395</x:v>
      </x:c>
      <x:c r="G1302" s="65" t="n">
        <x:v>209.3469375079275</x:v>
      </x:c>
      <x:c r="H1302" s="43" t="n">
        <x:v>0.9427033659348271</x:v>
      </x:c>
      <x:c r="I1302" s="34" t="str">
        <x:v>generated design-reference observation; not predicted tract behavior</x:v>
      </x:c>
    </x:row>
    <x:row r="1303" ht="75.5999984741211" hidden="0" customHeight="1">
      <x:c r="A1303" s="36" t="str">
        <x:v>B1</x:v>
      </x:c>
      <x:c r="B1303" s="36" t="str">
        <x:v>48201251504</x:v>
      </x:c>
      <x:c r="C1303" s="66" t="n">
        <x:v>447.67848522754025</x:v>
      </x:c>
      <x:c r="D1303" s="66" t="n">
        <x:v>273.26483898212393</x:v>
      </x:c>
      <x:c r="E1303" s="66" t="n">
        <x:v>174.41364624541632</x:v>
      </x:c>
      <x:c r="F1303" s="66" t="n">
        <x:v>174.41364624541632</x:v>
      </x:c>
      <x:c r="G1303" s="66" t="n">
        <x:v>447.67848522754025</x:v>
      </x:c>
      <x:c r="H1303" s="45" t="n">
        <x:v>1</x:v>
      </x:c>
      <x:c r="I1303" s="36" t="str">
        <x:v>generated design-reference observation; not predicted tract behavior</x:v>
      </x:c>
    </x:row>
    <x:row r="1304" ht="75.5999984741211" hidden="0" customHeight="1">
      <x:c r="A1304" s="34" t="str">
        <x:v>B1</x:v>
      </x:c>
      <x:c r="B1304" s="34" t="str">
        <x:v>48201251505</x:v>
      </x:c>
      <x:c r="C1304" s="65" t="n">
        <x:v>309.19367290820634</x:v>
      </x:c>
      <x:c r="D1304" s="65" t="n">
        <x:v>188.91733414691404</x:v>
      </x:c>
      <x:c r="E1304" s="65" t="n">
        <x:v>120.2763387612923</x:v>
      </x:c>
      <x:c r="F1304" s="65" t="n">
        <x:v>120.2763387612923</x:v>
      </x:c>
      <x:c r="G1304" s="65" t="n">
        <x:v>309.19367290820634</x:v>
      </x:c>
      <x:c r="H1304" s="43" t="n">
        <x:v>1</x:v>
      </x:c>
      <x:c r="I1304" s="34" t="str">
        <x:v>generated design-reference observation; not predicted tract behavior</x:v>
      </x:c>
    </x:row>
    <x:row r="1305" ht="75.5999984741211" hidden="0" customHeight="1">
      <x:c r="A1305" s="36" t="str">
        <x:v>B1</x:v>
      </x:c>
      <x:c r="B1305" s="36" t="str">
        <x:v>48201251600</x:v>
      </x:c>
      <x:c r="C1305" s="66" t="n">
        <x:v>605.1204693581246</x:v>
      </x:c>
      <x:c r="D1305" s="66" t="n">
        <x:v>369.72860677781415</x:v>
      </x:c>
      <x:c r="E1305" s="66" t="n">
        <x:v>235.3918625803105</x:v>
      </x:c>
      <x:c r="F1305" s="66" t="n">
        <x:v>235.3918625803105</x:v>
      </x:c>
      <x:c r="G1305" s="66" t="n">
        <x:v>605.1204693581246</x:v>
      </x:c>
      <x:c r="H1305" s="45" t="n">
        <x:v>1</x:v>
      </x:c>
      <x:c r="I1305" s="36" t="str">
        <x:v>generated design-reference observation; not predicted tract behavior</x:v>
      </x:c>
    </x:row>
    <x:row r="1306" ht="75.5999984741211" hidden="0" customHeight="1">
      <x:c r="A1306" s="34" t="str">
        <x:v>B1</x:v>
      </x:c>
      <x:c r="B1306" s="34" t="str">
        <x:v>48201251701</x:v>
      </x:c>
      <x:c r="C1306" s="65" t="n">
        <x:v>379.38708146802304</x:v>
      </x:c>
      <x:c r="D1306" s="65" t="n">
        <x:v>230.5811819172246</x:v>
      </x:c>
      <x:c r="E1306" s="65" t="n">
        <x:v>148.80589955079844</x:v>
      </x:c>
      <x:c r="F1306" s="65" t="n">
        <x:v>148.80589955079842</x:v>
      </x:c>
      <x:c r="G1306" s="65" t="n">
        <x:v>379.387081468023</x:v>
      </x:c>
      <x:c r="H1306" s="43" t="n">
        <x:v>0.9999999999999999</x:v>
      </x:c>
      <x:c r="I1306" s="34" t="str">
        <x:v>generated design-reference observation; not predicted tract behavior</x:v>
      </x:c>
    </x:row>
    <x:row r="1307" ht="75.5999984741211" hidden="0" customHeight="1">
      <x:c r="A1307" s="36" t="str">
        <x:v>B1</x:v>
      </x:c>
      <x:c r="B1307" s="36" t="str">
        <x:v>48201251702</x:v>
      </x:c>
      <x:c r="C1307" s="66" t="n">
        <x:v>320.786470761272</x:v>
      </x:c>
      <x:c r="D1307" s="66" t="n">
        <x:v>194.9565893814214</x:v>
      </x:c>
      <x:c r="E1307" s="66" t="n">
        <x:v>125.82988137985063</x:v>
      </x:c>
      <x:c r="F1307" s="66" t="n">
        <x:v>125.82988137985063</x:v>
      </x:c>
      <x:c r="G1307" s="66" t="n">
        <x:v>320.786470761272</x:v>
      </x:c>
      <x:c r="H1307" s="45" t="n">
        <x:v>1</x:v>
      </x:c>
      <x:c r="I1307" s="36" t="str">
        <x:v>generated design-reference observation; not predicted tract behavior</x:v>
      </x:c>
    </x:row>
    <x:row r="1308" ht="75.5999984741211" hidden="0" customHeight="1">
      <x:c r="A1308" s="34" t="str">
        <x:v>B1</x:v>
      </x:c>
      <x:c r="B1308" s="34" t="str">
        <x:v>48201251800</x:v>
      </x:c>
      <x:c r="C1308" s="65" t="n">
        <x:v>259.0281451556129</x:v>
      </x:c>
      <x:c r="D1308" s="65" t="n">
        <x:v>138.0620013679417</x:v>
      </x:c>
      <x:c r="E1308" s="65" t="n">
        <x:v>120.9661437876712</x:v>
      </x:c>
      <x:c r="F1308" s="65" t="n">
        <x:v>120.9661437876712</x:v>
      </x:c>
      <x:c r="G1308" s="65" t="n">
        <x:v>259.0281451556129</x:v>
      </x:c>
      <x:c r="H1308" s="43" t="n">
        <x:v>1</x:v>
      </x:c>
      <x:c r="I1308" s="34" t="str">
        <x:v>generated design-reference observation; not predicted tract behavior</x:v>
      </x:c>
    </x:row>
    <x:row r="1309" ht="75.5999984741211" hidden="0" customHeight="1">
      <x:c r="A1309" s="36" t="str">
        <x:v>B1</x:v>
      </x:c>
      <x:c r="B1309" s="36" t="str">
        <x:v>48201251902</x:v>
      </x:c>
      <x:c r="C1309" s="66" t="n">
        <x:v>631.7721151342237</x:v>
      </x:c>
      <x:c r="D1309" s="66" t="n">
        <x:v>385.8701643557484</x:v>
      </x:c>
      <x:c r="E1309" s="66" t="n">
        <x:v>245.90195077847528</x:v>
      </x:c>
      <x:c r="F1309" s="66" t="n">
        <x:v>245.90195077847528</x:v>
      </x:c>
      <x:c r="G1309" s="66" t="n">
        <x:v>631.7721151342237</x:v>
      </x:c>
      <x:c r="H1309" s="45" t="n">
        <x:v>1</x:v>
      </x:c>
      <x:c r="I1309" s="36" t="str">
        <x:v>generated design-reference observation; not predicted tract behavior</x:v>
      </x:c>
    </x:row>
    <x:row r="1310" ht="75.5999984741211" hidden="0" customHeight="1">
      <x:c r="A1310" s="34" t="str">
        <x:v>B1</x:v>
      </x:c>
      <x:c r="B1310" s="34" t="str">
        <x:v>48201251903</x:v>
      </x:c>
      <x:c r="C1310" s="65" t="n">
        <x:v>353.6157023763605</x:v>
      </x:c>
      <x:c r="D1310" s="65" t="n">
        <x:v>216.05919415195623</x:v>
      </x:c>
      <x:c r="E1310" s="65" t="n">
        <x:v>137.55650822440427</x:v>
      </x:c>
      <x:c r="F1310" s="65" t="n">
        <x:v>137.55650822440427</x:v>
      </x:c>
      <x:c r="G1310" s="65" t="n">
        <x:v>353.6157023763605</x:v>
      </x:c>
      <x:c r="H1310" s="43" t="n">
        <x:v>1</x:v>
      </x:c>
      <x:c r="I1310" s="34" t="str">
        <x:v>generated design-reference observation; not predicted tract behavior</x:v>
      </x:c>
    </x:row>
    <x:row r="1311" ht="75.5999984741211" hidden="0" customHeight="1">
      <x:c r="A1311" s="36" t="str">
        <x:v>B1</x:v>
      </x:c>
      <x:c r="B1311" s="36" t="str">
        <x:v>48201251904</x:v>
      </x:c>
      <x:c r="C1311" s="66" t="n">
        <x:v>598.9271644711989</x:v>
      </x:c>
      <x:c r="D1311" s="66" t="n">
        <x:v>364.6898306433589</x:v>
      </x:c>
      <x:c r="E1311" s="66" t="n">
        <x:v>234.23733382784002</x:v>
      </x:c>
      <x:c r="F1311" s="66" t="n">
        <x:v>234.23733382784002</x:v>
      </x:c>
      <x:c r="G1311" s="66" t="n">
        <x:v>598.9271644711989</x:v>
      </x:c>
      <x:c r="H1311" s="45" t="n">
        <x:v>1</x:v>
      </x:c>
      <x:c r="I1311" s="36" t="str">
        <x:v>generated design-reference observation; not predicted tract behavior</x:v>
      </x:c>
    </x:row>
    <x:row r="1312" ht="75.5999984741211" hidden="0" customHeight="1">
      <x:c r="A1312" s="34" t="str">
        <x:v>B1</x:v>
      </x:c>
      <x:c r="B1312" s="34" t="str">
        <x:v>48201252001</x:v>
      </x:c>
      <x:c r="C1312" s="65" t="n">
        <x:v>615.6836695713587</x:v>
      </x:c>
      <x:c r="D1312" s="65" t="n">
        <x:v>363.2191063288453</x:v>
      </x:c>
      <x:c r="E1312" s="65" t="n">
        <x:v>252.46456324251335</x:v>
      </x:c>
      <x:c r="F1312" s="65" t="n">
        <x:v>252.46456324251335</x:v>
      </x:c>
      <x:c r="G1312" s="65" t="n">
        <x:v>615.6836695713587</x:v>
      </x:c>
      <x:c r="H1312" s="43" t="n">
        <x:v>1</x:v>
      </x:c>
      <x:c r="I1312" s="34" t="str">
        <x:v>generated design-reference observation; not predicted tract behavior</x:v>
      </x:c>
    </x:row>
    <x:row r="1313" ht="75.5999984741211" hidden="0" customHeight="1">
      <x:c r="A1313" s="36" t="str">
        <x:v>B1</x:v>
      </x:c>
      <x:c r="B1313" s="36" t="str">
        <x:v>48201252002</x:v>
      </x:c>
      <x:c r="C1313" s="66" t="n">
        <x:v>525.5978058480781</x:v>
      </x:c>
      <x:c r="D1313" s="66" t="n">
        <x:v>319.65807356068416</x:v>
      </x:c>
      <x:c r="E1313" s="66" t="n">
        <x:v>205.93973228739395</x:v>
      </x:c>
      <x:c r="F1313" s="66" t="n">
        <x:v>205.93973228739395</x:v>
      </x:c>
      <x:c r="G1313" s="66" t="n">
        <x:v>525.5978058480781</x:v>
      </x:c>
      <x:c r="H1313" s="45" t="n">
        <x:v>1</x:v>
      </x:c>
      <x:c r="I1313" s="36" t="str">
        <x:v>generated design-reference observation; not predicted tract behavior</x:v>
      </x:c>
    </x:row>
    <x:row r="1314" ht="75.5999984741211" hidden="0" customHeight="1">
      <x:c r="A1314" s="34" t="str">
        <x:v>B1</x:v>
      </x:c>
      <x:c r="B1314" s="34" t="str">
        <x:v>48201252003</x:v>
      </x:c>
      <x:c r="C1314" s="65" t="n">
        <x:v>864.4847603080691</x:v>
      </x:c>
      <x:c r="D1314" s="65" t="n">
        <x:v>528.2001885482302</x:v>
      </x:c>
      <x:c r="E1314" s="65" t="n">
        <x:v>336.28457175983885</x:v>
      </x:c>
      <x:c r="F1314" s="65" t="n">
        <x:v>246.42889433077835</x:v>
      </x:c>
      <x:c r="G1314" s="65" t="n">
        <x:v>774.6290828790086</x:v>
      </x:c>
      <x:c r="H1314" s="43" t="n">
        <x:v>0.896058691194233</x:v>
      </x:c>
      <x:c r="I1314" s="34" t="str">
        <x:v>generated design-reference observation; not predicted tract behavior</x:v>
      </x:c>
    </x:row>
    <x:row r="1315" ht="75.5999984741211" hidden="0" customHeight="1">
      <x:c r="A1315" s="36" t="str">
        <x:v>B1</x:v>
      </x:c>
      <x:c r="B1315" s="36" t="str">
        <x:v>48201252100</x:v>
      </x:c>
      <x:c r="C1315" s="66" t="n">
        <x:v>692.4482447473408</x:v>
      </x:c>
      <x:c r="D1315" s="66" t="n">
        <x:v>202.54111158859718</x:v>
      </x:c>
      <x:c r="E1315" s="66" t="n">
        <x:v>489.90713315874365</x:v>
      </x:c>
      <x:c r="F1315" s="66" t="n">
        <x:v>489.90713315874365</x:v>
      </x:c>
      <x:c r="G1315" s="66" t="n">
        <x:v>692.4482447473408</x:v>
      </x:c>
      <x:c r="H1315" s="45" t="n">
        <x:v>1</x:v>
      </x:c>
      <x:c r="I1315" s="36" t="str">
        <x:v>generated design-reference observation; not predicted tract behavior</x:v>
      </x:c>
    </x:row>
    <x:row r="1316" ht="75.5999984741211" hidden="0" customHeight="1">
      <x:c r="A1316" s="34" t="str">
        <x:v>B1</x:v>
      </x:c>
      <x:c r="B1316" s="34" t="str">
        <x:v>48201252201</x:v>
      </x:c>
      <x:c r="C1316" s="65" t="n">
        <x:v>718.0702928836082</x:v>
      </x:c>
      <x:c r="D1316" s="65" t="n">
        <x:v>357.3551181559663</x:v>
      </x:c>
      <x:c r="E1316" s="65" t="n">
        <x:v>360.7151747276419</x:v>
      </x:c>
      <x:c r="F1316" s="65" t="n">
        <x:v>360.7151747276419</x:v>
      </x:c>
      <x:c r="G1316" s="65" t="n">
        <x:v>718.0702928836082</x:v>
      </x:c>
      <x:c r="H1316" s="43" t="n">
        <x:v>1</x:v>
      </x:c>
      <x:c r="I1316" s="34" t="str">
        <x:v>generated design-reference observation; not predicted tract behavior</x:v>
      </x:c>
    </x:row>
    <x:row r="1317" ht="75.5999984741211" hidden="0" customHeight="1">
      <x:c r="A1317" s="36" t="str">
        <x:v>B1</x:v>
      </x:c>
      <x:c r="B1317" s="36" t="str">
        <x:v>48201252202</x:v>
      </x:c>
      <x:c r="C1317" s="66" t="n">
        <x:v>977.348733648669</x:v>
      </x:c>
      <x:c r="D1317" s="66" t="n">
        <x:v>520.9268750347406</x:v>
      </x:c>
      <x:c r="E1317" s="66" t="n">
        <x:v>456.4218586139284</x:v>
      </x:c>
      <x:c r="F1317" s="66" t="n">
        <x:v>456.4218586139284</x:v>
      </x:c>
      <x:c r="G1317" s="66" t="n">
        <x:v>977.348733648669</x:v>
      </x:c>
      <x:c r="H1317" s="45" t="n">
        <x:v>1</x:v>
      </x:c>
      <x:c r="I1317" s="36" t="str">
        <x:v>generated design-reference observation; not predicted tract behavior</x:v>
      </x:c>
    </x:row>
    <x:row r="1318" ht="75.5999984741211" hidden="0" customHeight="1">
      <x:c r="A1318" s="34" t="str">
        <x:v>B1</x:v>
      </x:c>
      <x:c r="B1318" s="34" t="str">
        <x:v>48201252303</x:v>
      </x:c>
      <x:c r="C1318" s="65" t="n">
        <x:v>434.3958897213158</x:v>
      </x:c>
      <x:c r="D1318" s="65" t="n">
        <x:v>265.41588861972394</x:v>
      </x:c>
      <x:c r="E1318" s="65" t="n">
        <x:v>168.98000110159188</x:v>
      </x:c>
      <x:c r="F1318" s="65" t="n">
        <x:v>168.98000110159188</x:v>
      </x:c>
      <x:c r="G1318" s="65" t="n">
        <x:v>434.3958897213158</x:v>
      </x:c>
      <x:c r="H1318" s="43" t="n">
        <x:v>1</x:v>
      </x:c>
      <x:c r="I1318" s="34" t="str">
        <x:v>generated design-reference observation; not predicted tract behavior</x:v>
      </x:c>
    </x:row>
    <x:row r="1319" ht="75.5999984741211" hidden="0" customHeight="1">
      <x:c r="A1319" s="36" t="str">
        <x:v>B1</x:v>
      </x:c>
      <x:c r="B1319" s="36" t="str">
        <x:v>48201252304</x:v>
      </x:c>
      <x:c r="C1319" s="66" t="n">
        <x:v>722.5973786892798</x:v>
      </x:c>
      <x:c r="D1319" s="66" t="n">
        <x:v>207.13594488223717</x:v>
      </x:c>
      <x:c r="E1319" s="66" t="n">
        <x:v>515.4614338070427</x:v>
      </x:c>
      <x:c r="F1319" s="66" t="n">
        <x:v>515.4614338070427</x:v>
      </x:c>
      <x:c r="G1319" s="66" t="n">
        <x:v>722.5973786892798</x:v>
      </x:c>
      <x:c r="H1319" s="45" t="n">
        <x:v>1</x:v>
      </x:c>
      <x:c r="I1319" s="36" t="str">
        <x:v>generated design-reference observation; not predicted tract behavior</x:v>
      </x:c>
    </x:row>
    <x:row r="1320" ht="75.5999984741211" hidden="0" customHeight="1">
      <x:c r="A1320" s="34" t="str">
        <x:v>B1</x:v>
      </x:c>
      <x:c r="B1320" s="34" t="str">
        <x:v>48201252305</x:v>
      </x:c>
      <x:c r="C1320" s="65" t="n">
        <x:v>477.599692974402</x:v>
      </x:c>
      <x:c r="D1320" s="65" t="n">
        <x:v>291.8134124073596</x:v>
      </x:c>
      <x:c r="E1320" s="65" t="n">
        <x:v>185.7862805670424</x:v>
      </x:c>
      <x:c r="F1320" s="65" t="n">
        <x:v>185.7862805670424</x:v>
      </x:c>
      <x:c r="G1320" s="65" t="n">
        <x:v>477.599692974402</x:v>
      </x:c>
      <x:c r="H1320" s="43" t="n">
        <x:v>1</x:v>
      </x:c>
      <x:c r="I1320" s="34" t="str">
        <x:v>generated design-reference observation; not predicted tract behavior</x:v>
      </x:c>
    </x:row>
    <x:row r="1321" ht="75.5999984741211" hidden="0" customHeight="1">
      <x:c r="A1321" s="36" t="str">
        <x:v>B1</x:v>
      </x:c>
      <x:c r="B1321" s="36" t="str">
        <x:v>48201252306</x:v>
      </x:c>
      <x:c r="C1321" s="66" t="n">
        <x:v>853.0177148384942</x:v>
      </x:c>
      <x:c r="D1321" s="66" t="n">
        <x:v>520.0230003364841</x:v>
      </x:c>
      <x:c r="E1321" s="66" t="n">
        <x:v>332.9947145020101</x:v>
      </x:c>
      <x:c r="F1321" s="66" t="n">
        <x:v>332.9947145020101</x:v>
      </x:c>
      <x:c r="G1321" s="66" t="n">
        <x:v>853.0177148384942</x:v>
      </x:c>
      <x:c r="H1321" s="45" t="n">
        <x:v>1</x:v>
      </x:c>
      <x:c r="I1321" s="36" t="str">
        <x:v>generated design-reference observation; not predicted tract behavior</x:v>
      </x:c>
    </x:row>
    <x:row r="1322" ht="75.5999984741211" hidden="0" customHeight="1">
      <x:c r="A1322" s="34" t="str">
        <x:v>B1</x:v>
      </x:c>
      <x:c r="B1322" s="34" t="str">
        <x:v>48201252400</x:v>
      </x:c>
      <x:c r="C1322" s="65" t="n">
        <x:v>520.8742319432018</x:v>
      </x:c>
      <x:c r="D1322" s="65" t="n">
        <x:v>318.2541557172963</x:v>
      </x:c>
      <x:c r="E1322" s="65" t="n">
        <x:v>202.6200762259055</x:v>
      </x:c>
      <x:c r="F1322" s="65" t="n">
        <x:v>202.6200762259055</x:v>
      </x:c>
      <x:c r="G1322" s="65" t="n">
        <x:v>520.8742319432018</x:v>
      </x:c>
      <x:c r="H1322" s="43" t="n">
        <x:v>1</x:v>
      </x:c>
      <x:c r="I1322" s="34" t="str">
        <x:v>generated design-reference observation; not predicted tract behavior</x:v>
      </x:c>
    </x:row>
    <x:row r="1323" ht="75.5999984741211" hidden="0" customHeight="1">
      <x:c r="A1323" s="36" t="str">
        <x:v>B1</x:v>
      </x:c>
      <x:c r="B1323" s="36" t="str">
        <x:v>48201252500</x:v>
      </x:c>
      <x:c r="C1323" s="66" t="n">
        <x:v>652.159115728916</x:v>
      </x:c>
      <x:c r="D1323" s="66" t="n">
        <x:v>346.12427427494515</x:v>
      </x:c>
      <x:c r="E1323" s="66" t="n">
        <x:v>306.0348414539709</x:v>
      </x:c>
      <x:c r="F1323" s="66" t="n">
        <x:v>306.0348414539709</x:v>
      </x:c>
      <x:c r="G1323" s="66" t="n">
        <x:v>652.159115728916</x:v>
      </x:c>
      <x:c r="H1323" s="45" t="n">
        <x:v>1</x:v>
      </x:c>
      <x:c r="I1323" s="36" t="str">
        <x:v>generated design-reference observation; not predicted tract behavior</x:v>
      </x:c>
    </x:row>
    <x:row r="1324" ht="75.5999984741211" hidden="0" customHeight="1">
      <x:c r="A1324" s="34" t="str">
        <x:v>B1</x:v>
      </x:c>
      <x:c r="B1324" s="34" t="str">
        <x:v>48201252601</x:v>
      </x:c>
      <x:c r="C1324" s="65" t="n">
        <x:v>294.8107440464367</x:v>
      </x:c>
      <x:c r="D1324" s="65" t="n">
        <x:v>180.1293646123728</x:v>
      </x:c>
      <x:c r="E1324" s="65" t="n">
        <x:v>114.6813794340639</x:v>
      </x:c>
      <x:c r="F1324" s="65" t="n">
        <x:v>114.6813794340639</x:v>
      </x:c>
      <x:c r="G1324" s="65" t="n">
        <x:v>294.8107440464367</x:v>
      </x:c>
      <x:c r="H1324" s="43" t="n">
        <x:v>1</x:v>
      </x:c>
      <x:c r="I1324" s="34" t="str">
        <x:v>generated design-reference observation; not predicted tract behavior</x:v>
      </x:c>
    </x:row>
    <x:row r="1325" ht="75.5999984741211" hidden="0" customHeight="1">
      <x:c r="A1325" s="36" t="str">
        <x:v>B1</x:v>
      </x:c>
      <x:c r="B1325" s="36" t="str">
        <x:v>48201252602</x:v>
      </x:c>
      <x:c r="C1325" s="66" t="n">
        <x:v>312.6518634542056</x:v>
      </x:c>
      <x:c r="D1325" s="66" t="n">
        <x:v>190.65430162859434</x:v>
      </x:c>
      <x:c r="E1325" s="66" t="n">
        <x:v>121.99756182561129</x:v>
      </x:c>
      <x:c r="F1325" s="66" t="n">
        <x:v>121.99756182561129</x:v>
      </x:c>
      <x:c r="G1325" s="66" t="n">
        <x:v>312.6518634542056</x:v>
      </x:c>
      <x:c r="H1325" s="45" t="n">
        <x:v>1</x:v>
      </x:c>
      <x:c r="I1325" s="36" t="str">
        <x:v>generated design-reference observation; not predicted tract behavior</x:v>
      </x:c>
    </x:row>
    <x:row r="1326" ht="75.5999984741211" hidden="0" customHeight="1">
      <x:c r="A1326" s="34" t="str">
        <x:v>B1</x:v>
      </x:c>
      <x:c r="B1326" s="34" t="str">
        <x:v>48201252700</x:v>
      </x:c>
      <x:c r="C1326" s="65" t="n">
        <x:v>450.6179471916397</x:v>
      </x:c>
      <x:c r="D1326" s="65" t="n">
        <x:v>274.5373879669626</x:v>
      </x:c>
      <x:c r="E1326" s="65" t="n">
        <x:v>176.08055922467707</x:v>
      </x:c>
      <x:c r="F1326" s="65" t="n">
        <x:v>176.08055922467707</x:v>
      </x:c>
      <x:c r="G1326" s="65" t="n">
        <x:v>450.6179471916397</x:v>
      </x:c>
      <x:c r="H1326" s="43" t="n">
        <x:v>1</x:v>
      </x:c>
      <x:c r="I1326" s="34" t="str">
        <x:v>generated design-reference observation; not predicted tract behavior</x:v>
      </x:c>
    </x:row>
    <x:row r="1327" ht="75.5999984741211" hidden="0" customHeight="1">
      <x:c r="A1327" s="36" t="str">
        <x:v>B1</x:v>
      </x:c>
      <x:c r="B1327" s="36" t="str">
        <x:v>48201252800</x:v>
      </x:c>
      <x:c r="C1327" s="66" t="n">
        <x:v>545.3055621982897</x:v>
      </x:c>
      <x:c r="D1327" s="66" t="n">
        <x:v>333.1816985031551</x:v>
      </x:c>
      <x:c r="E1327" s="66" t="n">
        <x:v>212.12386369513467</x:v>
      </x:c>
      <x:c r="F1327" s="66" t="n">
        <x:v>212.12386369513467</x:v>
      </x:c>
      <x:c r="G1327" s="66" t="n">
        <x:v>545.3055621982897</x:v>
      </x:c>
      <x:c r="H1327" s="45" t="n">
        <x:v>1</x:v>
      </x:c>
      <x:c r="I1327" s="36" t="str">
        <x:v>generated design-reference observation; not predicted tract behavior</x:v>
      </x:c>
    </x:row>
    <x:row r="1328" ht="75.5999984741211" hidden="0" customHeight="1">
      <x:c r="A1328" s="34" t="str">
        <x:v>B1</x:v>
      </x:c>
      <x:c r="B1328" s="34" t="str">
        <x:v>48201252901</x:v>
      </x:c>
      <x:c r="C1328" s="65" t="n">
        <x:v>394.0716951344175</x:v>
      </x:c>
      <x:c r="D1328" s="65" t="n">
        <x:v>115.26597082681711</x:v>
      </x:c>
      <x:c r="E1328" s="65" t="n">
        <x:v>278.80572430760037</x:v>
      </x:c>
      <x:c r="F1328" s="65" t="n">
        <x:v>278.80572430760037</x:v>
      </x:c>
      <x:c r="G1328" s="65" t="n">
        <x:v>394.0716951344175</x:v>
      </x:c>
      <x:c r="H1328" s="43" t="n">
        <x:v>1</x:v>
      </x:c>
      <x:c r="I1328" s="34" t="str">
        <x:v>generated design-reference observation; not predicted tract behavior</x:v>
      </x:c>
    </x:row>
    <x:row r="1329" ht="75.5999984741211" hidden="0" customHeight="1">
      <x:c r="A1329" s="36" t="str">
        <x:v>B1</x:v>
      </x:c>
      <x:c r="B1329" s="36" t="str">
        <x:v>48201252902</x:v>
      </x:c>
      <x:c r="C1329" s="66" t="n">
        <x:v>516.3471461375302</x:v>
      </x:c>
      <x:c r="D1329" s="66" t="n">
        <x:v>315.48810629003094</x:v>
      </x:c>
      <x:c r="E1329" s="66" t="n">
        <x:v>200.85903984749928</x:v>
      </x:c>
      <x:c r="F1329" s="66" t="n">
        <x:v>200.85903984749928</x:v>
      </x:c>
      <x:c r="G1329" s="66" t="n">
        <x:v>516.3471461375302</x:v>
      </x:c>
      <x:c r="H1329" s="45" t="n">
        <x:v>1</x:v>
      </x:c>
      <x:c r="I1329" s="36" t="str">
        <x:v>generated design-reference observation; not predicted tract behavior</x:v>
      </x:c>
    </x:row>
    <x:row r="1330" ht="75.5999984741211" hidden="0" customHeight="1">
      <x:c r="A1330" s="34" t="str">
        <x:v>B1</x:v>
      </x:c>
      <x:c r="B1330" s="34" t="str">
        <x:v>48201253000</x:v>
      </x:c>
      <x:c r="C1330" s="65" t="n">
        <x:v>860.0713353105524</x:v>
      </x:c>
      <x:c r="D1330" s="65" t="n">
        <x:v>247.89506329372048</x:v>
      </x:c>
      <x:c r="E1330" s="65" t="n">
        <x:v>612.176272016832</x:v>
      </x:c>
      <x:c r="F1330" s="65" t="n">
        <x:v>612.176272016832</x:v>
      </x:c>
      <x:c r="G1330" s="65" t="n">
        <x:v>860.0713353105524</x:v>
      </x:c>
      <x:c r="H1330" s="43" t="n">
        <x:v>1</x:v>
      </x:c>
      <x:c r="I1330" s="34" t="str">
        <x:v>generated design-reference observation; not predicted tract behavior</x:v>
      </x:c>
    </x:row>
    <x:row r="1331" ht="75.5999984741211" hidden="0" customHeight="1">
      <x:c r="A1331" s="36" t="str">
        <x:v>B1</x:v>
      </x:c>
      <x:c r="B1331" s="36" t="str">
        <x:v>48201253101</x:v>
      </x:c>
      <x:c r="C1331" s="66" t="n">
        <x:v>508.3775888337954</x:v>
      </x:c>
      <x:c r="D1331" s="66" t="n">
        <x:v>306.85897207602926</x:v>
      </x:c>
      <x:c r="E1331" s="66" t="n">
        <x:v>201.51861675776615</x:v>
      </x:c>
      <x:c r="F1331" s="66" t="n">
        <x:v>201.51861675776615</x:v>
      </x:c>
      <x:c r="G1331" s="66" t="n">
        <x:v>508.3775888337954</x:v>
      </x:c>
      <x:c r="H1331" s="45" t="n">
        <x:v>1</x:v>
      </x:c>
      <x:c r="I1331" s="36" t="str">
        <x:v>generated design-reference observation; not predicted tract behavior</x:v>
      </x:c>
    </x:row>
    <x:row r="1332" ht="75.5999984741211" hidden="0" customHeight="1">
      <x:c r="A1332" s="34" t="str">
        <x:v>B1</x:v>
      </x:c>
      <x:c r="B1332" s="34" t="str">
        <x:v>48201253102</x:v>
      </x:c>
      <x:c r="C1332" s="65" t="n">
        <x:v>662.6246764713145</x:v>
      </x:c>
      <x:c r="D1332" s="65" t="n">
        <x:v>404.86367732397315</x:v>
      </x:c>
      <x:c r="E1332" s="65" t="n">
        <x:v>257.76099914734135</x:v>
      </x:c>
      <x:c r="F1332" s="65" t="n">
        <x:v>257.76099914734135</x:v>
      </x:c>
      <x:c r="G1332" s="65" t="n">
        <x:v>662.6246764713145</x:v>
      </x:c>
      <x:c r="H1332" s="43" t="n">
        <x:v>1</x:v>
      </x:c>
      <x:c r="I1332" s="34" t="str">
        <x:v>generated design-reference observation; not predicted tract behavior</x:v>
      </x:c>
    </x:row>
    <x:row r="1333" ht="75.5999984741211" hidden="0" customHeight="1">
      <x:c r="A1333" s="36" t="str">
        <x:v>B1</x:v>
      </x:c>
      <x:c r="B1333" s="36" t="str">
        <x:v>48201253201</x:v>
      </x:c>
      <x:c r="C1333" s="66" t="n">
        <x:v>513.0147079750217</x:v>
      </x:c>
      <x:c r="D1333" s="66" t="n">
        <x:v>313.45198657273824</x:v>
      </x:c>
      <x:c r="E1333" s="66" t="n">
        <x:v>199.56272140228344</x:v>
      </x:c>
      <x:c r="F1333" s="66" t="n">
        <x:v>199.56272140228344</x:v>
      </x:c>
      <x:c r="G1333" s="66" t="n">
        <x:v>513.0147079750217</x:v>
      </x:c>
      <x:c r="H1333" s="45" t="n">
        <x:v>1</x:v>
      </x:c>
      <x:c r="I1333" s="36" t="str">
        <x:v>generated design-reference observation; not predicted tract behavior</x:v>
      </x:c>
    </x:row>
    <x:row r="1334" ht="75.5999984741211" hidden="0" customHeight="1">
      <x:c r="A1334" s="34" t="str">
        <x:v>B1</x:v>
      </x:c>
      <x:c r="B1334" s="34" t="str">
        <x:v>48201253202</x:v>
      </x:c>
      <x:c r="C1334" s="65" t="n">
        <x:v>760.1477658941774</x:v>
      </x:c>
      <x:c r="D1334" s="65" t="n">
        <x:v>389.9499388711023</x:v>
      </x:c>
      <x:c r="E1334" s="65" t="n">
        <x:v>370.1978270230751</x:v>
      </x:c>
      <x:c r="F1334" s="65" t="n">
        <x:v>370.1978270230751</x:v>
      </x:c>
      <x:c r="G1334" s="65" t="n">
        <x:v>760.1477658941774</x:v>
      </x:c>
      <x:c r="H1334" s="43" t="n">
        <x:v>1</x:v>
      </x:c>
      <x:c r="I1334" s="34" t="str">
        <x:v>generated design-reference observation; not predicted tract behavior</x:v>
      </x:c>
    </x:row>
    <x:row r="1335" ht="75.5999984741211" hidden="0" customHeight="1">
      <x:c r="A1335" s="36" t="str">
        <x:v>B1</x:v>
      </x:c>
      <x:c r="B1335" s="36" t="str">
        <x:v>48201253300</x:v>
      </x:c>
      <x:c r="C1335" s="66" t="n">
        <x:v>639.8184539413395</x:v>
      </x:c>
      <x:c r="D1335" s="66" t="n">
        <x:v>186.89902109204334</x:v>
      </x:c>
      <x:c r="E1335" s="66" t="n">
        <x:v>452.9194328492962</x:v>
      </x:c>
      <x:c r="F1335" s="66" t="n">
        <x:v>452.9194328492962</x:v>
      </x:c>
      <x:c r="G1335" s="66" t="n">
        <x:v>639.8184539413395</x:v>
      </x:c>
      <x:c r="H1335" s="45" t="n">
        <x:v>1</x:v>
      </x:c>
      <x:c r="I1335" s="36" t="str">
        <x:v>generated design-reference observation; not predicted tract behavior</x:v>
      </x:c>
    </x:row>
    <x:row r="1336" ht="75.5999984741211" hidden="0" customHeight="1">
      <x:c r="A1336" s="34" t="str">
        <x:v>B1</x:v>
      </x:c>
      <x:c r="B1336" s="34" t="str">
        <x:v>48201253501</x:v>
      </x:c>
      <x:c r="C1336" s="65" t="n">
        <x:v>704.7163570829034</x:v>
      </x:c>
      <x:c r="D1336" s="65" t="n">
        <x:v>410.8335206599564</x:v>
      </x:c>
      <x:c r="E1336" s="65" t="n">
        <x:v>293.88283642294704</x:v>
      </x:c>
      <x:c r="F1336" s="65" t="n">
        <x:v>293.88283642294704</x:v>
      </x:c>
      <x:c r="G1336" s="65" t="n">
        <x:v>704.7163570829034</x:v>
      </x:c>
      <x:c r="H1336" s="43" t="n">
        <x:v>1</x:v>
      </x:c>
      <x:c r="I1336" s="34" t="str">
        <x:v>generated design-reference observation; not predicted tract behavior</x:v>
      </x:c>
    </x:row>
    <x:row r="1337" ht="75.5999984741211" hidden="0" customHeight="1">
      <x:c r="A1337" s="36" t="str">
        <x:v>B1</x:v>
      </x:c>
      <x:c r="B1337" s="36" t="str">
        <x:v>48201253502</x:v>
      </x:c>
      <x:c r="C1337" s="66" t="n">
        <x:v>297.1135845691134</x:v>
      </x:c>
      <x:c r="D1337" s="66" t="n">
        <x:v>176.31233110203826</x:v>
      </x:c>
      <x:c r="E1337" s="66" t="n">
        <x:v>120.80125346707516</x:v>
      </x:c>
      <x:c r="F1337" s="66" t="n">
        <x:v>120.80125346707516</x:v>
      </x:c>
      <x:c r="G1337" s="66" t="n">
        <x:v>297.1135845691134</x:v>
      </x:c>
      <x:c r="H1337" s="45" t="n">
        <x:v>1</x:v>
      </x:c>
      <x:c r="I1337" s="36" t="str">
        <x:v>generated design-reference observation; not predicted tract behavior</x:v>
      </x:c>
    </x:row>
    <x:row r="1338" ht="75.5999984741211" hidden="0" customHeight="1">
      <x:c r="A1338" s="34" t="str">
        <x:v>B1</x:v>
      </x:c>
      <x:c r="B1338" s="34" t="str">
        <x:v>48201253601</x:v>
      </x:c>
      <x:c r="C1338" s="65" t="n">
        <x:v>343.1153783548718</x:v>
      </x:c>
      <x:c r="D1338" s="65" t="n">
        <x:v>199.1211597767798</x:v>
      </x:c>
      <x:c r="E1338" s="65" t="n">
        <x:v>143.994218578092</x:v>
      </x:c>
      <x:c r="F1338" s="65" t="n">
        <x:v>143.994218578092</x:v>
      </x:c>
      <x:c r="G1338" s="65" t="n">
        <x:v>343.1153783548718</x:v>
      </x:c>
      <x:c r="H1338" s="43" t="n">
        <x:v>1</x:v>
      </x:c>
      <x:c r="I1338" s="34" t="str">
        <x:v>generated design-reference observation; not predicted tract behavior</x:v>
      </x:c>
    </x:row>
    <x:row r="1339" ht="75.5999984741211" hidden="0" customHeight="1">
      <x:c r="A1339" s="36" t="str">
        <x:v>B1</x:v>
      </x:c>
      <x:c r="B1339" s="36" t="str">
        <x:v>48201253602</x:v>
      </x:c>
      <x:c r="C1339" s="66" t="n">
        <x:v>607.9471773822188</x:v>
      </x:c>
      <x:c r="D1339" s="66" t="n">
        <x:v>313.32589626747887</x:v>
      </x:c>
      <x:c r="E1339" s="66" t="n">
        <x:v>294.62128111473993</x:v>
      </x:c>
      <x:c r="F1339" s="66" t="n">
        <x:v>294.62128111473993</x:v>
      </x:c>
      <x:c r="G1339" s="66" t="n">
        <x:v>607.9471773822188</x:v>
      </x:c>
      <x:c r="H1339" s="45" t="n">
        <x:v>1</x:v>
      </x:c>
      <x:c r="I1339" s="36" t="str">
        <x:v>generated design-reference observation; not predicted tract behavior</x:v>
      </x:c>
    </x:row>
    <x:row r="1340" ht="75.5999984741211" hidden="0" customHeight="1">
      <x:c r="A1340" s="34" t="str">
        <x:v>B1</x:v>
      </x:c>
      <x:c r="B1340" s="34" t="str">
        <x:v>48201253700</x:v>
      </x:c>
      <x:c r="C1340" s="65" t="n">
        <x:v>473.4420047952347</x:v>
      </x:c>
      <x:c r="D1340" s="65" t="n">
        <x:v>279.30612439143874</x:v>
      </x:c>
      <x:c r="E1340" s="65" t="n">
        <x:v>194.13588040379597</x:v>
      </x:c>
      <x:c r="F1340" s="65" t="n">
        <x:v>194.13588040379597</x:v>
      </x:c>
      <x:c r="G1340" s="65" t="n">
        <x:v>473.4420047952347</x:v>
      </x:c>
      <x:c r="H1340" s="43" t="n">
        <x:v>1</x:v>
      </x:c>
      <x:c r="I1340" s="34" t="str">
        <x:v>generated design-reference observation; not predicted tract behavior</x:v>
      </x:c>
    </x:row>
    <x:row r="1341" ht="75.5999984741211" hidden="0" customHeight="1">
      <x:c r="A1341" s="36" t="str">
        <x:v>B1</x:v>
      </x:c>
      <x:c r="B1341" s="36" t="str">
        <x:v>48201253800</x:v>
      </x:c>
      <x:c r="C1341" s="66" t="n">
        <x:v>634.5936842388002</x:v>
      </x:c>
      <x:c r="D1341" s="66" t="n">
        <x:v>383.5040354059362</x:v>
      </x:c>
      <x:c r="E1341" s="66" t="n">
        <x:v>251.089648832864</x:v>
      </x:c>
      <x:c r="F1341" s="66" t="n">
        <x:v>251.089648832864</x:v>
      </x:c>
      <x:c r="G1341" s="66" t="n">
        <x:v>634.5936842388002</x:v>
      </x:c>
      <x:c r="H1341" s="45" t="n">
        <x:v>1</x:v>
      </x:c>
      <x:c r="I1341" s="36" t="str">
        <x:v>generated design-reference observation; not predicted tract behavior</x:v>
      </x:c>
    </x:row>
    <x:row r="1342" ht="75.5999984741211" hidden="0" customHeight="1">
      <x:c r="A1342" s="34" t="str">
        <x:v>B1</x:v>
      </x:c>
      <x:c r="B1342" s="34" t="str">
        <x:v>48201253900</x:v>
      </x:c>
      <x:c r="C1342" s="65" t="n">
        <x:v>324.22108273536685</x:v>
      </x:c>
      <x:c r="D1342" s="65" t="n">
        <x:v>194.7443489805582</x:v>
      </x:c>
      <x:c r="E1342" s="65" t="n">
        <x:v>129.47673375480866</x:v>
      </x:c>
      <x:c r="F1342" s="65" t="n">
        <x:v>129.47673375480866</x:v>
      </x:c>
      <x:c r="G1342" s="65" t="n">
        <x:v>324.22108273536685</x:v>
      </x:c>
      <x:c r="H1342" s="43" t="n">
        <x:v>1</x:v>
      </x:c>
      <x:c r="I1342" s="34" t="str">
        <x:v>generated design-reference observation; not predicted tract behavior</x:v>
      </x:c>
    </x:row>
    <x:row r="1343" ht="75.5999984741211" hidden="0" customHeight="1">
      <x:c r="A1343" s="36" t="str">
        <x:v>B1</x:v>
      </x:c>
      <x:c r="B1343" s="36" t="str">
        <x:v>48201254000</x:v>
      </x:c>
      <x:c r="C1343" s="66" t="n">
        <x:v>297.5537179113316</x:v>
      </x:c>
      <x:c r="D1343" s="66" t="n">
        <x:v>172.91565376785962</x:v>
      </x:c>
      <x:c r="E1343" s="66" t="n">
        <x:v>124.63806414347198</x:v>
      </x:c>
      <x:c r="F1343" s="66" t="n">
        <x:v>124.63806414347198</x:v>
      </x:c>
      <x:c r="G1343" s="66" t="n">
        <x:v>297.5537179113316</x:v>
      </x:c>
      <x:c r="H1343" s="45" t="n">
        <x:v>1</x:v>
      </x:c>
      <x:c r="I1343" s="36" t="str">
        <x:v>generated design-reference observation; not predicted tract behavior</x:v>
      </x:c>
    </x:row>
    <x:row r="1344" ht="75.5999984741211" hidden="0" customHeight="1">
      <x:c r="A1344" s="34" t="str">
        <x:v>B1</x:v>
      </x:c>
      <x:c r="B1344" s="34" t="str">
        <x:v>48201254100</x:v>
      </x:c>
      <x:c r="C1344" s="65" t="n">
        <x:v>496.52542668977975</x:v>
      </x:c>
      <x:c r="D1344" s="65" t="n">
        <x:v>301.4158104261143</x:v>
      </x:c>
      <x:c r="E1344" s="65" t="n">
        <x:v>195.10961626366543</x:v>
      </x:c>
      <x:c r="F1344" s="65" t="n">
        <x:v>195.10961626366543</x:v>
      </x:c>
      <x:c r="G1344" s="65" t="n">
        <x:v>496.52542668977975</x:v>
      </x:c>
      <x:c r="H1344" s="43" t="n">
        <x:v>1</x:v>
      </x:c>
      <x:c r="I1344" s="34" t="str">
        <x:v>generated design-reference observation; not predicted tract behavior</x:v>
      </x:c>
    </x:row>
    <x:row r="1345" ht="75.5999984741211" hidden="0" customHeight="1">
      <x:c r="A1345" s="36" t="str">
        <x:v>B1</x:v>
      </x:c>
      <x:c r="B1345" s="36" t="str">
        <x:v>48201254200</x:v>
      </x:c>
      <x:c r="C1345" s="66" t="n">
        <x:v>210.25012567278668</x:v>
      </x:c>
      <x:c r="D1345" s="66" t="n">
        <x:v>127.84079625637169</x:v>
      </x:c>
      <x:c r="E1345" s="66" t="n">
        <x:v>82.40932941641499</x:v>
      </x:c>
      <x:c r="F1345" s="66" t="n">
        <x:v>82.40932941641499</x:v>
      </x:c>
      <x:c r="G1345" s="66" t="n">
        <x:v>210.25012567278668</x:v>
      </x:c>
      <x:c r="H1345" s="45" t="n">
        <x:v>1</x:v>
      </x:c>
      <x:c r="I1345" s="36" t="str">
        <x:v>generated design-reference observation; not predicted tract behavior</x:v>
      </x:c>
    </x:row>
    <x:row r="1346" ht="75.5999984741211" hidden="0" customHeight="1">
      <x:c r="A1346" s="34" t="str">
        <x:v>B1</x:v>
      </x:c>
      <x:c r="B1346" s="34" t="str">
        <x:v>48201254300</x:v>
      </x:c>
      <x:c r="C1346" s="65" t="n">
        <x:v>426.67783718456303</x:v>
      </x:c>
      <x:c r="D1346" s="65" t="n">
        <x:v>257.4380642285463</x:v>
      </x:c>
      <x:c r="E1346" s="65" t="n">
        <x:v>169.23977295601674</x:v>
      </x:c>
      <x:c r="F1346" s="65" t="n">
        <x:v>169.23977295601674</x:v>
      </x:c>
      <x:c r="G1346" s="65" t="n">
        <x:v>426.67783718456303</x:v>
      </x:c>
      <x:c r="H1346" s="43" t="n">
        <x:v>1</x:v>
      </x:c>
      <x:c r="I1346" s="34" t="str">
        <x:v>generated design-reference observation; not predicted tract behavior</x:v>
      </x:c>
    </x:row>
    <x:row r="1347" ht="75.5999984741211" hidden="0" customHeight="1">
      <x:c r="A1347" s="36" t="str">
        <x:v>B1</x:v>
      </x:c>
      <x:c r="B1347" s="36" t="str">
        <x:v>48201254400</x:v>
      </x:c>
      <x:c r="C1347" s="66" t="n">
        <x:v>210.71383758690936</x:v>
      </x:c>
      <x:c r="D1347" s="66" t="n">
        <x:v>128.27839191956744</x:v>
      </x:c>
      <x:c r="E1347" s="66" t="n">
        <x:v>82.43544566734192</x:v>
      </x:c>
      <x:c r="F1347" s="66" t="n">
        <x:v>82.43544566734192</x:v>
      </x:c>
      <x:c r="G1347" s="66" t="n">
        <x:v>210.71383758690936</x:v>
      </x:c>
      <x:c r="H1347" s="45" t="n">
        <x:v>1</x:v>
      </x:c>
      <x:c r="I1347" s="36" t="str">
        <x:v>generated design-reference observation; not predicted tract behavior</x:v>
      </x:c>
    </x:row>
    <x:row r="1348" ht="75.5999984741211" hidden="0" customHeight="1">
      <x:c r="A1348" s="34" t="str">
        <x:v>B1</x:v>
      </x:c>
      <x:c r="B1348" s="34" t="str">
        <x:v>48201254600</x:v>
      </x:c>
      <x:c r="C1348" s="65" t="n">
        <x:v>591.9454888723875</x:v>
      </x:c>
      <x:c r="D1348" s="65" t="n">
        <x:v>172.13193993069214</x:v>
      </x:c>
      <x:c r="E1348" s="65" t="n">
        <x:v>419.81354894169533</x:v>
      </x:c>
      <x:c r="F1348" s="65" t="n">
        <x:v>419.81354894169533</x:v>
      </x:c>
      <x:c r="G1348" s="65" t="n">
        <x:v>591.9454888723875</x:v>
      </x:c>
      <x:c r="H1348" s="43" t="n">
        <x:v>1</x:v>
      </x:c>
      <x:c r="I1348" s="34" t="str">
        <x:v>generated design-reference observation; not predicted tract behavior</x:v>
      </x:c>
    </x:row>
    <x:row r="1349" ht="75.5999984741211" hidden="0" customHeight="1">
      <x:c r="A1349" s="36" t="str">
        <x:v>B1</x:v>
      </x:c>
      <x:c r="B1349" s="36" t="str">
        <x:v>48201254700</x:v>
      </x:c>
      <x:c r="C1349" s="66" t="n">
        <x:v>217.98782701946004</x:v>
      </x:c>
      <x:c r="D1349" s="66" t="n">
        <x:v>130.94640793131822</x:v>
      </x:c>
      <x:c r="E1349" s="66" t="n">
        <x:v>87.04141908814182</x:v>
      </x:c>
      <x:c r="F1349" s="66" t="n">
        <x:v>87.04141908814182</x:v>
      </x:c>
      <x:c r="G1349" s="66" t="n">
        <x:v>217.98782701946004</x:v>
      </x:c>
      <x:c r="H1349" s="45" t="n">
        <x:v>1</x:v>
      </x:c>
      <x:c r="I1349" s="36" t="str">
        <x:v>generated design-reference observation; not predicted tract behavior</x:v>
      </x:c>
    </x:row>
    <x:row r="1350" ht="75.5999984741211" hidden="0" customHeight="1">
      <x:c r="A1350" s="34" t="str">
        <x:v>B1</x:v>
      </x:c>
      <x:c r="B1350" s="34" t="str">
        <x:v>48201254800</x:v>
      </x:c>
      <x:c r="C1350" s="65" t="n">
        <x:v>193.29320271143806</x:v>
      </x:c>
      <x:c r="D1350" s="65" t="n">
        <x:v>116.56585876749594</x:v>
      </x:c>
      <x:c r="E1350" s="65" t="n">
        <x:v>76.72734394394212</x:v>
      </x:c>
      <x:c r="F1350" s="65" t="n">
        <x:v>76.72734394394212</x:v>
      </x:c>
      <x:c r="G1350" s="65" t="n">
        <x:v>193.29320271143806</x:v>
      </x:c>
      <x:c r="H1350" s="43" t="n">
        <x:v>1</x:v>
      </x:c>
      <x:c r="I1350" s="34" t="str">
        <x:v>generated design-reference observation; not predicted tract behavior</x:v>
      </x:c>
    </x:row>
    <x:row r="1351" ht="75.5999984741211" hidden="0" customHeight="1">
      <x:c r="A1351" s="36" t="str">
        <x:v>B1</x:v>
      </x:c>
      <x:c r="B1351" s="36" t="str">
        <x:v>48201310101</x:v>
      </x:c>
      <x:c r="C1351" s="66" t="n">
        <x:v>224.1457640485292</x:v>
      </x:c>
      <x:c r="D1351" s="66" t="n">
        <x:v>127.98968868374126</x:v>
      </x:c>
      <x:c r="E1351" s="66" t="n">
        <x:v>96.15607536478794</x:v>
      </x:c>
      <x:c r="F1351" s="66" t="n">
        <x:v>96.15607536478794</x:v>
      </x:c>
      <x:c r="G1351" s="66" t="n">
        <x:v>224.1457640485292</x:v>
      </x:c>
      <x:c r="H1351" s="45" t="n">
        <x:v>1</x:v>
      </x:c>
      <x:c r="I1351" s="36" t="str">
        <x:v>generated design-reference observation; not predicted tract behavior</x:v>
      </x:c>
    </x:row>
    <x:row r="1352" ht="75.5999984741211" hidden="0" customHeight="1">
      <x:c r="A1352" s="34" t="str">
        <x:v>B1</x:v>
      </x:c>
      <x:c r="B1352" s="34" t="str">
        <x:v>48201310102</x:v>
      </x:c>
      <x:c r="C1352" s="65" t="n">
        <x:v>194.31887058928558</x:v>
      </x:c>
      <x:c r="D1352" s="65" t="n">
        <x:v>106.60459075911405</x:v>
      </x:c>
      <x:c r="E1352" s="65" t="n">
        <x:v>87.71427983017153</x:v>
      </x:c>
      <x:c r="F1352" s="65" t="n">
        <x:v>87.71427983017153</x:v>
      </x:c>
      <x:c r="G1352" s="65" t="n">
        <x:v>194.31887058928558</x:v>
      </x:c>
      <x:c r="H1352" s="43" t="n">
        <x:v>1</x:v>
      </x:c>
      <x:c r="I1352" s="34" t="str">
        <x:v>generated design-reference observation; not predicted tract behavior</x:v>
      </x:c>
    </x:row>
    <x:row r="1353" ht="75.5999984741211" hidden="0" customHeight="1">
      <x:c r="A1353" s="36" t="str">
        <x:v>B1</x:v>
      </x:c>
      <x:c r="B1353" s="36" t="str">
        <x:v>48201310200</x:v>
      </x:c>
      <x:c r="C1353" s="66" t="n">
        <x:v>172.03712013949487</x:v>
      </x:c>
      <x:c r="D1353" s="66" t="n">
        <x:v>100.07578413433228</x:v>
      </x:c>
      <x:c r="E1353" s="66" t="n">
        <x:v>71.9613360051626</x:v>
      </x:c>
      <x:c r="F1353" s="66" t="n">
        <x:v>71.9613360051626</x:v>
      </x:c>
      <x:c r="G1353" s="66" t="n">
        <x:v>172.03712013949487</x:v>
      </x:c>
      <x:c r="H1353" s="45" t="n">
        <x:v>1</x:v>
      </x:c>
      <x:c r="I1353" s="36" t="str">
        <x:v>generated design-reference observation; not predicted tract behavior</x:v>
      </x:c>
    </x:row>
    <x:row r="1354" ht="75.5999984741211" hidden="0" customHeight="1">
      <x:c r="A1354" s="34" t="str">
        <x:v>B1</x:v>
      </x:c>
      <x:c r="B1354" s="34" t="str">
        <x:v>48201310300</x:v>
      </x:c>
      <x:c r="C1354" s="65" t="n">
        <x:v>337.5665544333366</x:v>
      </x:c>
      <x:c r="D1354" s="65" t="n">
        <x:v>197.63539148062222</x:v>
      </x:c>
      <x:c r="E1354" s="65" t="n">
        <x:v>139.93116295271437</x:v>
      </x:c>
      <x:c r="F1354" s="65" t="n">
        <x:v>139.93116295271437</x:v>
      </x:c>
      <x:c r="G1354" s="65" t="n">
        <x:v>337.5665544333366</x:v>
      </x:c>
      <x:c r="H1354" s="43" t="n">
        <x:v>1</x:v>
      </x:c>
      <x:c r="I1354" s="34" t="str">
        <x:v>generated design-reference observation; not predicted tract behavior</x:v>
      </x:c>
    </x:row>
    <x:row r="1355" ht="75.5999984741211" hidden="0" customHeight="1">
      <x:c r="A1355" s="36" t="str">
        <x:v>B1</x:v>
      </x:c>
      <x:c r="B1355" s="36" t="str">
        <x:v>48201310400</x:v>
      </x:c>
      <x:c r="C1355" s="66" t="n">
        <x:v>246.44323354625618</x:v>
      </x:c>
      <x:c r="D1355" s="66" t="n">
        <x:v>149.75904314398198</x:v>
      </x:c>
      <x:c r="E1355" s="66" t="n">
        <x:v>96.6841904022742</x:v>
      </x:c>
      <x:c r="F1355" s="66" t="n">
        <x:v>96.6841904022742</x:v>
      </x:c>
      <x:c r="G1355" s="66" t="n">
        <x:v>246.44323354625618</x:v>
      </x:c>
      <x:c r="H1355" s="45" t="n">
        <x:v>1</x:v>
      </x:c>
      <x:c r="I1355" s="36" t="str">
        <x:v>generated design-reference observation; not predicted tract behavior</x:v>
      </x:c>
    </x:row>
    <x:row r="1356" ht="75.5999984741211" hidden="0" customHeight="1">
      <x:c r="A1356" s="34" t="str">
        <x:v>B1</x:v>
      </x:c>
      <x:c r="B1356" s="34" t="str">
        <x:v>48201310500</x:v>
      </x:c>
      <x:c r="C1356" s="65" t="n">
        <x:v>281.1980485335487</x:v>
      </x:c>
      <x:c r="D1356" s="65" t="n">
        <x:v>169.8408311320764</x:v>
      </x:c>
      <x:c r="E1356" s="65" t="n">
        <x:v>111.35721740147227</x:v>
      </x:c>
      <x:c r="F1356" s="65" t="n">
        <x:v>111.35721740147227</x:v>
      </x:c>
      <x:c r="G1356" s="65" t="n">
        <x:v>281.1980485335487</x:v>
      </x:c>
      <x:c r="H1356" s="43" t="n">
        <x:v>1</x:v>
      </x:c>
      <x:c r="I1356" s="34" t="str">
        <x:v>generated design-reference observation; not predicted tract behavior</x:v>
      </x:c>
    </x:row>
    <x:row r="1357" ht="75.5999984741211" hidden="0" customHeight="1">
      <x:c r="A1357" s="36" t="str">
        <x:v>B1</x:v>
      </x:c>
      <x:c r="B1357" s="36" t="str">
        <x:v>48201310600</x:v>
      </x:c>
      <x:c r="C1357" s="66" t="n">
        <x:v>379.646445758973</x:v>
      </x:c>
      <x:c r="D1357" s="66" t="n">
        <x:v>231.9639783587325</x:v>
      </x:c>
      <x:c r="E1357" s="66" t="n">
        <x:v>147.6824674002405</x:v>
      </x:c>
      <x:c r="F1357" s="66" t="n">
        <x:v>147.6824674002405</x:v>
      </x:c>
      <x:c r="G1357" s="66" t="n">
        <x:v>379.646445758973</x:v>
      </x:c>
      <x:c r="H1357" s="45" t="n">
        <x:v>1</x:v>
      </x:c>
      <x:c r="I1357" s="36" t="str">
        <x:v>generated design-reference observation; not predicted tract behavior</x:v>
      </x:c>
    </x:row>
    <x:row r="1358" ht="75.5999984741211" hidden="0" customHeight="1">
      <x:c r="A1358" s="34" t="str">
        <x:v>B1</x:v>
      </x:c>
      <x:c r="B1358" s="34" t="str">
        <x:v>48201310700</x:v>
      </x:c>
      <x:c r="C1358" s="65" t="n">
        <x:v>272.3246459734733</x:v>
      </x:c>
      <x:c r="D1358" s="65" t="n">
        <x:v>162.6123187807181</x:v>
      </x:c>
      <x:c r="E1358" s="65" t="n">
        <x:v>109.7123271927552</x:v>
      </x:c>
      <x:c r="F1358" s="65" t="n">
        <x:v>109.7123271927552</x:v>
      </x:c>
      <x:c r="G1358" s="65" t="n">
        <x:v>272.3246459734733</x:v>
      </x:c>
      <x:c r="H1358" s="43" t="n">
        <x:v>1</x:v>
      </x:c>
      <x:c r="I1358" s="34" t="str">
        <x:v>generated design-reference observation; not predicted tract behavior</x:v>
      </x:c>
    </x:row>
    <x:row r="1359" ht="75.5999984741211" hidden="0" customHeight="1">
      <x:c r="A1359" s="36" t="str">
        <x:v>B1</x:v>
      </x:c>
      <x:c r="B1359" s="36" t="str">
        <x:v>48201310800</x:v>
      </x:c>
      <x:c r="C1359" s="66" t="n">
        <x:v>255.66638492291557</x:v>
      </x:c>
      <x:c r="D1359" s="66" t="n">
        <x:v>148.72549539825084</x:v>
      </x:c>
      <x:c r="E1359" s="66" t="n">
        <x:v>106.94088952466473</x:v>
      </x:c>
      <x:c r="F1359" s="66" t="n">
        <x:v>106.94088952466473</x:v>
      </x:c>
      <x:c r="G1359" s="66" t="n">
        <x:v>255.66638492291557</x:v>
      </x:c>
      <x:c r="H1359" s="45" t="n">
        <x:v>1</x:v>
      </x:c>
      <x:c r="I1359" s="36" t="str">
        <x:v>generated design-reference observation; not predicted tract behavior</x:v>
      </x:c>
    </x:row>
    <x:row r="1360" ht="75.5999984741211" hidden="0" customHeight="1">
      <x:c r="A1360" s="34" t="str">
        <x:v>B1</x:v>
      </x:c>
      <x:c r="B1360" s="34" t="str">
        <x:v>48201310900</x:v>
      </x:c>
      <x:c r="C1360" s="65" t="n">
        <x:v>349.1672118103705</x:v>
      </x:c>
      <x:c r="D1360" s="65" t="n">
        <x:v>205.34446831316745</x:v>
      </x:c>
      <x:c r="E1360" s="65" t="n">
        <x:v>143.82274349720302</x:v>
      </x:c>
      <x:c r="F1360" s="65" t="n">
        <x:v>143.82274349720302</x:v>
      </x:c>
      <x:c r="G1360" s="65" t="n">
        <x:v>349.1672118103705</x:v>
      </x:c>
      <x:c r="H1360" s="43" t="n">
        <x:v>1</x:v>
      </x:c>
      <x:c r="I1360" s="34" t="str">
        <x:v>generated design-reference observation; not predicted tract behavior</x:v>
      </x:c>
    </x:row>
    <x:row r="1361" ht="75.5999984741211" hidden="0" customHeight="1">
      <x:c r="A1361" s="36" t="str">
        <x:v>B1</x:v>
      </x:c>
      <x:c r="B1361" s="36" t="str">
        <x:v>48201311001</x:v>
      </x:c>
      <x:c r="C1361" s="66" t="n">
        <x:v>223.092587836793</x:v>
      </x:c>
      <x:c r="D1361" s="66" t="n">
        <x:v>136.3095711682805</x:v>
      </x:c>
      <x:c r="E1361" s="66" t="n">
        <x:v>86.78301666851249</x:v>
      </x:c>
      <x:c r="F1361" s="66" t="n">
        <x:v>86.78301666851249</x:v>
      </x:c>
      <x:c r="G1361" s="66" t="n">
        <x:v>223.092587836793</x:v>
      </x:c>
      <x:c r="H1361" s="45" t="n">
        <x:v>1</x:v>
      </x:c>
      <x:c r="I1361" s="36" t="str">
        <x:v>generated design-reference observation; not predicted tract behavior</x:v>
      </x:c>
    </x:row>
    <x:row r="1362" ht="75.5999984741211" hidden="0" customHeight="1">
      <x:c r="A1362" s="34" t="str">
        <x:v>B1</x:v>
      </x:c>
      <x:c r="B1362" s="34" t="str">
        <x:v>48201311002</x:v>
      </x:c>
      <x:c r="C1362" s="65" t="n">
        <x:v>294.8579011902458</x:v>
      </x:c>
      <x:c r="D1362" s="65" t="n">
        <x:v>180.15817762724018</x:v>
      </x:c>
      <x:c r="E1362" s="65" t="n">
        <x:v>114.69972356300562</x:v>
      </x:c>
      <x:c r="F1362" s="65" t="n">
        <x:v>114.69972356300562</x:v>
      </x:c>
      <x:c r="G1362" s="65" t="n">
        <x:v>294.8579011902458</x:v>
      </x:c>
      <x:c r="H1362" s="43" t="n">
        <x:v>1</x:v>
      </x:c>
      <x:c r="I1362" s="34" t="str">
        <x:v>generated design-reference observation; not predicted tract behavior</x:v>
      </x:c>
    </x:row>
    <x:row r="1363" ht="75.5999984741211" hidden="0" customHeight="1">
      <x:c r="A1363" s="36" t="str">
        <x:v>B1</x:v>
      </x:c>
      <x:c r="B1363" s="36" t="str">
        <x:v>48201311100</x:v>
      </x:c>
      <x:c r="C1363" s="66" t="n">
        <x:v>413.725341685002</x:v>
      </x:c>
      <x:c r="D1363" s="66" t="n">
        <x:v>250.88458258771925</x:v>
      </x:c>
      <x:c r="E1363" s="66" t="n">
        <x:v>162.84075909728273</x:v>
      </x:c>
      <x:c r="F1363" s="66" t="n">
        <x:v>162.84075909728273</x:v>
      </x:c>
      <x:c r="G1363" s="66" t="n">
        <x:v>413.725341685002</x:v>
      </x:c>
      <x:c r="H1363" s="45" t="n">
        <x:v>1</x:v>
      </x:c>
      <x:c r="I1363" s="36" t="str">
        <x:v>generated design-reference observation; not predicted tract behavior</x:v>
      </x:c>
    </x:row>
    <x:row r="1364" ht="75.5999984741211" hidden="0" customHeight="1">
      <x:c r="A1364" s="34" t="str">
        <x:v>B1</x:v>
      </x:c>
      <x:c r="B1364" s="34" t="str">
        <x:v>48201311200</x:v>
      </x:c>
      <x:c r="C1364" s="65" t="n">
        <x:v>371.40180511635214</x:v>
      </x:c>
      <x:c r="D1364" s="65" t="n">
        <x:v>219.5399275168093</x:v>
      </x:c>
      <x:c r="E1364" s="65" t="n">
        <x:v>151.86187759954282</x:v>
      </x:c>
      <x:c r="F1364" s="65" t="n">
        <x:v>151.86187759954282</x:v>
      </x:c>
      <x:c r="G1364" s="65" t="n">
        <x:v>371.40180511635214</x:v>
      </x:c>
      <x:c r="H1364" s="43" t="n">
        <x:v>1</x:v>
      </x:c>
      <x:c r="I1364" s="34" t="str">
        <x:v>generated design-reference observation; not predicted tract behavior</x:v>
      </x:c>
    </x:row>
    <x:row r="1365" ht="75.5999984741211" hidden="0" customHeight="1">
      <x:c r="A1365" s="36" t="str">
        <x:v>B1</x:v>
      </x:c>
      <x:c r="B1365" s="36" t="str">
        <x:v>48201311300</x:v>
      </x:c>
      <x:c r="C1365" s="66" t="n">
        <x:v>330.43010667022907</x:v>
      </x:c>
      <x:c r="D1365" s="66" t="n">
        <x:v>201.89279517550995</x:v>
      </x:c>
      <x:c r="E1365" s="66" t="n">
        <x:v>128.53731149471912</x:v>
      </x:c>
      <x:c r="F1365" s="66" t="n">
        <x:v>109.66235866262215</x:v>
      </x:c>
      <x:c r="G1365" s="66" t="n">
        <x:v>311.5551538381321</x:v>
      </x:c>
      <x:c r="H1365" s="45" t="n">
        <x:v>0.9428776238875405</x:v>
      </x:c>
      <x:c r="I1365" s="36" t="str">
        <x:v>generated design-reference observation; not predicted tract behavior</x:v>
      </x:c>
    </x:row>
    <x:row r="1366" ht="75.5999984741211" hidden="0" customHeight="1">
      <x:c r="A1366" s="34" t="str">
        <x:v>B1</x:v>
      </x:c>
      <x:c r="B1366" s="34" t="str">
        <x:v>48201311400</x:v>
      </x:c>
      <x:c r="C1366" s="65" t="n">
        <x:v>135.79685512221633</x:v>
      </x:c>
      <x:c r="D1366" s="65" t="n">
        <x:v>82.53600369591604</x:v>
      </x:c>
      <x:c r="E1366" s="65" t="n">
        <x:v>53.26085142630029</x:v>
      </x:c>
      <x:c r="F1366" s="65" t="n">
        <x:v>53.26085142630029</x:v>
      </x:c>
      <x:c r="G1366" s="65" t="n">
        <x:v>135.79685512221633</x:v>
      </x:c>
      <x:c r="H1366" s="43" t="n">
        <x:v>1</x:v>
      </x:c>
      <x:c r="I1366" s="34" t="str">
        <x:v>generated design-reference observation; not predicted tract behavior</x:v>
      </x:c>
    </x:row>
    <x:row r="1367" ht="75.5999984741211" hidden="0" customHeight="1">
      <x:c r="A1367" s="36" t="str">
        <x:v>B1</x:v>
      </x:c>
      <x:c r="B1367" s="36" t="str">
        <x:v>48201311501</x:v>
      </x:c>
      <x:c r="C1367" s="66" t="n">
        <x:v>200.18993499351612</x:v>
      </x:c>
      <x:c r="D1367" s="66" t="n">
        <x:v>120.87006596570048</x:v>
      </x:c>
      <x:c r="E1367" s="66" t="n">
        <x:v>79.31986902781564</x:v>
      </x:c>
      <x:c r="F1367" s="66" t="n">
        <x:v>79.31986902781564</x:v>
      </x:c>
      <x:c r="G1367" s="66" t="n">
        <x:v>200.18993499351612</x:v>
      </x:c>
      <x:c r="H1367" s="45" t="n">
        <x:v>1</x:v>
      </x:c>
      <x:c r="I1367" s="36" t="str">
        <x:v>generated design-reference observation; not predicted tract behavior</x:v>
      </x:c>
    </x:row>
    <x:row r="1368" ht="75.5999984741211" hidden="0" customHeight="1">
      <x:c r="A1368" s="34" t="str">
        <x:v>B1</x:v>
      </x:c>
      <x:c r="B1368" s="34" t="str">
        <x:v>48201311502</x:v>
      </x:c>
      <x:c r="C1368" s="65" t="n">
        <x:v>211.84560903832727</x:v>
      </x:c>
      <x:c r="D1368" s="65" t="n">
        <x:v>127.72184054912991</x:v>
      </x:c>
      <x:c r="E1368" s="65" t="n">
        <x:v>84.12376848919736</x:v>
      </x:c>
      <x:c r="F1368" s="65" t="n">
        <x:v>84.12376848919736</x:v>
      </x:c>
      <x:c r="G1368" s="65" t="n">
        <x:v>211.84560903832727</x:v>
      </x:c>
      <x:c r="H1368" s="43" t="n">
        <x:v>1</x:v>
      </x:c>
      <x:c r="I1368" s="34" t="str">
        <x:v>generated design-reference observation; not predicted tract behavior</x:v>
      </x:c>
    </x:row>
    <x:row r="1369" ht="75.5999984741211" hidden="0" customHeight="1">
      <x:c r="A1369" s="36" t="str">
        <x:v>B1</x:v>
      </x:c>
      <x:c r="B1369" s="36" t="str">
        <x:v>48201311600</x:v>
      </x:c>
      <x:c r="C1369" s="66" t="n">
        <x:v>291.1796439731375</x:v>
      </x:c>
      <x:c r="D1369" s="66" t="n">
        <x:v>163.29824078600606</x:v>
      </x:c>
      <x:c r="E1369" s="66" t="n">
        <x:v>127.88140318713144</x:v>
      </x:c>
      <x:c r="F1369" s="66" t="n">
        <x:v>127.88140318713144</x:v>
      </x:c>
      <x:c r="G1369" s="66" t="n">
        <x:v>291.1796439731375</x:v>
      </x:c>
      <x:c r="H1369" s="45" t="n">
        <x:v>1</x:v>
      </x:c>
      <x:c r="I1369" s="36" t="str">
        <x:v>generated design-reference observation; not predicted tract behavior</x:v>
      </x:c>
    </x:row>
    <x:row r="1370" ht="75.5999984741211" hidden="0" customHeight="1">
      <x:c r="A1370" s="34" t="str">
        <x:v>B1</x:v>
      </x:c>
      <x:c r="B1370" s="34" t="str">
        <x:v>48201311701</x:v>
      </x:c>
      <x:c r="C1370" s="65" t="n">
        <x:v>290.7159320590149</x:v>
      </x:c>
      <x:c r="D1370" s="65" t="n">
        <x:v>173.81184110279796</x:v>
      </x:c>
      <x:c r="E1370" s="65" t="n">
        <x:v>116.90409095621695</x:v>
      </x:c>
      <x:c r="F1370" s="65" t="n">
        <x:v>116.90409095621695</x:v>
      </x:c>
      <x:c r="G1370" s="65" t="n">
        <x:v>290.7159320590149</x:v>
      </x:c>
      <x:c r="H1370" s="43" t="n">
        <x:v>1</x:v>
      </x:c>
      <x:c r="I1370" s="34" t="str">
        <x:v>generated design-reference observation; not predicted tract behavior</x:v>
      </x:c>
    </x:row>
    <x:row r="1371" ht="75.5999984741211" hidden="0" customHeight="1">
      <x:c r="A1371" s="36" t="str">
        <x:v>B1</x:v>
      </x:c>
      <x:c r="B1371" s="36" t="str">
        <x:v>48201311702</x:v>
      </x:c>
      <x:c r="C1371" s="66" t="n">
        <x:v>156.23947696345283</x:v>
      </x:c>
      <x:c r="D1371" s="66" t="n">
        <x:v>87.02554830029274</x:v>
      </x:c>
      <x:c r="E1371" s="66" t="n">
        <x:v>69.21392866316009</x:v>
      </x:c>
      <x:c r="F1371" s="66" t="n">
        <x:v>69.21392866316009</x:v>
      </x:c>
      <x:c r="G1371" s="66" t="n">
        <x:v>156.23947696345283</x:v>
      </x:c>
      <x:c r="H1371" s="45" t="n">
        <x:v>1</x:v>
      </x:c>
      <x:c r="I1371" s="36" t="str">
        <x:v>generated design-reference observation; not predicted tract behavior</x:v>
      </x:c>
    </x:row>
    <x:row r="1372" ht="75.5999984741211" hidden="0" customHeight="1">
      <x:c r="A1372" s="34" t="str">
        <x:v>B1</x:v>
      </x:c>
      <x:c r="B1372" s="34" t="str">
        <x:v>48201311800</x:v>
      </x:c>
      <x:c r="C1372" s="65" t="n">
        <x:v>292.68867257502814</x:v>
      </x:c>
      <x:c r="D1372" s="65" t="n">
        <x:v>174.4631092316044</x:v>
      </x:c>
      <x:c r="E1372" s="65" t="n">
        <x:v>118.22556334342374</x:v>
      </x:c>
      <x:c r="F1372" s="65" t="n">
        <x:v>118.22556334342374</x:v>
      </x:c>
      <x:c r="G1372" s="65" t="n">
        <x:v>292.68867257502814</x:v>
      </x:c>
      <x:c r="H1372" s="43" t="n">
        <x:v>1</x:v>
      </x:c>
      <x:c r="I1372" s="34" t="str">
        <x:v>generated design-reference observation; not predicted tract behavior</x:v>
      </x:c>
    </x:row>
    <x:row r="1373" ht="75.5999984741211" hidden="0" customHeight="1">
      <x:c r="A1373" s="36" t="str">
        <x:v>B1</x:v>
      </x:c>
      <x:c r="B1373" s="36" t="str">
        <x:v>48201311900</x:v>
      </x:c>
      <x:c r="C1373" s="66" t="n">
        <x:v>130.86893359416737</x:v>
      </x:c>
      <x:c r="D1373" s="66" t="n">
        <x:v>79.26768475358332</x:v>
      </x:c>
      <x:c r="E1373" s="66" t="n">
        <x:v>51.60124884058405</x:v>
      </x:c>
      <x:c r="F1373" s="66" t="n">
        <x:v>51.60124884058405</x:v>
      </x:c>
      <x:c r="G1373" s="66" t="n">
        <x:v>130.86893359416737</x:v>
      </x:c>
      <x:c r="H1373" s="45" t="n">
        <x:v>1</x:v>
      </x:c>
      <x:c r="I1373" s="36" t="str">
        <x:v>generated design-reference observation; not predicted tract behavior</x:v>
      </x:c>
    </x:row>
    <x:row r="1374" ht="75.5999984741211" hidden="0" customHeight="1">
      <x:c r="A1374" s="34" t="str">
        <x:v>B1</x:v>
      </x:c>
      <x:c r="B1374" s="34" t="str">
        <x:v>48201312000</x:v>
      </x:c>
      <x:c r="C1374" s="65" t="n">
        <x:v>238.62300719791696</x:v>
      </x:c>
      <x:c r="D1374" s="65" t="n">
        <x:v>141.32608988837734</x:v>
      </x:c>
      <x:c r="E1374" s="65" t="n">
        <x:v>97.29691730953962</x:v>
      </x:c>
      <x:c r="F1374" s="65" t="n">
        <x:v>97.29691730953962</x:v>
      </x:c>
      <x:c r="G1374" s="65" t="n">
        <x:v>238.62300719791696</x:v>
      </x:c>
      <x:c r="H1374" s="43" t="n">
        <x:v>1</x:v>
      </x:c>
      <x:c r="I1374" s="34" t="str">
        <x:v>generated design-reference observation; not predicted tract behavior</x:v>
      </x:c>
    </x:row>
    <x:row r="1375" ht="75.5999984741211" hidden="0" customHeight="1">
      <x:c r="A1375" s="36" t="str">
        <x:v>B1</x:v>
      </x:c>
      <x:c r="B1375" s="36" t="str">
        <x:v>48201312200</x:v>
      </x:c>
      <x:c r="C1375" s="66" t="n">
        <x:v>134.0638300872326</x:v>
      </x:c>
      <x:c r="D1375" s="66" t="n">
        <x:v>79.67306385094142</x:v>
      </x:c>
      <x:c r="E1375" s="66" t="n">
        <x:v>54.39076623629117</x:v>
      </x:c>
      <x:c r="F1375" s="66" t="n">
        <x:v>54.39076623629117</x:v>
      </x:c>
      <x:c r="G1375" s="66" t="n">
        <x:v>134.0638300872326</x:v>
      </x:c>
      <x:c r="H1375" s="45" t="n">
        <x:v>1</x:v>
      </x:c>
      <x:c r="I1375" s="36" t="str">
        <x:v>generated design-reference observation; not predicted tract behavior</x:v>
      </x:c>
    </x:row>
    <x:row r="1376" ht="75.5999984741211" hidden="0" customHeight="1">
      <x:c r="A1376" s="34" t="str">
        <x:v>B1</x:v>
      </x:c>
      <x:c r="B1376" s="34" t="str">
        <x:v>48201312300</x:v>
      </x:c>
      <x:c r="C1376" s="65" t="n">
        <x:v>227.9890712689692</x:v>
      </x:c>
      <x:c r="D1376" s="65" t="n">
        <x:v>137.99791835778146</x:v>
      </x:c>
      <x:c r="E1376" s="65" t="n">
        <x:v>89.99115291118775</x:v>
      </x:c>
      <x:c r="F1376" s="65" t="n">
        <x:v>89.99115291118775</x:v>
      </x:c>
      <x:c r="G1376" s="65" t="n">
        <x:v>227.9890712689692</x:v>
      </x:c>
      <x:c r="H1376" s="43" t="n">
        <x:v>1</x:v>
      </x:c>
      <x:c r="I1376" s="34" t="str">
        <x:v>generated design-reference observation; not predicted tract behavior</x:v>
      </x:c>
    </x:row>
    <x:row r="1377" ht="75.5999984741211" hidden="0" customHeight="1">
      <x:c r="A1377" s="36" t="str">
        <x:v>B1</x:v>
      </x:c>
      <x:c r="B1377" s="36" t="str">
        <x:v>48201312400</x:v>
      </x:c>
      <x:c r="C1377" s="66" t="n">
        <x:v>176.46203213358032</x:v>
      </x:c>
      <x:c r="D1377" s="66" t="n">
        <x:v>107.81830163361758</x:v>
      </x:c>
      <x:c r="E1377" s="66" t="n">
        <x:v>68.64373049996274</x:v>
      </x:c>
      <x:c r="F1377" s="66" t="n">
        <x:v>68.64373049996274</x:v>
      </x:c>
      <x:c r="G1377" s="66" t="n">
        <x:v>176.46203213358032</x:v>
      </x:c>
      <x:c r="H1377" s="45" t="n">
        <x:v>1</x:v>
      </x:c>
      <x:c r="I1377" s="36" t="str">
        <x:v>generated design-reference observation; not predicted tract behavior</x:v>
      </x:c>
    </x:row>
    <x:row r="1378" ht="75.5999984741211" hidden="0" customHeight="1">
      <x:c r="A1378" s="34" t="str">
        <x:v>B1</x:v>
      </x:c>
      <x:c r="B1378" s="34" t="str">
        <x:v>48201312501</x:v>
      </x:c>
      <x:c r="C1378" s="65" t="n">
        <x:v>268.48919827700155</x:v>
      </x:c>
      <x:c r="D1378" s="65" t="n">
        <x:v>150.01239856468476</x:v>
      </x:c>
      <x:c r="E1378" s="65" t="n">
        <x:v>118.47679971231679</x:v>
      </x:c>
      <x:c r="F1378" s="65" t="n">
        <x:v>118.47679971231679</x:v>
      </x:c>
      <x:c r="G1378" s="65" t="n">
        <x:v>268.48919827700155</x:v>
      </x:c>
      <x:c r="H1378" s="43" t="n">
        <x:v>1</x:v>
      </x:c>
      <x:c r="I1378" s="34" t="str">
        <x:v>generated design-reference observation; not predicted tract behavior</x:v>
      </x:c>
    </x:row>
    <x:row r="1379" ht="75.5999984741211" hidden="0" customHeight="1">
      <x:c r="A1379" s="36" t="str">
        <x:v>B1</x:v>
      </x:c>
      <x:c r="B1379" s="36" t="str">
        <x:v>48201312502</x:v>
      </x:c>
      <x:c r="C1379" s="66" t="n">
        <x:v>168.88545102825466</x:v>
      </x:c>
      <x:c r="D1379" s="66" t="n">
        <x:v>95.8340491859831</x:v>
      </x:c>
      <x:c r="E1379" s="66" t="n">
        <x:v>73.05140184227156</x:v>
      </x:c>
      <x:c r="F1379" s="66" t="n">
        <x:v>73.05140184227156</x:v>
      </x:c>
      <x:c r="G1379" s="66" t="n">
        <x:v>168.88545102825466</x:v>
      </x:c>
      <x:c r="H1379" s="45" t="n">
        <x:v>1</x:v>
      </x:c>
      <x:c r="I1379" s="36" t="str">
        <x:v>generated design-reference observation; not predicted tract behavior</x:v>
      </x:c>
    </x:row>
    <x:row r="1380" ht="75.5999984741211" hidden="0" customHeight="1">
      <x:c r="A1380" s="34" t="str">
        <x:v>B1</x:v>
      </x:c>
      <x:c r="B1380" s="34" t="str">
        <x:v>48201312601</x:v>
      </x:c>
      <x:c r="C1380" s="65" t="n">
        <x:v>268.0490649347834</x:v>
      </x:c>
      <x:c r="D1380" s="65" t="n">
        <x:v>132.61752043734398</x:v>
      </x:c>
      <x:c r="E1380" s="65" t="n">
        <x:v>135.43154449743943</x:v>
      </x:c>
      <x:c r="F1380" s="65" t="n">
        <x:v>84.20711029114187</x:v>
      </x:c>
      <x:c r="G1380" s="65" t="n">
        <x:v>216.82463072848586</x:v>
      </x:c>
      <x:c r="H1380" s="43" t="n">
        <x:v>0.8088990378729338</x:v>
      </x:c>
      <x:c r="I1380" s="34" t="str">
        <x:v>generated design-reference observation; not predicted tract behavior</x:v>
      </x:c>
    </x:row>
    <x:row r="1381" ht="75.5999984741211" hidden="0" customHeight="1">
      <x:c r="A1381" s="36" t="str">
        <x:v>B1</x:v>
      </x:c>
      <x:c r="B1381" s="36" t="str">
        <x:v>48201312602</x:v>
      </x:c>
      <x:c r="C1381" s="66" t="n">
        <x:v>199.56903260002989</x:v>
      </x:c>
      <x:c r="D1381" s="66" t="n">
        <x:v>111.78693530089372</x:v>
      </x:c>
      <x:c r="E1381" s="66" t="n">
        <x:v>87.78209729913617</x:v>
      </x:c>
      <x:c r="F1381" s="66" t="n">
        <x:v>87.78209729913617</x:v>
      </x:c>
      <x:c r="G1381" s="66" t="n">
        <x:v>199.56903260002989</x:v>
      </x:c>
      <x:c r="H1381" s="45" t="n">
        <x:v>1</x:v>
      </x:c>
      <x:c r="I1381" s="36" t="str">
        <x:v>generated design-reference observation; not predicted tract behavior</x:v>
      </x:c>
    </x:row>
    <x:row r="1382" ht="75.5999984741211" hidden="0" customHeight="1">
      <x:c r="A1382" s="34" t="str">
        <x:v>B1</x:v>
      </x:c>
      <x:c r="B1382" s="34" t="str">
        <x:v>48201312603</x:v>
      </x:c>
      <x:c r="C1382" s="65" t="n">
        <x:v>338.82407826824544</x:v>
      </x:c>
      <x:c r="D1382" s="65" t="n">
        <x:v>194.85641539867106</x:v>
      </x:c>
      <x:c r="E1382" s="65" t="n">
        <x:v>143.96766286957438</x:v>
      </x:c>
      <x:c r="F1382" s="65" t="n">
        <x:v>143.96766286957438</x:v>
      </x:c>
      <x:c r="G1382" s="65" t="n">
        <x:v>338.82407826824544</x:v>
      </x:c>
      <x:c r="H1382" s="43" t="n">
        <x:v>1</x:v>
      </x:c>
      <x:c r="I1382" s="34" t="str">
        <x:v>generated design-reference observation; not predicted tract behavior</x:v>
      </x:c>
    </x:row>
    <x:row r="1383" ht="75.5999984741211" hidden="0" customHeight="1">
      <x:c r="A1383" s="36" t="str">
        <x:v>B1</x:v>
      </x:c>
      <x:c r="B1383" s="36" t="str">
        <x:v>48201312700</x:v>
      </x:c>
      <x:c r="C1383" s="66" t="n">
        <x:v>184.98961563905576</x:v>
      </x:c>
      <x:c r="D1383" s="66" t="n">
        <x:v>110.96486230124441</x:v>
      </x:c>
      <x:c r="E1383" s="66" t="n">
        <x:v>74.02475333781135</x:v>
      </x:c>
      <x:c r="F1383" s="66" t="n">
        <x:v>74.02475333781135</x:v>
      </x:c>
      <x:c r="G1383" s="66" t="n">
        <x:v>184.98961563905576</x:v>
      </x:c>
      <x:c r="H1383" s="45" t="n">
        <x:v>1</x:v>
      </x:c>
      <x:c r="I1383" s="36" t="str">
        <x:v>generated design-reference observation; not predicted tract behavior</x:v>
      </x:c>
    </x:row>
    <x:row r="1384" ht="75.5999984741211" hidden="0" customHeight="1">
      <x:c r="A1384" s="34" t="str">
        <x:v>B1</x:v>
      </x:c>
      <x:c r="B1384" s="34" t="str">
        <x:v>48201312800</x:v>
      </x:c>
      <x:c r="C1384" s="65" t="n">
        <x:v>308.5806300386883</x:v>
      </x:c>
      <x:c r="D1384" s="65" t="n">
        <x:v>174.82688570057343</x:v>
      </x:c>
      <x:c r="E1384" s="65" t="n">
        <x:v>133.75374433811487</x:v>
      </x:c>
      <x:c r="F1384" s="65" t="n">
        <x:v>133.75374433811487</x:v>
      </x:c>
      <x:c r="G1384" s="65" t="n">
        <x:v>308.5806300386883</x:v>
      </x:c>
      <x:c r="H1384" s="43" t="n">
        <x:v>1</x:v>
      </x:c>
      <x:c r="I1384" s="34" t="str">
        <x:v>generated design-reference observation; not predicted tract behavior</x:v>
      </x:c>
    </x:row>
    <x:row r="1385" ht="75.5999984741211" hidden="0" customHeight="1">
      <x:c r="A1385" s="36" t="str">
        <x:v>B1</x:v>
      </x:c>
      <x:c r="B1385" s="36" t="str">
        <x:v>48201312901</x:v>
      </x:c>
      <x:c r="C1385" s="66" t="n">
        <x:v>157.4812817504253</x:v>
      </x:c>
      <x:c r="D1385" s="66" t="n">
        <x:v>89.97969689116327</x:v>
      </x:c>
      <x:c r="E1385" s="66" t="n">
        <x:v>67.50158485926202</x:v>
      </x:c>
      <x:c r="F1385" s="66" t="n">
        <x:v>67.50158485926202</x:v>
      </x:c>
      <x:c r="G1385" s="66" t="n">
        <x:v>157.4812817504253</x:v>
      </x:c>
      <x:c r="H1385" s="45" t="n">
        <x:v>1</x:v>
      </x:c>
      <x:c r="I1385" s="36" t="str">
        <x:v>generated design-reference observation; not predicted tract behavior</x:v>
      </x:c>
    </x:row>
    <x:row r="1386" ht="75.5999984741211" hidden="0" customHeight="1">
      <x:c r="A1386" s="34" t="str">
        <x:v>B1</x:v>
      </x:c>
      <x:c r="B1386" s="34" t="str">
        <x:v>48201312902</x:v>
      </x:c>
      <x:c r="C1386" s="65" t="n">
        <x:v>192.589775316286</x:v>
      </x:c>
      <x:c r="D1386" s="65" t="n">
        <x:v>113.67345939467788</x:v>
      </x:c>
      <x:c r="E1386" s="65" t="n">
        <x:v>78.91631592160812</x:v>
      </x:c>
      <x:c r="F1386" s="65" t="n">
        <x:v>78.91631592160812</x:v>
      </x:c>
      <x:c r="G1386" s="65" t="n">
        <x:v>192.589775316286</x:v>
      </x:c>
      <x:c r="H1386" s="43" t="n">
        <x:v>1</x:v>
      </x:c>
      <x:c r="I1386" s="34" t="str">
        <x:v>generated design-reference observation; not predicted tract behavior</x:v>
      </x:c>
    </x:row>
    <x:row r="1387" ht="75.5999984741211" hidden="0" customHeight="1">
      <x:c r="A1387" s="36" t="str">
        <x:v>B1</x:v>
      </x:c>
      <x:c r="B1387" s="36" t="str">
        <x:v>48201313000</x:v>
      </x:c>
      <x:c r="C1387" s="66" t="n">
        <x:v>196.9518111186259</x:v>
      </x:c>
      <x:c r="D1387" s="66" t="n">
        <x:v>119.60996733606875</x:v>
      </x:c>
      <x:c r="E1387" s="66" t="n">
        <x:v>77.34184378255715</x:v>
      </x:c>
      <x:c r="F1387" s="66" t="n">
        <x:v>77.34184378255715</x:v>
      </x:c>
      <x:c r="G1387" s="66" t="n">
        <x:v>196.9518111186259</x:v>
      </x:c>
      <x:c r="H1387" s="45" t="n">
        <x:v>1</x:v>
      </x:c>
      <x:c r="I1387" s="36" t="str">
        <x:v>generated design-reference observation; not predicted tract behavior</x:v>
      </x:c>
    </x:row>
    <x:row r="1388" ht="75.5999984741211" hidden="0" customHeight="1">
      <x:c r="A1388" s="34" t="str">
        <x:v>B1</x:v>
      </x:c>
      <x:c r="B1388" s="34" t="str">
        <x:v>48201313101</x:v>
      </x:c>
      <x:c r="C1388" s="65" t="n">
        <x:v>330.1677194854451</x:v>
      </x:c>
      <x:c r="D1388" s="65" t="n">
        <x:v>150.66356296004722</x:v>
      </x:c>
      <x:c r="E1388" s="65" t="n">
        <x:v>179.5041565253979</x:v>
      </x:c>
      <x:c r="F1388" s="65" t="n">
        <x:v>179.5041565253979</x:v>
      </x:c>
      <x:c r="G1388" s="65" t="n">
        <x:v>330.1677194854451</x:v>
      </x:c>
      <x:c r="H1388" s="43" t="n">
        <x:v>1</x:v>
      </x:c>
      <x:c r="I1388" s="34" t="str">
        <x:v>generated design-reference observation; not predicted tract behavior</x:v>
      </x:c>
    </x:row>
    <x:row r="1389" ht="75.5999984741211" hidden="0" customHeight="1">
      <x:c r="A1389" s="36" t="str">
        <x:v>B1</x:v>
      </x:c>
      <x:c r="B1389" s="36" t="str">
        <x:v>48201313102</x:v>
      </x:c>
      <x:c r="C1389" s="66" t="n">
        <x:v>248.8564096938708</x:v>
      </x:c>
      <x:c r="D1389" s="66" t="n">
        <x:v>111.05761010367148</x:v>
      </x:c>
      <x:c r="E1389" s="66" t="n">
        <x:v>137.79879959019934</x:v>
      </x:c>
      <x:c r="F1389" s="66" t="n">
        <x:v>137.79879959019934</x:v>
      </x:c>
      <x:c r="G1389" s="66" t="n">
        <x:v>248.8564096938708</x:v>
      </x:c>
      <x:c r="H1389" s="45" t="n">
        <x:v>1</x:v>
      </x:c>
      <x:c r="I1389" s="36" t="str">
        <x:v>generated design-reference observation; not predicted tract behavior</x:v>
      </x:c>
    </x:row>
    <x:row r="1390" ht="75.5999984741211" hidden="0" customHeight="1">
      <x:c r="A1390" s="34" t="str">
        <x:v>B1</x:v>
      </x:c>
      <x:c r="B1390" s="34" t="str">
        <x:v>48201313201</x:v>
      </x:c>
      <x:c r="C1390" s="65" t="n">
        <x:v>137.83247182997496</x:v>
      </x:c>
      <x:c r="D1390" s="65" t="n">
        <x:v>80.96586365075636</x:v>
      </x:c>
      <x:c r="E1390" s="65" t="n">
        <x:v>56.8666081792186</x:v>
      </x:c>
      <x:c r="F1390" s="65" t="n">
        <x:v>56.8666081792186</x:v>
      </x:c>
      <x:c r="G1390" s="65" t="n">
        <x:v>137.83247182997496</x:v>
      </x:c>
      <x:c r="H1390" s="43" t="n">
        <x:v>1</x:v>
      </x:c>
      <x:c r="I1390" s="34" t="str">
        <x:v>generated design-reference observation; not predicted tract behavior</x:v>
      </x:c>
    </x:row>
    <x:row r="1391" ht="75.5999984741211" hidden="0" customHeight="1">
      <x:c r="A1391" s="36" t="str">
        <x:v>B1</x:v>
      </x:c>
      <x:c r="B1391" s="36" t="str">
        <x:v>48201313202</x:v>
      </x:c>
      <x:c r="C1391" s="66" t="n">
        <x:v>364.06886925403995</x:v>
      </x:c>
      <x:c r="D1391" s="66" t="n">
        <x:v>192.3765711270845</x:v>
      </x:c>
      <x:c r="E1391" s="66" t="n">
        <x:v>171.69229812695545</x:v>
      </x:c>
      <x:c r="F1391" s="66" t="n">
        <x:v>171.69229812695545</x:v>
      </x:c>
      <x:c r="G1391" s="66" t="n">
        <x:v>364.06886925403995</x:v>
      </x:c>
      <x:c r="H1391" s="45" t="n">
        <x:v>1</x:v>
      </x:c>
      <x:c r="I1391" s="36" t="str">
        <x:v>generated design-reference observation; not predicted tract behavior</x:v>
      </x:c>
    </x:row>
    <x:row r="1392" ht="75.5999984741211" hidden="0" customHeight="1">
      <x:c r="A1392" s="34" t="str">
        <x:v>B1</x:v>
      </x:c>
      <x:c r="B1392" s="34" t="str">
        <x:v>48201313300</x:v>
      </x:c>
      <x:c r="C1392" s="65" t="n">
        <x:v>227.69826888214658</x:v>
      </x:c>
      <x:c r="D1392" s="65" t="n">
        <x:v>134.40187018513</x:v>
      </x:c>
      <x:c r="E1392" s="65" t="n">
        <x:v>93.29639869701657</x:v>
      </x:c>
      <x:c r="F1392" s="65" t="n">
        <x:v>93.29639869701657</x:v>
      </x:c>
      <x:c r="G1392" s="65" t="n">
        <x:v>227.69826888214658</x:v>
      </x:c>
      <x:c r="H1392" s="43" t="n">
        <x:v>1</x:v>
      </x:c>
      <x:c r="I1392" s="34" t="str">
        <x:v>generated design-reference observation; not predicted tract behavior</x:v>
      </x:c>
    </x:row>
    <x:row r="1393" ht="75.5999984741211" hidden="0" customHeight="1">
      <x:c r="A1393" s="36" t="str">
        <x:v>B1</x:v>
      </x:c>
      <x:c r="B1393" s="36" t="str">
        <x:v>48201313400</x:v>
      </x:c>
      <x:c r="C1393" s="66" t="n">
        <x:v>311.575108670565</x:v>
      </x:c>
      <x:c r="D1393" s="66" t="n">
        <x:v>176.93189250777814</x:v>
      </x:c>
      <x:c r="E1393" s="66" t="n">
        <x:v>134.64321616278684</x:v>
      </x:c>
      <x:c r="F1393" s="66" t="n">
        <x:v>134.64321616278684</x:v>
      </x:c>
      <x:c r="G1393" s="66" t="n">
        <x:v>311.575108670565</x:v>
      </x:c>
      <x:c r="H1393" s="45" t="n">
        <x:v>1</x:v>
      </x:c>
      <x:c r="I1393" s="36" t="str">
        <x:v>generated design-reference observation; not predicted tract behavior</x:v>
      </x:c>
    </x:row>
    <x:row r="1394" ht="75.5999984741211" hidden="0" customHeight="1">
      <x:c r="A1394" s="34" t="str">
        <x:v>B1</x:v>
      </x:c>
      <x:c r="B1394" s="34" t="str">
        <x:v>48201313500</x:v>
      </x:c>
      <x:c r="C1394" s="65" t="n">
        <x:v>150.3723423212064</x:v>
      </x:c>
      <x:c r="D1394" s="65" t="n">
        <x:v>90.49588459948632</x:v>
      </x:c>
      <x:c r="E1394" s="65" t="n">
        <x:v>59.87645772172007</x:v>
      </x:c>
      <x:c r="F1394" s="65" t="n">
        <x:v>59.87645772172007</x:v>
      </x:c>
      <x:c r="G1394" s="65" t="n">
        <x:v>150.3723423212064</x:v>
      </x:c>
      <x:c r="H1394" s="43" t="n">
        <x:v>1</x:v>
      </x:c>
      <x:c r="I1394" s="34" t="str">
        <x:v>generated design-reference observation; not predicted tract behavior</x:v>
      </x:c>
    </x:row>
    <x:row r="1395" ht="75.5999984741211" hidden="0" customHeight="1">
      <x:c r="A1395" s="36" t="str">
        <x:v>B1</x:v>
      </x:c>
      <x:c r="B1395" s="36" t="str">
        <x:v>48201313600</x:v>
      </x:c>
      <x:c r="C1395" s="66" t="n">
        <x:v>377.0763814213782</x:v>
      </x:c>
      <x:c r="D1395" s="66" t="n">
        <x:v>225.53065076187357</x:v>
      </x:c>
      <x:c r="E1395" s="66" t="n">
        <x:v>151.5457306595046</x:v>
      </x:c>
      <x:c r="F1395" s="66" t="n">
        <x:v>151.5457306595046</x:v>
      </x:c>
      <x:c r="G1395" s="66" t="n">
        <x:v>377.0763814213782</x:v>
      </x:c>
      <x:c r="H1395" s="45" t="n">
        <x:v>1</x:v>
      </x:c>
      <x:c r="I1395" s="36" t="str">
        <x:v>generated design-reference observation; not predicted tract behavior</x:v>
      </x:c>
    </x:row>
    <x:row r="1396" ht="75.5999984741211" hidden="0" customHeight="1">
      <x:c r="A1396" s="34" t="str">
        <x:v>B1</x:v>
      </x:c>
      <x:c r="B1396" s="34" t="str">
        <x:v>48201313700</x:v>
      </x:c>
      <x:c r="C1396" s="65" t="n">
        <x:v>194.03985748841518</x:v>
      </x:c>
      <x:c r="D1396" s="65" t="n">
        <x:v>117.35011493382503</x:v>
      </x:c>
      <x:c r="E1396" s="65" t="n">
        <x:v>76.68974255459015</x:v>
      </x:c>
      <x:c r="F1396" s="65" t="n">
        <x:v>76.68974255459015</x:v>
      </x:c>
      <x:c r="G1396" s="65" t="n">
        <x:v>194.03985748841518</x:v>
      </x:c>
      <x:c r="H1396" s="43" t="n">
        <x:v>1</x:v>
      </x:c>
      <x:c r="I1396" s="34" t="str">
        <x:v>generated design-reference observation; not predicted tract behavior</x:v>
      </x:c>
    </x:row>
    <x:row r="1397" ht="75.5999984741211" hidden="0" customHeight="1">
      <x:c r="A1397" s="36" t="str">
        <x:v>B1</x:v>
      </x:c>
      <x:c r="B1397" s="36" t="str">
        <x:v>48201313801</x:v>
      </x:c>
      <x:c r="C1397" s="66" t="n">
        <x:v>131.64702646701718</x:v>
      </x:c>
      <x:c r="D1397" s="66" t="n">
        <x:v>77.10293558046283</x:v>
      </x:c>
      <x:c r="E1397" s="66" t="n">
        <x:v>54.54409088655436</x:v>
      </x:c>
      <x:c r="F1397" s="66" t="n">
        <x:v>54.54409088655436</x:v>
      </x:c>
      <x:c r="G1397" s="66" t="n">
        <x:v>131.64702646701718</x:v>
      </x:c>
      <x:c r="H1397" s="45" t="n">
        <x:v>1</x:v>
      </x:c>
      <x:c r="I1397" s="36" t="str">
        <x:v>generated design-reference observation; not predicted tract behavior</x:v>
      </x:c>
    </x:row>
    <x:row r="1398" ht="75.5999984741211" hidden="0" customHeight="1">
      <x:c r="A1398" s="34" t="str">
        <x:v>B1</x:v>
      </x:c>
      <x:c r="B1398" s="34" t="str">
        <x:v>48201313802</x:v>
      </x:c>
      <x:c r="C1398" s="65" t="n">
        <x:v>220.6836437405458</x:v>
      </x:c>
      <x:c r="D1398" s="65" t="n">
        <x:v>132.78953863445363</x:v>
      </x:c>
      <x:c r="E1398" s="65" t="n">
        <x:v>87.89410510609216</x:v>
      </x:c>
      <x:c r="F1398" s="65" t="n">
        <x:v>87.89410510609216</x:v>
      </x:c>
      <x:c r="G1398" s="65" t="n">
        <x:v>220.6836437405458</x:v>
      </x:c>
      <x:c r="H1398" s="43" t="n">
        <x:v>1</x:v>
      </x:c>
      <x:c r="I1398" s="34" t="str">
        <x:v>generated design-reference observation; not predicted tract behavior</x:v>
      </x:c>
    </x:row>
    <x:row r="1399" ht="75.5999984741211" hidden="0" customHeight="1">
      <x:c r="A1399" s="36" t="str">
        <x:v>B1</x:v>
      </x:c>
      <x:c r="B1399" s="36" t="str">
        <x:v>48201313901</x:v>
      </x:c>
      <x:c r="C1399" s="66" t="n">
        <x:v>315.05687778846874</x:v>
      </x:c>
      <x:c r="D1399" s="66" t="n">
        <x:v>160.6036244505115</x:v>
      </x:c>
      <x:c r="E1399" s="66" t="n">
        <x:v>154.45325333795725</x:v>
      </x:c>
      <x:c r="F1399" s="66" t="n">
        <x:v>23.93214206349216</x:v>
      </x:c>
      <x:c r="G1399" s="66" t="n">
        <x:v>184.53576651400365</x:v>
      </x:c>
      <x:c r="H1399" s="45" t="n">
        <x:v>0.5857220696445237</x:v>
      </x:c>
      <x:c r="I1399" s="36" t="str">
        <x:v>generated design-reference observation; not predicted tract behavior</x:v>
      </x:c>
    </x:row>
    <x:row r="1400" ht="75.5999984741211" hidden="0" customHeight="1">
      <x:c r="A1400" s="34" t="str">
        <x:v>B1</x:v>
      </x:c>
      <x:c r="B1400" s="34" t="str">
        <x:v>48201313902</x:v>
      </x:c>
      <x:c r="C1400" s="65" t="n">
        <x:v>215.46099006369016</x:v>
      </x:c>
      <x:c r="D1400" s="65" t="n">
        <x:v>118.98307570737896</x:v>
      </x:c>
      <x:c r="E1400" s="65" t="n">
        <x:v>96.4779143563112</x:v>
      </x:c>
      <x:c r="F1400" s="65" t="n">
        <x:v>96.4779143563112</x:v>
      </x:c>
      <x:c r="G1400" s="65" t="n">
        <x:v>215.46099006369016</x:v>
      </x:c>
      <x:c r="H1400" s="43" t="n">
        <x:v>1</x:v>
      </x:c>
      <x:c r="I1400" s="34" t="str">
        <x:v>generated design-reference observation; not predicted tract behavior</x:v>
      </x:c>
    </x:row>
    <x:row r="1401" ht="75.5999984741211" hidden="0" customHeight="1">
      <x:c r="A1401" s="36" t="str">
        <x:v>B1</x:v>
      </x:c>
      <x:c r="B1401" s="36" t="str">
        <x:v>48201314001</x:v>
      </x:c>
      <x:c r="C1401" s="66" t="n">
        <x:v>230.5905737024369</x:v>
      </x:c>
      <x:c r="D1401" s="66" t="n">
        <x:v>131.1790225930386</x:v>
      </x:c>
      <x:c r="E1401" s="66" t="n">
        <x:v>99.41155110939829</x:v>
      </x:c>
      <x:c r="F1401" s="66" t="n">
        <x:v>99.41155110939829</x:v>
      </x:c>
      <x:c r="G1401" s="66" t="n">
        <x:v>230.5905737024369</x:v>
      </x:c>
      <x:c r="H1401" s="45" t="n">
        <x:v>1</x:v>
      </x:c>
      <x:c r="I1401" s="36" t="str">
        <x:v>generated design-reference observation; not predicted tract behavior</x:v>
      </x:c>
    </x:row>
    <x:row r="1402" ht="75.5999984741211" hidden="0" customHeight="1">
      <x:c r="A1402" s="34" t="str">
        <x:v>B1</x:v>
      </x:c>
      <x:c r="B1402" s="34" t="str">
        <x:v>48201314003</x:v>
      </x:c>
      <x:c r="C1402" s="65" t="n">
        <x:v>211.80631141848636</x:v>
      </x:c>
      <x:c r="D1402" s="65" t="n">
        <x:v>118.55299742472891</x:v>
      </x:c>
      <x:c r="E1402" s="65" t="n">
        <x:v>93.25331399375744</x:v>
      </x:c>
      <x:c r="F1402" s="65" t="n">
        <x:v>93.25331399375744</x:v>
      </x:c>
      <x:c r="G1402" s="65" t="n">
        <x:v>211.80631141848636</x:v>
      </x:c>
      <x:c r="H1402" s="43" t="n">
        <x:v>1</x:v>
      </x:c>
      <x:c r="I1402" s="34" t="str">
        <x:v>generated design-reference observation; not predicted tract behavior</x:v>
      </x:c>
    </x:row>
    <x:row r="1403" ht="75.5999984741211" hidden="0" customHeight="1">
      <x:c r="A1403" s="36" t="str">
        <x:v>B1</x:v>
      </x:c>
      <x:c r="B1403" s="36" t="str">
        <x:v>48201314004</x:v>
      </x:c>
      <x:c r="C1403" s="66" t="n">
        <x:v>179.38577504974327</x:v>
      </x:c>
      <x:c r="D1403" s="66" t="n">
        <x:v>100.98120670209707</x:v>
      </x:c>
      <x:c r="E1403" s="66" t="n">
        <x:v>78.4045683476462</x:v>
      </x:c>
      <x:c r="F1403" s="66" t="n">
        <x:v>78.4045683476462</x:v>
      </x:c>
      <x:c r="G1403" s="66" t="n">
        <x:v>179.38577504974327</x:v>
      </x:c>
      <x:c r="H1403" s="45" t="n">
        <x:v>1</x:v>
      </x:c>
      <x:c r="I1403" s="36" t="str">
        <x:v>generated design-reference observation; not predicted tract behavior</x:v>
      </x:c>
    </x:row>
    <x:row r="1404" ht="75.5999984741211" hidden="0" customHeight="1">
      <x:c r="A1404" s="34" t="str">
        <x:v>B1</x:v>
      </x:c>
      <x:c r="B1404" s="34" t="str">
        <x:v>48201314005</x:v>
      </x:c>
      <x:c r="C1404" s="65" t="n">
        <x:v>218.97419727746657</x:v>
      </x:c>
      <x:c r="D1404" s="65" t="n">
        <x:v>125.82546670742559</x:v>
      </x:c>
      <x:c r="E1404" s="65" t="n">
        <x:v>93.14873057004098</x:v>
      </x:c>
      <x:c r="F1404" s="65" t="n">
        <x:v>93.14873057004098</x:v>
      </x:c>
      <x:c r="G1404" s="65" t="n">
        <x:v>218.97419727746657</x:v>
      </x:c>
      <x:c r="H1404" s="43" t="n">
        <x:v>1</x:v>
      </x:c>
      <x:c r="I1404" s="34" t="str">
        <x:v>generated design-reference observation; not predicted tract behavior</x:v>
      </x:c>
    </x:row>
    <x:row r="1405" ht="75.5999984741211" hidden="0" customHeight="1">
      <x:c r="A1405" s="36" t="str">
        <x:v>B1</x:v>
      </x:c>
      <x:c r="B1405" s="36" t="str">
        <x:v>48201314301</x:v>
      </x:c>
      <x:c r="C1405" s="66" t="n">
        <x:v>190.49128241678181</x:v>
      </x:c>
      <x:c r="D1405" s="66" t="n">
        <x:v>105.06220514212791</x:v>
      </x:c>
      <x:c r="E1405" s="66" t="n">
        <x:v>85.4290772746539</x:v>
      </x:c>
      <x:c r="F1405" s="66" t="n">
        <x:v>85.4290772746539</x:v>
      </x:c>
      <x:c r="G1405" s="66" t="n">
        <x:v>190.49128241678181</x:v>
      </x:c>
      <x:c r="H1405" s="45" t="n">
        <x:v>1</x:v>
      </x:c>
      <x:c r="I1405" s="36" t="str">
        <x:v>generated design-reference observation; not predicted tract behavior</x:v>
      </x:c>
    </x:row>
    <x:row r="1406" ht="75.5999984741211" hidden="0" customHeight="1">
      <x:c r="A1406" s="34" t="str">
        <x:v>B1</x:v>
      </x:c>
      <x:c r="B1406" s="34" t="str">
        <x:v>48201314302</x:v>
      </x:c>
      <x:c r="C1406" s="65" t="n">
        <x:v>138.23330755235213</x:v>
      </x:c>
      <x:c r="D1406" s="65" t="n">
        <x:v>79.839642280959</x:v>
      </x:c>
      <x:c r="E1406" s="65" t="n">
        <x:v>58.39366527139313</x:v>
      </x:c>
      <x:c r="F1406" s="65" t="n">
        <x:v>58.39366527139313</x:v>
      </x:c>
      <x:c r="G1406" s="65" t="n">
        <x:v>138.23330755235213</x:v>
      </x:c>
      <x:c r="H1406" s="43" t="n">
        <x:v>1</x:v>
      </x:c>
      <x:c r="I1406" s="34" t="str">
        <x:v>generated design-reference observation; not predicted tract behavior</x:v>
      </x:c>
    </x:row>
    <x:row r="1407" ht="75.5999984741211" hidden="0" customHeight="1">
      <x:c r="A1407" s="36" t="str">
        <x:v>B1</x:v>
      </x:c>
      <x:c r="B1407" s="36" t="str">
        <x:v>48201314401</x:v>
      </x:c>
      <x:c r="C1407" s="66" t="n">
        <x:v>214.7327749390999</x:v>
      </x:c>
      <x:c r="D1407" s="66" t="n">
        <x:v>97.19448463875267</x:v>
      </x:c>
      <x:c r="E1407" s="66" t="n">
        <x:v>117.53829030034723</x:v>
      </x:c>
      <x:c r="F1407" s="66" t="n">
        <x:v>117.53829030034723</x:v>
      </x:c>
      <x:c r="G1407" s="66" t="n">
        <x:v>214.7327749390999</x:v>
      </x:c>
      <x:c r="H1407" s="45" t="n">
        <x:v>1</x:v>
      </x:c>
      <x:c r="I1407" s="36" t="str">
        <x:v>generated design-reference observation; not predicted tract behavior</x:v>
      </x:c>
    </x:row>
    <x:row r="1408" ht="75.5999984741211" hidden="0" customHeight="1">
      <x:c r="A1408" s="34" t="str">
        <x:v>B1</x:v>
      </x:c>
      <x:c r="B1408" s="34" t="str">
        <x:v>48201314402</x:v>
      </x:c>
      <x:c r="C1408" s="65" t="n">
        <x:v>164.33478665067832</x:v>
      </x:c>
      <x:c r="D1408" s="65" t="n">
        <x:v>92.3034362401225</x:v>
      </x:c>
      <x:c r="E1408" s="65" t="n">
        <x:v>72.03135041055583</x:v>
      </x:c>
      <x:c r="F1408" s="65" t="n">
        <x:v>72.03135041055583</x:v>
      </x:c>
      <x:c r="G1408" s="65" t="n">
        <x:v>164.33478665067832</x:v>
      </x:c>
      <x:c r="H1408" s="43" t="n">
        <x:v>1</x:v>
      </x:c>
      <x:c r="I1408" s="34" t="str">
        <x:v>generated design-reference observation; not predicted tract behavior</x:v>
      </x:c>
    </x:row>
    <x:row r="1409" ht="75.5999984741211" hidden="0" customHeight="1">
      <x:c r="A1409" s="36" t="str">
        <x:v>B1</x:v>
      </x:c>
      <x:c r="B1409" s="36" t="str">
        <x:v>48201320100</x:v>
      </x:c>
      <x:c r="C1409" s="66" t="n">
        <x:v>183.9600179992242</x:v>
      </x:c>
      <x:c r="D1409" s="66" t="n">
        <x:v>108.90479442029196</x:v>
      </x:c>
      <x:c r="E1409" s="66" t="n">
        <x:v>75.05522357893223</x:v>
      </x:c>
      <x:c r="F1409" s="66" t="n">
        <x:v>75.05522357893223</x:v>
      </x:c>
      <x:c r="G1409" s="66" t="n">
        <x:v>183.9600179992242</x:v>
      </x:c>
      <x:c r="H1409" s="45" t="n">
        <x:v>1</x:v>
      </x:c>
      <x:c r="I1409" s="36" t="str">
        <x:v>generated design-reference observation; not predicted tract behavior</x:v>
      </x:c>
    </x:row>
    <x:row r="1410" ht="75.5999984741211" hidden="0" customHeight="1">
      <x:c r="A1410" s="34" t="str">
        <x:v>B1</x:v>
      </x:c>
      <x:c r="B1410" s="34" t="str">
        <x:v>48201320201</x:v>
      </x:c>
      <x:c r="C1410" s="65" t="n">
        <x:v>241.92400726455259</x:v>
      </x:c>
      <x:c r="D1410" s="65" t="n">
        <x:v>139.70090482665333</x:v>
      </x:c>
      <x:c r="E1410" s="65" t="n">
        <x:v>102.22310243789926</x:v>
      </x:c>
      <x:c r="F1410" s="65" t="n">
        <x:v>102.22310243789926</x:v>
      </x:c>
      <x:c r="G1410" s="65" t="n">
        <x:v>241.92400726455259</x:v>
      </x:c>
      <x:c r="H1410" s="43" t="n">
        <x:v>1</x:v>
      </x:c>
      <x:c r="I1410" s="34" t="str">
        <x:v>generated design-reference observation; not predicted tract behavior</x:v>
      </x:c>
    </x:row>
    <x:row r="1411" ht="75.5999984741211" hidden="0" customHeight="1">
      <x:c r="A1411" s="36" t="str">
        <x:v>B1</x:v>
      </x:c>
      <x:c r="B1411" s="36" t="str">
        <x:v>48201320202</x:v>
      </x:c>
      <x:c r="C1411" s="66" t="n">
        <x:v>435.19453827223623</x:v>
      </x:c>
      <x:c r="D1411" s="66" t="n">
        <x:v>225.53854155498843</x:v>
      </x:c>
      <x:c r="E1411" s="66" t="n">
        <x:v>209.6559967172478</x:v>
      </x:c>
      <x:c r="F1411" s="66" t="n">
        <x:v>209.6559967172478</x:v>
      </x:c>
      <x:c r="G1411" s="66" t="n">
        <x:v>435.19453827223623</x:v>
      </x:c>
      <x:c r="H1411" s="45" t="n">
        <x:v>1</x:v>
      </x:c>
      <x:c r="I1411" s="36" t="str">
        <x:v>generated design-reference observation; not predicted tract behavior</x:v>
      </x:c>
    </x:row>
    <x:row r="1412" ht="75.5999984741211" hidden="0" customHeight="1">
      <x:c r="A1412" s="34" t="str">
        <x:v>B1</x:v>
      </x:c>
      <x:c r="B1412" s="34" t="str">
        <x:v>48201320500</x:v>
      </x:c>
      <x:c r="C1412" s="65" t="n">
        <x:v>332.2849543267195</x:v>
      </x:c>
      <x:c r="D1412" s="65" t="n">
        <x:v>203.0261070936256</x:v>
      </x:c>
      <x:c r="E1412" s="65" t="n">
        <x:v>129.25884723309392</x:v>
      </x:c>
      <x:c r="F1412" s="65" t="n">
        <x:v>129.25884723309392</x:v>
      </x:c>
      <x:c r="G1412" s="65" t="n">
        <x:v>332.2849543267195</x:v>
      </x:c>
      <x:c r="H1412" s="43" t="n">
        <x:v>1</x:v>
      </x:c>
      <x:c r="I1412" s="34" t="str">
        <x:v>generated design-reference observation; not predicted tract behavior</x:v>
      </x:c>
    </x:row>
    <x:row r="1413" ht="75.5999984741211" hidden="0" customHeight="1">
      <x:c r="A1413" s="36" t="str">
        <x:v>B1</x:v>
      </x:c>
      <x:c r="B1413" s="36" t="str">
        <x:v>48201320601</x:v>
      </x:c>
      <x:c r="C1413" s="66" t="n">
        <x:v>172.28862490647666</x:v>
      </x:c>
      <x:c r="D1413" s="66" t="n">
        <x:v>100.56347226045489</x:v>
      </x:c>
      <x:c r="E1413" s="66" t="n">
        <x:v>71.72515264602177</x:v>
      </x:c>
      <x:c r="F1413" s="66" t="n">
        <x:v>71.72515264602177</x:v>
      </x:c>
      <x:c r="G1413" s="66" t="n">
        <x:v>172.28862490647666</x:v>
      </x:c>
      <x:c r="H1413" s="45" t="n">
        <x:v>1</x:v>
      </x:c>
      <x:c r="I1413" s="36" t="str">
        <x:v>generated design-reference observation; not predicted tract behavior</x:v>
      </x:c>
    </x:row>
    <x:row r="1414" ht="75.5999984741211" hidden="0" customHeight="1">
      <x:c r="A1414" s="34" t="str">
        <x:v>B1</x:v>
      </x:c>
      <x:c r="B1414" s="34" t="str">
        <x:v>48201320602</x:v>
      </x:c>
      <x:c r="C1414" s="65" t="n">
        <x:v>354.14229048222853</x:v>
      </x:c>
      <x:c r="D1414" s="65" t="n">
        <x:v>208.40074764149583</x:v>
      </x:c>
      <x:c r="E1414" s="65" t="n">
        <x:v>145.7415428407327</x:v>
      </x:c>
      <x:c r="F1414" s="65" t="n">
        <x:v>145.7415428407327</x:v>
      </x:c>
      <x:c r="G1414" s="65" t="n">
        <x:v>354.14229048222853</x:v>
      </x:c>
      <x:c r="H1414" s="43" t="n">
        <x:v>1</x:v>
      </x:c>
      <x:c r="I1414" s="34" t="str">
        <x:v>generated design-reference observation; not predicted tract behavior</x:v>
      </x:c>
    </x:row>
    <x:row r="1415" ht="75.5999984741211" hidden="0" customHeight="1">
      <x:c r="A1415" s="36" t="str">
        <x:v>B1</x:v>
      </x:c>
      <x:c r="B1415" s="36" t="str">
        <x:v>48201320700</x:v>
      </x:c>
      <x:c r="C1415" s="66" t="n">
        <x:v>278.58868657611293</x:v>
      </x:c>
      <x:c r="D1415" s="66" t="n">
        <x:v>164.51572212876926</x:v>
      </x:c>
      <x:c r="E1415" s="66" t="n">
        <x:v>114.07296444734368</x:v>
      </x:c>
      <x:c r="F1415" s="66" t="n">
        <x:v>114.07296444734368</x:v>
      </x:c>
      <x:c r="G1415" s="66" t="n">
        <x:v>278.58868657611293</x:v>
      </x:c>
      <x:c r="H1415" s="45" t="n">
        <x:v>1</x:v>
      </x:c>
      <x:c r="I1415" s="36" t="str">
        <x:v>generated design-reference observation; not predicted tract behavior</x:v>
      </x:c>
    </x:row>
    <x:row r="1416" ht="75.5999984741211" hidden="0" customHeight="1">
      <x:c r="A1416" s="34" t="str">
        <x:v>B1</x:v>
      </x:c>
      <x:c r="B1416" s="34" t="str">
        <x:v>48201320800</x:v>
      </x:c>
      <x:c r="C1416" s="65" t="n">
        <x:v>822.0251935168926</x:v>
      </x:c>
      <x:c r="D1416" s="65" t="n">
        <x:v>239.83817354454987</x:v>
      </x:c>
      <x:c r="E1416" s="65" t="n">
        <x:v>582.1870199723428</x:v>
      </x:c>
      <x:c r="F1416" s="65" t="n">
        <x:v>582.1870199723428</x:v>
      </x:c>
      <x:c r="G1416" s="65" t="n">
        <x:v>822.0251935168926</x:v>
      </x:c>
      <x:c r="H1416" s="43" t="n">
        <x:v>1</x:v>
      </x:c>
      <x:c r="I1416" s="34" t="str">
        <x:v>generated design-reference observation; not predicted tract behavior</x:v>
      </x:c>
    </x:row>
    <x:row r="1417" ht="75.5999984741211" hidden="0" customHeight="1">
      <x:c r="A1417" s="36" t="str">
        <x:v>B1</x:v>
      </x:c>
      <x:c r="B1417" s="36" t="str">
        <x:v>48201320901</x:v>
      </x:c>
      <x:c r="C1417" s="66" t="n">
        <x:v>225.6980200322447</x:v>
      </x:c>
      <x:c r="D1417" s="66" t="n">
        <x:v>134.36506177919907</x:v>
      </x:c>
      <x:c r="E1417" s="66" t="n">
        <x:v>91.33295825304563</x:v>
      </x:c>
      <x:c r="F1417" s="66" t="n">
        <x:v>91.33295825304563</x:v>
      </x:c>
      <x:c r="G1417" s="66" t="n">
        <x:v>225.6980200322447</x:v>
      </x:c>
      <x:c r="H1417" s="45" t="n">
        <x:v>1</x:v>
      </x:c>
      <x:c r="I1417" s="36" t="str">
        <x:v>generated design-reference observation; not predicted tract behavior</x:v>
      </x:c>
    </x:row>
    <x:row r="1418" ht="75.5999984741211" hidden="0" customHeight="1">
      <x:c r="A1418" s="34" t="str">
        <x:v>B1</x:v>
      </x:c>
      <x:c r="B1418" s="34" t="str">
        <x:v>48201320902</x:v>
      </x:c>
      <x:c r="C1418" s="65" t="n">
        <x:v>521.5326182202286</x:v>
      </x:c>
      <x:c r="D1418" s="65" t="n">
        <x:v>277.9768855113819</x:v>
      </x:c>
      <x:c r="E1418" s="65" t="n">
        <x:v>243.55573270884673</x:v>
      </x:c>
      <x:c r="F1418" s="65" t="n">
        <x:v>243.55573270884673</x:v>
      </x:c>
      <x:c r="G1418" s="65" t="n">
        <x:v>521.5326182202286</x:v>
      </x:c>
      <x:c r="H1418" s="43" t="n">
        <x:v>1</x:v>
      </x:c>
      <x:c r="I1418" s="34" t="str">
        <x:v>generated design-reference observation; not predicted tract behavior</x:v>
      </x:c>
    </x:row>
    <x:row r="1419" ht="75.5999984741211" hidden="0" customHeight="1">
      <x:c r="A1419" s="36" t="str">
        <x:v>B1</x:v>
      </x:c>
      <x:c r="B1419" s="36" t="str">
        <x:v>48201321001</x:v>
      </x:c>
      <x:c r="C1419" s="66" t="n">
        <x:v>225.623354554547</x:v>
      </x:c>
      <x:c r="D1419" s="66" t="n">
        <x:v>129.98512425550095</x:v>
      </x:c>
      <x:c r="E1419" s="66" t="n">
        <x:v>95.63823029904606</x:v>
      </x:c>
      <x:c r="F1419" s="66" t="n">
        <x:v>95.63823029904606</x:v>
      </x:c>
      <x:c r="G1419" s="66" t="n">
        <x:v>225.623354554547</x:v>
      </x:c>
      <x:c r="H1419" s="45" t="n">
        <x:v>1</x:v>
      </x:c>
      <x:c r="I1419" s="36" t="str">
        <x:v>generated design-reference observation; not predicted tract behavior</x:v>
      </x:c>
    </x:row>
    <x:row r="1420" ht="75.5999984741211" hidden="0" customHeight="1">
      <x:c r="A1420" s="34" t="str">
        <x:v>B1</x:v>
      </x:c>
      <x:c r="B1420" s="34" t="str">
        <x:v>48201321002</x:v>
      </x:c>
      <x:c r="C1420" s="65" t="n">
        <x:v>739.1507453238007</x:v>
      </x:c>
      <x:c r="D1420" s="65" t="n">
        <x:v>380.9571625805174</x:v>
      </x:c>
      <x:c r="E1420" s="65" t="n">
        <x:v>358.19358274328334</x:v>
      </x:c>
      <x:c r="F1420" s="65" t="n">
        <x:v>358.19358274328334</x:v>
      </x:c>
      <x:c r="G1420" s="65" t="n">
        <x:v>739.1507453238007</x:v>
      </x:c>
      <x:c r="H1420" s="43" t="n">
        <x:v>1</x:v>
      </x:c>
      <x:c r="I1420" s="34" t="str">
        <x:v>generated design-reference observation; not predicted tract behavior</x:v>
      </x:c>
    </x:row>
    <x:row r="1421" ht="75.5999984741211" hidden="0" customHeight="1">
      <x:c r="A1421" s="36" t="str">
        <x:v>B1</x:v>
      </x:c>
      <x:c r="B1421" s="36" t="str">
        <x:v>48201321101</x:v>
      </x:c>
      <x:c r="C1421" s="66" t="n">
        <x:v>313.8386515734008</x:v>
      </x:c>
      <x:c r="D1421" s="66" t="n">
        <x:v>185.58203336553606</x:v>
      </x:c>
      <x:c r="E1421" s="66" t="n">
        <x:v>128.25661820786473</x:v>
      </x:c>
      <x:c r="F1421" s="66" t="n">
        <x:v>128.25661820786473</x:v>
      </x:c>
      <x:c r="G1421" s="66" t="n">
        <x:v>313.8386515734008</x:v>
      </x:c>
      <x:c r="H1421" s="45" t="n">
        <x:v>1</x:v>
      </x:c>
      <x:c r="I1421" s="36" t="str">
        <x:v>generated design-reference observation; not predicted tract behavior</x:v>
      </x:c>
    </x:row>
    <x:row r="1422" ht="75.5999984741211" hidden="0" customHeight="1">
      <x:c r="A1422" s="34" t="str">
        <x:v>B1</x:v>
      </x:c>
      <x:c r="B1422" s="34" t="str">
        <x:v>48201321102</x:v>
      </x:c>
      <x:c r="C1422" s="65" t="n">
        <x:v>348.70349989624793</x:v>
      </x:c>
      <x:c r="D1422" s="65" t="n">
        <x:v>213.05783843660748</x:v>
      </x:c>
      <x:c r="E1422" s="65" t="n">
        <x:v>135.64566145964045</x:v>
      </x:c>
      <x:c r="F1422" s="65" t="n">
        <x:v>135.64566145964045</x:v>
      </x:c>
      <x:c r="G1422" s="65" t="n">
        <x:v>348.70349989624793</x:v>
      </x:c>
      <x:c r="H1422" s="43" t="n">
        <x:v>1</x:v>
      </x:c>
      <x:c r="I1422" s="34" t="str">
        <x:v>generated design-reference observation; not predicted tract behavior</x:v>
      </x:c>
    </x:row>
    <x:row r="1423" ht="75.5999984741211" hidden="0" customHeight="1">
      <x:c r="A1423" s="36" t="str">
        <x:v>B1</x:v>
      </x:c>
      <x:c r="B1423" s="36" t="str">
        <x:v>48201321200</x:v>
      </x:c>
      <x:c r="C1423" s="66" t="n">
        <x:v>398.14383541808496</x:v>
      </x:c>
      <x:c r="D1423" s="66" t="n">
        <x:v>233.3713144148335</x:v>
      </x:c>
      <x:c r="E1423" s="66" t="n">
        <x:v>164.77252100325146</x:v>
      </x:c>
      <x:c r="F1423" s="66" t="n">
        <x:v>164.77252100325146</x:v>
      </x:c>
      <x:c r="G1423" s="66" t="n">
        <x:v>398.14383541808496</x:v>
      </x:c>
      <x:c r="H1423" s="45" t="n">
        <x:v>1</x:v>
      </x:c>
      <x:c r="I1423" s="36" t="str">
        <x:v>generated design-reference observation; not predicted tract behavior</x:v>
      </x:c>
    </x:row>
    <x:row r="1424" ht="75.5999984741211" hidden="0" customHeight="1">
      <x:c r="A1424" s="34" t="str">
        <x:v>B1</x:v>
      </x:c>
      <x:c r="B1424" s="34" t="str">
        <x:v>48201321301</x:v>
      </x:c>
      <x:c r="C1424" s="65" t="n">
        <x:v>641.1388539679939</x:v>
      </x:c>
      <x:c r="D1424" s="65" t="n">
        <x:v>179.10787338236554</x:v>
      </x:c>
      <x:c r="E1424" s="65" t="n">
        <x:v>462.03098058562836</x:v>
      </x:c>
      <x:c r="F1424" s="65" t="n">
        <x:v>462.03098058562836</x:v>
      </x:c>
      <x:c r="G1424" s="65" t="n">
        <x:v>641.1388539679939</x:v>
      </x:c>
      <x:c r="H1424" s="43" t="n">
        <x:v>1</x:v>
      </x:c>
      <x:c r="I1424" s="34" t="str">
        <x:v>generated design-reference observation; not predicted tract behavior</x:v>
      </x:c>
    </x:row>
    <x:row r="1425" ht="75.5999984741211" hidden="0" customHeight="1">
      <x:c r="A1425" s="36" t="str">
        <x:v>B1</x:v>
      </x:c>
      <x:c r="B1425" s="36" t="str">
        <x:v>48201321302</x:v>
      </x:c>
      <x:c r="C1425" s="66" t="n">
        <x:v>334.6198375240358</x:v>
      </x:c>
      <x:c r="D1425" s="66" t="n">
        <x:v>96.19946451902592</x:v>
      </x:c>
      <x:c r="E1425" s="66" t="n">
        <x:v>238.42037300500988</x:v>
      </x:c>
      <x:c r="F1425" s="66" t="n">
        <x:v>238.42037300500988</x:v>
      </x:c>
      <x:c r="G1425" s="66" t="n">
        <x:v>334.6198375240358</x:v>
      </x:c>
      <x:c r="H1425" s="45" t="n">
        <x:v>1</x:v>
      </x:c>
      <x:c r="I1425" s="36" t="str">
        <x:v>generated design-reference observation; not predicted tract behavior</x:v>
      </x:c>
    </x:row>
    <x:row r="1426" ht="75.5999984741211" hidden="0" customHeight="1">
      <x:c r="A1426" s="34" t="str">
        <x:v>B1</x:v>
      </x:c>
      <x:c r="B1426" s="34" t="str">
        <x:v>48201321401</x:v>
      </x:c>
      <x:c r="C1426" s="65" t="n">
        <x:v>528.0403040658816</x:v>
      </x:c>
      <x:c r="D1426" s="65" t="n">
        <x:v>279.58665500519834</x:v>
      </x:c>
      <x:c r="E1426" s="65" t="n">
        <x:v>248.4536490606833</x:v>
      </x:c>
      <x:c r="F1426" s="65" t="n">
        <x:v>248.4536490606833</x:v>
      </x:c>
      <x:c r="G1426" s="65" t="n">
        <x:v>528.0403040658816</x:v>
      </x:c>
      <x:c r="H1426" s="43" t="n">
        <x:v>1</x:v>
      </x:c>
      <x:c r="I1426" s="34" t="str">
        <x:v>generated design-reference observation; not predicted tract behavior</x:v>
      </x:c>
    </x:row>
    <x:row r="1427" ht="75.5999984741211" hidden="0" customHeight="1">
      <x:c r="A1427" s="36" t="str">
        <x:v>B1</x:v>
      </x:c>
      <x:c r="B1427" s="36" t="str">
        <x:v>48201321402</x:v>
      </x:c>
      <x:c r="C1427" s="66" t="n">
        <x:v>690.8158820770263</x:v>
      </x:c>
      <x:c r="D1427" s="66" t="n">
        <x:v>367.9569157429156</x:v>
      </x:c>
      <x:c r="E1427" s="66" t="n">
        <x:v>322.85896633411073</x:v>
      </x:c>
      <x:c r="F1427" s="66" t="n">
        <x:v>322.85896633411073</x:v>
      </x:c>
      <x:c r="G1427" s="66" t="n">
        <x:v>690.8158820770263</x:v>
      </x:c>
      <x:c r="H1427" s="45" t="n">
        <x:v>1</x:v>
      </x:c>
      <x:c r="I1427" s="36" t="str">
        <x:v>generated design-reference observation; not predicted tract behavior</x:v>
      </x:c>
    </x:row>
    <x:row r="1428" ht="75.5999984741211" hidden="0" customHeight="1">
      <x:c r="A1428" s="34" t="str">
        <x:v>B1</x:v>
      </x:c>
      <x:c r="B1428" s="34" t="str">
        <x:v>48201321500</x:v>
      </x:c>
      <x:c r="C1428" s="65" t="n">
        <x:v>472.22921978906777</x:v>
      </x:c>
      <x:c r="D1428" s="65" t="n">
        <x:v>131.4143304957867</x:v>
      </x:c>
      <x:c r="E1428" s="65" t="n">
        <x:v>340.8148892932811</x:v>
      </x:c>
      <x:c r="F1428" s="65" t="n">
        <x:v>340.8148892932811</x:v>
      </x:c>
      <x:c r="G1428" s="65" t="n">
        <x:v>472.22921978906777</x:v>
      </x:c>
      <x:c r="H1428" s="43" t="n">
        <x:v>1</x:v>
      </x:c>
      <x:c r="I1428" s="34" t="str">
        <x:v>generated design-reference observation; not predicted tract behavior</x:v>
      </x:c>
    </x:row>
    <x:row r="1429" ht="75.5999984741211" hidden="0" customHeight="1">
      <x:c r="A1429" s="36" t="str">
        <x:v>B1</x:v>
      </x:c>
      <x:c r="B1429" s="36" t="str">
        <x:v>48201321600</x:v>
      </x:c>
      <x:c r="C1429" s="66" t="n">
        <x:v>562.2624851596383</x:v>
      </x:c>
      <x:c r="D1429" s="66" t="n">
        <x:v>341.0339737646189</x:v>
      </x:c>
      <x:c r="E1429" s="66" t="n">
        <x:v>221.22851139501944</x:v>
      </x:c>
      <x:c r="F1429" s="66" t="n">
        <x:v>221.22851139501944</x:v>
      </x:c>
      <x:c r="G1429" s="66" t="n">
        <x:v>562.2624851596383</x:v>
      </x:c>
      <x:c r="H1429" s="45" t="n">
        <x:v>1</x:v>
      </x:c>
      <x:c r="I1429" s="36" t="str">
        <x:v>generated design-reference observation; not predicted tract behavior</x:v>
      </x:c>
    </x:row>
    <x:row r="1430" ht="75.5999984741211" hidden="0" customHeight="1">
      <x:c r="A1430" s="34" t="str">
        <x:v>B1</x:v>
      </x:c>
      <x:c r="B1430" s="34" t="str">
        <x:v>48201321700</x:v>
      </x:c>
      <x:c r="C1430" s="65" t="n">
        <x:v>257.0575206652835</x:v>
      </x:c>
      <x:c r="D1430" s="65" t="n">
        <x:v>156.7156845122386</x:v>
      </x:c>
      <x:c r="E1430" s="65" t="n">
        <x:v>100.34183615304491</x:v>
      </x:c>
      <x:c r="F1430" s="65" t="n">
        <x:v>85.264969132412</x:v>
      </x:c>
      <x:c r="G1430" s="65" t="n">
        <x:v>241.9806536446506</x:v>
      </x:c>
      <x:c r="H1430" s="43" t="n">
        <x:v>0.9413482749634678</x:v>
      </x:c>
      <x:c r="I1430" s="34" t="str">
        <x:v>generated design-reference observation; not predicted tract behavior</x:v>
      </x:c>
    </x:row>
    <x:row r="1431" ht="75.5999984741211" hidden="0" customHeight="1">
      <x:c r="A1431" s="36" t="str">
        <x:v>B1</x:v>
      </x:c>
      <x:c r="B1431" s="36" t="str">
        <x:v>48201321800</x:v>
      </x:c>
      <x:c r="C1431" s="66" t="n">
        <x:v>334.4384638940009</x:v>
      </x:c>
      <x:c r="D1431" s="66" t="n">
        <x:v>202.20778236415117</x:v>
      </x:c>
      <x:c r="E1431" s="66" t="n">
        <x:v>132.23068152984973</x:v>
      </x:c>
      <x:c r="F1431" s="66" t="n">
        <x:v>132.23068152984973</x:v>
      </x:c>
      <x:c r="G1431" s="66" t="n">
        <x:v>334.4384638940009</x:v>
      </x:c>
      <x:c r="H1431" s="45" t="n">
        <x:v>1</x:v>
      </x:c>
      <x:c r="I1431" s="36" t="str">
        <x:v>generated design-reference observation; not predicted tract behavior</x:v>
      </x:c>
    </x:row>
    <x:row r="1432" ht="75.5999984741211" hidden="0" customHeight="1">
      <x:c r="A1432" s="34" t="str">
        <x:v>B1</x:v>
      </x:c>
      <x:c r="B1432" s="34" t="str">
        <x:v>48201321900</x:v>
      </x:c>
      <x:c r="C1432" s="65" t="n">
        <x:v>428.9806777072397</x:v>
      </x:c>
      <x:c r="D1432" s="65" t="n">
        <x:v>260.9157977424002</x:v>
      </x:c>
      <x:c r="E1432" s="65" t="n">
        <x:v>168.06487996483952</x:v>
      </x:c>
      <x:c r="F1432" s="65" t="n">
        <x:v>168.06487996483952</x:v>
      </x:c>
      <x:c r="G1432" s="65" t="n">
        <x:v>428.9806777072397</x:v>
      </x:c>
      <x:c r="H1432" s="43" t="n">
        <x:v>1</x:v>
      </x:c>
      <x:c r="I1432" s="34" t="str">
        <x:v>generated design-reference observation; not predicted tract behavior</x:v>
      </x:c>
    </x:row>
    <x:row r="1433" ht="75.5999984741211" hidden="0" customHeight="1">
      <x:c r="A1433" s="36" t="str">
        <x:v>B1</x:v>
      </x:c>
      <x:c r="B1433" s="36" t="str">
        <x:v>48201322000</x:v>
      </x:c>
      <x:c r="C1433" s="66" t="n">
        <x:v>733.5329994228522</x:v>
      </x:c>
      <x:c r="D1433" s="66" t="n">
        <x:v>183.30174618911047</x:v>
      </x:c>
      <x:c r="E1433" s="66" t="n">
        <x:v>550.2312532337417</x:v>
      </x:c>
      <x:c r="F1433" s="66" t="n">
        <x:v>550.2312532337417</x:v>
      </x:c>
      <x:c r="G1433" s="66" t="n">
        <x:v>733.5329994228521</x:v>
      </x:c>
      <x:c r="H1433" s="45" t="n">
        <x:v>0.9999999999999999</x:v>
      </x:c>
      <x:c r="I1433" s="36" t="str">
        <x:v>generated design-reference observation; not predicted tract behavior</x:v>
      </x:c>
    </x:row>
    <x:row r="1434" ht="75.5999984741211" hidden="0" customHeight="1">
      <x:c r="A1434" s="34" t="str">
        <x:v>B1</x:v>
      </x:c>
      <x:c r="B1434" s="34" t="str">
        <x:v>48201322100</x:v>
      </x:c>
      <x:c r="C1434" s="65" t="n">
        <x:v>318.7940814353384</x:v>
      </x:c>
      <x:c r="D1434" s="65" t="n">
        <x:v>191.80660427330582</x:v>
      </x:c>
      <x:c r="E1434" s="65" t="n">
        <x:v>126.98747716203258</x:v>
      </x:c>
      <x:c r="F1434" s="65" t="n">
        <x:v>126.98747716203258</x:v>
      </x:c>
      <x:c r="G1434" s="65" t="n">
        <x:v>318.7940814353384</x:v>
      </x:c>
      <x:c r="H1434" s="43" t="n">
        <x:v>1</x:v>
      </x:c>
      <x:c r="I1434" s="34" t="str">
        <x:v>generated design-reference observation; not predicted tract behavior</x:v>
      </x:c>
    </x:row>
    <x:row r="1435" ht="75.5999984741211" hidden="0" customHeight="1">
      <x:c r="A1435" s="36" t="str">
        <x:v>B1</x:v>
      </x:c>
      <x:c r="B1435" s="36" t="str">
        <x:v>48201322200</x:v>
      </x:c>
      <x:c r="C1435" s="66" t="n">
        <x:v>239.6024248001055</x:v>
      </x:c>
      <x:c r="D1435" s="66" t="n">
        <x:v>126.77930629177655</x:v>
      </x:c>
      <x:c r="E1435" s="66" t="n">
        <x:v>112.82311850832895</x:v>
      </x:c>
      <x:c r="F1435" s="66" t="n">
        <x:v>112.82311850832895</x:v>
      </x:c>
      <x:c r="G1435" s="66" t="n">
        <x:v>239.6024248001055</x:v>
      </x:c>
      <x:c r="H1435" s="45" t="n">
        <x:v>1</x:v>
      </x:c>
      <x:c r="I1435" s="36" t="str">
        <x:v>generated design-reference observation; not predicted tract behavior</x:v>
      </x:c>
    </x:row>
    <x:row r="1436" ht="75.5999984741211" hidden="0" customHeight="1">
      <x:c r="A1436" s="34" t="str">
        <x:v>B1</x:v>
      </x:c>
      <x:c r="B1436" s="34" t="str">
        <x:v>48201322600</x:v>
      </x:c>
      <x:c r="C1436" s="65" t="n">
        <x:v>400.45846522671405</x:v>
      </x:c>
      <x:c r="D1436" s="65" t="n">
        <x:v>241.81967841743528</x:v>
      </x:c>
      <x:c r="E1436" s="65" t="n">
        <x:v>158.63878680927877</x:v>
      </x:c>
      <x:c r="F1436" s="65" t="n">
        <x:v>132.94731498415905</x:v>
      </x:c>
      <x:c r="G1436" s="65" t="n">
        <x:v>374.76699340159433</x:v>
      </x:c>
      <x:c r="H1436" s="43" t="n">
        <x:v>0.9358448526975829</x:v>
      </x:c>
      <x:c r="I1436" s="34" t="str">
        <x:v>generated design-reference observation; not predicted tract behavior</x:v>
      </x:c>
    </x:row>
    <x:row r="1437" ht="75.5999984741211" hidden="0" customHeight="1">
      <x:c r="A1437" s="36" t="str">
        <x:v>B1</x:v>
      </x:c>
      <x:c r="B1437" s="36" t="str">
        <x:v>48201322701</x:v>
      </x:c>
      <x:c r="C1437" s="66" t="n">
        <x:v>233.54575471447254</x:v>
      </x:c>
      <x:c r="D1437" s="66" t="n">
        <x:v>132.83963397487292</x:v>
      </x:c>
      <x:c r="E1437" s="66" t="n">
        <x:v>100.70612073959961</x:v>
      </x:c>
      <x:c r="F1437" s="66" t="n">
        <x:v>100.70612073959961</x:v>
      </x:c>
      <x:c r="G1437" s="66" t="n">
        <x:v>233.54575471447254</x:v>
      </x:c>
      <x:c r="H1437" s="45" t="n">
        <x:v>1</x:v>
      </x:c>
      <x:c r="I1437" s="36" t="str">
        <x:v>generated design-reference observation; not predicted tract behavior</x:v>
      </x:c>
    </x:row>
    <x:row r="1438" ht="75.5999984741211" hidden="0" customHeight="1">
      <x:c r="A1438" s="34" t="str">
        <x:v>B1</x:v>
      </x:c>
      <x:c r="B1438" s="34" t="str">
        <x:v>48201322702</x:v>
      </x:c>
      <x:c r="C1438" s="65" t="n">
        <x:v>349.0807570467204</x:v>
      </x:c>
      <x:c r="D1438" s="65" t="n">
        <x:v>212.95112778470732</x:v>
      </x:c>
      <x:c r="E1438" s="65" t="n">
        <x:v>136.12962926201308</x:v>
      </x:c>
      <x:c r="F1438" s="65" t="n">
        <x:v>136.12962926201308</x:v>
      </x:c>
      <x:c r="G1438" s="65" t="n">
        <x:v>349.0807570467204</x:v>
      </x:c>
      <x:c r="H1438" s="43" t="n">
        <x:v>1</x:v>
      </x:c>
      <x:c r="I1438" s="34" t="str">
        <x:v>generated design-reference observation; not predicted tract behavior</x:v>
      </x:c>
    </x:row>
    <x:row r="1439" ht="75.5999984741211" hidden="0" customHeight="1">
      <x:c r="A1439" s="36" t="str">
        <x:v>B1</x:v>
      </x:c>
      <x:c r="B1439" s="36" t="str">
        <x:v>48201322800</x:v>
      </x:c>
      <x:c r="C1439" s="66" t="n">
        <x:v>443.4343422847229</x:v>
      </x:c>
      <x:c r="D1439" s="66" t="n">
        <x:v>270.9383831359657</x:v>
      </x:c>
      <x:c r="E1439" s="66" t="n">
        <x:v>172.4959591487572</x:v>
      </x:c>
      <x:c r="F1439" s="66" t="n">
        <x:v>172.4959591487572</x:v>
      </x:c>
      <x:c r="G1439" s="66" t="n">
        <x:v>443.4343422847229</x:v>
      </x:c>
      <x:c r="H1439" s="45" t="n">
        <x:v>1</x:v>
      </x:c>
      <x:c r="I1439" s="36" t="str">
        <x:v>generated design-reference observation; not predicted tract behavior</x:v>
      </x:c>
    </x:row>
    <x:row r="1440" ht="75.5999984741211" hidden="0" customHeight="1">
      <x:c r="A1440" s="34" t="str">
        <x:v>B1</x:v>
      </x:c>
      <x:c r="B1440" s="34" t="str">
        <x:v>48201322900</x:v>
      </x:c>
      <x:c r="C1440" s="65" t="n">
        <x:v>303.9042132776211</x:v>
      </x:c>
      <x:c r="D1440" s="65" t="n">
        <x:v>184.28817559288262</x:v>
      </x:c>
      <x:c r="E1440" s="65" t="n">
        <x:v>119.6160376847385</x:v>
      </x:c>
      <x:c r="F1440" s="65" t="n">
        <x:v>119.6160376847385</x:v>
      </x:c>
      <x:c r="G1440" s="65" t="n">
        <x:v>303.9042132776211</x:v>
      </x:c>
      <x:c r="H1440" s="43" t="n">
        <x:v>1</x:v>
      </x:c>
      <x:c r="I1440" s="34" t="str">
        <x:v>generated design-reference observation; not predicted tract behavior</x:v>
      </x:c>
    </x:row>
    <x:row r="1441" ht="75.5999984741211" hidden="0" customHeight="1">
      <x:c r="A1441" s="36" t="str">
        <x:v>B1</x:v>
      </x:c>
      <x:c r="B1441" s="36" t="str">
        <x:v>48201323000</x:v>
      </x:c>
      <x:c r="C1441" s="66" t="n">
        <x:v>529.3467987809</x:v>
      </x:c>
      <x:c r="D1441" s="66" t="n">
        <x:v>289.8126290816576</x:v>
      </x:c>
      <x:c r="E1441" s="66" t="n">
        <x:v>239.53416969924245</x:v>
      </x:c>
      <x:c r="F1441" s="66" t="n">
        <x:v>239.53416969924245</x:v>
      </x:c>
      <x:c r="G1441" s="66" t="n">
        <x:v>529.3467987809</x:v>
      </x:c>
      <x:c r="H1441" s="45" t="n">
        <x:v>1</x:v>
      </x:c>
      <x:c r="I1441" s="36" t="str">
        <x:v>generated design-reference observation; not predicted tract behavior</x:v>
      </x:c>
    </x:row>
    <x:row r="1442" ht="75.5999984741211" hidden="0" customHeight="1">
      <x:c r="A1442" s="34" t="str">
        <x:v>B1</x:v>
      </x:c>
      <x:c r="B1442" s="34" t="str">
        <x:v>48201323100</x:v>
      </x:c>
      <x:c r="C1442" s="65" t="n">
        <x:v>279.1781508737264</x:v>
      </x:c>
      <x:c r="D1442" s="65" t="n">
        <x:v>160.33173099495136</x:v>
      </x:c>
      <x:c r="E1442" s="65" t="n">
        <x:v>118.84641987877504</x:v>
      </x:c>
      <x:c r="F1442" s="65" t="n">
        <x:v>92.66247807091415</x:v>
      </x:c>
      <x:c r="G1442" s="65" t="n">
        <x:v>252.9942090658655</x:v>
      </x:c>
      <x:c r="H1442" s="43" t="n">
        <x:v>0.9062106338697543</x:v>
      </x:c>
      <x:c r="I1442" s="34" t="str">
        <x:v>generated design-reference observation; not predicted tract behavior</x:v>
      </x:c>
    </x:row>
    <x:row r="1443" ht="75.5999984741211" hidden="0" customHeight="1">
      <x:c r="A1443" s="36" t="str">
        <x:v>B1</x:v>
      </x:c>
      <x:c r="B1443" s="36" t="str">
        <x:v>48201323200</x:v>
      </x:c>
      <x:c r="C1443" s="66" t="n">
        <x:v>487.7070407974817</x:v>
      </x:c>
      <x:c r="D1443" s="66" t="n">
        <x:v>293.7193087653185</x:v>
      </x:c>
      <x:c r="E1443" s="66" t="n">
        <x:v>193.9877320321632</x:v>
      </x:c>
      <x:c r="F1443" s="66" t="n">
        <x:v>193.9877320321632</x:v>
      </x:c>
      <x:c r="G1443" s="66" t="n">
        <x:v>487.7070407974817</x:v>
      </x:c>
      <x:c r="H1443" s="45" t="n">
        <x:v>1</x:v>
      </x:c>
      <x:c r="I1443" s="36" t="str">
        <x:v>generated design-reference observation; not predicted tract behavior</x:v>
      </x:c>
    </x:row>
    <x:row r="1444" ht="75.5999984741211" hidden="0" customHeight="1">
      <x:c r="A1444" s="34" t="str">
        <x:v>B1</x:v>
      </x:c>
      <x:c r="B1444" s="34" t="str">
        <x:v>48201323300</x:v>
      </x:c>
      <x:c r="C1444" s="65" t="n">
        <x:v>268.11194112652885</x:v>
      </x:c>
      <x:c r="D1444" s="65" t="n">
        <x:v>157.17629857461787</x:v>
      </x:c>
      <x:c r="E1444" s="65" t="n">
        <x:v>110.93564255191097</x:v>
      </x:c>
      <x:c r="F1444" s="65" t="n">
        <x:v>110.93564255191097</x:v>
      </x:c>
      <x:c r="G1444" s="65" t="n">
        <x:v>268.11194112652885</x:v>
      </x:c>
      <x:c r="H1444" s="43" t="n">
        <x:v>1</x:v>
      </x:c>
      <x:c r="I1444" s="34" t="str">
        <x:v>generated design-reference observation; not predicted tract behavior</x:v>
      </x:c>
    </x:row>
    <x:row r="1445" ht="75.5999984741211" hidden="0" customHeight="1">
      <x:c r="A1445" s="36" t="str">
        <x:v>B1</x:v>
      </x:c>
      <x:c r="B1445" s="36" t="str">
        <x:v>48201323400</x:v>
      </x:c>
      <x:c r="C1445" s="66" t="n">
        <x:v>564.0465971004153</x:v>
      </x:c>
      <x:c r="D1445" s="66" t="n">
        <x:v>335.80460170321544</x:v>
      </x:c>
      <x:c r="E1445" s="66" t="n">
        <x:v>228.24199539719984</x:v>
      </x:c>
      <x:c r="F1445" s="66" t="n">
        <x:v>228.24199539719984</x:v>
      </x:c>
      <x:c r="G1445" s="66" t="n">
        <x:v>564.0465971004153</x:v>
      </x:c>
      <x:c r="H1445" s="45" t="n">
        <x:v>1</x:v>
      </x:c>
      <x:c r="I1445" s="36" t="str">
        <x:v>generated design-reference observation; not predicted tract behavior</x:v>
      </x:c>
    </x:row>
    <x:row r="1446" ht="75.5999984741211" hidden="0" customHeight="1">
      <x:c r="A1446" s="34" t="str">
        <x:v>B1</x:v>
      </x:c>
      <x:c r="B1446" s="34" t="str">
        <x:v>48201323500</x:v>
      </x:c>
      <x:c r="C1446" s="65" t="n">
        <x:v>970.8325837002809</x:v>
      </x:c>
      <x:c r="D1446" s="65" t="n">
        <x:v>266.4497911298167</x:v>
      </x:c>
      <x:c r="E1446" s="65" t="n">
        <x:v>704.3827925704643</x:v>
      </x:c>
      <x:c r="F1446" s="65" t="n">
        <x:v>704.3827925704643</x:v>
      </x:c>
      <x:c r="G1446" s="65" t="n">
        <x:v>970.8325837002809</x:v>
      </x:c>
      <x:c r="H1446" s="43" t="n">
        <x:v>1</x:v>
      </x:c>
      <x:c r="I1446" s="34" t="str">
        <x:v>generated design-reference observation; not predicted tract behavior</x:v>
      </x:c>
    </x:row>
    <x:row r="1447" ht="75.5999984741211" hidden="0" customHeight="1">
      <x:c r="A1447" s="36" t="str">
        <x:v>B1</x:v>
      </x:c>
      <x:c r="B1447" s="36" t="str">
        <x:v>48201323601</x:v>
      </x:c>
      <x:c r="C1447" s="66" t="n">
        <x:v>601.4464441923839</x:v>
      </x:c>
      <x:c r="D1447" s="66" t="n">
        <x:v>301.94714458052755</x:v>
      </x:c>
      <x:c r="E1447" s="66" t="n">
        <x:v>299.4992996118563</x:v>
      </x:c>
      <x:c r="F1447" s="66" t="n">
        <x:v>299.4992996118563</x:v>
      </x:c>
      <x:c r="G1447" s="66" t="n">
        <x:v>601.4464441923839</x:v>
      </x:c>
      <x:c r="H1447" s="45" t="n">
        <x:v>1</x:v>
      </x:c>
      <x:c r="I1447" s="36" t="str">
        <x:v>generated design-reference observation; not predicted tract behavior</x:v>
      </x:c>
    </x:row>
    <x:row r="1448" ht="75.5999984741211" hidden="0" customHeight="1">
      <x:c r="A1448" s="34" t="str">
        <x:v>B1</x:v>
      </x:c>
      <x:c r="B1448" s="34" t="str">
        <x:v>48201323602</x:v>
      </x:c>
      <x:c r="C1448" s="65" t="n">
        <x:v>350.06712730472714</x:v>
      </x:c>
      <x:c r="D1448" s="65" t="n">
        <x:v>213.67884762655274</x:v>
      </x:c>
      <x:c r="E1448" s="65" t="n">
        <x:v>136.3882796781744</x:v>
      </x:c>
      <x:c r="F1448" s="65" t="n">
        <x:v>136.3882796781744</x:v>
      </x:c>
      <x:c r="G1448" s="65" t="n">
        <x:v>350.06712730472714</x:v>
      </x:c>
      <x:c r="H1448" s="43" t="n">
        <x:v>1</x:v>
      </x:c>
      <x:c r="I1448" s="34" t="str">
        <x:v>generated design-reference observation; not predicted tract behavior</x:v>
      </x:c>
    </x:row>
    <x:row r="1449" ht="75.5999984741211" hidden="0" customHeight="1">
      <x:c r="A1449" s="36" t="str">
        <x:v>B1</x:v>
      </x:c>
      <x:c r="B1449" s="36" t="str">
        <x:v>48201323701</x:v>
      </x:c>
      <x:c r="C1449" s="66" t="n">
        <x:v>317.57192545828644</x:v>
      </x:c>
      <x:c r="D1449" s="66" t="n">
        <x:v>177.53716900167274</x:v>
      </x:c>
      <x:c r="E1449" s="66" t="n">
        <x:v>140.0347564566137</x:v>
      </x:c>
      <x:c r="F1449" s="66" t="n">
        <x:v>140.0347564566137</x:v>
      </x:c>
      <x:c r="G1449" s="66" t="n">
        <x:v>317.57192545828644</x:v>
      </x:c>
      <x:c r="H1449" s="45" t="n">
        <x:v>1</x:v>
      </x:c>
      <x:c r="I1449" s="36" t="str">
        <x:v>generated design-reference observation; not predicted tract behavior</x:v>
      </x:c>
    </x:row>
    <x:row r="1450" ht="75.5999984741211" hidden="0" customHeight="1">
      <x:c r="A1450" s="34" t="str">
        <x:v>B1</x:v>
      </x:c>
      <x:c r="B1450" s="34" t="str">
        <x:v>48201323702</x:v>
      </x:c>
      <x:c r="C1450" s="65" t="n">
        <x:v>290.44084872012854</x:v>
      </x:c>
      <x:c r="D1450" s="65" t="n">
        <x:v>169.3618317655918</x:v>
      </x:c>
      <x:c r="E1450" s="65" t="n">
        <x:v>121.07901695453674</x:v>
      </x:c>
      <x:c r="F1450" s="65" t="n">
        <x:v>121.07901695453674</x:v>
      </x:c>
      <x:c r="G1450" s="65" t="n">
        <x:v>290.44084872012854</x:v>
      </x:c>
      <x:c r="H1450" s="43" t="n">
        <x:v>1</x:v>
      </x:c>
      <x:c r="I1450" s="34" t="str">
        <x:v>generated design-reference observation; not predicted tract behavior</x:v>
      </x:c>
    </x:row>
    <x:row r="1451" ht="75.5999984741211" hidden="0" customHeight="1">
      <x:c r="A1451" s="36" t="str">
        <x:v>B1</x:v>
      </x:c>
      <x:c r="B1451" s="36" t="str">
        <x:v>48201323801</x:v>
      </x:c>
      <x:c r="C1451" s="66" t="n">
        <x:v>329.69917094118836</x:v>
      </x:c>
      <x:c r="D1451" s="66" t="n">
        <x:v>201.4461934450661</x:v>
      </x:c>
      <x:c r="E1451" s="66" t="n">
        <x:v>128.25297749612227</x:v>
      </x:c>
      <x:c r="F1451" s="66" t="n">
        <x:v>128.25297749612227</x:v>
      </x:c>
      <x:c r="G1451" s="66" t="n">
        <x:v>329.69917094118836</x:v>
      </x:c>
      <x:c r="H1451" s="45" t="n">
        <x:v>1</x:v>
      </x:c>
      <x:c r="I1451" s="36" t="str">
        <x:v>generated design-reference observation; not predicted tract behavior</x:v>
      </x:c>
    </x:row>
    <x:row r="1452" ht="75.5999984741211" hidden="0" customHeight="1">
      <x:c r="A1452" s="34" t="str">
        <x:v>B1</x:v>
      </x:c>
      <x:c r="B1452" s="34" t="str">
        <x:v>48201323802</x:v>
      </x:c>
      <x:c r="C1452" s="65" t="n">
        <x:v>404.2153176835042</x:v>
      </x:c>
      <x:c r="D1452" s="65" t="n">
        <x:v>238.45096674586867</x:v>
      </x:c>
      <x:c r="E1452" s="65" t="n">
        <x:v>165.76435093763556</x:v>
      </x:c>
      <x:c r="F1452" s="65" t="n">
        <x:v>165.76435093763556</x:v>
      </x:c>
      <x:c r="G1452" s="65" t="n">
        <x:v>404.2153176835042</x:v>
      </x:c>
      <x:c r="H1452" s="43" t="n">
        <x:v>1</x:v>
      </x:c>
      <x:c r="I1452" s="34" t="str">
        <x:v>generated design-reference observation; not predicted tract behavior</x:v>
      </x:c>
    </x:row>
    <x:row r="1453" ht="75.5999984741211" hidden="0" customHeight="1">
      <x:c r="A1453" s="36" t="str">
        <x:v>B1</x:v>
      </x:c>
      <x:c r="B1453" s="36" t="str">
        <x:v>48201323900</x:v>
      </x:c>
      <x:c r="C1453" s="66" t="n">
        <x:v>267.46746016113804</x:v>
      </x:c>
      <x:c r="D1453" s="66" t="n">
        <x:v>151.4771214013803</x:v>
      </x:c>
      <x:c r="E1453" s="66" t="n">
        <x:v>115.99033875975775</x:v>
      </x:c>
      <x:c r="F1453" s="66" t="n">
        <x:v>115.99033875975775</x:v>
      </x:c>
      <x:c r="G1453" s="66" t="n">
        <x:v>267.46746016113804</x:v>
      </x:c>
      <x:c r="H1453" s="45" t="n">
        <x:v>1</x:v>
      </x:c>
      <x:c r="I1453" s="36" t="str">
        <x:v>generated design-reference observation; not predicted tract behavior</x:v>
      </x:c>
    </x:row>
    <x:row r="1454" ht="75.5999984741211" hidden="0" customHeight="1">
      <x:c r="A1454" s="34" t="str">
        <x:v>B1</x:v>
      </x:c>
      <x:c r="B1454" s="34" t="str">
        <x:v>48201324000</x:v>
      </x:c>
      <x:c r="C1454" s="65" t="n">
        <x:v>491.89616707252173</x:v>
      </x:c>
      <x:c r="D1454" s="65" t="n">
        <x:v>294.3855853500802</x:v>
      </x:c>
      <x:c r="E1454" s="65" t="n">
        <x:v>197.51058172244154</x:v>
      </x:c>
      <x:c r="F1454" s="65" t="n">
        <x:v>197.51058172244154</x:v>
      </x:c>
      <x:c r="G1454" s="65" t="n">
        <x:v>491.89616707252173</x:v>
      </x:c>
      <x:c r="H1454" s="43" t="n">
        <x:v>1</x:v>
      </x:c>
      <x:c r="I1454" s="34" t="str">
        <x:v>generated design-reference observation; not predicted tract behavior</x:v>
      </x:c>
    </x:row>
    <x:row r="1455" ht="75.5999984741211" hidden="0" customHeight="1">
      <x:c r="A1455" s="36" t="str">
        <x:v>B1</x:v>
      </x:c>
      <x:c r="B1455" s="36" t="str">
        <x:v>48201324101</x:v>
      </x:c>
      <x:c r="C1455" s="66" t="n">
        <x:v>731.9477938963472</x:v>
      </x:c>
      <x:c r="D1455" s="66" t="n">
        <x:v>388.0314303863303</x:v>
      </x:c>
      <x:c r="E1455" s="66" t="n">
        <x:v>343.9163635100169</x:v>
      </x:c>
      <x:c r="F1455" s="66" t="n">
        <x:v>343.9163635100169</x:v>
      </x:c>
      <x:c r="G1455" s="66" t="n">
        <x:v>731.9477938963472</x:v>
      </x:c>
      <x:c r="H1455" s="45" t="n">
        <x:v>1</x:v>
      </x:c>
      <x:c r="I1455" s="36" t="str">
        <x:v>generated design-reference observation; not predicted tract behavior</x:v>
      </x:c>
    </x:row>
    <x:row r="1456" ht="75.5999984741211" hidden="0" customHeight="1">
      <x:c r="A1456" s="34" t="str">
        <x:v>B1</x:v>
      </x:c>
      <x:c r="B1456" s="34" t="str">
        <x:v>48201324200</x:v>
      </x:c>
      <x:c r="C1456" s="65" t="n">
        <x:v>105.70817905695563</x:v>
      </x:c>
      <x:c r="D1456" s="65" t="n">
        <x:v>56.34245943735736</x:v>
      </x:c>
      <x:c r="E1456" s="65" t="n">
        <x:v>49.365719619598266</x:v>
      </x:c>
      <x:c r="F1456" s="65" t="n">
        <x:v>49.365719619598266</x:v>
      </x:c>
      <x:c r="G1456" s="65" t="n">
        <x:v>105.70817905695563</x:v>
      </x:c>
      <x:c r="H1456" s="43" t="n">
        <x:v>1</x:v>
      </x:c>
      <x:c r="I1456" s="34" t="str">
        <x:v>generated design-reference observation; not predicted tract behavior</x:v>
      </x:c>
    </x:row>
    <x:row r="1457" ht="75.5999984741211" hidden="0" customHeight="1">
      <x:c r="A1457" s="36" t="str">
        <x:v>B1</x:v>
      </x:c>
      <x:c r="B1457" s="36" t="str">
        <x:v>48201330101</x:v>
      </x:c>
      <x:c r="C1457" s="66" t="n">
        <x:v>422.52014900539564</x:v>
      </x:c>
      <x:c r="D1457" s="66" t="n">
        <x:v>258.1598110422967</x:v>
      </x:c>
      <x:c r="E1457" s="66" t="n">
        <x:v>164.3603379630989</x:v>
      </x:c>
      <x:c r="F1457" s="66" t="n">
        <x:v>164.3603379630989</x:v>
      </x:c>
      <x:c r="G1457" s="66" t="n">
        <x:v>422.52014900539564</x:v>
      </x:c>
      <x:c r="H1457" s="45" t="n">
        <x:v>1</x:v>
      </x:c>
      <x:c r="I1457" s="36" t="str">
        <x:v>generated design-reference observation; not predicted tract behavior</x:v>
      </x:c>
    </x:row>
    <x:row r="1458" ht="75.5999984741211" hidden="0" customHeight="1">
      <x:c r="A1458" s="34" t="str">
        <x:v>B1</x:v>
      </x:c>
      <x:c r="B1458" s="34" t="str">
        <x:v>48201330102</x:v>
      </x:c>
      <x:c r="C1458" s="65" t="n">
        <x:v>295.50177757686976</x:v>
      </x:c>
      <x:c r="D1458" s="65" t="n">
        <x:v>157.5024474484716</x:v>
      </x:c>
      <x:c r="E1458" s="65" t="n">
        <x:v>137.99933012839816</x:v>
      </x:c>
      <x:c r="F1458" s="65" t="n">
        <x:v>137.99933012839816</x:v>
      </x:c>
      <x:c r="G1458" s="65" t="n">
        <x:v>295.50177757686976</x:v>
      </x:c>
      <x:c r="H1458" s="43" t="n">
        <x:v>1</x:v>
      </x:c>
      <x:c r="I1458" s="34" t="str">
        <x:v>generated design-reference observation; not predicted tract behavior</x:v>
      </x:c>
    </x:row>
    <x:row r="1459" ht="75.5999984741211" hidden="0" customHeight="1">
      <x:c r="A1459" s="36" t="str">
        <x:v>B1</x:v>
      </x:c>
      <x:c r="B1459" s="36" t="str">
        <x:v>48201330200</x:v>
      </x:c>
      <x:c r="C1459" s="66" t="n">
        <x:v>492.91004566441694</x:v>
      </x:c>
      <x:c r="D1459" s="66" t="n">
        <x:v>292.2026854281097</x:v>
      </x:c>
      <x:c r="E1459" s="66" t="n">
        <x:v>200.70736023630724</x:v>
      </x:c>
      <x:c r="F1459" s="66" t="n">
        <x:v>200.70736023630724</x:v>
      </x:c>
      <x:c r="G1459" s="66" t="n">
        <x:v>492.91004566441694</x:v>
      </x:c>
      <x:c r="H1459" s="45" t="n">
        <x:v>1</x:v>
      </x:c>
      <x:c r="I1459" s="36" t="str">
        <x:v>generated design-reference observation; not predicted tract behavior</x:v>
      </x:c>
    </x:row>
    <x:row r="1460" ht="75.5999984741211" hidden="0" customHeight="1">
      <x:c r="A1460" s="34" t="str">
        <x:v>B1</x:v>
      </x:c>
      <x:c r="B1460" s="34" t="str">
        <x:v>48201330301</x:v>
      </x:c>
      <x:c r="C1460" s="65" t="n">
        <x:v>641.3214367555624</x:v>
      </x:c>
      <x:c r="D1460" s="65" t="n">
        <x:v>391.8473978576487</x:v>
      </x:c>
      <x:c r="E1460" s="65" t="n">
        <x:v>249.47403889791377</x:v>
      </x:c>
      <x:c r="F1460" s="65" t="n">
        <x:v>249.47403889791377</x:v>
      </x:c>
      <x:c r="G1460" s="65" t="n">
        <x:v>641.3214367555624</x:v>
      </x:c>
      <x:c r="H1460" s="43" t="n">
        <x:v>1</x:v>
      </x:c>
      <x:c r="I1460" s="34" t="str">
        <x:v>generated design-reference observation; not predicted tract behavior</x:v>
      </x:c>
    </x:row>
    <x:row r="1461" ht="75.5999984741211" hidden="0" customHeight="1">
      <x:c r="A1461" s="36" t="str">
        <x:v>B1</x:v>
      </x:c>
      <x:c r="B1461" s="36" t="str">
        <x:v>48201330302</x:v>
      </x:c>
      <x:c r="C1461" s="66" t="n">
        <x:v>419.2741656065372</x:v>
      </x:c>
      <x:c r="D1461" s="66" t="n">
        <x:v>255.73618722824637</x:v>
      </x:c>
      <x:c r="E1461" s="66" t="n">
        <x:v>163.53797837829086</x:v>
      </x:c>
      <x:c r="F1461" s="66" t="n">
        <x:v>163.53797837829086</x:v>
      </x:c>
      <x:c r="G1461" s="66" t="n">
        <x:v>419.2741656065372</x:v>
      </x:c>
      <x:c r="H1461" s="45" t="n">
        <x:v>1</x:v>
      </x:c>
      <x:c r="I1461" s="36" t="str">
        <x:v>generated design-reference observation; not predicted tract behavior</x:v>
      </x:c>
    </x:row>
    <x:row r="1462" ht="75.5999984741211" hidden="0" customHeight="1">
      <x:c r="A1462" s="34" t="str">
        <x:v>B1</x:v>
      </x:c>
      <x:c r="B1462" s="34" t="str">
        <x:v>48201330303</x:v>
      </x:c>
      <x:c r="C1462" s="65" t="n">
        <x:v>823.1509191806429</x:v>
      </x:c>
      <x:c r="D1462" s="65" t="n">
        <x:v>224.6902542144423</x:v>
      </x:c>
      <x:c r="E1462" s="65" t="n">
        <x:v>598.4606649662005</x:v>
      </x:c>
      <x:c r="F1462" s="65" t="n">
        <x:v>598.4606649662005</x:v>
      </x:c>
      <x:c r="G1462" s="65" t="n">
        <x:v>823.1509191806429</x:v>
      </x:c>
      <x:c r="H1462" s="43" t="n">
        <x:v>1</x:v>
      </x:c>
      <x:c r="I1462" s="34" t="str">
        <x:v>generated design-reference observation; not predicted tract behavior</x:v>
      </x:c>
    </x:row>
    <x:row r="1463" ht="75.5999984741211" hidden="0" customHeight="1">
      <x:c r="A1463" s="36" t="str">
        <x:v>B1</x:v>
      </x:c>
      <x:c r="B1463" s="36" t="str">
        <x:v>48201330400</x:v>
      </x:c>
      <x:c r="C1463" s="66" t="n">
        <x:v>878.8531792794357</x:v>
      </x:c>
      <x:c r="D1463" s="66" t="n">
        <x:v>254.6237715813213</x:v>
      </x:c>
      <x:c r="E1463" s="66" t="n">
        <x:v>624.2294076981144</x:v>
      </x:c>
      <x:c r="F1463" s="66" t="n">
        <x:v>624.2294076981144</x:v>
      </x:c>
      <x:c r="G1463" s="66" t="n">
        <x:v>878.8531792794357</x:v>
      </x:c>
      <x:c r="H1463" s="45" t="n">
        <x:v>1</x:v>
      </x:c>
      <x:c r="I1463" s="36" t="str">
        <x:v>generated design-reference observation; not predicted tract behavior</x:v>
      </x:c>
    </x:row>
    <x:row r="1464" ht="75.5999984741211" hidden="0" customHeight="1">
      <x:c r="A1464" s="34" t="str">
        <x:v>B1</x:v>
      </x:c>
      <x:c r="B1464" s="34" t="str">
        <x:v>48201330500</x:v>
      </x:c>
      <x:c r="C1464" s="65" t="n">
        <x:v>438.7893636195286</x:v>
      </x:c>
      <x:c r="D1464" s="65" t="n">
        <x:v>267.8670437044986</x:v>
      </x:c>
      <x:c r="E1464" s="65" t="n">
        <x:v>170.92231991503002</x:v>
      </x:c>
      <x:c r="F1464" s="65" t="n">
        <x:v>170.92231991503002</x:v>
      </x:c>
      <x:c r="G1464" s="65" t="n">
        <x:v>438.7893636195286</x:v>
      </x:c>
      <x:c r="H1464" s="43" t="n">
        <x:v>1</x:v>
      </x:c>
      <x:c r="I1464" s="34" t="str">
        <x:v>generated design-reference observation; not predicted tract behavior</x:v>
      </x:c>
    </x:row>
    <x:row r="1465" ht="75.5999984741211" hidden="0" customHeight="1">
      <x:c r="A1465" s="36" t="str">
        <x:v>B1</x:v>
      </x:c>
      <x:c r="B1465" s="36" t="str">
        <x:v>48201330600</x:v>
      </x:c>
      <x:c r="C1465" s="66" t="n">
        <x:v>582.9801903397613</x:v>
      </x:c>
      <x:c r="D1465" s="66" t="n">
        <x:v>353.14570624518194</x:v>
      </x:c>
      <x:c r="E1465" s="66" t="n">
        <x:v>229.83448409457935</x:v>
      </x:c>
      <x:c r="F1465" s="66" t="n">
        <x:v>229.83448409457935</x:v>
      </x:c>
      <x:c r="G1465" s="66" t="n">
        <x:v>582.9801903397613</x:v>
      </x:c>
      <x:c r="H1465" s="45" t="n">
        <x:v>1</x:v>
      </x:c>
      <x:c r="I1465" s="36" t="str">
        <x:v>generated design-reference observation; not predicted tract behavior</x:v>
      </x:c>
    </x:row>
    <x:row r="1466" ht="75.5999984741211" hidden="0" customHeight="1">
      <x:c r="A1466" s="34" t="str">
        <x:v>B1</x:v>
      </x:c>
      <x:c r="B1466" s="34" t="str">
        <x:v>48201330700</x:v>
      </x:c>
      <x:c r="C1466" s="65" t="n">
        <x:v>718.0303906850006</x:v>
      </x:c>
      <x:c r="D1466" s="65" t="n">
        <x:v>438.7165687085354</x:v>
      </x:c>
      <x:c r="E1466" s="65" t="n">
        <x:v>279.3138219764652</x:v>
      </x:c>
      <x:c r="F1466" s="65" t="n">
        <x:v>279.31382197646514</x:v>
      </x:c>
      <x:c r="G1466" s="65" t="n">
        <x:v>718.0303906850006</x:v>
      </x:c>
      <x:c r="H1466" s="43" t="n">
        <x:v>1</x:v>
      </x:c>
      <x:c r="I1466" s="34" t="str">
        <x:v>generated design-reference observation; not predicted tract behavior</x:v>
      </x:c>
    </x:row>
    <x:row r="1467" ht="75.5999984741211" hidden="0" customHeight="1">
      <x:c r="A1467" s="36" t="str">
        <x:v>B1</x:v>
      </x:c>
      <x:c r="B1467" s="36" t="str">
        <x:v>48201330801</x:v>
      </x:c>
      <x:c r="C1467" s="66" t="n">
        <x:v>545.9382538777284</x:v>
      </x:c>
      <x:c r="D1467" s="66" t="n">
        <x:v>322.6226579218468</x:v>
      </x:c>
      <x:c r="E1467" s="66" t="n">
        <x:v>223.31559595588158</x:v>
      </x:c>
      <x:c r="F1467" s="66" t="n">
        <x:v>223.31559595588158</x:v>
      </x:c>
      <x:c r="G1467" s="66" t="n">
        <x:v>545.9382538777284</x:v>
      </x:c>
      <x:c r="H1467" s="45" t="n">
        <x:v>1</x:v>
      </x:c>
      <x:c r="I1467" s="36" t="str">
        <x:v>generated design-reference observation; not predicted tract behavior</x:v>
      </x:c>
    </x:row>
    <x:row r="1468" ht="75.5999984741211" hidden="0" customHeight="1">
      <x:c r="A1468" s="34" t="str">
        <x:v>B1</x:v>
      </x:c>
      <x:c r="B1468" s="34" t="str">
        <x:v>48201330802</x:v>
      </x:c>
      <x:c r="C1468" s="65" t="n">
        <x:v>1455.7053592390837</x:v>
      </x:c>
      <x:c r="D1468" s="65" t="n">
        <x:v>770.8098643908389</x:v>
      </x:c>
      <x:c r="E1468" s="65" t="n">
        <x:v>684.8954948482448</x:v>
      </x:c>
      <x:c r="F1468" s="65" t="n">
        <x:v>684.8954948482448</x:v>
      </x:c>
      <x:c r="G1468" s="65" t="n">
        <x:v>1455.7053592390837</x:v>
      </x:c>
      <x:c r="H1468" s="43" t="n">
        <x:v>1</x:v>
      </x:c>
      <x:c r="I1468" s="34" t="str">
        <x:v>generated design-reference observation; not predicted tract behavior</x:v>
      </x:c>
    </x:row>
    <x:row r="1469" ht="75.5999984741211" hidden="0" customHeight="1">
      <x:c r="A1469" s="36" t="str">
        <x:v>B1</x:v>
      </x:c>
      <x:c r="B1469" s="36" t="str">
        <x:v>48201330901</x:v>
      </x:c>
      <x:c r="C1469" s="66" t="n">
        <x:v>834.1862954107347</x:v>
      </x:c>
      <x:c r="D1469" s="66" t="n">
        <x:v>507.60793965013545</x:v>
      </x:c>
      <x:c r="E1469" s="66" t="n">
        <x:v>326.57835576059927</x:v>
      </x:c>
      <x:c r="F1469" s="66" t="n">
        <x:v>326.57835576059927</x:v>
      </x:c>
      <x:c r="G1469" s="66" t="n">
        <x:v>834.1862954107347</x:v>
      </x:c>
      <x:c r="H1469" s="45" t="n">
        <x:v>1</x:v>
      </x:c>
      <x:c r="I1469" s="36" t="str">
        <x:v>generated design-reference observation; not predicted tract behavior</x:v>
      </x:c>
    </x:row>
    <x:row r="1470" ht="75.5999984741211" hidden="0" customHeight="1">
      <x:c r="A1470" s="34" t="str">
        <x:v>B1</x:v>
      </x:c>
      <x:c r="B1470" s="34" t="str">
        <x:v>48201330902</x:v>
      </x:c>
      <x:c r="C1470" s="65" t="n">
        <x:v>289.4741272720423</x:v>
      </x:c>
      <x:c r="D1470" s="65" t="n">
        <x:v>176.15688425480946</x:v>
      </x:c>
      <x:c r="E1470" s="65" t="n">
        <x:v>113.31724301723287</x:v>
      </x:c>
      <x:c r="F1470" s="65" t="n">
        <x:v>113.31724301723287</x:v>
      </x:c>
      <x:c r="G1470" s="65" t="n">
        <x:v>289.4741272720423</x:v>
      </x:c>
      <x:c r="H1470" s="43" t="n">
        <x:v>1</x:v>
      </x:c>
      <x:c r="I1470" s="34" t="str">
        <x:v>generated design-reference observation; not predicted tract behavior</x:v>
      </x:c>
    </x:row>
    <x:row r="1471" ht="75.5999984741211" hidden="0" customHeight="1">
      <x:c r="A1471" s="36" t="str">
        <x:v>B1</x:v>
      </x:c>
      <x:c r="B1471" s="36" t="str">
        <x:v>48201331100</x:v>
      </x:c>
      <x:c r="C1471" s="66" t="n">
        <x:v>342.2429711944038</x:v>
      </x:c>
      <x:c r="D1471" s="66" t="n">
        <x:v>205.8028696402725</x:v>
      </x:c>
      <x:c r="E1471" s="66" t="n">
        <x:v>136.44010155413133</x:v>
      </x:c>
      <x:c r="F1471" s="66" t="n">
        <x:v>136.44010155413133</x:v>
      </x:c>
      <x:c r="G1471" s="66" t="n">
        <x:v>342.2429711944038</x:v>
      </x:c>
      <x:c r="H1471" s="45" t="n">
        <x:v>1</x:v>
      </x:c>
      <x:c r="I1471" s="36" t="str">
        <x:v>generated design-reference observation; not predicted tract behavior</x:v>
      </x:c>
    </x:row>
    <x:row r="1472" ht="75.5999984741211" hidden="0" customHeight="1">
      <x:c r="A1472" s="34" t="str">
        <x:v>B1</x:v>
      </x:c>
      <x:c r="B1472" s="34" t="str">
        <x:v>48201331200</x:v>
      </x:c>
      <x:c r="C1472" s="65" t="n">
        <x:v>425.7386240703654</x:v>
      </x:c>
      <x:c r="D1472" s="65" t="n">
        <x:v>250.88816905123088</x:v>
      </x:c>
      <x:c r="E1472" s="65" t="n">
        <x:v>174.85045501913453</x:v>
      </x:c>
      <x:c r="F1472" s="65" t="n">
        <x:v>174.85045501913453</x:v>
      </x:c>
      <x:c r="G1472" s="65" t="n">
        <x:v>425.7386240703654</x:v>
      </x:c>
      <x:c r="H1472" s="43" t="n">
        <x:v>1</x:v>
      </x:c>
      <x:c r="I1472" s="34" t="str">
        <x:v>generated design-reference observation; not predicted tract behavior</x:v>
      </x:c>
    </x:row>
    <x:row r="1473" ht="75.5999984741211" hidden="0" customHeight="1">
      <x:c r="A1473" s="36" t="str">
        <x:v>B1</x:v>
      </x:c>
      <x:c r="B1473" s="36" t="str">
        <x:v>48201331300</x:v>
      </x:c>
      <x:c r="C1473" s="66" t="n">
        <x:v>859.6194126823821</x:v>
      </x:c>
      <x:c r="D1473" s="66" t="n">
        <x:v>453.1085205886852</x:v>
      </x:c>
      <x:c r="E1473" s="66" t="n">
        <x:v>406.51089209369684</x:v>
      </x:c>
      <x:c r="F1473" s="66" t="n">
        <x:v>406.51089209369684</x:v>
      </x:c>
      <x:c r="G1473" s="66" t="n">
        <x:v>859.6194126823821</x:v>
      </x:c>
      <x:c r="H1473" s="45" t="n">
        <x:v>1</x:v>
      </x:c>
      <x:c r="I1473" s="36" t="str">
        <x:v>generated design-reference observation; not predicted tract behavior</x:v>
      </x:c>
    </x:row>
    <x:row r="1474" ht="75.5999984741211" hidden="0" customHeight="1">
      <x:c r="A1474" s="34" t="str">
        <x:v>B1</x:v>
      </x:c>
      <x:c r="B1474" s="34" t="str">
        <x:v>48201331400</x:v>
      </x:c>
      <x:c r="C1474" s="65" t="n">
        <x:v>283.7248854893187</x:v>
      </x:c>
      <x:c r="D1474" s="65" t="n">
        <x:v>156.02031453057637</x:v>
      </x:c>
      <x:c r="E1474" s="65" t="n">
        <x:v>127.70457095874232</x:v>
      </x:c>
      <x:c r="F1474" s="65" t="n">
        <x:v>127.70457095874232</x:v>
      </x:c>
      <x:c r="G1474" s="65" t="n">
        <x:v>283.7248854893187</x:v>
      </x:c>
      <x:c r="H1474" s="43" t="n">
        <x:v>1</x:v>
      </x:c>
      <x:c r="I1474" s="34" t="str">
        <x:v>generated design-reference observation; not predicted tract behavior</x:v>
      </x:c>
    </x:row>
    <x:row r="1475" ht="75.5999984741211" hidden="0" customHeight="1">
      <x:c r="A1475" s="36" t="str">
        <x:v>B1</x:v>
      </x:c>
      <x:c r="B1475" s="36" t="str">
        <x:v>48201331501</x:v>
      </x:c>
      <x:c r="C1475" s="66" t="n">
        <x:v>657.5265660204161</x:v>
      </x:c>
      <x:c r="D1475" s="66" t="n">
        <x:v>350.46165968888187</x:v>
      </x:c>
      <x:c r="E1475" s="66" t="n">
        <x:v>307.06490633153425</x:v>
      </x:c>
      <x:c r="F1475" s="66" t="n">
        <x:v>307.06490633153425</x:v>
      </x:c>
      <x:c r="G1475" s="66" t="n">
        <x:v>657.5265660204161</x:v>
      </x:c>
      <x:c r="H1475" s="45" t="n">
        <x:v>1</x:v>
      </x:c>
      <x:c r="I1475" s="36" t="str">
        <x:v>generated design-reference observation; not predicted tract behavior</x:v>
      </x:c>
    </x:row>
    <x:row r="1476" ht="75.5999984741211" hidden="0" customHeight="1">
      <x:c r="A1476" s="34" t="str">
        <x:v>B1</x:v>
      </x:c>
      <x:c r="B1476" s="34" t="str">
        <x:v>48201331502</x:v>
      </x:c>
      <x:c r="C1476" s="65" t="n">
        <x:v>500.5730815333925</x:v>
      </x:c>
      <x:c r="D1476" s="65" t="n">
        <x:v>305.85015281690283</x:v>
      </x:c>
      <x:c r="E1476" s="65" t="n">
        <x:v>194.72292871648966</x:v>
      </x:c>
      <x:c r="F1476" s="65" t="n">
        <x:v>194.72292871648966</x:v>
      </x:c>
      <x:c r="G1476" s="65" t="n">
        <x:v>500.5730815333925</x:v>
      </x:c>
      <x:c r="H1476" s="43" t="n">
        <x:v>1</x:v>
      </x:c>
      <x:c r="I1476" s="34" t="str">
        <x:v>generated design-reference observation; not predicted tract behavior</x:v>
      </x:c>
    </x:row>
    <x:row r="1477" ht="75.5999984741211" hidden="0" customHeight="1">
      <x:c r="A1477" s="36" t="str">
        <x:v>B1</x:v>
      </x:c>
      <x:c r="B1477" s="36" t="str">
        <x:v>48201331602</x:v>
      </x:c>
      <x:c r="C1477" s="66" t="n">
        <x:v>271.2793292857054</x:v>
      </x:c>
      <x:c r="D1477" s="66" t="n">
        <x:v>163.96819559834267</x:v>
      </x:c>
      <x:c r="E1477" s="66" t="n">
        <x:v>107.31113368736271</x:v>
      </x:c>
      <x:c r="F1477" s="66" t="n">
        <x:v>107.31113368736271</x:v>
      </x:c>
      <x:c r="G1477" s="66" t="n">
        <x:v>271.2793292857054</x:v>
      </x:c>
      <x:c r="H1477" s="45" t="n">
        <x:v>1</x:v>
      </x:c>
      <x:c r="I1477" s="36" t="str">
        <x:v>generated design-reference observation; not predicted tract behavior</x:v>
      </x:c>
    </x:row>
    <x:row r="1478" ht="75.5999984741211" hidden="0" customHeight="1">
      <x:c r="A1478" s="34" t="str">
        <x:v>B1</x:v>
      </x:c>
      <x:c r="B1478" s="34" t="str">
        <x:v>48201331603</x:v>
      </x:c>
      <x:c r="C1478" s="65" t="n">
        <x:v>369.3347503127207</x:v>
      </x:c>
      <x:c r="D1478" s="65" t="n">
        <x:v>225.66353244107233</x:v>
      </x:c>
      <x:c r="E1478" s="65" t="n">
        <x:v>143.67121787164837</x:v>
      </x:c>
      <x:c r="F1478" s="65" t="n">
        <x:v>143.67121787164837</x:v>
      </x:c>
      <x:c r="G1478" s="65" t="n">
        <x:v>369.3347503127207</x:v>
      </x:c>
      <x:c r="H1478" s="43" t="n">
        <x:v>1</x:v>
      </x:c>
      <x:c r="I1478" s="34" t="str">
        <x:v>generated design-reference observation; not predicted tract behavior</x:v>
      </x:c>
    </x:row>
    <x:row r="1479" ht="75.5999984741211" hidden="0" customHeight="1">
      <x:c r="A1479" s="36" t="str">
        <x:v>B1</x:v>
      </x:c>
      <x:c r="B1479" s="36" t="str">
        <x:v>48201331604</x:v>
      </x:c>
      <x:c r="C1479" s="66" t="n">
        <x:v>225.80412360581514</x:v>
      </x:c>
      <x:c r="D1479" s="66" t="n">
        <x:v>134.7861599916835</x:v>
      </x:c>
      <x:c r="E1479" s="66" t="n">
        <x:v>91.01796361413165</x:v>
      </x:c>
      <x:c r="F1479" s="66" t="n">
        <x:v>91.01796361413165</x:v>
      </x:c>
      <x:c r="G1479" s="66" t="n">
        <x:v>225.80412360581514</x:v>
      </x:c>
      <x:c r="H1479" s="45" t="n">
        <x:v>1</x:v>
      </x:c>
      <x:c r="I1479" s="36" t="str">
        <x:v>generated design-reference observation; not predicted tract behavior</x:v>
      </x:c>
    </x:row>
    <x:row r="1480" ht="75.5999984741211" hidden="0" customHeight="1">
      <x:c r="A1480" s="34" t="str">
        <x:v>B1</x:v>
      </x:c>
      <x:c r="B1480" s="34" t="str">
        <x:v>48201331700</x:v>
      </x:c>
      <x:c r="C1480" s="65" t="n">
        <x:v>317.4108052169387</x:v>
      </x:c>
      <x:c r="D1480" s="65" t="n">
        <x:v>191.29281481289968</x:v>
      </x:c>
      <x:c r="E1480" s="65" t="n">
        <x:v>126.117990404039</x:v>
      </x:c>
      <x:c r="F1480" s="65" t="n">
        <x:v>126.117990404039</x:v>
      </x:c>
      <x:c r="G1480" s="65" t="n">
        <x:v>317.4108052169387</x:v>
      </x:c>
      <x:c r="H1480" s="43" t="n">
        <x:v>1</x:v>
      </x:c>
      <x:c r="I1480" s="34" t="str">
        <x:v>generated design-reference observation; not predicted tract behavior</x:v>
      </x:c>
    </x:row>
    <x:row r="1481" ht="75.5999984741211" hidden="0" customHeight="1">
      <x:c r="A1481" s="36" t="str">
        <x:v>B1</x:v>
      </x:c>
      <x:c r="B1481" s="36" t="str">
        <x:v>48201331800</x:v>
      </x:c>
      <x:c r="C1481" s="66" t="n">
        <x:v>346.1688034165098</x:v>
      </x:c>
      <x:c r="D1481" s="66" t="n">
        <x:v>210.73845781461807</x:v>
      </x:c>
      <x:c r="E1481" s="66" t="n">
        <x:v>135.4303456018917</x:v>
      </x:c>
      <x:c r="F1481" s="66" t="n">
        <x:v>135.4303456018917</x:v>
      </x:c>
      <x:c r="G1481" s="66" t="n">
        <x:v>346.1688034165098</x:v>
      </x:c>
      <x:c r="H1481" s="45" t="n">
        <x:v>1</x:v>
      </x:c>
      <x:c r="I1481" s="36" t="str">
        <x:v>generated design-reference observation; not predicted tract behavior</x:v>
      </x:c>
    </x:row>
    <x:row r="1482" ht="75.5999984741211" hidden="0" customHeight="1">
      <x:c r="A1482" s="34" t="str">
        <x:v>B1</x:v>
      </x:c>
      <x:c r="B1482" s="34" t="str">
        <x:v>48201331900</x:v>
      </x:c>
      <x:c r="C1482" s="65" t="n">
        <x:v>276.364441293118</x:v>
      </x:c>
      <x:c r="D1482" s="65" t="n">
        <x:v>168.8586736300951</x:v>
      </x:c>
      <x:c r="E1482" s="65" t="n">
        <x:v>107.50576766302288</x:v>
      </x:c>
      <x:c r="F1482" s="65" t="n">
        <x:v>107.50576766302288</x:v>
      </x:c>
      <x:c r="G1482" s="65" t="n">
        <x:v>276.364441293118</x:v>
      </x:c>
      <x:c r="H1482" s="43" t="n">
        <x:v>1</x:v>
      </x:c>
      <x:c r="I1482" s="34" t="str">
        <x:v>generated design-reference observation; not predicted tract behavior</x:v>
      </x:c>
    </x:row>
    <x:row r="1483" ht="75.5999984741211" hidden="0" customHeight="1">
      <x:c r="A1483" s="36" t="str">
        <x:v>B1</x:v>
      </x:c>
      <x:c r="B1483" s="36" t="str">
        <x:v>48201332000</x:v>
      </x:c>
      <x:c r="C1483" s="66" t="n">
        <x:v>489.22392892334045</x:v>
      </x:c>
      <x:c r="D1483" s="66" t="n">
        <x:v>287.671161159333</x:v>
      </x:c>
      <x:c r="E1483" s="66" t="n">
        <x:v>201.55276776400746</x:v>
      </x:c>
      <x:c r="F1483" s="66" t="n">
        <x:v>201.55276776400746</x:v>
      </x:c>
      <x:c r="G1483" s="66" t="n">
        <x:v>489.22392892334045</x:v>
      </x:c>
      <x:c r="H1483" s="45" t="n">
        <x:v>1</x:v>
      </x:c>
      <x:c r="I1483" s="36" t="str">
        <x:v>generated design-reference observation; not predicted tract behavior</x:v>
      </x:c>
    </x:row>
    <x:row r="1484" ht="75.5999984741211" hidden="0" customHeight="1">
      <x:c r="A1484" s="34" t="str">
        <x:v>B1</x:v>
      </x:c>
      <x:c r="B1484" s="34" t="str">
        <x:v>48201332100</x:v>
      </x:c>
      <x:c r="C1484" s="65" t="n">
        <x:v>255.01011467157255</x:v>
      </x:c>
      <x:c r="D1484" s="65" t="n">
        <x:v>155.8111800643308</x:v>
      </x:c>
      <x:c r="E1484" s="65" t="n">
        <x:v>99.19893460724174</x:v>
      </x:c>
      <x:c r="F1484" s="65" t="n">
        <x:v>99.19893460724174</x:v>
      </x:c>
      <x:c r="G1484" s="65" t="n">
        <x:v>255.01011467157255</x:v>
      </x:c>
      <x:c r="H1484" s="43" t="n">
        <x:v>1</x:v>
      </x:c>
      <x:c r="I1484" s="34" t="str">
        <x:v>generated design-reference observation; not predicted tract behavior</x:v>
      </x:c>
    </x:row>
    <x:row r="1485" ht="75.5999984741211" hidden="0" customHeight="1">
      <x:c r="A1485" s="36" t="str">
        <x:v>B1</x:v>
      </x:c>
      <x:c r="B1485" s="36" t="str">
        <x:v>48201332200</x:v>
      </x:c>
      <x:c r="C1485" s="66" t="n">
        <x:v>398.8787009091098</x:v>
      </x:c>
      <x:c r="D1485" s="66" t="n">
        <x:v>243.71488625546607</x:v>
      </x:c>
      <x:c r="E1485" s="66" t="n">
        <x:v>155.16381465364373</x:v>
      </x:c>
      <x:c r="F1485" s="66" t="n">
        <x:v>155.16381465364373</x:v>
      </x:c>
      <x:c r="G1485" s="66" t="n">
        <x:v>398.8787009091098</x:v>
      </x:c>
      <x:c r="H1485" s="45" t="n">
        <x:v>1</x:v>
      </x:c>
      <x:c r="I1485" s="36" t="str">
        <x:v>generated design-reference observation; not predicted tract behavior</x:v>
      </x:c>
    </x:row>
    <x:row r="1486" ht="75.5999984741211" hidden="0" customHeight="1">
      <x:c r="A1486" s="34" t="str">
        <x:v>B1</x:v>
      </x:c>
      <x:c r="B1486" s="34" t="str">
        <x:v>48201332300</x:v>
      </x:c>
      <x:c r="C1486" s="65" t="n">
        <x:v>517.1397489007827</x:v>
      </x:c>
      <x:c r="D1486" s="65" t="n">
        <x:v>149.24832269175408</x:v>
      </x:c>
      <x:c r="E1486" s="65" t="n">
        <x:v>367.8914262090286</x:v>
      </x:c>
      <x:c r="F1486" s="65" t="n">
        <x:v>367.8914262090286</x:v>
      </x:c>
      <x:c r="G1486" s="65" t="n">
        <x:v>517.1397489007827</x:v>
      </x:c>
      <x:c r="H1486" s="43" t="n">
        <x:v>1</x:v>
      </x:c>
      <x:c r="I1486" s="34" t="str">
        <x:v>generated design-reference observation; not predicted tract behavior</x:v>
      </x:c>
    </x:row>
    <x:row r="1487" ht="75.5999984741211" hidden="0" customHeight="1">
      <x:c r="A1487" s="36" t="str">
        <x:v>B1</x:v>
      </x:c>
      <x:c r="B1487" s="36" t="str">
        <x:v>48201332400</x:v>
      </x:c>
      <x:c r="C1487" s="66" t="n">
        <x:v>330.82308286863815</x:v>
      </x:c>
      <x:c r="D1487" s="66" t="n">
        <x:v>202.1329036327379</x:v>
      </x:c>
      <x:c r="E1487" s="66" t="n">
        <x:v>128.69017923590025</x:v>
      </x:c>
      <x:c r="F1487" s="66" t="n">
        <x:v>128.69017923590025</x:v>
      </x:c>
      <x:c r="G1487" s="66" t="n">
        <x:v>330.82308286863815</x:v>
      </x:c>
      <x:c r="H1487" s="45" t="n">
        <x:v>1</x:v>
      </x:c>
      <x:c r="I1487" s="36" t="str">
        <x:v>generated design-reference observation; not predicted tract behavior</x:v>
      </x:c>
    </x:row>
    <x:row r="1488" ht="75.5999984741211" hidden="0" customHeight="1">
      <x:c r="A1488" s="34" t="str">
        <x:v>B1</x:v>
      </x:c>
      <x:c r="B1488" s="34" t="str">
        <x:v>48201332500</x:v>
      </x:c>
      <x:c r="C1488" s="65" t="n">
        <x:v>484.5444892684393</x:v>
      </x:c>
      <x:c r="D1488" s="65" t="n">
        <x:v>258.2622127800782</x:v>
      </x:c>
      <x:c r="E1488" s="65" t="n">
        <x:v>226.2822764883611</x:v>
      </x:c>
      <x:c r="F1488" s="65" t="n">
        <x:v>226.2822764883611</x:v>
      </x:c>
      <x:c r="G1488" s="65" t="n">
        <x:v>484.5444892684393</x:v>
      </x:c>
      <x:c r="H1488" s="43" t="n">
        <x:v>1</x:v>
      </x:c>
      <x:c r="I1488" s="34" t="str">
        <x:v>generated design-reference observation; not predicted tract behavior</x:v>
      </x:c>
    </x:row>
    <x:row r="1489" ht="75.5999984741211" hidden="0" customHeight="1">
      <x:c r="A1489" s="36" t="str">
        <x:v>B1</x:v>
      </x:c>
      <x:c r="B1489" s="36" t="str">
        <x:v>48201332600</x:v>
      </x:c>
      <x:c r="C1489" s="66" t="n">
        <x:v>514.0128675189806</x:v>
      </x:c>
      <x:c r="D1489" s="66" t="n">
        <x:v>298.4870621956954</x:v>
      </x:c>
      <x:c r="E1489" s="66" t="n">
        <x:v>215.52580532328517</x:v>
      </x:c>
      <x:c r="F1489" s="66" t="n">
        <x:v>215.52580532328517</x:v>
      </x:c>
      <x:c r="G1489" s="66" t="n">
        <x:v>514.0128675189806</x:v>
      </x:c>
      <x:c r="H1489" s="45" t="n">
        <x:v>1</x:v>
      </x:c>
      <x:c r="I1489" s="36" t="str">
        <x:v>generated design-reference observation; not predicted tract behavior</x:v>
      </x:c>
    </x:row>
    <x:row r="1490" ht="75.5999984741211" hidden="0" customHeight="1">
      <x:c r="A1490" s="34" t="str">
        <x:v>B1</x:v>
      </x:c>
      <x:c r="B1490" s="34" t="str">
        <x:v>48201332700</x:v>
      </x:c>
      <x:c r="C1490" s="65" t="n">
        <x:v>188.34956213545277</x:v>
      </x:c>
      <x:c r="D1490" s="65" t="n">
        <x:v>115.08158246476164</x:v>
      </x:c>
      <x:c r="E1490" s="65" t="n">
        <x:v>73.26797967069113</x:v>
      </x:c>
      <x:c r="F1490" s="65" t="n">
        <x:v>73.26797967069113</x:v>
      </x:c>
      <x:c r="G1490" s="65" t="n">
        <x:v>188.34956213545277</x:v>
      </x:c>
      <x:c r="H1490" s="43" t="n">
        <x:v>1</x:v>
      </x:c>
      <x:c r="I1490" s="34" t="str">
        <x:v>generated design-reference observation; not predicted tract behavior</x:v>
      </x:c>
    </x:row>
    <x:row r="1491" ht="75.5999984741211" hidden="0" customHeight="1">
      <x:c r="A1491" s="36" t="str">
        <x:v>B1</x:v>
      </x:c>
      <x:c r="B1491" s="36" t="str">
        <x:v>48201332800</x:v>
      </x:c>
      <x:c r="C1491" s="66" t="n">
        <x:v>357.01101673061424</x:v>
      </x:c>
      <x:c r="D1491" s="66" t="n">
        <x:v>213.42888603917694</x:v>
      </x:c>
      <x:c r="E1491" s="66" t="n">
        <x:v>143.5821306914373</x:v>
      </x:c>
      <x:c r="F1491" s="66" t="n">
        <x:v>143.5821306914373</x:v>
      </x:c>
      <x:c r="G1491" s="66" t="n">
        <x:v>357.01101673061424</x:v>
      </x:c>
      <x:c r="H1491" s="45" t="n">
        <x:v>1</x:v>
      </x:c>
      <x:c r="I1491" s="36" t="str">
        <x:v>generated design-reference observation; not predicted tract behavior</x:v>
      </x:c>
    </x:row>
    <x:row r="1492" ht="75.5999984741211" hidden="0" customHeight="1">
      <x:c r="A1492" s="34" t="str">
        <x:v>B1</x:v>
      </x:c>
      <x:c r="B1492" s="34" t="str">
        <x:v>48201332900</x:v>
      </x:c>
      <x:c r="C1492" s="65" t="n">
        <x:v>787.3477646117485</x:v>
      </x:c>
      <x:c r="D1492" s="65" t="n">
        <x:v>226.79615515879217</x:v>
      </x:c>
      <x:c r="E1492" s="65" t="n">
        <x:v>560.5516094529563</x:v>
      </x:c>
      <x:c r="F1492" s="65" t="n">
        <x:v>560.5516094529563</x:v>
      </x:c>
      <x:c r="G1492" s="65" t="n">
        <x:v>787.3477646117485</x:v>
      </x:c>
      <x:c r="H1492" s="43" t="n">
        <x:v>1</x:v>
      </x:c>
      <x:c r="I1492" s="34" t="str">
        <x:v>generated design-reference observation; not predicted tract behavior</x:v>
      </x:c>
    </x:row>
    <x:row r="1493" ht="75.5999984741211" hidden="0" customHeight="1">
      <x:c r="A1493" s="36" t="str">
        <x:v>B1</x:v>
      </x:c>
      <x:c r="B1493" s="36" t="str">
        <x:v>48201333000</x:v>
      </x:c>
      <x:c r="C1493" s="66" t="n">
        <x:v>283.54018667606647</x:v>
      </x:c>
      <x:c r="D1493" s="66" t="n">
        <x:v>172.30321832277056</x:v>
      </x:c>
      <x:c r="E1493" s="66" t="n">
        <x:v>111.23696835329591</x:v>
      </x:c>
      <x:c r="F1493" s="66" t="n">
        <x:v>111.23696835329591</x:v>
      </x:c>
      <x:c r="G1493" s="66" t="n">
        <x:v>283.54018667606647</x:v>
      </x:c>
      <x:c r="H1493" s="45" t="n">
        <x:v>1</x:v>
      </x:c>
      <x:c r="I1493" s="36" t="str">
        <x:v>generated design-reference observation; not predicted tract behavior</x:v>
      </x:c>
    </x:row>
    <x:row r="1494" ht="75.5999984741211" hidden="0" customHeight="1">
      <x:c r="A1494" s="34" t="str">
        <x:v>B1</x:v>
      </x:c>
      <x:c r="B1494" s="34" t="str">
        <x:v>48201333100</x:v>
      </x:c>
      <x:c r="C1494" s="65" t="n">
        <x:v>500.3061600078578</x:v>
      </x:c>
      <x:c r="D1494" s="65" t="n">
        <x:v>252.856257043078</x:v>
      </x:c>
      <x:c r="E1494" s="65" t="n">
        <x:v>247.4499029647798</x:v>
      </x:c>
      <x:c r="F1494" s="65" t="n">
        <x:v>247.4499029647798</x:v>
      </x:c>
      <x:c r="G1494" s="65" t="n">
        <x:v>500.3061600078578</x:v>
      </x:c>
      <x:c r="H1494" s="43" t="n">
        <x:v>1</x:v>
      </x:c>
      <x:c r="I1494" s="34" t="str">
        <x:v>generated design-reference observation; not predicted tract behavior</x:v>
      </x:c>
    </x:row>
    <x:row r="1495" ht="75.5999984741211" hidden="0" customHeight="1">
      <x:c r="A1495" s="36" t="str">
        <x:v>B1</x:v>
      </x:c>
      <x:c r="B1495" s="36" t="str">
        <x:v>48201333201</x:v>
      </x:c>
      <x:c r="C1495" s="66" t="n">
        <x:v>422.9249144897569</x:v>
      </x:c>
      <x:c r="D1495" s="66" t="n">
        <x:v>251.72568436463857</x:v>
      </x:c>
      <x:c r="E1495" s="66" t="n">
        <x:v>171.1992301251183</x:v>
      </x:c>
      <x:c r="F1495" s="66" t="n">
        <x:v>171.1992301251183</x:v>
      </x:c>
      <x:c r="G1495" s="66" t="n">
        <x:v>422.9249144897569</x:v>
      </x:c>
      <x:c r="H1495" s="45" t="n">
        <x:v>1</x:v>
      </x:c>
      <x:c r="I1495" s="36" t="str">
        <x:v>generated design-reference observation; not predicted tract behavior</x:v>
      </x:c>
    </x:row>
    <x:row r="1496" ht="75.5999984741211" hidden="0" customHeight="1">
      <x:c r="A1496" s="34" t="str">
        <x:v>B1</x:v>
      </x:c>
      <x:c r="B1496" s="34" t="str">
        <x:v>48201333203</x:v>
      </x:c>
      <x:c r="C1496" s="65" t="n">
        <x:v>382.4420179765779</x:v>
      </x:c>
      <x:c r="D1496" s="65" t="n">
        <x:v>108.54158856731293</x:v>
      </x:c>
      <x:c r="E1496" s="65" t="n">
        <x:v>273.900429409265</x:v>
      </x:c>
      <x:c r="F1496" s="65" t="n">
        <x:v>273.900429409265</x:v>
      </x:c>
      <x:c r="G1496" s="65" t="n">
        <x:v>382.4420179765779</x:v>
      </x:c>
      <x:c r="H1496" s="43" t="n">
        <x:v>1</x:v>
      </x:c>
      <x:c r="I1496" s="34" t="str">
        <x:v>generated design-reference observation; not predicted tract behavior</x:v>
      </x:c>
    </x:row>
    <x:row r="1497" ht="75.5999984741211" hidden="0" customHeight="1">
      <x:c r="A1497" s="36" t="str">
        <x:v>B1</x:v>
      </x:c>
      <x:c r="B1497" s="36" t="str">
        <x:v>48201333204</x:v>
      </x:c>
      <x:c r="C1497" s="66" t="n">
        <x:v>187.74044902791883</x:v>
      </x:c>
      <x:c r="D1497" s="66" t="n">
        <x:v>110.61802824226463</x:v>
      </x:c>
      <x:c r="E1497" s="66" t="n">
        <x:v>77.1224207856542</x:v>
      </x:c>
      <x:c r="F1497" s="66" t="n">
        <x:v>77.1224207856542</x:v>
      </x:c>
      <x:c r="G1497" s="66" t="n">
        <x:v>187.74044902791883</x:v>
      </x:c>
      <x:c r="H1497" s="45" t="n">
        <x:v>1</x:v>
      </x:c>
      <x:c r="I1497" s="36" t="str">
        <x:v>generated design-reference observation; not predicted tract behavior</x:v>
      </x:c>
    </x:row>
    <x:row r="1498" ht="75.5999984741211" hidden="0" customHeight="1">
      <x:c r="A1498" s="34" t="str">
        <x:v>B1</x:v>
      </x:c>
      <x:c r="B1498" s="34" t="str">
        <x:v>48201333205</x:v>
      </x:c>
      <x:c r="C1498" s="65" t="n">
        <x:v>112.82346656322578</x:v>
      </x:c>
      <x:c r="D1498" s="65" t="n">
        <x:v>63.16673143887388</x:v>
      </x:c>
      <x:c r="E1498" s="65" t="n">
        <x:v>49.6567351243519</x:v>
      </x:c>
      <x:c r="F1498" s="65" t="n">
        <x:v>49.6567351243519</x:v>
      </x:c>
      <x:c r="G1498" s="65" t="n">
        <x:v>112.82346656322578</x:v>
      </x:c>
      <x:c r="H1498" s="43" t="n">
        <x:v>1</x:v>
      </x:c>
      <x:c r="I1498" s="34" t="str">
        <x:v>generated design-reference observation; not predicted tract behavior</x:v>
      </x:c>
    </x:row>
    <x:row r="1499" ht="75.5999984741211" hidden="0" customHeight="1">
      <x:c r="A1499" s="36" t="str">
        <x:v>B1</x:v>
      </x:c>
      <x:c r="B1499" s="36" t="str">
        <x:v>48201333301</x:v>
      </x:c>
      <x:c r="C1499" s="66" t="n">
        <x:v>376.2747099766238</x:v>
      </x:c>
      <x:c r="D1499" s="66" t="n">
        <x:v>213.75329903508003</x:v>
      </x:c>
      <x:c r="E1499" s="66" t="n">
        <x:v>162.52141094154376</x:v>
      </x:c>
      <x:c r="F1499" s="66" t="n">
        <x:v>162.52141094154376</x:v>
      </x:c>
      <x:c r="G1499" s="66" t="n">
        <x:v>376.2747099766238</x:v>
      </x:c>
      <x:c r="H1499" s="45" t="n">
        <x:v>1</x:v>
      </x:c>
      <x:c r="I1499" s="36" t="str">
        <x:v>generated design-reference observation; not predicted tract behavior</x:v>
      </x:c>
    </x:row>
    <x:row r="1500" ht="75.5999984741211" hidden="0" customHeight="1">
      <x:c r="A1500" s="34" t="str">
        <x:v>B1</x:v>
      </x:c>
      <x:c r="B1500" s="34" t="str">
        <x:v>48201333302</x:v>
      </x:c>
      <x:c r="C1500" s="65" t="n">
        <x:v>290.0007153779104</x:v>
      </x:c>
      <x:c r="D1500" s="65" t="n">
        <x:v>174.15375436932393</x:v>
      </x:c>
      <x:c r="E1500" s="65" t="n">
        <x:v>115.84696100858648</x:v>
      </x:c>
      <x:c r="F1500" s="65" t="n">
        <x:v>115.84696100858648</x:v>
      </x:c>
      <x:c r="G1500" s="65" t="n">
        <x:v>290.0007153779104</x:v>
      </x:c>
      <x:c r="H1500" s="43" t="n">
        <x:v>1</x:v>
      </x:c>
      <x:c r="I1500" s="34" t="str">
        <x:v>generated design-reference observation; not predicted tract behavior</x:v>
      </x:c>
    </x:row>
    <x:row r="1501" ht="75.5999984741211" hidden="0" customHeight="1">
      <x:c r="A1501" s="36" t="str">
        <x:v>B1</x:v>
      </x:c>
      <x:c r="B1501" s="36" t="str">
        <x:v>48201333501</x:v>
      </x:c>
      <x:c r="C1501" s="66" t="n">
        <x:v>267.39672444542447</x:v>
      </x:c>
      <x:c r="D1501" s="66" t="n">
        <x:v>156.57707696697307</x:v>
      </x:c>
      <x:c r="E1501" s="66" t="n">
        <x:v>110.8196474784514</x:v>
      </x:c>
      <x:c r="F1501" s="66" t="n">
        <x:v>110.8196474784514</x:v>
      </x:c>
      <x:c r="G1501" s="66" t="n">
        <x:v>267.39672444542447</x:v>
      </x:c>
      <x:c r="H1501" s="45" t="n">
        <x:v>1</x:v>
      </x:c>
      <x:c r="I1501" s="36" t="str">
        <x:v>generated design-reference observation; not predicted tract behavior</x:v>
      </x:c>
    </x:row>
    <x:row r="1502" ht="75.5999984741211" hidden="0" customHeight="1">
      <x:c r="A1502" s="34" t="str">
        <x:v>B1</x:v>
      </x:c>
      <x:c r="B1502" s="34" t="str">
        <x:v>48201333502</x:v>
      </x:c>
      <x:c r="C1502" s="65" t="n">
        <x:v>200.8344159589069</x:v>
      </x:c>
      <x:c r="D1502" s="65" t="n">
        <x:v>119.97661620135946</x:v>
      </x:c>
      <x:c r="E1502" s="65" t="n">
        <x:v>80.85779975754744</x:v>
      </x:c>
      <x:c r="F1502" s="65" t="n">
        <x:v>80.85779975754744</x:v>
      </x:c>
      <x:c r="G1502" s="65" t="n">
        <x:v>200.8344159589069</x:v>
      </x:c>
      <x:c r="H1502" s="43" t="n">
        <x:v>1</x:v>
      </x:c>
      <x:c r="I1502" s="34" t="str">
        <x:v>generated design-reference observation; not predicted tract behavior</x:v>
      </x:c>
    </x:row>
    <x:row r="1503" ht="75.5999984741211" hidden="0" customHeight="1">
      <x:c r="A1503" s="36" t="str">
        <x:v>B1</x:v>
      </x:c>
      <x:c r="B1503" s="36" t="str">
        <x:v>48201333600</x:v>
      </x:c>
      <x:c r="C1503" s="66" t="n">
        <x:v>257.6273361529765</x:v>
      </x:c>
      <x:c r="D1503" s="66" t="n">
        <x:v>157.41030238946865</x:v>
      </x:c>
      <x:c r="E1503" s="66" t="n">
        <x:v>100.21703376350786</x:v>
      </x:c>
      <x:c r="F1503" s="66" t="n">
        <x:v>100.21703376350786</x:v>
      </x:c>
      <x:c r="G1503" s="66" t="n">
        <x:v>257.6273361529765</x:v>
      </x:c>
      <x:c r="H1503" s="45" t="n">
        <x:v>1</x:v>
      </x:c>
      <x:c r="I1503" s="36" t="str">
        <x:v>generated design-reference observation; not predicted tract behavior</x:v>
      </x:c>
    </x:row>
    <x:row r="1504" ht="75.5999984741211" hidden="0" customHeight="1">
      <x:c r="A1504" s="34" t="str">
        <x:v>B1</x:v>
      </x:c>
      <x:c r="B1504" s="34" t="str">
        <x:v>48201333700</x:v>
      </x:c>
      <x:c r="C1504" s="65" t="n">
        <x:v>332.76438528877856</x:v>
      </x:c>
      <x:c r="D1504" s="65" t="n">
        <x:v>203.3190394114437</x:v>
      </x:c>
      <x:c r="E1504" s="65" t="n">
        <x:v>129.44534587733486</x:v>
      </x:c>
      <x:c r="F1504" s="65" t="n">
        <x:v>129.44534587733483</x:v>
      </x:c>
      <x:c r="G1504" s="65" t="n">
        <x:v>332.7643852887785</x:v>
      </x:c>
      <x:c r="H1504" s="43" t="n">
        <x:v>0.9999999999999998</x:v>
      </x:c>
      <x:c r="I1504" s="34" t="str">
        <x:v>generated design-reference observation; not predicted tract behavior</x:v>
      </x:c>
    </x:row>
    <x:row r="1505" ht="75.5999984741211" hidden="0" customHeight="1">
      <x:c r="A1505" s="36" t="str">
        <x:v>B1</x:v>
      </x:c>
      <x:c r="B1505" s="36" t="str">
        <x:v>48201333801</x:v>
      </x:c>
      <x:c r="C1505" s="66" t="n">
        <x:v>325.368573234721</x:v>
      </x:c>
      <x:c r="D1505" s="66" t="n">
        <x:v>188.17364110291246</x:v>
      </x:c>
      <x:c r="E1505" s="66" t="n">
        <x:v>137.19493213180854</x:v>
      </x:c>
      <x:c r="F1505" s="66" t="n">
        <x:v>137.19493213180854</x:v>
      </x:c>
      <x:c r="G1505" s="66" t="n">
        <x:v>325.368573234721</x:v>
      </x:c>
      <x:c r="H1505" s="45" t="n">
        <x:v>1</x:v>
      </x:c>
      <x:c r="I1505" s="36" t="str">
        <x:v>generated design-reference observation; not predicted tract behavior</x:v>
      </x:c>
    </x:row>
    <x:row r="1506" ht="75.5999984741211" hidden="0" customHeight="1">
      <x:c r="A1506" s="34" t="str">
        <x:v>B1</x:v>
      </x:c>
      <x:c r="B1506" s="34" t="str">
        <x:v>48201333802</x:v>
      </x:c>
      <x:c r="C1506" s="65" t="n">
        <x:v>488.42225747858595</x:v>
      </x:c>
      <x:c r="D1506" s="65" t="n">
        <x:v>298.06717046251896</x:v>
      </x:c>
      <x:c r="E1506" s="65" t="n">
        <x:v>190.355087016067</x:v>
      </x:c>
      <x:c r="F1506" s="65" t="n">
        <x:v>190.355087016067</x:v>
      </x:c>
      <x:c r="G1506" s="65" t="n">
        <x:v>488.42225747858595</x:v>
      </x:c>
      <x:c r="H1506" s="43" t="n">
        <x:v>1</x:v>
      </x:c>
      <x:c r="I1506" s="34" t="str">
        <x:v>generated design-reference observation; not predicted tract behavior</x:v>
      </x:c>
    </x:row>
    <x:row r="1507" ht="75.5999984741211" hidden="0" customHeight="1">
      <x:c r="A1507" s="36" t="str">
        <x:v>B1</x:v>
      </x:c>
      <x:c r="B1507" s="36" t="str">
        <x:v>48201333903</x:v>
      </x:c>
      <x:c r="C1507" s="66" t="n">
        <x:v>297.3022131443498</x:v>
      </x:c>
      <x:c r="D1507" s="66" t="n">
        <x:v>176.79913956320348</x:v>
      </x:c>
      <x:c r="E1507" s="66" t="n">
        <x:v>120.50307358114634</x:v>
      </x:c>
      <x:c r="F1507" s="66" t="n">
        <x:v>120.50307358114634</x:v>
      </x:c>
      <x:c r="G1507" s="66" t="n">
        <x:v>297.3022131443498</x:v>
      </x:c>
      <x:c r="H1507" s="45" t="n">
        <x:v>1</x:v>
      </x:c>
      <x:c r="I1507" s="36" t="str">
        <x:v>generated design-reference observation; not predicted tract behavior</x:v>
      </x:c>
    </x:row>
    <x:row r="1508" ht="75.5999984741211" hidden="0" customHeight="1">
      <x:c r="A1508" s="34" t="str">
        <x:v>B1</x:v>
      </x:c>
      <x:c r="B1508" s="34" t="str">
        <x:v>48201333904</x:v>
      </x:c>
      <x:c r="C1508" s="65" t="n">
        <x:v>898.1927471606766</x:v>
      </x:c>
      <x:c r="D1508" s="65" t="n">
        <x:v>456.641192656488</x:v>
      </x:c>
      <x:c r="E1508" s="65" t="n">
        <x:v>441.55155450418863</x:v>
      </x:c>
      <x:c r="F1508" s="65" t="n">
        <x:v>441.55155450418863</x:v>
      </x:c>
      <x:c r="G1508" s="65" t="n">
        <x:v>898.1927471606766</x:v>
      </x:c>
      <x:c r="H1508" s="43" t="n">
        <x:v>1</x:v>
      </x:c>
      <x:c r="I1508" s="34" t="str">
        <x:v>generated design-reference observation; not predicted tract behavior</x:v>
      </x:c>
    </x:row>
    <x:row r="1509" ht="75.5999984741211" hidden="0" customHeight="1">
      <x:c r="A1509" s="36" t="str">
        <x:v>B1</x:v>
      </x:c>
      <x:c r="B1509" s="36" t="str">
        <x:v>48201333905</x:v>
      </x:c>
      <x:c r="C1509" s="66" t="n">
        <x:v>278.80482348523793</x:v>
      </x:c>
      <x:c r="D1509" s="66" t="n">
        <x:v>170.34974714948038</x:v>
      </x:c>
      <x:c r="E1509" s="66" t="n">
        <x:v>108.45507633575755</x:v>
      </x:c>
      <x:c r="F1509" s="66" t="n">
        <x:v>108.45507633575755</x:v>
      </x:c>
      <x:c r="G1509" s="66" t="n">
        <x:v>278.80482348523793</x:v>
      </x:c>
      <x:c r="H1509" s="45" t="n">
        <x:v>1</x:v>
      </x:c>
      <x:c r="I1509" s="36" t="str">
        <x:v>generated design-reference observation; not predicted tract behavior</x:v>
      </x:c>
    </x:row>
    <x:row r="1510" ht="75.5999984741211" hidden="0" customHeight="1">
      <x:c r="A1510" s="34" t="str">
        <x:v>B1</x:v>
      </x:c>
      <x:c r="B1510" s="34" t="str">
        <x:v>48201333906</x:v>
      </x:c>
      <x:c r="C1510" s="65" t="n">
        <x:v>456.2610854007929</x:v>
      </x:c>
      <x:c r="D1510" s="65" t="n">
        <x:v>278.7755231798845</x:v>
      </x:c>
      <x:c r="E1510" s="65" t="n">
        <x:v>177.48556222090843</x:v>
      </x:c>
      <x:c r="F1510" s="65" t="n">
        <x:v>177.48556222090843</x:v>
      </x:c>
      <x:c r="G1510" s="65" t="n">
        <x:v>456.2610854007929</x:v>
      </x:c>
      <x:c r="H1510" s="43" t="n">
        <x:v>1</x:v>
      </x:c>
      <x:c r="I1510" s="34" t="str">
        <x:v>generated design-reference observation; not predicted tract behavior</x:v>
      </x:c>
    </x:row>
    <x:row r="1511" ht="75.5999984741211" hidden="0" customHeight="1">
      <x:c r="A1511" s="36" t="str">
        <x:v>B1</x:v>
      </x:c>
      <x:c r="B1511" s="36" t="str">
        <x:v>48201334001</x:v>
      </x:c>
      <x:c r="C1511" s="66" t="n">
        <x:v>236.77601906539465</x:v>
      </x:c>
      <x:c r="D1511" s="66" t="n">
        <x:v>140.14053919221564</x:v>
      </x:c>
      <x:c r="E1511" s="66" t="n">
        <x:v>96.63547987317901</x:v>
      </x:c>
      <x:c r="F1511" s="66" t="n">
        <x:v>96.63547987317901</x:v>
      </x:c>
      <x:c r="G1511" s="66" t="n">
        <x:v>236.77601906539465</x:v>
      </x:c>
      <x:c r="H1511" s="45" t="n">
        <x:v>1</x:v>
      </x:c>
      <x:c r="I1511" s="36" t="str">
        <x:v>generated design-reference observation; not predicted tract behavior</x:v>
      </x:c>
    </x:row>
    <x:row r="1512" ht="75.5999984741211" hidden="0" customHeight="1">
      <x:c r="A1512" s="34" t="str">
        <x:v>B1</x:v>
      </x:c>
      <x:c r="B1512" s="34" t="str">
        <x:v>48201334002</x:v>
      </x:c>
      <x:c r="C1512" s="65" t="n">
        <x:v>324.99494355684914</x:v>
      </x:c>
      <x:c r="D1512" s="65" t="n">
        <x:v>155.03827191220162</x:v>
      </x:c>
      <x:c r="E1512" s="65" t="n">
        <x:v>169.9566716446475</x:v>
      </x:c>
      <x:c r="F1512" s="65" t="n">
        <x:v>169.9566716446475</x:v>
      </x:c>
      <x:c r="G1512" s="65" t="n">
        <x:v>324.99494355684914</x:v>
      </x:c>
      <x:c r="H1512" s="43" t="n">
        <x:v>1</x:v>
      </x:c>
      <x:c r="I1512" s="34" t="str">
        <x:v>generated design-reference observation; not predicted tract behavior</x:v>
      </x:c>
    </x:row>
    <x:row r="1513" ht="75.5999984741211" hidden="0" customHeight="1">
      <x:c r="A1513" s="36" t="str">
        <x:v>B1</x:v>
      </x:c>
      <x:c r="B1513" s="36" t="str">
        <x:v>48201334003</x:v>
      </x:c>
      <x:c r="C1513" s="66" t="n">
        <x:v>843.9967950593237</x:v>
      </x:c>
      <x:c r="D1513" s="66" t="n">
        <x:v>433.6805577768517</x:v>
      </x:c>
      <x:c r="E1513" s="66" t="n">
        <x:v>410.31623728247206</x:v>
      </x:c>
      <x:c r="F1513" s="66" t="n">
        <x:v>410.31623728247206</x:v>
      </x:c>
      <x:c r="G1513" s="66" t="n">
        <x:v>843.9967950593237</x:v>
      </x:c>
      <x:c r="H1513" s="45" t="n">
        <x:v>1</x:v>
      </x:c>
      <x:c r="I1513" s="36" t="str">
        <x:v>generated design-reference observation; not predicted tract behavior</x:v>
      </x:c>
    </x:row>
    <x:row r="1514" ht="75.5999984741211" hidden="0" customHeight="1">
      <x:c r="A1514" s="34" t="str">
        <x:v>B1</x:v>
      </x:c>
      <x:c r="B1514" s="34" t="str">
        <x:v>48201334101</x:v>
      </x:c>
      <x:c r="C1514" s="65" t="n">
        <x:v>765.2504106858264</x:v>
      </x:c>
      <x:c r="D1514" s="65" t="n">
        <x:v>418.69435910791685</x:v>
      </x:c>
      <x:c r="E1514" s="65" t="n">
        <x:v>346.55605157790956</x:v>
      </x:c>
      <x:c r="F1514" s="65" t="n">
        <x:v>253.6770919336298</x:v>
      </x:c>
      <x:c r="G1514" s="65" t="n">
        <x:v>672.3714510415466</x:v>
      </x:c>
      <x:c r="H1514" s="43" t="n">
        <x:v>0.8786293240129848</x:v>
      </x:c>
      <x:c r="I1514" s="34" t="str">
        <x:v>generated design-reference observation; not predicted tract behavior</x:v>
      </x:c>
    </x:row>
    <x:row r="1515" ht="75.5999984741211" hidden="0" customHeight="1">
      <x:c r="A1515" s="36" t="str">
        <x:v>B1</x:v>
      </x:c>
      <x:c r="B1515" s="36" t="str">
        <x:v>48201334102</x:v>
      </x:c>
      <x:c r="C1515" s="66" t="n">
        <x:v>546.9442729456553</x:v>
      </x:c>
      <x:c r="D1515" s="66" t="n">
        <x:v>329.2487058591004</x:v>
      </x:c>
      <x:c r="E1515" s="66" t="n">
        <x:v>217.69556708655483</x:v>
      </x:c>
      <x:c r="F1515" s="66" t="n">
        <x:v>217.69556708655483</x:v>
      </x:c>
      <x:c r="G1515" s="66" t="n">
        <x:v>546.9442729456553</x:v>
      </x:c>
      <x:c r="H1515" s="45" t="n">
        <x:v>1</x:v>
      </x:c>
      <x:c r="I1515" s="36" t="str">
        <x:v>generated design-reference observation; not predicted tract behavior</x:v>
      </x:c>
    </x:row>
    <x:row r="1516" ht="75.5999984741211" hidden="0" customHeight="1">
      <x:c r="A1516" s="34" t="str">
        <x:v>B1</x:v>
      </x:c>
      <x:c r="B1516" s="34" t="str">
        <x:v>48201340101</x:v>
      </x:c>
      <x:c r="C1516" s="65" t="n">
        <x:v>127.31642876054995</x:v>
      </x:c>
      <x:c r="D1516" s="65" t="n">
        <x:v>69.73471630707904</x:v>
      </x:c>
      <x:c r="E1516" s="65" t="n">
        <x:v>57.581712453470914</x:v>
      </x:c>
      <x:c r="F1516" s="65" t="n">
        <x:v>57.581712453470914</x:v>
      </x:c>
      <x:c r="G1516" s="65" t="n">
        <x:v>127.31642876054995</x:v>
      </x:c>
      <x:c r="H1516" s="43" t="n">
        <x:v>1</x:v>
      </x:c>
      <x:c r="I1516" s="34" t="str">
        <x:v>generated design-reference observation; not predicted tract behavior</x:v>
      </x:c>
    </x:row>
    <x:row r="1517" ht="75.5999984741211" hidden="0" customHeight="1">
      <x:c r="A1517" s="36" t="str">
        <x:v>B1</x:v>
      </x:c>
      <x:c r="B1517" s="36" t="str">
        <x:v>48201340102</x:v>
      </x:c>
      <x:c r="C1517" s="66" t="n">
        <x:v>779.948929663857</x:v>
      </x:c>
      <x:c r="D1517" s="66" t="n">
        <x:v>403.5296003634069</x:v>
      </x:c>
      <x:c r="E1517" s="66" t="n">
        <x:v>376.4193293004501</x:v>
      </x:c>
      <x:c r="F1517" s="66" t="n">
        <x:v>376.4193293004501</x:v>
      </x:c>
      <x:c r="G1517" s="66" t="n">
        <x:v>779.948929663857</x:v>
      </x:c>
      <x:c r="H1517" s="45" t="n">
        <x:v>1</x:v>
      </x:c>
      <x:c r="I1517" s="36" t="str">
        <x:v>generated design-reference observation; not predicted tract behavior</x:v>
      </x:c>
    </x:row>
    <x:row r="1518" ht="75.5999984741211" hidden="0" customHeight="1">
      <x:c r="A1518" s="34" t="str">
        <x:v>B1</x:v>
      </x:c>
      <x:c r="B1518" s="34" t="str">
        <x:v>48201340202</x:v>
      </x:c>
      <x:c r="C1518" s="65" t="n">
        <x:v>674.4886279012825</x:v>
      </x:c>
      <x:c r="D1518" s="65" t="n">
        <x:v>409.63857424442733</x:v>
      </x:c>
      <x:c r="E1518" s="65" t="n">
        <x:v>264.85005365685515</x:v>
      </x:c>
      <x:c r="F1518" s="65" t="n">
        <x:v>264.85005365685515</x:v>
      </x:c>
      <x:c r="G1518" s="65" t="n">
        <x:v>674.4886279012825</x:v>
      </x:c>
      <x:c r="H1518" s="43" t="n">
        <x:v>1</x:v>
      </x:c>
      <x:c r="I1518" s="34" t="str">
        <x:v>generated design-reference observation; not predicted tract behavior</x:v>
      </x:c>
    </x:row>
    <x:row r="1519" ht="75.5999984741211" hidden="0" customHeight="1">
      <x:c r="A1519" s="36" t="str">
        <x:v>B1</x:v>
      </x:c>
      <x:c r="B1519" s="36" t="str">
        <x:v>48201340203</x:v>
      </x:c>
      <x:c r="C1519" s="66" t="n">
        <x:v>799.7222828102646</x:v>
      </x:c>
      <x:c r="D1519" s="66" t="n">
        <x:v>224.02881982199125</x:v>
      </x:c>
      <x:c r="E1519" s="66" t="n">
        <x:v>575.6934629882733</x:v>
      </x:c>
      <x:c r="F1519" s="66" t="n">
        <x:v>575.6934629882733</x:v>
      </x:c>
      <x:c r="G1519" s="66" t="n">
        <x:v>799.7222828102645</x:v>
      </x:c>
      <x:c r="H1519" s="45" t="n">
        <x:v>0.9999999999999999</x:v>
      </x:c>
      <x:c r="I1519" s="36" t="str">
        <x:v>generated design-reference observation; not predicted tract behavior</x:v>
      </x:c>
    </x:row>
    <x:row r="1520" ht="75.5999984741211" hidden="0" customHeight="1">
      <x:c r="A1520" s="34" t="str">
        <x:v>B1</x:v>
      </x:c>
      <x:c r="B1520" s="34" t="str">
        <x:v>48201340301</x:v>
      </x:c>
      <x:c r="C1520" s="65" t="n">
        <x:v>281.6067437798941</x:v>
      </x:c>
      <x:c r="D1520" s="65" t="n">
        <x:v>172.0617204495153</x:v>
      </x:c>
      <x:c r="E1520" s="65" t="n">
        <x:v>109.5450233303788</x:v>
      </x:c>
      <x:c r="F1520" s="65" t="n">
        <x:v>109.5450233303788</x:v>
      </x:c>
      <x:c r="G1520" s="65" t="n">
        <x:v>281.6067437798941</x:v>
      </x:c>
      <x:c r="H1520" s="43" t="n">
        <x:v>1</x:v>
      </x:c>
      <x:c r="I1520" s="34" t="str">
        <x:v>generated design-reference observation; not predicted tract behavior</x:v>
      </x:c>
    </x:row>
    <x:row r="1521" ht="75.5999984741211" hidden="0" customHeight="1">
      <x:c r="A1521" s="36" t="str">
        <x:v>B1</x:v>
      </x:c>
      <x:c r="B1521" s="36" t="str">
        <x:v>48201340302</x:v>
      </x:c>
      <x:c r="C1521" s="66" t="n">
        <x:v>550.4653396834001</x:v>
      </x:c>
      <x:c r="D1521" s="66" t="n">
        <x:v>336.3343225465575</x:v>
      </x:c>
      <x:c r="E1521" s="66" t="n">
        <x:v>214.13101713684262</x:v>
      </x:c>
      <x:c r="F1521" s="66" t="n">
        <x:v>214.13101713684262</x:v>
      </x:c>
      <x:c r="G1521" s="66" t="n">
        <x:v>550.4653396834001</x:v>
      </x:c>
      <x:c r="H1521" s="45" t="n">
        <x:v>1</x:v>
      </x:c>
      <x:c r="I1521" s="36" t="str">
        <x:v>generated design-reference observation; not predicted tract behavior</x:v>
      </x:c>
    </x:row>
    <x:row r="1522" ht="75.5999984741211" hidden="0" customHeight="1">
      <x:c r="A1522" s="34" t="str">
        <x:v>B1</x:v>
      </x:c>
      <x:c r="B1522" s="34" t="str">
        <x:v>48201340400</x:v>
      </x:c>
      <x:c r="C1522" s="65" t="n">
        <x:v>85.49590172586346</x:v>
      </x:c>
      <x:c r="D1522" s="65" t="n">
        <x:v>52.23799595450257</x:v>
      </x:c>
      <x:c r="E1522" s="65" t="n">
        <x:v>33.25790577136089</x:v>
      </x:c>
      <x:c r="F1522" s="65" t="n">
        <x:v>33.25790577136089</x:v>
      </x:c>
      <x:c r="G1522" s="65" t="n">
        <x:v>85.49590172586346</x:v>
      </x:c>
      <x:c r="H1522" s="43" t="n">
        <x:v>1</x:v>
      </x:c>
      <x:c r="I1522" s="34" t="str">
        <x:v>generated design-reference observation; not predicted tract behavior</x:v>
      </x:c>
    </x:row>
    <x:row r="1523" ht="75.5999984741211" hidden="0" customHeight="1">
      <x:c r="A1523" s="36" t="str">
        <x:v>B1</x:v>
      </x:c>
      <x:c r="B1523" s="36" t="str">
        <x:v>48201340501</x:v>
      </x:c>
      <x:c r="C1523" s="66" t="n">
        <x:v>302.3951846757305</x:v>
      </x:c>
      <x:c r="D1523" s="66" t="n">
        <x:v>180.57521893362772</x:v>
      </x:c>
      <x:c r="E1523" s="66" t="n">
        <x:v>121.81996574210277</x:v>
      </x:c>
      <x:c r="F1523" s="66" t="n">
        <x:v>121.81996574210277</x:v>
      </x:c>
      <x:c r="G1523" s="66" t="n">
        <x:v>302.3951846757305</x:v>
      </x:c>
      <x:c r="H1523" s="45" t="n">
        <x:v>1</x:v>
      </x:c>
      <x:c r="I1523" s="36" t="str">
        <x:v>generated design-reference observation; not predicted tract behavior</x:v>
      </x:c>
    </x:row>
    <x:row r="1524" ht="75.5999984741211" hidden="0" customHeight="1">
      <x:c r="A1524" s="34" t="str">
        <x:v>B1</x:v>
      </x:c>
      <x:c r="B1524" s="34" t="str">
        <x:v>48201340502</x:v>
      </x:c>
      <x:c r="C1524" s="65" t="n">
        <x:v>177.8217297800755</x:v>
      </x:c>
      <x:c r="D1524" s="65" t="n">
        <x:v>103.7079777096712</x:v>
      </x:c>
      <x:c r="E1524" s="65" t="n">
        <x:v>74.11375207040429</x:v>
      </x:c>
      <x:c r="F1524" s="65" t="n">
        <x:v>74.11375207040429</x:v>
      </x:c>
      <x:c r="G1524" s="65" t="n">
        <x:v>177.8217297800755</x:v>
      </x:c>
      <x:c r="H1524" s="43" t="n">
        <x:v>1</x:v>
      </x:c>
      <x:c r="I1524" s="34" t="str">
        <x:v>generated design-reference observation; not predicted tract behavior</x:v>
      </x:c>
    </x:row>
    <x:row r="1525" ht="75.5999984741211" hidden="0" customHeight="1">
      <x:c r="A1525" s="36" t="str">
        <x:v>B1</x:v>
      </x:c>
      <x:c r="B1525" s="36" t="str">
        <x:v>48201340600</x:v>
      </x:c>
      <x:c r="C1525" s="66" t="n">
        <x:v>350.4555691623853</x:v>
      </x:c>
      <x:c r="D1525" s="66" t="n">
        <x:v>186.7928183635514</x:v>
      </x:c>
      <x:c r="E1525" s="66" t="n">
        <x:v>163.6627507988339</x:v>
      </x:c>
      <x:c r="F1525" s="66" t="n">
        <x:v>163.6627507988339</x:v>
      </x:c>
      <x:c r="G1525" s="66" t="n">
        <x:v>350.4555691623853</x:v>
      </x:c>
      <x:c r="H1525" s="45" t="n">
        <x:v>1</x:v>
      </x:c>
      <x:c r="I1525" s="36" t="str">
        <x:v>generated design-reference observation; not predicted tract behavior</x:v>
      </x:c>
    </x:row>
    <x:row r="1526" ht="75.5999984741211" hidden="0" customHeight="1">
      <x:c r="A1526" s="34" t="str">
        <x:v>B1</x:v>
      </x:c>
      <x:c r="B1526" s="34" t="str">
        <x:v>48201340701</x:v>
      </x:c>
      <x:c r="C1526" s="65" t="n">
        <x:v>315.1354730281506</x:v>
      </x:c>
      <x:c r="D1526" s="65" t="n">
        <x:v>191.10745602556074</x:v>
      </x:c>
      <x:c r="E1526" s="65" t="n">
        <x:v>124.02801700258988</x:v>
      </x:c>
      <x:c r="F1526" s="65" t="n">
        <x:v>124.02801700258988</x:v>
      </x:c>
      <x:c r="G1526" s="65" t="n">
        <x:v>315.1354730281506</x:v>
      </x:c>
      <x:c r="H1526" s="43" t="n">
        <x:v>1</x:v>
      </x:c>
      <x:c r="I1526" s="34" t="str">
        <x:v>generated design-reference observation; not predicted tract behavior</x:v>
      </x:c>
    </x:row>
    <x:row r="1527" ht="75.5999984741211" hidden="0" customHeight="1">
      <x:c r="A1527" s="36" t="str">
        <x:v>B1</x:v>
      </x:c>
      <x:c r="B1527" s="36" t="str">
        <x:v>48201340702</x:v>
      </x:c>
      <x:c r="C1527" s="66" t="n">
        <x:v>311.0524503266809</x:v>
      </x:c>
      <x:c r="D1527" s="66" t="n">
        <x:v>190.053047149602</x:v>
      </x:c>
      <x:c r="E1527" s="66" t="n">
        <x:v>120.9994031770789</x:v>
      </x:c>
      <x:c r="F1527" s="66" t="n">
        <x:v>120.9994031770789</x:v>
      </x:c>
      <x:c r="G1527" s="66" t="n">
        <x:v>311.0524503266809</x:v>
      </x:c>
      <x:c r="H1527" s="45" t="n">
        <x:v>1</x:v>
      </x:c>
      <x:c r="I1527" s="36" t="str">
        <x:v>generated design-reference observation; not predicted tract behavior</x:v>
      </x:c>
    </x:row>
    <x:row r="1528" ht="75.5999984741211" hidden="0" customHeight="1">
      <x:c r="A1528" s="34" t="str">
        <x:v>B1</x:v>
      </x:c>
      <x:c r="B1528" s="34" t="str">
        <x:v>48201340800</x:v>
      </x:c>
      <x:c r="C1528" s="65" t="n">
        <x:v>492.7764337569579</x:v>
      </x:c>
      <x:c r="D1528" s="65" t="n">
        <x:v>301.08640102550123</x:v>
      </x:c>
      <x:c r="E1528" s="65" t="n">
        <x:v>191.69003273145665</x:v>
      </x:c>
      <x:c r="F1528" s="65" t="n">
        <x:v>191.69003273145665</x:v>
      </x:c>
      <x:c r="G1528" s="65" t="n">
        <x:v>492.7764337569579</x:v>
      </x:c>
      <x:c r="H1528" s="43" t="n">
        <x:v>1</x:v>
      </x:c>
      <x:c r="I1528" s="34" t="str">
        <x:v>generated design-reference observation; not predicted tract behavior</x:v>
      </x:c>
    </x:row>
    <x:row r="1529" ht="75.5999984741211" hidden="0" customHeight="1">
      <x:c r="A1529" s="36" t="str">
        <x:v>B1</x:v>
      </x:c>
      <x:c r="B1529" s="36" t="str">
        <x:v>48201340900</x:v>
      </x:c>
      <x:c r="C1529" s="66" t="n">
        <x:v>376.502636171701</x:v>
      </x:c>
      <x:c r="D1529" s="66" t="n">
        <x:v>221.3316420825634</x:v>
      </x:c>
      <x:c r="E1529" s="66" t="n">
        <x:v>155.1709940891376</x:v>
      </x:c>
      <x:c r="F1529" s="66" t="n">
        <x:v>155.1709940891376</x:v>
      </x:c>
      <x:c r="G1529" s="66" t="n">
        <x:v>376.502636171701</x:v>
      </x:c>
      <x:c r="H1529" s="45" t="n">
        <x:v>1</x:v>
      </x:c>
      <x:c r="I1529" s="36" t="str">
        <x:v>generated design-reference observation; not predicted tract behavior</x:v>
      </x:c>
    </x:row>
    <x:row r="1530" ht="75.5999984741211" hidden="0" customHeight="1">
      <x:c r="A1530" s="34" t="str">
        <x:v>B1</x:v>
      </x:c>
      <x:c r="B1530" s="34" t="str">
        <x:v>48201341001</x:v>
      </x:c>
      <x:c r="C1530" s="65" t="n">
        <x:v>323.2307827153761</x:v>
      </x:c>
      <x:c r="D1530" s="65" t="n">
        <x:v>180.66186006622823</x:v>
      </x:c>
      <x:c r="E1530" s="65" t="n">
        <x:v>142.56892264914788</x:v>
      </x:c>
      <x:c r="F1530" s="65" t="n">
        <x:v>142.56892264914788</x:v>
      </x:c>
      <x:c r="G1530" s="65" t="n">
        <x:v>323.2307827153761</x:v>
      </x:c>
      <x:c r="H1530" s="43" t="n">
        <x:v>1</x:v>
      </x:c>
      <x:c r="I1530" s="34" t="str">
        <x:v>generated design-reference observation; not predicted tract behavior</x:v>
      </x:c>
    </x:row>
    <x:row r="1531" ht="75.5999984741211" hidden="0" customHeight="1">
      <x:c r="A1531" s="36" t="str">
        <x:v>B1</x:v>
      </x:c>
      <x:c r="B1531" s="36" t="str">
        <x:v>48201341002</x:v>
      </x:c>
      <x:c r="C1531" s="66" t="n">
        <x:v>287.08483198571565</x:v>
      </x:c>
      <x:c r="D1531" s="66" t="n">
        <x:v>164.58594163170852</x:v>
      </x:c>
      <x:c r="E1531" s="66" t="n">
        <x:v>122.49889035400713</x:v>
      </x:c>
      <x:c r="F1531" s="66" t="n">
        <x:v>122.49889035400713</x:v>
      </x:c>
      <x:c r="G1531" s="66" t="n">
        <x:v>287.08483198571565</x:v>
      </x:c>
      <x:c r="H1531" s="45" t="n">
        <x:v>1</x:v>
      </x:c>
      <x:c r="I1531" s="36" t="str">
        <x:v>generated design-reference observation; not predicted tract behavior</x:v>
      </x:c>
    </x:row>
    <x:row r="1532" ht="75.5999984741211" hidden="0" customHeight="1">
      <x:c r="A1532" s="34" t="str">
        <x:v>B1</x:v>
      </x:c>
      <x:c r="B1532" s="34" t="str">
        <x:v>48201341101</x:v>
      </x:c>
      <x:c r="C1532" s="65" t="n">
        <x:v>158.0628865240706</x:v>
      </x:c>
      <x:c r="D1532" s="65" t="n">
        <x:v>91.47376891648497</x:v>
      </x:c>
      <x:c r="E1532" s="65" t="n">
        <x:v>66.58911760758562</x:v>
      </x:c>
      <x:c r="F1532" s="65" t="n">
        <x:v>66.58911760758562</x:v>
      </x:c>
      <x:c r="G1532" s="65" t="n">
        <x:v>158.0628865240706</x:v>
      </x:c>
      <x:c r="H1532" s="43" t="n">
        <x:v>1</x:v>
      </x:c>
      <x:c r="I1532" s="34" t="str">
        <x:v>generated design-reference observation; not predicted tract behavior</x:v>
      </x:c>
    </x:row>
    <x:row r="1533" ht="75.5999984741211" hidden="0" customHeight="1">
      <x:c r="A1533" s="36" t="str">
        <x:v>B1</x:v>
      </x:c>
      <x:c r="B1533" s="36" t="str">
        <x:v>48201341102</x:v>
      </x:c>
      <x:c r="C1533" s="66" t="n">
        <x:v>164.0046866440148</x:v>
      </x:c>
      <x:c r="D1533" s="66" t="n">
        <x:v>94.21791359289365</x:v>
      </x:c>
      <x:c r="E1533" s="66" t="n">
        <x:v>69.78677305112116</x:v>
      </x:c>
      <x:c r="F1533" s="66" t="n">
        <x:v>69.78677305112116</x:v>
      </x:c>
      <x:c r="G1533" s="66" t="n">
        <x:v>164.0046866440148</x:v>
      </x:c>
      <x:c r="H1533" s="45" t="n">
        <x:v>1</x:v>
      </x:c>
      <x:c r="I1533" s="36" t="str">
        <x:v>generated design-reference observation; not predicted tract behavior</x:v>
      </x:c>
    </x:row>
    <x:row r="1534" ht="75.5999984741211" hidden="0" customHeight="1">
      <x:c r="A1534" s="34" t="str">
        <x:v>B1</x:v>
      </x:c>
      <x:c r="B1534" s="34" t="str">
        <x:v>48201341201</x:v>
      </x:c>
      <x:c r="C1534" s="65" t="n">
        <x:v>741.3060686273824</x:v>
      </x:c>
      <x:c r="D1534" s="65" t="n">
        <x:v>366.95136300254853</x:v>
      </x:c>
      <x:c r="E1534" s="65" t="n">
        <x:v>374.35470562483385</x:v>
      </x:c>
      <x:c r="F1534" s="65" t="n">
        <x:v>374.35470562483385</x:v>
      </x:c>
      <x:c r="G1534" s="65" t="n">
        <x:v>741.3060686273824</x:v>
      </x:c>
      <x:c r="H1534" s="43" t="n">
        <x:v>1</x:v>
      </x:c>
      <x:c r="I1534" s="34" t="str">
        <x:v>generated design-reference observation; not predicted tract behavior</x:v>
      </x:c>
    </x:row>
    <x:row r="1535" ht="75.5999984741211" hidden="0" customHeight="1">
      <x:c r="A1535" s="36" t="str">
        <x:v>B1</x:v>
      </x:c>
      <x:c r="B1535" s="36" t="str">
        <x:v>48201341203</x:v>
      </x:c>
      <x:c r="C1535" s="66" t="n">
        <x:v>468.57272740756366</x:v>
      </x:c>
      <x:c r="D1535" s="66" t="n">
        <x:v>129.6511262540866</x:v>
      </x:c>
      <x:c r="E1535" s="66" t="n">
        <x:v>338.92160115347707</x:v>
      </x:c>
      <x:c r="F1535" s="66" t="n">
        <x:v>338.92160115347707</x:v>
      </x:c>
      <x:c r="G1535" s="66" t="n">
        <x:v>468.57272740756366</x:v>
      </x:c>
      <x:c r="H1535" s="45" t="n">
        <x:v>1</x:v>
      </x:c>
      <x:c r="I1535" s="36" t="str">
        <x:v>generated design-reference observation; not predicted tract behavior</x:v>
      </x:c>
    </x:row>
    <x:row r="1536" ht="75.5999984741211" hidden="0" customHeight="1">
      <x:c r="A1536" s="34" t="str">
        <x:v>B1</x:v>
      </x:c>
      <x:c r="B1536" s="34" t="str">
        <x:v>48201341204</x:v>
      </x:c>
      <x:c r="C1536" s="65" t="n">
        <x:v>612.7333251894572</x:v>
      </x:c>
      <x:c r="D1536" s="65" t="n">
        <x:v>166.42153492687797</x:v>
      </x:c>
      <x:c r="E1536" s="65" t="n">
        <x:v>446.3117902625793</x:v>
      </x:c>
      <x:c r="F1536" s="65" t="n">
        <x:v>446.3117902625793</x:v>
      </x:c>
      <x:c r="G1536" s="65" t="n">
        <x:v>612.7333251894572</x:v>
      </x:c>
      <x:c r="H1536" s="43" t="n">
        <x:v>1</x:v>
      </x:c>
      <x:c r="I1536" s="34" t="str">
        <x:v>generated design-reference observation; not predicted tract behavior</x:v>
      </x:c>
    </x:row>
    <x:row r="1537" ht="75.5999984741211" hidden="0" customHeight="1">
      <x:c r="A1537" s="36" t="str">
        <x:v>B1</x:v>
      </x:c>
      <x:c r="B1537" s="36" t="str">
        <x:v>48201341302</x:v>
      </x:c>
      <x:c r="C1537" s="66" t="n">
        <x:v>478.3427202787783</x:v>
      </x:c>
      <x:c r="D1537" s="66" t="n">
        <x:v>236.71682670272688</x:v>
      </x:c>
      <x:c r="E1537" s="66" t="n">
        <x:v>241.62589357605142</x:v>
      </x:c>
      <x:c r="F1537" s="66" t="n">
        <x:v>241.62589357605142</x:v>
      </x:c>
      <x:c r="G1537" s="66" t="n">
        <x:v>478.3427202787783</x:v>
      </x:c>
      <x:c r="H1537" s="45" t="n">
        <x:v>1</x:v>
      </x:c>
      <x:c r="I1537" s="36" t="str">
        <x:v>generated design-reference observation; not predicted tract behavior</x:v>
      </x:c>
    </x:row>
    <x:row r="1538" ht="75.5999984741211" hidden="0" customHeight="1">
      <x:c r="A1538" s="34" t="str">
        <x:v>B1</x:v>
      </x:c>
      <x:c r="B1538" s="34" t="str">
        <x:v>48201341303</x:v>
      </x:c>
      <x:c r="C1538" s="65" t="n">
        <x:v>241.24022867932092</x:v>
      </x:c>
      <x:c r="D1538" s="65" t="n">
        <x:v>143.57955766767776</x:v>
      </x:c>
      <x:c r="E1538" s="65" t="n">
        <x:v>97.66067101164316</x:v>
      </x:c>
      <x:c r="F1538" s="65" t="n">
        <x:v>97.66067101164316</x:v>
      </x:c>
      <x:c r="G1538" s="65" t="n">
        <x:v>241.24022867932092</x:v>
      </x:c>
      <x:c r="H1538" s="43" t="n">
        <x:v>1</x:v>
      </x:c>
      <x:c r="I1538" s="34" t="str">
        <x:v>generated design-reference observation; not predicted tract behavior</x:v>
      </x:c>
    </x:row>
    <x:row r="1539" ht="75.5999984741211" hidden="0" customHeight="1">
      <x:c r="A1539" s="36" t="str">
        <x:v>B1</x:v>
      </x:c>
      <x:c r="B1539" s="36" t="str">
        <x:v>48201341304</x:v>
      </x:c>
      <x:c r="C1539" s="66" t="n">
        <x:v>223.87551733977708</x:v>
      </x:c>
      <x:c r="D1539" s="66" t="n">
        <x:v>108.74090908041845</x:v>
      </x:c>
      <x:c r="E1539" s="66" t="n">
        <x:v>115.13460825935863</x:v>
      </x:c>
      <x:c r="F1539" s="66" t="n">
        <x:v>115.13460825935863</x:v>
      </x:c>
      <x:c r="G1539" s="66" t="n">
        <x:v>223.87551733977708</x:v>
      </x:c>
      <x:c r="H1539" s="45" t="n">
        <x:v>1</x:v>
      </x:c>
      <x:c r="I1539" s="36" t="str">
        <x:v>generated design-reference observation; not predicted tract behavior</x:v>
      </x:c>
    </x:row>
    <x:row r="1540" ht="75.5999984741211" hidden="0" customHeight="1">
      <x:c r="A1540" s="34" t="str">
        <x:v>B1</x:v>
      </x:c>
      <x:c r="B1540" s="34" t="str">
        <x:v>48201341400</x:v>
      </x:c>
      <x:c r="C1540" s="65" t="n">
        <x:v>976.8590248475748</x:v>
      </x:c>
      <x:c r="D1540" s="65" t="n">
        <x:v>277.9780020134849</x:v>
      </x:c>
      <x:c r="E1540" s="65" t="n">
        <x:v>698.8810228340899</x:v>
      </x:c>
      <x:c r="F1540" s="65" t="n">
        <x:v>698.8810228340899</x:v>
      </x:c>
      <x:c r="G1540" s="65" t="n">
        <x:v>976.8590248475748</x:v>
      </x:c>
      <x:c r="H1540" s="43" t="n">
        <x:v>1</x:v>
      </x:c>
      <x:c r="I1540" s="34" t="str">
        <x:v>generated design-reference observation; not predicted tract behavior</x:v>
      </x:c>
    </x:row>
    <x:row r="1541" ht="75.5999984741211" hidden="0" customHeight="1">
      <x:c r="A1541" s="36" t="str">
        <x:v>B1</x:v>
      </x:c>
      <x:c r="B1541" s="36" t="str">
        <x:v>48201341501</x:v>
      </x:c>
      <x:c r="C1541" s="66" t="n">
        <x:v>886.1437946280731</x:v>
      </x:c>
      <x:c r="D1541" s="66" t="n">
        <x:v>459.981203799898</x:v>
      </x:c>
      <x:c r="E1541" s="66" t="n">
        <x:v>426.1625908281751</x:v>
      </x:c>
      <x:c r="F1541" s="66" t="n">
        <x:v>426.1625908281751</x:v>
      </x:c>
      <x:c r="G1541" s="66" t="n">
        <x:v>886.1437946280731</x:v>
      </x:c>
      <x:c r="H1541" s="45" t="n">
        <x:v>1</x:v>
      </x:c>
      <x:c r="I1541" s="36" t="str">
        <x:v>generated design-reference observation; not predicted tract behavior</x:v>
      </x:c>
    </x:row>
    <x:row r="1542" ht="75.5999984741211" hidden="0" customHeight="1">
      <x:c r="A1542" s="34" t="str">
        <x:v>B1</x:v>
      </x:c>
      <x:c r="B1542" s="34" t="str">
        <x:v>48201341502</x:v>
      </x:c>
      <x:c r="C1542" s="65" t="n">
        <x:v>869.2633508807223</x:v>
      </x:c>
      <x:c r="D1542" s="65" t="n">
        <x:v>237.82983630213522</x:v>
      </x:c>
      <x:c r="E1542" s="65" t="n">
        <x:v>631.4335145785872</x:v>
      </x:c>
      <x:c r="F1542" s="65" t="n">
        <x:v>631.4335145785872</x:v>
      </x:c>
      <x:c r="G1542" s="65" t="n">
        <x:v>869.2633508807223</x:v>
      </x:c>
      <x:c r="H1542" s="43" t="n">
        <x:v>1</x:v>
      </x:c>
      <x:c r="I1542" s="34" t="str">
        <x:v>generated design-reference observation; not predicted tract behavior</x:v>
      </x:c>
    </x:row>
    <x:row r="1543" ht="75.5999984741211" hidden="0" customHeight="1">
      <x:c r="A1543" s="36" t="str">
        <x:v>B1</x:v>
      </x:c>
      <x:c r="B1543" s="36" t="str">
        <x:v>48201341600</x:v>
      </x:c>
      <x:c r="C1543" s="66" t="n">
        <x:v>1179.2526494460153</x:v>
      </x:c>
      <x:c r="D1543" s="66" t="n">
        <x:v>338.1289679716581</x:v>
      </x:c>
      <x:c r="E1543" s="66" t="n">
        <x:v>841.1236814743572</x:v>
      </x:c>
      <x:c r="F1543" s="66" t="n">
        <x:v>841.1236814743572</x:v>
      </x:c>
      <x:c r="G1543" s="66" t="n">
        <x:v>1179.2526494460153</x:v>
      </x:c>
      <x:c r="H1543" s="45" t="n">
        <x:v>1</x:v>
      </x:c>
      <x:c r="I1543" s="36" t="str">
        <x:v>generated design-reference observation; not predicted tract behavior</x:v>
      </x:c>
    </x:row>
    <x:row r="1544" ht="75.5999984741211" hidden="0" customHeight="1">
      <x:c r="A1544" s="34" t="str">
        <x:v>B1</x:v>
      </x:c>
      <x:c r="B1544" s="34" t="str">
        <x:v>48201341700</x:v>
      </x:c>
      <x:c r="C1544" s="65" t="n">
        <x:v>535.6422774794123</x:v>
      </x:c>
      <x:c r="D1544" s="65" t="n">
        <x:v>153.1936913591119</x:v>
      </x:c>
      <x:c r="E1544" s="65" t="n">
        <x:v>382.44858612030043</x:v>
      </x:c>
      <x:c r="F1544" s="65" t="n">
        <x:v>382.44858612030043</x:v>
      </x:c>
      <x:c r="G1544" s="65" t="n">
        <x:v>535.6422774794123</x:v>
      </x:c>
      <x:c r="H1544" s="43" t="n">
        <x:v>1</x:v>
      </x:c>
      <x:c r="I1544" s="34" t="str">
        <x:v>generated design-reference observation; not predicted tract behavior</x:v>
      </x:c>
    </x:row>
    <x:row r="1545" ht="75.5999984741211" hidden="0" customHeight="1">
      <x:c r="A1545" s="36" t="str">
        <x:v>B1</x:v>
      </x:c>
      <x:c r="B1545" s="36" t="str">
        <x:v>48201341800</x:v>
      </x:c>
      <x:c r="C1545" s="66" t="n">
        <x:v>456.071247668023</x:v>
      </x:c>
      <x:c r="D1545" s="66" t="n">
        <x:v>131.6542255299821</x:v>
      </x:c>
      <x:c r="E1545" s="66" t="n">
        <x:v>324.41702213804086</x:v>
      </x:c>
      <x:c r="F1545" s="66" t="n">
        <x:v>324.41702213804086</x:v>
      </x:c>
      <x:c r="G1545" s="66" t="n">
        <x:v>456.071247668023</x:v>
      </x:c>
      <x:c r="H1545" s="45" t="n">
        <x:v>1</x:v>
      </x:c>
      <x:c r="I1545" s="36" t="str">
        <x:v>generated design-reference observation; not predicted tract behavior</x:v>
      </x:c>
    </x:row>
    <x:row r="1546" ht="75.5999984741211" hidden="0" customHeight="1">
      <x:c r="A1546" s="34" t="str">
        <x:v>B1</x:v>
      </x:c>
      <x:c r="B1546" s="34" t="str">
        <x:v>48201342001</x:v>
      </x:c>
      <x:c r="C1546" s="65" t="n">
        <x:v>1111.6752532100686</x:v>
      </x:c>
      <x:c r="D1546" s="65" t="n">
        <x:v>321.3783524085467</x:v>
      </x:c>
      <x:c r="E1546" s="65" t="n">
        <x:v>790.2969008015219</x:v>
      </x:c>
      <x:c r="F1546" s="65" t="n">
        <x:v>790.2969008015219</x:v>
      </x:c>
      <x:c r="G1546" s="65" t="n">
        <x:v>1111.6752532100686</x:v>
      </x:c>
      <x:c r="H1546" s="43" t="n">
        <x:v>1</x:v>
      </x:c>
      <x:c r="I1546" s="34" t="str">
        <x:v>generated design-reference observation; not predicted tract behavior</x:v>
      </x:c>
    </x:row>
    <x:row r="1547" ht="75.5999984741211" hidden="0" customHeight="1">
      <x:c r="A1547" s="36" t="str">
        <x:v>B1</x:v>
      </x:c>
      <x:c r="B1547" s="36" t="str">
        <x:v>48201342002</x:v>
      </x:c>
      <x:c r="C1547" s="66" t="n">
        <x:v>714.5395528855947</x:v>
      </x:c>
      <x:c r="D1547" s="66" t="n">
        <x:v>200.55301579945257</x:v>
      </x:c>
      <x:c r="E1547" s="66" t="n">
        <x:v>513.9865370861421</x:v>
      </x:c>
      <x:c r="F1547" s="66" t="n">
        <x:v>513.9865370861421</x:v>
      </x:c>
      <x:c r="G1547" s="66" t="n">
        <x:v>714.5395528855947</x:v>
      </x:c>
      <x:c r="H1547" s="45" t="n">
        <x:v>1</x:v>
      </x:c>
      <x:c r="I1547" s="36" t="str">
        <x:v>generated design-reference observation; not predicted tract behavior</x:v>
      </x:c>
    </x:row>
    <x:row r="1548" ht="75.5999984741211" hidden="0" customHeight="1">
      <x:c r="A1548" s="34" t="str">
        <x:v>B1</x:v>
      </x:c>
      <x:c r="B1548" s="34" t="str">
        <x:v>48201342100</x:v>
      </x:c>
      <x:c r="C1548" s="65" t="n">
        <x:v>560.7734076570516</x:v>
      </x:c>
      <x:c r="D1548" s="65" t="n">
        <x:v>296.68129983418777</x:v>
      </x:c>
      <x:c r="E1548" s="65" t="n">
        <x:v>264.09210782286385</x:v>
      </x:c>
      <x:c r="F1548" s="65" t="n">
        <x:v>264.09210782286385</x:v>
      </x:c>
      <x:c r="G1548" s="65" t="n">
        <x:v>560.7734076570516</x:v>
      </x:c>
      <x:c r="H1548" s="43" t="n">
        <x:v>1</x:v>
      </x:c>
      <x:c r="I1548" s="34" t="str">
        <x:v>generated design-reference observation; not predicted tract behavior</x:v>
      </x:c>
    </x:row>
    <x:row r="1549" ht="75.5999984741211" hidden="0" customHeight="1">
      <x:c r="A1549" s="36" t="str">
        <x:v>B1</x:v>
      </x:c>
      <x:c r="B1549" s="36" t="str">
        <x:v>48201342200</x:v>
      </x:c>
      <x:c r="C1549" s="66" t="n">
        <x:v>315.58346589433677</x:v>
      </x:c>
      <x:c r="D1549" s="66" t="n">
        <x:v>190.1962900690444</x:v>
      </x:c>
      <x:c r="E1549" s="66" t="n">
        <x:v>125.38717582529236</x:v>
      </x:c>
      <x:c r="F1549" s="66" t="n">
        <x:v>125.38717582529236</x:v>
      </x:c>
      <x:c r="G1549" s="66" t="n">
        <x:v>315.58346589433677</x:v>
      </x:c>
      <x:c r="H1549" s="45" t="n">
        <x:v>1</x:v>
      </x:c>
      <x:c r="I1549" s="36" t="str">
        <x:v>generated design-reference observation; not predicted tract behavior</x:v>
      </x:c>
    </x:row>
    <x:row r="1550" ht="75.5999984741211" hidden="0" customHeight="1">
      <x:c r="A1550" s="34" t="str">
        <x:v>B1</x:v>
      </x:c>
      <x:c r="B1550" s="34" t="str">
        <x:v>48201342300</x:v>
      </x:c>
      <x:c r="C1550" s="65" t="n">
        <x:v>577.957954524094</x:v>
      </x:c>
      <x:c r="D1550" s="65" t="n">
        <x:v>343.96905311313424</x:v>
      </x:c>
      <x:c r="E1550" s="65" t="n">
        <x:v>233.98890141095978</x:v>
      </x:c>
      <x:c r="F1550" s="65" t="n">
        <x:v>233.98890141095978</x:v>
      </x:c>
      <x:c r="G1550" s="65" t="n">
        <x:v>577.957954524094</x:v>
      </x:c>
      <x:c r="H1550" s="43" t="n">
        <x:v>1</x:v>
      </x:c>
      <x:c r="I1550" s="34" t="str">
        <x:v>generated design-reference observation; not predicted tract behavior</x:v>
      </x:c>
    </x:row>
    <x:row r="1551" ht="75.5999984741211" hidden="0" customHeight="1">
      <x:c r="A1551" s="36" t="str">
        <x:v>B1</x:v>
      </x:c>
      <x:c r="B1551" s="36" t="str">
        <x:v>48201342400</x:v>
      </x:c>
      <x:c r="C1551" s="66" t="n">
        <x:v>610.752725149476</x:v>
      </x:c>
      <x:c r="D1551" s="66" t="n">
        <x:v>174.70980019895418</x:v>
      </x:c>
      <x:c r="E1551" s="66" t="n">
        <x:v>436.04292495052175</x:v>
      </x:c>
      <x:c r="F1551" s="66" t="n">
        <x:v>436.04292495052175</x:v>
      </x:c>
      <x:c r="G1551" s="66" t="n">
        <x:v>610.752725149476</x:v>
      </x:c>
      <x:c r="H1551" s="45" t="n">
        <x:v>1</x:v>
      </x:c>
      <x:c r="I1551" s="36" t="str">
        <x:v>generated design-reference observation; not predicted tract behavior</x:v>
      </x:c>
    </x:row>
    <x:row r="1552" ht="75.5999984741211" hidden="0" customHeight="1">
      <x:c r="A1552" s="34" t="str">
        <x:v>B1</x:v>
      </x:c>
      <x:c r="B1552" s="34" t="str">
        <x:v>48201342500</x:v>
      </x:c>
      <x:c r="C1552" s="65" t="n">
        <x:v>1096.177481102351</x:v>
      </x:c>
      <x:c r="D1552" s="65" t="n">
        <x:v>311.0037233148943</x:v>
      </x:c>
      <x:c r="E1552" s="65" t="n">
        <x:v>785.1737577874568</x:v>
      </x:c>
      <x:c r="F1552" s="65" t="n">
        <x:v>785.1737577874568</x:v>
      </x:c>
      <x:c r="G1552" s="65" t="n">
        <x:v>1096.177481102351</x:v>
      </x:c>
      <x:c r="H1552" s="43" t="n">
        <x:v>1</x:v>
      </x:c>
      <x:c r="I1552" s="34" t="str">
        <x:v>generated design-reference observation; not predicted tract behavior</x:v>
      </x:c>
    </x:row>
    <x:row r="1553" ht="75.5999984741211" hidden="0" customHeight="1">
      <x:c r="A1553" s="36" t="str">
        <x:v>B1</x:v>
      </x:c>
      <x:c r="B1553" s="36" t="str">
        <x:v>48201342700</x:v>
      </x:c>
      <x:c r="C1553" s="66" t="n">
        <x:v>380.33022434420474</x:v>
      </x:c>
      <x:c r="D1553" s="66" t="n">
        <x:v>231.0170049612192</x:v>
      </x:c>
      <x:c r="E1553" s="66" t="n">
        <x:v>149.31321938298555</x:v>
      </x:c>
      <x:c r="F1553" s="66" t="n">
        <x:v>149.31321938298555</x:v>
      </x:c>
      <x:c r="G1553" s="66" t="n">
        <x:v>380.33022434420474</x:v>
      </x:c>
      <x:c r="H1553" s="45" t="n">
        <x:v>1</x:v>
      </x:c>
      <x:c r="I1553" s="36" t="str">
        <x:v>generated design-reference observation; not predicted tract behavior</x:v>
      </x:c>
    </x:row>
    <x:row r="1554" ht="75.5999984741211" hidden="0" customHeight="1">
      <x:c r="A1554" s="34" t="str">
        <x:v>B1</x:v>
      </x:c>
      <x:c r="B1554" s="34" t="str">
        <x:v>48201342801</x:v>
      </x:c>
      <x:c r="C1554" s="65" t="n">
        <x:v>428.1397086426444</x:v>
      </x:c>
      <x:c r="D1554" s="65" t="n">
        <x:v>261.59336198065574</x:v>
      </x:c>
      <x:c r="E1554" s="65" t="n">
        <x:v>166.54634666198865</x:v>
      </x:c>
      <x:c r="F1554" s="65" t="n">
        <x:v>166.54634666198865</x:v>
      </x:c>
      <x:c r="G1554" s="65" t="n">
        <x:v>428.1397086426444</x:v>
      </x:c>
      <x:c r="H1554" s="43" t="n">
        <x:v>1</x:v>
      </x:c>
      <x:c r="I1554" s="34" t="str">
        <x:v>generated design-reference observation; not predicted tract behavior</x:v>
      </x:c>
    </x:row>
    <x:row r="1555" ht="75.5999984741211" hidden="0" customHeight="1">
      <x:c r="A1555" s="36" t="str">
        <x:v>B1</x:v>
      </x:c>
      <x:c r="B1555" s="36" t="str">
        <x:v>48201342802</x:v>
      </x:c>
      <x:c r="C1555" s="66" t="n">
        <x:v>294.07194879342774</x:v>
      </x:c>
      <x:c r="D1555" s="66" t="n">
        <x:v>179.67796071278434</x:v>
      </x:c>
      <x:c r="E1555" s="66" t="n">
        <x:v>114.3939880806434</x:v>
      </x:c>
      <x:c r="F1555" s="66" t="n">
        <x:v>114.3939880806434</x:v>
      </x:c>
      <x:c r="G1555" s="66" t="n">
        <x:v>294.07194879342774</x:v>
      </x:c>
      <x:c r="H1555" s="45" t="n">
        <x:v>1</x:v>
      </x:c>
      <x:c r="I1555" s="36" t="str">
        <x:v>generated design-reference observation; not predicted tract behavior</x:v>
      </x:c>
    </x:row>
    <x:row r="1556" ht="75.5999984741211" hidden="0" customHeight="1">
      <x:c r="A1556" s="34" t="str">
        <x:v>B1</x:v>
      </x:c>
      <x:c r="B1556" s="34" t="str">
        <x:v>48201342900</x:v>
      </x:c>
      <x:c r="C1556" s="65" t="n">
        <x:v>982.1947347538189</x:v>
      </x:c>
      <x:c r="D1556" s="65" t="n">
        <x:v>516.7783741240529</x:v>
      </x:c>
      <x:c r="E1556" s="65" t="n">
        <x:v>465.416360629766</x:v>
      </x:c>
      <x:c r="F1556" s="65" t="n">
        <x:v>465.416360629766</x:v>
      </x:c>
      <x:c r="G1556" s="65" t="n">
        <x:v>982.1947347538189</x:v>
      </x:c>
      <x:c r="H1556" s="43" t="n">
        <x:v>1</x:v>
      </x:c>
      <x:c r="I1556" s="34" t="str">
        <x:v>generated design-reference observation; not predicted tract behavior</x:v>
      </x:c>
    </x:row>
    <x:row r="1557" ht="75.5999984741211" hidden="0" customHeight="1">
      <x:c r="A1557" s="36" t="str">
        <x:v>B1</x:v>
      </x:c>
      <x:c r="B1557" s="36" t="str">
        <x:v>48201343000</x:v>
      </x:c>
      <x:c r="C1557" s="66" t="n">
        <x:v>1255.9555575877853</x:v>
      </x:c>
      <x:c r="D1557" s="66" t="n">
        <x:v>644.9059489958972</x:v>
      </x:c>
      <x:c r="E1557" s="66" t="n">
        <x:v>611.049608591888</x:v>
      </x:c>
      <x:c r="F1557" s="66" t="n">
        <x:v>611.049608591888</x:v>
      </x:c>
      <x:c r="G1557" s="66" t="n">
        <x:v>1255.9555575877853</x:v>
      </x:c>
      <x:c r="H1557" s="45" t="n">
        <x:v>1</x:v>
      </x:c>
      <x:c r="I1557" s="36" t="str">
        <x:v>generated design-reference observation; not predicted tract behavior</x:v>
      </x:c>
    </x:row>
    <x:row r="1558" ht="75.5999984741211" hidden="0" customHeight="1">
      <x:c r="A1558" s="34" t="str">
        <x:v>B1</x:v>
      </x:c>
      <x:c r="B1558" s="34" t="str">
        <x:v>48201343100</x:v>
      </x:c>
      <x:c r="C1558" s="65" t="n">
        <x:v>321.69817554158084</x:v>
      </x:c>
      <x:c r="D1558" s="65" t="n">
        <x:v>196.4214650445098</x:v>
      </x:c>
      <x:c r="E1558" s="65" t="n">
        <x:v>125.27671049707104</x:v>
      </x:c>
      <x:c r="F1558" s="65" t="n">
        <x:v>125.27671049707104</x:v>
      </x:c>
      <x:c r="G1558" s="65" t="n">
        <x:v>321.69817554158084</x:v>
      </x:c>
      <x:c r="H1558" s="43" t="n">
        <x:v>1</x:v>
      </x:c>
      <x:c r="I1558" s="34" t="str">
        <x:v>generated design-reference observation; not predicted tract behavior</x:v>
      </x:c>
    </x:row>
    <x:row r="1559" ht="75.5999984741211" hidden="0" customHeight="1">
      <x:c r="A1559" s="36" t="str">
        <x:v>B1</x:v>
      </x:c>
      <x:c r="B1559" s="36" t="str">
        <x:v>48201343200</x:v>
      </x:c>
      <x:c r="C1559" s="66" t="n">
        <x:v>441.3437089091871</x:v>
      </x:c>
      <x:c r="D1559" s="66" t="n">
        <x:v>268.71281081024364</x:v>
      </x:c>
      <x:c r="E1559" s="66" t="n">
        <x:v>172.63089809894348</x:v>
      </x:c>
      <x:c r="F1559" s="66" t="n">
        <x:v>172.63089809894348</x:v>
      </x:c>
      <x:c r="G1559" s="66" t="n">
        <x:v>441.3437089091871</x:v>
      </x:c>
      <x:c r="H1559" s="45" t="n">
        <x:v>1</x:v>
      </x:c>
      <x:c r="I1559" s="36" t="str">
        <x:v>generated design-reference observation; not predicted tract behavior</x:v>
      </x:c>
    </x:row>
    <x:row r="1560" ht="75.5999984741211" hidden="0" customHeight="1">
      <x:c r="A1560" s="34" t="str">
        <x:v>B1</x:v>
      </x:c>
      <x:c r="B1560" s="34" t="str">
        <x:v>48201343301</x:v>
      </x:c>
      <x:c r="C1560" s="65" t="n">
        <x:v>367.7156883752756</x:v>
      </x:c>
      <x:c r="D1560" s="65" t="n">
        <x:v>224.6742855972934</x:v>
      </x:c>
      <x:c r="E1560" s="65" t="n">
        <x:v>143.0414027779822</x:v>
      </x:c>
      <x:c r="F1560" s="65" t="n">
        <x:v>143.0414027779822</x:v>
      </x:c>
      <x:c r="G1560" s="65" t="n">
        <x:v>367.7156883752756</x:v>
      </x:c>
      <x:c r="H1560" s="43" t="n">
        <x:v>1</x:v>
      </x:c>
      <x:c r="I1560" s="34" t="str">
        <x:v>generated design-reference observation; not predicted tract behavior</x:v>
      </x:c>
    </x:row>
    <x:row r="1561" ht="75.5999984741211" hidden="0" customHeight="1">
      <x:c r="A1561" s="36" t="str">
        <x:v>B1</x:v>
      </x:c>
      <x:c r="B1561" s="36" t="str">
        <x:v>48201343302</x:v>
      </x:c>
      <x:c r="C1561" s="66" t="n">
        <x:v>396.53656276659217</x:v>
      </x:c>
      <x:c r="D1561" s="66" t="n">
        <x:v>239.76368868407582</x:v>
      </x:c>
      <x:c r="E1561" s="66" t="n">
        <x:v>156.77287408251635</x:v>
      </x:c>
      <x:c r="F1561" s="66" t="n">
        <x:v>156.77287408251635</x:v>
      </x:c>
      <x:c r="G1561" s="66" t="n">
        <x:v>396.53656276659217</x:v>
      </x:c>
      <x:c r="H1561" s="45" t="n">
        <x:v>1</x:v>
      </x:c>
      <x:c r="I1561" s="36" t="str">
        <x:v>generated design-reference observation; not predicted tract behavior</x:v>
      </x:c>
    </x:row>
    <x:row r="1562" ht="75.5999984741211" hidden="0" customHeight="1">
      <x:c r="A1562" s="34" t="str">
        <x:v>B1</x:v>
      </x:c>
      <x:c r="B1562" s="34" t="str">
        <x:v>48201343602</x:v>
      </x:c>
      <x:c r="C1562" s="65" t="n">
        <x:v>409.3028480059838</x:v>
      </x:c>
      <x:c r="D1562" s="65" t="n">
        <x:v>213.2243019099347</x:v>
      </x:c>
      <x:c r="E1562" s="65" t="n">
        <x:v>196.07854609604908</x:v>
      </x:c>
      <x:c r="F1562" s="65" t="n">
        <x:v>196.07854609604908</x:v>
      </x:c>
      <x:c r="G1562" s="65" t="n">
        <x:v>409.3028480059838</x:v>
      </x:c>
      <x:c r="H1562" s="43" t="n">
        <x:v>1</x:v>
      </x:c>
      <x:c r="I1562" s="34" t="str">
        <x:v>generated design-reference observation; not predicted tract behavior</x:v>
      </x:c>
    </x:row>
    <x:row r="1563" ht="75.5999984741211" hidden="0" customHeight="1">
      <x:c r="A1563" s="36" t="str">
        <x:v>B1</x:v>
      </x:c>
      <x:c r="B1563" s="36" t="str">
        <x:v>48201343700</x:v>
      </x:c>
      <x:c r="C1563" s="66" t="n">
        <x:v>548.0500475101015</x:v>
      </x:c>
      <x:c r="D1563" s="66" t="n">
        <x:v>289.24760380316314</x:v>
      </x:c>
      <x:c r="E1563" s="66" t="n">
        <x:v>258.8024437069384</x:v>
      </x:c>
      <x:c r="F1563" s="66" t="n">
        <x:v>258.8024437069384</x:v>
      </x:c>
      <x:c r="G1563" s="66" t="n">
        <x:v>548.0500475101015</x:v>
      </x:c>
      <x:c r="H1563" s="45" t="n">
        <x:v>1</x:v>
      </x:c>
      <x:c r="I1563" s="36" t="str">
        <x:v>generated design-reference observation; not predicted tract behavior</x:v>
      </x:c>
    </x:row>
    <x:row r="1564" ht="75.5999984741211" hidden="0" customHeight="1">
      <x:c r="A1564" s="34" t="str">
        <x:v>B1</x:v>
      </x:c>
      <x:c r="B1564" s="34" t="str">
        <x:v>48201350101</x:v>
      </x:c>
      <x:c r="C1564" s="65" t="n">
        <x:v>611.1662570259556</x:v>
      </x:c>
      <x:c r="D1564" s="65" t="n">
        <x:v>325.75161499483437</x:v>
      </x:c>
      <x:c r="E1564" s="65" t="n">
        <x:v>285.4146420311212</x:v>
      </x:c>
      <x:c r="F1564" s="65" t="n">
        <x:v>285.4146420311212</x:v>
      </x:c>
      <x:c r="G1564" s="65" t="n">
        <x:v>611.1662570259556</x:v>
      </x:c>
      <x:c r="H1564" s="43" t="n">
        <x:v>1</x:v>
      </x:c>
      <x:c r="I1564" s="34" t="str">
        <x:v>generated design-reference observation; not predicted tract behavior</x:v>
      </x:c>
    </x:row>
    <x:row r="1565" ht="75.5999984741211" hidden="0" customHeight="1">
      <x:c r="A1565" s="36" t="str">
        <x:v>B1</x:v>
      </x:c>
      <x:c r="B1565" s="36" t="str">
        <x:v>48201350102</x:v>
      </x:c>
      <x:c r="C1565" s="66" t="n">
        <x:v>749.3572440646328</x:v>
      </x:c>
      <x:c r="D1565" s="66" t="n">
        <x:v>399.4074110864493</x:v>
      </x:c>
      <x:c r="E1565" s="66" t="n">
        <x:v>349.9498329781835</x:v>
      </x:c>
      <x:c r="F1565" s="66" t="n">
        <x:v>349.9498329781835</x:v>
      </x:c>
      <x:c r="G1565" s="66" t="n">
        <x:v>749.3572440646328</x:v>
      </x:c>
      <x:c r="H1565" s="45" t="n">
        <x:v>1</x:v>
      </x:c>
      <x:c r="I1565" s="36" t="str">
        <x:v>generated design-reference observation; not predicted tract behavior</x:v>
      </x:c>
    </x:row>
    <x:row r="1566" ht="75.5999984741211" hidden="0" customHeight="1">
      <x:c r="A1566" s="34" t="str">
        <x:v>B1</x:v>
      </x:c>
      <x:c r="B1566" s="34" t="str">
        <x:v>48201350103</x:v>
      </x:c>
      <x:c r="C1566" s="65" t="n">
        <x:v>1205.9172936655998</x:v>
      </x:c>
      <x:c r="D1566" s="65" t="n">
        <x:v>641.1721101637123</x:v>
      </x:c>
      <x:c r="E1566" s="65" t="n">
        <x:v>564.7451835018875</x:v>
      </x:c>
      <x:c r="F1566" s="65" t="n">
        <x:v>564.7451835018875</x:v>
      </x:c>
      <x:c r="G1566" s="65" t="n">
        <x:v>1205.9172936655998</x:v>
      </x:c>
      <x:c r="H1566" s="43" t="n">
        <x:v>1</x:v>
      </x:c>
      <x:c r="I1566" s="34" t="str">
        <x:v>generated design-reference observation; not predicted tract behavior</x:v>
      </x:c>
    </x:row>
    <x:row r="1567" ht="75.5999984741211" hidden="0" customHeight="1">
      <x:c r="A1567" s="36" t="str">
        <x:v>B1</x:v>
      </x:c>
      <x:c r="B1567" s="36" t="str">
        <x:v>48201350104</x:v>
      </x:c>
      <x:c r="C1567" s="66" t="n">
        <x:v>962.1314860887389</x:v>
      </x:c>
      <x:c r="D1567" s="66" t="n">
        <x:v>267.27383616329223</x:v>
      </x:c>
      <x:c r="E1567" s="66" t="n">
        <x:v>694.8576499254467</x:v>
      </x:c>
      <x:c r="F1567" s="66" t="n">
        <x:v>694.8576499254467</x:v>
      </x:c>
      <x:c r="G1567" s="66" t="n">
        <x:v>962.1314860887389</x:v>
      </x:c>
      <x:c r="H1567" s="45" t="n">
        <x:v>1</x:v>
      </x:c>
      <x:c r="I1567" s="36" t="str">
        <x:v>generated design-reference observation; not predicted tract behavior</x:v>
      </x:c>
    </x:row>
    <x:row r="1568" ht="75.5999984741211" hidden="0" customHeight="1">
      <x:c r="A1568" s="34" t="str">
        <x:v>B1</x:v>
      </x:c>
      <x:c r="B1568" s="34" t="str">
        <x:v>48201350201</x:v>
      </x:c>
      <x:c r="C1568" s="65" t="n">
        <x:v>304.5879918628528</x:v>
      </x:c>
      <x:c r="D1568" s="65" t="n">
        <x:v>184.2045841793665</x:v>
      </x:c>
      <x:c r="E1568" s="65" t="n">
        <x:v>120.3834076834863</x:v>
      </x:c>
      <x:c r="F1568" s="65" t="n">
        <x:v>120.3834076834863</x:v>
      </x:c>
      <x:c r="G1568" s="65" t="n">
        <x:v>304.5879918628528</x:v>
      </x:c>
      <x:c r="H1568" s="43" t="n">
        <x:v>1</x:v>
      </x:c>
      <x:c r="I1568" s="34" t="str">
        <x:v>generated design-reference observation; not predicted tract behavior</x:v>
      </x:c>
    </x:row>
    <x:row r="1569" ht="75.5999984741211" hidden="0" customHeight="1">
      <x:c r="A1569" s="36" t="str">
        <x:v>B1</x:v>
      </x:c>
      <x:c r="B1569" s="36" t="str">
        <x:v>48201350202</x:v>
      </x:c>
      <x:c r="C1569" s="66" t="n">
        <x:v>645.5679980134466</x:v>
      </x:c>
      <x:c r="D1569" s="66" t="n">
        <x:v>344.08774294116705</x:v>
      </x:c>
      <x:c r="E1569" s="66" t="n">
        <x:v>301.4802550722796</x:v>
      </x:c>
      <x:c r="F1569" s="66" t="n">
        <x:v>301.4802550722796</x:v>
      </x:c>
      <x:c r="G1569" s="66" t="n">
        <x:v>645.5679980134466</x:v>
      </x:c>
      <x:c r="H1569" s="45" t="n">
        <x:v>1</x:v>
      </x:c>
      <x:c r="I1569" s="36" t="str">
        <x:v>generated design-reference observation; not predicted tract behavior</x:v>
      </x:c>
    </x:row>
    <x:row r="1570" ht="75.5999984741211" hidden="0" customHeight="1">
      <x:c r="A1570" s="34" t="str">
        <x:v>B1</x:v>
      </x:c>
      <x:c r="B1570" s="34" t="str">
        <x:v>48201350300</x:v>
      </x:c>
      <x:c r="C1570" s="65" t="n">
        <x:v>913.7597435371908</x:v>
      </x:c>
      <x:c r="D1570" s="65" t="n">
        <x:v>487.03394330532274</x:v>
      </x:c>
      <x:c r="E1570" s="65" t="n">
        <x:v>426.7258002318681</x:v>
      </x:c>
      <x:c r="F1570" s="65" t="n">
        <x:v>426.7258002318681</x:v>
      </x:c>
      <x:c r="G1570" s="65" t="n">
        <x:v>913.7597435371908</x:v>
      </x:c>
      <x:c r="H1570" s="43" t="n">
        <x:v>1</x:v>
      </x:c>
      <x:c r="I1570" s="34" t="str">
        <x:v>generated design-reference observation; not predicted tract behavior</x:v>
      </x:c>
    </x:row>
    <x:row r="1571" ht="75.5999984741211" hidden="0" customHeight="1">
      <x:c r="A1571" s="36" t="str">
        <x:v>B1</x:v>
      </x:c>
      <x:c r="B1571" s="36" t="str">
        <x:v>48201350400</x:v>
      </x:c>
      <x:c r="C1571" s="66" t="n">
        <x:v>1013.3562358407363</x:v>
      </x:c>
      <x:c r="D1571" s="66" t="n">
        <x:v>291.53792468603433</x:v>
      </x:c>
      <x:c r="E1571" s="66" t="n">
        <x:v>721.818311154702</x:v>
      </x:c>
      <x:c r="F1571" s="66" t="n">
        <x:v>721.818311154702</x:v>
      </x:c>
      <x:c r="G1571" s="66" t="n">
        <x:v>1013.3562358407363</x:v>
      </x:c>
      <x:c r="H1571" s="45" t="n">
        <x:v>1</x:v>
      </x:c>
      <x:c r="I1571" s="36" t="str">
        <x:v>generated design-reference observation; not predicted tract behavior</x:v>
      </x:c>
    </x:row>
    <x:row r="1572" ht="75.5999984741211" hidden="0" customHeight="1">
      <x:c r="A1572" s="34" t="str">
        <x:v>B1</x:v>
      </x:c>
      <x:c r="B1572" s="34" t="str">
        <x:v>48201350500</x:v>
      </x:c>
      <x:c r="C1572" s="65" t="n">
        <x:v>1196.7902703128593</x:v>
      </x:c>
      <x:c r="D1572" s="65" t="n">
        <x:v>345.9276958140973</x:v>
      </x:c>
      <x:c r="E1572" s="65" t="n">
        <x:v>850.862574498762</x:v>
      </x:c>
      <x:c r="F1572" s="65" t="n">
        <x:v>850.862574498762</x:v>
      </x:c>
      <x:c r="G1572" s="65" t="n">
        <x:v>1196.7902703128593</x:v>
      </x:c>
      <x:c r="H1572" s="43" t="n">
        <x:v>1</x:v>
      </x:c>
      <x:c r="I1572" s="34" t="str">
        <x:v>generated design-reference observation; not predicted tract behavior</x:v>
      </x:c>
    </x:row>
    <x:row r="1573" ht="75.5999984741211" hidden="0" customHeight="1">
      <x:c r="A1573" s="36" t="str">
        <x:v>B1</x:v>
      </x:c>
      <x:c r="B1573" s="36" t="str">
        <x:v>48201350601</x:v>
      </x:c>
      <x:c r="C1573" s="66" t="n">
        <x:v>310.52979198279695</x:v>
      </x:c>
      <x:c r="D1573" s="66" t="n">
        <x:v>185.57364839471614</x:v>
      </x:c>
      <x:c r="E1573" s="66" t="n">
        <x:v>124.9561435880808</x:v>
      </x:c>
      <x:c r="F1573" s="66" t="n">
        <x:v>124.9561435880808</x:v>
      </x:c>
      <x:c r="G1573" s="66" t="n">
        <x:v>310.52979198279695</x:v>
      </x:c>
      <x:c r="H1573" s="45" t="n">
        <x:v>1</x:v>
      </x:c>
      <x:c r="I1573" s="36" t="str">
        <x:v>generated design-reference observation; not predicted tract behavior</x:v>
      </x:c>
    </x:row>
    <x:row r="1574" ht="75.5999984741211" hidden="0" customHeight="1">
      <x:c r="A1574" s="34" t="str">
        <x:v>B1</x:v>
      </x:c>
      <x:c r="B1574" s="34" t="str">
        <x:v>48201350603</x:v>
      </x:c>
      <x:c r="C1574" s="65" t="n">
        <x:v>357.3804143571187</x:v>
      </x:c>
      <x:c r="D1574" s="65" t="n">
        <x:v>218.35943317219952</x:v>
      </x:c>
      <x:c r="E1574" s="65" t="n">
        <x:v>139.02098118491918</x:v>
      </x:c>
      <x:c r="F1574" s="65" t="n">
        <x:v>139.02098118491918</x:v>
      </x:c>
      <x:c r="G1574" s="65" t="n">
        <x:v>357.3804143571187</x:v>
      </x:c>
      <x:c r="H1574" s="43" t="n">
        <x:v>1</x:v>
      </x:c>
      <x:c r="I1574" s="34" t="str">
        <x:v>generated design-reference observation; not predicted tract behavior</x:v>
      </x:c>
    </x:row>
    <x:row r="1575" ht="75.5999984741211" hidden="0" customHeight="1">
      <x:c r="A1575" s="36" t="str">
        <x:v>B1</x:v>
      </x:c>
      <x:c r="B1575" s="36" t="str">
        <x:v>48201350604</x:v>
      </x:c>
      <x:c r="C1575" s="66" t="n">
        <x:v>294.32345356040946</x:v>
      </x:c>
      <x:c r="D1575" s="66" t="n">
        <x:v>177.33962619029455</x:v>
      </x:c>
      <x:c r="E1575" s="66" t="n">
        <x:v>116.98382737011491</x:v>
      </x:c>
      <x:c r="F1575" s="66" t="n">
        <x:v>116.98382737011491</x:v>
      </x:c>
      <x:c r="G1575" s="66" t="n">
        <x:v>294.32345356040946</x:v>
      </x:c>
      <x:c r="H1575" s="45" t="n">
        <x:v>1</x:v>
      </x:c>
      <x:c r="I1575" s="36" t="str">
        <x:v>generated design-reference observation; not predicted tract behavior</x:v>
      </x:c>
    </x:row>
    <x:row r="1576" ht="75.5999984741211" hidden="0" customHeight="1">
      <x:c r="A1576" s="34" t="str">
        <x:v>B1</x:v>
      </x:c>
      <x:c r="B1576" s="34" t="str">
        <x:v>48201350700</x:v>
      </x:c>
      <x:c r="C1576" s="65" t="n">
        <x:v>188.72681928592542</x:v>
      </x:c>
      <x:c r="D1576" s="65" t="n">
        <x:v>115.31208658370042</x:v>
      </x:c>
      <x:c r="E1576" s="65" t="n">
        <x:v>73.414732702225</x:v>
      </x:c>
      <x:c r="F1576" s="65" t="n">
        <x:v>73.414732702225</x:v>
      </x:c>
      <x:c r="G1576" s="65" t="n">
        <x:v>188.72681928592542</x:v>
      </x:c>
      <x:c r="H1576" s="43" t="n">
        <x:v>1</x:v>
      </x:c>
      <x:c r="I1576" s="34" t="str">
        <x:v>generated design-reference observation; not predicted tract behavior</x:v>
      </x:c>
    </x:row>
    <x:row r="1577" ht="75.5999984741211" hidden="0" customHeight="1">
      <x:c r="A1577" s="36" t="str">
        <x:v>B1</x:v>
      </x:c>
      <x:c r="B1577" s="36" t="str">
        <x:v>48201350801</x:v>
      </x:c>
      <x:c r="C1577" s="66" t="n">
        <x:v>382.51517200735873</x:v>
      </x:c>
      <x:c r="D1577" s="66" t="n">
        <x:v>232.65614293884593</x:v>
      </x:c>
      <x:c r="E1577" s="66" t="n">
        <x:v>149.8590290685128</x:v>
      </x:c>
      <x:c r="F1577" s="66" t="n">
        <x:v>149.8590290685128</x:v>
      </x:c>
      <x:c r="G1577" s="66" t="n">
        <x:v>382.51517200735873</x:v>
      </x:c>
      <x:c r="H1577" s="45" t="n">
        <x:v>1</x:v>
      </x:c>
      <x:c r="I1577" s="36" t="str">
        <x:v>generated design-reference observation; not predicted tract behavior</x:v>
      </x:c>
    </x:row>
    <x:row r="1578" ht="75.5999984741211" hidden="0" customHeight="1">
      <x:c r="A1578" s="34" t="str">
        <x:v>B1</x:v>
      </x:c>
      <x:c r="B1578" s="34" t="str">
        <x:v>48201350803</x:v>
      </x:c>
      <x:c r="C1578" s="65" t="n">
        <x:v>245.59440495769277</x:v>
      </x:c>
      <x:c r="D1578" s="65" t="n">
        <x:v>146.81368020906055</x:v>
      </x:c>
      <x:c r="E1578" s="65" t="n">
        <x:v>98.78072474863222</x:v>
      </x:c>
      <x:c r="F1578" s="65" t="n">
        <x:v>98.78072474863222</x:v>
      </x:c>
      <x:c r="G1578" s="65" t="n">
        <x:v>245.59440495769277</x:v>
      </x:c>
      <x:c r="H1578" s="43" t="n">
        <x:v>1</x:v>
      </x:c>
      <x:c r="I1578" s="34" t="str">
        <x:v>generated design-reference observation; not predicted tract behavior</x:v>
      </x:c>
    </x:row>
    <x:row r="1579" ht="75.5999984741211" hidden="0" customHeight="1">
      <x:c r="A1579" s="36" t="str">
        <x:v>B1</x:v>
      </x:c>
      <x:c r="B1579" s="36" t="str">
        <x:v>48201350804</x:v>
      </x:c>
      <x:c r="C1579" s="66" t="n">
        <x:v>521.3851010011334</x:v>
      </x:c>
      <x:c r="D1579" s="66" t="n">
        <x:v>307.30506845364215</x:v>
      </x:c>
      <x:c r="E1579" s="66" t="n">
        <x:v>214.08003254749127</x:v>
      </x:c>
      <x:c r="F1579" s="66" t="n">
        <x:v>214.08003254749127</x:v>
      </x:c>
      <x:c r="G1579" s="66" t="n">
        <x:v>521.3851010011334</x:v>
      </x:c>
      <x:c r="H1579" s="45" t="n">
        <x:v>1</x:v>
      </x:c>
      <x:c r="I1579" s="36" t="str">
        <x:v>generated design-reference observation; not predicted tract behavior</x:v>
      </x:c>
    </x:row>
    <x:row r="1580" ht="75.5999984741211" hidden="0" customHeight="1">
      <x:c r="A1580" s="34" t="str">
        <x:v>B1</x:v>
      </x:c>
      <x:c r="B1580" s="34" t="str">
        <x:v>48201410101</x:v>
      </x:c>
      <x:c r="C1580" s="65" t="n">
        <x:v>176.100494031044</x:v>
      </x:c>
      <x:c r="D1580" s="65" t="n">
        <x:v>99.32067863350882</x:v>
      </x:c>
      <x:c r="E1580" s="65" t="n">
        <x:v>76.77981539753519</x:v>
      </x:c>
      <x:c r="F1580" s="65" t="n">
        <x:v>20.15130279701076</x:v>
      </x:c>
      <x:c r="G1580" s="65" t="n">
        <x:v>119.47198143051958</x:v>
      </x:c>
      <x:c r="H1580" s="43" t="n">
        <x:v>0.6784306999698614</x:v>
      </x:c>
      <x:c r="I1580" s="34" t="str">
        <x:v>generated design-reference observation; not predicted tract behavior</x:v>
      </x:c>
    </x:row>
    <x:row r="1581" ht="75.5999984741211" hidden="0" customHeight="1">
      <x:c r="A1581" s="36" t="str">
        <x:v>B1</x:v>
      </x:c>
      <x:c r="B1581" s="36" t="str">
        <x:v>48201410102</x:v>
      </x:c>
      <x:c r="C1581" s="66" t="n">
        <x:v>321.7060350655491</x:v>
      </x:c>
      <x:c r="D1581" s="66" t="n">
        <x:v>164.45009805683355</x:v>
      </x:c>
      <x:c r="E1581" s="66" t="n">
        <x:v>157.25593700871553</x:v>
      </x:c>
      <x:c r="F1581" s="66" t="n">
        <x:v>157.25593700871553</x:v>
      </x:c>
      <x:c r="G1581" s="66" t="n">
        <x:v>321.7060350655491</x:v>
      </x:c>
      <x:c r="H1581" s="45" t="n">
        <x:v>1</x:v>
      </x:c>
      <x:c r="I1581" s="36" t="str">
        <x:v>generated design-reference observation; not predicted tract behavior</x:v>
      </x:c>
    </x:row>
    <x:row r="1582" ht="75.5999984741211" hidden="0" customHeight="1">
      <x:c r="A1582" s="34" t="str">
        <x:v>B1</x:v>
      </x:c>
      <x:c r="B1582" s="34" t="str">
        <x:v>48201410201</x:v>
      </x:c>
      <x:c r="C1582" s="65" t="n">
        <x:v>139.5065504351973</x:v>
      </x:c>
      <x:c r="D1582" s="65" t="n">
        <x:v>72.65241556162927</x:v>
      </x:c>
      <x:c r="E1582" s="65" t="n">
        <x:v>66.85413487356804</x:v>
      </x:c>
      <x:c r="F1582" s="65" t="n">
        <x:v>66.85413487356804</x:v>
      </x:c>
      <x:c r="G1582" s="65" t="n">
        <x:v>139.5065504351973</x:v>
      </x:c>
      <x:c r="H1582" s="43" t="n">
        <x:v>1</x:v>
      </x:c>
      <x:c r="I1582" s="34" t="str">
        <x:v>generated design-reference observation; not predicted tract behavior</x:v>
      </x:c>
    </x:row>
    <x:row r="1583" ht="75.5999984741211" hidden="0" customHeight="1">
      <x:c r="A1583" s="36" t="str">
        <x:v>B1</x:v>
      </x:c>
      <x:c r="B1583" s="36" t="str">
        <x:v>48201410202</x:v>
      </x:c>
      <x:c r="C1583" s="66" t="n">
        <x:v>311.59082771850126</x:v>
      </x:c>
      <x:c r="D1583" s="66" t="n">
        <x:v>173.97911741210524</x:v>
      </x:c>
      <x:c r="E1583" s="66" t="n">
        <x:v>137.61171030639602</x:v>
      </x:c>
      <x:c r="F1583" s="66" t="n">
        <x:v>137.61171030639602</x:v>
      </x:c>
      <x:c r="G1583" s="66" t="n">
        <x:v>311.59082771850126</x:v>
      </x:c>
      <x:c r="H1583" s="45" t="n">
        <x:v>1</x:v>
      </x:c>
      <x:c r="I1583" s="36" t="str">
        <x:v>generated design-reference observation; not predicted tract behavior</x:v>
      </x:c>
    </x:row>
    <x:row r="1584" ht="75.5999984741211" hidden="0" customHeight="1">
      <x:c r="A1584" s="34" t="str">
        <x:v>B1</x:v>
      </x:c>
      <x:c r="B1584" s="34" t="str">
        <x:v>48201410300</x:v>
      </x:c>
      <x:c r="C1584" s="65" t="n">
        <x:v>300.2966917762264</x:v>
      </x:c>
      <x:c r="D1584" s="65" t="n">
        <x:v>157.00423339808285</x:v>
      </x:c>
      <x:c r="E1584" s="65" t="n">
        <x:v>143.29245837814355</x:v>
      </x:c>
      <x:c r="F1584" s="65" t="n">
        <x:v>97.06437453035528</x:v>
      </x:c>
      <x:c r="G1584" s="65" t="n">
        <x:v>254.06860792843813</x:v>
      </x:c>
      <x:c r="H1584" s="43" t="n">
        <x:v>0.8460586309680818</x:v>
      </x:c>
      <x:c r="I1584" s="34" t="str">
        <x:v>generated design-reference observation; not predicted tract behavior</x:v>
      </x:c>
    </x:row>
    <x:row r="1585" ht="75.5999984741211" hidden="0" customHeight="1">
      <x:c r="A1585" s="36" t="str">
        <x:v>B1</x:v>
      </x:c>
      <x:c r="B1585" s="36" t="str">
        <x:v>48201410401</x:v>
      </x:c>
      <x:c r="C1585" s="66" t="n">
        <x:v>311.58296819453307</x:v>
      </x:c>
      <x:c r="D1585" s="66" t="n">
        <x:v>185.38756393803007</x:v>
      </x:c>
      <x:c r="E1585" s="66" t="n">
        <x:v>126.195404256503</x:v>
      </x:c>
      <x:c r="F1585" s="66" t="n">
        <x:v>126.195404256503</x:v>
      </x:c>
      <x:c r="G1585" s="66" t="n">
        <x:v>311.58296819453307</x:v>
      </x:c>
      <x:c r="H1585" s="45" t="n">
        <x:v>1</x:v>
      </x:c>
      <x:c r="I1585" s="36" t="str">
        <x:v>generated design-reference observation; not predicted tract behavior</x:v>
      </x:c>
    </x:row>
    <x:row r="1586" ht="75.5999984741211" hidden="0" customHeight="1">
      <x:c r="A1586" s="34" t="str">
        <x:v>B1</x:v>
      </x:c>
      <x:c r="B1586" s="34" t="str">
        <x:v>48201410402</x:v>
      </x:c>
      <x:c r="C1586" s="65" t="n">
        <x:v>243.57450729787044</x:v>
      </x:c>
      <x:c r="D1586" s="65" t="n">
        <x:v>146.44055144203858</x:v>
      </x:c>
      <x:c r="E1586" s="65" t="n">
        <x:v>97.13395585583186</x:v>
      </x:c>
      <x:c r="F1586" s="65" t="n">
        <x:v>81.02558785016244</x:v>
      </x:c>
      <x:c r="G1586" s="65" t="n">
        <x:v>227.46613929220104</x:v>
      </x:c>
      <x:c r="H1586" s="43" t="n">
        <x:v>0.933866773726159</x:v>
      </x:c>
      <x:c r="I1586" s="34" t="str">
        <x:v>generated design-reference observation; not predicted tract behavior</x:v>
      </x:c>
    </x:row>
    <x:row r="1587" ht="75.5999984741211" hidden="0" customHeight="1">
      <x:c r="A1587" s="36" t="str">
        <x:v>B1</x:v>
      </x:c>
      <x:c r="B1587" s="36" t="str">
        <x:v>48201410501</x:v>
      </x:c>
      <x:c r="C1587" s="66" t="n">
        <x:v>145.85704580148686</x:v>
      </x:c>
      <x:c r="D1587" s="66" t="n">
        <x:v>86.82748389024344</x:v>
      </x:c>
      <x:c r="E1587" s="66" t="n">
        <x:v>59.02956191124342</x:v>
      </x:c>
      <x:c r="F1587" s="66" t="n">
        <x:v>59.02956191124342</x:v>
      </x:c>
      <x:c r="G1587" s="66" t="n">
        <x:v>145.85704580148686</x:v>
      </x:c>
      <x:c r="H1587" s="45" t="n">
        <x:v>1</x:v>
      </x:c>
      <x:c r="I1587" s="36" t="str">
        <x:v>generated design-reference observation; not predicted tract behavior</x:v>
      </x:c>
    </x:row>
    <x:row r="1588" ht="75.5999984741211" hidden="0" customHeight="1">
      <x:c r="A1588" s="34" t="str">
        <x:v>B1</x:v>
      </x:c>
      <x:c r="B1588" s="34" t="str">
        <x:v>48201410502</x:v>
      </x:c>
      <x:c r="C1588" s="65" t="n">
        <x:v>241.70394059344352</x:v>
      </x:c>
      <x:c r="D1588" s="65" t="n">
        <x:v>141.50349457570528</x:v>
      </x:c>
      <x:c r="E1588" s="65" t="n">
        <x:v>100.20044601773824</x:v>
      </x:c>
      <x:c r="F1588" s="65" t="n">
        <x:v>100.20044601773824</x:v>
      </x:c>
      <x:c r="G1588" s="65" t="n">
        <x:v>241.70394059344352</x:v>
      </x:c>
      <x:c r="H1588" s="43" t="n">
        <x:v>1</x:v>
      </x:c>
      <x:c r="I1588" s="34" t="str">
        <x:v>generated design-reference observation; not predicted tract behavior</x:v>
      </x:c>
    </x:row>
    <x:row r="1589" ht="75.5999984741211" hidden="0" customHeight="1">
      <x:c r="A1589" s="36" t="str">
        <x:v>B1</x:v>
      </x:c>
      <x:c r="B1589" s="36" t="str">
        <x:v>48201410601</x:v>
      </x:c>
      <x:c r="C1589" s="66" t="n">
        <x:v>294.8421821423094</x:v>
      </x:c>
      <x:c r="D1589" s="66" t="n">
        <x:v>145.3220773024785</x:v>
      </x:c>
      <x:c r="E1589" s="66" t="n">
        <x:v>149.5201048398309</x:v>
      </x:c>
      <x:c r="F1589" s="66" t="n">
        <x:v>18.261052974816227</x:v>
      </x:c>
      <x:c r="G1589" s="66" t="n">
        <x:v>163.58313027729474</x:v>
      </x:c>
      <x:c r="H1589" s="45" t="n">
        <x:v>0.554815898758812</x:v>
      </x:c>
      <x:c r="I1589" s="36" t="str">
        <x:v>generated design-reference observation; not predicted tract behavior</x:v>
      </x:c>
    </x:row>
    <x:row r="1590" ht="75.5999984741211" hidden="0" customHeight="1">
      <x:c r="A1590" s="34" t="str">
        <x:v>B1</x:v>
      </x:c>
      <x:c r="B1590" s="34" t="str">
        <x:v>48201410602</x:v>
      </x:c>
      <x:c r="C1590" s="65" t="n">
        <x:v>213.18958763688605</x:v>
      </x:c>
      <x:c r="D1590" s="65" t="n">
        <x:v>109.24025583281939</x:v>
      </x:c>
      <x:c r="E1590" s="65" t="n">
        <x:v>103.94933180406666</x:v>
      </x:c>
      <x:c r="F1590" s="65" t="n">
        <x:v>103.94933180406666</x:v>
      </x:c>
      <x:c r="G1590" s="65" t="n">
        <x:v>213.18958763688605</x:v>
      </x:c>
      <x:c r="H1590" s="43" t="n">
        <x:v>1</x:v>
      </x:c>
      <x:c r="I1590" s="34" t="str">
        <x:v>generated design-reference observation; not predicted tract behavior</x:v>
      </x:c>
    </x:row>
    <x:row r="1591" ht="75.5999984741211" hidden="0" customHeight="1">
      <x:c r="A1591" s="36" t="str">
        <x:v>B1</x:v>
      </x:c>
      <x:c r="B1591" s="36" t="str">
        <x:v>48201410703</x:v>
      </x:c>
      <x:c r="C1591" s="66" t="n">
        <x:v>184.9188799233421</x:v>
      </x:c>
      <x:c r="D1591" s="66" t="n">
        <x:v>100.41313792041652</x:v>
      </x:c>
      <x:c r="E1591" s="66" t="n">
        <x:v>84.50574200292559</x:v>
      </x:c>
      <x:c r="F1591" s="66" t="n">
        <x:v>84.50574200292559</x:v>
      </x:c>
      <x:c r="G1591" s="66" t="n">
        <x:v>184.9188799233421</x:v>
      </x:c>
      <x:c r="H1591" s="45" t="n">
        <x:v>1</x:v>
      </x:c>
      <x:c r="I1591" s="36" t="str">
        <x:v>generated design-reference observation; not predicted tract behavior</x:v>
      </x:c>
    </x:row>
    <x:row r="1592" ht="75.5999984741211" hidden="0" customHeight="1">
      <x:c r="A1592" s="34" t="str">
        <x:v>B1</x:v>
      </x:c>
      <x:c r="B1592" s="34" t="str">
        <x:v>48201410704</x:v>
      </x:c>
      <x:c r="C1592" s="65" t="n">
        <x:v>171.75417727664038</x:v>
      </x:c>
      <x:c r="D1592" s="65" t="n">
        <x:v>97.66493897725941</x:v>
      </x:c>
      <x:c r="E1592" s="65" t="n">
        <x:v>74.08923829938097</x:v>
      </x:c>
      <x:c r="F1592" s="65" t="n">
        <x:v>74.08923829938097</x:v>
      </x:c>
      <x:c r="G1592" s="65" t="n">
        <x:v>171.75417727664038</x:v>
      </x:c>
      <x:c r="H1592" s="43" t="n">
        <x:v>1</x:v>
      </x:c>
      <x:c r="I1592" s="34" t="str">
        <x:v>generated design-reference observation; not predicted tract behavior</x:v>
      </x:c>
    </x:row>
    <x:row r="1593" ht="75.5999984741211" hidden="0" customHeight="1">
      <x:c r="A1593" s="36" t="str">
        <x:v>B1</x:v>
      </x:c>
      <x:c r="B1593" s="36" t="str">
        <x:v>48201410705</x:v>
      </x:c>
      <x:c r="C1593" s="66" t="n">
        <x:v>89.37850656614447</x:v>
      </x:c>
      <x:c r="D1593" s="66" t="n">
        <x:v>53.500656498723984</x:v>
      </x:c>
      <x:c r="E1593" s="66" t="n">
        <x:v>35.87785006742048</x:v>
      </x:c>
      <x:c r="F1593" s="66" t="n">
        <x:v>11.888665275325588</x:v>
      </x:c>
      <x:c r="G1593" s="66" t="n">
        <x:v>65.38932177404958</x:v>
      </x:c>
      <x:c r="H1593" s="45" t="n">
        <x:v>0.7316000712728209</x:v>
      </x:c>
      <x:c r="I1593" s="36" t="str">
        <x:v>generated design-reference observation; not predicted tract behavior</x:v>
      </x:c>
    </x:row>
    <x:row r="1594" ht="75.5999984741211" hidden="0" customHeight="1">
      <x:c r="A1594" s="34" t="str">
        <x:v>B1</x:v>
      </x:c>
      <x:c r="B1594" s="34" t="str">
        <x:v>48201410706</x:v>
      </x:c>
      <x:c r="C1594" s="65" t="n">
        <x:v>150.08546969636777</x:v>
      </x:c>
      <x:c r="D1594" s="65" t="n">
        <x:v>78.94245375643726</x:v>
      </x:c>
      <x:c r="E1594" s="65" t="n">
        <x:v>71.1430159399305</x:v>
      </x:c>
      <x:c r="F1594" s="65" t="n">
        <x:v>71.1430159399305</x:v>
      </x:c>
      <x:c r="G1594" s="65" t="n">
        <x:v>150.08546969636777</x:v>
      </x:c>
      <x:c r="H1594" s="43" t="n">
        <x:v>1</x:v>
      </x:c>
      <x:c r="I1594" s="34" t="str">
        <x:v>generated design-reference observation; not predicted tract behavior</x:v>
      </x:c>
    </x:row>
    <x:row r="1595" ht="75.5999984741211" hidden="0" customHeight="1">
      <x:c r="A1595" s="36" t="str">
        <x:v>B1</x:v>
      </x:c>
      <x:c r="B1595" s="36" t="str">
        <x:v>48201410801</x:v>
      </x:c>
      <x:c r="C1595" s="66" t="n">
        <x:v>217.41801153176698</x:v>
      </x:c>
      <x:c r="D1595" s="66" t="n">
        <x:v>124.17594214634171</x:v>
      </x:c>
      <x:c r="E1595" s="66" t="n">
        <x:v>93.24206938542527</x:v>
      </x:c>
      <x:c r="F1595" s="66" t="n">
        <x:v>93.24206938542527</x:v>
      </x:c>
      <x:c r="G1595" s="66" t="n">
        <x:v>217.41801153176698</x:v>
      </x:c>
      <x:c r="H1595" s="45" t="n">
        <x:v>1</x:v>
      </x:c>
      <x:c r="I1595" s="36" t="str">
        <x:v>generated design-reference observation; not predicted tract behavior</x:v>
      </x:c>
    </x:row>
    <x:row r="1596" ht="75.5999984741211" hidden="0" customHeight="1">
      <x:c r="A1596" s="34" t="str">
        <x:v>B1</x:v>
      </x:c>
      <x:c r="B1596" s="34" t="str">
        <x:v>48201410802</x:v>
      </x:c>
      <x:c r="C1596" s="65" t="n">
        <x:v>114.89052136685714</x:v>
      </x:c>
      <x:c r="D1596" s="65" t="n">
        <x:v>65.98191980842572</x:v>
      </x:c>
      <x:c r="E1596" s="65" t="n">
        <x:v>48.90860155843143</x:v>
      </x:c>
      <x:c r="F1596" s="65" t="n">
        <x:v>38.21619018506924</x:v>
      </x:c>
      <x:c r="G1596" s="65" t="n">
        <x:v>104.19810999349495</x:v>
      </x:c>
      <x:c r="H1596" s="43" t="n">
        <x:v>0.9069339119872193</x:v>
      </x:c>
      <x:c r="I1596" s="34" t="str">
        <x:v>generated design-reference observation; not predicted tract behavior</x:v>
      </x:c>
    </x:row>
    <x:row r="1597" ht="75.5999984741211" hidden="0" customHeight="1">
      <x:c r="A1597" s="36" t="str">
        <x:v>B1</x:v>
      </x:c>
      <x:c r="B1597" s="36" t="str">
        <x:v>48201410900</x:v>
      </x:c>
      <x:c r="C1597" s="66" t="n">
        <x:v>282.4870104643303</x:v>
      </x:c>
      <x:c r="D1597" s="66" t="n">
        <x:v>155.90958021033475</x:v>
      </x:c>
      <x:c r="E1597" s="66" t="n">
        <x:v>126.57743025399554</x:v>
      </x:c>
      <x:c r="F1597" s="66" t="n">
        <x:v>126.57743025399554</x:v>
      </x:c>
      <x:c r="G1597" s="66" t="n">
        <x:v>282.4870104643303</x:v>
      </x:c>
      <x:c r="H1597" s="45" t="n">
        <x:v>1</x:v>
      </x:c>
      <x:c r="I1597" s="36" t="str">
        <x:v>generated design-reference observation; not predicted tract behavior</x:v>
      </x:c>
    </x:row>
    <x:row r="1598" ht="75.5999984741211" hidden="0" customHeight="1">
      <x:c r="A1598" s="34" t="str">
        <x:v>B1</x:v>
      </x:c>
      <x:c r="B1598" s="34" t="str">
        <x:v>48201411001</x:v>
      </x:c>
      <x:c r="C1598" s="65" t="n">
        <x:v>215.90112340590824</x:v>
      </x:c>
      <x:c r="D1598" s="65" t="n">
        <x:v>110.2911917134857</x:v>
      </x:c>
      <x:c r="E1598" s="65" t="n">
        <x:v>105.60993169242253</x:v>
      </x:c>
      <x:c r="F1598" s="65" t="n">
        <x:v>105.60993169242253</x:v>
      </x:c>
      <x:c r="G1598" s="65" t="n">
        <x:v>215.90112340590824</x:v>
      </x:c>
      <x:c r="H1598" s="43" t="n">
        <x:v>1</x:v>
      </x:c>
      <x:c r="I1598" s="34" t="str">
        <x:v>generated design-reference observation; not predicted tract behavior</x:v>
      </x:c>
    </x:row>
    <x:row r="1599" ht="75.5999984741211" hidden="0" customHeight="1">
      <x:c r="A1599" s="36" t="str">
        <x:v>B1</x:v>
      </x:c>
      <x:c r="B1599" s="36" t="str">
        <x:v>48201411002</x:v>
      </x:c>
      <x:c r="C1599" s="66" t="n">
        <x:v>173.54614874138545</x:v>
      </x:c>
      <x:c r="D1599" s="66" t="n">
        <x:v>96.77076741725953</x:v>
      </x:c>
      <x:c r="E1599" s="66" t="n">
        <x:v>76.77538132412592</x:v>
      </x:c>
      <x:c r="F1599" s="66" t="n">
        <x:v>76.77538132412592</x:v>
      </x:c>
      <x:c r="G1599" s="66" t="n">
        <x:v>173.54614874138545</x:v>
      </x:c>
      <x:c r="H1599" s="45" t="n">
        <x:v>1</x:v>
      </x:c>
      <x:c r="I1599" s="36" t="str">
        <x:v>generated design-reference observation; not predicted tract behavior</x:v>
      </x:c>
    </x:row>
    <x:row r="1600" ht="75.5999984741211" hidden="0" customHeight="1">
      <x:c r="A1600" s="34" t="str">
        <x:v>B1</x:v>
      </x:c>
      <x:c r="B1600" s="34" t="str">
        <x:v>48201411003</x:v>
      </x:c>
      <x:c r="C1600" s="65" t="n">
        <x:v>136.70070037855703</x:v>
      </x:c>
      <x:c r="D1600" s="65" t="n">
        <x:v>74.3040299789906</x:v>
      </x:c>
      <x:c r="E1600" s="65" t="n">
        <x:v>62.39667039956643</x:v>
      </x:c>
      <x:c r="F1600" s="65" t="n">
        <x:v>62.39667039956643</x:v>
      </x:c>
      <x:c r="G1600" s="65" t="n">
        <x:v>136.70070037855703</x:v>
      </x:c>
      <x:c r="H1600" s="43" t="n">
        <x:v>1</x:v>
      </x:c>
      <x:c r="I1600" s="34" t="str">
        <x:v>generated design-reference observation; not predicted tract behavior</x:v>
      </x:c>
    </x:row>
    <x:row r="1601" ht="75.5999984741211" hidden="0" customHeight="1">
      <x:c r="A1601" s="36" t="str">
        <x:v>B1</x:v>
      </x:c>
      <x:c r="B1601" s="36" t="str">
        <x:v>48201411100</x:v>
      </x:c>
      <x:c r="C1601" s="66" t="n">
        <x:v>290.99887492186934</x:v>
      </x:c>
      <x:c r="D1601" s="66" t="n">
        <x:v>165.35022203981546</x:v>
      </x:c>
      <x:c r="E1601" s="66" t="n">
        <x:v>125.64865288205388</x:v>
      </x:c>
      <x:c r="F1601" s="66" t="n">
        <x:v>125.64865288205388</x:v>
      </x:c>
      <x:c r="G1601" s="66" t="n">
        <x:v>290.99887492186934</x:v>
      </x:c>
      <x:c r="H1601" s="45" t="n">
        <x:v>1</x:v>
      </x:c>
      <x:c r="I1601" s="36" t="str">
        <x:v>generated design-reference observation; not predicted tract behavior</x:v>
      </x:c>
    </x:row>
    <x:row r="1602" ht="75.5999984741211" hidden="0" customHeight="1">
      <x:c r="A1602" s="34" t="str">
        <x:v>B1</x:v>
      </x:c>
      <x:c r="B1602" s="34" t="str">
        <x:v>48201411200</x:v>
      </x:c>
      <x:c r="C1602" s="65" t="n">
        <x:v>135.85187178999357</x:v>
      </x:c>
      <x:c r="D1602" s="65" t="n">
        <x:v>77.43620759364669</x:v>
      </x:c>
      <x:c r="E1602" s="65" t="n">
        <x:v>58.41566419634688</x:v>
      </x:c>
      <x:c r="F1602" s="65" t="n">
        <x:v>58.41566419634688</x:v>
      </x:c>
      <x:c r="G1602" s="65" t="n">
        <x:v>135.85187178999357</x:v>
      </x:c>
      <x:c r="H1602" s="43" t="n">
        <x:v>1</x:v>
      </x:c>
      <x:c r="I1602" s="34" t="str">
        <x:v>generated design-reference observation; not predicted tract behavior</x:v>
      </x:c>
    </x:row>
    <x:row r="1603" ht="75.5999984741211" hidden="0" customHeight="1">
      <x:c r="A1603" s="36" t="str">
        <x:v>B1</x:v>
      </x:c>
      <x:c r="B1603" s="36" t="str">
        <x:v>48201411301</x:v>
      </x:c>
      <x:c r="C1603" s="66" t="n">
        <x:v>154.39248883093052</x:v>
      </x:c>
      <x:c r="D1603" s="66" t="n">
        <x:v>80.12684619599254</x:v>
      </x:c>
      <x:c r="E1603" s="66" t="n">
        <x:v>74.26564263493798</x:v>
      </x:c>
      <x:c r="F1603" s="66" t="n">
        <x:v>74.26564263493798</x:v>
      </x:c>
      <x:c r="G1603" s="66" t="n">
        <x:v>154.39248883093052</x:v>
      </x:c>
      <x:c r="H1603" s="45" t="n">
        <x:v>1</x:v>
      </x:c>
      <x:c r="I1603" s="36" t="str">
        <x:v>generated design-reference observation; not predicted tract behavior</x:v>
      </x:c>
    </x:row>
    <x:row r="1604" ht="75.5999984741211" hidden="0" customHeight="1">
      <x:c r="A1604" s="34" t="str">
        <x:v>B1</x:v>
      </x:c>
      <x:c r="B1604" s="34" t="str">
        <x:v>48201411302</x:v>
      </x:c>
      <x:c r="C1604" s="65" t="n">
        <x:v>244.72985732119292</x:v>
      </x:c>
      <x:c r="D1604" s="65" t="n">
        <x:v>121.69536472195146</x:v>
      </x:c>
      <x:c r="E1604" s="65" t="n">
        <x:v>123.03449259924146</x:v>
      </x:c>
      <x:c r="F1604" s="65" t="n">
        <x:v>123.03449259924146</x:v>
      </x:c>
      <x:c r="G1604" s="65" t="n">
        <x:v>244.72985732119292</x:v>
      </x:c>
      <x:c r="H1604" s="43" t="n">
        <x:v>1</x:v>
      </x:c>
      <x:c r="I1604" s="34" t="str">
        <x:v>generated design-reference observation; not predicted tract behavior</x:v>
      </x:c>
    </x:row>
    <x:row r="1605" ht="75.5999984741211" hidden="0" customHeight="1">
      <x:c r="A1605" s="36" t="str">
        <x:v>B1</x:v>
      </x:c>
      <x:c r="B1605" s="36" t="str">
        <x:v>48201411400</x:v>
      </x:c>
      <x:c r="C1605" s="66" t="n">
        <x:v>231.32150943147764</x:v>
      </x:c>
      <x:c r="D1605" s="66" t="n">
        <x:v>132.12716449356637</x:v>
      </x:c>
      <x:c r="E1605" s="66" t="n">
        <x:v>99.19434493791127</x:v>
      </x:c>
      <x:c r="F1605" s="66" t="n">
        <x:v>99.19434493791127</x:v>
      </x:c>
      <x:c r="G1605" s="66" t="n">
        <x:v>231.32150943147764</x:v>
      </x:c>
      <x:c r="H1605" s="45" t="n">
        <x:v>1</x:v>
      </x:c>
      <x:c r="I1605" s="36" t="str">
        <x:v>generated design-reference observation; not predicted tract behavior</x:v>
      </x:c>
    </x:row>
    <x:row r="1606" ht="75.5999984741211" hidden="0" customHeight="1">
      <x:c r="A1606" s="34" t="str">
        <x:v>B1</x:v>
      </x:c>
      <x:c r="B1606" s="34" t="str">
        <x:v>48201411503</x:v>
      </x:c>
      <x:c r="C1606" s="65" t="n">
        <x:v>283.39871524463916</x:v>
      </x:c>
      <x:c r="D1606" s="65" t="n">
        <x:v>150.80967111488454</x:v>
      </x:c>
      <x:c r="E1606" s="65" t="n">
        <x:v>132.58904412975463</x:v>
      </x:c>
      <x:c r="F1606" s="65" t="n">
        <x:v>132.58904412975463</x:v>
      </x:c>
      <x:c r="G1606" s="65" t="n">
        <x:v>283.39871524463916</x:v>
      </x:c>
      <x:c r="H1606" s="43" t="n">
        <x:v>1</x:v>
      </x:c>
      <x:c r="I1606" s="34" t="str">
        <x:v>generated design-reference observation; not predicted tract behavior</x:v>
      </x:c>
    </x:row>
    <x:row r="1607" ht="75.5999984741211" hidden="0" customHeight="1">
      <x:c r="A1607" s="36" t="str">
        <x:v>B1</x:v>
      </x:c>
      <x:c r="B1607" s="36" t="str">
        <x:v>48201411504</x:v>
      </x:c>
      <x:c r="C1607" s="66" t="n">
        <x:v>212.45079238387711</x:v>
      </x:c>
      <x:c r="D1607" s="66" t="n">
        <x:v>109.28841175249678</x:v>
      </x:c>
      <x:c r="E1607" s="66" t="n">
        <x:v>103.16238063138033</x:v>
      </x:c>
      <x:c r="F1607" s="66" t="n">
        <x:v>103.16238063138033</x:v>
      </x:c>
      <x:c r="G1607" s="66" t="n">
        <x:v>212.45079238387711</x:v>
      </x:c>
      <x:c r="H1607" s="45" t="n">
        <x:v>1</x:v>
      </x:c>
      <x:c r="I1607" s="36" t="str">
        <x:v>generated design-reference observation; not predicted tract behavior</x:v>
      </x:c>
    </x:row>
    <x:row r="1608" ht="75.5999984741211" hidden="0" customHeight="1">
      <x:c r="A1608" s="34" t="str">
        <x:v>B1</x:v>
      </x:c>
      <x:c r="B1608" s="34" t="str">
        <x:v>48201411505</x:v>
      </x:c>
      <x:c r="C1608" s="65" t="n">
        <x:v>265.99379941710436</x:v>
      </x:c>
      <x:c r="D1608" s="65" t="n">
        <x:v>142.04885610108175</x:v>
      </x:c>
      <x:c r="E1608" s="65" t="n">
        <x:v>123.9449433160226</x:v>
      </x:c>
      <x:c r="F1608" s="65" t="n">
        <x:v>123.9449433160226</x:v>
      </x:c>
      <x:c r="G1608" s="65" t="n">
        <x:v>265.99379941710436</x:v>
      </x:c>
      <x:c r="H1608" s="43" t="n">
        <x:v>1</x:v>
      </x:c>
      <x:c r="I1608" s="34" t="str">
        <x:v>generated design-reference observation; not predicted tract behavior</x:v>
      </x:c>
    </x:row>
    <x:row r="1609" ht="75.5999984741211" hidden="0" customHeight="1">
      <x:c r="A1609" s="36" t="str">
        <x:v>B1</x:v>
      </x:c>
      <x:c r="B1609" s="36" t="str">
        <x:v>48201411506</x:v>
      </x:c>
      <x:c r="C1609" s="66" t="n">
        <x:v>237.97066670855799</x:v>
      </x:c>
      <x:c r="D1609" s="66" t="n">
        <x:v>118.70432847119561</x:v>
      </x:c>
      <x:c r="E1609" s="66" t="n">
        <x:v>119.26633823736238</x:v>
      </x:c>
      <x:c r="F1609" s="66" t="n">
        <x:v>119.26633823736238</x:v>
      </x:c>
      <x:c r="G1609" s="66" t="n">
        <x:v>237.97066670855799</x:v>
      </x:c>
      <x:c r="H1609" s="45" t="n">
        <x:v>1</x:v>
      </x:c>
      <x:c r="I1609" s="36" t="str">
        <x:v>generated design-reference observation; not predicted tract behavior</x:v>
      </x:c>
    </x:row>
    <x:row r="1610" ht="75.5999984741211" hidden="0" customHeight="1">
      <x:c r="A1610" s="34" t="str">
        <x:v>B1</x:v>
      </x:c>
      <x:c r="B1610" s="34" t="str">
        <x:v>48201411507</x:v>
      </x:c>
      <x:c r="C1610" s="65" t="n">
        <x:v>181.17774651448835</x:v>
      </x:c>
      <x:c r="D1610" s="65" t="n">
        <x:v>92.87090436222665</x:v>
      </x:c>
      <x:c r="E1610" s="65" t="n">
        <x:v>88.3068421522617</x:v>
      </x:c>
      <x:c r="F1610" s="65" t="n">
        <x:v>88.3068421522617</x:v>
      </x:c>
      <x:c r="G1610" s="65" t="n">
        <x:v>181.17774651448835</x:v>
      </x:c>
      <x:c r="H1610" s="43" t="n">
        <x:v>1</x:v>
      </x:c>
      <x:c r="I1610" s="34" t="str">
        <x:v>generated design-reference observation; not predicted tract behavior</x:v>
      </x:c>
    </x:row>
    <x:row r="1611" ht="75.5999984741211" hidden="0" customHeight="1">
      <x:c r="A1611" s="36" t="str">
        <x:v>B1</x:v>
      </x:c>
      <x:c r="B1611" s="36" t="str">
        <x:v>48201411600</x:v>
      </x:c>
      <x:c r="C1611" s="66" t="n">
        <x:v>224.0042926171019</x:v>
      </x:c>
      <x:c r="D1611" s="66" t="n">
        <x:v>130.3227145085836</x:v>
      </x:c>
      <x:c r="E1611" s="66" t="n">
        <x:v>93.6815781085183</x:v>
      </x:c>
      <x:c r="F1611" s="66" t="n">
        <x:v>93.6815781085183</x:v>
      </x:c>
      <x:c r="G1611" s="66" t="n">
        <x:v>224.0042926171019</x:v>
      </x:c>
      <x:c r="H1611" s="45" t="n">
        <x:v>1</x:v>
      </x:c>
      <x:c r="I1611" s="36" t="str">
        <x:v>generated design-reference observation; not predicted tract behavior</x:v>
      </x:c>
    </x:row>
    <x:row r="1612" ht="75.5999984741211" hidden="0" customHeight="1">
      <x:c r="A1612" s="34" t="str">
        <x:v>B1</x:v>
      </x:c>
      <x:c r="B1612" s="34" t="str">
        <x:v>48201411700</x:v>
      </x:c>
      <x:c r="C1612" s="65" t="n">
        <x:v>284.91560337049793</x:v>
      </x:c>
      <x:c r="D1612" s="65" t="n">
        <x:v>156.68979328614452</x:v>
      </x:c>
      <x:c r="E1612" s="65" t="n">
        <x:v>128.2258100843534</x:v>
      </x:c>
      <x:c r="F1612" s="65" t="n">
        <x:v>128.2258100843534</x:v>
      </x:c>
      <x:c r="G1612" s="65" t="n">
        <x:v>284.91560337049793</x:v>
      </x:c>
      <x:c r="H1612" s="43" t="n">
        <x:v>1</x:v>
      </x:c>
      <x:c r="I1612" s="34" t="str">
        <x:v>generated design-reference observation; not predicted tract behavior</x:v>
      </x:c>
    </x:row>
    <x:row r="1613" ht="75.5999984741211" hidden="0" customHeight="1">
      <x:c r="A1613" s="36" t="str">
        <x:v>B1</x:v>
      </x:c>
      <x:c r="B1613" s="36" t="str">
        <x:v>48201411801</x:v>
      </x:c>
      <x:c r="C1613" s="66" t="n">
        <x:v>306.0891609407751</x:v>
      </x:c>
      <x:c r="D1613" s="66" t="n">
        <x:v>165.27960177986142</x:v>
      </x:c>
      <x:c r="E1613" s="66" t="n">
        <x:v>140.8095591609137</x:v>
      </x:c>
      <x:c r="F1613" s="66" t="n">
        <x:v>140.8095591609137</x:v>
      </x:c>
      <x:c r="G1613" s="66" t="n">
        <x:v>306.0891609407751</x:v>
      </x:c>
      <x:c r="H1613" s="45" t="n">
        <x:v>1</x:v>
      </x:c>
      <x:c r="I1613" s="36" t="str">
        <x:v>generated design-reference observation; not predicted tract behavior</x:v>
      </x:c>
    </x:row>
    <x:row r="1614" ht="75.5999984741211" hidden="0" customHeight="1">
      <x:c r="A1614" s="34" t="str">
        <x:v>B1</x:v>
      </x:c>
      <x:c r="B1614" s="34" t="str">
        <x:v>48201411802</x:v>
      </x:c>
      <x:c r="C1614" s="65" t="n">
        <x:v>181.6571774765474</x:v>
      </x:c>
      <x:c r="D1614" s="65" t="n">
        <x:v>96.63509233688572</x:v>
      </x:c>
      <x:c r="E1614" s="65" t="n">
        <x:v>85.02208513966167</x:v>
      </x:c>
      <x:c r="F1614" s="65" t="n">
        <x:v>85.02208513966167</x:v>
      </x:c>
      <x:c r="G1614" s="65" t="n">
        <x:v>181.6571774765474</x:v>
      </x:c>
      <x:c r="H1614" s="43" t="n">
        <x:v>1</x:v>
      </x:c>
      <x:c r="I1614" s="34" t="str">
        <x:v>generated design-reference observation; not predicted tract behavior</x:v>
      </x:c>
    </x:row>
    <x:row r="1615" ht="75.5999984741211" hidden="0" customHeight="1">
      <x:c r="A1615" s="36" t="str">
        <x:v>B1</x:v>
      </x:c>
      <x:c r="B1615" s="36" t="str">
        <x:v>48201411901</x:v>
      </x:c>
      <x:c r="C1615" s="66" t="n">
        <x:v>173.71119874471728</x:v>
      </x:c>
      <x:c r="D1615" s="66" t="n">
        <x:v>105.10537917633415</x:v>
      </x:c>
      <x:c r="E1615" s="66" t="n">
        <x:v>68.60581956838313</x:v>
      </x:c>
      <x:c r="F1615" s="66" t="n">
        <x:v>23.624820484732975</x:v>
      </x:c>
      <x:c r="G1615" s="66" t="n">
        <x:v>128.73019966106713</x:v>
      </x:c>
      <x:c r="H1615" s="45" t="n">
        <x:v>0.7410587261575843</x:v>
      </x:c>
      <x:c r="I1615" s="36" t="str">
        <x:v>generated design-reference observation; not predicted tract behavior</x:v>
      </x:c>
    </x:row>
    <x:row r="1616" ht="75.5999984741211" hidden="0" customHeight="1">
      <x:c r="A1616" s="34" t="str">
        <x:v>B1</x:v>
      </x:c>
      <x:c r="B1616" s="34" t="str">
        <x:v>48201411902</x:v>
      </x:c>
      <x:c r="C1616" s="65" t="n">
        <x:v>192.81377174937907</x:v>
      </x:c>
      <x:c r="D1616" s="65" t="n">
        <x:v>103.43018676290434</x:v>
      </x:c>
      <x:c r="E1616" s="65" t="n">
        <x:v>89.38358498647473</x:v>
      </x:c>
      <x:c r="F1616" s="65" t="n">
        <x:v>89.38358498647473</x:v>
      </x:c>
      <x:c r="G1616" s="65" t="n">
        <x:v>192.81377174937907</x:v>
      </x:c>
      <x:c r="H1616" s="43" t="n">
        <x:v>1</x:v>
      </x:c>
      <x:c r="I1616" s="34" t="str">
        <x:v>generated design-reference observation; not predicted tract behavior</x:v>
      </x:c>
    </x:row>
    <x:row r="1617" ht="75.5999984741211" hidden="0" customHeight="1">
      <x:c r="A1617" s="36" t="str">
        <x:v>B1</x:v>
      </x:c>
      <x:c r="B1617" s="36" t="str">
        <x:v>48201412000</x:v>
      </x:c>
      <x:c r="C1617" s="66" t="n">
        <x:v>543.4891052934898</x:v>
      </x:c>
      <x:c r="D1617" s="66" t="n">
        <x:v>274.09593196293736</x:v>
      </x:c>
      <x:c r="E1617" s="66" t="n">
        <x:v>269.3931733305525</x:v>
      </x:c>
      <x:c r="F1617" s="66" t="n">
        <x:v>269.3931733305525</x:v>
      </x:c>
      <x:c r="G1617" s="66" t="n">
        <x:v>543.4891052934898</x:v>
      </x:c>
      <x:c r="H1617" s="45" t="n">
        <x:v>1</x:v>
      </x:c>
      <x:c r="I1617" s="36" t="str">
        <x:v>generated design-reference observation; not predicted tract behavior</x:v>
      </x:c>
    </x:row>
    <x:row r="1618" ht="75.5999984741211" hidden="0" customHeight="1">
      <x:c r="A1618" s="34" t="str">
        <x:v>B1</x:v>
      </x:c>
      <x:c r="B1618" s="34" t="str">
        <x:v>48201412201</x:v>
      </x:c>
      <x:c r="C1618" s="65" t="n">
        <x:v>329.33340078728446</x:v>
      </x:c>
      <x:c r="D1618" s="65" t="n">
        <x:v>158.13190592214073</x:v>
      </x:c>
      <x:c r="E1618" s="65" t="n">
        <x:v>171.20149486514373</x:v>
      </x:c>
      <x:c r="F1618" s="65" t="n">
        <x:v>171.20149486514373</x:v>
      </x:c>
      <x:c r="G1618" s="65" t="n">
        <x:v>329.33340078728446</x:v>
      </x:c>
      <x:c r="H1618" s="43" t="n">
        <x:v>1</x:v>
      </x:c>
      <x:c r="I1618" s="34" t="str">
        <x:v>generated design-reference observation; not predicted tract behavior</x:v>
      </x:c>
    </x:row>
    <x:row r="1619" ht="75.5999984741211" hidden="0" customHeight="1">
      <x:c r="A1619" s="36" t="str">
        <x:v>B1</x:v>
      </x:c>
      <x:c r="B1619" s="36" t="str">
        <x:v>48201412202</x:v>
      </x:c>
      <x:c r="C1619" s="66" t="n">
        <x:v>493.54122589693844</x:v>
      </x:c>
      <x:c r="D1619" s="66" t="n">
        <x:v>250.64141148797705</x:v>
      </x:c>
      <x:c r="E1619" s="66" t="n">
        <x:v>242.8998144089614</x:v>
      </x:c>
      <x:c r="F1619" s="66" t="n">
        <x:v>242.8998144089614</x:v>
      </x:c>
      <x:c r="G1619" s="66" t="n">
        <x:v>493.54122589693844</x:v>
      </x:c>
      <x:c r="H1619" s="45" t="n">
        <x:v>1</x:v>
      </x:c>
      <x:c r="I1619" s="36" t="str">
        <x:v>generated design-reference observation; not predicted tract behavior</x:v>
      </x:c>
    </x:row>
    <x:row r="1620" ht="75.5999984741211" hidden="0" customHeight="1">
      <x:c r="A1620" s="34" t="str">
        <x:v>B1</x:v>
      </x:c>
      <x:c r="B1620" s="34" t="str">
        <x:v>48201412300</x:v>
      </x:c>
      <x:c r="C1620" s="65" t="n">
        <x:v>976.3475512108762</x:v>
      </x:c>
      <x:c r="D1620" s="65" t="n">
        <x:v>520.393244795397</x:v>
      </x:c>
      <x:c r="E1620" s="65" t="n">
        <x:v>455.9543064154792</x:v>
      </x:c>
      <x:c r="F1620" s="65" t="n">
        <x:v>455.9543064154792</x:v>
      </x:c>
      <x:c r="G1620" s="65" t="n">
        <x:v>976.3475512108762</x:v>
      </x:c>
      <x:c r="H1620" s="43" t="n">
        <x:v>1</x:v>
      </x:c>
      <x:c r="I1620" s="34" t="str">
        <x:v>generated design-reference observation; not predicted tract behavior</x:v>
      </x:c>
    </x:row>
    <x:row r="1621" ht="75.5999984741211" hidden="0" customHeight="1">
      <x:c r="A1621" s="36" t="str">
        <x:v>B1</x:v>
      </x:c>
      <x:c r="B1621" s="36" t="str">
        <x:v>48201412400</x:v>
      </x:c>
      <x:c r="C1621" s="66" t="n">
        <x:v>633.331323773757</x:v>
      </x:c>
      <x:c r="D1621" s="66" t="n">
        <x:v>337.56559557141253</x:v>
      </x:c>
      <x:c r="E1621" s="66" t="n">
        <x:v>295.7657282023445</x:v>
      </x:c>
      <x:c r="F1621" s="66" t="n">
        <x:v>295.7657282023445</x:v>
      </x:c>
      <x:c r="G1621" s="66" t="n">
        <x:v>633.331323773757</x:v>
      </x:c>
      <x:c r="H1621" s="45" t="n">
        <x:v>1</x:v>
      </x:c>
      <x:c r="I1621" s="36" t="str">
        <x:v>generated design-reference observation; not predicted tract behavior</x:v>
      </x:c>
    </x:row>
    <x:row r="1622" ht="75.5999984741211" hidden="0" customHeight="1">
      <x:c r="A1622" s="34" t="str">
        <x:v>B1</x:v>
      </x:c>
      <x:c r="B1622" s="34" t="str">
        <x:v>48201412500</x:v>
      </x:c>
      <x:c r="C1622" s="65" t="n">
        <x:v>293.5350828485244</x:v>
      </x:c>
      <x:c r="D1622" s="65" t="n">
        <x:v>77.77684661306746</x:v>
      </x:c>
      <x:c r="E1622" s="65" t="n">
        <x:v>215.75823623545693</x:v>
      </x:c>
      <x:c r="F1622" s="65" t="n">
        <x:v>215.75823623545693</x:v>
      </x:c>
      <x:c r="G1622" s="65" t="n">
        <x:v>293.5350828485244</x:v>
      </x:c>
      <x:c r="H1622" s="43" t="n">
        <x:v>1</x:v>
      </x:c>
      <x:c r="I1622" s="34" t="str">
        <x:v>generated design-reference observation; not predicted tract behavior</x:v>
      </x:c>
    </x:row>
    <x:row r="1623" ht="75.5999984741211" hidden="0" customHeight="1">
      <x:c r="A1623" s="36" t="str">
        <x:v>B1</x:v>
      </x:c>
      <x:c r="B1623" s="36" t="str">
        <x:v>48201412600</x:v>
      </x:c>
      <x:c r="C1623" s="66" t="n">
        <x:v>542.7938397116894</x:v>
      </x:c>
      <x:c r="D1623" s="66" t="n">
        <x:v>288.8683409039718</x:v>
      </x:c>
      <x:c r="E1623" s="66" t="n">
        <x:v>253.92549880771764</x:v>
      </x:c>
      <x:c r="F1623" s="66" t="n">
        <x:v>253.92549880771764</x:v>
      </x:c>
      <x:c r="G1623" s="66" t="n">
        <x:v>542.7938397116894</x:v>
      </x:c>
      <x:c r="H1623" s="45" t="n">
        <x:v>1</x:v>
      </x:c>
      <x:c r="I1623" s="36" t="str">
        <x:v>generated design-reference observation; not predicted tract behavior</x:v>
      </x:c>
    </x:row>
    <x:row r="1624" ht="75.5999984741211" hidden="0" customHeight="1">
      <x:c r="A1624" s="34" t="str">
        <x:v>B1</x:v>
      </x:c>
      <x:c r="B1624" s="34" t="str">
        <x:v>48201412700</x:v>
      </x:c>
      <x:c r="C1624" s="65" t="n">
        <x:v>539.9928262851835</x:v>
      </x:c>
      <x:c r="D1624" s="65" t="n">
        <x:v>155.43006059877055</x:v>
      </x:c>
      <x:c r="E1624" s="65" t="n">
        <x:v>384.56276568641294</x:v>
      </x:c>
      <x:c r="F1624" s="65" t="n">
        <x:v>384.56276568641294</x:v>
      </x:c>
      <x:c r="G1624" s="65" t="n">
        <x:v>539.9928262851835</x:v>
      </x:c>
      <x:c r="H1624" s="43" t="n">
        <x:v>1</x:v>
      </x:c>
      <x:c r="I1624" s="34" t="str">
        <x:v>generated design-reference observation; not predicted tract behavior</x:v>
      </x:c>
    </x:row>
    <x:row r="1625" ht="75.5999984741211" hidden="0" customHeight="1">
      <x:c r="A1625" s="36" t="str">
        <x:v>B1</x:v>
      </x:c>
      <x:c r="B1625" s="36" t="str">
        <x:v>48201412800</x:v>
      </x:c>
      <x:c r="C1625" s="66" t="n">
        <x:v>858.1245916815108</x:v>
      </x:c>
      <x:c r="D1625" s="66" t="n">
        <x:v>251.0014430668419</x:v>
      </x:c>
      <x:c r="E1625" s="66" t="n">
        <x:v>607.1231486146689</x:v>
      </x:c>
      <x:c r="F1625" s="66" t="n">
        <x:v>607.1231486146689</x:v>
      </x:c>
      <x:c r="G1625" s="66" t="n">
        <x:v>858.1245916815108</x:v>
      </x:c>
      <x:c r="H1625" s="45" t="n">
        <x:v>1</x:v>
      </x:c>
      <x:c r="I1625" s="36" t="str">
        <x:v>generated design-reference observation; not predicted tract behavior</x:v>
      </x:c>
    </x:row>
    <x:row r="1626" ht="75.5999984741211" hidden="0" customHeight="1">
      <x:c r="A1626" s="34" t="str">
        <x:v>B1</x:v>
      </x:c>
      <x:c r="B1626" s="34" t="str">
        <x:v>48201412901</x:v>
      </x:c>
      <x:c r="C1626" s="65" t="n">
        <x:v>336.4988683311976</x:v>
      </x:c>
      <x:c r="D1626" s="65" t="n">
        <x:v>81.2474627142596</x:v>
      </x:c>
      <x:c r="E1626" s="65" t="n">
        <x:v>255.25140561693803</x:v>
      </x:c>
      <x:c r="F1626" s="65" t="n">
        <x:v>255.25140561693803</x:v>
      </x:c>
      <x:c r="G1626" s="65" t="n">
        <x:v>336.4988683311976</x:v>
      </x:c>
      <x:c r="H1626" s="43" t="n">
        <x:v>1</x:v>
      </x:c>
      <x:c r="I1626" s="34" t="str">
        <x:v>generated design-reference observation; not predicted tract behavior</x:v>
      </x:c>
    </x:row>
    <x:row r="1627" ht="75.5999984741211" hidden="0" customHeight="1">
      <x:c r="A1627" s="36" t="str">
        <x:v>B1</x:v>
      </x:c>
      <x:c r="B1627" s="36" t="str">
        <x:v>48201412902</x:v>
      </x:c>
      <x:c r="C1627" s="66" t="n">
        <x:v>532.6375210085004</x:v>
      </x:c>
      <x:c r="D1627" s="66" t="n">
        <x:v>143.29322092244658</x:v>
      </x:c>
      <x:c r="E1627" s="66" t="n">
        <x:v>389.34430008605375</x:v>
      </x:c>
      <x:c r="F1627" s="66" t="n">
        <x:v>389.34430008605375</x:v>
      </x:c>
      <x:c r="G1627" s="66" t="n">
        <x:v>532.6375210085004</x:v>
      </x:c>
      <x:c r="H1627" s="45" t="n">
        <x:v>1</x:v>
      </x:c>
      <x:c r="I1627" s="36" t="str">
        <x:v>generated design-reference observation; not predicted tract behavior</x:v>
      </x:c>
    </x:row>
    <x:row r="1628" ht="75.5999984741211" hidden="0" customHeight="1">
      <x:c r="A1628" s="34" t="str">
        <x:v>B1</x:v>
      </x:c>
      <x:c r="B1628" s="34" t="str">
        <x:v>48201413000</x:v>
      </x:c>
      <x:c r="C1628" s="65" t="n">
        <x:v>544.2418058581349</x:v>
      </x:c>
      <x:c r="D1628" s="65" t="n">
        <x:v>147.81091355739315</x:v>
      </x:c>
      <x:c r="E1628" s="65" t="n">
        <x:v>396.4308923007417</x:v>
      </x:c>
      <x:c r="F1628" s="65" t="n">
        <x:v>396.4308923007417</x:v>
      </x:c>
      <x:c r="G1628" s="65" t="n">
        <x:v>544.2418058581349</x:v>
      </x:c>
      <x:c r="H1628" s="43" t="n">
        <x:v>1</x:v>
      </x:c>
      <x:c r="I1628" s="34" t="str">
        <x:v>generated design-reference observation; not predicted tract behavior</x:v>
      </x:c>
    </x:row>
    <x:row r="1629" ht="75.5999984741211" hidden="0" customHeight="1">
      <x:c r="A1629" s="36" t="str">
        <x:v>B1</x:v>
      </x:c>
      <x:c r="B1629" s="36" t="str">
        <x:v>48201413100</x:v>
      </x:c>
      <x:c r="C1629" s="66" t="n">
        <x:v>470.9172838651485</x:v>
      </x:c>
      <x:c r="D1629" s="66" t="n">
        <x:v>250.08392040772935</x:v>
      </x:c>
      <x:c r="E1629" s="66" t="n">
        <x:v>220.83336345741913</x:v>
      </x:c>
      <x:c r="F1629" s="66" t="n">
        <x:v>220.83336345741913</x:v>
      </x:c>
      <x:c r="G1629" s="66" t="n">
        <x:v>470.9172838651485</x:v>
      </x:c>
      <x:c r="H1629" s="45" t="n">
        <x:v>1</x:v>
      </x:c>
      <x:c r="I1629" s="36" t="str">
        <x:v>generated design-reference observation; not predicted tract behavior</x:v>
      </x:c>
    </x:row>
    <x:row r="1630" ht="75.5999984741211" hidden="0" customHeight="1">
      <x:c r="A1630" s="34" t="str">
        <x:v>B1</x:v>
      </x:c>
      <x:c r="B1630" s="34" t="str">
        <x:v>48201413203</x:v>
      </x:c>
      <x:c r="C1630" s="65" t="n">
        <x:v>333.7226426341297</x:v>
      </x:c>
      <x:c r="D1630" s="65" t="n">
        <x:v>87.32624535597797</x:v>
      </x:c>
      <x:c r="E1630" s="65" t="n">
        <x:v>246.39639727815177</x:v>
      </x:c>
      <x:c r="F1630" s="65" t="n">
        <x:v>246.39639727815177</x:v>
      </x:c>
      <x:c r="G1630" s="65" t="n">
        <x:v>333.7226426341297</x:v>
      </x:c>
      <x:c r="H1630" s="43" t="n">
        <x:v>1</x:v>
      </x:c>
      <x:c r="I1630" s="34" t="str">
        <x:v>generated design-reference observation; not predicted tract behavior</x:v>
      </x:c>
    </x:row>
    <x:row r="1631" ht="75.5999984741211" hidden="0" customHeight="1">
      <x:c r="A1631" s="36" t="str">
        <x:v>B1</x:v>
      </x:c>
      <x:c r="B1631" s="36" t="str">
        <x:v>48201413204</x:v>
      </x:c>
      <x:c r="C1631" s="66" t="n">
        <x:v>191.0855833445296</x:v>
      </x:c>
      <x:c r="D1631" s="66" t="n">
        <x:v>47.34763113657705</x:v>
      </x:c>
      <x:c r="E1631" s="66" t="n">
        <x:v>143.73795220795256</x:v>
      </x:c>
      <x:c r="F1631" s="66" t="n">
        <x:v>143.73795220795256</x:v>
      </x:c>
      <x:c r="G1631" s="66" t="n">
        <x:v>191.0855833445296</x:v>
      </x:c>
      <x:c r="H1631" s="45" t="n">
        <x:v>1</x:v>
      </x:c>
      <x:c r="I1631" s="36" t="str">
        <x:v>generated design-reference observation; not predicted tract behavior</x:v>
      </x:c>
    </x:row>
    <x:row r="1632" ht="75.5999984741211" hidden="0" customHeight="1">
      <x:c r="A1632" s="34" t="str">
        <x:v>B1</x:v>
      </x:c>
      <x:c r="B1632" s="34" t="str">
        <x:v>48201413205</x:v>
      </x:c>
      <x:c r="C1632" s="65" t="n">
        <x:v>258.866118046115</x:v>
      </x:c>
      <x:c r="D1632" s="65" t="n">
        <x:v>62.25202668862576</x:v>
      </x:c>
      <x:c r="E1632" s="65" t="n">
        <x:v>196.61409135748923</x:v>
      </x:c>
      <x:c r="F1632" s="65" t="n">
        <x:v>196.61409135748923</x:v>
      </x:c>
      <x:c r="G1632" s="65" t="n">
        <x:v>258.866118046115</x:v>
      </x:c>
      <x:c r="H1632" s="43" t="n">
        <x:v>1</x:v>
      </x:c>
      <x:c r="I1632" s="34" t="str">
        <x:v>generated design-reference observation; not predicted tract behavior</x:v>
      </x:c>
    </x:row>
    <x:row r="1633" ht="75.5999984741211" hidden="0" customHeight="1">
      <x:c r="A1633" s="36" t="str">
        <x:v>B1</x:v>
      </x:c>
      <x:c r="B1633" s="36" t="str">
        <x:v>48201413206</x:v>
      </x:c>
      <x:c r="C1633" s="66" t="n">
        <x:v>375.0818760697607</x:v>
      </x:c>
      <x:c r="D1633" s="66" t="n">
        <x:v>167.5955497968402</x:v>
      </x:c>
      <x:c r="E1633" s="66" t="n">
        <x:v>207.4863262729205</x:v>
      </x:c>
      <x:c r="F1633" s="66" t="n">
        <x:v>207.4863262729205</x:v>
      </x:c>
      <x:c r="G1633" s="66" t="n">
        <x:v>375.0818760697607</x:v>
      </x:c>
      <x:c r="H1633" s="45" t="n">
        <x:v>1</x:v>
      </x:c>
      <x:c r="I1633" s="36" t="str">
        <x:v>generated design-reference observation; not predicted tract behavior</x:v>
      </x:c>
    </x:row>
    <x:row r="1634" ht="75.5999984741211" hidden="0" customHeight="1">
      <x:c r="A1634" s="34" t="str">
        <x:v>B1</x:v>
      </x:c>
      <x:c r="B1634" s="34" t="str">
        <x:v>48201413301</x:v>
      </x:c>
      <x:c r="C1634" s="65" t="n">
        <x:v>747.215826072687</x:v>
      </x:c>
      <x:c r="D1634" s="65" t="n">
        <x:v>353.3192287800358</x:v>
      </x:c>
      <x:c r="E1634" s="65" t="n">
        <x:v>393.8965972926512</x:v>
      </x:c>
      <x:c r="F1634" s="65" t="n">
        <x:v>393.8965972926512</x:v>
      </x:c>
      <x:c r="G1634" s="65" t="n">
        <x:v>747.215826072687</x:v>
      </x:c>
      <x:c r="H1634" s="43" t="n">
        <x:v>1</x:v>
      </x:c>
      <x:c r="I1634" s="34" t="str">
        <x:v>generated design-reference observation; not predicted tract behavior</x:v>
      </x:c>
    </x:row>
    <x:row r="1635" ht="75.5999984741211" hidden="0" customHeight="1">
      <x:c r="A1635" s="36" t="str">
        <x:v>B1</x:v>
      </x:c>
      <x:c r="B1635" s="36" t="str">
        <x:v>48201413302</x:v>
      </x:c>
      <x:c r="C1635" s="66" t="n">
        <x:v>535.2710661166074</x:v>
      </x:c>
      <x:c r="D1635" s="66" t="n">
        <x:v>285.29947824015176</x:v>
      </x:c>
      <x:c r="E1635" s="66" t="n">
        <x:v>249.9715878764556</x:v>
      </x:c>
      <x:c r="F1635" s="66" t="n">
        <x:v>249.9715878764556</x:v>
      </x:c>
      <x:c r="G1635" s="66" t="n">
        <x:v>535.2710661166074</x:v>
      </x:c>
      <x:c r="H1635" s="45" t="n">
        <x:v>1</x:v>
      </x:c>
      <x:c r="I1635" s="36" t="str">
        <x:v>generated design-reference observation; not predicted tract behavior</x:v>
      </x:c>
    </x:row>
    <x:row r="1636" ht="75.5999984741211" hidden="0" customHeight="1">
      <x:c r="A1636" s="34" t="str">
        <x:v>B1</x:v>
      </x:c>
      <x:c r="B1636" s="34" t="str">
        <x:v>48201420100</x:v>
      </x:c>
      <x:c r="C1636" s="65" t="n">
        <x:v>225.23823788010625</x:v>
      </x:c>
      <x:c r="D1636" s="65" t="n">
        <x:v>131.4457764307911</x:v>
      </x:c>
      <x:c r="E1636" s="65" t="n">
        <x:v>93.79246144931514</x:v>
      </x:c>
      <x:c r="F1636" s="65" t="n">
        <x:v>93.79246144931514</x:v>
      </x:c>
      <x:c r="G1636" s="65" t="n">
        <x:v>225.23823788010625</x:v>
      </x:c>
      <x:c r="H1636" s="43" t="n">
        <x:v>1</x:v>
      </x:c>
      <x:c r="I1636" s="34" t="str">
        <x:v>generated design-reference observation; not predicted tract behavior</x:v>
      </x:c>
    </x:row>
    <x:row r="1637" ht="75.5999984741211" hidden="0" customHeight="1">
      <x:c r="A1637" s="36" t="str">
        <x:v>B1</x:v>
      </x:c>
      <x:c r="B1637" s="36" t="str">
        <x:v>48201420200</x:v>
      </x:c>
      <x:c r="C1637" s="66" t="n">
        <x:v>204.1511350734789</x:v>
      </x:c>
      <x:c r="D1637" s="66" t="n">
        <x:v>119.77234618533853</x:v>
      </x:c>
      <x:c r="E1637" s="66" t="n">
        <x:v>84.37878888814038</x:v>
      </x:c>
      <x:c r="F1637" s="66" t="n">
        <x:v>84.37878888814038</x:v>
      </x:c>
      <x:c r="G1637" s="66" t="n">
        <x:v>204.1511350734789</x:v>
      </x:c>
      <x:c r="H1637" s="45" t="n">
        <x:v>1</x:v>
      </x:c>
      <x:c r="I1637" s="36" t="str">
        <x:v>generated design-reference observation; not predicted tract behavior</x:v>
      </x:c>
    </x:row>
    <x:row r="1638" ht="75.5999984741211" hidden="0" customHeight="1">
      <x:c r="A1638" s="34" t="str">
        <x:v>B1</x:v>
      </x:c>
      <x:c r="B1638" s="34" t="str">
        <x:v>48201420300</x:v>
      </x:c>
      <x:c r="C1638" s="65" t="n">
        <x:v>693.4470088700665</x:v>
      </x:c>
      <x:c r="D1638" s="65" t="n">
        <x:v>191.43812368469136</x:v>
      </x:c>
      <x:c r="E1638" s="65" t="n">
        <x:v>502.0088851853751</x:v>
      </x:c>
      <x:c r="F1638" s="65" t="n">
        <x:v>502.0088851853751</x:v>
      </x:c>
      <x:c r="G1638" s="65" t="n">
        <x:v>693.4470088700665</x:v>
      </x:c>
      <x:c r="H1638" s="43" t="n">
        <x:v>1</x:v>
      </x:c>
      <x:c r="I1638" s="34" t="str">
        <x:v>generated design-reference observation; not predicted tract behavior</x:v>
      </x:c>
    </x:row>
    <x:row r="1639" ht="75.5999984741211" hidden="0" customHeight="1">
      <x:c r="A1639" s="36" t="str">
        <x:v>B1</x:v>
      </x:c>
      <x:c r="B1639" s="36" t="str">
        <x:v>48201420400</x:v>
      </x:c>
      <x:c r="C1639" s="66" t="n">
        <x:v>300.1552203447992</x:v>
      </x:c>
      <x:c r="D1639" s="66" t="n">
        <x:v>179.7562190952405</x:v>
      </x:c>
      <x:c r="E1639" s="66" t="n">
        <x:v>120.3990012495587</x:v>
      </x:c>
      <x:c r="F1639" s="66" t="n">
        <x:v>120.3990012495587</x:v>
      </x:c>
      <x:c r="G1639" s="66" t="n">
        <x:v>300.1552203447992</x:v>
      </x:c>
      <x:c r="H1639" s="45" t="n">
        <x:v>1</x:v>
      </x:c>
      <x:c r="I1639" s="36" t="str">
        <x:v>generated design-reference observation; not predicted tract behavior</x:v>
      </x:c>
    </x:row>
    <x:row r="1640" ht="75.5999984741211" hidden="0" customHeight="1">
      <x:c r="A1640" s="34" t="str">
        <x:v>B1</x:v>
      </x:c>
      <x:c r="B1640" s="34" t="str">
        <x:v>48201420500</x:v>
      </x:c>
      <x:c r="C1640" s="65" t="n">
        <x:v>283.2965414330528</x:v>
      </x:c>
      <x:c r="D1640" s="65" t="n">
        <x:v>164.47063193608537</x:v>
      </x:c>
      <x:c r="E1640" s="65" t="n">
        <x:v>118.82590949696745</x:v>
      </x:c>
      <x:c r="F1640" s="65" t="n">
        <x:v>118.82590949696745</x:v>
      </x:c>
      <x:c r="G1640" s="65" t="n">
        <x:v>283.2965414330528</x:v>
      </x:c>
      <x:c r="H1640" s="43" t="n">
        <x:v>1</x:v>
      </x:c>
      <x:c r="I1640" s="34" t="str">
        <x:v>generated design-reference observation; not predicted tract behavior</x:v>
      </x:c>
    </x:row>
    <x:row r="1641" ht="75.5999984741211" hidden="0" customHeight="1">
      <x:c r="A1641" s="36" t="str">
        <x:v>B1</x:v>
      </x:c>
      <x:c r="B1641" s="36" t="str">
        <x:v>48201420600</x:v>
      </x:c>
      <x:c r="C1641" s="66" t="n">
        <x:v>188.927237147114</x:v>
      </x:c>
      <x:c r="D1641" s="66" t="n">
        <x:v>113.63296234127051</x:v>
      </x:c>
      <x:c r="E1641" s="66" t="n">
        <x:v>75.29427480584349</x:v>
      </x:c>
      <x:c r="F1641" s="66" t="n">
        <x:v>75.29427480584349</x:v>
      </x:c>
      <x:c r="G1641" s="66" t="n">
        <x:v>188.927237147114</x:v>
      </x:c>
      <x:c r="H1641" s="45" t="n">
        <x:v>1</x:v>
      </x:c>
      <x:c r="I1641" s="36" t="str">
        <x:v>generated design-reference observation; not predicted tract behavior</x:v>
      </x:c>
    </x:row>
    <x:row r="1642" ht="75.5999984741211" hidden="0" customHeight="1">
      <x:c r="A1642" s="34" t="str">
        <x:v>B1</x:v>
      </x:c>
      <x:c r="B1642" s="34" t="str">
        <x:v>48201420700</x:v>
      </x:c>
      <x:c r="C1642" s="65" t="n">
        <x:v>494.03274843433314</x:v>
      </x:c>
      <x:c r="D1642" s="65" t="n">
        <x:v>144.50457891704244</x:v>
      </x:c>
      <x:c r="E1642" s="65" t="n">
        <x:v>349.52816951729073</x:v>
      </x:c>
      <x:c r="F1642" s="65" t="n">
        <x:v>349.52816951729073</x:v>
      </x:c>
      <x:c r="G1642" s="65" t="n">
        <x:v>494.03274843433314</x:v>
      </x:c>
      <x:c r="H1642" s="43" t="n">
        <x:v>1</x:v>
      </x:c>
      <x:c r="I1642" s="34" t="str">
        <x:v>generated design-reference observation; not predicted tract behavior</x:v>
      </x:c>
    </x:row>
    <x:row r="1643" ht="75.5999984741211" hidden="0" customHeight="1">
      <x:c r="A1643" s="36" t="str">
        <x:v>B1</x:v>
      </x:c>
      <x:c r="B1643" s="36" t="str">
        <x:v>48201420800</x:v>
      </x:c>
      <x:c r="C1643" s="66" t="n">
        <x:v>484.1466764398961</x:v>
      </x:c>
      <x:c r="D1643" s="66" t="n">
        <x:v>141.6129028586696</x:v>
      </x:c>
      <x:c r="E1643" s="66" t="n">
        <x:v>342.5337735812265</x:v>
      </x:c>
      <x:c r="F1643" s="66" t="n">
        <x:v>342.5337735812265</x:v>
      </x:c>
      <x:c r="G1643" s="66" t="n">
        <x:v>484.1466764398961</x:v>
      </x:c>
      <x:c r="H1643" s="45" t="n">
        <x:v>1</x:v>
      </x:c>
      <x:c r="I1643" s="36" t="str">
        <x:v>generated design-reference observation; not predicted tract behavior</x:v>
      </x:c>
    </x:row>
    <x:row r="1644" ht="75.5999984741211" hidden="0" customHeight="1">
      <x:c r="A1644" s="34" t="str">
        <x:v>B1</x:v>
      </x:c>
      <x:c r="B1644" s="34" t="str">
        <x:v>48201420900</x:v>
      </x:c>
      <x:c r="C1644" s="65" t="n">
        <x:v>1050.056585299537</x:v>
      </x:c>
      <x:c r="D1644" s="65" t="n">
        <x:v>307.1415512001145</x:v>
      </x:c>
      <x:c r="E1644" s="65" t="n">
        <x:v>742.9150340994224</x:v>
      </x:c>
      <x:c r="F1644" s="65" t="n">
        <x:v>742.9150340994224</x:v>
      </x:c>
      <x:c r="G1644" s="65" t="n">
        <x:v>1050.056585299537</x:v>
      </x:c>
      <x:c r="H1644" s="43" t="n">
        <x:v>1</x:v>
      </x:c>
      <x:c r="I1644" s="34" t="str">
        <x:v>generated design-reference observation; not predicted tract behavior</x:v>
      </x:c>
    </x:row>
    <x:row r="1645" ht="75.5999984741211" hidden="0" customHeight="1">
      <x:c r="A1645" s="36" t="str">
        <x:v>B1</x:v>
      </x:c>
      <x:c r="B1645" s="36" t="str">
        <x:v>48201421000</x:v>
      </x:c>
      <x:c r="C1645" s="66" t="n">
        <x:v>499.3989895682997</x:v>
      </x:c>
      <x:c r="D1645" s="66" t="n">
        <x:v>146.07420444872767</x:v>
      </x:c>
      <x:c r="E1645" s="66" t="n">
        <x:v>353.3247851195721</x:v>
      </x:c>
      <x:c r="F1645" s="66" t="n">
        <x:v>353.3247851195721</x:v>
      </x:c>
      <x:c r="G1645" s="66" t="n">
        <x:v>499.3989895682997</x:v>
      </x:c>
      <x:c r="H1645" s="45" t="n">
        <x:v>1</x:v>
      </x:c>
      <x:c r="I1645" s="36" t="str">
        <x:v>generated design-reference observation; not predicted tract behavior</x:v>
      </x:c>
    </x:row>
    <x:row r="1646" ht="75.5999984741211" hidden="0" customHeight="1">
      <x:c r="A1646" s="34" t="str">
        <x:v>B1</x:v>
      </x:c>
      <x:c r="B1646" s="34" t="str">
        <x:v>48201421101</x:v>
      </x:c>
      <x:c r="C1646" s="65" t="n">
        <x:v>225.33255216772437</x:v>
      </x:c>
      <x:c r="D1646" s="65" t="n">
        <x:v>129.70119852344914</x:v>
      </x:c>
      <x:c r="E1646" s="65" t="n">
        <x:v>95.63135364427524</x:v>
      </x:c>
      <x:c r="F1646" s="65" t="n">
        <x:v>95.63135364427524</x:v>
      </x:c>
      <x:c r="G1646" s="65" t="n">
        <x:v>225.33255216772437</x:v>
      </x:c>
      <x:c r="H1646" s="43" t="n">
        <x:v>1</x:v>
      </x:c>
      <x:c r="I1646" s="34" t="str">
        <x:v>generated design-reference observation; not predicted tract behavior</x:v>
      </x:c>
    </x:row>
    <x:row r="1647" ht="75.5999984741211" hidden="0" customHeight="1">
      <x:c r="A1647" s="36" t="str">
        <x:v>B1</x:v>
      </x:c>
      <x:c r="B1647" s="36" t="str">
        <x:v>48201421103</x:v>
      </x:c>
      <x:c r="C1647" s="66" t="n">
        <x:v>123.64996082939392</x:v>
      </x:c>
      <x:c r="D1647" s="66" t="n">
        <x:v>66.28264393590383</x:v>
      </x:c>
      <x:c r="E1647" s="66" t="n">
        <x:v>57.367316893490084</x:v>
      </x:c>
      <x:c r="F1647" s="66" t="n">
        <x:v>57.367316893490084</x:v>
      </x:c>
      <x:c r="G1647" s="66" t="n">
        <x:v>123.64996082939392</x:v>
      </x:c>
      <x:c r="H1647" s="45" t="n">
        <x:v>1</x:v>
      </x:c>
      <x:c r="I1647" s="36" t="str">
        <x:v>generated design-reference observation; not predicted tract behavior</x:v>
      </x:c>
    </x:row>
    <x:row r="1648" ht="75.5999984741211" hidden="0" customHeight="1">
      <x:c r="A1648" s="34" t="str">
        <x:v>B1</x:v>
      </x:c>
      <x:c r="B1648" s="34" t="str">
        <x:v>48201421104</x:v>
      </x:c>
      <x:c r="C1648" s="65" t="n">
        <x:v>393.98221747693356</x:v>
      </x:c>
      <x:c r="D1648" s="65" t="n">
        <x:v>211.23011324838043</x:v>
      </x:c>
      <x:c r="E1648" s="65" t="n">
        <x:v>182.75210422855312</x:v>
      </x:c>
      <x:c r="F1648" s="65" t="n">
        <x:v>182.75210422855312</x:v>
      </x:c>
      <x:c r="G1648" s="65" t="n">
        <x:v>393.98221747693356</x:v>
      </x:c>
      <x:c r="H1648" s="43" t="n">
        <x:v>1</x:v>
      </x:c>
      <x:c r="I1648" s="34" t="str">
        <x:v>generated design-reference observation; not predicted tract behavior</x:v>
      </x:c>
    </x:row>
    <x:row r="1649" ht="75.5999984741211" hidden="0" customHeight="1">
      <x:c r="A1649" s="36" t="str">
        <x:v>B1</x:v>
      </x:c>
      <x:c r="B1649" s="36" t="str">
        <x:v>48201421203</x:v>
      </x:c>
      <x:c r="C1649" s="66" t="n">
        <x:v>191.04537885653855</x:v>
      </x:c>
      <x:c r="D1649" s="66" t="n">
        <x:v>107.33406036614626</x:v>
      </x:c>
      <x:c r="E1649" s="66" t="n">
        <x:v>83.71131849039229</x:v>
      </x:c>
      <x:c r="F1649" s="66" t="n">
        <x:v>83.71131849039229</x:v>
      </x:c>
      <x:c r="G1649" s="66" t="n">
        <x:v>191.04537885653855</x:v>
      </x:c>
      <x:c r="H1649" s="45" t="n">
        <x:v>1</x:v>
      </x:c>
      <x:c r="I1649" s="36" t="str">
        <x:v>generated design-reference observation; not predicted tract behavior</x:v>
      </x:c>
    </x:row>
    <x:row r="1650" ht="75.5999984741211" hidden="0" customHeight="1">
      <x:c r="A1650" s="34" t="str">
        <x:v>B1</x:v>
      </x:c>
      <x:c r="B1650" s="34" t="str">
        <x:v>48201421204</x:v>
      </x:c>
      <x:c r="C1650" s="65" t="n">
        <x:v>263.8520791357752</x:v>
      </x:c>
      <x:c r="D1650" s="65" t="n">
        <x:v>142.0800794060579</x:v>
      </x:c>
      <x:c r="E1650" s="65" t="n">
        <x:v>121.77199972971732</x:v>
      </x:c>
      <x:c r="F1650" s="65" t="n">
        <x:v>121.77199972971732</x:v>
      </x:c>
      <x:c r="G1650" s="65" t="n">
        <x:v>263.8520791357752</x:v>
      </x:c>
      <x:c r="H1650" s="43" t="n">
        <x:v>1</x:v>
      </x:c>
      <x:c r="I1650" s="34" t="str">
        <x:v>generated design-reference observation; not predicted tract behavior</x:v>
      </x:c>
    </x:row>
    <x:row r="1651" ht="75.5999984741211" hidden="0" customHeight="1">
      <x:c r="A1651" s="36" t="str">
        <x:v>B1</x:v>
      </x:c>
      <x:c r="B1651" s="36" t="str">
        <x:v>48201421205</x:v>
      </x:c>
      <x:c r="C1651" s="66" t="n">
        <x:v>195.63927061593978</x:v>
      </x:c>
      <x:c r="D1651" s="66" t="n">
        <x:v>108.62780589214391</x:v>
      </x:c>
      <x:c r="E1651" s="66" t="n">
        <x:v>87.01146472379587</x:v>
      </x:c>
      <x:c r="F1651" s="66" t="n">
        <x:v>87.01146472379587</x:v>
      </x:c>
      <x:c r="G1651" s="66" t="n">
        <x:v>195.63927061593978</x:v>
      </x:c>
      <x:c r="H1651" s="45" t="n">
        <x:v>1</x:v>
      </x:c>
      <x:c r="I1651" s="36" t="str">
        <x:v>generated design-reference observation; not predicted tract behavior</x:v>
      </x:c>
    </x:row>
    <x:row r="1652" ht="75.5999984741211" hidden="0" customHeight="1">
      <x:c r="A1652" s="34" t="str">
        <x:v>B1</x:v>
      </x:c>
      <x:c r="B1652" s="34" t="str">
        <x:v>48201421206</x:v>
      </x:c>
      <x:c r="C1652" s="65" t="n">
        <x:v>164.0361247398875</x:v>
      </x:c>
      <x:c r="D1652" s="65" t="n">
        <x:v>85.7427929679775</x:v>
      </x:c>
      <x:c r="E1652" s="65" t="n">
        <x:v>78.29333177191</x:v>
      </x:c>
      <x:c r="F1652" s="65" t="n">
        <x:v>78.29333177191</x:v>
      </x:c>
      <x:c r="G1652" s="65" t="n">
        <x:v>164.0361247398875</x:v>
      </x:c>
      <x:c r="H1652" s="43" t="n">
        <x:v>1</x:v>
      </x:c>
      <x:c r="I1652" s="34" t="str">
        <x:v>generated design-reference observation; not predicted tract behavior</x:v>
      </x:c>
    </x:row>
    <x:row r="1653" ht="75.5999984741211" hidden="0" customHeight="1">
      <x:c r="A1653" s="36" t="str">
        <x:v>B1</x:v>
      </x:c>
      <x:c r="B1653" s="36" t="str">
        <x:v>48201421301</x:v>
      </x:c>
      <x:c r="C1653" s="66" t="n">
        <x:v>293.6553940231142</x:v>
      </x:c>
      <x:c r="D1653" s="66" t="n">
        <x:v>156.85354698330838</x:v>
      </x:c>
      <x:c r="E1653" s="66" t="n">
        <x:v>136.8018470398058</x:v>
      </x:c>
      <x:c r="F1653" s="66" t="n">
        <x:v>136.8018470398058</x:v>
      </x:c>
      <x:c r="G1653" s="66" t="n">
        <x:v>293.6553940231142</x:v>
      </x:c>
      <x:c r="H1653" s="45" t="n">
        <x:v>1</x:v>
      </x:c>
      <x:c r="I1653" s="36" t="str">
        <x:v>generated design-reference observation; not predicted tract behavior</x:v>
      </x:c>
    </x:row>
    <x:row r="1654" ht="75.5999984741211" hidden="0" customHeight="1">
      <x:c r="A1654" s="34" t="str">
        <x:v>B1</x:v>
      </x:c>
      <x:c r="B1654" s="34" t="str">
        <x:v>48201421302</x:v>
      </x:c>
      <x:c r="C1654" s="65" t="n">
        <x:v>935.7065573501837</x:v>
      </x:c>
      <x:c r="D1654" s="65" t="n">
        <x:v>249.4953382078675</x:v>
      </x:c>
      <x:c r="E1654" s="65" t="n">
        <x:v>686.2112191423163</x:v>
      </x:c>
      <x:c r="F1654" s="65" t="n">
        <x:v>686.2112191423163</x:v>
      </x:c>
      <x:c r="G1654" s="65" t="n">
        <x:v>935.7065573501837</x:v>
      </x:c>
      <x:c r="H1654" s="43" t="n">
        <x:v>1</x:v>
      </x:c>
      <x:c r="I1654" s="34" t="str">
        <x:v>generated design-reference observation; not predicted tract behavior</x:v>
      </x:c>
    </x:row>
    <x:row r="1655" ht="75.5999984741211" hidden="0" customHeight="1">
      <x:c r="A1655" s="36" t="str">
        <x:v>B1</x:v>
      </x:c>
      <x:c r="B1655" s="36" t="str">
        <x:v>48201421401</x:v>
      </x:c>
      <x:c r="C1655" s="66" t="n">
        <x:v>271.87272334530303</x:v>
      </x:c>
      <x:c r="D1655" s="66" t="n">
        <x:v>148.48038407323466</x:v>
      </x:c>
      <x:c r="E1655" s="66" t="n">
        <x:v>123.39233927206837</x:v>
      </x:c>
      <x:c r="F1655" s="66" t="n">
        <x:v>123.39233927206837</x:v>
      </x:c>
      <x:c r="G1655" s="66" t="n">
        <x:v>271.87272334530303</x:v>
      </x:c>
      <x:c r="H1655" s="45" t="n">
        <x:v>1</x:v>
      </x:c>
      <x:c r="I1655" s="36" t="str">
        <x:v>generated design-reference observation; not predicted tract behavior</x:v>
      </x:c>
    </x:row>
    <x:row r="1656" ht="75.5999984741211" hidden="0" customHeight="1">
      <x:c r="A1656" s="34" t="str">
        <x:v>B1</x:v>
      </x:c>
      <x:c r="B1656" s="34" t="str">
        <x:v>48201421402</x:v>
      </x:c>
      <x:c r="C1656" s="65" t="n">
        <x:v>292.64937495518717</x:v>
      </x:c>
      <x:c r="D1656" s="65" t="n">
        <x:v>163.77704198831395</x:v>
      </x:c>
      <x:c r="E1656" s="65" t="n">
        <x:v>128.87233296687322</x:v>
      </x:c>
      <x:c r="F1656" s="65" t="n">
        <x:v>128.87233296687322</x:v>
      </x:c>
      <x:c r="G1656" s="65" t="n">
        <x:v>292.64937495518717</x:v>
      </x:c>
      <x:c r="H1656" s="43" t="n">
        <x:v>1</x:v>
      </x:c>
      <x:c r="I1656" s="34" t="str">
        <x:v>generated design-reference observation; not predicted tract behavior</x:v>
      </x:c>
    </x:row>
    <x:row r="1657" ht="75.5999984741211" hidden="0" customHeight="1">
      <x:c r="A1657" s="36" t="str">
        <x:v>B1</x:v>
      </x:c>
      <x:c r="B1657" s="36" t="str">
        <x:v>48201421403</x:v>
      </x:c>
      <x:c r="C1657" s="66" t="n">
        <x:v>362.60699779595853</x:v>
      </x:c>
      <x:c r="D1657" s="66" t="n">
        <x:v>208.5770166956292</x:v>
      </x:c>
      <x:c r="E1657" s="66" t="n">
        <x:v>154.02998110032934</x:v>
      </x:c>
      <x:c r="F1657" s="66" t="n">
        <x:v>154.02998110032934</x:v>
      </x:c>
      <x:c r="G1657" s="66" t="n">
        <x:v>362.60699779595853</x:v>
      </x:c>
      <x:c r="H1657" s="45" t="n">
        <x:v>1</x:v>
      </x:c>
      <x:c r="I1657" s="36" t="str">
        <x:v>generated design-reference observation; not predicted tract behavior</x:v>
      </x:c>
    </x:row>
    <x:row r="1658" ht="75.5999984741211" hidden="0" customHeight="1">
      <x:c r="A1658" s="34" t="str">
        <x:v>B1</x:v>
      </x:c>
      <x:c r="B1658" s="34" t="str">
        <x:v>48201421501</x:v>
      </x:c>
      <x:c r="C1658" s="65" t="n">
        <x:v>698.9656038532625</x:v>
      </x:c>
      <x:c r="D1658" s="65" t="n">
        <x:v>189.1378773708496</x:v>
      </x:c>
      <x:c r="E1658" s="65" t="n">
        <x:v>509.82772648241286</x:v>
      </x:c>
      <x:c r="F1658" s="65" t="n">
        <x:v>509.82772648241286</x:v>
      </x:c>
      <x:c r="G1658" s="65" t="n">
        <x:v>698.9656038532625</x:v>
      </x:c>
      <x:c r="H1658" s="43" t="n">
        <x:v>1</x:v>
      </x:c>
      <x:c r="I1658" s="34" t="str">
        <x:v>generated design-reference observation; not predicted tract behavior</x:v>
      </x:c>
    </x:row>
    <x:row r="1659" ht="75.5999984741211" hidden="0" customHeight="1">
      <x:c r="A1659" s="36" t="str">
        <x:v>B1</x:v>
      </x:c>
      <x:c r="B1659" s="36" t="str">
        <x:v>48201421502</x:v>
      </x:c>
      <x:c r="C1659" s="66" t="n">
        <x:v>442.487874225324</x:v>
      </x:c>
      <x:c r="D1659" s="66" t="n">
        <x:v>214.60427469266375</x:v>
      </x:c>
      <x:c r="E1659" s="66" t="n">
        <x:v>227.88359953266024</x:v>
      </x:c>
      <x:c r="F1659" s="66" t="n">
        <x:v>227.88359953266024</x:v>
      </x:c>
      <x:c r="G1659" s="66" t="n">
        <x:v>442.487874225324</x:v>
      </x:c>
      <x:c r="H1659" s="45" t="n">
        <x:v>1</x:v>
      </x:c>
      <x:c r="I1659" s="36" t="str">
        <x:v>generated design-reference observation; not predicted tract behavior</x:v>
      </x:c>
    </x:row>
    <x:row r="1660" ht="75.5999984741211" hidden="0" customHeight="1">
      <x:c r="A1660" s="34" t="str">
        <x:v>B1</x:v>
      </x:c>
      <x:c r="B1660" s="34" t="str">
        <x:v>48201421601</x:v>
      </x:c>
      <x:c r="C1660" s="65" t="n">
        <x:v>267.36528634955175</x:v>
      </x:c>
      <x:c r="D1660" s="65" t="n">
        <x:v>153.27309473488774</x:v>
      </x:c>
      <x:c r="E1660" s="65" t="n">
        <x:v>114.09219161466402</x:v>
      </x:c>
      <x:c r="F1660" s="65" t="n">
        <x:v>114.09219161466402</x:v>
      </x:c>
      <x:c r="G1660" s="65" t="n">
        <x:v>267.36528634955175</x:v>
      </x:c>
      <x:c r="H1660" s="43" t="n">
        <x:v>1</x:v>
      </x:c>
      <x:c r="I1660" s="34" t="str">
        <x:v>generated design-reference observation; not predicted tract behavior</x:v>
      </x:c>
    </x:row>
    <x:row r="1661" ht="75.5999984741211" hidden="0" customHeight="1">
      <x:c r="A1661" s="36" t="str">
        <x:v>B1</x:v>
      </x:c>
      <x:c r="B1661" s="36" t="str">
        <x:v>48201421602</x:v>
      </x:c>
      <x:c r="C1661" s="66" t="n">
        <x:v>501.33726909460637</x:v>
      </x:c>
      <x:c r="D1661" s="66" t="n">
        <x:v>138.31794229177802</x:v>
      </x:c>
      <x:c r="E1661" s="66" t="n">
        <x:v>363.01932680282835</x:v>
      </x:c>
      <x:c r="F1661" s="66" t="n">
        <x:v>363.01932680282835</x:v>
      </x:c>
      <x:c r="G1661" s="66" t="n">
        <x:v>501.33726909460637</x:v>
      </x:c>
      <x:c r="H1661" s="45" t="n">
        <x:v>1</x:v>
      </x:c>
      <x:c r="I1661" s="36" t="str">
        <x:v>generated design-reference observation; not predicted tract behavior</x:v>
      </x:c>
    </x:row>
    <x:row r="1662" ht="75.5999984741211" hidden="0" customHeight="1">
      <x:c r="A1662" s="34" t="str">
        <x:v>B1</x:v>
      </x:c>
      <x:c r="B1662" s="34" t="str">
        <x:v>48201421700</x:v>
      </x:c>
      <x:c r="C1662" s="65" t="n">
        <x:v>646.054683920707</x:v>
      </x:c>
      <x:c r="D1662" s="65" t="n">
        <x:v>332.0586046691426</x:v>
      </x:c>
      <x:c r="E1662" s="65" t="n">
        <x:v>313.9960792515644</x:v>
      </x:c>
      <x:c r="F1662" s="65" t="n">
        <x:v>313.9960792515644</x:v>
      </x:c>
      <x:c r="G1662" s="65" t="n">
        <x:v>646.054683920707</x:v>
      </x:c>
      <x:c r="H1662" s="43" t="n">
        <x:v>1</x:v>
      </x:c>
      <x:c r="I1662" s="34" t="str">
        <x:v>generated design-reference observation; not predicted tract behavior</x:v>
      </x:c>
    </x:row>
    <x:row r="1663" ht="75.5999984741211" hidden="0" customHeight="1">
      <x:c r="A1663" s="36" t="str">
        <x:v>B1</x:v>
      </x:c>
      <x:c r="B1663" s="36" t="str">
        <x:v>48201421801</x:v>
      </x:c>
      <x:c r="C1663" s="66" t="n">
        <x:v>409.7048928858945</x:v>
      </x:c>
      <x:c r="D1663" s="66" t="n">
        <x:v>102.81978141707306</x:v>
      </x:c>
      <x:c r="E1663" s="66" t="n">
        <x:v>306.88511146882144</x:v>
      </x:c>
      <x:c r="F1663" s="66" t="n">
        <x:v>306.88511146882144</x:v>
      </x:c>
      <x:c r="G1663" s="66" t="n">
        <x:v>409.7048928858945</x:v>
      </x:c>
      <x:c r="H1663" s="45" t="n">
        <x:v>1</x:v>
      </x:c>
      <x:c r="I1663" s="36" t="str">
        <x:v>generated design-reference observation; not predicted tract behavior</x:v>
      </x:c>
    </x:row>
    <x:row r="1664" ht="75.5999984741211" hidden="0" customHeight="1">
      <x:c r="A1664" s="34" t="str">
        <x:v>B1</x:v>
      </x:c>
      <x:c r="B1664" s="34" t="str">
        <x:v>48201421802</x:v>
      </x:c>
      <x:c r="C1664" s="65" t="n">
        <x:v>424.5255367748152</x:v>
      </x:c>
      <x:c r="D1664" s="65" t="n">
        <x:v>118.70454282913477</x:v>
      </x:c>
      <x:c r="E1664" s="65" t="n">
        <x:v>305.8209939456804</x:v>
      </x:c>
      <x:c r="F1664" s="65" t="n">
        <x:v>305.8209939456804</x:v>
      </x:c>
      <x:c r="G1664" s="65" t="n">
        <x:v>424.5255367748152</x:v>
      </x:c>
      <x:c r="H1664" s="43" t="n">
        <x:v>1</x:v>
      </x:c>
      <x:c r="I1664" s="34" t="str">
        <x:v>generated design-reference observation; not predicted tract behavior</x:v>
      </x:c>
    </x:row>
    <x:row r="1665" ht="75.5999984741211" hidden="0" customHeight="1">
      <x:c r="A1665" s="36" t="str">
        <x:v>B1</x:v>
      </x:c>
      <x:c r="B1665" s="36" t="str">
        <x:v>48201421900</x:v>
      </x:c>
      <x:c r="C1665" s="66" t="n">
        <x:v>525.7223490740353</x:v>
      </x:c>
      <x:c r="D1665" s="66" t="n">
        <x:v>153.7737871041553</x:v>
      </x:c>
      <x:c r="E1665" s="66" t="n">
        <x:v>371.94856196987996</x:v>
      </x:c>
      <x:c r="F1665" s="66" t="n">
        <x:v>371.94856196987996</x:v>
      </x:c>
      <x:c r="G1665" s="66" t="n">
        <x:v>525.7223490740353</x:v>
      </x:c>
      <x:c r="H1665" s="45" t="n">
        <x:v>1</x:v>
      </x:c>
      <x:c r="I1665" s="36" t="str">
        <x:v>generated design-reference observation; not predicted tract behavior</x:v>
      </x:c>
    </x:row>
    <x:row r="1666" ht="75.5999984741211" hidden="0" customHeight="1">
      <x:c r="A1666" s="34" t="str">
        <x:v>B1</x:v>
      </x:c>
      <x:c r="B1666" s="34" t="str">
        <x:v>48201422000</x:v>
      </x:c>
      <x:c r="C1666" s="65" t="n">
        <x:v>181.5314250930565</x:v>
      </x:c>
      <x:c r="D1666" s="65" t="n">
        <x:v>110.0754302717677</x:v>
      </x:c>
      <x:c r="E1666" s="65" t="n">
        <x:v>71.4559948212888</x:v>
      </x:c>
      <x:c r="F1666" s="65" t="n">
        <x:v>71.4559948212888</x:v>
      </x:c>
      <x:c r="G1666" s="65" t="n">
        <x:v>181.5314250930565</x:v>
      </x:c>
      <x:c r="H1666" s="43" t="n">
        <x:v>1</x:v>
      </x:c>
      <x:c r="I1666" s="34" t="str">
        <x:v>generated design-reference observation; not predicted tract behavior</x:v>
      </x:c>
    </x:row>
    <x:row r="1667" ht="75.5999984741211" hidden="0" customHeight="1">
      <x:c r="A1667" s="36" t="str">
        <x:v>B1</x:v>
      </x:c>
      <x:c r="B1667" s="36" t="str">
        <x:v>48201422100</x:v>
      </x:c>
      <x:c r="C1667" s="66" t="n">
        <x:v>723.3265006820201</x:v>
      </x:c>
      <x:c r="D1667" s="66" t="n">
        <x:v>378.3646662767254</x:v>
      </x:c>
      <x:c r="E1667" s="66" t="n">
        <x:v>344.96183440529467</x:v>
      </x:c>
      <x:c r="F1667" s="66" t="n">
        <x:v>344.96183440529467</x:v>
      </x:c>
      <x:c r="G1667" s="66" t="n">
        <x:v>723.3265006820201</x:v>
      </x:c>
      <x:c r="H1667" s="45" t="n">
        <x:v>1</x:v>
      </x:c>
      <x:c r="I1667" s="36" t="str">
        <x:v>generated design-reference observation; not predicted tract behavior</x:v>
      </x:c>
    </x:row>
    <x:row r="1668" ht="75.5999984741211" hidden="0" customHeight="1">
      <x:c r="A1668" s="34" t="str">
        <x:v>B1</x:v>
      </x:c>
      <x:c r="B1668" s="34" t="str">
        <x:v>48201422200</x:v>
      </x:c>
      <x:c r="C1668" s="65" t="n">
        <x:v>819.6346890730323</x:v>
      </x:c>
      <x:c r="D1668" s="65" t="n">
        <x:v>401.0927765376055</x:v>
      </x:c>
      <x:c r="E1668" s="65" t="n">
        <x:v>418.5419125354268</x:v>
      </x:c>
      <x:c r="F1668" s="65" t="n">
        <x:v>418.5419125354268</x:v>
      </x:c>
      <x:c r="G1668" s="65" t="n">
        <x:v>819.6346890730323</x:v>
      </x:c>
      <x:c r="H1668" s="43" t="n">
        <x:v>1</x:v>
      </x:c>
      <x:c r="I1668" s="34" t="str">
        <x:v>generated design-reference observation; not predicted tract behavior</x:v>
      </x:c>
    </x:row>
    <x:row r="1669" ht="75.5999984741211" hidden="0" customHeight="1">
      <x:c r="A1669" s="36" t="str">
        <x:v>B1</x:v>
      </x:c>
      <x:c r="B1669" s="36" t="str">
        <x:v>48201422302</x:v>
      </x:c>
      <x:c r="C1669" s="66" t="n">
        <x:v>300.2712994680214</x:v>
      </x:c>
      <x:c r="D1669" s="66" t="n">
        <x:v>159.80393404109236</x:v>
      </x:c>
      <x:c r="E1669" s="66" t="n">
        <x:v>140.46736542692906</x:v>
      </x:c>
      <x:c r="F1669" s="66" t="n">
        <x:v>140.46736542692906</x:v>
      </x:c>
      <x:c r="G1669" s="66" t="n">
        <x:v>300.2712994680214</x:v>
      </x:c>
      <x:c r="H1669" s="45" t="n">
        <x:v>1</x:v>
      </x:c>
      <x:c r="I1669" s="36" t="str">
        <x:v>generated design-reference observation; not predicted tract behavior</x:v>
      </x:c>
    </x:row>
    <x:row r="1670" ht="75.5999984741211" hidden="0" customHeight="1">
      <x:c r="A1670" s="34" t="str">
        <x:v>B1</x:v>
      </x:c>
      <x:c r="B1670" s="34" t="str">
        <x:v>48201422303</x:v>
      </x:c>
      <x:c r="C1670" s="65" t="n">
        <x:v>544.7835084331724</x:v>
      </x:c>
      <x:c r="D1670" s="65" t="n">
        <x:v>147.99984639982983</x:v>
      </x:c>
      <x:c r="E1670" s="65" t="n">
        <x:v>396.7836620333426</x:v>
      </x:c>
      <x:c r="F1670" s="65" t="n">
        <x:v>396.7836620333426</x:v>
      </x:c>
      <x:c r="G1670" s="65" t="n">
        <x:v>544.7835084331724</x:v>
      </x:c>
      <x:c r="H1670" s="43" t="n">
        <x:v>1</x:v>
      </x:c>
      <x:c r="I1670" s="34" t="str">
        <x:v>generated design-reference observation; not predicted tract behavior</x:v>
      </x:c>
    </x:row>
    <x:row r="1671" ht="75.5999984741211" hidden="0" customHeight="1">
      <x:c r="A1671" s="36" t="str">
        <x:v>B1</x:v>
      </x:c>
      <x:c r="B1671" s="36" t="str">
        <x:v>48201422304</x:v>
      </x:c>
      <x:c r="C1671" s="66" t="n">
        <x:v>631.3915328005332</x:v>
      </x:c>
      <x:c r="D1671" s="66" t="n">
        <x:v>332.7756177490341</x:v>
      </x:c>
      <x:c r="E1671" s="66" t="n">
        <x:v>298.61591505149914</x:v>
      </x:c>
      <x:c r="F1671" s="66" t="n">
        <x:v>298.61591505149914</x:v>
      </x:c>
      <x:c r="G1671" s="66" t="n">
        <x:v>631.3915328005332</x:v>
      </x:c>
      <x:c r="H1671" s="45" t="n">
        <x:v>1</x:v>
      </x:c>
      <x:c r="I1671" s="36" t="str">
        <x:v>generated design-reference observation; not predicted tract behavior</x:v>
      </x:c>
    </x:row>
    <x:row r="1672" ht="75.5999984741211" hidden="0" customHeight="1">
      <x:c r="A1672" s="34" t="str">
        <x:v>B1</x:v>
      </x:c>
      <x:c r="B1672" s="34" t="str">
        <x:v>48201422403</x:v>
      </x:c>
      <x:c r="C1672" s="65" t="n">
        <x:v>206.02956130187397</x:v>
      </x:c>
      <x:c r="D1672" s="65" t="n">
        <x:v>122.74005490169051</x:v>
      </x:c>
      <x:c r="E1672" s="65" t="n">
        <x:v>83.28950640018346</x:v>
      </x:c>
      <x:c r="F1672" s="65" t="n">
        <x:v>83.28950640018346</x:v>
      </x:c>
      <x:c r="G1672" s="65" t="n">
        <x:v>206.02956130187397</x:v>
      </x:c>
      <x:c r="H1672" s="43" t="n">
        <x:v>1</x:v>
      </x:c>
      <x:c r="I1672" s="34" t="str">
        <x:v>generated design-reference observation; not predicted tract behavior</x:v>
      </x:c>
    </x:row>
    <x:row r="1673" ht="75.5999984741211" hidden="0" customHeight="1">
      <x:c r="A1673" s="36" t="str">
        <x:v>B1</x:v>
      </x:c>
      <x:c r="B1673" s="36" t="str">
        <x:v>48201422404</x:v>
      </x:c>
      <x:c r="C1673" s="66" t="n">
        <x:v>463.6550837185501</x:v>
      </x:c>
      <x:c r="D1673" s="66" t="n">
        <x:v>128.0816034908402</x:v>
      </x:c>
      <x:c r="E1673" s="66" t="n">
        <x:v>335.57348022770987</x:v>
      </x:c>
      <x:c r="F1673" s="66" t="n">
        <x:v>335.57348022770987</x:v>
      </x:c>
      <x:c r="G1673" s="66" t="n">
        <x:v>463.65508371855003</x:v>
      </x:c>
      <x:c r="H1673" s="45" t="n">
        <x:v>0.9999999999999999</x:v>
      </x:c>
      <x:c r="I1673" s="36" t="str">
        <x:v>generated design-reference observation; not predicted tract behavior</x:v>
      </x:c>
    </x:row>
    <x:row r="1674" ht="75.5999984741211" hidden="0" customHeight="1">
      <x:c r="A1674" s="34" t="str">
        <x:v>B1</x:v>
      </x:c>
      <x:c r="B1674" s="34" t="str">
        <x:v>48201422405</x:v>
      </x:c>
      <x:c r="C1674" s="65" t="n">
        <x:v>259.9319904119536</x:v>
      </x:c>
      <x:c r="D1674" s="65" t="n">
        <x:v>117.84914040104539</x:v>
      </x:c>
      <x:c r="E1674" s="65" t="n">
        <x:v>142.08285001090823</x:v>
      </x:c>
      <x:c r="F1674" s="65" t="n">
        <x:v>142.08285001090823</x:v>
      </x:c>
      <x:c r="G1674" s="65" t="n">
        <x:v>259.9319904119536</x:v>
      </x:c>
      <x:c r="H1674" s="43" t="n">
        <x:v>1</x:v>
      </x:c>
      <x:c r="I1674" s="34" t="str">
        <x:v>generated design-reference observation; not predicted tract behavior</x:v>
      </x:c>
    </x:row>
    <x:row r="1675" ht="75.5999984741211" hidden="0" customHeight="1">
      <x:c r="A1675" s="36" t="str">
        <x:v>B1</x:v>
      </x:c>
      <x:c r="B1675" s="36" t="str">
        <x:v>48201422406</x:v>
      </x:c>
      <x:c r="C1675" s="66" t="n">
        <x:v>226.6372331464422</x:v>
      </x:c>
      <x:c r="D1675" s="66" t="n">
        <x:v>133.36725526812785</x:v>
      </x:c>
      <x:c r="E1675" s="66" t="n">
        <x:v>93.26997787831436</x:v>
      </x:c>
      <x:c r="F1675" s="66" t="n">
        <x:v>93.26997787831436</x:v>
      </x:c>
      <x:c r="G1675" s="66" t="n">
        <x:v>226.6372331464422</x:v>
      </x:c>
      <x:c r="H1675" s="45" t="n">
        <x:v>1</x:v>
      </x:c>
      <x:c r="I1675" s="36" t="str">
        <x:v>generated design-reference observation; not predicted tract behavior</x:v>
      </x:c>
    </x:row>
    <x:row r="1676" ht="75.5999984741211" hidden="0" customHeight="1">
      <x:c r="A1676" s="34" t="str">
        <x:v>B1</x:v>
      </x:c>
      <x:c r="B1676" s="34" t="str">
        <x:v>48201422501</x:v>
      </x:c>
      <x:c r="C1676" s="65" t="n">
        <x:v>656.7297312057959</x:v>
      </x:c>
      <x:c r="D1676" s="65" t="n">
        <x:v>184.66618934111685</x:v>
      </x:c>
      <x:c r="E1676" s="65" t="n">
        <x:v>472.0635418646791</x:v>
      </x:c>
      <x:c r="F1676" s="65" t="n">
        <x:v>472.0635418646791</x:v>
      </x:c>
      <x:c r="G1676" s="65" t="n">
        <x:v>656.7297312057959</x:v>
      </x:c>
      <x:c r="H1676" s="43" t="n">
        <x:v>1</x:v>
      </x:c>
      <x:c r="I1676" s="34" t="str">
        <x:v>generated design-reference observation; not predicted tract behavior</x:v>
      </x:c>
    </x:row>
    <x:row r="1677" ht="75.5999984741211" hidden="0" customHeight="1">
      <x:c r="A1677" s="36" t="str">
        <x:v>B1</x:v>
      </x:c>
      <x:c r="B1677" s="36" t="str">
        <x:v>48201422502</x:v>
      </x:c>
      <x:c r="C1677" s="66" t="n">
        <x:v>527.2120311553889</x:v>
      </x:c>
      <x:c r="D1677" s="66" t="n">
        <x:v>146.0780983980739</x:v>
      </x:c>
      <x:c r="E1677" s="66" t="n">
        <x:v>381.133932757315</x:v>
      </x:c>
      <x:c r="F1677" s="66" t="n">
        <x:v>381.133932757315</x:v>
      </x:c>
      <x:c r="G1677" s="66" t="n">
        <x:v>527.2120311553889</x:v>
      </x:c>
      <x:c r="H1677" s="45" t="n">
        <x:v>1</x:v>
      </x:c>
      <x:c r="I1677" s="36" t="str">
        <x:v>generated design-reference observation; not predicted tract behavior</x:v>
      </x:c>
    </x:row>
    <x:row r="1678" ht="75.5999984741211" hidden="0" customHeight="1">
      <x:c r="A1678" s="34" t="str">
        <x:v>B1</x:v>
      </x:c>
      <x:c r="B1678" s="34" t="str">
        <x:v>48201422601</x:v>
      </x:c>
      <x:c r="C1678" s="65" t="n">
        <x:v>550.6068111148272</x:v>
      </x:c>
      <x:c r="D1678" s="65" t="n">
        <x:v>152.47878385773356</x:v>
      </x:c>
      <x:c r="E1678" s="65" t="n">
        <x:v>398.12802725709366</x:v>
      </x:c>
      <x:c r="F1678" s="65" t="n">
        <x:v>398.12802725709366</x:v>
      </x:c>
      <x:c r="G1678" s="65" t="n">
        <x:v>550.6068111148272</x:v>
      </x:c>
      <x:c r="H1678" s="43" t="n">
        <x:v>1</x:v>
      </x:c>
      <x:c r="I1678" s="34" t="str">
        <x:v>generated design-reference observation; not predicted tract behavior</x:v>
      </x:c>
    </x:row>
    <x:row r="1679" ht="75.5999984741211" hidden="0" customHeight="1">
      <x:c r="A1679" s="36" t="str">
        <x:v>B1</x:v>
      </x:c>
      <x:c r="B1679" s="36" t="str">
        <x:v>48201422602</x:v>
      </x:c>
      <x:c r="C1679" s="66" t="n">
        <x:v>335.78546538639364</x:v>
      </x:c>
      <x:c r="D1679" s="66" t="n">
        <x:v>178.97365305094783</x:v>
      </x:c>
      <x:c r="E1679" s="66" t="n">
        <x:v>156.8118123354458</x:v>
      </x:c>
      <x:c r="F1679" s="66" t="n">
        <x:v>156.8118123354458</x:v>
      </x:c>
      <x:c r="G1679" s="66" t="n">
        <x:v>335.78546538639364</x:v>
      </x:c>
      <x:c r="H1679" s="45" t="n">
        <x:v>1</x:v>
      </x:c>
      <x:c r="I1679" s="36" t="str">
        <x:v>generated design-reference observation; not predicted tract behavior</x:v>
      </x:c>
    </x:row>
    <x:row r="1680" ht="75.5999984741211" hidden="0" customHeight="1">
      <x:c r="A1680" s="34" t="str">
        <x:v>B1</x:v>
      </x:c>
      <x:c r="B1680" s="34" t="str">
        <x:v>48201422701</x:v>
      </x:c>
      <x:c r="C1680" s="65" t="n">
        <x:v>380.9039695938819</x:v>
      </x:c>
      <x:c r="D1680" s="65" t="n">
        <x:v>226.58233962488563</x:v>
      </x:c>
      <x:c r="E1680" s="65" t="n">
        <x:v>154.3216299689963</x:v>
      </x:c>
      <x:c r="F1680" s="65" t="n">
        <x:v>154.3216299689963</x:v>
      </x:c>
      <x:c r="G1680" s="65" t="n">
        <x:v>380.9039695938819</x:v>
      </x:c>
      <x:c r="H1680" s="43" t="n">
        <x:v>1</x:v>
      </x:c>
      <x:c r="I1680" s="34" t="str">
        <x:v>generated design-reference observation; not predicted tract behavior</x:v>
      </x:c>
    </x:row>
    <x:row r="1681" ht="75.5999984741211" hidden="0" customHeight="1">
      <x:c r="A1681" s="36" t="str">
        <x:v>B1</x:v>
      </x:c>
      <x:c r="B1681" s="36" t="str">
        <x:v>48201422702</x:v>
      </x:c>
      <x:c r="C1681" s="66" t="n">
        <x:v>277.4804936965996</x:v>
      </x:c>
      <x:c r="D1681" s="66" t="n">
        <x:v>169.54058164862235</x:v>
      </x:c>
      <x:c r="E1681" s="66" t="n">
        <x:v>107.93991204797723</x:v>
      </x:c>
      <x:c r="F1681" s="66" t="n">
        <x:v>107.93991204797723</x:v>
      </x:c>
      <x:c r="G1681" s="66" t="n">
        <x:v>277.4804936965996</x:v>
      </x:c>
      <x:c r="H1681" s="45" t="n">
        <x:v>1</x:v>
      </x:c>
      <x:c r="I1681" s="36" t="str">
        <x:v>generated design-reference observation; not predicted tract behavior</x:v>
      </x:c>
    </x:row>
    <x:row r="1682" ht="75.5999984741211" hidden="0" customHeight="1">
      <x:c r="A1682" s="34" t="str">
        <x:v>B1</x:v>
      </x:c>
      <x:c r="B1682" s="34" t="str">
        <x:v>48201422800</x:v>
      </x:c>
      <x:c r="C1682" s="65" t="n">
        <x:v>753.7706690621493</x:v>
      </x:c>
      <x:c r="D1682" s="65" t="n">
        <x:v>205.2497893706872</x:v>
      </x:c>
      <x:c r="E1682" s="65" t="n">
        <x:v>548.5208796914621</x:v>
      </x:c>
      <x:c r="F1682" s="65" t="n">
        <x:v>548.5208796914621</x:v>
      </x:c>
      <x:c r="G1682" s="65" t="n">
        <x:v>753.7706690621493</x:v>
      </x:c>
      <x:c r="H1682" s="43" t="n">
        <x:v>1</x:v>
      </x:c>
      <x:c r="I1682" s="34" t="str">
        <x:v>generated design-reference observation; not predicted tract behavior</x:v>
      </x:c>
    </x:row>
    <x:row r="1683" ht="75.5999984741211" hidden="0" customHeight="1">
      <x:c r="A1683" s="36" t="str">
        <x:v>B1</x:v>
      </x:c>
      <x:c r="B1683" s="36" t="str">
        <x:v>48201422900</x:v>
      </x:c>
      <x:c r="C1683" s="66" t="n">
        <x:v>708.4877194300963</x:v>
      </x:c>
      <x:c r="D1683" s="66" t="n">
        <x:v>197.06566344464164</x:v>
      </x:c>
      <x:c r="E1683" s="66" t="n">
        <x:v>511.4220559854546</x:v>
      </x:c>
      <x:c r="F1683" s="66" t="n">
        <x:v>511.4220559854546</x:v>
      </x:c>
      <x:c r="G1683" s="66" t="n">
        <x:v>708.4877194300963</x:v>
      </x:c>
      <x:c r="H1683" s="45" t="n">
        <x:v>1</x:v>
      </x:c>
      <x:c r="I1683" s="36" t="str">
        <x:v>generated design-reference observation; not predicted tract behavior</x:v>
      </x:c>
    </x:row>
    <x:row r="1684" ht="75.5999984741211" hidden="0" customHeight="1">
      <x:c r="A1684" s="34" t="str">
        <x:v>B1</x:v>
      </x:c>
      <x:c r="B1684" s="34" t="str">
        <x:v>48201423001</x:v>
      </x:c>
      <x:c r="C1684" s="65" t="n">
        <x:v>468.10145825885627</x:v>
      </x:c>
      <x:c r="D1684" s="65" t="n">
        <x:v>224.76789811590365</x:v>
      </x:c>
      <x:c r="E1684" s="65" t="n">
        <x:v>243.33356014295262</x:v>
      </x:c>
      <x:c r="F1684" s="65" t="n">
        <x:v>243.33356014295262</x:v>
      </x:c>
      <x:c r="G1684" s="65" t="n">
        <x:v>468.10145825885627</x:v>
      </x:c>
      <x:c r="H1684" s="43" t="n">
        <x:v>1</x:v>
      </x:c>
      <x:c r="I1684" s="34" t="str">
        <x:v>generated design-reference observation; not predicted tract behavior</x:v>
      </x:c>
    </x:row>
    <x:row r="1685" ht="75.5999984741211" hidden="0" customHeight="1">
      <x:c r="A1685" s="36" t="str">
        <x:v>B1</x:v>
      </x:c>
      <x:c r="B1685" s="36" t="str">
        <x:v>48201423002</x:v>
      </x:c>
      <x:c r="C1685" s="66" t="n">
        <x:v>540.9323416887642</x:v>
      </x:c>
      <x:c r="D1685" s="66" t="n">
        <x:v>146.21060323253883</x:v>
      </x:c>
      <x:c r="E1685" s="66" t="n">
        <x:v>394.72173845622535</x:v>
      </x:c>
      <x:c r="F1685" s="66" t="n">
        <x:v>394.72173845622535</x:v>
      </x:c>
      <x:c r="G1685" s="66" t="n">
        <x:v>540.9323416887642</x:v>
      </x:c>
      <x:c r="H1685" s="45" t="n">
        <x:v>1</x:v>
      </x:c>
      <x:c r="I1685" s="36" t="str">
        <x:v>generated design-reference observation; not predicted tract behavior</x:v>
      </x:c>
    </x:row>
    <x:row r="1686" ht="75.5999984741211" hidden="0" customHeight="1">
      <x:c r="A1686" s="34" t="str">
        <x:v>B1</x:v>
      </x:c>
      <x:c r="B1686" s="34" t="str">
        <x:v>48201423100</x:v>
      </x:c>
      <x:c r="C1686" s="65" t="n">
        <x:v>231.35687728933442</x:v>
      </x:c>
      <x:c r="D1686" s="65" t="n">
        <x:v>134.29109942259413</x:v>
      </x:c>
      <x:c r="E1686" s="65" t="n">
        <x:v>97.06577786674029</x:v>
      </x:c>
      <x:c r="F1686" s="65" t="n">
        <x:v>97.06577786674029</x:v>
      </x:c>
      <x:c r="G1686" s="65" t="n">
        <x:v>231.35687728933442</x:v>
      </x:c>
      <x:c r="H1686" s="43" t="n">
        <x:v>1</x:v>
      </x:c>
      <x:c r="I1686" s="34" t="str">
        <x:v>generated design-reference observation; not predicted tract behavior</x:v>
      </x:c>
    </x:row>
    <x:row r="1687" ht="75.5999984741211" hidden="0" customHeight="1">
      <x:c r="A1687" s="36" t="str">
        <x:v>B1</x:v>
      </x:c>
      <x:c r="B1687" s="36" t="str">
        <x:v>48201423201</x:v>
      </x:c>
      <x:c r="C1687" s="66" t="n">
        <x:v>373.8582086457917</x:v>
      </x:c>
      <x:c r="D1687" s="66" t="n">
        <x:v>198.1081488937567</x:v>
      </x:c>
      <x:c r="E1687" s="66" t="n">
        <x:v>175.750059752035</x:v>
      </x:c>
      <x:c r="F1687" s="66" t="n">
        <x:v>175.750059752035</x:v>
      </x:c>
      <x:c r="G1687" s="66" t="n">
        <x:v>373.8582086457917</x:v>
      </x:c>
      <x:c r="H1687" s="45" t="n">
        <x:v>1</x:v>
      </x:c>
      <x:c r="I1687" s="36" t="str">
        <x:v>generated design-reference observation; not predicted tract behavior</x:v>
      </x:c>
    </x:row>
    <x:row r="1688" ht="75.5999984741211" hidden="0" customHeight="1">
      <x:c r="A1688" s="34" t="str">
        <x:v>B1</x:v>
      </x:c>
      <x:c r="B1688" s="34" t="str">
        <x:v>48201423203</x:v>
      </x:c>
      <x:c r="C1688" s="65" t="n">
        <x:v>186.51436328888266</x:v>
      </x:c>
      <x:c r="D1688" s="65" t="n">
        <x:v>108.6562226528827</x:v>
      </x:c>
      <x:c r="E1688" s="65" t="n">
        <x:v>77.85814063599996</x:v>
      </x:c>
      <x:c r="F1688" s="65" t="n">
        <x:v>77.85814063599996</x:v>
      </x:c>
      <x:c r="G1688" s="65" t="n">
        <x:v>186.51436328888266</x:v>
      </x:c>
      <x:c r="H1688" s="43" t="n">
        <x:v>1</x:v>
      </x:c>
      <x:c r="I1688" s="34" t="str">
        <x:v>generated design-reference observation; not predicted tract behavior</x:v>
      </x:c>
    </x:row>
    <x:row r="1689" ht="75.5999984741211" hidden="0" customHeight="1">
      <x:c r="A1689" s="36" t="str">
        <x:v>B1</x:v>
      </x:c>
      <x:c r="B1689" s="36" t="str">
        <x:v>48201423204</x:v>
      </x:c>
      <x:c r="C1689" s="66" t="n">
        <x:v>594.1809188625682</x:v>
      </x:c>
      <x:c r="D1689" s="66" t="n">
        <x:v>290.47904143996635</x:v>
      </x:c>
      <x:c r="E1689" s="66" t="n">
        <x:v>303.70187742260185</x:v>
      </x:c>
      <x:c r="F1689" s="66" t="n">
        <x:v>303.70187742260185</x:v>
      </x:c>
      <x:c r="G1689" s="66" t="n">
        <x:v>594.1809188625682</x:v>
      </x:c>
      <x:c r="H1689" s="45" t="n">
        <x:v>1</x:v>
      </x:c>
      <x:c r="I1689" s="36" t="str">
        <x:v>generated design-reference observation; not predicted tract behavior</x:v>
      </x:c>
    </x:row>
    <x:row r="1690" ht="75.5999984741211" hidden="0" customHeight="1">
      <x:c r="A1690" s="34" t="str">
        <x:v>B1</x:v>
      </x:c>
      <x:c r="B1690" s="34" t="str">
        <x:v>48201423301</x:v>
      </x:c>
      <x:c r="C1690" s="65" t="n">
        <x:v>376.5419337915419</x:v>
      </x:c>
      <x:c r="D1690" s="65" t="n">
        <x:v>220.2086035013721</x:v>
      </x:c>
      <x:c r="E1690" s="65" t="n">
        <x:v>156.3333302901698</x:v>
      </x:c>
      <x:c r="F1690" s="65" t="n">
        <x:v>156.3333302901698</x:v>
      </x:c>
      <x:c r="G1690" s="65" t="n">
        <x:v>376.5419337915419</x:v>
      </x:c>
      <x:c r="H1690" s="43" t="n">
        <x:v>1</x:v>
      </x:c>
      <x:c r="I1690" s="34" t="str">
        <x:v>generated design-reference observation; not predicted tract behavior</x:v>
      </x:c>
    </x:row>
    <x:row r="1691" ht="75.5999984741211" hidden="0" customHeight="1">
      <x:c r="A1691" s="36" t="str">
        <x:v>B1</x:v>
      </x:c>
      <x:c r="B1691" s="36" t="str">
        <x:v>48201423303</x:v>
      </x:c>
      <x:c r="C1691" s="66" t="n">
        <x:v>204.3246491795456</x:v>
      </x:c>
      <x:c r="D1691" s="66" t="n">
        <x:v>98.62778588179079</x:v>
      </x:c>
      <x:c r="E1691" s="66" t="n">
        <x:v>105.6968632977548</x:v>
      </x:c>
      <x:c r="F1691" s="66" t="n">
        <x:v>105.6968632977548</x:v>
      </x:c>
      <x:c r="G1691" s="66" t="n">
        <x:v>204.3246491795456</x:v>
      </x:c>
      <x:c r="H1691" s="45" t="n">
        <x:v>1</x:v>
      </x:c>
      <x:c r="I1691" s="36" t="str">
        <x:v>generated design-reference observation; not predicted tract behavior</x:v>
      </x:c>
    </x:row>
    <x:row r="1692" ht="75.5999984741211" hidden="0" customHeight="1">
      <x:c r="A1692" s="34" t="str">
        <x:v>B1</x:v>
      </x:c>
      <x:c r="B1692" s="34" t="str">
        <x:v>48201423304</x:v>
      </x:c>
      <x:c r="C1692" s="65" t="n">
        <x:v>285.02170694406834</x:v>
      </x:c>
      <x:c r="D1692" s="65" t="n">
        <x:v>166.86867829561896</x:v>
      </x:c>
      <x:c r="E1692" s="65" t="n">
        <x:v>118.15302864844938</x:v>
      </x:c>
      <x:c r="F1692" s="65" t="n">
        <x:v>118.15302864844938</x:v>
      </x:c>
      <x:c r="G1692" s="65" t="n">
        <x:v>285.02170694406834</x:v>
      </x:c>
      <x:c r="H1692" s="43" t="n">
        <x:v>1</x:v>
      </x:c>
      <x:c r="I1692" s="34" t="str">
        <x:v>generated design-reference observation; not predicted tract behavior</x:v>
      </x:c>
    </x:row>
    <x:row r="1693" ht="75.5999984741211" hidden="0" customHeight="1">
      <x:c r="A1693" s="36" t="str">
        <x:v>B1</x:v>
      </x:c>
      <x:c r="B1693" s="36" t="str">
        <x:v>48201423401</x:v>
      </x:c>
      <x:c r="C1693" s="66" t="n">
        <x:v>689.8077469834157</x:v>
      </x:c>
      <x:c r="D1693" s="66" t="n">
        <x:v>354.9405762103166</x:v>
      </x:c>
      <x:c r="E1693" s="66" t="n">
        <x:v>334.8671707730991</x:v>
      </x:c>
      <x:c r="F1693" s="66" t="n">
        <x:v>334.8671707730991</x:v>
      </x:c>
      <x:c r="G1693" s="66" t="n">
        <x:v>689.8077469834157</x:v>
      </x:c>
      <x:c r="H1693" s="45" t="n">
        <x:v>1</x:v>
      </x:c>
      <x:c r="I1693" s="36" t="str">
        <x:v>generated design-reference observation; not predicted tract behavior</x:v>
      </x:c>
    </x:row>
    <x:row r="1694" ht="75.5999984741211" hidden="0" customHeight="1">
      <x:c r="A1694" s="34" t="str">
        <x:v>B1</x:v>
      </x:c>
      <x:c r="B1694" s="34" t="str">
        <x:v>48201423402</x:v>
      </x:c>
      <x:c r="C1694" s="65" t="n">
        <x:v>367.2755550330575</x:v>
      </x:c>
      <x:c r="D1694" s="65" t="n">
        <x:v>223.35002864400843</x:v>
      </x:c>
      <x:c r="E1694" s="65" t="n">
        <x:v>143.92552638904908</x:v>
      </x:c>
      <x:c r="F1694" s="65" t="n">
        <x:v>143.92552638904908</x:v>
      </x:c>
      <x:c r="G1694" s="65" t="n">
        <x:v>367.2755550330575</x:v>
      </x:c>
      <x:c r="H1694" s="43" t="n">
        <x:v>1</x:v>
      </x:c>
      <x:c r="I1694" s="34" t="str">
        <x:v>generated design-reference observation; not predicted tract behavior</x:v>
      </x:c>
    </x:row>
    <x:row r="1695" ht="75.5999984741211" hidden="0" customHeight="1">
      <x:c r="A1695" s="36" t="str">
        <x:v>B1</x:v>
      </x:c>
      <x:c r="B1695" s="36" t="str">
        <x:v>48201423500</x:v>
      </x:c>
      <x:c r="C1695" s="66" t="n">
        <x:v>180.15600839862498</x:v>
      </x:c>
      <x:c r="D1695" s="66" t="n">
        <x:v>109.90197416914795</x:v>
      </x:c>
      <x:c r="E1695" s="66" t="n">
        <x:v>70.25403422947703</x:v>
      </x:c>
      <x:c r="F1695" s="66" t="n">
        <x:v>70.25403422947703</x:v>
      </x:c>
      <x:c r="G1695" s="66" t="n">
        <x:v>180.15600839862498</x:v>
      </x:c>
      <x:c r="H1695" s="45" t="n">
        <x:v>1</x:v>
      </x:c>
      <x:c r="I1695" s="36" t="str">
        <x:v>generated design-reference observation; not predicted tract behavior</x:v>
      </x:c>
    </x:row>
    <x:row r="1696" ht="75.5999984741211" hidden="0" customHeight="1">
      <x:c r="A1696" s="34" t="str">
        <x:v>B1</x:v>
      </x:c>
      <x:c r="B1696" s="34" t="str">
        <x:v>48201423600</x:v>
      </x:c>
      <x:c r="C1696" s="65" t="n">
        <x:v>1019.4679225941463</x:v>
      </x:c>
      <x:c r="D1696" s="65" t="n">
        <x:v>543.37640274268</x:v>
      </x:c>
      <x:c r="E1696" s="65" t="n">
        <x:v>476.0915198514663</x:v>
      </x:c>
      <x:c r="F1696" s="65" t="n">
        <x:v>476.0915198514663</x:v>
      </x:c>
      <x:c r="G1696" s="65" t="n">
        <x:v>1019.4679225941463</x:v>
      </x:c>
      <x:c r="H1696" s="43" t="n">
        <x:v>1</x:v>
      </x:c>
      <x:c r="I1696" s="34" t="str">
        <x:v>generated design-reference observation; not predicted tract behavior</x:v>
      </x:c>
    </x:row>
    <x:row r="1697" ht="75.5999984741211" hidden="0" customHeight="1">
      <x:c r="A1697" s="36" t="str">
        <x:v>B1</x:v>
      </x:c>
      <x:c r="B1697" s="36" t="str">
        <x:v>48201430101</x:v>
      </x:c>
      <x:c r="C1697" s="66" t="n">
        <x:v>220.59325921491174</x:v>
      </x:c>
      <x:c r="D1697" s="66" t="n">
        <x:v>121.11789801456526</x:v>
      </x:c>
      <x:c r="E1697" s="66" t="n">
        <x:v>99.47536120034648</x:v>
      </x:c>
      <x:c r="F1697" s="66" t="n">
        <x:v>99.47536120034647</x:v>
      </x:c>
      <x:c r="G1697" s="66" t="n">
        <x:v>220.5932592149117</x:v>
      </x:c>
      <x:c r="H1697" s="45" t="n">
        <x:v>0.9999999999999999</x:v>
      </x:c>
      <x:c r="I1697" s="36" t="str">
        <x:v>generated design-reference observation; not predicted tract behavior</x:v>
      </x:c>
    </x:row>
    <x:row r="1698" ht="75.5999984741211" hidden="0" customHeight="1">
      <x:c r="A1698" s="34" t="str">
        <x:v>B1</x:v>
      </x:c>
      <x:c r="B1698" s="34" t="str">
        <x:v>48201430102</x:v>
      </x:c>
      <x:c r="C1698" s="65" t="n">
        <x:v>241.0516001040846</x:v>
      </x:c>
      <x:c r="D1698" s="65" t="n">
        <x:v>133.09848599652096</x:v>
      </x:c>
      <x:c r="E1698" s="65" t="n">
        <x:v>107.95311410756364</x:v>
      </x:c>
      <x:c r="F1698" s="65" t="n">
        <x:v>107.95311410756364</x:v>
      </x:c>
      <x:c r="G1698" s="65" t="n">
        <x:v>241.0516001040846</x:v>
      </x:c>
      <x:c r="H1698" s="43" t="n">
        <x:v>1</x:v>
      </x:c>
      <x:c r="I1698" s="34" t="str">
        <x:v>generated design-reference observation; not predicted tract behavior</x:v>
      </x:c>
    </x:row>
    <x:row r="1699" ht="75.5999984741211" hidden="0" customHeight="1">
      <x:c r="A1699" s="36" t="str">
        <x:v>B1</x:v>
      </x:c>
      <x:c r="B1699" s="36" t="str">
        <x:v>48201430200</x:v>
      </x:c>
      <x:c r="C1699" s="66" t="n">
        <x:v>129.62712880719494</x:v>
      </x:c>
      <x:c r="D1699" s="66" t="n">
        <x:v>75.6527824239338</x:v>
      </x:c>
      <x:c r="E1699" s="66" t="n">
        <x:v>53.974346383261135</x:v>
      </x:c>
      <x:c r="F1699" s="66" t="n">
        <x:v>53.974346383261135</x:v>
      </x:c>
      <x:c r="G1699" s="66" t="n">
        <x:v>129.62712880719494</x:v>
      </x:c>
      <x:c r="H1699" s="45" t="n">
        <x:v>1</x:v>
      </x:c>
      <x:c r="I1699" s="36" t="str">
        <x:v>generated design-reference observation; not predicted tract behavior</x:v>
      </x:c>
    </x:row>
    <x:row r="1700" ht="75.5999984741211" hidden="0" customHeight="1">
      <x:c r="A1700" s="34" t="str">
        <x:v>B1</x:v>
      </x:c>
      <x:c r="B1700" s="34" t="str">
        <x:v>48201430300</x:v>
      </x:c>
      <x:c r="C1700" s="65" t="n">
        <x:v>347.31236415387997</x:v>
      </x:c>
      <x:c r="D1700" s="65" t="n">
        <x:v>212.20785449802065</x:v>
      </x:c>
      <x:c r="E1700" s="65" t="n">
        <x:v>135.10450965585932</x:v>
      </x:c>
      <x:c r="F1700" s="65" t="n">
        <x:v>135.10450965585932</x:v>
      </x:c>
      <x:c r="G1700" s="65" t="n">
        <x:v>347.31236415387997</x:v>
      </x:c>
      <x:c r="H1700" s="43" t="n">
        <x:v>1</x:v>
      </x:c>
      <x:c r="I1700" s="34" t="str">
        <x:v>generated design-reference observation; not predicted tract behavior</x:v>
      </x:c>
    </x:row>
    <x:row r="1701" ht="75.5999984741211" hidden="0" customHeight="1">
      <x:c r="A1701" s="36" t="str">
        <x:v>B1</x:v>
      </x:c>
      <x:c r="B1701" s="36" t="str">
        <x:v>48201430400</x:v>
      </x:c>
      <x:c r="C1701" s="66" t="n">
        <x:v>246.5689859297471</x:v>
      </x:c>
      <x:c r="D1701" s="66" t="n">
        <x:v>150.65365040307546</x:v>
      </x:c>
      <x:c r="E1701" s="66" t="n">
        <x:v>95.91533552667164</x:v>
      </x:c>
      <x:c r="F1701" s="66" t="n">
        <x:v>95.91533552667164</x:v>
      </x:c>
      <x:c r="G1701" s="66" t="n">
        <x:v>246.5689859297471</x:v>
      </x:c>
      <x:c r="H1701" s="45" t="n">
        <x:v>1</x:v>
      </x:c>
      <x:c r="I1701" s="36" t="str">
        <x:v>generated design-reference observation; not predicted tract behavior</x:v>
      </x:c>
    </x:row>
    <x:row r="1702" ht="75.5999984741211" hidden="0" customHeight="1">
      <x:c r="A1702" s="34" t="str">
        <x:v>B1</x:v>
      </x:c>
      <x:c r="B1702" s="34" t="str">
        <x:v>48201430500</x:v>
      </x:c>
      <x:c r="C1702" s="65" t="n">
        <x:v>183.56704180081513</x:v>
      </x:c>
      <x:c r="D1702" s="65" t="n">
        <x:v>108.18736601044591</x:v>
      </x:c>
      <x:c r="E1702" s="65" t="n">
        <x:v>75.37967579036922</x:v>
      </x:c>
      <x:c r="F1702" s="65" t="n">
        <x:v>75.37967579036922</x:v>
      </x:c>
      <x:c r="G1702" s="65" t="n">
        <x:v>183.56704180081513</x:v>
      </x:c>
      <x:c r="H1702" s="43" t="n">
        <x:v>1</x:v>
      </x:c>
      <x:c r="I1702" s="34" t="str">
        <x:v>generated design-reference observation; not predicted tract behavior</x:v>
      </x:c>
    </x:row>
    <x:row r="1703" ht="75.5999984741211" hidden="0" customHeight="1">
      <x:c r="A1703" s="36" t="str">
        <x:v>B1</x:v>
      </x:c>
      <x:c r="B1703" s="36" t="str">
        <x:v>48201430600</x:v>
      </x:c>
      <x:c r="C1703" s="66" t="n">
        <x:v>303.94351089746203</x:v>
      </x:c>
      <x:c r="D1703" s="66" t="n">
        <x:v>185.7094851583493</x:v>
      </x:c>
      <x:c r="E1703" s="66" t="n">
        <x:v>118.23402573911272</x:v>
      </x:c>
      <x:c r="F1703" s="66" t="n">
        <x:v>118.23402573911272</x:v>
      </x:c>
      <x:c r="G1703" s="66" t="n">
        <x:v>303.94351089746203</x:v>
      </x:c>
      <x:c r="H1703" s="45" t="n">
        <x:v>1</x:v>
      </x:c>
      <x:c r="I1703" s="36" t="str">
        <x:v>generated design-reference observation; not predicted tract behavior</x:v>
      </x:c>
    </x:row>
    <x:row r="1704" ht="75.5999984741211" hidden="0" customHeight="1">
      <x:c r="A1704" s="34" t="str">
        <x:v>B1</x:v>
      </x:c>
      <x:c r="B1704" s="34" t="str">
        <x:v>48201430700</x:v>
      </x:c>
      <x:c r="C1704" s="65" t="n">
        <x:v>312.75796702777603</x:v>
      </x:c>
      <x:c r="D1704" s="65" t="n">
        <x:v>166.69894355047325</x:v>
      </x:c>
      <x:c r="E1704" s="65" t="n">
        <x:v>146.0590234773028</x:v>
      </x:c>
      <x:c r="F1704" s="65" t="n">
        <x:v>146.0590234773028</x:v>
      </x:c>
      <x:c r="G1704" s="65" t="n">
        <x:v>312.75796702777603</x:v>
      </x:c>
      <x:c r="H1704" s="43" t="n">
        <x:v>1</x:v>
      </x:c>
      <x:c r="I1704" s="34" t="str">
        <x:v>generated design-reference observation; not predicted tract behavior</x:v>
      </x:c>
    </x:row>
    <x:row r="1705" ht="75.5999984741211" hidden="0" customHeight="1">
      <x:c r="A1705" s="36" t="str">
        <x:v>B1</x:v>
      </x:c>
      <x:c r="B1705" s="36" t="str">
        <x:v>48201430800</x:v>
      </x:c>
      <x:c r="C1705" s="66" t="n">
        <x:v>517.9426295030706</x:v>
      </x:c>
      <x:c r="D1705" s="66" t="n">
        <x:v>286.2510729471967</x:v>
      </x:c>
      <x:c r="E1705" s="66" t="n">
        <x:v>231.69155655587394</x:v>
      </x:c>
      <x:c r="F1705" s="66" t="n">
        <x:v>193.755400744579</x:v>
      </x:c>
      <x:c r="G1705" s="66" t="n">
        <x:v>480.0064736917757</x:v>
      </x:c>
      <x:c r="H1705" s="45" t="n">
        <x:v>0.926756065922413</x:v>
      </x:c>
      <x:c r="I1705" s="36" t="str">
        <x:v>generated design-reference observation; not predicted tract behavior</x:v>
      </x:c>
    </x:row>
    <x:row r="1706" ht="75.5999984741211" hidden="0" customHeight="1">
      <x:c r="A1706" s="34" t="str">
        <x:v>B1</x:v>
      </x:c>
      <x:c r="B1706" s="34" t="str">
        <x:v>48201430900</x:v>
      </x:c>
      <x:c r="C1706" s="65" t="n">
        <x:v>444.71937445352046</x:v>
      </x:c>
      <x:c r="D1706" s="65" t="n">
        <x:v>257.4659378977172</x:v>
      </x:c>
      <x:c r="E1706" s="65" t="n">
        <x:v>187.25343655580326</x:v>
      </x:c>
      <x:c r="F1706" s="65" t="n">
        <x:v>187.25343655580326</x:v>
      </x:c>
      <x:c r="G1706" s="65" t="n">
        <x:v>444.71937445352046</x:v>
      </x:c>
      <x:c r="H1706" s="43" t="n">
        <x:v>1</x:v>
      </x:c>
      <x:c r="I1706" s="34" t="str">
        <x:v>generated design-reference observation; not predicted tract behavior</x:v>
      </x:c>
    </x:row>
    <x:row r="1707" ht="75.5999984741211" hidden="0" customHeight="1">
      <x:c r="A1707" s="36" t="str">
        <x:v>B1</x:v>
      </x:c>
      <x:c r="B1707" s="36" t="str">
        <x:v>48201431001</x:v>
      </x:c>
      <x:c r="C1707" s="66" t="n">
        <x:v>207.57002799963723</x:v>
      </x:c>
      <x:c r="D1707" s="66" t="n">
        <x:v>123.73623208731446</x:v>
      </x:c>
      <x:c r="E1707" s="66" t="n">
        <x:v>83.83379591232277</x:v>
      </x:c>
      <x:c r="F1707" s="66" t="n">
        <x:v>27.422817175385504</x:v>
      </x:c>
      <x:c r="G1707" s="66" t="n">
        <x:v>151.15904926269997</x:v>
      </x:c>
      <x:c r="H1707" s="45" t="n">
        <x:v>0.728231579093703</x:v>
      </x:c>
      <x:c r="I1707" s="36" t="str">
        <x:v>generated design-reference observation; not predicted tract behavior</x:v>
      </x:c>
    </x:row>
    <x:row r="1708" ht="75.5999984741211" hidden="0" customHeight="1">
      <x:c r="A1708" s="34" t="str">
        <x:v>B1</x:v>
      </x:c>
      <x:c r="B1708" s="34" t="str">
        <x:v>48201431002</x:v>
      </x:c>
      <x:c r="C1708" s="65" t="n">
        <x:v>241.95544536042536</x:v>
      </x:c>
      <x:c r="D1708" s="65" t="n">
        <x:v>144.75392794983273</x:v>
      </x:c>
      <x:c r="E1708" s="65" t="n">
        <x:v>97.20151741059263</x:v>
      </x:c>
      <x:c r="F1708" s="65" t="n">
        <x:v>97.20151741059263</x:v>
      </x:c>
      <x:c r="G1708" s="65" t="n">
        <x:v>241.95544536042536</x:v>
      </x:c>
      <x:c r="H1708" s="43" t="n">
        <x:v>1</x:v>
      </x:c>
      <x:c r="I1708" s="34" t="str">
        <x:v>generated design-reference observation; not predicted tract behavior</x:v>
      </x:c>
    </x:row>
    <x:row r="1709" ht="75.5999984741211" hidden="0" customHeight="1">
      <x:c r="A1709" s="36" t="str">
        <x:v>B1</x:v>
      </x:c>
      <x:c r="B1709" s="36" t="str">
        <x:v>48201431101</x:v>
      </x:c>
      <x:c r="C1709" s="66" t="n">
        <x:v>454.43767584017513</x:v>
      </x:c>
      <x:c r="D1709" s="66" t="n">
        <x:v>256.830187732982</x:v>
      </x:c>
      <x:c r="E1709" s="66" t="n">
        <x:v>197.60748810719315</x:v>
      </x:c>
      <x:c r="F1709" s="66" t="n">
        <x:v>197.60748810719315</x:v>
      </x:c>
      <x:c r="G1709" s="66" t="n">
        <x:v>454.43767584017513</x:v>
      </x:c>
      <x:c r="H1709" s="45" t="n">
        <x:v>1</x:v>
      </x:c>
      <x:c r="I1709" s="36" t="str">
        <x:v>generated design-reference observation; not predicted tract behavior</x:v>
      </x:c>
    </x:row>
    <x:row r="1710" ht="75.5999984741211" hidden="0" customHeight="1">
      <x:c r="A1710" s="34" t="str">
        <x:v>B1</x:v>
      </x:c>
      <x:c r="B1710" s="34" t="str">
        <x:v>48201431102</x:v>
      </x:c>
      <x:c r="C1710" s="65" t="n">
        <x:v>331.46756383402885</x:v>
      </x:c>
      <x:c r="D1710" s="65" t="n">
        <x:v>180.02192952307408</x:v>
      </x:c>
      <x:c r="E1710" s="65" t="n">
        <x:v>151.44563431095477</x:v>
      </x:c>
      <x:c r="F1710" s="65" t="n">
        <x:v>151.44563431095477</x:v>
      </x:c>
      <x:c r="G1710" s="65" t="n">
        <x:v>331.46756383402885</x:v>
      </x:c>
      <x:c r="H1710" s="43" t="n">
        <x:v>1</x:v>
      </x:c>
      <x:c r="I1710" s="34" t="str">
        <x:v>generated design-reference observation; not predicted tract behavior</x:v>
      </x:c>
    </x:row>
    <x:row r="1711" ht="75.5999984741211" hidden="0" customHeight="1">
      <x:c r="A1711" s="36" t="str">
        <x:v>B1</x:v>
      </x:c>
      <x:c r="B1711" s="36" t="str">
        <x:v>48201431203</x:v>
      </x:c>
      <x:c r="C1711" s="66" t="n">
        <x:v>158.69950796549324</x:v>
      </x:c>
      <x:c r="D1711" s="66" t="n">
        <x:v>88.1563955920947</x:v>
      </x:c>
      <x:c r="E1711" s="66" t="n">
        <x:v>70.54311237339854</x:v>
      </x:c>
      <x:c r="F1711" s="66" t="n">
        <x:v>70.54311237339854</x:v>
      </x:c>
      <x:c r="G1711" s="66" t="n">
        <x:v>158.69950796549324</x:v>
      </x:c>
      <x:c r="H1711" s="45" t="n">
        <x:v>1</x:v>
      </x:c>
      <x:c r="I1711" s="36" t="str">
        <x:v>generated design-reference observation; not predicted tract behavior</x:v>
      </x:c>
    </x:row>
    <x:row r="1712" ht="75.5999984741211" hidden="0" customHeight="1">
      <x:c r="A1712" s="34" t="str">
        <x:v>B1</x:v>
      </x:c>
      <x:c r="B1712" s="34" t="str">
        <x:v>48201431204</x:v>
      </x:c>
      <x:c r="C1712" s="65" t="n">
        <x:v>254.78611823847942</x:v>
      </x:c>
      <x:c r="D1712" s="65" t="n">
        <x:v>135.57877992265438</x:v>
      </x:c>
      <x:c r="E1712" s="65" t="n">
        <x:v>119.20733831582504</x:v>
      </x:c>
      <x:c r="F1712" s="65" t="n">
        <x:v>119.20733831582504</x:v>
      </x:c>
      <x:c r="G1712" s="65" t="n">
        <x:v>254.78611823847942</x:v>
      </x:c>
      <x:c r="H1712" s="43" t="n">
        <x:v>1</x:v>
      </x:c>
      <x:c r="I1712" s="34" t="str">
        <x:v>generated design-reference observation; not predicted tract behavior</x:v>
      </x:c>
    </x:row>
    <x:row r="1713" ht="75.5999984741211" hidden="0" customHeight="1">
      <x:c r="A1713" s="36" t="str">
        <x:v>B1</x:v>
      </x:c>
      <x:c r="B1713" s="36" t="str">
        <x:v>48201431205</x:v>
      </x:c>
      <x:c r="C1713" s="66" t="n">
        <x:v>283.41836405455956</x:v>
      </x:c>
      <x:c r="D1713" s="66" t="n">
        <x:v>156.92775758855274</x:v>
      </x:c>
      <x:c r="E1713" s="66" t="n">
        <x:v>126.49060646600682</x:v>
      </x:c>
      <x:c r="F1713" s="66" t="n">
        <x:v>126.49060646600682</x:v>
      </x:c>
      <x:c r="G1713" s="66" t="n">
        <x:v>283.41836405455956</x:v>
      </x:c>
      <x:c r="H1713" s="45" t="n">
        <x:v>1</x:v>
      </x:c>
      <x:c r="I1713" s="36" t="str">
        <x:v>generated design-reference observation; not predicted tract behavior</x:v>
      </x:c>
    </x:row>
    <x:row r="1714" ht="75.5999984741211" hidden="0" customHeight="1">
      <x:c r="A1714" s="34" t="str">
        <x:v>B1</x:v>
      </x:c>
      <x:c r="B1714" s="34" t="str">
        <x:v>48201431206</x:v>
      </x:c>
      <x:c r="C1714" s="65" t="n">
        <x:v>141.66791952644687</x:v>
      </x:c>
      <x:c r="D1714" s="65" t="n">
        <x:v>72.73625384233006</x:v>
      </x:c>
      <x:c r="E1714" s="65" t="n">
        <x:v>68.93166568411681</x:v>
      </x:c>
      <x:c r="F1714" s="65" t="n">
        <x:v>68.93166568411681</x:v>
      </x:c>
      <x:c r="G1714" s="65" t="n">
        <x:v>141.66791952644687</x:v>
      </x:c>
      <x:c r="H1714" s="43" t="n">
        <x:v>1</x:v>
      </x:c>
      <x:c r="I1714" s="34" t="str">
        <x:v>generated design-reference observation; not predicted tract behavior</x:v>
      </x:c>
    </x:row>
    <x:row r="1715" ht="75.5999984741211" hidden="0" customHeight="1">
      <x:c r="A1715" s="36" t="str">
        <x:v>B1</x:v>
      </x:c>
      <x:c r="B1715" s="36" t="str">
        <x:v>48201431302</x:v>
      </x:c>
      <x:c r="C1715" s="66" t="n">
        <x:v>346.2906260380165</x:v>
      </x:c>
      <x:c r="D1715" s="66" t="n">
        <x:v>199.49859838598204</x:v>
      </x:c>
      <x:c r="E1715" s="66" t="n">
        <x:v>146.79202765203448</x:v>
      </x:c>
      <x:c r="F1715" s="66" t="n">
        <x:v>146.79202765203448</x:v>
      </x:c>
      <x:c r="G1715" s="66" t="n">
        <x:v>346.2906260380165</x:v>
      </x:c>
      <x:c r="H1715" s="45" t="n">
        <x:v>1</x:v>
      </x:c>
      <x:c r="I1715" s="36" t="str">
        <x:v>generated design-reference observation; not predicted tract behavior</x:v>
      </x:c>
    </x:row>
    <x:row r="1716" ht="75.5999984741211" hidden="0" customHeight="1">
      <x:c r="A1716" s="34" t="str">
        <x:v>B1</x:v>
      </x:c>
      <x:c r="B1716" s="34" t="str">
        <x:v>48201431303</x:v>
      </x:c>
      <x:c r="C1716" s="65" t="n">
        <x:v>130.85321454623096</x:v>
      </x:c>
      <x:c r="D1716" s="65" t="n">
        <x:v>71.8038944616624</x:v>
      </x:c>
      <x:c r="E1716" s="65" t="n">
        <x:v>59.04932008456856</x:v>
      </x:c>
      <x:c r="F1716" s="65" t="n">
        <x:v>59.04932008456856</x:v>
      </x:c>
      <x:c r="G1716" s="65" t="n">
        <x:v>130.85321454623096</x:v>
      </x:c>
      <x:c r="H1716" s="43" t="n">
        <x:v>1</x:v>
      </x:c>
      <x:c r="I1716" s="34" t="str">
        <x:v>generated design-reference observation; not predicted tract behavior</x:v>
      </x:c>
    </x:row>
    <x:row r="1717" ht="75.5999984741211" hidden="0" customHeight="1">
      <x:c r="A1717" s="36" t="str">
        <x:v>B1</x:v>
      </x:c>
      <x:c r="B1717" s="36" t="str">
        <x:v>48201431304</x:v>
      </x:c>
      <x:c r="C1717" s="66" t="n">
        <x:v>250.76990149073936</x:v>
      </x:c>
      <x:c r="D1717" s="66" t="n">
        <x:v>136.5728188039894</x:v>
      </x:c>
      <x:c r="E1717" s="66" t="n">
        <x:v>114.19708268674995</x:v>
      </x:c>
      <x:c r="F1717" s="66" t="n">
        <x:v>114.19708268674995</x:v>
      </x:c>
      <x:c r="G1717" s="66" t="n">
        <x:v>250.76990149073936</x:v>
      </x:c>
      <x:c r="H1717" s="45" t="n">
        <x:v>1</x:v>
      </x:c>
      <x:c r="I1717" s="36" t="str">
        <x:v>generated design-reference observation; not predicted tract behavior</x:v>
      </x:c>
    </x:row>
    <x:row r="1718" ht="75.5999984741211" hidden="0" customHeight="1">
      <x:c r="A1718" s="34" t="str">
        <x:v>B1</x:v>
      </x:c>
      <x:c r="B1718" s="34" t="str">
        <x:v>48201431401</x:v>
      </x:c>
      <x:c r="C1718" s="65" t="n">
        <x:v>216.97787818954893</x:v>
      </x:c>
      <x:c r="D1718" s="65" t="n">
        <x:v>115.30881792028795</x:v>
      </x:c>
      <x:c r="E1718" s="65" t="n">
        <x:v>101.66906026926098</x:v>
      </x:c>
      <x:c r="F1718" s="65" t="n">
        <x:v>101.66906026926097</x:v>
      </x:c>
      <x:c r="G1718" s="65" t="n">
        <x:v>216.9778781895489</x:v>
      </x:c>
      <x:c r="H1718" s="43" t="n">
        <x:v>0.9999999999999999</x:v>
      </x:c>
      <x:c r="I1718" s="34" t="str">
        <x:v>generated design-reference observation; not predicted tract behavior</x:v>
      </x:c>
    </x:row>
    <x:row r="1719" ht="75.5999984741211" hidden="0" customHeight="1">
      <x:c r="A1719" s="36" t="str">
        <x:v>B1</x:v>
      </x:c>
      <x:c r="B1719" s="36" t="str">
        <x:v>48201431403</x:v>
      </x:c>
      <x:c r="C1719" s="66" t="n">
        <x:v>142.3124004918376</x:v>
      </x:c>
      <x:c r="D1719" s="66" t="n">
        <x:v>81.02198684463964</x:v>
      </x:c>
      <x:c r="E1719" s="66" t="n">
        <x:v>61.29041364719795</x:v>
      </x:c>
      <x:c r="F1719" s="66" t="n">
        <x:v>61.29041364719795</x:v>
      </x:c>
      <x:c r="G1719" s="66" t="n">
        <x:v>142.3124004918376</x:v>
      </x:c>
      <x:c r="H1719" s="45" t="n">
        <x:v>1</x:v>
      </x:c>
      <x:c r="I1719" s="36" t="str">
        <x:v>generated design-reference observation; not predicted tract behavior</x:v>
      </x:c>
    </x:row>
    <x:row r="1720" ht="75.5999984741211" hidden="0" customHeight="1">
      <x:c r="A1720" s="34" t="str">
        <x:v>B1</x:v>
      </x:c>
      <x:c r="B1720" s="34" t="str">
        <x:v>48201431404</x:v>
      </x:c>
      <x:c r="C1720" s="65" t="n">
        <x:v>165.17575571527365</x:v>
      </x:c>
      <x:c r="D1720" s="65" t="n">
        <x:v>93.82891588391084</x:v>
      </x:c>
      <x:c r="E1720" s="65" t="n">
        <x:v>71.34683983136281</x:v>
      </x:c>
      <x:c r="F1720" s="65" t="n">
        <x:v>71.34683983136281</x:v>
      </x:c>
      <x:c r="G1720" s="65" t="n">
        <x:v>165.17575571527365</x:v>
      </x:c>
      <x:c r="H1720" s="43" t="n">
        <x:v>1</x:v>
      </x:c>
      <x:c r="I1720" s="34" t="str">
        <x:v>generated design-reference observation; not predicted tract behavior</x:v>
      </x:c>
    </x:row>
    <x:row r="1721" ht="75.5999984741211" hidden="0" customHeight="1">
      <x:c r="A1721" s="36" t="str">
        <x:v>B1</x:v>
      </x:c>
      <x:c r="B1721" s="36" t="str">
        <x:v>48201431503</x:v>
      </x:c>
      <x:c r="C1721" s="66" t="n">
        <x:v>182.75751083209258</x:v>
      </x:c>
      <x:c r="D1721" s="66" t="n">
        <x:v>93.49447395946565</x:v>
      </x:c>
      <x:c r="E1721" s="66" t="n">
        <x:v>89.26303687262693</x:v>
      </x:c>
      <x:c r="F1721" s="66" t="n">
        <x:v>14.073638512602347</x:v>
      </x:c>
      <x:c r="G1721" s="66" t="n">
        <x:v>107.568112472068</x:v>
      </x:c>
      <x:c r="H1721" s="45" t="n">
        <x:v>0.5885838124097432</x:v>
      </x:c>
      <x:c r="I1721" s="36" t="str">
        <x:v>generated design-reference observation; not predicted tract behavior</x:v>
      </x:c>
    </x:row>
    <x:row r="1722" ht="75.5999984741211" hidden="0" customHeight="1">
      <x:c r="A1722" s="34" t="str">
        <x:v>B1</x:v>
      </x:c>
      <x:c r="B1722" s="34" t="str">
        <x:v>48201431504</x:v>
      </x:c>
      <x:c r="C1722" s="65" t="n">
        <x:v>198.07572304607567</x:v>
      </x:c>
      <x:c r="D1722" s="65" t="n">
        <x:v>118.28409470308841</x:v>
      </x:c>
      <x:c r="E1722" s="65" t="n">
        <x:v>79.79162834298725</x:v>
      </x:c>
      <x:c r="F1722" s="65" t="n">
        <x:v>79.79162834298725</x:v>
      </x:c>
      <x:c r="G1722" s="65" t="n">
        <x:v>198.07572304607567</x:v>
      </x:c>
      <x:c r="H1722" s="43" t="n">
        <x:v>1</x:v>
      </x:c>
      <x:c r="I1722" s="34" t="str">
        <x:v>generated design-reference observation; not predicted tract behavior</x:v>
      </x:c>
    </x:row>
    <x:row r="1723" ht="75.5999984741211" hidden="0" customHeight="1">
      <x:c r="A1723" s="36" t="str">
        <x:v>B1</x:v>
      </x:c>
      <x:c r="B1723" s="36" t="str">
        <x:v>48201431505</x:v>
      </x:c>
      <x:c r="C1723" s="66" t="n">
        <x:v>121.80690245885566</x:v>
      </x:c>
      <x:c r="D1723" s="66" t="n">
        <x:v>71.4906219847458</x:v>
      </x:c>
      <x:c r="E1723" s="66" t="n">
        <x:v>50.31628047410986</x:v>
      </x:c>
      <x:c r="F1723" s="66" t="n">
        <x:v>50.31628047410986</x:v>
      </x:c>
      <x:c r="G1723" s="66" t="n">
        <x:v>121.80690245885566</x:v>
      </x:c>
      <x:c r="H1723" s="45" t="n">
        <x:v>1</x:v>
      </x:c>
      <x:c r="I1723" s="36" t="str">
        <x:v>generated design-reference observation; not predicted tract behavior</x:v>
      </x:c>
    </x:row>
    <x:row r="1724" ht="75.5999984741211" hidden="0" customHeight="1">
      <x:c r="A1724" s="34" t="str">
        <x:v>B1</x:v>
      </x:c>
      <x:c r="B1724" s="34" t="str">
        <x:v>48201431506</x:v>
      </x:c>
      <x:c r="C1724" s="65" t="n">
        <x:v>227.28171411183305</x:v>
      </x:c>
      <x:c r="D1724" s="65" t="n">
        <x:v>125.49082196415654</x:v>
      </x:c>
      <x:c r="E1724" s="65" t="n">
        <x:v>101.79089214767652</x:v>
      </x:c>
      <x:c r="F1724" s="65" t="n">
        <x:v>101.79089214767652</x:v>
      </x:c>
      <x:c r="G1724" s="65" t="n">
        <x:v>227.28171411183305</x:v>
      </x:c>
      <x:c r="H1724" s="43" t="n">
        <x:v>1</x:v>
      </x:c>
      <x:c r="I1724" s="34" t="str">
        <x:v>generated design-reference observation; not predicted tract behavior</x:v>
      </x:c>
    </x:row>
    <x:row r="1725" ht="75.5999984741211" hidden="0" customHeight="1">
      <x:c r="A1725" s="36" t="str">
        <x:v>B1</x:v>
      </x:c>
      <x:c r="B1725" s="36" t="str">
        <x:v>48201431600</x:v>
      </x:c>
      <x:c r="C1725" s="66" t="n">
        <x:v>288.7903486868107</x:v>
      </x:c>
      <x:c r="D1725" s="66" t="n">
        <x:v>165.5635069021486</x:v>
      </x:c>
      <x:c r="E1725" s="66" t="n">
        <x:v>123.22684178466213</x:v>
      </x:c>
      <x:c r="F1725" s="66" t="n">
        <x:v>123.22684178466213</x:v>
      </x:c>
      <x:c r="G1725" s="66" t="n">
        <x:v>288.7903486868107</x:v>
      </x:c>
      <x:c r="H1725" s="45" t="n">
        <x:v>1</x:v>
      </x:c>
      <x:c r="I1725" s="36" t="str">
        <x:v>generated design-reference observation; not predicted tract behavior</x:v>
      </x:c>
    </x:row>
    <x:row r="1726" ht="75.5999984741211" hidden="0" customHeight="1">
      <x:c r="A1726" s="34" t="str">
        <x:v>B1</x:v>
      </x:c>
      <x:c r="B1726" s="34" t="str">
        <x:v>48201431701</x:v>
      </x:c>
      <x:c r="C1726" s="65" t="n">
        <x:v>162.42492232641055</x:v>
      </x:c>
      <x:c r="D1726" s="65" t="n">
        <x:v>87.83854370255564</x:v>
      </x:c>
      <x:c r="E1726" s="65" t="n">
        <x:v>74.58637862385491</x:v>
      </x:c>
      <x:c r="F1726" s="65" t="n">
        <x:v>0</x:v>
      </x:c>
      <x:c r="G1726" s="65" t="n">
        <x:v>87.83854370255564</x:v>
      </x:c>
      <x:c r="H1726" s="43" t="n">
        <x:v>0.5407947403910992</x:v>
      </x:c>
      <x:c r="I1726" s="34" t="str">
        <x:v>generated design-reference observation; not predicted tract behavior</x:v>
      </x:c>
    </x:row>
    <x:row r="1727" ht="75.5999984741211" hidden="0" customHeight="1">
      <x:c r="A1727" s="36" t="str">
        <x:v>B1</x:v>
      </x:c>
      <x:c r="B1727" s="36" t="str">
        <x:v>48201431702</x:v>
      </x:c>
      <x:c r="C1727" s="66" t="n">
        <x:v>229.16014034022808</x:v>
      </x:c>
      <x:c r="D1727" s="66" t="n">
        <x:v>131.86972211166986</x:v>
      </x:c>
      <x:c r="E1727" s="66" t="n">
        <x:v>97.29041822855822</x:v>
      </x:c>
      <x:c r="F1727" s="66" t="n">
        <x:v>97.29041822855822</x:v>
      </x:c>
      <x:c r="G1727" s="66" t="n">
        <x:v>229.16014034022808</x:v>
      </x:c>
      <x:c r="H1727" s="45" t="n">
        <x:v>1</x:v>
      </x:c>
      <x:c r="I1727" s="36" t="str">
        <x:v>generated design-reference observation; not predicted tract behavior</x:v>
      </x:c>
    </x:row>
    <x:row r="1728" ht="75.5999984741211" hidden="0" customHeight="1">
      <x:c r="A1728" s="34" t="str">
        <x:v>B1</x:v>
      </x:c>
      <x:c r="B1728" s="34" t="str">
        <x:v>48201431801</x:v>
      </x:c>
      <x:c r="C1728" s="65" t="n">
        <x:v>295.8089035903956</x:v>
      </x:c>
      <x:c r="D1728" s="65" t="n">
        <x:v>157.60108930824703</x:v>
      </x:c>
      <x:c r="E1728" s="65" t="n">
        <x:v>138.20781428214855</x:v>
      </x:c>
      <x:c r="F1728" s="65" t="n">
        <x:v>138.20781428214855</x:v>
      </x:c>
      <x:c r="G1728" s="65" t="n">
        <x:v>295.8089035903956</x:v>
      </x:c>
      <x:c r="H1728" s="43" t="n">
        <x:v>1</x:v>
      </x:c>
      <x:c r="I1728" s="34" t="str">
        <x:v>generated design-reference observation; not predicted tract behavior</x:v>
      </x:c>
    </x:row>
    <x:row r="1729" ht="75.5999984741211" hidden="0" customHeight="1">
      <x:c r="A1729" s="36" t="str">
        <x:v>B1</x:v>
      </x:c>
      <x:c r="B1729" s="36" t="str">
        <x:v>48201431803</x:v>
      </x:c>
      <x:c r="C1729" s="66" t="n">
        <x:v>188.927237147114</x:v>
      </x:c>
      <x:c r="D1729" s="66" t="n">
        <x:v>96.94671040973414</x:v>
      </x:c>
      <x:c r="E1729" s="66" t="n">
        <x:v>91.98052673737986</x:v>
      </x:c>
      <x:c r="F1729" s="66" t="n">
        <x:v>91.98052673737986</x:v>
      </x:c>
      <x:c r="G1729" s="66" t="n">
        <x:v>188.927237147114</x:v>
      </x:c>
      <x:c r="H1729" s="45" t="n">
        <x:v>1</x:v>
      </x:c>
      <x:c r="I1729" s="36" t="str">
        <x:v>generated design-reference observation; not predicted tract behavior</x:v>
      </x:c>
    </x:row>
    <x:row r="1730" ht="75.5999984741211" hidden="0" customHeight="1">
      <x:c r="A1730" s="34" t="str">
        <x:v>B1</x:v>
      </x:c>
      <x:c r="B1730" s="34" t="str">
        <x:v>48201431804</x:v>
      </x:c>
      <x:c r="C1730" s="65" t="n">
        <x:v>202.74428028317465</x:v>
      </x:c>
      <x:c r="D1730" s="65" t="n">
        <x:v>99.9548736095509</x:v>
      </x:c>
      <x:c r="E1730" s="65" t="n">
        <x:v>102.78940667362374</x:v>
      </x:c>
      <x:c r="F1730" s="65" t="n">
        <x:v>102.78940667362374</x:v>
      </x:c>
      <x:c r="G1730" s="65" t="n">
        <x:v>202.74428028317465</x:v>
      </x:c>
      <x:c r="H1730" s="43" t="n">
        <x:v>1</x:v>
      </x:c>
      <x:c r="I1730" s="34" t="str">
        <x:v>generated design-reference observation; not predicted tract behavior</x:v>
      </x:c>
    </x:row>
    <x:row r="1731" ht="75.5999984741211" hidden="0" customHeight="1">
      <x:c r="A1731" s="36" t="str">
        <x:v>B1</x:v>
      </x:c>
      <x:c r="B1731" s="36" t="str">
        <x:v>48201431901</x:v>
      </x:c>
      <x:c r="C1731" s="66" t="n">
        <x:v>199.21535402146174</x:v>
      </x:c>
      <x:c r="D1731" s="66" t="n">
        <x:v>98.41827717172103</x:v>
      </x:c>
      <x:c r="E1731" s="66" t="n">
        <x:v>100.7970768497407</x:v>
      </x:c>
      <x:c r="F1731" s="66" t="n">
        <x:v>100.36314695878319</x:v>
      </x:c>
      <x:c r="G1731" s="66" t="n">
        <x:v>198.7814241305042</x:v>
      </x:c>
      <x:c r="H1731" s="45" t="n">
        <x:v>0.9978218049854191</x:v>
      </x:c>
      <x:c r="I1731" s="36" t="str">
        <x:v>generated design-reference observation; not predicted tract behavior</x:v>
      </x:c>
    </x:row>
    <x:row r="1732" ht="75.5999984741211" hidden="0" customHeight="1">
      <x:c r="A1732" s="34" t="str">
        <x:v>B1</x:v>
      </x:c>
      <x:c r="B1732" s="34" t="str">
        <x:v>48201431902</x:v>
      </x:c>
      <x:c r="C1732" s="65" t="n">
        <x:v>195.00264917451725</x:v>
      </x:c>
      <x:c r="D1732" s="65" t="n">
        <x:v>95.99217277700966</x:v>
      </x:c>
      <x:c r="E1732" s="65" t="n">
        <x:v>99.01047639750759</x:v>
      </x:c>
      <x:c r="F1732" s="65" t="n">
        <x:v>99.01047639750759</x:v>
      </x:c>
      <x:c r="G1732" s="65" t="n">
        <x:v>195.00264917451725</x:v>
      </x:c>
      <x:c r="H1732" s="43" t="n">
        <x:v>1</x:v>
      </x:c>
      <x:c r="I1732" s="34" t="str">
        <x:v>generated design-reference observation; not predicted tract behavior</x:v>
      </x:c>
    </x:row>
    <x:row r="1733" ht="75.5999984741211" hidden="0" customHeight="1">
      <x:c r="A1733" s="36" t="str">
        <x:v>B1</x:v>
      </x:c>
      <x:c r="B1733" s="36" t="str">
        <x:v>48201432003</x:v>
      </x:c>
      <x:c r="C1733" s="66" t="n">
        <x:v>142.65821954643755</x:v>
      </x:c>
      <x:c r="D1733" s="66" t="n">
        <x:v>77.71716726166234</x:v>
      </x:c>
      <x:c r="E1733" s="66" t="n">
        <x:v>64.94105228477521</x:v>
      </x:c>
      <x:c r="F1733" s="66" t="n">
        <x:v>64.94105228477521</x:v>
      </x:c>
      <x:c r="G1733" s="66" t="n">
        <x:v>142.65821954643755</x:v>
      </x:c>
      <x:c r="H1733" s="45" t="n">
        <x:v>1</x:v>
      </x:c>
      <x:c r="I1733" s="36" t="str">
        <x:v>generated design-reference observation; not predicted tract behavior</x:v>
      </x:c>
    </x:row>
    <x:row r="1734" ht="75.5999984741211" hidden="0" customHeight="1">
      <x:c r="A1734" s="34" t="str">
        <x:v>B1</x:v>
      </x:c>
      <x:c r="B1734" s="34" t="str">
        <x:v>48201432004</x:v>
      </x:c>
      <x:c r="C1734" s="65" t="n">
        <x:v>160.98662944023366</x:v>
      </x:c>
      <x:c r="D1734" s="65" t="n">
        <x:v>98.21878460176605</x:v>
      </x:c>
      <x:c r="E1734" s="65" t="n">
        <x:v>62.76784483846761</x:v>
      </x:c>
      <x:c r="F1734" s="65" t="n">
        <x:v>62.76784483846761</x:v>
      </x:c>
      <x:c r="G1734" s="65" t="n">
        <x:v>160.98662944023366</x:v>
      </x:c>
      <x:c r="H1734" s="43" t="n">
        <x:v>1</x:v>
      </x:c>
      <x:c r="I1734" s="34" t="str">
        <x:v>generated design-reference observation; not predicted tract behavior</x:v>
      </x:c>
    </x:row>
    <x:row r="1735" ht="75.5999984741211" hidden="0" customHeight="1">
      <x:c r="A1735" s="36" t="str">
        <x:v>B1</x:v>
      </x:c>
      <x:c r="B1735" s="36" t="str">
        <x:v>48201432005</x:v>
      </x:c>
      <x:c r="C1735" s="66" t="n">
        <x:v>292.8930201982008</x:v>
      </x:c>
      <x:c r="D1735" s="66" t="n">
        <x:v>151.16954550086666</x:v>
      </x:c>
      <x:c r="E1735" s="66" t="n">
        <x:v>141.72347469733415</x:v>
      </x:c>
      <x:c r="F1735" s="66" t="n">
        <x:v>141.72347469733415</x:v>
      </x:c>
      <x:c r="G1735" s="66" t="n">
        <x:v>292.8930201982008</x:v>
      </x:c>
      <x:c r="H1735" s="45" t="n">
        <x:v>1</x:v>
      </x:c>
      <x:c r="I1735" s="36" t="str">
        <x:v>generated design-reference observation; not predicted tract behavior</x:v>
      </x:c>
    </x:row>
    <x:row r="1736" ht="75.5999984741211" hidden="0" customHeight="1">
      <x:c r="A1736" s="34" t="str">
        <x:v>B1</x:v>
      </x:c>
      <x:c r="B1736" s="34" t="str">
        <x:v>48201432006</x:v>
      </x:c>
      <x:c r="C1736" s="65" t="n">
        <x:v>182.78894892796535</x:v>
      </x:c>
      <x:c r="D1736" s="65" t="n">
        <x:v>96.16791069924844</x:v>
      </x:c>
      <x:c r="E1736" s="65" t="n">
        <x:v>86.62103822871691</x:v>
      </x:c>
      <x:c r="F1736" s="65" t="n">
        <x:v>86.62103822871691</x:v>
      </x:c>
      <x:c r="G1736" s="65" t="n">
        <x:v>182.78894892796535</x:v>
      </x:c>
      <x:c r="H1736" s="43" t="n">
        <x:v>1</x:v>
      </x:c>
      <x:c r="I1736" s="34" t="str">
        <x:v>generated design-reference observation; not predicted tract behavior</x:v>
      </x:c>
    </x:row>
    <x:row r="1737" ht="75.5999984741211" hidden="0" customHeight="1">
      <x:c r="A1737" s="36" t="str">
        <x:v>B1</x:v>
      </x:c>
      <x:c r="B1737" s="36" t="str">
        <x:v>48201432101</x:v>
      </x:c>
      <x:c r="C1737" s="66" t="n">
        <x:v>253.3674741622229</x:v>
      </x:c>
      <x:c r="D1737" s="66" t="n">
        <x:v>140.2749584079692</x:v>
      </x:c>
      <x:c r="E1737" s="66" t="n">
        <x:v>113.0925157542537</x:v>
      </x:c>
      <x:c r="F1737" s="66" t="n">
        <x:v>113.0925157542537</x:v>
      </x:c>
      <x:c r="G1737" s="66" t="n">
        <x:v>253.3674741622229</x:v>
      </x:c>
      <x:c r="H1737" s="45" t="n">
        <x:v>1</x:v>
      </x:c>
      <x:c r="I1737" s="36" t="str">
        <x:v>generated design-reference observation; not predicted tract behavior</x:v>
      </x:c>
    </x:row>
    <x:row r="1738" ht="75.5999984741211" hidden="0" customHeight="1">
      <x:c r="A1738" s="34" t="str">
        <x:v>B1</x:v>
      </x:c>
      <x:c r="B1738" s="34" t="str">
        <x:v>48201432102</x:v>
      </x:c>
      <x:c r="C1738" s="65" t="n">
        <x:v>386.32311136994207</x:v>
      </x:c>
      <x:c r="D1738" s="65" t="n">
        <x:v>208.16092496302957</x:v>
      </x:c>
      <x:c r="E1738" s="65" t="n">
        <x:v>178.1621864069125</x:v>
      </x:c>
      <x:c r="F1738" s="65" t="n">
        <x:v>178.1621864069125</x:v>
      </x:c>
      <x:c r="G1738" s="65" t="n">
        <x:v>386.32311136994207</x:v>
      </x:c>
      <x:c r="H1738" s="43" t="n">
        <x:v>1</x:v>
      </x:c>
      <x:c r="I1738" s="34" t="str">
        <x:v>generated design-reference observation; not predicted tract behavior</x:v>
      </x:c>
    </x:row>
    <x:row r="1739" ht="75.5999984741211" hidden="0" customHeight="1">
      <x:c r="A1739" s="36" t="str">
        <x:v>B1</x:v>
      </x:c>
      <x:c r="B1739" s="36" t="str">
        <x:v>48201432200</x:v>
      </x:c>
      <x:c r="C1739" s="66" t="n">
        <x:v>309.20153243217453</x:v>
      </x:c>
      <x:c r="D1739" s="66" t="n">
        <x:v>175.4531832548099</x:v>
      </x:c>
      <x:c r="E1739" s="66" t="n">
        <x:v>133.74834917736464</x:v>
      </x:c>
      <x:c r="F1739" s="66" t="n">
        <x:v>102.53360420755544</x:v>
      </x:c>
      <x:c r="G1739" s="66" t="n">
        <x:v>277.9867874623653</x:v>
      </x:c>
      <x:c r="H1739" s="45" t="n">
        <x:v>0.8990472501081269</x:v>
      </x:c>
      <x:c r="I1739" s="36" t="str">
        <x:v>generated design-reference observation; not predicted tract behavior</x:v>
      </x:c>
    </x:row>
    <x:row r="1740" ht="75.5999984741211" hidden="0" customHeight="1">
      <x:c r="A1740" s="34" t="str">
        <x:v>B1</x:v>
      </x:c>
      <x:c r="B1740" s="34" t="str">
        <x:v>48201432301</x:v>
      </x:c>
      <x:c r="C1740" s="65" t="n">
        <x:v>282.8328295189302</x:v>
      </x:c>
      <x:c r="D1740" s="65" t="n">
        <x:v>166.65618638347232</x:v>
      </x:c>
      <x:c r="E1740" s="65" t="n">
        <x:v>116.17664313545791</x:v>
      </x:c>
      <x:c r="F1740" s="65" t="n">
        <x:v>116.17664313545791</x:v>
      </x:c>
      <x:c r="G1740" s="65" t="n">
        <x:v>282.8328295189302</x:v>
      </x:c>
      <x:c r="H1740" s="43" t="n">
        <x:v>1</x:v>
      </x:c>
      <x:c r="I1740" s="34" t="str">
        <x:v>generated design-reference observation; not predicted tract behavior</x:v>
      </x:c>
    </x:row>
    <x:row r="1741" ht="75.5999984741211" hidden="0" customHeight="1">
      <x:c r="A1741" s="36" t="str">
        <x:v>B1</x:v>
      </x:c>
      <x:c r="B1741" s="36" t="str">
        <x:v>48201432302</x:v>
      </x:c>
      <x:c r="C1741" s="66" t="n">
        <x:v>170.0290117656249</x:v>
      </x:c>
      <x:c r="D1741" s="66" t="n">
        <x:v>94.82457975929452</x:v>
      </x:c>
      <x:c r="E1741" s="66" t="n">
        <x:v>75.20443200633036</x:v>
      </x:c>
      <x:c r="F1741" s="66" t="n">
        <x:v>75.20443200633036</x:v>
      </x:c>
      <x:c r="G1741" s="66" t="n">
        <x:v>170.0290117656249</x:v>
      </x:c>
      <x:c r="H1741" s="45" t="n">
        <x:v>1</x:v>
      </x:c>
      <x:c r="I1741" s="36" t="str">
        <x:v>generated design-reference observation; not predicted tract behavior</x:v>
      </x:c>
    </x:row>
    <x:row r="1742" ht="75.5999984741211" hidden="0" customHeight="1">
      <x:c r="A1742" s="34" t="str">
        <x:v>B1</x:v>
      </x:c>
      <x:c r="B1742" s="34" t="str">
        <x:v>48201432303</x:v>
      </x:c>
      <x:c r="C1742" s="65" t="n">
        <x:v>221.4027901836343</x:v>
      </x:c>
      <x:c r="D1742" s="65" t="n">
        <x:v>116.68443105443662</x:v>
      </x:c>
      <x:c r="E1742" s="65" t="n">
        <x:v>104.71835912919768</x:v>
      </x:c>
      <x:c r="F1742" s="65" t="n">
        <x:v>104.71835912919768</x:v>
      </x:c>
      <x:c r="G1742" s="65" t="n">
        <x:v>221.4027901836343</x:v>
      </x:c>
      <x:c r="H1742" s="43" t="n">
        <x:v>1</x:v>
      </x:c>
      <x:c r="I1742" s="34" t="str">
        <x:v>generated design-reference observation; not predicted tract behavior</x:v>
      </x:c>
    </x:row>
    <x:row r="1743" ht="75.5999984741211" hidden="0" customHeight="1">
      <x:c r="A1743" s="36" t="str">
        <x:v>B1</x:v>
      </x:c>
      <x:c r="B1743" s="36" t="str">
        <x:v>48201432401</x:v>
      </x:c>
      <x:c r="C1743" s="66" t="n">
        <x:v>302.1043822889079</x:v>
      </x:c>
      <x:c r="D1743" s="66" t="n">
        <x:v>176.1850052377883</x:v>
      </x:c>
      <x:c r="E1743" s="66" t="n">
        <x:v>125.91937705111962</x:v>
      </x:c>
      <x:c r="F1743" s="66" t="n">
        <x:v>125.91937705111962</x:v>
      </x:c>
      <x:c r="G1743" s="66" t="n">
        <x:v>302.1043822889079</x:v>
      </x:c>
      <x:c r="H1743" s="45" t="n">
        <x:v>1</x:v>
      </x:c>
      <x:c r="I1743" s="36" t="str">
        <x:v>generated design-reference observation; not predicted tract behavior</x:v>
      </x:c>
    </x:row>
    <x:row r="1744" ht="75.5999984741211" hidden="0" customHeight="1">
      <x:c r="A1744" s="34" t="str">
        <x:v>B1</x:v>
      </x:c>
      <x:c r="B1744" s="34" t="str">
        <x:v>48201432402</x:v>
      </x:c>
      <x:c r="C1744" s="65" t="n">
        <x:v>240.21063103948936</x:v>
      </x:c>
      <x:c r="D1744" s="65" t="n">
        <x:v>123.6600499359895</x:v>
      </x:c>
      <x:c r="E1744" s="65" t="n">
        <x:v>116.55058110349985</x:v>
      </x:c>
      <x:c r="F1744" s="65" t="n">
        <x:v>116.55058110349985</x:v>
      </x:c>
      <x:c r="G1744" s="65" t="n">
        <x:v>240.21063103948936</x:v>
      </x:c>
      <x:c r="H1744" s="43" t="n">
        <x:v>1</x:v>
      </x:c>
      <x:c r="I1744" s="34" t="str">
        <x:v>generated design-reference observation; not predicted tract behavior</x:v>
      </x:c>
    </x:row>
    <x:row r="1745" ht="75.5999984741211" hidden="0" customHeight="1">
      <x:c r="A1745" s="36" t="str">
        <x:v>B1</x:v>
      </x:c>
      <x:c r="B1745" s="36" t="str">
        <x:v>48201432501</x:v>
      </x:c>
      <x:c r="C1745" s="66" t="n">
        <x:v>285.11995099367067</x:v>
      </x:c>
      <x:c r="D1745" s="66" t="n">
        <x:v>169.63989084234782</x:v>
      </x:c>
      <x:c r="E1745" s="66" t="n">
        <x:v>115.48006015132285</x:v>
      </x:c>
      <x:c r="F1745" s="66" t="n">
        <x:v>115.48006015132285</x:v>
      </x:c>
      <x:c r="G1745" s="66" t="n">
        <x:v>285.11995099367067</x:v>
      </x:c>
      <x:c r="H1745" s="45" t="n">
        <x:v>1</x:v>
      </x:c>
      <x:c r="I1745" s="36" t="str">
        <x:v>generated design-reference observation; not predicted tract behavior</x:v>
      </x:c>
    </x:row>
    <x:row r="1746" ht="75.5999984741211" hidden="0" customHeight="1">
      <x:c r="A1746" s="34" t="str">
        <x:v>B1</x:v>
      </x:c>
      <x:c r="B1746" s="34" t="str">
        <x:v>48201432502</x:v>
      </x:c>
      <x:c r="C1746" s="65" t="n">
        <x:v>154.79332455330768</x:v>
      </x:c>
      <x:c r="D1746" s="65" t="n">
        <x:v>87.76985915082498</x:v>
      </x:c>
      <x:c r="E1746" s="65" t="n">
        <x:v>67.0234654024827</x:v>
      </x:c>
      <x:c r="F1746" s="65" t="n">
        <x:v>67.0234654024827</x:v>
      </x:c>
      <x:c r="G1746" s="65" t="n">
        <x:v>154.79332455330768</x:v>
      </x:c>
      <x:c r="H1746" s="43" t="n">
        <x:v>1</x:v>
      </x:c>
      <x:c r="I1746" s="34" t="str">
        <x:v>generated design-reference observation; not predicted tract behavior</x:v>
      </x:c>
    </x:row>
    <x:row r="1747" ht="75.5999984741211" hidden="0" customHeight="1">
      <x:c r="A1747" s="36" t="str">
        <x:v>B1</x:v>
      </x:c>
      <x:c r="B1747" s="36" t="str">
        <x:v>48201432600</x:v>
      </x:c>
      <x:c r="C1747" s="66" t="n">
        <x:v>178.8120298000662</x:v>
      </x:c>
      <x:c r="D1747" s="66" t="n">
        <x:v>106.97153738298528</x:v>
      </x:c>
      <x:c r="E1747" s="66" t="n">
        <x:v>71.84049241708092</x:v>
      </x:c>
      <x:c r="F1747" s="66" t="n">
        <x:v>71.84049241708092</x:v>
      </x:c>
      <x:c r="G1747" s="66" t="n">
        <x:v>178.8120298000662</x:v>
      </x:c>
      <x:c r="H1747" s="45" t="n">
        <x:v>1</x:v>
      </x:c>
      <x:c r="I1747" s="36" t="str">
        <x:v>generated design-reference observation; not predicted tract behavior</x:v>
      </x:c>
    </x:row>
    <x:row r="1748" ht="75.5999984741211" hidden="0" customHeight="1">
      <x:c r="A1748" s="34" t="str">
        <x:v>B1</x:v>
      </x:c>
      <x:c r="B1748" s="34" t="str">
        <x:v>48201432703</x:v>
      </x:c>
      <x:c r="C1748" s="65" t="n">
        <x:v>162.83361757275597</x:v>
      </x:c>
      <x:c r="D1748" s="65" t="n">
        <x:v>87.15939969975742</x:v>
      </x:c>
      <x:c r="E1748" s="65" t="n">
        <x:v>75.67421787299855</x:v>
      </x:c>
      <x:c r="F1748" s="65" t="n">
        <x:v>15.555162219401698</x:v>
      </x:c>
      <x:c r="G1748" s="65" t="n">
        <x:v>102.71456191915911</x:v>
      </x:c>
      <x:c r="H1748" s="43" t="n">
        <x:v>0.6307945708647358</x:v>
      </x:c>
      <x:c r="I1748" s="34" t="str">
        <x:v>generated design-reference observation; not predicted tract behavior</x:v>
      </x:c>
    </x:row>
    <x:row r="1749" ht="75.5999984741211" hidden="0" customHeight="1">
      <x:c r="A1749" s="36" t="str">
        <x:v>B1</x:v>
      </x:c>
      <x:c r="B1749" s="36" t="str">
        <x:v>48201432704</x:v>
      </x:c>
      <x:c r="C1749" s="66" t="n">
        <x:v>140.34751949979258</x:v>
      </x:c>
      <x:c r="D1749" s="66" t="n">
        <x:v>74.69812493381836</x:v>
      </x:c>
      <x:c r="E1749" s="66" t="n">
        <x:v>65.64939456597422</x:v>
      </x:c>
      <x:c r="F1749" s="66" t="n">
        <x:v>65.64939456597422</x:v>
      </x:c>
      <x:c r="G1749" s="66" t="n">
        <x:v>140.34751949979258</x:v>
      </x:c>
      <x:c r="H1749" s="45" t="n">
        <x:v>1</x:v>
      </x:c>
      <x:c r="I1749" s="36" t="str">
        <x:v>generated design-reference observation; not predicted tract behavior</x:v>
      </x:c>
    </x:row>
    <x:row r="1750" ht="75.5999984741211" hidden="0" customHeight="1">
      <x:c r="A1750" s="34" t="str">
        <x:v>B1</x:v>
      </x:c>
      <x:c r="B1750" s="34" t="str">
        <x:v>48201432705</x:v>
      </x:c>
      <x:c r="C1750" s="65" t="n">
        <x:v>426.6267502787698</x:v>
      </x:c>
      <x:c r="D1750" s="65" t="n">
        <x:v>225.0368870317793</x:v>
      </x:c>
      <x:c r="E1750" s="65" t="n">
        <x:v>201.58986324699052</x:v>
      </x:c>
      <x:c r="F1750" s="65" t="n">
        <x:v>201.58986324699052</x:v>
      </x:c>
      <x:c r="G1750" s="65" t="n">
        <x:v>426.6267502787698</x:v>
      </x:c>
      <x:c r="H1750" s="43" t="n">
        <x:v>1</x:v>
      </x:c>
      <x:c r="I1750" s="34" t="str">
        <x:v>generated design-reference observation; not predicted tract behavior</x:v>
      </x:c>
    </x:row>
    <x:row r="1751" ht="75.5999984741211" hidden="0" customHeight="1">
      <x:c r="A1751" s="36" t="str">
        <x:v>B1</x:v>
      </x:c>
      <x:c r="B1751" s="36" t="str">
        <x:v>48201432706</x:v>
      </x:c>
      <x:c r="C1751" s="66" t="n">
        <x:v>182.22306320225636</x:v>
      </x:c>
      <x:c r="D1751" s="66" t="n">
        <x:v>102.41082264388618</x:v>
      </x:c>
      <x:c r="E1751" s="66" t="n">
        <x:v>79.81224055837018</x:v>
      </x:c>
      <x:c r="F1751" s="66" t="n">
        <x:v>79.81224055837018</x:v>
      </x:c>
      <x:c r="G1751" s="66" t="n">
        <x:v>182.22306320225636</x:v>
      </x:c>
      <x:c r="H1751" s="45" t="n">
        <x:v>1</x:v>
      </x:c>
      <x:c r="I1751" s="36" t="str">
        <x:v>generated design-reference observation; not predicted tract behavior</x:v>
      </x:c>
    </x:row>
    <x:row r="1752" ht="75.5999984741211" hidden="0" customHeight="1">
      <x:c r="A1752" s="34" t="str">
        <x:v>B1</x:v>
      </x:c>
      <x:c r="B1752" s="34" t="str">
        <x:v>48201432803</x:v>
      </x:c>
      <x:c r="C1752" s="65" t="n">
        <x:v>206.61902559948746</x:v>
      </x:c>
      <x:c r="D1752" s="65" t="n">
        <x:v>117.14941141638937</x:v>
      </x:c>
      <x:c r="E1752" s="65" t="n">
        <x:v>89.46961418309809</x:v>
      </x:c>
      <x:c r="F1752" s="65" t="n">
        <x:v>89.46961418309809</x:v>
      </x:c>
      <x:c r="G1752" s="65" t="n">
        <x:v>206.61902559948746</x:v>
      </x:c>
      <x:c r="H1752" s="43" t="n">
        <x:v>1</x:v>
      </x:c>
      <x:c r="I1752" s="34" t="str">
        <x:v>generated design-reference observation; not predicted tract behavior</x:v>
      </x:c>
    </x:row>
    <x:row r="1753" ht="75.5999984741211" hidden="0" customHeight="1">
      <x:c r="A1753" s="36" t="str">
        <x:v>B1</x:v>
      </x:c>
      <x:c r="B1753" s="36" t="str">
        <x:v>48201432804</x:v>
      </x:c>
      <x:c r="C1753" s="66" t="n">
        <x:v>161.97299969824024</x:v>
      </x:c>
      <x:c r="D1753" s="66" t="n">
        <x:v>95.19441774438059</x:v>
      </x:c>
      <x:c r="E1753" s="66" t="n">
        <x:v>66.77858195385966</x:v>
      </x:c>
      <x:c r="F1753" s="66" t="n">
        <x:v>66.77858195385966</x:v>
      </x:c>
      <x:c r="G1753" s="66" t="n">
        <x:v>161.97299969824024</x:v>
      </x:c>
      <x:c r="H1753" s="45" t="n">
        <x:v>1</x:v>
      </x:c>
      <x:c r="I1753" s="36" t="str">
        <x:v>generated design-reference observation; not predicted tract behavior</x:v>
      </x:c>
    </x:row>
    <x:row r="1754" ht="75.5999984741211" hidden="0" customHeight="1">
      <x:c r="A1754" s="34" t="str">
        <x:v>B1</x:v>
      </x:c>
      <x:c r="B1754" s="34" t="str">
        <x:v>48201432805</x:v>
      </x:c>
      <x:c r="C1754" s="65" t="n">
        <x:v>201.35314454080677</x:v>
      </x:c>
      <x:c r="D1754" s="65" t="n">
        <x:v>115.54922672766122</x:v>
      </x:c>
      <x:c r="E1754" s="65" t="n">
        <x:v>85.80391781314555</x:v>
      </x:c>
      <x:c r="F1754" s="65" t="n">
        <x:v>85.80391781314555</x:v>
      </x:c>
      <x:c r="G1754" s="65" t="n">
        <x:v>201.35314454080677</x:v>
      </x:c>
      <x:c r="H1754" s="43" t="n">
        <x:v>1</x:v>
      </x:c>
      <x:c r="I1754" s="34" t="str">
        <x:v>generated design-reference observation; not predicted tract behavior</x:v>
      </x:c>
    </x:row>
    <x:row r="1755" ht="75.5999984741211" hidden="0" customHeight="1">
      <x:c r="A1755" s="36" t="str">
        <x:v>B1</x:v>
      </x:c>
      <x:c r="B1755" s="36" t="str">
        <x:v>48201432806</x:v>
      </x:c>
      <x:c r="C1755" s="66" t="n">
        <x:v>348.21620941022076</x:v>
      </x:c>
      <x:c r="D1755" s="66" t="n">
        <x:v>190.151894008771</x:v>
      </x:c>
      <x:c r="E1755" s="66" t="n">
        <x:v>158.06431540144976</x:v>
      </x:c>
      <x:c r="F1755" s="66" t="n">
        <x:v>158.06431540144976</x:v>
      </x:c>
      <x:c r="G1755" s="66" t="n">
        <x:v>348.21620941022076</x:v>
      </x:c>
      <x:c r="H1755" s="45" t="n">
        <x:v>1</x:v>
      </x:c>
      <x:c r="I1755" s="36" t="str">
        <x:v>generated design-reference observation; not predicted tract behavior</x:v>
      </x:c>
    </x:row>
    <x:row r="1756" ht="75.5999984741211" hidden="0" customHeight="1">
      <x:c r="A1756" s="34" t="str">
        <x:v>B1</x:v>
      </x:c>
      <x:c r="B1756" s="34" t="str">
        <x:v>48201432901</x:v>
      </x:c>
      <x:c r="C1756" s="65" t="n">
        <x:v>297.39652743196797</x:v>
      </x:c>
      <x:c r="D1756" s="65" t="n">
        <x:v>173.46063339250853</x:v>
      </x:c>
      <x:c r="E1756" s="65" t="n">
        <x:v>123.93589403945944</x:v>
      </x:c>
      <x:c r="F1756" s="65" t="n">
        <x:v>123.93589403945944</x:v>
      </x:c>
      <x:c r="G1756" s="65" t="n">
        <x:v>297.39652743196797</x:v>
      </x:c>
      <x:c r="H1756" s="43" t="n">
        <x:v>1</x:v>
      </x:c>
      <x:c r="I1756" s="34" t="str">
        <x:v>generated design-reference observation; not predicted tract behavior</x:v>
      </x:c>
    </x:row>
    <x:row r="1757" ht="75.5999984741211" hidden="0" customHeight="1">
      <x:c r="A1757" s="36" t="str">
        <x:v>B1</x:v>
      </x:c>
      <x:c r="B1757" s="36" t="str">
        <x:v>48201432903</x:v>
      </x:c>
      <x:c r="C1757" s="66" t="n">
        <x:v>171.21579988482006</x:v>
      </x:c>
      <x:c r="D1757" s="66" t="n">
        <x:v>94.87685136136852</x:v>
      </x:c>
      <x:c r="E1757" s="66" t="n">
        <x:v>76.33894852345153</x:v>
      </x:c>
      <x:c r="F1757" s="66" t="n">
        <x:v>76.33894852345153</x:v>
      </x:c>
      <x:c r="G1757" s="66" t="n">
        <x:v>171.21579988482006</x:v>
      </x:c>
      <x:c r="H1757" s="45" t="n">
        <x:v>1</x:v>
      </x:c>
      <x:c r="I1757" s="36" t="str">
        <x:v>generated design-reference observation; not predicted tract behavior</x:v>
      </x:c>
    </x:row>
    <x:row r="1758" ht="75.5999984741211" hidden="0" customHeight="1">
      <x:c r="A1758" s="34" t="str">
        <x:v>B1</x:v>
      </x:c>
      <x:c r="B1758" s="34" t="str">
        <x:v>48201432904</x:v>
      </x:c>
      <x:c r="C1758" s="65" t="n">
        <x:v>311.4532860490581</x:v>
      </x:c>
      <x:c r="D1758" s="65" t="n">
        <x:v>182.46215951461085</x:v>
      </x:c>
      <x:c r="E1758" s="65" t="n">
        <x:v>128.99112653444723</x:v>
      </x:c>
      <x:c r="F1758" s="65" t="n">
        <x:v>128.99112653444723</x:v>
      </x:c>
      <x:c r="G1758" s="65" t="n">
        <x:v>311.4532860490581</x:v>
      </x:c>
      <x:c r="H1758" s="43" t="n">
        <x:v>1</x:v>
      </x:c>
      <x:c r="I1758" s="34" t="str">
        <x:v>generated design-reference observation; not predicted tract behavior</x:v>
      </x:c>
    </x:row>
    <x:row r="1759" ht="75.5999984741211" hidden="0" customHeight="1">
      <x:c r="A1759" s="36" t="str">
        <x:v>B1</x:v>
      </x:c>
      <x:c r="B1759" s="36" t="str">
        <x:v>48201433003</x:v>
      </x:c>
      <x:c r="C1759" s="66" t="n">
        <x:v>450.633666239576</x:v>
      </x:c>
      <x:c r="D1759" s="66" t="n">
        <x:v>259.26158374517354</x:v>
      </x:c>
      <x:c r="E1759" s="66" t="n">
        <x:v>191.37208249440243</x:v>
      </x:c>
      <x:c r="F1759" s="66" t="n">
        <x:v>191.37208249440243</x:v>
      </x:c>
      <x:c r="G1759" s="66" t="n">
        <x:v>450.633666239576</x:v>
      </x:c>
      <x:c r="H1759" s="45" t="n">
        <x:v>1</x:v>
      </x:c>
      <x:c r="I1759" s="36" t="str">
        <x:v>generated design-reference observation; not predicted tract behavior</x:v>
      </x:c>
    </x:row>
    <x:row r="1760" ht="75.5999984741211" hidden="0" customHeight="1">
      <x:c r="A1760" s="34" t="str">
        <x:v>B1</x:v>
      </x:c>
      <x:c r="B1760" s="34" t="str">
        <x:v>48201433004</x:v>
      </x:c>
      <x:c r="C1760" s="65" t="n">
        <x:v>180.1088512548159</x:v>
      </x:c>
      <x:c r="D1760" s="65" t="n">
        <x:v>102.97053935021485</x:v>
      </x:c>
      <x:c r="E1760" s="65" t="n">
        <x:v>77.13831190460105</x:v>
      </x:c>
      <x:c r="F1760" s="65" t="n">
        <x:v>77.13831190460105</x:v>
      </x:c>
      <x:c r="G1760" s="65" t="n">
        <x:v>180.1088512548159</x:v>
      </x:c>
      <x:c r="H1760" s="43" t="n">
        <x:v>1</x:v>
      </x:c>
      <x:c r="I1760" s="34" t="str">
        <x:v>generated design-reference observation; not predicted tract behavior</x:v>
      </x:c>
    </x:row>
    <x:row r="1761" ht="75.5999984741211" hidden="0" customHeight="1">
      <x:c r="A1761" s="36" t="str">
        <x:v>B1</x:v>
      </x:c>
      <x:c r="B1761" s="36" t="str">
        <x:v>48201433005</x:v>
      </x:c>
      <x:c r="C1761" s="66" t="n">
        <x:v>173.7033392207491</x:v>
      </x:c>
      <x:c r="D1761" s="66" t="n">
        <x:v>96.75356786846523</x:v>
      </x:c>
      <x:c r="E1761" s="66" t="n">
        <x:v>76.94977135228386</x:v>
      </x:c>
      <x:c r="F1761" s="66" t="n">
        <x:v>76.94977135228386</x:v>
      </x:c>
      <x:c r="G1761" s="66" t="n">
        <x:v>173.7033392207491</x:v>
      </x:c>
      <x:c r="H1761" s="45" t="n">
        <x:v>1</x:v>
      </x:c>
      <x:c r="I1761" s="36" t="str">
        <x:v>generated design-reference observation; not predicted tract behavior</x:v>
      </x:c>
    </x:row>
    <x:row r="1762" ht="75.5999984741211" hidden="0" customHeight="1">
      <x:c r="A1762" s="34" t="str">
        <x:v>B1</x:v>
      </x:c>
      <x:c r="B1762" s="34" t="str">
        <x:v>48201433006</x:v>
      </x:c>
      <x:c r="C1762" s="65" t="n">
        <x:v>183.3233965578016</x:v>
      </x:c>
      <x:c r="D1762" s="65" t="n">
        <x:v>106.83442746925574</x:v>
      </x:c>
      <x:c r="E1762" s="65" t="n">
        <x:v>76.48896908854586</x:v>
      </x:c>
      <x:c r="F1762" s="65" t="n">
        <x:v>76.48896908854586</x:v>
      </x:c>
      <x:c r="G1762" s="65" t="n">
        <x:v>183.3233965578016</x:v>
      </x:c>
      <x:c r="H1762" s="43" t="n">
        <x:v>1</x:v>
      </x:c>
      <x:c r="I1762" s="34" t="str">
        <x:v>generated design-reference observation; not predicted tract behavior</x:v>
      </x:c>
    </x:row>
    <x:row r="1763" ht="75.5999984741211" hidden="0" customHeight="1">
      <x:c r="A1763" s="36" t="str">
        <x:v>B1</x:v>
      </x:c>
      <x:c r="B1763" s="36" t="str">
        <x:v>48201433007</x:v>
      </x:c>
      <x:c r="C1763" s="66" t="n">
        <x:v>140.09208497082676</x:v>
      </x:c>
      <x:c r="D1763" s="66" t="n">
        <x:v>77.68656069251855</x:v>
      </x:c>
      <x:c r="E1763" s="66" t="n">
        <x:v>62.40552427830821</x:v>
      </x:c>
      <x:c r="F1763" s="66" t="n">
        <x:v>62.40552427830821</x:v>
      </x:c>
      <x:c r="G1763" s="66" t="n">
        <x:v>140.09208497082676</x:v>
      </x:c>
      <x:c r="H1763" s="45" t="n">
        <x:v>1</x:v>
      </x:c>
      <x:c r="I1763" s="36" t="str">
        <x:v>generated design-reference observation; not predicted tract behavior</x:v>
      </x:c>
    </x:row>
    <x:row r="1764" ht="75.5999984741211" hidden="0" customHeight="1">
      <x:c r="A1764" s="34" t="str">
        <x:v>B1</x:v>
      </x:c>
      <x:c r="B1764" s="34" t="str">
        <x:v>48201433100</x:v>
      </x:c>
      <x:c r="C1764" s="65" t="n">
        <x:v>474.2267480345191</x:v>
      </x:c>
      <x:c r="D1764" s="65" t="n">
        <x:v>239.62283815902495</x:v>
      </x:c>
      <x:c r="E1764" s="65" t="n">
        <x:v>234.60390987549417</x:v>
      </x:c>
      <x:c r="F1764" s="65" t="n">
        <x:v>234.60390987549417</x:v>
      </x:c>
      <x:c r="G1764" s="65" t="n">
        <x:v>474.2267480345191</x:v>
      </x:c>
      <x:c r="H1764" s="43" t="n">
        <x:v>1</x:v>
      </x:c>
      <x:c r="I1764" s="34" t="str">
        <x:v>generated design-reference observation; not predicted tract behavior</x:v>
      </x:c>
    </x:row>
    <x:row r="1765" ht="75.5999984741211" hidden="0" customHeight="1">
      <x:c r="A1765" s="36" t="str">
        <x:v>B1</x:v>
      </x:c>
      <x:c r="B1765" s="36" t="str">
        <x:v>48201433201</x:v>
      </x:c>
      <x:c r="C1765" s="66" t="n">
        <x:v>557.2275531898688</x:v>
      </x:c>
      <x:c r="D1765" s="66" t="n">
        <x:v>288.82916595173174</x:v>
      </x:c>
      <x:c r="E1765" s="66" t="n">
        <x:v>268.39838723813705</x:v>
      </x:c>
      <x:c r="F1765" s="66" t="n">
        <x:v>268.39838723813705</x:v>
      </x:c>
      <x:c r="G1765" s="66" t="n">
        <x:v>557.2275531898688</x:v>
      </x:c>
      <x:c r="H1765" s="45" t="n">
        <x:v>1</x:v>
      </x:c>
      <x:c r="I1765" s="36" t="str">
        <x:v>generated design-reference observation; not predicted tract behavior</x:v>
      </x:c>
    </x:row>
    <x:row r="1766" ht="75.5999984741211" hidden="0" customHeight="1">
      <x:c r="A1766" s="34" t="str">
        <x:v>B1</x:v>
      </x:c>
      <x:c r="B1766" s="34" t="str">
        <x:v>48201433202</x:v>
      </x:c>
      <x:c r="C1766" s="65" t="n">
        <x:v>520.5175304707997</x:v>
      </x:c>
      <x:c r="D1766" s="65" t="n">
        <x:v>267.21341613986766</x:v>
      </x:c>
      <x:c r="E1766" s="65" t="n">
        <x:v>253.304114330932</x:v>
      </x:c>
      <x:c r="F1766" s="65" t="n">
        <x:v>253.304114330932</x:v>
      </x:c>
      <x:c r="G1766" s="65" t="n">
        <x:v>520.5175304707997</x:v>
      </x:c>
      <x:c r="H1766" s="43" t="n">
        <x:v>1</x:v>
      </x:c>
      <x:c r="I1766" s="34" t="str">
        <x:v>generated design-reference observation; not predicted tract behavior</x:v>
      </x:c>
    </x:row>
    <x:row r="1767" ht="75.5999984741211" hidden="0" customHeight="1">
      <x:c r="A1767" s="36" t="str">
        <x:v>B1</x:v>
      </x:c>
      <x:c r="B1767" s="36" t="str">
        <x:v>48201433300</x:v>
      </x:c>
      <x:c r="C1767" s="66" t="n">
        <x:v>662.449046339564</x:v>
      </x:c>
      <x:c r="D1767" s="66" t="n">
        <x:v>352.23229938185773</x:v>
      </x:c>
      <x:c r="E1767" s="66" t="n">
        <x:v>310.2167469577063</x:v>
      </x:c>
      <x:c r="F1767" s="66" t="n">
        <x:v>310.2167469577063</x:v>
      </x:c>
      <x:c r="G1767" s="66" t="n">
        <x:v>662.449046339564</x:v>
      </x:c>
      <x:c r="H1767" s="45" t="n">
        <x:v>1</x:v>
      </x:c>
      <x:c r="I1767" s="36" t="str">
        <x:v>generated design-reference observation; not predicted tract behavior</x:v>
      </x:c>
    </x:row>
    <x:row r="1768" ht="75.5999984741211" hidden="0" customHeight="1">
      <x:c r="A1768" s="34" t="str">
        <x:v>B1</x:v>
      </x:c>
      <x:c r="B1768" s="34" t="str">
        <x:v>48201433400</x:v>
      </x:c>
      <x:c r="C1768" s="65" t="n">
        <x:v>762.5818000092462</x:v>
      </x:c>
      <x:c r="D1768" s="65" t="n">
        <x:v>212.26733412174548</x:v>
      </x:c>
      <x:c r="E1768" s="65" t="n">
        <x:v>550.3144658875008</x:v>
      </x:c>
      <x:c r="F1768" s="65" t="n">
        <x:v>550.3144658875008</x:v>
      </x:c>
      <x:c r="G1768" s="65" t="n">
        <x:v>762.5818000092462</x:v>
      </x:c>
      <x:c r="H1768" s="43" t="n">
        <x:v>1</x:v>
      </x:c>
      <x:c r="I1768" s="34" t="str">
        <x:v>generated design-reference observation; not predicted tract behavior</x:v>
      </x:c>
    </x:row>
    <x:row r="1769" ht="75.5999984741211" hidden="0" customHeight="1">
      <x:c r="A1769" s="36" t="str">
        <x:v>B1</x:v>
      </x:c>
      <x:c r="B1769" s="36" t="str">
        <x:v>48201433503</x:v>
      </x:c>
      <x:c r="C1769" s="66" t="n">
        <x:v>405.81140562781144</x:v>
      </x:c>
      <x:c r="D1769" s="66" t="n">
        <x:v>111.87182959285518</x:v>
      </x:c>
      <x:c r="E1769" s="66" t="n">
        <x:v>293.93957603495625</x:v>
      </x:c>
      <x:c r="F1769" s="66" t="n">
        <x:v>293.93957603495625</x:v>
      </x:c>
      <x:c r="G1769" s="66" t="n">
        <x:v>405.81140562781144</x:v>
      </x:c>
      <x:c r="H1769" s="45" t="n">
        <x:v>1</x:v>
      </x:c>
      <x:c r="I1769" s="36" t="str">
        <x:v>generated design-reference observation; not predicted tract behavior</x:v>
      </x:c>
    </x:row>
    <x:row r="1770" ht="75.5999984741211" hidden="0" customHeight="1">
      <x:c r="A1770" s="34" t="str">
        <x:v>B1</x:v>
      </x:c>
      <x:c r="B1770" s="34" t="str">
        <x:v>48201433504</x:v>
      </x:c>
      <x:c r="C1770" s="65" t="n">
        <x:v>588.0012169978946</x:v>
      </x:c>
      <x:c r="D1770" s="65" t="n">
        <x:v>162.30597592792884</x:v>
      </x:c>
      <x:c r="E1770" s="65" t="n">
        <x:v>425.6952410699658</x:v>
      </x:c>
      <x:c r="F1770" s="65" t="n">
        <x:v>425.6952410699658</x:v>
      </x:c>
      <x:c r="G1770" s="65" t="n">
        <x:v>588.0012169978946</x:v>
      </x:c>
      <x:c r="H1770" s="43" t="n">
        <x:v>1</x:v>
      </x:c>
      <x:c r="I1770" s="34" t="str">
        <x:v>generated design-reference observation; not predicted tract behavior</x:v>
      </x:c>
    </x:row>
    <x:row r="1771" ht="75.5999984741211" hidden="0" customHeight="1">
      <x:c r="A1771" s="36" t="str">
        <x:v>B1</x:v>
      </x:c>
      <x:c r="B1771" s="36" t="str">
        <x:v>48201433505</x:v>
      </x:c>
      <x:c r="C1771" s="66" t="n">
        <x:v>313.8776469038583</x:v>
      </x:c>
      <x:c r="D1771" s="66" t="n">
        <x:v>156.68356295538976</x:v>
      </x:c>
      <x:c r="E1771" s="66" t="n">
        <x:v>157.19408394846855</x:v>
      </x:c>
      <x:c r="F1771" s="66" t="n">
        <x:v>157.19408394846855</x:v>
      </x:c>
      <x:c r="G1771" s="66" t="n">
        <x:v>313.8776469038583</x:v>
      </x:c>
      <x:c r="H1771" s="45" t="n">
        <x:v>1</x:v>
      </x:c>
      <x:c r="I1771" s="36" t="str">
        <x:v>generated design-reference observation; not predicted tract behavior</x:v>
      </x:c>
    </x:row>
    <x:row r="1772" ht="75.5999984741211" hidden="0" customHeight="1">
      <x:c r="A1772" s="34" t="str">
        <x:v>B1</x:v>
      </x:c>
      <x:c r="B1772" s="34" t="str">
        <x:v>48201433506</x:v>
      </x:c>
      <x:c r="C1772" s="65" t="n">
        <x:v>226.38542609007712</x:v>
      </x:c>
      <x:c r="D1772" s="65" t="n">
        <x:v>115.68098139826292</x:v>
      </x:c>
      <x:c r="E1772" s="65" t="n">
        <x:v>110.7044446918142</x:v>
      </x:c>
      <x:c r="F1772" s="65" t="n">
        <x:v>110.7044446918142</x:v>
      </x:c>
      <x:c r="G1772" s="65" t="n">
        <x:v>226.38542609007712</x:v>
      </x:c>
      <x:c r="H1772" s="43" t="n">
        <x:v>1</x:v>
      </x:c>
      <x:c r="I1772" s="34" t="str">
        <x:v>generated design-reference observation; not predicted tract behavior</x:v>
      </x:c>
    </x:row>
    <x:row r="1773" ht="75.5999984741211" hidden="0" customHeight="1">
      <x:c r="A1773" s="36" t="str">
        <x:v>B1</x:v>
      </x:c>
      <x:c r="B1773" s="36" t="str">
        <x:v>48201433507</x:v>
      </x:c>
      <x:c r="C1773" s="66" t="n">
        <x:v>433.49113759682484</x:v>
      </x:c>
      <x:c r="D1773" s="66" t="n">
        <x:v>219.01933227664938</x:v>
      </x:c>
      <x:c r="E1773" s="66" t="n">
        <x:v>214.47180532017546</x:v>
      </x:c>
      <x:c r="F1773" s="66" t="n">
        <x:v>214.47180532017546</x:v>
      </x:c>
      <x:c r="G1773" s="66" t="n">
        <x:v>433.49113759682484</x:v>
      </x:c>
      <x:c r="H1773" s="45" t="n">
        <x:v>1</x:v>
      </x:c>
      <x:c r="I1773" s="36" t="str">
        <x:v>generated design-reference observation; not predicted tract behavior</x:v>
      </x:c>
    </x:row>
    <x:row r="1774" ht="75.5999984741211" hidden="0" customHeight="1">
      <x:c r="A1774" s="34" t="str">
        <x:v>B1</x:v>
      </x:c>
      <x:c r="B1774" s="34" t="str">
        <x:v>48201433601</x:v>
      </x:c>
      <x:c r="C1774" s="65" t="n">
        <x:v>414.29485488331176</x:v>
      </x:c>
      <x:c r="D1774" s="65" t="n">
        <x:v>201.92230467719853</x:v>
      </x:c>
      <x:c r="E1774" s="65" t="n">
        <x:v>212.37255020611323</x:v>
      </x:c>
      <x:c r="F1774" s="65" t="n">
        <x:v>212.37255020611323</x:v>
      </x:c>
      <x:c r="G1774" s="65" t="n">
        <x:v>414.29485488331176</x:v>
      </x:c>
      <x:c r="H1774" s="43" t="n">
        <x:v>1</x:v>
      </x:c>
      <x:c r="I1774" s="34" t="str">
        <x:v>generated design-reference observation; not predicted tract behavior</x:v>
      </x:c>
    </x:row>
    <x:row r="1775" ht="75.5999984741211" hidden="0" customHeight="1">
      <x:c r="A1775" s="36" t="str">
        <x:v>B1</x:v>
      </x:c>
      <x:c r="B1775" s="36" t="str">
        <x:v>48201433602</x:v>
      </x:c>
      <x:c r="C1775" s="66" t="n">
        <x:v>577.5849294249888</x:v>
      </x:c>
      <x:c r="D1775" s="66" t="n">
        <x:v>289.4849411974531</x:v>
      </x:c>
      <x:c r="E1775" s="66" t="n">
        <x:v>288.0999882275357</x:v>
      </x:c>
      <x:c r="F1775" s="66" t="n">
        <x:v>288.0999882275357</x:v>
      </x:c>
      <x:c r="G1775" s="66" t="n">
        <x:v>577.5849294249888</x:v>
      </x:c>
      <x:c r="H1775" s="45" t="n">
        <x:v>1</x:v>
      </x:c>
      <x:c r="I1775" s="36" t="str">
        <x:v>generated design-reference observation; not predicted tract behavior</x:v>
      </x:c>
    </x:row>
    <x:row r="1776" ht="75.5999984741211" hidden="0" customHeight="1">
      <x:c r="A1776" s="34" t="str">
        <x:v>B1</x:v>
      </x:c>
      <x:c r="B1776" s="34" t="str">
        <x:v>48201440101</x:v>
      </x:c>
      <x:c r="C1776" s="65" t="n">
        <x:v>260.390865695942</x:v>
      </x:c>
      <x:c r="D1776" s="65" t="n">
        <x:v>128.03512983449843</x:v>
      </x:c>
      <x:c r="E1776" s="65" t="n">
        <x:v>132.35573586144358</x:v>
      </x:c>
      <x:c r="F1776" s="65" t="n">
        <x:v>132.35573586144358</x:v>
      </x:c>
      <x:c r="G1776" s="65" t="n">
        <x:v>260.390865695942</x:v>
      </x:c>
      <x:c r="H1776" s="43" t="n">
        <x:v>1</x:v>
      </x:c>
      <x:c r="I1776" s="34" t="str">
        <x:v>generated design-reference observation; not predicted tract behavior</x:v>
      </x:c>
    </x:row>
    <x:row r="1777" ht="75.5999984741211" hidden="0" customHeight="1">
      <x:c r="A1777" s="36" t="str">
        <x:v>B1</x:v>
      </x:c>
      <x:c r="B1777" s="36" t="str">
        <x:v>48201440102</x:v>
      </x:c>
      <x:c r="C1777" s="66" t="n">
        <x:v>358.4335905688548</x:v>
      </x:c>
      <x:c r="D1777" s="66" t="n">
        <x:v>214.02852114273463</x:v>
      </x:c>
      <x:c r="E1777" s="66" t="n">
        <x:v>144.40506942612018</x:v>
      </x:c>
      <x:c r="F1777" s="66" t="n">
        <x:v>144.40506942612018</x:v>
      </x:c>
      <x:c r="G1777" s="66" t="n">
        <x:v>358.4335905688548</x:v>
      </x:c>
      <x:c r="H1777" s="45" t="n">
        <x:v>1</x:v>
      </x:c>
      <x:c r="I1777" s="36" t="str">
        <x:v>generated design-reference observation; not predicted tract behavior</x:v>
      </x:c>
    </x:row>
    <x:row r="1778" ht="75.5999984741211" hidden="0" customHeight="1">
      <x:c r="A1778" s="34" t="str">
        <x:v>B1</x:v>
      </x:c>
      <x:c r="B1778" s="34" t="str">
        <x:v>48201450100</x:v>
      </x:c>
      <x:c r="C1778" s="65" t="n">
        <x:v>148.7807887176499</x:v>
      </x:c>
      <x:c r="D1778" s="65" t="n">
        <x:v>90.56416792433477</x:v>
      </x:c>
      <x:c r="E1778" s="65" t="n">
        <x:v>58.21662079331513</x:v>
      </x:c>
      <x:c r="F1778" s="65" t="n">
        <x:v>42.367419708259476</x:v>
      </x:c>
      <x:c r="G1778" s="65" t="n">
        <x:v>132.93158763259424</x:v>
      </x:c>
      <x:c r="H1778" s="43" t="n">
        <x:v>0.8934727983252353</x:v>
      </x:c>
      <x:c r="I1778" s="34" t="str">
        <x:v>generated design-reference observation; not predicted tract behavior</x:v>
      </x:c>
    </x:row>
    <x:row r="1779" ht="75.5999984741211" hidden="0" customHeight="1">
      <x:c r="A1779" s="36" t="str">
        <x:v>B1</x:v>
      </x:c>
      <x:c r="B1779" s="36" t="str">
        <x:v>48201450200</x:v>
      </x:c>
      <x:c r="C1779" s="66" t="n">
        <x:v>473.3476905076165</x:v>
      </x:c>
      <x:c r="D1779" s="66" t="n">
        <x:v>266.5357759356704</x:v>
      </x:c>
      <x:c r="E1779" s="66" t="n">
        <x:v>206.8119145719461</x:v>
      </x:c>
      <x:c r="F1779" s="66" t="n">
        <x:v>206.8119145719461</x:v>
      </x:c>
      <x:c r="G1779" s="66" t="n">
        <x:v>473.3476905076165</x:v>
      </x:c>
      <x:c r="H1779" s="45" t="n">
        <x:v>1</x:v>
      </x:c>
      <x:c r="I1779" s="36" t="str">
        <x:v>generated design-reference observation; not predicted tract behavior</x:v>
      </x:c>
    </x:row>
    <x:row r="1780" ht="75.5999984741211" hidden="0" customHeight="1">
      <x:c r="A1780" s="34" t="str">
        <x:v>B1</x:v>
      </x:c>
      <x:c r="B1780" s="34" t="str">
        <x:v>48201450301</x:v>
      </x:c>
      <x:c r="C1780" s="65" t="n">
        <x:v>217.14292819288065</x:v>
      </x:c>
      <x:c r="D1780" s="65" t="n">
        <x:v>127.26776129015859</x:v>
      </x:c>
      <x:c r="E1780" s="65" t="n">
        <x:v>89.87516690272206</x:v>
      </x:c>
      <x:c r="F1780" s="65" t="n">
        <x:v>89.87516690272207</x:v>
      </x:c>
      <x:c r="G1780" s="65" t="n">
        <x:v>217.14292819288065</x:v>
      </x:c>
      <x:c r="H1780" s="43" t="n">
        <x:v>1</x:v>
      </x:c>
      <x:c r="I1780" s="34" t="str">
        <x:v>generated design-reference observation; not predicted tract behavior</x:v>
      </x:c>
    </x:row>
    <x:row r="1781" ht="75.5999984741211" hidden="0" customHeight="1">
      <x:c r="A1781" s="36" t="str">
        <x:v>B1</x:v>
      </x:c>
      <x:c r="B1781" s="36" t="str">
        <x:v>48201450302</x:v>
      </x:c>
      <x:c r="C1781" s="66" t="n">
        <x:v>462.8002093423188</x:v>
      </x:c>
      <x:c r="D1781" s="66" t="n">
        <x:v>261.8511263033339</x:v>
      </x:c>
      <x:c r="E1781" s="66" t="n">
        <x:v>200.9490830389849</x:v>
      </x:c>
      <x:c r="F1781" s="66" t="n">
        <x:v>200.9490830389849</x:v>
      </x:c>
      <x:c r="G1781" s="66" t="n">
        <x:v>462.8002093423188</x:v>
      </x:c>
      <x:c r="H1781" s="45" t="n">
        <x:v>1</x:v>
      </x:c>
      <x:c r="I1781" s="36" t="str">
        <x:v>generated design-reference observation; not predicted tract behavior</x:v>
      </x:c>
    </x:row>
    <x:row r="1782" ht="75.5999984741211" hidden="0" customHeight="1">
      <x:c r="A1782" s="34" t="str">
        <x:v>B1</x:v>
      </x:c>
      <x:c r="B1782" s="34" t="str">
        <x:v>48201450401</x:v>
      </x:c>
      <x:c r="C1782" s="65" t="n">
        <x:v>162.32274851482424</x:v>
      </x:c>
      <x:c r="D1782" s="65" t="n">
        <x:v>92.65824281086039</x:v>
      </x:c>
      <x:c r="E1782" s="65" t="n">
        <x:v>69.66450570396385</x:v>
      </x:c>
      <x:c r="F1782" s="65" t="n">
        <x:v>53.775963852546596</x:v>
      </x:c>
      <x:c r="G1782" s="65" t="n">
        <x:v>146.434206663407</x:v>
      </x:c>
      <x:c r="H1782" s="43" t="n">
        <x:v>0.9021175898215756</x:v>
      </x:c>
      <x:c r="I1782" s="34" t="str">
        <x:v>generated design-reference observation; not predicted tract behavior</x:v>
      </x:c>
    </x:row>
    <x:row r="1783" ht="75.5999984741211" hidden="0" customHeight="1">
      <x:c r="A1783" s="36" t="str">
        <x:v>B1</x:v>
      </x:c>
      <x:c r="B1783" s="36" t="str">
        <x:v>48201450402</x:v>
      </x:c>
      <x:c r="C1783" s="66" t="n">
        <x:v>311.79185015845667</x:v>
      </x:c>
      <x:c r="D1783" s="66" t="n">
        <x:v>154.26541216547201</x:v>
      </x:c>
      <x:c r="E1783" s="66" t="n">
        <x:v>157.52643799298465</x:v>
      </x:c>
      <x:c r="F1783" s="66" t="n">
        <x:v>157.52643799298465</x:v>
      </x:c>
      <x:c r="G1783" s="66" t="n">
        <x:v>311.79185015845667</x:v>
      </x:c>
      <x:c r="H1783" s="45" t="n">
        <x:v>1</x:v>
      </x:c>
      <x:c r="I1783" s="36" t="str">
        <x:v>generated design-reference observation; not predicted tract behavior</x:v>
      </x:c>
    </x:row>
    <x:row r="1784" ht="75.5999984741211" hidden="0" customHeight="1">
      <x:c r="A1784" s="34" t="str">
        <x:v>B1</x:v>
      </x:c>
      <x:c r="B1784" s="34" t="str">
        <x:v>48201450500</x:v>
      </x:c>
      <x:c r="C1784" s="65" t="n">
        <x:v>273.7118519538572</x:v>
      </x:c>
      <x:c r="D1784" s="65" t="n">
        <x:v>160.2304730738661</x:v>
      </x:c>
      <x:c r="E1784" s="65" t="n">
        <x:v>113.4813788799911</x:v>
      </x:c>
      <x:c r="F1784" s="65" t="n">
        <x:v>113.4813788799911</x:v>
      </x:c>
      <x:c r="G1784" s="65" t="n">
        <x:v>273.7118519538572</x:v>
      </x:c>
      <x:c r="H1784" s="43" t="n">
        <x:v>1</x:v>
      </x:c>
      <x:c r="I1784" s="34" t="str">
        <x:v>generated design-reference observation; not predicted tract behavior</x:v>
      </x:c>
    </x:row>
    <x:row r="1785" ht="75.5999984741211" hidden="0" customHeight="1">
      <x:c r="A1785" s="36" t="str">
        <x:v>B1</x:v>
      </x:c>
      <x:c r="B1785" s="36" t="str">
        <x:v>48201450600</x:v>
      </x:c>
      <x:c r="C1785" s="66" t="n">
        <x:v>456.4457842140452</x:v>
      </x:c>
      <x:c r="D1785" s="66" t="n">
        <x:v>253.44381703002782</x:v>
      </x:c>
      <x:c r="E1785" s="66" t="n">
        <x:v>203.0019671840174</x:v>
      </x:c>
      <x:c r="F1785" s="66" t="n">
        <x:v>203.0019671840174</x:v>
      </x:c>
      <x:c r="G1785" s="66" t="n">
        <x:v>456.4457842140452</x:v>
      </x:c>
      <x:c r="H1785" s="45" t="n">
        <x:v>1</x:v>
      </x:c>
      <x:c r="I1785" s="36" t="str">
        <x:v>generated design-reference observation; not predicted tract behavior</x:v>
      </x:c>
    </x:row>
    <x:row r="1786" ht="75.5999984741211" hidden="0" customHeight="1">
      <x:c r="A1786" s="34" t="str">
        <x:v>B1</x:v>
      </x:c>
      <x:c r="B1786" s="34" t="str">
        <x:v>48201450700</x:v>
      </x:c>
      <x:c r="C1786" s="65" t="n">
        <x:v>1178.7786596928574</x:v>
      </x:c>
      <x:c r="D1786" s="65" t="n">
        <x:v>344.3760899747104</x:v>
      </x:c>
      <x:c r="E1786" s="65" t="n">
        <x:v>834.4025697181471</x:v>
      </x:c>
      <x:c r="F1786" s="65" t="n">
        <x:v>834.4025697181471</x:v>
      </x:c>
      <x:c r="G1786" s="65" t="n">
        <x:v>1178.7786596928574</x:v>
      </x:c>
      <x:c r="H1786" s="43" t="n">
        <x:v>1</x:v>
      </x:c>
      <x:c r="I1786" s="34" t="str">
        <x:v>generated design-reference observation; not predicted tract behavior</x:v>
      </x:c>
    </x:row>
    <x:row r="1787" ht="75.5999984741211" hidden="0" customHeight="1">
      <x:c r="A1787" s="36" t="str">
        <x:v>B1</x:v>
      </x:c>
      <x:c r="B1787" s="36" t="str">
        <x:v>48201450801</x:v>
      </x:c>
      <x:c r="C1787" s="66" t="n">
        <x:v>318.23696210174774</x:v>
      </x:c>
      <x:c r="D1787" s="66" t="n">
        <x:v>155.87641892926004</x:v>
      </x:c>
      <x:c r="E1787" s="66" t="n">
        <x:v>162.3605431724877</x:v>
      </x:c>
      <x:c r="F1787" s="66" t="n">
        <x:v>162.3605431724877</x:v>
      </x:c>
      <x:c r="G1787" s="66" t="n">
        <x:v>318.23696210174774</x:v>
      </x:c>
      <x:c r="H1787" s="45" t="n">
        <x:v>1</x:v>
      </x:c>
      <x:c r="I1787" s="36" t="str">
        <x:v>generated design-reference observation; not predicted tract behavior</x:v>
      </x:c>
    </x:row>
    <x:row r="1788" ht="75.5999984741211" hidden="0" customHeight="1">
      <x:c r="A1788" s="34" t="str">
        <x:v>B1</x:v>
      </x:c>
      <x:c r="B1788" s="34" t="str">
        <x:v>48201450803</x:v>
      </x:c>
      <x:c r="C1788" s="65" t="n">
        <x:v>341.4805973694904</x:v>
      </x:c>
      <x:c r="D1788" s="65" t="n">
        <x:v>203.24393426291573</x:v>
      </x:c>
      <x:c r="E1788" s="65" t="n">
        <x:v>138.23666310657467</x:v>
      </x:c>
      <x:c r="F1788" s="65" t="n">
        <x:v>138.23666310657467</x:v>
      </x:c>
      <x:c r="G1788" s="65" t="n">
        <x:v>341.4805973694904</x:v>
      </x:c>
      <x:c r="H1788" s="43" t="n">
        <x:v>1</x:v>
      </x:c>
      <x:c r="I1788" s="34" t="str">
        <x:v>generated design-reference observation; not predicted tract behavior</x:v>
      </x:c>
    </x:row>
    <x:row r="1789" ht="75.5999984741211" hidden="0" customHeight="1">
      <x:c r="A1789" s="36" t="str">
        <x:v>B1</x:v>
      </x:c>
      <x:c r="B1789" s="36" t="str">
        <x:v>48201450804</x:v>
      </x:c>
      <x:c r="C1789" s="66" t="n">
        <x:v>183.2212227462152</x:v>
      </x:c>
      <x:c r="D1789" s="66" t="n">
        <x:v>104.95673548938387</x:v>
      </x:c>
      <x:c r="E1789" s="66" t="n">
        <x:v>78.26448725683133</x:v>
      </x:c>
      <x:c r="F1789" s="66" t="n">
        <x:v>51.384218100445516</x:v>
      </x:c>
      <x:c r="G1789" s="66" t="n">
        <x:v>156.34095358982938</x:v>
      </x:c>
      <x:c r="H1789" s="45" t="n">
        <x:v>0.8532906354761183</x:v>
      </x:c>
      <x:c r="I1789" s="36" t="str">
        <x:v>generated design-reference observation; not predicted tract behavior</x:v>
      </x:c>
    </x:row>
    <x:row r="1790" ht="75.5999984741211" hidden="0" customHeight="1">
      <x:c r="A1790" s="34" t="str">
        <x:v>B1</x:v>
      </x:c>
      <x:c r="B1790" s="34" t="str">
        <x:v>48201450900</x:v>
      </x:c>
      <x:c r="C1790" s="65" t="n">
        <x:v>222.1887425804523</x:v>
      </x:c>
      <x:c r="D1790" s="65" t="n">
        <x:v>126.12605361625899</x:v>
      </x:c>
      <x:c r="E1790" s="65" t="n">
        <x:v>96.06268896419331</x:v>
      </x:c>
      <x:c r="F1790" s="65" t="n">
        <x:v>96.06268896419331</x:v>
      </x:c>
      <x:c r="G1790" s="65" t="n">
        <x:v>222.1887425804523</x:v>
      </x:c>
      <x:c r="H1790" s="43" t="n">
        <x:v>1</x:v>
      </x:c>
      <x:c r="I1790" s="34" t="str">
        <x:v>generated design-reference observation; not predicted tract behavior</x:v>
      </x:c>
    </x:row>
    <x:row r="1791" ht="75.5999984741211" hidden="0" customHeight="1">
      <x:c r="A1791" s="36" t="str">
        <x:v>B1</x:v>
      </x:c>
      <x:c r="B1791" s="36" t="str">
        <x:v>48201451003</x:v>
      </x:c>
      <x:c r="C1791" s="66" t="n">
        <x:v>308.96181695114507</x:v>
      </x:c>
      <x:c r="D1791" s="66" t="n">
        <x:v>179.33223012067455</x:v>
      </x:c>
      <x:c r="E1791" s="66" t="n">
        <x:v>129.62958683047052</x:v>
      </x:c>
      <x:c r="F1791" s="66" t="n">
        <x:v>129.62958683047052</x:v>
      </x:c>
      <x:c r="G1791" s="66" t="n">
        <x:v>308.96181695114507</x:v>
      </x:c>
      <x:c r="H1791" s="45" t="n">
        <x:v>1</x:v>
      </x:c>
      <x:c r="I1791" s="36" t="str">
        <x:v>generated design-reference observation; not predicted tract behavior</x:v>
      </x:c>
    </x:row>
    <x:row r="1792" ht="75.5999984741211" hidden="0" customHeight="1">
      <x:c r="A1792" s="34" t="str">
        <x:v>B1</x:v>
      </x:c>
      <x:c r="B1792" s="34" t="str">
        <x:v>48201451004</x:v>
      </x:c>
      <x:c r="C1792" s="65" t="n">
        <x:v>136.37845989586162</x:v>
      </x:c>
      <x:c r="D1792" s="65" t="n">
        <x:v>78.78211686929664</x:v>
      </x:c>
      <x:c r="E1792" s="65" t="n">
        <x:v>57.59634302656498</x:v>
      </x:c>
      <x:c r="F1792" s="65" t="n">
        <x:v>45.29158632645353</x:v>
      </x:c>
      <x:c r="G1792" s="65" t="n">
        <x:v>124.07370319575017</x:v>
      </x:c>
      <x:c r="H1792" s="43" t="n">
        <x:v>0.909774925530708</x:v>
      </x:c>
      <x:c r="I1792" s="34" t="str">
        <x:v>generated design-reference observation; not predicted tract behavior</x:v>
      </x:c>
    </x:row>
    <x:row r="1793" ht="75.5999984741211" hidden="0" customHeight="1">
      <x:c r="A1793" s="36" t="str">
        <x:v>B1</x:v>
      </x:c>
      <x:c r="B1793" s="36" t="str">
        <x:v>48201451005</x:v>
      </x:c>
      <x:c r="C1793" s="66" t="n">
        <x:v>163.94966997623752</x:v>
      </x:c>
      <x:c r="D1793" s="66" t="n">
        <x:v>94.66743983682066</x:v>
      </x:c>
      <x:c r="E1793" s="66" t="n">
        <x:v>69.28223013941685</x:v>
      </x:c>
      <x:c r="F1793" s="66" t="n">
        <x:v>69.28223013941685</x:v>
      </x:c>
      <x:c r="G1793" s="66" t="n">
        <x:v>163.94966997623752</x:v>
      </x:c>
      <x:c r="H1793" s="45" t="n">
        <x:v>1</x:v>
      </x:c>
      <x:c r="I1793" s="36" t="str">
        <x:v>generated design-reference observation; not predicted tract behavior</x:v>
      </x:c>
    </x:row>
    <x:row r="1794" ht="75.5999984741211" hidden="0" customHeight="1">
      <x:c r="A1794" s="34" t="str">
        <x:v>B1</x:v>
      </x:c>
      <x:c r="B1794" s="34" t="str">
        <x:v>48201451006</x:v>
      </x:c>
      <x:c r="C1794" s="65" t="n">
        <x:v>203.8210350668153</x:v>
      </x:c>
      <x:c r="D1794" s="65" t="n">
        <x:v>121.47716131816932</x:v>
      </x:c>
      <x:c r="E1794" s="65" t="n">
        <x:v>82.34387374864599</x:v>
      </x:c>
      <x:c r="F1794" s="65" t="n">
        <x:v>82.34387374864599</x:v>
      </x:c>
      <x:c r="G1794" s="65" t="n">
        <x:v>203.8210350668153</x:v>
      </x:c>
      <x:c r="H1794" s="43" t="n">
        <x:v>1</x:v>
      </x:c>
      <x:c r="I1794" s="34" t="str">
        <x:v>generated design-reference observation; not predicted tract behavior</x:v>
      </x:c>
    </x:row>
    <x:row r="1795" ht="75.5999984741211" hidden="0" customHeight="1">
      <x:c r="A1795" s="36" t="str">
        <x:v>B1</x:v>
      </x:c>
      <x:c r="B1795" s="36" t="str">
        <x:v>48201451100</x:v>
      </x:c>
      <x:c r="C1795" s="66" t="n">
        <x:v>318.0985135641544</x:v>
      </x:c>
      <x:c r="D1795" s="66" t="n">
        <x:v>187.81176202334257</x:v>
      </x:c>
      <x:c r="E1795" s="66" t="n">
        <x:v>130.28675154081185</x:v>
      </x:c>
      <x:c r="F1795" s="66" t="n">
        <x:v>130.28675154081185</x:v>
      </x:c>
      <x:c r="G1795" s="66" t="n">
        <x:v>318.0985135641544</x:v>
      </x:c>
      <x:c r="H1795" s="45" t="n">
        <x:v>1</x:v>
      </x:c>
      <x:c r="I1795" s="36" t="str">
        <x:v>generated design-reference observation; not predicted tract behavior</x:v>
      </x:c>
    </x:row>
    <x:row r="1796" ht="75.5999984741211" hidden="0" customHeight="1">
      <x:c r="A1796" s="34" t="str">
        <x:v>B1</x:v>
      </x:c>
      <x:c r="B1796" s="34" t="str">
        <x:v>48201451200</x:v>
      </x:c>
      <x:c r="C1796" s="65" t="n">
        <x:v>221.55998066299787</x:v>
      </x:c>
      <x:c r="D1796" s="65" t="n">
        <x:v>134.44459590512176</x:v>
      </x:c>
      <x:c r="E1796" s="65" t="n">
        <x:v>87.11538475787611</x:v>
      </x:c>
      <x:c r="F1796" s="65" t="n">
        <x:v>87.11538475787611</x:v>
      </x:c>
      <x:c r="G1796" s="65" t="n">
        <x:v>221.55998066299787</x:v>
      </x:c>
      <x:c r="H1796" s="43" t="n">
        <x:v>1</x:v>
      </x:c>
      <x:c r="I1796" s="34" t="str">
        <x:v>generated design-reference observation; not predicted tract behavior</x:v>
      </x:c>
    </x:row>
    <x:row r="1797" ht="75.5999984741211" hidden="0" customHeight="1">
      <x:c r="A1797" s="36" t="str">
        <x:v>B1</x:v>
      </x:c>
      <x:c r="B1797" s="36" t="str">
        <x:v>48201451301</x:v>
      </x:c>
      <x:c r="C1797" s="66" t="n">
        <x:v>326.59858873574126</x:v>
      </x:c>
      <x:c r="D1797" s="66" t="n">
        <x:v>194.15460886823797</x:v>
      </x:c>
      <x:c r="E1797" s="66" t="n">
        <x:v>132.4439798675033</x:v>
      </x:c>
      <x:c r="F1797" s="66" t="n">
        <x:v>132.4439798675033</x:v>
      </x:c>
      <x:c r="G1797" s="66" t="n">
        <x:v>326.59858873574126</x:v>
      </x:c>
      <x:c r="H1797" s="45" t="n">
        <x:v>1</x:v>
      </x:c>
      <x:c r="I1797" s="36" t="str">
        <x:v>generated design-reference observation; not predicted tract behavior</x:v>
      </x:c>
    </x:row>
    <x:row r="1798" ht="75.5999984741211" hidden="0" customHeight="1">
      <x:c r="A1798" s="34" t="str">
        <x:v>B1</x:v>
      </x:c>
      <x:c r="B1798" s="34" t="str">
        <x:v>48201451302</x:v>
      </x:c>
      <x:c r="C1798" s="65" t="n">
        <x:v>260.9833528873894</x:v>
      </x:c>
      <x:c r="D1798" s="65" t="n">
        <x:v>159.09113581215271</x:v>
      </x:c>
      <x:c r="E1798" s="65" t="n">
        <x:v>101.89221707523669</x:v>
      </x:c>
      <x:c r="F1798" s="65" t="n">
        <x:v>101.89221707523669</x:v>
      </x:c>
      <x:c r="G1798" s="65" t="n">
        <x:v>260.9833528873894</x:v>
      </x:c>
      <x:c r="H1798" s="43" t="n">
        <x:v>1</x:v>
      </x:c>
      <x:c r="I1798" s="34" t="str">
        <x:v>generated design-reference observation; not predicted tract behavior</x:v>
      </x:c>
    </x:row>
    <x:row r="1799" ht="75.5999984741211" hidden="0" customHeight="1">
      <x:c r="A1799" s="36" t="str">
        <x:v>B1</x:v>
      </x:c>
      <x:c r="B1799" s="36" t="str">
        <x:v>48201451401</x:v>
      </x:c>
      <x:c r="C1799" s="66" t="n">
        <x:v>283.01359857019827</x:v>
      </x:c>
      <x:c r="D1799" s="66" t="n">
        <x:v>161.03909781485177</x:v>
      </x:c>
      <x:c r="E1799" s="66" t="n">
        <x:v>121.9745007553465</x:v>
      </x:c>
      <x:c r="F1799" s="66" t="n">
        <x:v>121.9745007553465</x:v>
      </x:c>
      <x:c r="G1799" s="66" t="n">
        <x:v>283.01359857019827</x:v>
      </x:c>
      <x:c r="H1799" s="45" t="n">
        <x:v>1</x:v>
      </x:c>
      <x:c r="I1799" s="36" t="str">
        <x:v>generated design-reference observation; not predicted tract behavior</x:v>
      </x:c>
    </x:row>
    <x:row r="1800" ht="75.5999984741211" hidden="0" customHeight="1">
      <x:c r="A1800" s="34" t="str">
        <x:v>B1</x:v>
      </x:c>
      <x:c r="B1800" s="34" t="str">
        <x:v>48201451404</x:v>
      </x:c>
      <x:c r="C1800" s="65" t="n">
        <x:v>290.4408487201286</x:v>
      </x:c>
      <x:c r="D1800" s="65" t="n">
        <x:v>159.69279589695216</x:v>
      </x:c>
      <x:c r="E1800" s="65" t="n">
        <x:v>130.74805282317644</x:v>
      </x:c>
      <x:c r="F1800" s="65" t="n">
        <x:v>95.74644132364679</x:v>
      </x:c>
      <x:c r="G1800" s="65" t="n">
        <x:v>255.43923722059895</x:v>
      </x:c>
      <x:c r="H1800" s="43" t="n">
        <x:v>0.8794879864393403</x:v>
      </x:c>
      <x:c r="I1800" s="34" t="str">
        <x:v>generated design-reference observation; not predicted tract behavior</x:v>
      </x:c>
    </x:row>
    <x:row r="1801" ht="75.5999984741211" hidden="0" customHeight="1">
      <x:c r="A1801" s="36" t="str">
        <x:v>B1</x:v>
      </x:c>
      <x:c r="B1801" s="36" t="str">
        <x:v>48201451405</x:v>
      </x:c>
      <x:c r="C1801" s="66" t="n">
        <x:v>228.6492712822964</x:v>
      </x:c>
      <x:c r="D1801" s="66" t="n">
        <x:v>123.9855495383633</x:v>
      </x:c>
      <x:c r="E1801" s="66" t="n">
        <x:v>104.66372174393311</x:v>
      </x:c>
      <x:c r="F1801" s="66" t="n">
        <x:v>104.66372174393311</x:v>
      </x:c>
      <x:c r="G1801" s="66" t="n">
        <x:v>228.6492712822964</x:v>
      </x:c>
      <x:c r="H1801" s="45" t="n">
        <x:v>1</x:v>
      </x:c>
      <x:c r="I1801" s="36" t="str">
        <x:v>generated design-reference observation; not predicted tract behavior</x:v>
      </x:c>
    </x:row>
    <x:row r="1802" ht="75.5999984741211" hidden="0" customHeight="1">
      <x:c r="A1802" s="34" t="str">
        <x:v>B1</x:v>
      </x:c>
      <x:c r="B1802" s="34" t="str">
        <x:v>48201451406</x:v>
      </x:c>
      <x:c r="C1802" s="65" t="n">
        <x:v>198.5787325800392</x:v>
      </x:c>
      <x:c r="D1802" s="65" t="n">
        <x:v>114.68508370959773</x:v>
      </x:c>
      <x:c r="E1802" s="65" t="n">
        <x:v>83.89364887044147</x:v>
      </x:c>
      <x:c r="F1802" s="65" t="n">
        <x:v>83.89364887044147</x:v>
      </x:c>
      <x:c r="G1802" s="65" t="n">
        <x:v>198.5787325800392</x:v>
      </x:c>
      <x:c r="H1802" s="43" t="n">
        <x:v>1</x:v>
      </x:c>
      <x:c r="I1802" s="34" t="str">
        <x:v>generated design-reference observation; not predicted tract behavior</x:v>
      </x:c>
    </x:row>
    <x:row r="1803" ht="75.5999984741211" hidden="0" customHeight="1">
      <x:c r="A1803" s="36" t="str">
        <x:v>B1</x:v>
      </x:c>
      <x:c r="B1803" s="36" t="str">
        <x:v>48201451407</x:v>
      </x:c>
      <x:c r="C1803" s="66" t="n">
        <x:v>257.17873870802345</x:v>
      </x:c>
      <x:c r="D1803" s="66" t="n">
        <x:v>132.12300118334562</x:v>
      </x:c>
      <x:c r="E1803" s="66" t="n">
        <x:v>125.05573752467782</x:v>
      </x:c>
      <x:c r="F1803" s="66" t="n">
        <x:v>125.05573752467781</x:v>
      </x:c>
      <x:c r="G1803" s="66" t="n">
        <x:v>257.17873870802345</x:v>
      </x:c>
      <x:c r="H1803" s="45" t="n">
        <x:v>1</x:v>
      </x:c>
      <x:c r="I1803" s="36" t="str">
        <x:v>generated design-reference observation; not predicted tract behavior</x:v>
      </x:c>
    </x:row>
    <x:row r="1804" ht="75.5999984741211" hidden="0" customHeight="1">
      <x:c r="A1804" s="34" t="str">
        <x:v>B1</x:v>
      </x:c>
      <x:c r="B1804" s="34" t="str">
        <x:v>48201451501</x:v>
      </x:c>
      <x:c r="C1804" s="65" t="n">
        <x:v>237.6327071779263</x:v>
      </x:c>
      <x:c r="D1804" s="65" t="n">
        <x:v>131.22121152085992</x:v>
      </x:c>
      <x:c r="E1804" s="65" t="n">
        <x:v>106.41149565706638</x:v>
      </x:c>
      <x:c r="F1804" s="65" t="n">
        <x:v>106.41149565706638</x:v>
      </x:c>
      <x:c r="G1804" s="65" t="n">
        <x:v>237.6327071779263</x:v>
      </x:c>
      <x:c r="H1804" s="43" t="n">
        <x:v>1</x:v>
      </x:c>
      <x:c r="I1804" s="34" t="str">
        <x:v>generated design-reference observation; not predicted tract behavior</x:v>
      </x:c>
    </x:row>
    <x:row r="1805" ht="75.5999984741211" hidden="0" customHeight="1">
      <x:c r="A1805" s="36" t="str">
        <x:v>B1</x:v>
      </x:c>
      <x:c r="B1805" s="36" t="str">
        <x:v>48201451502</x:v>
      </x:c>
      <x:c r="C1805" s="66" t="n">
        <x:v>393.8123308434674</x:v>
      </x:c>
      <x:c r="D1805" s="66" t="n">
        <x:v>201.4040253112612</x:v>
      </x:c>
      <x:c r="E1805" s="66" t="n">
        <x:v>192.4083055322062</x:v>
      </x:c>
      <x:c r="F1805" s="66" t="n">
        <x:v>192.4083055322062</x:v>
      </x:c>
      <x:c r="G1805" s="66" t="n">
        <x:v>393.8123308434674</x:v>
      </x:c>
      <x:c r="H1805" s="45" t="n">
        <x:v>1</x:v>
      </x:c>
      <x:c r="I1805" s="36" t="str">
        <x:v>generated design-reference observation; not predicted tract behavior</x:v>
      </x:c>
    </x:row>
    <x:row r="1806" ht="75.5999984741211" hidden="0" customHeight="1">
      <x:c r="A1806" s="34" t="str">
        <x:v>B1</x:v>
      </x:c>
      <x:c r="B1806" s="34" t="str">
        <x:v>48201451603</x:v>
      </x:c>
      <x:c r="C1806" s="65" t="n">
        <x:v>263.9699719952979</x:v>
      </x:c>
      <x:c r="D1806" s="65" t="n">
        <x:v>150.6563454035424</x:v>
      </x:c>
      <x:c r="E1806" s="65" t="n">
        <x:v>113.31362659175551</x:v>
      </x:c>
      <x:c r="F1806" s="65" t="n">
        <x:v>113.31362659175551</x:v>
      </x:c>
      <x:c r="G1806" s="65" t="n">
        <x:v>263.9699719952979</x:v>
      </x:c>
      <x:c r="H1806" s="43" t="n">
        <x:v>1</x:v>
      </x:c>
      <x:c r="I1806" s="34" t="str">
        <x:v>generated design-reference observation; not predicted tract behavior</x:v>
      </x:c>
    </x:row>
    <x:row r="1807" ht="75.5999984741211" hidden="0" customHeight="1">
      <x:c r="A1807" s="36" t="str">
        <x:v>B1</x:v>
      </x:c>
      <x:c r="B1807" s="36" t="str">
        <x:v>48201451604</x:v>
      </x:c>
      <x:c r="C1807" s="66" t="n">
        <x:v>284.3025605009799</x:v>
      </x:c>
      <x:c r="D1807" s="66" t="n">
        <x:v>163.92861747515028</x:v>
      </x:c>
      <x:c r="E1807" s="66" t="n">
        <x:v>120.37394302582962</x:v>
      </x:c>
      <x:c r="F1807" s="66" t="n">
        <x:v>120.37394302582962</x:v>
      </x:c>
      <x:c r="G1807" s="66" t="n">
        <x:v>284.3025605009799</x:v>
      </x:c>
      <x:c r="H1807" s="45" t="n">
        <x:v>1</x:v>
      </x:c>
      <x:c r="I1807" s="36" t="str">
        <x:v>generated design-reference observation; not predicted tract behavior</x:v>
      </x:c>
    </x:row>
    <x:row r="1808" ht="75.5999984741211" hidden="0" customHeight="1">
      <x:c r="A1808" s="34" t="str">
        <x:v>B1</x:v>
      </x:c>
      <x:c r="B1808" s="34" t="str">
        <x:v>48201451605</x:v>
      </x:c>
      <x:c r="C1808" s="65" t="n">
        <x:v>252.369314618264</x:v>
      </x:c>
      <x:c r="D1808" s="65" t="n">
        <x:v>137.9725985683015</x:v>
      </x:c>
      <x:c r="E1808" s="65" t="n">
        <x:v>114.39671604996252</x:v>
      </x:c>
      <x:c r="F1808" s="65" t="n">
        <x:v>114.39671604996252</x:v>
      </x:c>
      <x:c r="G1808" s="65" t="n">
        <x:v>252.369314618264</x:v>
      </x:c>
      <x:c r="H1808" s="43" t="n">
        <x:v>1</x:v>
      </x:c>
      <x:c r="I1808" s="34" t="str">
        <x:v>generated design-reference observation; not predicted tract behavior</x:v>
      </x:c>
    </x:row>
    <x:row r="1809" ht="75.5999984741211" hidden="0" customHeight="1">
      <x:c r="A1809" s="36" t="str">
        <x:v>B1</x:v>
      </x:c>
      <x:c r="B1809" s="36" t="str">
        <x:v>48201451606</x:v>
      </x:c>
      <x:c r="C1809" s="66" t="n">
        <x:v>509.86303886378147</x:v>
      </x:c>
      <x:c r="D1809" s="66" t="n">
        <x:v>305.85228225512947</x:v>
      </x:c>
      <x:c r="E1809" s="66" t="n">
        <x:v>204.010756608652</x:v>
      </x:c>
      <x:c r="F1809" s="66" t="n">
        <x:v>204.010756608652</x:v>
      </x:c>
      <x:c r="G1809" s="66" t="n">
        <x:v>509.86303886378147</x:v>
      </x:c>
      <x:c r="H1809" s="45" t="n">
        <x:v>1</x:v>
      </x:c>
      <x:c r="I1809" s="36" t="str">
        <x:v>generated design-reference observation; not predicted tract behavior</x:v>
      </x:c>
    </x:row>
    <x:row r="1810" ht="75.5999984741211" hidden="0" customHeight="1">
      <x:c r="A1810" s="34" t="str">
        <x:v>B1</x:v>
      </x:c>
      <x:c r="B1810" s="34" t="str">
        <x:v>48201451700</x:v>
      </x:c>
      <x:c r="C1810" s="65" t="n">
        <x:v>697.7407272717599</x:v>
      </x:c>
      <x:c r="D1810" s="65" t="n">
        <x:v>362.27721391828226</x:v>
      </x:c>
      <x:c r="E1810" s="65" t="n">
        <x:v>335.4635133534776</x:v>
      </x:c>
      <x:c r="F1810" s="65" t="n">
        <x:v>335.4635133534776</x:v>
      </x:c>
      <x:c r="G1810" s="65" t="n">
        <x:v>697.7407272717599</x:v>
      </x:c>
      <x:c r="H1810" s="43" t="n">
        <x:v>1</x:v>
      </x:c>
      <x:c r="I1810" s="34" t="str">
        <x:v>generated design-reference observation; not predicted tract behavior</x:v>
      </x:c>
    </x:row>
    <x:row r="1811" ht="75.5999984741211" hidden="0" customHeight="1">
      <x:c r="A1811" s="36" t="str">
        <x:v>B1</x:v>
      </x:c>
      <x:c r="B1811" s="36" t="str">
        <x:v>48201451800</x:v>
      </x:c>
      <x:c r="C1811" s="66" t="n">
        <x:v>828.0265446453651</x:v>
      </x:c>
      <x:c r="D1811" s="66" t="n">
        <x:v>437.3585033923989</x:v>
      </x:c>
      <x:c r="E1811" s="66" t="n">
        <x:v>390.6680412529662</x:v>
      </x:c>
      <x:c r="F1811" s="66" t="n">
        <x:v>390.6680412529662</x:v>
      </x:c>
      <x:c r="G1811" s="66" t="n">
        <x:v>828.0265446453651</x:v>
      </x:c>
      <x:c r="H1811" s="45" t="n">
        <x:v>1</x:v>
      </x:c>
      <x:c r="I1811" s="36" t="str">
        <x:v>generated design-reference observation; not predicted tract behavior</x:v>
      </x:c>
    </x:row>
    <x:row r="1812" ht="75.5999984741211" hidden="0" customHeight="1">
      <x:c r="A1812" s="34" t="str">
        <x:v>B1</x:v>
      </x:c>
      <x:c r="B1812" s="34" t="str">
        <x:v>48201451902</x:v>
      </x:c>
      <x:c r="C1812" s="65" t="n">
        <x:v>358.24254367855144</x:v>
      </x:c>
      <x:c r="D1812" s="65" t="n">
        <x:v>190.94327578066793</x:v>
      </x:c>
      <x:c r="E1812" s="65" t="n">
        <x:v>167.2992678978835</x:v>
      </x:c>
      <x:c r="F1812" s="65" t="n">
        <x:v>167.2992678978835</x:v>
      </x:c>
      <x:c r="G1812" s="65" t="n">
        <x:v>358.24254367855144</x:v>
      </x:c>
      <x:c r="H1812" s="43" t="n">
        <x:v>1</x:v>
      </x:c>
      <x:c r="I1812" s="34" t="str">
        <x:v>generated design-reference observation; not predicted tract behavior</x:v>
      </x:c>
    </x:row>
    <x:row r="1813" ht="75.5999984741211" hidden="0" customHeight="1">
      <x:c r="A1813" s="36" t="str">
        <x:v>B1</x:v>
      </x:c>
      <x:c r="B1813" s="36" t="str">
        <x:v>48201451903</x:v>
      </x:c>
      <x:c r="C1813" s="66" t="n">
        <x:v>680.5392521992475</x:v>
      </x:c>
      <x:c r="D1813" s="66" t="n">
        <x:v>188.1602103542805</x:v>
      </x:c>
      <x:c r="E1813" s="66" t="n">
        <x:v>492.379041844967</x:v>
      </x:c>
      <x:c r="F1813" s="66" t="n">
        <x:v>492.379041844967</x:v>
      </x:c>
      <x:c r="G1813" s="66" t="n">
        <x:v>680.5392521992475</x:v>
      </x:c>
      <x:c r="H1813" s="45" t="n">
        <x:v>1</x:v>
      </x:c>
      <x:c r="I1813" s="36" t="str">
        <x:v>generated design-reference observation; not predicted tract behavior</x:v>
      </x:c>
    </x:row>
    <x:row r="1814" ht="75.5999984741211" hidden="0" customHeight="1">
      <x:c r="A1814" s="34" t="str">
        <x:v>B1</x:v>
      </x:c>
      <x:c r="B1814" s="34" t="str">
        <x:v>48201451904</x:v>
      </x:c>
      <x:c r="C1814" s="65" t="n">
        <x:v>619.7754586649467</x:v>
      </x:c>
      <x:c r="D1814" s="65" t="n">
        <x:v>173.1644285844578</x:v>
      </x:c>
      <x:c r="E1814" s="65" t="n">
        <x:v>446.61103008048883</x:v>
      </x:c>
      <x:c r="F1814" s="65" t="n">
        <x:v>446.61103008048883</x:v>
      </x:c>
      <x:c r="G1814" s="65" t="n">
        <x:v>619.7754586649467</x:v>
      </x:c>
      <x:c r="H1814" s="43" t="n">
        <x:v>1</x:v>
      </x:c>
      <x:c r="I1814" s="34" t="str">
        <x:v>generated design-reference observation; not predicted tract behavior</x:v>
      </x:c>
    </x:row>
    <x:row r="1815" ht="75.5999984741211" hidden="0" customHeight="1">
      <x:c r="A1815" s="36" t="str">
        <x:v>B1</x:v>
      </x:c>
      <x:c r="B1815" s="36" t="str">
        <x:v>48201452001</x:v>
      </x:c>
      <x:c r="C1815" s="66" t="n">
        <x:v>1105.6657402682451</x:v>
      </x:c>
      <x:c r="D1815" s="66" t="n">
        <x:v>318.3421653155047</x:v>
      </x:c>
      <x:c r="E1815" s="66" t="n">
        <x:v>787.3235749527405</x:v>
      </x:c>
      <x:c r="F1815" s="66" t="n">
        <x:v>787.3235749527405</x:v>
      </x:c>
      <x:c r="G1815" s="66" t="n">
        <x:v>1105.6657402682451</x:v>
      </x:c>
      <x:c r="H1815" s="45" t="n">
        <x:v>1</x:v>
      </x:c>
      <x:c r="I1815" s="36" t="str">
        <x:v>generated design-reference observation; not predicted tract behavior</x:v>
      </x:c>
    </x:row>
    <x:row r="1816" ht="75.5999984741211" hidden="0" customHeight="1">
      <x:c r="A1816" s="34" t="str">
        <x:v>B1</x:v>
      </x:c>
      <x:c r="B1816" s="34" t="str">
        <x:v>48201452002</x:v>
      </x:c>
      <x:c r="C1816" s="65" t="n">
        <x:v>518.6403133999381</x:v>
      </x:c>
      <x:c r="D1816" s="65" t="n">
        <x:v>242.61647942686676</x:v>
      </x:c>
      <x:c r="E1816" s="65" t="n">
        <x:v>276.02383397307136</x:v>
      </x:c>
      <x:c r="F1816" s="65" t="n">
        <x:v>276.02383397307136</x:v>
      </x:c>
      <x:c r="G1816" s="65" t="n">
        <x:v>518.6403133999381</x:v>
      </x:c>
      <x:c r="H1816" s="43" t="n">
        <x:v>1</x:v>
      </x:c>
      <x:c r="I1816" s="34" t="str">
        <x:v>generated design-reference observation; not predicted tract behavior</x:v>
      </x:c>
    </x:row>
    <x:row r="1817" ht="75.5999984741211" hidden="0" customHeight="1">
      <x:c r="A1817" s="36" t="str">
        <x:v>B1</x:v>
      </x:c>
      <x:c r="B1817" s="36" t="str">
        <x:v>48201452101</x:v>
      </x:c>
      <x:c r="C1817" s="66" t="n">
        <x:v>1006.5637933959282</x:v>
      </x:c>
      <x:c r="D1817" s="66" t="n">
        <x:v>487.66499265347915</x:v>
      </x:c>
      <x:c r="E1817" s="66" t="n">
        <x:v>518.8988007424491</x:v>
      </x:c>
      <x:c r="F1817" s="66" t="n">
        <x:v>518.8988007424491</x:v>
      </x:c>
      <x:c r="G1817" s="66" t="n">
        <x:v>1006.5637933959282</x:v>
      </x:c>
      <x:c r="H1817" s="45" t="n">
        <x:v>1</x:v>
      </x:c>
      <x:c r="I1817" s="36" t="str">
        <x:v>generated design-reference observation; not predicted tract behavior</x:v>
      </x:c>
    </x:row>
    <x:row r="1818" ht="75.5999984741211" hidden="0" customHeight="1">
      <x:c r="A1818" s="34" t="str">
        <x:v>B1</x:v>
      </x:c>
      <x:c r="B1818" s="34" t="str">
        <x:v>48201452102</x:v>
      </x:c>
      <x:c r="C1818" s="65" t="n">
        <x:v>144.85888625752796</x:v>
      </x:c>
      <x:c r="D1818" s="65" t="n">
        <x:v>79.24382539159544</x:v>
      </x:c>
      <x:c r="E1818" s="65" t="n">
        <x:v>65.61506086593252</x:v>
      </x:c>
      <x:c r="F1818" s="65" t="n">
        <x:v>65.61506086593252</x:v>
      </x:c>
      <x:c r="G1818" s="65" t="n">
        <x:v>144.85888625752796</x:v>
      </x:c>
      <x:c r="H1818" s="43" t="n">
        <x:v>1</x:v>
      </x:c>
      <x:c r="I1818" s="34" t="str">
        <x:v>generated design-reference observation; not predicted tract behavior</x:v>
      </x:c>
    </x:row>
    <x:row r="1819" ht="75.5999984741211" hidden="0" customHeight="1">
      <x:c r="A1819" s="36" t="str">
        <x:v>B1</x:v>
      </x:c>
      <x:c r="B1819" s="36" t="str">
        <x:v>48201452103</x:v>
      </x:c>
      <x:c r="C1819" s="66" t="n">
        <x:v>200.55147309605238</x:v>
      </x:c>
      <x:c r="D1819" s="66" t="n">
        <x:v>112.58939297631393</x:v>
      </x:c>
      <x:c r="E1819" s="66" t="n">
        <x:v>87.96208011973845</x:v>
      </x:c>
      <x:c r="F1819" s="66" t="n">
        <x:v>87.96208011973846</x:v>
      </x:c>
      <x:c r="G1819" s="66" t="n">
        <x:v>200.55147309605238</x:v>
      </x:c>
      <x:c r="H1819" s="45" t="n">
        <x:v>1</x:v>
      </x:c>
      <x:c r="I1819" s="36" t="str">
        <x:v>generated design-reference observation; not predicted tract behavior</x:v>
      </x:c>
    </x:row>
    <x:row r="1820" ht="75.5999984741211" hidden="0" customHeight="1">
      <x:c r="A1820" s="34" t="str">
        <x:v>B1</x:v>
      </x:c>
      <x:c r="B1820" s="34" t="str">
        <x:v>48201452202</x:v>
      </x:c>
      <x:c r="C1820" s="65" t="n">
        <x:v>252.34573604635946</x:v>
      </x:c>
      <x:c r="D1820" s="65" t="n">
        <x:v>141.0426272762297</x:v>
      </x:c>
      <x:c r="E1820" s="65" t="n">
        <x:v>111.30310877012977</x:v>
      </x:c>
      <x:c r="F1820" s="65" t="n">
        <x:v>111.30310877012977</x:v>
      </x:c>
      <x:c r="G1820" s="65" t="n">
        <x:v>252.34573604635946</x:v>
      </x:c>
      <x:c r="H1820" s="43" t="n">
        <x:v>1</x:v>
      </x:c>
      <x:c r="I1820" s="34" t="str">
        <x:v>generated design-reference observation; not predicted tract behavior</x:v>
      </x:c>
    </x:row>
    <x:row r="1821" ht="75.5999984741211" hidden="0" customHeight="1">
      <x:c r="A1821" s="36" t="str">
        <x:v>B1</x:v>
      </x:c>
      <x:c r="B1821" s="36" t="str">
        <x:v>48201452203</x:v>
      </x:c>
      <x:c r="C1821" s="66" t="n">
        <x:v>182.73393226018806</x:v>
      </x:c>
      <x:c r="D1821" s="66" t="n">
        <x:v>104.63553096621922</x:v>
      </x:c>
      <x:c r="E1821" s="66" t="n">
        <x:v>78.09840129396883</x:v>
      </x:c>
      <x:c r="F1821" s="66" t="n">
        <x:v>78.09840129396883</x:v>
      </x:c>
      <x:c r="G1821" s="66" t="n">
        <x:v>182.73393226018806</x:v>
      </x:c>
      <x:c r="H1821" s="45" t="n">
        <x:v>1</x:v>
      </x:c>
      <x:c r="I1821" s="36" t="str">
        <x:v>generated design-reference observation; not predicted tract behavior</x:v>
      </x:c>
    </x:row>
    <x:row r="1822" ht="75.5999984741211" hidden="0" customHeight="1">
      <x:c r="A1822" s="34" t="str">
        <x:v>B1</x:v>
      </x:c>
      <x:c r="B1822" s="34" t="str">
        <x:v>48201452204</x:v>
      </x:c>
      <x:c r="C1822" s="65" t="n">
        <x:v>196.6335003979146</x:v>
      </x:c>
      <x:c r="D1822" s="65" t="n">
        <x:v>106.89957535691985</x:v>
      </x:c>
      <x:c r="E1822" s="65" t="n">
        <x:v>89.73392504099473</x:v>
      </x:c>
      <x:c r="F1822" s="65" t="n">
        <x:v>89.73392504099473</x:v>
      </x:c>
      <x:c r="G1822" s="65" t="n">
        <x:v>196.6335003979146</x:v>
      </x:c>
      <x:c r="H1822" s="43" t="n">
        <x:v>1</x:v>
      </x:c>
      <x:c r="I1822" s="34" t="str">
        <x:v>generated design-reference observation; not predicted tract behavior</x:v>
      </x:c>
    </x:row>
    <x:row r="1823" ht="75.5999984741211" hidden="0" customHeight="1">
      <x:c r="A1823" s="36" t="str">
        <x:v>B1</x:v>
      </x:c>
      <x:c r="B1823" s="36" t="str">
        <x:v>48201452300</x:v>
      </x:c>
      <x:c r="C1823" s="66" t="n">
        <x:v>388.24839245276274</x:v>
      </x:c>
      <x:c r="D1823" s="66" t="n">
        <x:v>111.18004037033415</x:v>
      </x:c>
      <x:c r="E1823" s="66" t="n">
        <x:v>277.0683520824286</x:v>
      </x:c>
      <x:c r="F1823" s="66" t="n">
        <x:v>277.0683520824286</x:v>
      </x:c>
      <x:c r="G1823" s="66" t="n">
        <x:v>388.24839245276274</x:v>
      </x:c>
      <x:c r="H1823" s="45" t="n">
        <x:v>1</x:v>
      </x:c>
      <x:c r="I1823" s="36" t="str">
        <x:v>generated design-reference observation; not predicted tract behavior</x:v>
      </x:c>
    </x:row>
    <x:row r="1824" ht="75.5999984741211" hidden="0" customHeight="1">
      <x:c r="A1824" s="34" t="str">
        <x:v>B1</x:v>
      </x:c>
      <x:c r="B1824" s="34" t="str">
        <x:v>48201452401</x:v>
      </x:c>
      <x:c r="C1824" s="65" t="n">
        <x:v>556.1254060980232</x:v>
      </x:c>
      <x:c r="D1824" s="65" t="n">
        <x:v>159.99369806790753</x:v>
      </x:c>
      <x:c r="E1824" s="65" t="n">
        <x:v>396.13170803011565</x:v>
      </x:c>
      <x:c r="F1824" s="65" t="n">
        <x:v>396.13170803011565</x:v>
      </x:c>
      <x:c r="G1824" s="65" t="n">
        <x:v>556.1254060980232</x:v>
      </x:c>
      <x:c r="H1824" s="43" t="n">
        <x:v>1</x:v>
      </x:c>
      <x:c r="I1824" s="34" t="str">
        <x:v>generated design-reference observation; not predicted tract behavior</x:v>
      </x:c>
    </x:row>
    <x:row r="1825" ht="75.5999984741211" hidden="0" customHeight="1">
      <x:c r="A1825" s="36" t="str">
        <x:v>B1</x:v>
      </x:c>
      <x:c r="B1825" s="36" t="str">
        <x:v>48201452402</x:v>
      </x:c>
      <x:c r="C1825" s="66" t="n">
        <x:v>559.0978176049123</x:v>
      </x:c>
      <x:c r="D1825" s="66" t="n">
        <x:v>289.879616794027</x:v>
      </x:c>
      <x:c r="E1825" s="66" t="n">
        <x:v>269.21820081088526</x:v>
      </x:c>
      <x:c r="F1825" s="66" t="n">
        <x:v>269.21820081088526</x:v>
      </x:c>
      <x:c r="G1825" s="66" t="n">
        <x:v>559.0978176049123</x:v>
      </x:c>
      <x:c r="H1825" s="45" t="n">
        <x:v>1</x:v>
      </x:c>
      <x:c r="I1825" s="36" t="str">
        <x:v>generated design-reference observation; not predicted tract behavior</x:v>
      </x:c>
    </x:row>
    <x:row r="1826" ht="75.5999984741211" hidden="0" customHeight="1">
      <x:c r="A1826" s="34" t="str">
        <x:v>B1</x:v>
      </x:c>
      <x:c r="B1826" s="34" t="str">
        <x:v>48201452501</x:v>
      </x:c>
      <x:c r="C1826" s="65" t="n">
        <x:v>201.49461597223404</x:v>
      </x:c>
      <x:c r="D1826" s="65" t="n">
        <x:v>115.9013326811724</x:v>
      </x:c>
      <x:c r="E1826" s="65" t="n">
        <x:v>85.59328329106164</x:v>
      </x:c>
      <x:c r="F1826" s="65" t="n">
        <x:v>85.59328329106164</x:v>
      </x:c>
      <x:c r="G1826" s="65" t="n">
        <x:v>201.49461597223404</x:v>
      </x:c>
      <x:c r="H1826" s="43" t="n">
        <x:v>1</x:v>
      </x:c>
      <x:c r="I1826" s="34" t="str">
        <x:v>generated design-reference observation; not predicted tract behavior</x:v>
      </x:c>
    </x:row>
    <x:row r="1827" ht="75.5999984741211" hidden="0" customHeight="1">
      <x:c r="A1827" s="36" t="str">
        <x:v>B1</x:v>
      </x:c>
      <x:c r="B1827" s="36" t="str">
        <x:v>48201452502</x:v>
      </x:c>
      <x:c r="C1827" s="66" t="n">
        <x:v>367.43274551242115</x:v>
      </x:c>
      <x:c r="D1827" s="66" t="n">
        <x:v>220.63566134672007</x:v>
      </x:c>
      <x:c r="E1827" s="66" t="n">
        <x:v>146.79708416570108</x:v>
      </x:c>
      <x:c r="F1827" s="66" t="n">
        <x:v>146.79708416570108</x:v>
      </x:c>
      <x:c r="G1827" s="66" t="n">
        <x:v>367.43274551242115</x:v>
      </x:c>
      <x:c r="H1827" s="45" t="n">
        <x:v>1</x:v>
      </x:c>
      <x:c r="I1827" s="36" t="str">
        <x:v>generated design-reference observation; not predicted tract behavior</x:v>
      </x:c>
    </x:row>
    <x:row r="1828" ht="75.5999984741211" hidden="0" customHeight="1">
      <x:c r="A1828" s="34" t="str">
        <x:v>B1</x:v>
      </x:c>
      <x:c r="B1828" s="34" t="str">
        <x:v>48201452601</x:v>
      </x:c>
      <x:c r="C1828" s="65" t="n">
        <x:v>772.0089967196949</x:v>
      </x:c>
      <x:c r="D1828" s="65" t="n">
        <x:v>377.96723095708103</x:v>
      </x:c>
      <x:c r="E1828" s="65" t="n">
        <x:v>394.04176576261386</x:v>
      </x:c>
      <x:c r="F1828" s="65" t="n">
        <x:v>394.04176576261386</x:v>
      </x:c>
      <x:c r="G1828" s="65" t="n">
        <x:v>772.0089967196949</x:v>
      </x:c>
      <x:c r="H1828" s="43" t="n">
        <x:v>1</x:v>
      </x:c>
      <x:c r="I1828" s="34" t="str">
        <x:v>generated design-reference observation; not predicted tract behavior</x:v>
      </x:c>
    </x:row>
    <x:row r="1829" ht="75.5999984741211" hidden="0" customHeight="1">
      <x:c r="A1829" s="36" t="str">
        <x:v>B1</x:v>
      </x:c>
      <x:c r="B1829" s="36" t="str">
        <x:v>48201452602</x:v>
      </x:c>
      <x:c r="C1829" s="66" t="n">
        <x:v>241.71180011741174</x:v>
      </x:c>
      <x:c r="D1829" s="66" t="n">
        <x:v>142.25713927171023</x:v>
      </x:c>
      <x:c r="E1829" s="66" t="n">
        <x:v>99.45466084570151</x:v>
      </x:c>
      <x:c r="F1829" s="66" t="n">
        <x:v>99.45466084570151</x:v>
      </x:c>
      <x:c r="G1829" s="66" t="n">
        <x:v>241.71180011741174</x:v>
      </x:c>
      <x:c r="H1829" s="45" t="n">
        <x:v>1</x:v>
      </x:c>
      <x:c r="I1829" s="36" t="str">
        <x:v>generated design-reference observation; not predicted tract behavior</x:v>
      </x:c>
    </x:row>
    <x:row r="1830" ht="75.5999984741211" hidden="0" customHeight="1">
      <x:c r="A1830" s="34" t="str">
        <x:v>B1</x:v>
      </x:c>
      <x:c r="B1830" s="34" t="str">
        <x:v>48201452701</x:v>
      </x:c>
      <x:c r="C1830" s="65" t="n">
        <x:v>323.11288985585344</x:v>
      </x:c>
      <x:c r="D1830" s="65" t="n">
        <x:v>195.6286121043262</x:v>
      </x:c>
      <x:c r="E1830" s="65" t="n">
        <x:v>127.48427775152723</x:v>
      </x:c>
      <x:c r="F1830" s="65" t="n">
        <x:v>127.48427775152723</x:v>
      </x:c>
      <x:c r="G1830" s="65" t="n">
        <x:v>323.11288985585344</x:v>
      </x:c>
      <x:c r="H1830" s="43" t="n">
        <x:v>1</x:v>
      </x:c>
      <x:c r="I1830" s="34" t="str">
        <x:v>generated design-reference observation; not predicted tract behavior</x:v>
      </x:c>
    </x:row>
    <x:row r="1831" ht="75.5999984741211" hidden="0" customHeight="1">
      <x:c r="A1831" s="36" t="str">
        <x:v>B1</x:v>
      </x:c>
      <x:c r="B1831" s="36" t="str">
        <x:v>48201452702</x:v>
      </x:c>
      <x:c r="C1831" s="66" t="n">
        <x:v>348.15333321847527</x:v>
      </x:c>
      <x:c r="D1831" s="66" t="n">
        <x:v>196.61924816886574</x:v>
      </x:c>
      <x:c r="E1831" s="66" t="n">
        <x:v>151.53408504960953</x:v>
      </x:c>
      <x:c r="F1831" s="66" t="n">
        <x:v>151.53408504960953</x:v>
      </x:c>
      <x:c r="G1831" s="66" t="n">
        <x:v>348.15333321847527</x:v>
      </x:c>
      <x:c r="H1831" s="45" t="n">
        <x:v>1</x:v>
      </x:c>
      <x:c r="I1831" s="36" t="str">
        <x:v>generated design-reference observation; not predicted tract behavior</x:v>
      </x:c>
    </x:row>
    <x:row r="1832" ht="75.5999984741211" hidden="0" customHeight="1">
      <x:c r="A1832" s="34" t="str">
        <x:v>B1</x:v>
      </x:c>
      <x:c r="B1832" s="34" t="str">
        <x:v>48201452703</x:v>
      </x:c>
      <x:c r="C1832" s="65" t="n">
        <x:v>322.5037767483194</x:v>
      </x:c>
      <x:c r="D1832" s="65" t="n">
        <x:v>189.00750358162176</x:v>
      </x:c>
      <x:c r="E1832" s="65" t="n">
        <x:v>133.49627316669765</x:v>
      </x:c>
      <x:c r="F1832" s="65" t="n">
        <x:v>107.32150389490656</x:v>
      </x:c>
      <x:c r="G1832" s="65" t="n">
        <x:v>296.3290074765283</x:v>
      </x:c>
      <x:c r="H1832" s="43" t="n">
        <x:v>0.9188388752041878</x:v>
      </x:c>
      <x:c r="I1832" s="34" t="str">
        <x:v>generated design-reference observation; not predicted tract behavior</x:v>
      </x:c>
    </x:row>
    <x:row r="1833" ht="75.5999984741211" hidden="0" customHeight="1">
      <x:c r="A1833" s="36" t="str">
        <x:v>B1</x:v>
      </x:c>
      <x:c r="B1833" s="36" t="str">
        <x:v>48201452801</x:v>
      </x:c>
      <x:c r="C1833" s="66" t="n">
        <x:v>940.5480241145826</x:v>
      </x:c>
      <x:c r="D1833" s="66" t="n">
        <x:v>273.0815813602458</x:v>
      </x:c>
      <x:c r="E1833" s="66" t="n">
        <x:v>667.4664427543369</x:v>
      </x:c>
      <x:c r="F1833" s="66" t="n">
        <x:v>667.4664427543369</x:v>
      </x:c>
      <x:c r="G1833" s="66" t="n">
        <x:v>940.5480241145826</x:v>
      </x:c>
      <x:c r="H1833" s="45" t="n">
        <x:v>1</x:v>
      </x:c>
      <x:c r="I1833" s="36" t="str">
        <x:v>generated design-reference observation; not predicted tract behavior</x:v>
      </x:c>
    </x:row>
    <x:row r="1834" ht="75.5999984741211" hidden="0" customHeight="1">
      <x:c r="A1834" s="34" t="str">
        <x:v>B1</x:v>
      </x:c>
      <x:c r="B1834" s="34" t="str">
        <x:v>48201452802</x:v>
      </x:c>
      <x:c r="C1834" s="65" t="n">
        <x:v>900.8973302738808</x:v>
      </x:c>
      <x:c r="D1834" s="65" t="n">
        <x:v>466.9014583160897</x:v>
      </x:c>
      <x:c r="E1834" s="65" t="n">
        <x:v>433.9958719577911</x:v>
      </x:c>
      <x:c r="F1834" s="65" t="n">
        <x:v>433.9958719577911</x:v>
      </x:c>
      <x:c r="G1834" s="65" t="n">
        <x:v>900.8973302738808</x:v>
      </x:c>
      <x:c r="H1834" s="43" t="n">
        <x:v>1</x:v>
      </x:c>
      <x:c r="I1834" s="34" t="str">
        <x:v>generated design-reference observation; not predicted tract behavior</x:v>
      </x:c>
    </x:row>
    <x:row r="1835" ht="75.5999984741211" hidden="0" customHeight="1">
      <x:c r="A1835" s="36" t="str">
        <x:v>B1</x:v>
      </x:c>
      <x:c r="B1835" s="36" t="str">
        <x:v>48201452900</x:v>
      </x:c>
      <x:c r="C1835" s="66" t="n">
        <x:v>743.4783201364339</x:v>
      </x:c>
      <x:c r="D1835" s="66" t="n">
        <x:v>217.4674086399069</x:v>
      </x:c>
      <x:c r="E1835" s="66" t="n">
        <x:v>526.010911496527</x:v>
      </x:c>
      <x:c r="F1835" s="66" t="n">
        <x:v>526.010911496527</x:v>
      </x:c>
      <x:c r="G1835" s="66" t="n">
        <x:v>743.4783201364339</x:v>
      </x:c>
      <x:c r="H1835" s="45" t="n">
        <x:v>1</x:v>
      </x:c>
      <x:c r="I1835" s="36" t="str">
        <x:v>generated design-reference observation; not predicted tract behavior</x:v>
      </x:c>
    </x:row>
    <x:row r="1836" ht="75.5999984741211" hidden="0" customHeight="1">
      <x:c r="A1836" s="34" t="str">
        <x:v>B1</x:v>
      </x:c>
      <x:c r="B1836" s="34" t="str">
        <x:v>48201453001</x:v>
      </x:c>
      <x:c r="C1836" s="65" t="n">
        <x:v>546.1716212817065</x:v>
      </x:c>
      <x:c r="D1836" s="65" t="n">
        <x:v>159.32162561531172</x:v>
      </x:c>
      <x:c r="E1836" s="65" t="n">
        <x:v>386.84999566639476</x:v>
      </x:c>
      <x:c r="F1836" s="65" t="n">
        <x:v>386.84999566639476</x:v>
      </x:c>
      <x:c r="G1836" s="65" t="n">
        <x:v>546.1716212817065</x:v>
      </x:c>
      <x:c r="H1836" s="43" t="n">
        <x:v>1</x:v>
      </x:c>
      <x:c r="I1836" s="34" t="str">
        <x:v>generated design-reference observation; not predicted tract behavior</x:v>
      </x:c>
    </x:row>
    <x:row r="1837" ht="75.5999984741211" hidden="0" customHeight="1">
      <x:c r="A1837" s="36" t="str">
        <x:v>B1</x:v>
      </x:c>
      <x:c r="B1837" s="36" t="str">
        <x:v>48201453002</x:v>
      </x:c>
      <x:c r="C1837" s="66" t="n">
        <x:v>883.6269332219549</x:v>
      </x:c>
      <x:c r="D1837" s="66" t="n">
        <x:v>256.8777130453991</x:v>
      </x:c>
      <x:c r="E1837" s="66" t="n">
        <x:v>626.7492201765558</x:v>
      </x:c>
      <x:c r="F1837" s="66" t="n">
        <x:v>626.7492201765558</x:v>
      </x:c>
      <x:c r="G1837" s="66" t="n">
        <x:v>883.6269332219549</x:v>
      </x:c>
      <x:c r="H1837" s="45" t="n">
        <x:v>1</x:v>
      </x:c>
      <x:c r="I1837" s="36" t="str">
        <x:v>generated design-reference observation; not predicted tract behavior</x:v>
      </x:c>
    </x:row>
    <x:row r="1838" ht="75.5999984741211" hidden="0" customHeight="1">
      <x:c r="A1838" s="34" t="str">
        <x:v>B1</x:v>
      </x:c>
      <x:c r="B1838" s="34" t="str">
        <x:v>48201453100</x:v>
      </x:c>
      <x:c r="C1838" s="65" t="n">
        <x:v>650.0938746615848</x:v>
      </x:c>
      <x:c r="D1838" s="65" t="n">
        <x:v>182.1319680043759</x:v>
      </x:c>
      <x:c r="E1838" s="65" t="n">
        <x:v>467.9619066572089</x:v>
      </x:c>
      <x:c r="F1838" s="65" t="n">
        <x:v>467.9619066572089</x:v>
      </x:c>
      <x:c r="G1838" s="65" t="n">
        <x:v>650.0938746615848</x:v>
      </x:c>
      <x:c r="H1838" s="43" t="n">
        <x:v>1</x:v>
      </x:c>
      <x:c r="I1838" s="34" t="str">
        <x:v>generated design-reference observation; not predicted tract behavior</x:v>
      </x:c>
    </x:row>
    <x:row r="1839" ht="75.5999984741211" hidden="0" customHeight="1">
      <x:c r="A1839" s="36" t="str">
        <x:v>B1</x:v>
      </x:c>
      <x:c r="B1839" s="36" t="str">
        <x:v>48201453201</x:v>
      </x:c>
      <x:c r="C1839" s="66" t="n">
        <x:v>704.5095911446632</x:v>
      </x:c>
      <x:c r="D1839" s="66" t="n">
        <x:v>189.82610505264108</x:v>
      </x:c>
      <x:c r="E1839" s="66" t="n">
        <x:v>514.6834860920221</x:v>
      </x:c>
      <x:c r="F1839" s="66" t="n">
        <x:v>514.6834860920221</x:v>
      </x:c>
      <x:c r="G1839" s="66" t="n">
        <x:v>704.5095911446632</x:v>
      </x:c>
      <x:c r="H1839" s="45" t="n">
        <x:v>1</x:v>
      </x:c>
      <x:c r="I1839" s="36" t="str">
        <x:v>generated design-reference observation; not predicted tract behavior</x:v>
      </x:c>
    </x:row>
    <x:row r="1840" ht="75.5999984741211" hidden="0" customHeight="1">
      <x:c r="A1840" s="34" t="str">
        <x:v>B1</x:v>
      </x:c>
      <x:c r="B1840" s="34" t="str">
        <x:v>48201453202</x:v>
      </x:c>
      <x:c r="C1840" s="65" t="n">
        <x:v>729.1111103226008</x:v>
      </x:c>
      <x:c r="D1840" s="65" t="n">
        <x:v>365.8207143505605</x:v>
      </x:c>
      <x:c r="E1840" s="65" t="n">
        <x:v>363.2903959720403</x:v>
      </x:c>
      <x:c r="F1840" s="65" t="n">
        <x:v>363.2903959720403</x:v>
      </x:c>
      <x:c r="G1840" s="65" t="n">
        <x:v>729.1111103226008</x:v>
      </x:c>
      <x:c r="H1840" s="43" t="n">
        <x:v>1</x:v>
      </x:c>
      <x:c r="I1840" s="34" t="str">
        <x:v>generated design-reference observation; not predicted tract behavior</x:v>
      </x:c>
    </x:row>
    <x:row r="1841" ht="75.5999984741211" hidden="0" customHeight="1">
      <x:c r="A1841" s="36" t="str">
        <x:v>B1</x:v>
      </x:c>
      <x:c r="B1841" s="36" t="str">
        <x:v>48201453300</x:v>
      </x:c>
      <x:c r="C1841" s="66" t="n">
        <x:v>673.5593903367368</x:v>
      </x:c>
      <x:c r="D1841" s="66" t="n">
        <x:v>327.0343077617042</x:v>
      </x:c>
      <x:c r="E1841" s="66" t="n">
        <x:v>346.52508257503257</x:v>
      </x:c>
      <x:c r="F1841" s="66" t="n">
        <x:v>346.52508257503257</x:v>
      </x:c>
      <x:c r="G1841" s="66" t="n">
        <x:v>673.5593903367368</x:v>
      </x:c>
      <x:c r="H1841" s="45" t="n">
        <x:v>1</x:v>
      </x:c>
      <x:c r="I1841" s="36" t="str">
        <x:v>generated design-reference observation; not predicted tract behavior</x:v>
      </x:c>
    </x:row>
    <x:row r="1842" ht="75.5999984741211" hidden="0" customHeight="1">
      <x:c r="A1842" s="34" t="str">
        <x:v>B1</x:v>
      </x:c>
      <x:c r="B1842" s="34" t="str">
        <x:v>48201453401</x:v>
      </x:c>
      <x:c r="C1842" s="65" t="n">
        <x:v>297.6401726749816</x:v>
      </x:c>
      <x:c r="D1842" s="65" t="n">
        <x:v>174.5838196842372</x:v>
      </x:c>
      <x:c r="E1842" s="65" t="n">
        <x:v>123.05635299074441</x:v>
      </x:c>
      <x:c r="F1842" s="65" t="n">
        <x:v>123.05635299074441</x:v>
      </x:c>
      <x:c r="G1842" s="65" t="n">
        <x:v>297.6401726749816</x:v>
      </x:c>
      <x:c r="H1842" s="43" t="n">
        <x:v>1</x:v>
      </x:c>
      <x:c r="I1842" s="34" t="str">
        <x:v>generated design-reference observation; not predicted tract behavior</x:v>
      </x:c>
    </x:row>
    <x:row r="1843" ht="75.5999984741211" hidden="0" customHeight="1">
      <x:c r="A1843" s="36" t="str">
        <x:v>B1</x:v>
      </x:c>
      <x:c r="B1843" s="36" t="str">
        <x:v>48201453403</x:v>
      </x:c>
      <x:c r="C1843" s="66" t="n">
        <x:v>322.72777318141254</x:v>
      </x:c>
      <x:c r="D1843" s="66" t="n">
        <x:v>185.27035270106407</x:v>
      </x:c>
      <x:c r="E1843" s="66" t="n">
        <x:v>137.45742048034847</x:v>
      </x:c>
      <x:c r="F1843" s="66" t="n">
        <x:v>137.45742048034847</x:v>
      </x:c>
      <x:c r="G1843" s="66" t="n">
        <x:v>322.72777318141254</x:v>
      </x:c>
      <x:c r="H1843" s="45" t="n">
        <x:v>1</x:v>
      </x:c>
      <x:c r="I1843" s="36" t="str">
        <x:v>generated design-reference observation; not predicted tract behavior</x:v>
      </x:c>
    </x:row>
    <x:row r="1844" ht="75.5999984741211" hidden="0" customHeight="1">
      <x:c r="A1844" s="34" t="str">
        <x:v>B1</x:v>
      </x:c>
      <x:c r="B1844" s="34" t="str">
        <x:v>48201453404</x:v>
      </x:c>
      <x:c r="C1844" s="65" t="n">
        <x:v>369.0242991159776</x:v>
      </x:c>
      <x:c r="D1844" s="65" t="n">
        <x:v>217.51971959109338</x:v>
      </x:c>
      <x:c r="E1844" s="65" t="n">
        <x:v>151.50457952488424</x:v>
      </x:c>
      <x:c r="F1844" s="65" t="n">
        <x:v>151.50457952488424</x:v>
      </x:c>
      <x:c r="G1844" s="65" t="n">
        <x:v>369.0242991159776</x:v>
      </x:c>
      <x:c r="H1844" s="43" t="n">
        <x:v>1</x:v>
      </x:c>
      <x:c r="I1844" s="34" t="str">
        <x:v>generated design-reference observation; not predicted tract behavior</x:v>
      </x:c>
    </x:row>
    <x:row r="1845" ht="75.5999984741211" hidden="0" customHeight="1">
      <x:c r="A1845" s="36" t="str">
        <x:v>B1</x:v>
      </x:c>
      <x:c r="B1845" s="36" t="str">
        <x:v>48201453405</x:v>
      </x:c>
      <x:c r="C1845" s="66" t="n">
        <x:v>331.9469947960878</x:v>
      </x:c>
      <x:c r="D1845" s="66" t="n">
        <x:v>191.648457169585</x:v>
      </x:c>
      <x:c r="E1845" s="66" t="n">
        <x:v>140.2985376265028</x:v>
      </x:c>
      <x:c r="F1845" s="66" t="n">
        <x:v>140.2985376265028</x:v>
      </x:c>
      <x:c r="G1845" s="66" t="n">
        <x:v>331.9469947960878</x:v>
      </x:c>
      <x:c r="H1845" s="45" t="n">
        <x:v>1</x:v>
      </x:c>
      <x:c r="I1845" s="36" t="str">
        <x:v>generated design-reference observation; not predicted tract behavior</x:v>
      </x:c>
    </x:row>
    <x:row r="1846" ht="75.5999984741211" hidden="0" customHeight="1">
      <x:c r="A1846" s="34" t="str">
        <x:v>B1</x:v>
      </x:c>
      <x:c r="B1846" s="34" t="str">
        <x:v>48201453501</x:v>
      </x:c>
      <x:c r="C1846" s="65" t="n">
        <x:v>483.40002166291896</x:v>
      </x:c>
      <x:c r="D1846" s="65" t="n">
        <x:v>289.5032313786042</x:v>
      </x:c>
      <x:c r="E1846" s="65" t="n">
        <x:v>193.89679028431476</x:v>
      </x:c>
      <x:c r="F1846" s="65" t="n">
        <x:v>193.89679028431476</x:v>
      </x:c>
      <x:c r="G1846" s="65" t="n">
        <x:v>483.40002166291896</x:v>
      </x:c>
      <x:c r="H1846" s="43" t="n">
        <x:v>1</x:v>
      </x:c>
      <x:c r="I1846" s="34" t="str">
        <x:v>generated design-reference observation; not predicted tract behavior</x:v>
      </x:c>
    </x:row>
    <x:row r="1847" ht="75.5999984741211" hidden="0" customHeight="1">
      <x:c r="A1847" s="36" t="str">
        <x:v>B1</x:v>
      </x:c>
      <x:c r="B1847" s="36" t="str">
        <x:v>48201453502</x:v>
      </x:c>
      <x:c r="C1847" s="66" t="n">
        <x:v>521.1015535595122</x:v>
      </x:c>
      <x:c r="D1847" s="66" t="n">
        <x:v>276.7698696337206</x:v>
      </x:c>
      <x:c r="E1847" s="66" t="n">
        <x:v>244.33168392579165</x:v>
      </x:c>
      <x:c r="F1847" s="66" t="n">
        <x:v>244.33168392579165</x:v>
      </x:c>
      <x:c r="G1847" s="66" t="n">
        <x:v>521.1015535595122</x:v>
      </x:c>
      <x:c r="H1847" s="45" t="n">
        <x:v>1</x:v>
      </x:c>
      <x:c r="I1847" s="36" t="str">
        <x:v>generated design-reference observation; not predicted tract behavior</x:v>
      </x:c>
    </x:row>
    <x:row r="1848" ht="75.5999984741211" hidden="0" customHeight="1">
      <x:c r="A1848" s="34" t="str">
        <x:v>B1</x:v>
      </x:c>
      <x:c r="B1848" s="34" t="str">
        <x:v>48201453601</x:v>
      </x:c>
      <x:c r="C1848" s="65" t="n">
        <x:v>131.26190979257638</x:v>
      </x:c>
      <x:c r="D1848" s="65" t="n">
        <x:v>76.60580843677302</x:v>
      </x:c>
      <x:c r="E1848" s="65" t="n">
        <x:v>54.65610135580336</x:v>
      </x:c>
      <x:c r="F1848" s="65" t="n">
        <x:v>54.65610135580336</x:v>
      </x:c>
      <x:c r="G1848" s="65" t="n">
        <x:v>131.26190979257638</x:v>
      </x:c>
      <x:c r="H1848" s="43" t="n">
        <x:v>1</x:v>
      </x:c>
      <x:c r="I1848" s="34" t="str">
        <x:v>generated design-reference observation; not predicted tract behavior</x:v>
      </x:c>
    </x:row>
    <x:row r="1849" ht="75.5999984741211" hidden="0" customHeight="1">
      <x:c r="A1849" s="36" t="str">
        <x:v>B1</x:v>
      </x:c>
      <x:c r="B1849" s="36" t="str">
        <x:v>48201453603</x:v>
      </x:c>
      <x:c r="C1849" s="66" t="n">
        <x:v>602.3055506199826</x:v>
      </x:c>
      <x:c r="D1849" s="66" t="n">
        <x:v>169.05363800680502</x:v>
      </x:c>
      <x:c r="E1849" s="66" t="n">
        <x:v>433.2519126131775</x:v>
      </x:c>
      <x:c r="F1849" s="66" t="n">
        <x:v>433.2519126131775</x:v>
      </x:c>
      <x:c r="G1849" s="66" t="n">
        <x:v>602.3055506199826</x:v>
      </x:c>
      <x:c r="H1849" s="45" t="n">
        <x:v>1</x:v>
      </x:c>
      <x:c r="I1849" s="36" t="str">
        <x:v>generated design-reference observation; not predicted tract behavior</x:v>
      </x:c>
    </x:row>
    <x:row r="1850" ht="75.5999984741211" hidden="0" customHeight="1">
      <x:c r="A1850" s="34" t="str">
        <x:v>B1</x:v>
      </x:c>
      <x:c r="B1850" s="34" t="str">
        <x:v>48201453604</x:v>
      </x:c>
      <x:c r="C1850" s="65" t="n">
        <x:v>291.26216897480344</x:v>
      </x:c>
      <x:c r="D1850" s="65" t="n">
        <x:v>177.9611852436049</x:v>
      </x:c>
      <x:c r="E1850" s="65" t="n">
        <x:v>113.30098373119856</x:v>
      </x:c>
      <x:c r="F1850" s="65" t="n">
        <x:v>113.30098373119856</x:v>
      </x:c>
      <x:c r="G1850" s="65" t="n">
        <x:v>291.26216897480344</x:v>
      </x:c>
      <x:c r="H1850" s="43" t="n">
        <x:v>1</x:v>
      </x:c>
      <x:c r="I1850" s="34" t="str">
        <x:v>generated design-reference observation; not predicted tract behavior</x:v>
      </x:c>
    </x:row>
    <x:row r="1851" ht="75.5999984741211" hidden="0" customHeight="1">
      <x:c r="A1851" s="36" t="str">
        <x:v>B1</x:v>
      </x:c>
      <x:c r="B1851" s="36" t="str">
        <x:v>48201453701</x:v>
      </x:c>
      <x:c r="C1851" s="66" t="n">
        <x:v>366.81970264290305</x:v>
      </x:c>
      <x:c r="D1851" s="66" t="n">
        <x:v>218.95069886181577</x:v>
      </x:c>
      <x:c r="E1851" s="66" t="n">
        <x:v>147.8690037810873</x:v>
      </x:c>
      <x:c r="F1851" s="66" t="n">
        <x:v>147.8690037810873</x:v>
      </x:c>
      <x:c r="G1851" s="66" t="n">
        <x:v>366.81970264290305</x:v>
      </x:c>
      <x:c r="H1851" s="45" t="n">
        <x:v>1</x:v>
      </x:c>
      <x:c r="I1851" s="36" t="str">
        <x:v>generated design-reference observation; not predicted tract behavior</x:v>
      </x:c>
    </x:row>
    <x:row r="1852" ht="75.5999984741211" hidden="0" customHeight="1">
      <x:c r="A1852" s="34" t="str">
        <x:v>B1</x:v>
      </x:c>
      <x:c r="B1852" s="34" t="str">
        <x:v>48201453702</x:v>
      </x:c>
      <x:c r="C1852" s="65" t="n">
        <x:v>780.9996875605259</x:v>
      </x:c>
      <x:c r="D1852" s="65" t="n">
        <x:v>218.55551942154946</x:v>
      </x:c>
      <x:c r="E1852" s="65" t="n">
        <x:v>562.4441681389765</x:v>
      </x:c>
      <x:c r="F1852" s="65" t="n">
        <x:v>562.4441681389765</x:v>
      </x:c>
      <x:c r="G1852" s="65" t="n">
        <x:v>780.9996875605259</x:v>
      </x:c>
      <x:c r="H1852" s="43" t="n">
        <x:v>1</x:v>
      </x:c>
      <x:c r="I1852" s="34" t="str">
        <x:v>generated design-reference observation; not predicted tract behavior</x:v>
      </x:c>
    </x:row>
    <x:row r="1853" ht="75.5999984741211" hidden="0" customHeight="1">
      <x:c r="A1853" s="36" t="str">
        <x:v>B1</x:v>
      </x:c>
      <x:c r="B1853" s="36" t="str">
        <x:v>48201453800</x:v>
      </x:c>
      <x:c r="C1853" s="66" t="n">
        <x:v>628.9928665433214</x:v>
      </x:c>
      <x:c r="D1853" s="66" t="n">
        <x:v>180.41950223558754</x:v>
      </x:c>
      <x:c r="E1853" s="66" t="n">
        <x:v>448.57336430773387</x:v>
      </x:c>
      <x:c r="F1853" s="66" t="n">
        <x:v>448.57336430773387</x:v>
      </x:c>
      <x:c r="G1853" s="66" t="n">
        <x:v>628.9928665433214</x:v>
      </x:c>
      <x:c r="H1853" s="45" t="n">
        <x:v>1</x:v>
      </x:c>
      <x:c r="I1853" s="36" t="str">
        <x:v>generated design-reference observation; not predicted tract behavior</x:v>
      </x:c>
    </x:row>
    <x:row r="1854" ht="75.5999984741211" hidden="0" customHeight="1">
      <x:c r="A1854" s="34" t="str">
        <x:v>B1</x:v>
      </x:c>
      <x:c r="B1854" s="34" t="str">
        <x:v>48201453901</x:v>
      </x:c>
      <x:c r="C1854" s="65" t="n">
        <x:v>492.32451112878744</x:v>
      </x:c>
      <x:c r="D1854" s="65" t="n">
        <x:v>299.62398225231004</x:v>
      </x:c>
      <x:c r="E1854" s="65" t="n">
        <x:v>192.7005288764774</x:v>
      </x:c>
      <x:c r="F1854" s="65" t="n">
        <x:v>192.7005288764774</x:v>
      </x:c>
      <x:c r="G1854" s="65" t="n">
        <x:v>492.32451112878744</x:v>
      </x:c>
      <x:c r="H1854" s="43" t="n">
        <x:v>1</x:v>
      </x:c>
      <x:c r="I1854" s="34" t="str">
        <x:v>generated design-reference observation; not predicted tract behavior</x:v>
      </x:c>
    </x:row>
    <x:row r="1855" ht="75.5999984741211" hidden="0" customHeight="1">
      <x:c r="A1855" s="36" t="str">
        <x:v>B1</x:v>
      </x:c>
      <x:c r="B1855" s="36" t="str">
        <x:v>48201453902</x:v>
      </x:c>
      <x:c r="C1855" s="66" t="n">
        <x:v>533.0462162548457</x:v>
      </x:c>
      <x:c r="D1855" s="66" t="n">
        <x:v>281.10284118719335</x:v>
      </x:c>
      <x:c r="E1855" s="66" t="n">
        <x:v>251.94337506765237</x:v>
      </x:c>
      <x:c r="F1855" s="66" t="n">
        <x:v>251.94337506765237</x:v>
      </x:c>
      <x:c r="G1855" s="66" t="n">
        <x:v>533.0462162548457</x:v>
      </x:c>
      <x:c r="H1855" s="45" t="n">
        <x:v>1</x:v>
      </x:c>
      <x:c r="I1855" s="36" t="str">
        <x:v>generated design-reference observation; not predicted tract behavior</x:v>
      </x:c>
    </x:row>
    <x:row r="1856" ht="75.5999984741211" hidden="0" customHeight="1">
      <x:c r="A1856" s="34" t="str">
        <x:v>B1</x:v>
      </x:c>
      <x:c r="B1856" s="34" t="str">
        <x:v>48201454000</x:v>
      </x:c>
      <x:c r="C1856" s="65" t="n">
        <x:v>346.003753413178</x:v>
      </x:c>
      <x:c r="D1856" s="65" t="n">
        <x:v>211.40829333545176</x:v>
      </x:c>
      <x:c r="E1856" s="65" t="n">
        <x:v>134.59546007772624</x:v>
      </x:c>
      <x:c r="F1856" s="65" t="n">
        <x:v>114.81207563306684</x:v>
      </x:c>
      <x:c r="G1856" s="65" t="n">
        <x:v>326.2203689685186</x:v>
      </x:c>
      <x:c r="H1856" s="43" t="n">
        <x:v>0.9428232085649221</x:v>
      </x:c>
      <x:c r="I1856" s="34" t="str">
        <x:v>generated design-reference observation; not predicted tract behavior</x:v>
      </x:c>
    </x:row>
    <x:row r="1857" ht="75.5999984741211" hidden="0" customHeight="1">
      <x:c r="A1857" s="36" t="str">
        <x:v>B1</x:v>
      </x:c>
      <x:c r="B1857" s="36" t="str">
        <x:v>48201454100</x:v>
      </x:c>
      <x:c r="C1857" s="66" t="n">
        <x:v>668.5879391374795</x:v>
      </x:c>
      <x:c r="D1857" s="66" t="n">
        <x:v>192.11981151364597</x:v>
      </x:c>
      <x:c r="E1857" s="66" t="n">
        <x:v>476.4681276238335</x:v>
      </x:c>
      <x:c r="F1857" s="66" t="n">
        <x:v>476.4681276238335</x:v>
      </x:c>
      <x:c r="G1857" s="66" t="n">
        <x:v>668.5879391374795</x:v>
      </x:c>
      <x:c r="H1857" s="45" t="n">
        <x:v>1</x:v>
      </x:c>
      <x:c r="I1857" s="36" t="str">
        <x:v>generated design-reference observation; not predicted tract behavior</x:v>
      </x:c>
    </x:row>
    <x:row r="1858" ht="75.5999984741211" hidden="0" customHeight="1">
      <x:c r="A1858" s="34" t="str">
        <x:v>B1</x:v>
      </x:c>
      <x:c r="B1858" s="34" t="str">
        <x:v>48201454200</x:v>
      </x:c>
      <x:c r="C1858" s="65" t="n">
        <x:v>344.0192236112125</x:v>
      </x:c>
      <x:c r="D1858" s="65" t="n">
        <x:v>210.19574562645084</x:v>
      </x:c>
      <x:c r="E1858" s="65" t="n">
        <x:v>133.82347798476167</x:v>
      </x:c>
      <x:c r="F1858" s="65" t="n">
        <x:v>133.82347798476167</x:v>
      </x:c>
      <x:c r="G1858" s="65" t="n">
        <x:v>344.0192236112125</x:v>
      </x:c>
      <x:c r="H1858" s="43" t="n">
        <x:v>1</x:v>
      </x:c>
      <x:c r="I1858" s="34" t="str">
        <x:v>generated design-reference observation; not predicted tract behavior</x:v>
      </x:c>
    </x:row>
    <x:row r="1859" ht="75.5999984741211" hidden="0" customHeight="1">
      <x:c r="A1859" s="36" t="str">
        <x:v>B1</x:v>
      </x:c>
      <x:c r="B1859" s="36" t="str">
        <x:v>48201454302</x:v>
      </x:c>
      <x:c r="C1859" s="66" t="n">
        <x:v>471.9251166693759</x:v>
      </x:c>
      <x:c r="D1859" s="66" t="n">
        <x:v>287.56254983304257</x:v>
      </x:c>
      <x:c r="E1859" s="66" t="n">
        <x:v>184.36256683633331</x:v>
      </x:c>
      <x:c r="F1859" s="66" t="n">
        <x:v>184.36256683633331</x:v>
      </x:c>
      <x:c r="G1859" s="66" t="n">
        <x:v>471.9251166693759</x:v>
      </x:c>
      <x:c r="H1859" s="45" t="n">
        <x:v>1</x:v>
      </x:c>
      <x:c r="I1859" s="36" t="str">
        <x:v>generated design-reference observation; not predicted tract behavior</x:v>
      </x:c>
    </x:row>
    <x:row r="1860" ht="75.5999984741211" hidden="0" customHeight="1">
      <x:c r="A1860" s="34" t="str">
        <x:v>B1</x:v>
      </x:c>
      <x:c r="B1860" s="34" t="str">
        <x:v>48201454303</x:v>
      </x:c>
      <x:c r="C1860" s="65" t="n">
        <x:v>661.4865569428454</x:v>
      </x:c>
      <x:c r="D1860" s="65" t="n">
        <x:v>191.08817816737226</x:v>
      </x:c>
      <x:c r="E1860" s="65" t="n">
        <x:v>470.39837877547313</x:v>
      </x:c>
      <x:c r="F1860" s="65" t="n">
        <x:v>470.39837877547313</x:v>
      </x:c>
      <x:c r="G1860" s="65" t="n">
        <x:v>661.4865569428454</x:v>
      </x:c>
      <x:c r="H1860" s="43" t="n">
        <x:v>1</x:v>
      </x:c>
      <x:c r="I1860" s="34" t="str">
        <x:v>generated design-reference observation; not predicted tract behavior</x:v>
      </x:c>
    </x:row>
    <x:row r="1861" ht="75.5999984741211" hidden="0" customHeight="1">
      <x:c r="A1861" s="36" t="str">
        <x:v>B1</x:v>
      </x:c>
      <x:c r="B1861" s="36" t="str">
        <x:v>48201454304</x:v>
      </x:c>
      <x:c r="C1861" s="66" t="n">
        <x:v>477.5289572586883</x:v>
      </x:c>
      <x:c r="D1861" s="66" t="n">
        <x:v>275.7379570271896</x:v>
      </x:c>
      <x:c r="E1861" s="66" t="n">
        <x:v>201.79100023149869</x:v>
      </x:c>
      <x:c r="F1861" s="66" t="n">
        <x:v>201.79100023149869</x:v>
      </x:c>
      <x:c r="G1861" s="66" t="n">
        <x:v>477.5289572586883</x:v>
      </x:c>
      <x:c r="H1861" s="45" t="n">
        <x:v>1</x:v>
      </x:c>
      <x:c r="I1861" s="36" t="str">
        <x:v>generated design-reference observation; not predicted tract behavior</x:v>
      </x:c>
    </x:row>
    <x:row r="1862" ht="75.5999984741211" hidden="0" customHeight="1">
      <x:c r="A1862" s="34" t="str">
        <x:v>B1</x:v>
      </x:c>
      <x:c r="B1862" s="34" t="str">
        <x:v>48201454305</x:v>
      </x:c>
      <x:c r="C1862" s="65" t="n">
        <x:v>282.03115807417583</x:v>
      </x:c>
      <x:c r="D1862" s="65" t="n">
        <x:v>165.70156656454003</x:v>
      </x:c>
      <x:c r="E1862" s="65" t="n">
        <x:v>116.3295915096358</x:v>
      </x:c>
      <x:c r="F1862" s="65" t="n">
        <x:v>36.01307725596154</x:v>
      </x:c>
      <x:c r="G1862" s="65" t="n">
        <x:v>201.71464382050158</x:v>
      </x:c>
      <x:c r="H1862" s="43" t="n">
        <x:v>0.715221130877495</x:v>
      </x:c>
      <x:c r="I1862" s="34" t="str">
        <x:v>generated design-reference observation; not predicted tract behavior</x:v>
      </x:c>
    </x:row>
    <x:row r="1863" ht="75.5999984741211" hidden="0" customHeight="1">
      <x:c r="A1863" s="36" t="str">
        <x:v>B1</x:v>
      </x:c>
      <x:c r="B1863" s="36" t="str">
        <x:v>48201454400</x:v>
      </x:c>
      <x:c r="C1863" s="66" t="n">
        <x:v>172.2614188619714</x:v>
      </x:c>
      <x:c r="D1863" s="66" t="n">
        <x:v>40.629086077302105</x:v>
      </x:c>
      <x:c r="E1863" s="66" t="n">
        <x:v>131.6323327846693</x:v>
      </x:c>
      <x:c r="F1863" s="66" t="n">
        <x:v>131.6323327846693</x:v>
      </x:c>
      <x:c r="G1863" s="66" t="n">
        <x:v>172.2614188619714</x:v>
      </x:c>
      <x:c r="H1863" s="45" t="n">
        <x:v>1</x:v>
      </x:c>
      <x:c r="I1863" s="36" t="str">
        <x:v>generated design-reference observation; not predicted tract behavior</x:v>
      </x:c>
    </x:row>
    <x:row r="1864" ht="75.5999984741211" hidden="0" customHeight="1">
      <x:c r="A1864" s="34" t="str">
        <x:v>B1</x:v>
      </x:c>
      <x:c r="B1864" s="34" t="str">
        <x:v>48201454502</x:v>
      </x:c>
      <x:c r="C1864" s="65" t="n">
        <x:v>377.7867614723483</x:v>
      </x:c>
      <x:c r="D1864" s="65" t="n">
        <x:v>110.50262773066187</x:v>
      </x:c>
      <x:c r="E1864" s="65" t="n">
        <x:v>267.28413374168645</x:v>
      </x:c>
      <x:c r="F1864" s="65" t="n">
        <x:v>267.28413374168645</x:v>
      </x:c>
      <x:c r="G1864" s="65" t="n">
        <x:v>377.7867614723483</x:v>
      </x:c>
      <x:c r="H1864" s="43" t="n">
        <x:v>1</x:v>
      </x:c>
      <x:c r="I1864" s="34" t="str">
        <x:v>generated design-reference observation; not predicted tract behavior</x:v>
      </x:c>
    </x:row>
    <x:row r="1865" ht="75.5999984741211" hidden="0" customHeight="1">
      <x:c r="A1865" s="36" t="str">
        <x:v>B1</x:v>
      </x:c>
      <x:c r="B1865" s="36" t="str">
        <x:v>48201454503</x:v>
      </x:c>
      <x:c r="C1865" s="66" t="n">
        <x:v>217.57913177311465</x:v>
      </x:c>
      <x:c r="D1865" s="66" t="n">
        <x:v>132.94084951337305</x:v>
      </x:c>
      <x:c r="E1865" s="66" t="n">
        <x:v>84.6382822597416</x:v>
      </x:c>
      <x:c r="F1865" s="66" t="n">
        <x:v>84.6382822597416</x:v>
      </x:c>
      <x:c r="G1865" s="66" t="n">
        <x:v>217.57913177311465</x:v>
      </x:c>
      <x:c r="H1865" s="45" t="n">
        <x:v>1</x:v>
      </x:c>
      <x:c r="I1865" s="36" t="str">
        <x:v>generated design-reference observation; not predicted tract behavior</x:v>
      </x:c>
    </x:row>
    <x:row r="1866" ht="75.5999984741211" hidden="0" customHeight="1">
      <x:c r="A1866" s="34" t="str">
        <x:v>B1</x:v>
      </x:c>
      <x:c r="B1866" s="34" t="str">
        <x:v>48201454504</x:v>
      </x:c>
      <x:c r="C1866" s="65" t="n">
        <x:v>904.1608464569757</x:v>
      </x:c>
      <x:c r="D1866" s="65" t="n">
        <x:v>256.4342196265508</x:v>
      </x:c>
      <x:c r="E1866" s="65" t="n">
        <x:v>647.726626830425</x:v>
      </x:c>
      <x:c r="F1866" s="65" t="n">
        <x:v>647.726626830425</x:v>
      </x:c>
      <x:c r="G1866" s="65" t="n">
        <x:v>904.1608464569757</x:v>
      </x:c>
      <x:c r="H1866" s="43" t="n">
        <x:v>1</x:v>
      </x:c>
      <x:c r="I1866" s="34" t="str">
        <x:v>generated design-reference observation; not predicted tract behavior</x:v>
      </x:c>
    </x:row>
    <x:row r="1867" ht="75.5999984741211" hidden="0" customHeight="1">
      <x:c r="A1867" s="36" t="str">
        <x:v>B1</x:v>
      </x:c>
      <x:c r="B1867" s="36" t="str">
        <x:v>48201454505</x:v>
      </x:c>
      <x:c r="C1867" s="66" t="n">
        <x:v>196.02438729038064</x:v>
      </x:c>
      <x:c r="D1867" s="66" t="n">
        <x:v>119.77090063442257</x:v>
      </x:c>
      <x:c r="E1867" s="66" t="n">
        <x:v>76.25348665595807</x:v>
      </x:c>
      <x:c r="F1867" s="66" t="n">
        <x:v>76.25348665595807</x:v>
      </x:c>
      <x:c r="G1867" s="66" t="n">
        <x:v>196.02438729038064</x:v>
      </x:c>
      <x:c r="H1867" s="45" t="n">
        <x:v>1</x:v>
      </x:c>
      <x:c r="I1867" s="36" t="str">
        <x:v>generated design-reference observation; not predicted tract behavior</x:v>
      </x:c>
    </x:row>
    <x:row r="1868" ht="75.5999984741211" hidden="0" customHeight="1">
      <x:c r="A1868" s="34" t="str">
        <x:v>B1</x:v>
      </x:c>
      <x:c r="B1868" s="34" t="str">
        <x:v>48201454600</x:v>
      </x:c>
      <x:c r="C1868" s="65" t="n">
        <x:v>425.01161810330876</x:v>
      </x:c>
      <x:c r="D1868" s="65" t="n">
        <x:v>243.8103287909539</x:v>
      </x:c>
      <x:c r="E1868" s="65" t="n">
        <x:v>181.20128931235487</x:v>
      </x:c>
      <x:c r="F1868" s="65" t="n">
        <x:v>181.2012893123549</x:v>
      </x:c>
      <x:c r="G1868" s="65" t="n">
        <x:v>425.01161810330876</x:v>
      </x:c>
      <x:c r="H1868" s="43" t="n">
        <x:v>1</x:v>
      </x:c>
      <x:c r="I1868" s="34" t="str">
        <x:v>generated design-reference observation; not predicted tract behavior</x:v>
      </x:c>
    </x:row>
    <x:row r="1869" ht="75.5999984741211" hidden="0" customHeight="1">
      <x:c r="A1869" s="36" t="str">
        <x:v>B1</x:v>
      </x:c>
      <x:c r="B1869" s="36" t="str">
        <x:v>48201454700</x:v>
      </x:c>
      <x:c r="C1869" s="66" t="n">
        <x:v>606.0793312822426</x:v>
      </x:c>
      <x:c r="D1869" s="66" t="n">
        <x:v>368.9830732302747</x:v>
      </x:c>
      <x:c r="E1869" s="66" t="n">
        <x:v>237.09625805196788</x:v>
      </x:c>
      <x:c r="F1869" s="66" t="n">
        <x:v>237.09625805196788</x:v>
      </x:c>
      <x:c r="G1869" s="66" t="n">
        <x:v>606.0793312822426</x:v>
      </x:c>
      <x:c r="H1869" s="45" t="n">
        <x:v>1</x:v>
      </x:c>
      <x:c r="I1869" s="36" t="str">
        <x:v>generated design-reference observation; not predicted tract behavior</x:v>
      </x:c>
    </x:row>
    <x:row r="1870" ht="75.5999984741211" hidden="0" customHeight="1">
      <x:c r="A1870" s="34" t="str">
        <x:v>B1</x:v>
      </x:c>
      <x:c r="B1870" s="34" t="str">
        <x:v>48201454801</x:v>
      </x:c>
      <x:c r="C1870" s="65" t="n">
        <x:v>330.3357923826109</x:v>
      </x:c>
      <x:c r="D1870" s="65" t="n">
        <x:v>183.6858134659306</x:v>
      </x:c>
      <x:c r="E1870" s="65" t="n">
        <x:v>146.6499789166803</x:v>
      </x:c>
      <x:c r="F1870" s="65" t="n">
        <x:v>146.6499789166803</x:v>
      </x:c>
      <x:c r="G1870" s="65" t="n">
        <x:v>330.3357923826109</x:v>
      </x:c>
      <x:c r="H1870" s="43" t="n">
        <x:v>1</x:v>
      </x:c>
      <x:c r="I1870" s="34" t="str">
        <x:v>generated design-reference observation; not predicted tract behavior</x:v>
      </x:c>
    </x:row>
    <x:row r="1871" ht="75.5999984741211" hidden="0" customHeight="1">
      <x:c r="A1871" s="36" t="str">
        <x:v>B1</x:v>
      </x:c>
      <x:c r="B1871" s="36" t="str">
        <x:v>48201454802</x:v>
      </x:c>
      <x:c r="C1871" s="66" t="n">
        <x:v>348.34982131767975</x:v>
      </x:c>
      <x:c r="D1871" s="66" t="n">
        <x:v>210.29547460050753</x:v>
      </x:c>
      <x:c r="E1871" s="66" t="n">
        <x:v>138.05434671717222</x:v>
      </x:c>
      <x:c r="F1871" s="66" t="n">
        <x:v>138.05434671717222</x:v>
      </x:c>
      <x:c r="G1871" s="66" t="n">
        <x:v>348.34982131767975</x:v>
      </x:c>
      <x:c r="H1871" s="45" t="n">
        <x:v>1</x:v>
      </x:c>
      <x:c r="I1871" s="36" t="str">
        <x:v>generated design-reference observation; not predicted tract behavior</x:v>
      </x:c>
    </x:row>
    <x:row r="1872" ht="75.5999984741211" hidden="0" customHeight="1">
      <x:c r="A1872" s="34" t="str">
        <x:v>B1</x:v>
      </x:c>
      <x:c r="B1872" s="34" t="str">
        <x:v>48201454901</x:v>
      </x:c>
      <x:c r="C1872" s="65" t="n">
        <x:v>192.34613007327235</x:v>
      </x:c>
      <x:c r="D1872" s="65" t="n">
        <x:v>115.49390836271972</x:v>
      </x:c>
      <x:c r="E1872" s="65" t="n">
        <x:v>76.85222171055263</x:v>
      </x:c>
      <x:c r="F1872" s="65" t="n">
        <x:v>76.85222171055263</x:v>
      </x:c>
      <x:c r="G1872" s="65" t="n">
        <x:v>192.34613007327235</x:v>
      </x:c>
      <x:c r="H1872" s="43" t="n">
        <x:v>1</x:v>
      </x:c>
      <x:c r="I1872" s="34" t="str">
        <x:v>generated design-reference observation; not predicted tract behavior</x:v>
      </x:c>
    </x:row>
    <x:row r="1873" ht="75.5999984741211" hidden="0" customHeight="1">
      <x:c r="A1873" s="36" t="str">
        <x:v>B1</x:v>
      </x:c>
      <x:c r="B1873" s="36" t="str">
        <x:v>48201454902</x:v>
      </x:c>
      <x:c r="C1873" s="66" t="n">
        <x:v>683.8336018994487</x:v>
      </x:c>
      <x:c r="D1873" s="66" t="n">
        <x:v>399.1152170329272</x:v>
      </x:c>
      <x:c r="E1873" s="66" t="n">
        <x:v>284.7183848665215</x:v>
      </x:c>
      <x:c r="F1873" s="66" t="n">
        <x:v>284.7183848665215</x:v>
      </x:c>
      <x:c r="G1873" s="66" t="n">
        <x:v>683.8336018994487</x:v>
      </x:c>
      <x:c r="H1873" s="45" t="n">
        <x:v>1</x:v>
      </x:c>
      <x:c r="I1873" s="36" t="str">
        <x:v>generated design-reference observation; not predicted tract behavior</x:v>
      </x:c>
    </x:row>
    <x:row r="1874" ht="75.5999984741211" hidden="0" customHeight="1">
      <x:c r="A1874" s="34" t="str">
        <x:v>B1</x:v>
      </x:c>
      <x:c r="B1874" s="34" t="str">
        <x:v>48201455000</x:v>
      </x:c>
      <x:c r="C1874" s="65" t="n">
        <x:v>289.23048202902885</x:v>
      </x:c>
      <x:c r="D1874" s="65" t="n">
        <x:v>167.83805095579132</x:v>
      </x:c>
      <x:c r="E1874" s="65" t="n">
        <x:v>121.39243107323753</x:v>
      </x:c>
      <x:c r="F1874" s="65" t="n">
        <x:v>96.05693727425027</x:v>
      </x:c>
      <x:c r="G1874" s="65" t="n">
        <x:v>263.8949882300416</x:v>
      </x:c>
      <x:c r="H1874" s="43" t="n">
        <x:v>0.9124037908409514</x:v>
      </x:c>
      <x:c r="I1874" s="34" t="str">
        <x:v>generated design-reference observation; not predicted tract behavior</x:v>
      </x:c>
    </x:row>
    <x:row r="1875" ht="75.5999984741211" hidden="0" customHeight="1">
      <x:c r="A1875" s="36" t="str">
        <x:v>B1</x:v>
      </x:c>
      <x:c r="B1875" s="36" t="str">
        <x:v>48201455102</x:v>
      </x:c>
      <x:c r="C1875" s="66" t="n">
        <x:v>230.88137608925956</x:v>
      </x:c>
      <x:c r="D1875" s="66" t="n">
        <x:v>141.06852079053758</x:v>
      </x:c>
      <x:c r="E1875" s="66" t="n">
        <x:v>89.81285529872198</x:v>
      </x:c>
      <x:c r="F1875" s="66" t="n">
        <x:v>89.81285529872198</x:v>
      </x:c>
      <x:c r="G1875" s="66" t="n">
        <x:v>230.88137608925956</x:v>
      </x:c>
      <x:c r="H1875" s="45" t="n">
        <x:v>1</x:v>
      </x:c>
      <x:c r="I1875" s="36" t="str">
        <x:v>generated design-reference observation; not predicted tract behavior</x:v>
      </x:c>
    </x:row>
    <x:row r="1876" ht="75.5999984741211" hidden="0" customHeight="1">
      <x:c r="A1876" s="34" t="str">
        <x:v>B1</x:v>
      </x:c>
      <x:c r="B1876" s="34" t="str">
        <x:v>48201455103</x:v>
      </x:c>
      <x:c r="C1876" s="65" t="n">
        <x:v>303.6291299387348</x:v>
      </x:c>
      <x:c r="D1876" s="65" t="n">
        <x:v>185.51739839256697</x:v>
      </x:c>
      <x:c r="E1876" s="65" t="n">
        <x:v>118.11173154616785</x:v>
      </x:c>
      <x:c r="F1876" s="65" t="n">
        <x:v>118.11173154616785</x:v>
      </x:c>
      <x:c r="G1876" s="65" t="n">
        <x:v>303.6291299387348</x:v>
      </x:c>
      <x:c r="H1876" s="43" t="n">
        <x:v>1</x:v>
      </x:c>
      <x:c r="I1876" s="34" t="str">
        <x:v>generated design-reference observation; not predicted tract behavior</x:v>
      </x:c>
    </x:row>
    <x:row r="1877" ht="75.5999984741211" hidden="0" customHeight="1">
      <x:c r="A1877" s="36" t="str">
        <x:v>B1</x:v>
      </x:c>
      <x:c r="B1877" s="36" t="str">
        <x:v>48201455104</x:v>
      </x:c>
      <x:c r="C1877" s="66" t="n">
        <x:v>274.2580888696457</x:v>
      </x:c>
      <x:c r="D1877" s="66" t="n">
        <x:v>165.38717683868538</x:v>
      </x:c>
      <x:c r="E1877" s="66" t="n">
        <x:v>108.87091203096031</x:v>
      </x:c>
      <x:c r="F1877" s="66" t="n">
        <x:v>108.87091203096031</x:v>
      </x:c>
      <x:c r="G1877" s="66" t="n">
        <x:v>274.2580888696457</x:v>
      </x:c>
      <x:c r="H1877" s="45" t="n">
        <x:v>1</x:v>
      </x:c>
      <x:c r="I1877" s="36" t="str">
        <x:v>generated design-reference observation; not predicted tract behavior</x:v>
      </x:c>
    </x:row>
    <x:row r="1878" ht="75.5999984741211" hidden="0" customHeight="1">
      <x:c r="A1878" s="34" t="str">
        <x:v>B1</x:v>
      </x:c>
      <x:c r="B1878" s="34" t="str">
        <x:v>48201455200</x:v>
      </x:c>
      <x:c r="C1878" s="65" t="n">
        <x:v>337.9438115838092</x:v>
      </x:c>
      <x:c r="D1878" s="65" t="n">
        <x:v>206.22443012205426</x:v>
      </x:c>
      <x:c r="E1878" s="65" t="n">
        <x:v>131.71938146175492</x:v>
      </x:c>
      <x:c r="F1878" s="65" t="n">
        <x:v>131.71938146175492</x:v>
      </x:c>
      <x:c r="G1878" s="65" t="n">
        <x:v>337.9438115838092</x:v>
      </x:c>
      <x:c r="H1878" s="43" t="n">
        <x:v>1</x:v>
      </x:c>
      <x:c r="I1878" s="34" t="str">
        <x:v>generated design-reference observation; not predicted tract behavior</x:v>
      </x:c>
    </x:row>
    <x:row r="1879" ht="75.5999984741211" hidden="0" customHeight="1">
      <x:c r="A1879" s="36" t="str">
        <x:v>B1</x:v>
      </x:c>
      <x:c r="B1879" s="36" t="str">
        <x:v>48201455300</x:v>
      </x:c>
      <x:c r="C1879" s="66" t="n">
        <x:v>1065.7396607992735</x:v>
      </x:c>
      <x:c r="D1879" s="66" t="n">
        <x:v>596.4351383685672</x:v>
      </x:c>
      <x:c r="E1879" s="66" t="n">
        <x:v>469.30452243070624</x:v>
      </x:c>
      <x:c r="F1879" s="66" t="n">
        <x:v>469.30452243070624</x:v>
      </x:c>
      <x:c r="G1879" s="66" t="n">
        <x:v>1065.7396607992735</x:v>
      </x:c>
      <x:c r="H1879" s="45" t="n">
        <x:v>1</x:v>
      </x:c>
      <x:c r="I1879" s="36" t="str">
        <x:v>generated design-reference observation; not predicted tract behavior</x:v>
      </x:c>
    </x:row>
    <x:row r="1880" ht="75.5999984741211" hidden="0" customHeight="1">
      <x:c r="A1880" s="34" t="str">
        <x:v>B1</x:v>
      </x:c>
      <x:c r="B1880" s="34" t="str">
        <x:v>48201510100</x:v>
      </x:c>
      <x:c r="C1880" s="65" t="n">
        <x:v>246.78119307688792</x:v>
      </x:c>
      <x:c r="D1880" s="65" t="n">
        <x:v>143.43404693328057</x:v>
      </x:c>
      <x:c r="E1880" s="65" t="n">
        <x:v>103.34714614360735</x:v>
      </x:c>
      <x:c r="F1880" s="65" t="n">
        <x:v>103.34714614360735</x:v>
      </x:c>
      <x:c r="G1880" s="65" t="n">
        <x:v>246.78119307688792</x:v>
      </x:c>
      <x:c r="H1880" s="43" t="n">
        <x:v>1</x:v>
      </x:c>
      <x:c r="I1880" s="34" t="str">
        <x:v>generated design-reference observation; not predicted tract behavior</x:v>
      </x:c>
    </x:row>
    <x:row r="1881" ht="75.5999984741211" hidden="0" customHeight="1">
      <x:c r="A1881" s="36" t="str">
        <x:v>B1</x:v>
      </x:c>
      <x:c r="B1881" s="36" t="str">
        <x:v>48201510201</x:v>
      </x:c>
      <x:c r="C1881" s="66" t="n">
        <x:v>194.72756583563088</x:v>
      </x:c>
      <x:c r="D1881" s="66" t="n">
        <x:v>98.58222111547268</x:v>
      </x:c>
      <x:c r="E1881" s="66" t="n">
        <x:v>96.1453447201582</x:v>
      </x:c>
      <x:c r="F1881" s="66" t="n">
        <x:v>96.1453447201582</x:v>
      </x:c>
      <x:c r="G1881" s="66" t="n">
        <x:v>194.72756583563088</x:v>
      </x:c>
      <x:c r="H1881" s="45" t="n">
        <x:v>1</x:v>
      </x:c>
      <x:c r="I1881" s="36" t="str">
        <x:v>generated design-reference observation; not predicted tract behavior</x:v>
      </x:c>
    </x:row>
    <x:row r="1882" ht="75.5999984741211" hidden="0" customHeight="1">
      <x:c r="A1882" s="34" t="str">
        <x:v>B1</x:v>
      </x:c>
      <x:c r="B1882" s="34" t="str">
        <x:v>48201510202</x:v>
      </x:c>
      <x:c r="C1882" s="65" t="n">
        <x:v>528.5844249559865</x:v>
      </x:c>
      <x:c r="D1882" s="65" t="n">
        <x:v>283.8266442943662</x:v>
      </x:c>
      <x:c r="E1882" s="65" t="n">
        <x:v>244.7577806616203</x:v>
      </x:c>
      <x:c r="F1882" s="65" t="n">
        <x:v>244.7577806616203</x:v>
      </x:c>
      <x:c r="G1882" s="65" t="n">
        <x:v>528.5844249559865</x:v>
      </x:c>
      <x:c r="H1882" s="43" t="n">
        <x:v>1</x:v>
      </x:c>
      <x:c r="I1882" s="34" t="str">
        <x:v>generated design-reference observation; not predicted tract behavior</x:v>
      </x:c>
    </x:row>
    <x:row r="1883" ht="75.5999984741211" hidden="0" customHeight="1">
      <x:c r="A1883" s="36" t="str">
        <x:v>B1</x:v>
      </x:c>
      <x:c r="B1883" s="36" t="str">
        <x:v>48201510301</x:v>
      </x:c>
      <x:c r="C1883" s="66" t="n">
        <x:v>504.98529737337554</x:v>
      </x:c>
      <x:c r="D1883" s="66" t="n">
        <x:v>255.2693213012963</x:v>
      </x:c>
      <x:c r="E1883" s="66" t="n">
        <x:v>249.71597607207926</x:v>
      </x:c>
      <x:c r="F1883" s="66" t="n">
        <x:v>249.71597607207926</x:v>
      </x:c>
      <x:c r="G1883" s="66" t="n">
        <x:v>504.98529737337554</x:v>
      </x:c>
      <x:c r="H1883" s="45" t="n">
        <x:v>1</x:v>
      </x:c>
      <x:c r="I1883" s="36" t="str">
        <x:v>generated design-reference observation; not predicted tract behavior</x:v>
      </x:c>
    </x:row>
    <x:row r="1884" ht="75.5999984741211" hidden="0" customHeight="1">
      <x:c r="A1884" s="34" t="str">
        <x:v>B1</x:v>
      </x:c>
      <x:c r="B1884" s="34" t="str">
        <x:v>48201510302</x:v>
      </x:c>
      <x:c r="C1884" s="65" t="n">
        <x:v>275.76711747153627</x:v>
      </x:c>
      <x:c r="D1884" s="65" t="n">
        <x:v>167.73178631940726</x:v>
      </x:c>
      <x:c r="E1884" s="65" t="n">
        <x:v>108.035331152129</x:v>
      </x:c>
      <x:c r="F1884" s="65" t="n">
        <x:v>108.035331152129</x:v>
      </x:c>
      <x:c r="G1884" s="65" t="n">
        <x:v>275.76711747153627</x:v>
      </x:c>
      <x:c r="H1884" s="43" t="n">
        <x:v>1</x:v>
      </x:c>
      <x:c r="I1884" s="34" t="str">
        <x:v>generated design-reference observation; not predicted tract behavior</x:v>
      </x:c>
    </x:row>
    <x:row r="1885" ht="75.5999984741211" hidden="0" customHeight="1">
      <x:c r="A1885" s="36" t="str">
        <x:v>B1</x:v>
      </x:c>
      <x:c r="B1885" s="36" t="str">
        <x:v>48201510400</x:v>
      </x:c>
      <x:c r="C1885" s="66" t="n">
        <x:v>306.71006333426146</x:v>
      </x:c>
      <x:c r="D1885" s="66" t="n">
        <x:v>181.15631196725084</x:v>
      </x:c>
      <x:c r="E1885" s="66" t="n">
        <x:v>125.55375136701062</x:v>
      </x:c>
      <x:c r="F1885" s="66" t="n">
        <x:v>125.55375136701062</x:v>
      </x:c>
      <x:c r="G1885" s="66" t="n">
        <x:v>306.71006333426146</x:v>
      </x:c>
      <x:c r="H1885" s="45" t="n">
        <x:v>1</x:v>
      </x:c>
      <x:c r="I1885" s="36" t="str">
        <x:v>generated design-reference observation; not predicted tract behavior</x:v>
      </x:c>
    </x:row>
    <x:row r="1886" ht="75.5999984741211" hidden="0" customHeight="1">
      <x:c r="A1886" s="34" t="str">
        <x:v>B1</x:v>
      </x:c>
      <x:c r="B1886" s="34" t="str">
        <x:v>48201510500</x:v>
      </x:c>
      <x:c r="C1886" s="65" t="n">
        <x:v>404.60829388191314</x:v>
      </x:c>
      <x:c r="D1886" s="65" t="n">
        <x:v>225.70710787064615</x:v>
      </x:c>
      <x:c r="E1886" s="65" t="n">
        <x:v>178.901186011267</x:v>
      </x:c>
      <x:c r="F1886" s="65" t="n">
        <x:v>178.901186011267</x:v>
      </x:c>
      <x:c r="G1886" s="65" t="n">
        <x:v>404.60829388191314</x:v>
      </x:c>
      <x:c r="H1886" s="43" t="n">
        <x:v>1</x:v>
      </x:c>
      <x:c r="I1886" s="34" t="str">
        <x:v>generated design-reference observation; not predicted tract behavior</x:v>
      </x:c>
    </x:row>
    <x:row r="1887" ht="75.5999984741211" hidden="0" customHeight="1">
      <x:c r="A1887" s="36" t="str">
        <x:v>B1</x:v>
      </x:c>
      <x:c r="B1887" s="36" t="str">
        <x:v>48201510601</x:v>
      </x:c>
      <x:c r="C1887" s="66" t="n">
        <x:v>272.80407693553235</x:v>
      </x:c>
      <x:c r="D1887" s="66" t="n">
        <x:v>153.40889380747993</x:v>
      </x:c>
      <x:c r="E1887" s="66" t="n">
        <x:v>119.39518312805242</x:v>
      </x:c>
      <x:c r="F1887" s="66" t="n">
        <x:v>119.39518312805242</x:v>
      </x:c>
      <x:c r="G1887" s="66" t="n">
        <x:v>272.80407693553235</x:v>
      </x:c>
      <x:c r="H1887" s="45" t="n">
        <x:v>1</x:v>
      </x:c>
      <x:c r="I1887" s="36" t="str">
        <x:v>generated design-reference observation; not predicted tract behavior</x:v>
      </x:c>
    </x:row>
    <x:row r="1888" ht="75.5999984741211" hidden="0" customHeight="1">
      <x:c r="A1888" s="34" t="str">
        <x:v>B1</x:v>
      </x:c>
      <x:c r="B1888" s="34" t="str">
        <x:v>48201510602</x:v>
      </x:c>
      <x:c r="C1888" s="65" t="n">
        <x:v>363.4086692407129</x:v>
      </x:c>
      <x:c r="D1888" s="65" t="n">
        <x:v>205.31183146964844</x:v>
      </x:c>
      <x:c r="E1888" s="65" t="n">
        <x:v>158.0968377710645</x:v>
      </x:c>
      <x:c r="F1888" s="65" t="n">
        <x:v>0</x:v>
      </x:c>
      <x:c r="G1888" s="65" t="n">
        <x:v>205.31183146964844</x:v>
      </x:c>
      <x:c r="H1888" s="43" t="n">
        <x:v>0.5649612924716855</x:v>
      </x:c>
      <x:c r="I1888" s="34" t="str">
        <x:v>generated design-reference observation; not predicted tract behavior</x:v>
      </x:c>
    </x:row>
    <x:row r="1889" ht="75.5999984741211" hidden="0" customHeight="1">
      <x:c r="A1889" s="36" t="str">
        <x:v>B1</x:v>
      </x:c>
      <x:c r="B1889" s="36" t="str">
        <x:v>48201510701</x:v>
      </x:c>
      <x:c r="C1889" s="66" t="n">
        <x:v>173.1610320669446</x:v>
      </x:c>
      <x:c r="D1889" s="66" t="n">
        <x:v>90.6634425986275</x:v>
      </x:c>
      <x:c r="E1889" s="66" t="n">
        <x:v>82.49758946831712</x:v>
      </x:c>
      <x:c r="F1889" s="66" t="n">
        <x:v>82.49758946831712</x:v>
      </x:c>
      <x:c r="G1889" s="66" t="n">
        <x:v>173.1610320669446</x:v>
      </x:c>
      <x:c r="H1889" s="45" t="n">
        <x:v>1</x:v>
      </x:c>
      <x:c r="I1889" s="36" t="str">
        <x:v>generated design-reference observation; not predicted tract behavior</x:v>
      </x:c>
    </x:row>
    <x:row r="1890" ht="75.5999984741211" hidden="0" customHeight="1">
      <x:c r="A1890" s="34" t="str">
        <x:v>B1</x:v>
      </x:c>
      <x:c r="B1890" s="34" t="str">
        <x:v>48201510702</x:v>
      </x:c>
      <x:c r="C1890" s="65" t="n">
        <x:v>163.28161043894224</x:v>
      </x:c>
      <x:c r="D1890" s="65" t="n">
        <x:v>99.76506397819371</x:v>
      </x:c>
      <x:c r="E1890" s="65" t="n">
        <x:v>63.51654646074853</x:v>
      </x:c>
      <x:c r="F1890" s="65" t="n">
        <x:v>63.51654646074853</x:v>
      </x:c>
      <x:c r="G1890" s="65" t="n">
        <x:v>163.28161043894224</x:v>
      </x:c>
      <x:c r="H1890" s="43" t="n">
        <x:v>1</x:v>
      </x:c>
      <x:c r="I1890" s="34" t="str">
        <x:v>generated design-reference observation; not predicted tract behavior</x:v>
      </x:c>
    </x:row>
    <x:row r="1891" ht="75.5999984741211" hidden="0" customHeight="1">
      <x:c r="A1891" s="36" t="str">
        <x:v>B1</x:v>
      </x:c>
      <x:c r="B1891" s="36" t="str">
        <x:v>48201510801</x:v>
      </x:c>
      <x:c r="C1891" s="66" t="n">
        <x:v>360.95649776264077</x:v>
      </x:c>
      <x:c r="D1891" s="66" t="n">
        <x:v>206.28869715859878</x:v>
      </x:c>
      <x:c r="E1891" s="66" t="n">
        <x:v>154.667800604042</x:v>
      </x:c>
      <x:c r="F1891" s="66" t="n">
        <x:v>42.796867421191195</x:v>
      </x:c>
      <x:c r="G1891" s="66" t="n">
        <x:v>249.08556457978997</x:v>
      </x:c>
      <x:c r="H1891" s="45" t="n">
        <x:v>0.6900708703783598</x:v>
      </x:c>
      <x:c r="I1891" s="36" t="str">
        <x:v>generated design-reference observation; not predicted tract behavior</x:v>
      </x:c>
    </x:row>
    <x:row r="1892" ht="75.5999984741211" hidden="0" customHeight="1">
      <x:c r="A1892" s="34" t="str">
        <x:v>B1</x:v>
      </x:c>
      <x:c r="B1892" s="34" t="str">
        <x:v>48201510802</x:v>
      </x:c>
      <x:c r="C1892" s="65" t="n">
        <x:v>223.97285452122915</x:v>
      </x:c>
      <x:c r="D1892" s="65" t="n">
        <x:v>131.60495712084656</x:v>
      </x:c>
      <x:c r="E1892" s="65" t="n">
        <x:v>92.36789740038259</x:v>
      </x:c>
      <x:c r="F1892" s="65" t="n">
        <x:v>92.36789740038259</x:v>
      </x:c>
      <x:c r="G1892" s="65" t="n">
        <x:v>223.97285452122915</x:v>
      </x:c>
      <x:c r="H1892" s="43" t="n">
        <x:v>1</x:v>
      </x:c>
      <x:c r="I1892" s="34" t="str">
        <x:v>generated design-reference observation; not predicted tract behavior</x:v>
      </x:c>
    </x:row>
    <x:row r="1893" ht="75.5999984741211" hidden="0" customHeight="1">
      <x:c r="A1893" s="36" t="str">
        <x:v>B1</x:v>
      </x:c>
      <x:c r="B1893" s="36" t="str">
        <x:v>48201510803</x:v>
      </x:c>
      <x:c r="C1893" s="66" t="n">
        <x:v>352.4440287263348</x:v>
      </x:c>
      <x:c r="D1893" s="66" t="n">
        <x:v>164.53978125201397</x:v>
      </x:c>
      <x:c r="E1893" s="66" t="n">
        <x:v>187.90424747432084</x:v>
      </x:c>
      <x:c r="F1893" s="66" t="n">
        <x:v>187.90424747432084</x:v>
      </x:c>
      <x:c r="G1893" s="66" t="n">
        <x:v>352.4440287263348</x:v>
      </x:c>
      <x:c r="H1893" s="45" t="n">
        <x:v>1</x:v>
      </x:c>
      <x:c r="I1893" s="36" t="str">
        <x:v>generated design-reference observation; not predicted tract behavior</x:v>
      </x:c>
    </x:row>
    <x:row r="1894" ht="75.5999984741211" hidden="0" customHeight="1">
      <x:c r="A1894" s="34" t="str">
        <x:v>B1</x:v>
      </x:c>
      <x:c r="B1894" s="34" t="str">
        <x:v>48201510901</x:v>
      </x:c>
      <x:c r="C1894" s="65" t="n">
        <x:v>907.1825311333577</x:v>
      </x:c>
      <x:c r="D1894" s="65" t="n">
        <x:v>483.5282890940797</x:v>
      </x:c>
      <x:c r="E1894" s="65" t="n">
        <x:v>423.65424203927796</x:v>
      </x:c>
      <x:c r="F1894" s="65" t="n">
        <x:v>423.65424203927796</x:v>
      </x:c>
      <x:c r="G1894" s="65" t="n">
        <x:v>907.1825311333577</x:v>
      </x:c>
      <x:c r="H1894" s="43" t="n">
        <x:v>1</x:v>
      </x:c>
      <x:c r="I1894" s="34" t="str">
        <x:v>generated design-reference observation; not predicted tract behavior</x:v>
      </x:c>
    </x:row>
    <x:row r="1895" ht="75.5999984741211" hidden="0" customHeight="1">
      <x:c r="A1895" s="36" t="str">
        <x:v>B1</x:v>
      </x:c>
      <x:c r="B1895" s="36" t="str">
        <x:v>48201510902</x:v>
      </x:c>
      <x:c r="C1895" s="66" t="n">
        <x:v>456.4182758801566</x:v>
      </x:c>
      <x:c r="D1895" s="66" t="n">
        <x:v>255.7711560455534</x:v>
      </x:c>
      <x:c r="E1895" s="66" t="n">
        <x:v>200.64711983460322</x:v>
      </x:c>
      <x:c r="F1895" s="66" t="n">
        <x:v>200.64711983460322</x:v>
      </x:c>
      <x:c r="G1895" s="66" t="n">
        <x:v>456.4182758801566</x:v>
      </x:c>
      <x:c r="H1895" s="45" t="n">
        <x:v>1</x:v>
      </x:c>
      <x:c r="I1895" s="36" t="str">
        <x:v>generated design-reference observation; not predicted tract behavior</x:v>
      </x:c>
    </x:row>
    <x:row r="1896" ht="75.5999984741211" hidden="0" customHeight="1">
      <x:c r="A1896" s="34" t="str">
        <x:v>B1</x:v>
      </x:c>
      <x:c r="B1896" s="34" t="str">
        <x:v>48201511001</x:v>
      </x:c>
      <x:c r="C1896" s="65" t="n">
        <x:v>288.6410177314153</x:v>
      </x:c>
      <x:c r="D1896" s="65" t="n">
        <x:v>164.49448580837276</x:v>
      </x:c>
      <x:c r="E1896" s="65" t="n">
        <x:v>124.14653192304252</x:v>
      </x:c>
      <x:c r="F1896" s="65" t="n">
        <x:v>124.14653192304252</x:v>
      </x:c>
      <x:c r="G1896" s="65" t="n">
        <x:v>288.6410177314153</x:v>
      </x:c>
      <x:c r="H1896" s="43" t="n">
        <x:v>1</x:v>
      </x:c>
      <x:c r="I1896" s="34" t="str">
        <x:v>generated design-reference observation; not predicted tract behavior</x:v>
      </x:c>
    </x:row>
    <x:row r="1897" ht="75.5999984741211" hidden="0" customHeight="1">
      <x:c r="A1897" s="36" t="str">
        <x:v>B1</x:v>
      </x:c>
      <x:c r="B1897" s="36" t="str">
        <x:v>48201511003</x:v>
      </x:c>
      <x:c r="C1897" s="66" t="n">
        <x:v>151.6337959180993</x:v>
      </x:c>
      <x:c r="D1897" s="66" t="n">
        <x:v>85.90894702311041</x:v>
      </x:c>
      <x:c r="E1897" s="66" t="n">
        <x:v>65.7248488949889</x:v>
      </x:c>
      <x:c r="F1897" s="66" t="n">
        <x:v>65.7248488949889</x:v>
      </x:c>
      <x:c r="G1897" s="66" t="n">
        <x:v>151.6337959180993</x:v>
      </x:c>
      <x:c r="H1897" s="45" t="n">
        <x:v>1</x:v>
      </x:c>
      <x:c r="I1897" s="36" t="str">
        <x:v>generated design-reference observation; not predicted tract behavior</x:v>
      </x:c>
    </x:row>
    <x:row r="1898" ht="75.5999984741211" hidden="0" customHeight="1">
      <x:c r="A1898" s="34" t="str">
        <x:v>B1</x:v>
      </x:c>
      <x:c r="B1898" s="34" t="str">
        <x:v>48201511004</x:v>
      </x:c>
      <x:c r="C1898" s="65" t="n">
        <x:v>263.08154349751015</x:v>
      </x:c>
      <x:c r="D1898" s="65" t="n">
        <x:v>129.33914126850226</x:v>
      </x:c>
      <x:c r="E1898" s="65" t="n">
        <x:v>133.7424022290079</x:v>
      </x:c>
      <x:c r="F1898" s="65" t="n">
        <x:v>133.7424022290079</x:v>
      </x:c>
      <x:c r="G1898" s="65" t="n">
        <x:v>263.08154349751015</x:v>
      </x:c>
      <x:c r="H1898" s="43" t="n">
        <x:v>1</x:v>
      </x:c>
      <x:c r="I1898" s="34" t="str">
        <x:v>generated design-reference observation; not predicted tract behavior</x:v>
      </x:c>
    </x:row>
    <x:row r="1899" ht="75.5999984741211" hidden="0" customHeight="1">
      <x:c r="A1899" s="36" t="str">
        <x:v>B1</x:v>
      </x:c>
      <x:c r="B1899" s="36" t="str">
        <x:v>48201511100</x:v>
      </x:c>
      <x:c r="C1899" s="66" t="n">
        <x:v>620.4689105104468</x:v>
      </x:c>
      <x:c r="D1899" s="66" t="n">
        <x:v>313.3438190423901</x:v>
      </x:c>
      <x:c r="E1899" s="66" t="n">
        <x:v>307.12509146805667</x:v>
      </x:c>
      <x:c r="F1899" s="66" t="n">
        <x:v>307.12509146805667</x:v>
      </x:c>
      <x:c r="G1899" s="66" t="n">
        <x:v>620.4689105104468</x:v>
      </x:c>
      <x:c r="H1899" s="45" t="n">
        <x:v>1</x:v>
      </x:c>
      <x:c r="I1899" s="36" t="str">
        <x:v>generated design-reference observation; not predicted tract behavior</x:v>
      </x:c>
    </x:row>
    <x:row r="1900" ht="75.5999984741211" hidden="0" customHeight="1">
      <x:c r="A1900" s="34" t="str">
        <x:v>B1</x:v>
      </x:c>
      <x:c r="B1900" s="34" t="str">
        <x:v>48201511201</x:v>
      </x:c>
      <x:c r="C1900" s="65" t="n">
        <x:v>496.4534818165324</x:v>
      </x:c>
      <x:c r="D1900" s="65" t="n">
        <x:v>141.67736179805976</x:v>
      </x:c>
      <x:c r="E1900" s="65" t="n">
        <x:v>354.7761200184726</x:v>
      </x:c>
      <x:c r="F1900" s="65" t="n">
        <x:v>354.7761200184726</x:v>
      </x:c>
      <x:c r="G1900" s="65" t="n">
        <x:v>496.4534818165324</x:v>
      </x:c>
      <x:c r="H1900" s="43" t="n">
        <x:v>1</x:v>
      </x:c>
      <x:c r="I1900" s="34" t="str">
        <x:v>generated design-reference observation; not predicted tract behavior</x:v>
      </x:c>
    </x:row>
    <x:row r="1901" ht="75.5999984741211" hidden="0" customHeight="1">
      <x:c r="A1901" s="36" t="str">
        <x:v>B1</x:v>
      </x:c>
      <x:c r="B1901" s="36" t="str">
        <x:v>48201511202</x:v>
      </x:c>
      <x:c r="C1901" s="66" t="n">
        <x:v>606.7068840421636</x:v>
      </x:c>
      <x:c r="D1901" s="66" t="n">
        <x:v>176.3409524439181</x:v>
      </x:c>
      <x:c r="E1901" s="66" t="n">
        <x:v>430.3659315982454</x:v>
      </x:c>
      <x:c r="F1901" s="66" t="n">
        <x:v>430.3659315982454</x:v>
      </x:c>
      <x:c r="G1901" s="66" t="n">
        <x:v>606.7068840421636</x:v>
      </x:c>
      <x:c r="H1901" s="45" t="n">
        <x:v>1</x:v>
      </x:c>
      <x:c r="I1901" s="36" t="str">
        <x:v>generated design-reference observation; not predicted tract behavior</x:v>
      </x:c>
    </x:row>
    <x:row r="1902" ht="75.5999984741211" hidden="0" customHeight="1">
      <x:c r="A1902" s="34" t="str">
        <x:v>B1</x:v>
      </x:c>
      <x:c r="B1902" s="34" t="str">
        <x:v>48201511301</x:v>
      </x:c>
      <x:c r="C1902" s="65" t="n">
        <x:v>408.3808653866395</x:v>
      </x:c>
      <x:c r="D1902" s="65" t="n">
        <x:v>237.65691060341348</x:v>
      </x:c>
      <x:c r="E1902" s="65" t="n">
        <x:v>170.72395478322605</x:v>
      </x:c>
      <x:c r="F1902" s="65" t="n">
        <x:v>170.72395478322608</x:v>
      </x:c>
      <x:c r="G1902" s="65" t="n">
        <x:v>408.3808653866395</x:v>
      </x:c>
      <x:c r="H1902" s="43" t="n">
        <x:v>1</x:v>
      </x:c>
      <x:c r="I1902" s="34" t="str">
        <x:v>generated design-reference observation; not predicted tract behavior</x:v>
      </x:c>
    </x:row>
    <x:row r="1903" ht="75.5999984741211" hidden="0" customHeight="1">
      <x:c r="A1903" s="36" t="str">
        <x:v>B1</x:v>
      </x:c>
      <x:c r="B1903" s="36" t="str">
        <x:v>48201511302</x:v>
      </x:c>
      <x:c r="C1903" s="66" t="n">
        <x:v>396.35579371532395</x:v>
      </x:c>
      <x:c r="D1903" s="66" t="n">
        <x:v>239.14130036218896</x:v>
      </x:c>
      <x:c r="E1903" s="66" t="n">
        <x:v>157.214493353135</x:v>
      </x:c>
      <x:c r="F1903" s="66" t="n">
        <x:v>157.214493353135</x:v>
      </x:c>
      <x:c r="G1903" s="66" t="n">
        <x:v>396.35579371532395</x:v>
      </x:c>
      <x:c r="H1903" s="45" t="n">
        <x:v>1</x:v>
      </x:c>
      <x:c r="I1903" s="36" t="str">
        <x:v>generated design-reference observation; not predicted tract behavior</x:v>
      </x:c>
    </x:row>
    <x:row r="1904" ht="75.5999984741211" hidden="0" customHeight="1">
      <x:c r="A1904" s="34" t="str">
        <x:v>B1</x:v>
      </x:c>
      <x:c r="B1904" s="34" t="str">
        <x:v>48201511400</x:v>
      </x:c>
      <x:c r="C1904" s="65" t="n">
        <x:v>216.8246174721694</x:v>
      </x:c>
      <x:c r="D1904" s="65" t="n">
        <x:v>130.83112923448053</x:v>
      </x:c>
      <x:c r="E1904" s="65" t="n">
        <x:v>85.99348823768887</x:v>
      </x:c>
      <x:c r="F1904" s="65" t="n">
        <x:v>85.99348823768887</x:v>
      </x:c>
      <x:c r="G1904" s="65" t="n">
        <x:v>216.8246174721694</x:v>
      </x:c>
      <x:c r="H1904" s="43" t="n">
        <x:v>1</x:v>
      </x:c>
      <x:c r="I1904" s="34" t="str">
        <x:v>generated design-reference observation; not predicted tract behavior</x:v>
      </x:c>
    </x:row>
    <x:row r="1905" ht="75.5999984741211" hidden="0" customHeight="1">
      <x:c r="A1905" s="36" t="str">
        <x:v>B1</x:v>
      </x:c>
      <x:c r="B1905" s="36" t="str">
        <x:v>48201511501</x:v>
      </x:c>
      <x:c r="C1905" s="66" t="n">
        <x:v>298.1117441130724</x:v>
      </x:c>
      <x:c r="D1905" s="66" t="n">
        <x:v>165.4117469928036</x:v>
      </x:c>
      <x:c r="E1905" s="66" t="n">
        <x:v>132.69999712026882</x:v>
      </x:c>
      <x:c r="F1905" s="66" t="n">
        <x:v>132.69999712026882</x:v>
      </x:c>
      <x:c r="G1905" s="66" t="n">
        <x:v>298.1117441130724</x:v>
      </x:c>
      <x:c r="H1905" s="45" t="n">
        <x:v>1</x:v>
      </x:c>
      <x:c r="I1905" s="36" t="str">
        <x:v>generated design-reference observation; not predicted tract behavior</x:v>
      </x:c>
    </x:row>
    <x:row r="1906" ht="75.5999984741211" hidden="0" customHeight="1">
      <x:c r="A1906" s="34" t="str">
        <x:v>B1</x:v>
      </x:c>
      <x:c r="B1906" s="34" t="str">
        <x:v>48201511502</x:v>
      </x:c>
      <x:c r="C1906" s="65" t="n">
        <x:v>433.07548969466154</x:v>
      </x:c>
      <x:c r="D1906" s="65" t="n">
        <x:v>263.30862751690523</x:v>
      </x:c>
      <x:c r="E1906" s="65" t="n">
        <x:v>169.7668621777563</x:v>
      </x:c>
      <x:c r="F1906" s="65" t="n">
        <x:v>169.7668621777563</x:v>
      </x:c>
      <x:c r="G1906" s="65" t="n">
        <x:v>433.07548969466154</x:v>
      </x:c>
      <x:c r="H1906" s="43" t="n">
        <x:v>1</x:v>
      </x:c>
      <x:c r="I1906" s="34" t="str">
        <x:v>generated design-reference observation; not predicted tract behavior</x:v>
      </x:c>
    </x:row>
    <x:row r="1907" ht="75.5999984741211" hidden="0" customHeight="1">
      <x:c r="A1907" s="36" t="str">
        <x:v>B1</x:v>
      </x:c>
      <x:c r="B1907" s="36" t="str">
        <x:v>48201511600</x:v>
      </x:c>
      <x:c r="C1907" s="66" t="n">
        <x:v>284.263262881139</x:v>
      </x:c>
      <x:c r="D1907" s="66" t="n">
        <x:v>166.08163699923497</x:v>
      </x:c>
      <x:c r="E1907" s="66" t="n">
        <x:v>118.18162588190401</x:v>
      </x:c>
      <x:c r="F1907" s="66" t="n">
        <x:v>118.18162588190401</x:v>
      </x:c>
      <x:c r="G1907" s="66" t="n">
        <x:v>284.263262881139</x:v>
      </x:c>
      <x:c r="H1907" s="45" t="n">
        <x:v>1</x:v>
      </x:c>
      <x:c r="I1907" s="36" t="str">
        <x:v>generated design-reference observation; not predicted tract behavior</x:v>
      </x:c>
    </x:row>
    <x:row r="1908" ht="75.5999984741211" hidden="0" customHeight="1">
      <x:c r="A1908" s="34" t="str">
        <x:v>B1</x:v>
      </x:c>
      <x:c r="B1908" s="34" t="str">
        <x:v>48201520100</x:v>
      </x:c>
      <x:c r="C1908" s="65" t="n">
        <x:v>271.60942929236893</x:v>
      </x:c>
      <x:c r="D1908" s="65" t="n">
        <x:v>154.9704126750251</x:v>
      </x:c>
      <x:c r="E1908" s="65" t="n">
        <x:v>116.63901661734383</x:v>
      </x:c>
      <x:c r="F1908" s="65" t="n">
        <x:v>32.05481327758756</x:v>
      </x:c>
      <x:c r="G1908" s="65" t="n">
        <x:v>187.02522595261266</x:v>
      </x:c>
      <x:c r="H1908" s="43" t="n">
        <x:v>0.6885814915920788</x:v>
      </x:c>
      <x:c r="I1908" s="34" t="str">
        <x:v>generated design-reference observation; not predicted tract behavior</x:v>
      </x:c>
    </x:row>
    <x:row r="1909" ht="75.5999984741211" hidden="0" customHeight="1">
      <x:c r="A1909" s="36" t="str">
        <x:v>B1</x:v>
      </x:c>
      <x:c r="B1909" s="36" t="str">
        <x:v>48201520200</x:v>
      </x:c>
      <x:c r="C1909" s="66" t="n">
        <x:v>257.5605301992469</x:v>
      </x:c>
      <x:c r="D1909" s="66" t="n">
        <x:v>154.86177306635088</x:v>
      </x:c>
      <x:c r="E1909" s="66" t="n">
        <x:v>102.69875713289602</x:v>
      </x:c>
      <x:c r="F1909" s="66" t="n">
        <x:v>102.69875713289602</x:v>
      </x:c>
      <x:c r="G1909" s="66" t="n">
        <x:v>257.5605301992469</x:v>
      </x:c>
      <x:c r="H1909" s="45" t="n">
        <x:v>1</x:v>
      </x:c>
      <x:c r="I1909" s="36" t="str">
        <x:v>generated design-reference observation; not predicted tract behavior</x:v>
      </x:c>
    </x:row>
    <x:row r="1910" ht="75.5999984741211" hidden="0" customHeight="1">
      <x:c r="A1910" s="34" t="str">
        <x:v>B1</x:v>
      </x:c>
      <x:c r="B1910" s="34" t="str">
        <x:v>48201520301</x:v>
      </x:c>
      <x:c r="C1910" s="65" t="n">
        <x:v>200.88943262668414</x:v>
      </x:c>
      <x:c r="D1910" s="65" t="n">
        <x:v>116.3603043462267</x:v>
      </x:c>
      <x:c r="E1910" s="65" t="n">
        <x:v>84.52912828045744</x:v>
      </x:c>
      <x:c r="F1910" s="65" t="n">
        <x:v>84.52912828045744</x:v>
      </x:c>
      <x:c r="G1910" s="65" t="n">
        <x:v>200.88943262668414</x:v>
      </x:c>
      <x:c r="H1910" s="43" t="n">
        <x:v>1</x:v>
      </x:c>
      <x:c r="I1910" s="34" t="str">
        <x:v>generated design-reference observation; not predicted tract behavior</x:v>
      </x:c>
    </x:row>
    <x:row r="1911" ht="75.5999984741211" hidden="0" customHeight="1">
      <x:c r="A1911" s="36" t="str">
        <x:v>B1</x:v>
      </x:c>
      <x:c r="B1911" s="36" t="str">
        <x:v>48201520302</x:v>
      </x:c>
      <x:c r="C1911" s="66" t="n">
        <x:v>210.39159710421393</x:v>
      </x:c>
      <x:c r="D1911" s="66" t="n">
        <x:v>123.76251136587621</x:v>
      </x:c>
      <x:c r="E1911" s="66" t="n">
        <x:v>86.62908573833772</x:v>
      </x:c>
      <x:c r="F1911" s="66" t="n">
        <x:v>86.62908573833772</x:v>
      </x:c>
      <x:c r="G1911" s="66" t="n">
        <x:v>210.39159710421393</x:v>
      </x:c>
      <x:c r="H1911" s="45" t="n">
        <x:v>1</x:v>
      </x:c>
      <x:c r="I1911" s="36" t="str">
        <x:v>generated design-reference observation; not predicted tract behavior</x:v>
      </x:c>
    </x:row>
    <x:row r="1912" ht="75.5999984741211" hidden="0" customHeight="1">
      <x:c r="A1912" s="34" t="str">
        <x:v>B1</x:v>
      </x:c>
      <x:c r="B1912" s="34" t="str">
        <x:v>48201520400</x:v>
      </x:c>
      <x:c r="C1912" s="65" t="n">
        <x:v>312.62828488230116</x:v>
      </x:c>
      <x:c r="D1912" s="65" t="n">
        <x:v>174.93552633614834</x:v>
      </x:c>
      <x:c r="E1912" s="65" t="n">
        <x:v>137.69275854615282</x:v>
      </x:c>
      <x:c r="F1912" s="65" t="n">
        <x:v>137.6927585461528</x:v>
      </x:c>
      <x:c r="G1912" s="65" t="n">
        <x:v>312.62828488230116</x:v>
      </x:c>
      <x:c r="H1912" s="43" t="n">
        <x:v>1</x:v>
      </x:c>
      <x:c r="I1912" s="34" t="str">
        <x:v>generated design-reference observation; not predicted tract behavior</x:v>
      </x:c>
    </x:row>
    <x:row r="1913" ht="75.5999984741211" hidden="0" customHeight="1">
      <x:c r="A1913" s="36" t="str">
        <x:v>B1</x:v>
      </x:c>
      <x:c r="B1913" s="36" t="str">
        <x:v>48201520501</x:v>
      </x:c>
      <x:c r="C1913" s="66" t="n">
        <x:v>325.4668172843233</x:v>
      </x:c>
      <x:c r="D1913" s="66" t="n">
        <x:v>197.9993585842682</x:v>
      </x:c>
      <x:c r="E1913" s="66" t="n">
        <x:v>127.46745870005512</x:v>
      </x:c>
      <x:c r="F1913" s="66" t="n">
        <x:v>127.46745870005512</x:v>
      </x:c>
      <x:c r="G1913" s="66" t="n">
        <x:v>325.4668172843233</x:v>
      </x:c>
      <x:c r="H1913" s="45" t="n">
        <x:v>1</x:v>
      </x:c>
      <x:c r="I1913" s="36" t="str">
        <x:v>generated design-reference observation; not predicted tract behavior</x:v>
      </x:c>
    </x:row>
    <x:row r="1914" ht="75.5999984741211" hidden="0" customHeight="1">
      <x:c r="A1914" s="34" t="str">
        <x:v>B1</x:v>
      </x:c>
      <x:c r="B1914" s="34" t="str">
        <x:v>48201520502</x:v>
      </x:c>
      <x:c r="C1914" s="65" t="n">
        <x:v>652.2147369754598</x:v>
      </x:c>
      <x:c r="D1914" s="65" t="n">
        <x:v>333.29973051618475</x:v>
      </x:c>
      <x:c r="E1914" s="65" t="n">
        <x:v>318.91500645927505</x:v>
      </x:c>
      <x:c r="F1914" s="65" t="n">
        <x:v>318.91500645927505</x:v>
      </x:c>
      <x:c r="G1914" s="65" t="n">
        <x:v>652.2147369754598</x:v>
      </x:c>
      <x:c r="H1914" s="43" t="n">
        <x:v>1</x:v>
      </x:c>
      <x:c r="I1914" s="34" t="str">
        <x:v>generated design-reference observation; not predicted tract behavior</x:v>
      </x:c>
    </x:row>
    <x:row r="1915" ht="75.5999984741211" hidden="0" customHeight="1">
      <x:c r="A1915" s="36" t="str">
        <x:v>B1</x:v>
      </x:c>
      <x:c r="B1915" s="36" t="str">
        <x:v>48201520601</x:v>
      </x:c>
      <x:c r="C1915" s="66" t="n">
        <x:v>384.335860963526</x:v>
      </x:c>
      <x:c r="D1915" s="66" t="n">
        <x:v>191.75197495733772</x:v>
      </x:c>
      <x:c r="E1915" s="66" t="n">
        <x:v>192.58388600618827</x:v>
      </x:c>
      <x:c r="F1915" s="66" t="n">
        <x:v>192.58388600618827</x:v>
      </x:c>
      <x:c r="G1915" s="66" t="n">
        <x:v>384.335860963526</x:v>
      </x:c>
      <x:c r="H1915" s="45" t="n">
        <x:v>1</x:v>
      </x:c>
      <x:c r="I1915" s="36" t="str">
        <x:v>generated design-reference observation; not predicted tract behavior</x:v>
      </x:c>
    </x:row>
    <x:row r="1916" ht="75.5999984741211" hidden="0" customHeight="1">
      <x:c r="A1916" s="34" t="str">
        <x:v>B1</x:v>
      </x:c>
      <x:c r="B1916" s="34" t="str">
        <x:v>48201520603</x:v>
      </x:c>
      <x:c r="C1916" s="65" t="n">
        <x:v>170.00150343173624</x:v>
      </x:c>
      <x:c r="D1916" s="65" t="n">
        <x:v>101.67782031551289</x:v>
      </x:c>
      <x:c r="E1916" s="65" t="n">
        <x:v>68.32368311622335</x:v>
      </x:c>
      <x:c r="F1916" s="65" t="n">
        <x:v>68.32368311622335</x:v>
      </x:c>
      <x:c r="G1916" s="65" t="n">
        <x:v>170.00150343173624</x:v>
      </x:c>
      <x:c r="H1916" s="43" t="n">
        <x:v>1</x:v>
      </x:c>
      <x:c r="I1916" s="34" t="str">
        <x:v>generated design-reference observation; not predicted tract behavior</x:v>
      </x:c>
    </x:row>
    <x:row r="1917" ht="75.5999984741211" hidden="0" customHeight="1">
      <x:c r="A1917" s="36" t="str">
        <x:v>B1</x:v>
      </x:c>
      <x:c r="B1917" s="36" t="str">
        <x:v>48201520604</x:v>
      </x:c>
      <x:c r="C1917" s="66" t="n">
        <x:v>276.450896056768</x:v>
      </x:c>
      <x:c r="D1917" s="66" t="n">
        <x:v>168.22206280704975</x:v>
      </x:c>
      <x:c r="E1917" s="66" t="n">
        <x:v>108.22883324971824</x:v>
      </x:c>
      <x:c r="F1917" s="66" t="n">
        <x:v>91.76169932398182</x:v>
      </x:c>
      <x:c r="G1917" s="66" t="n">
        <x:v>259.98376213103154</x:v>
      </x:c>
      <x:c r="H1917" s="45" t="n">
        <x:v>0.9404337835014469</x:v>
      </x:c>
      <x:c r="I1917" s="36" t="str">
        <x:v>generated design-reference observation; not predicted tract behavior</x:v>
      </x:c>
    </x:row>
    <x:row r="1918" ht="75.5999984741211" hidden="0" customHeight="1">
      <x:c r="A1918" s="34" t="str">
        <x:v>B1</x:v>
      </x:c>
      <x:c r="B1918" s="34" t="str">
        <x:v>48201520700</x:v>
      </x:c>
      <x:c r="C1918" s="65" t="n">
        <x:v>354.81035001952387</x:v>
      </x:c>
      <x:c r="D1918" s="65" t="n">
        <x:v>213.05941850516467</x:v>
      </x:c>
      <x:c r="E1918" s="65" t="n">
        <x:v>141.7509315143592</x:v>
      </x:c>
      <x:c r="F1918" s="65" t="n">
        <x:v>141.7509315143592</x:v>
      </x:c>
      <x:c r="G1918" s="65" t="n">
        <x:v>354.81035001952387</x:v>
      </x:c>
      <x:c r="H1918" s="43" t="n">
        <x:v>1</x:v>
      </x:c>
      <x:c r="I1918" s="34" t="str">
        <x:v>generated design-reference observation; not predicted tract behavior</x:v>
      </x:c>
    </x:row>
    <x:row r="1919" ht="75.5999984741211" hidden="0" customHeight="1">
      <x:c r="A1919" s="36" t="str">
        <x:v>B1</x:v>
      </x:c>
      <x:c r="B1919" s="36" t="str">
        <x:v>48201521000</x:v>
      </x:c>
      <x:c r="C1919" s="66" t="n">
        <x:v>174.48143209359893</x:v>
      </x:c>
      <x:c r="D1919" s="66" t="n">
        <x:v>101.67645439771668</x:v>
      </x:c>
      <x:c r="E1919" s="66" t="n">
        <x:v>72.80497769588224</x:v>
      </x:c>
      <x:c r="F1919" s="66" t="n">
        <x:v>72.80497769588224</x:v>
      </x:c>
      <x:c r="G1919" s="66" t="n">
        <x:v>174.48143209359893</x:v>
      </x:c>
      <x:c r="H1919" s="45" t="n">
        <x:v>1</x:v>
      </x:c>
      <x:c r="I1919" s="36" t="str">
        <x:v>generated design-reference observation; not predicted tract behavior</x:v>
      </x:c>
    </x:row>
    <x:row r="1920" ht="75.5999984741211" hidden="0" customHeight="1">
      <x:c r="A1920" s="34" t="str">
        <x:v>B1</x:v>
      </x:c>
      <x:c r="B1920" s="34" t="str">
        <x:v>48201521100</x:v>
      </x:c>
      <x:c r="C1920" s="65" t="n">
        <x:v>202.31986598889296</x:v>
      </x:c>
      <x:c r="D1920" s="65" t="n">
        <x:v>116.15261697674899</x:v>
      </x:c>
      <x:c r="E1920" s="65" t="n">
        <x:v>86.16724901214397</x:v>
      </x:c>
      <x:c r="F1920" s="65" t="n">
        <x:v>86.16724901214397</x:v>
      </x:c>
      <x:c r="G1920" s="65" t="n">
        <x:v>202.31986598889296</x:v>
      </x:c>
      <x:c r="H1920" s="43" t="n">
        <x:v>1</x:v>
      </x:c>
      <x:c r="I1920" s="34" t="str">
        <x:v>generated design-reference observation; not predicted tract behavior</x:v>
      </x:c>
    </x:row>
    <x:row r="1921" ht="75.5999984741211" hidden="0" customHeight="1">
      <x:c r="A1921" s="36" t="str">
        <x:v>B1</x:v>
      </x:c>
      <x:c r="B1921" s="36" t="str">
        <x:v>48201521201</x:v>
      </x:c>
      <x:c r="C1921" s="66" t="n">
        <x:v>166.40184145430973</x:v>
      </x:c>
      <x:c r="D1921" s="66" t="n">
        <x:v>96.12364097051301</x:v>
      </x:c>
      <x:c r="E1921" s="66" t="n">
        <x:v>70.27820048379672</x:v>
      </x:c>
      <x:c r="F1921" s="66" t="n">
        <x:v>70.27820048379672</x:v>
      </x:c>
      <x:c r="G1921" s="66" t="n">
        <x:v>166.40184145430973</x:v>
      </x:c>
      <x:c r="H1921" s="45" t="n">
        <x:v>1</x:v>
      </x:c>
      <x:c r="I1921" s="36" t="str">
        <x:v>generated design-reference observation; not predicted tract behavior</x:v>
      </x:c>
    </x:row>
    <x:row r="1922" ht="75.5999984741211" hidden="0" customHeight="1">
      <x:c r="A1922" s="34" t="str">
        <x:v>B1</x:v>
      </x:c>
      <x:c r="B1922" s="34" t="str">
        <x:v>48201521202</x:v>
      </x:c>
      <x:c r="C1922" s="65" t="n">
        <x:v>268.5756530406515</x:v>
      </x:c>
      <x:c r="D1922" s="65" t="n">
        <x:v>158.08468074349383</x:v>
      </x:c>
      <x:c r="E1922" s="65" t="n">
        <x:v>110.49097229715767</x:v>
      </x:c>
      <x:c r="F1922" s="65" t="n">
        <x:v>110.49097229715767</x:v>
      </x:c>
      <x:c r="G1922" s="65" t="n">
        <x:v>268.5756530406515</x:v>
      </x:c>
      <x:c r="H1922" s="43" t="n">
        <x:v>1</x:v>
      </x:c>
      <x:c r="I1922" s="34" t="str">
        <x:v>generated design-reference observation; not predicted tract behavior</x:v>
      </x:c>
    </x:row>
    <x:row r="1923" ht="75.5999984741211" hidden="0" customHeight="1">
      <x:c r="A1923" s="36" t="str">
        <x:v>B1</x:v>
      </x:c>
      <x:c r="B1923" s="36" t="str">
        <x:v>48201521300</x:v>
      </x:c>
      <x:c r="C1923" s="66" t="n">
        <x:v>579.4591236020167</x:v>
      </x:c>
      <x:c r="D1923" s="66" t="n">
        <x:v>347.04455693445374</x:v>
      </x:c>
      <x:c r="E1923" s="66" t="n">
        <x:v>232.41456666756295</x:v>
      </x:c>
      <x:c r="F1923" s="66" t="n">
        <x:v>232.41456666756295</x:v>
      </x:c>
      <x:c r="G1923" s="66" t="n">
        <x:v>579.4591236020167</x:v>
      </x:c>
      <x:c r="H1923" s="45" t="n">
        <x:v>1</x:v>
      </x:c>
      <x:c r="I1923" s="36" t="str">
        <x:v>generated design-reference observation; not predicted tract behavior</x:v>
      </x:c>
    </x:row>
    <x:row r="1924" ht="75.5999984741211" hidden="0" customHeight="1">
      <x:c r="A1924" s="34" t="str">
        <x:v>B1</x:v>
      </x:c>
      <x:c r="B1924" s="34" t="str">
        <x:v>48201521401</x:v>
      </x:c>
      <x:c r="C1924" s="65" t="n">
        <x:v>261.74572671230294</x:v>
      </x:c>
      <x:c r="D1924" s="65" t="n">
        <x:v>154.38564272882294</x:v>
      </x:c>
      <x:c r="E1924" s="65" t="n">
        <x:v>107.36008398348</x:v>
      </x:c>
      <x:c r="F1924" s="65" t="n">
        <x:v>107.36008398348</x:v>
      </x:c>
      <x:c r="G1924" s="65" t="n">
        <x:v>261.74572671230294</x:v>
      </x:c>
      <x:c r="H1924" s="43" t="n">
        <x:v>1</x:v>
      </x:c>
      <x:c r="I1924" s="34" t="str">
        <x:v>generated design-reference observation; not predicted tract behavior</x:v>
      </x:c>
    </x:row>
    <x:row r="1925" ht="75.5999984741211" hidden="0" customHeight="1">
      <x:c r="A1925" s="36" t="str">
        <x:v>B1</x:v>
      </x:c>
      <x:c r="B1925" s="36" t="str">
        <x:v>48201521402</x:v>
      </x:c>
      <x:c r="C1925" s="66" t="n">
        <x:v>591.852383742303</x:v>
      </x:c>
      <x:c r="D1925" s="66" t="n">
        <x:v>164.39733524186133</x:v>
      </x:c>
      <x:c r="E1925" s="66" t="n">
        <x:v>427.45504850044165</x:v>
      </x:c>
      <x:c r="F1925" s="66" t="n">
        <x:v>427.45504850044165</x:v>
      </x:c>
      <x:c r="G1925" s="66" t="n">
        <x:v>591.852383742303</x:v>
      </x:c>
      <x:c r="H1925" s="45" t="n">
        <x:v>1</x:v>
      </x:c>
      <x:c r="I1925" s="36" t="str">
        <x:v>generated design-reference observation; not predicted tract behavior</x:v>
      </x:c>
    </x:row>
    <x:row r="1926" ht="75.5999984741211" hidden="0" customHeight="1">
      <x:c r="A1926" s="34" t="str">
        <x:v>B1</x:v>
      </x:c>
      <x:c r="B1926" s="34" t="str">
        <x:v>48201521501</x:v>
      </x:c>
      <x:c r="C1926" s="65" t="n">
        <x:v>497.0628972134499</x:v>
      </x:c>
      <x:c r="D1926" s="65" t="n">
        <x:v>140.45248036004918</x:v>
      </x:c>
      <x:c r="E1926" s="65" t="n">
        <x:v>356.6104168534007</x:v>
      </x:c>
      <x:c r="F1926" s="65" t="n">
        <x:v>356.6104168534007</x:v>
      </x:c>
      <x:c r="G1926" s="65" t="n">
        <x:v>497.0628972134499</x:v>
      </x:c>
      <x:c r="H1926" s="43" t="n">
        <x:v>1</x:v>
      </x:c>
      <x:c r="I1926" s="34" t="str">
        <x:v>generated design-reference observation; not predicted tract behavior</x:v>
      </x:c>
    </x:row>
    <x:row r="1927" ht="75.5999984741211" hidden="0" customHeight="1">
      <x:c r="A1927" s="36" t="str">
        <x:v>B1</x:v>
      </x:c>
      <x:c r="B1927" s="36" t="str">
        <x:v>48201521502</x:v>
      </x:c>
      <x:c r="C1927" s="66" t="n">
        <x:v>507.7276666595036</x:v>
      </x:c>
      <x:c r="D1927" s="66" t="n">
        <x:v>148.15082025349648</x:v>
      </x:c>
      <x:c r="E1927" s="66" t="n">
        <x:v>359.5768464060071</x:v>
      </x:c>
      <x:c r="F1927" s="66" t="n">
        <x:v>359.5768464060071</x:v>
      </x:c>
      <x:c r="G1927" s="66" t="n">
        <x:v>507.7276666595036</x:v>
      </x:c>
      <x:c r="H1927" s="45" t="n">
        <x:v>1</x:v>
      </x:c>
      <x:c r="I1927" s="36" t="str">
        <x:v>generated design-reference observation; not predicted tract behavior</x:v>
      </x:c>
    </x:row>
    <x:row r="1928" ht="75.5999984741211" hidden="0" customHeight="1">
      <x:c r="A1928" s="34" t="str">
        <x:v>B1</x:v>
      </x:c>
      <x:c r="B1928" s="34" t="str">
        <x:v>48201521600</x:v>
      </x:c>
      <x:c r="C1928" s="65" t="n">
        <x:v>236.51665477444467</x:v>
      </x:c>
      <x:c r="D1928" s="65" t="n">
        <x:v>144.1682296706823</x:v>
      </x:c>
      <x:c r="E1928" s="65" t="n">
        <x:v>92.34842510376237</x:v>
      </x:c>
      <x:c r="F1928" s="65" t="n">
        <x:v>92.34842510376237</x:v>
      </x:c>
      <x:c r="G1928" s="65" t="n">
        <x:v>236.51665477444467</x:v>
      </x:c>
      <x:c r="H1928" s="43" t="n">
        <x:v>1</x:v>
      </x:c>
      <x:c r="I1928" s="34" t="str">
        <x:v>generated design-reference observation; not predicted tract behavior</x:v>
      </x:c>
    </x:row>
    <x:row r="1929" ht="75.5999984741211" hidden="0" customHeight="1">
      <x:c r="A1929" s="36" t="str">
        <x:v>B1</x:v>
      </x:c>
      <x:c r="B1929" s="36" t="str">
        <x:v>48201521701</x:v>
      </x:c>
      <x:c r="C1929" s="66" t="n">
        <x:v>663.3250809726328</x:v>
      </x:c>
      <x:c r="D1929" s="66" t="n">
        <x:v>324.12840478709484</x:v>
      </x:c>
      <x:c r="E1929" s="66" t="n">
        <x:v>339.19667618553797</x:v>
      </x:c>
      <x:c r="F1929" s="66" t="n">
        <x:v>339.19667618553797</x:v>
      </x:c>
      <x:c r="G1929" s="66" t="n">
        <x:v>663.3250809726328</x:v>
      </x:c>
      <x:c r="H1929" s="45" t="n">
        <x:v>1</x:v>
      </x:c>
      <x:c r="I1929" s="36" t="str">
        <x:v>generated design-reference observation; not predicted tract behavior</x:v>
      </x:c>
    </x:row>
    <x:row r="1930" ht="75.5999984741211" hidden="0" customHeight="1">
      <x:c r="A1930" s="34" t="str">
        <x:v>B1</x:v>
      </x:c>
      <x:c r="B1930" s="34" t="str">
        <x:v>48201521702</x:v>
      </x:c>
      <x:c r="C1930" s="65" t="n">
        <x:v>450.20532218331016</x:v>
      </x:c>
      <x:c r="D1930" s="65" t="n">
        <x:v>230.5377165087859</x:v>
      </x:c>
      <x:c r="E1930" s="65" t="n">
        <x:v>219.66760567452425</x:v>
      </x:c>
      <x:c r="F1930" s="65" t="n">
        <x:v>219.66760567452425</x:v>
      </x:c>
      <x:c r="G1930" s="65" t="n">
        <x:v>450.20532218331016</x:v>
      </x:c>
      <x:c r="H1930" s="43" t="n">
        <x:v>1</x:v>
      </x:c>
      <x:c r="I1930" s="34" t="str">
        <x:v>generated design-reference observation; not predicted tract behavior</x:v>
      </x:c>
    </x:row>
    <x:row r="1931" ht="75.5999984741211" hidden="0" customHeight="1">
      <x:c r="A1931" s="36" t="str">
        <x:v>B1</x:v>
      </x:c>
      <x:c r="B1931" s="36" t="str">
        <x:v>48201521800</x:v>
      </x:c>
      <x:c r="C1931" s="66" t="n">
        <x:v>375.48875757980574</x:v>
      </x:c>
      <x:c r="D1931" s="66" t="n">
        <x:v>224.59365970481372</x:v>
      </x:c>
      <x:c r="E1931" s="66" t="n">
        <x:v>150.89509787499202</x:v>
      </x:c>
      <x:c r="F1931" s="66" t="n">
        <x:v>150.89509787499202</x:v>
      </x:c>
      <x:c r="G1931" s="66" t="n">
        <x:v>375.48875757980574</x:v>
      </x:c>
      <x:c r="H1931" s="45" t="n">
        <x:v>1</x:v>
      </x:c>
      <x:c r="I1931" s="36" t="str">
        <x:v>generated design-reference observation; not predicted tract behavior</x:v>
      </x:c>
    </x:row>
    <x:row r="1932" ht="75.5999984741211" hidden="0" customHeight="1">
      <x:c r="A1932" s="34" t="str">
        <x:v>B1</x:v>
      </x:c>
      <x:c r="B1932" s="34" t="str">
        <x:v>48201521900</x:v>
      </x:c>
      <x:c r="C1932" s="65" t="n">
        <x:v>583.7386344026906</x:v>
      </x:c>
      <x:c r="D1932" s="65" t="n">
        <x:v>337.6321659748491</x:v>
      </x:c>
      <x:c r="E1932" s="65" t="n">
        <x:v>246.10646842784155</x:v>
      </x:c>
      <x:c r="F1932" s="65" t="n">
        <x:v>246.10646842784155</x:v>
      </x:c>
      <x:c r="G1932" s="65" t="n">
        <x:v>583.7386344026906</x:v>
      </x:c>
      <x:c r="H1932" s="43" t="n">
        <x:v>1</x:v>
      </x:c>
      <x:c r="I1932" s="34" t="str">
        <x:v>generated design-reference observation; not predicted tract behavior</x:v>
      </x:c>
    </x:row>
    <x:row r="1933" ht="75.5999984741211" hidden="0" customHeight="1">
      <x:c r="A1933" s="36" t="str">
        <x:v>B1</x:v>
      </x:c>
      <x:c r="B1933" s="36" t="str">
        <x:v>48201522001</x:v>
      </x:c>
      <x:c r="C1933" s="66" t="n">
        <x:v>390.6352694240224</x:v>
      </x:c>
      <x:c r="D1933" s="66" t="n">
        <x:v>106.34591819833679</x:v>
      </x:c>
      <x:c r="E1933" s="66" t="n">
        <x:v>284.2893512256856</x:v>
      </x:c>
      <x:c r="F1933" s="66" t="n">
        <x:v>284.2893512256856</x:v>
      </x:c>
      <x:c r="G1933" s="66" t="n">
        <x:v>390.6352694240224</x:v>
      </x:c>
      <x:c r="H1933" s="45" t="n">
        <x:v>1</x:v>
      </x:c>
      <x:c r="I1933" s="36" t="str">
        <x:v>generated design-reference observation; not predicted tract behavior</x:v>
      </x:c>
    </x:row>
    <x:row r="1934" ht="75.5999984741211" hidden="0" customHeight="1">
      <x:c r="A1934" s="34" t="str">
        <x:v>B1</x:v>
      </x:c>
      <x:c r="B1934" s="34" t="str">
        <x:v>48201522002</x:v>
      </x:c>
      <x:c r="C1934" s="65" t="n">
        <x:v>439.06021490704734</x:v>
      </x:c>
      <x:c r="D1934" s="65" t="n">
        <x:v>224.70290582926572</x:v>
      </x:c>
      <x:c r="E1934" s="65" t="n">
        <x:v>214.35730907778162</x:v>
      </x:c>
      <x:c r="F1934" s="65" t="n">
        <x:v>214.35730907778162</x:v>
      </x:c>
      <x:c r="G1934" s="65" t="n">
        <x:v>439.06021490704734</x:v>
      </x:c>
      <x:c r="H1934" s="43" t="n">
        <x:v>1</x:v>
      </x:c>
      <x:c r="I1934" s="34" t="str">
        <x:v>generated design-reference observation; not predicted tract behavior</x:v>
      </x:c>
    </x:row>
    <x:row r="1935" ht="75.5999984741211" hidden="0" customHeight="1">
      <x:c r="A1935" s="36" t="str">
        <x:v>B1</x:v>
      </x:c>
      <x:c r="B1935" s="36" t="str">
        <x:v>48201522101</x:v>
      </x:c>
      <x:c r="C1935" s="66" t="n">
        <x:v>273.40926028108225</x:v>
      </x:c>
      <x:c r="D1935" s="66" t="n">
        <x:v>151.46288281685418</x:v>
      </x:c>
      <x:c r="E1935" s="66" t="n">
        <x:v>121.94637746422808</x:v>
      </x:c>
      <x:c r="F1935" s="66" t="n">
        <x:v>121.94637746422808</x:v>
      </x:c>
      <x:c r="G1935" s="66" t="n">
        <x:v>273.40926028108225</x:v>
      </x:c>
      <x:c r="H1935" s="45" t="n">
        <x:v>1</x:v>
      </x:c>
      <x:c r="I1935" s="36" t="str">
        <x:v>generated design-reference observation; not predicted tract behavior</x:v>
      </x:c>
    </x:row>
    <x:row r="1936" ht="75.5999984741211" hidden="0" customHeight="1">
      <x:c r="A1936" s="34" t="str">
        <x:v>B1</x:v>
      </x:c>
      <x:c r="B1936" s="34" t="str">
        <x:v>48201522102</x:v>
      </x:c>
      <x:c r="C1936" s="65" t="n">
        <x:v>364.80373474506484</x:v>
      </x:c>
      <x:c r="D1936" s="65" t="n">
        <x:v>222.89508192923464</x:v>
      </x:c>
      <x:c r="E1936" s="65" t="n">
        <x:v>141.9086528158302</x:v>
      </x:c>
      <x:c r="F1936" s="65" t="n">
        <x:v>141.9086528158302</x:v>
      </x:c>
      <x:c r="G1936" s="65" t="n">
        <x:v>364.80373474506484</x:v>
      </x:c>
      <x:c r="H1936" s="43" t="n">
        <x:v>1</x:v>
      </x:c>
      <x:c r="I1936" s="34" t="str">
        <x:v>generated design-reference observation; not predicted tract behavior</x:v>
      </x:c>
    </x:row>
    <x:row r="1937" ht="75.5999984741211" hidden="0" customHeight="1">
      <x:c r="A1937" s="36" t="str">
        <x:v>B1</x:v>
      </x:c>
      <x:c r="B1937" s="36" t="str">
        <x:v>48201522201</x:v>
      </x:c>
      <x:c r="C1937" s="66" t="n">
        <x:v>416.5351215036265</x:v>
      </x:c>
      <x:c r="D1937" s="66" t="n">
        <x:v>243.88845178526353</x:v>
      </x:c>
      <x:c r="E1937" s="66" t="n">
        <x:v>172.64666971836297</x:v>
      </x:c>
      <x:c r="F1937" s="66" t="n">
        <x:v>172.64666971836297</x:v>
      </x:c>
      <x:c r="G1937" s="66" t="n">
        <x:v>416.5351215036265</x:v>
      </x:c>
      <x:c r="H1937" s="45" t="n">
        <x:v>1</x:v>
      </x:c>
      <x:c r="I1937" s="36" t="str">
        <x:v>generated design-reference observation; not predicted tract behavior</x:v>
      </x:c>
    </x:row>
    <x:row r="1938" ht="75.5999984741211" hidden="0" customHeight="1">
      <x:c r="A1938" s="34" t="str">
        <x:v>B1</x:v>
      </x:c>
      <x:c r="B1938" s="34" t="str">
        <x:v>48201522202</x:v>
      </x:c>
      <x:c r="C1938" s="65" t="n">
        <x:v>328.5988375856431</x:v>
      </x:c>
      <x:c r="D1938" s="65" t="n">
        <x:v>199.01801775398138</x:v>
      </x:c>
      <x:c r="E1938" s="65" t="n">
        <x:v>129.5808198316617</x:v>
      </x:c>
      <x:c r="F1938" s="65" t="n">
        <x:v>129.5808198316617</x:v>
      </x:c>
      <x:c r="G1938" s="65" t="n">
        <x:v>328.5988375856431</x:v>
      </x:c>
      <x:c r="H1938" s="43" t="n">
        <x:v>1</x:v>
      </x:c>
      <x:c r="I1938" s="34" t="str">
        <x:v>generated design-reference observation; not predicted tract behavior</x:v>
      </x:c>
    </x:row>
    <x:row r="1939" ht="75.5999984741211" hidden="0" customHeight="1">
      <x:c r="A1939" s="36" t="str">
        <x:v>B1</x:v>
      </x:c>
      <x:c r="B1939" s="36" t="str">
        <x:v>48201522301</x:v>
      </x:c>
      <x:c r="C1939" s="66" t="n">
        <x:v>318.6526100039111</x:v>
      </x:c>
      <x:c r="D1939" s="66" t="n">
        <x:v>186.11979560611698</x:v>
      </x:c>
      <x:c r="E1939" s="66" t="n">
        <x:v>132.5328143977941</x:v>
      </x:c>
      <x:c r="F1939" s="66" t="n">
        <x:v>132.5328143977941</x:v>
      </x:c>
      <x:c r="G1939" s="66" t="n">
        <x:v>318.6526100039111</x:v>
      </x:c>
      <x:c r="H1939" s="45" t="n">
        <x:v>1</x:v>
      </x:c>
      <x:c r="I1939" s="36" t="str">
        <x:v>generated design-reference observation; not predicted tract behavior</x:v>
      </x:c>
    </x:row>
    <x:row r="1940" ht="75.5999984741211" hidden="0" customHeight="1">
      <x:c r="A1940" s="34" t="str">
        <x:v>B1</x:v>
      </x:c>
      <x:c r="B1940" s="34" t="str">
        <x:v>48201522302</x:v>
      </x:c>
      <x:c r="C1940" s="65" t="n">
        <x:v>253.0766717754002</x:v>
      </x:c>
      <x:c r="D1940" s="65" t="n">
        <x:v>140.1480156573558</x:v>
      </x:c>
      <x:c r="E1940" s="65" t="n">
        <x:v>112.92865611804439</x:v>
      </x:c>
      <x:c r="F1940" s="65" t="n">
        <x:v>27.28102383781082</x:v>
      </x:c>
      <x:c r="G1940" s="65" t="n">
        <x:v>167.42903949516665</x:v>
      </x:c>
      <x:c r="H1940" s="43" t="n">
        <x:v>0.6615743692241857</x:v>
      </x:c>
      <x:c r="I1940" s="34" t="str">
        <x:v>generated design-reference observation; not predicted tract behavior</x:v>
      </x:c>
    </x:row>
    <x:row r="1941" ht="75.5999984741211" hidden="0" customHeight="1">
      <x:c r="A1941" s="36" t="str">
        <x:v>B1</x:v>
      </x:c>
      <x:c r="B1941" s="36" t="str">
        <x:v>48201522401</x:v>
      </x:c>
      <x:c r="C1941" s="66" t="n">
        <x:v>486.48881458241385</x:v>
      </x:c>
      <x:c r="D1941" s="66" t="n">
        <x:v>282.06812537602843</x:v>
      </x:c>
      <x:c r="E1941" s="66" t="n">
        <x:v>204.42068920638542</x:v>
      </x:c>
      <x:c r="F1941" s="66" t="n">
        <x:v>204.42068920638542</x:v>
      </x:c>
      <x:c r="G1941" s="66" t="n">
        <x:v>486.48881458241385</x:v>
      </x:c>
      <x:c r="H1941" s="45" t="n">
        <x:v>1</x:v>
      </x:c>
      <x:c r="I1941" s="36" t="str">
        <x:v>generated design-reference observation; not predicted tract behavior</x:v>
      </x:c>
    </x:row>
    <x:row r="1942" ht="75.5999984741211" hidden="0" customHeight="1">
      <x:c r="A1942" s="34" t="str">
        <x:v>B1</x:v>
      </x:c>
      <x:c r="B1942" s="34" t="str">
        <x:v>48201522402</x:v>
      </x:c>
      <x:c r="C1942" s="65" t="n">
        <x:v>309.31549552971313</x:v>
      </x:c>
      <x:c r="D1942" s="65" t="n">
        <x:v>183.547560466677</x:v>
      </x:c>
      <x:c r="E1942" s="65" t="n">
        <x:v>125.76793506303613</x:v>
      </x:c>
      <x:c r="F1942" s="65" t="n">
        <x:v>125.76793506303613</x:v>
      </x:c>
      <x:c r="G1942" s="65" t="n">
        <x:v>309.31549552971313</x:v>
      </x:c>
      <x:c r="H1942" s="43" t="n">
        <x:v>1</x:v>
      </x:c>
      <x:c r="I1942" s="34" t="str">
        <x:v>generated design-reference observation; not predicted tract behavior</x:v>
      </x:c>
    </x:row>
    <x:row r="1943" ht="75.5999984741211" hidden="0" customHeight="1">
      <x:c r="A1943" s="36" t="str">
        <x:v>B1</x:v>
      </x:c>
      <x:c r="B1943" s="36" t="str">
        <x:v>48201522500</x:v>
      </x:c>
      <x:c r="C1943" s="66" t="n">
        <x:v>437.0759873944652</x:v>
      </x:c>
      <x:c r="D1943" s="66" t="n">
        <x:v>267.0534282980182</x:v>
      </x:c>
      <x:c r="E1943" s="66" t="n">
        <x:v>170.02255909644697</x:v>
      </x:c>
      <x:c r="F1943" s="66" t="n">
        <x:v>170.02255909644697</x:v>
      </x:c>
      <x:c r="G1943" s="66" t="n">
        <x:v>437.0759873944652</x:v>
      </x:c>
      <x:c r="H1943" s="45" t="n">
        <x:v>1</x:v>
      </x:c>
      <x:c r="I1943" s="36" t="str">
        <x:v>generated design-reference observation; not predicted tract behavior</x:v>
      </x:c>
    </x:row>
    <x:row r="1944" ht="75.5999984741211" hidden="0" customHeight="1">
      <x:c r="A1944" s="34" t="str">
        <x:v>B1</x:v>
      </x:c>
      <x:c r="B1944" s="34" t="str">
        <x:v>48201530101</x:v>
      </x:c>
      <x:c r="C1944" s="65" t="n">
        <x:v>271.18501499808724</x:v>
      </x:c>
      <x:c r="D1944" s="65" t="n">
        <x:v>155.507265119896</x:v>
      </x:c>
      <x:c r="E1944" s="65" t="n">
        <x:v>115.67774987819124</x:v>
      </x:c>
      <x:c r="F1944" s="65" t="n">
        <x:v>115.67774987819124</x:v>
      </x:c>
      <x:c r="G1944" s="65" t="n">
        <x:v>271.18501499808724</x:v>
      </x:c>
      <x:c r="H1944" s="43" t="n">
        <x:v>1</x:v>
      </x:c>
      <x:c r="I1944" s="34" t="str">
        <x:v>generated design-reference observation; not predicted tract behavior</x:v>
      </x:c>
    </x:row>
    <x:row r="1945" ht="75.5999984741211" hidden="0" customHeight="1">
      <x:c r="A1945" s="36" t="str">
        <x:v>B1</x:v>
      </x:c>
      <x:c r="B1945" s="36" t="str">
        <x:v>48201530102</x:v>
      </x:c>
      <x:c r="C1945" s="66" t="n">
        <x:v>508.9634256588082</x:v>
      </x:c>
      <x:c r="D1945" s="66" t="n">
        <x:v>132.31216959861015</x:v>
      </x:c>
      <x:c r="E1945" s="66" t="n">
        <x:v>376.6512560601981</x:v>
      </x:c>
      <x:c r="F1945" s="66" t="n">
        <x:v>376.6512560601981</x:v>
      </x:c>
      <x:c r="G1945" s="66" t="n">
        <x:v>508.9634256588082</x:v>
      </x:c>
      <x:c r="H1945" s="45" t="n">
        <x:v>1</x:v>
      </x:c>
      <x:c r="I1945" s="36" t="str">
        <x:v>generated design-reference observation; not predicted tract behavior</x:v>
      </x:c>
    </x:row>
    <x:row r="1946" ht="75.5999984741211" hidden="0" customHeight="1">
      <x:c r="A1946" s="34" t="str">
        <x:v>B1</x:v>
      </x:c>
      <x:c r="B1946" s="34" t="str">
        <x:v>48201530200</x:v>
      </x:c>
      <x:c r="C1946" s="65" t="n">
        <x:v>336.80418060842317</x:v>
      </x:c>
      <x:c r="D1946" s="65" t="n">
        <x:v>198.11931294409527</x:v>
      </x:c>
      <x:c r="E1946" s="65" t="n">
        <x:v>138.6848676643279</x:v>
      </x:c>
      <x:c r="F1946" s="65" t="n">
        <x:v>138.6848676643279</x:v>
      </x:c>
      <x:c r="G1946" s="65" t="n">
        <x:v>336.80418060842317</x:v>
      </x:c>
      <x:c r="H1946" s="43" t="n">
        <x:v>1</x:v>
      </x:c>
      <x:c r="I1946" s="34" t="str">
        <x:v>generated design-reference observation; not predicted tract behavior</x:v>
      </x:c>
    </x:row>
    <x:row r="1947" ht="75.5999984741211" hidden="0" customHeight="1">
      <x:c r="A1947" s="36" t="str">
        <x:v>B1</x:v>
      </x:c>
      <x:c r="B1947" s="36" t="str">
        <x:v>48201530300</x:v>
      </x:c>
      <x:c r="C1947" s="66" t="n">
        <x:v>342.7242158927631</x:v>
      </x:c>
      <x:c r="D1947" s="66" t="n">
        <x:v>182.67200707084274</x:v>
      </x:c>
      <x:c r="E1947" s="66" t="n">
        <x:v>160.05220882192035</x:v>
      </x:c>
      <x:c r="F1947" s="66" t="n">
        <x:v>160.05220882192035</x:v>
      </x:c>
      <x:c r="G1947" s="66" t="n">
        <x:v>342.7242158927631</x:v>
      </x:c>
      <x:c r="H1947" s="45" t="n">
        <x:v>1</x:v>
      </x:c>
      <x:c r="I1947" s="36" t="str">
        <x:v>generated design-reference observation; not predicted tract behavior</x:v>
      </x:c>
    </x:row>
    <x:row r="1948" ht="75.5999984741211" hidden="0" customHeight="1">
      <x:c r="A1948" s="34" t="str">
        <x:v>B1</x:v>
      </x:c>
      <x:c r="B1948" s="34" t="str">
        <x:v>48201530400</x:v>
      </x:c>
      <x:c r="C1948" s="65" t="n">
        <x:v>616.4575303928411</x:v>
      </x:c>
      <x:c r="D1948" s="65" t="n">
        <x:v>175.49722539473046</x:v>
      </x:c>
      <x:c r="E1948" s="65" t="n">
        <x:v>440.9603049981107</x:v>
      </x:c>
      <x:c r="F1948" s="65" t="n">
        <x:v>440.9603049981107</x:v>
      </x:c>
      <x:c r="G1948" s="65" t="n">
        <x:v>616.4575303928411</x:v>
      </x:c>
      <x:c r="H1948" s="43" t="n">
        <x:v>1</x:v>
      </x:c>
      <x:c r="I1948" s="34" t="str">
        <x:v>generated design-reference observation; not predicted tract behavior</x:v>
      </x:c>
    </x:row>
    <x:row r="1949" ht="75.5999984741211" hidden="0" customHeight="1">
      <x:c r="A1949" s="36" t="str">
        <x:v>B1</x:v>
      </x:c>
      <x:c r="B1949" s="36" t="str">
        <x:v>48201530501</x:v>
      </x:c>
      <x:c r="C1949" s="66" t="n">
        <x:v>284.8339852369822</x:v>
      </x:c>
      <x:c r="D1949" s="66" t="n">
        <x:v>75.05794384502181</x:v>
      </x:c>
      <x:c r="E1949" s="66" t="n">
        <x:v>209.77604139196038</x:v>
      </x:c>
      <x:c r="F1949" s="66" t="n">
        <x:v>209.77604139196038</x:v>
      </x:c>
      <x:c r="G1949" s="66" t="n">
        <x:v>284.8339852369822</x:v>
      </x:c>
      <x:c r="H1949" s="45" t="n">
        <x:v>1</x:v>
      </x:c>
      <x:c r="I1949" s="36" t="str">
        <x:v>generated design-reference observation; not predicted tract behavior</x:v>
      </x:c>
    </x:row>
    <x:row r="1950" ht="75.5999984741211" hidden="0" customHeight="1">
      <x:c r="A1950" s="34" t="str">
        <x:v>B1</x:v>
      </x:c>
      <x:c r="B1950" s="34" t="str">
        <x:v>48201530502</x:v>
      </x:c>
      <x:c r="C1950" s="65" t="n">
        <x:v>446.9892654334075</x:v>
      </x:c>
      <x:c r="D1950" s="65" t="n">
        <x:v>122.45520775065629</x:v>
      </x:c>
      <x:c r="E1950" s="65" t="n">
        <x:v>324.53405768275127</x:v>
      </x:c>
      <x:c r="F1950" s="65" t="n">
        <x:v>324.53405768275127</x:v>
      </x:c>
      <x:c r="G1950" s="65" t="n">
        <x:v>446.9892654334075</x:v>
      </x:c>
      <x:c r="H1950" s="43" t="n">
        <x:v>1</x:v>
      </x:c>
      <x:c r="I1950" s="34" t="str">
        <x:v>generated design-reference observation; not predicted tract behavior</x:v>
      </x:c>
    </x:row>
    <x:row r="1951" ht="75.5999984741211" hidden="0" customHeight="1">
      <x:c r="A1951" s="36" t="str">
        <x:v>B1</x:v>
      </x:c>
      <x:c r="B1951" s="36" t="str">
        <x:v>48201530600</x:v>
      </x:c>
      <x:c r="C1951" s="66" t="n">
        <x:v>290.15790585727416</x:v>
      </x:c>
      <x:c r="D1951" s="66" t="n">
        <x:v>170.19968362599326</x:v>
      </x:c>
      <x:c r="E1951" s="66" t="n">
        <x:v>119.9582222312809</x:v>
      </x:c>
      <x:c r="F1951" s="66" t="n">
        <x:v>119.9582222312809</x:v>
      </x:c>
      <x:c r="G1951" s="66" t="n">
        <x:v>290.15790585727416</x:v>
      </x:c>
      <x:c r="H1951" s="45" t="n">
        <x:v>1</x:v>
      </x:c>
      <x:c r="I1951" s="36" t="str">
        <x:v>generated design-reference observation; not predicted tract behavior</x:v>
      </x:c>
    </x:row>
    <x:row r="1952" ht="75.5999984741211" hidden="0" customHeight="1">
      <x:c r="A1952" s="34" t="str">
        <x:v>B1</x:v>
      </x:c>
      <x:c r="B1952" s="34" t="str">
        <x:v>48201530701</x:v>
      </x:c>
      <x:c r="C1952" s="65" t="n">
        <x:v>209.66428884777386</x:v>
      </x:c>
      <x:c r="D1952" s="65" t="n">
        <x:v>98.54553083874896</x:v>
      </x:c>
      <x:c r="E1952" s="65" t="n">
        <x:v>111.1187580090249</x:v>
      </x:c>
      <x:c r="F1952" s="65" t="n">
        <x:v>111.1187580090249</x:v>
      </x:c>
      <x:c r="G1952" s="65" t="n">
        <x:v>209.66428884777386</x:v>
      </x:c>
      <x:c r="H1952" s="43" t="n">
        <x:v>1</x:v>
      </x:c>
      <x:c r="I1952" s="34" t="str">
        <x:v>generated design-reference observation; not predicted tract behavior</x:v>
      </x:c>
    </x:row>
    <x:row r="1953" ht="75.5999984741211" hidden="0" customHeight="1">
      <x:c r="A1953" s="36" t="str">
        <x:v>B1</x:v>
      </x:c>
      <x:c r="B1953" s="36" t="str">
        <x:v>48201530702</x:v>
      </x:c>
      <x:c r="C1953" s="66" t="n">
        <x:v>748.8022407567258</x:v>
      </x:c>
      <x:c r="D1953" s="66" t="n">
        <x:v>217.71170108366664</x:v>
      </x:c>
      <x:c r="E1953" s="66" t="n">
        <x:v>531.0905396730592</x:v>
      </x:c>
      <x:c r="F1953" s="66" t="n">
        <x:v>531.0905396730592</x:v>
      </x:c>
      <x:c r="G1953" s="66" t="n">
        <x:v>748.8022407567258</x:v>
      </x:c>
      <x:c r="H1953" s="45" t="n">
        <x:v>1</x:v>
      </x:c>
      <x:c r="I1953" s="36" t="str">
        <x:v>generated design-reference observation; not predicted tract behavior</x:v>
      </x:c>
    </x:row>
    <x:row r="1954" ht="75.5999984741211" hidden="0" customHeight="1">
      <x:c r="A1954" s="34" t="str">
        <x:v>B1</x:v>
      </x:c>
      <x:c r="B1954" s="34" t="str">
        <x:v>48201530800</x:v>
      </x:c>
      <x:c r="C1954" s="65" t="n">
        <x:v>316.59734448623203</x:v>
      </x:c>
      <x:c r="D1954" s="65" t="n">
        <x:v>184.64404056105724</x:v>
      </x:c>
      <x:c r="E1954" s="65" t="n">
        <x:v>131.9533039251748</x:v>
      </x:c>
      <x:c r="F1954" s="65" t="n">
        <x:v>131.9533039251748</x:v>
      </x:c>
      <x:c r="G1954" s="65" t="n">
        <x:v>316.59734448623203</x:v>
      </x:c>
      <x:c r="H1954" s="43" t="n">
        <x:v>1</x:v>
      </x:c>
      <x:c r="I1954" s="34" t="str">
        <x:v>generated design-reference observation; not predicted tract behavior</x:v>
      </x:c>
    </x:row>
    <x:row r="1955" ht="75.5999984741211" hidden="0" customHeight="1">
      <x:c r="A1955" s="36" t="str">
        <x:v>B1</x:v>
      </x:c>
      <x:c r="B1955" s="36" t="str">
        <x:v>48201530900</x:v>
      </x:c>
      <x:c r="C1955" s="66" t="n">
        <x:v>373.5946123034743</x:v>
      </x:c>
      <x:c r="D1955" s="66" t="n">
        <x:v>224.3578803559486</x:v>
      </x:c>
      <x:c r="E1955" s="66" t="n">
        <x:v>149.23673194752573</x:v>
      </x:c>
      <x:c r="F1955" s="66" t="n">
        <x:v>149.23673194752573</x:v>
      </x:c>
      <x:c r="G1955" s="66" t="n">
        <x:v>373.5946123034743</x:v>
      </x:c>
      <x:c r="H1955" s="45" t="n">
        <x:v>1</x:v>
      </x:c>
      <x:c r="I1955" s="36" t="str">
        <x:v>generated design-reference observation; not predicted tract behavior</x:v>
      </x:c>
    </x:row>
    <x:row r="1956" ht="75.5999984741211" hidden="0" customHeight="1">
      <x:c r="A1956" s="34" t="str">
        <x:v>B1</x:v>
      </x:c>
      <x:c r="B1956" s="34" t="str">
        <x:v>48201531000</x:v>
      </x:c>
      <x:c r="C1956" s="65" t="n">
        <x:v>401.3858890549593</x:v>
      </x:c>
      <x:c r="D1956" s="65" t="n">
        <x:v>243.19414606712175</x:v>
      </x:c>
      <x:c r="E1956" s="65" t="n">
        <x:v>158.19174298783756</x:v>
      </x:c>
      <x:c r="F1956" s="65" t="n">
        <x:v>158.19174298783756</x:v>
      </x:c>
      <x:c r="G1956" s="65" t="n">
        <x:v>401.3858890549593</x:v>
      </x:c>
      <x:c r="H1956" s="43" t="n">
        <x:v>1</x:v>
      </x:c>
      <x:c r="I1956" s="34" t="str">
        <x:v>generated design-reference observation; not predicted tract behavior</x:v>
      </x:c>
    </x:row>
    <x:row r="1957" ht="75.5999984741211" hidden="0" customHeight="1">
      <x:c r="A1957" s="36" t="str">
        <x:v>B1</x:v>
      </x:c>
      <x:c r="B1957" s="36" t="str">
        <x:v>48201531100</x:v>
      </x:c>
      <x:c r="C1957" s="66" t="n">
        <x:v>283.4694509603528</x:v>
      </x:c>
      <x:c r="D1957" s="66" t="n">
        <x:v>171.5869938260092</x:v>
      </x:c>
      <x:c r="E1957" s="66" t="n">
        <x:v>111.88245713434358</x:v>
      </x:c>
      <x:c r="F1957" s="66" t="n">
        <x:v>111.88245713434358</x:v>
      </x:c>
      <x:c r="G1957" s="66" t="n">
        <x:v>283.4694509603528</x:v>
      </x:c>
      <x:c r="H1957" s="45" t="n">
        <x:v>1</x:v>
      </x:c>
      <x:c r="I1957" s="36" t="str">
        <x:v>generated design-reference observation; not predicted tract behavior</x:v>
      </x:c>
    </x:row>
    <x:row r="1958" ht="75.5999984741211" hidden="0" customHeight="1">
      <x:c r="A1958" s="34" t="str">
        <x:v>B1</x:v>
      </x:c>
      <x:c r="B1958" s="34" t="str">
        <x:v>48201531200</x:v>
      </x:c>
      <x:c r="C1958" s="65" t="n">
        <x:v>658.0924517461251</x:v>
      </x:c>
      <x:c r="D1958" s="65" t="n">
        <x:v>190.47967977862868</x:v>
      </x:c>
      <x:c r="E1958" s="65" t="n">
        <x:v>467.6127719674964</x:v>
      </x:c>
      <x:c r="F1958" s="65" t="n">
        <x:v>467.6127719674964</x:v>
      </x:c>
      <x:c r="G1958" s="65" t="n">
        <x:v>658.0924517461251</x:v>
      </x:c>
      <x:c r="H1958" s="43" t="n">
        <x:v>1</x:v>
      </x:c>
      <x:c r="I1958" s="34" t="str">
        <x:v>generated design-reference observation; not predicted tract behavior</x:v>
      </x:c>
    </x:row>
    <x:row r="1959" ht="75.5999984741211" hidden="0" customHeight="1">
      <x:c r="A1959" s="36" t="str">
        <x:v>B1</x:v>
      </x:c>
      <x:c r="B1959" s="36" t="str">
        <x:v>48201531300</x:v>
      </x:c>
      <x:c r="C1959" s="66" t="n">
        <x:v>408.8602963486985</x:v>
      </x:c>
      <x:c r="D1959" s="66" t="n">
        <x:v>233.25010771422205</x:v>
      </x:c>
      <x:c r="E1959" s="66" t="n">
        <x:v>175.61018863447646</x:v>
      </x:c>
      <x:c r="F1959" s="66" t="n">
        <x:v>175.61018863447646</x:v>
      </x:c>
      <x:c r="G1959" s="66" t="n">
        <x:v>408.8602963486985</x:v>
      </x:c>
      <x:c r="H1959" s="45" t="n">
        <x:v>1</x:v>
      </x:c>
      <x:c r="I1959" s="36" t="str">
        <x:v>generated design-reference observation; not predicted tract behavior</x:v>
      </x:c>
    </x:row>
    <x:row r="1960" ht="75.5999984741211" hidden="0" customHeight="1">
      <x:c r="A1960" s="34" t="str">
        <x:v>B1</x:v>
      </x:c>
      <x:c r="B1960" s="34" t="str">
        <x:v>48201531400</x:v>
      </x:c>
      <x:c r="C1960" s="65" t="n">
        <x:v>309.1289829801605</x:v>
      </x:c>
      <x:c r="D1960" s="65" t="n">
        <x:v>160.82429278190244</x:v>
      </x:c>
      <x:c r="E1960" s="65" t="n">
        <x:v>148.30469019825807</x:v>
      </x:c>
      <x:c r="F1960" s="65" t="n">
        <x:v>148.30469019825807</x:v>
      </x:c>
      <x:c r="G1960" s="65" t="n">
        <x:v>309.1289829801605</x:v>
      </x:c>
      <x:c r="H1960" s="43" t="n">
        <x:v>1</x:v>
      </x:c>
      <x:c r="I1960" s="34" t="str">
        <x:v>generated design-reference observation; not predicted tract behavior</x:v>
      </x:c>
    </x:row>
    <x:row r="1961" ht="75.5999984741211" hidden="0" customHeight="1">
      <x:c r="A1961" s="36" t="str">
        <x:v>B1</x:v>
      </x:c>
      <x:c r="B1961" s="36" t="str">
        <x:v>48201531500</x:v>
      </x:c>
      <x:c r="C1961" s="66" t="n">
        <x:v>211.1461114051592</x:v>
      </x:c>
      <x:c r="D1961" s="66" t="n">
        <x:v>124.95254612535238</x:v>
      </x:c>
      <x:c r="E1961" s="66" t="n">
        <x:v>86.1935652798068</x:v>
      </x:c>
      <x:c r="F1961" s="66" t="n">
        <x:v>86.1935652798068</x:v>
      </x:c>
      <x:c r="G1961" s="66" t="n">
        <x:v>211.1461114051592</x:v>
      </x:c>
      <x:c r="H1961" s="45" t="n">
        <x:v>1</x:v>
      </x:c>
      <x:c r="I1961" s="36" t="str">
        <x:v>generated design-reference observation; not predicted tract behavior</x:v>
      </x:c>
    </x:row>
    <x:row r="1962" ht="75.5999984741211" hidden="0" customHeight="1">
      <x:c r="A1962" s="34" t="str">
        <x:v>B1</x:v>
      </x:c>
      <x:c r="B1962" s="34" t="str">
        <x:v>48201531600</x:v>
      </x:c>
      <x:c r="C1962" s="65" t="n">
        <x:v>514.8882975732824</x:v>
      </x:c>
      <x:c r="D1962" s="65" t="n">
        <x:v>148.94861559912735</x:v>
      </x:c>
      <x:c r="E1962" s="65" t="n">
        <x:v>365.93968197415506</x:v>
      </x:c>
      <x:c r="F1962" s="65" t="n">
        <x:v>365.93968197415506</x:v>
      </x:c>
      <x:c r="G1962" s="65" t="n">
        <x:v>514.8882975732824</x:v>
      </x:c>
      <x:c r="H1962" s="43" t="n">
        <x:v>1</x:v>
      </x:c>
      <x:c r="I1962" s="34" t="str">
        <x:v>generated design-reference observation; not predicted tract behavior</x:v>
      </x:c>
    </x:row>
    <x:row r="1963" ht="75.5999984741211" hidden="0" customHeight="1">
      <x:c r="A1963" s="36" t="str">
        <x:v>B1</x:v>
      </x:c>
      <x:c r="B1963" s="36" t="str">
        <x:v>48201531700</x:v>
      </x:c>
      <x:c r="C1963" s="66" t="n">
        <x:v>309.90103006534264</x:v>
      </x:c>
      <x:c r="D1963" s="66" t="n">
        <x:v>189.34952936992434</x:v>
      </x:c>
      <x:c r="E1963" s="66" t="n">
        <x:v>120.5515006954183</x:v>
      </x:c>
      <x:c r="F1963" s="66" t="n">
        <x:v>120.5515006954183</x:v>
      </x:c>
      <x:c r="G1963" s="66" t="n">
        <x:v>309.90103006534264</x:v>
      </x:c>
      <x:c r="H1963" s="45" t="n">
        <x:v>1</x:v>
      </x:c>
      <x:c r="I1963" s="36" t="str">
        <x:v>generated design-reference observation; not predicted tract behavior</x:v>
      </x:c>
    </x:row>
    <x:row r="1964" ht="75.5999984741211" hidden="0" customHeight="1">
      <x:c r="A1964" s="34" t="str">
        <x:v>B1</x:v>
      </x:c>
      <x:c r="B1964" s="34" t="str">
        <x:v>48201531800</x:v>
      </x:c>
      <x:c r="C1964" s="65" t="n">
        <x:v>238.23789052347612</x:v>
      </x:c>
      <x:c r="D1964" s="65" t="n">
        <x:v>145.29768415724797</x:v>
      </x:c>
      <x:c r="E1964" s="65" t="n">
        <x:v>92.94020636622815</x:v>
      </x:c>
      <x:c r="F1964" s="65" t="n">
        <x:v>92.94020636622815</x:v>
      </x:c>
      <x:c r="G1964" s="65" t="n">
        <x:v>238.23789052347612</x:v>
      </x:c>
      <x:c r="H1964" s="43" t="n">
        <x:v>1</x:v>
      </x:c>
      <x:c r="I1964" s="34" t="str">
        <x:v>generated design-reference observation; not predicted tract behavior</x:v>
      </x:c>
    </x:row>
    <x:row r="1965" ht="75.5999984741211" hidden="0" customHeight="1">
      <x:c r="A1965" s="36" t="str">
        <x:v>B1</x:v>
      </x:c>
      <x:c r="B1965" s="36" t="str">
        <x:v>48201531900</x:v>
      </x:c>
      <x:c r="C1965" s="66" t="n">
        <x:v>501.44548869386057</x:v>
      </x:c>
      <x:c r="D1965" s="66" t="n">
        <x:v>302.03083420634357</x:v>
      </x:c>
      <x:c r="E1965" s="66" t="n">
        <x:v>199.414654487517</x:v>
      </x:c>
      <x:c r="F1965" s="66" t="n">
        <x:v>199.414654487517</x:v>
      </x:c>
      <x:c r="G1965" s="66" t="n">
        <x:v>501.44548869386057</x:v>
      </x:c>
      <x:c r="H1965" s="45" t="n">
        <x:v>1</x:v>
      </x:c>
      <x:c r="I1965" s="36" t="str">
        <x:v>generated design-reference observation; not predicted tract behavior</x:v>
      </x:c>
    </x:row>
    <x:row r="1966" ht="75.5999984741211" hidden="0" customHeight="1">
      <x:c r="A1966" s="34" t="str">
        <x:v>B1</x:v>
      </x:c>
      <x:c r="B1966" s="34" t="str">
        <x:v>48201532003</x:v>
      </x:c>
      <x:c r="C1966" s="65" t="n">
        <x:v>563.902102775154</x:v>
      </x:c>
      <x:c r="D1966" s="65" t="n">
        <x:v>290.4024935025374</x:v>
      </x:c>
      <x:c r="E1966" s="65" t="n">
        <x:v>273.4996092726166</x:v>
      </x:c>
      <x:c r="F1966" s="65" t="n">
        <x:v>273.4996092726166</x:v>
      </x:c>
      <x:c r="G1966" s="65" t="n">
        <x:v>563.902102775154</x:v>
      </x:c>
      <x:c r="H1966" s="43" t="n">
        <x:v>1</x:v>
      </x:c>
      <x:c r="I1966" s="34" t="str">
        <x:v>generated design-reference observation; not predicted tract behavior</x:v>
      </x:c>
    </x:row>
    <x:row r="1967" ht="75.5999984741211" hidden="0" customHeight="1">
      <x:c r="A1967" s="36" t="str">
        <x:v>B1</x:v>
      </x:c>
      <x:c r="B1967" s="36" t="str">
        <x:v>48201532004</x:v>
      </x:c>
      <x:c r="C1967" s="66" t="n">
        <x:v>775.0403546563451</x:v>
      </x:c>
      <x:c r="D1967" s="66" t="n">
        <x:v>397.48389096989365</x:v>
      </x:c>
      <x:c r="E1967" s="66" t="n">
        <x:v>377.5564636864515</x:v>
      </x:c>
      <x:c r="F1967" s="66" t="n">
        <x:v>377.5564636864515</x:v>
      </x:c>
      <x:c r="G1967" s="66" t="n">
        <x:v>775.0403546563451</x:v>
      </x:c>
      <x:c r="H1967" s="45" t="n">
        <x:v>1</x:v>
      </x:c>
      <x:c r="I1967" s="36" t="str">
        <x:v>generated design-reference observation; not predicted tract behavior</x:v>
      </x:c>
    </x:row>
    <x:row r="1968" ht="75.5999984741211" hidden="0" customHeight="1">
      <x:c r="A1968" s="34" t="str">
        <x:v>B1</x:v>
      </x:c>
      <x:c r="B1968" s="34" t="str">
        <x:v>48201532101</x:v>
      </x:c>
      <x:c r="C1968" s="65" t="n">
        <x:v>304.54083471904374</x:v>
      </x:c>
      <x:c r="D1968" s="65" t="n">
        <x:v>177.8313408869328</x:v>
      </x:c>
      <x:c r="E1968" s="65" t="n">
        <x:v>126.70949383211095</x:v>
      </x:c>
      <x:c r="F1968" s="65" t="n">
        <x:v>126.70949383211095</x:v>
      </x:c>
      <x:c r="G1968" s="65" t="n">
        <x:v>304.54083471904374</x:v>
      </x:c>
      <x:c r="H1968" s="43" t="n">
        <x:v>1</x:v>
      </x:c>
      <x:c r="I1968" s="34" t="str">
        <x:v>generated design-reference observation; not predicted tract behavior</x:v>
      </x:c>
    </x:row>
    <x:row r="1969" ht="75.5999984741211" hidden="0" customHeight="1">
      <x:c r="A1969" s="36" t="str">
        <x:v>B1</x:v>
      </x:c>
      <x:c r="B1969" s="36" t="str">
        <x:v>48201532102</x:v>
      </x:c>
      <x:c r="C1969" s="66" t="n">
        <x:v>265.63619107655217</x:v>
      </x:c>
      <x:c r="D1969" s="66" t="n">
        <x:v>150.06216153205148</x:v>
      </x:c>
      <x:c r="E1969" s="66" t="n">
        <x:v>115.57402954450069</x:v>
      </x:c>
      <x:c r="F1969" s="66" t="n">
        <x:v>115.57402954450069</x:v>
      </x:c>
      <x:c r="G1969" s="66" t="n">
        <x:v>265.63619107655217</x:v>
      </x:c>
      <x:c r="H1969" s="45" t="n">
        <x:v>1</x:v>
      </x:c>
      <x:c r="I1969" s="36" t="str">
        <x:v>generated design-reference observation; not predicted tract behavior</x:v>
      </x:c>
    </x:row>
    <x:row r="1970" ht="75.5999984741211" hidden="0" customHeight="1">
      <x:c r="A1970" s="34" t="str">
        <x:v>B1</x:v>
      </x:c>
      <x:c r="B1970" s="34" t="str">
        <x:v>48201532200</x:v>
      </x:c>
      <x:c r="C1970" s="65" t="n">
        <x:v>288.77855940085846</x:v>
      </x:c>
      <x:c r="D1970" s="65" t="n">
        <x:v>169.27567448979633</x:v>
      </x:c>
      <x:c r="E1970" s="65" t="n">
        <x:v>119.50288491106213</x:v>
      </x:c>
      <x:c r="F1970" s="65" t="n">
        <x:v>119.50288491106213</x:v>
      </x:c>
      <x:c r="G1970" s="65" t="n">
        <x:v>288.77855940085846</x:v>
      </x:c>
      <x:c r="H1970" s="43" t="n">
        <x:v>1</x:v>
      </x:c>
      <x:c r="I1970" s="34" t="str">
        <x:v>generated design-reference observation; not predicted tract behavior</x:v>
      </x:c>
    </x:row>
    <x:row r="1971" ht="75.5999984741211" hidden="0" customHeight="1">
      <x:c r="A1971" s="36" t="str">
        <x:v>B1</x:v>
      </x:c>
      <x:c r="B1971" s="36" t="str">
        <x:v>48201532301</x:v>
      </x:c>
      <x:c r="C1971" s="66" t="n">
        <x:v>819.2066473061499</x:v>
      </x:c>
      <x:c r="D1971" s="66" t="n">
        <x:v>230.9692162360371</x:v>
      </x:c>
      <x:c r="E1971" s="66" t="n">
        <x:v>588.2374310701127</x:v>
      </x:c>
      <x:c r="F1971" s="66" t="n">
        <x:v>588.2374310701127</x:v>
      </x:c>
      <x:c r="G1971" s="66" t="n">
        <x:v>819.2066473061499</x:v>
      </x:c>
      <x:c r="H1971" s="45" t="n">
        <x:v>1</x:v>
      </x:c>
      <x:c r="I1971" s="36" t="str">
        <x:v>generated design-reference observation; not predicted tract behavior</x:v>
      </x:c>
    </x:row>
    <x:row r="1972" ht="75.5999984741211" hidden="0" customHeight="1">
      <x:c r="A1972" s="34" t="str">
        <x:v>B1</x:v>
      </x:c>
      <x:c r="B1972" s="34" t="str">
        <x:v>48201532302</x:v>
      </x:c>
      <x:c r="C1972" s="65" t="n">
        <x:v>758.7475614703077</x:v>
      </x:c>
      <x:c r="D1972" s="65" t="n">
        <x:v>219.79302499281044</x:v>
      </x:c>
      <x:c r="E1972" s="65" t="n">
        <x:v>538.9545364774972</x:v>
      </x:c>
      <x:c r="F1972" s="65" t="n">
        <x:v>538.9545364774972</x:v>
      </x:c>
      <x:c r="G1972" s="65" t="n">
        <x:v>758.7475614703076</x:v>
      </x:c>
      <x:c r="H1972" s="43" t="n">
        <x:v>0.9999999999999999</x:v>
      </x:c>
      <x:c r="I1972" s="34" t="str">
        <x:v>generated design-reference observation; not predicted tract behavior</x:v>
      </x:c>
    </x:row>
    <x:row r="1973" ht="75.5999984741211" hidden="0" customHeight="1">
      <x:c r="A1973" s="36" t="str">
        <x:v>B1</x:v>
      </x:c>
      <x:c r="B1973" s="36" t="str">
        <x:v>48201532400</x:v>
      </x:c>
      <x:c r="C1973" s="66" t="n">
        <x:v>1268.4473640670576</x:v>
      </x:c>
      <x:c r="D1973" s="66" t="n">
        <x:v>366.2175964607861</x:v>
      </x:c>
      <x:c r="E1973" s="66" t="n">
        <x:v>902.2297676062715</x:v>
      </x:c>
      <x:c r="F1973" s="66" t="n">
        <x:v>902.2297676062715</x:v>
      </x:c>
      <x:c r="G1973" s="66" t="n">
        <x:v>1268.4473640670576</x:v>
      </x:c>
      <x:c r="H1973" s="45" t="n">
        <x:v>1</x:v>
      </x:c>
      <x:c r="I1973" s="36" t="str">
        <x:v>generated design-reference observation; not predicted tract behavior</x:v>
      </x:c>
    </x:row>
    <x:row r="1974" ht="75.5999984741211" hidden="0" customHeight="1">
      <x:c r="A1974" s="34" t="str">
        <x:v>B1</x:v>
      </x:c>
      <x:c r="B1974" s="34" t="str">
        <x:v>48201532502</x:v>
      </x:c>
      <x:c r="C1974" s="65" t="n">
        <x:v>460.62312120313294</x:v>
      </x:c>
      <x:c r="D1974" s="65" t="n">
        <x:v>281.4407270551142</x:v>
      </x:c>
      <x:c r="E1974" s="65" t="n">
        <x:v>179.18239414801872</x:v>
      </x:c>
      <x:c r="F1974" s="65" t="n">
        <x:v>179.18239414801872</x:v>
      </x:c>
      <x:c r="G1974" s="65" t="n">
        <x:v>460.62312120313294</x:v>
      </x:c>
      <x:c r="H1974" s="43" t="n">
        <x:v>1</x:v>
      </x:c>
      <x:c r="I1974" s="34" t="str">
        <x:v>generated design-reference observation; not predicted tract behavior</x:v>
      </x:c>
    </x:row>
    <x:row r="1975" ht="75.5999984741211" hidden="0" customHeight="1">
      <x:c r="A1975" s="36" t="str">
        <x:v>B1</x:v>
      </x:c>
      <x:c r="B1975" s="36" t="str">
        <x:v>48201532503</x:v>
      </x:c>
      <x:c r="C1975" s="66" t="n">
        <x:v>450.1935328973579</x:v>
      </x:c>
      <x:c r="D1975" s="66" t="n">
        <x:v>275.06824860028564</x:v>
      </x:c>
      <x:c r="E1975" s="66" t="n">
        <x:v>175.12528429707226</x:v>
      </x:c>
      <x:c r="F1975" s="66" t="n">
        <x:v>175.12528429707226</x:v>
      </x:c>
      <x:c r="G1975" s="66" t="n">
        <x:v>450.1935328973579</x:v>
      </x:c>
      <x:c r="H1975" s="45" t="n">
        <x:v>1</x:v>
      </x:c>
      <x:c r="I1975" s="36" t="str">
        <x:v>generated design-reference observation; not predicted tract behavior</x:v>
      </x:c>
    </x:row>
    <x:row r="1976" ht="75.5999984741211" hidden="0" customHeight="1">
      <x:c r="A1976" s="34" t="str">
        <x:v>B1</x:v>
      </x:c>
      <x:c r="B1976" s="34" t="str">
        <x:v>48201532504</x:v>
      </x:c>
      <x:c r="C1976" s="65" t="n">
        <x:v>376.3375861683692</x:v>
      </x:c>
      <x:c r="D1976" s="65" t="n">
        <x:v>229.9422651488736</x:v>
      </x:c>
      <x:c r="E1976" s="65" t="n">
        <x:v>146.39532101949564</x:v>
      </x:c>
      <x:c r="F1976" s="65" t="n">
        <x:v>146.39532101949564</x:v>
      </x:c>
      <x:c r="G1976" s="65" t="n">
        <x:v>376.3375861683692</x:v>
      </x:c>
      <x:c r="H1976" s="43" t="n">
        <x:v>1</x:v>
      </x:c>
      <x:c r="I1976" s="34" t="str">
        <x:v>generated design-reference observation; not predicted tract behavior</x:v>
      </x:c>
    </x:row>
    <x:row r="1977" ht="75.5999984741211" hidden="0" customHeight="1">
      <x:c r="A1977" s="36" t="str">
        <x:v>B1</x:v>
      </x:c>
      <x:c r="B1977" s="36" t="str">
        <x:v>48201532600</x:v>
      </x:c>
      <x:c r="C1977" s="66" t="n">
        <x:v>517.1566771062525</x:v>
      </x:c>
      <x:c r="D1977" s="66" t="n">
        <x:v>303.1124884036896</x:v>
      </x:c>
      <x:c r="E1977" s="66" t="n">
        <x:v>214.04418870256285</x:v>
      </x:c>
      <x:c r="F1977" s="66" t="n">
        <x:v>214.04418870256285</x:v>
      </x:c>
      <x:c r="G1977" s="66" t="n">
        <x:v>517.1566771062525</x:v>
      </x:c>
      <x:c r="H1977" s="45" t="n">
        <x:v>1</x:v>
      </x:c>
      <x:c r="I1977" s="36" t="str">
        <x:v>generated design-reference observation; not predicted tract behavior</x:v>
      </x:c>
    </x:row>
    <x:row r="1978" ht="75.5999984741211" hidden="0" customHeight="1">
      <x:c r="A1978" s="34" t="str">
        <x:v>B1</x:v>
      </x:c>
      <x:c r="B1978" s="34" t="str">
        <x:v>48201532700</x:v>
      </x:c>
      <x:c r="C1978" s="65" t="n">
        <x:v>446.271630437236</x:v>
      </x:c>
      <x:c r="D1978" s="65" t="n">
        <x:v>267.44420613281613</x:v>
      </x:c>
      <x:c r="E1978" s="65" t="n">
        <x:v>178.82742430441988</x:v>
      </x:c>
      <x:c r="F1978" s="65" t="n">
        <x:v>178.82742430441988</x:v>
      </x:c>
      <x:c r="G1978" s="65" t="n">
        <x:v>446.271630437236</x:v>
      </x:c>
      <x:c r="H1978" s="43" t="n">
        <x:v>1</x:v>
      </x:c>
      <x:c r="I1978" s="34" t="str">
        <x:v>generated design-reference observation; not predicted tract behavior</x:v>
      </x:c>
    </x:row>
    <x:row r="1979" ht="75.5999984741211" hidden="0" customHeight="1">
      <x:c r="A1979" s="36" t="str">
        <x:v>B1</x:v>
      </x:c>
      <x:c r="B1979" s="36" t="str">
        <x:v>48201532800</x:v>
      </x:c>
      <x:c r="C1979" s="66" t="n">
        <x:v>330.37629915998525</x:v>
      </x:c>
      <x:c r="D1979" s="66" t="n">
        <x:v>173.77019394265216</x:v>
      </x:c>
      <x:c r="E1979" s="66" t="n">
        <x:v>156.6061052173331</x:v>
      </x:c>
      <x:c r="F1979" s="66" t="n">
        <x:v>156.6061052173331</x:v>
      </x:c>
      <x:c r="G1979" s="66" t="n">
        <x:v>330.37629915998525</x:v>
      </x:c>
      <x:c r="H1979" s="45" t="n">
        <x:v>1</x:v>
      </x:c>
      <x:c r="I1979" s="36" t="str">
        <x:v>generated design-reference observation; not predicted tract behavior</x:v>
      </x:c>
    </x:row>
    <x:row r="1980" ht="75.5999984741211" hidden="0" customHeight="1">
      <x:c r="A1980" s="34" t="str">
        <x:v>B1</x:v>
      </x:c>
      <x:c r="B1980" s="34" t="str">
        <x:v>48201532900</x:v>
      </x:c>
      <x:c r="C1980" s="65" t="n">
        <x:v>417.58829771536256</x:v>
      </x:c>
      <x:c r="D1980" s="65" t="n">
        <x:v>252.23049047661127</x:v>
      </x:c>
      <x:c r="E1980" s="65" t="n">
        <x:v>165.3578072387513</x:v>
      </x:c>
      <x:c r="F1980" s="65" t="n">
        <x:v>165.3578072387513</x:v>
      </x:c>
      <x:c r="G1980" s="65" t="n">
        <x:v>417.58829771536256</x:v>
      </x:c>
      <x:c r="H1980" s="43" t="n">
        <x:v>1</x:v>
      </x:c>
      <x:c r="I1980" s="34" t="str">
        <x:v>generated design-reference observation; not predicted tract behavior</x:v>
      </x:c>
    </x:row>
    <x:row r="1981" ht="75.5999984741211" hidden="0" customHeight="1">
      <x:c r="A1981" s="36" t="str">
        <x:v>B1</x:v>
      </x:c>
      <x:c r="B1981" s="36" t="str">
        <x:v>48201533000</x:v>
      </x:c>
      <x:c r="C1981" s="66" t="n">
        <x:v>208.6310637353416</x:v>
      </x:c>
      <x:c r="D1981" s="66" t="n">
        <x:v>122.44490641829971</x:v>
      </x:c>
      <x:c r="E1981" s="66" t="n">
        <x:v>86.18615731704189</x:v>
      </x:c>
      <x:c r="F1981" s="66" t="n">
        <x:v>86.18615731704189</x:v>
      </x:c>
      <x:c r="G1981" s="66" t="n">
        <x:v>208.6310637353416</x:v>
      </x:c>
      <x:c r="H1981" s="45" t="n">
        <x:v>1</x:v>
      </x:c>
      <x:c r="I1981" s="36" t="str">
        <x:v>generated design-reference observation; not predicted tract behavior</x:v>
      </x:c>
    </x:row>
    <x:row r="1982" ht="75.5999984741211" hidden="0" customHeight="1">
      <x:c r="A1982" s="34" t="str">
        <x:v>B1</x:v>
      </x:c>
      <x:c r="B1982" s="34" t="str">
        <x:v>48201533100</x:v>
      </x:c>
      <x:c r="C1982" s="65" t="n">
        <x:v>712.7527203403674</x:v>
      </x:c>
      <x:c r="D1982" s="65" t="n">
        <x:v>429.01051076017376</x:v>
      </x:c>
      <x:c r="E1982" s="65" t="n">
        <x:v>283.7422095801937</x:v>
      </x:c>
      <x:c r="F1982" s="65" t="n">
        <x:v>283.7422095801937</x:v>
      </x:c>
      <x:c r="G1982" s="65" t="n">
        <x:v>712.7527203403674</x:v>
      </x:c>
      <x:c r="H1982" s="43" t="n">
        <x:v>1</x:v>
      </x:c>
      <x:c r="I1982" s="34" t="str">
        <x:v>generated design-reference observation; not predicted tract behavior</x:v>
      </x:c>
    </x:row>
    <x:row r="1983" ht="75.5999984741211" hidden="0" customHeight="1">
      <x:c r="A1983" s="36" t="str">
        <x:v>B1</x:v>
      </x:c>
      <x:c r="B1983" s="36" t="str">
        <x:v>48201533200</x:v>
      </x:c>
      <x:c r="C1983" s="66" t="n">
        <x:v>305.7079740283186</x:v>
      </x:c>
      <x:c r="D1983" s="66" t="n">
        <x:v>181.23783702316572</x:v>
      </x:c>
      <x:c r="E1983" s="66" t="n">
        <x:v>124.47013700515285</x:v>
      </x:c>
      <x:c r="F1983" s="66" t="n">
        <x:v>124.47013700515285</x:v>
      </x:c>
      <x:c r="G1983" s="66" t="n">
        <x:v>305.7079740283186</x:v>
      </x:c>
      <x:c r="H1983" s="45" t="n">
        <x:v>1</x:v>
      </x:c>
      <x:c r="I1983" s="36" t="str">
        <x:v>generated design-reference observation; not predicted tract behavior</x:v>
      </x:c>
    </x:row>
    <x:row r="1984" ht="75.5999984741211" hidden="0" customHeight="1">
      <x:c r="A1984" s="34" t="str">
        <x:v>B1</x:v>
      </x:c>
      <x:c r="B1984" s="34" t="str">
        <x:v>48201533301</x:v>
      </x:c>
      <x:c r="C1984" s="65" t="n">
        <x:v>258.4840242655081</x:v>
      </x:c>
      <x:c r="D1984" s="65" t="n">
        <x:v>152.44391879510837</x:v>
      </x:c>
      <x:c r="E1984" s="65" t="n">
        <x:v>106.04010547039971</x:v>
      </x:c>
      <x:c r="F1984" s="65" t="n">
        <x:v>106.04010547039971</x:v>
      </x:c>
      <x:c r="G1984" s="65" t="n">
        <x:v>258.4840242655081</x:v>
      </x:c>
      <x:c r="H1984" s="43" t="n">
        <x:v>1</x:v>
      </x:c>
      <x:c r="I1984" s="34" t="str">
        <x:v>generated design-reference observation; not predicted tract behavior</x:v>
      </x:c>
    </x:row>
    <x:row r="1985" ht="75.5999984741211" hidden="0" customHeight="1">
      <x:c r="A1985" s="36" t="str">
        <x:v>B1</x:v>
      </x:c>
      <x:c r="B1985" s="36" t="str">
        <x:v>48201533302</x:v>
      </x:c>
      <x:c r="C1985" s="66" t="n">
        <x:v>320.2991802752449</x:v>
      </x:c>
      <x:c r="D1985" s="66" t="n">
        <x:v>191.92753947666375</x:v>
      </x:c>
      <x:c r="E1985" s="66" t="n">
        <x:v>128.37164079858115</x:v>
      </x:c>
      <x:c r="F1985" s="66" t="n">
        <x:v>128.37164079858115</x:v>
      </x:c>
      <x:c r="G1985" s="66" t="n">
        <x:v>320.2991802752449</x:v>
      </x:c>
      <x:c r="H1985" s="45" t="n">
        <x:v>1</x:v>
      </x:c>
      <x:c r="I1985" s="36" t="str">
        <x:v>generated design-reference observation; not predicted tract behavior</x:v>
      </x:c>
    </x:row>
    <x:row r="1986" ht="75.5999984741211" hidden="0" customHeight="1">
      <x:c r="A1986" s="34" t="str">
        <x:v>B1</x:v>
      </x:c>
      <x:c r="B1986" s="34" t="str">
        <x:v>48201533401</x:v>
      </x:c>
      <x:c r="C1986" s="65" t="n">
        <x:v>343.50442479129674</x:v>
      </x:c>
      <x:c r="D1986" s="65" t="n">
        <x:v>208.74118029701546</x:v>
      </x:c>
      <x:c r="E1986" s="65" t="n">
        <x:v>134.76324449428128</x:v>
      </x:c>
      <x:c r="F1986" s="65" t="n">
        <x:v>134.76324449428128</x:v>
      </x:c>
      <x:c r="G1986" s="65" t="n">
        <x:v>343.50442479129674</x:v>
      </x:c>
      <x:c r="H1986" s="43" t="n">
        <x:v>1</x:v>
      </x:c>
      <x:c r="I1986" s="34" t="str">
        <x:v>generated design-reference observation; not predicted tract behavior</x:v>
      </x:c>
    </x:row>
    <x:row r="1987" ht="75.5999984741211" hidden="0" customHeight="1">
      <x:c r="A1987" s="36" t="str">
        <x:v>B1</x:v>
      </x:c>
      <x:c r="B1987" s="36" t="str">
        <x:v>48201533402</x:v>
      </x:c>
      <x:c r="C1987" s="66" t="n">
        <x:v>520.9056700390745</x:v>
      </x:c>
      <x:c r="D1987" s="66" t="n">
        <x:v>318.2733643938745</x:v>
      </x:c>
      <x:c r="E1987" s="66" t="n">
        <x:v>202.6323056452</x:v>
      </x:c>
      <x:c r="F1987" s="66" t="n">
        <x:v>202.6323056452</x:v>
      </x:c>
      <x:c r="G1987" s="66" t="n">
        <x:v>520.9056700390745</x:v>
      </x:c>
      <x:c r="H1987" s="45" t="n">
        <x:v>1</x:v>
      </x:c>
      <x:c r="I1987" s="36" t="str">
        <x:v>generated design-reference observation; not predicted tract behavior</x:v>
      </x:c>
    </x:row>
    <x:row r="1988" ht="75.5999984741211" hidden="0" customHeight="1">
      <x:c r="A1988" s="34" t="str">
        <x:v>B1</x:v>
      </x:c>
      <x:c r="B1988" s="34" t="str">
        <x:v>48201533500</x:v>
      </x:c>
      <x:c r="C1988" s="65" t="n">
        <x:v>337.2993306184185</x:v>
      </x:c>
      <x:c r="D1988" s="65" t="n">
        <x:v>206.0898910078537</x:v>
      </x:c>
      <x:c r="E1988" s="65" t="n">
        <x:v>131.20943961056477</x:v>
      </x:c>
      <x:c r="F1988" s="65" t="n">
        <x:v>131.20943961056477</x:v>
      </x:c>
      <x:c r="G1988" s="65" t="n">
        <x:v>337.2993306184185</x:v>
      </x:c>
      <x:c r="H1988" s="43" t="n">
        <x:v>1</x:v>
      </x:c>
      <x:c r="I1988" s="34" t="str">
        <x:v>generated design-reference observation; not predicted tract behavior</x:v>
      </x:c>
    </x:row>
    <x:row r="1989" ht="75.5999984741211" hidden="0" customHeight="1">
      <x:c r="A1989" s="36" t="str">
        <x:v>B1</x:v>
      </x:c>
      <x:c r="B1989" s="36" t="str">
        <x:v>48201533600</x:v>
      </x:c>
      <x:c r="C1989" s="66" t="n">
        <x:v>436.6594326241517</x:v>
      </x:c>
      <x:c r="D1989" s="66" t="n">
        <x:v>263.07897419888013</x:v>
      </x:c>
      <x:c r="E1989" s="66" t="n">
        <x:v>173.58045842527156</x:v>
      </x:c>
      <x:c r="F1989" s="66" t="n">
        <x:v>173.58045842527156</x:v>
      </x:c>
      <x:c r="G1989" s="66" t="n">
        <x:v>436.6594326241517</x:v>
      </x:c>
      <x:c r="H1989" s="45" t="n">
        <x:v>1</x:v>
      </x:c>
      <x:c r="I1989" s="36" t="str">
        <x:v>generated design-reference observation; not predicted tract behavior</x:v>
      </x:c>
    </x:row>
    <x:row r="1990" ht="75.5999984741211" hidden="0" customHeight="1">
      <x:c r="A1990" s="34" t="str">
        <x:v>B1</x:v>
      </x:c>
      <x:c r="B1990" s="34" t="str">
        <x:v>48201533701</x:v>
      </x:c>
      <x:c r="C1990" s="65" t="n">
        <x:v>579.3097926466212</x:v>
      </x:c>
      <x:c r="D1990" s="65" t="n">
        <x:v>339.68815836929866</x:v>
      </x:c>
      <x:c r="E1990" s="65" t="n">
        <x:v>239.62163427732253</x:v>
      </x:c>
      <x:c r="F1990" s="65" t="n">
        <x:v>239.62163427732253</x:v>
      </x:c>
      <x:c r="G1990" s="65" t="n">
        <x:v>579.3097926466212</x:v>
      </x:c>
      <x:c r="H1990" s="43" t="n">
        <x:v>1</x:v>
      </x:c>
      <x:c r="I1990" s="34" t="str">
        <x:v>generated design-reference observation; not predicted tract behavior</x:v>
      </x:c>
    </x:row>
    <x:row r="1991" ht="75.5999984741211" hidden="0" customHeight="1">
      <x:c r="A1991" s="36" t="str">
        <x:v>B1</x:v>
      </x:c>
      <x:c r="B1991" s="36" t="str">
        <x:v>48201533702</x:v>
      </x:c>
      <x:c r="C1991" s="66" t="n">
        <x:v>261.75358623627113</x:v>
      </x:c>
      <x:c r="D1991" s="66" t="n">
        <x:v>159.93144119036165</x:v>
      </x:c>
      <x:c r="E1991" s="66" t="n">
        <x:v>101.82214504590948</x:v>
      </x:c>
      <x:c r="F1991" s="66" t="n">
        <x:v>101.82214504590948</x:v>
      </x:c>
      <x:c r="G1991" s="66" t="n">
        <x:v>261.75358623627113</x:v>
      </x:c>
      <x:c r="H1991" s="45" t="n">
        <x:v>1</x:v>
      </x:c>
      <x:c r="I1991" s="36" t="str">
        <x:v>generated design-reference observation; not predicted tract behavior</x:v>
      </x:c>
    </x:row>
    <x:row r="1992" ht="75.5999984741211" hidden="0" customHeight="1">
      <x:c r="A1992" s="34" t="str">
        <x:v>B1</x:v>
      </x:c>
      <x:c r="B1992" s="34" t="str">
        <x:v>48201533802</x:v>
      </x:c>
      <x:c r="C1992" s="65" t="n">
        <x:v>984.551685076123</x:v>
      </x:c>
      <x:c r="D1992" s="65" t="n">
        <x:v>524.7660481455737</x:v>
      </x:c>
      <x:c r="E1992" s="65" t="n">
        <x:v>459.78563693054934</x:v>
      </x:c>
      <x:c r="F1992" s="65" t="n">
        <x:v>459.78563693054934</x:v>
      </x:c>
      <x:c r="G1992" s="65" t="n">
        <x:v>984.551685076123</x:v>
      </x:c>
      <x:c r="H1992" s="43" t="n">
        <x:v>1</x:v>
      </x:c>
      <x:c r="I1992" s="34" t="str">
        <x:v>generated design-reference observation; not predicted tract behavior</x:v>
      </x:c>
    </x:row>
    <x:row r="1993" ht="75.5999984741211" hidden="0" customHeight="1">
      <x:c r="A1993" s="36" t="str">
        <x:v>B1</x:v>
      </x:c>
      <x:c r="B1993" s="36" t="str">
        <x:v>48201533803</x:v>
      </x:c>
      <x:c r="C1993" s="66" t="n">
        <x:v>1199.9389165302655</x:v>
      </x:c>
      <x:c r="D1993" s="66" t="n">
        <x:v>350.98213308510265</x:v>
      </x:c>
      <x:c r="E1993" s="66" t="n">
        <x:v>848.9567834451628</x:v>
      </x:c>
      <x:c r="F1993" s="66" t="n">
        <x:v>848.9567834451628</x:v>
      </x:c>
      <x:c r="G1993" s="66" t="n">
        <x:v>1199.9389165302655</x:v>
      </x:c>
      <x:c r="H1993" s="45" t="n">
        <x:v>1</x:v>
      </x:c>
      <x:c r="I1993" s="36" t="str">
        <x:v>generated design-reference observation; not predicted tract behavior</x:v>
      </x:c>
    </x:row>
    <x:row r="1994" ht="75.5999984741211" hidden="0" customHeight="1">
      <x:c r="A1994" s="34" t="str">
        <x:v>B1</x:v>
      </x:c>
      <x:c r="B1994" s="34" t="str">
        <x:v>48201533804</x:v>
      </x:c>
      <x:c r="C1994" s="65" t="n">
        <x:v>514.7045056281804</x:v>
      </x:c>
      <x:c r="D1994" s="65" t="n">
        <x:v>314.4844529388182</x:v>
      </x:c>
      <x:c r="E1994" s="65" t="n">
        <x:v>200.2200526893622</x:v>
      </x:c>
      <x:c r="F1994" s="65" t="n">
        <x:v>200.2200526893622</x:v>
      </x:c>
      <x:c r="G1994" s="65" t="n">
        <x:v>514.7045056281804</x:v>
      </x:c>
      <x:c r="H1994" s="43" t="n">
        <x:v>1</x:v>
      </x:c>
      <x:c r="I1994" s="34" t="str">
        <x:v>generated design-reference observation; not predicted tract behavior</x:v>
      </x:c>
    </x:row>
    <x:row r="1995" ht="75.5999984741211" hidden="0" customHeight="1">
      <x:c r="A1995" s="36" t="str">
        <x:v>B1</x:v>
      </x:c>
      <x:c r="B1995" s="36" t="str">
        <x:v>48201533902</x:v>
      </x:c>
      <x:c r="C1995" s="66" t="n">
        <x:v>455.9781425379384</x:v>
      </x:c>
      <x:c r="D1995" s="66" t="n">
        <x:v>265.9135489159929</x:v>
      </x:c>
      <x:c r="E1995" s="66" t="n">
        <x:v>190.0645936219455</x:v>
      </x:c>
      <x:c r="F1995" s="66" t="n">
        <x:v>190.0645936219455</x:v>
      </x:c>
      <x:c r="G1995" s="66" t="n">
        <x:v>455.9781425379384</x:v>
      </x:c>
      <x:c r="H1995" s="45" t="n">
        <x:v>1</x:v>
      </x:c>
      <x:c r="I1995" s="36" t="str">
        <x:v>generated design-reference observation; not predicted tract behavior</x:v>
      </x:c>
    </x:row>
    <x:row r="1996" ht="75.5999984741211" hidden="0" customHeight="1">
      <x:c r="A1996" s="34" t="str">
        <x:v>B1</x:v>
      </x:c>
      <x:c r="B1996" s="34" t="str">
        <x:v>48201533903</x:v>
      </x:c>
      <x:c r="C1996" s="65" t="n">
        <x:v>330.54799952975173</x:v>
      </x:c>
      <x:c r="D1996" s="65" t="n">
        <x:v>201.9648277126783</x:v>
      </x:c>
      <x:c r="E1996" s="65" t="n">
        <x:v>128.58317181707343</x:v>
      </x:c>
      <x:c r="F1996" s="65" t="n">
        <x:v>109.75925755496037</x:v>
      </x:c>
      <x:c r="G1996" s="65" t="n">
        <x:v>311.72408526763866</x:v>
      </x:c>
      <x:c r="H1996" s="43" t="n">
        <x:v>0.943052403012898</x:v>
      </x:c>
      <x:c r="I1996" s="34" t="str">
        <x:v>generated design-reference observation; not predicted tract behavior</x:v>
      </x:c>
    </x:row>
    <x:row r="1997" ht="75.5999984741211" hidden="0" customHeight="1">
      <x:c r="A1997" s="36" t="str">
        <x:v>B1</x:v>
      </x:c>
      <x:c r="B1997" s="36" t="str">
        <x:v>48201533904</x:v>
      </x:c>
      <x:c r="C1997" s="66" t="n">
        <x:v>354.0008190508013</x:v>
      </x:c>
      <x:c r="D1997" s="66" t="n">
        <x:v>213.9069172304344</x:v>
      </x:c>
      <x:c r="E1997" s="66" t="n">
        <x:v>140.09390182036688</x:v>
      </x:c>
      <x:c r="F1997" s="66" t="n">
        <x:v>140.09390182036688</x:v>
      </x:c>
      <x:c r="G1997" s="66" t="n">
        <x:v>354.0008190508013</x:v>
      </x:c>
      <x:c r="H1997" s="45" t="n">
        <x:v>1</x:v>
      </x:c>
      <x:c r="I1997" s="36" t="str">
        <x:v>generated design-reference observation; not predicted tract behavior</x:v>
      </x:c>
    </x:row>
    <x:row r="1998" ht="75.5999984741211" hidden="0" customHeight="1">
      <x:c r="A1998" s="34" t="str">
        <x:v>B1</x:v>
      </x:c>
      <x:c r="B1998" s="34" t="str">
        <x:v>48201534001</x:v>
      </x:c>
      <x:c r="C1998" s="65" t="n">
        <x:v>476.0344385472005</x:v>
      </x:c>
      <x:c r="D1998" s="65" t="n">
        <x:v>246.07920251499607</x:v>
      </x:c>
      <x:c r="E1998" s="65" t="n">
        <x:v>229.95523603220445</x:v>
      </x:c>
      <x:c r="F1998" s="65" t="n">
        <x:v>229.95523603220445</x:v>
      </x:c>
      <x:c r="G1998" s="65" t="n">
        <x:v>476.0344385472005</x:v>
      </x:c>
      <x:c r="H1998" s="43" t="n">
        <x:v>1</x:v>
      </x:c>
      <x:c r="I1998" s="34" t="str">
        <x:v>generated design-reference observation; not predicted tract behavior</x:v>
      </x:c>
    </x:row>
    <x:row r="1999" ht="75.5999984741211" hidden="0" customHeight="1">
      <x:c r="A1999" s="36" t="str">
        <x:v>B1</x:v>
      </x:c>
      <x:c r="B1999" s="36" t="str">
        <x:v>48201534002</x:v>
      </x:c>
      <x:c r="C1999" s="66" t="n">
        <x:v>419.0698179833646</x:v>
      </x:c>
      <x:c r="D1999" s="66" t="n">
        <x:v>256.0516587878358</x:v>
      </x:c>
      <x:c r="E1999" s="66" t="n">
        <x:v>163.01815919552882</x:v>
      </x:c>
      <x:c r="F1999" s="66" t="n">
        <x:v>138.9452953385453</x:v>
      </x:c>
      <x:c r="G1999" s="66" t="n">
        <x:v>394.99695412638107</x:v>
      </x:c>
      <x:c r="H1999" s="45" t="n">
        <x:v>0.9425564361260225</x:v>
      </x:c>
      <x:c r="I1999" s="36" t="str">
        <x:v>generated design-reference observation; not predicted tract behavior</x:v>
      </x:c>
    </x:row>
    <x:row r="2000" ht="75.5999984741211" hidden="0" customHeight="1">
      <x:c r="A2000" s="34" t="str">
        <x:v>B1</x:v>
      </x:c>
      <x:c r="B2000" s="34" t="str">
        <x:v>48201534003</x:v>
      </x:c>
      <x:c r="C2000" s="65" t="n">
        <x:v>184.22724181414225</x:v>
      </x:c>
      <x:c r="D2000" s="65" t="n">
        <x:v>112.03929663333189</x:v>
      </x:c>
      <x:c r="E2000" s="65" t="n">
        <x:v>72.18794518081036</x:v>
      </x:c>
      <x:c r="F2000" s="65" t="n">
        <x:v>72.18794518081036</x:v>
      </x:c>
      <x:c r="G2000" s="65" t="n">
        <x:v>184.22724181414225</x:v>
      </x:c>
      <x:c r="H2000" s="43" t="n">
        <x:v>1</x:v>
      </x:c>
      <x:c r="I2000" s="34" t="str">
        <x:v>generated design-reference observation; not predicted tract behavior</x:v>
      </x:c>
    </x:row>
    <x:row r="2001" ht="75.5999984741211" hidden="0" customHeight="1">
      <x:c r="A2001" s="36" t="str">
        <x:v>B1</x:v>
      </x:c>
      <x:c r="B2001" s="36" t="str">
        <x:v>48201534101</x:v>
      </x:c>
      <x:c r="C2001" s="66" t="n">
        <x:v>236.88605240094915</x:v>
      </x:c>
      <x:c r="D2001" s="66" t="n">
        <x:v>144.73737801697993</x:v>
      </x:c>
      <x:c r="E2001" s="66" t="n">
        <x:v>92.14867438396922</x:v>
      </x:c>
      <x:c r="F2001" s="66" t="n">
        <x:v>92.14867438396922</x:v>
      </x:c>
      <x:c r="G2001" s="66" t="n">
        <x:v>236.88605240094915</x:v>
      </x:c>
      <x:c r="H2001" s="45" t="n">
        <x:v>1</x:v>
      </x:c>
      <x:c r="I2001" s="36" t="str">
        <x:v>generated design-reference observation; not predicted tract behavior</x:v>
      </x:c>
    </x:row>
    <x:row r="2002" ht="75.5999984741211" hidden="0" customHeight="1">
      <x:c r="A2002" s="34" t="str">
        <x:v>B1</x:v>
      </x:c>
      <x:c r="B2002" s="34" t="str">
        <x:v>48201534102</x:v>
      </x:c>
      <x:c r="C2002" s="65" t="n">
        <x:v>434.0815087625885</x:v>
      </x:c>
      <x:c r="D2002" s="65" t="n">
        <x:v>265.2238018539416</x:v>
      </x:c>
      <x:c r="E2002" s="65" t="n">
        <x:v>168.8577069086469</x:v>
      </x:c>
      <x:c r="F2002" s="65" t="n">
        <x:v>168.8577069086469</x:v>
      </x:c>
      <x:c r="G2002" s="65" t="n">
        <x:v>434.0815087625885</x:v>
      </x:c>
      <x:c r="H2002" s="43" t="n">
        <x:v>1</x:v>
      </x:c>
      <x:c r="I2002" s="34" t="str">
        <x:v>generated design-reference observation; not predicted tract behavior</x:v>
      </x:c>
    </x:row>
    <x:row r="2003" ht="75.5999984741211" hidden="0" customHeight="1">
      <x:c r="A2003" s="36" t="str">
        <x:v>B1</x:v>
      </x:c>
      <x:c r="B2003" s="36" t="str">
        <x:v>48201534201</x:v>
      </x:c>
      <x:c r="C2003" s="66" t="n">
        <x:v>263.451243413398</x:v>
      </x:c>
      <x:c r="D2003" s="66" t="n">
        <x:v>160.05191094073072</x:v>
      </x:c>
      <x:c r="E2003" s="66" t="n">
        <x:v>103.39933247266728</x:v>
      </x:c>
      <x:c r="F2003" s="66" t="n">
        <x:v>103.39933247266728</x:v>
      </x:c>
      <x:c r="G2003" s="66" t="n">
        <x:v>263.451243413398</x:v>
      </x:c>
      <x:c r="H2003" s="45" t="n">
        <x:v>1</x:v>
      </x:c>
      <x:c r="I2003" s="36" t="str">
        <x:v>generated design-reference observation; not predicted tract behavior</x:v>
      </x:c>
    </x:row>
    <x:row r="2004" ht="75.5999984741211" hidden="0" customHeight="1">
      <x:c r="A2004" s="34" t="str">
        <x:v>B1</x:v>
      </x:c>
      <x:c r="B2004" s="34" t="str">
        <x:v>48201534203</x:v>
      </x:c>
      <x:c r="C2004" s="65" t="n">
        <x:v>377.0673127398764</x:v>
      </x:c>
      <x:c r="D2004" s="65" t="n">
        <x:v>108.6717040409283</x:v>
      </x:c>
      <x:c r="E2004" s="65" t="n">
        <x:v>268.3956086989481</x:v>
      </x:c>
      <x:c r="F2004" s="65" t="n">
        <x:v>268.3956086989481</x:v>
      </x:c>
      <x:c r="G2004" s="65" t="n">
        <x:v>377.0673127398764</x:v>
      </x:c>
      <x:c r="H2004" s="43" t="n">
        <x:v>1</x:v>
      </x:c>
      <x:c r="I2004" s="34" t="str">
        <x:v>generated design-reference observation; not predicted tract behavior</x:v>
      </x:c>
    </x:row>
    <x:row r="2005" ht="75.5999984741211" hidden="0" customHeight="1">
      <x:c r="A2005" s="36" t="str">
        <x:v>B1</x:v>
      </x:c>
      <x:c r="B2005" s="36" t="str">
        <x:v>48201534204</x:v>
      </x:c>
      <x:c r="C2005" s="66" t="n">
        <x:v>823.0493499478233</x:v>
      </x:c>
      <x:c r="D2005" s="66" t="n">
        <x:v>228.8469655079038</x:v>
      </x:c>
      <x:c r="E2005" s="66" t="n">
        <x:v>594.2023844399196</x:v>
      </x:c>
      <x:c r="F2005" s="66" t="n">
        <x:v>594.2023844399196</x:v>
      </x:c>
      <x:c r="G2005" s="66" t="n">
        <x:v>823.0493499478233</x:v>
      </x:c>
      <x:c r="H2005" s="45" t="n">
        <x:v>1</x:v>
      </x:c>
      <x:c r="I2005" s="36" t="str">
        <x:v>generated design-reference observation; not predicted tract behavior</x:v>
      </x:c>
    </x:row>
    <x:row r="2006" ht="75.5999984741211" hidden="0" customHeight="1">
      <x:c r="A2006" s="34" t="str">
        <x:v>B1</x:v>
      </x:c>
      <x:c r="B2006" s="34" t="str">
        <x:v>48201534205</x:v>
      </x:c>
      <x:c r="C2006" s="65" t="n">
        <x:v>303.8256180379393</x:v>
      </x:c>
      <x:c r="D2006" s="65" t="n">
        <x:v>183.37047812188177</x:v>
      </x:c>
      <x:c r="E2006" s="65" t="n">
        <x:v>120.45513991605753</x:v>
      </x:c>
      <x:c r="F2006" s="65" t="n">
        <x:v>120.45513991605753</x:v>
      </x:c>
      <x:c r="G2006" s="65" t="n">
        <x:v>303.8256180379393</x:v>
      </x:c>
      <x:c r="H2006" s="43" t="n">
        <x:v>1</x:v>
      </x:c>
      <x:c r="I2006" s="34" t="str">
        <x:v>generated design-reference observation; not predicted tract behavior</x:v>
      </x:c>
    </x:row>
    <x:row r="2007" ht="75.5999984741211" hidden="0" customHeight="1">
      <x:c r="A2007" s="36" t="str">
        <x:v>B1</x:v>
      </x:c>
      <x:c r="B2007" s="36" t="str">
        <x:v>48201540101</x:v>
      </x:c>
      <x:c r="C2007" s="66" t="n">
        <x:v>1217.747388684628</x:v>
      </x:c>
      <x:c r="D2007" s="66" t="n">
        <x:v>356.1911111902537</x:v>
      </x:c>
      <x:c r="E2007" s="66" t="n">
        <x:v>861.5562774943744</x:v>
      </x:c>
      <x:c r="F2007" s="66" t="n">
        <x:v>861.5562774943744</x:v>
      </x:c>
      <x:c r="G2007" s="66" t="n">
        <x:v>1217.747388684628</x:v>
      </x:c>
      <x:c r="H2007" s="45" t="n">
        <x:v>1</x:v>
      </x:c>
      <x:c r="I2007" s="36" t="str">
        <x:v>generated design-reference observation; not predicted tract behavior</x:v>
      </x:c>
    </x:row>
    <x:row r="2008" ht="75.5999984741211" hidden="0" customHeight="1">
      <x:c r="A2008" s="34" t="str">
        <x:v>B1</x:v>
      </x:c>
      <x:c r="B2008" s="34" t="str">
        <x:v>48201540102</x:v>
      </x:c>
      <x:c r="C2008" s="65" t="n">
        <x:v>512.2366151021719</x:v>
      </x:c>
      <x:c r="D2008" s="65" t="n">
        <x:v>306.4167917505435</x:v>
      </x:c>
      <x:c r="E2008" s="65" t="n">
        <x:v>205.81982335162837</x:v>
      </x:c>
      <x:c r="F2008" s="65" t="n">
        <x:v>205.81982335162837</x:v>
      </x:c>
      <x:c r="G2008" s="65" t="n">
        <x:v>512.2366151021719</x:v>
      </x:c>
      <x:c r="H2008" s="43" t="n">
        <x:v>1</x:v>
      </x:c>
      <x:c r="I2008" s="34" t="str">
        <x:v>generated design-reference observation; not predicted tract behavior</x:v>
      </x:c>
    </x:row>
    <x:row r="2009" ht="75.5999984741211" hidden="0" customHeight="1">
      <x:c r="A2009" s="36" t="str">
        <x:v>B1</x:v>
      </x:c>
      <x:c r="B2009" s="36" t="str">
        <x:v>48201540200</x:v>
      </x:c>
      <x:c r="C2009" s="66" t="n">
        <x:v>196.18157776974425</x:v>
      </x:c>
      <x:c r="D2009" s="66" t="n">
        <x:v>116.68705410348656</x:v>
      </x:c>
      <x:c r="E2009" s="66" t="n">
        <x:v>79.49452366625769</x:v>
      </x:c>
      <x:c r="F2009" s="66" t="n">
        <x:v>79.49452366625769</x:v>
      </x:c>
      <x:c r="G2009" s="66" t="n">
        <x:v>196.18157776974425</x:v>
      </x:c>
      <x:c r="H2009" s="45" t="n">
        <x:v>1</x:v>
      </x:c>
      <x:c r="I2009" s="36" t="str">
        <x:v>generated design-reference observation; not predicted tract behavior</x:v>
      </x:c>
    </x:row>
    <x:row r="2010" ht="75.5999984741211" hidden="0" customHeight="1">
      <x:c r="A2010" s="34" t="str">
        <x:v>B1</x:v>
      </x:c>
      <x:c r="B2010" s="34" t="str">
        <x:v>48201540502</x:v>
      </x:c>
      <x:c r="C2010" s="65" t="n">
        <x:v>412.9708273840568</x:v>
      </x:c>
      <x:c r="D2010" s="65" t="n">
        <x:v>252.32517553165872</x:v>
      </x:c>
      <x:c r="E2010" s="65" t="n">
        <x:v>160.6456518523981</x:v>
      </x:c>
      <x:c r="F2010" s="65" t="n">
        <x:v>160.6456518523981</x:v>
      </x:c>
      <x:c r="G2010" s="65" t="n">
        <x:v>412.9708273840568</x:v>
      </x:c>
      <x:c r="H2010" s="43" t="n">
        <x:v>1</x:v>
      </x:c>
      <x:c r="I2010" s="34" t="str">
        <x:v>generated design-reference observation; not predicted tract behavior</x:v>
      </x:c>
    </x:row>
    <x:row r="2011" ht="75.5999984741211" hidden="0" customHeight="1">
      <x:c r="A2011" s="36" t="str">
        <x:v>B1</x:v>
      </x:c>
      <x:c r="B2011" s="36" t="str">
        <x:v>48201540503</x:v>
      </x:c>
      <x:c r="C2011" s="66" t="n">
        <x:v>890.1442923278767</x:v>
      </x:c>
      <x:c r="D2011" s="66" t="n">
        <x:v>249.37895474600256</x:v>
      </x:c>
      <x:c r="E2011" s="66" t="n">
        <x:v>640.7653375818741</x:v>
      </x:c>
      <x:c r="F2011" s="66" t="n">
        <x:v>640.7653375818741</x:v>
      </x:c>
      <x:c r="G2011" s="66" t="n">
        <x:v>890.1442923278767</x:v>
      </x:c>
      <x:c r="H2011" s="45" t="n">
        <x:v>1</x:v>
      </x:c>
      <x:c r="I2011" s="36" t="str">
        <x:v>generated design-reference observation; not predicted tract behavior</x:v>
      </x:c>
    </x:row>
    <x:row r="2012" ht="75.5999984741211" hidden="0" customHeight="1">
      <x:c r="A2012" s="34" t="str">
        <x:v>B1</x:v>
      </x:c>
      <x:c r="B2012" s="34" t="str">
        <x:v>48201540504</x:v>
      </x:c>
      <x:c r="C2012" s="65" t="n">
        <x:v>274.04195196052075</x:v>
      </x:c>
      <x:c r="D2012" s="65" t="n">
        <x:v>160.2961808899587</x:v>
      </x:c>
      <x:c r="E2012" s="65" t="n">
        <x:v>113.74577107056206</x:v>
      </x:c>
      <x:c r="F2012" s="65" t="n">
        <x:v>113.74577107056206</x:v>
      </x:c>
      <x:c r="G2012" s="65" t="n">
        <x:v>274.04195196052075</x:v>
      </x:c>
      <x:c r="H2012" s="43" t="n">
        <x:v>1</x:v>
      </x:c>
      <x:c r="I2012" s="34" t="str">
        <x:v>generated design-reference observation; not predicted tract behavior</x:v>
      </x:c>
    </x:row>
    <x:row r="2013" ht="75.5999984741211" hidden="0" customHeight="1">
      <x:c r="A2013" s="36" t="str">
        <x:v>B1</x:v>
      </x:c>
      <x:c r="B2013" s="36" t="str">
        <x:v>48201540601</x:v>
      </x:c>
      <x:c r="C2013" s="66" t="n">
        <x:v>331.7505066968834</x:v>
      </x:c>
      <x:c r="D2013" s="66" t="n">
        <x:v>201.03473611964415</x:v>
      </x:c>
      <x:c r="E2013" s="66" t="n">
        <x:v>130.71577057723925</x:v>
      </x:c>
      <x:c r="F2013" s="66" t="n">
        <x:v>130.71577057723925</x:v>
      </x:c>
      <x:c r="G2013" s="66" t="n">
        <x:v>331.7505066968834</x:v>
      </x:c>
      <x:c r="H2013" s="45" t="n">
        <x:v>1</x:v>
      </x:c>
      <x:c r="I2013" s="36" t="str">
        <x:v>generated design-reference observation; not predicted tract behavior</x:v>
      </x:c>
    </x:row>
    <x:row r="2014" ht="75.5999984741211" hidden="0" customHeight="1">
      <x:c r="A2014" s="34" t="str">
        <x:v>B1</x:v>
      </x:c>
      <x:c r="B2014" s="34" t="str">
        <x:v>48201540602</x:v>
      </x:c>
      <x:c r="C2014" s="65" t="n">
        <x:v>599.6109430564303</x:v>
      </x:c>
      <x:c r="D2014" s="65" t="n">
        <x:v>356.03662827642796</x:v>
      </x:c>
      <x:c r="E2014" s="65" t="n">
        <x:v>243.57431478000234</x:v>
      </x:c>
      <x:c r="F2014" s="65" t="n">
        <x:v>243.57431478000234</x:v>
      </x:c>
      <x:c r="G2014" s="65" t="n">
        <x:v>599.6109430564303</x:v>
      </x:c>
      <x:c r="H2014" s="43" t="n">
        <x:v>1</x:v>
      </x:c>
      <x:c r="I2014" s="34" t="str">
        <x:v>generated design-reference observation; not predicted tract behavior</x:v>
      </x:c>
    </x:row>
    <x:row r="2015" ht="75.5999984741211" hidden="0" customHeight="1">
      <x:c r="A2015" s="36" t="str">
        <x:v>B1</x:v>
      </x:c>
      <x:c r="B2015" s="36" t="str">
        <x:v>48201540700</x:v>
      </x:c>
      <x:c r="C2015" s="66" t="n">
        <x:v>432.525323016889</x:v>
      </x:c>
      <x:c r="D2015" s="66" t="n">
        <x:v>264.2729723633191</x:v>
      </x:c>
      <x:c r="E2015" s="66" t="n">
        <x:v>168.25235065356986</x:v>
      </x:c>
      <x:c r="F2015" s="66" t="n">
        <x:v>168.25235065356986</x:v>
      </x:c>
      <x:c r="G2015" s="66" t="n">
        <x:v>432.525323016889</x:v>
      </x:c>
      <x:c r="H2015" s="45" t="n">
        <x:v>1</x:v>
      </x:c>
      <x:c r="I2015" s="36" t="str">
        <x:v>generated design-reference observation; not predicted tract behavior</x:v>
      </x:c>
    </x:row>
    <x:row r="2016" ht="75.5999984741211" hidden="0" customHeight="1">
      <x:c r="A2016" s="34" t="str">
        <x:v>B1</x:v>
      </x:c>
      <x:c r="B2016" s="34" t="str">
        <x:v>48201540800</x:v>
      </x:c>
      <x:c r="C2016" s="65" t="n">
        <x:v>549.6715277626139</x:v>
      </x:c>
      <x:c r="D2016" s="65" t="n">
        <x:v>325.99665003602615</x:v>
      </x:c>
      <x:c r="E2016" s="65" t="n">
        <x:v>223.67487772658774</x:v>
      </x:c>
      <x:c r="F2016" s="65" t="n">
        <x:v>223.67487772658774</x:v>
      </x:c>
      <x:c r="G2016" s="65" t="n">
        <x:v>549.6715277626139</x:v>
      </x:c>
      <x:c r="H2016" s="43" t="n">
        <x:v>1</x:v>
      </x:c>
      <x:c r="I2016" s="34" t="str">
        <x:v>generated design-reference observation; not predicted tract behavior</x:v>
      </x:c>
    </x:row>
    <x:row r="2017" ht="75.5999984741211" hidden="0" customHeight="1">
      <x:c r="A2017" s="36" t="str">
        <x:v>B1</x:v>
      </x:c>
      <x:c r="B2017" s="36" t="str">
        <x:v>48201540901</x:v>
      </x:c>
      <x:c r="C2017" s="66" t="n">
        <x:v>248.63604073337845</x:v>
      </x:c>
      <x:c r="D2017" s="66" t="n">
        <x:v>148.87828847033234</x:v>
      </x:c>
      <x:c r="E2017" s="66" t="n">
        <x:v>99.75775226304611</x:v>
      </x:c>
      <x:c r="F2017" s="66" t="n">
        <x:v>82.63544518649485</x:v>
      </x:c>
      <x:c r="G2017" s="66" t="n">
        <x:v>231.51373365682718</x:v>
      </x:c>
      <x:c r="H2017" s="45" t="n">
        <x:v>0.93113505577853</x:v>
      </x:c>
      <x:c r="I2017" s="36" t="str">
        <x:v>generated design-reference observation; not predicted tract behavior</x:v>
      </x:c>
    </x:row>
    <x:row r="2018" ht="75.5999984741211" hidden="0" customHeight="1">
      <x:c r="A2018" s="34" t="str">
        <x:v>B1</x:v>
      </x:c>
      <x:c r="B2018" s="34" t="str">
        <x:v>48201540903</x:v>
      </x:c>
      <x:c r="C2018" s="65" t="n">
        <x:v>284.5344164580412</x:v>
      </x:c>
      <x:c r="D2018" s="65" t="n">
        <x:v>160.0925729665503</x:v>
      </x:c>
      <x:c r="E2018" s="65" t="n">
        <x:v>124.44184349149091</x:v>
      </x:c>
      <x:c r="F2018" s="65" t="n">
        <x:v>124.44184349149091</x:v>
      </x:c>
      <x:c r="G2018" s="65" t="n">
        <x:v>284.5344164580412</x:v>
      </x:c>
      <x:c r="H2018" s="43" t="n">
        <x:v>1</x:v>
      </x:c>
      <x:c r="I2018" s="34" t="str">
        <x:v>generated design-reference observation; not predicted tract behavior</x:v>
      </x:c>
    </x:row>
    <x:row r="2019" ht="75.5999984741211" hidden="0" customHeight="1">
      <x:c r="A2019" s="36" t="str">
        <x:v>B1</x:v>
      </x:c>
      <x:c r="B2019" s="36" t="str">
        <x:v>48201540904</x:v>
      </x:c>
      <x:c r="C2019" s="66" t="n">
        <x:v>302.10438228890786</x:v>
      </x:c>
      <x:c r="D2019" s="66" t="n">
        <x:v>176.22622040547887</x:v>
      </x:c>
      <x:c r="E2019" s="66" t="n">
        <x:v>125.87816188342899</x:v>
      </x:c>
      <x:c r="F2019" s="66" t="n">
        <x:v>125.87816188342899</x:v>
      </x:c>
      <x:c r="G2019" s="66" t="n">
        <x:v>302.10438228890786</x:v>
      </x:c>
      <x:c r="H2019" s="45" t="n">
        <x:v>1</x:v>
      </x:c>
      <x:c r="I2019" s="36" t="str">
        <x:v>generated design-reference observation; not predicted tract behavior</x:v>
      </x:c>
    </x:row>
    <x:row r="2020" ht="75.5999984741211" hidden="0" customHeight="1">
      <x:c r="A2020" s="34" t="str">
        <x:v>B1</x:v>
      </x:c>
      <x:c r="B2020" s="34" t="str">
        <x:v>48201541004</x:v>
      </x:c>
      <x:c r="C2020" s="65" t="n">
        <x:v>459.15339022108327</x:v>
      </x:c>
      <x:c r="D2020" s="65" t="n">
        <x:v>274.82502108106064</x:v>
      </x:c>
      <x:c r="E2020" s="65" t="n">
        <x:v>184.32836914002263</x:v>
      </x:c>
      <x:c r="F2020" s="65" t="n">
        <x:v>184.32836914002263</x:v>
      </x:c>
      <x:c r="G2020" s="65" t="n">
        <x:v>459.15339022108327</x:v>
      </x:c>
      <x:c r="H2020" s="43" t="n">
        <x:v>1</x:v>
      </x:c>
      <x:c r="I2020" s="34" t="str">
        <x:v>generated design-reference observation; not predicted tract behavior</x:v>
      </x:c>
    </x:row>
    <x:row r="2021" ht="75.5999984741211" hidden="0" customHeight="1">
      <x:c r="A2021" s="36" t="str">
        <x:v>B1</x:v>
      </x:c>
      <x:c r="B2021" s="36" t="str">
        <x:v>48201541005</x:v>
      </x:c>
      <x:c r="C2021" s="66" t="n">
        <x:v>365.8529811948169</x:v>
      </x:c>
      <x:c r="D2021" s="66" t="n">
        <x:v>211.71994029605344</x:v>
      </x:c>
      <x:c r="E2021" s="66" t="n">
        <x:v>154.13304089876345</x:v>
      </x:c>
      <x:c r="F2021" s="66" t="n">
        <x:v>154.13304089876345</x:v>
      </x:c>
      <x:c r="G2021" s="66" t="n">
        <x:v>365.8529811948169</x:v>
      </x:c>
      <x:c r="H2021" s="45" t="n">
        <x:v>1</x:v>
      </x:c>
      <x:c r="I2021" s="36" t="str">
        <x:v>generated design-reference observation; not predicted tract behavior</x:v>
      </x:c>
    </x:row>
    <x:row r="2022" ht="75.5999984741211" hidden="0" customHeight="1">
      <x:c r="A2022" s="34" t="str">
        <x:v>B1</x:v>
      </x:c>
      <x:c r="B2022" s="34" t="str">
        <x:v>48201541006</x:v>
      </x:c>
      <x:c r="C2022" s="65" t="n">
        <x:v>501.31187678640157</x:v>
      </x:c>
      <x:c r="D2022" s="65" t="n">
        <x:v>298.94664189788625</x:v>
      </x:c>
      <x:c r="E2022" s="65" t="n">
        <x:v>202.36523488851532</x:v>
      </x:c>
      <x:c r="F2022" s="65" t="n">
        <x:v>166.60445784604272</x:v>
      </x:c>
      <x:c r="G2022" s="65" t="n">
        <x:v>465.55109974392894</x:v>
      </x:c>
      <x:c r="H2022" s="43" t="n">
        <x:v>0.928665609776268</x:v>
      </x:c>
      <x:c r="I2022" s="34" t="str">
        <x:v>generated design-reference observation; not predicted tract behavior</x:v>
      </x:c>
    </x:row>
    <x:row r="2023" ht="75.5999984741211" hidden="0" customHeight="1">
      <x:c r="A2023" s="36" t="str">
        <x:v>B1</x:v>
      </x:c>
      <x:c r="B2023" s="36" t="str">
        <x:v>48201541007</x:v>
      </x:c>
      <x:c r="C2023" s="66" t="n">
        <x:v>592.9775048272865</x:v>
      </x:c>
      <x:c r="D2023" s="66" t="n">
        <x:v>362.309255449472</x:v>
      </x:c>
      <x:c r="E2023" s="66" t="n">
        <x:v>230.66824937781445</x:v>
      </x:c>
      <x:c r="F2023" s="66" t="n">
        <x:v>230.66824937781445</x:v>
      </x:c>
      <x:c r="G2023" s="66" t="n">
        <x:v>592.9775048272865</x:v>
      </x:c>
      <x:c r="H2023" s="45" t="n">
        <x:v>1</x:v>
      </x:c>
      <x:c r="I2023" s="36" t="str">
        <x:v>generated design-reference observation; not predicted tract behavior</x:v>
      </x:c>
    </x:row>
    <x:row r="2024" ht="75.5999984741211" hidden="0" customHeight="1">
      <x:c r="A2024" s="34" t="str">
        <x:v>B1</x:v>
      </x:c>
      <x:c r="B2024" s="34" t="str">
        <x:v>48201541008</x:v>
      </x:c>
      <x:c r="C2024" s="65" t="n">
        <x:v>266.374986329561</x:v>
      </x:c>
      <x:c r="D2024" s="65" t="n">
        <x:v>162.75511664736177</x:v>
      </x:c>
      <x:c r="E2024" s="65" t="n">
        <x:v>103.61986968219924</x:v>
      </x:c>
      <x:c r="F2024" s="65" t="n">
        <x:v>103.61986968219924</x:v>
      </x:c>
      <x:c r="G2024" s="65" t="n">
        <x:v>266.374986329561</x:v>
      </x:c>
      <x:c r="H2024" s="43" t="n">
        <x:v>1</x:v>
      </x:c>
      <x:c r="I2024" s="34" t="str">
        <x:v>generated design-reference observation; not predicted tract behavior</x:v>
      </x:c>
    </x:row>
    <x:row r="2025" ht="75.5999984741211" hidden="0" customHeight="1">
      <x:c r="A2025" s="36" t="str">
        <x:v>B1</x:v>
      </x:c>
      <x:c r="B2025" s="36" t="str">
        <x:v>48201541009</x:v>
      </x:c>
      <x:c r="C2025" s="66" t="n">
        <x:v>393.31808770162235</x:v>
      </x:c>
      <x:c r="D2025" s="66" t="n">
        <x:v>239.0973225280543</x:v>
      </x:c>
      <x:c r="E2025" s="66" t="n">
        <x:v>154.22076517356805</x:v>
      </x:c>
      <x:c r="F2025" s="66" t="n">
        <x:v>154.22076517356805</x:v>
      </x:c>
      <x:c r="G2025" s="66" t="n">
        <x:v>393.31808770162235</x:v>
      </x:c>
      <x:c r="H2025" s="45" t="n">
        <x:v>1</x:v>
      </x:c>
      <x:c r="I2025" s="36" t="str">
        <x:v>generated design-reference observation; not predicted tract behavior</x:v>
      </x:c>
    </x:row>
    <x:row r="2026" ht="75.5999984741211" hidden="0" customHeight="1">
      <x:c r="A2026" s="34" t="str">
        <x:v>B1</x:v>
      </x:c>
      <x:c r="B2026" s="34" t="str">
        <x:v>48201541100</x:v>
      </x:c>
      <x:c r="C2026" s="65" t="n">
        <x:v>647.93915593677</x:v>
      </x:c>
      <x:c r="D2026" s="65" t="n">
        <x:v>393.0710434164674</x:v>
      </x:c>
      <x:c r="E2026" s="65" t="n">
        <x:v>254.86811252030265</x:v>
      </x:c>
      <x:c r="F2026" s="65" t="n">
        <x:v>254.86811252030265</x:v>
      </x:c>
      <x:c r="G2026" s="65" t="n">
        <x:v>647.93915593677</x:v>
      </x:c>
      <x:c r="H2026" s="43" t="n">
        <x:v>1</x:v>
      </x:c>
      <x:c r="I2026" s="34" t="str">
        <x:v>generated design-reference observation; not predicted tract behavior</x:v>
      </x:c>
    </x:row>
    <x:row r="2027" ht="75.5999984741211" hidden="0" customHeight="1">
      <x:c r="A2027" s="36" t="str">
        <x:v>B1</x:v>
      </x:c>
      <x:c r="B2027" s="36" t="str">
        <x:v>48201541203</x:v>
      </x:c>
      <x:c r="C2027" s="66" t="n">
        <x:v>200.52789452414783</x:v>
      </x:c>
      <x:c r="D2027" s="66" t="n">
        <x:v>122.52254355425431</x:v>
      </x:c>
      <x:c r="E2027" s="66" t="n">
        <x:v>78.00535096989351</x:v>
      </x:c>
      <x:c r="F2027" s="66" t="n">
        <x:v>78.00535096989351</x:v>
      </x:c>
      <x:c r="G2027" s="66" t="n">
        <x:v>200.52789452414783</x:v>
      </x:c>
      <x:c r="H2027" s="45" t="n">
        <x:v>1</x:v>
      </x:c>
      <x:c r="I2027" s="36" t="str">
        <x:v>generated design-reference observation; not predicted tract behavior</x:v>
      </x:c>
    </x:row>
    <x:row r="2028" ht="75.5999984741211" hidden="0" customHeight="1">
      <x:c r="A2028" s="34" t="str">
        <x:v>B1</x:v>
      </x:c>
      <x:c r="B2028" s="34" t="str">
        <x:v>48201541204</x:v>
      </x:c>
      <x:c r="C2028" s="65" t="n">
        <x:v>469.6537142425719</x:v>
      </x:c>
      <x:c r="D2028" s="65" t="n">
        <x:v>284.2911776834088</x:v>
      </x:c>
      <x:c r="E2028" s="65" t="n">
        <x:v>185.36253655916306</x:v>
      </x:c>
      <x:c r="F2028" s="65" t="n">
        <x:v>185.36253655916306</x:v>
      </x:c>
      <x:c r="G2028" s="65" t="n">
        <x:v>469.6537142425719</x:v>
      </x:c>
      <x:c r="H2028" s="43" t="n">
        <x:v>1</x:v>
      </x:c>
      <x:c r="I2028" s="34" t="str">
        <x:v>generated design-reference observation; not predicted tract behavior</x:v>
      </x:c>
    </x:row>
    <x:row r="2029" ht="75.5999984741211" hidden="0" customHeight="1">
      <x:c r="A2029" s="36" t="str">
        <x:v>B1</x:v>
      </x:c>
      <x:c r="B2029" s="36" t="str">
        <x:v>48201541205</x:v>
      </x:c>
      <x:c r="C2029" s="66" t="n">
        <x:v>261.42348622960753</x:v>
      </x:c>
      <x:c r="D2029" s="66" t="n">
        <x:v>159.7297500862902</x:v>
      </x:c>
      <x:c r="E2029" s="66" t="n">
        <x:v>101.69373614331732</x:v>
      </x:c>
      <x:c r="F2029" s="66" t="n">
        <x:v>101.69373614331732</x:v>
      </x:c>
      <x:c r="G2029" s="66" t="n">
        <x:v>261.42348622960753</x:v>
      </x:c>
      <x:c r="H2029" s="45" t="n">
        <x:v>1</x:v>
      </x:c>
      <x:c r="I2029" s="36" t="str">
        <x:v>generated design-reference observation; not predicted tract behavior</x:v>
      </x:c>
    </x:row>
    <x:row r="2030" ht="75.5999984741211" hidden="0" customHeight="1">
      <x:c r="A2030" s="34" t="str">
        <x:v>B1</x:v>
      </x:c>
      <x:c r="B2030" s="34" t="str">
        <x:v>48201541206</x:v>
      </x:c>
      <x:c r="C2030" s="65" t="n">
        <x:v>387.38021734366225</x:v>
      </x:c>
      <x:c r="D2030" s="65" t="n">
        <x:v>231.51721299882146</x:v>
      </x:c>
      <x:c r="E2030" s="65" t="n">
        <x:v>155.8630043448408</x:v>
      </x:c>
      <x:c r="F2030" s="65" t="n">
        <x:v>155.8630043448408</x:v>
      </x:c>
      <x:c r="G2030" s="65" t="n">
        <x:v>387.38021734366225</x:v>
      </x:c>
      <x:c r="H2030" s="43" t="n">
        <x:v>1</x:v>
      </x:c>
      <x:c r="I2030" s="34" t="str">
        <x:v>generated design-reference observation; not predicted tract behavior</x:v>
      </x:c>
    </x:row>
    <x:row r="2031" ht="75.5999984741211" hidden="0" customHeight="1">
      <x:c r="A2031" s="36" t="str">
        <x:v>B1</x:v>
      </x:c>
      <x:c r="B2031" s="36" t="str">
        <x:v>48201541207</x:v>
      </x:c>
      <x:c r="C2031" s="66" t="n">
        <x:v>339.9872878155361</x:v>
      </x:c>
      <x:c r="D2031" s="66" t="n">
        <x:v>207.73223285529252</x:v>
      </x:c>
      <x:c r="E2031" s="66" t="n">
        <x:v>132.25505496024357</x:v>
      </x:c>
      <x:c r="F2031" s="66" t="n">
        <x:v>132.25505496024357</x:v>
      </x:c>
      <x:c r="G2031" s="66" t="n">
        <x:v>339.9872878155361</x:v>
      </x:c>
      <x:c r="H2031" s="45" t="n">
        <x:v>1</x:v>
      </x:c>
      <x:c r="I2031" s="36" t="str">
        <x:v>generated design-reference observation; not predicted tract behavior</x:v>
      </x:c>
    </x:row>
    <x:row r="2032" ht="75.5999984741211" hidden="0" customHeight="1">
      <x:c r="A2032" s="34" t="str">
        <x:v>B1</x:v>
      </x:c>
      <x:c r="B2032" s="34" t="str">
        <x:v>48201541301</x:v>
      </x:c>
      <x:c r="C2032" s="65" t="n">
        <x:v>884.1136191292153</x:v>
      </x:c>
      <x:c r="D2032" s="65" t="n">
        <x:v>465.33942370504803</x:v>
      </x:c>
      <x:c r="E2032" s="65" t="n">
        <x:v>418.77419542416726</x:v>
      </x:c>
      <x:c r="F2032" s="65" t="n">
        <x:v>418.77419542416726</x:v>
      </x:c>
      <x:c r="G2032" s="65" t="n">
        <x:v>884.1136191292153</x:v>
      </x:c>
      <x:c r="H2032" s="43" t="n">
        <x:v>1</x:v>
      </x:c>
      <x:c r="I2032" s="34" t="str">
        <x:v>generated design-reference observation; not predicted tract behavior</x:v>
      </x:c>
    </x:row>
    <x:row r="2033" ht="75.5999984741211" hidden="0" customHeight="1">
      <x:c r="A2033" s="36" t="str">
        <x:v>B1</x:v>
      </x:c>
      <x:c r="B2033" s="36" t="str">
        <x:v>48201541302</x:v>
      </x:c>
      <x:c r="C2033" s="66" t="n">
        <x:v>596.498571565031</x:v>
      </x:c>
      <x:c r="D2033" s="66" t="n">
        <x:v>362.8662202978073</x:v>
      </x:c>
      <x:c r="E2033" s="66" t="n">
        <x:v>233.63235126722378</x:v>
      </x:c>
      <x:c r="F2033" s="66" t="n">
        <x:v>233.63235126722378</x:v>
      </x:c>
      <x:c r="G2033" s="66" t="n">
        <x:v>596.498571565031</x:v>
      </x:c>
      <x:c r="H2033" s="45" t="n">
        <x:v>1</x:v>
      </x:c>
      <x:c r="I2033" s="36" t="str">
        <x:v>generated design-reference observation; not predicted tract behavior</x:v>
      </x:c>
    </x:row>
    <x:row r="2034" ht="75.5999984741211" hidden="0" customHeight="1">
      <x:c r="A2034" s="34" t="str">
        <x:v>B1</x:v>
      </x:c>
      <x:c r="B2034" s="34" t="str">
        <x:v>48201541401</x:v>
      </x:c>
      <x:c r="C2034" s="65" t="n">
        <x:v>364.87054069879446</x:v>
      </x:c>
      <x:c r="D2034" s="65" t="n">
        <x:v>214.68696540152834</x:v>
      </x:c>
      <x:c r="E2034" s="65" t="n">
        <x:v>150.18357529726612</x:v>
      </x:c>
      <x:c r="F2034" s="65" t="n">
        <x:v>150.18357529726612</x:v>
      </x:c>
      <x:c r="G2034" s="65" t="n">
        <x:v>364.87054069879446</x:v>
      </x:c>
      <x:c r="H2034" s="43" t="n">
        <x:v>1</x:v>
      </x:c>
      <x:c r="I2034" s="34" t="str">
        <x:v>generated design-reference observation; not predicted tract behavior</x:v>
      </x:c>
    </x:row>
    <x:row r="2035" ht="75.5999984741211" hidden="0" customHeight="1">
      <x:c r="A2035" s="36" t="str">
        <x:v>B1</x:v>
      </x:c>
      <x:c r="B2035" s="36" t="str">
        <x:v>48201541402</x:v>
      </x:c>
      <x:c r="C2035" s="66" t="n">
        <x:v>190.21619907789557</x:v>
      </x:c>
      <x:c r="D2035" s="66" t="n">
        <x:v>116.08207101293563</x:v>
      </x:c>
      <x:c r="E2035" s="66" t="n">
        <x:v>74.13412806495994</x:v>
      </x:c>
      <x:c r="F2035" s="66" t="n">
        <x:v>74.13412806495994</x:v>
      </x:c>
      <x:c r="G2035" s="66" t="n">
        <x:v>190.21619907789557</x:v>
      </x:c>
      <x:c r="H2035" s="45" t="n">
        <x:v>1</x:v>
      </x:c>
      <x:c r="I2035" s="36" t="str">
        <x:v>generated design-reference observation; not predicted tract behavior</x:v>
      </x:c>
    </x:row>
    <x:row r="2036" ht="75.5999984741211" hidden="0" customHeight="1">
      <x:c r="A2036" s="34" t="str">
        <x:v>B1</x:v>
      </x:c>
      <x:c r="B2036" s="34" t="str">
        <x:v>48201541403</x:v>
      </x:c>
      <x:c r="C2036" s="65" t="n">
        <x:v>264.6773291524341</x:v>
      </x:c>
      <x:c r="D2036" s="65" t="n">
        <x:v>160.57361805474002</x:v>
      </x:c>
      <x:c r="E2036" s="65" t="n">
        <x:v>104.10371109769406</x:v>
      </x:c>
      <x:c r="F2036" s="65" t="n">
        <x:v>104.10371109769406</x:v>
      </x:c>
      <x:c r="G2036" s="65" t="n">
        <x:v>264.6773291524341</x:v>
      </x:c>
      <x:c r="H2036" s="43" t="n">
        <x:v>1</x:v>
      </x:c>
      <x:c r="I2036" s="34" t="str">
        <x:v>generated design-reference observation; not predicted tract behavior</x:v>
      </x:c>
    </x:row>
    <x:row r="2037" ht="75.5999984741211" hidden="0" customHeight="1">
      <x:c r="A2037" s="36" t="str">
        <x:v>B1</x:v>
      </x:c>
      <x:c r="B2037" s="36" t="str">
        <x:v>48201541404</x:v>
      </x:c>
      <x:c r="C2037" s="66" t="n">
        <x:v>270.79203879967827</x:v>
      </x:c>
      <x:c r="D2037" s="66" t="n">
        <x:v>165.45393570660343</x:v>
      </x:c>
      <x:c r="E2037" s="66" t="n">
        <x:v>105.33810309307484</x:v>
      </x:c>
      <x:c r="F2037" s="66" t="n">
        <x:v>105.33810309307484</x:v>
      </x:c>
      <x:c r="G2037" s="66" t="n">
        <x:v>270.79203879967827</x:v>
      </x:c>
      <x:c r="H2037" s="45" t="n">
        <x:v>1</x:v>
      </x:c>
      <x:c r="I2037" s="36" t="str">
        <x:v>generated design-reference observation; not predicted tract behavior</x:v>
      </x:c>
    </x:row>
    <x:row r="2038" ht="75.5999984741211" hidden="0" customHeight="1">
      <x:c r="A2038" s="34" t="str">
        <x:v>B1</x:v>
      </x:c>
      <x:c r="B2038" s="34" t="str">
        <x:v>48201541500</x:v>
      </x:c>
      <x:c r="C2038" s="65" t="n">
        <x:v>411.32032735073903</x:v>
      </x:c>
      <x:c r="D2038" s="65" t="n">
        <x:v>248.5633339228602</x:v>
      </x:c>
      <x:c r="E2038" s="65" t="n">
        <x:v>162.75699342787883</x:v>
      </x:c>
      <x:c r="F2038" s="65" t="n">
        <x:v>162.75699342787883</x:v>
      </x:c>
      <x:c r="G2038" s="65" t="n">
        <x:v>411.32032735073903</x:v>
      </x:c>
      <x:c r="H2038" s="43" t="n">
        <x:v>1</x:v>
      </x:c>
      <x:c r="I2038" s="34" t="str">
        <x:v>generated design-reference observation; not predicted tract behavior</x:v>
      </x:c>
    </x:row>
    <x:row r="2039" ht="75.5999984741211" hidden="0" customHeight="1">
      <x:c r="A2039" s="36" t="str">
        <x:v>B1</x:v>
      </x:c>
      <x:c r="B2039" s="36" t="str">
        <x:v>48201541603</x:v>
      </x:c>
      <x:c r="C2039" s="66" t="n">
        <x:v>544.9558133817058</x:v>
      </x:c>
      <x:c r="D2039" s="66" t="n">
        <x:v>327.7199755871045</x:v>
      </x:c>
      <x:c r="E2039" s="66" t="n">
        <x:v>217.23583779460125</x:v>
      </x:c>
      <x:c r="F2039" s="66" t="n">
        <x:v>217.23583779460125</x:v>
      </x:c>
      <x:c r="G2039" s="66" t="n">
        <x:v>544.9558133817058</x:v>
      </x:c>
      <x:c r="H2039" s="45" t="n">
        <x:v>1</x:v>
      </x:c>
      <x:c r="I2039" s="36" t="str">
        <x:v>generated design-reference observation; not predicted tract behavior</x:v>
      </x:c>
    </x:row>
    <x:row r="2040" ht="75.5999984741211" hidden="0" customHeight="1">
      <x:c r="A2040" s="34" t="str">
        <x:v>B1</x:v>
      </x:c>
      <x:c r="B2040" s="34" t="str">
        <x:v>48201541604</x:v>
      </x:c>
      <x:c r="C2040" s="65" t="n">
        <x:v>815.8853938508272</x:v>
      </x:c>
      <x:c r="D2040" s="65" t="n">
        <x:v>498.5059756428554</x:v>
      </x:c>
      <x:c r="E2040" s="65" t="n">
        <x:v>317.3794182079718</x:v>
      </x:c>
      <x:c r="F2040" s="65" t="n">
        <x:v>317.3794182079718</x:v>
      </x:c>
      <x:c r="G2040" s="65" t="n">
        <x:v>815.8853938508272</x:v>
      </x:c>
      <x:c r="H2040" s="43" t="n">
        <x:v>1</x:v>
      </x:c>
      <x:c r="I2040" s="34" t="str">
        <x:v>generated design-reference observation; not predicted tract behavior</x:v>
      </x:c>
    </x:row>
    <x:row r="2041" ht="75.5999984741211" hidden="0" customHeight="1">
      <x:c r="A2041" s="36" t="str">
        <x:v>B1</x:v>
      </x:c>
      <x:c r="B2041" s="36" t="str">
        <x:v>48201541701</x:v>
      </x:c>
      <x:c r="C2041" s="66" t="n">
        <x:v>974.3451863352907</x:v>
      </x:c>
      <x:c r="D2041" s="66" t="n">
        <x:v>510.22381921524504</x:v>
      </x:c>
      <x:c r="E2041" s="66" t="n">
        <x:v>464.12136712004565</x:v>
      </x:c>
      <x:c r="F2041" s="66" t="n">
        <x:v>464.12136712004565</x:v>
      </x:c>
      <x:c r="G2041" s="66" t="n">
        <x:v>974.3451863352907</x:v>
      </x:c>
      <x:c r="H2041" s="45" t="n">
        <x:v>1</x:v>
      </x:c>
      <x:c r="I2041" s="36" t="str">
        <x:v>generated design-reference observation; not predicted tract behavior</x:v>
      </x:c>
    </x:row>
    <x:row r="2042" ht="75.5999984741211" hidden="0" customHeight="1">
      <x:c r="A2042" s="34" t="str">
        <x:v>B1</x:v>
      </x:c>
      <x:c r="B2042" s="34" t="str">
        <x:v>48201541702</x:v>
      </x:c>
      <x:c r="C2042" s="65" t="n">
        <x:v>211.94778284991358</x:v>
      </x:c>
      <x:c r="D2042" s="65" t="n">
        <x:v>122.17179535350284</x:v>
      </x:c>
      <x:c r="E2042" s="65" t="n">
        <x:v>89.77598749641074</x:v>
      </x:c>
      <x:c r="F2042" s="65" t="n">
        <x:v>89.77598749641075</x:v>
      </x:c>
      <x:c r="G2042" s="65" t="n">
        <x:v>211.94778284991358</x:v>
      </x:c>
      <x:c r="H2042" s="43" t="n">
        <x:v>1</x:v>
      </x:c>
      <x:c r="I2042" s="34" t="str">
        <x:v>generated design-reference observation; not predicted tract behavior</x:v>
      </x:c>
    </x:row>
    <x:row r="2043" ht="75.5999984741211" hidden="0" customHeight="1">
      <x:c r="A2043" s="36" t="str">
        <x:v>B1</x:v>
      </x:c>
      <x:c r="B2043" s="36" t="str">
        <x:v>48201541703</x:v>
      </x:c>
      <x:c r="C2043" s="66" t="n">
        <x:v>640.7664334476553</x:v>
      </x:c>
      <x:c r="D2043" s="66" t="n">
        <x:v>168.48911026111816</x:v>
      </x:c>
      <x:c r="E2043" s="66" t="n">
        <x:v>472.27732318653716</x:v>
      </x:c>
      <x:c r="F2043" s="66" t="n">
        <x:v>472.27732318653716</x:v>
      </x:c>
      <x:c r="G2043" s="66" t="n">
        <x:v>640.7664334476553</x:v>
      </x:c>
      <x:c r="H2043" s="45" t="n">
        <x:v>1</x:v>
      </x:c>
      <x:c r="I2043" s="36" t="str">
        <x:v>generated design-reference observation; not predicted tract behavior</x:v>
      </x:c>
    </x:row>
    <x:row r="2044" ht="75.5999984741211" hidden="0" customHeight="1">
      <x:c r="A2044" s="34" t="str">
        <x:v>B1</x:v>
      </x:c>
      <x:c r="B2044" s="34" t="str">
        <x:v>48201541801</x:v>
      </x:c>
      <x:c r="C2044" s="65" t="n">
        <x:v>321.3248481530923</x:v>
      </x:c>
      <x:c r="D2044" s="65" t="n">
        <x:v>182.46695276502425</x:v>
      </x:c>
      <x:c r="E2044" s="65" t="n">
        <x:v>138.85789538806807</x:v>
      </x:c>
      <x:c r="F2044" s="65" t="n">
        <x:v>138.85789538806807</x:v>
      </x:c>
      <x:c r="G2044" s="65" t="n">
        <x:v>321.3248481530923</x:v>
      </x:c>
      <x:c r="H2044" s="43" t="n">
        <x:v>1</x:v>
      </x:c>
      <x:c r="I2044" s="34" t="str">
        <x:v>generated design-reference observation; not predicted tract behavior</x:v>
      </x:c>
    </x:row>
    <x:row r="2045" ht="75.5999984741211" hidden="0" customHeight="1">
      <x:c r="A2045" s="36" t="str">
        <x:v>B1</x:v>
      </x:c>
      <x:c r="B2045" s="36" t="str">
        <x:v>48201541802</x:v>
      </x:c>
      <x:c r="C2045" s="66" t="n">
        <x:v>716.4185836927568</x:v>
      </x:c>
      <x:c r="D2045" s="66" t="n">
        <x:v>185.4706010107826</x:v>
      </x:c>
      <x:c r="E2045" s="66" t="n">
        <x:v>530.9479826819742</x:v>
      </x:c>
      <x:c r="F2045" s="66" t="n">
        <x:v>530.9479826819742</x:v>
      </x:c>
      <x:c r="G2045" s="66" t="n">
        <x:v>716.4185836927568</x:v>
      </x:c>
      <x:c r="H2045" s="45" t="n">
        <x:v>1</x:v>
      </x:c>
      <x:c r="I2045" s="36" t="str">
        <x:v>generated design-reference observation; not predicted tract behavior</x:v>
      </x:c>
    </x:row>
    <x:row r="2046" ht="75.5999984741211" hidden="0" customHeight="1">
      <x:c r="A2046" s="34" t="str">
        <x:v>B1</x:v>
      </x:c>
      <x:c r="B2046" s="34" t="str">
        <x:v>48201541901</x:v>
      </x:c>
      <x:c r="C2046" s="65" t="n">
        <x:v>219.9644972974573</x:v>
      </x:c>
      <x:c r="D2046" s="65" t="n">
        <x:v>128.26152561019828</x:v>
      </x:c>
      <x:c r="E2046" s="65" t="n">
        <x:v>91.70297168725904</x:v>
      </x:c>
      <x:c r="F2046" s="65" t="n">
        <x:v>91.70297168725904</x:v>
      </x:c>
      <x:c r="G2046" s="65" t="n">
        <x:v>219.9644972974573</x:v>
      </x:c>
      <x:c r="H2046" s="43" t="n">
        <x:v>1</x:v>
      </x:c>
      <x:c r="I2046" s="34" t="str">
        <x:v>generated design-reference observation; not predicted tract behavior</x:v>
      </x:c>
    </x:row>
    <x:row r="2047" ht="75.5999984741211" hidden="0" customHeight="1">
      <x:c r="A2047" s="36" t="str">
        <x:v>B1</x:v>
      </x:c>
      <x:c r="B2047" s="36" t="str">
        <x:v>48201541902</x:v>
      </x:c>
      <x:c r="C2047" s="66" t="n">
        <x:v>379.6975326647663</x:v>
      </x:c>
      <x:c r="D2047" s="66" t="n">
        <x:v>231.9951924581722</x:v>
      </x:c>
      <x:c r="E2047" s="66" t="n">
        <x:v>147.7023402065941</x:v>
      </x:c>
      <x:c r="F2047" s="66" t="n">
        <x:v>147.7023402065941</x:v>
      </x:c>
      <x:c r="G2047" s="66" t="n">
        <x:v>379.6975326647663</x:v>
      </x:c>
      <x:c r="H2047" s="45" t="n">
        <x:v>1</x:v>
      </x:c>
      <x:c r="I2047" s="36" t="str">
        <x:v>generated design-reference observation; not predicted tract behavior</x:v>
      </x:c>
    </x:row>
    <x:row r="2048" ht="75.5999984741211" hidden="0" customHeight="1">
      <x:c r="A2048" s="34" t="str">
        <x:v>B1</x:v>
      </x:c>
      <x:c r="B2048" s="34" t="str">
        <x:v>48201542001</x:v>
      </x:c>
      <x:c r="C2048" s="65" t="n">
        <x:v>348.12189512260255</x:v>
      </x:c>
      <x:c r="D2048" s="65" t="n">
        <x:v>212.70247791991017</x:v>
      </x:c>
      <x:c r="E2048" s="65" t="n">
        <x:v>135.4194172026924</x:v>
      </x:c>
      <x:c r="F2048" s="65" t="n">
        <x:v>135.4194172026924</x:v>
      </x:c>
      <x:c r="G2048" s="65" t="n">
        <x:v>348.12189512260255</x:v>
      </x:c>
      <x:c r="H2048" s="43" t="n">
        <x:v>1</x:v>
      </x:c>
      <x:c r="I2048" s="34" t="str">
        <x:v>generated design-reference observation; not predicted tract behavior</x:v>
      </x:c>
    </x:row>
    <x:row r="2049" ht="75.5999984741211" hidden="0" customHeight="1">
      <x:c r="A2049" s="36" t="str">
        <x:v>B1</x:v>
      </x:c>
      <x:c r="B2049" s="36" t="str">
        <x:v>48201542002</x:v>
      </x:c>
      <x:c r="C2049" s="66" t="n">
        <x:v>198.3901040048029</x:v>
      </x:c>
      <x:c r="D2049" s="66" t="n">
        <x:v>121.21635354693458</x:v>
      </x:c>
      <x:c r="E2049" s="66" t="n">
        <x:v>77.17375045786832</x:v>
      </x:c>
      <x:c r="F2049" s="66" t="n">
        <x:v>77.17375045786832</x:v>
      </x:c>
      <x:c r="G2049" s="66" t="n">
        <x:v>198.3901040048029</x:v>
      </x:c>
      <x:c r="H2049" s="45" t="n">
        <x:v>1</x:v>
      </x:c>
      <x:c r="I2049" s="36" t="str">
        <x:v>generated design-reference observation; not predicted tract behavior</x:v>
      </x:c>
    </x:row>
    <x:row r="2050" ht="75.5999984741211" hidden="0" customHeight="1">
      <x:c r="A2050" s="34" t="str">
        <x:v>B1</x:v>
      </x:c>
      <x:c r="B2050" s="34" t="str">
        <x:v>48201542003</x:v>
      </x:c>
      <x:c r="C2050" s="65" t="n">
        <x:v>306.71006333426146</x:v>
      </x:c>
      <x:c r="D2050" s="65" t="n">
        <x:v>187.39984869723375</x:v>
      </x:c>
      <x:c r="E2050" s="65" t="n">
        <x:v>119.31021463702771</x:v>
      </x:c>
      <x:c r="F2050" s="65" t="n">
        <x:v>119.31021463702771</x:v>
      </x:c>
      <x:c r="G2050" s="65" t="n">
        <x:v>306.71006333426146</x:v>
      </x:c>
      <x:c r="H2050" s="43" t="n">
        <x:v>1</x:v>
      </x:c>
      <x:c r="I2050" s="34" t="str">
        <x:v>generated design-reference observation; not predicted tract behavior</x:v>
      </x:c>
    </x:row>
    <x:row r="2051" ht="75.5999984741211" hidden="0" customHeight="1">
      <x:c r="A2051" s="36" t="str">
        <x:v>B1</x:v>
      </x:c>
      <x:c r="B2051" s="36" t="str">
        <x:v>48201542004</x:v>
      </x:c>
      <x:c r="C2051" s="66" t="n">
        <x:v>519.6281951048618</x:v>
      </x:c>
      <x:c r="D2051" s="66" t="n">
        <x:v>151.99124706817207</x:v>
      </x:c>
      <x:c r="E2051" s="66" t="n">
        <x:v>367.6369480366897</x:v>
      </x:c>
      <x:c r="F2051" s="66" t="n">
        <x:v>367.6369480366897</x:v>
      </x:c>
      <x:c r="G2051" s="66" t="n">
        <x:v>519.6281951048618</x:v>
      </x:c>
      <x:c r="H2051" s="45" t="n">
        <x:v>1</x:v>
      </x:c>
      <x:c r="I2051" s="36" t="str">
        <x:v>generated design-reference observation; not predicted tract behavior</x:v>
      </x:c>
    </x:row>
    <x:row r="2052" ht="75.5999984741211" hidden="0" customHeight="1">
      <x:c r="A2052" s="34" t="str">
        <x:v>B1</x:v>
      </x:c>
      <x:c r="B2052" s="34" t="str">
        <x:v>48201542103</x:v>
      </x:c>
      <x:c r="C2052" s="65" t="n">
        <x:v>763.5684725566359</x:v>
      </x:c>
      <x:c r="D2052" s="65" t="n">
        <x:v>466.54033673210455</x:v>
      </x:c>
      <x:c r="E2052" s="65" t="n">
        <x:v>297.0281358245314</x:v>
      </x:c>
      <x:c r="F2052" s="65" t="n">
        <x:v>297.0281358245314</x:v>
      </x:c>
      <x:c r="G2052" s="65" t="n">
        <x:v>763.5684725566359</x:v>
      </x:c>
      <x:c r="H2052" s="43" t="n">
        <x:v>1</x:v>
      </x:c>
      <x:c r="I2052" s="34" t="str">
        <x:v>generated design-reference observation; not predicted tract behavior</x:v>
      </x:c>
    </x:row>
    <x:row r="2053" ht="75.5999984741211" hidden="0" customHeight="1">
      <x:c r="A2053" s="36" t="str">
        <x:v>B1</x:v>
      </x:c>
      <x:c r="B2053" s="36" t="str">
        <x:v>48201542104</x:v>
      </x:c>
      <x:c r="C2053" s="66" t="n">
        <x:v>640.001036728908</x:v>
      </x:c>
      <x:c r="D2053" s="66" t="n">
        <x:v>388.19728243022877</x:v>
      </x:c>
      <x:c r="E2053" s="66" t="n">
        <x:v>251.80375429867928</x:v>
      </x:c>
      <x:c r="F2053" s="66" t="n">
        <x:v>251.80375429867928</x:v>
      </x:c>
      <x:c r="G2053" s="66" t="n">
        <x:v>640.001036728908</x:v>
      </x:c>
      <x:c r="H2053" s="45" t="n">
        <x:v>1</x:v>
      </x:c>
      <x:c r="I2053" s="36" t="str">
        <x:v>generated design-reference observation; not predicted tract behavior</x:v>
      </x:c>
    </x:row>
    <x:row r="2054" ht="75.5999984741211" hidden="0" customHeight="1">
      <x:c r="A2054" s="34" t="str">
        <x:v>B1</x:v>
      </x:c>
      <x:c r="B2054" s="34" t="str">
        <x:v>48201542105</x:v>
      </x:c>
      <x:c r="C2054" s="65" t="n">
        <x:v>803.4869947910229</x:v>
      </x:c>
      <x:c r="D2054" s="65" t="n">
        <x:v>475.9077102117664</x:v>
      </x:c>
      <x:c r="E2054" s="65" t="n">
        <x:v>327.57928457925647</x:v>
      </x:c>
      <x:c r="F2054" s="65" t="n">
        <x:v>327.5792845792565</x:v>
      </x:c>
      <x:c r="G2054" s="65" t="n">
        <x:v>803.4869947910229</x:v>
      </x:c>
      <x:c r="H2054" s="43" t="n">
        <x:v>1</x:v>
      </x:c>
      <x:c r="I2054" s="34" t="str">
        <x:v>generated design-reference observation; not predicted tract behavior</x:v>
      </x:c>
    </x:row>
    <x:row r="2055" ht="75.5999984741211" hidden="0" customHeight="1">
      <x:c r="A2055" s="36" t="str">
        <x:v>B1</x:v>
      </x:c>
      <x:c r="B2055" s="36" t="str">
        <x:v>48201542106</x:v>
      </x:c>
      <x:c r="C2055" s="66" t="n">
        <x:v>676.7521708041185</x:v>
      </x:c>
      <x:c r="D2055" s="66" t="n">
        <x:v>412.00704953744724</x:v>
      </x:c>
      <x:c r="E2055" s="66" t="n">
        <x:v>264.7451212666712</x:v>
      </x:c>
      <x:c r="F2055" s="66" t="n">
        <x:v>264.7451212666712</x:v>
      </x:c>
      <x:c r="G2055" s="66" t="n">
        <x:v>676.7521708041185</x:v>
      </x:c>
      <x:c r="H2055" s="45" t="n">
        <x:v>1</x:v>
      </x:c>
      <x:c r="I2055" s="36" t="str">
        <x:v>generated design-reference observation; not predicted tract behavior</x:v>
      </x:c>
    </x:row>
    <x:row r="2056" ht="75.5999984741211" hidden="0" customHeight="1">
      <x:c r="A2056" s="34" t="str">
        <x:v>B1</x:v>
      </x:c>
      <x:c r="B2056" s="34" t="str">
        <x:v>48201542107</x:v>
      </x:c>
      <x:c r="C2056" s="65" t="n">
        <x:v>305.2324728282436</x:v>
      </x:c>
      <x:c r="D2056" s="65" t="n">
        <x:v>186.49704089805684</x:v>
      </x:c>
      <x:c r="E2056" s="65" t="n">
        <x:v>118.73543193018676</x:v>
      </x:c>
      <x:c r="F2056" s="65" t="n">
        <x:v>118.73543193018676</x:v>
      </x:c>
      <x:c r="G2056" s="65" t="n">
        <x:v>305.2324728282436</x:v>
      </x:c>
      <x:c r="H2056" s="43" t="n">
        <x:v>1</x:v>
      </x:c>
      <x:c r="I2056" s="34" t="str">
        <x:v>generated design-reference observation; not predicted tract behavior</x:v>
      </x:c>
    </x:row>
    <x:row r="2057" ht="75.5999984741211" hidden="0" customHeight="1">
      <x:c r="A2057" s="36" t="str">
        <x:v>B1</x:v>
      </x:c>
      <x:c r="B2057" s="36" t="str">
        <x:v>48201542108</x:v>
      </x:c>
      <x:c r="C2057" s="66" t="n">
        <x:v>416.6648036491015</x:v>
      </x:c>
      <x:c r="D2057" s="66" t="n">
        <x:v>254.582195029601</x:v>
      </x:c>
      <x:c r="E2057" s="66" t="n">
        <x:v>162.0826086195005</x:v>
      </x:c>
      <x:c r="F2057" s="66" t="n">
        <x:v>138.0715147111633</x:v>
      </x:c>
      <x:c r="G2057" s="66" t="n">
        <x:v>392.65370974076427</x:v>
      </x:c>
      <x:c r="H2057" s="45" t="n">
        <x:v>0.9423731169562418</x:v>
      </x:c>
      <x:c r="I2057" s="36" t="str">
        <x:v>generated design-reference observation; not predicted tract behavior</x:v>
      </x:c>
    </x:row>
    <x:row r="2058" ht="75.5999984741211" hidden="0" customHeight="1">
      <x:c r="A2058" s="34" t="str">
        <x:v>B1</x:v>
      </x:c>
      <x:c r="B2058" s="34" t="str">
        <x:v>48201542201</x:v>
      </x:c>
      <x:c r="C2058" s="65" t="n">
        <x:v>603.2970597975068</x:v>
      </x:c>
      <x:c r="D2058" s="65" t="n">
        <x:v>368.6145035362767</x:v>
      </x:c>
      <x:c r="E2058" s="65" t="n">
        <x:v>234.6825562612301</x:v>
      </x:c>
      <x:c r="F2058" s="65" t="n">
        <x:v>234.6825562612301</x:v>
      </x:c>
      <x:c r="G2058" s="65" t="n">
        <x:v>603.2970597975068</x:v>
      </x:c>
      <x:c r="H2058" s="43" t="n">
        <x:v>1</x:v>
      </x:c>
      <x:c r="I2058" s="34" t="str">
        <x:v>generated design-reference observation; not predicted tract behavior</x:v>
      </x:c>
    </x:row>
    <x:row r="2059" ht="75.5999984741211" hidden="0" customHeight="1">
      <x:c r="A2059" s="36" t="str">
        <x:v>B1</x:v>
      </x:c>
      <x:c r="B2059" s="36" t="str">
        <x:v>48201542202</x:v>
      </x:c>
      <x:c r="C2059" s="66" t="n">
        <x:v>955.28191095047</x:v>
      </x:c>
      <x:c r="D2059" s="66" t="n">
        <x:v>572.763749806069</x:v>
      </x:c>
      <x:c r="E2059" s="66" t="n">
        <x:v>382.518161144401</x:v>
      </x:c>
      <x:c r="F2059" s="66" t="n">
        <x:v>382.518161144401</x:v>
      </x:c>
      <x:c r="G2059" s="66" t="n">
        <x:v>955.28191095047</x:v>
      </x:c>
      <x:c r="H2059" s="45" t="n">
        <x:v>1</x:v>
      </x:c>
      <x:c r="I2059" s="36" t="str">
        <x:v>generated design-reference observation; not predicted tract behavior</x:v>
      </x:c>
    </x:row>
    <x:row r="2060" ht="75.5999984741211" hidden="0" customHeight="1">
      <x:c r="A2060" s="34" t="str">
        <x:v>B1</x:v>
      </x:c>
      <x:c r="B2060" s="34" t="str">
        <x:v>48201542203</x:v>
      </x:c>
      <x:c r="C2060" s="65" t="n">
        <x:v>1000.3444916220307</x:v>
      </x:c>
      <x:c r="D2060" s="65" t="n">
        <x:v>611.2104843810607</x:v>
      </x:c>
      <x:c r="E2060" s="65" t="n">
        <x:v>389.13400724096994</x:v>
      </x:c>
      <x:c r="F2060" s="65" t="n">
        <x:v>389.13400724096994</x:v>
      </x:c>
      <x:c r="G2060" s="65" t="n">
        <x:v>1000.3444916220307</x:v>
      </x:c>
      <x:c r="H2060" s="43" t="n">
        <x:v>1</x:v>
      </x:c>
      <x:c r="I2060" s="34" t="str">
        <x:v>generated design-reference observation; not predicted tract behavior</x:v>
      </x:c>
    </x:row>
    <x:row r="2061" ht="75.5999984741211" hidden="0" customHeight="1">
      <x:c r="A2061" s="36" t="str">
        <x:v>B1</x:v>
      </x:c>
      <x:c r="B2061" s="36" t="str">
        <x:v>48201542302</x:v>
      </x:c>
      <x:c r="C2061" s="66" t="n">
        <x:v>627.7676876724357</x:v>
      </x:c>
      <x:c r="D2061" s="66" t="n">
        <x:v>377.1708107707206</x:v>
      </x:c>
      <x:c r="E2061" s="66" t="n">
        <x:v>250.59687690171512</x:v>
      </x:c>
      <x:c r="F2061" s="66" t="n">
        <x:v>250.59687690171512</x:v>
      </x:c>
      <x:c r="G2061" s="66" t="n">
        <x:v>627.7676876724357</x:v>
      </x:c>
      <x:c r="H2061" s="45" t="n">
        <x:v>1</x:v>
      </x:c>
      <x:c r="I2061" s="36" t="str">
        <x:v>generated design-reference observation; not predicted tract behavior</x:v>
      </x:c>
    </x:row>
    <x:row r="2062" ht="75.5999984741211" hidden="0" customHeight="1">
      <x:c r="A2062" s="34" t="str">
        <x:v>B1</x:v>
      </x:c>
      <x:c r="B2062" s="34" t="str">
        <x:v>48201542303</x:v>
      </x:c>
      <x:c r="C2062" s="65" t="n">
        <x:v>292.0441916096373</x:v>
      </x:c>
      <x:c r="D2062" s="65" t="n">
        <x:v>177.74395777342687</x:v>
      </x:c>
      <x:c r="E2062" s="65" t="n">
        <x:v>114.30023383621045</x:v>
      </x:c>
      <x:c r="F2062" s="65" t="n">
        <x:v>114.30023383621045</x:v>
      </x:c>
      <x:c r="G2062" s="65" t="n">
        <x:v>292.0441916096373</x:v>
      </x:c>
      <x:c r="H2062" s="43" t="n">
        <x:v>1</x:v>
      </x:c>
      <x:c r="I2062" s="34" t="str">
        <x:v>generated design-reference observation; not predicted tract behavior</x:v>
      </x:c>
    </x:row>
    <x:row r="2063" ht="75.5999984741211" hidden="0" customHeight="1">
      <x:c r="A2063" s="36" t="str">
        <x:v>B1</x:v>
      </x:c>
      <x:c r="B2063" s="36" t="str">
        <x:v>48201542304</x:v>
      </x:c>
      <x:c r="C2063" s="66" t="n">
        <x:v>440.1019041222147</x:v>
      </x:c>
      <x:c r="D2063" s="66" t="n">
        <x:v>268.9022634186732</x:v>
      </x:c>
      <x:c r="E2063" s="66" t="n">
        <x:v>171.1996407035415</x:v>
      </x:c>
      <x:c r="F2063" s="66" t="n">
        <x:v>171.1996407035415</x:v>
      </x:c>
      <x:c r="G2063" s="66" t="n">
        <x:v>440.1019041222147</x:v>
      </x:c>
      <x:c r="H2063" s="45" t="n">
        <x:v>1</x:v>
      </x:c>
      <x:c r="I2063" s="36" t="str">
        <x:v>generated design-reference observation; not predicted tract behavior</x:v>
      </x:c>
    </x:row>
    <x:row r="2064" ht="75.5999984741211" hidden="0" customHeight="1">
      <x:c r="A2064" s="34" t="str">
        <x:v>B1</x:v>
      </x:c>
      <x:c r="B2064" s="34" t="str">
        <x:v>48201542305</x:v>
      </x:c>
      <x:c r="C2064" s="65" t="n">
        <x:v>381.8156743741908</x:v>
      </x:c>
      <x:c r="D2064" s="65" t="n">
        <x:v>232.89880886470985</x:v>
      </x:c>
      <x:c r="E2064" s="65" t="n">
        <x:v>148.91686550948094</x:v>
      </x:c>
      <x:c r="F2064" s="65" t="n">
        <x:v>148.91686550948094</x:v>
      </x:c>
      <x:c r="G2064" s="65" t="n">
        <x:v>381.8156743741908</x:v>
      </x:c>
      <x:c r="H2064" s="43" t="n">
        <x:v>1</x:v>
      </x:c>
      <x:c r="I2064" s="34" t="str">
        <x:v>generated design-reference observation; not predicted tract behavior</x:v>
      </x:c>
    </x:row>
    <x:row r="2065" ht="75.5999984741211" hidden="0" customHeight="1">
      <x:c r="A2065" s="36" t="str">
        <x:v>B1</x:v>
      </x:c>
      <x:c r="B2065" s="36" t="str">
        <x:v>48201542401</x:v>
      </x:c>
      <x:c r="C2065" s="66" t="n">
        <x:v>401.3230128632139</x:v>
      </x:c>
      <x:c r="D2065" s="66" t="n">
        <x:v>230.09178141106563</x:v>
      </x:c>
      <x:c r="E2065" s="66" t="n">
        <x:v>171.23123145214825</x:v>
      </x:c>
      <x:c r="F2065" s="66" t="n">
        <x:v>171.23123145214825</x:v>
      </x:c>
      <x:c r="G2065" s="66" t="n">
        <x:v>401.3230128632139</x:v>
      </x:c>
      <x:c r="H2065" s="45" t="n">
        <x:v>1</x:v>
      </x:c>
      <x:c r="I2065" s="36" t="str">
        <x:v>generated design-reference observation; not predicted tract behavior</x:v>
      </x:c>
    </x:row>
    <x:row r="2066" ht="75.5999984741211" hidden="0" customHeight="1">
      <x:c r="A2066" s="34" t="str">
        <x:v>B1</x:v>
      </x:c>
      <x:c r="B2066" s="34" t="str">
        <x:v>48201542402</x:v>
      </x:c>
      <x:c r="C2066" s="65" t="n">
        <x:v>411.42250116232526</x:v>
      </x:c>
      <x:c r="D2066" s="65" t="n">
        <x:v>247.58195460308235</x:v>
      </x:c>
      <x:c r="E2066" s="65" t="n">
        <x:v>163.8405465592429</x:v>
      </x:c>
      <x:c r="F2066" s="65" t="n">
        <x:v>163.8405465592429</x:v>
      </x:c>
      <x:c r="G2066" s="65" t="n">
        <x:v>411.42250116232526</x:v>
      </x:c>
      <x:c r="H2066" s="43" t="n">
        <x:v>1</x:v>
      </x:c>
      <x:c r="I2066" s="34" t="str">
        <x:v>generated design-reference observation; not predicted tract behavior</x:v>
      </x:c>
    </x:row>
    <x:row r="2067" ht="75.5999984741211" hidden="0" customHeight="1">
      <x:c r="A2067" s="36" t="str">
        <x:v>B1</x:v>
      </x:c>
      <x:c r="B2067" s="36" t="str">
        <x:v>48201542500</x:v>
      </x:c>
      <x:c r="C2067" s="66" t="n">
        <x:v>314.42811587101426</x:v>
      </x:c>
      <x:c r="D2067" s="66" t="n">
        <x:v>178.97082866896093</x:v>
      </x:c>
      <x:c r="E2067" s="66" t="n">
        <x:v>135.45728720205332</x:v>
      </x:c>
      <x:c r="F2067" s="66" t="n">
        <x:v>135.45728720205332</x:v>
      </x:c>
      <x:c r="G2067" s="66" t="n">
        <x:v>314.42811587101426</x:v>
      </x:c>
      <x:c r="H2067" s="45" t="n">
        <x:v>1</x:v>
      </x:c>
      <x:c r="I2067" s="36" t="str">
        <x:v>generated design-reference observation; not predicted tract behavior</x:v>
      </x:c>
    </x:row>
    <x:row r="2068" ht="75.5999984741211" hidden="0" customHeight="1">
      <x:c r="A2068" s="34" t="str">
        <x:v>B1</x:v>
      </x:c>
      <x:c r="B2068" s="34" t="str">
        <x:v>48201542600</x:v>
      </x:c>
      <x:c r="C2068" s="65" t="n">
        <x:v>492.8078718528306</x:v>
      </x:c>
      <x:c r="D2068" s="65" t="n">
        <x:v>290.828203354397</x:v>
      </x:c>
      <x:c r="E2068" s="65" t="n">
        <x:v>201.97966849843363</x:v>
      </x:c>
      <x:c r="F2068" s="65" t="n">
        <x:v>201.97966849843363</x:v>
      </x:c>
      <x:c r="G2068" s="65" t="n">
        <x:v>492.8078718528306</x:v>
      </x:c>
      <x:c r="H2068" s="43" t="n">
        <x:v>1</x:v>
      </x:c>
      <x:c r="I2068" s="34" t="str">
        <x:v>generated design-reference observation; not predicted tract behavior</x:v>
      </x:c>
    </x:row>
    <x:row r="2069" ht="75.5999984741211" hidden="0" customHeight="1">
      <x:c r="A2069" s="36" t="str">
        <x:v>B1</x:v>
      </x:c>
      <x:c r="B2069" s="36" t="str">
        <x:v>48201542700</x:v>
      </x:c>
      <x:c r="C2069" s="66" t="n">
        <x:v>392.8740245974202</x:v>
      </x:c>
      <x:c r="D2069" s="66" t="n">
        <x:v>237.1102142855033</x:v>
      </x:c>
      <x:c r="E2069" s="66" t="n">
        <x:v>155.7638103119169</x:v>
      </x:c>
      <x:c r="F2069" s="66" t="n">
        <x:v>155.7638103119169</x:v>
      </x:c>
      <x:c r="G2069" s="66" t="n">
        <x:v>392.8740245974202</x:v>
      </x:c>
      <x:c r="H2069" s="45" t="n">
        <x:v>1</x:v>
      </x:c>
      <x:c r="I2069" s="36" t="str">
        <x:v>generated design-reference observation; not predicted tract behavior</x:v>
      </x:c>
    </x:row>
    <x:row r="2070" ht="75.5999984741211" hidden="0" customHeight="1">
      <x:c r="A2070" s="34" t="str">
        <x:v>B1</x:v>
      </x:c>
      <x:c r="B2070" s="34" t="str">
        <x:v>48201542800</x:v>
      </x:c>
      <x:c r="C2070" s="65" t="n">
        <x:v>711.5069857914111</x:v>
      </x:c>
      <x:c r="D2070" s="65" t="n">
        <x:v>434.7307683185522</x:v>
      </x:c>
      <x:c r="E2070" s="65" t="n">
        <x:v>276.77621747285895</x:v>
      </x:c>
      <x:c r="F2070" s="65" t="n">
        <x:v>276.77621747285895</x:v>
      </x:c>
      <x:c r="G2070" s="65" t="n">
        <x:v>711.5069857914111</x:v>
      </x:c>
      <x:c r="H2070" s="43" t="n">
        <x:v>1</x:v>
      </x:c>
      <x:c r="I2070" s="34" t="str">
        <x:v>generated design-reference observation; not predicted tract behavior</x:v>
      </x:c>
    </x:row>
    <x:row r="2071" ht="75.5999984741211" hidden="0" customHeight="1">
      <x:c r="A2071" s="36" t="str">
        <x:v>B1</x:v>
      </x:c>
      <x:c r="B2071" s="36" t="str">
        <x:v>48201542901</x:v>
      </x:c>
      <x:c r="C2071" s="66" t="n">
        <x:v>765.7219821239173</x:v>
      </x:c>
      <x:c r="D2071" s="66" t="n">
        <x:v>459.7573889566202</x:v>
      </x:c>
      <x:c r="E2071" s="66" t="n">
        <x:v>305.9645931672971</x:v>
      </x:c>
      <x:c r="F2071" s="66" t="n">
        <x:v>254.6807024314152</x:v>
      </x:c>
      <x:c r="G2071" s="66" t="n">
        <x:v>714.4380913880354</x:v>
      </x:c>
      <x:c r="H2071" s="45" t="n">
        <x:v>0.9330254427414589</x:v>
      </x:c>
      <x:c r="I2071" s="36" t="str">
        <x:v>generated design-reference observation; not predicted tract behavior</x:v>
      </x:c>
    </x:row>
    <x:row r="2072" ht="75.5999984741211" hidden="0" customHeight="1">
      <x:c r="A2072" s="34" t="str">
        <x:v>B1</x:v>
      </x:c>
      <x:c r="B2072" s="34" t="str">
        <x:v>48201542902</x:v>
      </x:c>
      <x:c r="C2072" s="65" t="n">
        <x:v>3386.421302883821</x:v>
      </x:c>
      <x:c r="D2072" s="65" t="n">
        <x:v>2043.724090151541</x:v>
      </x:c>
      <x:c r="E2072" s="65" t="n">
        <x:v>1342.6972127322801</x:v>
      </x:c>
      <x:c r="F2072" s="65" t="n">
        <x:v>1342.6972127322801</x:v>
      </x:c>
      <x:c r="G2072" s="65" t="n">
        <x:v>3386.421302883821</x:v>
      </x:c>
      <x:c r="H2072" s="43" t="n">
        <x:v>1</x:v>
      </x:c>
      <x:c r="I2072" s="34" t="str">
        <x:v>generated design-reference observation; not predicted tract behavior</x:v>
      </x:c>
    </x:row>
    <x:row r="2073" ht="75.5999984741211" hidden="0" customHeight="1">
      <x:c r="A2073" s="36" t="str">
        <x:v>B1</x:v>
      </x:c>
      <x:c r="B2073" s="36" t="str">
        <x:v>48201543004</x:v>
      </x:c>
      <x:c r="C2073" s="66" t="n">
        <x:v>2565.8915349465665</x:v>
      </x:c>
      <x:c r="D2073" s="66" t="n">
        <x:v>1354.4066969472021</x:v>
      </x:c>
      <x:c r="E2073" s="66" t="n">
        <x:v>1211.4848379993643</x:v>
      </x:c>
      <x:c r="F2073" s="66" t="n">
        <x:v>1211.4848379993643</x:v>
      </x:c>
      <x:c r="G2073" s="66" t="n">
        <x:v>2565.8915349465665</x:v>
      </x:c>
      <x:c r="H2073" s="45" t="n">
        <x:v>1</x:v>
      </x:c>
      <x:c r="I2073" s="36" t="str">
        <x:v>generated design-reference observation; not predicted tract behavior</x:v>
      </x:c>
    </x:row>
    <x:row r="2074" ht="75.5999984741211" hidden="0" customHeight="1">
      <x:c r="A2074" s="34" t="str">
        <x:v>B1</x:v>
      </x:c>
      <x:c r="B2074" s="34" t="str">
        <x:v>48201543005</x:v>
      </x:c>
      <x:c r="C2074" s="65" t="n">
        <x:v>960.4259693876437</x:v>
      </x:c>
      <x:c r="D2074" s="65" t="n">
        <x:v>584.4805901773021</x:v>
      </x:c>
      <x:c r="E2074" s="65" t="n">
        <x:v>375.94537921034157</x:v>
      </x:c>
      <x:c r="F2074" s="65" t="n">
        <x:v>375.94537921034157</x:v>
      </x:c>
      <x:c r="G2074" s="65" t="n">
        <x:v>960.4259693876437</x:v>
      </x:c>
      <x:c r="H2074" s="43" t="n">
        <x:v>1</x:v>
      </x:c>
      <x:c r="I2074" s="34" t="str">
        <x:v>generated design-reference observation; not predicted tract behavior</x:v>
      </x:c>
    </x:row>
    <x:row r="2075" ht="75.5999984741211" hidden="0" customHeight="1">
      <x:c r="A2075" s="36" t="str">
        <x:v>B1</x:v>
      </x:c>
      <x:c r="B2075" s="36" t="str">
        <x:v>48201543006</x:v>
      </x:c>
      <x:c r="C2075" s="66" t="n">
        <x:v>1416.4669881173277</x:v>
      </x:c>
      <x:c r="D2075" s="66" t="n">
        <x:v>846.2156760476859</x:v>
      </x:c>
      <x:c r="E2075" s="66" t="n">
        <x:v>570.2513120696418</x:v>
      </x:c>
      <x:c r="F2075" s="66" t="n">
        <x:v>570.2513120696418</x:v>
      </x:c>
      <x:c r="G2075" s="66" t="n">
        <x:v>1416.4669881173277</x:v>
      </x:c>
      <x:c r="H2075" s="45" t="n">
        <x:v>1</x:v>
      </x:c>
      <x:c r="I2075" s="36" t="str">
        <x:v>generated design-reference observation; not predicted tract behavior</x:v>
      </x:c>
    </x:row>
    <x:row r="2076" ht="75.5999984741211" hidden="0" customHeight="1">
      <x:c r="A2076" s="34" t="str">
        <x:v>B1</x:v>
      </x:c>
      <x:c r="B2076" s="34" t="str">
        <x:v>48201543007</x:v>
      </x:c>
      <x:c r="C2076" s="65" t="n">
        <x:v>1876.1076688244377</x:v>
      </x:c>
      <x:c r="D2076" s="65" t="n">
        <x:v>1138.9365099823333</x:v>
      </x:c>
      <x:c r="E2076" s="65" t="n">
        <x:v>737.1711588421044</x:v>
      </x:c>
      <x:c r="F2076" s="65" t="n">
        <x:v>737.1711588421044</x:v>
      </x:c>
      <x:c r="G2076" s="65" t="n">
        <x:v>1876.1076688244377</x:v>
      </x:c>
      <x:c r="H2076" s="43" t="n">
        <x:v>1</x:v>
      </x:c>
      <x:c r="I2076" s="34" t="str">
        <x:v>generated design-reference observation; not predicted tract behavior</x:v>
      </x:c>
    </x:row>
    <x:row r="2077" ht="75.5999984741211" hidden="0" customHeight="1">
      <x:c r="A2077" s="36" t="str">
        <x:v>B1</x:v>
      </x:c>
      <x:c r="B2077" s="36" t="str">
        <x:v>48201543008</x:v>
      </x:c>
      <x:c r="C2077" s="66" t="n">
        <x:v>419.50602156359855</x:v>
      </x:c>
      <x:c r="D2077" s="66" t="n">
        <x:v>253.60080955694218</x:v>
      </x:c>
      <x:c r="E2077" s="66" t="n">
        <x:v>165.90521200665637</x:v>
      </x:c>
      <x:c r="F2077" s="66" t="n">
        <x:v>165.90521200665637</x:v>
      </x:c>
      <x:c r="G2077" s="66" t="n">
        <x:v>419.50602156359855</x:v>
      </x:c>
      <x:c r="H2077" s="45" t="n">
        <x:v>1</x:v>
      </x:c>
      <x:c r="I2077" s="36" t="str">
        <x:v>generated design-reference observation; not predicted tract behavior</x:v>
      </x:c>
    </x:row>
    <x:row r="2078" ht="75.5999984741211" hidden="0" customHeight="1">
      <x:c r="A2078" s="34" t="str">
        <x:v>B1</x:v>
      </x:c>
      <x:c r="B2078" s="34" t="str">
        <x:v>48201543009</x:v>
      </x:c>
      <x:c r="C2078" s="65" t="n">
        <x:v>422.4729918615867</x:v>
      </x:c>
      <x:c r="D2078" s="65" t="n">
        <x:v>258.1309980274295</x:v>
      </x:c>
      <x:c r="E2078" s="65" t="n">
        <x:v>164.34199383415722</x:v>
      </x:c>
      <x:c r="F2078" s="65" t="n">
        <x:v>164.34199383415722</x:v>
      </x:c>
      <x:c r="G2078" s="65" t="n">
        <x:v>422.4729918615867</x:v>
      </x:c>
      <x:c r="H2078" s="43" t="n">
        <x:v>1</x:v>
      </x:c>
      <x:c r="I2078" s="34" t="str">
        <x:v>generated design-reference observation; not predicted tract behavior</x:v>
      </x:c>
    </x:row>
    <x:row r="2079" ht="75.5999984741211" hidden="0" customHeight="1">
      <x:c r="A2079" s="36" t="str">
        <x:v>B1</x:v>
      </x:c>
      <x:c r="B2079" s="36" t="str">
        <x:v>48201543010</x:v>
      </x:c>
      <x:c r="C2079" s="66" t="n">
        <x:v>444.75474231137724</x:v>
      </x:c>
      <x:c r="D2079" s="66" t="n">
        <x:v>271.74514755225147</x:v>
      </x:c>
      <x:c r="E2079" s="66" t="n">
        <x:v>173.00959475912578</x:v>
      </x:c>
      <x:c r="F2079" s="66" t="n">
        <x:v>173.00959475912578</x:v>
      </x:c>
      <x:c r="G2079" s="66" t="n">
        <x:v>444.75474231137724</x:v>
      </x:c>
      <x:c r="H2079" s="45" t="n">
        <x:v>1</x:v>
      </x:c>
      <x:c r="I2079" s="36" t="str">
        <x:v>generated design-reference observation; not predicted tract behavior</x:v>
      </x:c>
    </x:row>
    <x:row r="2080" ht="75.5999984741211" hidden="0" customHeight="1">
      <x:c r="A2080" s="34" t="str">
        <x:v>B1</x:v>
      </x:c>
      <x:c r="B2080" s="34" t="str">
        <x:v>48201543011</x:v>
      </x:c>
      <x:c r="C2080" s="65" t="n">
        <x:v>331.27893525879256</x:v>
      </x:c>
      <x:c r="D2080" s="65" t="n">
        <x:v>202.41142944312224</x:v>
      </x:c>
      <x:c r="E2080" s="65" t="n">
        <x:v>128.8675058156703</x:v>
      </x:c>
      <x:c r="F2080" s="65" t="n">
        <x:v>128.8675058156703</x:v>
      </x:c>
      <x:c r="G2080" s="65" t="n">
        <x:v>331.27893525879256</x:v>
      </x:c>
      <x:c r="H2080" s="43" t="n">
        <x:v>1</x:v>
      </x:c>
      <x:c r="I2080" s="34" t="str">
        <x:v>generated design-reference observation; not predicted tract behavior</x:v>
      </x:c>
    </x:row>
    <x:row r="2081" ht="75.5999984741211" hidden="0" customHeight="1">
      <x:c r="A2081" s="36" t="str">
        <x:v>B1</x:v>
      </x:c>
      <x:c r="B2081" s="36" t="str">
        <x:v>48201543100</x:v>
      </x:c>
      <x:c r="C2081" s="66" t="n">
        <x:v>796.5990289010631</x:v>
      </x:c>
      <x:c r="D2081" s="66" t="n">
        <x:v>233.00521595356093</x:v>
      </x:c>
      <x:c r="E2081" s="66" t="n">
        <x:v>563.5938129475021</x:v>
      </x:c>
      <x:c r="F2081" s="66" t="n">
        <x:v>563.5938129475021</x:v>
      </x:c>
      <x:c r="G2081" s="66" t="n">
        <x:v>796.5990289010631</x:v>
      </x:c>
      <x:c r="H2081" s="45" t="n">
        <x:v>1</x:v>
      </x:c>
      <x:c r="I2081" s="36" t="str">
        <x:v>generated design-reference observation; not predicted tract behavior</x:v>
      </x:c>
    </x:row>
    <x:row r="2082" ht="75.5999984741211" hidden="0" customHeight="1">
      <x:c r="A2082" s="34" t="str">
        <x:v>B1</x:v>
      </x:c>
      <x:c r="B2082" s="34" t="str">
        <x:v>48201543201</x:v>
      </x:c>
      <x:c r="C2082" s="65" t="n">
        <x:v>533.1822464773719</x:v>
      </x:c>
      <x:c r="D2082" s="65" t="n">
        <x:v>304.5528860559086</x:v>
      </x:c>
      <x:c r="E2082" s="65" t="n">
        <x:v>228.62936042146333</x:v>
      </x:c>
      <x:c r="F2082" s="65" t="n">
        <x:v>228.62936042146333</x:v>
      </x:c>
      <x:c r="G2082" s="65" t="n">
        <x:v>533.1822464773719</x:v>
      </x:c>
      <x:c r="H2082" s="43" t="n">
        <x:v>1</x:v>
      </x:c>
      <x:c r="I2082" s="34" t="str">
        <x:v>generated design-reference observation; not predicted tract behavior</x:v>
      </x:c>
    </x:row>
    <x:row r="2083" ht="75.5999984741211" hidden="0" customHeight="1">
      <x:c r="A2083" s="36" t="str">
        <x:v>B1</x:v>
      </x:c>
      <x:c r="B2083" s="36" t="str">
        <x:v>48201543202</x:v>
      </x:c>
      <x:c r="C2083" s="66" t="n">
        <x:v>673.8272187304217</x:v>
      </x:c>
      <x:c r="D2083" s="66" t="n">
        <x:v>181.73590947777114</x:v>
      </x:c>
      <x:c r="E2083" s="66" t="n">
        <x:v>492.09130925265055</x:v>
      </x:c>
      <x:c r="F2083" s="66" t="n">
        <x:v>492.09130925265055</x:v>
      </x:c>
      <x:c r="G2083" s="66" t="n">
        <x:v>673.8272187304217</x:v>
      </x:c>
      <x:c r="H2083" s="45" t="n">
        <x:v>1</x:v>
      </x:c>
      <x:c r="I2083" s="36" t="str">
        <x:v>generated design-reference observation; not predicted tract behavior</x:v>
      </x:c>
    </x:row>
    <x:row r="2084" ht="75.5999984741211" hidden="0" customHeight="1">
      <x:c r="A2084" s="34" t="str">
        <x:v>B1</x:v>
      </x:c>
      <x:c r="B2084" s="34" t="str">
        <x:v>48201550101</x:v>
      </x:c>
      <x:c r="C2084" s="65" t="n">
        <x:v>348.8286477009719</x:v>
      </x:c>
      <x:c r="D2084" s="65" t="n">
        <x:v>166.0011519730692</x:v>
      </x:c>
      <x:c r="E2084" s="65" t="n">
        <x:v>182.8274957279027</x:v>
      </x:c>
      <x:c r="F2084" s="65" t="n">
        <x:v>182.8274957279027</x:v>
      </x:c>
      <x:c r="G2084" s="65" t="n">
        <x:v>348.8286477009719</x:v>
      </x:c>
      <x:c r="H2084" s="43" t="n">
        <x:v>1</x:v>
      </x:c>
      <x:c r="I2084" s="34" t="str">
        <x:v>generated design-reference observation; not predicted tract behavior</x:v>
      </x:c>
    </x:row>
    <x:row r="2085" ht="75.5999984741211" hidden="0" customHeight="1">
      <x:c r="A2085" s="36" t="str">
        <x:v>B1</x:v>
      </x:c>
      <x:c r="B2085" s="36" t="str">
        <x:v>48201550102</x:v>
      </x:c>
      <x:c r="C2085" s="66" t="n">
        <x:v>332.1422737377587</x:v>
      </x:c>
      <x:c r="D2085" s="66" t="n">
        <x:v>164.84029965447488</x:v>
      </x:c>
      <x:c r="E2085" s="66" t="n">
        <x:v>167.30197408328385</x:v>
      </x:c>
      <x:c r="F2085" s="66" t="n">
        <x:v>167.30197408328385</x:v>
      </x:c>
      <x:c r="G2085" s="66" t="n">
        <x:v>332.1422737377587</x:v>
      </x:c>
      <x:c r="H2085" s="45" t="n">
        <x:v>1</x:v>
      </x:c>
      <x:c r="I2085" s="36" t="str">
        <x:v>generated design-reference observation; not predicted tract behavior</x:v>
      </x:c>
    </x:row>
    <x:row r="2086" ht="75.5999984741211" hidden="0" customHeight="1">
      <x:c r="A2086" s="34" t="str">
        <x:v>B1</x:v>
      </x:c>
      <x:c r="B2086" s="34" t="str">
        <x:v>48201550201</x:v>
      </x:c>
      <x:c r="C2086" s="65" t="n">
        <x:v>337.4468478375135</x:v>
      </x:c>
      <x:c r="D2086" s="65" t="n">
        <x:v>95.92505791968685</x:v>
      </x:c>
      <x:c r="E2086" s="65" t="n">
        <x:v>241.52178991782662</x:v>
      </x:c>
      <x:c r="F2086" s="65" t="n">
        <x:v>241.52178991782662</x:v>
      </x:c>
      <x:c r="G2086" s="65" t="n">
        <x:v>337.4468478375135</x:v>
      </x:c>
      <x:c r="H2086" s="43" t="n">
        <x:v>1</x:v>
      </x:c>
      <x:c r="I2086" s="34" t="str">
        <x:v>generated design-reference observation; not predicted tract behavior</x:v>
      </x:c>
    </x:row>
    <x:row r="2087" ht="75.5999984741211" hidden="0" customHeight="1">
      <x:c r="A2087" s="36" t="str">
        <x:v>B1</x:v>
      </x:c>
      <x:c r="B2087" s="36" t="str">
        <x:v>48201550202</x:v>
      </x:c>
      <x:c r="C2087" s="66" t="n">
        <x:v>325.12009136157326</x:v>
      </x:c>
      <x:c r="D2087" s="66" t="n">
        <x:v>163.41811579532953</x:v>
      </x:c>
      <x:c r="E2087" s="66" t="n">
        <x:v>161.70197556624373</x:v>
      </x:c>
      <x:c r="F2087" s="66" t="n">
        <x:v>161.70197556624373</x:v>
      </x:c>
      <x:c r="G2087" s="66" t="n">
        <x:v>325.12009136157326</x:v>
      </x:c>
      <x:c r="H2087" s="45" t="n">
        <x:v>1</x:v>
      </x:c>
      <x:c r="I2087" s="36" t="str">
        <x:v>generated design-reference observation; not predicted tract behavior</x:v>
      </x:c>
    </x:row>
    <x:row r="2088" ht="75.5999984741211" hidden="0" customHeight="1">
      <x:c r="A2088" s="34" t="str">
        <x:v>B1</x:v>
      </x:c>
      <x:c r="B2088" s="34" t="str">
        <x:v>48201550303</x:v>
      </x:c>
      <x:c r="C2088" s="65" t="n">
        <x:v>277.20148059572904</x:v>
      </x:c>
      <x:c r="D2088" s="65" t="n">
        <x:v>158.62629097978484</x:v>
      </x:c>
      <x:c r="E2088" s="65" t="n">
        <x:v>118.5751896159442</x:v>
      </x:c>
      <x:c r="F2088" s="65" t="n">
        <x:v>118.5751896159442</x:v>
      </x:c>
      <x:c r="G2088" s="65" t="n">
        <x:v>277.20148059572904</x:v>
      </x:c>
      <x:c r="H2088" s="43" t="n">
        <x:v>1</x:v>
      </x:c>
      <x:c r="I2088" s="34" t="str">
        <x:v>generated design-reference observation; not predicted tract behavior</x:v>
      </x:c>
    </x:row>
    <x:row r="2089" ht="75.5999984741211" hidden="0" customHeight="1">
      <x:c r="A2089" s="36" t="str">
        <x:v>B1</x:v>
      </x:c>
      <x:c r="B2089" s="36" t="str">
        <x:v>48201550304</x:v>
      </x:c>
      <x:c r="C2089" s="66" t="n">
        <x:v>130.067262149413</x:v>
      </x:c>
      <x:c r="D2089" s="66" t="n">
        <x:v>75.61635292501875</x:v>
      </x:c>
      <x:c r="E2089" s="66" t="n">
        <x:v>54.450909224394266</x:v>
      </x:c>
      <x:c r="F2089" s="66" t="n">
        <x:v>54.450909224394266</x:v>
      </x:c>
      <x:c r="G2089" s="66" t="n">
        <x:v>130.067262149413</x:v>
      </x:c>
      <x:c r="H2089" s="45" t="n">
        <x:v>1</x:v>
      </x:c>
      <x:c r="I2089" s="36" t="str">
        <x:v>generated design-reference observation; not predicted tract behavior</x:v>
      </x:c>
    </x:row>
    <x:row r="2090" ht="75.5999984741211" hidden="0" customHeight="1">
      <x:c r="A2090" s="34" t="str">
        <x:v>B1</x:v>
      </x:c>
      <x:c r="B2090" s="34" t="str">
        <x:v>48201550305</x:v>
      </x:c>
      <x:c r="C2090" s="65" t="n">
        <x:v>261.6042552808757</x:v>
      </x:c>
      <x:c r="D2090" s="65" t="n">
        <x:v>153.92214959731555</x:v>
      </x:c>
      <x:c r="E2090" s="65" t="n">
        <x:v>107.68210568356014</x:v>
      </x:c>
      <x:c r="F2090" s="65" t="n">
        <x:v>107.68210568356014</x:v>
      </x:c>
      <x:c r="G2090" s="65" t="n">
        <x:v>261.6042552808757</x:v>
      </x:c>
      <x:c r="H2090" s="43" t="n">
        <x:v>1</x:v>
      </x:c>
      <x:c r="I2090" s="34" t="str">
        <x:v>generated design-reference observation; not predicted tract behavior</x:v>
      </x:c>
    </x:row>
    <x:row r="2091" ht="75.5999984741211" hidden="0" customHeight="1">
      <x:c r="A2091" s="36" t="str">
        <x:v>B1</x:v>
      </x:c>
      <x:c r="B2091" s="36" t="str">
        <x:v>48201550306</x:v>
      </x:c>
      <x:c r="C2091" s="66" t="n">
        <x:v>410.28679994892326</x:v>
      </x:c>
      <x:c r="D2091" s="66" t="n">
        <x:v>244.7728471563206</x:v>
      </x:c>
      <x:c r="E2091" s="66" t="n">
        <x:v>165.51395279260265</x:v>
      </x:c>
      <x:c r="F2091" s="66" t="n">
        <x:v>165.51395279260265</x:v>
      </x:c>
      <x:c r="G2091" s="66" t="n">
        <x:v>410.28679994892326</x:v>
      </x:c>
      <x:c r="H2091" s="45" t="n">
        <x:v>1</x:v>
      </x:c>
      <x:c r="I2091" s="36" t="str">
        <x:v>generated design-reference observation; not predicted tract behavior</x:v>
      </x:c>
    </x:row>
    <x:row r="2092" ht="75.5999984741211" hidden="0" customHeight="1">
      <x:c r="A2092" s="34" t="str">
        <x:v>B1</x:v>
      </x:c>
      <x:c r="B2092" s="34" t="str">
        <x:v>48201550307</x:v>
      </x:c>
      <x:c r="C2092" s="65" t="n">
        <x:v>228.9479331930872</x:v>
      </x:c>
      <x:c r="D2092" s="65" t="n">
        <x:v>129.61058687903326</x:v>
      </x:c>
      <x:c r="E2092" s="65" t="n">
        <x:v>99.33734631405395</x:v>
      </x:c>
      <x:c r="F2092" s="65" t="n">
        <x:v>99.33734631405395</x:v>
      </x:c>
      <x:c r="G2092" s="65" t="n">
        <x:v>228.9479331930872</x:v>
      </x:c>
      <x:c r="H2092" s="43" t="n">
        <x:v>1</x:v>
      </x:c>
      <x:c r="I2092" s="34" t="str">
        <x:v>generated design-reference observation; not predicted tract behavior</x:v>
      </x:c>
    </x:row>
    <x:row r="2093" ht="75.5999984741211" hidden="0" customHeight="1">
      <x:c r="A2093" s="36" t="str">
        <x:v>B1</x:v>
      </x:c>
      <x:c r="B2093" s="36" t="str">
        <x:v>48201550308</x:v>
      </x:c>
      <x:c r="C2093" s="66" t="n">
        <x:v>247.01697879593337</x:v>
      </x:c>
      <x:c r="D2093" s="66" t="n">
        <x:v>139.25854316970265</x:v>
      </x:c>
      <x:c r="E2093" s="66" t="n">
        <x:v>107.75843562623072</x:v>
      </x:c>
      <x:c r="F2093" s="66" t="n">
        <x:v>107.75843562623072</x:v>
      </x:c>
      <x:c r="G2093" s="66" t="n">
        <x:v>247.01697879593337</x:v>
      </x:c>
      <x:c r="H2093" s="45" t="n">
        <x:v>1</x:v>
      </x:c>
      <x:c r="I2093" s="36" t="str">
        <x:v>generated design-reference observation; not predicted tract behavior</x:v>
      </x:c>
    </x:row>
    <x:row r="2094" ht="75.5999984741211" hidden="0" customHeight="1">
      <x:c r="A2094" s="34" t="str">
        <x:v>B1</x:v>
      </x:c>
      <x:c r="B2094" s="34" t="str">
        <x:v>48201550403</x:v>
      </x:c>
      <x:c r="C2094" s="65" t="n">
        <x:v>243.3623001507296</x:v>
      </x:c>
      <x:c r="D2094" s="65" t="n">
        <x:v>143.3164600447928</x:v>
      </x:c>
      <x:c r="E2094" s="65" t="n">
        <x:v>100.0458401059368</x:v>
      </x:c>
      <x:c r="F2094" s="65" t="n">
        <x:v>100.0458401059368</x:v>
      </x:c>
      <x:c r="G2094" s="65" t="n">
        <x:v>243.3623001507296</x:v>
      </x:c>
      <x:c r="H2094" s="43" t="n">
        <x:v>1</x:v>
      </x:c>
      <x:c r="I2094" s="34" t="str">
        <x:v>generated design-reference observation; not predicted tract behavior</x:v>
      </x:c>
    </x:row>
    <x:row r="2095" ht="75.5999984741211" hidden="0" customHeight="1">
      <x:c r="A2095" s="36" t="str">
        <x:v>B1</x:v>
      </x:c>
      <x:c r="B2095" s="36" t="str">
        <x:v>48201550404</x:v>
      </x:c>
      <x:c r="C2095" s="66" t="n">
        <x:v>503.88194112399634</x:v>
      </x:c>
      <x:c r="D2095" s="66" t="n">
        <x:v>306.6695770101998</x:v>
      </x:c>
      <x:c r="E2095" s="66" t="n">
        <x:v>197.21236411379653</x:v>
      </x:c>
      <x:c r="F2095" s="66" t="n">
        <x:v>197.21236411379653</x:v>
      </x:c>
      <x:c r="G2095" s="66" t="n">
        <x:v>503.88194112399634</x:v>
      </x:c>
      <x:c r="H2095" s="45" t="n">
        <x:v>1</x:v>
      </x:c>
      <x:c r="I2095" s="36" t="str">
        <x:v>generated design-reference observation; not predicted tract behavior</x:v>
      </x:c>
    </x:row>
    <x:row r="2096" ht="75.5999984741211" hidden="0" customHeight="1">
      <x:c r="A2096" s="34" t="str">
        <x:v>B1</x:v>
      </x:c>
      <x:c r="B2096" s="34" t="str">
        <x:v>48201550405</x:v>
      </x:c>
      <x:c r="C2096" s="65" t="n">
        <x:v>575.3407330426901</x:v>
      </x:c>
      <x:c r="D2096" s="65" t="n">
        <x:v>335.97838348632274</x:v>
      </x:c>
      <x:c r="E2096" s="65" t="n">
        <x:v>239.36234955636735</x:v>
      </x:c>
      <x:c r="F2096" s="65" t="n">
        <x:v>239.36234955636735</x:v>
      </x:c>
      <x:c r="G2096" s="65" t="n">
        <x:v>575.3407330426901</x:v>
      </x:c>
      <x:c r="H2096" s="43" t="n">
        <x:v>1</x:v>
      </x:c>
      <x:c r="I2096" s="34" t="str">
        <x:v>generated design-reference observation; not predicted tract behavior</x:v>
      </x:c>
    </x:row>
    <x:row r="2097" ht="75.5999984741211" hidden="0" customHeight="1">
      <x:c r="A2097" s="36" t="str">
        <x:v>B1</x:v>
      </x:c>
      <x:c r="B2097" s="36" t="str">
        <x:v>48201550406</x:v>
      </x:c>
      <x:c r="C2097" s="66" t="n">
        <x:v>344.76194862620554</x:v>
      </x:c>
      <x:c r="D2097" s="66" t="n">
        <x:v>198.17241489910327</x:v>
      </x:c>
      <x:c r="E2097" s="66" t="n">
        <x:v>146.58953372710226</x:v>
      </x:c>
      <x:c r="F2097" s="66" t="n">
        <x:v>146.58953372710226</x:v>
      </x:c>
      <x:c r="G2097" s="66" t="n">
        <x:v>344.76194862620554</x:v>
      </x:c>
      <x:c r="H2097" s="45" t="n">
        <x:v>1</x:v>
      </x:c>
      <x:c r="I2097" s="36" t="str">
        <x:v>generated design-reference observation; not predicted tract behavior</x:v>
      </x:c>
    </x:row>
    <x:row r="2098" ht="75.5999984741211" hidden="0" customHeight="1">
      <x:c r="A2098" s="34" t="str">
        <x:v>B1</x:v>
      </x:c>
      <x:c r="B2098" s="34" t="str">
        <x:v>48201550407</x:v>
      </x:c>
      <x:c r="C2098" s="65" t="n">
        <x:v>503.19030301479654</x:v>
      </x:c>
      <x:c r="D2098" s="65" t="n">
        <x:v>307.0898955100804</x:v>
      </x:c>
      <x:c r="E2098" s="65" t="n">
        <x:v>196.10040750471615</x:v>
      </x:c>
      <x:c r="F2098" s="65" t="n">
        <x:v>196.10040750471615</x:v>
      </x:c>
      <x:c r="G2098" s="65" t="n">
        <x:v>503.19030301479654</x:v>
      </x:c>
      <x:c r="H2098" s="43" t="n">
        <x:v>1</x:v>
      </x:c>
      <x:c r="I2098" s="34" t="str">
        <x:v>generated design-reference observation; not predicted tract behavior</x:v>
      </x:c>
    </x:row>
    <x:row r="2099" ht="75.5999984741211" hidden="0" customHeight="1">
      <x:c r="A2099" s="36" t="str">
        <x:v>B1</x:v>
      </x:c>
      <x:c r="B2099" s="36" t="str">
        <x:v>48201550500</x:v>
      </x:c>
      <x:c r="C2099" s="66" t="n">
        <x:v>521.8055855334312</x:v>
      </x:c>
      <x:c r="D2099" s="66" t="n">
        <x:v>310.7988291032021</x:v>
      </x:c>
      <x:c r="E2099" s="66" t="n">
        <x:v>211.00675643022913</x:v>
      </x:c>
      <x:c r="F2099" s="66" t="n">
        <x:v>211.00675643022913</x:v>
      </x:c>
      <x:c r="G2099" s="66" t="n">
        <x:v>521.8055855334312</x:v>
      </x:c>
      <x:c r="H2099" s="45" t="n">
        <x:v>1</x:v>
      </x:c>
      <x:c r="I2099" s="36" t="str">
        <x:v>generated design-reference observation; not predicted tract behavior</x:v>
      </x:c>
    </x:row>
    <x:row r="2100" ht="75.5999984741211" hidden="0" customHeight="1">
      <x:c r="A2100" s="34" t="str">
        <x:v>B1</x:v>
      </x:c>
      <x:c r="B2100" s="34" t="str">
        <x:v>48201550601</x:v>
      </x:c>
      <x:c r="C2100" s="65" t="n">
        <x:v>573.5094639581043</x:v>
      </x:c>
      <x:c r="D2100" s="65" t="n">
        <x:v>345.99464287957505</x:v>
      </x:c>
      <x:c r="E2100" s="65" t="n">
        <x:v>227.51482107852928</x:v>
      </x:c>
      <x:c r="F2100" s="65" t="n">
        <x:v>227.51482107852928</x:v>
      </x:c>
      <x:c r="G2100" s="65" t="n">
        <x:v>573.5094639581043</x:v>
      </x:c>
      <x:c r="H2100" s="43" t="n">
        <x:v>1</x:v>
      </x:c>
      <x:c r="I2100" s="34" t="str">
        <x:v>generated design-reference observation; not predicted tract behavior</x:v>
      </x:c>
    </x:row>
    <x:row r="2101" ht="75.5999984741211" hidden="0" customHeight="1">
      <x:c r="A2101" s="36" t="str">
        <x:v>B1</x:v>
      </x:c>
      <x:c r="B2101" s="36" t="str">
        <x:v>48201550602</x:v>
      </x:c>
      <x:c r="C2101" s="66" t="n">
        <x:v>375.38779292575293</x:v>
      </x:c>
      <x:c r="D2101" s="66" t="n">
        <x:v>200.08169362942635</x:v>
      </x:c>
      <x:c r="E2101" s="66" t="n">
        <x:v>175.30609929632658</x:v>
      </x:c>
      <x:c r="F2101" s="66" t="n">
        <x:v>175.30609929632658</x:v>
      </x:c>
      <x:c r="G2101" s="66" t="n">
        <x:v>375.38779292575293</x:v>
      </x:c>
      <x:c r="H2101" s="45" t="n">
        <x:v>1</x:v>
      </x:c>
      <x:c r="I2101" s="36" t="str">
        <x:v>generated design-reference observation; not predicted tract behavior</x:v>
      </x:c>
    </x:row>
    <x:row r="2102" ht="75.5999984741211" hidden="0" customHeight="1">
      <x:c r="A2102" s="34" t="str">
        <x:v>B1</x:v>
      </x:c>
      <x:c r="B2102" s="34" t="str">
        <x:v>48201550603</x:v>
      </x:c>
      <x:c r="C2102" s="65" t="n">
        <x:v>401.55093905829114</x:v>
      </x:c>
      <x:c r="D2102" s="65" t="n">
        <x:v>239.78681834429707</x:v>
      </x:c>
      <x:c r="E2102" s="65" t="n">
        <x:v>161.76412071399406</x:v>
      </x:c>
      <x:c r="F2102" s="65" t="n">
        <x:v>161.76412071399406</x:v>
      </x:c>
      <x:c r="G2102" s="65" t="n">
        <x:v>401.55093905829114</x:v>
      </x:c>
      <x:c r="H2102" s="43" t="n">
        <x:v>1</x:v>
      </x:c>
      <x:c r="I2102" s="34" t="str">
        <x:v>generated design-reference observation; not predicted tract behavior</x:v>
      </x:c>
    </x:row>
    <x:row r="2103" ht="75.5999984741211" hidden="0" customHeight="1">
      <x:c r="A2103" s="36" t="str">
        <x:v>B1</x:v>
      </x:c>
      <x:c r="B2103" s="36" t="str">
        <x:v>48201550700</x:v>
      </x:c>
      <x:c r="C2103" s="66" t="n">
        <x:v>407.5634748939488</x:v>
      </x:c>
      <x:c r="D2103" s="66" t="n">
        <x:v>249.02128316020273</x:v>
      </x:c>
      <x:c r="E2103" s="66" t="n">
        <x:v>158.54219173374608</x:v>
      </x:c>
      <x:c r="F2103" s="66" t="n">
        <x:v>158.54219173374608</x:v>
      </x:c>
      <x:c r="G2103" s="66" t="n">
        <x:v>407.5634748939488</x:v>
      </x:c>
      <x:c r="H2103" s="45" t="n">
        <x:v>1</x:v>
      </x:c>
      <x:c r="I2103" s="36" t="str">
        <x:v>generated design-reference observation; not predicted tract behavior</x:v>
      </x:c>
    </x:row>
    <x:row r="2104" ht="75.5999984741211" hidden="0" customHeight="1">
      <x:c r="A2104" s="34" t="str">
        <x:v>B1</x:v>
      </x:c>
      <x:c r="B2104" s="34" t="str">
        <x:v>48201550800</x:v>
      </x:c>
      <x:c r="C2104" s="65" t="n">
        <x:v>627.9009972905112</x:v>
      </x:c>
      <x:c r="D2104" s="65" t="n">
        <x:v>181.14413766024202</x:v>
      </x:c>
      <x:c r="E2104" s="65" t="n">
        <x:v>446.7568596302692</x:v>
      </x:c>
      <x:c r="F2104" s="65" t="n">
        <x:v>446.7568596302692</x:v>
      </x:c>
      <x:c r="G2104" s="65" t="n">
        <x:v>627.9009972905112</x:v>
      </x:c>
      <x:c r="H2104" s="43" t="n">
        <x:v>1</x:v>
      </x:c>
      <x:c r="I2104" s="34" t="str">
        <x:v>generated design-reference observation; not predicted tract behavior</x:v>
      </x:c>
    </x:row>
    <x:row r="2105" ht="75.5999984741211" hidden="0" customHeight="1">
      <x:c r="A2105" s="36" t="str">
        <x:v>B1</x:v>
      </x:c>
      <x:c r="B2105" s="36" t="str">
        <x:v>48201550901</x:v>
      </x:c>
      <x:c r="C2105" s="66" t="n">
        <x:v>973.7865555547831</x:v>
      </x:c>
      <x:c r="D2105" s="66" t="n">
        <x:v>284.83256749977403</x:v>
      </x:c>
      <x:c r="E2105" s="66" t="n">
        <x:v>688.9539880550092</x:v>
      </x:c>
      <x:c r="F2105" s="66" t="n">
        <x:v>688.9539880550092</x:v>
      </x:c>
      <x:c r="G2105" s="66" t="n">
        <x:v>973.7865555547831</x:v>
      </x:c>
      <x:c r="H2105" s="45" t="n">
        <x:v>1</x:v>
      </x:c>
      <x:c r="I2105" s="36" t="str">
        <x:v>generated design-reference observation; not predicted tract behavior</x:v>
      </x:c>
    </x:row>
    <x:row r="2106" ht="75.5999984741211" hidden="0" customHeight="1">
      <x:c r="A2106" s="34" t="str">
        <x:v>B1</x:v>
      </x:c>
      <x:c r="B2106" s="34" t="str">
        <x:v>48201550902</x:v>
      </x:c>
      <x:c r="C2106" s="65" t="n">
        <x:v>361.49094539247693</x:v>
      </x:c>
      <x:c r="D2106" s="65" t="n">
        <x:v>217.7201247349284</x:v>
      </x:c>
      <x:c r="E2106" s="65" t="n">
        <x:v>143.77082065754854</x:v>
      </x:c>
      <x:c r="F2106" s="65" t="n">
        <x:v>143.77082065754854</x:v>
      </x:c>
      <x:c r="G2106" s="65" t="n">
        <x:v>361.49094539247693</x:v>
      </x:c>
      <x:c r="H2106" s="43" t="n">
        <x:v>1</x:v>
      </x:c>
      <x:c r="I2106" s="34" t="str">
        <x:v>generated design-reference observation; not predicted tract behavior</x:v>
      </x:c>
    </x:row>
    <x:row r="2107" ht="75.5999984741211" hidden="0" customHeight="1">
      <x:c r="A2107" s="36" t="str">
        <x:v>B1</x:v>
      </x:c>
      <x:c r="B2107" s="36" t="str">
        <x:v>48201551000</x:v>
      </x:c>
      <x:c r="C2107" s="66" t="n">
        <x:v>295.3766297721457</x:v>
      </x:c>
      <x:c r="D2107" s="66" t="n">
        <x:v>178.16253915640564</x:v>
      </x:c>
      <x:c r="E2107" s="66" t="n">
        <x:v>117.21409061574005</x:v>
      </x:c>
      <x:c r="F2107" s="66" t="n">
        <x:v>117.21409061574005</x:v>
      </x:c>
      <x:c r="G2107" s="66" t="n">
        <x:v>295.3766297721457</x:v>
      </x:c>
      <x:c r="H2107" s="45" t="n">
        <x:v>1</x:v>
      </x:c>
      <x:c r="I2107" s="36" t="str">
        <x:v>generated design-reference observation; not predicted tract behavior</x:v>
      </x:c>
    </x:row>
    <x:row r="2108" ht="75.5999984741211" hidden="0" customHeight="1">
      <x:c r="A2108" s="34" t="str">
        <x:v>B1</x:v>
      </x:c>
      <x:c r="B2108" s="34" t="str">
        <x:v>48201551101</x:v>
      </x:c>
      <x:c r="C2108" s="65" t="n">
        <x:v>301.7035465665307</x:v>
      </x:c>
      <x:c r="D2108" s="65" t="n">
        <x:v>172.81956276764086</x:v>
      </x:c>
      <x:c r="E2108" s="65" t="n">
        <x:v>128.88398379888983</x:v>
      </x:c>
      <x:c r="F2108" s="65" t="n">
        <x:v>128.88398379888983</x:v>
      </x:c>
      <x:c r="G2108" s="65" t="n">
        <x:v>301.7035465665307</x:v>
      </x:c>
      <x:c r="H2108" s="43" t="n">
        <x:v>1</x:v>
      </x:c>
      <x:c r="I2108" s="34" t="str">
        <x:v>generated design-reference observation; not predicted tract behavior</x:v>
      </x:c>
    </x:row>
    <x:row r="2109" ht="75.5999984741211" hidden="0" customHeight="1">
      <x:c r="A2109" s="36" t="str">
        <x:v>B1</x:v>
      </x:c>
      <x:c r="B2109" s="36" t="str">
        <x:v>48201551102</x:v>
      </x:c>
      <x:c r="C2109" s="66" t="n">
        <x:v>525.2244784595895</x:v>
      </x:c>
      <x:c r="D2109" s="66" t="n">
        <x:v>320.91215633880915</x:v>
      </x:c>
      <x:c r="E2109" s="66" t="n">
        <x:v>204.31232212078032</x:v>
      </x:c>
      <x:c r="F2109" s="66" t="n">
        <x:v>204.31232212078032</x:v>
      </x:c>
      <x:c r="G2109" s="66" t="n">
        <x:v>525.2244784595895</x:v>
      </x:c>
      <x:c r="H2109" s="45" t="n">
        <x:v>1</x:v>
      </x:c>
      <x:c r="I2109" s="36" t="str">
        <x:v>generated design-reference observation; not predicted tract behavior</x:v>
      </x:c>
    </x:row>
    <x:row r="2110" ht="75.5999984741211" hidden="0" customHeight="1">
      <x:c r="A2110" s="34" t="str">
        <x:v>B1</x:v>
      </x:c>
      <x:c r="B2110" s="34" t="str">
        <x:v>48201551201</x:v>
      </x:c>
      <x:c r="C2110" s="65" t="n">
        <x:v>395.77418894167863</x:v>
      </x:c>
      <x:c r="D2110" s="65" t="n">
        <x:v>232.29186464711182</x:v>
      </x:c>
      <x:c r="E2110" s="65" t="n">
        <x:v>163.4823242945668</x:v>
      </x:c>
      <x:c r="F2110" s="65" t="n">
        <x:v>163.4823242945668</x:v>
      </x:c>
      <x:c r="G2110" s="65" t="n">
        <x:v>395.77418894167863</x:v>
      </x:c>
      <x:c r="H2110" s="43" t="n">
        <x:v>1</x:v>
      </x:c>
      <x:c r="I2110" s="34" t="str">
        <x:v>generated design-reference observation; not predicted tract behavior</x:v>
      </x:c>
    </x:row>
    <x:row r="2111" ht="75.5999984741211" hidden="0" customHeight="1">
      <x:c r="A2111" s="36" t="str">
        <x:v>B1</x:v>
      </x:c>
      <x:c r="B2111" s="36" t="str">
        <x:v>48201551202</x:v>
      </x:c>
      <x:c r="C2111" s="66" t="n">
        <x:v>296.03290002348876</x:v>
      </x:c>
      <x:c r="D2111" s="66" t="n">
        <x:v>176.36855461267652</x:v>
      </x:c>
      <x:c r="E2111" s="66" t="n">
        <x:v>119.66434541081225</x:v>
      </x:c>
      <x:c r="F2111" s="66" t="n">
        <x:v>119.66434541081225</x:v>
      </x:c>
      <x:c r="G2111" s="66" t="n">
        <x:v>296.03290002348876</x:v>
      </x:c>
      <x:c r="H2111" s="45" t="n">
        <x:v>1</x:v>
      </x:c>
      <x:c r="I2111" s="36" t="str">
        <x:v>generated design-reference observation; not predicted tract behavior</x:v>
      </x:c>
    </x:row>
    <x:row r="2112" ht="75.5999984741211" hidden="0" customHeight="1">
      <x:c r="A2112" s="34" t="str">
        <x:v>B1</x:v>
      </x:c>
      <x:c r="B2112" s="34" t="str">
        <x:v>48201551300</x:v>
      </x:c>
      <x:c r="C2112" s="65" t="n">
        <x:v>292.8301440064553</x:v>
      </x:c>
      <x:c r="D2112" s="65" t="n">
        <x:v>178.9192179879442</x:v>
      </x:c>
      <x:c r="E2112" s="65" t="n">
        <x:v>113.91092601851113</x:v>
      </x:c>
      <x:c r="F2112" s="65" t="n">
        <x:v>113.91092601851113</x:v>
      </x:c>
      <x:c r="G2112" s="65" t="n">
        <x:v>292.8301440064553</x:v>
      </x:c>
      <x:c r="H2112" s="43" t="n">
        <x:v>1</x:v>
      </x:c>
      <x:c r="I2112" s="34" t="str">
        <x:v>generated design-reference observation; not predicted tract behavior</x:v>
      </x:c>
    </x:row>
    <x:row r="2113" ht="75.5999984741211" hidden="0" customHeight="1">
      <x:c r="A2113" s="36" t="str">
        <x:v>B1</x:v>
      </x:c>
      <x:c r="B2113" s="36" t="str">
        <x:v>48201551400</x:v>
      </x:c>
      <x:c r="C2113" s="66" t="n">
        <x:v>513.6041722726353</x:v>
      </x:c>
      <x:c r="D2113" s="66" t="n">
        <x:v>306.05972599749606</x:v>
      </x:c>
      <x:c r="E2113" s="66" t="n">
        <x:v>207.54444627513925</x:v>
      </x:c>
      <x:c r="F2113" s="66" t="n">
        <x:v>207.54444627513925</x:v>
      </x:c>
      <x:c r="G2113" s="66" t="n">
        <x:v>513.6041722726353</x:v>
      </x:c>
      <x:c r="H2113" s="45" t="n">
        <x:v>1</x:v>
      </x:c>
      <x:c r="I2113" s="36" t="str">
        <x:v>generated design-reference observation; not predicted tract behavior</x:v>
      </x:c>
    </x:row>
    <x:row r="2114" ht="75.5999984741211" hidden="0" customHeight="1">
      <x:c r="A2114" s="34" t="str">
        <x:v>B1</x:v>
      </x:c>
      <x:c r="B2114" s="34" t="str">
        <x:v>48201551501</x:v>
      </x:c>
      <x:c r="C2114" s="65" t="n">
        <x:v>753.9907357332584</x:v>
      </x:c>
      <x:c r="D2114" s="65" t="n">
        <x:v>209.2821221037903</x:v>
      </x:c>
      <x:c r="E2114" s="65" t="n">
        <x:v>544.7086136294681</x:v>
      </x:c>
      <x:c r="F2114" s="65" t="n">
        <x:v>544.7086136294681</x:v>
      </x:c>
      <x:c r="G2114" s="65" t="n">
        <x:v>753.9907357332584</x:v>
      </x:c>
      <x:c r="H2114" s="43" t="n">
        <x:v>1</x:v>
      </x:c>
      <x:c r="I2114" s="34" t="str">
        <x:v>generated design-reference observation; not predicted tract behavior</x:v>
      </x:c>
    </x:row>
    <x:row r="2115" ht="75.5999984741211" hidden="0" customHeight="1">
      <x:c r="A2115" s="36" t="str">
        <x:v>B1</x:v>
      </x:c>
      <x:c r="B2115" s="36" t="str">
        <x:v>48201551502</x:v>
      </x:c>
      <x:c r="C2115" s="66" t="n">
        <x:v>398.9572961487916</x:v>
      </x:c>
      <x:c r="D2115" s="66" t="n">
        <x:v>242.32194494426983</x:v>
      </x:c>
      <x:c r="E2115" s="66" t="n">
        <x:v>156.63535120452178</x:v>
      </x:c>
      <x:c r="F2115" s="66" t="n">
        <x:v>156.63535120452178</x:v>
      </x:c>
      <x:c r="G2115" s="66" t="n">
        <x:v>398.9572961487916</x:v>
      </x:c>
      <x:c r="H2115" s="45" t="n">
        <x:v>1</x:v>
      </x:c>
      <x:c r="I2115" s="36" t="str">
        <x:v>generated design-reference observation; not predicted tract behavior</x:v>
      </x:c>
    </x:row>
    <x:row r="2116" ht="75.5999984741211" hidden="0" customHeight="1">
      <x:c r="A2116" s="34" t="str">
        <x:v>B1</x:v>
      </x:c>
      <x:c r="B2116" s="34" t="str">
        <x:v>48201551601</x:v>
      </x:c>
      <x:c r="C2116" s="65" t="n">
        <x:v>242.02618107613895</x:v>
      </x:c>
      <x:c r="D2116" s="65" t="n">
        <x:v>147.87799663752088</x:v>
      </x:c>
      <x:c r="E2116" s="65" t="n">
        <x:v>94.14818443861807</x:v>
      </x:c>
      <x:c r="F2116" s="65" t="n">
        <x:v>94.14818443861807</x:v>
      </x:c>
      <x:c r="G2116" s="65" t="n">
        <x:v>242.02618107613895</x:v>
      </x:c>
      <x:c r="H2116" s="43" t="n">
        <x:v>1</x:v>
      </x:c>
      <x:c r="I2116" s="34" t="str">
        <x:v>generated design-reference observation; not predicted tract behavior</x:v>
      </x:c>
    </x:row>
    <x:row r="2117" ht="75.5999984741211" hidden="0" customHeight="1">
      <x:c r="A2117" s="36" t="str">
        <x:v>B1</x:v>
      </x:c>
      <x:c r="B2117" s="36" t="str">
        <x:v>48201551602</x:v>
      </x:c>
      <x:c r="C2117" s="66" t="n">
        <x:v>358.3156977093322</x:v>
      </x:c>
      <x:c r="D2117" s="66" t="n">
        <x:v>212.76759815485823</x:v>
      </x:c>
      <x:c r="E2117" s="66" t="n">
        <x:v>145.54809955447396</x:v>
      </x:c>
      <x:c r="F2117" s="66" t="n">
        <x:v>145.54809955447396</x:v>
      </x:c>
      <x:c r="G2117" s="66" t="n">
        <x:v>358.3156977093322</x:v>
      </x:c>
      <x:c r="H2117" s="45" t="n">
        <x:v>1</x:v>
      </x:c>
      <x:c r="I2117" s="36" t="str">
        <x:v>generated design-reference observation; not predicted tract behavior</x:v>
      </x:c>
    </x:row>
    <x:row r="2118" ht="75.5999984741211" hidden="0" customHeight="1">
      <x:c r="A2118" s="34" t="str">
        <x:v>B1</x:v>
      </x:c>
      <x:c r="B2118" s="34" t="str">
        <x:v>48201551702</x:v>
      </x:c>
      <x:c r="C2118" s="65" t="n">
        <x:v>329.2590375989703</x:v>
      </x:c>
      <x:c r="D2118" s="65" t="n">
        <x:v>201.17727197297086</x:v>
      </x:c>
      <x:c r="E2118" s="65" t="n">
        <x:v>128.08176562599942</x:v>
      </x:c>
      <x:c r="F2118" s="65" t="n">
        <x:v>128.08176562599942</x:v>
      </x:c>
      <x:c r="G2118" s="65" t="n">
        <x:v>329.2590375989703</x:v>
      </x:c>
      <x:c r="H2118" s="43" t="n">
        <x:v>1</x:v>
      </x:c>
      <x:c r="I2118" s="34" t="str">
        <x:v>generated design-reference observation; not predicted tract behavior</x:v>
      </x:c>
    </x:row>
    <x:row r="2119" ht="75.5999984741211" hidden="0" customHeight="1">
      <x:c r="A2119" s="36" t="str">
        <x:v>B1</x:v>
      </x:c>
      <x:c r="B2119" s="36" t="str">
        <x:v>48201551703</x:v>
      </x:c>
      <x:c r="C2119" s="66" t="n">
        <x:v>650.5878155140467</x:v>
      </x:c>
      <x:c r="D2119" s="66" t="n">
        <x:v>386.7786911640186</x:v>
      </x:c>
      <x:c r="E2119" s="66" t="n">
        <x:v>263.8091243500281</x:v>
      </x:c>
      <x:c r="F2119" s="66" t="n">
        <x:v>216.2480087309023</x:v>
      </x:c>
      <x:c r="G2119" s="66" t="n">
        <x:v>603.026699894921</x:v>
      </x:c>
      <x:c r="H2119" s="45" t="n">
        <x:v>0.9268951639041281</x:v>
      </x:c>
      <x:c r="I2119" s="36" t="str">
        <x:v>generated design-reference observation; not predicted tract behavior</x:v>
      </x:c>
    </x:row>
    <x:row r="2120" ht="75.5999984741211" hidden="0" customHeight="1">
      <x:c r="A2120" s="34" t="str">
        <x:v>B1</x:v>
      </x:c>
      <x:c r="B2120" s="34" t="str">
        <x:v>48201551704</x:v>
      </x:c>
      <x:c r="C2120" s="65" t="n">
        <x:v>321.26983148531514</x:v>
      </x:c>
      <x:c r="D2120" s="65" t="n">
        <x:v>192.70352437278845</x:v>
      </x:c>
      <x:c r="E2120" s="65" t="n">
        <x:v>128.5663071125267</x:v>
      </x:c>
      <x:c r="F2120" s="65" t="n">
        <x:v>128.56630711252666</x:v>
      </x:c>
      <x:c r="G2120" s="65" t="n">
        <x:v>321.2698314853151</x:v>
      </x:c>
      <x:c r="H2120" s="43" t="n">
        <x:v>0.9999999999999998</x:v>
      </x:c>
      <x:c r="I2120" s="34" t="str">
        <x:v>generated design-reference observation; not predicted tract behavior</x:v>
      </x:c>
    </x:row>
    <x:row r="2121" ht="75.5999984741211" hidden="0" customHeight="1">
      <x:c r="A2121" s="36" t="str">
        <x:v>B1</x:v>
      </x:c>
      <x:c r="B2121" s="36" t="str">
        <x:v>48201551705</x:v>
      </x:c>
      <x:c r="C2121" s="66" t="n">
        <x:v>377.1942742809008</x:v>
      </x:c>
      <x:c r="D2121" s="66" t="n">
        <x:v>228.05399429728106</x:v>
      </x:c>
      <x:c r="E2121" s="66" t="n">
        <x:v>149.14027998361973</x:v>
      </x:c>
      <x:c r="F2121" s="66" t="n">
        <x:v>149.14027998361973</x:v>
      </x:c>
      <x:c r="G2121" s="66" t="n">
        <x:v>377.1942742809008</x:v>
      </x:c>
      <x:c r="H2121" s="45" t="n">
        <x:v>1</x:v>
      </x:c>
      <x:c r="I2121" s="36" t="str">
        <x:v>generated design-reference observation; not predicted tract behavior</x:v>
      </x:c>
    </x:row>
    <x:row r="2122" ht="75.5999984741211" hidden="0" customHeight="1">
      <x:c r="A2122" s="34" t="str">
        <x:v>B1</x:v>
      </x:c>
      <x:c r="B2122" s="34" t="str">
        <x:v>48201551800</x:v>
      </x:c>
      <x:c r="C2122" s="65" t="n">
        <x:v>311.9130682011967</x:v>
      </x:c>
      <x:c r="D2122" s="65" t="n">
        <x:v>190.57888467093122</x:v>
      </x:c>
      <x:c r="E2122" s="65" t="n">
        <x:v>121.3341835302655</x:v>
      </x:c>
      <x:c r="F2122" s="65" t="n">
        <x:v>121.3341835302655</x:v>
      </x:c>
      <x:c r="G2122" s="65" t="n">
        <x:v>311.9130682011967</x:v>
      </x:c>
      <x:c r="H2122" s="43" t="n">
        <x:v>1</x:v>
      </x:c>
      <x:c r="I2122" s="34" t="str">
        <x:v>generated design-reference observation; not predicted tract behavior</x:v>
      </x:c>
    </x:row>
    <x:row r="2123" ht="75.5999984741211" hidden="0" customHeight="1">
      <x:c r="A2123" s="36" t="str">
        <x:v>B1</x:v>
      </x:c>
      <x:c r="B2123" s="36" t="str">
        <x:v>48201551901</x:v>
      </x:c>
      <x:c r="C2123" s="66" t="n">
        <x:v>190.29479431757736</x:v>
      </x:c>
      <x:c r="D2123" s="66" t="n">
        <x:v>110.80568228919788</x:v>
      </x:c>
      <x:c r="E2123" s="66" t="n">
        <x:v>79.48911202837948</x:v>
      </x:c>
      <x:c r="F2123" s="66" t="n">
        <x:v>79.48911202837948</x:v>
      </x:c>
      <x:c r="G2123" s="66" t="n">
        <x:v>190.29479431757736</x:v>
      </x:c>
      <x:c r="H2123" s="45" t="n">
        <x:v>1</x:v>
      </x:c>
      <x:c r="I2123" s="36" t="str">
        <x:v>generated design-reference observation; not predicted tract behavior</x:v>
      </x:c>
    </x:row>
    <x:row r="2124" ht="75.5999984741211" hidden="0" customHeight="1">
      <x:c r="A2124" s="34" t="str">
        <x:v>B1</x:v>
      </x:c>
      <x:c r="B2124" s="34" t="str">
        <x:v>48201551902</x:v>
      </x:c>
      <x:c r="C2124" s="65" t="n">
        <x:v>383.7569767943313</x:v>
      </x:c>
      <x:c r="D2124" s="65" t="n">
        <x:v>217.73993397431542</x:v>
      </x:c>
      <x:c r="E2124" s="65" t="n">
        <x:v>166.0170428200159</x:v>
      </x:c>
      <x:c r="F2124" s="65" t="n">
        <x:v>166.0170428200159</x:v>
      </x:c>
      <x:c r="G2124" s="65" t="n">
        <x:v>383.7569767943313</x:v>
      </x:c>
      <x:c r="H2124" s="43" t="n">
        <x:v>1</x:v>
      </x:c>
      <x:c r="I2124" s="34" t="str">
        <x:v>generated design-reference observation; not predicted tract behavior</x:v>
      </x:c>
    </x:row>
    <x:row r="2125" ht="75.5999984741211" hidden="0" customHeight="1">
      <x:c r="A2125" s="36" t="str">
        <x:v>B1</x:v>
      </x:c>
      <x:c r="B2125" s="36" t="str">
        <x:v>48201552002</x:v>
      </x:c>
      <x:c r="C2125" s="66" t="n">
        <x:v>119.35473098078349</x:v>
      </x:c>
      <x:c r="D2125" s="66" t="n">
        <x:v>66.62931714709333</x:v>
      </x:c>
      <x:c r="E2125" s="66" t="n">
        <x:v>52.725413833690155</x:v>
      </x:c>
      <x:c r="F2125" s="66" t="n">
        <x:v>52.725413833690155</x:v>
      </x:c>
      <x:c r="G2125" s="66" t="n">
        <x:v>119.35473098078349</x:v>
      </x:c>
      <x:c r="H2125" s="45" t="n">
        <x:v>1</x:v>
      </x:c>
      <x:c r="I2125" s="36" t="str">
        <x:v>generated design-reference observation; not predicted tract behavior</x:v>
      </x:c>
    </x:row>
    <x:row r="2126" ht="75.5999984741211" hidden="0" customHeight="1">
      <x:c r="A2126" s="34" t="str">
        <x:v>B1</x:v>
      </x:c>
      <x:c r="B2126" s="34" t="str">
        <x:v>48201552003</x:v>
      </x:c>
      <x:c r="C2126" s="65" t="n">
        <x:v>359.67539535582733</x:v>
      </x:c>
      <x:c r="D2126" s="65" t="n">
        <x:v>215.08114425225773</x:v>
      </x:c>
      <x:c r="E2126" s="65" t="n">
        <x:v>144.5942511035696</x:v>
      </x:c>
      <x:c r="F2126" s="65" t="n">
        <x:v>144.5942511035696</x:v>
      </x:c>
      <x:c r="G2126" s="65" t="n">
        <x:v>359.67539535582733</x:v>
      </x:c>
      <x:c r="H2126" s="43" t="n">
        <x:v>1</x:v>
      </x:c>
      <x:c r="I2126" s="34" t="str">
        <x:v>generated design-reference observation; not predicted tract behavior</x:v>
      </x:c>
    </x:row>
    <x:row r="2127" ht="75.5999984741211" hidden="0" customHeight="1">
      <x:c r="A2127" s="36" t="str">
        <x:v>B1</x:v>
      </x:c>
      <x:c r="B2127" s="36" t="str">
        <x:v>48201552004</x:v>
      </x:c>
      <x:c r="C2127" s="66" t="n">
        <x:v>264.87381725163857</x:v>
      </x:c>
      <x:c r="D2127" s="66" t="n">
        <x:v>151.9987007309361</x:v>
      </x:c>
      <x:c r="E2127" s="66" t="n">
        <x:v>112.87511652070248</x:v>
      </x:c>
      <x:c r="F2127" s="66" t="n">
        <x:v>112.87511652070248</x:v>
      </x:c>
      <x:c r="G2127" s="66" t="n">
        <x:v>264.87381725163857</x:v>
      </x:c>
      <x:c r="H2127" s="45" t="n">
        <x:v>1</x:v>
      </x:c>
      <x:c r="I2127" s="36" t="str">
        <x:v>generated design-reference observation; not predicted tract behavior</x:v>
      </x:c>
    </x:row>
    <x:row r="2128" ht="75.5999984741211" hidden="0" customHeight="1">
      <x:c r="A2128" s="34" t="str">
        <x:v>B1</x:v>
      </x:c>
      <x:c r="B2128" s="34" t="str">
        <x:v>48201552101</x:v>
      </x:c>
      <x:c r="C2128" s="65" t="n">
        <x:v>351.6822594801882</x:v>
      </x:c>
      <x:c r="D2128" s="65" t="n">
        <x:v>206.71087309784915</x:v>
      </x:c>
      <x:c r="E2128" s="65" t="n">
        <x:v>144.97138638233903</x:v>
      </x:c>
      <x:c r="F2128" s="65" t="n">
        <x:v>144.97138638233903</x:v>
      </x:c>
      <x:c r="G2128" s="65" t="n">
        <x:v>351.6822594801882</x:v>
      </x:c>
      <x:c r="H2128" s="43" t="n">
        <x:v>1</x:v>
      </x:c>
      <x:c r="I2128" s="34" t="str">
        <x:v>generated design-reference observation; not predicted tract behavior</x:v>
      </x:c>
    </x:row>
    <x:row r="2129" ht="75.5999984741211" hidden="0" customHeight="1">
      <x:c r="A2129" s="36" t="str">
        <x:v>B1</x:v>
      </x:c>
      <x:c r="B2129" s="36" t="str">
        <x:v>48201552102</x:v>
      </x:c>
      <x:c r="C2129" s="66" t="n">
        <x:v>478.73146442582</x:v>
      </x:c>
      <x:c r="D2129" s="66" t="n">
        <x:v>288.51786878845616</x:v>
      </x:c>
      <x:c r="E2129" s="66" t="n">
        <x:v>190.21359563736382</x:v>
      </x:c>
      <x:c r="F2129" s="66" t="n">
        <x:v>158.96350640236196</x:v>
      </x:c>
      <x:c r="G2129" s="66" t="n">
        <x:v>447.4813751908181</x:v>
      </x:c>
      <x:c r="H2129" s="45" t="n">
        <x:v>0.9347231348737803</x:v>
      </x:c>
      <x:c r="I2129" s="36" t="str">
        <x:v>generated design-reference observation; not predicted tract behavior</x:v>
      </x:c>
    </x:row>
    <x:row r="2130" ht="75.5999984741211" hidden="0" customHeight="1">
      <x:c r="A2130" s="34" t="str">
        <x:v>B1</x:v>
      </x:c>
      <x:c r="B2130" s="34" t="str">
        <x:v>48201552103</x:v>
      </x:c>
      <x:c r="C2130" s="65" t="n">
        <x:v>320.24416360746767</x:v>
      </x:c>
      <x:c r="D2130" s="65" t="n">
        <x:v>190.28096882746274</x:v>
      </x:c>
      <x:c r="E2130" s="65" t="n">
        <x:v>129.96319478000493</x:v>
      </x:c>
      <x:c r="F2130" s="65" t="n">
        <x:v>106.37048686627105</x:v>
      </x:c>
      <x:c r="G2130" s="65" t="n">
        <x:v>296.6514556937338</x:v>
      </x:c>
      <x:c r="H2130" s="43" t="n">
        <x:v>0.9263289995734251</x:v>
      </x:c>
      <x:c r="I2130" s="34" t="str">
        <x:v>generated design-reference observation; not predicted tract behavior</x:v>
      </x:c>
    </x:row>
    <x:row r="2131" ht="75.5999984741211" hidden="0" customHeight="1">
      <x:c r="A2131" s="36" t="str">
        <x:v>B1</x:v>
      </x:c>
      <x:c r="B2131" s="36" t="str">
        <x:v>48201552200</x:v>
      </x:c>
      <x:c r="C2131" s="66" t="n">
        <x:v>588.9141309357373</x:v>
      </x:c>
      <x:c r="D2131" s="66" t="n">
        <x:v>342.49433523108803</x:v>
      </x:c>
      <x:c r="E2131" s="66" t="n">
        <x:v>246.41979570464923</x:v>
      </x:c>
      <x:c r="F2131" s="66" t="n">
        <x:v>246.41979570464923</x:v>
      </x:c>
      <x:c r="G2131" s="66" t="n">
        <x:v>588.9141309357373</x:v>
      </x:c>
      <x:c r="H2131" s="45" t="n">
        <x:v>1</x:v>
      </x:c>
      <x:c r="I2131" s="36" t="str">
        <x:v>generated design-reference observation; not predicted tract behavior</x:v>
      </x:c>
    </x:row>
    <x:row r="2132" ht="75.5999984741211" hidden="0" customHeight="1">
      <x:c r="A2132" s="34" t="str">
        <x:v>B1</x:v>
      </x:c>
      <x:c r="B2132" s="34" t="str">
        <x:v>48201552301</x:v>
      </x:c>
      <x:c r="C2132" s="65" t="n">
        <x:v>389.8638269176072</x:v>
      </x:c>
      <x:c r="D2132" s="65" t="n">
        <x:v>229.2396601140471</x:v>
      </x:c>
      <x:c r="E2132" s="65" t="n">
        <x:v>160.6241668035601</x:v>
      </x:c>
      <x:c r="F2132" s="65" t="n">
        <x:v>160.6241668035601</x:v>
      </x:c>
      <x:c r="G2132" s="65" t="n">
        <x:v>389.8638269176072</x:v>
      </x:c>
      <x:c r="H2132" s="43" t="n">
        <x:v>1</x:v>
      </x:c>
      <x:c r="I2132" s="34" t="str">
        <x:v>generated design-reference observation; not predicted tract behavior</x:v>
      </x:c>
    </x:row>
    <x:row r="2133" ht="75.5999984741211" hidden="0" customHeight="1">
      <x:c r="A2133" s="36" t="str">
        <x:v>B1</x:v>
      </x:c>
      <x:c r="B2133" s="36" t="str">
        <x:v>48201552303</x:v>
      </x:c>
      <x:c r="C2133" s="66" t="n">
        <x:v>268.8743149514423</x:v>
      </x:c>
      <x:c r="D2133" s="66" t="n">
        <x:v>155.0150050466715</x:v>
      </x:c>
      <x:c r="E2133" s="66" t="n">
        <x:v>113.85930990477078</x:v>
      </x:c>
      <x:c r="F2133" s="66" t="n">
        <x:v>113.85930990477078</x:v>
      </x:c>
      <x:c r="G2133" s="66" t="n">
        <x:v>268.8743149514423</x:v>
      </x:c>
      <x:c r="H2133" s="45" t="n">
        <x:v>1</x:v>
      </x:c>
      <x:c r="I2133" s="36" t="str">
        <x:v>generated design-reference observation; not predicted tract behavior</x:v>
      </x:c>
    </x:row>
    <x:row r="2134" ht="75.5999984741211" hidden="0" customHeight="1">
      <x:c r="A2134" s="34" t="str">
        <x:v>B1</x:v>
      </x:c>
      <x:c r="B2134" s="34" t="str">
        <x:v>48201552304</x:v>
      </x:c>
      <x:c r="C2134" s="65" t="n">
        <x:v>168.16237482318212</x:v>
      </x:c>
      <x:c r="D2134" s="65" t="n">
        <x:v>101.77264397479794</x:v>
      </x:c>
      <x:c r="E2134" s="65" t="n">
        <x:v>66.38973084838418</x:v>
      </x:c>
      <x:c r="F2134" s="65" t="n">
        <x:v>66.38973084838418</x:v>
      </x:c>
      <x:c r="G2134" s="65" t="n">
        <x:v>168.16237482318212</x:v>
      </x:c>
      <x:c r="H2134" s="43" t="n">
        <x:v>1</x:v>
      </x:c>
      <x:c r="I2134" s="34" t="str">
        <x:v>generated design-reference observation; not predicted tract behavior</x:v>
      </x:c>
    </x:row>
    <x:row r="2135" ht="75.5999984741211" hidden="0" customHeight="1">
      <x:c r="A2135" s="36" t="str">
        <x:v>B1</x:v>
      </x:c>
      <x:c r="B2135" s="36" t="str">
        <x:v>48201552401</x:v>
      </x:c>
      <x:c r="C2135" s="66" t="n">
        <x:v>427.47950862931737</x:v>
      </x:c>
      <x:c r="D2135" s="66" t="n">
        <x:v>250.4203474584972</x:v>
      </x:c>
      <x:c r="E2135" s="66" t="n">
        <x:v>177.05916117082018</x:v>
      </x:c>
      <x:c r="F2135" s="66" t="n">
        <x:v>177.05916117082018</x:v>
      </x:c>
      <x:c r="G2135" s="66" t="n">
        <x:v>427.47950862931737</x:v>
      </x:c>
      <x:c r="H2135" s="45" t="n">
        <x:v>1</x:v>
      </x:c>
      <x:c r="I2135" s="36" t="str">
        <x:v>generated design-reference observation; not predicted tract behavior</x:v>
      </x:c>
    </x:row>
    <x:row r="2136" ht="75.5999984741211" hidden="0" customHeight="1">
      <x:c r="A2136" s="34" t="str">
        <x:v>B1</x:v>
      </x:c>
      <x:c r="B2136" s="34" t="str">
        <x:v>48201552402</x:v>
      </x:c>
      <x:c r="C2136" s="65" t="n">
        <x:v>255.71747182870877</x:v>
      </x:c>
      <x:c r="D2136" s="65" t="n">
        <x:v>154.8631334561808</x:v>
      </x:c>
      <x:c r="E2136" s="65" t="n">
        <x:v>100.85433837252796</x:v>
      </x:c>
      <x:c r="F2136" s="65" t="n">
        <x:v>100.85433837252796</x:v>
      </x:c>
      <x:c r="G2136" s="65" t="n">
        <x:v>255.71747182870877</x:v>
      </x:c>
      <x:c r="H2136" s="43" t="n">
        <x:v>1</x:v>
      </x:c>
      <x:c r="I2136" s="34" t="str">
        <x:v>generated design-reference observation; not predicted tract behavior</x:v>
      </x:c>
    </x:row>
    <x:row r="2137" ht="75.5999984741211" hidden="0" customHeight="1">
      <x:c r="A2137" s="36" t="str">
        <x:v>B1</x:v>
      </x:c>
      <x:c r="B2137" s="36" t="str">
        <x:v>48201552501</x:v>
      </x:c>
      <x:c r="C2137" s="66" t="n">
        <x:v>417.24640842274675</x:v>
      </x:c>
      <x:c r="D2137" s="66" t="n">
        <x:v>249.09430965419577</x:v>
      </x:c>
      <x:c r="E2137" s="66" t="n">
        <x:v>168.15209876855099</x:v>
      </x:c>
      <x:c r="F2137" s="66" t="n">
        <x:v>168.15209876855099</x:v>
      </x:c>
      <x:c r="G2137" s="66" t="n">
        <x:v>417.24640842274675</x:v>
      </x:c>
      <x:c r="H2137" s="45" t="n">
        <x:v>1</x:v>
      </x:c>
      <x:c r="I2137" s="36" t="str">
        <x:v>generated design-reference observation; not predicted tract behavior</x:v>
      </x:c>
    </x:row>
    <x:row r="2138" ht="75.5999984741211" hidden="0" customHeight="1">
      <x:c r="A2138" s="34" t="str">
        <x:v>B1</x:v>
      </x:c>
      <x:c r="B2138" s="34" t="str">
        <x:v>48201552502</x:v>
      </x:c>
      <x:c r="C2138" s="65" t="n">
        <x:v>516.8815937673664</x:v>
      </x:c>
      <x:c r="D2138" s="65" t="n">
        <x:v>311.4796704226105</x:v>
      </x:c>
      <x:c r="E2138" s="65" t="n">
        <x:v>205.40192334475591</x:v>
      </x:c>
      <x:c r="F2138" s="65" t="n">
        <x:v>205.40192334475591</x:v>
      </x:c>
      <x:c r="G2138" s="65" t="n">
        <x:v>516.8815937673664</x:v>
      </x:c>
      <x:c r="H2138" s="43" t="n">
        <x:v>1</x:v>
      </x:c>
      <x:c r="I2138" s="34" t="str">
        <x:v>generated design-reference observation; not predicted tract behavior</x:v>
      </x:c>
    </x:row>
    <x:row r="2139" ht="75.5999984741211" hidden="0" customHeight="1">
      <x:c r="A2139" s="36" t="str">
        <x:v>B1</x:v>
      </x:c>
      <x:c r="B2139" s="36" t="str">
        <x:v>48201552602</x:v>
      </x:c>
      <x:c r="C2139" s="66" t="n">
        <x:v>637.340587865679</x:v>
      </x:c>
      <x:c r="D2139" s="66" t="n">
        <x:v>358.8307922712969</x:v>
      </x:c>
      <x:c r="E2139" s="66" t="n">
        <x:v>278.5097955943821</x:v>
      </x:c>
      <x:c r="F2139" s="66" t="n">
        <x:v>278.5097955943821</x:v>
      </x:c>
      <x:c r="G2139" s="66" t="n">
        <x:v>637.340587865679</x:v>
      </x:c>
      <x:c r="H2139" s="45" t="n">
        <x:v>1</x:v>
      </x:c>
      <x:c r="I2139" s="36" t="str">
        <x:v>generated design-reference observation; not predicted tract behavior</x:v>
      </x:c>
    </x:row>
    <x:row r="2140" ht="75.5999984741211" hidden="0" customHeight="1">
      <x:c r="A2140" s="34" t="str">
        <x:v>B1</x:v>
      </x:c>
      <x:c r="B2140" s="34" t="str">
        <x:v>48201552603</x:v>
      </x:c>
      <x:c r="C2140" s="65" t="n">
        <x:v>445.2852601792294</x:v>
      </x:c>
      <x:c r="D2140" s="65" t="n">
        <x:v>246.87445259869926</x:v>
      </x:c>
      <x:c r="E2140" s="65" t="n">
        <x:v>198.41080758053013</x:v>
      </x:c>
      <x:c r="F2140" s="65" t="n">
        <x:v>198.41080758053013</x:v>
      </x:c>
      <x:c r="G2140" s="65" t="n">
        <x:v>445.2852601792294</x:v>
      </x:c>
      <x:c r="H2140" s="43" t="n">
        <x:v>1</x:v>
      </x:c>
      <x:c r="I2140" s="34" t="str">
        <x:v>generated design-reference observation; not predicted tract behavior</x:v>
      </x:c>
    </x:row>
    <x:row r="2141" ht="75.5999984741211" hidden="0" customHeight="1">
      <x:c r="A2141" s="36" t="str">
        <x:v>B1</x:v>
      </x:c>
      <x:c r="B2141" s="36" t="str">
        <x:v>48201552604</x:v>
      </x:c>
      <x:c r="C2141" s="66" t="n">
        <x:v>242.63922394565702</x:v>
      </x:c>
      <x:c r="D2141" s="66" t="n">
        <x:v>147.30763130267596</x:v>
      </x:c>
      <x:c r="E2141" s="66" t="n">
        <x:v>95.33159264298106</x:v>
      </x:c>
      <x:c r="F2141" s="66" t="n">
        <x:v>80.5514689505776</x:v>
      </x:c>
      <x:c r="G2141" s="66" t="n">
        <x:v>227.85910025325356</x:v>
      </x:c>
      <x:c r="H2141" s="45" t="n">
        <x:v>0.9390860082221755</x:v>
      </x:c>
      <x:c r="I2141" s="36" t="str">
        <x:v>generated design-reference observation; not predicted tract behavior</x:v>
      </x:c>
    </x:row>
    <x:row r="2142" ht="75.5999984741211" hidden="0" customHeight="1">
      <x:c r="A2142" s="34" t="str">
        <x:v>B1</x:v>
      </x:c>
      <x:c r="B2142" s="34" t="str">
        <x:v>48201552701</x:v>
      </x:c>
      <x:c r="C2142" s="65" t="n">
        <x:v>255.16730515093616</x:v>
      </x:c>
      <x:c r="D2142" s="65" t="n">
        <x:v>141.3525671806977</x:v>
      </x:c>
      <x:c r="E2142" s="65" t="n">
        <x:v>113.81473797023847</x:v>
      </x:c>
      <x:c r="F2142" s="65" t="n">
        <x:v>113.81473797023847</x:v>
      </x:c>
      <x:c r="G2142" s="65" t="n">
        <x:v>255.16730515093616</x:v>
      </x:c>
      <x:c r="H2142" s="43" t="n">
        <x:v>1</x:v>
      </x:c>
      <x:c r="I2142" s="34" t="str">
        <x:v>generated design-reference observation; not predicted tract behavior</x:v>
      </x:c>
    </x:row>
    <x:row r="2143" ht="75.5999984741211" hidden="0" customHeight="1">
      <x:c r="A2143" s="36" t="str">
        <x:v>B1</x:v>
      </x:c>
      <x:c r="B2143" s="36" t="str">
        <x:v>48201552702</x:v>
      </x:c>
      <x:c r="C2143" s="66" t="n">
        <x:v>486.3316241030501</x:v>
      </x:c>
      <x:c r="D2143" s="66" t="n">
        <x:v>285.04256734327254</x:v>
      </x:c>
      <x:c r="E2143" s="66" t="n">
        <x:v>201.28905675977757</x:v>
      </x:c>
      <x:c r="F2143" s="66" t="n">
        <x:v>201.28905675977757</x:v>
      </x:c>
      <x:c r="G2143" s="66" t="n">
        <x:v>486.3316241030501</x:v>
      </x:c>
      <x:c r="H2143" s="45" t="n">
        <x:v>1</x:v>
      </x:c>
      <x:c r="I2143" s="36" t="str">
        <x:v>generated design-reference observation; not predicted tract behavior</x:v>
      </x:c>
    </x:row>
    <x:row r="2144" ht="75.5999984741211" hidden="0" customHeight="1">
      <x:c r="A2144" s="34" t="str">
        <x:v>B1</x:v>
      </x:c>
      <x:c r="B2144" s="34" t="str">
        <x:v>48201552801</x:v>
      </x:c>
      <x:c r="C2144" s="65" t="n">
        <x:v>428.69773484438525</x:v>
      </x:c>
      <x:c r="D2144" s="65" t="n">
        <x:v>255.33007605999512</x:v>
      </x:c>
      <x:c r="E2144" s="65" t="n">
        <x:v>173.36765878439013</x:v>
      </x:c>
      <x:c r="F2144" s="65" t="n">
        <x:v>173.36765878439013</x:v>
      </x:c>
      <x:c r="G2144" s="65" t="n">
        <x:v>428.69773484438525</x:v>
      </x:c>
      <x:c r="H2144" s="43" t="n">
        <x:v>1</x:v>
      </x:c>
      <x:c r="I2144" s="34" t="str">
        <x:v>generated design-reference observation; not predicted tract behavior</x:v>
      </x:c>
    </x:row>
    <x:row r="2145" ht="75.5999984741211" hidden="0" customHeight="1">
      <x:c r="A2145" s="36" t="str">
        <x:v>B1</x:v>
      </x:c>
      <x:c r="B2145" s="36" t="str">
        <x:v>48201552802</x:v>
      </x:c>
      <x:c r="C2145" s="66" t="n">
        <x:v>323.84382558489415</x:v>
      </x:c>
      <x:c r="D2145" s="66" t="n">
        <x:v>191.86830312686538</x:v>
      </x:c>
      <x:c r="E2145" s="66" t="n">
        <x:v>131.97552245802876</x:v>
      </x:c>
      <x:c r="F2145" s="66" t="n">
        <x:v>131.97552245802876</x:v>
      </x:c>
      <x:c r="G2145" s="66" t="n">
        <x:v>323.84382558489415</x:v>
      </x:c>
      <x:c r="H2145" s="45" t="n">
        <x:v>1</x:v>
      </x:c>
      <x:c r="I2145" s="36" t="str">
        <x:v>generated design-reference observation; not predicted tract behavior</x:v>
      </x:c>
    </x:row>
    <x:row r="2146" ht="75.5999984741211" hidden="0" customHeight="1">
      <x:c r="A2146" s="34" t="str">
        <x:v>B1</x:v>
      </x:c>
      <x:c r="B2146" s="34" t="str">
        <x:v>48201552901</x:v>
      </x:c>
      <x:c r="C2146" s="65" t="n">
        <x:v>406.87183678474906</x:v>
      </x:c>
      <x:c r="D2146" s="65" t="n">
        <x:v>243.6524389472787</x:v>
      </x:c>
      <x:c r="E2146" s="65" t="n">
        <x:v>163.21939783747035</x:v>
      </x:c>
      <x:c r="F2146" s="65" t="n">
        <x:v>163.21939783747035</x:v>
      </x:c>
      <x:c r="G2146" s="65" t="n">
        <x:v>406.87183678474906</x:v>
      </x:c>
      <x:c r="H2146" s="43" t="n">
        <x:v>1</x:v>
      </x:c>
      <x:c r="I2146" s="34" t="str">
        <x:v>generated design-reference observation; not predicted tract behavior</x:v>
      </x:c>
    </x:row>
    <x:row r="2147" ht="75.5999984741211" hidden="0" customHeight="1">
      <x:c r="A2147" s="36" t="str">
        <x:v>B1</x:v>
      </x:c>
      <x:c r="B2147" s="36" t="str">
        <x:v>48201552902</x:v>
      </x:c>
      <x:c r="C2147" s="66" t="n">
        <x:v>426.418472893613</x:v>
      </x:c>
      <x:c r="D2147" s="66" t="n">
        <x:v>256.64469589405314</x:v>
      </x:c>
      <x:c r="E2147" s="66" t="n">
        <x:v>169.77377699955986</x:v>
      </x:c>
      <x:c r="F2147" s="66" t="n">
        <x:v>169.77377699955986</x:v>
      </x:c>
      <x:c r="G2147" s="66" t="n">
        <x:v>426.418472893613</x:v>
      </x:c>
      <x:c r="H2147" s="45" t="n">
        <x:v>1</x:v>
      </x:c>
      <x:c r="I2147" s="36" t="str">
        <x:v>generated design-reference observation; not predicted tract behavior</x:v>
      </x:c>
    </x:row>
    <x:row r="2148" ht="75.5999984741211" hidden="0" customHeight="1">
      <x:c r="A2148" s="34" t="str">
        <x:v>B1</x:v>
      </x:c>
      <x:c r="B2148" s="34" t="str">
        <x:v>48201553001</x:v>
      </x:c>
      <x:c r="C2148" s="65" t="n">
        <x:v>579.1683212151938</x:v>
      </x:c>
      <x:c r="D2148" s="65" t="n">
        <x:v>352.55044081116716</x:v>
      </x:c>
      <x:c r="E2148" s="65" t="n">
        <x:v>226.61788040402666</x:v>
      </x:c>
      <x:c r="F2148" s="65" t="n">
        <x:v>226.61788040402666</x:v>
      </x:c>
      <x:c r="G2148" s="65" t="n">
        <x:v>579.1683212151938</x:v>
      </x:c>
      <x:c r="H2148" s="43" t="n">
        <x:v>1</x:v>
      </x:c>
      <x:c r="I2148" s="34" t="str">
        <x:v>generated design-reference observation; not predicted tract behavior</x:v>
      </x:c>
    </x:row>
    <x:row r="2149" ht="75.5999984741211" hidden="0" customHeight="1">
      <x:c r="A2149" s="36" t="str">
        <x:v>B1</x:v>
      </x:c>
      <x:c r="B2149" s="36" t="str">
        <x:v>48201553002</x:v>
      </x:c>
      <x:c r="C2149" s="66" t="n">
        <x:v>385.5017911152672</x:v>
      </x:c>
      <x:c r="D2149" s="66" t="n">
        <x:v>233.24772136211033</x:v>
      </x:c>
      <x:c r="E2149" s="66" t="n">
        <x:v>152.2540697531569</x:v>
      </x:c>
      <x:c r="F2149" s="66" t="n">
        <x:v>152.2540697531569</x:v>
      </x:c>
      <x:c r="G2149" s="66" t="n">
        <x:v>385.5017911152672</x:v>
      </x:c>
      <x:c r="H2149" s="45" t="n">
        <x:v>1</x:v>
      </x:c>
      <x:c r="I2149" s="36" t="str">
        <x:v>generated design-reference observation; not predicted tract behavior</x:v>
      </x:c>
    </x:row>
    <x:row r="2150" ht="75.5999984741211" hidden="0" customHeight="1">
      <x:c r="A2150" s="34" t="str">
        <x:v>B1</x:v>
      </x:c>
      <x:c r="B2150" s="34" t="str">
        <x:v>48201553101</x:v>
      </x:c>
      <x:c r="C2150" s="65" t="n">
        <x:v>496.40572009395663</x:v>
      </x:c>
      <x:c r="D2150" s="65" t="n">
        <x:v>260.12809304064604</x:v>
      </x:c>
      <x:c r="E2150" s="65" t="n">
        <x:v>236.2776270533106</x:v>
      </x:c>
      <x:c r="F2150" s="65" t="n">
        <x:v>236.2776270533106</x:v>
      </x:c>
      <x:c r="G2150" s="65" t="n">
        <x:v>496.40572009395663</x:v>
      </x:c>
      <x:c r="H2150" s="43" t="n">
        <x:v>1</x:v>
      </x:c>
      <x:c r="I2150" s="34" t="str">
        <x:v>generated design-reference observation; not predicted tract behavior</x:v>
      </x:c>
    </x:row>
    <x:row r="2151" ht="75.5999984741211" hidden="0" customHeight="1">
      <x:c r="A2151" s="36" t="str">
        <x:v>B1</x:v>
      </x:c>
      <x:c r="B2151" s="36" t="str">
        <x:v>48201553102</x:v>
      </x:c>
      <x:c r="C2151" s="66" t="n">
        <x:v>406.9897296442717</x:v>
      </x:c>
      <x:c r="D2151" s="66" t="n">
        <x:v>243.83277296804587</x:v>
      </x:c>
      <x:c r="E2151" s="66" t="n">
        <x:v>163.1569566762258</x:v>
      </x:c>
      <x:c r="F2151" s="66" t="n">
        <x:v>163.1569566762258</x:v>
      </x:c>
      <x:c r="G2151" s="66" t="n">
        <x:v>406.9897296442717</x:v>
      </x:c>
      <x:c r="H2151" s="45" t="n">
        <x:v>1</x:v>
      </x:c>
      <x:c r="I2151" s="36" t="str">
        <x:v>generated design-reference observation; not predicted tract behavior</x:v>
      </x:c>
    </x:row>
    <x:row r="2152" ht="75.5999984741211" hidden="0" customHeight="1">
      <x:c r="A2152" s="34" t="str">
        <x:v>B1</x:v>
      </x:c>
      <x:c r="B2152" s="34" t="str">
        <x:v>48201553201</x:v>
      </x:c>
      <x:c r="C2152" s="65" t="n">
        <x:v>205.03140175791503</x:v>
      </x:c>
      <x:c r="D2152" s="65" t="n">
        <x:v>121.01823042688582</x:v>
      </x:c>
      <x:c r="E2152" s="65" t="n">
        <x:v>84.01317133102921</x:v>
      </x:c>
      <x:c r="F2152" s="65" t="n">
        <x:v>84.01317133102921</x:v>
      </x:c>
      <x:c r="G2152" s="65" t="n">
        <x:v>205.03140175791503</x:v>
      </x:c>
      <x:c r="H2152" s="43" t="n">
        <x:v>1</x:v>
      </x:c>
      <x:c r="I2152" s="34" t="str">
        <x:v>generated design-reference observation; not predicted tract behavior</x:v>
      </x:c>
    </x:row>
    <x:row r="2153" ht="75.5999984741211" hidden="0" customHeight="1">
      <x:c r="A2153" s="36" t="str">
        <x:v>B1</x:v>
      </x:c>
      <x:c r="B2153" s="36" t="str">
        <x:v>48201553202</x:v>
      </x:c>
      <x:c r="C2153" s="66" t="n">
        <x:v>381.3834005559409</x:v>
      </x:c>
      <x:c r="D2153" s="66" t="n">
        <x:v>227.81271564669188</x:v>
      </x:c>
      <x:c r="E2153" s="66" t="n">
        <x:v>153.57068490924902</x:v>
      </x:c>
      <x:c r="F2153" s="66" t="n">
        <x:v>153.57068490924902</x:v>
      </x:c>
      <x:c r="G2153" s="66" t="n">
        <x:v>381.3834005559409</x:v>
      </x:c>
      <x:c r="H2153" s="45" t="n">
        <x:v>1</x:v>
      </x:c>
      <x:c r="I2153" s="36" t="str">
        <x:v>generated design-reference observation; not predicted tract behavior</x:v>
      </x:c>
    </x:row>
    <x:row r="2154" ht="75.5999984741211" hidden="0" customHeight="1">
      <x:c r="A2154" s="34" t="str">
        <x:v>B1</x:v>
      </x:c>
      <x:c r="B2154" s="34" t="str">
        <x:v>48201553300</x:v>
      </x:c>
      <x:c r="C2154" s="65" t="n">
        <x:v>304.1714370925392</x:v>
      </x:c>
      <x:c r="D2154" s="65" t="n">
        <x:v>173.55178909913707</x:v>
      </x:c>
      <x:c r="E2154" s="65" t="n">
        <x:v>130.6196479934021</x:v>
      </x:c>
      <x:c r="F2154" s="65" t="n">
        <x:v>130.6196479934021</x:v>
      </x:c>
      <x:c r="G2154" s="65" t="n">
        <x:v>304.1714370925392</x:v>
      </x:c>
      <x:c r="H2154" s="43" t="n">
        <x:v>1</x:v>
      </x:c>
      <x:c r="I2154" s="34" t="str">
        <x:v>generated design-reference observation; not predicted tract behavior</x:v>
      </x:c>
    </x:row>
    <x:row r="2155" ht="75.5999984741211" hidden="0" customHeight="1">
      <x:c r="A2155" s="36" t="str">
        <x:v>B1</x:v>
      </x:c>
      <x:c r="B2155" s="36" t="str">
        <x:v>48201553401</x:v>
      </x:c>
      <x:c r="C2155" s="66" t="n">
        <x:v>361.6206275379519</x:v>
      </x:c>
      <x:c r="D2155" s="66" t="n">
        <x:v>220.78417947821785</x:v>
      </x:c>
      <x:c r="E2155" s="66" t="n">
        <x:v>140.83644805973407</x:v>
      </x:c>
      <x:c r="F2155" s="66" t="n">
        <x:v>140.83644805973407</x:v>
      </x:c>
      <x:c r="G2155" s="66" t="n">
        <x:v>361.6206275379519</x:v>
      </x:c>
      <x:c r="H2155" s="45" t="n">
        <x:v>1</x:v>
      </x:c>
      <x:c r="I2155" s="36" t="str">
        <x:v>generated design-reference observation; not predicted tract behavior</x:v>
      </x:c>
    </x:row>
    <x:row r="2156" ht="75.5999984741211" hidden="0" customHeight="1">
      <x:c r="A2156" s="34" t="str">
        <x:v>B1</x:v>
      </x:c>
      <x:c r="B2156" s="34" t="str">
        <x:v>48201553403</x:v>
      </x:c>
      <x:c r="C2156" s="65" t="n">
        <x:v>681.3342732775675</x:v>
      </x:c>
      <x:c r="D2156" s="65" t="n">
        <x:v>394.62621942046667</x:v>
      </x:c>
      <x:c r="E2156" s="65" t="n">
        <x:v>286.7080538571008</x:v>
      </x:c>
      <x:c r="F2156" s="65" t="n">
        <x:v>286.7080538571008</x:v>
      </x:c>
      <x:c r="G2156" s="65" t="n">
        <x:v>681.3342732775675</x:v>
      </x:c>
      <x:c r="H2156" s="43" t="n">
        <x:v>1</x:v>
      </x:c>
      <x:c r="I2156" s="34" t="str">
        <x:v>generated design-reference observation; not predicted tract behavior</x:v>
      </x:c>
    </x:row>
    <x:row r="2157" ht="75.5999984741211" hidden="0" customHeight="1">
      <x:c r="A2157" s="36" t="str">
        <x:v>B1</x:v>
      </x:c>
      <x:c r="B2157" s="36" t="str">
        <x:v>48201553404</x:v>
      </x:c>
      <x:c r="C2157" s="66" t="n">
        <x:v>281.3316604410077</x:v>
      </x:c>
      <x:c r="D2157" s="66" t="n">
        <x:v>171.8936445294557</x:v>
      </x:c>
      <x:c r="E2157" s="66" t="n">
        <x:v>109.43801591155201</x:v>
      </x:c>
      <x:c r="F2157" s="66" t="n">
        <x:v>109.43801591155201</x:v>
      </x:c>
      <x:c r="G2157" s="66" t="n">
        <x:v>281.3316604410077</x:v>
      </x:c>
      <x:c r="H2157" s="45" t="n">
        <x:v>1</x:v>
      </x:c>
      <x:c r="I2157" s="36" t="str">
        <x:v>generated design-reference observation; not predicted tract behavior</x:v>
      </x:c>
    </x:row>
    <x:row r="2158" ht="75.5999984741211" hidden="0" customHeight="1">
      <x:c r="A2158" s="34" t="str">
        <x:v>B1</x:v>
      </x:c>
      <x:c r="B2158" s="34" t="str">
        <x:v>48201553405</x:v>
      </x:c>
      <x:c r="C2158" s="65" t="n">
        <x:v>1134.3082639233605</x:v>
      </x:c>
      <x:c r="D2158" s="65" t="n">
        <x:v>326.88331795658866</x:v>
      </x:c>
      <x:c r="E2158" s="65" t="n">
        <x:v>807.4249459667719</x:v>
      </x:c>
      <x:c r="F2158" s="65" t="n">
        <x:v>807.4249459667719</x:v>
      </x:c>
      <x:c r="G2158" s="65" t="n">
        <x:v>1134.3082639233605</x:v>
      </x:c>
      <x:c r="H2158" s="43" t="n">
        <x:v>1</x:v>
      </x:c>
      <x:c r="I2158" s="34" t="str">
        <x:v>generated design-reference observation; not predicted tract behavior</x:v>
      </x:c>
    </x:row>
    <x:row r="2159" ht="75.5999984741211" hidden="0" customHeight="1">
      <x:c r="A2159" s="36" t="str">
        <x:v>B1</x:v>
      </x:c>
      <x:c r="B2159" s="36" t="str">
        <x:v>48201553500</x:v>
      </x:c>
      <x:c r="C2159" s="66" t="n">
        <x:v>592.7652976801455</x:v>
      </x:c>
      <x:c r="D2159" s="66" t="n">
        <x:v>361.03630165001965</x:v>
      </x:c>
      <x:c r="E2159" s="66" t="n">
        <x:v>231.72899603012587</x:v>
      </x:c>
      <x:c r="F2159" s="66" t="n">
        <x:v>231.72899603012587</x:v>
      </x:c>
      <x:c r="G2159" s="66" t="n">
        <x:v>592.7652976801455</x:v>
      </x:c>
      <x:c r="H2159" s="45" t="n">
        <x:v>1</x:v>
      </x:c>
      <x:c r="I2159" s="36" t="str">
        <x:v>generated design-reference observation; not predicted tract behavior</x:v>
      </x:c>
    </x:row>
    <x:row r="2160" ht="75.5999984741211" hidden="0" customHeight="1">
      <x:c r="A2160" s="34" t="str">
        <x:v>B1</x:v>
      </x:c>
      <x:c r="B2160" s="34" t="str">
        <x:v>48201553601</x:v>
      </x:c>
      <x:c r="C2160" s="65" t="n">
        <x:v>411.3439059226435</x:v>
      </x:c>
      <x:c r="D2160" s="65" t="n">
        <x:v>245.4059986882437</x:v>
      </x:c>
      <x:c r="E2160" s="65" t="n">
        <x:v>165.9379072343998</x:v>
      </x:c>
      <x:c r="F2160" s="65" t="n">
        <x:v>136.6985902934699</x:v>
      </x:c>
      <x:c r="G2160" s="65" t="n">
        <x:v>382.1045889817136</x:v>
      </x:c>
      <x:c r="H2160" s="43" t="n">
        <x:v>0.9289175881301897</x:v>
      </x:c>
      <x:c r="I2160" s="34" t="str">
        <x:v>generated design-reference observation; not predicted tract behavior</x:v>
      </x:c>
    </x:row>
    <x:row r="2161" ht="75.5999984741211" hidden="0" customHeight="1">
      <x:c r="A2161" s="36" t="str">
        <x:v>B1</x:v>
      </x:c>
      <x:c r="B2161" s="36" t="str">
        <x:v>48201553602</x:v>
      </x:c>
      <x:c r="C2161" s="66" t="n">
        <x:v>196.3309087251397</x:v>
      </x:c>
      <x:c r="D2161" s="66" t="n">
        <x:v>112.629768812267</x:v>
      </x:c>
      <x:c r="E2161" s="66" t="n">
        <x:v>83.70113991287269</x:v>
      </x:c>
      <x:c r="F2161" s="66" t="n">
        <x:v>83.70113991287269</x:v>
      </x:c>
      <x:c r="G2161" s="66" t="n">
        <x:v>196.3309087251397</x:v>
      </x:c>
      <x:c r="H2161" s="45" t="n">
        <x:v>1</x:v>
      </x:c>
      <x:c r="I2161" s="36" t="str">
        <x:v>generated design-reference observation; not predicted tract behavior</x:v>
      </x:c>
    </x:row>
    <x:row r="2162" ht="75.5999984741211" hidden="0" customHeight="1">
      <x:c r="A2162" s="34" t="str">
        <x:v>B1</x:v>
      </x:c>
      <x:c r="B2162" s="34" t="str">
        <x:v>48201553700</x:v>
      </x:c>
      <x:c r="C2162" s="65" t="n">
        <x:v>629.8271852414822</x:v>
      </x:c>
      <x:c r="D2162" s="65" t="n">
        <x:v>334.3202958017574</x:v>
      </x:c>
      <x:c r="E2162" s="65" t="n">
        <x:v>295.5068894397248</x:v>
      </x:c>
      <x:c r="F2162" s="65" t="n">
        <x:v>295.5068894397248</x:v>
      </x:c>
      <x:c r="G2162" s="65" t="n">
        <x:v>629.8271852414822</x:v>
      </x:c>
      <x:c r="H2162" s="43" t="n">
        <x:v>1</x:v>
      </x:c>
      <x:c r="I2162" s="34" t="str">
        <x:v>generated design-reference observation; not predicted tract behavior</x:v>
      </x:c>
    </x:row>
    <x:row r="2163" ht="75.5999984741211" hidden="0" customHeight="1">
      <x:c r="A2163" s="36" t="str">
        <x:v>B1</x:v>
      </x:c>
      <x:c r="B2163" s="36" t="str">
        <x:v>48201553801</x:v>
      </x:c>
      <x:c r="C2163" s="66" t="n">
        <x:v>209.30305303462097</x:v>
      </x:c>
      <x:c r="D2163" s="66" t="n">
        <x:v>124.9764833275958</x:v>
      </x:c>
      <x:c r="E2163" s="66" t="n">
        <x:v>84.32656970702517</x:v>
      </x:c>
      <x:c r="F2163" s="66" t="n">
        <x:v>84.32656970702517</x:v>
      </x:c>
      <x:c r="G2163" s="66" t="n">
        <x:v>209.30305303462097</x:v>
      </x:c>
      <x:c r="H2163" s="45" t="n">
        <x:v>1</x:v>
      </x:c>
      <x:c r="I2163" s="36" t="str">
        <x:v>generated design-reference observation; not predicted tract behavior</x:v>
      </x:c>
    </x:row>
    <x:row r="2164" ht="75.5999984741211" hidden="0" customHeight="1">
      <x:c r="A2164" s="34" t="str">
        <x:v>B1</x:v>
      </x:c>
      <x:c r="B2164" s="34" t="str">
        <x:v>48201553803</x:v>
      </x:c>
      <x:c r="C2164" s="65" t="n">
        <x:v>390.0367364449072</x:v>
      </x:c>
      <x:c r="D2164" s="65" t="n">
        <x:v>237.65090447870088</x:v>
      </x:c>
      <x:c r="E2164" s="65" t="n">
        <x:v>152.38583196620633</x:v>
      </x:c>
      <x:c r="F2164" s="65" t="n">
        <x:v>152.38583196620633</x:v>
      </x:c>
      <x:c r="G2164" s="65" t="n">
        <x:v>390.0367364449072</x:v>
      </x:c>
      <x:c r="H2164" s="43" t="n">
        <x:v>1</x:v>
      </x:c>
      <x:c r="I2164" s="34" t="str">
        <x:v>generated design-reference observation; not predicted tract behavior</x:v>
      </x:c>
    </x:row>
    <x:row r="2165" ht="75.5999984741211" hidden="0" customHeight="1">
      <x:c r="A2165" s="36" t="str">
        <x:v>B1</x:v>
      </x:c>
      <x:c r="B2165" s="36" t="str">
        <x:v>48201553804</x:v>
      </x:c>
      <x:c r="C2165" s="66" t="n">
        <x:v>470.28640592201054</x:v>
      </x:c>
      <x:c r="D2165" s="66" t="n">
        <x:v>274.552981524715</x:v>
      </x:c>
      <x:c r="E2165" s="66" t="n">
        <x:v>195.73342439729555</x:v>
      </x:c>
      <x:c r="F2165" s="66" t="n">
        <x:v>195.73342439729555</x:v>
      </x:c>
      <x:c r="G2165" s="66" t="n">
        <x:v>470.28640592201054</x:v>
      </x:c>
      <x:c r="H2165" s="45" t="n">
        <x:v>1</x:v>
      </x:c>
      <x:c r="I2165" s="36" t="str">
        <x:v>generated design-reference observation; not predicted tract behavior</x:v>
      </x:c>
    </x:row>
    <x:row r="2166" ht="75.5999984741211" hidden="0" customHeight="1">
      <x:c r="A2166" s="34" t="str">
        <x:v>B1</x:v>
      </x:c>
      <x:c r="B2166" s="34" t="str">
        <x:v>48201553901</x:v>
      </x:c>
      <x:c r="C2166" s="65" t="n">
        <x:v>888.7093246249171</x:v>
      </x:c>
      <x:c r="D2166" s="65" t="n">
        <x:v>473.4897118240554</x:v>
      </x:c>
      <x:c r="E2166" s="65" t="n">
        <x:v>415.21961280086174</x:v>
      </x:c>
      <x:c r="F2166" s="65" t="n">
        <x:v>415.21961280086174</x:v>
      </x:c>
      <x:c r="G2166" s="65" t="n">
        <x:v>888.7093246249171</x:v>
      </x:c>
      <x:c r="H2166" s="43" t="n">
        <x:v>1</x:v>
      </x:c>
      <x:c r="I2166" s="34" t="str">
        <x:v>generated design-reference observation; not predicted tract behavior</x:v>
      </x:c>
    </x:row>
    <x:row r="2167" ht="75.5999984741211" hidden="0" customHeight="1">
      <x:c r="A2167" s="36" t="str">
        <x:v>B1</x:v>
      </x:c>
      <x:c r="B2167" s="36" t="str">
        <x:v>48201554001</x:v>
      </x:c>
      <x:c r="C2167" s="66" t="n">
        <x:v>286.8962034104793</x:v>
      </x:c>
      <x:c r="D2167" s="66" t="n">
        <x:v>162.5537971952158</x:v>
      </x:c>
      <x:c r="E2167" s="66" t="n">
        <x:v>124.34240621526351</x:v>
      </x:c>
      <x:c r="F2167" s="66" t="n">
        <x:v>124.34240621526351</x:v>
      </x:c>
      <x:c r="G2167" s="66" t="n">
        <x:v>286.8962034104793</x:v>
      </x:c>
      <x:c r="H2167" s="45" t="n">
        <x:v>1</x:v>
      </x:c>
      <x:c r="I2167" s="36" t="str">
        <x:v>generated design-reference observation; not predicted tract behavior</x:v>
      </x:c>
    </x:row>
    <x:row r="2168" ht="75.5999984741211" hidden="0" customHeight="1">
      <x:c r="A2168" s="34" t="str">
        <x:v>B1</x:v>
      </x:c>
      <x:c r="B2168" s="34" t="str">
        <x:v>48201554002</x:v>
      </x:c>
      <x:c r="C2168" s="65" t="n">
        <x:v>369.35439912264115</x:v>
      </x:c>
      <x:c r="D2168" s="65" t="n">
        <x:v>225.67553786393376</x:v>
      </x:c>
      <x:c r="E2168" s="65" t="n">
        <x:v>143.6788612587074</x:v>
      </x:c>
      <x:c r="F2168" s="65" t="n">
        <x:v>143.6788612587074</x:v>
      </x:c>
      <x:c r="G2168" s="65" t="n">
        <x:v>369.35439912264115</x:v>
      </x:c>
      <x:c r="H2168" s="43" t="n">
        <x:v>1</x:v>
      </x:c>
      <x:c r="I2168" s="34" t="str">
        <x:v>generated design-reference observation; not predicted tract behavior</x:v>
      </x:c>
    </x:row>
    <x:row r="2169" ht="75.5999984741211" hidden="0" customHeight="1">
      <x:c r="A2169" s="36" t="str">
        <x:v>B1</x:v>
      </x:c>
      <x:c r="B2169" s="36" t="str">
        <x:v>48201554103</x:v>
      </x:c>
      <x:c r="C2169" s="66" t="n">
        <x:v>411.3910630664526</x:v>
      </x:c>
      <x:c r="D2169" s="66" t="n">
        <x:v>251.35993953360253</x:v>
      </x:c>
      <x:c r="E2169" s="66" t="n">
        <x:v>160.03112353285007</x:v>
      </x:c>
      <x:c r="F2169" s="66" t="n">
        <x:v>160.03112353285007</x:v>
      </x:c>
      <x:c r="G2169" s="66" t="n">
        <x:v>411.3910630664526</x:v>
      </x:c>
      <x:c r="H2169" s="45" t="n">
        <x:v>1</x:v>
      </x:c>
      <x:c r="I2169" s="36" t="str">
        <x:v>generated design-reference observation; not predicted tract behavior</x:v>
      </x:c>
    </x:row>
    <x:row r="2170" ht="75.5999984741211" hidden="0" customHeight="1">
      <x:c r="A2170" s="34" t="str">
        <x:v>B1</x:v>
      </x:c>
      <x:c r="B2170" s="34" t="str">
        <x:v>48201554104</x:v>
      </x:c>
      <x:c r="C2170" s="65" t="n">
        <x:v>325.58863990583006</x:v>
      </x:c>
      <x:c r="D2170" s="65" t="n">
        <x:v>198.93465898246217</x:v>
      </x:c>
      <x:c r="E2170" s="65" t="n">
        <x:v>126.6539809233679</x:v>
      </x:c>
      <x:c r="F2170" s="65" t="n">
        <x:v>126.6539809233679</x:v>
      </x:c>
      <x:c r="G2170" s="65" t="n">
        <x:v>325.58863990583006</x:v>
      </x:c>
      <x:c r="H2170" s="43" t="n">
        <x:v>1</x:v>
      </x:c>
      <x:c r="I2170" s="34" t="str">
        <x:v>generated design-reference observation; not predicted tract behavior</x:v>
      </x:c>
    </x:row>
    <x:row r="2171" ht="75.5999984741211" hidden="0" customHeight="1">
      <x:c r="A2171" s="36" t="str">
        <x:v>B1</x:v>
      </x:c>
      <x:c r="B2171" s="36" t="str">
        <x:v>48201554201</x:v>
      </x:c>
      <x:c r="C2171" s="66" t="n">
        <x:v>522.9255676988969</x:v>
      </x:c>
      <x:c r="D2171" s="66" t="n">
        <x:v>299.784012693692</x:v>
      </x:c>
      <x:c r="E2171" s="66" t="n">
        <x:v>223.1415550052049</x:v>
      </x:c>
      <x:c r="F2171" s="66" t="n">
        <x:v>223.1415550052049</x:v>
      </x:c>
      <x:c r="G2171" s="66" t="n">
        <x:v>522.9255676988969</x:v>
      </x:c>
      <x:c r="H2171" s="45" t="n">
        <x:v>1</x:v>
      </x:c>
      <x:c r="I2171" s="36" t="str">
        <x:v>generated design-reference observation; not predicted tract behavior</x:v>
      </x:c>
    </x:row>
    <x:row r="2172" ht="75.5999984741211" hidden="0" customHeight="1">
      <x:c r="A2172" s="34" t="str">
        <x:v>B1</x:v>
      </x:c>
      <x:c r="B2172" s="34" t="str">
        <x:v>48201554202</x:v>
      </x:c>
      <x:c r="C2172" s="65" t="n">
        <x:v>256.9749956636176</x:v>
      </x:c>
      <x:c r="D2172" s="65" t="n">
        <x:v>144.81707079949499</x:v>
      </x:c>
      <x:c r="E2172" s="65" t="n">
        <x:v>112.15792486412263</x:v>
      </x:c>
      <x:c r="F2172" s="65" t="n">
        <x:v>112.15792486412263</x:v>
      </x:c>
      <x:c r="G2172" s="65" t="n">
        <x:v>256.9749956636176</x:v>
      </x:c>
      <x:c r="H2172" s="43" t="n">
        <x:v>1</x:v>
      </x:c>
      <x:c r="I2172" s="34" t="str">
        <x:v>generated design-reference observation; not predicted tract behavior</x:v>
      </x:c>
    </x:row>
    <x:row r="2173" ht="75.5999984741211" hidden="0" customHeight="1">
      <x:c r="A2173" s="36" t="str">
        <x:v>B1</x:v>
      </x:c>
      <x:c r="B2173" s="36" t="str">
        <x:v>48201554301</x:v>
      </x:c>
      <x:c r="C2173" s="66" t="n">
        <x:v>638.0361557368631</x:v>
      </x:c>
      <x:c r="D2173" s="66" t="n">
        <x:v>383.51552286384606</x:v>
      </x:c>
      <x:c r="E2173" s="66" t="n">
        <x:v>254.520632873017</x:v>
      </x:c>
      <x:c r="F2173" s="66" t="n">
        <x:v>254.520632873017</x:v>
      </x:c>
      <x:c r="G2173" s="66" t="n">
        <x:v>638.0361557368631</x:v>
      </x:c>
      <x:c r="H2173" s="45" t="n">
        <x:v>1</x:v>
      </x:c>
      <x:c r="I2173" s="36" t="str">
        <x:v>generated design-reference observation; not predicted tract behavior</x:v>
      </x:c>
    </x:row>
    <x:row r="2174" ht="75.5999984741211" hidden="0" customHeight="1">
      <x:c r="A2174" s="34" t="str">
        <x:v>B1</x:v>
      </x:c>
      <x:c r="B2174" s="34" t="str">
        <x:v>48201554302</x:v>
      </x:c>
      <x:c r="C2174" s="65" t="n">
        <x:v>690.3222435139481</x:v>
      </x:c>
      <x:c r="D2174" s="65" t="n">
        <x:v>364.2846377353561</x:v>
      </x:c>
      <x:c r="E2174" s="65" t="n">
        <x:v>326.037605778592</x:v>
      </x:c>
      <x:c r="F2174" s="65" t="n">
        <x:v>326.037605778592</x:v>
      </x:c>
      <x:c r="G2174" s="65" t="n">
        <x:v>690.3222435139481</x:v>
      </x:c>
      <x:c r="H2174" s="43" t="n">
        <x:v>1</x:v>
      </x:c>
      <x:c r="I2174" s="34" t="str">
        <x:v>generated design-reference observation; not predicted tract behavior</x:v>
      </x:c>
    </x:row>
    <x:row r="2175" ht="75.5999984741211" hidden="0" customHeight="1">
      <x:c r="A2175" s="36" t="str">
        <x:v>B1</x:v>
      </x:c>
      <x:c r="B2175" s="36" t="str">
        <x:v>48201554404</x:v>
      </x:c>
      <x:c r="C2175" s="66" t="n">
        <x:v>381.6663434187953</x:v>
      </x:c>
      <x:c r="D2175" s="66" t="n">
        <x:v>233.19813582888392</x:v>
      </x:c>
      <x:c r="E2175" s="66" t="n">
        <x:v>148.46820758991137</x:v>
      </x:c>
      <x:c r="F2175" s="66" t="n">
        <x:v>148.46820758991137</x:v>
      </x:c>
      <x:c r="G2175" s="66" t="n">
        <x:v>381.6663434187953</x:v>
      </x:c>
      <x:c r="H2175" s="45" t="n">
        <x:v>1</x:v>
      </x:c>
      <x:c r="I2175" s="36" t="str">
        <x:v>generated design-reference observation; not predicted tract behavior</x:v>
      </x:c>
    </x:row>
    <x:row r="2176" ht="75.5999984741211" hidden="0" customHeight="1">
      <x:c r="A2176" s="34" t="str">
        <x:v>B1</x:v>
      </x:c>
      <x:c r="B2176" s="34" t="str">
        <x:v>48201554405</x:v>
      </x:c>
      <x:c r="C2176" s="65" t="n">
        <x:v>713.1103286809196</x:v>
      </x:c>
      <x:c r="D2176" s="65" t="n">
        <x:v>434.60374432340024</x:v>
      </x:c>
      <x:c r="E2176" s="65" t="n">
        <x:v>278.50658435751933</x:v>
      </x:c>
      <x:c r="F2176" s="65" t="n">
        <x:v>278.50658435751933</x:v>
      </x:c>
      <x:c r="G2176" s="65" t="n">
        <x:v>713.1103286809196</x:v>
      </x:c>
      <x:c r="H2176" s="43" t="n">
        <x:v>1</x:v>
      </x:c>
      <x:c r="I2176" s="34" t="str">
        <x:v>generated design-reference observation; not predicted tract behavior</x:v>
      </x:c>
    </x:row>
    <x:row r="2177" ht="75.5999984741211" hidden="0" customHeight="1">
      <x:c r="A2177" s="36" t="str">
        <x:v>B1</x:v>
      </x:c>
      <x:c r="B2177" s="36" t="str">
        <x:v>48201554406</x:v>
      </x:c>
      <x:c r="C2177" s="66" t="n">
        <x:v>710.422371483802</x:v>
      </x:c>
      <x:c r="D2177" s="66" t="n">
        <x:v>378.65512400086646</x:v>
      </x:c>
      <x:c r="E2177" s="66" t="n">
        <x:v>331.7672474829355</x:v>
      </x:c>
      <x:c r="F2177" s="66" t="n">
        <x:v>331.7672474829355</x:v>
      </x:c>
      <x:c r="G2177" s="66" t="n">
        <x:v>710.422371483802</x:v>
      </x:c>
      <x:c r="H2177" s="45" t="n">
        <x:v>1</x:v>
      </x:c>
      <x:c r="I2177" s="36" t="str">
        <x:v>generated design-reference observation; not predicted tract behavior</x:v>
      </x:c>
    </x:row>
    <x:row r="2178" ht="75.5999984741211" hidden="0" customHeight="1">
      <x:c r="A2178" s="34" t="str">
        <x:v>B1</x:v>
      </x:c>
      <x:c r="B2178" s="34" t="str">
        <x:v>48201554407</x:v>
      </x:c>
      <x:c r="C2178" s="65" t="n">
        <x:v>506.1061864069913</x:v>
      </x:c>
      <x:c r="D2178" s="65" t="n">
        <x:v>308.270896918517</x:v>
      </x:c>
      <x:c r="E2178" s="65" t="n">
        <x:v>197.8352894884743</x:v>
      </x:c>
      <x:c r="F2178" s="65" t="n">
        <x:v>197.8352894884743</x:v>
      </x:c>
      <x:c r="G2178" s="65" t="n">
        <x:v>506.1061864069913</x:v>
      </x:c>
      <x:c r="H2178" s="43" t="n">
        <x:v>1</x:v>
      </x:c>
      <x:c r="I2178" s="34" t="str">
        <x:v>generated design-reference observation; not predicted tract behavior</x:v>
      </x:c>
    </x:row>
    <x:row r="2179" ht="75.5999984741211" hidden="0" customHeight="1">
      <x:c r="A2179" s="36" t="str">
        <x:v>B1</x:v>
      </x:c>
      <x:c r="B2179" s="36" t="str">
        <x:v>48201554408</x:v>
      </x:c>
      <x:c r="C2179" s="66" t="n">
        <x:v>1574.3738933195682</x:v>
      </x:c>
      <x:c r="D2179" s="66" t="n">
        <x:v>455.3253933119808</x:v>
      </x:c>
      <x:c r="E2179" s="66" t="n">
        <x:v>1119.0485000075873</x:v>
      </x:c>
      <x:c r="F2179" s="66" t="n">
        <x:v>1119.0485000075873</x:v>
      </x:c>
      <x:c r="G2179" s="66" t="n">
        <x:v>1574.3738933195682</x:v>
      </x:c>
      <x:c r="H2179" s="45" t="n">
        <x:v>1</x:v>
      </x:c>
      <x:c r="I2179" s="36" t="str">
        <x:v>generated design-reference observation; not predicted tract behavior</x:v>
      </x:c>
    </x:row>
    <x:row r="2180" ht="75.5999984741211" hidden="0" customHeight="1">
      <x:c r="A2180" s="34" t="str">
        <x:v>B1</x:v>
      </x:c>
      <x:c r="B2180" s="34" t="str">
        <x:v>48201554409</x:v>
      </x:c>
      <x:c r="C2180" s="65" t="n">
        <x:v>572.9435782323953</x:v>
      </x:c>
      <x:c r="D2180" s="65" t="n">
        <x:v>341.84443490033595</x:v>
      </x:c>
      <x:c r="E2180" s="65" t="n">
        <x:v>231.09914333205938</x:v>
      </x:c>
      <x:c r="F2180" s="65" t="n">
        <x:v>162.7229474921457</x:v>
      </x:c>
      <x:c r="G2180" s="65" t="n">
        <x:v>504.56738239248165</x:v>
      </x:c>
      <x:c r="H2180" s="43" t="n">
        <x:v>0.8806580640089151</x:v>
      </x:c>
      <x:c r="I2180" s="34" t="str">
        <x:v>generated design-reference observation; not predicted tract behavior</x:v>
      </x:c>
    </x:row>
    <x:row r="2181" ht="75.5999984741211" hidden="0" customHeight="1">
      <x:c r="A2181" s="36" t="str">
        <x:v>B1</x:v>
      </x:c>
      <x:c r="B2181" s="36" t="str">
        <x:v>48201554410</x:v>
      </x:c>
      <x:c r="C2181" s="66" t="n">
        <x:v>364.54044069213086</x:v>
      </x:c>
      <x:c r="D2181" s="66" t="n">
        <x:v>218.43535842066484</x:v>
      </x:c>
      <x:c r="E2181" s="66" t="n">
        <x:v>146.10508227146602</x:v>
      </x:c>
      <x:c r="F2181" s="66" t="n">
        <x:v>146.10508227146602</x:v>
      </x:c>
      <x:c r="G2181" s="66" t="n">
        <x:v>364.54044069213086</x:v>
      </x:c>
      <x:c r="H2181" s="45" t="n">
        <x:v>1</x:v>
      </x:c>
      <x:c r="I2181" s="36" t="str">
        <x:v>generated design-reference observation; not predicted tract behavior</x:v>
      </x:c>
    </x:row>
    <x:row r="2182" ht="75.5999984741211" hidden="0" customHeight="1">
      <x:c r="A2182" s="34" t="str">
        <x:v>B1</x:v>
      </x:c>
      <x:c r="B2182" s="34" t="str">
        <x:v>48201554501</x:v>
      </x:c>
      <x:c r="C2182" s="65" t="n">
        <x:v>921.5328127417208</x:v>
      </x:c>
      <x:c r="D2182" s="65" t="n">
        <x:v>491.1769891913372</x:v>
      </x:c>
      <x:c r="E2182" s="65" t="n">
        <x:v>430.3558235503836</x:v>
      </x:c>
      <x:c r="F2182" s="65" t="n">
        <x:v>430.35582355038355</x:v>
      </x:c>
      <x:c r="G2182" s="65" t="n">
        <x:v>921.5328127417208</x:v>
      </x:c>
      <x:c r="H2182" s="43" t="n">
        <x:v>1</x:v>
      </x:c>
      <x:c r="I2182" s="34" t="str">
        <x:v>generated design-reference observation; not predicted tract behavior</x:v>
      </x:c>
    </x:row>
    <x:row r="2183" ht="75.5999984741211" hidden="0" customHeight="1">
      <x:c r="A2183" s="36" t="str">
        <x:v>B1</x:v>
      </x:c>
      <x:c r="B2183" s="36" t="str">
        <x:v>48201554502</x:v>
      </x:c>
      <x:c r="C2183" s="66" t="n">
        <x:v>846.750046763254</x:v>
      </x:c>
      <x:c r="D2183" s="66" t="n">
        <x:v>451.3177749248144</x:v>
      </x:c>
      <x:c r="E2183" s="66" t="n">
        <x:v>395.4322718384396</x:v>
      </x:c>
      <x:c r="F2183" s="66" t="n">
        <x:v>395.4322718384396</x:v>
      </x:c>
      <x:c r="G2183" s="66" t="n">
        <x:v>846.750046763254</x:v>
      </x:c>
      <x:c r="H2183" s="45" t="n">
        <x:v>1</x:v>
      </x:c>
      <x:c r="I2183" s="36" t="str">
        <x:v>generated design-reference observation; not predicted tract behavior</x:v>
      </x:c>
    </x:row>
    <x:row r="2184" ht="75.5999984741211" hidden="0" customHeight="1">
      <x:c r="A2184" s="34" t="str">
        <x:v>B1</x:v>
      </x:c>
      <x:c r="B2184" s="34" t="str">
        <x:v>48201554600</x:v>
      </x:c>
      <x:c r="C2184" s="65" t="n">
        <x:v>373.02086705379713</x:v>
      </x:c>
      <x:c r="D2184" s="65" t="n">
        <x:v>226.91171562991468</x:v>
      </x:c>
      <x:c r="E2184" s="65" t="n">
        <x:v>146.10915142388245</x:v>
      </x:c>
      <x:c r="F2184" s="65" t="n">
        <x:v>146.10915142388245</x:v>
      </x:c>
      <x:c r="G2184" s="65" t="n">
        <x:v>373.02086705379713</x:v>
      </x:c>
      <x:c r="H2184" s="43" t="n">
        <x:v>1</x:v>
      </x:c>
      <x:c r="I2184" s="34" t="str">
        <x:v>generated design-reference observation; not predicted tract behavior</x:v>
      </x:c>
    </x:row>
    <x:row r="2185" ht="75.5999984741211" hidden="0" customHeight="1">
      <x:c r="A2185" s="36" t="str">
        <x:v>B1</x:v>
      </x:c>
      <x:c r="B2185" s="36" t="str">
        <x:v>48201554701</x:v>
      </x:c>
      <x:c r="C2185" s="66" t="n">
        <x:v>269.15725781429677</x:v>
      </x:c>
      <x:c r="D2185" s="66" t="n">
        <x:v>156.11914258831192</x:v>
      </x:c>
      <x:c r="E2185" s="66" t="n">
        <x:v>113.03811522598485</x:v>
      </x:c>
      <x:c r="F2185" s="66" t="n">
        <x:v>113.03811522598485</x:v>
      </x:c>
      <x:c r="G2185" s="66" t="n">
        <x:v>269.15725781429677</x:v>
      </x:c>
      <x:c r="H2185" s="45" t="n">
        <x:v>1</x:v>
      </x:c>
      <x:c r="I2185" s="36" t="str">
        <x:v>generated design-reference observation; not predicted tract behavior</x:v>
      </x:c>
    </x:row>
    <x:row r="2186" ht="75.5999984741211" hidden="0" customHeight="1">
      <x:c r="A2186" s="34" t="str">
        <x:v>B1</x:v>
      </x:c>
      <x:c r="B2186" s="34" t="str">
        <x:v>48201554702</x:v>
      </x:c>
      <x:c r="C2186" s="65" t="n">
        <x:v>350.9906213709883</x:v>
      </x:c>
      <x:c r="D2186" s="65" t="n">
        <x:v>214.45526965767388</x:v>
      </x:c>
      <x:c r="E2186" s="65" t="n">
        <x:v>136.53535171331444</x:v>
      </x:c>
      <x:c r="F2186" s="65" t="n">
        <x:v>136.53535171331444</x:v>
      </x:c>
      <x:c r="G2186" s="65" t="n">
        <x:v>350.9906213709883</x:v>
      </x:c>
      <x:c r="H2186" s="43" t="n">
        <x:v>1</x:v>
      </x:c>
      <x:c r="I2186" s="34" t="str">
        <x:v>generated design-reference observation; not predicted tract behavior</x:v>
      </x:c>
    </x:row>
    <x:row r="2187" ht="75.5999984741211" hidden="0" customHeight="1">
      <x:c r="A2187" s="36" t="str">
        <x:v>B1</x:v>
      </x:c>
      <x:c r="B2187" s="36" t="str">
        <x:v>48201554803</x:v>
      </x:c>
      <x:c r="C2187" s="66" t="n">
        <x:v>642.6103986863438</x:v>
      </x:c>
      <x:c r="D2187" s="66" t="n">
        <x:v>390.44399979028003</x:v>
      </x:c>
      <x:c r="E2187" s="66" t="n">
        <x:v>252.1663988960638</x:v>
      </x:c>
      <x:c r="F2187" s="66" t="n">
        <x:v>252.1663988960638</x:v>
      </x:c>
      <x:c r="G2187" s="66" t="n">
        <x:v>642.6103986863438</x:v>
      </x:c>
      <x:c r="H2187" s="45" t="n">
        <x:v>1</x:v>
      </x:c>
      <x:c r="I2187" s="36" t="str">
        <x:v>generated design-reference observation; not predicted tract behavior</x:v>
      </x:c>
    </x:row>
    <x:row r="2188" ht="75.5999984741211" hidden="0" customHeight="1">
      <x:c r="A2188" s="34" t="str">
        <x:v>B1</x:v>
      </x:c>
      <x:c r="B2188" s="34" t="str">
        <x:v>48201554804</x:v>
      </x:c>
      <x:c r="C2188" s="65" t="n">
        <x:v>373.405983728238</x:v>
      </x:c>
      <x:c r="D2188" s="65" t="n">
        <x:v>221.93110079664496</x:v>
      </x:c>
      <x:c r="E2188" s="65" t="n">
        <x:v>151.47488293159307</x:v>
      </x:c>
      <x:c r="F2188" s="65" t="n">
        <x:v>151.47488293159307</x:v>
      </x:c>
      <x:c r="G2188" s="65" t="n">
        <x:v>373.405983728238</x:v>
      </x:c>
      <x:c r="H2188" s="43" t="n">
        <x:v>1</x:v>
      </x:c>
      <x:c r="I2188" s="34" t="str">
        <x:v>generated design-reference observation; not predicted tract behavior</x:v>
      </x:c>
    </x:row>
    <x:row r="2189" ht="75.5999984741211" hidden="0" customHeight="1">
      <x:c r="A2189" s="36" t="str">
        <x:v>B1</x:v>
      </x:c>
      <x:c r="B2189" s="36" t="str">
        <x:v>48201554805</x:v>
      </x:c>
      <x:c r="C2189" s="66" t="n">
        <x:v>714.6193572828101</x:v>
      </x:c>
      <x:c r="D2189" s="66" t="n">
        <x:v>436.632427299797</x:v>
      </x:c>
      <x:c r="E2189" s="66" t="n">
        <x:v>277.98692998301317</x:v>
      </x:c>
      <x:c r="F2189" s="66" t="n">
        <x:v>277.98692998301317</x:v>
      </x:c>
      <x:c r="G2189" s="66" t="n">
        <x:v>714.6193572828101</x:v>
      </x:c>
      <x:c r="H2189" s="45" t="n">
        <x:v>1</x:v>
      </x:c>
      <x:c r="I2189" s="36" t="str">
        <x:v>generated design-reference observation; not predicted tract behavior</x:v>
      </x:c>
    </x:row>
    <x:row r="2190" ht="75.5999984741211" hidden="0" customHeight="1">
      <x:c r="A2190" s="34" t="str">
        <x:v>B1</x:v>
      </x:c>
      <x:c r="B2190" s="34" t="str">
        <x:v>48201554806</x:v>
      </x:c>
      <x:c r="C2190" s="65" t="n">
        <x:v>165.58445096161898</x:v>
      </x:c>
      <x:c r="D2190" s="65" t="n">
        <x:v>101.17209953754919</x:v>
      </x:c>
      <x:c r="E2190" s="65" t="n">
        <x:v>64.4123514240698</x:v>
      </x:c>
      <x:c r="F2190" s="65" t="n">
        <x:v>64.4123514240698</x:v>
      </x:c>
      <x:c r="G2190" s="65" t="n">
        <x:v>165.58445096161898</x:v>
      </x:c>
      <x:c r="H2190" s="43" t="n">
        <x:v>1</x:v>
      </x:c>
      <x:c r="I2190" s="34" t="str">
        <x:v>generated design-reference observation; not predicted tract behavior</x:v>
      </x:c>
    </x:row>
    <x:row r="2191" ht="75.5999984741211" hidden="0" customHeight="1">
      <x:c r="A2191" s="36" t="str">
        <x:v>B1</x:v>
      </x:c>
      <x:c r="B2191" s="36" t="str">
        <x:v>48201554807</x:v>
      </x:c>
      <x:c r="C2191" s="66" t="n">
        <x:v>532.8285678988038</x:v>
      </x:c>
      <x:c r="D2191" s="66" t="n">
        <x:v>325.5582549861692</x:v>
      </x:c>
      <x:c r="E2191" s="66" t="n">
        <x:v>207.27031291263467</x:v>
      </x:c>
      <x:c r="F2191" s="66" t="n">
        <x:v>207.27031291263467</x:v>
      </x:c>
      <x:c r="G2191" s="66" t="n">
        <x:v>532.8285678988038</x:v>
      </x:c>
      <x:c r="H2191" s="45" t="n">
        <x:v>1</x:v>
      </x:c>
      <x:c r="I2191" s="36" t="str">
        <x:v>generated design-reference observation; not predicted tract behavior</x:v>
      </x:c>
    </x:row>
    <x:row r="2192" ht="75.5999984741211" hidden="0" customHeight="1">
      <x:c r="A2192" s="34" t="str">
        <x:v>B1</x:v>
      </x:c>
      <x:c r="B2192" s="34" t="str">
        <x:v>48201554808</x:v>
      </x:c>
      <x:c r="C2192" s="65" t="n">
        <x:v>255.87466230807235</x:v>
      </x:c>
      <x:c r="D2192" s="65" t="n">
        <x:v>156.3394186702322</x:v>
      </x:c>
      <x:c r="E2192" s="65" t="n">
        <x:v>99.53524363784015</x:v>
      </x:c>
      <x:c r="F2192" s="65" t="n">
        <x:v>99.53524363784015</x:v>
      </x:c>
      <x:c r="G2192" s="65" t="n">
        <x:v>255.87466230807235</x:v>
      </x:c>
      <x:c r="H2192" s="43" t="n">
        <x:v>1</x:v>
      </x:c>
      <x:c r="I2192" s="34" t="str">
        <x:v>generated design-reference observation; not predicted tract behavior</x:v>
      </x:c>
    </x:row>
    <x:row r="2193" ht="75.5999984741211" hidden="0" customHeight="1">
      <x:c r="A2193" s="36" t="str">
        <x:v>B1</x:v>
      </x:c>
      <x:c r="B2193" s="36" t="str">
        <x:v>48201554809</x:v>
      </x:c>
      <x:c r="C2193" s="66" t="n">
        <x:v>873.0123438135446</x:v>
      </x:c>
      <x:c r="D2193" s="66" t="n">
        <x:v>524.2028600938661</x:v>
      </x:c>
      <x:c r="E2193" s="66" t="n">
        <x:v>348.8094837196785</x:v>
      </x:c>
      <x:c r="F2193" s="66" t="n">
        <x:v>348.8094837196785</x:v>
      </x:c>
      <x:c r="G2193" s="66" t="n">
        <x:v>873.0123438135446</x:v>
      </x:c>
      <x:c r="H2193" s="45" t="n">
        <x:v>1</x:v>
      </x:c>
      <x:c r="I2193" s="36" t="str">
        <x:v>generated design-reference observation; not predicted tract behavior</x:v>
      </x:c>
    </x:row>
    <x:row r="2194" ht="75.5999984741211" hidden="0" customHeight="1">
      <x:c r="A2194" s="34" t="str">
        <x:v>B1</x:v>
      </x:c>
      <x:c r="B2194" s="34" t="str">
        <x:v>48201554902</x:v>
      </x:c>
      <x:c r="C2194" s="65" t="n">
        <x:v>897.2432562074438</x:v>
      </x:c>
      <x:c r="D2194" s="65" t="n">
        <x:v>535.8629615299409</x:v>
      </x:c>
      <x:c r="E2194" s="65" t="n">
        <x:v>361.3802946775029</x:v>
      </x:c>
      <x:c r="F2194" s="65" t="n">
        <x:v>361.3802946775029</x:v>
      </x:c>
      <x:c r="G2194" s="65" t="n">
        <x:v>897.2432562074438</x:v>
      </x:c>
      <x:c r="H2194" s="43" t="n">
        <x:v>1</x:v>
      </x:c>
      <x:c r="I2194" s="34" t="str">
        <x:v>generated design-reference observation; not predicted tract behavior</x:v>
      </x:c>
    </x:row>
    <x:row r="2195" ht="75.5999984741211" hidden="0" customHeight="1">
      <x:c r="A2195" s="36" t="str">
        <x:v>B1</x:v>
      </x:c>
      <x:c r="B2195" s="36" t="str">
        <x:v>48201554904</x:v>
      </x:c>
      <x:c r="C2195" s="66" t="n">
        <x:v>313.02912060467827</x:v>
      </x:c>
      <x:c r="D2195" s="66" t="n">
        <x:v>189.36473762424427</x:v>
      </x:c>
      <x:c r="E2195" s="66" t="n">
        <x:v>123.664382980434</x:v>
      </x:c>
      <x:c r="F2195" s="66" t="n">
        <x:v>123.664382980434</x:v>
      </x:c>
      <x:c r="G2195" s="66" t="n">
        <x:v>313.02912060467827</x:v>
      </x:c>
      <x:c r="H2195" s="45" t="n">
        <x:v>1</x:v>
      </x:c>
      <x:c r="I2195" s="36" t="str">
        <x:v>generated design-reference observation; not predicted tract behavior</x:v>
      </x:c>
    </x:row>
    <x:row r="2196" ht="75.5999984741211" hidden="0" customHeight="1">
      <x:c r="A2196" s="34" t="str">
        <x:v>B1</x:v>
      </x:c>
      <x:c r="B2196" s="34" t="str">
        <x:v>48201554905</x:v>
      </x:c>
      <x:c r="C2196" s="65" t="n">
        <x:v>659.5830406956288</x:v>
      </x:c>
      <x:c r="D2196" s="65" t="n">
        <x:v>402.17997116632944</x:v>
      </x:c>
      <x:c r="E2196" s="65" t="n">
        <x:v>257.4030695292994</x:v>
      </x:c>
      <x:c r="F2196" s="65" t="n">
        <x:v>257.4030695292994</x:v>
      </x:c>
      <x:c r="G2196" s="65" t="n">
        <x:v>659.5830406956288</x:v>
      </x:c>
      <x:c r="H2196" s="43" t="n">
        <x:v>1</x:v>
      </x:c>
      <x:c r="I2196" s="34" t="str">
        <x:v>generated design-reference observation; not predicted tract behavior</x:v>
      </x:c>
    </x:row>
    <x:row r="2197" ht="75.5999984741211" hidden="0" customHeight="1">
      <x:c r="A2197" s="36" t="str">
        <x:v>B1</x:v>
      </x:c>
      <x:c r="B2197" s="36" t="str">
        <x:v>48201554906</x:v>
      </x:c>
      <x:c r="C2197" s="66" t="n">
        <x:v>672.9336513131165</x:v>
      </x:c>
      <x:c r="D2197" s="66" t="n">
        <x:v>344.6515917330658</x:v>
      </x:c>
      <x:c r="E2197" s="66" t="n">
        <x:v>328.28205958005066</x:v>
      </x:c>
      <x:c r="F2197" s="66" t="n">
        <x:v>328.28205958005066</x:v>
      </x:c>
      <x:c r="G2197" s="66" t="n">
        <x:v>672.9336513131165</x:v>
      </x:c>
      <x:c r="H2197" s="45" t="n">
        <x:v>1</x:v>
      </x:c>
      <x:c r="I2197" s="36" t="str">
        <x:v>generated design-reference observation; not predicted tract behavior</x:v>
      </x:c>
    </x:row>
    <x:row r="2198" ht="75.5999984741211" hidden="0" customHeight="1">
      <x:c r="A2198" s="34" t="str">
        <x:v>B1</x:v>
      </x:c>
      <x:c r="B2198" s="34" t="str">
        <x:v>48201554907</x:v>
      </x:c>
      <x:c r="C2198" s="65" t="n">
        <x:v>350.2518261179793</x:v>
      </x:c>
      <x:c r="D2198" s="65" t="n">
        <x:v>207.9042386664298</x:v>
      </x:c>
      <x:c r="E2198" s="65" t="n">
        <x:v>142.34758745154951</x:v>
      </x:c>
      <x:c r="F2198" s="65" t="n">
        <x:v>142.34758745154951</x:v>
      </x:c>
      <x:c r="G2198" s="65" t="n">
        <x:v>350.2518261179793</x:v>
      </x:c>
      <x:c r="H2198" s="43" t="n">
        <x:v>1</x:v>
      </x:c>
      <x:c r="I2198" s="34" t="str">
        <x:v>generated design-reference observation; not predicted tract behavior</x:v>
      </x:c>
    </x:row>
    <x:row r="2199" ht="75.5999984741211" hidden="0" customHeight="1">
      <x:c r="A2199" s="36" t="str">
        <x:v>B1</x:v>
      </x:c>
      <x:c r="B2199" s="36" t="str">
        <x:v>48201554908</x:v>
      </x:c>
      <x:c r="C2199" s="66" t="n">
        <x:v>614.4733028802591</x:v>
      </x:c>
      <x:c r="D2199" s="66" t="n">
        <x:v>375.44318805983835</x:v>
      </x:c>
      <x:c r="E2199" s="66" t="n">
        <x:v>239.03011482042075</x:v>
      </x:c>
      <x:c r="F2199" s="66" t="n">
        <x:v>239.03011482042075</x:v>
      </x:c>
      <x:c r="G2199" s="66" t="n">
        <x:v>614.4733028802591</x:v>
      </x:c>
      <x:c r="H2199" s="45" t="n">
        <x:v>1</x:v>
      </x:c>
      <x:c r="I2199" s="36" t="str">
        <x:v>generated design-reference observation; not predicted tract behavior</x:v>
      </x:c>
    </x:row>
    <x:row r="2200" ht="75.5999984741211" hidden="0" customHeight="1">
      <x:c r="A2200" s="34" t="str">
        <x:v>B1</x:v>
      </x:c>
      <x:c r="B2200" s="34" t="str">
        <x:v>48201555001</x:v>
      </x:c>
      <x:c r="C2200" s="65" t="n">
        <x:v>197.55699446417577</x:v>
      </x:c>
      <x:c r="D2200" s="65" t="n">
        <x:v>120.70732361761141</x:v>
      </x:c>
      <x:c r="E2200" s="65" t="n">
        <x:v>76.84967084656436</x:v>
      </x:c>
      <x:c r="F2200" s="65" t="n">
        <x:v>56.211829211771196</x:v>
      </x:c>
      <x:c r="G2200" s="65" t="n">
        <x:v>176.9191528293826</x:v>
      </x:c>
      <x:c r="H2200" s="43" t="n">
        <x:v>0.8955347458551484</x:v>
      </x:c>
      <x:c r="I2200" s="34" t="str">
        <x:v>generated design-reference observation; not predicted tract behavior</x:v>
      </x:c>
    </x:row>
    <x:row r="2201" ht="75.5999984741211" hidden="0" customHeight="1">
      <x:c r="A2201" s="36" t="str">
        <x:v>B1</x:v>
      </x:c>
      <x:c r="B2201" s="36" t="str">
        <x:v>48201555002</x:v>
      </x:c>
      <x:c r="C2201" s="66" t="n">
        <x:v>388.9206840414256</x:v>
      </x:c>
      <x:c r="D2201" s="66" t="n">
        <x:v>237.63053794931102</x:v>
      </x:c>
      <x:c r="E2201" s="66" t="n">
        <x:v>151.29014609211458</x:v>
      </x:c>
      <x:c r="F2201" s="66" t="n">
        <x:v>128.94063417803284</x:v>
      </x:c>
      <x:c r="G2201" s="66" t="n">
        <x:v>366.57117212734386</x:v>
      </x:c>
      <x:c r="H2201" s="45" t="n">
        <x:v>0.9425345248243439</x:v>
      </x:c>
      <x:c r="I2201" s="36" t="str">
        <x:v>generated design-reference observation; not predicted tract behavior</x:v>
      </x:c>
    </x:row>
    <x:row r="2202" ht="75.5999984741211" hidden="0" customHeight="1">
      <x:c r="A2202" s="34" t="str">
        <x:v>B1</x:v>
      </x:c>
      <x:c r="B2202" s="34" t="str">
        <x:v>48201555101</x:v>
      </x:c>
      <x:c r="C2202" s="65" t="n">
        <x:v>419.3920584660599</x:v>
      </x:c>
      <x:c r="D2202" s="65" t="n">
        <x:v>249.13525312467928</x:v>
      </x:c>
      <x:c r="E2202" s="65" t="n">
        <x:v>170.2568053413806</x:v>
      </x:c>
      <x:c r="F2202" s="65" t="n">
        <x:v>170.2568053413806</x:v>
      </x:c>
      <x:c r="G2202" s="65" t="n">
        <x:v>419.3920584660599</x:v>
      </x:c>
      <x:c r="H2202" s="43" t="n">
        <x:v>1</x:v>
      </x:c>
      <x:c r="I2202" s="34" t="str">
        <x:v>generated design-reference observation; not predicted tract behavior</x:v>
      </x:c>
    </x:row>
    <x:row r="2203" ht="75.5999984741211" hidden="0" customHeight="1">
      <x:c r="A2203" s="36" t="str">
        <x:v>B1</x:v>
      </x:c>
      <x:c r="B2203" s="36" t="str">
        <x:v>48201555102</x:v>
      </x:c>
      <x:c r="C2203" s="66" t="n">
        <x:v>486.76389792130004</x:v>
      </x:c>
      <x:c r="D2203" s="66" t="n">
        <x:v>273.61511482095216</x:v>
      </x:c>
      <x:c r="E2203" s="66" t="n">
        <x:v>213.14878310034788</x:v>
      </x:c>
      <x:c r="F2203" s="66" t="n">
        <x:v>213.14878310034788</x:v>
      </x:c>
      <x:c r="G2203" s="66" t="n">
        <x:v>486.76389792130004</x:v>
      </x:c>
      <x:c r="H2203" s="45" t="n">
        <x:v>1</x:v>
      </x:c>
      <x:c r="I2203" s="36" t="str">
        <x:v>generated design-reference observation; not predicted tract behavior</x:v>
      </x:c>
    </x:row>
    <x:row r="2204" ht="75.5999984741211" hidden="0" customHeight="1">
      <x:c r="A2204" s="34" t="str">
        <x:v>B1</x:v>
      </x:c>
      <x:c r="B2204" s="34" t="str">
        <x:v>48201555200</x:v>
      </x:c>
      <x:c r="C2204" s="65" t="n">
        <x:v>1021.1958087096126</x:v>
      </x:c>
      <x:c r="D2204" s="65" t="n">
        <x:v>605.9642300652923</x:v>
      </x:c>
      <x:c r="E2204" s="65" t="n">
        <x:v>415.2315786443203</x:v>
      </x:c>
      <x:c r="F2204" s="65" t="n">
        <x:v>415.2315786443203</x:v>
      </x:c>
      <x:c r="G2204" s="65" t="n">
        <x:v>1021.1958087096126</x:v>
      </x:c>
      <x:c r="H2204" s="43" t="n">
        <x:v>1</x:v>
      </x:c>
      <x:c r="I2204" s="34" t="str">
        <x:v>generated design-reference observation; not predicted tract behavior</x:v>
      </x:c>
    </x:row>
    <x:row r="2205" ht="75.5999984741211" hidden="0" customHeight="1">
      <x:c r="A2205" s="36" t="str">
        <x:v>B1</x:v>
      </x:c>
      <x:c r="B2205" s="36" t="str">
        <x:v>48201555301</x:v>
      </x:c>
      <x:c r="C2205" s="66" t="n">
        <x:v>710.1303599394458</x:v>
      </x:c>
      <x:c r="D2205" s="66" t="n">
        <x:v>357.0044495452613</x:v>
      </x:c>
      <x:c r="E2205" s="66" t="n">
        <x:v>353.12591039418453</x:v>
      </x:c>
      <x:c r="F2205" s="66" t="n">
        <x:v>353.12591039418453</x:v>
      </x:c>
      <x:c r="G2205" s="66" t="n">
        <x:v>710.1303599394458</x:v>
      </x:c>
      <x:c r="H2205" s="45" t="n">
        <x:v>1</x:v>
      </x:c>
      <x:c r="I2205" s="36" t="str">
        <x:v>generated design-reference observation; not predicted tract behavior</x:v>
      </x:c>
    </x:row>
    <x:row r="2206" ht="75.5999984741211" hidden="0" customHeight="1">
      <x:c r="A2206" s="34" t="str">
        <x:v>B1</x:v>
      </x:c>
      <x:c r="B2206" s="34" t="str">
        <x:v>48201555303</x:v>
      </x:c>
      <x:c r="C2206" s="65" t="n">
        <x:v>1303.6120834582293</x:v>
      </x:c>
      <x:c r="D2206" s="65" t="n">
        <x:v>794.9366823048032</x:v>
      </x:c>
      <x:c r="E2206" s="65" t="n">
        <x:v>508.67540115342615</x:v>
      </x:c>
      <x:c r="F2206" s="65" t="n">
        <x:v>508.67540115342615</x:v>
      </x:c>
      <x:c r="G2206" s="65" t="n">
        <x:v>1303.6120834582293</x:v>
      </x:c>
      <x:c r="H2206" s="43" t="n">
        <x:v>1</x:v>
      </x:c>
      <x:c r="I2206" s="34" t="str">
        <x:v>generated design-reference observation; not predicted tract behavior</x:v>
      </x:c>
    </x:row>
    <x:row r="2207" ht="75.5999984741211" hidden="0" customHeight="1">
      <x:c r="A2207" s="36" t="str">
        <x:v>B1</x:v>
      </x:c>
      <x:c r="B2207" s="36" t="str">
        <x:v>48201555304</x:v>
      </x:c>
      <x:c r="C2207" s="66" t="n">
        <x:v>752.3450723300748</x:v>
      </x:c>
      <x:c r="D2207" s="66" t="n">
        <x:v>448.93950445818695</x:v>
      </x:c>
      <x:c r="E2207" s="66" t="n">
        <x:v>303.40556787188785</x:v>
      </x:c>
      <x:c r="F2207" s="66" t="n">
        <x:v>303.40556787188785</x:v>
      </x:c>
      <x:c r="G2207" s="66" t="n">
        <x:v>752.3450723300748</x:v>
      </x:c>
      <x:c r="H2207" s="45" t="n">
        <x:v>1</x:v>
      </x:c>
      <x:c r="I2207" s="36" t="str">
        <x:v>generated design-reference observation; not predicted tract behavior</x:v>
      </x:c>
    </x:row>
    <x:row r="2208" ht="75.5999984741211" hidden="0" customHeight="1">
      <x:c r="A2208" s="34" t="str">
        <x:v>B1</x:v>
      </x:c>
      <x:c r="B2208" s="34" t="str">
        <x:v>48201555305</x:v>
      </x:c>
      <x:c r="C2208" s="65" t="n">
        <x:v>997.7076213307064</x:v>
      </x:c>
      <x:c r="D2208" s="65" t="n">
        <x:v>591.7728028095654</x:v>
      </x:c>
      <x:c r="E2208" s="65" t="n">
        <x:v>405.934818521141</x:v>
      </x:c>
      <x:c r="F2208" s="65" t="n">
        <x:v>405.934818521141</x:v>
      </x:c>
      <x:c r="G2208" s="65" t="n">
        <x:v>997.7076213307064</x:v>
      </x:c>
      <x:c r="H2208" s="43" t="n">
        <x:v>1</x:v>
      </x:c>
      <x:c r="I2208" s="34" t="str">
        <x:v>generated design-reference observation; not predicted tract behavior</x:v>
      </x:c>
    </x:row>
    <x:row r="2209" ht="75.5999984741211" hidden="0" customHeight="1">
      <x:c r="A2209" s="36" t="str">
        <x:v>B1</x:v>
      </x:c>
      <x:c r="B2209" s="36" t="str">
        <x:v>48201555401</x:v>
      </x:c>
      <x:c r="C2209" s="66" t="n">
        <x:v>307.88899192948844</x:v>
      </x:c>
      <x:c r="D2209" s="66" t="n">
        <x:v>185.8603841464047</x:v>
      </x:c>
      <x:c r="E2209" s="66" t="n">
        <x:v>122.02860778308374</x:v>
      </x:c>
      <x:c r="F2209" s="66" t="n">
        <x:v>122.02860778308374</x:v>
      </x:c>
      <x:c r="G2209" s="66" t="n">
        <x:v>307.88899192948844</x:v>
      </x:c>
      <x:c r="H2209" s="45" t="n">
        <x:v>1</x:v>
      </x:c>
      <x:c r="I2209" s="36" t="str">
        <x:v>generated design-reference observation; not predicted tract behavior</x:v>
      </x:c>
    </x:row>
    <x:row r="2210" ht="75.5999984741211" hidden="0" customHeight="1">
      <x:c r="A2210" s="34" t="str">
        <x:v>B1</x:v>
      </x:c>
      <x:c r="B2210" s="34" t="str">
        <x:v>48201555403</x:v>
      </x:c>
      <x:c r="C2210" s="65" t="n">
        <x:v>360.665695375818</x:v>
      </x:c>
      <x:c r="D2210" s="65" t="n">
        <x:v>216.19927651470886</x:v>
      </x:c>
      <x:c r="E2210" s="65" t="n">
        <x:v>144.46641886110916</x:v>
      </x:c>
      <x:c r="F2210" s="65" t="n">
        <x:v>144.46641886110916</x:v>
      </x:c>
      <x:c r="G2210" s="65" t="n">
        <x:v>360.665695375818</x:v>
      </x:c>
      <x:c r="H2210" s="43" t="n">
        <x:v>1</x:v>
      </x:c>
      <x:c r="I2210" s="34" t="str">
        <x:v>generated design-reference observation; not predicted tract behavior</x:v>
      </x:c>
    </x:row>
    <x:row r="2211" ht="75.5999984741211" hidden="0" customHeight="1">
      <x:c r="A2211" s="36" t="str">
        <x:v>B1</x:v>
      </x:c>
      <x:c r="B2211" s="36" t="str">
        <x:v>48201555404</x:v>
      </x:c>
      <x:c r="C2211" s="66" t="n">
        <x:v>303.21257516842127</x:v>
      </x:c>
      <x:c r="D2211" s="66" t="n">
        <x:v>170.69122720248598</x:v>
      </x:c>
      <x:c r="E2211" s="66" t="n">
        <x:v>132.5213479659353</x:v>
      </x:c>
      <x:c r="F2211" s="66" t="n">
        <x:v>132.5213479659353</x:v>
      </x:c>
      <x:c r="G2211" s="66" t="n">
        <x:v>303.21257516842127</x:v>
      </x:c>
      <x:c r="H2211" s="45" t="n">
        <x:v>1</x:v>
      </x:c>
      <x:c r="I2211" s="36" t="str">
        <x:v>generated design-reference observation; not predicted tract behavior</x:v>
      </x:c>
    </x:row>
    <x:row r="2212" ht="75.5999984741211" hidden="0" customHeight="1">
      <x:c r="A2212" s="34" t="str">
        <x:v>B1</x:v>
      </x:c>
      <x:c r="B2212" s="34" t="str">
        <x:v>48201555501</x:v>
      </x:c>
      <x:c r="C2212" s="65" t="n">
        <x:v>1030.5891490091212</x:v>
      </x:c>
      <x:c r="D2212" s="65" t="n">
        <x:v>299.17034250584226</x:v>
      </x:c>
      <x:c r="E2212" s="65" t="n">
        <x:v>731.418806503279</x:v>
      </x:c>
      <x:c r="F2212" s="65" t="n">
        <x:v>0</x:v>
      </x:c>
      <x:c r="G2212" s="65" t="n">
        <x:v>299.17034250584226</x:v>
      </x:c>
      <x:c r="H2212" s="43" t="n">
        <x:v>0.29029060008392776</x:v>
      </x:c>
      <x:c r="I2212" s="34" t="str">
        <x:v>generated design-reference observation; not predicted tract behavior</x:v>
      </x:c>
    </x:row>
    <x:row r="2213" ht="75.5999984741211" hidden="0" customHeight="1">
      <x:c r="A2213" s="36" t="str">
        <x:v>B1</x:v>
      </x:c>
      <x:c r="B2213" s="36" t="str">
        <x:v>48201555503</x:v>
      </x:c>
      <x:c r="C2213" s="66" t="n">
        <x:v>1104.813284207081</x:v>
      </x:c>
      <x:c r="D2213" s="66" t="n">
        <x:v>669.777495783588</x:v>
      </x:c>
      <x:c r="E2213" s="66" t="n">
        <x:v>435.03578842349305</x:v>
      </x:c>
      <x:c r="F2213" s="66" t="n">
        <x:v>435.03578842349305</x:v>
      </x:c>
      <x:c r="G2213" s="66" t="n">
        <x:v>1104.813284207081</x:v>
      </x:c>
      <x:c r="H2213" s="45" t="n">
        <x:v>1</x:v>
      </x:c>
      <x:c r="I2213" s="36" t="str">
        <x:v>generated design-reference observation; not predicted tract behavior</x:v>
      </x:c>
    </x:row>
    <x:row r="2214" ht="75.5999984741211" hidden="0" customHeight="1">
      <x:c r="A2214" s="34" t="str">
        <x:v>B1</x:v>
      </x:c>
      <x:c r="B2214" s="34" t="str">
        <x:v>48201555504</x:v>
      </x:c>
      <x:c r="C2214" s="65" t="n">
        <x:v>644.5477713445002</x:v>
      </x:c>
      <x:c r="D2214" s="65" t="n">
        <x:v>383.4054796559341</x:v>
      </x:c>
      <x:c r="E2214" s="65" t="n">
        <x:v>261.14229168856616</x:v>
      </x:c>
      <x:c r="F2214" s="65" t="n">
        <x:v>261.14229168856616</x:v>
      </x:c>
      <x:c r="G2214" s="65" t="n">
        <x:v>644.5477713445002</x:v>
      </x:c>
      <x:c r="H2214" s="43" t="n">
        <x:v>1</x:v>
      </x:c>
      <x:c r="I2214" s="34" t="str">
        <x:v>generated design-reference observation; not predicted tract behavior</x:v>
      </x:c>
    </x:row>
    <x:row r="2215" ht="75.5999984741211" hidden="0" customHeight="1">
      <x:c r="A2215" s="36" t="str">
        <x:v>B1</x:v>
      </x:c>
      <x:c r="B2215" s="36" t="str">
        <x:v>48201555505</x:v>
      </x:c>
      <x:c r="C2215" s="66" t="n">
        <x:v>923.0696519668836</x:v>
      </x:c>
      <x:c r="D2215" s="66" t="n">
        <x:v>548.7337622029374</x:v>
      </x:c>
      <x:c r="E2215" s="66" t="n">
        <x:v>374.33588976394617</x:v>
      </x:c>
      <x:c r="F2215" s="66" t="n">
        <x:v>306.85388091098895</x:v>
      </x:c>
      <x:c r="G2215" s="66" t="n">
        <x:v>855.5876431139263</x:v>
      </x:c>
      <x:c r="H2215" s="45" t="n">
        <x:v>0.9268939145500384</x:v>
      </x:c>
      <x:c r="I2215" s="36" t="str">
        <x:v>generated design-reference observation; not predicted tract behavior</x:v>
      </x:c>
    </x:row>
    <x:row r="2216" ht="75.5999984741211" hidden="0" customHeight="1">
      <x:c r="A2216" s="34" t="str">
        <x:v>B1</x:v>
      </x:c>
      <x:c r="B2216" s="34" t="str">
        <x:v>48201555600</x:v>
      </x:c>
      <x:c r="C2216" s="65" t="n">
        <x:v>795.1873374806247</x:v>
      </x:c>
      <x:c r="D2216" s="65" t="n">
        <x:v>485.8594632006617</x:v>
      </x:c>
      <x:c r="E2216" s="65" t="n">
        <x:v>309.327874279963</x:v>
      </x:c>
      <x:c r="F2216" s="65" t="n">
        <x:v>309.327874279963</x:v>
      </x:c>
      <x:c r="G2216" s="65" t="n">
        <x:v>795.1873374806247</x:v>
      </x:c>
      <x:c r="H2216" s="43" t="n">
        <x:v>1</x:v>
      </x:c>
      <x:c r="I2216" s="34" t="str">
        <x:v>generated design-reference observation; not predicted tract behavior</x:v>
      </x:c>
    </x:row>
    <x:row r="2217" ht="75.5999984741211" hidden="0" customHeight="1">
      <x:c r="A2217" s="36" t="str">
        <x:v>B1</x:v>
      </x:c>
      <x:c r="B2217" s="36" t="str">
        <x:v>48201555701</x:v>
      </x:c>
      <x:c r="C2217" s="66" t="n">
        <x:v>979.2023721476261</x:v>
      </x:c>
      <x:c r="D2217" s="66" t="n">
        <x:v>596.2650674108834</x:v>
      </x:c>
      <x:c r="E2217" s="66" t="n">
        <x:v>382.9373047367427</x:v>
      </x:c>
      <x:c r="F2217" s="66" t="n">
        <x:v>382.9373047367427</x:v>
      </x:c>
      <x:c r="G2217" s="66" t="n">
        <x:v>979.2023721476261</x:v>
      </x:c>
      <x:c r="H2217" s="45" t="n">
        <x:v>1</x:v>
      </x:c>
      <x:c r="I2217" s="36" t="str">
        <x:v>generated design-reference observation; not predicted tract behavior</x:v>
      </x:c>
    </x:row>
    <x:row r="2218" ht="75.5999984741211" hidden="0" customHeight="1">
      <x:c r="A2218" s="34" t="str">
        <x:v>B1</x:v>
      </x:c>
      <x:c r="B2218" s="34" t="str">
        <x:v>48201555703</x:v>
      </x:c>
      <x:c r="C2218" s="65" t="n">
        <x:v>502.25501966258315</x:v>
      </x:c>
      <x:c r="D2218" s="65" t="n">
        <x:v>305.3055244472532</x:v>
      </x:c>
      <x:c r="E2218" s="65" t="n">
        <x:v>196.94949521532993</x:v>
      </x:c>
      <x:c r="F2218" s="65" t="n">
        <x:v>196.94949521532993</x:v>
      </x:c>
      <x:c r="G2218" s="65" t="n">
        <x:v>502.25501966258315</x:v>
      </x:c>
      <x:c r="H2218" s="43" t="n">
        <x:v>1</x:v>
      </x:c>
      <x:c r="I2218" s="34" t="str">
        <x:v>generated design-reference observation; not predicted tract behavior</x:v>
      </x:c>
    </x:row>
    <x:row r="2219" ht="75.5999984741211" hidden="0" customHeight="1">
      <x:c r="A2219" s="36" t="str">
        <x:v>B1</x:v>
      </x:c>
      <x:c r="B2219" s="36" t="str">
        <x:v>48201555704</x:v>
      </x:c>
      <x:c r="C2219" s="66" t="n">
        <x:v>655.9715894322501</x:v>
      </x:c>
      <x:c r="D2219" s="66" t="n">
        <x:v>400.79864114310476</x:v>
      </x:c>
      <x:c r="E2219" s="66" t="n">
        <x:v>255.17294828914532</x:v>
      </x:c>
      <x:c r="F2219" s="66" t="n">
        <x:v>255.17294828914532</x:v>
      </x:c>
      <x:c r="G2219" s="66" t="n">
        <x:v>655.9715894322501</x:v>
      </x:c>
      <x:c r="H2219" s="45" t="n">
        <x:v>1</x:v>
      </x:c>
      <x:c r="I2219" s="36" t="str">
        <x:v>generated design-reference observation; not predicted tract behavior</x:v>
      </x:c>
    </x:row>
    <x:row r="2220" ht="75.5999984741211" hidden="0" customHeight="1">
      <x:c r="A2220" s="34" t="str">
        <x:v>B1</x:v>
      </x:c>
      <x:c r="B2220" s="34" t="str">
        <x:v>48201556000</x:v>
      </x:c>
      <x:c r="C2220" s="65" t="n">
        <x:v>1262.6482445360746</x:v>
      </x:c>
      <x:c r="D2220" s="65" t="n">
        <x:v>760.4999038552871</x:v>
      </x:c>
      <x:c r="E2220" s="65" t="n">
        <x:v>502.14834068078744</x:v>
      </x:c>
      <x:c r="F2220" s="65" t="n">
        <x:v>419.8361596598407</x:v>
      </x:c>
      <x:c r="G2220" s="65" t="n">
        <x:v>1180.3360635151278</x:v>
      </x:c>
      <x:c r="H2220" s="43" t="n">
        <x:v>0.9348098875699224</x:v>
      </x:c>
      <x:c r="I2220" s="34" t="str">
        <x:v>generated design-reference observation; not predicted tract behavior</x:v>
      </x:c>
    </x:row>
    <x:row r="2221" ht="75.5999984741211" hidden="0" customHeight="1">
      <x:c r="A2221" s="36" t="str">
        <x:v>B1</x:v>
      </x:c>
      <x:c r="B2221" s="36" t="str">
        <x:v>48201556100</x:v>
      </x:c>
      <x:c r="C2221" s="66" t="n">
        <x:v>303.330468027944</x:v>
      </x:c>
      <x:c r="D2221" s="66" t="n">
        <x:v>185.3349159650738</x:v>
      </x:c>
      <x:c r="E2221" s="66" t="n">
        <x:v>117.99555206287019</x:v>
      </x:c>
      <x:c r="F2221" s="66" t="n">
        <x:v>117.99555206287019</x:v>
      </x:c>
      <x:c r="G2221" s="66" t="n">
        <x:v>303.330468027944</x:v>
      </x:c>
      <x:c r="H2221" s="45" t="n">
        <x:v>1</x:v>
      </x:c>
      <x:c r="I2221" s="36" t="str">
        <x:v>generated design-reference observation; not predicted tract behavior</x:v>
      </x:c>
    </x:row>
    <x:row r="2222" ht="75.5999984741211" hidden="0" customHeight="1">
      <x:c r="A2222" s="34" t="str">
        <x:v>B1</x:v>
      </x:c>
      <x:c r="B2222" s="34" t="str">
        <x:v>48201980000</x:v>
      </x:c>
      <x:c r="C2222" s="65" t="n">
        <x:v>2.845147676481207</x:v>
      </x:c>
      <x:c r="D2222" s="65" t="n">
        <x:v>1.7383852303300174</x:v>
      </x:c>
      <x:c r="E2222" s="65" t="n">
        <x:v>1.1067624461511896</x:v>
      </x:c>
      <x:c r="F2222" s="65" t="n">
        <x:v>1.1067624461511896</x:v>
      </x:c>
      <x:c r="G2222" s="65" t="n">
        <x:v>2.845147676481207</x:v>
      </x:c>
      <x:c r="H2222" s="43" t="n">
        <x:v>1</x:v>
      </x:c>
      <x:c r="I2222" s="34" t="str">
        <x:v>generated design-reference observation; not predicted tract behavior</x:v>
      </x:c>
    </x:row>
    <x:row r="2223" ht="75.5999984741211" hidden="0" customHeight="1">
      <x:c r="A2223" s="36" t="str">
        <x:v>B1</x:v>
      </x:c>
      <x:c r="B2223" s="36" t="str">
        <x:v>48201980200</x:v>
      </x:c>
      <x:c r="C2223" s="66" t="n">
        <x:v>13.211859790510799</x:v>
      </x:c>
      <x:c r="D2223" s="66" t="n">
        <x:v>7.493457077844706</x:v>
      </x:c>
      <x:c r="E2223" s="66" t="n">
        <x:v>5.718402712666093</x:v>
      </x:c>
      <x:c r="F2223" s="66" t="n">
        <x:v>5.718402712666093</x:v>
      </x:c>
      <x:c r="G2223" s="66" t="n">
        <x:v>13.211859790510799</x:v>
      </x:c>
      <x:c r="H2223" s="45" t="n">
        <x:v>1</x:v>
      </x:c>
      <x:c r="I2223" s="36" t="str">
        <x:v>generated design-reference observation; not predicted tract behavior</x:v>
      </x:c>
    </x:row>
    <x:row r="2224" ht="75.5999984741211" hidden="0" customHeight="1">
      <x:c r="A2224" s="34" t="str">
        <x:v>B1</x:v>
      </x:c>
      <x:c r="B2224" s="34" t="str">
        <x:v>48201980300</x:v>
      </x:c>
      <x:c r="C2224" s="65" t="n">
        <x:v>410.1232613925085</x:v>
      </x:c>
      <x:c r="D2224" s="65" t="n">
        <x:v>218.59569832220703</x:v>
      </x:c>
      <x:c r="E2224" s="65" t="n">
        <x:v>191.52756307030145</x:v>
      </x:c>
      <x:c r="F2224" s="65" t="n">
        <x:v>191.52756307030145</x:v>
      </x:c>
      <x:c r="G2224" s="65" t="n">
        <x:v>410.1232613925085</x:v>
      </x:c>
      <x:c r="H2224" s="43" t="n">
        <x:v>1</x:v>
      </x:c>
      <x:c r="I2224" s="34" t="str">
        <x:v>generated design-reference observation; not predicted tract behavior</x:v>
      </x:c>
    </x:row>
    <x:row r="2225" ht="75.5999984741211" hidden="0" customHeight="1">
      <x:c r="A2225" s="36" t="str">
        <x:v>B1</x:v>
      </x:c>
      <x:c r="B2225" s="36" t="str">
        <x:v>48201980400</x:v>
      </x:c>
      <x:c r="C2225" s="66" t="n">
        <x:v>339.9558497196634</x:v>
      </x:c>
      <x:c r="D2225" s="66" t="n">
        <x:v>207.7130241787143</x:v>
      </x:c>
      <x:c r="E2225" s="66" t="n">
        <x:v>132.24282554094907</x:v>
      </x:c>
      <x:c r="F2225" s="66" t="n">
        <x:v>132.24282554094907</x:v>
      </x:c>
      <x:c r="G2225" s="66" t="n">
        <x:v>339.9558497196634</x:v>
      </x:c>
      <x:c r="H2225" s="45" t="n">
        <x:v>1</x:v>
      </x:c>
      <x:c r="I2225" s="36" t="str">
        <x:v>generated design-reference observation; not predicted tract behavior</x:v>
      </x:c>
    </x:row>
    <x:row r="2226" ht="75.5999984741211" hidden="0" customHeight="1">
      <x:c r="A2226" s="34" t="str">
        <x:v>B1</x:v>
      </x:c>
      <x:c r="B2226" s="34" t="str">
        <x:v>48201980700</x:v>
      </x:c>
      <x:c r="C2226" s="65" t="n">
        <x:v>284.8503088636853</x:v>
      </x:c>
      <x:c r="D2226" s="65" t="n">
        <x:v>124.32447670305655</x:v>
      </x:c>
      <x:c r="E2226" s="65" t="n">
        <x:v>160.52583216062877</x:v>
      </x:c>
      <x:c r="F2226" s="65" t="n">
        <x:v>160.52583216062877</x:v>
      </x:c>
      <x:c r="G2226" s="65" t="n">
        <x:v>284.8503088636853</x:v>
      </x:c>
      <x:c r="H2226" s="43" t="n">
        <x:v>1</x:v>
      </x:c>
      <x:c r="I2226" s="34" t="str">
        <x:v>generated design-reference observation; not predicted tract behavior</x:v>
      </x:c>
    </x:row>
    <x:row r="2227" ht="75.5999984741211" hidden="0" customHeight="1">
      <x:c r="A2227" s="36" t="str">
        <x:v>P2</x:v>
      </x:c>
      <x:c r="B2227" s="36" t="str">
        <x:v>48201100001</x:v>
      </x:c>
      <x:c r="C2227" s="66" t="n">
        <x:v>401.32694262519794</x:v>
      </x:c>
      <x:c r="D2227" s="66" t="n">
        <x:v>331.082543443994</x:v>
      </x:c>
      <x:c r="E2227" s="66" t="n">
        <x:v>70.24439918120396</x:v>
      </x:c>
      <x:c r="F2227" s="66" t="n">
        <x:v>70.24439918120396</x:v>
      </x:c>
      <x:c r="G2227" s="66" t="n">
        <x:v>401.32694262519794</x:v>
      </x:c>
      <x:c r="H2227" s="45" t="n">
        <x:v>1</x:v>
      </x:c>
      <x:c r="I2227" s="36" t="str">
        <x:v>generated design-reference observation; not predicted tract behavior</x:v>
      </x:c>
    </x:row>
    <x:row r="2228" ht="75.5999984741211" hidden="0" customHeight="1">
      <x:c r="A2228" s="34" t="str">
        <x:v>P2</x:v>
      </x:c>
      <x:c r="B2228" s="34" t="str">
        <x:v>48201210400</x:v>
      </x:c>
      <x:c r="C2228" s="65" t="n">
        <x:v>299.7190167645652</x:v>
      </x:c>
      <x:c r="D2228" s="65" t="n">
        <x:v>257.7408427446365</x:v>
      </x:c>
      <x:c r="E2228" s="65" t="n">
        <x:v>41.9781740199287</x:v>
      </x:c>
      <x:c r="F2228" s="65" t="n">
        <x:v>41.9781740199287</x:v>
      </x:c>
      <x:c r="G2228" s="65" t="n">
        <x:v>299.7190167645652</x:v>
      </x:c>
      <x:c r="H2228" s="43" t="n">
        <x:v>1</x:v>
      </x:c>
      <x:c r="I2228" s="34" t="str">
        <x:v>generated design-reference observation; not predicted tract behavior</x:v>
      </x:c>
    </x:row>
    <x:row r="2229" ht="75.5999984741211" hidden="0" customHeight="1">
      <x:c r="A2229" s="36" t="str">
        <x:v>P2</x:v>
      </x:c>
      <x:c r="B2229" s="36" t="str">
        <x:v>48201210500</x:v>
      </x:c>
      <x:c r="C2229" s="66" t="n">
        <x:v>397.1613949220625</x:v>
      </x:c>
      <x:c r="D2229" s="66" t="n">
        <x:v>341.86072433584405</x:v>
      </x:c>
      <x:c r="E2229" s="66" t="n">
        <x:v>55.30067058621847</x:v>
      </x:c>
      <x:c r="F2229" s="66" t="n">
        <x:v>55.30067058621847</x:v>
      </x:c>
      <x:c r="G2229" s="66" t="n">
        <x:v>397.1613949220625</x:v>
      </x:c>
      <x:c r="H2229" s="45" t="n">
        <x:v>1</x:v>
      </x:c>
      <x:c r="I2229" s="36" t="str">
        <x:v>generated design-reference observation; not predicted tract behavior</x:v>
      </x:c>
    </x:row>
    <x:row r="2230" ht="75.5999984741211" hidden="0" customHeight="1">
      <x:c r="A2230" s="34" t="str">
        <x:v>P2</x:v>
      </x:c>
      <x:c r="B2230" s="34" t="str">
        <x:v>48201210600</x:v>
      </x:c>
      <x:c r="C2230" s="65" t="n">
        <x:v>448.51945429213555</x:v>
      </x:c>
      <x:c r="D2230" s="65" t="n">
        <x:v>386.9227337793539</x:v>
      </x:c>
      <x:c r="E2230" s="65" t="n">
        <x:v>61.596720512781644</x:v>
      </x:c>
      <x:c r="F2230" s="65" t="n">
        <x:v>61.596720512781644</x:v>
      </x:c>
      <x:c r="G2230" s="65" t="n">
        <x:v>448.51945429213555</x:v>
      </x:c>
      <x:c r="H2230" s="43" t="n">
        <x:v>1</x:v>
      </x:c>
      <x:c r="I2230" s="34" t="str">
        <x:v>generated design-reference observation; not predicted tract behavior</x:v>
      </x:c>
    </x:row>
    <x:row r="2231" ht="75.5999984741211" hidden="0" customHeight="1">
      <x:c r="A2231" s="36" t="str">
        <x:v>P2</x:v>
      </x:c>
      <x:c r="B2231" s="36" t="str">
        <x:v>48201210700</x:v>
      </x:c>
      <x:c r="C2231" s="66" t="n">
        <x:v>181.14630841861566</x:v>
      </x:c>
      <x:c r="D2231" s="66" t="n">
        <x:v>156.16925159282889</x:v>
      </x:c>
      <x:c r="E2231" s="66" t="n">
        <x:v>24.977056825786775</x:v>
      </x:c>
      <x:c r="F2231" s="66" t="n">
        <x:v>24.977056825786775</x:v>
      </x:c>
      <x:c r="G2231" s="66" t="n">
        <x:v>181.14630841861566</x:v>
      </x:c>
      <x:c r="H2231" s="45" t="n">
        <x:v>1</x:v>
      </x:c>
      <x:c r="I2231" s="36" t="str">
        <x:v>generated design-reference observation; not predicted tract behavior</x:v>
      </x:c>
    </x:row>
    <x:row r="2232" ht="75.5999984741211" hidden="0" customHeight="1">
      <x:c r="A2232" s="34" t="str">
        <x:v>P2</x:v>
      </x:c>
      <x:c r="B2232" s="34" t="str">
        <x:v>48201210800</x:v>
      </x:c>
      <x:c r="C2232" s="65" t="n">
        <x:v>184.95031801921485</x:v>
      </x:c>
      <x:c r="D2232" s="65" t="n">
        <x:v>158.94975916967485</x:v>
      </x:c>
      <x:c r="E2232" s="65" t="n">
        <x:v>26.00055884954</x:v>
      </x:c>
      <x:c r="F2232" s="65" t="n">
        <x:v>26.00055884954</x:v>
      </x:c>
      <x:c r="G2232" s="65" t="n">
        <x:v>184.95031801921485</x:v>
      </x:c>
      <x:c r="H2232" s="43" t="n">
        <x:v>1</x:v>
      </x:c>
      <x:c r="I2232" s="34" t="str">
        <x:v>generated design-reference observation; not predicted tract behavior</x:v>
      </x:c>
    </x:row>
    <x:row r="2233" ht="75.5999984741211" hidden="0" customHeight="1">
      <x:c r="A2233" s="36" t="str">
        <x:v>P2</x:v>
      </x:c>
      <x:c r="B2233" s="36" t="str">
        <x:v>48201210900</x:v>
      </x:c>
      <x:c r="C2233" s="66" t="n">
        <x:v>314.54298583670305</x:v>
      </x:c>
      <x:c r="D2233" s="66" t="n">
        <x:v>130.22079613639505</x:v>
      </x:c>
      <x:c r="E2233" s="66" t="n">
        <x:v>184.322189700308</x:v>
      </x:c>
      <x:c r="F2233" s="66" t="n">
        <x:v>184.322189700308</x:v>
      </x:c>
      <x:c r="G2233" s="66" t="n">
        <x:v>314.54298583670305</x:v>
      </x:c>
      <x:c r="H2233" s="45" t="n">
        <x:v>1</x:v>
      </x:c>
      <x:c r="I2233" s="36" t="str">
        <x:v>generated design-reference observation; not predicted tract behavior</x:v>
      </x:c>
    </x:row>
    <x:row r="2234" ht="75.5999984741211" hidden="0" customHeight="1">
      <x:c r="A2234" s="34" t="str">
        <x:v>P2</x:v>
      </x:c>
      <x:c r="B2234" s="34" t="str">
        <x:v>48201211000</x:v>
      </x:c>
      <x:c r="C2234" s="65" t="n">
        <x:v>301.62676506314926</x:v>
      </x:c>
      <x:c r="D2234" s="65" t="n">
        <x:v>124.82453816250701</x:v>
      </x:c>
      <x:c r="E2234" s="65" t="n">
        <x:v>176.80222690064227</x:v>
      </x:c>
      <x:c r="F2234" s="65" t="n">
        <x:v>176.80222690064227</x:v>
      </x:c>
      <x:c r="G2234" s="65" t="n">
        <x:v>301.62676506314926</x:v>
      </x:c>
      <x:c r="H2234" s="43" t="n">
        <x:v>1</x:v>
      </x:c>
      <x:c r="I2234" s="34" t="str">
        <x:v>generated design-reference observation; not predicted tract behavior</x:v>
      </x:c>
    </x:row>
    <x:row r="2235" ht="75.5999984741211" hidden="0" customHeight="1">
      <x:c r="A2235" s="36" t="str">
        <x:v>P2</x:v>
      </x:c>
      <x:c r="B2235" s="36" t="str">
        <x:v>48201211101</x:v>
      </x:c>
      <x:c r="C2235" s="66" t="n">
        <x:v>429.67412955273994</x:v>
      </x:c>
      <x:c r="D2235" s="66" t="n">
        <x:v>322.9237477186219</x:v>
      </x:c>
      <x:c r="E2235" s="66" t="n">
        <x:v>106.75038183411806</x:v>
      </x:c>
      <x:c r="F2235" s="66" t="n">
        <x:v>106.75038183411806</x:v>
      </x:c>
      <x:c r="G2235" s="66" t="n">
        <x:v>429.67412955273994</x:v>
      </x:c>
      <x:c r="H2235" s="45" t="n">
        <x:v>1</x:v>
      </x:c>
      <x:c r="I2235" s="36" t="str">
        <x:v>generated design-reference observation; not predicted tract behavior</x:v>
      </x:c>
    </x:row>
    <x:row r="2236" ht="75.5999984741211" hidden="0" customHeight="1">
      <x:c r="A2236" s="34" t="str">
        <x:v>P2</x:v>
      </x:c>
      <x:c r="B2236" s="34" t="str">
        <x:v>48201211102</x:v>
      </x:c>
      <x:c r="C2236" s="65" t="n">
        <x:v>345.4774675966933</x:v>
      </x:c>
      <x:c r="D2236" s="65" t="n">
        <x:v>259.9628909405433</x:v>
      </x:c>
      <x:c r="E2236" s="65" t="n">
        <x:v>85.51457665615004</x:v>
      </x:c>
      <x:c r="F2236" s="65" t="n">
        <x:v>85.51457665615004</x:v>
      </x:c>
      <x:c r="G2236" s="65" t="n">
        <x:v>345.4774675966933</x:v>
      </x:c>
      <x:c r="H2236" s="43" t="n">
        <x:v>1</x:v>
      </x:c>
      <x:c r="I2236" s="34" t="str">
        <x:v>generated design-reference observation; not predicted tract behavior</x:v>
      </x:c>
    </x:row>
    <x:row r="2237" ht="75.5999984741211" hidden="0" customHeight="1">
      <x:c r="A2237" s="36" t="str">
        <x:v>P2</x:v>
      </x:c>
      <x:c r="B2237" s="36" t="str">
        <x:v>48201211200</x:v>
      </x:c>
      <x:c r="C2237" s="66" t="n">
        <x:v>416.044505834382</x:v>
      </x:c>
      <x:c r="D2237" s="66" t="n">
        <x:v>170.9274983582188</x:v>
      </x:c>
      <x:c r="E2237" s="66" t="n">
        <x:v>245.1170074761632</x:v>
      </x:c>
      <x:c r="F2237" s="66" t="n">
        <x:v>245.1170074761632</x:v>
      </x:c>
      <x:c r="G2237" s="66" t="n">
        <x:v>416.044505834382</x:v>
      </x:c>
      <x:c r="H2237" s="45" t="n">
        <x:v>1</x:v>
      </x:c>
      <x:c r="I2237" s="36" t="str">
        <x:v>generated design-reference observation; not predicted tract behavior</x:v>
      </x:c>
    </x:row>
    <x:row r="2238" ht="75.5999984741211" hidden="0" customHeight="1">
      <x:c r="A2238" s="34" t="str">
        <x:v>P2</x:v>
      </x:c>
      <x:c r="B2238" s="34" t="str">
        <x:v>48201211301</x:v>
      </x:c>
      <x:c r="C2238" s="65" t="n">
        <x:v>224.3776200055905</x:v>
      </x:c>
      <x:c r="D2238" s="65" t="n">
        <x:v>193.79899681560394</x:v>
      </x:c>
      <x:c r="E2238" s="65" t="n">
        <x:v>30.57862318998656</x:v>
      </x:c>
      <x:c r="F2238" s="65" t="n">
        <x:v>30.57862318998656</x:v>
      </x:c>
      <x:c r="G2238" s="65" t="n">
        <x:v>224.3776200055905</x:v>
      </x:c>
      <x:c r="H2238" s="43" t="n">
        <x:v>1</x:v>
      </x:c>
      <x:c r="I2238" s="34" t="str">
        <x:v>generated design-reference observation; not predicted tract behavior</x:v>
      </x:c>
    </x:row>
    <x:row r="2239" ht="75.5999984741211" hidden="0" customHeight="1">
      <x:c r="A2239" s="36" t="str">
        <x:v>P2</x:v>
      </x:c>
      <x:c r="B2239" s="36" t="str">
        <x:v>48201211302</x:v>
      </x:c>
      <x:c r="C2239" s="66" t="n">
        <x:v>175.89221664588723</x:v>
      </x:c>
      <x:c r="D2239" s="66" t="n">
        <x:v>150.37619995444183</x:v>
      </x:c>
      <x:c r="E2239" s="66" t="n">
        <x:v>25.5160166914454</x:v>
      </x:c>
      <x:c r="F2239" s="66" t="n">
        <x:v>25.5160166914454</x:v>
      </x:c>
      <x:c r="G2239" s="66" t="n">
        <x:v>175.89221664588723</x:v>
      </x:c>
      <x:c r="H2239" s="45" t="n">
        <x:v>1</x:v>
      </x:c>
      <x:c r="I2239" s="36" t="str">
        <x:v>generated design-reference observation; not predicted tract behavior</x:v>
      </x:c>
    </x:row>
    <x:row r="2240" ht="75.5999984741211" hidden="0" customHeight="1">
      <x:c r="A2240" s="34" t="str">
        <x:v>P2</x:v>
      </x:c>
      <x:c r="B2240" s="34" t="str">
        <x:v>48201211400</x:v>
      </x:c>
      <x:c r="C2240" s="65" t="n">
        <x:v>354.0558357185785</x:v>
      </x:c>
      <x:c r="D2240" s="65" t="n">
        <x:v>304.8765462104572</x:v>
      </x:c>
      <x:c r="E2240" s="65" t="n">
        <x:v>49.179289508121315</x:v>
      </x:c>
      <x:c r="F2240" s="65" t="n">
        <x:v>49.179289508121315</x:v>
      </x:c>
      <x:c r="G2240" s="65" t="n">
        <x:v>354.0558357185785</x:v>
      </x:c>
      <x:c r="H2240" s="43" t="n">
        <x:v>1</x:v>
      </x:c>
      <x:c r="I2240" s="34" t="str">
        <x:v>generated design-reference observation; not predicted tract behavior</x:v>
      </x:c>
    </x:row>
    <x:row r="2241" ht="75.5999984741211" hidden="0" customHeight="1">
      <x:c r="A2241" s="36" t="str">
        <x:v>P2</x:v>
      </x:c>
      <x:c r="B2241" s="36" t="str">
        <x:v>48201211501</x:v>
      </x:c>
      <x:c r="C2241" s="66" t="n">
        <x:v>255.21839205672933</x:v>
      </x:c>
      <x:c r="D2241" s="66" t="n">
        <x:v>220.39580804431242</x:v>
      </x:c>
      <x:c r="E2241" s="66" t="n">
        <x:v>34.82258401241691</x:v>
      </x:c>
      <x:c r="F2241" s="66" t="n">
        <x:v>34.82258401241691</x:v>
      </x:c>
      <x:c r="G2241" s="66" t="n">
        <x:v>255.21839205672933</x:v>
      </x:c>
      <x:c r="H2241" s="45" t="n">
        <x:v>1</x:v>
      </x:c>
      <x:c r="I2241" s="36" t="str">
        <x:v>generated design-reference observation; not predicted tract behavior</x:v>
      </x:c>
    </x:row>
    <x:row r="2242" ht="75.5999984741211" hidden="0" customHeight="1">
      <x:c r="A2242" s="34" t="str">
        <x:v>P2</x:v>
      </x:c>
      <x:c r="B2242" s="34" t="str">
        <x:v>48201211502</x:v>
      </x:c>
      <x:c r="C2242" s="65" t="n">
        <x:v>226.63723314644227</x:v>
      </x:c>
      <x:c r="D2242" s="65" t="n">
        <x:v>195.67165978769128</x:v>
      </x:c>
      <x:c r="E2242" s="65" t="n">
        <x:v>30.965573358750987</x:v>
      </x:c>
      <x:c r="F2242" s="65" t="n">
        <x:v>30.965573358750987</x:v>
      </x:c>
      <x:c r="G2242" s="65" t="n">
        <x:v>226.63723314644227</x:v>
      </x:c>
      <x:c r="H2242" s="43" t="n">
        <x:v>1</x:v>
      </x:c>
      <x:c r="I2242" s="34" t="str">
        <x:v>generated design-reference observation; not predicted tract behavior</x:v>
      </x:c>
    </x:row>
    <x:row r="2243" ht="75.5999984741211" hidden="0" customHeight="1">
      <x:c r="A2243" s="36" t="str">
        <x:v>P2</x:v>
      </x:c>
      <x:c r="B2243" s="36" t="str">
        <x:v>48201211600</x:v>
      </x:c>
      <x:c r="C2243" s="66" t="n">
        <x:v>229.8596379733961</x:v>
      </x:c>
      <x:c r="D2243" s="66" t="n">
        <x:v>197.13176614823018</x:v>
      </x:c>
      <x:c r="E2243" s="66" t="n">
        <x:v>32.72787182516592</x:v>
      </x:c>
      <x:c r="F2243" s="66" t="n">
        <x:v>32.72787182516592</x:v>
      </x:c>
      <x:c r="G2243" s="66" t="n">
        <x:v>229.8596379733961</x:v>
      </x:c>
      <x:c r="H2243" s="45" t="n">
        <x:v>1</x:v>
      </x:c>
      <x:c r="I2243" s="36" t="str">
        <x:v>generated design-reference observation; not predicted tract behavior</x:v>
      </x:c>
    </x:row>
    <x:row r="2244" ht="75.5999984741211" hidden="0" customHeight="1">
      <x:c r="A2244" s="34" t="str">
        <x:v>P2</x:v>
      </x:c>
      <x:c r="B2244" s="34" t="str">
        <x:v>48201211700</x:v>
      </x:c>
      <x:c r="C2244" s="65" t="n">
        <x:v>551.1717899723859</x:v>
      </x:c>
      <x:c r="D2244" s="65" t="n">
        <x:v>414.82031881941725</x:v>
      </x:c>
      <x:c r="E2244" s="65" t="n">
        <x:v>136.35147115296866</x:v>
      </x:c>
      <x:c r="F2244" s="65" t="n">
        <x:v>136.35147115296866</x:v>
      </x:c>
      <x:c r="G2244" s="65" t="n">
        <x:v>551.1717899723859</x:v>
      </x:c>
      <x:c r="H2244" s="43" t="n">
        <x:v>1</x:v>
      </x:c>
      <x:c r="I2244" s="34" t="str">
        <x:v>generated design-reference observation; not predicted tract behavior</x:v>
      </x:c>
    </x:row>
    <x:row r="2245" ht="75.5999984741211" hidden="0" customHeight="1">
      <x:c r="A2245" s="36" t="str">
        <x:v>P2</x:v>
      </x:c>
      <x:c r="B2245" s="36" t="str">
        <x:v>48201211900</x:v>
      </x:c>
      <x:c r="C2245" s="66" t="n">
        <x:v>340.2859497263269</x:v>
      </x:c>
      <x:c r="D2245" s="66" t="n">
        <x:v>293.86364060959403</x:v>
      </x:c>
      <x:c r="E2245" s="66" t="n">
        <x:v>46.42230911673289</x:v>
      </x:c>
      <x:c r="F2245" s="66" t="n">
        <x:v>46.42230911673289</x:v>
      </x:c>
      <x:c r="G2245" s="66" t="n">
        <x:v>340.2859497263269</x:v>
      </x:c>
      <x:c r="H2245" s="45" t="n">
        <x:v>1</x:v>
      </x:c>
      <x:c r="I2245" s="36" t="str">
        <x:v>generated design-reference observation; not predicted tract behavior</x:v>
      </x:c>
    </x:row>
    <x:row r="2246" ht="75.5999984741211" hidden="0" customHeight="1">
      <x:c r="A2246" s="34" t="str">
        <x:v>P2</x:v>
      </x:c>
      <x:c r="B2246" s="34" t="str">
        <x:v>48201212300</x:v>
      </x:c>
      <x:c r="C2246" s="65" t="n">
        <x:v>390.9641602731525</x:v>
      </x:c>
      <x:c r="D2246" s="65" t="n">
        <x:v>333.6553478491495</x:v>
      </x:c>
      <x:c r="E2246" s="65" t="n">
        <x:v>57.30881242400301</x:v>
      </x:c>
      <x:c r="F2246" s="65" t="n">
        <x:v>57.30881242400301</x:v>
      </x:c>
      <x:c r="G2246" s="65" t="n">
        <x:v>390.9641602731525</x:v>
      </x:c>
      <x:c r="H2246" s="43" t="n">
        <x:v>1</x:v>
      </x:c>
      <x:c r="I2246" s="34" t="str">
        <x:v>generated design-reference observation; not predicted tract behavior</x:v>
      </x:c>
    </x:row>
    <x:row r="2247" ht="75.5999984741211" hidden="0" customHeight="1">
      <x:c r="A2247" s="36" t="str">
        <x:v>P2</x:v>
      </x:c>
      <x:c r="B2247" s="36" t="str">
        <x:v>48201212400</x:v>
      </x:c>
      <x:c r="C2247" s="66" t="n">
        <x:v>238.08070004411252</x:v>
      </x:c>
      <x:c r="D2247" s="66" t="n">
        <x:v>205.8921893981485</x:v>
      </x:c>
      <x:c r="E2247" s="66" t="n">
        <x:v>32.188510645964016</x:v>
      </x:c>
      <x:c r="F2247" s="66" t="n">
        <x:v>32.188510645964016</x:v>
      </x:c>
      <x:c r="G2247" s="66" t="n">
        <x:v>238.08070004411252</x:v>
      </x:c>
      <x:c r="H2247" s="45" t="n">
        <x:v>1</x:v>
      </x:c>
      <x:c r="I2247" s="36" t="str">
        <x:v>generated design-reference observation; not predicted tract behavior</x:v>
      </x:c>
    </x:row>
    <x:row r="2248" ht="75.5999984741211" hidden="0" customHeight="1">
      <x:c r="A2248" s="34" t="str">
        <x:v>P2</x:v>
      </x:c>
      <x:c r="B2248" s="34" t="str">
        <x:v>48201212500</x:v>
      </x:c>
      <x:c r="C2248" s="65" t="n">
        <x:v>286.10239148969316</x:v>
      </x:c>
      <x:c r="D2248" s="65" t="n">
        <x:v>247.14510827247943</x:v>
      </x:c>
      <x:c r="E2248" s="65" t="n">
        <x:v>38.95728321721373</x:v>
      </x:c>
      <x:c r="F2248" s="65" t="n">
        <x:v>38.95728321721373</x:v>
      </x:c>
      <x:c r="G2248" s="65" t="n">
        <x:v>286.10239148969316</x:v>
      </x:c>
      <x:c r="H2248" s="43" t="n">
        <x:v>1</x:v>
      </x:c>
      <x:c r="I2248" s="34" t="str">
        <x:v>generated design-reference observation; not predicted tract behavior</x:v>
      </x:c>
    </x:row>
    <x:row r="2249" ht="75.5999984741211" hidden="0" customHeight="1">
      <x:c r="A2249" s="36" t="str">
        <x:v>P2</x:v>
      </x:c>
      <x:c r="B2249" s="36" t="str">
        <x:v>48201220100</x:v>
      </x:c>
      <x:c r="C2249" s="66" t="n">
        <x:v>124.90355490231863</x:v>
      </x:c>
      <x:c r="D2249" s="66" t="n">
        <x:v>108.01659427952515</x:v>
      </x:c>
      <x:c r="E2249" s="66" t="n">
        <x:v>16.88696062279348</x:v>
      </x:c>
      <x:c r="F2249" s="66" t="n">
        <x:v>16.88696062279348</x:v>
      </x:c>
      <x:c r="G2249" s="66" t="n">
        <x:v>124.90355490231863</x:v>
      </x:c>
      <x:c r="H2249" s="45" t="n">
        <x:v>1</x:v>
      </x:c>
      <x:c r="I2249" s="36" t="str">
        <x:v>generated design-reference observation; not predicted tract behavior</x:v>
      </x:c>
    </x:row>
    <x:row r="2250" ht="75.5999984741211" hidden="0" customHeight="1">
      <x:c r="A2250" s="34" t="str">
        <x:v>P2</x:v>
      </x:c>
      <x:c r="B2250" s="34" t="str">
        <x:v>48201220200</x:v>
      </x:c>
      <x:c r="C2250" s="65" t="n">
        <x:v>194.64897059594912</x:v>
      </x:c>
      <x:c r="D2250" s="65" t="n">
        <x:v>168.24310242067264</x:v>
      </x:c>
      <x:c r="E2250" s="65" t="n">
        <x:v>26.40586817527648</x:v>
      </x:c>
      <x:c r="F2250" s="65" t="n">
        <x:v>26.40586817527648</x:v>
      </x:c>
      <x:c r="G2250" s="65" t="n">
        <x:v>194.64897059594912</x:v>
      </x:c>
      <x:c r="H2250" s="43" t="n">
        <x:v>1</x:v>
      </x:c>
      <x:c r="I2250" s="34" t="str">
        <x:v>generated design-reference observation; not predicted tract behavior</x:v>
      </x:c>
    </x:row>
    <x:row r="2251" ht="75.5999984741211" hidden="0" customHeight="1">
      <x:c r="A2251" s="36" t="str">
        <x:v>P2</x:v>
      </x:c>
      <x:c r="B2251" s="36" t="str">
        <x:v>48201220300</x:v>
      </x:c>
      <x:c r="C2251" s="66" t="n">
        <x:v>307.40956096742946</x:v>
      </x:c>
      <x:c r="D2251" s="66" t="n">
        <x:v>265.151243901075</x:v>
      </x:c>
      <x:c r="E2251" s="66" t="n">
        <x:v>42.25831706635444</x:v>
      </x:c>
      <x:c r="F2251" s="66" t="n">
        <x:v>42.25831706635444</x:v>
      </x:c>
      <x:c r="G2251" s="66" t="n">
        <x:v>307.40956096742946</x:v>
      </x:c>
      <x:c r="H2251" s="45" t="n">
        <x:v>1</x:v>
      </x:c>
      <x:c r="I2251" s="36" t="str">
        <x:v>generated design-reference observation; not predicted tract behavior</x:v>
      </x:c>
    </x:row>
    <x:row r="2252" ht="75.5999984741211" hidden="0" customHeight="1">
      <x:c r="A2252" s="34" t="str">
        <x:v>P2</x:v>
      </x:c>
      <x:c r="B2252" s="34" t="str">
        <x:v>48201220400</x:v>
      </x:c>
      <x:c r="C2252" s="65" t="n">
        <x:v>342.7656295382877</x:v>
      </x:c>
      <x:c r="D2252" s="65" t="n">
        <x:v>294.22734466357133</x:v>
      </x:c>
      <x:c r="E2252" s="65" t="n">
        <x:v>48.538284874716396</x:v>
      </x:c>
      <x:c r="F2252" s="65" t="n">
        <x:v>48.538284874716396</x:v>
      </x:c>
      <x:c r="G2252" s="65" t="n">
        <x:v>342.7656295382877</x:v>
      </x:c>
      <x:c r="H2252" s="43" t="n">
        <x:v>1</x:v>
      </x:c>
      <x:c r="I2252" s="34" t="str">
        <x:v>generated design-reference observation; not predicted tract behavior</x:v>
      </x:c>
    </x:row>
    <x:row r="2253" ht="75.5999984741211" hidden="0" customHeight="1">
      <x:c r="A2253" s="36" t="str">
        <x:v>P2</x:v>
      </x:c>
      <x:c r="B2253" s="36" t="str">
        <x:v>48201220500</x:v>
      </x:c>
      <x:c r="C2253" s="66" t="n">
        <x:v>281.58316520798957</x:v>
      </x:c>
      <x:c r="D2253" s="66" t="n">
        <x:v>238.11954984656407</x:v>
      </x:c>
      <x:c r="E2253" s="66" t="n">
        <x:v>43.4636153614255</x:v>
      </x:c>
      <x:c r="F2253" s="66" t="n">
        <x:v>43.4636153614255</x:v>
      </x:c>
      <x:c r="G2253" s="66" t="n">
        <x:v>281.58316520798957</x:v>
      </x:c>
      <x:c r="H2253" s="45" t="n">
        <x:v>1</x:v>
      </x:c>
      <x:c r="I2253" s="36" t="str">
        <x:v>generated design-reference observation; not predicted tract behavior</x:v>
      </x:c>
    </x:row>
    <x:row r="2254" ht="75.5999984741211" hidden="0" customHeight="1">
      <x:c r="A2254" s="34" t="str">
        <x:v>P2</x:v>
      </x:c>
      <x:c r="B2254" s="34" t="str">
        <x:v>48201220600</x:v>
      </x:c>
      <x:c r="C2254" s="65" t="n">
        <x:v>256.4051801759245</x:v>
      </x:c>
      <x:c r="D2254" s="65" t="n">
        <x:v>219.77774142609132</x:v>
      </x:c>
      <x:c r="E2254" s="65" t="n">
        <x:v>36.627438749833175</x:v>
      </x:c>
      <x:c r="F2254" s="65" t="n">
        <x:v>36.627438749833175</x:v>
      </x:c>
      <x:c r="G2254" s="65" t="n">
        <x:v>256.4051801759245</x:v>
      </x:c>
      <x:c r="H2254" s="43" t="n">
        <x:v>1</x:v>
      </x:c>
      <x:c r="I2254" s="34" t="str">
        <x:v>generated design-reference observation; not predicted tract behavior</x:v>
      </x:c>
    </x:row>
    <x:row r="2255" ht="75.5999984741211" hidden="0" customHeight="1">
      <x:c r="A2255" s="36" t="str">
        <x:v>P2</x:v>
      </x:c>
      <x:c r="B2255" s="36" t="str">
        <x:v>48201220701</x:v>
      </x:c>
      <x:c r="C2255" s="66" t="n">
        <x:v>281.81895092703496</x:v>
      </x:c>
      <x:c r="D2255" s="66" t="n">
        <x:v>239.28260212834266</x:v>
      </x:c>
      <x:c r="E2255" s="66" t="n">
        <x:v>42.5363487986923</x:v>
      </x:c>
      <x:c r="F2255" s="66" t="n">
        <x:v>42.5363487986923</x:v>
      </x:c>
      <x:c r="G2255" s="66" t="n">
        <x:v>281.81895092703496</x:v>
      </x:c>
      <x:c r="H2255" s="45" t="n">
        <x:v>1</x:v>
      </x:c>
      <x:c r="I2255" s="36" t="str">
        <x:v>generated design-reference observation; not predicted tract behavior</x:v>
      </x:c>
    </x:row>
    <x:row r="2256" ht="75.5999984741211" hidden="0" customHeight="1">
      <x:c r="A2256" s="34" t="str">
        <x:v>P2</x:v>
      </x:c>
      <x:c r="B2256" s="34" t="str">
        <x:v>48201220702</x:v>
      </x:c>
      <x:c r="C2256" s="65" t="n">
        <x:v>310.0425014967699</x:v>
      </x:c>
      <x:c r="D2256" s="65" t="n">
        <x:v>265.584940561863</x:v>
      </x:c>
      <x:c r="E2256" s="65" t="n">
        <x:v>44.457560934906894</x:v>
      </x:c>
      <x:c r="F2256" s="65" t="n">
        <x:v>44.457560934906894</x:v>
      </x:c>
      <x:c r="G2256" s="65" t="n">
        <x:v>310.0425014967699</x:v>
      </x:c>
      <x:c r="H2256" s="43" t="n">
        <x:v>1</x:v>
      </x:c>
      <x:c r="I2256" s="34" t="str">
        <x:v>generated design-reference observation; not predicted tract behavior</x:v>
      </x:c>
    </x:row>
    <x:row r="2257" ht="75.5999984741211" hidden="0" customHeight="1">
      <x:c r="A2257" s="36" t="str">
        <x:v>P2</x:v>
      </x:c>
      <x:c r="B2257" s="36" t="str">
        <x:v>48201220800</x:v>
      </x:c>
      <x:c r="C2257" s="66" t="n">
        <x:v>319.04165644033606</x:v>
      </x:c>
      <x:c r="D2257" s="66" t="n">
        <x:v>271.5037944558958</x:v>
      </x:c>
      <x:c r="E2257" s="66" t="n">
        <x:v>47.53786198444027</x:v>
      </x:c>
      <x:c r="F2257" s="66" t="n">
        <x:v>47.53786198444027</x:v>
      </x:c>
      <x:c r="G2257" s="66" t="n">
        <x:v>319.04165644033606</x:v>
      </x:c>
      <x:c r="H2257" s="45" t="n">
        <x:v>1</x:v>
      </x:c>
      <x:c r="I2257" s="36" t="str">
        <x:v>generated design-reference observation; not predicted tract behavior</x:v>
      </x:c>
    </x:row>
    <x:row r="2258" ht="75.5999984741211" hidden="0" customHeight="1">
      <x:c r="A2258" s="34" t="str">
        <x:v>P2</x:v>
      </x:c>
      <x:c r="B2258" s="34" t="str">
        <x:v>48201220900</x:v>
      </x:c>
      <x:c r="C2258" s="65" t="n">
        <x:v>148.0419934646409</x:v>
      </x:c>
      <x:c r="D2258" s="65" t="n">
        <x:v>127.392662334638</x:v>
      </x:c>
      <x:c r="E2258" s="65" t="n">
        <x:v>20.649331130002906</x:v>
      </x:c>
      <x:c r="F2258" s="65" t="n">
        <x:v>20.649331130002906</x:v>
      </x:c>
      <x:c r="G2258" s="65" t="n">
        <x:v>148.0419934646409</x:v>
      </x:c>
      <x:c r="H2258" s="43" t="n">
        <x:v>1</x:v>
      </x:c>
      <x:c r="I2258" s="34" t="str">
        <x:v>generated design-reference observation; not predicted tract behavior</x:v>
      </x:c>
    </x:row>
    <x:row r="2259" ht="75.5999984741211" hidden="0" customHeight="1">
      <x:c r="A2259" s="36" t="str">
        <x:v>P2</x:v>
      </x:c>
      <x:c r="B2259" s="36" t="str">
        <x:v>48201221000</x:v>
      </x:c>
      <x:c r="C2259" s="66" t="n">
        <x:v>500.71636670112014</x:v>
      </x:c>
      <x:c r="D2259" s="66" t="n">
        <x:v>375.1391261018673</x:v>
      </x:c>
      <x:c r="E2259" s="66" t="n">
        <x:v>125.57724059925283</x:v>
      </x:c>
      <x:c r="F2259" s="66" t="n">
        <x:v>125.57724059925283</x:v>
      </x:c>
      <x:c r="G2259" s="66" t="n">
        <x:v>500.71636670112014</x:v>
      </x:c>
      <x:c r="H2259" s="45" t="n">
        <x:v>1</x:v>
      </x:c>
      <x:c r="I2259" s="36" t="str">
        <x:v>generated design-reference observation; not predicted tract behavior</x:v>
      </x:c>
    </x:row>
    <x:row r="2260" ht="75.5999984741211" hidden="0" customHeight="1">
      <x:c r="A2260" s="34" t="str">
        <x:v>P2</x:v>
      </x:c>
      <x:c r="B2260" s="34" t="str">
        <x:v>48201221100</x:v>
      </x:c>
      <x:c r="C2260" s="65" t="n">
        <x:v>263.64773151260255</x:v>
      </x:c>
      <x:c r="D2260" s="65" t="n">
        <x:v>228.00255821209868</x:v>
      </x:c>
      <x:c r="E2260" s="65" t="n">
        <x:v>35.64517330050387</x:v>
      </x:c>
      <x:c r="F2260" s="65" t="n">
        <x:v>35.64517330050387</x:v>
      </x:c>
      <x:c r="G2260" s="65" t="n">
        <x:v>263.64773151260255</x:v>
      </x:c>
      <x:c r="H2260" s="43" t="n">
        <x:v>1</x:v>
      </x:c>
      <x:c r="I2260" s="34" t="str">
        <x:v>generated design-reference observation; not predicted tract behavior</x:v>
      </x:c>
    </x:row>
    <x:row r="2261" ht="75.5999984741211" hidden="0" customHeight="1">
      <x:c r="A2261" s="36" t="str">
        <x:v>P2</x:v>
      </x:c>
      <x:c r="B2261" s="36" t="str">
        <x:v>48201221200</x:v>
      </x:c>
      <x:c r="C2261" s="66" t="n">
        <x:v>435.52766117273376</x:v>
      </x:c>
      <x:c r="D2261" s="66" t="n">
        <x:v>376.6443213821801</x:v>
      </x:c>
      <x:c r="E2261" s="66" t="n">
        <x:v>58.883339790553634</x:v>
      </x:c>
      <x:c r="F2261" s="66" t="n">
        <x:v>58.883339790553634</x:v>
      </x:c>
      <x:c r="G2261" s="66" t="n">
        <x:v>435.52766117273376</x:v>
      </x:c>
      <x:c r="H2261" s="45" t="n">
        <x:v>1</x:v>
      </x:c>
      <x:c r="I2261" s="36" t="str">
        <x:v>generated design-reference observation; not predicted tract behavior</x:v>
      </x:c>
    </x:row>
    <x:row r="2262" ht="75.5999984741211" hidden="0" customHeight="1">
      <x:c r="A2262" s="34" t="str">
        <x:v>P2</x:v>
      </x:c>
      <x:c r="B2262" s="34" t="str">
        <x:v>48201221301</x:v>
      </x:c>
      <x:c r="C2262" s="65" t="n">
        <x:v>329.98211380404285</x:v>
      </x:c>
      <x:c r="D2262" s="65" t="n">
        <x:v>285.36853201773624</x:v>
      </x:c>
      <x:c r="E2262" s="65" t="n">
        <x:v>44.61358178630661</x:v>
      </x:c>
      <x:c r="F2262" s="65" t="n">
        <x:v>44.61358178630661</x:v>
      </x:c>
      <x:c r="G2262" s="65" t="n">
        <x:v>329.98211380404285</x:v>
      </x:c>
      <x:c r="H2262" s="43" t="n">
        <x:v>1</x:v>
      </x:c>
      <x:c r="I2262" s="34" t="str">
        <x:v>generated design-reference observation; not predicted tract behavior</x:v>
      </x:c>
    </x:row>
    <x:row r="2263" ht="75.5999984741211" hidden="0" customHeight="1">
      <x:c r="A2263" s="36" t="str">
        <x:v>P2</x:v>
      </x:c>
      <x:c r="B2263" s="36" t="str">
        <x:v>48201221302</x:v>
      </x:c>
      <x:c r="C2263" s="66" t="n">
        <x:v>275.03618174249544</x:v>
      </x:c>
      <x:c r="D2263" s="66" t="n">
        <x:v>236.63839229517245</x:v>
      </x:c>
      <x:c r="E2263" s="66" t="n">
        <x:v>38.39778944732299</x:v>
      </x:c>
      <x:c r="F2263" s="66" t="n">
        <x:v>38.39778944732299</x:v>
      </x:c>
      <x:c r="G2263" s="66" t="n">
        <x:v>275.03618174249544</x:v>
      </x:c>
      <x:c r="H2263" s="45" t="n">
        <x:v>1</x:v>
      </x:c>
      <x:c r="I2263" s="36" t="str">
        <x:v>generated design-reference observation; not predicted tract behavior</x:v>
      </x:c>
    </x:row>
    <x:row r="2264" ht="75.5999984741211" hidden="0" customHeight="1">
      <x:c r="A2264" s="34" t="str">
        <x:v>P2</x:v>
      </x:c>
      <x:c r="B2264" s="34" t="str">
        <x:v>48201221400</x:v>
      </x:c>
      <x:c r="C2264" s="65" t="n">
        <x:v>463.18925577874376</x:v>
      </x:c>
      <x:c r="D2264" s="65" t="n">
        <x:v>392.8776601748577</x:v>
      </x:c>
      <x:c r="E2264" s="65" t="n">
        <x:v>70.31159560388608</x:v>
      </x:c>
      <x:c r="F2264" s="65" t="n">
        <x:v>70.31159560388608</x:v>
      </x:c>
      <x:c r="G2264" s="65" t="n">
        <x:v>463.18925577874376</x:v>
      </x:c>
      <x:c r="H2264" s="43" t="n">
        <x:v>1</x:v>
      </x:c>
      <x:c r="I2264" s="34" t="str">
        <x:v>generated design-reference observation; not predicted tract behavior</x:v>
      </x:c>
    </x:row>
    <x:row r="2265" ht="75.5999984741211" hidden="0" customHeight="1">
      <x:c r="A2265" s="36" t="str">
        <x:v>P2</x:v>
      </x:c>
      <x:c r="B2265" s="36" t="str">
        <x:v>48201221501</x:v>
      </x:c>
      <x:c r="C2265" s="66" t="n">
        <x:v>385.6078946888377</x:v>
      </x:c>
      <x:c r="D2265" s="66" t="n">
        <x:v>332.09607824090057</x:v>
      </x:c>
      <x:c r="E2265" s="66" t="n">
        <x:v>53.51181644793712</x:v>
      </x:c>
      <x:c r="F2265" s="66" t="n">
        <x:v>53.51181644793712</x:v>
      </x:c>
      <x:c r="G2265" s="66" t="n">
        <x:v>385.6078946888377</x:v>
      </x:c>
      <x:c r="H2265" s="45" t="n">
        <x:v>1</x:v>
      </x:c>
      <x:c r="I2265" s="36" t="str">
        <x:v>generated design-reference observation; not predicted tract behavior</x:v>
      </x:c>
    </x:row>
    <x:row r="2266" ht="75.5999984741211" hidden="0" customHeight="1">
      <x:c r="A2266" s="34" t="str">
        <x:v>P2</x:v>
      </x:c>
      <x:c r="B2266" s="34" t="str">
        <x:v>48201221502</x:v>
      </x:c>
      <x:c r="C2266" s="65" t="n">
        <x:v>238.24575004744432</x:v>
      </x:c>
      <x:c r="D2266" s="65" t="n">
        <x:v>200.465881310236</x:v>
      </x:c>
      <x:c r="E2266" s="65" t="n">
        <x:v>37.77986873720832</x:v>
      </x:c>
      <x:c r="F2266" s="65" t="n">
        <x:v>37.77986873720832</x:v>
      </x:c>
      <x:c r="G2266" s="65" t="n">
        <x:v>238.24575004744432</x:v>
      </x:c>
      <x:c r="H2266" s="43" t="n">
        <x:v>1</x:v>
      </x:c>
      <x:c r="I2266" s="34" t="str">
        <x:v>generated design-reference observation; not predicted tract behavior</x:v>
      </x:c>
    </x:row>
    <x:row r="2267" ht="75.5999984741211" hidden="0" customHeight="1">
      <x:c r="A2267" s="36" t="str">
        <x:v>P2</x:v>
      </x:c>
      <x:c r="B2267" s="36" t="str">
        <x:v>48201221601</x:v>
      </x:c>
      <x:c r="C2267" s="66" t="n">
        <x:v>560.2897446436251</x:v>
      </x:c>
      <x:c r="D2267" s="66" t="n">
        <x:v>231.78175201284557</x:v>
      </x:c>
      <x:c r="E2267" s="66" t="n">
        <x:v>328.50799263077954</x:v>
      </x:c>
      <x:c r="F2267" s="66" t="n">
        <x:v>328.50799263077954</x:v>
      </x:c>
      <x:c r="G2267" s="66" t="n">
        <x:v>560.2897446436251</x:v>
      </x:c>
      <x:c r="H2267" s="45" t="n">
        <x:v>1</x:v>
      </x:c>
      <x:c r="I2267" s="36" t="str">
        <x:v>generated design-reference observation; not predicted tract behavior</x:v>
      </x:c>
    </x:row>
    <x:row r="2268" ht="75.5999984741211" hidden="0" customHeight="1">
      <x:c r="A2268" s="34" t="str">
        <x:v>P2</x:v>
      </x:c>
      <x:c r="B2268" s="34" t="str">
        <x:v>48201221602</x:v>
      </x:c>
      <x:c r="C2268" s="65" t="n">
        <x:v>447.41912093659033</x:v>
      </x:c>
      <x:c r="D2268" s="65" t="n">
        <x:v>386.9280557859633</x:v>
      </x:c>
      <x:c r="E2268" s="65" t="n">
        <x:v>60.49106515062704</x:v>
      </x:c>
      <x:c r="F2268" s="65" t="n">
        <x:v>60.49106515062704</x:v>
      </x:c>
      <x:c r="G2268" s="65" t="n">
        <x:v>447.41912093659033</x:v>
      </x:c>
      <x:c r="H2268" s="43" t="n">
        <x:v>1</x:v>
      </x:c>
      <x:c r="I2268" s="34" t="str">
        <x:v>generated design-reference observation; not predicted tract behavior</x:v>
      </x:c>
    </x:row>
    <x:row r="2269" ht="75.5999984741211" hidden="0" customHeight="1">
      <x:c r="A2269" s="36" t="str">
        <x:v>P2</x:v>
      </x:c>
      <x:c r="B2269" s="36" t="str">
        <x:v>48201221701</x:v>
      </x:c>
      <x:c r="C2269" s="66" t="n">
        <x:v>752.3538387221931</x:v>
      </x:c>
      <x:c r="D2269" s="66" t="n">
        <x:v>567.5757359320226</x:v>
      </x:c>
      <x:c r="E2269" s="66" t="n">
        <x:v>184.77810279017058</x:v>
      </x:c>
      <x:c r="F2269" s="66" t="n">
        <x:v>184.77810279017058</x:v>
      </x:c>
      <x:c r="G2269" s="66" t="n">
        <x:v>752.3538387221931</x:v>
      </x:c>
      <x:c r="H2269" s="45" t="n">
        <x:v>1</x:v>
      </x:c>
      <x:c r="I2269" s="36" t="str">
        <x:v>generated design-reference observation; not predicted tract behavior</x:v>
      </x:c>
    </x:row>
    <x:row r="2270" ht="75.5999984741211" hidden="0" customHeight="1">
      <x:c r="A2270" s="34" t="str">
        <x:v>P2</x:v>
      </x:c>
      <x:c r="B2270" s="34" t="str">
        <x:v>48201221702</x:v>
      </x:c>
      <x:c r="C2270" s="65" t="n">
        <x:v>503.88496401783027</x:v>
      </x:c>
      <x:c r="D2270" s="65" t="n">
        <x:v>208.50667004509728</x:v>
      </x:c>
      <x:c r="E2270" s="65" t="n">
        <x:v>295.378293972733</x:v>
      </x:c>
      <x:c r="F2270" s="65" t="n">
        <x:v>295.378293972733</x:v>
      </x:c>
      <x:c r="G2270" s="65" t="n">
        <x:v>503.88496401783027</x:v>
      </x:c>
      <x:c r="H2270" s="43" t="n">
        <x:v>1</x:v>
      </x:c>
      <x:c r="I2270" s="34" t="str">
        <x:v>generated design-reference observation; not predicted tract behavior</x:v>
      </x:c>
    </x:row>
    <x:row r="2271" ht="75.5999984741211" hidden="0" customHeight="1">
      <x:c r="A2271" s="36" t="str">
        <x:v>P2</x:v>
      </x:c>
      <x:c r="B2271" s="36" t="str">
        <x:v>48201221800</x:v>
      </x:c>
      <x:c r="C2271" s="66" t="n">
        <x:v>576.50031511738</x:v>
      </x:c>
      <x:c r="D2271" s="66" t="n">
        <x:v>434.2209792833854</x:v>
      </x:c>
      <x:c r="E2271" s="66" t="n">
        <x:v>142.27933583399454</x:v>
      </x:c>
      <x:c r="F2271" s="66" t="n">
        <x:v>142.27933583399454</x:v>
      </x:c>
      <x:c r="G2271" s="66" t="n">
        <x:v>576.50031511738</x:v>
      </x:c>
      <x:c r="H2271" s="45" t="n">
        <x:v>1</x:v>
      </x:c>
      <x:c r="I2271" s="36" t="str">
        <x:v>generated design-reference observation; not predicted tract behavior</x:v>
      </x:c>
    </x:row>
    <x:row r="2272" ht="75.5999984741211" hidden="0" customHeight="1">
      <x:c r="A2272" s="34" t="str">
        <x:v>P2</x:v>
      </x:c>
      <x:c r="B2272" s="34" t="str">
        <x:v>48201221900</x:v>
      </x:c>
      <x:c r="C2272" s="65" t="n">
        <x:v>839.0126477059638</x:v>
      </x:c>
      <x:c r="D2272" s="65" t="n">
        <x:v>347.351236150269</x:v>
      </x:c>
      <x:c r="E2272" s="65" t="n">
        <x:v>491.66141155569477</x:v>
      </x:c>
      <x:c r="F2272" s="65" t="n">
        <x:v>491.66141155569477</x:v>
      </x:c>
      <x:c r="G2272" s="65" t="n">
        <x:v>839.0126477059638</x:v>
      </x:c>
      <x:c r="H2272" s="43" t="n">
        <x:v>1</x:v>
      </x:c>
      <x:c r="I2272" s="34" t="str">
        <x:v>generated design-reference observation; not predicted tract behavior</x:v>
      </x:c>
    </x:row>
    <x:row r="2273" ht="75.5999984741211" hidden="0" customHeight="1">
      <x:c r="A2273" s="36" t="str">
        <x:v>P2</x:v>
      </x:c>
      <x:c r="B2273" s="36" t="str">
        <x:v>48201222000</x:v>
      </x:c>
      <x:c r="C2273" s="66" t="n">
        <x:v>357.77762260689525</x:v>
      </x:c>
      <x:c r="D2273" s="66" t="n">
        <x:v>148.11993575925464</x:v>
      </x:c>
      <x:c r="E2273" s="66" t="n">
        <x:v>209.6576868476406</x:v>
      </x:c>
      <x:c r="F2273" s="66" t="n">
        <x:v>209.6576868476406</x:v>
      </x:c>
      <x:c r="G2273" s="66" t="n">
        <x:v>357.77762260689525</x:v>
      </x:c>
      <x:c r="H2273" s="45" t="n">
        <x:v>1</x:v>
      </x:c>
      <x:c r="I2273" s="36" t="str">
        <x:v>generated design-reference observation; not predicted tract behavior</x:v>
      </x:c>
    </x:row>
    <x:row r="2274" ht="75.5999984741211" hidden="0" customHeight="1">
      <x:c r="A2274" s="34" t="str">
        <x:v>P2</x:v>
      </x:c>
      <x:c r="B2274" s="34" t="str">
        <x:v>48201222100</x:v>
      </x:c>
      <x:c r="C2274" s="65" t="n">
        <x:v>853.4862633827511</x:v>
      </x:c>
      <x:c r="D2274" s="65" t="n">
        <x:v>353.34331304045895</x:v>
      </x:c>
      <x:c r="E2274" s="65" t="n">
        <x:v>500.1429503422921</x:v>
      </x:c>
      <x:c r="F2274" s="65" t="n">
        <x:v>500.1429503422921</x:v>
      </x:c>
      <x:c r="G2274" s="65" t="n">
        <x:v>853.4862633827511</x:v>
      </x:c>
      <x:c r="H2274" s="43" t="n">
        <x:v>1</x:v>
      </x:c>
      <x:c r="I2274" s="34" t="str">
        <x:v>generated design-reference observation; not predicted tract behavior</x:v>
      </x:c>
    </x:row>
    <x:row r="2275" ht="75.5999984741211" hidden="0" customHeight="1">
      <x:c r="A2275" s="36" t="str">
        <x:v>P2</x:v>
      </x:c>
      <x:c r="B2275" s="36" t="str">
        <x:v>48201222200</x:v>
      </x:c>
      <x:c r="C2275" s="66" t="n">
        <x:v>275.099057934241</x:v>
      </x:c>
      <x:c r="D2275" s="66" t="n">
        <x:v>235.99535665302403</x:v>
      </x:c>
      <x:c r="E2275" s="66" t="n">
        <x:v>39.103701281216956</x:v>
      </x:c>
      <x:c r="F2275" s="66" t="n">
        <x:v>39.103701281216956</x:v>
      </x:c>
      <x:c r="G2275" s="66" t="n">
        <x:v>275.099057934241</x:v>
      </x:c>
      <x:c r="H2275" s="45" t="n">
        <x:v>1</x:v>
      </x:c>
      <x:c r="I2275" s="36" t="str">
        <x:v>generated design-reference observation; not predicted tract behavior</x:v>
      </x:c>
    </x:row>
    <x:row r="2276" ht="75.5999984741211" hidden="0" customHeight="1">
      <x:c r="A2276" s="34" t="str">
        <x:v>P2</x:v>
      </x:c>
      <x:c r="B2276" s="34" t="str">
        <x:v>48201222300</x:v>
      </x:c>
      <x:c r="C2276" s="65" t="n">
        <x:v>814.9407395277285</x:v>
      </x:c>
      <x:c r="D2276" s="65" t="n">
        <x:v>337.38546616447957</x:v>
      </x:c>
      <x:c r="E2276" s="65" t="n">
        <x:v>477.55527336324894</x:v>
      </x:c>
      <x:c r="F2276" s="65" t="n">
        <x:v>477.55527336324894</x:v>
      </x:c>
      <x:c r="G2276" s="65" t="n">
        <x:v>814.9407395277285</x:v>
      </x:c>
      <x:c r="H2276" s="43" t="n">
        <x:v>1</x:v>
      </x:c>
      <x:c r="I2276" s="34" t="str">
        <x:v>generated design-reference observation; not predicted tract behavior</x:v>
      </x:c>
    </x:row>
    <x:row r="2277" ht="75.5999984741211" hidden="0" customHeight="1">
      <x:c r="A2277" s="36" t="str">
        <x:v>P2</x:v>
      </x:c>
      <x:c r="B2277" s="36" t="str">
        <x:v>48201222401</x:v>
      </x:c>
      <x:c r="C2277" s="66" t="n">
        <x:v>265.54187678893396</x:v>
      </x:c>
      <x:c r="D2277" s="66" t="n">
        <x:v>229.64061504707007</x:v>
      </x:c>
      <x:c r="E2277" s="66" t="n">
        <x:v>35.90126174186389</x:v>
      </x:c>
      <x:c r="F2277" s="66" t="n">
        <x:v>35.90126174186389</x:v>
      </x:c>
      <x:c r="G2277" s="66" t="n">
        <x:v>265.54187678893396</x:v>
      </x:c>
      <x:c r="H2277" s="45" t="n">
        <x:v>1</x:v>
      </x:c>
      <x:c r="I2277" s="36" t="str">
        <x:v>generated design-reference observation; not predicted tract behavior</x:v>
      </x:c>
    </x:row>
    <x:row r="2278" ht="75.5999984741211" hidden="0" customHeight="1">
      <x:c r="A2278" s="34" t="str">
        <x:v>P2</x:v>
      </x:c>
      <x:c r="B2278" s="34" t="str">
        <x:v>48201222402</x:v>
      </x:c>
      <x:c r="C2278" s="65" t="n">
        <x:v>583.0312772455544</x:v>
      </x:c>
      <x:c r="D2278" s="65" t="n">
        <x:v>503.9001541590068</x:v>
      </x:c>
      <x:c r="E2278" s="65" t="n">
        <x:v>79.13112308654763</x:v>
      </x:c>
      <x:c r="F2278" s="65" t="n">
        <x:v>79.13112308654763</x:v>
      </x:c>
      <x:c r="G2278" s="65" t="n">
        <x:v>583.0312772455544</x:v>
      </x:c>
      <x:c r="H2278" s="43" t="n">
        <x:v>1</x:v>
      </x:c>
      <x:c r="I2278" s="34" t="str">
        <x:v>generated design-reference observation; not predicted tract behavior</x:v>
      </x:c>
    </x:row>
    <x:row r="2279" ht="75.5999984741211" hidden="0" customHeight="1">
      <x:c r="A2279" s="36" t="str">
        <x:v>P2</x:v>
      </x:c>
      <x:c r="B2279" s="36" t="str">
        <x:v>48201222501</x:v>
      </x:c>
      <x:c r="C2279" s="66" t="n">
        <x:v>273.7393602877458</x:v>
      </x:c>
      <x:c r="D2279" s="66" t="n">
        <x:v>234.9617876705558</x:v>
      </x:c>
      <x:c r="E2279" s="66" t="n">
        <x:v>38.77757261719</x:v>
      </x:c>
      <x:c r="F2279" s="66" t="n">
        <x:v>38.77757261719</x:v>
      </x:c>
      <x:c r="G2279" s="66" t="n">
        <x:v>273.7393602877458</x:v>
      </x:c>
      <x:c r="H2279" s="45" t="n">
        <x:v>1</x:v>
      </x:c>
      <x:c r="I2279" s="36" t="str">
        <x:v>generated design-reference observation; not predicted tract behavior</x:v>
      </x:c>
    </x:row>
    <x:row r="2280" ht="75.5999984741211" hidden="0" customHeight="1">
      <x:c r="A2280" s="34" t="str">
        <x:v>P2</x:v>
      </x:c>
      <x:c r="B2280" s="34" t="str">
        <x:v>48201222502</x:v>
      </x:c>
      <x:c r="C2280" s="65" t="n">
        <x:v>556.0734123240799</x:v>
      </x:c>
      <x:c r="D2280" s="65" t="n">
        <x:v>419.50178225728587</x:v>
      </x:c>
      <x:c r="E2280" s="65" t="n">
        <x:v>136.571630066794</x:v>
      </x:c>
      <x:c r="F2280" s="65" t="n">
        <x:v>136.571630066794</x:v>
      </x:c>
      <x:c r="G2280" s="65" t="n">
        <x:v>556.0734123240799</x:v>
      </x:c>
      <x:c r="H2280" s="43" t="n">
        <x:v>1</x:v>
      </x:c>
      <x:c r="I2280" s="34" t="str">
        <x:v>generated design-reference observation; not predicted tract behavior</x:v>
      </x:c>
    </x:row>
    <x:row r="2281" ht="75.5999984741211" hidden="0" customHeight="1">
      <x:c r="A2281" s="36" t="str">
        <x:v>P2</x:v>
      </x:c>
      <x:c r="B2281" s="36" t="str">
        <x:v>48201222504</x:v>
      </x:c>
      <x:c r="C2281" s="66" t="n">
        <x:v>264.15860057053413</x:v>
      </x:c>
      <x:c r="D2281" s="66" t="n">
        <x:v>226.71535601163143</x:v>
      </x:c>
      <x:c r="E2281" s="66" t="n">
        <x:v>37.443244558902705</x:v>
      </x:c>
      <x:c r="F2281" s="66" t="n">
        <x:v>37.443244558902705</x:v>
      </x:c>
      <x:c r="G2281" s="66" t="n">
        <x:v>264.15860057053413</x:v>
      </x:c>
      <x:c r="H2281" s="45" t="n">
        <x:v>1</x:v>
      </x:c>
      <x:c r="I2281" s="36" t="str">
        <x:v>generated design-reference observation; not predicted tract behavior</x:v>
      </x:c>
    </x:row>
    <x:row r="2282" ht="75.5999984741211" hidden="0" customHeight="1">
      <x:c r="A2282" s="34" t="str">
        <x:v>P2</x:v>
      </x:c>
      <x:c r="B2282" s="34" t="str">
        <x:v>48201222505</x:v>
      </x:c>
      <x:c r="C2282" s="65" t="n">
        <x:v>265.89948512948604</x:v>
      </x:c>
      <x:c r="D2282" s="65" t="n">
        <x:v>229.94987473997952</x:v>
      </x:c>
      <x:c r="E2282" s="65" t="n">
        <x:v>35.94961038950652</x:v>
      </x:c>
      <x:c r="F2282" s="65" t="n">
        <x:v>35.94961038950652</x:v>
      </x:c>
      <x:c r="G2282" s="65" t="n">
        <x:v>265.89948512948604</x:v>
      </x:c>
      <x:c r="H2282" s="43" t="n">
        <x:v>1</x:v>
      </x:c>
      <x:c r="I2282" s="34" t="str">
        <x:v>generated design-reference observation; not predicted tract behavior</x:v>
      </x:c>
    </x:row>
    <x:row r="2283" ht="75.5999984741211" hidden="0" customHeight="1">
      <x:c r="A2283" s="36" t="str">
        <x:v>P2</x:v>
      </x:c>
      <x:c r="B2283" s="36" t="str">
        <x:v>48201222601</x:v>
      </x:c>
      <x:c r="C2283" s="66" t="n">
        <x:v>184.4669572951718</x:v>
      </x:c>
      <x:c r="D2283" s="66" t="n">
        <x:v>157.26557313200846</x:v>
      </x:c>
      <x:c r="E2283" s="66" t="n">
        <x:v>27.20138416316334</x:v>
      </x:c>
      <x:c r="F2283" s="66" t="n">
        <x:v>27.20138416316334</x:v>
      </x:c>
      <x:c r="G2283" s="66" t="n">
        <x:v>184.4669572951718</x:v>
      </x:c>
      <x:c r="H2283" s="45" t="n">
        <x:v>1</x:v>
      </x:c>
      <x:c r="I2283" s="36" t="str">
        <x:v>generated design-reference observation; not predicted tract behavior</x:v>
      </x:c>
    </x:row>
    <x:row r="2284" ht="75.5999984741211" hidden="0" customHeight="1">
      <x:c r="A2284" s="34" t="str">
        <x:v>P2</x:v>
      </x:c>
      <x:c r="B2284" s="34" t="str">
        <x:v>48201222602</x:v>
      </x:c>
      <x:c r="C2284" s="65" t="n">
        <x:v>191.36368957724983</x:v>
      </x:c>
      <x:c r="D2284" s="65" t="n">
        <x:v>163.09721946906893</x:v>
      </x:c>
      <x:c r="E2284" s="65" t="n">
        <x:v>28.266470108180897</x:v>
      </x:c>
      <x:c r="F2284" s="65" t="n">
        <x:v>28.266470108180897</x:v>
      </x:c>
      <x:c r="G2284" s="65" t="n">
        <x:v>191.36368957724983</x:v>
      </x:c>
      <x:c r="H2284" s="43" t="n">
        <x:v>1</x:v>
      </x:c>
      <x:c r="I2284" s="34" t="str">
        <x:v>generated design-reference observation; not predicted tract behavior</x:v>
      </x:c>
    </x:row>
    <x:row r="2285" ht="75.5999984741211" hidden="0" customHeight="1">
      <x:c r="A2285" s="36" t="str">
        <x:v>P2</x:v>
      </x:c>
      <x:c r="B2285" s="36" t="str">
        <x:v>48201222701</x:v>
      </x:c>
      <x:c r="C2285" s="66" t="n">
        <x:v>222.67996282846357</x:v>
      </x:c>
      <x:c r="D2285" s="66" t="n">
        <x:v>189.3323876061662</x:v>
      </x:c>
      <x:c r="E2285" s="66" t="n">
        <x:v>33.347575222297365</x:v>
      </x:c>
      <x:c r="F2285" s="66" t="n">
        <x:v>33.347575222297365</x:v>
      </x:c>
      <x:c r="G2285" s="66" t="n">
        <x:v>222.67996282846357</x:v>
      </x:c>
      <x:c r="H2285" s="45" t="n">
        <x:v>1</x:v>
      </x:c>
      <x:c r="I2285" s="36" t="str">
        <x:v>generated design-reference observation; not predicted tract behavior</x:v>
      </x:c>
    </x:row>
    <x:row r="2286" ht="75.5999984741211" hidden="0" customHeight="1">
      <x:c r="A2286" s="34" t="str">
        <x:v>P2</x:v>
      </x:c>
      <x:c r="B2286" s="34" t="str">
        <x:v>48201222702</x:v>
      </x:c>
      <x:c r="C2286" s="65" t="n">
        <x:v>479.3717133398433</x:v>
      </x:c>
      <x:c r="D2286" s="65" t="n">
        <x:v>354.46345937019663</x:v>
      </x:c>
      <x:c r="E2286" s="65" t="n">
        <x:v>124.9082539696467</x:v>
      </x:c>
      <x:c r="F2286" s="65" t="n">
        <x:v>124.9082539696467</x:v>
      </x:c>
      <x:c r="G2286" s="65" t="n">
        <x:v>479.3717133398433</x:v>
      </x:c>
      <x:c r="H2286" s="43" t="n">
        <x:v>1</x:v>
      </x:c>
      <x:c r="I2286" s="34" t="str">
        <x:v>generated design-reference observation; not predicted tract behavior</x:v>
      </x:c>
    </x:row>
    <x:row r="2287" ht="75.5999984741211" hidden="0" customHeight="1">
      <x:c r="A2287" s="36" t="str">
        <x:v>P2</x:v>
      </x:c>
      <x:c r="B2287" s="36" t="str">
        <x:v>48201222800</x:v>
      </x:c>
      <x:c r="C2287" s="66" t="n">
        <x:v>324.8970017966302</x:v>
      </x:c>
      <x:c r="D2287" s="66" t="n">
        <x:v>280.9709271537258</x:v>
      </x:c>
      <x:c r="E2287" s="66" t="n">
        <x:v>43.92607464290438</x:v>
      </x:c>
      <x:c r="F2287" s="66" t="n">
        <x:v>43.92607464290438</x:v>
      </x:c>
      <x:c r="G2287" s="66" t="n">
        <x:v>324.8970017966302</x:v>
      </x:c>
      <x:c r="H2287" s="45" t="n">
        <x:v>1</x:v>
      </x:c>
      <x:c r="I2287" s="36" t="str">
        <x:v>generated design-reference observation; not predicted tract behavior</x:v>
      </x:c>
    </x:row>
    <x:row r="2288" ht="75.5999984741211" hidden="0" customHeight="1">
      <x:c r="A2288" s="34" t="str">
        <x:v>P2</x:v>
      </x:c>
      <x:c r="B2288" s="34" t="str">
        <x:v>48201222900</x:v>
      </x:c>
      <x:c r="C2288" s="65" t="n">
        <x:v>1357.4474043251957</x:v>
      </x:c>
      <x:c r="D2288" s="65" t="n">
        <x:v>561.983225390631</x:v>
      </x:c>
      <x:c r="E2288" s="65" t="n">
        <x:v>795.4641789345648</x:v>
      </x:c>
      <x:c r="F2288" s="65" t="n">
        <x:v>795.4641789345648</x:v>
      </x:c>
      <x:c r="G2288" s="65" t="n">
        <x:v>1357.4474043251957</x:v>
      </x:c>
      <x:c r="H2288" s="43" t="n">
        <x:v>1</x:v>
      </x:c>
      <x:c r="I2288" s="34" t="str">
        <x:v>generated design-reference observation; not predicted tract behavior</x:v>
      </x:c>
    </x:row>
    <x:row r="2289" ht="75.5999984741211" hidden="0" customHeight="1">
      <x:c r="A2289" s="36" t="str">
        <x:v>P2</x:v>
      </x:c>
      <x:c r="B2289" s="36" t="str">
        <x:v>48201223001</x:v>
      </x:c>
      <x:c r="C2289" s="66" t="n">
        <x:v>702.2242834062232</x:v>
      </x:c>
      <x:c r="D2289" s="66" t="n">
        <x:v>289.23350244684485</x:v>
      </x:c>
      <x:c r="E2289" s="66" t="n">
        <x:v>412.99078095937836</x:v>
      </x:c>
      <x:c r="F2289" s="66" t="n">
        <x:v>412.99078095937836</x:v>
      </x:c>
      <x:c r="G2289" s="66" t="n">
        <x:v>702.2242834062232</x:v>
      </x:c>
      <x:c r="H2289" s="45" t="n">
        <x:v>1</x:v>
      </x:c>
      <x:c r="I2289" s="36" t="str">
        <x:v>generated design-reference observation; not predicted tract behavior</x:v>
      </x:c>
    </x:row>
    <x:row r="2290" ht="75.5999984741211" hidden="0" customHeight="1">
      <x:c r="A2290" s="34" t="str">
        <x:v>P2</x:v>
      </x:c>
      <x:c r="B2290" s="34" t="str">
        <x:v>48201223002</x:v>
      </x:c>
      <x:c r="C2290" s="65" t="n">
        <x:v>395.0081876441645</x:v>
      </x:c>
      <x:c r="D2290" s="65" t="n">
        <x:v>293.3226958342489</x:v>
      </x:c>
      <x:c r="E2290" s="65" t="n">
        <x:v>101.68549180991556</x:v>
      </x:c>
      <x:c r="F2290" s="65" t="n">
        <x:v>101.68549180991556</x:v>
      </x:c>
      <x:c r="G2290" s="65" t="n">
        <x:v>395.0081876441645</x:v>
      </x:c>
      <x:c r="H2290" s="43" t="n">
        <x:v>1</x:v>
      </x:c>
      <x:c r="I2290" s="34" t="str">
        <x:v>generated design-reference observation; not predicted tract behavior</x:v>
      </x:c>
    </x:row>
    <x:row r="2291" ht="75.5999984741211" hidden="0" customHeight="1">
      <x:c r="A2291" s="36" t="str">
        <x:v>P2</x:v>
      </x:c>
      <x:c r="B2291" s="36" t="str">
        <x:v>48201223100</x:v>
      </x:c>
      <x:c r="C2291" s="66" t="n">
        <x:v>310.00501761322926</x:v>
      </x:c>
      <x:c r="D2291" s="66" t="n">
        <x:v>233.8677852874202</x:v>
      </x:c>
      <x:c r="E2291" s="66" t="n">
        <x:v>76.13723232580907</x:v>
      </x:c>
      <x:c r="F2291" s="66" t="n">
        <x:v>76.13723232580907</x:v>
      </x:c>
      <x:c r="G2291" s="66" t="n">
        <x:v>310.00501761322926</x:v>
      </x:c>
      <x:c r="H2291" s="45" t="n">
        <x:v>1</x:v>
      </x:c>
      <x:c r="I2291" s="36" t="str">
        <x:v>generated design-reference observation; not predicted tract behavior</x:v>
      </x:c>
    </x:row>
    <x:row r="2292" ht="75.5999984741211" hidden="0" customHeight="1">
      <x:c r="A2292" s="34" t="str">
        <x:v>P2</x:v>
      </x:c>
      <x:c r="B2292" s="34" t="str">
        <x:v>48201230100</x:v>
      </x:c>
      <x:c r="C2292" s="65" t="n">
        <x:v>145.47192912704602</x:v>
      </x:c>
      <x:c r="D2292" s="65" t="n">
        <x:v>125.038285248638</x:v>
      </x:c>
      <x:c r="E2292" s="65" t="n">
        <x:v>20.43364387840802</x:v>
      </x:c>
      <x:c r="F2292" s="65" t="n">
        <x:v>20.43364387840802</x:v>
      </x:c>
      <x:c r="G2292" s="65" t="n">
        <x:v>145.47192912704602</x:v>
      </x:c>
      <x:c r="H2292" s="43" t="n">
        <x:v>1</x:v>
      </x:c>
      <x:c r="I2292" s="34" t="str">
        <x:v>generated design-reference observation; not predicted tract behavior</x:v>
      </x:c>
    </x:row>
    <x:row r="2293" ht="75.5999984741211" hidden="0" customHeight="1">
      <x:c r="A2293" s="36" t="str">
        <x:v>P2</x:v>
      </x:c>
      <x:c r="B2293" s="36" t="str">
        <x:v>48201230200</x:v>
      </x:c>
      <x:c r="C2293" s="66" t="n">
        <x:v>428.44623007740347</x:v>
      </x:c>
      <x:c r="D2293" s="66" t="n">
        <x:v>369.18945854198006</x:v>
      </x:c>
      <x:c r="E2293" s="66" t="n">
        <x:v>59.25677153542341</x:v>
      </x:c>
      <x:c r="F2293" s="66" t="n">
        <x:v>59.25677153542341</x:v>
      </x:c>
      <x:c r="G2293" s="66" t="n">
        <x:v>428.44623007740347</x:v>
      </x:c>
      <x:c r="H2293" s="45" t="n">
        <x:v>1</x:v>
      </x:c>
      <x:c r="I2293" s="36" t="str">
        <x:v>generated design-reference observation; not predicted tract behavior</x:v>
      </x:c>
    </x:row>
    <x:row r="2294" ht="75.5999984741211" hidden="0" customHeight="1">
      <x:c r="A2294" s="34" t="str">
        <x:v>P2</x:v>
      </x:c>
      <x:c r="B2294" s="34" t="str">
        <x:v>48201230300</x:v>
      </x:c>
      <x:c r="C2294" s="65" t="n">
        <x:v>176.96504166754386</x:v>
      </x:c>
      <x:c r="D2294" s="65" t="n">
        <x:v>153.03936803409192</x:v>
      </x:c>
      <x:c r="E2294" s="65" t="n">
        <x:v>23.925673633451936</x:v>
      </x:c>
      <x:c r="F2294" s="65" t="n">
        <x:v>23.925673633451936</x:v>
      </x:c>
      <x:c r="G2294" s="65" t="n">
        <x:v>176.96504166754386</x:v>
      </x:c>
      <x:c r="H2294" s="43" t="n">
        <x:v>1</x:v>
      </x:c>
      <x:c r="I2294" s="34" t="str">
        <x:v>generated design-reference observation; not predicted tract behavior</x:v>
      </x:c>
    </x:row>
    <x:row r="2295" ht="75.5999984741211" hidden="0" customHeight="1">
      <x:c r="A2295" s="36" t="str">
        <x:v>P2</x:v>
      </x:c>
      <x:c r="B2295" s="36" t="str">
        <x:v>48201230400</x:v>
      </x:c>
      <x:c r="C2295" s="66" t="n">
        <x:v>340.74180211648144</x:v>
      </x:c>
      <x:c r="D2295" s="66" t="n">
        <x:v>294.33865420843506</x:v>
      </x:c>
      <x:c r="E2295" s="66" t="n">
        <x:v>46.40314790804638</x:v>
      </x:c>
      <x:c r="F2295" s="66" t="n">
        <x:v>46.40314790804638</x:v>
      </x:c>
      <x:c r="G2295" s="66" t="n">
        <x:v>340.74180211648144</x:v>
      </x:c>
      <x:c r="H2295" s="45" t="n">
        <x:v>1</x:v>
      </x:c>
      <x:c r="I2295" s="36" t="str">
        <x:v>generated design-reference observation; not predicted tract behavior</x:v>
      </x:c>
    </x:row>
    <x:row r="2296" ht="75.5999984741211" hidden="0" customHeight="1">
      <x:c r="A2296" s="34" t="str">
        <x:v>P2</x:v>
      </x:c>
      <x:c r="B2296" s="34" t="str">
        <x:v>48201230500</x:v>
      </x:c>
      <x:c r="C2296" s="65" t="n">
        <x:v>296.21759883674093</x:v>
      </x:c>
      <x:c r="D2296" s="65" t="n">
        <x:v>256.16897947401355</x:v>
      </x:c>
      <x:c r="E2296" s="65" t="n">
        <x:v>40.04861936272738</x:v>
      </x:c>
      <x:c r="F2296" s="65" t="n">
        <x:v>40.04861936272738</x:v>
      </x:c>
      <x:c r="G2296" s="65" t="n">
        <x:v>296.21759883674093</x:v>
      </x:c>
      <x:c r="H2296" s="43" t="n">
        <x:v>1</x:v>
      </x:c>
      <x:c r="I2296" s="34" t="str">
        <x:v>generated design-reference observation; not predicted tract behavior</x:v>
      </x:c>
    </x:row>
    <x:row r="2297" ht="75.5999984741211" hidden="0" customHeight="1">
      <x:c r="A2297" s="36" t="str">
        <x:v>P2</x:v>
      </x:c>
      <x:c r="B2297" s="36" t="str">
        <x:v>48201230600</x:v>
      </x:c>
      <x:c r="C2297" s="66" t="n">
        <x:v>250.37299553034623</x:v>
      </x:c>
      <x:c r="D2297" s="66" t="n">
        <x:v>216.43912816603662</x:v>
      </x:c>
      <x:c r="E2297" s="66" t="n">
        <x:v>33.933867364309606</x:v>
      </x:c>
      <x:c r="F2297" s="66" t="n">
        <x:v>33.933867364309606</x:v>
      </x:c>
      <x:c r="G2297" s="66" t="n">
        <x:v>250.37299553034623</x:v>
      </x:c>
      <x:c r="H2297" s="45" t="n">
        <x:v>1</x:v>
      </x:c>
      <x:c r="I2297" s="36" t="str">
        <x:v>generated design-reference observation; not predicted tract behavior</x:v>
      </x:c>
    </x:row>
    <x:row r="2298" ht="75.5999984741211" hidden="0" customHeight="1">
      <x:c r="A2298" s="34" t="str">
        <x:v>P2</x:v>
      </x:c>
      <x:c r="B2298" s="34" t="str">
        <x:v>48201230700</x:v>
      </x:c>
      <x:c r="C2298" s="65" t="n">
        <x:v>279.4689532605491</x:v>
      </x:c>
      <x:c r="D2298" s="65" t="n">
        <x:v>241.18085207153345</x:v>
      </x:c>
      <x:c r="E2298" s="65" t="n">
        <x:v>38.288101189015634</x:v>
      </x:c>
      <x:c r="F2298" s="65" t="n">
        <x:v>38.288101189015634</x:v>
      </x:c>
      <x:c r="G2298" s="65" t="n">
        <x:v>279.4689532605491</x:v>
      </x:c>
      <x:c r="H2298" s="43" t="n">
        <x:v>1</x:v>
      </x:c>
      <x:c r="I2298" s="34" t="str">
        <x:v>generated design-reference observation; not predicted tract behavior</x:v>
      </x:c>
    </x:row>
    <x:row r="2299" ht="75.5999984741211" hidden="0" customHeight="1">
      <x:c r="A2299" s="36" t="str">
        <x:v>P2</x:v>
      </x:c>
      <x:c r="B2299" s="36" t="str">
        <x:v>48201230800</x:v>
      </x:c>
      <x:c r="C2299" s="66" t="n">
        <x:v>192.19679911787694</x:v>
      </x:c>
      <x:c r="D2299" s="66" t="n">
        <x:v>165.94770164178402</x:v>
      </x:c>
      <x:c r="E2299" s="66" t="n">
        <x:v>26.249097476092913</x:v>
      </x:c>
      <x:c r="F2299" s="66" t="n">
        <x:v>26.249097476092913</x:v>
      </x:c>
      <x:c r="G2299" s="66" t="n">
        <x:v>192.19679911787694</x:v>
      </x:c>
      <x:c r="H2299" s="45" t="n">
        <x:v>1</x:v>
      </x:c>
      <x:c r="I2299" s="36" t="str">
        <x:v>generated design-reference observation; not predicted tract behavior</x:v>
      </x:c>
    </x:row>
    <x:row r="2300" ht="75.5999984741211" hidden="0" customHeight="1">
      <x:c r="A2300" s="34" t="str">
        <x:v>P2</x:v>
      </x:c>
      <x:c r="B2300" s="34" t="str">
        <x:v>48201230900</x:v>
      </x:c>
      <x:c r="C2300" s="65" t="n">
        <x:v>370.85556820056354</x:v>
      </x:c>
      <x:c r="D2300" s="65" t="n">
        <x:v>318.7054375282124</x:v>
      </x:c>
      <x:c r="E2300" s="65" t="n">
        <x:v>52.15013067235111</x:v>
      </x:c>
      <x:c r="F2300" s="65" t="n">
        <x:v>52.15013067235111</x:v>
      </x:c>
      <x:c r="G2300" s="65" t="n">
        <x:v>370.85556820056354</x:v>
      </x:c>
      <x:c r="H2300" s="43" t="n">
        <x:v>1</x:v>
      </x:c>
      <x:c r="I2300" s="34" t="str">
        <x:v>generated design-reference observation; not predicted tract behavior</x:v>
      </x:c>
    </x:row>
    <x:row r="2301" ht="75.5999984741211" hidden="0" customHeight="1">
      <x:c r="A2301" s="36" t="str">
        <x:v>P2</x:v>
      </x:c>
      <x:c r="B2301" s="36" t="str">
        <x:v>48201231000</x:v>
      </x:c>
      <x:c r="C2301" s="66" t="n">
        <x:v>494.2500945009916</x:v>
      </x:c>
      <x:c r="D2301" s="66" t="n">
        <x:v>427.42748172445755</x:v>
      </x:c>
      <x:c r="E2301" s="66" t="n">
        <x:v>66.82261277653407</x:v>
      </x:c>
      <x:c r="F2301" s="66" t="n">
        <x:v>66.82261277653407</x:v>
      </x:c>
      <x:c r="G2301" s="66" t="n">
        <x:v>494.2500945009916</x:v>
      </x:c>
      <x:c r="H2301" s="45" t="n">
        <x:v>1</x:v>
      </x:c>
      <x:c r="I2301" s="36" t="str">
        <x:v>generated design-reference observation; not predicted tract behavior</x:v>
      </x:c>
    </x:row>
    <x:row r="2302" ht="75.5999984741211" hidden="0" customHeight="1">
      <x:c r="A2302" s="34" t="str">
        <x:v>P2</x:v>
      </x:c>
      <x:c r="B2302" s="34" t="str">
        <x:v>48201231100</x:v>
      </x:c>
      <x:c r="C2302" s="65" t="n">
        <x:v>449.9341686064079</x:v>
      </x:c>
      <x:c r="D2302" s="65" t="n">
        <x:v>388.11195741994493</x:v>
      </x:c>
      <x:c r="E2302" s="65" t="n">
        <x:v>61.822211186462994</x:v>
      </x:c>
      <x:c r="F2302" s="65" t="n">
        <x:v>61.822211186462994</x:v>
      </x:c>
      <x:c r="G2302" s="65" t="n">
        <x:v>449.9341686064079</x:v>
      </x:c>
      <x:c r="H2302" s="43" t="n">
        <x:v>1</x:v>
      </x:c>
      <x:c r="I2302" s="34" t="str">
        <x:v>generated design-reference observation; not predicted tract behavior</x:v>
      </x:c>
    </x:row>
    <x:row r="2303" ht="75.5999984741211" hidden="0" customHeight="1">
      <x:c r="A2303" s="36" t="str">
        <x:v>P2</x:v>
      </x:c>
      <x:c r="B2303" s="36" t="str">
        <x:v>48201231200</x:v>
      </x:c>
      <x:c r="C2303" s="66" t="n">
        <x:v>452.3549019886075</x:v>
      </x:c>
      <x:c r="D2303" s="66" t="n">
        <x:v>388.3735942335607</x:v>
      </x:c>
      <x:c r="E2303" s="66" t="n">
        <x:v>63.98130775504677</x:v>
      </x:c>
      <x:c r="F2303" s="66" t="n">
        <x:v>63.98130775504677</x:v>
      </x:c>
      <x:c r="G2303" s="66" t="n">
        <x:v>452.3549019886075</x:v>
      </x:c>
      <x:c r="H2303" s="45" t="n">
        <x:v>1</x:v>
      </x:c>
      <x:c r="I2303" s="36" t="str">
        <x:v>generated design-reference observation; not predicted tract behavior</x:v>
      </x:c>
    </x:row>
    <x:row r="2304" ht="75.5999984741211" hidden="0" customHeight="1">
      <x:c r="A2304" s="34" t="str">
        <x:v>P2</x:v>
      </x:c>
      <x:c r="B2304" s="34" t="str">
        <x:v>48201231300</x:v>
      </x:c>
      <x:c r="C2304" s="65" t="n">
        <x:v>440.1883588858646</x:v>
      </x:c>
      <x:c r="D2304" s="65" t="n">
        <x:v>379.30626192250725</x:v>
      </x:c>
      <x:c r="E2304" s="65" t="n">
        <x:v>60.882096963357355</x:v>
      </x:c>
      <x:c r="F2304" s="65" t="n">
        <x:v>60.882096963357355</x:v>
      </x:c>
      <x:c r="G2304" s="65" t="n">
        <x:v>440.1883588858646</x:v>
      </x:c>
      <x:c r="H2304" s="43" t="n">
        <x:v>1</x:v>
      </x:c>
      <x:c r="I2304" s="34" t="str">
        <x:v>generated design-reference observation; not predicted tract behavior</x:v>
      </x:c>
    </x:row>
    <x:row r="2305" ht="75.5999984741211" hidden="0" customHeight="1">
      <x:c r="A2305" s="36" t="str">
        <x:v>P2</x:v>
      </x:c>
      <x:c r="B2305" s="36" t="str">
        <x:v>48201231400</x:v>
      </x:c>
      <x:c r="C2305" s="66" t="n">
        <x:v>307.4842264451272</x:v>
      </x:c>
      <x:c r="D2305" s="66" t="n">
        <x:v>265.912359029746</x:v>
      </x:c>
      <x:c r="E2305" s="66" t="n">
        <x:v>41.57186741538118</x:v>
      </x:c>
      <x:c r="F2305" s="66" t="n">
        <x:v>41.57186741538118</x:v>
      </x:c>
      <x:c r="G2305" s="66" t="n">
        <x:v>307.4842264451272</x:v>
      </x:c>
      <x:c r="H2305" s="45" t="n">
        <x:v>1</x:v>
      </x:c>
      <x:c r="I2305" s="36" t="str">
        <x:v>generated design-reference observation; not predicted tract behavior</x:v>
      </x:c>
    </x:row>
    <x:row r="2306" ht="75.5999984741211" hidden="0" customHeight="1">
      <x:c r="A2306" s="34" t="str">
        <x:v>P2</x:v>
      </x:c>
      <x:c r="B2306" s="34" t="str">
        <x:v>48201231500</x:v>
      </x:c>
      <x:c r="C2306" s="65" t="n">
        <x:v>259.67081238470337</x:v>
      </x:c>
      <x:c r="D2306" s="65" t="n">
        <x:v>224.49841585706884</x:v>
      </x:c>
      <x:c r="E2306" s="65" t="n">
        <x:v>35.17239652763453</x:v>
      </x:c>
      <x:c r="F2306" s="65" t="n">
        <x:v>35.17239652763453</x:v>
      </x:c>
      <x:c r="G2306" s="65" t="n">
        <x:v>259.67081238470337</x:v>
      </x:c>
      <x:c r="H2306" s="43" t="n">
        <x:v>1</x:v>
      </x:c>
      <x:c r="I2306" s="34" t="str">
        <x:v>generated design-reference observation; not predicted tract behavior</x:v>
      </x:c>
    </x:row>
    <x:row r="2307" ht="75.5999984741211" hidden="0" customHeight="1">
      <x:c r="A2307" s="36" t="str">
        <x:v>P2</x:v>
      </x:c>
      <x:c r="B2307" s="36" t="str">
        <x:v>48201231600</x:v>
      </x:c>
      <x:c r="C2307" s="66" t="n">
        <x:v>230.43338322307326</x:v>
      </x:c>
      <x:c r="D2307" s="66" t="n">
        <x:v>199.27878981131377</x:v>
      </x:c>
      <x:c r="E2307" s="66" t="n">
        <x:v>31.154593411759492</x:v>
      </x:c>
      <x:c r="F2307" s="66" t="n">
        <x:v>31.154593411759492</x:v>
      </x:c>
      <x:c r="G2307" s="66" t="n">
        <x:v>230.43338322307326</x:v>
      </x:c>
      <x:c r="H2307" s="45" t="n">
        <x:v>1</x:v>
      </x:c>
      <x:c r="I2307" s="36" t="str">
        <x:v>generated design-reference observation; not predicted tract behavior</x:v>
      </x:c>
    </x:row>
    <x:row r="2308" ht="75.5999984741211" hidden="0" customHeight="1">
      <x:c r="A2308" s="34" t="str">
        <x:v>P2</x:v>
      </x:c>
      <x:c r="B2308" s="34" t="str">
        <x:v>48201231700</x:v>
      </x:c>
      <x:c r="C2308" s="65" t="n">
        <x:v>817.8862472794956</x:v>
      </x:c>
      <x:c r="D2308" s="65" t="n">
        <x:v>338.5069628057518</x:v>
      </x:c>
      <x:c r="E2308" s="65" t="n">
        <x:v>479.3792844737438</x:v>
      </x:c>
      <x:c r="F2308" s="65" t="n">
        <x:v>479.3792844737438</x:v>
      </x:c>
      <x:c r="G2308" s="65" t="n">
        <x:v>817.8862472794956</x:v>
      </x:c>
      <x:c r="H2308" s="43" t="n">
        <x:v>1</x:v>
      </x:c>
      <x:c r="I2308" s="34" t="str">
        <x:v>generated design-reference observation; not predicted tract behavior</x:v>
      </x:c>
    </x:row>
    <x:row r="2309" ht="75.5999984741211" hidden="0" customHeight="1">
      <x:c r="A2309" s="36" t="str">
        <x:v>P2</x:v>
      </x:c>
      <x:c r="B2309" s="36" t="str">
        <x:v>48201231800</x:v>
      </x:c>
      <x:c r="C2309" s="66" t="n">
        <x:v>261.2662957502439</x:v>
      </x:c>
      <x:c r="D2309" s="66" t="n">
        <x:v>225.9430925648109</x:v>
      </x:c>
      <x:c r="E2309" s="66" t="n">
        <x:v>35.32320318543299</x:v>
      </x:c>
      <x:c r="F2309" s="66" t="n">
        <x:v>35.32320318543299</x:v>
      </x:c>
      <x:c r="G2309" s="66" t="n">
        <x:v>261.2662957502439</x:v>
      </x:c>
      <x:c r="H2309" s="45" t="n">
        <x:v>1</x:v>
      </x:c>
      <x:c r="I2309" s="36" t="str">
        <x:v>generated design-reference observation; not predicted tract behavior</x:v>
      </x:c>
    </x:row>
    <x:row r="2310" ht="75.5999984741211" hidden="0" customHeight="1">
      <x:c r="A2310" s="34" t="str">
        <x:v>P2</x:v>
      </x:c>
      <x:c r="B2310" s="34" t="str">
        <x:v>48201231900</x:v>
      </x:c>
      <x:c r="C2310" s="65" t="n">
        <x:v>1033.5515849663586</x:v>
      </x:c>
      <x:c r="D2310" s="65" t="n">
        <x:v>427.8903561760725</x:v>
      </x:c>
      <x:c r="E2310" s="65" t="n">
        <x:v>605.6612287902861</x:v>
      </x:c>
      <x:c r="F2310" s="65" t="n">
        <x:v>605.6612287902861</x:v>
      </x:c>
      <x:c r="G2310" s="65" t="n">
        <x:v>1033.5515849663586</x:v>
      </x:c>
      <x:c r="H2310" s="43" t="n">
        <x:v>1</x:v>
      </x:c>
      <x:c r="I2310" s="34" t="str">
        <x:v>generated design-reference observation; not predicted tract behavior</x:v>
      </x:c>
    </x:row>
    <x:row r="2311" ht="75.5999984741211" hidden="0" customHeight="1">
      <x:c r="A2311" s="36" t="str">
        <x:v>P2</x:v>
      </x:c>
      <x:c r="B2311" s="36" t="str">
        <x:v>48201232000</x:v>
      </x:c>
      <x:c r="C2311" s="66" t="n">
        <x:v>687.3812701029317</x:v>
      </x:c>
      <x:c r="D2311" s="66" t="n">
        <x:v>518.5604301656517</x:v>
      </x:c>
      <x:c r="E2311" s="66" t="n">
        <x:v>168.82083993727997</x:v>
      </x:c>
      <x:c r="F2311" s="66" t="n">
        <x:v>168.82083993727997</x:v>
      </x:c>
      <x:c r="G2311" s="66" t="n">
        <x:v>687.3812701029317</x:v>
      </x:c>
      <x:c r="H2311" s="45" t="n">
        <x:v>1</x:v>
      </x:c>
      <x:c r="I2311" s="36" t="str">
        <x:v>generated design-reference observation; not predicted tract behavior</x:v>
      </x:c>
    </x:row>
    <x:row r="2312" ht="75.5999984741211" hidden="0" customHeight="1">
      <x:c r="A2312" s="34" t="str">
        <x:v>P2</x:v>
      </x:c>
      <x:c r="B2312" s="34" t="str">
        <x:v>48201232100</x:v>
      </x:c>
      <x:c r="C2312" s="65" t="n">
        <x:v>269.864614971433</x:v>
      </x:c>
      <x:c r="D2312" s="65" t="n">
        <x:v>231.78908883654168</x:v>
      </x:c>
      <x:c r="E2312" s="65" t="n">
        <x:v>38.075526134891334</x:v>
      </x:c>
      <x:c r="F2312" s="65" t="n">
        <x:v>38.075526134891334</x:v>
      </x:c>
      <x:c r="G2312" s="65" t="n">
        <x:v>269.864614971433</x:v>
      </x:c>
      <x:c r="H2312" s="43" t="n">
        <x:v>1</x:v>
      </x:c>
      <x:c r="I2312" s="34" t="str">
        <x:v>generated design-reference observation; not predicted tract behavior</x:v>
      </x:c>
    </x:row>
    <x:row r="2313" ht="75.5999984741211" hidden="0" customHeight="1">
      <x:c r="A2313" s="36" t="str">
        <x:v>P2</x:v>
      </x:c>
      <x:c r="B2313" s="36" t="str">
        <x:v>48201232201</x:v>
      </x:c>
      <x:c r="C2313" s="66" t="n">
        <x:v>961.983364290877</x:v>
      </x:c>
      <x:c r="D2313" s="66" t="n">
        <x:v>719.2987473102335</x:v>
      </x:c>
      <x:c r="E2313" s="66" t="n">
        <x:v>242.68461698064357</x:v>
      </x:c>
      <x:c r="F2313" s="66" t="n">
        <x:v>242.68461698064357</x:v>
      </x:c>
      <x:c r="G2313" s="66" t="n">
        <x:v>961.983364290877</x:v>
      </x:c>
      <x:c r="H2313" s="45" t="n">
        <x:v>1</x:v>
      </x:c>
      <x:c r="I2313" s="36" t="str">
        <x:v>generated design-reference observation; not predicted tract behavior</x:v>
      </x:c>
    </x:row>
    <x:row r="2314" ht="75.5999984741211" hidden="0" customHeight="1">
      <x:c r="A2314" s="34" t="str">
        <x:v>P2</x:v>
      </x:c>
      <x:c r="B2314" s="34" t="str">
        <x:v>48201232202</x:v>
      </x:c>
      <x:c r="C2314" s="65" t="n">
        <x:v>994.8029226456969</x:v>
      </x:c>
      <x:c r="D2314" s="65" t="n">
        <x:v>411.8484099753185</x:v>
      </x:c>
      <x:c r="E2314" s="65" t="n">
        <x:v>582.9545126703783</x:v>
      </x:c>
      <x:c r="F2314" s="65" t="n">
        <x:v>582.9545126703783</x:v>
      </x:c>
      <x:c r="G2314" s="65" t="n">
        <x:v>994.8029226456968</x:v>
      </x:c>
      <x:c r="H2314" s="43" t="n">
        <x:v>0.9999999999999999</x:v>
      </x:c>
      <x:c r="I2314" s="34" t="str">
        <x:v>generated design-reference observation; not predicted tract behavior</x:v>
      </x:c>
    </x:row>
    <x:row r="2315" ht="75.5999984741211" hidden="0" customHeight="1">
      <x:c r="A2315" s="36" t="str">
        <x:v>P2</x:v>
      </x:c>
      <x:c r="B2315" s="36" t="str">
        <x:v>48201232203</x:v>
      </x:c>
      <x:c r="C2315" s="66" t="n">
        <x:v>1010.8677896366571</x:v>
      </x:c>
      <x:c r="D2315" s="66" t="n">
        <x:v>414.57669300768225</x:v>
      </x:c>
      <x:c r="E2315" s="66" t="n">
        <x:v>596.2910966289749</x:v>
      </x:c>
      <x:c r="F2315" s="66" t="n">
        <x:v>596.2910966289749</x:v>
      </x:c>
      <x:c r="G2315" s="66" t="n">
        <x:v>1010.8677896366571</x:v>
      </x:c>
      <x:c r="H2315" s="45" t="n">
        <x:v>1</x:v>
      </x:c>
      <x:c r="I2315" s="36" t="str">
        <x:v>generated design-reference observation; not predicted tract behavior</x:v>
      </x:c>
    </x:row>
    <x:row r="2316" ht="75.5999984741211" hidden="0" customHeight="1">
      <x:c r="A2316" s="34" t="str">
        <x:v>P2</x:v>
      </x:c>
      <x:c r="B2316" s="34" t="str">
        <x:v>48201232303</x:v>
      </x:c>
      <x:c r="C2316" s="65" t="n">
        <x:v>443.48935895250025</x:v>
      </x:c>
      <x:c r="D2316" s="65" t="n">
        <x:v>379.4711851297317</x:v>
      </x:c>
      <x:c r="E2316" s="65" t="n">
        <x:v>64.01817382276857</x:v>
      </x:c>
      <x:c r="F2316" s="65" t="n">
        <x:v>64.01817382276857</x:v>
      </x:c>
      <x:c r="G2316" s="65" t="n">
        <x:v>443.48935895250025</x:v>
      </x:c>
      <x:c r="H2316" s="43" t="n">
        <x:v>1</x:v>
      </x:c>
      <x:c r="I2316" s="34" t="str">
        <x:v>generated design-reference observation; not predicted tract behavior</x:v>
      </x:c>
    </x:row>
    <x:row r="2317" ht="75.5999984741211" hidden="0" customHeight="1">
      <x:c r="A2317" s="36" t="str">
        <x:v>P2</x:v>
      </x:c>
      <x:c r="B2317" s="36" t="str">
        <x:v>48201232304</x:v>
      </x:c>
      <x:c r="C2317" s="66" t="n">
        <x:v>607.273978925406</x:v>
      </x:c>
      <x:c r="D2317" s="66" t="n">
        <x:v>521.2137726550188</x:v>
      </x:c>
      <x:c r="E2317" s="66" t="n">
        <x:v>86.0602062703872</x:v>
      </x:c>
      <x:c r="F2317" s="66" t="n">
        <x:v>86.0602062703872</x:v>
      </x:c>
      <x:c r="G2317" s="66" t="n">
        <x:v>607.273978925406</x:v>
      </x:c>
      <x:c r="H2317" s="45" t="n">
        <x:v>1</x:v>
      </x:c>
      <x:c r="I2317" s="36" t="str">
        <x:v>generated design-reference observation; not predicted tract behavior</x:v>
      </x:c>
    </x:row>
    <x:row r="2318" ht="75.5999984741211" hidden="0" customHeight="1">
      <x:c r="A2318" s="34" t="str">
        <x:v>P2</x:v>
      </x:c>
      <x:c r="B2318" s="34" t="str">
        <x:v>48201232305</x:v>
      </x:c>
      <x:c r="C2318" s="65" t="n">
        <x:v>973.1151708342707</x:v>
      </x:c>
      <x:c r="D2318" s="65" t="n">
        <x:v>840.2635836733983</x:v>
      </x:c>
      <x:c r="E2318" s="65" t="n">
        <x:v>132.85158716087233</x:v>
      </x:c>
      <x:c r="F2318" s="65" t="n">
        <x:v>132.85158716087233</x:v>
      </x:c>
      <x:c r="G2318" s="65" t="n">
        <x:v>973.1151708342707</x:v>
      </x:c>
      <x:c r="H2318" s="43" t="n">
        <x:v>1</x:v>
      </x:c>
      <x:c r="I2318" s="34" t="str">
        <x:v>generated design-reference observation; not predicted tract behavior</x:v>
      </x:c>
    </x:row>
    <x:row r="2319" ht="75.5999984741211" hidden="0" customHeight="1">
      <x:c r="A2319" s="36" t="str">
        <x:v>P2</x:v>
      </x:c>
      <x:c r="B2319" s="36" t="str">
        <x:v>48201232306</x:v>
      </x:c>
      <x:c r="C2319" s="66" t="n">
        <x:v>333.81756150051467</x:v>
      </x:c>
      <x:c r="D2319" s="66" t="n">
        <x:v>288.6854271856451</x:v>
      </x:c>
      <x:c r="E2319" s="66" t="n">
        <x:v>45.132134314869575</x:v>
      </x:c>
      <x:c r="F2319" s="66" t="n">
        <x:v>45.132134314869575</x:v>
      </x:c>
      <x:c r="G2319" s="66" t="n">
        <x:v>333.81756150051467</x:v>
      </x:c>
      <x:c r="H2319" s="45" t="n">
        <x:v>1</x:v>
      </x:c>
      <x:c r="I2319" s="36" t="str">
        <x:v>generated design-reference observation; not predicted tract behavior</x:v>
      </x:c>
    </x:row>
    <x:row r="2320" ht="75.5999984741211" hidden="0" customHeight="1">
      <x:c r="A2320" s="34" t="str">
        <x:v>P2</x:v>
      </x:c>
      <x:c r="B2320" s="34" t="str">
        <x:v>48201232402</x:v>
      </x:c>
      <x:c r="C2320" s="65" t="n">
        <x:v>377.9959457256552</x:v>
      </x:c>
      <x:c r="D2320" s="65" t="n">
        <x:v>326.2202901522132</x:v>
      </x:c>
      <x:c r="E2320" s="65" t="n">
        <x:v>51.77565557344201</x:v>
      </x:c>
      <x:c r="F2320" s="65" t="n">
        <x:v>51.77565557344201</x:v>
      </x:c>
      <x:c r="G2320" s="65" t="n">
        <x:v>377.9959457256552</x:v>
      </x:c>
      <x:c r="H2320" s="43" t="n">
        <x:v>1</x:v>
      </x:c>
      <x:c r="I2320" s="34" t="str">
        <x:v>generated design-reference observation; not predicted tract behavior</x:v>
      </x:c>
    </x:row>
    <x:row r="2321" ht="75.5999984741211" hidden="0" customHeight="1">
      <x:c r="A2321" s="36" t="str">
        <x:v>P2</x:v>
      </x:c>
      <x:c r="B2321" s="36" t="str">
        <x:v>48201232403</x:v>
      </x:c>
      <x:c r="C2321" s="66" t="n">
        <x:v>700.8700269686292</x:v>
      </x:c>
      <x:c r="D2321" s="66" t="n">
        <x:v>288.6516821460457</x:v>
      </x:c>
      <x:c r="E2321" s="66" t="n">
        <x:v>412.2183448225835</x:v>
      </x:c>
      <x:c r="F2321" s="66" t="n">
        <x:v>412.2183448225835</x:v>
      </x:c>
      <x:c r="G2321" s="66" t="n">
        <x:v>700.8700269686292</x:v>
      </x:c>
      <x:c r="H2321" s="45" t="n">
        <x:v>1</x:v>
      </x:c>
      <x:c r="I2321" s="36" t="str">
        <x:v>generated design-reference observation; not predicted tract behavior</x:v>
      </x:c>
    </x:row>
    <x:row r="2322" ht="75.5999984741211" hidden="0" customHeight="1">
      <x:c r="A2322" s="34" t="str">
        <x:v>P2</x:v>
      </x:c>
      <x:c r="B2322" s="34" t="str">
        <x:v>48201232404</x:v>
      </x:c>
      <x:c r="C2322" s="65" t="n">
        <x:v>322.6570374656989</x:v>
      </x:c>
      <x:c r="D2322" s="65" t="n">
        <x:v>278.5584314497019</x:v>
      </x:c>
      <x:c r="E2322" s="65" t="n">
        <x:v>44.09860601599701</x:v>
      </x:c>
      <x:c r="F2322" s="65" t="n">
        <x:v>44.09860601599701</x:v>
      </x:c>
      <x:c r="G2322" s="65" t="n">
        <x:v>322.6570374656989</x:v>
      </x:c>
      <x:c r="H2322" s="43" t="n">
        <x:v>1</x:v>
      </x:c>
      <x:c r="I2322" s="34" t="str">
        <x:v>generated design-reference observation; not predicted tract behavior</x:v>
      </x:c>
    </x:row>
    <x:row r="2323" ht="75.5999984741211" hidden="0" customHeight="1">
      <x:c r="A2323" s="36" t="str">
        <x:v>P2</x:v>
      </x:c>
      <x:c r="B2323" s="36" t="str">
        <x:v>48201232405</x:v>
      </x:c>
      <x:c r="C2323" s="66" t="n">
        <x:v>511.52925794503574</x:v>
      </x:c>
      <x:c r="D2323" s="66" t="n">
        <x:v>437.00182739588945</x:v>
      </x:c>
      <x:c r="E2323" s="66" t="n">
        <x:v>74.52743054914629</x:v>
      </x:c>
      <x:c r="F2323" s="66" t="n">
        <x:v>74.52743054914629</x:v>
      </x:c>
      <x:c r="G2323" s="66" t="n">
        <x:v>511.52925794503574</x:v>
      </x:c>
      <x:c r="H2323" s="45" t="n">
        <x:v>1</x:v>
      </x:c>
      <x:c r="I2323" s="36" t="str">
        <x:v>generated design-reference observation; not predicted tract behavior</x:v>
      </x:c>
    </x:row>
    <x:row r="2324" ht="75.5999984741211" hidden="0" customHeight="1">
      <x:c r="A2324" s="34" t="str">
        <x:v>P2</x:v>
      </x:c>
      <x:c r="B2324" s="34" t="str">
        <x:v>48201232500</x:v>
      </x:c>
      <x:c r="C2324" s="65" t="n">
        <x:v>317.5955040301909</x:v>
      </x:c>
      <x:c r="D2324" s="65" t="n">
        <x:v>272.302016696254</x:v>
      </x:c>
      <x:c r="E2324" s="65" t="n">
        <x:v>45.29348733393692</x:v>
      </x:c>
      <x:c r="F2324" s="65" t="n">
        <x:v>45.29348733393692</x:v>
      </x:c>
      <x:c r="G2324" s="65" t="n">
        <x:v>317.5955040301909</x:v>
      </x:c>
      <x:c r="H2324" s="43" t="n">
        <x:v>1</x:v>
      </x:c>
      <x:c r="I2324" s="34" t="str">
        <x:v>generated design-reference observation; not predicted tract behavior</x:v>
      </x:c>
    </x:row>
    <x:row r="2325" ht="75.5999984741211" hidden="0" customHeight="1">
      <x:c r="A2325" s="36" t="str">
        <x:v>P2</x:v>
      </x:c>
      <x:c r="B2325" s="36" t="str">
        <x:v>48201232600</x:v>
      </x:c>
      <x:c r="C2325" s="66" t="n">
        <x:v>206.04528034981033</x:v>
      </x:c>
      <x:c r="D2325" s="66" t="n">
        <x:v>178.18795844651598</x:v>
      </x:c>
      <x:c r="E2325" s="66" t="n">
        <x:v>27.85732190329435</x:v>
      </x:c>
      <x:c r="F2325" s="66" t="n">
        <x:v>27.85732190329435</x:v>
      </x:c>
      <x:c r="G2325" s="66" t="n">
        <x:v>206.04528034981033</x:v>
      </x:c>
      <x:c r="H2325" s="45" t="n">
        <x:v>1</x:v>
      </x:c>
      <x:c r="I2325" s="36" t="str">
        <x:v>generated design-reference observation; not predicted tract behavior</x:v>
      </x:c>
    </x:row>
    <x:row r="2326" ht="75.5999984741211" hidden="0" customHeight="1">
      <x:c r="A2326" s="34" t="str">
        <x:v>P2</x:v>
      </x:c>
      <x:c r="B2326" s="34" t="str">
        <x:v>48201232701</x:v>
      </x:c>
      <x:c r="C2326" s="65" t="n">
        <x:v>578.5631378696439</x:v>
      </x:c>
      <x:c r="D2326" s="65" t="n">
        <x:v>496.6837208079341</x:v>
      </x:c>
      <x:c r="E2326" s="65" t="n">
        <x:v>81.87941706170983</x:v>
      </x:c>
      <x:c r="F2326" s="65" t="n">
        <x:v>81.87941706170983</x:v>
      </x:c>
      <x:c r="G2326" s="65" t="n">
        <x:v>578.5631378696439</x:v>
      </x:c>
      <x:c r="H2326" s="43" t="n">
        <x:v>1</x:v>
      </x:c>
      <x:c r="I2326" s="34" t="str">
        <x:v>generated design-reference observation; not predicted tract behavior</x:v>
      </x:c>
    </x:row>
    <x:row r="2327" ht="75.5999984741211" hidden="0" customHeight="1">
      <x:c r="A2327" s="36" t="str">
        <x:v>P2</x:v>
      </x:c>
      <x:c r="B2327" s="36" t="str">
        <x:v>48201232703</x:v>
      </x:c>
      <x:c r="C2327" s="66" t="n">
        <x:v>384.8990260847845</x:v>
      </x:c>
      <x:c r="D2327" s="66" t="n">
        <x:v>288.69019140411507</x:v>
      </x:c>
      <x:c r="E2327" s="66" t="n">
        <x:v>96.20883468066944</x:v>
      </x:c>
      <x:c r="F2327" s="66" t="n">
        <x:v>96.20883468066944</x:v>
      </x:c>
      <x:c r="G2327" s="66" t="n">
        <x:v>384.8990260847845</x:v>
      </x:c>
      <x:c r="H2327" s="45" t="n">
        <x:v>1</x:v>
      </x:c>
      <x:c r="I2327" s="36" t="str">
        <x:v>generated design-reference observation; not predicted tract behavior</x:v>
      </x:c>
    </x:row>
    <x:row r="2328" ht="75.5999984741211" hidden="0" customHeight="1">
      <x:c r="A2328" s="34" t="str">
        <x:v>P2</x:v>
      </x:c>
      <x:c r="B2328" s="34" t="str">
        <x:v>48201232704</x:v>
      </x:c>
      <x:c r="C2328" s="65" t="n">
        <x:v>155.2727555153667</x:v>
      </x:c>
      <x:c r="D2328" s="65" t="n">
        <x:v>132.3030606229726</x:v>
      </x:c>
      <x:c r="E2328" s="65" t="n">
        <x:v>22.969694892394102</x:v>
      </x:c>
      <x:c r="F2328" s="65" t="n">
        <x:v>22.969694892394102</x:v>
      </x:c>
      <x:c r="G2328" s="65" t="n">
        <x:v>155.2727555153667</x:v>
      </x:c>
      <x:c r="H2328" s="43" t="n">
        <x:v>1</x:v>
      </x:c>
      <x:c r="I2328" s="34" t="str">
        <x:v>generated design-reference observation; not predicted tract behavior</x:v>
      </x:c>
    </x:row>
    <x:row r="2329" ht="75.5999984741211" hidden="0" customHeight="1">
      <x:c r="A2329" s="36" t="str">
        <x:v>P2</x:v>
      </x:c>
      <x:c r="B2329" s="36" t="str">
        <x:v>48201232801</x:v>
      </x:c>
      <x:c r="C2329" s="66" t="n">
        <x:v>223.705630706311</x:v>
      </x:c>
      <x:c r="D2329" s="66" t="n">
        <x:v>191.95683882786645</x:v>
      </x:c>
      <x:c r="E2329" s="66" t="n">
        <x:v>31.748791878444564</x:v>
      </x:c>
      <x:c r="F2329" s="66" t="n">
        <x:v>31.748791878444564</x:v>
      </x:c>
      <x:c r="G2329" s="66" t="n">
        <x:v>223.705630706311</x:v>
      </x:c>
      <x:c r="H2329" s="45" t="n">
        <x:v>1</x:v>
      </x:c>
      <x:c r="I2329" s="36" t="str">
        <x:v>generated design-reference observation; not predicted tract behavior</x:v>
      </x:c>
    </x:row>
    <x:row r="2330" ht="75.5999984741211" hidden="0" customHeight="1">
      <x:c r="A2330" s="34" t="str">
        <x:v>P2</x:v>
      </x:c>
      <x:c r="B2330" s="34" t="str">
        <x:v>48201232802</x:v>
      </x:c>
      <x:c r="C2330" s="65" t="n">
        <x:v>227.89868674333516</x:v>
      </x:c>
      <x:c r="D2330" s="65" t="n">
        <x:v>194.97244331468687</x:v>
      </x:c>
      <x:c r="E2330" s="65" t="n">
        <x:v>32.92624342864829</x:v>
      </x:c>
      <x:c r="F2330" s="65" t="n">
        <x:v>32.92624342864829</x:v>
      </x:c>
      <x:c r="G2330" s="65" t="n">
        <x:v>227.89868674333516</x:v>
      </x:c>
      <x:c r="H2330" s="43" t="n">
        <x:v>1</x:v>
      </x:c>
      <x:c r="I2330" s="34" t="str">
        <x:v>generated design-reference observation; not predicted tract behavior</x:v>
      </x:c>
    </x:row>
    <x:row r="2331" ht="75.5999984741211" hidden="0" customHeight="1">
      <x:c r="A2331" s="36" t="str">
        <x:v>P2</x:v>
      </x:c>
      <x:c r="B2331" s="36" t="str">
        <x:v>48201232901</x:v>
      </x:c>
      <x:c r="C2331" s="66" t="n">
        <x:v>747.0755637987935</x:v>
      </x:c>
      <x:c r="D2331" s="66" t="n">
        <x:v>306.5744663315874</x:v>
      </x:c>
      <x:c r="E2331" s="66" t="n">
        <x:v>440.5010974672061</x:v>
      </x:c>
      <x:c r="F2331" s="66" t="n">
        <x:v>440.5010974672061</x:v>
      </x:c>
      <x:c r="G2331" s="66" t="n">
        <x:v>747.0755637987935</x:v>
      </x:c>
      <x:c r="H2331" s="45" t="n">
        <x:v>1</x:v>
      </x:c>
      <x:c r="I2331" s="36" t="str">
        <x:v>generated design-reference observation; not predicted tract behavior</x:v>
      </x:c>
    </x:row>
    <x:row r="2332" ht="75.5999984741211" hidden="0" customHeight="1">
      <x:c r="A2332" s="34" t="str">
        <x:v>P2</x:v>
      </x:c>
      <x:c r="B2332" s="34" t="str">
        <x:v>48201232902</x:v>
      </x:c>
      <x:c r="C2332" s="65" t="n">
        <x:v>372.68290752316545</x:v>
      </x:c>
      <x:c r="D2332" s="65" t="n">
        <x:v>320.23859137609287</x:v>
      </x:c>
      <x:c r="E2332" s="65" t="n">
        <x:v>52.444316147072584</x:v>
      </x:c>
      <x:c r="F2332" s="65" t="n">
        <x:v>52.444316147072584</x:v>
      </x:c>
      <x:c r="G2332" s="65" t="n">
        <x:v>372.68290752316545</x:v>
      </x:c>
      <x:c r="H2332" s="43" t="n">
        <x:v>1</x:v>
      </x:c>
      <x:c r="I2332" s="34" t="str">
        <x:v>generated design-reference observation; not predicted tract behavior</x:v>
      </x:c>
    </x:row>
    <x:row r="2333" ht="75.5999984741211" hidden="0" customHeight="1">
      <x:c r="A2333" s="36" t="str">
        <x:v>P2</x:v>
      </x:c>
      <x:c r="B2333" s="36" t="str">
        <x:v>48201233001</x:v>
      </x:c>
      <x:c r="C2333" s="66" t="n">
        <x:v>333.786123404642</x:v>
      </x:c>
      <x:c r="D2333" s="66" t="n">
        <x:v>286.2921883767251</x:v>
      </x:c>
      <x:c r="E2333" s="66" t="n">
        <x:v>47.493935027916905</x:v>
      </x:c>
      <x:c r="F2333" s="66" t="n">
        <x:v>47.493935027916905</x:v>
      </x:c>
      <x:c r="G2333" s="66" t="n">
        <x:v>333.786123404642</x:v>
      </x:c>
      <x:c r="H2333" s="45" t="n">
        <x:v>1</x:v>
      </x:c>
      <x:c r="I2333" s="36" t="str">
        <x:v>generated design-reference observation; not predicted tract behavior</x:v>
      </x:c>
    </x:row>
    <x:row r="2334" ht="75.5999984741211" hidden="0" customHeight="1">
      <x:c r="A2334" s="34" t="str">
        <x:v>P2</x:v>
      </x:c>
      <x:c r="B2334" s="34" t="str">
        <x:v>48201233002</x:v>
      </x:c>
      <x:c r="C2334" s="65" t="n">
        <x:v>324.58262083790305</x:v>
      </x:c>
      <x:c r="D2334" s="65" t="n">
        <x:v>280.69905050061857</x:v>
      </x:c>
      <x:c r="E2334" s="65" t="n">
        <x:v>43.88357033728448</x:v>
      </x:c>
      <x:c r="F2334" s="65" t="n">
        <x:v>43.88357033728448</x:v>
      </x:c>
      <x:c r="G2334" s="65" t="n">
        <x:v>324.58262083790305</x:v>
      </x:c>
      <x:c r="H2334" s="43" t="n">
        <x:v>1</x:v>
      </x:c>
      <x:c r="I2334" s="34" t="str">
        <x:v>generated design-reference observation; not predicted tract behavior</x:v>
      </x:c>
    </x:row>
    <x:row r="2335" ht="75.5999984741211" hidden="0" customHeight="1">
      <x:c r="A2335" s="36" t="str">
        <x:v>P2</x:v>
      </x:c>
      <x:c r="B2335" s="36" t="str">
        <x:v>48201233003</x:v>
      </x:c>
      <x:c r="C2335" s="66" t="n">
        <x:v>224.64091405852452</x:v>
      </x:c>
      <x:c r="D2335" s="66" t="n">
        <x:v>194.269462477812</x:v>
      </x:c>
      <x:c r="E2335" s="66" t="n">
        <x:v>30.371451580712517</x:v>
      </x:c>
      <x:c r="F2335" s="66" t="n">
        <x:v>30.371451580712517</x:v>
      </x:c>
      <x:c r="G2335" s="66" t="n">
        <x:v>224.64091405852452</x:v>
      </x:c>
      <x:c r="H2335" s="45" t="n">
        <x:v>1</x:v>
      </x:c>
      <x:c r="I2335" s="36" t="str">
        <x:v>generated design-reference observation; not predicted tract behavior</x:v>
      </x:c>
    </x:row>
    <x:row r="2336" ht="75.5999984741211" hidden="0" customHeight="1">
      <x:c r="A2336" s="34" t="str">
        <x:v>P2</x:v>
      </x:c>
      <x:c r="B2336" s="34" t="str">
        <x:v>48201233101</x:v>
      </x:c>
      <x:c r="C2336" s="65" t="n">
        <x:v>352.7590142638288</x:v>
      </x:c>
      <x:c r="D2336" s="65" t="n">
        <x:v>302.7675531032434</x:v>
      </x:c>
      <x:c r="E2336" s="65" t="n">
        <x:v>49.9914611605854</x:v>
      </x:c>
      <x:c r="F2336" s="65" t="n">
        <x:v>49.9914611605854</x:v>
      </x:c>
      <x:c r="G2336" s="65" t="n">
        <x:v>352.7590142638288</x:v>
      </x:c>
      <x:c r="H2336" s="43" t="n">
        <x:v>1</x:v>
      </x:c>
      <x:c r="I2336" s="34" t="str">
        <x:v>generated design-reference observation; not predicted tract behavior</x:v>
      </x:c>
    </x:row>
    <x:row r="2337" ht="75.5999984741211" hidden="0" customHeight="1">
      <x:c r="A2337" s="36" t="str">
        <x:v>P2</x:v>
      </x:c>
      <x:c r="B2337" s="36" t="str">
        <x:v>48201233103</x:v>
      </x:c>
      <x:c r="C2337" s="66" t="n">
        <x:v>405.26063437127203</x:v>
      </x:c>
      <x:c r="D2337" s="66" t="n">
        <x:v>349.7465663814623</x:v>
      </x:c>
      <x:c r="E2337" s="66" t="n">
        <x:v>55.514067989809746</x:v>
      </x:c>
      <x:c r="F2337" s="66" t="n">
        <x:v>55.514067989809746</x:v>
      </x:c>
      <x:c r="G2337" s="66" t="n">
        <x:v>405.26063437127203</x:v>
      </x:c>
      <x:c r="H2337" s="45" t="n">
        <x:v>1</x:v>
      </x:c>
      <x:c r="I2337" s="36" t="str">
        <x:v>generated design-reference observation; not predicted tract behavior</x:v>
      </x:c>
    </x:row>
    <x:row r="2338" ht="75.5999984741211" hidden="0" customHeight="1">
      <x:c r="A2338" s="34" t="str">
        <x:v>P2</x:v>
      </x:c>
      <x:c r="B2338" s="34" t="str">
        <x:v>48201233104</x:v>
      </x:c>
      <x:c r="C2338" s="65" t="n">
        <x:v>363.9715320725879</x:v>
      </x:c>
      <x:c r="D2338" s="65" t="n">
        <x:v>274.5801237955603</x:v>
      </x:c>
      <x:c r="E2338" s="65" t="n">
        <x:v>89.39140827702755</x:v>
      </x:c>
      <x:c r="F2338" s="65" t="n">
        <x:v>89.39140827702755</x:v>
      </x:c>
      <x:c r="G2338" s="65" t="n">
        <x:v>363.9715320725879</x:v>
      </x:c>
      <x:c r="H2338" s="43" t="n">
        <x:v>1</x:v>
      </x:c>
      <x:c r="I2338" s="34" t="str">
        <x:v>generated design-reference observation; not predicted tract behavior</x:v>
      </x:c>
    </x:row>
    <x:row r="2339" ht="75.5999984741211" hidden="0" customHeight="1">
      <x:c r="A2339" s="36" t="str">
        <x:v>P2</x:v>
      </x:c>
      <x:c r="B2339" s="36" t="str">
        <x:v>48201233105</x:v>
      </x:c>
      <x:c r="C2339" s="66" t="n">
        <x:v>368.128313383605</x:v>
      </x:c>
      <x:c r="D2339" s="66" t="n">
        <x:v>318.1097235568618</x:v>
      </x:c>
      <x:c r="E2339" s="66" t="n">
        <x:v>50.01858982674321</x:v>
      </x:c>
      <x:c r="F2339" s="66" t="n">
        <x:v>50.01858982674321</x:v>
      </x:c>
      <x:c r="G2339" s="66" t="n">
        <x:v>368.128313383605</x:v>
      </x:c>
      <x:c r="H2339" s="45" t="n">
        <x:v>1</x:v>
      </x:c>
      <x:c r="I2339" s="36" t="str">
        <x:v>generated design-reference observation; not predicted tract behavior</x:v>
      </x:c>
    </x:row>
    <x:row r="2340" ht="75.5999984741211" hidden="0" customHeight="1">
      <x:c r="A2340" s="34" t="str">
        <x:v>P2</x:v>
      </x:c>
      <x:c r="B2340" s="34" t="str">
        <x:v>48201233200</x:v>
      </x:c>
      <x:c r="C2340" s="65" t="n">
        <x:v>508.9120364636317</x:v>
      </x:c>
      <x:c r="D2340" s="65" t="n">
        <x:v>440.1071291337487</x:v>
      </x:c>
      <x:c r="E2340" s="65" t="n">
        <x:v>68.80490732988301</x:v>
      </x:c>
      <x:c r="F2340" s="65" t="n">
        <x:v>68.80490732988301</x:v>
      </x:c>
      <x:c r="G2340" s="65" t="n">
        <x:v>508.9120364636317</x:v>
      </x:c>
      <x:c r="H2340" s="43" t="n">
        <x:v>1</x:v>
      </x:c>
      <x:c r="I2340" s="34" t="str">
        <x:v>generated design-reference observation; not predicted tract behavior</x:v>
      </x:c>
    </x:row>
    <x:row r="2341" ht="75.5999984741211" hidden="0" customHeight="1">
      <x:c r="A2341" s="36" t="str">
        <x:v>P2</x:v>
      </x:c>
      <x:c r="B2341" s="36" t="str">
        <x:v>48201233300</x:v>
      </x:c>
      <x:c r="C2341" s="66" t="n">
        <x:v>358.2135238977458</x:v>
      </x:c>
      <x:c r="D2341" s="66" t="n">
        <x:v>309.54325155331986</x:v>
      </x:c>
      <x:c r="E2341" s="66" t="n">
        <x:v>48.67027234442594</x:v>
      </x:c>
      <x:c r="F2341" s="66" t="n">
        <x:v>48.67027234442594</x:v>
      </x:c>
      <x:c r="G2341" s="66" t="n">
        <x:v>358.2135238977458</x:v>
      </x:c>
      <x:c r="H2341" s="45" t="n">
        <x:v>1</x:v>
      </x:c>
      <x:c r="I2341" s="36" t="str">
        <x:v>generated design-reference observation; not predicted tract behavior</x:v>
      </x:c>
    </x:row>
    <x:row r="2342" ht="75.5999984741211" hidden="0" customHeight="1">
      <x:c r="A2342" s="34" t="str">
        <x:v>P2</x:v>
      </x:c>
      <x:c r="B2342" s="34" t="str">
        <x:v>48201233400</x:v>
      </x:c>
      <x:c r="C2342" s="65" t="n">
        <x:v>226.08313670668554</x:v>
      </x:c>
      <x:c r="D2342" s="65" t="n">
        <x:v>193.37214026496108</x:v>
      </x:c>
      <x:c r="E2342" s="65" t="n">
        <x:v>32.71099644172446</x:v>
      </x:c>
      <x:c r="F2342" s="65" t="n">
        <x:v>32.71099644172446</x:v>
      </x:c>
      <x:c r="G2342" s="65" t="n">
        <x:v>226.08313670668554</x:v>
      </x:c>
      <x:c r="H2342" s="43" t="n">
        <x:v>1</x:v>
      </x:c>
      <x:c r="I2342" s="34" t="str">
        <x:v>generated design-reference observation; not predicted tract behavior</x:v>
      </x:c>
    </x:row>
    <x:row r="2343" ht="75.5999984741211" hidden="0" customHeight="1">
      <x:c r="A2343" s="36" t="str">
        <x:v>P2</x:v>
      </x:c>
      <x:c r="B2343" s="36" t="str">
        <x:v>48201233501</x:v>
      </x:c>
      <x:c r="C2343" s="66" t="n">
        <x:v>292.41358923614183</x:v>
      </x:c>
      <x:c r="D2343" s="66" t="n">
        <x:v>252.44800499596036</x:v>
      </x:c>
      <x:c r="E2343" s="66" t="n">
        <x:v>39.96558424018147</x:v>
      </x:c>
      <x:c r="F2343" s="66" t="n">
        <x:v>39.96558424018147</x:v>
      </x:c>
      <x:c r="G2343" s="66" t="n">
        <x:v>292.41358923614183</x:v>
      </x:c>
      <x:c r="H2343" s="45" t="n">
        <x:v>1</x:v>
      </x:c>
      <x:c r="I2343" s="36" t="str">
        <x:v>generated design-reference observation; not predicted tract behavior</x:v>
      </x:c>
    </x:row>
    <x:row r="2344" ht="75.5999984741211" hidden="0" customHeight="1">
      <x:c r="A2344" s="34" t="str">
        <x:v>P2</x:v>
      </x:c>
      <x:c r="B2344" s="34" t="str">
        <x:v>48201233502</x:v>
      </x:c>
      <x:c r="C2344" s="65" t="n">
        <x:v>239.7626381733031</x:v>
      </x:c>
      <x:c r="D2344" s="65" t="n">
        <x:v>205.94292766271099</x:v>
      </x:c>
      <x:c r="E2344" s="65" t="n">
        <x:v>33.8197105105921</x:v>
      </x:c>
      <x:c r="F2344" s="65" t="n">
        <x:v>33.8197105105921</x:v>
      </x:c>
      <x:c r="G2344" s="65" t="n">
        <x:v>239.7626381733031</x:v>
      </x:c>
      <x:c r="H2344" s="43" t="n">
        <x:v>1</x:v>
      </x:c>
      <x:c r="I2344" s="34" t="str">
        <x:v>generated design-reference observation; not predicted tract behavior</x:v>
      </x:c>
    </x:row>
    <x:row r="2345" ht="75.5999984741211" hidden="0" customHeight="1">
      <x:c r="A2345" s="36" t="str">
        <x:v>P2</x:v>
      </x:c>
      <x:c r="B2345" s="36" t="str">
        <x:v>48201233600</x:v>
      </x:c>
      <x:c r="C2345" s="66" t="n">
        <x:v>173.88017851003312</x:v>
      </x:c>
      <x:c r="D2345" s="66" t="n">
        <x:v>150.37157837547664</x:v>
      </x:c>
      <x:c r="E2345" s="66" t="n">
        <x:v>23.508600134556474</x:v>
      </x:c>
      <x:c r="F2345" s="66" t="n">
        <x:v>23.508600134556474</x:v>
      </x:c>
      <x:c r="G2345" s="66" t="n">
        <x:v>173.88017851003312</x:v>
      </x:c>
      <x:c r="H2345" s="45" t="n">
        <x:v>1</x:v>
      </x:c>
      <x:c r="I2345" s="36" t="str">
        <x:v>generated design-reference observation; not predicted tract behavior</x:v>
      </x:c>
    </x:row>
    <x:row r="2346" ht="75.5999984741211" hidden="0" customHeight="1">
      <x:c r="A2346" s="34" t="str">
        <x:v>P2</x:v>
      </x:c>
      <x:c r="B2346" s="34" t="str">
        <x:v>48201233701</x:v>
      </x:c>
      <x:c r="C2346" s="65" t="n">
        <x:v>375.0407647136194</x:v>
      </x:c>
      <x:c r="D2346" s="65" t="n">
        <x:v>324.33525332433805</x:v>
      </x:c>
      <x:c r="E2346" s="65" t="n">
        <x:v>50.705511389281355</x:v>
      </x:c>
      <x:c r="F2346" s="65" t="n">
        <x:v>50.705511389281355</x:v>
      </x:c>
      <x:c r="G2346" s="65" t="n">
        <x:v>375.0407647136194</x:v>
      </x:c>
      <x:c r="H2346" s="43" t="n">
        <x:v>1</x:v>
      </x:c>
      <x:c r="I2346" s="34" t="str">
        <x:v>generated design-reference observation; not predicted tract behavior</x:v>
      </x:c>
    </x:row>
    <x:row r="2347" ht="75.5999984741211" hidden="0" customHeight="1">
      <x:c r="A2347" s="36" t="str">
        <x:v>P2</x:v>
      </x:c>
      <x:c r="B2347" s="36" t="str">
        <x:v>48201233702</x:v>
      </x:c>
      <x:c r="C2347" s="66" t="n">
        <x:v>244.65126208151113</x:v>
      </x:c>
      <x:c r="D2347" s="66" t="n">
        <x:v>211.27249406622198</x:v>
      </x:c>
      <x:c r="E2347" s="66" t="n">
        <x:v>33.378768015289154</x:v>
      </x:c>
      <x:c r="F2347" s="66" t="n">
        <x:v>33.378768015289154</x:v>
      </x:c>
      <x:c r="G2347" s="66" t="n">
        <x:v>244.65126208151113</x:v>
      </x:c>
      <x:c r="H2347" s="45" t="n">
        <x:v>1</x:v>
      </x:c>
      <x:c r="I2347" s="36" t="str">
        <x:v>generated design-reference observation; not predicted tract behavior</x:v>
      </x:c>
    </x:row>
    <x:row r="2348" ht="75.5999984741211" hidden="0" customHeight="1">
      <x:c r="A2348" s="34" t="str">
        <x:v>P2</x:v>
      </x:c>
      <x:c r="B2348" s="34" t="str">
        <x:v>48201233703</x:v>
      </x:c>
      <x:c r="C2348" s="65" t="n">
        <x:v>223.94141642535646</x:v>
      </x:c>
      <x:c r="D2348" s="65" t="n">
        <x:v>193.5135734771569</x:v>
      </x:c>
      <x:c r="E2348" s="65" t="n">
        <x:v>30.427842948199554</x:v>
      </x:c>
      <x:c r="F2348" s="65" t="n">
        <x:v>30.427842948199554</x:v>
      </x:c>
      <x:c r="G2348" s="65" t="n">
        <x:v>223.94141642535646</x:v>
      </x:c>
      <x:c r="H2348" s="43" t="n">
        <x:v>1</x:v>
      </x:c>
      <x:c r="I2348" s="34" t="str">
        <x:v>generated design-reference observation; not predicted tract behavior</x:v>
      </x:c>
    </x:row>
    <x:row r="2349" ht="75.5999984741211" hidden="0" customHeight="1">
      <x:c r="A2349" s="36" t="str">
        <x:v>P2</x:v>
      </x:c>
      <x:c r="B2349" s="36" t="str">
        <x:v>48201240101</x:v>
      </x:c>
      <x:c r="C2349" s="66" t="n">
        <x:v>385.23517187911585</x:v>
      </x:c>
      <x:c r="D2349" s="66" t="n">
        <x:v>156.47208286733388</x:v>
      </x:c>
      <x:c r="E2349" s="66" t="n">
        <x:v>228.76308901178197</x:v>
      </x:c>
      <x:c r="F2349" s="66" t="n">
        <x:v>228.76308901178197</x:v>
      </x:c>
      <x:c r="G2349" s="66" t="n">
        <x:v>385.23517187911585</x:v>
      </x:c>
      <x:c r="H2349" s="45" t="n">
        <x:v>1</x:v>
      </x:c>
      <x:c r="I2349" s="36" t="str">
        <x:v>generated design-reference observation; not predicted tract behavior</x:v>
      </x:c>
    </x:row>
    <x:row r="2350" ht="75.5999984741211" hidden="0" customHeight="1">
      <x:c r="A2350" s="34" t="str">
        <x:v>P2</x:v>
      </x:c>
      <x:c r="B2350" s="34" t="str">
        <x:v>48201240102</x:v>
      </x:c>
      <x:c r="C2350" s="65" t="n">
        <x:v>136.700700378557</x:v>
      </x:c>
      <x:c r="D2350" s="65" t="n">
        <x:v>116.85679834074735</x:v>
      </x:c>
      <x:c r="E2350" s="65" t="n">
        <x:v>19.843902037809656</x:v>
      </x:c>
      <x:c r="F2350" s="65" t="n">
        <x:v>19.843902037809656</x:v>
      </x:c>
      <x:c r="G2350" s="65" t="n">
        <x:v>136.700700378557</x:v>
      </x:c>
      <x:c r="H2350" s="43" t="n">
        <x:v>1</x:v>
      </x:c>
      <x:c r="I2350" s="34" t="str">
        <x:v>generated design-reference observation; not predicted tract behavior</x:v>
      </x:c>
    </x:row>
    <x:row r="2351" ht="75.5999984741211" hidden="0" customHeight="1">
      <x:c r="A2351" s="36" t="str">
        <x:v>P2</x:v>
      </x:c>
      <x:c r="B2351" s="36" t="str">
        <x:v>48201240400</x:v>
      </x:c>
      <x:c r="C2351" s="66" t="n">
        <x:v>612.1861814055186</x:v>
      </x:c>
      <x:c r="D2351" s="66" t="n">
        <x:v>526.8679339275598</x:v>
      </x:c>
      <x:c r="E2351" s="66" t="n">
        <x:v>85.31824747795883</x:v>
      </x:c>
      <x:c r="F2351" s="66" t="n">
        <x:v>85.31824747795883</x:v>
      </x:c>
      <x:c r="G2351" s="66" t="n">
        <x:v>612.1861814055186</x:v>
      </x:c>
      <x:c r="H2351" s="45" t="n">
        <x:v>1</x:v>
      </x:c>
      <x:c r="I2351" s="36" t="str">
        <x:v>generated design-reference observation; not predicted tract behavior</x:v>
      </x:c>
    </x:row>
    <x:row r="2352" ht="75.5999984741211" hidden="0" customHeight="1">
      <x:c r="A2352" s="34" t="str">
        <x:v>P2</x:v>
      </x:c>
      <x:c r="B2352" s="34" t="str">
        <x:v>48201240503</x:v>
      </x:c>
      <x:c r="C2352" s="65" t="n">
        <x:v>468.5050145856839</x:v>
      </x:c>
      <x:c r="D2352" s="65" t="n">
        <x:v>191.6401132360982</x:v>
      </x:c>
      <x:c r="E2352" s="65" t="n">
        <x:v>276.8649013495857</x:v>
      </x:c>
      <x:c r="F2352" s="65" t="n">
        <x:v>276.8649013495857</x:v>
      </x:c>
      <x:c r="G2352" s="65" t="n">
        <x:v>468.50501458568385</x:v>
      </x:c>
      <x:c r="H2352" s="43" t="n">
        <x:v>0.9999999999999999</x:v>
      </x:c>
      <x:c r="I2352" s="34" t="str">
        <x:v>generated design-reference observation; not predicted tract behavior</x:v>
      </x:c>
    </x:row>
    <x:row r="2353" ht="75.5999984741211" hidden="0" customHeight="1">
      <x:c r="A2353" s="36" t="str">
        <x:v>P2</x:v>
      </x:c>
      <x:c r="B2353" s="36" t="str">
        <x:v>48201240504</x:v>
      </x:c>
      <x:c r="C2353" s="66" t="n">
        <x:v>507.01668202976674</x:v>
      </x:c>
      <x:c r="D2353" s="66" t="n">
        <x:v>208.21171572593656</x:v>
      </x:c>
      <x:c r="E2353" s="66" t="n">
        <x:v>298.80496630383016</x:v>
      </x:c>
      <x:c r="F2353" s="66" t="n">
        <x:v>298.80496630383016</x:v>
      </x:c>
      <x:c r="G2353" s="66" t="n">
        <x:v>507.0166820297667</x:v>
      </x:c>
      <x:c r="H2353" s="45" t="n">
        <x:v>0.9999999999999999</x:v>
      </x:c>
      <x:c r="I2353" s="36" t="str">
        <x:v>generated design-reference observation; not predicted tract behavior</x:v>
      </x:c>
    </x:row>
    <x:row r="2354" ht="75.5999984741211" hidden="0" customHeight="1">
      <x:c r="A2354" s="34" t="str">
        <x:v>P2</x:v>
      </x:c>
      <x:c r="B2354" s="34" t="str">
        <x:v>48201240505</x:v>
      </x:c>
      <x:c r="C2354" s="65" t="n">
        <x:v>264.72327713870953</x:v>
      </x:c>
      <x:c r="D2354" s="65" t="n">
        <x:v>108.41383615123048</x:v>
      </x:c>
      <x:c r="E2354" s="65" t="n">
        <x:v>156.30944098747904</x:v>
      </x:c>
      <x:c r="F2354" s="65" t="n">
        <x:v>156.30944098747904</x:v>
      </x:c>
      <x:c r="G2354" s="65" t="n">
        <x:v>264.72327713870953</x:v>
      </x:c>
      <x:c r="H2354" s="43" t="n">
        <x:v>1</x:v>
      </x:c>
      <x:c r="I2354" s="34" t="str">
        <x:v>generated design-reference observation; not predicted tract behavior</x:v>
      </x:c>
    </x:row>
    <x:row r="2355" ht="75.5999984741211" hidden="0" customHeight="1">
      <x:c r="A2355" s="36" t="str">
        <x:v>P2</x:v>
      </x:c>
      <x:c r="B2355" s="36" t="str">
        <x:v>48201240506</x:v>
      </x:c>
      <x:c r="C2355" s="66" t="n">
        <x:v>440.43200412887813</x:v>
      </x:c>
      <x:c r="D2355" s="66" t="n">
        <x:v>375.4366926276007</x:v>
      </x:c>
      <x:c r="E2355" s="66" t="n">
        <x:v>64.99531150127746</x:v>
      </x:c>
      <x:c r="F2355" s="66" t="n">
        <x:v>64.99531150127746</x:v>
      </x:c>
      <x:c r="G2355" s="66" t="n">
        <x:v>440.43200412887813</x:v>
      </x:c>
      <x:c r="H2355" s="45" t="n">
        <x:v>1</x:v>
      </x:c>
      <x:c r="I2355" s="36" t="str">
        <x:v>generated design-reference observation; not predicted tract behavior</x:v>
      </x:c>
    </x:row>
    <x:row r="2356" ht="75.5999984741211" hidden="0" customHeight="1">
      <x:c r="A2356" s="34" t="str">
        <x:v>P2</x:v>
      </x:c>
      <x:c r="B2356" s="34" t="str">
        <x:v>48201240600</x:v>
      </x:c>
      <x:c r="C2356" s="65" t="n">
        <x:v>609.9740276978594</x:v>
      </x:c>
      <x:c r="D2356" s="65" t="n">
        <x:v>250.4841878883139</x:v>
      </x:c>
      <x:c r="E2356" s="65" t="n">
        <x:v>359.48983980954546</x:v>
      </x:c>
      <x:c r="F2356" s="65" t="n">
        <x:v>359.48983980954546</x:v>
      </x:c>
      <x:c r="G2356" s="65" t="n">
        <x:v>609.9740276978594</x:v>
      </x:c>
      <x:c r="H2356" s="43" t="n">
        <x:v>1</x:v>
      </x:c>
      <x:c r="I2356" s="34" t="str">
        <x:v>generated design-reference observation; not predicted tract behavior</x:v>
      </x:c>
    </x:row>
    <x:row r="2357" ht="75.5999984741211" hidden="0" customHeight="1">
      <x:c r="A2357" s="36" t="str">
        <x:v>P2</x:v>
      </x:c>
      <x:c r="B2357" s="36" t="str">
        <x:v>48201240703</x:v>
      </x:c>
      <x:c r="C2357" s="66" t="n">
        <x:v>501.2175624987833</x:v>
      </x:c>
      <x:c r="D2357" s="66" t="n">
        <x:v>431.09946077171844</x:v>
      </x:c>
      <x:c r="E2357" s="66" t="n">
        <x:v>70.11810172706487</x:v>
      </x:c>
      <x:c r="F2357" s="66" t="n">
        <x:v>70.11810172706487</x:v>
      </x:c>
      <x:c r="G2357" s="66" t="n">
        <x:v>501.2175624987833</x:v>
      </x:c>
      <x:c r="H2357" s="45" t="n">
        <x:v>1</x:v>
      </x:c>
      <x:c r="I2357" s="36" t="str">
        <x:v>generated design-reference observation; not predicted tract behavior</x:v>
      </x:c>
    </x:row>
    <x:row r="2358" ht="75.5999984741211" hidden="0" customHeight="1">
      <x:c r="A2358" s="34" t="str">
        <x:v>P2</x:v>
      </x:c>
      <x:c r="B2358" s="34" t="str">
        <x:v>48201240704</x:v>
      </x:c>
      <x:c r="C2358" s="65" t="n">
        <x:v>372.0777241776156</x:v>
      </x:c>
      <x:c r="D2358" s="65" t="n">
        <x:v>320.6253527491497</x:v>
      </x:c>
      <x:c r="E2358" s="65" t="n">
        <x:v>51.45237142846588</x:v>
      </x:c>
      <x:c r="F2358" s="65" t="n">
        <x:v>51.45237142846588</x:v>
      </x:c>
      <x:c r="G2358" s="65" t="n">
        <x:v>372.0777241776156</x:v>
      </x:c>
      <x:c r="H2358" s="43" t="n">
        <x:v>1</x:v>
      </x:c>
      <x:c r="I2358" s="34" t="str">
        <x:v>generated design-reference observation; not predicted tract behavior</x:v>
      </x:c>
    </x:row>
    <x:row r="2359" ht="75.5999984741211" hidden="0" customHeight="1">
      <x:c r="A2359" s="36" t="str">
        <x:v>P2</x:v>
      </x:c>
      <x:c r="B2359" s="36" t="str">
        <x:v>48201240705</x:v>
      </x:c>
      <x:c r="C2359" s="66" t="n">
        <x:v>438.59287552032407</x:v>
      </x:c>
      <x:c r="D2359" s="66" t="n">
        <x:v>377.7664444834991</x:v>
      </x:c>
      <x:c r="E2359" s="66" t="n">
        <x:v>60.826431036825</x:v>
      </x:c>
      <x:c r="F2359" s="66" t="n">
        <x:v>60.826431036825</x:v>
      </x:c>
      <x:c r="G2359" s="66" t="n">
        <x:v>438.59287552032407</x:v>
      </x:c>
      <x:c r="H2359" s="45" t="n">
        <x:v>1</x:v>
      </x:c>
      <x:c r="I2359" s="36" t="str">
        <x:v>generated design-reference observation; not predicted tract behavior</x:v>
      </x:c>
    </x:row>
    <x:row r="2360" ht="75.5999984741211" hidden="0" customHeight="1">
      <x:c r="A2360" s="34" t="str">
        <x:v>P2</x:v>
      </x:c>
      <x:c r="B2360" s="34" t="str">
        <x:v>48201240706</x:v>
      </x:c>
      <x:c r="C2360" s="65" t="n">
        <x:v>898.6658300456842</x:v>
      </x:c>
      <x:c r="D2360" s="65" t="n">
        <x:v>777.1662098235076</x:v>
      </x:c>
      <x:c r="E2360" s="65" t="n">
        <x:v>121.49962022217653</x:v>
      </x:c>
      <x:c r="F2360" s="65" t="n">
        <x:v>121.49962022217653</x:v>
      </x:c>
      <x:c r="G2360" s="65" t="n">
        <x:v>898.6658300456842</x:v>
      </x:c>
      <x:c r="H2360" s="43" t="n">
        <x:v>1</x:v>
      </x:c>
      <x:c r="I2360" s="34" t="str">
        <x:v>generated design-reference observation; not predicted tract behavior</x:v>
      </x:c>
    </x:row>
    <x:row r="2361" ht="75.5999984741211" hidden="0" customHeight="1">
      <x:c r="A2361" s="36" t="str">
        <x:v>P2</x:v>
      </x:c>
      <x:c r="B2361" s="36" t="str">
        <x:v>48201240707</x:v>
      </x:c>
      <x:c r="C2361" s="66" t="n">
        <x:v>422.44941328968207</x:v>
      </x:c>
      <x:c r="D2361" s="66" t="n">
        <x:v>365.33425261291706</x:v>
      </x:c>
      <x:c r="E2361" s="66" t="n">
        <x:v>57.115160676765015</x:v>
      </x:c>
      <x:c r="F2361" s="66" t="n">
        <x:v>57.115160676765015</x:v>
      </x:c>
      <x:c r="G2361" s="66" t="n">
        <x:v>422.44941328968207</x:v>
      </x:c>
      <x:c r="H2361" s="45" t="n">
        <x:v>1</x:v>
      </x:c>
      <x:c r="I2361" s="36" t="str">
        <x:v>generated design-reference observation; not predicted tract behavior</x:v>
      </x:c>
    </x:row>
    <x:row r="2362" ht="75.5999984741211" hidden="0" customHeight="1">
      <x:c r="A2362" s="34" t="str">
        <x:v>P2</x:v>
      </x:c>
      <x:c r="B2362" s="34" t="str">
        <x:v>48201240802</x:v>
      </x:c>
      <x:c r="C2362" s="65" t="n">
        <x:v>720.1131645365681</x:v>
      </x:c>
      <x:c r="D2362" s="65" t="n">
        <x:v>620.7388232353089</x:v>
      </x:c>
      <x:c r="E2362" s="65" t="n">
        <x:v>99.37434130125916</x:v>
      </x:c>
      <x:c r="F2362" s="65" t="n">
        <x:v>99.37434130125916</x:v>
      </x:c>
      <x:c r="G2362" s="65" t="n">
        <x:v>720.1131645365681</x:v>
      </x:c>
      <x:c r="H2362" s="43" t="n">
        <x:v>1</x:v>
      </x:c>
      <x:c r="I2362" s="34" t="str">
        <x:v>generated design-reference observation; not predicted tract behavior</x:v>
      </x:c>
    </x:row>
    <x:row r="2363" ht="75.5999984741211" hidden="0" customHeight="1">
      <x:c r="A2363" s="36" t="str">
        <x:v>P2</x:v>
      </x:c>
      <x:c r="B2363" s="36" t="str">
        <x:v>48201240803</x:v>
      </x:c>
      <x:c r="C2363" s="66" t="n">
        <x:v>189.11193596036622</x:v>
      </x:c>
      <x:c r="D2363" s="66" t="n">
        <x:v>162.5896522475602</x:v>
      </x:c>
      <x:c r="E2363" s="66" t="n">
        <x:v>26.52228371280603</x:v>
      </x:c>
      <x:c r="F2363" s="66" t="n">
        <x:v>26.52228371280603</x:v>
      </x:c>
      <x:c r="G2363" s="66" t="n">
        <x:v>189.11193596036622</x:v>
      </x:c>
      <x:c r="H2363" s="45" t="n">
        <x:v>1</x:v>
      </x:c>
      <x:c r="I2363" s="36" t="str">
        <x:v>generated design-reference observation; not predicted tract behavior</x:v>
      </x:c>
    </x:row>
    <x:row r="2364" ht="75.5999984741211" hidden="0" customHeight="1">
      <x:c r="A2364" s="34" t="str">
        <x:v>P2</x:v>
      </x:c>
      <x:c r="B2364" s="34" t="str">
        <x:v>48201240804</x:v>
      </x:c>
      <x:c r="C2364" s="65" t="n">
        <x:v>237.62484765395806</x:v>
      </x:c>
      <x:c r="D2364" s="65" t="n">
        <x:v>203.88777222502608</x:v>
      </x:c>
      <x:c r="E2364" s="65" t="n">
        <x:v>33.73707542893197</x:v>
      </x:c>
      <x:c r="F2364" s="65" t="n">
        <x:v>33.73707542893197</x:v>
      </x:c>
      <x:c r="G2364" s="65" t="n">
        <x:v>237.62484765395806</x:v>
      </x:c>
      <x:c r="H2364" s="43" t="n">
        <x:v>1</x:v>
      </x:c>
      <x:c r="I2364" s="34" t="str">
        <x:v>generated design-reference observation; not predicted tract behavior</x:v>
      </x:c>
    </x:row>
    <x:row r="2365" ht="75.5999984741211" hidden="0" customHeight="1">
      <x:c r="A2365" s="36" t="str">
        <x:v>P2</x:v>
      </x:c>
      <x:c r="B2365" s="36" t="str">
        <x:v>48201240903</x:v>
      </x:c>
      <x:c r="C2365" s="66" t="n">
        <x:v>904.7351962854198</x:v>
      </x:c>
      <x:c r="D2365" s="66" t="n">
        <x:v>682.5322320777208</x:v>
      </x:c>
      <x:c r="E2365" s="66" t="n">
        <x:v>222.20296420769898</x:v>
      </x:c>
      <x:c r="F2365" s="66" t="n">
        <x:v>222.20296420769898</x:v>
      </x:c>
      <x:c r="G2365" s="66" t="n">
        <x:v>904.7351962854198</x:v>
      </x:c>
      <x:c r="H2365" s="45" t="n">
        <x:v>1</x:v>
      </x:c>
      <x:c r="I2365" s="36" t="str">
        <x:v>generated design-reference observation; not predicted tract behavior</x:v>
      </x:c>
    </x:row>
    <x:row r="2366" ht="75.5999984741211" hidden="0" customHeight="1">
      <x:c r="A2366" s="34" t="str">
        <x:v>P2</x:v>
      </x:c>
      <x:c r="B2366" s="34" t="str">
        <x:v>48201240904</x:v>
      </x:c>
      <x:c r="C2366" s="65" t="n">
        <x:v>728.9551290007707</x:v>
      </x:c>
      <x:c r="D2366" s="65" t="n">
        <x:v>629.0108218511434</x:v>
      </x:c>
      <x:c r="E2366" s="65" t="n">
        <x:v>99.94430714962732</x:v>
      </x:c>
      <x:c r="F2366" s="65" t="n">
        <x:v>99.94430714962732</x:v>
      </x:c>
      <x:c r="G2366" s="65" t="n">
        <x:v>728.9551290007707</x:v>
      </x:c>
      <x:c r="H2366" s="43" t="n">
        <x:v>1</x:v>
      </x:c>
      <x:c r="I2366" s="34" t="str">
        <x:v>generated design-reference observation; not predicted tract behavior</x:v>
      </x:c>
    </x:row>
    <x:row r="2367" ht="75.5999984741211" hidden="0" customHeight="1">
      <x:c r="A2367" s="36" t="str">
        <x:v>P2</x:v>
      </x:c>
      <x:c r="B2367" s="36" t="str">
        <x:v>48201240905</x:v>
      </x:c>
      <x:c r="C2367" s="66" t="n">
        <x:v>435.92063737114273</x:v>
      </x:c>
      <x:c r="D2367" s="66" t="n">
        <x:v>374.5060621657372</x:v>
      </x:c>
      <x:c r="E2367" s="66" t="n">
        <x:v>61.41457520540553</x:v>
      </x:c>
      <x:c r="F2367" s="66" t="n">
        <x:v>61.41457520540553</x:v>
      </x:c>
      <x:c r="G2367" s="66" t="n">
        <x:v>435.92063737114273</x:v>
      </x:c>
      <x:c r="H2367" s="45" t="n">
        <x:v>1</x:v>
      </x:c>
      <x:c r="I2367" s="36" t="str">
        <x:v>generated design-reference observation; not predicted tract behavior</x:v>
      </x:c>
    </x:row>
    <x:row r="2368" ht="75.5999984741211" hidden="0" customHeight="1">
      <x:c r="A2368" s="34" t="str">
        <x:v>P2</x:v>
      </x:c>
      <x:c r="B2368" s="34" t="str">
        <x:v>48201240906</x:v>
      </x:c>
      <x:c r="C2368" s="65" t="n">
        <x:v>675.0623731509595</x:v>
      </x:c>
      <x:c r="D2368" s="65" t="n">
        <x:v>582.7262930119379</x:v>
      </x:c>
      <x:c r="E2368" s="65" t="n">
        <x:v>92.33608013902165</x:v>
      </x:c>
      <x:c r="F2368" s="65" t="n">
        <x:v>92.33608013902165</x:v>
      </x:c>
      <x:c r="G2368" s="65" t="n">
        <x:v>675.0623731509595</x:v>
      </x:c>
      <x:c r="H2368" s="43" t="n">
        <x:v>1</x:v>
      </x:c>
      <x:c r="I2368" s="34" t="str">
        <x:v>generated design-reference observation; not predicted tract behavior</x:v>
      </x:c>
    </x:row>
    <x:row r="2369" ht="75.5999984741211" hidden="0" customHeight="1">
      <x:c r="A2369" s="36" t="str">
        <x:v>P2</x:v>
      </x:c>
      <x:c r="B2369" s="36" t="str">
        <x:v>48201241001</x:v>
      </x:c>
      <x:c r="C2369" s="66" t="n">
        <x:v>288.6763855892722</x:v>
      </x:c>
      <x:c r="D2369" s="66" t="n">
        <x:v>249.4742125029163</x:v>
      </x:c>
      <x:c r="E2369" s="66" t="n">
        <x:v>39.202173086355884</x:v>
      </x:c>
      <x:c r="F2369" s="66" t="n">
        <x:v>39.202173086355884</x:v>
      </x:c>
      <x:c r="G2369" s="66" t="n">
        <x:v>288.6763855892722</x:v>
      </x:c>
      <x:c r="H2369" s="45" t="n">
        <x:v>1</x:v>
      </x:c>
      <x:c r="I2369" s="36" t="str">
        <x:v>generated design-reference observation; not predicted tract behavior</x:v>
      </x:c>
    </x:row>
    <x:row r="2370" ht="75.5999984741211" hidden="0" customHeight="1">
      <x:c r="A2370" s="34" t="str">
        <x:v>P2</x:v>
      </x:c>
      <x:c r="B2370" s="34" t="str">
        <x:v>48201241002</x:v>
      </x:c>
      <x:c r="C2370" s="65" t="n">
        <x:v>439.58317554031476</x:v>
      </x:c>
      <x:c r="D2370" s="65" t="n">
        <x:v>380.1515302072642</x:v>
      </x:c>
      <x:c r="E2370" s="65" t="n">
        <x:v>59.43164533305054</x:v>
      </x:c>
      <x:c r="F2370" s="65" t="n">
        <x:v>59.43164533305054</x:v>
      </x:c>
      <x:c r="G2370" s="65" t="n">
        <x:v>439.58317554031476</x:v>
      </x:c>
      <x:c r="H2370" s="43" t="n">
        <x:v>1</x:v>
      </x:c>
      <x:c r="I2370" s="34" t="str">
        <x:v>generated design-reference observation; not predicted tract behavior</x:v>
      </x:c>
    </x:row>
    <x:row r="2371" ht="75.5999984741211" hidden="0" customHeight="1">
      <x:c r="A2371" s="36" t="str">
        <x:v>P2</x:v>
      </x:c>
      <x:c r="B2371" s="36" t="str">
        <x:v>48201241101</x:v>
      </x:c>
      <x:c r="C2371" s="66" t="n">
        <x:v>358.73225247964575</x:v>
      </x:c>
      <x:c r="D2371" s="66" t="n">
        <x:v>310.23165194439764</x:v>
      </x:c>
      <x:c r="E2371" s="66" t="n">
        <x:v>48.50060053524811</x:v>
      </x:c>
      <x:c r="F2371" s="66" t="n">
        <x:v>48.50060053524811</x:v>
      </x:c>
      <x:c r="G2371" s="66" t="n">
        <x:v>358.73225247964575</x:v>
      </x:c>
      <x:c r="H2371" s="45" t="n">
        <x:v>1</x:v>
      </x:c>
      <x:c r="I2371" s="36" t="str">
        <x:v>generated design-reference observation; not predicted tract behavior</x:v>
      </x:c>
    </x:row>
    <x:row r="2372" ht="75.5999984741211" hidden="0" customHeight="1">
      <x:c r="A2372" s="34" t="str">
        <x:v>P2</x:v>
      </x:c>
      <x:c r="B2372" s="34" t="str">
        <x:v>48201241103</x:v>
      </x:c>
      <x:c r="C2372" s="65" t="n">
        <x:v>470.0349011550286</x:v>
      </x:c>
      <x:c r="D2372" s="65" t="n">
        <x:v>405.44860517610283</x:v>
      </x:c>
      <x:c r="E2372" s="65" t="n">
        <x:v>64.58629597892576</x:v>
      </x:c>
      <x:c r="F2372" s="65" t="n">
        <x:v>64.58629597892576</x:v>
      </x:c>
      <x:c r="G2372" s="65" t="n">
        <x:v>470.0349011550286</x:v>
      </x:c>
      <x:c r="H2372" s="43" t="n">
        <x:v>1</x:v>
      </x:c>
      <x:c r="I2372" s="34" t="str">
        <x:v>generated design-reference observation; not predicted tract behavior</x:v>
      </x:c>
    </x:row>
    <x:row r="2373" ht="75.5999984741211" hidden="0" customHeight="1">
      <x:c r="A2373" s="36" t="str">
        <x:v>P2</x:v>
      </x:c>
      <x:c r="B2373" s="36" t="str">
        <x:v>48201241104</x:v>
      </x:c>
      <x:c r="C2373" s="66" t="n">
        <x:v>2026.5008691130981</x:v>
      </x:c>
      <x:c r="D2373" s="66" t="n">
        <x:v>838.9713598128226</x:v>
      </x:c>
      <x:c r="E2373" s="66" t="n">
        <x:v>1187.5295093002755</x:v>
      </x:c>
      <x:c r="F2373" s="66" t="n">
        <x:v>1187.5295093002755</x:v>
      </x:c>
      <x:c r="G2373" s="66" t="n">
        <x:v>2026.5008691130981</x:v>
      </x:c>
      <x:c r="H2373" s="45" t="n">
        <x:v>1</x:v>
      </x:c>
      <x:c r="I2373" s="36" t="str">
        <x:v>generated design-reference observation; not predicted tract behavior</x:v>
      </x:c>
    </x:row>
    <x:row r="2374" ht="75.5999984741211" hidden="0" customHeight="1">
      <x:c r="A2374" s="34" t="str">
        <x:v>P2</x:v>
      </x:c>
      <x:c r="B2374" s="34" t="str">
        <x:v>48201241105</x:v>
      </x:c>
      <x:c r="C2374" s="65" t="n">
        <x:v>448.1343376176947</x:v>
      </x:c>
      <x:c r="D2374" s="65" t="n">
        <x:v>387.5465751717824</x:v>
      </x:c>
      <x:c r="E2374" s="65" t="n">
        <x:v>60.58776244591229</x:v>
      </x:c>
      <x:c r="F2374" s="65" t="n">
        <x:v>60.58776244591229</x:v>
      </x:c>
      <x:c r="G2374" s="65" t="n">
        <x:v>448.1343376176947</x:v>
      </x:c>
      <x:c r="H2374" s="43" t="n">
        <x:v>1</x:v>
      </x:c>
      <x:c r="I2374" s="34" t="str">
        <x:v>generated design-reference observation; not predicted tract behavior</x:v>
      </x:c>
    </x:row>
    <x:row r="2375" ht="75.5999984741211" hidden="0" customHeight="1">
      <x:c r="A2375" s="36" t="str">
        <x:v>P2</x:v>
      </x:c>
      <x:c r="B2375" s="36" t="str">
        <x:v>48201241201</x:v>
      </x:c>
      <x:c r="C2375" s="66" t="n">
        <x:v>532.2397081799571</x:v>
      </x:c>
      <x:c r="D2375" s="66" t="n">
        <x:v>219.1484588696845</x:v>
      </x:c>
      <x:c r="E2375" s="66" t="n">
        <x:v>313.0912493102726</x:v>
      </x:c>
      <x:c r="F2375" s="66" t="n">
        <x:v>313.0912493102726</x:v>
      </x:c>
      <x:c r="G2375" s="66" t="n">
        <x:v>532.2397081799571</x:v>
      </x:c>
      <x:c r="H2375" s="45" t="n">
        <x:v>1</x:v>
      </x:c>
      <x:c r="I2375" s="36" t="str">
        <x:v>generated design-reference observation; not predicted tract behavior</x:v>
      </x:c>
    </x:row>
    <x:row r="2376" ht="75.5999984741211" hidden="0" customHeight="1">
      <x:c r="A2376" s="34" t="str">
        <x:v>P2</x:v>
      </x:c>
      <x:c r="B2376" s="34" t="str">
        <x:v>48201241202</x:v>
      </x:c>
      <x:c r="C2376" s="65" t="n">
        <x:v>446.4956268703291</x:v>
      </x:c>
      <x:c r="D2376" s="65" t="n">
        <x:v>384.43883397508995</x:v>
      </x:c>
      <x:c r="E2376" s="65" t="n">
        <x:v>62.05679289523914</x:v>
      </x:c>
      <x:c r="F2376" s="65" t="n">
        <x:v>62.05679289523914</x:v>
      </x:c>
      <x:c r="G2376" s="65" t="n">
        <x:v>446.4956268703291</x:v>
      </x:c>
      <x:c r="H2376" s="43" t="n">
        <x:v>1</x:v>
      </x:c>
      <x:c r="I2376" s="34" t="str">
        <x:v>generated design-reference observation; not predicted tract behavior</x:v>
      </x:c>
    </x:row>
    <x:row r="2377" ht="75.5999984741211" hidden="0" customHeight="1">
      <x:c r="A2377" s="36" t="str">
        <x:v>P2</x:v>
      </x:c>
      <x:c r="B2377" s="36" t="str">
        <x:v>48201241301</x:v>
      </x:c>
      <x:c r="C2377" s="66" t="n">
        <x:v>411.6975845012116</x:v>
      </x:c>
      <x:c r="D2377" s="66" t="n">
        <x:v>356.03607107664783</x:v>
      </x:c>
      <x:c r="E2377" s="66" t="n">
        <x:v>55.66151342456379</x:v>
      </x:c>
      <x:c r="F2377" s="66" t="n">
        <x:v>55.66151342456379</x:v>
      </x:c>
      <x:c r="G2377" s="66" t="n">
        <x:v>411.6975845012116</x:v>
      </x:c>
      <x:c r="H2377" s="45" t="n">
        <x:v>1</x:v>
      </x:c>
      <x:c r="I2377" s="36" t="str">
        <x:v>generated design-reference observation; not predicted tract behavior</x:v>
      </x:c>
    </x:row>
    <x:row r="2378" ht="75.5999984741211" hidden="0" customHeight="1">
      <x:c r="A2378" s="34" t="str">
        <x:v>P2</x:v>
      </x:c>
      <x:c r="B2378" s="34" t="str">
        <x:v>48201241302</x:v>
      </x:c>
      <x:c r="C2378" s="65" t="n">
        <x:v>705.4079951921032</x:v>
      </x:c>
      <x:c r="D2378" s="65" t="n">
        <x:v>605.6267013728036</x:v>
      </x:c>
      <x:c r="E2378" s="65" t="n">
        <x:v>99.78129381929955</x:v>
      </x:c>
      <x:c r="F2378" s="65" t="n">
        <x:v>99.78129381929955</x:v>
      </x:c>
      <x:c r="G2378" s="65" t="n">
        <x:v>705.4079951921032</x:v>
      </x:c>
      <x:c r="H2378" s="43" t="n">
        <x:v>1</x:v>
      </x:c>
      <x:c r="I2378" s="34" t="str">
        <x:v>generated design-reference observation; not predicted tract behavior</x:v>
      </x:c>
    </x:row>
    <x:row r="2379" ht="75.5999984741211" hidden="0" customHeight="1">
      <x:c r="A2379" s="36" t="str">
        <x:v>P2</x:v>
      </x:c>
      <x:c r="B2379" s="36" t="str">
        <x:v>48201241400</x:v>
      </x:c>
      <x:c r="C2379" s="66" t="n">
        <x:v>821.3045356268874</x:v>
      </x:c>
      <x:c r="D2379" s="66" t="n">
        <x:v>704.3046348452582</x:v>
      </x:c>
      <x:c r="E2379" s="66" t="n">
        <x:v>116.99990078162921</x:v>
      </x:c>
      <x:c r="F2379" s="66" t="n">
        <x:v>116.99990078162921</x:v>
      </x:c>
      <x:c r="G2379" s="66" t="n">
        <x:v>821.3045356268874</x:v>
      </x:c>
      <x:c r="H2379" s="45" t="n">
        <x:v>1</x:v>
      </x:c>
      <x:c r="I2379" s="36" t="str">
        <x:v>generated design-reference observation; not predicted tract behavior</x:v>
      </x:c>
    </x:row>
    <x:row r="2380" ht="75.5999984741211" hidden="0" customHeight="1">
      <x:c r="A2380" s="34" t="str">
        <x:v>P2</x:v>
      </x:c>
      <x:c r="B2380" s="34" t="str">
        <x:v>48201241501</x:v>
      </x:c>
      <x:c r="C2380" s="65" t="n">
        <x:v>722.2842068880863</x:v>
      </x:c>
      <x:c r="D2380" s="65" t="n">
        <x:v>296.175597385539</x:v>
      </x:c>
      <x:c r="E2380" s="65" t="n">
        <x:v>426.10860950254727</x:v>
      </x:c>
      <x:c r="F2380" s="65" t="n">
        <x:v>426.10860950254727</x:v>
      </x:c>
      <x:c r="G2380" s="65" t="n">
        <x:v>722.2842068880863</x:v>
      </x:c>
      <x:c r="H2380" s="43" t="n">
        <x:v>1</x:v>
      </x:c>
      <x:c r="I2380" s="34" t="str">
        <x:v>generated design-reference observation; not predicted tract behavior</x:v>
      </x:c>
    </x:row>
    <x:row r="2381" ht="75.5999984741211" hidden="0" customHeight="1">
      <x:c r="A2381" s="36" t="str">
        <x:v>P2</x:v>
      </x:c>
      <x:c r="B2381" s="36" t="str">
        <x:v>48201241502</x:v>
      </x:c>
      <x:c r="C2381" s="66" t="n">
        <x:v>194.381746781031</x:v>
      </x:c>
      <x:c r="D2381" s="66" t="n">
        <x:v>166.13125325764446</x:v>
      </x:c>
      <x:c r="E2381" s="66" t="n">
        <x:v>28.250493523386552</x:v>
      </x:c>
      <x:c r="F2381" s="66" t="n">
        <x:v>28.250493523386552</x:v>
      </x:c>
      <x:c r="G2381" s="66" t="n">
        <x:v>194.381746781031</x:v>
      </x:c>
      <x:c r="H2381" s="45" t="n">
        <x:v>1</x:v>
      </x:c>
      <x:c r="I2381" s="36" t="str">
        <x:v>generated design-reference observation; not predicted tract behavior</x:v>
      </x:c>
    </x:row>
    <x:row r="2382" ht="75.5999984741211" hidden="0" customHeight="1">
      <x:c r="A2382" s="34" t="str">
        <x:v>P2</x:v>
      </x:c>
      <x:c r="B2382" s="34" t="str">
        <x:v>48201241503</x:v>
      </x:c>
      <x:c r="C2382" s="65" t="n">
        <x:v>211.83381975237498</x:v>
      </x:c>
      <x:c r="D2382" s="65" t="n">
        <x:v>181.94590839793895</x:v>
      </x:c>
      <x:c r="E2382" s="65" t="n">
        <x:v>29.887911354436028</x:v>
      </x:c>
      <x:c r="F2382" s="65" t="n">
        <x:v>29.887911354436028</x:v>
      </x:c>
      <x:c r="G2382" s="65" t="n">
        <x:v>211.83381975237498</x:v>
      </x:c>
      <x:c r="H2382" s="43" t="n">
        <x:v>1</x:v>
      </x:c>
      <x:c r="I2382" s="34" t="str">
        <x:v>generated design-reference observation; not predicted tract behavior</x:v>
      </x:c>
    </x:row>
    <x:row r="2383" ht="75.5999984741211" hidden="0" customHeight="1">
      <x:c r="A2383" s="36" t="str">
        <x:v>P2</x:v>
      </x:c>
      <x:c r="B2383" s="36" t="str">
        <x:v>48201250101</x:v>
      </x:c>
      <x:c r="C2383" s="66" t="n">
        <x:v>319.80010050326547</x:v>
      </x:c>
      <x:c r="D2383" s="66" t="n">
        <x:v>274.94608524474165</x:v>
      </x:c>
      <x:c r="E2383" s="66" t="n">
        <x:v>44.854015258523816</x:v>
      </x:c>
      <x:c r="F2383" s="66" t="n">
        <x:v>44.854015258523816</x:v>
      </x:c>
      <x:c r="G2383" s="66" t="n">
        <x:v>319.80010050326547</x:v>
      </x:c>
      <x:c r="H2383" s="45" t="n">
        <x:v>1</x:v>
      </x:c>
      <x:c r="I2383" s="36" t="str">
        <x:v>generated design-reference observation; not predicted tract behavior</x:v>
      </x:c>
    </x:row>
    <x:row r="2384" ht="75.5999984741211" hidden="0" customHeight="1">
      <x:c r="A2384" s="34" t="str">
        <x:v>P2</x:v>
      </x:c>
      <x:c r="B2384" s="34" t="str">
        <x:v>48201250102</x:v>
      </x:c>
      <x:c r="C2384" s="65" t="n">
        <x:v>435.6848516520974</x:v>
      </x:c>
      <x:c r="D2384" s="65" t="n">
        <x:v>376.78025970873387</x:v>
      </x:c>
      <x:c r="E2384" s="65" t="n">
        <x:v>58.90459194336353</x:v>
      </x:c>
      <x:c r="F2384" s="65" t="n">
        <x:v>58.90459194336353</x:v>
      </x:c>
      <x:c r="G2384" s="65" t="n">
        <x:v>435.6848516520974</x:v>
      </x:c>
      <x:c r="H2384" s="43" t="n">
        <x:v>1</x:v>
      </x:c>
      <x:c r="I2384" s="34" t="str">
        <x:v>generated design-reference observation; not predicted tract behavior</x:v>
      </x:c>
    </x:row>
    <x:row r="2385" ht="75.5999984741211" hidden="0" customHeight="1">
      <x:c r="A2385" s="36" t="str">
        <x:v>P2</x:v>
      </x:c>
      <x:c r="B2385" s="36" t="str">
        <x:v>48201250201</x:v>
      </x:c>
      <x:c r="C2385" s="66" t="n">
        <x:v>641.3371558034988</x:v>
      </x:c>
      <x:c r="D2385" s="66" t="n">
        <x:v>552.9093971744101</x:v>
      </x:c>
      <x:c r="E2385" s="66" t="n">
        <x:v>88.42775862908877</x:v>
      </x:c>
      <x:c r="F2385" s="66" t="n">
        <x:v>88.42775862908877</x:v>
      </x:c>
      <x:c r="G2385" s="66" t="n">
        <x:v>641.3371558034988</x:v>
      </x:c>
      <x:c r="H2385" s="45" t="n">
        <x:v>1</x:v>
      </x:c>
      <x:c r="I2385" s="36" t="str">
        <x:v>generated design-reference observation; not predicted tract behavior</x:v>
      </x:c>
    </x:row>
    <x:row r="2386" ht="75.5999984741211" hidden="0" customHeight="1">
      <x:c r="A2386" s="34" t="str">
        <x:v>P2</x:v>
      </x:c>
      <x:c r="B2386" s="34" t="str">
        <x:v>48201250202</x:v>
      </x:c>
      <x:c r="C2386" s="65" t="n">
        <x:v>184.46302753318764</x:v>
      </x:c>
      <x:c r="D2386" s="65" t="n">
        <x:v>157.32825899902696</x:v>
      </x:c>
      <x:c r="E2386" s="65" t="n">
        <x:v>27.134768534160685</x:v>
      </x:c>
      <x:c r="F2386" s="65" t="n">
        <x:v>27.134768534160685</x:v>
      </x:c>
      <x:c r="G2386" s="65" t="n">
        <x:v>184.46302753318764</x:v>
      </x:c>
      <x:c r="H2386" s="43" t="n">
        <x:v>1</x:v>
      </x:c>
      <x:c r="I2386" s="34" t="str">
        <x:v>generated design-reference observation; not predicted tract behavior</x:v>
      </x:c>
    </x:row>
    <x:row r="2387" ht="75.5999984741211" hidden="0" customHeight="1">
      <x:c r="A2387" s="36" t="str">
        <x:v>P2</x:v>
      </x:c>
      <x:c r="B2387" s="36" t="str">
        <x:v>48201250303</x:v>
      </x:c>
      <x:c r="C2387" s="66" t="n">
        <x:v>276.5334210584338</x:v>
      </x:c>
      <x:c r="D2387" s="66" t="n">
        <x:v>236.94249040831068</x:v>
      </x:c>
      <x:c r="E2387" s="66" t="n">
        <x:v>39.59093065012314</x:v>
      </x:c>
      <x:c r="F2387" s="66" t="n">
        <x:v>39.59093065012314</x:v>
      </x:c>
      <x:c r="G2387" s="66" t="n">
        <x:v>276.5334210584338</x:v>
      </x:c>
      <x:c r="H2387" s="45" t="n">
        <x:v>1</x:v>
      </x:c>
      <x:c r="I2387" s="36" t="str">
        <x:v>generated design-reference observation; not predicted tract behavior</x:v>
      </x:c>
    </x:row>
    <x:row r="2388" ht="75.5999984741211" hidden="0" customHeight="1">
      <x:c r="A2388" s="34" t="str">
        <x:v>P2</x:v>
      </x:c>
      <x:c r="B2388" s="34" t="str">
        <x:v>48201250304</x:v>
      </x:c>
      <x:c r="C2388" s="65" t="n">
        <x:v>1460.6502089726025</x:v>
      </x:c>
      <x:c r="D2388" s="65" t="n">
        <x:v>604.1929166078335</x:v>
      </x:c>
      <x:c r="E2388" s="65" t="n">
        <x:v>856.457292364769</x:v>
      </x:c>
      <x:c r="F2388" s="65" t="n">
        <x:v>856.457292364769</x:v>
      </x:c>
      <x:c r="G2388" s="65" t="n">
        <x:v>1460.6502089726025</x:v>
      </x:c>
      <x:c r="H2388" s="43" t="n">
        <x:v>1</x:v>
      </x:c>
      <x:c r="I2388" s="34" t="str">
        <x:v>generated design-reference observation; not predicted tract behavior</x:v>
      </x:c>
    </x:row>
    <x:row r="2389" ht="75.5999984741211" hidden="0" customHeight="1">
      <x:c r="A2389" s="36" t="str">
        <x:v>P2</x:v>
      </x:c>
      <x:c r="B2389" s="36" t="str">
        <x:v>48201250305</x:v>
      </x:c>
      <x:c r="C2389" s="66" t="n">
        <x:v>466.24268084038175</x:v>
      </x:c>
      <x:c r="D2389" s="66" t="n">
        <x:v>400.9485502891792</x:v>
      </x:c>
      <x:c r="E2389" s="66" t="n">
        <x:v>65.29413055120256</x:v>
      </x:c>
      <x:c r="F2389" s="66" t="n">
        <x:v>65.29413055120256</x:v>
      </x:c>
      <x:c r="G2389" s="66" t="n">
        <x:v>466.24268084038175</x:v>
      </x:c>
      <x:c r="H2389" s="45" t="n">
        <x:v>1</x:v>
      </x:c>
      <x:c r="I2389" s="36" t="str">
        <x:v>generated design-reference observation; not predicted tract behavior</x:v>
      </x:c>
    </x:row>
    <x:row r="2390" ht="75.5999984741211" hidden="0" customHeight="1">
      <x:c r="A2390" s="34" t="str">
        <x:v>P2</x:v>
      </x:c>
      <x:c r="B2390" s="34" t="str">
        <x:v>48201250306</x:v>
      </x:c>
      <x:c r="C2390" s="65" t="n">
        <x:v>315.63062303814587</x:v>
      </x:c>
      <x:c r="D2390" s="65" t="n">
        <x:v>272.95736280338855</x:v>
      </x:c>
      <x:c r="E2390" s="65" t="n">
        <x:v>42.67326023475732</x:v>
      </x:c>
      <x:c r="F2390" s="65" t="n">
        <x:v>42.67326023475733</x:v>
      </x:c>
      <x:c r="G2390" s="65" t="n">
        <x:v>315.63062303814587</x:v>
      </x:c>
      <x:c r="H2390" s="43" t="n">
        <x:v>1</x:v>
      </x:c>
      <x:c r="I2390" s="34" t="str">
        <x:v>generated design-reference observation; not predicted tract behavior</x:v>
      </x:c>
    </x:row>
    <x:row r="2391" ht="75.5999984741211" hidden="0" customHeight="1">
      <x:c r="A2391" s="36" t="str">
        <x:v>P2</x:v>
      </x:c>
      <x:c r="B2391" s="36" t="str">
        <x:v>48201250403</x:v>
      </x:c>
      <x:c r="C2391" s="66" t="n">
        <x:v>648.7801250013653</x:v>
      </x:c>
      <x:c r="D2391" s="66" t="n">
        <x:v>485.341853134721</x:v>
      </x:c>
      <x:c r="E2391" s="66" t="n">
        <x:v>163.43827186664424</x:v>
      </x:c>
      <x:c r="F2391" s="66" t="n">
        <x:v>163.43827186664424</x:v>
      </x:c>
      <x:c r="G2391" s="66" t="n">
        <x:v>648.7801250013653</x:v>
      </x:c>
      <x:c r="H2391" s="45" t="n">
        <x:v>1</x:v>
      </x:c>
      <x:c r="I2391" s="36" t="str">
        <x:v>generated design-reference observation; not predicted tract behavior</x:v>
      </x:c>
    </x:row>
    <x:row r="2392" ht="75.5999984741211" hidden="0" customHeight="1">
      <x:c r="A2392" s="34" t="str">
        <x:v>P2</x:v>
      </x:c>
      <x:c r="B2392" s="34" t="str">
        <x:v>48201250404</x:v>
      </x:c>
      <x:c r="C2392" s="65" t="n">
        <x:v>406.0701653399947</x:v>
      </x:c>
      <x:c r="D2392" s="65" t="n">
        <x:v>350.13959724777044</x:v>
      </x:c>
      <x:c r="E2392" s="65" t="n">
        <x:v>55.930568092224235</x:v>
      </x:c>
      <x:c r="F2392" s="65" t="n">
        <x:v>55.930568092224235</x:v>
      </x:c>
      <x:c r="G2392" s="65" t="n">
        <x:v>406.0701653399947</x:v>
      </x:c>
      <x:c r="H2392" s="43" t="n">
        <x:v>1</x:v>
      </x:c>
      <x:c r="I2392" s="34" t="str">
        <x:v>generated design-reference observation; not predicted tract behavior</x:v>
      </x:c>
    </x:row>
    <x:row r="2393" ht="75.5999984741211" hidden="0" customHeight="1">
      <x:c r="A2393" s="36" t="str">
        <x:v>P2</x:v>
      </x:c>
      <x:c r="B2393" s="36" t="str">
        <x:v>48201250405</x:v>
      </x:c>
      <x:c r="C2393" s="66" t="n">
        <x:v>800.2410113921646</x:v>
      </x:c>
      <x:c r="D2393" s="66" t="n">
        <x:v>692.0484266519439</x:v>
      </x:c>
      <x:c r="E2393" s="66" t="n">
        <x:v>108.1925847402207</x:v>
      </x:c>
      <x:c r="F2393" s="66" t="n">
        <x:v>108.1925847402207</x:v>
      </x:c>
      <x:c r="G2393" s="66" t="n">
        <x:v>800.2410113921646</x:v>
      </x:c>
      <x:c r="H2393" s="45" t="n">
        <x:v>1</x:v>
      </x:c>
      <x:c r="I2393" s="36" t="str">
        <x:v>generated design-reference observation; not predicted tract behavior</x:v>
      </x:c>
    </x:row>
    <x:row r="2394" ht="75.5999984741211" hidden="0" customHeight="1">
      <x:c r="A2394" s="34" t="str">
        <x:v>P2</x:v>
      </x:c>
      <x:c r="B2394" s="34" t="str">
        <x:v>48201250406</x:v>
      </x:c>
      <x:c r="C2394" s="65" t="n">
        <x:v>384.49577204734015</x:v>
      </x:c>
      <x:c r="D2394" s="65" t="n">
        <x:v>330.55300578108057</x:v>
      </x:c>
      <x:c r="E2394" s="65" t="n">
        <x:v>53.94276626625958</x:v>
      </x:c>
      <x:c r="F2394" s="65" t="n">
        <x:v>53.94276626625958</x:v>
      </x:c>
      <x:c r="G2394" s="65" t="n">
        <x:v>384.49577204734015</x:v>
      </x:c>
      <x:c r="H2394" s="43" t="n">
        <x:v>1</x:v>
      </x:c>
      <x:c r="I2394" s="34" t="str">
        <x:v>generated design-reference observation; not predicted tract behavior</x:v>
      </x:c>
    </x:row>
    <x:row r="2395" ht="75.5999984741211" hidden="0" customHeight="1">
      <x:c r="A2395" s="36" t="str">
        <x:v>P2</x:v>
      </x:c>
      <x:c r="B2395" s="36" t="str">
        <x:v>48201250407</x:v>
      </x:c>
      <x:c r="C2395" s="66" t="n">
        <x:v>807.110235340354</x:v>
      </x:c>
      <x:c r="D2395" s="66" t="n">
        <x:v>697.9889315223381</x:v>
      </x:c>
      <x:c r="E2395" s="66" t="n">
        <x:v>109.12130381801592</x:v>
      </x:c>
      <x:c r="F2395" s="66" t="n">
        <x:v>109.12130381801592</x:v>
      </x:c>
      <x:c r="G2395" s="66" t="n">
        <x:v>807.110235340354</x:v>
      </x:c>
      <x:c r="H2395" s="45" t="n">
        <x:v>1</x:v>
      </x:c>
      <x:c r="I2395" s="36" t="str">
        <x:v>generated design-reference observation; not predicted tract behavior</x:v>
      </x:c>
    </x:row>
    <x:row r="2396" ht="75.5999984741211" hidden="0" customHeight="1">
      <x:c r="A2396" s="34" t="str">
        <x:v>P2</x:v>
      </x:c>
      <x:c r="B2396" s="34" t="str">
        <x:v>48201250408</x:v>
      </x:c>
      <x:c r="C2396" s="65" t="n">
        <x:v>1388.8486208931424</x:v>
      </x:c>
      <x:c r="D2396" s="65" t="n">
        <x:v>1188.705097117003</x:v>
      </x:c>
      <x:c r="E2396" s="65" t="n">
        <x:v>200.14352377613932</x:v>
      </x:c>
      <x:c r="F2396" s="65" t="n">
        <x:v>200.14352377613932</x:v>
      </x:c>
      <x:c r="G2396" s="65" t="n">
        <x:v>1388.8486208931424</x:v>
      </x:c>
      <x:c r="H2396" s="43" t="n">
        <x:v>1</x:v>
      </x:c>
      <x:c r="I2396" s="34" t="str">
        <x:v>generated design-reference observation; not predicted tract behavior</x:v>
      </x:c>
    </x:row>
    <x:row r="2397" ht="75.5999984741211" hidden="0" customHeight="1">
      <x:c r="A2397" s="36" t="str">
        <x:v>P2</x:v>
      </x:c>
      <x:c r="B2397" s="36" t="str">
        <x:v>48201250500</x:v>
      </x:c>
      <x:c r="C2397" s="66" t="n">
        <x:v>440.1962184098328</x:v>
      </x:c>
      <x:c r="D2397" s="66" t="n">
        <x:v>375.40507859080066</x:v>
      </x:c>
      <x:c r="E2397" s="66" t="n">
        <x:v>64.79113981903214</x:v>
      </x:c>
      <x:c r="F2397" s="66" t="n">
        <x:v>64.79113981903214</x:v>
      </x:c>
      <x:c r="G2397" s="66" t="n">
        <x:v>440.1962184098328</x:v>
      </x:c>
      <x:c r="H2397" s="45" t="n">
        <x:v>1</x:v>
      </x:c>
      <x:c r="I2397" s="36" t="str">
        <x:v>generated design-reference observation; not predicted tract behavior</x:v>
      </x:c>
    </x:row>
    <x:row r="2398" ht="75.5999984741211" hidden="0" customHeight="1">
      <x:c r="A2398" s="34" t="str">
        <x:v>P2</x:v>
      </x:c>
      <x:c r="B2398" s="34" t="str">
        <x:v>48201250601</x:v>
      </x:c>
      <x:c r="C2398" s="65" t="n">
        <x:v>272.5840102644232</x:v>
      </x:c>
      <x:c r="D2398" s="65" t="n">
        <x:v>234.05373431846013</x:v>
      </x:c>
      <x:c r="E2398" s="65" t="n">
        <x:v>38.5302759459631</x:v>
      </x:c>
      <x:c r="F2398" s="65" t="n">
        <x:v>38.5302759459631</x:v>
      </x:c>
      <x:c r="G2398" s="65" t="n">
        <x:v>272.5840102644232</x:v>
      </x:c>
      <x:c r="H2398" s="43" t="n">
        <x:v>1</x:v>
      </x:c>
      <x:c r="I2398" s="34" t="str">
        <x:v>generated design-reference observation; not predicted tract behavior</x:v>
      </x:c>
    </x:row>
    <x:row r="2399" ht="75.5999984741211" hidden="0" customHeight="1">
      <x:c r="A2399" s="36" t="str">
        <x:v>P2</x:v>
      </x:c>
      <x:c r="B2399" s="36" t="str">
        <x:v>48201250602</x:v>
      </x:c>
      <x:c r="C2399" s="66" t="n">
        <x:v>373.49636825387205</x:v>
      </x:c>
      <x:c r="D2399" s="66" t="n">
        <x:v>321.03698772527</x:v>
      </x:c>
      <x:c r="E2399" s="66" t="n">
        <x:v>52.459380528602026</x:v>
      </x:c>
      <x:c r="F2399" s="66" t="n">
        <x:v>52.459380528602026</x:v>
      </x:c>
      <x:c r="G2399" s="66" t="n">
        <x:v>373.49636825387205</x:v>
      </x:c>
      <x:c r="H2399" s="45" t="n">
        <x:v>1</x:v>
      </x:c>
      <x:c r="I2399" s="36" t="str">
        <x:v>generated design-reference observation; not predicted tract behavior</x:v>
      </x:c>
    </x:row>
    <x:row r="2400" ht="75.5999984741211" hidden="0" customHeight="1">
      <x:c r="A2400" s="34" t="str">
        <x:v>P2</x:v>
      </x:c>
      <x:c r="B2400" s="34" t="str">
        <x:v>48201250701</x:v>
      </x:c>
      <x:c r="C2400" s="65" t="n">
        <x:v>1242.0224353285025</x:v>
      </x:c>
      <x:c r="D2400" s="65" t="n">
        <x:v>513.9278398653576</x:v>
      </x:c>
      <x:c r="E2400" s="65" t="n">
        <x:v>728.094595463145</x:v>
      </x:c>
      <x:c r="F2400" s="65" t="n">
        <x:v>728.094595463145</x:v>
      </x:c>
      <x:c r="G2400" s="65" t="n">
        <x:v>1242.0224353285025</x:v>
      </x:c>
      <x:c r="H2400" s="43" t="n">
        <x:v>1</x:v>
      </x:c>
      <x:c r="I2400" s="34" t="str">
        <x:v>generated design-reference observation; not predicted tract behavior</x:v>
      </x:c>
    </x:row>
    <x:row r="2401" ht="75.5999984741211" hidden="0" customHeight="1">
      <x:c r="A2401" s="36" t="str">
        <x:v>P2</x:v>
      </x:c>
      <x:c r="B2401" s="36" t="str">
        <x:v>48201250702</x:v>
      </x:c>
      <x:c r="C2401" s="66" t="n">
        <x:v>328.6695733013567</x:v>
      </x:c>
      <x:c r="D2401" s="66" t="n">
        <x:v>284.064561995772</x:v>
      </x:c>
      <x:c r="E2401" s="66" t="n">
        <x:v>44.605011305584696</x:v>
      </x:c>
      <x:c r="F2401" s="66" t="n">
        <x:v>44.605011305584696</x:v>
      </x:c>
      <x:c r="G2401" s="66" t="n">
        <x:v>328.6695733013567</x:v>
      </x:c>
      <x:c r="H2401" s="45" t="n">
        <x:v>1</x:v>
      </x:c>
      <x:c r="I2401" s="36" t="str">
        <x:v>generated design-reference observation; not predicted tract behavior</x:v>
      </x:c>
    </x:row>
    <x:row r="2402" ht="75.5999984741211" hidden="0" customHeight="1">
      <x:c r="A2402" s="34" t="str">
        <x:v>P2</x:v>
      </x:c>
      <x:c r="B2402" s="34" t="str">
        <x:v>48201250801</x:v>
      </x:c>
      <x:c r="C2402" s="65" t="n">
        <x:v>287.4856677080929</x:v>
      </x:c>
      <x:c r="D2402" s="65" t="n">
        <x:v>248.42487860804093</x:v>
      </x:c>
      <x:c r="E2402" s="65" t="n">
        <x:v>39.06078910005195</x:v>
      </x:c>
      <x:c r="F2402" s="65" t="n">
        <x:v>39.06078910005195</x:v>
      </x:c>
      <x:c r="G2402" s="65" t="n">
        <x:v>287.4856677080929</x:v>
      </x:c>
      <x:c r="H2402" s="43" t="n">
        <x:v>1</x:v>
      </x:c>
      <x:c r="I2402" s="34" t="str">
        <x:v>generated design-reference observation; not predicted tract behavior</x:v>
      </x:c>
    </x:row>
    <x:row r="2403" ht="75.5999984741211" hidden="0" customHeight="1">
      <x:c r="A2403" s="36" t="str">
        <x:v>P2</x:v>
      </x:c>
      <x:c r="B2403" s="36" t="str">
        <x:v>48201250802</x:v>
      </x:c>
      <x:c r="C2403" s="66" t="n">
        <x:v>656.9703535549756</x:v>
      </x:c>
      <x:c r="D2403" s="66" t="n">
        <x:v>493.7432054973162</x:v>
      </x:c>
      <x:c r="E2403" s="66" t="n">
        <x:v>163.22714805765946</x:v>
      </x:c>
      <x:c r="F2403" s="66" t="n">
        <x:v>163.22714805765946</x:v>
      </x:c>
      <x:c r="G2403" s="66" t="n">
        <x:v>656.9703535549756</x:v>
      </x:c>
      <x:c r="H2403" s="45" t="n">
        <x:v>1</x:v>
      </x:c>
      <x:c r="I2403" s="36" t="str">
        <x:v>generated design-reference observation; not predicted tract behavior</x:v>
      </x:c>
    </x:row>
    <x:row r="2404" ht="75.5999984741211" hidden="0" customHeight="1">
      <x:c r="A2404" s="34" t="str">
        <x:v>P2</x:v>
      </x:c>
      <x:c r="B2404" s="34" t="str">
        <x:v>48201250901</x:v>
      </x:c>
      <x:c r="C2404" s="65" t="n">
        <x:v>703.4854347137327</x:v>
      </x:c>
      <x:c r="D2404" s="65" t="n">
        <x:v>285.6714980616535</x:v>
      </x:c>
      <x:c r="E2404" s="65" t="n">
        <x:v>417.81393665207924</x:v>
      </x:c>
      <x:c r="F2404" s="65" t="n">
        <x:v>417.81393665207924</x:v>
      </x:c>
      <x:c r="G2404" s="65" t="n">
        <x:v>703.4854347137327</x:v>
      </x:c>
      <x:c r="H2404" s="43" t="n">
        <x:v>1</x:v>
      </x:c>
      <x:c r="I2404" s="34" t="str">
        <x:v>generated design-reference observation; not predicted tract behavior</x:v>
      </x:c>
    </x:row>
    <x:row r="2405" ht="75.5999984741211" hidden="0" customHeight="1">
      <x:c r="A2405" s="36" t="str">
        <x:v>P2</x:v>
      </x:c>
      <x:c r="B2405" s="36" t="str">
        <x:v>48201250902</x:v>
      </x:c>
      <x:c r="C2405" s="66" t="n">
        <x:v>451.3253043487758</x:v>
      </x:c>
      <x:c r="D2405" s="66" t="n">
        <x:v>390.3061232008213</x:v>
      </x:c>
      <x:c r="E2405" s="66" t="n">
        <x:v>61.0191811479545</x:v>
      </x:c>
      <x:c r="F2405" s="66" t="n">
        <x:v>61.0191811479545</x:v>
      </x:c>
      <x:c r="G2405" s="66" t="n">
        <x:v>451.3253043487758</x:v>
      </x:c>
      <x:c r="H2405" s="45" t="n">
        <x:v>1</x:v>
      </x:c>
      <x:c r="I2405" s="36" t="str">
        <x:v>generated design-reference observation; not predicted tract behavior</x:v>
      </x:c>
    </x:row>
    <x:row r="2406" ht="75.5999984741211" hidden="0" customHeight="1">
      <x:c r="A2406" s="34" t="str">
        <x:v>P2</x:v>
      </x:c>
      <x:c r="B2406" s="34" t="str">
        <x:v>48201251000</x:v>
      </x:c>
      <x:c r="C2406" s="65" t="n">
        <x:v>586.8247067177349</x:v>
      </x:c>
      <x:c r="D2406" s="65" t="n">
        <x:v>240.23372017818363</x:v>
      </x:c>
      <x:c r="E2406" s="65" t="n">
        <x:v>346.5909865395513</x:v>
      </x:c>
      <x:c r="F2406" s="65" t="n">
        <x:v>346.5909865395513</x:v>
      </x:c>
      <x:c r="G2406" s="65" t="n">
        <x:v>586.8247067177349</x:v>
      </x:c>
      <x:c r="H2406" s="43" t="n">
        <x:v>1</x:v>
      </x:c>
      <x:c r="I2406" s="34" t="str">
        <x:v>generated design-reference observation; not predicted tract behavior</x:v>
      </x:c>
    </x:row>
    <x:row r="2407" ht="75.5999984741211" hidden="0" customHeight="1">
      <x:c r="A2407" s="36" t="str">
        <x:v>P2</x:v>
      </x:c>
      <x:c r="B2407" s="36" t="str">
        <x:v>48201251100</x:v>
      </x:c>
      <x:c r="C2407" s="66" t="n">
        <x:v>594.439376285368</x:v>
      </x:c>
      <x:c r="D2407" s="66" t="n">
        <x:v>512.6828190932493</x:v>
      </x:c>
      <x:c r="E2407" s="66" t="n">
        <x:v>81.75655719211863</x:v>
      </x:c>
      <x:c r="F2407" s="66" t="n">
        <x:v>81.75655719211863</x:v>
      </x:c>
      <x:c r="G2407" s="66" t="n">
        <x:v>594.439376285368</x:v>
      </x:c>
      <x:c r="H2407" s="45" t="n">
        <x:v>1</x:v>
      </x:c>
      <x:c r="I2407" s="36" t="str">
        <x:v>generated design-reference observation; not predicted tract behavior</x:v>
      </x:c>
    </x:row>
    <x:row r="2408" ht="75.5999984741211" hidden="0" customHeight="1">
      <x:c r="A2408" s="34" t="str">
        <x:v>P2</x:v>
      </x:c>
      <x:c r="B2408" s="34" t="str">
        <x:v>48201251200</x:v>
      </x:c>
      <x:c r="C2408" s="65" t="n">
        <x:v>512.8182198758172</x:v>
      </x:c>
      <x:c r="D2408" s="65" t="n">
        <x:v>441.5645913667033</x:v>
      </x:c>
      <x:c r="E2408" s="65" t="n">
        <x:v>71.25362850911392</x:v>
      </x:c>
      <x:c r="F2408" s="65" t="n">
        <x:v>71.25362850911392</x:v>
      </x:c>
      <x:c r="G2408" s="65" t="n">
        <x:v>512.8182198758172</x:v>
      </x:c>
      <x:c r="H2408" s="43" t="n">
        <x:v>1</x:v>
      </x:c>
      <x:c r="I2408" s="34" t="str">
        <x:v>generated design-reference observation; not predicted tract behavior</x:v>
      </x:c>
    </x:row>
    <x:row r="2409" ht="75.5999984741211" hidden="0" customHeight="1">
      <x:c r="A2409" s="36" t="str">
        <x:v>P2</x:v>
      </x:c>
      <x:c r="B2409" s="36" t="str">
        <x:v>48201251300</x:v>
      </x:c>
      <x:c r="C2409" s="66" t="n">
        <x:v>1251.9931483502892</x:v>
      </x:c>
      <x:c r="D2409" s="66" t="n">
        <x:v>517.9423683861528</x:v>
      </x:c>
      <x:c r="E2409" s="66" t="n">
        <x:v>734.0507799641364</x:v>
      </x:c>
      <x:c r="F2409" s="66" t="n">
        <x:v>734.0507799641364</x:v>
      </x:c>
      <x:c r="G2409" s="66" t="n">
        <x:v>1251.9931483502892</x:v>
      </x:c>
      <x:c r="H2409" s="45" t="n">
        <x:v>1</x:v>
      </x:c>
      <x:c r="I2409" s="36" t="str">
        <x:v>generated design-reference observation; not predicted tract behavior</x:v>
      </x:c>
    </x:row>
    <x:row r="2410" ht="75.5999984741211" hidden="0" customHeight="1">
      <x:c r="A2410" s="34" t="str">
        <x:v>P2</x:v>
      </x:c>
      <x:c r="B2410" s="34" t="str">
        <x:v>48201251401</x:v>
      </x:c>
      <x:c r="C2410" s="65" t="n">
        <x:v>421.4560903758574</x:v>
      </x:c>
      <x:c r="D2410" s="65" t="n">
        <x:v>317.75195782646705</x:v>
      </x:c>
      <x:c r="E2410" s="65" t="n">
        <x:v>103.70413254939035</x:v>
      </x:c>
      <x:c r="F2410" s="65" t="n">
        <x:v>103.70413254939035</x:v>
      </x:c>
      <x:c r="G2410" s="65" t="n">
        <x:v>421.4560903758574</x:v>
      </x:c>
      <x:c r="H2410" s="43" t="n">
        <x:v>1</x:v>
      </x:c>
      <x:c r="I2410" s="34" t="str">
        <x:v>generated design-reference observation; not predicted tract behavior</x:v>
      </x:c>
    </x:row>
    <x:row r="2411" ht="75.5999984741211" hidden="0" customHeight="1">
      <x:c r="A2411" s="36" t="str">
        <x:v>P2</x:v>
      </x:c>
      <x:c r="B2411" s="36" t="str">
        <x:v>48201251402</x:v>
      </x:c>
      <x:c r="C2411" s="66" t="n">
        <x:v>545.5924348231284</x:v>
      </x:c>
      <x:c r="D2411" s="66" t="n">
        <x:v>470.18815627402626</x:v>
      </x:c>
      <x:c r="E2411" s="66" t="n">
        <x:v>75.40427854910217</x:v>
      </x:c>
      <x:c r="F2411" s="66" t="n">
        <x:v>75.40427854910217</x:v>
      </x:c>
      <x:c r="G2411" s="66" t="n">
        <x:v>545.5924348231284</x:v>
      </x:c>
      <x:c r="H2411" s="45" t="n">
        <x:v>1</x:v>
      </x:c>
      <x:c r="I2411" s="36" t="str">
        <x:v>generated design-reference observation; not predicted tract behavior</x:v>
      </x:c>
    </x:row>
    <x:row r="2412" ht="75.5999984741211" hidden="0" customHeight="1">
      <x:c r="A2412" s="34" t="str">
        <x:v>P2</x:v>
      </x:c>
      <x:c r="B2412" s="34" t="str">
        <x:v>48201251501</x:v>
      </x:c>
      <x:c r="C2412" s="65" t="n">
        <x:v>1180.5730494726695</x:v>
      </x:c>
      <x:c r="D2412" s="65" t="n">
        <x:v>488.7572424816851</x:v>
      </x:c>
      <x:c r="E2412" s="65" t="n">
        <x:v>691.8158069909844</x:v>
      </x:c>
      <x:c r="F2412" s="65" t="n">
        <x:v>0</x:v>
      </x:c>
      <x:c r="G2412" s="65" t="n">
        <x:v>488.7572424816851</x:v>
      </x:c>
      <x:c r="H2412" s="43" t="n">
        <x:v>0.414</x:v>
      </x:c>
      <x:c r="I2412" s="34" t="str">
        <x:v>generated design-reference observation; not predicted tract behavior</x:v>
      </x:c>
    </x:row>
    <x:row r="2413" ht="75.5999984741211" hidden="0" customHeight="1">
      <x:c r="A2413" s="36" t="str">
        <x:v>P2</x:v>
      </x:c>
      <x:c r="B2413" s="36" t="str">
        <x:v>48201251503</x:v>
      </x:c>
      <x:c r="C2413" s="66" t="n">
        <x:v>222.0708497209296</x:v>
      </x:c>
      <x:c r="D2413" s="66" t="n">
        <x:v>192.0468708386599</x:v>
      </x:c>
      <x:c r="E2413" s="66" t="n">
        <x:v>30.023978882269688</x:v>
      </x:c>
      <x:c r="F2413" s="66" t="n">
        <x:v>30.023978882269688</x:v>
      </x:c>
      <x:c r="G2413" s="66" t="n">
        <x:v>222.0708497209296</x:v>
      </x:c>
      <x:c r="H2413" s="45" t="n">
        <x:v>1</x:v>
      </x:c>
      <x:c r="I2413" s="36" t="str">
        <x:v>generated design-reference observation; not predicted tract behavior</x:v>
      </x:c>
    </x:row>
    <x:row r="2414" ht="75.5999984741211" hidden="0" customHeight="1">
      <x:c r="A2414" s="34" t="str">
        <x:v>P2</x:v>
      </x:c>
      <x:c r="B2414" s="34" t="str">
        <x:v>48201251504</x:v>
      </x:c>
      <x:c r="C2414" s="65" t="n">
        <x:v>447.67848522754025</x:v>
      </x:c>
      <x:c r="D2414" s="65" t="n">
        <x:v>387.0579777737957</x:v>
      </x:c>
      <x:c r="E2414" s="65" t="n">
        <x:v>60.62050745374455</x:v>
      </x:c>
      <x:c r="F2414" s="65" t="n">
        <x:v>60.62050745374455</x:v>
      </x:c>
      <x:c r="G2414" s="65" t="n">
        <x:v>447.67848522754025</x:v>
      </x:c>
      <x:c r="H2414" s="43" t="n">
        <x:v>1</x:v>
      </x:c>
      <x:c r="I2414" s="34" t="str">
        <x:v>generated design-reference observation; not predicted tract behavior</x:v>
      </x:c>
    </x:row>
    <x:row r="2415" ht="75.5999984741211" hidden="0" customHeight="1">
      <x:c r="A2415" s="36" t="str">
        <x:v>P2</x:v>
      </x:c>
      <x:c r="B2415" s="36" t="str">
        <x:v>48201251505</x:v>
      </x:c>
      <x:c r="C2415" s="66" t="n">
        <x:v>309.19367290820634</x:v>
      </x:c>
      <x:c r="D2415" s="66" t="n">
        <x:v>267.3906883310168</x:v>
      </x:c>
      <x:c r="E2415" s="66" t="n">
        <x:v>41.802984577189534</x:v>
      </x:c>
      <x:c r="F2415" s="66" t="n">
        <x:v>41.802984577189534</x:v>
      </x:c>
      <x:c r="G2415" s="66" t="n">
        <x:v>309.19367290820634</x:v>
      </x:c>
      <x:c r="H2415" s="45" t="n">
        <x:v>1</x:v>
      </x:c>
      <x:c r="I2415" s="36" t="str">
        <x:v>generated design-reference observation; not predicted tract behavior</x:v>
      </x:c>
    </x:row>
    <x:row r="2416" ht="75.5999984741211" hidden="0" customHeight="1">
      <x:c r="A2416" s="34" t="str">
        <x:v>P2</x:v>
      </x:c>
      <x:c r="B2416" s="34" t="str">
        <x:v>48201251600</x:v>
      </x:c>
      <x:c r="C2416" s="65" t="n">
        <x:v>605.1204693581246</x:v>
      </x:c>
      <x:c r="D2416" s="65" t="n">
        <x:v>523.3081819009062</x:v>
      </x:c>
      <x:c r="E2416" s="65" t="n">
        <x:v>81.81228745721842</x:v>
      </x:c>
      <x:c r="F2416" s="65" t="n">
        <x:v>81.81228745721842</x:v>
      </x:c>
      <x:c r="G2416" s="65" t="n">
        <x:v>605.1204693581246</x:v>
      </x:c>
      <x:c r="H2416" s="43" t="n">
        <x:v>1</x:v>
      </x:c>
      <x:c r="I2416" s="34" t="str">
        <x:v>generated design-reference observation; not predicted tract behavior</x:v>
      </x:c>
    </x:row>
    <x:row r="2417" ht="75.5999984741211" hidden="0" customHeight="1">
      <x:c r="A2417" s="36" t="str">
        <x:v>P2</x:v>
      </x:c>
      <x:c r="B2417" s="36" t="str">
        <x:v>48201251701</x:v>
      </x:c>
      <x:c r="C2417" s="66" t="n">
        <x:v>379.38708146802304</x:v>
      </x:c>
      <x:c r="D2417" s="66" t="n">
        <x:v>327.66072541087</x:v>
      </x:c>
      <x:c r="E2417" s="66" t="n">
        <x:v>51.726356057153055</x:v>
      </x:c>
      <x:c r="F2417" s="66" t="n">
        <x:v>51.726356057153055</x:v>
      </x:c>
      <x:c r="G2417" s="66" t="n">
        <x:v>379.38708146802304</x:v>
      </x:c>
      <x:c r="H2417" s="45" t="n">
        <x:v>1</x:v>
      </x:c>
      <x:c r="I2417" s="36" t="str">
        <x:v>generated design-reference observation; not predicted tract behavior</x:v>
      </x:c>
    </x:row>
    <x:row r="2418" ht="75.5999984741211" hidden="0" customHeight="1">
      <x:c r="A2418" s="34" t="str">
        <x:v>P2</x:v>
      </x:c>
      <x:c r="B2418" s="34" t="str">
        <x:v>48201251702</x:v>
      </x:c>
      <x:c r="C2418" s="65" t="n">
        <x:v>320.786470761272</x:v>
      </x:c>
      <x:c r="D2418" s="65" t="n">
        <x:v>277.0467442553409</x:v>
      </x:c>
      <x:c r="E2418" s="65" t="n">
        <x:v>43.73972650593112</x:v>
      </x:c>
      <x:c r="F2418" s="65" t="n">
        <x:v>43.73972650593112</x:v>
      </x:c>
      <x:c r="G2418" s="65" t="n">
        <x:v>320.786470761272</x:v>
      </x:c>
      <x:c r="H2418" s="43" t="n">
        <x:v>1</x:v>
      </x:c>
      <x:c r="I2418" s="34" t="str">
        <x:v>generated design-reference observation; not predicted tract behavior</x:v>
      </x:c>
    </x:row>
    <x:row r="2419" ht="75.5999984741211" hidden="0" customHeight="1">
      <x:c r="A2419" s="36" t="str">
        <x:v>P2</x:v>
      </x:c>
      <x:c r="B2419" s="36" t="str">
        <x:v>48201251800</x:v>
      </x:c>
      <x:c r="C2419" s="66" t="n">
        <x:v>259.0281451556129</x:v>
      </x:c>
      <x:c r="D2419" s="66" t="n">
        <x:v>195.4108327053944</x:v>
      </x:c>
      <x:c r="E2419" s="66" t="n">
        <x:v>63.61731245021849</x:v>
      </x:c>
      <x:c r="F2419" s="66" t="n">
        <x:v>63.61731245021849</x:v>
      </x:c>
      <x:c r="G2419" s="66" t="n">
        <x:v>259.0281451556129</x:v>
      </x:c>
      <x:c r="H2419" s="45" t="n">
        <x:v>1</x:v>
      </x:c>
      <x:c r="I2419" s="36" t="str">
        <x:v>generated design-reference observation; not predicted tract behavior</x:v>
      </x:c>
    </x:row>
    <x:row r="2420" ht="75.5999984741211" hidden="0" customHeight="1">
      <x:c r="A2420" s="34" t="str">
        <x:v>P2</x:v>
      </x:c>
      <x:c r="B2420" s="34" t="str">
        <x:v>48201251902</x:v>
      </x:c>
      <x:c r="C2420" s="65" t="n">
        <x:v>631.7721151342237</x:v>
      </x:c>
      <x:c r="D2420" s="65" t="n">
        <x:v>546.3060674173223</x:v>
      </x:c>
      <x:c r="E2420" s="65" t="n">
        <x:v>85.46604771690136</x:v>
      </x:c>
      <x:c r="F2420" s="65" t="n">
        <x:v>85.46604771690136</x:v>
      </x:c>
      <x:c r="G2420" s="65" t="n">
        <x:v>631.7721151342237</x:v>
      </x:c>
      <x:c r="H2420" s="43" t="n">
        <x:v>1</x:v>
      </x:c>
      <x:c r="I2420" s="34" t="str">
        <x:v>generated design-reference observation; not predicted tract behavior</x:v>
      </x:c>
    </x:row>
    <x:row r="2421" ht="75.5999984741211" hidden="0" customHeight="1">
      <x:c r="A2421" s="36" t="str">
        <x:v>P2</x:v>
      </x:c>
      <x:c r="B2421" s="36" t="str">
        <x:v>48201251903</x:v>
      </x:c>
      <x:c r="C2421" s="66" t="n">
        <x:v>353.6157023763605</x:v>
      </x:c>
      <x:c r="D2421" s="66" t="n">
        <x:v>305.80685941507653</x:v>
      </x:c>
      <x:c r="E2421" s="66" t="n">
        <x:v>47.80884296128397</x:v>
      </x:c>
      <x:c r="F2421" s="66" t="n">
        <x:v>47.80884296128397</x:v>
      </x:c>
      <x:c r="G2421" s="66" t="n">
        <x:v>353.6157023763605</x:v>
      </x:c>
      <x:c r="H2421" s="45" t="n">
        <x:v>1</x:v>
      </x:c>
      <x:c r="I2421" s="36" t="str">
        <x:v>generated design-reference observation; not predicted tract behavior</x:v>
      </x:c>
    </x:row>
    <x:row r="2422" ht="75.5999984741211" hidden="0" customHeight="1">
      <x:c r="A2422" s="34" t="str">
        <x:v>P2</x:v>
      </x:c>
      <x:c r="B2422" s="34" t="str">
        <x:v>48201251904</x:v>
      </x:c>
      <x:c r="C2422" s="65" t="n">
        <x:v>598.9271644711989</x:v>
      </x:c>
      <x:c r="D2422" s="65" t="n">
        <x:v>517.5082527959773</x:v>
      </x:c>
      <x:c r="E2422" s="65" t="n">
        <x:v>81.41891167522158</x:v>
      </x:c>
      <x:c r="F2422" s="65" t="n">
        <x:v>81.41891167522158</x:v>
      </x:c>
      <x:c r="G2422" s="65" t="n">
        <x:v>598.9271644711989</x:v>
      </x:c>
      <x:c r="H2422" s="43" t="n">
        <x:v>1</x:v>
      </x:c>
      <x:c r="I2422" s="34" t="str">
        <x:v>generated design-reference observation; not predicted tract behavior</x:v>
      </x:c>
    </x:row>
    <x:row r="2423" ht="75.5999984741211" hidden="0" customHeight="1">
      <x:c r="A2423" s="36" t="str">
        <x:v>P2</x:v>
      </x:c>
      <x:c r="B2423" s="36" t="str">
        <x:v>48201252001</x:v>
      </x:c>
      <x:c r="C2423" s="66" t="n">
        <x:v>615.6836695713587</x:v>
      </x:c>
      <x:c r="D2423" s="66" t="n">
        <x:v>527.8561118618824</x:v>
      </x:c>
      <x:c r="E2423" s="66" t="n">
        <x:v>87.82755770947631</x:v>
      </x:c>
      <x:c r="F2423" s="66" t="n">
        <x:v>87.82755770947631</x:v>
      </x:c>
      <x:c r="G2423" s="66" t="n">
        <x:v>615.6836695713587</x:v>
      </x:c>
      <x:c r="H2423" s="45" t="n">
        <x:v>1</x:v>
      </x:c>
      <x:c r="I2423" s="36" t="str">
        <x:v>generated design-reference observation; not predicted tract behavior</x:v>
      </x:c>
    </x:row>
    <x:row r="2424" ht="75.5999984741211" hidden="0" customHeight="1">
      <x:c r="A2424" s="34" t="str">
        <x:v>P2</x:v>
      </x:c>
      <x:c r="B2424" s="34" t="str">
        <x:v>48201252002</x:v>
      </x:c>
      <x:c r="C2424" s="65" t="n">
        <x:v>525.5978058480781</x:v>
      </x:c>
      <x:c r="D2424" s="65" t="n">
        <x:v>454.0125167483825</x:v>
      </x:c>
      <x:c r="E2424" s="65" t="n">
        <x:v>71.58528909969561</x:v>
      </x:c>
      <x:c r="F2424" s="65" t="n">
        <x:v>71.58528909969561</x:v>
      </x:c>
      <x:c r="G2424" s="65" t="n">
        <x:v>525.5978058480781</x:v>
      </x:c>
      <x:c r="H2424" s="43" t="n">
        <x:v>1</x:v>
      </x:c>
      <x:c r="I2424" s="34" t="str">
        <x:v>generated design-reference observation; not predicted tract behavior</x:v>
      </x:c>
    </x:row>
    <x:row r="2425" ht="75.5999984741211" hidden="0" customHeight="1">
      <x:c r="A2425" s="36" t="str">
        <x:v>P2</x:v>
      </x:c>
      <x:c r="B2425" s="36" t="str">
        <x:v>48201252003</x:v>
      </x:c>
      <x:c r="C2425" s="66" t="n">
        <x:v>864.4847603080691</x:v>
      </x:c>
      <x:c r="D2425" s="66" t="n">
        <x:v>747.6064207144182</x:v>
      </x:c>
      <x:c r="E2425" s="66" t="n">
        <x:v>116.87833959365094</x:v>
      </x:c>
      <x:c r="F2425" s="66" t="n">
        <x:v>116.87833959365094</x:v>
      </x:c>
      <x:c r="G2425" s="66" t="n">
        <x:v>864.4847603080691</x:v>
      </x:c>
      <x:c r="H2425" s="45" t="n">
        <x:v>1</x:v>
      </x:c>
      <x:c r="I2425" s="36" t="str">
        <x:v>generated design-reference observation; not predicted tract behavior</x:v>
      </x:c>
    </x:row>
    <x:row r="2426" ht="75.5999984741211" hidden="0" customHeight="1">
      <x:c r="A2426" s="34" t="str">
        <x:v>P2</x:v>
      </x:c>
      <x:c r="B2426" s="34" t="str">
        <x:v>48201252100</x:v>
      </x:c>
      <x:c r="C2426" s="65" t="n">
        <x:v>692.4482447473408</x:v>
      </x:c>
      <x:c r="D2426" s="65" t="n">
        <x:v>286.67357332539905</x:v>
      </x:c>
      <x:c r="E2426" s="65" t="n">
        <x:v>405.7746714219418</x:v>
      </x:c>
      <x:c r="F2426" s="65" t="n">
        <x:v>405.7746714219418</x:v>
      </x:c>
      <x:c r="G2426" s="65" t="n">
        <x:v>692.4482447473408</x:v>
      </x:c>
      <x:c r="H2426" s="43" t="n">
        <x:v>1</x:v>
      </x:c>
      <x:c r="I2426" s="34" t="str">
        <x:v>generated design-reference observation; not predicted tract behavior</x:v>
      </x:c>
    </x:row>
    <x:row r="2427" ht="75.5999984741211" hidden="0" customHeight="1">
      <x:c r="A2427" s="36" t="str">
        <x:v>P2</x:v>
      </x:c>
      <x:c r="B2427" s="36" t="str">
        <x:v>48201252201</x:v>
      </x:c>
      <x:c r="C2427" s="66" t="n">
        <x:v>718.0702928836082</x:v>
      </x:c>
      <x:c r="D2427" s="66" t="n">
        <x:v>532.7329058302721</x:v>
      </x:c>
      <x:c r="E2427" s="66" t="n">
        <x:v>185.3373870533361</x:v>
      </x:c>
      <x:c r="F2427" s="66" t="n">
        <x:v>185.3373870533361</x:v>
      </x:c>
      <x:c r="G2427" s="66" t="n">
        <x:v>718.0702928836082</x:v>
      </x:c>
      <x:c r="H2427" s="45" t="n">
        <x:v>1</x:v>
      </x:c>
      <x:c r="I2427" s="36" t="str">
        <x:v>generated design-reference observation; not predicted tract behavior</x:v>
      </x:c>
    </x:row>
    <x:row r="2428" ht="75.5999984741211" hidden="0" customHeight="1">
      <x:c r="A2428" s="34" t="str">
        <x:v>P2</x:v>
      </x:c>
      <x:c r="B2428" s="34" t="str">
        <x:v>48201252202</x:v>
      </x:c>
      <x:c r="C2428" s="65" t="n">
        <x:v>977.348733648669</x:v>
      </x:c>
      <x:c r="D2428" s="65" t="n">
        <x:v>737.311884664556</x:v>
      </x:c>
      <x:c r="E2428" s="65" t="n">
        <x:v>240.03684898411302</x:v>
      </x:c>
      <x:c r="F2428" s="65" t="n">
        <x:v>240.03684898411302</x:v>
      </x:c>
      <x:c r="G2428" s="65" t="n">
        <x:v>977.348733648669</x:v>
      </x:c>
      <x:c r="H2428" s="43" t="n">
        <x:v>1</x:v>
      </x:c>
      <x:c r="I2428" s="34" t="str">
        <x:v>generated design-reference observation; not predicted tract behavior</x:v>
      </x:c>
    </x:row>
    <x:row r="2429" ht="75.5999984741211" hidden="0" customHeight="1">
      <x:c r="A2429" s="36" t="str">
        <x:v>P2</x:v>
      </x:c>
      <x:c r="B2429" s="36" t="str">
        <x:v>48201252303</x:v>
      </x:c>
      <x:c r="C2429" s="66" t="n">
        <x:v>434.3958897213158</x:v>
      </x:c>
      <x:c r="D2429" s="66" t="n">
        <x:v>375.6655654309939</x:v>
      </x:c>
      <x:c r="E2429" s="66" t="n">
        <x:v>58.7303242903219</x:v>
      </x:c>
      <x:c r="F2429" s="66" t="n">
        <x:v>58.7303242903219</x:v>
      </x:c>
      <x:c r="G2429" s="66" t="n">
        <x:v>434.3958897213158</x:v>
      </x:c>
      <x:c r="H2429" s="45" t="n">
        <x:v>1</x:v>
      </x:c>
      <x:c r="I2429" s="36" t="str">
        <x:v>generated design-reference observation; not predicted tract behavior</x:v>
      </x:c>
    </x:row>
    <x:row r="2430" ht="75.5999984741211" hidden="0" customHeight="1">
      <x:c r="A2430" s="34" t="str">
        <x:v>P2</x:v>
      </x:c>
      <x:c r="B2430" s="34" t="str">
        <x:v>48201252304</x:v>
      </x:c>
      <x:c r="C2430" s="65" t="n">
        <x:v>722.5973786892798</x:v>
      </x:c>
      <x:c r="D2430" s="65" t="n">
        <x:v>297.66074350288994</x:v>
      </x:c>
      <x:c r="E2430" s="65" t="n">
        <x:v>424.9366351863899</x:v>
      </x:c>
      <x:c r="F2430" s="65" t="n">
        <x:v>424.9366351863899</x:v>
      </x:c>
      <x:c r="G2430" s="65" t="n">
        <x:v>722.5973786892798</x:v>
      </x:c>
      <x:c r="H2430" s="43" t="n">
        <x:v>1</x:v>
      </x:c>
      <x:c r="I2430" s="34" t="str">
        <x:v>generated design-reference observation; not predicted tract behavior</x:v>
      </x:c>
    </x:row>
    <x:row r="2431" ht="75.5999984741211" hidden="0" customHeight="1">
      <x:c r="A2431" s="36" t="str">
        <x:v>P2</x:v>
      </x:c>
      <x:c r="B2431" s="36" t="str">
        <x:v>48201252305</x:v>
      </x:c>
      <x:c r="C2431" s="66" t="n">
        <x:v>477.599692974402</x:v>
      </x:c>
      <x:c r="D2431" s="66" t="n">
        <x:v>413.02821448426283</x:v>
      </x:c>
      <x:c r="E2431" s="66" t="n">
        <x:v>64.57147849013916</x:v>
      </x:c>
      <x:c r="F2431" s="66" t="n">
        <x:v>64.57147849013916</x:v>
      </x:c>
      <x:c r="G2431" s="66" t="n">
        <x:v>477.599692974402</x:v>
      </x:c>
      <x:c r="H2431" s="45" t="n">
        <x:v>1</x:v>
      </x:c>
      <x:c r="I2431" s="36" t="str">
        <x:v>generated design-reference observation; not predicted tract behavior</x:v>
      </x:c>
    </x:row>
    <x:row r="2432" ht="75.5999984741211" hidden="0" customHeight="1">
      <x:c r="A2432" s="34" t="str">
        <x:v>P2</x:v>
      </x:c>
      <x:c r="B2432" s="34" t="str">
        <x:v>48201252306</x:v>
      </x:c>
      <x:c r="C2432" s="65" t="n">
        <x:v>853.0177148384942</x:v>
      </x:c>
      <x:c r="D2432" s="65" t="n">
        <x:v>737.2754284248493</x:v>
      </x:c>
      <x:c r="E2432" s="65" t="n">
        <x:v>115.74228641364482</x:v>
      </x:c>
      <x:c r="F2432" s="65" t="n">
        <x:v>115.74228641364482</x:v>
      </x:c>
      <x:c r="G2432" s="65" t="n">
        <x:v>853.0177148384942</x:v>
      </x:c>
      <x:c r="H2432" s="43" t="n">
        <x:v>1</x:v>
      </x:c>
      <x:c r="I2432" s="34" t="str">
        <x:v>generated design-reference observation; not predicted tract behavior</x:v>
      </x:c>
    </x:row>
    <x:row r="2433" ht="75.5999984741211" hidden="0" customHeight="1">
      <x:c r="A2433" s="36" t="str">
        <x:v>P2</x:v>
      </x:c>
      <x:c r="B2433" s="36" t="str">
        <x:v>48201252400</x:v>
      </x:c>
      <x:c r="C2433" s="66" t="n">
        <x:v>520.8742319432018</x:v>
      </x:c>
      <x:c r="D2433" s="66" t="n">
        <x:v>450.452035784481</x:v>
      </x:c>
      <x:c r="E2433" s="66" t="n">
        <x:v>70.42219615872085</x:v>
      </x:c>
      <x:c r="F2433" s="66" t="n">
        <x:v>70.42219615872085</x:v>
      </x:c>
      <x:c r="G2433" s="66" t="n">
        <x:v>520.8742319432018</x:v>
      </x:c>
      <x:c r="H2433" s="45" t="n">
        <x:v>1</x:v>
      </x:c>
      <x:c r="I2433" s="36" t="str">
        <x:v>generated design-reference observation; not predicted tract behavior</x:v>
      </x:c>
    </x:row>
    <x:row r="2434" ht="75.5999984741211" hidden="0" customHeight="1">
      <x:c r="A2434" s="34" t="str">
        <x:v>P2</x:v>
      </x:c>
      <x:c r="B2434" s="34" t="str">
        <x:v>48201252500</x:v>
      </x:c>
      <x:c r="C2434" s="65" t="n">
        <x:v>652.159115728916</x:v>
      </x:c>
      <x:c r="D2434" s="65" t="n">
        <x:v>491.46637088440133</x:v>
      </x:c>
      <x:c r="E2434" s="65" t="n">
        <x:v>160.69274484451472</x:v>
      </x:c>
      <x:c r="F2434" s="65" t="n">
        <x:v>160.69274484451472</x:v>
      </x:c>
      <x:c r="G2434" s="65" t="n">
        <x:v>652.159115728916</x:v>
      </x:c>
      <x:c r="H2434" s="43" t="n">
        <x:v>1</x:v>
      </x:c>
      <x:c r="I2434" s="34" t="str">
        <x:v>generated design-reference observation; not predicted tract behavior</x:v>
      </x:c>
    </x:row>
    <x:row r="2435" ht="75.5999984741211" hidden="0" customHeight="1">
      <x:c r="A2435" s="36" t="str">
        <x:v>P2</x:v>
      </x:c>
      <x:c r="B2435" s="36" t="str">
        <x:v>48201252601</x:v>
      </x:c>
      <x:c r="C2435" s="66" t="n">
        <x:v>294.8107440464367</x:v>
      </x:c>
      <x:c r="D2435" s="66" t="n">
        <x:v>254.95233145135842</x:v>
      </x:c>
      <x:c r="E2435" s="66" t="n">
        <x:v>39.85841259507828</x:v>
      </x:c>
      <x:c r="F2435" s="66" t="n">
        <x:v>39.85841259507828</x:v>
      </x:c>
      <x:c r="G2435" s="66" t="n">
        <x:v>294.8107440464367</x:v>
      </x:c>
      <x:c r="H2435" s="45" t="n">
        <x:v>1</x:v>
      </x:c>
      <x:c r="I2435" s="36" t="str">
        <x:v>generated design-reference observation; not predicted tract behavior</x:v>
      </x:c>
    </x:row>
    <x:row r="2436" ht="75.5999984741211" hidden="0" customHeight="1">
      <x:c r="A2436" s="34" t="str">
        <x:v>P2</x:v>
      </x:c>
      <x:c r="B2436" s="34" t="str">
        <x:v>48201252602</x:v>
      </x:c>
      <x:c r="C2436" s="65" t="n">
        <x:v>312.6518634542056</x:v>
      </x:c>
      <x:c r="D2436" s="65" t="n">
        <x:v>270.24828998190037</x:v>
      </x:c>
      <x:c r="E2436" s="65" t="n">
        <x:v>42.403573472305254</x:v>
      </x:c>
      <x:c r="F2436" s="65" t="n">
        <x:v>42.403573472305254</x:v>
      </x:c>
      <x:c r="G2436" s="65" t="n">
        <x:v>312.6518634542056</x:v>
      </x:c>
      <x:c r="H2436" s="43" t="n">
        <x:v>1</x:v>
      </x:c>
      <x:c r="I2436" s="34" t="str">
        <x:v>generated design-reference observation; not predicted tract behavior</x:v>
      </x:c>
    </x:row>
    <x:row r="2437" ht="75.5999984741211" hidden="0" customHeight="1">
      <x:c r="A2437" s="36" t="str">
        <x:v>P2</x:v>
      </x:c>
      <x:c r="B2437" s="36" t="str">
        <x:v>48201252700</x:v>
      </x:c>
      <x:c r="C2437" s="66" t="n">
        <x:v>450.6179471916397</x:v>
      </x:c>
      <x:c r="D2437" s="66" t="n">
        <x:v>389.4147993675766</x:v>
      </x:c>
      <x:c r="E2437" s="66" t="n">
        <x:v>61.20314782406308</x:v>
      </x:c>
      <x:c r="F2437" s="66" t="n">
        <x:v>61.20314782406308</x:v>
      </x:c>
      <x:c r="G2437" s="66" t="n">
        <x:v>450.6179471916397</x:v>
      </x:c>
      <x:c r="H2437" s="45" t="n">
        <x:v>1</x:v>
      </x:c>
      <x:c r="I2437" s="36" t="str">
        <x:v>generated design-reference observation; not predicted tract behavior</x:v>
      </x:c>
    </x:row>
    <x:row r="2438" ht="75.5999984741211" hidden="0" customHeight="1">
      <x:c r="A2438" s="34" t="str">
        <x:v>P2</x:v>
      </x:c>
      <x:c r="B2438" s="34" t="str">
        <x:v>48201252800</x:v>
      </x:c>
      <x:c r="C2438" s="65" t="n">
        <x:v>545.3055621982897</x:v>
      </x:c>
      <x:c r="D2438" s="65" t="n">
        <x:v>471.580250189081</x:v>
      </x:c>
      <x:c r="E2438" s="65" t="n">
        <x:v>73.72531200920872</x:v>
      </x:c>
      <x:c r="F2438" s="65" t="n">
        <x:v>73.72531200920872</x:v>
      </x:c>
      <x:c r="G2438" s="65" t="n">
        <x:v>545.3055621982897</x:v>
      </x:c>
      <x:c r="H2438" s="43" t="n">
        <x:v>1</x:v>
      </x:c>
      <x:c r="I2438" s="34" t="str">
        <x:v>generated design-reference observation; not predicted tract behavior</x:v>
      </x:c>
    </x:row>
    <x:row r="2439" ht="75.5999984741211" hidden="0" customHeight="1">
      <x:c r="A2439" s="36" t="str">
        <x:v>P2</x:v>
      </x:c>
      <x:c r="B2439" s="36" t="str">
        <x:v>48201252901</x:v>
      </x:c>
      <x:c r="C2439" s="66" t="n">
        <x:v>394.0716951344175</x:v>
      </x:c>
      <x:c r="D2439" s="66" t="n">
        <x:v>163.14568178564883</x:v>
      </x:c>
      <x:c r="E2439" s="66" t="n">
        <x:v>230.92601334876866</x:v>
      </x:c>
      <x:c r="F2439" s="66" t="n">
        <x:v>230.92601334876866</x:v>
      </x:c>
      <x:c r="G2439" s="66" t="n">
        <x:v>394.0716951344175</x:v>
      </x:c>
      <x:c r="H2439" s="45" t="n">
        <x:v>1</x:v>
      </x:c>
      <x:c r="I2439" s="36" t="str">
        <x:v>generated design-reference observation; not predicted tract behavior</x:v>
      </x:c>
    </x:row>
    <x:row r="2440" ht="75.5999984741211" hidden="0" customHeight="1">
      <x:c r="A2440" s="34" t="str">
        <x:v>P2</x:v>
      </x:c>
      <x:c r="B2440" s="34" t="str">
        <x:v>48201252902</x:v>
      </x:c>
      <x:c r="C2440" s="65" t="n">
        <x:v>516.3471461375302</x:v>
      </x:c>
      <x:c r="D2440" s="65" t="n">
        <x:v>446.5370119797361</x:v>
      </x:c>
      <x:c r="E2440" s="65" t="n">
        <x:v>69.8101341577941</x:v>
      </x:c>
      <x:c r="F2440" s="65" t="n">
        <x:v>69.8101341577941</x:v>
      </x:c>
      <x:c r="G2440" s="65" t="n">
        <x:v>516.3471461375302</x:v>
      </x:c>
      <x:c r="H2440" s="43" t="n">
        <x:v>1</x:v>
      </x:c>
      <x:c r="I2440" s="34" t="str">
        <x:v>generated design-reference observation; not predicted tract behavior</x:v>
      </x:c>
    </x:row>
    <x:row r="2441" ht="75.5999984741211" hidden="0" customHeight="1">
      <x:c r="A2441" s="36" t="str">
        <x:v>P2</x:v>
      </x:c>
      <x:c r="B2441" s="36" t="str">
        <x:v>48201253000</x:v>
      </x:c>
      <x:c r="C2441" s="66" t="n">
        <x:v>860.0713353105524</x:v>
      </x:c>
      <x:c r="D2441" s="66" t="n">
        <x:v>354.7688643178584</x:v>
      </x:c>
      <x:c r="E2441" s="66" t="n">
        <x:v>505.302470992694</x:v>
      </x:c>
      <x:c r="F2441" s="66" t="n">
        <x:v>505.302470992694</x:v>
      </x:c>
      <x:c r="G2441" s="66" t="n">
        <x:v>860.0713353105524</x:v>
      </x:c>
      <x:c r="H2441" s="45" t="n">
        <x:v>1</x:v>
      </x:c>
      <x:c r="I2441" s="36" t="str">
        <x:v>generated design-reference observation; not predicted tract behavior</x:v>
      </x:c>
    </x:row>
    <x:row r="2442" ht="75.5999984741211" hidden="0" customHeight="1">
      <x:c r="A2442" s="34" t="str">
        <x:v>P2</x:v>
      </x:c>
      <x:c r="B2442" s="34" t="str">
        <x:v>48201253101</x:v>
      </x:c>
      <x:c r="C2442" s="65" t="n">
        <x:v>508.3775888337954</x:v>
      </x:c>
      <x:c r="D2442" s="65" t="n">
        <x:v>438.31457115988695</x:v>
      </x:c>
      <x:c r="E2442" s="65" t="n">
        <x:v>70.06301767390846</x:v>
      </x:c>
      <x:c r="F2442" s="65" t="n">
        <x:v>70.06301767390846</x:v>
      </x:c>
      <x:c r="G2442" s="65" t="n">
        <x:v>508.3775888337954</x:v>
      </x:c>
      <x:c r="H2442" s="43" t="n">
        <x:v>1</x:v>
      </x:c>
      <x:c r="I2442" s="34" t="str">
        <x:v>generated design-reference observation; not predicted tract behavior</x:v>
      </x:c>
    </x:row>
    <x:row r="2443" ht="75.5999984741211" hidden="0" customHeight="1">
      <x:c r="A2443" s="36" t="str">
        <x:v>P2</x:v>
      </x:c>
      <x:c r="B2443" s="36" t="str">
        <x:v>48201253102</x:v>
      </x:c>
      <x:c r="C2443" s="66" t="n">
        <x:v>662.6246764713145</x:v>
      </x:c>
      <x:c r="D2443" s="66" t="n">
        <x:v>573.0378202123928</x:v>
      </x:c>
      <x:c r="E2443" s="66" t="n">
        <x:v>89.58685625892167</x:v>
      </x:c>
      <x:c r="F2443" s="66" t="n">
        <x:v>89.58685625892167</x:v>
      </x:c>
      <x:c r="G2443" s="66" t="n">
        <x:v>662.6246764713145</x:v>
      </x:c>
      <x:c r="H2443" s="45" t="n">
        <x:v>1</x:v>
      </x:c>
      <x:c r="I2443" s="36" t="str">
        <x:v>generated design-reference observation; not predicted tract behavior</x:v>
      </x:c>
    </x:row>
    <x:row r="2444" ht="75.5999984741211" hidden="0" customHeight="1">
      <x:c r="A2444" s="34" t="str">
        <x:v>P2</x:v>
      </x:c>
      <x:c r="B2444" s="34" t="str">
        <x:v>48201253201</x:v>
      </x:c>
      <x:c r="C2444" s="65" t="n">
        <x:v>513.0147079750217</x:v>
      </x:c>
      <x:c r="D2444" s="65" t="n">
        <x:v>443.65511945679873</x:v>
      </x:c>
      <x:c r="E2444" s="65" t="n">
        <x:v>69.35958851822295</x:v>
      </x:c>
      <x:c r="F2444" s="65" t="n">
        <x:v>69.35958851822295</x:v>
      </x:c>
      <x:c r="G2444" s="65" t="n">
        <x:v>513.0147079750217</x:v>
      </x:c>
      <x:c r="H2444" s="43" t="n">
        <x:v>1</x:v>
      </x:c>
      <x:c r="I2444" s="34" t="str">
        <x:v>generated design-reference observation; not predicted tract behavior</x:v>
      </x:c>
    </x:row>
    <x:row r="2445" ht="75.5999984741211" hidden="0" customHeight="1">
      <x:c r="A2445" s="36" t="str">
        <x:v>P2</x:v>
      </x:c>
      <x:c r="B2445" s="36" t="str">
        <x:v>48201253202</x:v>
      </x:c>
      <x:c r="C2445" s="66" t="n">
        <x:v>760.1477658941774</x:v>
      </x:c>
      <x:c r="D2445" s="66" t="n">
        <x:v>568.0738920050079</x:v>
      </x:c>
      <x:c r="E2445" s="66" t="n">
        <x:v>192.07387388916948</x:v>
      </x:c>
      <x:c r="F2445" s="66" t="n">
        <x:v>192.07387388916948</x:v>
      </x:c>
      <x:c r="G2445" s="66" t="n">
        <x:v>760.1477658941774</x:v>
      </x:c>
      <x:c r="H2445" s="45" t="n">
        <x:v>1</x:v>
      </x:c>
      <x:c r="I2445" s="36" t="str">
        <x:v>generated design-reference observation; not predicted tract behavior</x:v>
      </x:c>
    </x:row>
    <x:row r="2446" ht="75.5999984741211" hidden="0" customHeight="1">
      <x:c r="A2446" s="34" t="str">
        <x:v>P2</x:v>
      </x:c>
      <x:c r="B2446" s="34" t="str">
        <x:v>48201253300</x:v>
      </x:c>
      <x:c r="C2446" s="65" t="n">
        <x:v>639.8184539413395</x:v>
      </x:c>
      <x:c r="D2446" s="65" t="n">
        <x:v>264.7971297198166</x:v>
      </x:c>
      <x:c r="E2446" s="65" t="n">
        <x:v>375.0213242215229</x:v>
      </x:c>
      <x:c r="F2446" s="65" t="n">
        <x:v>375.0213242215229</x:v>
      </x:c>
      <x:c r="G2446" s="65" t="n">
        <x:v>639.8184539413395</x:v>
      </x:c>
      <x:c r="H2446" s="43" t="n">
        <x:v>1</x:v>
      </x:c>
      <x:c r="I2446" s="34" t="str">
        <x:v>generated design-reference observation; not predicted tract behavior</x:v>
      </x:c>
    </x:row>
    <x:row r="2447" ht="75.5999984741211" hidden="0" customHeight="1">
      <x:c r="A2447" s="36" t="str">
        <x:v>P2</x:v>
      </x:c>
      <x:c r="B2447" s="36" t="str">
        <x:v>48201253501</x:v>
      </x:c>
      <x:c r="C2447" s="66" t="n">
        <x:v>704.7163570829034</x:v>
      </x:c>
      <x:c r="D2447" s="66" t="n">
        <x:v>602.4508903605712</x:v>
      </x:c>
      <x:c r="E2447" s="66" t="n">
        <x:v>102.26546672233223</x:v>
      </x:c>
      <x:c r="F2447" s="66" t="n">
        <x:v>102.26546672233223</x:v>
      </x:c>
      <x:c r="G2447" s="66" t="n">
        <x:v>704.7163570829034</x:v>
      </x:c>
      <x:c r="H2447" s="45" t="n">
        <x:v>1</x:v>
      </x:c>
      <x:c r="I2447" s="36" t="str">
        <x:v>generated design-reference observation; not predicted tract behavior</x:v>
      </x:c>
    </x:row>
    <x:row r="2448" ht="75.5999984741211" hidden="0" customHeight="1">
      <x:c r="A2448" s="34" t="str">
        <x:v>P2</x:v>
      </x:c>
      <x:c r="B2448" s="34" t="str">
        <x:v>48201253502</x:v>
      </x:c>
      <x:c r="C2448" s="65" t="n">
        <x:v>297.1135845691134</x:v>
      </x:c>
      <x:c r="D2448" s="65" t="n">
        <x:v>255.09531118763286</x:v>
      </x:c>
      <x:c r="E2448" s="65" t="n">
        <x:v>42.018273381480554</x:v>
      </x:c>
      <x:c r="F2448" s="65" t="n">
        <x:v>42.018273381480554</x:v>
      </x:c>
      <x:c r="G2448" s="65" t="n">
        <x:v>297.1135845691134</x:v>
      </x:c>
      <x:c r="H2448" s="43" t="n">
        <x:v>1</x:v>
      </x:c>
      <x:c r="I2448" s="34" t="str">
        <x:v>generated design-reference observation; not predicted tract behavior</x:v>
      </x:c>
    </x:row>
    <x:row r="2449" ht="75.5999984741211" hidden="0" customHeight="1">
      <x:c r="A2449" s="36" t="str">
        <x:v>P2</x:v>
      </x:c>
      <x:c r="B2449" s="36" t="str">
        <x:v>48201253601</x:v>
      </x:c>
      <x:c r="C2449" s="66" t="n">
        <x:v>343.1153783548718</x:v>
      </x:c>
      <x:c r="D2449" s="66" t="n">
        <x:v>293.0028909373688</x:v>
      </x:c>
      <x:c r="E2449" s="66" t="n">
        <x:v>50.11248741750296</x:v>
      </x:c>
      <x:c r="F2449" s="66" t="n">
        <x:v>50.11248741750296</x:v>
      </x:c>
      <x:c r="G2449" s="66" t="n">
        <x:v>343.1153783548718</x:v>
      </x:c>
      <x:c r="H2449" s="45" t="n">
        <x:v>1</x:v>
      </x:c>
      <x:c r="I2449" s="36" t="str">
        <x:v>generated design-reference observation; not predicted tract behavior</x:v>
      </x:c>
    </x:row>
    <x:row r="2450" ht="75.5999984741211" hidden="0" customHeight="1">
      <x:c r="A2450" s="34" t="str">
        <x:v>P2</x:v>
      </x:c>
      <x:c r="B2450" s="34" t="str">
        <x:v>48201253602</x:v>
      </x:c>
      <x:c r="C2450" s="65" t="n">
        <x:v>607.9471773822188</x:v>
      </x:c>
      <x:c r="D2450" s="65" t="n">
        <x:v>454.84567625750583</x:v>
      </x:c>
      <x:c r="E2450" s="65" t="n">
        <x:v>153.10150112471297</x:v>
      </x:c>
      <x:c r="F2450" s="65" t="n">
        <x:v>153.10150112471297</x:v>
      </x:c>
      <x:c r="G2450" s="65" t="n">
        <x:v>607.9471773822188</x:v>
      </x:c>
      <x:c r="H2450" s="43" t="n">
        <x:v>1</x:v>
      </x:c>
      <x:c r="I2450" s="34" t="str">
        <x:v>generated design-reference observation; not predicted tract behavior</x:v>
      </x:c>
    </x:row>
    <x:row r="2451" ht="75.5999984741211" hidden="0" customHeight="1">
      <x:c r="A2451" s="36" t="str">
        <x:v>P2</x:v>
      </x:c>
      <x:c r="B2451" s="36" t="str">
        <x:v>48201253700</x:v>
      </x:c>
      <x:c r="C2451" s="66" t="n">
        <x:v>473.4420047952347</x:v>
      </x:c>
      <x:c r="D2451" s="66" t="n">
        <x:v>405.90588217177526</x:v>
      </x:c>
      <x:c r="E2451" s="66" t="n">
        <x:v>67.53612262345945</x:v>
      </x:c>
      <x:c r="F2451" s="66" t="n">
        <x:v>67.53612262345943</x:v>
      </x:c>
      <x:c r="G2451" s="66" t="n">
        <x:v>473.4420047952347</x:v>
      </x:c>
      <x:c r="H2451" s="45" t="n">
        <x:v>1</x:v>
      </x:c>
      <x:c r="I2451" s="36" t="str">
        <x:v>generated design-reference observation; not predicted tract behavior</x:v>
      </x:c>
    </x:row>
    <x:row r="2452" ht="75.5999984741211" hidden="0" customHeight="1">
      <x:c r="A2452" s="34" t="str">
        <x:v>P2</x:v>
      </x:c>
      <x:c r="B2452" s="34" t="str">
        <x:v>48201253800</x:v>
      </x:c>
      <x:c r="C2452" s="65" t="n">
        <x:v>634.5936842388002</x:v>
      </x:c>
      <x:c r="D2452" s="65" t="n">
        <x:v>547.2988915101555</x:v>
      </x:c>
      <x:c r="E2452" s="65" t="n">
        <x:v>87.29479272864467</x:v>
      </x:c>
      <x:c r="F2452" s="65" t="n">
        <x:v>87.29479272864467</x:v>
      </x:c>
      <x:c r="G2452" s="65" t="n">
        <x:v>634.5936842388002</x:v>
      </x:c>
      <x:c r="H2452" s="43" t="n">
        <x:v>1</x:v>
      </x:c>
      <x:c r="I2452" s="34" t="str">
        <x:v>generated design-reference observation; not predicted tract behavior</x:v>
      </x:c>
    </x:row>
    <x:row r="2453" ht="75.5999984741211" hidden="0" customHeight="1">
      <x:c r="A2453" s="36" t="str">
        <x:v>P2</x:v>
      </x:c>
      <x:c r="B2453" s="36" t="str">
        <x:v>48201253900</x:v>
      </x:c>
      <x:c r="C2453" s="66" t="n">
        <x:v>324.22108273536685</x:v>
      </x:c>
      <x:c r="D2453" s="66" t="n">
        <x:v>279.1993331322026</x:v>
      </x:c>
      <x:c r="E2453" s="66" t="n">
        <x:v>45.02174960316427</x:v>
      </x:c>
      <x:c r="F2453" s="66" t="n">
        <x:v>45.02174960316427</x:v>
      </x:c>
      <x:c r="G2453" s="66" t="n">
        <x:v>324.22108273536685</x:v>
      </x:c>
      <x:c r="H2453" s="45" t="n">
        <x:v>1</x:v>
      </x:c>
      <x:c r="I2453" s="36" t="str">
        <x:v>generated design-reference observation; not predicted tract behavior</x:v>
      </x:c>
    </x:row>
    <x:row r="2454" ht="75.5999984741211" hidden="0" customHeight="1">
      <x:c r="A2454" s="34" t="str">
        <x:v>P2</x:v>
      </x:c>
      <x:c r="B2454" s="34" t="str">
        <x:v>48201254000</x:v>
      </x:c>
      <x:c r="C2454" s="65" t="n">
        <x:v>297.5537179113316</x:v>
      </x:c>
      <x:c r="D2454" s="65" t="n">
        <x:v>254.17888046283997</x:v>
      </x:c>
      <x:c r="E2454" s="65" t="n">
        <x:v>43.37483744849163</x:v>
      </x:c>
      <x:c r="F2454" s="65" t="n">
        <x:v>43.37483744849163</x:v>
      </x:c>
      <x:c r="G2454" s="65" t="n">
        <x:v>297.5537179113316</x:v>
      </x:c>
      <x:c r="H2454" s="43" t="n">
        <x:v>1</x:v>
      </x:c>
      <x:c r="I2454" s="34" t="str">
        <x:v>generated design-reference observation; not predicted tract behavior</x:v>
      </x:c>
    </x:row>
    <x:row r="2455" ht="75.5999984741211" hidden="0" customHeight="1">
      <x:c r="A2455" s="36" t="str">
        <x:v>P2</x:v>
      </x:c>
      <x:c r="B2455" s="36" t="str">
        <x:v>48201254100</x:v>
      </x:c>
      <x:c r="C2455" s="66" t="n">
        <x:v>496.52542668977975</x:v>
      </x:c>
      <x:c r="D2455" s="66" t="n">
        <x:v>428.70121697869314</x:v>
      </x:c>
      <x:c r="E2455" s="66" t="n">
        <x:v>67.82420971108661</x:v>
      </x:c>
      <x:c r="F2455" s="66" t="n">
        <x:v>67.82420971108661</x:v>
      </x:c>
      <x:c r="G2455" s="66" t="n">
        <x:v>496.52542668977975</x:v>
      </x:c>
      <x:c r="H2455" s="45" t="n">
        <x:v>1</x:v>
      </x:c>
      <x:c r="I2455" s="36" t="str">
        <x:v>generated design-reference observation; not predicted tract behavior</x:v>
      </x:c>
    </x:row>
    <x:row r="2456" ht="75.5999984741211" hidden="0" customHeight="1">
      <x:c r="A2456" s="34" t="str">
        <x:v>P2</x:v>
      </x:c>
      <x:c r="B2456" s="34" t="str">
        <x:v>48201254200</x:v>
      </x:c>
      <x:c r="C2456" s="65" t="n">
        <x:v>210.25012567278668</x:v>
      </x:c>
      <x:c r="D2456" s="65" t="n">
        <x:v>181.60420557131636</x:v>
      </x:c>
      <x:c r="E2456" s="65" t="n">
        <x:v>28.645920101470324</x:v>
      </x:c>
      <x:c r="F2456" s="65" t="n">
        <x:v>28.645920101470324</x:v>
      </x:c>
      <x:c r="G2456" s="65" t="n">
        <x:v>210.25012567278668</x:v>
      </x:c>
      <x:c r="H2456" s="43" t="n">
        <x:v>1</x:v>
      </x:c>
      <x:c r="I2456" s="34" t="str">
        <x:v>generated design-reference observation; not predicted tract behavior</x:v>
      </x:c>
    </x:row>
    <x:row r="2457" ht="75.5999984741211" hidden="0" customHeight="1">
      <x:c r="A2457" s="36" t="str">
        <x:v>P2</x:v>
      </x:c>
      <x:c r="B2457" s="36" t="str">
        <x:v>48201254300</x:v>
      </x:c>
      <x:c r="C2457" s="66" t="n">
        <x:v>426.67783718456303</x:v>
      </x:c>
      <x:c r="D2457" s="66" t="n">
        <x:v>367.8367140787778</x:v>
      </x:c>
      <x:c r="E2457" s="66" t="n">
        <x:v>58.84112310578524</x:v>
      </x:c>
      <x:c r="F2457" s="66" t="n">
        <x:v>58.84112310578524</x:v>
      </x:c>
      <x:c r="G2457" s="66" t="n">
        <x:v>426.67783718456303</x:v>
      </x:c>
      <x:c r="H2457" s="45" t="n">
        <x:v>1</x:v>
      </x:c>
      <x:c r="I2457" s="36" t="str">
        <x:v>generated design-reference observation; not predicted tract behavior</x:v>
      </x:c>
    </x:row>
    <x:row r="2458" ht="75.5999984741211" hidden="0" customHeight="1">
      <x:c r="A2458" s="34" t="str">
        <x:v>P2</x:v>
      </x:c>
      <x:c r="B2458" s="34" t="str">
        <x:v>48201254400</x:v>
      </x:c>
      <x:c r="C2458" s="65" t="n">
        <x:v>210.71383758690936</x:v>
      </x:c>
      <x:c r="D2458" s="65" t="n">
        <x:v>182.05981066117792</x:v>
      </x:c>
      <x:c r="E2458" s="65" t="n">
        <x:v>28.654026925731443</x:v>
      </x:c>
      <x:c r="F2458" s="65" t="n">
        <x:v>28.654026925731443</x:v>
      </x:c>
      <x:c r="G2458" s="65" t="n">
        <x:v>210.71383758690936</x:v>
      </x:c>
      <x:c r="H2458" s="43" t="n">
        <x:v>1</x:v>
      </x:c>
      <x:c r="I2458" s="34" t="str">
        <x:v>generated design-reference observation; not predicted tract behavior</x:v>
      </x:c>
    </x:row>
    <x:row r="2459" ht="75.5999984741211" hidden="0" customHeight="1">
      <x:c r="A2459" s="36" t="str">
        <x:v>P2</x:v>
      </x:c>
      <x:c r="B2459" s="36" t="str">
        <x:v>48201254600</x:v>
      </x:c>
      <x:c r="C2459" s="66" t="n">
        <x:v>591.9454888723875</x:v>
      </x:c>
      <x:c r="D2459" s="66" t="n">
        <x:v>244.7072991934289</x:v>
      </x:c>
      <x:c r="E2459" s="66" t="n">
        <x:v>347.23818967895863</x:v>
      </x:c>
      <x:c r="F2459" s="66" t="n">
        <x:v>347.23818967895863</x:v>
      </x:c>
      <x:c r="G2459" s="66" t="n">
        <x:v>591.9454888723875</x:v>
      </x:c>
      <x:c r="H2459" s="45" t="n">
        <x:v>1</x:v>
      </x:c>
      <x:c r="I2459" s="36" t="str">
        <x:v>generated design-reference observation; not predicted tract behavior</x:v>
      </x:c>
    </x:row>
    <x:row r="2460" ht="75.5999984741211" hidden="0" customHeight="1">
      <x:c r="A2460" s="34" t="str">
        <x:v>P2</x:v>
      </x:c>
      <x:c r="B2460" s="34" t="str">
        <x:v>48201254700</x:v>
      </x:c>
      <x:c r="C2460" s="65" t="n">
        <x:v>217.98782701946004</x:v>
      </x:c>
      <x:c r="D2460" s="65" t="n">
        <x:v>187.72178741128823</x:v>
      </x:c>
      <x:c r="E2460" s="65" t="n">
        <x:v>30.26603960817181</x:v>
      </x:c>
      <x:c r="F2460" s="65" t="n">
        <x:v>30.26603960817181</x:v>
      </x:c>
      <x:c r="G2460" s="65" t="n">
        <x:v>217.98782701946004</x:v>
      </x:c>
      <x:c r="H2460" s="43" t="n">
        <x:v>1</x:v>
      </x:c>
      <x:c r="I2460" s="34" t="str">
        <x:v>generated design-reference observation; not predicted tract behavior</x:v>
      </x:c>
    </x:row>
    <x:row r="2461" ht="75.5999984741211" hidden="0" customHeight="1">
      <x:c r="A2461" s="36" t="str">
        <x:v>P2</x:v>
      </x:c>
      <x:c r="B2461" s="36" t="str">
        <x:v>48201254800</x:v>
      </x:c>
      <x:c r="C2461" s="66" t="n">
        <x:v>193.29320271143806</x:v>
      </x:c>
      <x:c r="D2461" s="66" t="n">
        <x:v>166.61635207329113</x:v>
      </x:c>
      <x:c r="E2461" s="66" t="n">
        <x:v>26.67685063814693</x:v>
      </x:c>
      <x:c r="F2461" s="66" t="n">
        <x:v>26.67685063814693</x:v>
      </x:c>
      <x:c r="G2461" s="66" t="n">
        <x:v>193.29320271143806</x:v>
      </x:c>
      <x:c r="H2461" s="45" t="n">
        <x:v>1</x:v>
      </x:c>
      <x:c r="I2461" s="36" t="str">
        <x:v>generated design-reference observation; not predicted tract behavior</x:v>
      </x:c>
    </x:row>
    <x:row r="2462" ht="75.5999984741211" hidden="0" customHeight="1">
      <x:c r="A2462" s="34" t="str">
        <x:v>P2</x:v>
      </x:c>
      <x:c r="B2462" s="34" t="str">
        <x:v>48201310101</x:v>
      </x:c>
      <x:c r="C2462" s="65" t="n">
        <x:v>224.1457640485292</x:v>
      </x:c>
      <x:c r="D2462" s="65" t="n">
        <x:v>190.6696016345845</x:v>
      </x:c>
      <x:c r="E2462" s="65" t="n">
        <x:v>33.47616241394471</x:v>
      </x:c>
      <x:c r="F2462" s="65" t="n">
        <x:v>33.47616241394471</x:v>
      </x:c>
      <x:c r="G2462" s="65" t="n">
        <x:v>224.1457640485292</x:v>
      </x:c>
      <x:c r="H2462" s="43" t="n">
        <x:v>1</x:v>
      </x:c>
      <x:c r="I2462" s="34" t="str">
        <x:v>generated design-reference observation; not predicted tract behavior</x:v>
      </x:c>
    </x:row>
    <x:row r="2463" ht="75.5999984741211" hidden="0" customHeight="1">
      <x:c r="A2463" s="36" t="str">
        <x:v>P2</x:v>
      </x:c>
      <x:c r="B2463" s="36" t="str">
        <x:v>48201310102</x:v>
      </x:c>
      <x:c r="C2463" s="66" t="n">
        <x:v>194.31887058928558</x:v>
      </x:c>
      <x:c r="D2463" s="66" t="n">
        <x:v>163.7568438866664</x:v>
      </x:c>
      <x:c r="E2463" s="66" t="n">
        <x:v>30.562026702619193</x:v>
      </x:c>
      <x:c r="F2463" s="66" t="n">
        <x:v>30.562026702619193</x:v>
      </x:c>
      <x:c r="G2463" s="66" t="n">
        <x:v>194.31887058928558</x:v>
      </x:c>
      <x:c r="H2463" s="45" t="n">
        <x:v>1</x:v>
      </x:c>
      <x:c r="I2463" s="36" t="str">
        <x:v>generated design-reference observation; not predicted tract behavior</x:v>
      </x:c>
    </x:row>
    <x:row r="2464" ht="75.5999984741211" hidden="0" customHeight="1">
      <x:c r="A2464" s="34" t="str">
        <x:v>P2</x:v>
      </x:c>
      <x:c r="B2464" s="34" t="str">
        <x:v>48201310200</x:v>
      </x:c>
      <x:c r="C2464" s="65" t="n">
        <x:v>172.03712013949487</x:v>
      </x:c>
      <x:c r="D2464" s="65" t="n">
        <x:v>146.9947074315478</x:v>
      </x:c>
      <x:c r="E2464" s="65" t="n">
        <x:v>25.04241270794708</x:v>
      </x:c>
      <x:c r="F2464" s="65" t="n">
        <x:v>25.04241270794708</x:v>
      </x:c>
      <x:c r="G2464" s="65" t="n">
        <x:v>172.03712013949487</x:v>
      </x:c>
      <x:c r="H2464" s="43" t="n">
        <x:v>1</x:v>
      </x:c>
      <x:c r="I2464" s="34" t="str">
        <x:v>generated design-reference observation; not predicted tract behavior</x:v>
      </x:c>
    </x:row>
    <x:row r="2465" ht="75.5999984741211" hidden="0" customHeight="1">
      <x:c r="A2465" s="36" t="str">
        <x:v>P2</x:v>
      </x:c>
      <x:c r="B2465" s="36" t="str">
        <x:v>48201310300</x:v>
      </x:c>
      <x:c r="C2465" s="66" t="n">
        <x:v>337.5665544333366</x:v>
      </x:c>
      <x:c r="D2465" s="66" t="n">
        <x:v>288.87819034475916</x:v>
      </x:c>
      <x:c r="E2465" s="66" t="n">
        <x:v>48.68836408857743</x:v>
      </x:c>
      <x:c r="F2465" s="66" t="n">
        <x:v>48.68836408857743</x:v>
      </x:c>
      <x:c r="G2465" s="66" t="n">
        <x:v>337.5665544333366</x:v>
      </x:c>
      <x:c r="H2465" s="45" t="n">
        <x:v>1</x:v>
      </x:c>
      <x:c r="I2465" s="36" t="str">
        <x:v>generated design-reference observation; not predicted tract behavior</x:v>
      </x:c>
    </x:row>
    <x:row r="2466" ht="75.5999984741211" hidden="0" customHeight="1">
      <x:c r="A2466" s="34" t="str">
        <x:v>P2</x:v>
      </x:c>
      <x:c r="B2466" s="34" t="str">
        <x:v>48201310400</x:v>
      </x:c>
      <x:c r="C2466" s="65" t="n">
        <x:v>246.44323354625618</x:v>
      </x:c>
      <x:c r="D2466" s="65" t="n">
        <x:v>212.83474269827997</x:v>
      </x:c>
      <x:c r="E2466" s="65" t="n">
        <x:v>33.60849084797621</x:v>
      </x:c>
      <x:c r="F2466" s="65" t="n">
        <x:v>33.60849084797621</x:v>
      </x:c>
      <x:c r="G2466" s="65" t="n">
        <x:v>246.44323354625618</x:v>
      </x:c>
      <x:c r="H2466" s="43" t="n">
        <x:v>1</x:v>
      </x:c>
      <x:c r="I2466" s="34" t="str">
        <x:v>generated design-reference observation; not predicted tract behavior</x:v>
      </x:c>
    </x:row>
    <x:row r="2467" ht="75.5999984741211" hidden="0" customHeight="1">
      <x:c r="A2467" s="36" t="str">
        <x:v>P2</x:v>
      </x:c>
      <x:c r="B2467" s="36" t="str">
        <x:v>48201310500</x:v>
      </x:c>
      <x:c r="C2467" s="66" t="n">
        <x:v>281.1980485335487</x:v>
      </x:c>
      <x:c r="D2467" s="66" t="n">
        <x:v>242.482579140979</x:v>
      </x:c>
      <x:c r="E2467" s="66" t="n">
        <x:v>38.71546939256967</x:v>
      </x:c>
      <x:c r="F2467" s="66" t="n">
        <x:v>38.71546939256967</x:v>
      </x:c>
      <x:c r="G2467" s="66" t="n">
        <x:v>281.1980485335487</x:v>
      </x:c>
      <x:c r="H2467" s="45" t="n">
        <x:v>1</x:v>
      </x:c>
      <x:c r="I2467" s="36" t="str">
        <x:v>generated design-reference observation; not predicted tract behavior</x:v>
      </x:c>
    </x:row>
    <x:row r="2468" ht="75.5999984741211" hidden="0" customHeight="1">
      <x:c r="A2468" s="34" t="str">
        <x:v>P2</x:v>
      </x:c>
      <x:c r="B2468" s="34" t="str">
        <x:v>48201310600</x:v>
      </x:c>
      <x:c r="C2468" s="65" t="n">
        <x:v>379.646445758973</x:v>
      </x:c>
      <x:c r="D2468" s="65" t="n">
        <x:v>328.31824629235985</x:v>
      </x:c>
      <x:c r="E2468" s="65" t="n">
        <x:v>51.32819946661317</x:v>
      </x:c>
      <x:c r="F2468" s="65" t="n">
        <x:v>51.32819946661317</x:v>
      </x:c>
      <x:c r="G2468" s="65" t="n">
        <x:v>379.646445758973</x:v>
      </x:c>
      <x:c r="H2468" s="43" t="n">
        <x:v>1</x:v>
      </x:c>
      <x:c r="I2468" s="34" t="str">
        <x:v>generated design-reference observation; not predicted tract behavior</x:v>
      </x:c>
    </x:row>
    <x:row r="2469" ht="75.5999984741211" hidden="0" customHeight="1">
      <x:c r="A2469" s="36" t="str">
        <x:v>P2</x:v>
      </x:c>
      <x:c r="B2469" s="36" t="str">
        <x:v>48201310700</x:v>
      </x:c>
      <x:c r="C2469" s="66" t="n">
        <x:v>272.3246459734733</x:v>
      </x:c>
      <x:c r="D2469" s="66" t="n">
        <x:v>234.16950894695657</x:v>
      </x:c>
      <x:c r="E2469" s="66" t="n">
        <x:v>38.15513702651674</x:v>
      </x:c>
      <x:c r="F2469" s="66" t="n">
        <x:v>38.15513702651674</x:v>
      </x:c>
      <x:c r="G2469" s="66" t="n">
        <x:v>272.3246459734733</x:v>
      </x:c>
      <x:c r="H2469" s="45" t="n">
        <x:v>1</x:v>
      </x:c>
      <x:c r="I2469" s="36" t="str">
        <x:v>generated design-reference observation; not predicted tract behavior</x:v>
      </x:c>
    </x:row>
    <x:row r="2470" ht="75.5999984741211" hidden="0" customHeight="1">
      <x:c r="A2470" s="34" t="str">
        <x:v>P2</x:v>
      </x:c>
      <x:c r="B2470" s="34" t="str">
        <x:v>48201310800</x:v>
      </x:c>
      <x:c r="C2470" s="65" t="n">
        <x:v>255.66638492291557</x:v>
      </x:c>
      <x:c r="D2470" s="65" t="n">
        <x:v>218.45116178653794</x:v>
      </x:c>
      <x:c r="E2470" s="65" t="n">
        <x:v>37.21522313637763</x:v>
      </x:c>
      <x:c r="F2470" s="65" t="n">
        <x:v>37.21522313637763</x:v>
      </x:c>
      <x:c r="G2470" s="65" t="n">
        <x:v>255.66638492291557</x:v>
      </x:c>
      <x:c r="H2470" s="43" t="n">
        <x:v>1</x:v>
      </x:c>
      <x:c r="I2470" s="34" t="str">
        <x:v>generated design-reference observation; not predicted tract behavior</x:v>
      </x:c>
    </x:row>
    <x:row r="2471" ht="75.5999984741211" hidden="0" customHeight="1">
      <x:c r="A2471" s="36" t="str">
        <x:v>P2</x:v>
      </x:c>
      <x:c r="B2471" s="36" t="str">
        <x:v>48201310900</x:v>
      </x:c>
      <x:c r="C2471" s="66" t="n">
        <x:v>349.1672118103705</x:v>
      </x:c>
      <x:c r="D2471" s="66" t="n">
        <x:v>299.130203906404</x:v>
      </x:c>
      <x:c r="E2471" s="66" t="n">
        <x:v>50.03700790396647</x:v>
      </x:c>
      <x:c r="F2471" s="66" t="n">
        <x:v>50.03700790396647</x:v>
      </x:c>
      <x:c r="G2471" s="66" t="n">
        <x:v>349.1672118103705</x:v>
      </x:c>
      <x:c r="H2471" s="45" t="n">
        <x:v>1</x:v>
      </x:c>
      <x:c r="I2471" s="36" t="str">
        <x:v>generated design-reference observation; not predicted tract behavior</x:v>
      </x:c>
    </x:row>
    <x:row r="2472" ht="75.5999984741211" hidden="0" customHeight="1">
      <x:c r="A2472" s="34" t="str">
        <x:v>P2</x:v>
      </x:c>
      <x:c r="B2472" s="34" t="str">
        <x:v>48201311001</x:v>
      </x:c>
      <x:c r="C2472" s="65" t="n">
        <x:v>223.092587836793</x:v>
      </x:c>
      <x:c r="D2472" s="65" t="n">
        <x:v>192.93046996125858</x:v>
      </x:c>
      <x:c r="E2472" s="65" t="n">
        <x:v>30.16211787553442</x:v>
      </x:c>
      <x:c r="F2472" s="65" t="n">
        <x:v>30.16211787553442</x:v>
      </x:c>
      <x:c r="G2472" s="65" t="n">
        <x:v>223.092587836793</x:v>
      </x:c>
      <x:c r="H2472" s="43" t="n">
        <x:v>1</x:v>
      </x:c>
      <x:c r="I2472" s="34" t="str">
        <x:v>generated design-reference observation; not predicted tract behavior</x:v>
      </x:c>
    </x:row>
    <x:row r="2473" ht="75.5999984741211" hidden="0" customHeight="1">
      <x:c r="A2473" s="36" t="str">
        <x:v>P2</x:v>
      </x:c>
      <x:c r="B2473" s="36" t="str">
        <x:v>48201311002</x:v>
      </x:c>
      <x:c r="C2473" s="66" t="n">
        <x:v>294.8579011902458</x:v>
      </x:c>
      <x:c r="D2473" s="66" t="n">
        <x:v>254.99311294932457</x:v>
      </x:c>
      <x:c r="E2473" s="66" t="n">
        <x:v>39.86478824092123</x:v>
      </x:c>
      <x:c r="F2473" s="66" t="n">
        <x:v>39.86478824092123</x:v>
      </x:c>
      <x:c r="G2473" s="66" t="n">
        <x:v>294.8579011902458</x:v>
      </x:c>
      <x:c r="H2473" s="45" t="n">
        <x:v>1</x:v>
      </x:c>
      <x:c r="I2473" s="36" t="str">
        <x:v>generated design-reference observation; not predicted tract behavior</x:v>
      </x:c>
    </x:row>
    <x:row r="2474" ht="75.5999984741211" hidden="0" customHeight="1">
      <x:c r="A2474" s="34" t="str">
        <x:v>P2</x:v>
      </x:c>
      <x:c r="B2474" s="34" t="str">
        <x:v>48201311100</x:v>
      </x:c>
      <x:c r="C2474" s="65" t="n">
        <x:v>413.725341685002</x:v>
      </x:c>
      <x:c r="D2474" s="65" t="n">
        <x:v>357.1168012248545</x:v>
      </x:c>
      <x:c r="E2474" s="65" t="n">
        <x:v>56.60854046014748</x:v>
      </x:c>
      <x:c r="F2474" s="65" t="n">
        <x:v>56.60854046014748</x:v>
      </x:c>
      <x:c r="G2474" s="65" t="n">
        <x:v>413.725341685002</x:v>
      </x:c>
      <x:c r="H2474" s="43" t="n">
        <x:v>1</x:v>
      </x:c>
      <x:c r="I2474" s="34" t="str">
        <x:v>generated design-reference observation; not predicted tract behavior</x:v>
      </x:c>
    </x:row>
    <x:row r="2475" ht="75.5999984741211" hidden="0" customHeight="1">
      <x:c r="A2475" s="36" t="str">
        <x:v>P2</x:v>
      </x:c>
      <x:c r="B2475" s="36" t="str">
        <x:v>48201311200</x:v>
      </x:c>
      <x:c r="C2475" s="66" t="n">
        <x:v>371.40180511635214</x:v>
      </x:c>
      <x:c r="D2475" s="66" t="n">
        <x:v>318.5745697659524</x:v>
      </x:c>
      <x:c r="E2475" s="66" t="n">
        <x:v>52.82723535039975</x:v>
      </x:c>
      <x:c r="F2475" s="66" t="n">
        <x:v>52.82723535039975</x:v>
      </x:c>
      <x:c r="G2475" s="66" t="n">
        <x:v>371.40180511635214</x:v>
      </x:c>
      <x:c r="H2475" s="45" t="n">
        <x:v>1</x:v>
      </x:c>
      <x:c r="I2475" s="36" t="str">
        <x:v>generated design-reference observation; not predicted tract behavior</x:v>
      </x:c>
    </x:row>
    <x:row r="2476" ht="75.5999984741211" hidden="0" customHeight="1">
      <x:c r="A2476" s="34" t="str">
        <x:v>P2</x:v>
      </x:c>
      <x:c r="B2476" s="34" t="str">
        <x:v>48201311300</x:v>
      </x:c>
      <x:c r="C2476" s="65" t="n">
        <x:v>330.43010667022907</x:v>
      </x:c>
      <x:c r="D2476" s="65" t="n">
        <x:v>285.75595624841407</x:v>
      </x:c>
      <x:c r="E2476" s="65" t="n">
        <x:v>44.674150421815</x:v>
      </x:c>
      <x:c r="F2476" s="65" t="n">
        <x:v>44.674150421815</x:v>
      </x:c>
      <x:c r="G2476" s="65" t="n">
        <x:v>330.43010667022907</x:v>
      </x:c>
      <x:c r="H2476" s="43" t="n">
        <x:v>1</x:v>
      </x:c>
      <x:c r="I2476" s="34" t="str">
        <x:v>generated design-reference observation; not predicted tract behavior</x:v>
      </x:c>
    </x:row>
    <x:row r="2477" ht="75.5999984741211" hidden="0" customHeight="1">
      <x:c r="A2477" s="36" t="str">
        <x:v>P2</x:v>
      </x:c>
      <x:c r="B2477" s="36" t="str">
        <x:v>48201311400</x:v>
      </x:c>
      <x:c r="C2477" s="66" t="n">
        <x:v>135.79685512221633</x:v>
      </x:c>
      <x:c r="D2477" s="66" t="n">
        <x:v>117.28288769390134</x:v>
      </x:c>
      <x:c r="E2477" s="66" t="n">
        <x:v>18.513967428314984</x:v>
      </x:c>
      <x:c r="F2477" s="66" t="n">
        <x:v>18.513967428314984</x:v>
      </x:c>
      <x:c r="G2477" s="66" t="n">
        <x:v>135.79685512221633</x:v>
      </x:c>
      <x:c r="H2477" s="45" t="n">
        <x:v>1</x:v>
      </x:c>
      <x:c r="I2477" s="36" t="str">
        <x:v>generated design-reference observation; not predicted tract behavior</x:v>
      </x:c>
    </x:row>
    <x:row r="2478" ht="75.5999984741211" hidden="0" customHeight="1">
      <x:c r="A2478" s="34" t="str">
        <x:v>P2</x:v>
      </x:c>
      <x:c r="B2478" s="34" t="str">
        <x:v>48201311501</x:v>
      </x:c>
      <x:c r="C2478" s="65" t="n">
        <x:v>200.18993499351612</x:v>
      </x:c>
      <x:c r="D2478" s="65" t="n">
        <x:v>172.61259979388856</x:v>
      </x:c>
      <x:c r="E2478" s="65" t="n">
        <x:v>27.577335199627555</x:v>
      </x:c>
      <x:c r="F2478" s="65" t="n">
        <x:v>27.577335199627555</x:v>
      </x:c>
      <x:c r="G2478" s="65" t="n">
        <x:v>200.18993499351612</x:v>
      </x:c>
      <x:c r="H2478" s="43" t="n">
        <x:v>1</x:v>
      </x:c>
      <x:c r="I2478" s="34" t="str">
        <x:v>generated design-reference observation; not predicted tract behavior</x:v>
      </x:c>
    </x:row>
    <x:row r="2479" ht="75.5999984741211" hidden="0" customHeight="1">
      <x:c r="A2479" s="36" t="str">
        <x:v>P2</x:v>
      </x:c>
      <x:c r="B2479" s="36" t="str">
        <x:v>48201311502</x:v>
      </x:c>
      <x:c r="C2479" s="66" t="n">
        <x:v>211.84560903832727</x:v>
      </x:c>
      <x:c r="D2479" s="66" t="n">
        <x:v>182.5969440627204</x:v>
      </x:c>
      <x:c r="E2479" s="66" t="n">
        <x:v>29.248664975606857</x:v>
      </x:c>
      <x:c r="F2479" s="66" t="n">
        <x:v>29.248664975606857</x:v>
      </x:c>
      <x:c r="G2479" s="66" t="n">
        <x:v>211.84560903832727</x:v>
      </x:c>
      <x:c r="H2479" s="45" t="n">
        <x:v>1</x:v>
      </x:c>
      <x:c r="I2479" s="36" t="str">
        <x:v>generated design-reference observation; not predicted tract behavior</x:v>
      </x:c>
    </x:row>
    <x:row r="2480" ht="75.5999984741211" hidden="0" customHeight="1">
      <x:c r="A2480" s="34" t="str">
        <x:v>P2</x:v>
      </x:c>
      <x:c r="B2480" s="34" t="str">
        <x:v>48201311600</x:v>
      </x:c>
      <x:c r="C2480" s="65" t="n">
        <x:v>291.1796439731375</x:v>
      </x:c>
      <x:c r="D2480" s="65" t="n">
        <x:v>246.64157151294836</x:v>
      </x:c>
      <x:c r="E2480" s="65" t="n">
        <x:v>44.53807246018914</x:v>
      </x:c>
      <x:c r="F2480" s="65" t="n">
        <x:v>44.53807246018914</x:v>
      </x:c>
      <x:c r="G2480" s="65" t="n">
        <x:v>291.1796439731375</x:v>
      </x:c>
      <x:c r="H2480" s="43" t="n">
        <x:v>1</x:v>
      </x:c>
      <x:c r="I2480" s="34" t="str">
        <x:v>generated design-reference observation; not predicted tract behavior</x:v>
      </x:c>
    </x:row>
    <x:row r="2481" ht="75.5999984741211" hidden="0" customHeight="1">
      <x:c r="A2481" s="36" t="str">
        <x:v>P2</x:v>
      </x:c>
      <x:c r="B2481" s="36" t="str">
        <x:v>48201311701</x:v>
      </x:c>
      <x:c r="C2481" s="66" t="n">
        <x:v>290.7159320590149</x:v>
      </x:c>
      <x:c r="D2481" s="66" t="n">
        <x:v>250.06100500062095</x:v>
      </x:c>
      <x:c r="E2481" s="66" t="n">
        <x:v>40.65492705839395</x:v>
      </x:c>
      <x:c r="F2481" s="66" t="n">
        <x:v>40.65492705839395</x:v>
      </x:c>
      <x:c r="G2481" s="66" t="n">
        <x:v>290.7159320590149</x:v>
      </x:c>
      <x:c r="H2481" s="45" t="n">
        <x:v>1</x:v>
      </x:c>
      <x:c r="I2481" s="36" t="str">
        <x:v>generated design-reference observation; not predicted tract behavior</x:v>
      </x:c>
    </x:row>
    <x:row r="2482" ht="75.5999984741211" hidden="0" customHeight="1">
      <x:c r="A2482" s="34" t="str">
        <x:v>P2</x:v>
      </x:c>
      <x:c r="B2482" s="34" t="str">
        <x:v>48201311702</x:v>
      </x:c>
      <x:c r="C2482" s="65" t="n">
        <x:v>156.23947696345283</x:v>
      </x:c>
      <x:c r="D2482" s="65" t="n">
        <x:v>132.13058031090682</x:v>
      </x:c>
      <x:c r="E2482" s="65" t="n">
        <x:v>24.108896652546008</x:v>
      </x:c>
      <x:c r="F2482" s="65" t="n">
        <x:v>24.108896652546008</x:v>
      </x:c>
      <x:c r="G2482" s="65" t="n">
        <x:v>156.23947696345283</x:v>
      </x:c>
      <x:c r="H2482" s="43" t="n">
        <x:v>1</x:v>
      </x:c>
      <x:c r="I2482" s="34" t="str">
        <x:v>generated design-reference observation; not predicted tract behavior</x:v>
      </x:c>
    </x:row>
    <x:row r="2483" ht="75.5999984741211" hidden="0" customHeight="1">
      <x:c r="A2483" s="36" t="str">
        <x:v>P2</x:v>
      </x:c>
      <x:c r="B2483" s="36" t="str">
        <x:v>48201311800</x:v>
      </x:c>
      <x:c r="C2483" s="66" t="n">
        <x:v>292.68867257502814</x:v>
      </x:c>
      <x:c r="D2483" s="66" t="n">
        <x:v>251.57097322180786</x:v>
      </x:c>
      <x:c r="E2483" s="66" t="n">
        <x:v>41.117699353220274</x:v>
      </x:c>
      <x:c r="F2483" s="66" t="n">
        <x:v>41.117699353220274</x:v>
      </x:c>
      <x:c r="G2483" s="66" t="n">
        <x:v>292.68867257502814</x:v>
      </x:c>
      <x:c r="H2483" s="45" t="n">
        <x:v>1</x:v>
      </x:c>
      <x:c r="I2483" s="36" t="str">
        <x:v>generated design-reference observation; not predicted tract behavior</x:v>
      </x:c>
    </x:row>
    <x:row r="2484" ht="75.5999984741211" hidden="0" customHeight="1">
      <x:c r="A2484" s="34" t="str">
        <x:v>P2</x:v>
      </x:c>
      <x:c r="B2484" s="34" t="str">
        <x:v>48201311900</x:v>
      </x:c>
      <x:c r="C2484" s="65" t="n">
        <x:v>130.86893359416737</x:v>
      </x:c>
      <x:c r="D2484" s="65" t="n">
        <x:v>112.93015570352183</x:v>
      </x:c>
      <x:c r="E2484" s="65" t="n">
        <x:v>17.93877789064554</x:v>
      </x:c>
      <x:c r="F2484" s="65" t="n">
        <x:v>17.93877789064554</x:v>
      </x:c>
      <x:c r="G2484" s="65" t="n">
        <x:v>130.86893359416737</x:v>
      </x:c>
      <x:c r="H2484" s="43" t="n">
        <x:v>1</x:v>
      </x:c>
      <x:c r="I2484" s="34" t="str">
        <x:v>generated design-reference observation; not predicted tract behavior</x:v>
      </x:c>
    </x:row>
    <x:row r="2485" ht="75.5999984741211" hidden="0" customHeight="1">
      <x:c r="A2485" s="36" t="str">
        <x:v>P2</x:v>
      </x:c>
      <x:c r="B2485" s="36" t="str">
        <x:v>48201312000</x:v>
      </x:c>
      <x:c r="C2485" s="66" t="n">
        <x:v>238.62300719791696</x:v>
      </x:c>
      <x:c r="D2485" s="66" t="n">
        <x:v>204.77857581368707</x:v>
      </x:c>
      <x:c r="E2485" s="66" t="n">
        <x:v>33.84443138422989</x:v>
      </x:c>
      <x:c r="F2485" s="66" t="n">
        <x:v>33.84443138422989</x:v>
      </x:c>
      <x:c r="G2485" s="66" t="n">
        <x:v>238.62300719791696</x:v>
      </x:c>
      <x:c r="H2485" s="45" t="n">
        <x:v>1</x:v>
      </x:c>
      <x:c r="I2485" s="36" t="str">
        <x:v>generated design-reference observation; not predicted tract behavior</x:v>
      </x:c>
    </x:row>
    <x:row r="2486" ht="75.5999984741211" hidden="0" customHeight="1">
      <x:c r="A2486" s="34" t="str">
        <x:v>P2</x:v>
      </x:c>
      <x:c r="B2486" s="34" t="str">
        <x:v>48201312200</x:v>
      </x:c>
      <x:c r="C2486" s="65" t="n">
        <x:v>134.0638300872326</x:v>
      </x:c>
      <x:c r="D2486" s="65" t="n">
        <x:v>115.14580740337371</x:v>
      </x:c>
      <x:c r="E2486" s="65" t="n">
        <x:v>18.91802268385888</x:v>
      </x:c>
      <x:c r="F2486" s="65" t="n">
        <x:v>18.91802268385888</x:v>
      </x:c>
      <x:c r="G2486" s="65" t="n">
        <x:v>134.0638300872326</x:v>
      </x:c>
      <x:c r="H2486" s="43" t="n">
        <x:v>1</x:v>
      </x:c>
      <x:c r="I2486" s="34" t="str">
        <x:v>generated design-reference observation; not predicted tract behavior</x:v>
      </x:c>
    </x:row>
    <x:row r="2487" ht="75.5999984741211" hidden="0" customHeight="1">
      <x:c r="A2487" s="36" t="str">
        <x:v>P2</x:v>
      </x:c>
      <x:c r="B2487" s="36" t="str">
        <x:v>48201312300</x:v>
      </x:c>
      <x:c r="C2487" s="66" t="n">
        <x:v>227.9890712689692</x:v>
      </x:c>
      <x:c r="D2487" s="66" t="n">
        <x:v>196.70374427472993</x:v>
      </x:c>
      <x:c r="E2487" s="66" t="n">
        <x:v>31.285326994239284</x:v>
      </x:c>
      <x:c r="F2487" s="66" t="n">
        <x:v>31.285326994239284</x:v>
      </x:c>
      <x:c r="G2487" s="66" t="n">
        <x:v>227.9890712689692</x:v>
      </x:c>
      <x:c r="H2487" s="45" t="n">
        <x:v>1</x:v>
      </x:c>
      <x:c r="I2487" s="36" t="str">
        <x:v>generated design-reference observation; not predicted tract behavior</x:v>
      </x:c>
    </x:row>
    <x:row r="2488" ht="75.5999984741211" hidden="0" customHeight="1">
      <x:c r="A2488" s="34" t="str">
        <x:v>P2</x:v>
      </x:c>
      <x:c r="B2488" s="34" t="str">
        <x:v>48201312400</x:v>
      </x:c>
      <x:c r="C2488" s="65" t="n">
        <x:v>176.46203213358032</x:v>
      </x:c>
      <x:c r="D2488" s="65" t="n">
        <x:v>152.60436538912026</x:v>
      </x:c>
      <x:c r="E2488" s="65" t="n">
        <x:v>23.85766674446006</x:v>
      </x:c>
      <x:c r="F2488" s="65" t="n">
        <x:v>23.85766674446006</x:v>
      </x:c>
      <x:c r="G2488" s="65" t="n">
        <x:v>176.46203213358032</x:v>
      </x:c>
      <x:c r="H2488" s="43" t="n">
        <x:v>1</x:v>
      </x:c>
      <x:c r="I2488" s="34" t="str">
        <x:v>generated design-reference observation; not predicted tract behavior</x:v>
      </x:c>
    </x:row>
    <x:row r="2489" ht="75.5999984741211" hidden="0" customHeight="1">
      <x:c r="A2489" s="36" t="str">
        <x:v>P2</x:v>
      </x:c>
      <x:c r="B2489" s="36" t="str">
        <x:v>48201312501</x:v>
      </x:c>
      <x:c r="C2489" s="66" t="n">
        <x:v>268.48919827700155</x:v>
      </x:c>
      <x:c r="D2489" s="66" t="n">
        <x:v>227.2234042638132</x:v>
      </x:c>
      <x:c r="E2489" s="66" t="n">
        <x:v>41.265794013188355</x:v>
      </x:c>
      <x:c r="F2489" s="66" t="n">
        <x:v>41.265794013188355</x:v>
      </x:c>
      <x:c r="G2489" s="66" t="n">
        <x:v>268.48919827700155</x:v>
      </x:c>
      <x:c r="H2489" s="45" t="n">
        <x:v>1</x:v>
      </x:c>
      <x:c r="I2489" s="36" t="str">
        <x:v>generated design-reference observation; not predicted tract behavior</x:v>
      </x:c>
    </x:row>
    <x:row r="2490" ht="75.5999984741211" hidden="0" customHeight="1">
      <x:c r="A2490" s="34" t="str">
        <x:v>P2</x:v>
      </x:c>
      <x:c r="B2490" s="34" t="str">
        <x:v>48201312502</x:v>
      </x:c>
      <x:c r="C2490" s="65" t="n">
        <x:v>168.88545102825466</x:v>
      </x:c>
      <x:c r="D2490" s="65" t="n">
        <x:v>143.44961324888922</x:v>
      </x:c>
      <x:c r="E2490" s="65" t="n">
        <x:v>25.435837779365443</x:v>
      </x:c>
      <x:c r="F2490" s="65" t="n">
        <x:v>25.435837779365443</x:v>
      </x:c>
      <x:c r="G2490" s="65" t="n">
        <x:v>168.88545102825466</x:v>
      </x:c>
      <x:c r="H2490" s="43" t="n">
        <x:v>1</x:v>
      </x:c>
      <x:c r="I2490" s="34" t="str">
        <x:v>generated design-reference observation; not predicted tract behavior</x:v>
      </x:c>
    </x:row>
    <x:row r="2491" ht="75.5999984741211" hidden="0" customHeight="1">
      <x:c r="A2491" s="36" t="str">
        <x:v>P2</x:v>
      </x:c>
      <x:c r="B2491" s="36" t="str">
        <x:v>48201312601</x:v>
      </x:c>
      <x:c r="C2491" s="66" t="n">
        <x:v>268.0490649347834</x:v>
      </x:c>
      <x:c r="D2491" s="66" t="n">
        <x:v>220.7828230560684</x:v>
      </x:c>
      <x:c r="E2491" s="66" t="n">
        <x:v>47.26624187871502</x:v>
      </x:c>
      <x:c r="F2491" s="66" t="n">
        <x:v>47.26624187871502</x:v>
      </x:c>
      <x:c r="G2491" s="66" t="n">
        <x:v>268.0490649347834</x:v>
      </x:c>
      <x:c r="H2491" s="45" t="n">
        <x:v>1</x:v>
      </x:c>
      <x:c r="I2491" s="36" t="str">
        <x:v>generated design-reference observation; not predicted tract behavior</x:v>
      </x:c>
    </x:row>
    <x:row r="2492" ht="75.5999984741211" hidden="0" customHeight="1">
      <x:c r="A2492" s="34" t="str">
        <x:v>P2</x:v>
      </x:c>
      <x:c r="B2492" s="34" t="str">
        <x:v>48201312602</x:v>
      </x:c>
      <x:c r="C2492" s="65" t="n">
        <x:v>199.56903260002989</x:v>
      </x:c>
      <x:c r="D2492" s="65" t="n">
        <x:v>168.99585165084946</x:v>
      </x:c>
      <x:c r="E2492" s="65" t="n">
        <x:v>30.573180949180426</x:v>
      </x:c>
      <x:c r="F2492" s="65" t="n">
        <x:v>30.573180949180426</x:v>
      </x:c>
      <x:c r="G2492" s="65" t="n">
        <x:v>199.56903260002989</x:v>
      </x:c>
      <x:c r="H2492" s="43" t="n">
        <x:v>1</x:v>
      </x:c>
      <x:c r="I2492" s="34" t="str">
        <x:v>generated design-reference observation; not predicted tract behavior</x:v>
      </x:c>
    </x:row>
    <x:row r="2493" ht="75.5999984741211" hidden="0" customHeight="1">
      <x:c r="A2493" s="36" t="str">
        <x:v>P2</x:v>
      </x:c>
      <x:c r="B2493" s="36" t="str">
        <x:v>48201312603</x:v>
      </x:c>
      <x:c r="C2493" s="66" t="n">
        <x:v>338.82407826824544</x:v>
      </x:c>
      <x:c r="D2493" s="66" t="n">
        <x:v>288.7104903058522</x:v>
      </x:c>
      <x:c r="E2493" s="66" t="n">
        <x:v>50.11358796239324</x:v>
      </x:c>
      <x:c r="F2493" s="66" t="n">
        <x:v>50.11358796239324</x:v>
      </x:c>
      <x:c r="G2493" s="66" t="n">
        <x:v>338.82407826824544</x:v>
      </x:c>
      <x:c r="H2493" s="45" t="n">
        <x:v>1</x:v>
      </x:c>
      <x:c r="I2493" s="36" t="str">
        <x:v>generated design-reference observation; not predicted tract behavior</x:v>
      </x:c>
    </x:row>
    <x:row r="2494" ht="75.5999984741211" hidden="0" customHeight="1">
      <x:c r="A2494" s="34" t="str">
        <x:v>P2</x:v>
      </x:c>
      <x:c r="B2494" s="34" t="str">
        <x:v>48201312700</x:v>
      </x:c>
      <x:c r="C2494" s="65" t="n">
        <x:v>184.98961563905576</x:v>
      </x:c>
      <x:c r="D2494" s="65" t="n">
        <x:v>159.24875444085495</x:v>
      </x:c>
      <x:c r="E2494" s="65" t="n">
        <x:v>25.740861198200804</x:v>
      </x:c>
      <x:c r="F2494" s="65" t="n">
        <x:v>25.740861198200804</x:v>
      </x:c>
      <x:c r="G2494" s="65" t="n">
        <x:v>184.98961563905576</x:v>
      </x:c>
      <x:c r="H2494" s="43" t="n">
        <x:v>1</x:v>
      </x:c>
      <x:c r="I2494" s="34" t="str">
        <x:v>generated design-reference observation; not predicted tract behavior</x:v>
      </x:c>
    </x:row>
    <x:row r="2495" ht="75.5999984741211" hidden="0" customHeight="1">
      <x:c r="A2495" s="36" t="str">
        <x:v>P2</x:v>
      </x:c>
      <x:c r="B2495" s="36" t="str">
        <x:v>48201312800</x:v>
      </x:c>
      <x:c r="C2495" s="66" t="n">
        <x:v>308.5806300386883</x:v>
      </x:c>
      <x:c r="D2495" s="66" t="n">
        <x:v>262.00721773714224</x:v>
      </x:c>
      <x:c r="E2495" s="66" t="n">
        <x:v>46.57341230154606</x:v>
      </x:c>
      <x:c r="F2495" s="66" t="n">
        <x:v>46.57341230154606</x:v>
      </x:c>
      <x:c r="G2495" s="66" t="n">
        <x:v>308.5806300386883</x:v>
      </x:c>
      <x:c r="H2495" s="45" t="n">
        <x:v>1</x:v>
      </x:c>
      <x:c r="I2495" s="36" t="str">
        <x:v>generated design-reference observation; not predicted tract behavior</x:v>
      </x:c>
    </x:row>
    <x:row r="2496" ht="75.5999984741211" hidden="0" customHeight="1">
      <x:c r="A2496" s="34" t="str">
        <x:v>P2</x:v>
      </x:c>
      <x:c r="B2496" s="34" t="str">
        <x:v>48201312901</x:v>
      </x:c>
      <x:c r="C2496" s="65" t="n">
        <x:v>157.4812817504253</x:v>
      </x:c>
      <x:c r="D2496" s="65" t="n">
        <x:v>133.9813290125067</x:v>
      </x:c>
      <x:c r="E2496" s="65" t="n">
        <x:v>23.49995273791859</x:v>
      </x:c>
      <x:c r="F2496" s="65" t="n">
        <x:v>23.49995273791859</x:v>
      </x:c>
      <x:c r="G2496" s="65" t="n">
        <x:v>157.4812817504253</x:v>
      </x:c>
      <x:c r="H2496" s="43" t="n">
        <x:v>1</x:v>
      </x:c>
      <x:c r="I2496" s="34" t="str">
        <x:v>generated design-reference observation; not predicted tract behavior</x:v>
      </x:c>
    </x:row>
    <x:row r="2497" ht="75.5999984741211" hidden="0" customHeight="1">
      <x:c r="A2497" s="36" t="str">
        <x:v>P2</x:v>
      </x:c>
      <x:c r="B2497" s="36" t="str">
        <x:v>48201312902</x:v>
      </x:c>
      <x:c r="C2497" s="66" t="n">
        <x:v>192.589775316286</x:v>
      </x:c>
      <x:c r="D2497" s="66" t="n">
        <x:v>165.13664467133682</x:v>
      </x:c>
      <x:c r="E2497" s="66" t="n">
        <x:v>27.45313064494917</x:v>
      </x:c>
      <x:c r="F2497" s="66" t="n">
        <x:v>27.45313064494917</x:v>
      </x:c>
      <x:c r="G2497" s="66" t="n">
        <x:v>192.589775316286</x:v>
      </x:c>
      <x:c r="H2497" s="45" t="n">
        <x:v>1</x:v>
      </x:c>
      <x:c r="I2497" s="36" t="str">
        <x:v>generated design-reference observation; not predicted tract behavior</x:v>
      </x:c>
    </x:row>
    <x:row r="2498" ht="75.5999984741211" hidden="0" customHeight="1">
      <x:c r="A2498" s="34" t="str">
        <x:v>P2</x:v>
      </x:c>
      <x:c r="B2498" s="34" t="str">
        <x:v>48201313000</x:v>
      </x:c>
      <x:c r="C2498" s="65" t="n">
        <x:v>196.9518111186259</x:v>
      </x:c>
      <x:c r="D2498" s="65" t="n">
        <x:v>170.06647159507276</x:v>
      </x:c>
      <x:c r="E2498" s="65" t="n">
        <x:v>26.885339523553142</x:v>
      </x:c>
      <x:c r="F2498" s="65" t="n">
        <x:v>26.885339523553142</x:v>
      </x:c>
      <x:c r="G2498" s="65" t="n">
        <x:v>196.9518111186259</x:v>
      </x:c>
      <x:c r="H2498" s="43" t="n">
        <x:v>1</x:v>
      </x:c>
      <x:c r="I2498" s="34" t="str">
        <x:v>generated design-reference observation; not predicted tract behavior</x:v>
      </x:c>
    </x:row>
    <x:row r="2499" ht="75.5999984741211" hidden="0" customHeight="1">
      <x:c r="A2499" s="36" t="str">
        <x:v>P2</x:v>
      </x:c>
      <x:c r="B2499" s="36" t="str">
        <x:v>48201313101</x:v>
      </x:c>
      <x:c r="C2499" s="66" t="n">
        <x:v>330.1677194854451</x:v>
      </x:c>
      <x:c r="D2499" s="66" t="n">
        <x:v>240.12061796303541</x:v>
      </x:c>
      <x:c r="E2499" s="66" t="n">
        <x:v>90.04710152240969</x:v>
      </x:c>
      <x:c r="F2499" s="66" t="n">
        <x:v>90.04710152240969</x:v>
      </x:c>
      <x:c r="G2499" s="66" t="n">
        <x:v>330.1677194854451</x:v>
      </x:c>
      <x:c r="H2499" s="45" t="n">
        <x:v>1</x:v>
      </x:c>
      <x:c r="I2499" s="36" t="str">
        <x:v>generated design-reference observation; not predicted tract behavior</x:v>
      </x:c>
    </x:row>
    <x:row r="2500" ht="75.5999984741211" hidden="0" customHeight="1">
      <x:c r="A2500" s="34" t="str">
        <x:v>P2</x:v>
      </x:c>
      <x:c r="B2500" s="34" t="str">
        <x:v>48201313102</x:v>
      </x:c>
      <x:c r="C2500" s="65" t="n">
        <x:v>248.8564096938708</x:v>
      </x:c>
      <x:c r="D2500" s="65" t="n">
        <x:v>180.100264795322</x:v>
      </x:c>
      <x:c r="E2500" s="65" t="n">
        <x:v>68.7561448985488</x:v>
      </x:c>
      <x:c r="F2500" s="65" t="n">
        <x:v>68.7561448985488</x:v>
      </x:c>
      <x:c r="G2500" s="65" t="n">
        <x:v>248.8564096938708</x:v>
      </x:c>
      <x:c r="H2500" s="43" t="n">
        <x:v>1</x:v>
      </x:c>
      <x:c r="I2500" s="34" t="str">
        <x:v>generated design-reference observation; not predicted tract behavior</x:v>
      </x:c>
    </x:row>
    <x:row r="2501" ht="75.5999984741211" hidden="0" customHeight="1">
      <x:c r="A2501" s="36" t="str">
        <x:v>P2</x:v>
      </x:c>
      <x:c r="B2501" s="36" t="str">
        <x:v>48201313201</x:v>
      </x:c>
      <x:c r="C2501" s="66" t="n">
        <x:v>137.83247182997496</x:v>
      </x:c>
      <x:c r="D2501" s="66" t="n">
        <x:v>118.04760067457401</x:v>
      </x:c>
      <x:c r="E2501" s="66" t="n">
        <x:v>19.78487115540095</x:v>
      </x:c>
      <x:c r="F2501" s="66" t="n">
        <x:v>19.784871155400953</x:v>
      </x:c>
      <x:c r="G2501" s="66" t="n">
        <x:v>137.83247182997496</x:v>
      </x:c>
      <x:c r="H2501" s="45" t="n">
        <x:v>1</x:v>
      </x:c>
      <x:c r="I2501" s="36" t="str">
        <x:v>generated design-reference observation; not predicted tract behavior</x:v>
      </x:c>
    </x:row>
    <x:row r="2502" ht="75.5999984741211" hidden="0" customHeight="1">
      <x:c r="A2502" s="34" t="str">
        <x:v>P2</x:v>
      </x:c>
      <x:c r="B2502" s="34" t="str">
        <x:v>48201313202</x:v>
      </x:c>
      <x:c r="C2502" s="65" t="n">
        <x:v>364.06886925403995</x:v>
      </x:c>
      <x:c r="D2502" s="65" t="n">
        <x:v>274.0618760073657</x:v>
      </x:c>
      <x:c r="E2502" s="65" t="n">
        <x:v>90.00699324667426</x:v>
      </x:c>
      <x:c r="F2502" s="65" t="n">
        <x:v>90.00699324667426</x:v>
      </x:c>
      <x:c r="G2502" s="65" t="n">
        <x:v>364.06886925403995</x:v>
      </x:c>
      <x:c r="H2502" s="43" t="n">
        <x:v>1</x:v>
      </x:c>
      <x:c r="I2502" s="34" t="str">
        <x:v>generated design-reference observation; not predicted tract behavior</x:v>
      </x:c>
    </x:row>
    <x:row r="2503" ht="75.5999984741211" hidden="0" customHeight="1">
      <x:c r="A2503" s="36" t="str">
        <x:v>P2</x:v>
      </x:c>
      <x:c r="B2503" s="36" t="str">
        <x:v>48201313300</x:v>
      </x:c>
      <x:c r="C2503" s="66" t="n">
        <x:v>227.69826888214658</x:v>
      </x:c>
      <x:c r="D2503" s="66" t="n">
        <x:v>195.24268203169856</x:v>
      </x:c>
      <x:c r="E2503" s="66" t="n">
        <x:v>32.455586850448015</x:v>
      </x:c>
      <x:c r="F2503" s="66" t="n">
        <x:v>32.455586850448015</x:v>
      </x:c>
      <x:c r="G2503" s="66" t="n">
        <x:v>227.69826888214658</x:v>
      </x:c>
      <x:c r="H2503" s="45" t="n">
        <x:v>1</x:v>
      </x:c>
      <x:c r="I2503" s="36" t="str">
        <x:v>generated design-reference observation; not predicted tract behavior</x:v>
      </x:c>
    </x:row>
    <x:row r="2504" ht="75.5999984741211" hidden="0" customHeight="1">
      <x:c r="A2504" s="34" t="str">
        <x:v>P2</x:v>
      </x:c>
      <x:c r="B2504" s="34" t="str">
        <x:v>48201313400</x:v>
      </x:c>
      <x:c r="C2504" s="65" t="n">
        <x:v>311.575108670565</x:v>
      </x:c>
      <x:c r="D2504" s="65" t="n">
        <x:v>264.6942851403269</x:v>
      </x:c>
      <x:c r="E2504" s="65" t="n">
        <x:v>46.880823530238104</x:v>
      </x:c>
      <x:c r="F2504" s="65" t="n">
        <x:v>46.880823530238104</x:v>
      </x:c>
      <x:c r="G2504" s="65" t="n">
        <x:v>311.575108670565</x:v>
      </x:c>
      <x:c r="H2504" s="43" t="n">
        <x:v>1</x:v>
      </x:c>
      <x:c r="I2504" s="34" t="str">
        <x:v>generated design-reference observation; not predicted tract behavior</x:v>
      </x:c>
    </x:row>
    <x:row r="2505" ht="75.5999984741211" hidden="0" customHeight="1">
      <x:c r="A2505" s="36" t="str">
        <x:v>P2</x:v>
      </x:c>
      <x:c r="B2505" s="36" t="str">
        <x:v>48201313500</x:v>
      </x:c>
      <x:c r="C2505" s="66" t="n">
        <x:v>150.3723423212064</x:v>
      </x:c>
      <x:c r="D2505" s="66" t="n">
        <x:v>129.55312193396807</x:v>
      </x:c>
      <x:c r="E2505" s="66" t="n">
        <x:v>20.819220387238317</x:v>
      </x:c>
      <x:c r="F2505" s="66" t="n">
        <x:v>20.819220387238317</x:v>
      </x:c>
      <x:c r="G2505" s="66" t="n">
        <x:v>150.3723423212064</x:v>
      </x:c>
      <x:c r="H2505" s="45" t="n">
        <x:v>1</x:v>
      </x:c>
      <x:c r="I2505" s="36" t="str">
        <x:v>generated design-reference observation; not predicted tract behavior</x:v>
      </x:c>
    </x:row>
    <x:row r="2506" ht="75.5999984741211" hidden="0" customHeight="1">
      <x:c r="A2506" s="34" t="str">
        <x:v>P2</x:v>
      </x:c>
      <x:c r="B2506" s="34" t="str">
        <x:v>48201313600</x:v>
      </x:c>
      <x:c r="C2506" s="65" t="n">
        <x:v>377.0763814213782</x:v>
      </x:c>
      <x:c r="D2506" s="65" t="n">
        <x:v>324.374894336415</x:v>
      </x:c>
      <x:c r="E2506" s="65" t="n">
        <x:v>52.70148708496316</x:v>
      </x:c>
      <x:c r="F2506" s="65" t="n">
        <x:v>52.70148708496316</x:v>
      </x:c>
      <x:c r="G2506" s="65" t="n">
        <x:v>377.0763814213782</x:v>
      </x:c>
      <x:c r="H2506" s="43" t="n">
        <x:v>1</x:v>
      </x:c>
      <x:c r="I2506" s="34" t="str">
        <x:v>generated design-reference observation; not predicted tract behavior</x:v>
      </x:c>
    </x:row>
    <x:row r="2507" ht="75.5999984741211" hidden="0" customHeight="1">
      <x:c r="A2507" s="36" t="str">
        <x:v>P2</x:v>
      </x:c>
      <x:c r="B2507" s="36" t="str">
        <x:v>48201313700</x:v>
      </x:c>
      <x:c r="C2507" s="66" t="n">
        <x:v>194.03985748841518</x:v>
      </x:c>
      <x:c r="D2507" s="66" t="n">
        <x:v>167.37813838972417</x:v>
      </x:c>
      <x:c r="E2507" s="66" t="n">
        <x:v>26.66171909869101</x:v>
      </x:c>
      <x:c r="F2507" s="66" t="n">
        <x:v>26.66171909869101</x:v>
      </x:c>
      <x:c r="G2507" s="66" t="n">
        <x:v>194.03985748841518</x:v>
      </x:c>
      <x:c r="H2507" s="45" t="n">
        <x:v>1</x:v>
      </x:c>
      <x:c r="I2507" s="36" t="str">
        <x:v>generated design-reference observation; not predicted tract behavior</x:v>
      </x:c>
    </x:row>
    <x:row r="2508" ht="75.5999984741211" hidden="0" customHeight="1">
      <x:c r="A2508" s="34" t="str">
        <x:v>P2</x:v>
      </x:c>
      <x:c r="B2508" s="34" t="str">
        <x:v>48201313801</x:v>
      </x:c>
      <x:c r="C2508" s="65" t="n">
        <x:v>131.64702646701718</x:v>
      </x:c>
      <x:c r="D2508" s="65" t="n">
        <x:v>112.66883857190189</x:v>
      </x:c>
      <x:c r="E2508" s="65" t="n">
        <x:v>18.978187895115298</x:v>
      </x:c>
      <x:c r="F2508" s="65" t="n">
        <x:v>18.978187895115298</x:v>
      </x:c>
      <x:c r="G2508" s="65" t="n">
        <x:v>131.64702646701718</x:v>
      </x:c>
      <x:c r="H2508" s="43" t="n">
        <x:v>1</x:v>
      </x:c>
      <x:c r="I2508" s="34" t="str">
        <x:v>generated design-reference observation; not predicted tract behavior</x:v>
      </x:c>
    </x:row>
    <x:row r="2509" ht="75.5999984741211" hidden="0" customHeight="1">
      <x:c r="A2509" s="36" t="str">
        <x:v>P2</x:v>
      </x:c>
      <x:c r="B2509" s="36" t="str">
        <x:v>48201313802</x:v>
      </x:c>
      <x:c r="C2509" s="66" t="n">
        <x:v>220.6836437405458</x:v>
      </x:c>
      <x:c r="D2509" s="66" t="n">
        <x:v>190.12247884692465</x:v>
      </x:c>
      <x:c r="E2509" s="66" t="n">
        <x:v>30.56116489362114</x:v>
      </x:c>
      <x:c r="F2509" s="66" t="n">
        <x:v>30.56116489362114</x:v>
      </x:c>
      <x:c r="G2509" s="66" t="n">
        <x:v>220.6836437405458</x:v>
      </x:c>
      <x:c r="H2509" s="45" t="n">
        <x:v>1</x:v>
      </x:c>
      <x:c r="I2509" s="36" t="str">
        <x:v>generated design-reference observation; not predicted tract behavior</x:v>
      </x:c>
    </x:row>
    <x:row r="2510" ht="75.5999984741211" hidden="0" customHeight="1">
      <x:c r="A2510" s="34" t="str">
        <x:v>P2</x:v>
      </x:c>
      <x:c r="B2510" s="34" t="str">
        <x:v>48201313901</x:v>
      </x:c>
      <x:c r="C2510" s="65" t="n">
        <x:v>315.05687778846874</x:v>
      </x:c>
      <x:c r="D2510" s="65" t="n">
        <x:v>261.1748657391664</x:v>
      </x:c>
      <x:c r="E2510" s="65" t="n">
        <x:v>53.88201204930232</x:v>
      </x:c>
      <x:c r="F2510" s="65" t="n">
        <x:v>53.88201204930232</x:v>
      </x:c>
      <x:c r="G2510" s="65" t="n">
        <x:v>315.05687778846874</x:v>
      </x:c>
      <x:c r="H2510" s="43" t="n">
        <x:v>1</x:v>
      </x:c>
      <x:c r="I2510" s="34" t="str">
        <x:v>generated design-reference observation; not predicted tract behavior</x:v>
      </x:c>
    </x:row>
    <x:row r="2511" ht="75.5999984741211" hidden="0" customHeight="1">
      <x:c r="A2511" s="36" t="str">
        <x:v>P2</x:v>
      </x:c>
      <x:c r="B2511" s="36" t="str">
        <x:v>48201313902</x:v>
      </x:c>
      <x:c r="C2511" s="66" t="n">
        <x:v>215.46099006369016</x:v>
      </x:c>
      <x:c r="D2511" s="66" t="n">
        <x:v>181.84970186715123</x:v>
      </x:c>
      <x:c r="E2511" s="66" t="n">
        <x:v>33.611288196538936</x:v>
      </x:c>
      <x:c r="F2511" s="66" t="n">
        <x:v>33.611288196538936</x:v>
      </x:c>
      <x:c r="G2511" s="66" t="n">
        <x:v>215.46099006369016</x:v>
      </x:c>
      <x:c r="H2511" s="45" t="n">
        <x:v>1</x:v>
      </x:c>
      <x:c r="I2511" s="36" t="str">
        <x:v>generated design-reference observation; not predicted tract behavior</x:v>
      </x:c>
    </x:row>
    <x:row r="2512" ht="75.5999984741211" hidden="0" customHeight="1">
      <x:c r="A2512" s="34" t="str">
        <x:v>P2</x:v>
      </x:c>
      <x:c r="B2512" s="34" t="str">
        <x:v>48201314001</x:v>
      </x:c>
      <x:c r="C2512" s="65" t="n">
        <x:v>230.5905737024369</x:v>
      </x:c>
      <x:c r="D2512" s="65" t="n">
        <x:v>195.978238713245</x:v>
      </x:c>
      <x:c r="E2512" s="65" t="n">
        <x:v>34.61233498919191</x:v>
      </x:c>
      <x:c r="F2512" s="65" t="n">
        <x:v>34.61233498919191</x:v>
      </x:c>
      <x:c r="G2512" s="65" t="n">
        <x:v>230.5905737024369</x:v>
      </x:c>
      <x:c r="H2512" s="43" t="n">
        <x:v>1</x:v>
      </x:c>
      <x:c r="I2512" s="34" t="str">
        <x:v>generated design-reference observation; not predicted tract behavior</x:v>
      </x:c>
    </x:row>
    <x:row r="2513" ht="75.5999984741211" hidden="0" customHeight="1">
      <x:c r="A2513" s="36" t="str">
        <x:v>P2</x:v>
      </x:c>
      <x:c r="B2513" s="36" t="str">
        <x:v>48201314003</x:v>
      </x:c>
      <x:c r="C2513" s="66" t="n">
        <x:v>211.80631141848636</x:v>
      </x:c>
      <x:c r="D2513" s="66" t="n">
        <x:v>179.32709575170355</x:v>
      </x:c>
      <x:c r="E2513" s="66" t="n">
        <x:v>32.47921566678281</x:v>
      </x:c>
      <x:c r="F2513" s="66" t="n">
        <x:v>32.47921566678281</x:v>
      </x:c>
      <x:c r="G2513" s="66" t="n">
        <x:v>211.80631141848636</x:v>
      </x:c>
      <x:c r="H2513" s="45" t="n">
        <x:v>1</x:v>
      </x:c>
      <x:c r="I2513" s="36" t="str">
        <x:v>generated design-reference observation; not predicted tract behavior</x:v>
      </x:c>
    </x:row>
    <x:row r="2514" ht="75.5999984741211" hidden="0" customHeight="1">
      <x:c r="A2514" s="34" t="str">
        <x:v>P2</x:v>
      </x:c>
      <x:c r="B2514" s="34" t="str">
        <x:v>48201314004</x:v>
      </x:c>
      <x:c r="C2514" s="65" t="n">
        <x:v>179.38577504974327</x:v>
      </x:c>
      <x:c r="D2514" s="65" t="n">
        <x:v>152.081425299544</x:v>
      </x:c>
      <x:c r="E2514" s="65" t="n">
        <x:v>27.304349750199265</x:v>
      </x:c>
      <x:c r="F2514" s="65" t="n">
        <x:v>27.304349750199265</x:v>
      </x:c>
      <x:c r="G2514" s="65" t="n">
        <x:v>179.38577504974327</x:v>
      </x:c>
      <x:c r="H2514" s="43" t="n">
        <x:v>1</x:v>
      </x:c>
      <x:c r="I2514" s="34" t="str">
        <x:v>generated design-reference observation; not predicted tract behavior</x:v>
      </x:c>
    </x:row>
    <x:row r="2515" ht="75.5999984741211" hidden="0" customHeight="1">
      <x:c r="A2515" s="36" t="str">
        <x:v>P2</x:v>
      </x:c>
      <x:c r="B2515" s="36" t="str">
        <x:v>48201314005</x:v>
      </x:c>
      <x:c r="C2515" s="66" t="n">
        <x:v>218.97419727746657</x:v>
      </x:c>
      <x:c r="D2515" s="66" t="n">
        <x:v>186.54952180448464</x:v>
      </x:c>
      <x:c r="E2515" s="66" t="n">
        <x:v>32.42467547298193</x:v>
      </x:c>
      <x:c r="F2515" s="66" t="n">
        <x:v>32.42467547298193</x:v>
      </x:c>
      <x:c r="G2515" s="66" t="n">
        <x:v>218.97419727746657</x:v>
      </x:c>
      <x:c r="H2515" s="45" t="n">
        <x:v>1</x:v>
      </x:c>
      <x:c r="I2515" s="36" t="str">
        <x:v>generated design-reference observation; not predicted tract behavior</x:v>
      </x:c>
    </x:row>
    <x:row r="2516" ht="75.5999984741211" hidden="0" customHeight="1">
      <x:c r="A2516" s="34" t="str">
        <x:v>P2</x:v>
      </x:c>
      <x:c r="B2516" s="34" t="str">
        <x:v>48201314301</x:v>
      </x:c>
      <x:c r="C2516" s="65" t="n">
        <x:v>190.49128241678181</x:v>
      </x:c>
      <x:c r="D2516" s="65" t="n">
        <x:v>160.72850297966224</x:v>
      </x:c>
      <x:c r="E2516" s="65" t="n">
        <x:v>29.762779437119576</x:v>
      </x:c>
      <x:c r="F2516" s="65" t="n">
        <x:v>29.762779437119576</x:v>
      </x:c>
      <x:c r="G2516" s="65" t="n">
        <x:v>190.49128241678181</x:v>
      </x:c>
      <x:c r="H2516" s="43" t="n">
        <x:v>1</x:v>
      </x:c>
      <x:c r="I2516" s="34" t="str">
        <x:v>generated design-reference observation; not predicted tract behavior</x:v>
      </x:c>
    </x:row>
    <x:row r="2517" ht="75.5999984741211" hidden="0" customHeight="1">
      <x:c r="A2517" s="36" t="str">
        <x:v>P2</x:v>
      </x:c>
      <x:c r="B2517" s="36" t="str">
        <x:v>48201314302</x:v>
      </x:c>
      <x:c r="C2517" s="66" t="n">
        <x:v>138.23330755235213</x:v>
      </x:c>
      <x:c r="D2517" s="66" t="n">
        <x:v>117.9090736240257</x:v>
      </x:c>
      <x:c r="E2517" s="66" t="n">
        <x:v>20.324233928326436</x:v>
      </x:c>
      <x:c r="F2517" s="66" t="n">
        <x:v>20.324233928326436</x:v>
      </x:c>
      <x:c r="G2517" s="66" t="n">
        <x:v>138.23330755235213</x:v>
      </x:c>
      <x:c r="H2517" s="45" t="n">
        <x:v>1</x:v>
      </x:c>
      <x:c r="I2517" s="36" t="str">
        <x:v>generated design-reference observation; not predicted tract behavior</x:v>
      </x:c>
    </x:row>
    <x:row r="2518" ht="75.5999984741211" hidden="0" customHeight="1">
      <x:c r="A2518" s="34" t="str">
        <x:v>P2</x:v>
      </x:c>
      <x:c r="B2518" s="34" t="str">
        <x:v>48201314401</x:v>
      </x:c>
      <x:c r="C2518" s="65" t="n">
        <x:v>214.7327749390999</x:v>
      </x:c>
      <x:c r="D2518" s="65" t="n">
        <x:v>155.88769862502446</x:v>
      </x:c>
      <x:c r="E2518" s="65" t="n">
        <x:v>58.84507631407544</x:v>
      </x:c>
      <x:c r="F2518" s="65" t="n">
        <x:v>58.84507631407544</x:v>
      </x:c>
      <x:c r="G2518" s="65" t="n">
        <x:v>214.7327749390999</x:v>
      </x:c>
      <x:c r="H2518" s="43" t="n">
        <x:v>1</x:v>
      </x:c>
      <x:c r="I2518" s="34" t="str">
        <x:v>generated design-reference observation; not predicted tract behavior</x:v>
      </x:c>
    </x:row>
    <x:row r="2519" ht="75.5999984741211" hidden="0" customHeight="1">
      <x:c r="A2519" s="36" t="str">
        <x:v>P2</x:v>
      </x:c>
      <x:c r="B2519" s="36" t="str">
        <x:v>48201314402</x:v>
      </x:c>
      <x:c r="C2519" s="66" t="n">
        <x:v>164.33478665067832</x:v>
      </x:c>
      <x:c r="D2519" s="66" t="n">
        <x:v>139.248758521981</x:v>
      </x:c>
      <x:c r="E2519" s="66" t="n">
        <x:v>25.086028128697336</x:v>
      </x:c>
      <x:c r="F2519" s="66" t="n">
        <x:v>25.086028128697336</x:v>
      </x:c>
      <x:c r="G2519" s="66" t="n">
        <x:v>164.33478665067832</x:v>
      </x:c>
      <x:c r="H2519" s="45" t="n">
        <x:v>1</x:v>
      </x:c>
      <x:c r="I2519" s="36" t="str">
        <x:v>generated design-reference observation; not predicted tract behavior</x:v>
      </x:c>
    </x:row>
    <x:row r="2520" ht="75.5999984741211" hidden="0" customHeight="1">
      <x:c r="A2520" s="34" t="str">
        <x:v>P2</x:v>
      </x:c>
      <x:c r="B2520" s="34" t="str">
        <x:v>48201320100</x:v>
      </x:c>
      <x:c r="C2520" s="65" t="n">
        <x:v>183.9600179992242</x:v>
      </x:c>
      <x:c r="D2520" s="65" t="n">
        <x:v>157.85201031532318</x:v>
      </x:c>
      <x:c r="E2520" s="65" t="n">
        <x:v>26.108007683901008</x:v>
      </x:c>
      <x:c r="F2520" s="65" t="n">
        <x:v>26.108007683901008</x:v>
      </x:c>
      <x:c r="G2520" s="65" t="n">
        <x:v>183.9600179992242</x:v>
      </x:c>
      <x:c r="H2520" s="43" t="n">
        <x:v>1</x:v>
      </x:c>
      <x:c r="I2520" s="34" t="str">
        <x:v>generated design-reference observation; not predicted tract behavior</x:v>
      </x:c>
    </x:row>
    <x:row r="2521" ht="75.5999984741211" hidden="0" customHeight="1">
      <x:c r="A2521" s="36" t="str">
        <x:v>P2</x:v>
      </x:c>
      <x:c r="B2521" s="36" t="str">
        <x:v>48201320201</x:v>
      </x:c>
      <x:c r="C2521" s="66" t="n">
        <x:v>241.92400726455259</x:v>
      </x:c>
      <x:c r="D2521" s="66" t="n">
        <x:v>206.34453897352768</x:v>
      </x:c>
      <x:c r="E2521" s="66" t="n">
        <x:v>35.57946829102491</x:v>
      </x:c>
      <x:c r="F2521" s="66" t="n">
        <x:v>35.57946829102491</x:v>
      </x:c>
      <x:c r="G2521" s="66" t="n">
        <x:v>241.92400726455259</x:v>
      </x:c>
      <x:c r="H2521" s="45" t="n">
        <x:v>1</x:v>
      </x:c>
      <x:c r="I2521" s="36" t="str">
        <x:v>generated design-reference observation; not predicted tract behavior</x:v>
      </x:c>
    </x:row>
    <x:row r="2522" ht="75.5999984741211" hidden="0" customHeight="1">
      <x:c r="A2522" s="34" t="str">
        <x:v>P2</x:v>
      </x:c>
      <x:c r="B2522" s="34" t="str">
        <x:v>48201320202</x:v>
      </x:c>
      <x:c r="C2522" s="65" t="n">
        <x:v>435.19453827223623</x:v>
      </x:c>
      <x:c r="D2522" s="65" t="n">
        <x:v>326.0390152277349</x:v>
      </x:c>
      <x:c r="E2522" s="65" t="n">
        <x:v>109.15552304450131</x:v>
      </x:c>
      <x:c r="F2522" s="65" t="n">
        <x:v>109.15552304450131</x:v>
      </x:c>
      <x:c r="G2522" s="65" t="n">
        <x:v>435.19453827223623</x:v>
      </x:c>
      <x:c r="H2522" s="43" t="n">
        <x:v>1</x:v>
      </x:c>
      <x:c r="I2522" s="34" t="str">
        <x:v>generated design-reference observation; not predicted tract behavior</x:v>
      </x:c>
    </x:row>
    <x:row r="2523" ht="75.5999984741211" hidden="0" customHeight="1">
      <x:c r="A2523" s="36" t="str">
        <x:v>P2</x:v>
      </x:c>
      <x:c r="B2523" s="36" t="str">
        <x:v>48201320500</x:v>
      </x:c>
      <x:c r="C2523" s="66" t="n">
        <x:v>332.2849543267195</x:v>
      </x:c>
      <x:c r="D2523" s="66" t="n">
        <x:v>287.360028501747</x:v>
      </x:c>
      <x:c r="E2523" s="66" t="n">
        <x:v>44.92492582497249</x:v>
      </x:c>
      <x:c r="F2523" s="66" t="n">
        <x:v>44.92492582497249</x:v>
      </x:c>
      <x:c r="G2523" s="66" t="n">
        <x:v>332.2849543267195</x:v>
      </x:c>
      <x:c r="H2523" s="45" t="n">
        <x:v>1</x:v>
      </x:c>
      <x:c r="I2523" s="36" t="str">
        <x:v>generated design-reference observation; not predicted tract behavior</x:v>
      </x:c>
    </x:row>
    <x:row r="2524" ht="75.5999984741211" hidden="0" customHeight="1">
      <x:c r="A2524" s="34" t="str">
        <x:v>P2</x:v>
      </x:c>
      <x:c r="B2524" s="34" t="str">
        <x:v>48201320601</x:v>
      </x:c>
      <x:c r="C2524" s="65" t="n">
        <x:v>172.28862490647666</x:v>
      </x:c>
      <x:c r="D2524" s="65" t="n">
        <x:v>147.3303999911171</x:v>
      </x:c>
      <x:c r="E2524" s="65" t="n">
        <x:v>24.95822491535955</x:v>
      </x:c>
      <x:c r="F2524" s="65" t="n">
        <x:v>24.95822491535955</x:v>
      </x:c>
      <x:c r="G2524" s="65" t="n">
        <x:v>172.28862490647666</x:v>
      </x:c>
      <x:c r="H2524" s="43" t="n">
        <x:v>1</x:v>
      </x:c>
      <x:c r="I2524" s="34" t="str">
        <x:v>generated design-reference observation; not predicted tract behavior</x:v>
      </x:c>
    </x:row>
    <x:row r="2525" ht="75.5999984741211" hidden="0" customHeight="1">
      <x:c r="A2525" s="36" t="str">
        <x:v>P2</x:v>
      </x:c>
      <x:c r="B2525" s="36" t="str">
        <x:v>48201320602</x:v>
      </x:c>
      <x:c r="C2525" s="66" t="n">
        <x:v>354.14229048222853</x:v>
      </x:c>
      <x:c r="D2525" s="66" t="n">
        <x:v>303.43849261837966</x:v>
      </x:c>
      <x:c r="E2525" s="66" t="n">
        <x:v>50.70379786384888</x:v>
      </x:c>
      <x:c r="F2525" s="66" t="n">
        <x:v>50.70379786384888</x:v>
      </x:c>
      <x:c r="G2525" s="66" t="n">
        <x:v>354.14229048222853</x:v>
      </x:c>
      <x:c r="H2525" s="45" t="n">
        <x:v>1</x:v>
      </x:c>
      <x:c r="I2525" s="36" t="str">
        <x:v>generated design-reference observation; not predicted tract behavior</x:v>
      </x:c>
    </x:row>
    <x:row r="2526" ht="75.5999984741211" hidden="0" customHeight="1">
      <x:c r="A2526" s="34" t="str">
        <x:v>P2</x:v>
      </x:c>
      <x:c r="B2526" s="34" t="str">
        <x:v>48201320700</x:v>
      </x:c>
      <x:c r="C2526" s="65" t="n">
        <x:v>278.58868657611293</x:v>
      </x:c>
      <x:c r="D2526" s="65" t="n">
        <x:v>238.90587763575442</x:v>
      </x:c>
      <x:c r="E2526" s="65" t="n">
        <x:v>39.68280894035851</x:v>
      </x:c>
      <x:c r="F2526" s="65" t="n">
        <x:v>39.68280894035851</x:v>
      </x:c>
      <x:c r="G2526" s="65" t="n">
        <x:v>278.58868657611293</x:v>
      </x:c>
      <x:c r="H2526" s="43" t="n">
        <x:v>1</x:v>
      </x:c>
      <x:c r="I2526" s="34" t="str">
        <x:v>generated design-reference observation; not predicted tract behavior</x:v>
      </x:c>
    </x:row>
    <x:row r="2527" ht="75.5999984741211" hidden="0" customHeight="1">
      <x:c r="A2527" s="36" t="str">
        <x:v>P2</x:v>
      </x:c>
      <x:c r="B2527" s="36" t="str">
        <x:v>48201320800</x:v>
      </x:c>
      <x:c r="C2527" s="66" t="n">
        <x:v>822.0251935168926</x:v>
      </x:c>
      <x:c r="D2527" s="66" t="n">
        <x:v>340.10463784122044</x:v>
      </x:c>
      <x:c r="E2527" s="66" t="n">
        <x:v>481.9205556756722</x:v>
      </x:c>
      <x:c r="F2527" s="66" t="n">
        <x:v>481.9205556756722</x:v>
      </x:c>
      <x:c r="G2527" s="66" t="n">
        <x:v>822.0251935168926</x:v>
      </x:c>
      <x:c r="H2527" s="45" t="n">
        <x:v>1</x:v>
      </x:c>
      <x:c r="I2527" s="36" t="str">
        <x:v>generated design-reference observation; not predicted tract behavior</x:v>
      </x:c>
    </x:row>
    <x:row r="2528" ht="75.5999984741211" hidden="0" customHeight="1">
      <x:c r="A2528" s="34" t="str">
        <x:v>P2</x:v>
      </x:c>
      <x:c r="B2528" s="34" t="str">
        <x:v>48201320901</x:v>
      </x:c>
      <x:c r="C2528" s="65" t="n">
        <x:v>225.6980200322447</x:v>
      </x:c>
      <x:c r="D2528" s="65" t="n">
        <x:v>193.93229611478435</x:v>
      </x:c>
      <x:c r="E2528" s="65" t="n">
        <x:v>31.76572391746035</x:v>
      </x:c>
      <x:c r="F2528" s="65" t="n">
        <x:v>31.76572391746035</x:v>
      </x:c>
      <x:c r="G2528" s="65" t="n">
        <x:v>225.6980200322447</x:v>
      </x:c>
      <x:c r="H2528" s="43" t="n">
        <x:v>1</x:v>
      </x:c>
      <x:c r="I2528" s="34" t="str">
        <x:v>generated design-reference observation; not predicted tract behavior</x:v>
      </x:c>
    </x:row>
    <x:row r="2529" ht="75.5999984741211" hidden="0" customHeight="1">
      <x:c r="A2529" s="36" t="str">
        <x:v>P2</x:v>
      </x:c>
      <x:c r="B2529" s="36" t="str">
        <x:v>48201320902</x:v>
      </x:c>
      <x:c r="C2529" s="66" t="n">
        <x:v>521.5326182202286</x:v>
      </x:c>
      <x:c r="D2529" s="66" t="n">
        <x:v>393.44420718534053</x:v>
      </x:c>
      <x:c r="E2529" s="66" t="n">
        <x:v>128.0884110348881</x:v>
      </x:c>
      <x:c r="F2529" s="66" t="n">
        <x:v>128.0884110348881</x:v>
      </x:c>
      <x:c r="G2529" s="66" t="n">
        <x:v>521.5326182202286</x:v>
      </x:c>
      <x:c r="H2529" s="45" t="n">
        <x:v>1</x:v>
      </x:c>
      <x:c r="I2529" s="36" t="str">
        <x:v>generated design-reference observation; not predicted tract behavior</x:v>
      </x:c>
    </x:row>
    <x:row r="2530" ht="75.5999984741211" hidden="0" customHeight="1">
      <x:c r="A2530" s="34" t="str">
        <x:v>P2</x:v>
      </x:c>
      <x:c r="B2530" s="34" t="str">
        <x:v>48201321001</x:v>
      </x:c>
      <x:c r="C2530" s="65" t="n">
        <x:v>225.623354554547</x:v>
      </x:c>
      <x:c r="D2530" s="65" t="n">
        <x:v>192.3340440391026</x:v>
      </x:c>
      <x:c r="E2530" s="65" t="n">
        <x:v>33.28931051544441</x:v>
      </x:c>
      <x:c r="F2530" s="65" t="n">
        <x:v>33.28931051544441</x:v>
      </x:c>
      <x:c r="G2530" s="65" t="n">
        <x:v>225.623354554547</x:v>
      </x:c>
      <x:c r="H2530" s="43" t="n">
        <x:v>1</x:v>
      </x:c>
      <x:c r="I2530" s="34" t="str">
        <x:v>generated design-reference observation; not predicted tract behavior</x:v>
      </x:c>
    </x:row>
    <x:row r="2531" ht="75.5999984741211" hidden="0" customHeight="1">
      <x:c r="A2531" s="36" t="str">
        <x:v>P2</x:v>
      </x:c>
      <x:c r="B2531" s="36" t="str">
        <x:v>48201321002</x:v>
      </x:c>
      <x:c r="C2531" s="66" t="n">
        <x:v>739.1507453238007</x:v>
      </x:c>
      <x:c r="D2531" s="66" t="n">
        <x:v>553.0117184634665</x:v>
      </x:c>
      <x:c r="E2531" s="66" t="n">
        <x:v>186.13902686033418</x:v>
      </x:c>
      <x:c r="F2531" s="66" t="n">
        <x:v>186.13902686033418</x:v>
      </x:c>
      <x:c r="G2531" s="66" t="n">
        <x:v>739.1507453238007</x:v>
      </x:c>
      <x:c r="H2531" s="45" t="n">
        <x:v>1</x:v>
      </x:c>
      <x:c r="I2531" s="36" t="str">
        <x:v>generated design-reference observation; not predicted tract behavior</x:v>
      </x:c>
    </x:row>
    <x:row r="2532" ht="75.5999984741211" hidden="0" customHeight="1">
      <x:c r="A2532" s="34" t="str">
        <x:v>P2</x:v>
      </x:c>
      <x:c r="B2532" s="34" t="str">
        <x:v>48201321101</x:v>
      </x:c>
      <x:c r="C2532" s="65" t="n">
        <x:v>313.8386515734008</x:v>
      </x:c>
      <x:c r="D2532" s="65" t="n">
        <x:v>269.2232381398513</x:v>
      </x:c>
      <x:c r="E2532" s="65" t="n">
        <x:v>44.61541343354952</x:v>
      </x:c>
      <x:c r="F2532" s="65" t="n">
        <x:v>44.61541343354952</x:v>
      </x:c>
      <x:c r="G2532" s="65" t="n">
        <x:v>313.8386515734008</x:v>
      </x:c>
      <x:c r="H2532" s="43" t="n">
        <x:v>1</x:v>
      </x:c>
      <x:c r="I2532" s="34" t="str">
        <x:v>generated design-reference observation; not predicted tract behavior</x:v>
      </x:c>
    </x:row>
    <x:row r="2533" ht="75.5999984741211" hidden="0" customHeight="1">
      <x:c r="A2533" s="36" t="str">
        <x:v>P2</x:v>
      </x:c>
      <x:c r="B2533" s="36" t="str">
        <x:v>48201321102</x:v>
      </x:c>
      <x:c r="C2533" s="66" t="n">
        <x:v>348.70349989624793</x:v>
      </x:c>
      <x:c r="D2533" s="66" t="n">
        <x:v>301.55878671027517</x:v>
      </x:c>
      <x:c r="E2533" s="66" t="n">
        <x:v>47.14471318597276</x:v>
      </x:c>
      <x:c r="F2533" s="66" t="n">
        <x:v>47.14471318597276</x:v>
      </x:c>
      <x:c r="G2533" s="66" t="n">
        <x:v>348.70349989624793</x:v>
      </x:c>
      <x:c r="H2533" s="45" t="n">
        <x:v>1</x:v>
      </x:c>
      <x:c r="I2533" s="36" t="str">
        <x:v>generated design-reference observation; not predicted tract behavior</x:v>
      </x:c>
    </x:row>
    <x:row r="2534" ht="75.5999984741211" hidden="0" customHeight="1">
      <x:c r="A2534" s="34" t="str">
        <x:v>P2</x:v>
      </x:c>
      <x:c r="B2534" s="34" t="str">
        <x:v>48201321200</x:v>
      </x:c>
      <x:c r="C2534" s="65" t="n">
        <x:v>398.14383541808496</x:v>
      </x:c>
      <x:c r="D2534" s="65" t="n">
        <x:v>340.8136336758803</x:v>
      </x:c>
      <x:c r="E2534" s="65" t="n">
        <x:v>57.33020174220468</x:v>
      </x:c>
      <x:c r="F2534" s="65" t="n">
        <x:v>57.33020174220468</x:v>
      </x:c>
      <x:c r="G2534" s="65" t="n">
        <x:v>398.14383541808496</x:v>
      </x:c>
      <x:c r="H2534" s="43" t="n">
        <x:v>1</x:v>
      </x:c>
      <x:c r="I2534" s="34" t="str">
        <x:v>generated design-reference observation; not predicted tract behavior</x:v>
      </x:c>
    </x:row>
    <x:row r="2535" ht="75.5999984741211" hidden="0" customHeight="1">
      <x:c r="A2535" s="36" t="str">
        <x:v>P2</x:v>
      </x:c>
      <x:c r="B2535" s="36" t="str">
        <x:v>48201321301</x:v>
      </x:c>
      <x:c r="C2535" s="66" t="n">
        <x:v>641.1388539679939</x:v>
      </x:c>
      <x:c r="D2535" s="66" t="n">
        <x:v>262.45024627697603</x:v>
      </x:c>
      <x:c r="E2535" s="66" t="n">
        <x:v>378.68860769101786</x:v>
      </x:c>
      <x:c r="F2535" s="66" t="n">
        <x:v>378.68860769101786</x:v>
      </x:c>
      <x:c r="G2535" s="66" t="n">
        <x:v>641.1388539679939</x:v>
      </x:c>
      <x:c r="H2535" s="45" t="n">
        <x:v>1</x:v>
      </x:c>
      <x:c r="I2535" s="36" t="str">
        <x:v>generated design-reference observation; not predicted tract behavior</x:v>
      </x:c>
    </x:row>
    <x:row r="2536" ht="75.5999984741211" hidden="0" customHeight="1">
      <x:c r="A2536" s="34" t="str">
        <x:v>P2</x:v>
      </x:c>
      <x:c r="B2536" s="34" t="str">
        <x:v>48201321302</x:v>
      </x:c>
      <x:c r="C2536" s="65" t="n">
        <x:v>334.6198375240358</x:v>
      </x:c>
      <x:c r="D2536" s="65" t="n">
        <x:v>137.93927007332996</x:v>
      </x:c>
      <x:c r="E2536" s="65" t="n">
        <x:v>196.68056745070584</x:v>
      </x:c>
      <x:c r="F2536" s="65" t="n">
        <x:v>196.68056745070584</x:v>
      </x:c>
      <x:c r="G2536" s="65" t="n">
        <x:v>334.6198375240358</x:v>
      </x:c>
      <x:c r="H2536" s="43" t="n">
        <x:v>1</x:v>
      </x:c>
      <x:c r="I2536" s="34" t="str">
        <x:v>generated design-reference observation; not predicted tract behavior</x:v>
      </x:c>
    </x:row>
    <x:row r="2537" ht="75.5999984741211" hidden="0" customHeight="1">
      <x:c r="A2537" s="36" t="str">
        <x:v>P2</x:v>
      </x:c>
      <x:c r="B2537" s="36" t="str">
        <x:v>48201321401</x:v>
      </x:c>
      <x:c r="C2537" s="66" t="n">
        <x:v>528.0403040658816</x:v>
      </x:c>
      <x:c r="D2537" s="66" t="n">
        <x:v>397.6958665807768</x:v>
      </x:c>
      <x:c r="E2537" s="66" t="n">
        <x:v>130.34443748510483</x:v>
      </x:c>
      <x:c r="F2537" s="66" t="n">
        <x:v>130.34443748510483</x:v>
      </x:c>
      <x:c r="G2537" s="66" t="n">
        <x:v>528.0403040658816</x:v>
      </x:c>
      <x:c r="H2537" s="45" t="n">
        <x:v>1</x:v>
      </x:c>
      <x:c r="I2537" s="36" t="str">
        <x:v>generated design-reference observation; not predicted tract behavior</x:v>
      </x:c>
    </x:row>
    <x:row r="2538" ht="75.5999984741211" hidden="0" customHeight="1">
      <x:c r="A2538" s="34" t="str">
        <x:v>P2</x:v>
      </x:c>
      <x:c r="B2538" s="34" t="str">
        <x:v>48201321402</x:v>
      </x:c>
      <x:c r="C2538" s="65" t="n">
        <x:v>690.8158820770263</x:v>
      </x:c>
      <x:c r="D2538" s="65" t="n">
        <x:v>521.0637654959056</x:v>
      </x:c>
      <x:c r="E2538" s="65" t="n">
        <x:v>169.75211658112073</x:v>
      </x:c>
      <x:c r="F2538" s="65" t="n">
        <x:v>169.75211658112073</x:v>
      </x:c>
      <x:c r="G2538" s="65" t="n">
        <x:v>690.8158820770263</x:v>
      </x:c>
      <x:c r="H2538" s="43" t="n">
        <x:v>1</x:v>
      </x:c>
      <x:c r="I2538" s="34" t="str">
        <x:v>generated design-reference observation; not predicted tract behavior</x:v>
      </x:c>
    </x:row>
    <x:row r="2539" ht="75.5999984741211" hidden="0" customHeight="1">
      <x:c r="A2539" s="36" t="str">
        <x:v>P2</x:v>
      </x:c>
      <x:c r="B2539" s="36" t="str">
        <x:v>48201321500</x:v>
      </x:c>
      <x:c r="C2539" s="66" t="n">
        <x:v>472.22921978906777</x:v>
      </x:c>
      <x:c r="D2539" s="66" t="n">
        <x:v>193.12762815070698</x:v>
      </x:c>
      <x:c r="E2539" s="66" t="n">
        <x:v>279.1015916383608</x:v>
      </x:c>
      <x:c r="F2539" s="66" t="n">
        <x:v>279.1015916383608</x:v>
      </x:c>
      <x:c r="G2539" s="66" t="n">
        <x:v>472.22921978906777</x:v>
      </x:c>
      <x:c r="H2539" s="45" t="n">
        <x:v>1</x:v>
      </x:c>
      <x:c r="I2539" s="36" t="str">
        <x:v>generated design-reference observation; not predicted tract behavior</x:v>
      </x:c>
    </x:row>
    <x:row r="2540" ht="75.5999984741211" hidden="0" customHeight="1">
      <x:c r="A2540" s="34" t="str">
        <x:v>P2</x:v>
      </x:c>
      <x:c r="B2540" s="34" t="str">
        <x:v>48201321600</x:v>
      </x:c>
      <x:c r="C2540" s="65" t="n">
        <x:v>562.2624851596383</x:v>
      </x:c>
      <x:c r="D2540" s="65" t="n">
        <x:v>485.35700782202196</x:v>
      </x:c>
      <x:c r="E2540" s="65" t="n">
        <x:v>76.90547733761639</x:v>
      </x:c>
      <x:c r="F2540" s="65" t="n">
        <x:v>76.90547733761639</x:v>
      </x:c>
      <x:c r="G2540" s="65" t="n">
        <x:v>562.2624851596383</x:v>
      </x:c>
      <x:c r="H2540" s="43" t="n">
        <x:v>1</x:v>
      </x:c>
      <x:c r="I2540" s="34" t="str">
        <x:v>generated design-reference observation; not predicted tract behavior</x:v>
      </x:c>
    </x:row>
    <x:row r="2541" ht="75.5999984741211" hidden="0" customHeight="1">
      <x:c r="A2541" s="36" t="str">
        <x:v>P2</x:v>
      </x:c>
      <x:c r="B2541" s="36" t="str">
        <x:v>48201321700</x:v>
      </x:c>
      <x:c r="C2541" s="66" t="n">
        <x:v>257.0575206652835</x:v>
      </x:c>
      <x:c r="D2541" s="66" t="n">
        <x:v>222.18075011552574</x:v>
      </x:c>
      <x:c r="E2541" s="66" t="n">
        <x:v>34.876770549757765</x:v>
      </x:c>
      <x:c r="F2541" s="66" t="n">
        <x:v>34.876770549757765</x:v>
      </x:c>
      <x:c r="G2541" s="66" t="n">
        <x:v>257.0575206652835</x:v>
      </x:c>
      <x:c r="H2541" s="45" t="n">
        <x:v>1</x:v>
      </x:c>
      <x:c r="I2541" s="36" t="str">
        <x:v>generated design-reference observation; not predicted tract behavior</x:v>
      </x:c>
    </x:row>
    <x:row r="2542" ht="75.5999984741211" hidden="0" customHeight="1">
      <x:c r="A2542" s="34" t="str">
        <x:v>P2</x:v>
      </x:c>
      <x:c r="B2542" s="34" t="str">
        <x:v>48201321800</x:v>
      </x:c>
      <x:c r="C2542" s="65" t="n">
        <x:v>334.4384638940009</x:v>
      </x:c>
      <x:c r="D2542" s="65" t="n">
        <x:v>288.467233748964</x:v>
      </x:c>
      <x:c r="E2542" s="65" t="n">
        <x:v>45.971230145036884</x:v>
      </x:c>
      <x:c r="F2542" s="65" t="n">
        <x:v>45.971230145036884</x:v>
      </x:c>
      <x:c r="G2542" s="65" t="n">
        <x:v>334.4384638940009</x:v>
      </x:c>
      <x:c r="H2542" s="43" t="n">
        <x:v>1</x:v>
      </x:c>
      <x:c r="I2542" s="34" t="str">
        <x:v>generated design-reference observation; not predicted tract behavior</x:v>
      </x:c>
    </x:row>
    <x:row r="2543" ht="75.5999984741211" hidden="0" customHeight="1">
      <x:c r="A2543" s="36" t="str">
        <x:v>P2</x:v>
      </x:c>
      <x:c r="B2543" s="36" t="str">
        <x:v>48201321900</x:v>
      </x:c>
      <x:c r="C2543" s="66" t="n">
        <x:v>428.9806777072397</x:v>
      </x:c>
      <x:c r="D2543" s="66" t="n">
        <x:v>370.56091906976496</x:v>
      </x:c>
      <x:c r="E2543" s="66" t="n">
        <x:v>58.41975863747473</x:v>
      </x:c>
      <x:c r="F2543" s="66" t="n">
        <x:v>58.41975863747473</x:v>
      </x:c>
      <x:c r="G2543" s="66" t="n">
        <x:v>428.9806777072397</x:v>
      </x:c>
      <x:c r="H2543" s="45" t="n">
        <x:v>1</x:v>
      </x:c>
      <x:c r="I2543" s="36" t="str">
        <x:v>generated design-reference observation; not predicted tract behavior</x:v>
      </x:c>
    </x:row>
    <x:row r="2544" ht="75.5999984741211" hidden="0" customHeight="1">
      <x:c r="A2544" s="34" t="str">
        <x:v>P2</x:v>
      </x:c>
      <x:c r="B2544" s="34" t="str">
        <x:v>48201322000</x:v>
      </x:c>
      <x:c r="C2544" s="65" t="n">
        <x:v>733.5329994228522</x:v>
      </x:c>
      <x:c r="D2544" s="65" t="n">
        <x:v>292.62261420309625</x:v>
      </x:c>
      <x:c r="E2544" s="65" t="n">
        <x:v>440.91038521975594</x:v>
      </x:c>
      <x:c r="F2544" s="65" t="n">
        <x:v>440.910385219756</x:v>
      </x:c>
      <x:c r="G2544" s="65" t="n">
        <x:v>733.5329994228522</x:v>
      </x:c>
      <x:c r="H2544" s="43" t="n">
        <x:v>1</x:v>
      </x:c>
      <x:c r="I2544" s="34" t="str">
        <x:v>generated design-reference observation; not predicted tract behavior</x:v>
      </x:c>
    </x:row>
    <x:row r="2545" ht="75.5999984741211" hidden="0" customHeight="1">
      <x:c r="A2545" s="36" t="str">
        <x:v>P2</x:v>
      </x:c>
      <x:c r="B2545" s="36" t="str">
        <x:v>48201322100</x:v>
      </x:c>
      <x:c r="C2545" s="66" t="n">
        <x:v>318.7940814353384</x:v>
      </x:c>
      <x:c r="D2545" s="66" t="n">
        <x:v>274.639870423361</x:v>
      </x:c>
      <x:c r="E2545" s="66" t="n">
        <x:v>44.154211011977395</x:v>
      </x:c>
      <x:c r="F2545" s="66" t="n">
        <x:v>44.154211011977395</x:v>
      </x:c>
      <x:c r="G2545" s="66" t="n">
        <x:v>318.7940814353384</x:v>
      </x:c>
      <x:c r="H2545" s="45" t="n">
        <x:v>1</x:v>
      </x:c>
      <x:c r="I2545" s="36" t="str">
        <x:v>generated design-reference observation; not predicted tract behavior</x:v>
      </x:c>
    </x:row>
    <x:row r="2546" ht="75.5999984741211" hidden="0" customHeight="1">
      <x:c r="A2546" s="34" t="str">
        <x:v>P2</x:v>
      </x:c>
      <x:c r="B2546" s="34" t="str">
        <x:v>48201322200</x:v>
      </x:c>
      <x:c r="C2546" s="65" t="n">
        <x:v>239.6024248001055</x:v>
      </x:c>
      <x:c r="D2546" s="65" t="n">
        <x:v>180.42742187052835</x:v>
      </x:c>
      <x:c r="E2546" s="65" t="n">
        <x:v>59.17500292957715</x:v>
      </x:c>
      <x:c r="F2546" s="65" t="n">
        <x:v>59.17500292957715</x:v>
      </x:c>
      <x:c r="G2546" s="65" t="n">
        <x:v>239.6024248001055</x:v>
      </x:c>
      <x:c r="H2546" s="43" t="n">
        <x:v>1</x:v>
      </x:c>
      <x:c r="I2546" s="34" t="str">
        <x:v>generated design-reference observation; not predicted tract behavior</x:v>
      </x:c>
    </x:row>
    <x:row r="2547" ht="75.5999984741211" hidden="0" customHeight="1">
      <x:c r="A2547" s="36" t="str">
        <x:v>P2</x:v>
      </x:c>
      <x:c r="B2547" s="36" t="str">
        <x:v>48201322600</x:v>
      </x:c>
      <x:c r="C2547" s="66" t="n">
        <x:v>400.45846522671405</x:v>
      </x:c>
      <x:c r="D2547" s="66" t="n">
        <x:v>345.30432367837</x:v>
      </x:c>
      <x:c r="E2547" s="66" t="n">
        <x:v>55.15414154834406</x:v>
      </x:c>
      <x:c r="F2547" s="66" t="n">
        <x:v>55.15414154834406</x:v>
      </x:c>
      <x:c r="G2547" s="66" t="n">
        <x:v>400.45846522671405</x:v>
      </x:c>
      <x:c r="H2547" s="45" t="n">
        <x:v>1</x:v>
      </x:c>
      <x:c r="I2547" s="36" t="str">
        <x:v>generated design-reference observation; not predicted tract behavior</x:v>
      </x:c>
    </x:row>
    <x:row r="2548" ht="75.5999984741211" hidden="0" customHeight="1">
      <x:c r="A2548" s="34" t="str">
        <x:v>P2</x:v>
      </x:c>
      <x:c r="B2548" s="34" t="str">
        <x:v>48201322701</x:v>
      </x:c>
      <x:c r="C2548" s="65" t="n">
        <x:v>233.54575471447254</x:v>
      </x:c>
      <x:c r="D2548" s="65" t="n">
        <x:v>198.48257006814652</x:v>
      </x:c>
      <x:c r="E2548" s="65" t="n">
        <x:v>35.06318464632602</x:v>
      </x:c>
      <x:c r="F2548" s="65" t="n">
        <x:v>35.06318464632602</x:v>
      </x:c>
      <x:c r="G2548" s="65" t="n">
        <x:v>233.54575471447254</x:v>
      </x:c>
      <x:c r="H2548" s="43" t="n">
        <x:v>1</x:v>
      </x:c>
      <x:c r="I2548" s="34" t="str">
        <x:v>generated design-reference observation; not predicted tract behavior</x:v>
      </x:c>
    </x:row>
    <x:row r="2549" ht="75.5999984741211" hidden="0" customHeight="1">
      <x:c r="A2549" s="36" t="str">
        <x:v>P2</x:v>
      </x:c>
      <x:c r="B2549" s="36" t="str">
        <x:v>48201322702</x:v>
      </x:c>
      <x:c r="C2549" s="66" t="n">
        <x:v>349.0807570467204</x:v>
      </x:c>
      <x:c r="D2549" s="66" t="n">
        <x:v>301.76571654432234</x:v>
      </x:c>
      <x:c r="E2549" s="66" t="n">
        <x:v>47.31504050239806</x:v>
      </x:c>
      <x:c r="F2549" s="66" t="n">
        <x:v>47.31504050239806</x:v>
      </x:c>
      <x:c r="G2549" s="66" t="n">
        <x:v>349.0807570467204</x:v>
      </x:c>
      <x:c r="H2549" s="45" t="n">
        <x:v>1</x:v>
      </x:c>
      <x:c r="I2549" s="36" t="str">
        <x:v>generated design-reference observation; not predicted tract behavior</x:v>
      </x:c>
    </x:row>
    <x:row r="2550" ht="75.5999984741211" hidden="0" customHeight="1">
      <x:c r="A2550" s="34" t="str">
        <x:v>P2</x:v>
      </x:c>
      <x:c r="B2550" s="34" t="str">
        <x:v>48201322800</x:v>
      </x:c>
      <x:c r="C2550" s="65" t="n">
        <x:v>443.4343422847229</x:v>
      </x:c>
      <x:c r="D2550" s="65" t="n">
        <x:v>383.48201920782833</x:v>
      </x:c>
      <x:c r="E2550" s="65" t="n">
        <x:v>59.95232307689457</x:v>
      </x:c>
      <x:c r="F2550" s="65" t="n">
        <x:v>59.95232307689457</x:v>
      </x:c>
      <x:c r="G2550" s="65" t="n">
        <x:v>443.4343422847229</x:v>
      </x:c>
      <x:c r="H2550" s="43" t="n">
        <x:v>1</x:v>
      </x:c>
      <x:c r="I2550" s="34" t="str">
        <x:v>generated design-reference observation; not predicted tract behavior</x:v>
      </x:c>
    </x:row>
    <x:row r="2551" ht="75.5999984741211" hidden="0" customHeight="1">
      <x:c r="A2551" s="36" t="str">
        <x:v>P2</x:v>
      </x:c>
      <x:c r="B2551" s="36" t="str">
        <x:v>48201322900</x:v>
      </x:c>
      <x:c r="C2551" s="66" t="n">
        <x:v>303.9042132776211</x:v>
      </x:c>
      <x:c r="D2551" s="66" t="n">
        <x:v>262.32193486473125</x:v>
      </x:c>
      <x:c r="E2551" s="66" t="n">
        <x:v>41.58227841288988</x:v>
      </x:c>
      <x:c r="F2551" s="66" t="n">
        <x:v>41.58227841288988</x:v>
      </x:c>
      <x:c r="G2551" s="66" t="n">
        <x:v>303.9042132776211</x:v>
      </x:c>
      <x:c r="H2551" s="45" t="n">
        <x:v>1</x:v>
      </x:c>
      <x:c r="I2551" s="36" t="str">
        <x:v>generated design-reference observation; not predicted tract behavior</x:v>
      </x:c>
    </x:row>
    <x:row r="2552" ht="75.5999984741211" hidden="0" customHeight="1">
      <x:c r="A2552" s="34" t="str">
        <x:v>P2</x:v>
      </x:c>
      <x:c r="B2552" s="34" t="str">
        <x:v>48201323000</x:v>
      </x:c>
      <x:c r="C2552" s="65" t="n">
        <x:v>529.3467987809</x:v>
      </x:c>
      <x:c r="D2552" s="65" t="n">
        <x:v>445.8834178258782</x:v>
      </x:c>
      <x:c r="E2552" s="65" t="n">
        <x:v>83.46338095502182</x:v>
      </x:c>
      <x:c r="F2552" s="65" t="n">
        <x:v>83.46338095502182</x:v>
      </x:c>
      <x:c r="G2552" s="65" t="n">
        <x:v>529.3467987809</x:v>
      </x:c>
      <x:c r="H2552" s="43" t="n">
        <x:v>1</x:v>
      </x:c>
      <x:c r="I2552" s="34" t="str">
        <x:v>generated design-reference observation; not predicted tract behavior</x:v>
      </x:c>
    </x:row>
    <x:row r="2553" ht="75.5999984741211" hidden="0" customHeight="1">
      <x:c r="A2553" s="36" t="str">
        <x:v>P2</x:v>
      </x:c>
      <x:c r="B2553" s="36" t="str">
        <x:v>48201323100</x:v>
      </x:c>
      <x:c r="C2553" s="66" t="n">
        <x:v>279.1781508737264</x:v>
      </x:c>
      <x:c r="D2553" s="66" t="n">
        <x:v>237.80771500875866</x:v>
      </x:c>
      <x:c r="E2553" s="66" t="n">
        <x:v>41.37043586496773</x:v>
      </x:c>
      <x:c r="F2553" s="66" t="n">
        <x:v>41.37043586496773</x:v>
      </x:c>
      <x:c r="G2553" s="66" t="n">
        <x:v>279.1781508737264</x:v>
      </x:c>
      <x:c r="H2553" s="45" t="n">
        <x:v>1</x:v>
      </x:c>
      <x:c r="I2553" s="36" t="str">
        <x:v>generated design-reference observation; not predicted tract behavior</x:v>
      </x:c>
    </x:row>
    <x:row r="2554" ht="75.5999984741211" hidden="0" customHeight="1">
      <x:c r="A2554" s="34" t="str">
        <x:v>P2</x:v>
      </x:c>
      <x:c r="B2554" s="34" t="str">
        <x:v>48201323200</x:v>
      </x:c>
      <x:c r="C2554" s="65" t="n">
        <x:v>487.7070407974817</x:v>
      </x:c>
      <x:c r="D2554" s="65" t="n">
        <x:v>420.25823437820543</x:v>
      </x:c>
      <x:c r="E2554" s="65" t="n">
        <x:v>67.44880641927625</x:v>
      </x:c>
      <x:c r="F2554" s="65" t="n">
        <x:v>67.44880641927625</x:v>
      </x:c>
      <x:c r="G2554" s="65" t="n">
        <x:v>487.7070407974817</x:v>
      </x:c>
      <x:c r="H2554" s="43" t="n">
        <x:v>1</x:v>
      </x:c>
      <x:c r="I2554" s="34" t="str">
        <x:v>generated design-reference observation; not predicted tract behavior</x:v>
      </x:c>
    </x:row>
    <x:row r="2555" ht="75.5999984741211" hidden="0" customHeight="1">
      <x:c r="A2555" s="36" t="str">
        <x:v>P2</x:v>
      </x:c>
      <x:c r="B2555" s="36" t="str">
        <x:v>48201323300</x:v>
      </x:c>
      <x:c r="C2555" s="66" t="n">
        <x:v>268.11194112652885</x:v>
      </x:c>
      <x:c r="D2555" s="66" t="n">
        <x:v>229.51363374106984</x:v>
      </x:c>
      <x:c r="E2555" s="66" t="n">
        <x:v>38.59830738545901</x:v>
      </x:c>
      <x:c r="F2555" s="66" t="n">
        <x:v>38.59830738545901</x:v>
      </x:c>
      <x:c r="G2555" s="66" t="n">
        <x:v>268.11194112652885</x:v>
      </x:c>
      <x:c r="H2555" s="45" t="n">
        <x:v>1</x:v>
      </x:c>
      <x:c r="I2555" s="36" t="str">
        <x:v>generated design-reference observation; not predicted tract behavior</x:v>
      </x:c>
    </x:row>
    <x:row r="2556" ht="75.5999984741211" hidden="0" customHeight="1">
      <x:c r="A2556" s="34" t="str">
        <x:v>P2</x:v>
      </x:c>
      <x:c r="B2556" s="34" t="str">
        <x:v>48201323400</x:v>
      </x:c>
      <x:c r="C2556" s="65" t="n">
        <x:v>564.0465971004153</x:v>
      </x:c>
      <x:c r="D2556" s="65" t="n">
        <x:v>484.66378963585174</x:v>
      </x:c>
      <x:c r="E2556" s="65" t="n">
        <x:v>79.38280746456354</x:v>
      </x:c>
      <x:c r="F2556" s="65" t="n">
        <x:v>79.38280746456354</x:v>
      </x:c>
      <x:c r="G2556" s="65" t="n">
        <x:v>564.0465971004153</x:v>
      </x:c>
      <x:c r="H2556" s="43" t="n">
        <x:v>1</x:v>
      </x:c>
      <x:c r="I2556" s="34" t="str">
        <x:v>generated design-reference observation; not predicted tract behavior</x:v>
      </x:c>
    </x:row>
    <x:row r="2557" ht="75.5999984741211" hidden="0" customHeight="1">
      <x:c r="A2557" s="36" t="str">
        <x:v>P2</x:v>
      </x:c>
      <x:c r="B2557" s="36" t="str">
        <x:v>48201323500</x:v>
      </x:c>
      <x:c r="C2557" s="66" t="n">
        <x:v>970.8325837002809</x:v>
      </x:c>
      <x:c r="D2557" s="66" t="n">
        <x:v>395.72575102333394</x:v>
      </x:c>
      <x:c r="E2557" s="66" t="n">
        <x:v>575.106832676947</x:v>
      </x:c>
      <x:c r="F2557" s="66" t="n">
        <x:v>575.106832676947</x:v>
      </x:c>
      <x:c r="G2557" s="66" t="n">
        <x:v>970.8325837002809</x:v>
      </x:c>
      <x:c r="H2557" s="45" t="n">
        <x:v>1</x:v>
      </x:c>
      <x:c r="I2557" s="36" t="str">
        <x:v>generated design-reference observation; not predicted tract behavior</x:v>
      </x:c>
    </x:row>
    <x:row r="2558" ht="75.5999984741211" hidden="0" customHeight="1">
      <x:c r="A2558" s="34" t="str">
        <x:v>P2</x:v>
      </x:c>
      <x:c r="B2558" s="34" t="str">
        <x:v>48201323601</x:v>
      </x:c>
      <x:c r="C2558" s="65" t="n">
        <x:v>601.4464441923839</x:v>
      </x:c>
      <x:c r="D2558" s="65" t="n">
        <x:v>447.141233898699</x:v>
      </x:c>
      <x:c r="E2558" s="65" t="n">
        <x:v>154.30521029368487</x:v>
      </x:c>
      <x:c r="F2558" s="65" t="n">
        <x:v>154.30521029368487</x:v>
      </x:c>
      <x:c r="G2558" s="65" t="n">
        <x:v>601.4464441923839</x:v>
      </x:c>
      <x:c r="H2558" s="43" t="n">
        <x:v>1</x:v>
      </x:c>
      <x:c r="I2558" s="34" t="str">
        <x:v>generated design-reference observation; not predicted tract behavior</x:v>
      </x:c>
    </x:row>
    <x:row r="2559" ht="75.5999984741211" hidden="0" customHeight="1">
      <x:c r="A2559" s="36" t="str">
        <x:v>P2</x:v>
      </x:c>
      <x:c r="B2559" s="36" t="str">
        <x:v>48201323602</x:v>
      </x:c>
      <x:c r="C2559" s="66" t="n">
        <x:v>350.06712730472714</x:v>
      </x:c>
      <x:c r="D2559" s="66" t="n">
        <x:v>302.66297716078003</x:v>
      </x:c>
      <x:c r="E2559" s="66" t="n">
        <x:v>47.404150143947106</x:v>
      </x:c>
      <x:c r="F2559" s="66" t="n">
        <x:v>47.404150143947106</x:v>
      </x:c>
      <x:c r="G2559" s="66" t="n">
        <x:v>350.06712730472714</x:v>
      </x:c>
      <x:c r="H2559" s="45" t="n">
        <x:v>1</x:v>
      </x:c>
      <x:c r="I2559" s="36" t="str">
        <x:v>generated design-reference observation; not predicted tract behavior</x:v>
      </x:c>
    </x:row>
    <x:row r="2560" ht="75.5999984741211" hidden="0" customHeight="1">
      <x:c r="A2560" s="34" t="str">
        <x:v>P2</x:v>
      </x:c>
      <x:c r="B2560" s="34" t="str">
        <x:v>48201323701</x:v>
      </x:c>
      <x:c r="C2560" s="65" t="n">
        <x:v>317.57192545828644</x:v>
      </x:c>
      <x:c r="D2560" s="65" t="n">
        <x:v>268.7979952682211</x:v>
      </x:c>
      <x:c r="E2560" s="65" t="n">
        <x:v>48.77393019006536</x:v>
      </x:c>
      <x:c r="F2560" s="65" t="n">
        <x:v>48.77393019006536</x:v>
      </x:c>
      <x:c r="G2560" s="65" t="n">
        <x:v>317.57192545828644</x:v>
      </x:c>
      <x:c r="H2560" s="43" t="n">
        <x:v>1</x:v>
      </x:c>
      <x:c r="I2560" s="34" t="str">
        <x:v>generated design-reference observation; not predicted tract behavior</x:v>
      </x:c>
    </x:row>
    <x:row r="2561" ht="75.5999984741211" hidden="0" customHeight="1">
      <x:c r="A2561" s="36" t="str">
        <x:v>P2</x:v>
      </x:c>
      <x:c r="B2561" s="36" t="str">
        <x:v>48201323702</x:v>
      </x:c>
      <x:c r="C2561" s="66" t="n">
        <x:v>290.44084872012854</x:v>
      </x:c>
      <x:c r="D2561" s="66" t="n">
        <x:v>248.3079672584694</x:v>
      </x:c>
      <x:c r="E2561" s="66" t="n">
        <x:v>42.13288146165914</x:v>
      </x:c>
      <x:c r="F2561" s="66" t="n">
        <x:v>42.13288146165914</x:v>
      </x:c>
      <x:c r="G2561" s="66" t="n">
        <x:v>290.44084872012854</x:v>
      </x:c>
      <x:c r="H2561" s="45" t="n">
        <x:v>1</x:v>
      </x:c>
      <x:c r="I2561" s="36" t="str">
        <x:v>generated design-reference observation; not predicted tract behavior</x:v>
      </x:c>
    </x:row>
    <x:row r="2562" ht="75.5999984741211" hidden="0" customHeight="1">
      <x:c r="A2562" s="34" t="str">
        <x:v>P2</x:v>
      </x:c>
      <x:c r="B2562" s="34" t="str">
        <x:v>48201323801</x:v>
      </x:c>
      <x:c r="C2562" s="65" t="n">
        <x:v>329.69917094118836</x:v>
      </x:c>
      <x:c r="D2562" s="65" t="n">
        <x:v>285.1238430299397</x:v>
      </x:c>
      <x:c r="E2562" s="65" t="n">
        <x:v>44.57532791124868</x:v>
      </x:c>
      <x:c r="F2562" s="65" t="n">
        <x:v>44.57532791124868</x:v>
      </x:c>
      <x:c r="G2562" s="65" t="n">
        <x:v>329.69917094118836</x:v>
      </x:c>
      <x:c r="H2562" s="43" t="n">
        <x:v>1</x:v>
      </x:c>
      <x:c r="I2562" s="34" t="str">
        <x:v>generated design-reference observation; not predicted tract behavior</x:v>
      </x:c>
    </x:row>
    <x:row r="2563" ht="75.5999984741211" hidden="0" customHeight="1">
      <x:c r="A2563" s="36" t="str">
        <x:v>P2</x:v>
      </x:c>
      <x:c r="B2563" s="36" t="str">
        <x:v>48201323802</x:v>
      </x:c>
      <x:c r="C2563" s="66" t="n">
        <x:v>404.2153176835042</x:v>
      </x:c>
      <x:c r="D2563" s="66" t="n">
        <x:v>346.5490125134436</x:v>
      </x:c>
      <x:c r="E2563" s="66" t="n">
        <x:v>57.66630517006064</x:v>
      </x:c>
      <x:c r="F2563" s="66" t="n">
        <x:v>57.66630517006064</x:v>
      </x:c>
      <x:c r="G2563" s="66" t="n">
        <x:v>404.2153176835042</x:v>
      </x:c>
      <x:c r="H2563" s="45" t="n">
        <x:v>1</x:v>
      </x:c>
      <x:c r="I2563" s="36" t="str">
        <x:v>generated design-reference observation; not predicted tract behavior</x:v>
      </x:c>
    </x:row>
    <x:row r="2564" ht="75.5999984741211" hidden="0" customHeight="1">
      <x:c r="A2564" s="34" t="str">
        <x:v>P2</x:v>
      </x:c>
      <x:c r="B2564" s="34" t="str">
        <x:v>48201323900</x:v>
      </x:c>
      <x:c r="C2564" s="65" t="n">
        <x:v>267.46746016113804</x:v>
      </x:c>
      <x:c r="D2564" s="65" t="n">
        <x:v>227.07899146407948</x:v>
      </x:c>
      <x:c r="E2564" s="65" t="n">
        <x:v>40.388468697058556</x:v>
      </x:c>
      <x:c r="F2564" s="65" t="n">
        <x:v>40.388468697058556</x:v>
      </x:c>
      <x:c r="G2564" s="65" t="n">
        <x:v>267.46746016113804</x:v>
      </x:c>
      <x:c r="H2564" s="43" t="n">
        <x:v>1</x:v>
      </x:c>
      <x:c r="I2564" s="34" t="str">
        <x:v>generated design-reference observation; not predicted tract behavior</x:v>
      </x:c>
    </x:row>
    <x:row r="2565" ht="75.5999984741211" hidden="0" customHeight="1">
      <x:c r="A2565" s="36" t="str">
        <x:v>P2</x:v>
      </x:c>
      <x:c r="B2565" s="36" t="str">
        <x:v>48201324000</x:v>
      </x:c>
      <x:c r="C2565" s="66" t="n">
        <x:v>491.89616707252173</x:v>
      </x:c>
      <x:c r="D2565" s="66" t="n">
        <x:v>423.2110610871121</x:v>
      </x:c>
      <x:c r="E2565" s="66" t="n">
        <x:v>68.68510598540962</x:v>
      </x:c>
      <x:c r="F2565" s="66" t="n">
        <x:v>68.68510598540962</x:v>
      </x:c>
      <x:c r="G2565" s="66" t="n">
        <x:v>491.89616707252173</x:v>
      </x:c>
      <x:c r="H2565" s="45" t="n">
        <x:v>1</x:v>
      </x:c>
      <x:c r="I2565" s="36" t="str">
        <x:v>generated design-reference observation; not predicted tract behavior</x:v>
      </x:c>
    </x:row>
    <x:row r="2566" ht="75.5999984741211" hidden="0" customHeight="1">
      <x:c r="A2566" s="34" t="str">
        <x:v>P2</x:v>
      </x:c>
      <x:c r="B2566" s="34" t="str">
        <x:v>48201324101</x:v>
      </x:c>
      <x:c r="C2566" s="65" t="n">
        <x:v>731.9477938963472</x:v>
      </x:c>
      <x:c r="D2566" s="65" t="n">
        <x:v>551.4394910001779</x:v>
      </x:c>
      <x:c r="E2566" s="65" t="n">
        <x:v>180.5083028961693</x:v>
      </x:c>
      <x:c r="F2566" s="65" t="n">
        <x:v>180.5083028961693</x:v>
      </x:c>
      <x:c r="G2566" s="65" t="n">
        <x:v>731.9477938963472</x:v>
      </x:c>
      <x:c r="H2566" s="43" t="n">
        <x:v>1</x:v>
      </x:c>
      <x:c r="I2566" s="34" t="str">
        <x:v>generated design-reference observation; not predicted tract behavior</x:v>
      </x:c>
    </x:row>
    <x:row r="2567" ht="75.5999984741211" hidden="0" customHeight="1">
      <x:c r="A2567" s="36" t="str">
        <x:v>P2</x:v>
      </x:c>
      <x:c r="B2567" s="36" t="str">
        <x:v>48201324200</x:v>
      </x:c>
      <x:c r="C2567" s="66" t="n">
        <x:v>105.70817905695563</x:v>
      </x:c>
      <x:c r="D2567" s="66" t="n">
        <x:v>79.74625028056734</x:v>
      </x:c>
      <x:c r="E2567" s="66" t="n">
        <x:v>25.96192877638829</x:v>
      </x:c>
      <x:c r="F2567" s="66" t="n">
        <x:v>25.96192877638829</x:v>
      </x:c>
      <x:c r="G2567" s="66" t="n">
        <x:v>105.70817905695563</x:v>
      </x:c>
      <x:c r="H2567" s="45" t="n">
        <x:v>1</x:v>
      </x:c>
      <x:c r="I2567" s="36" t="str">
        <x:v>generated design-reference observation; not predicted tract behavior</x:v>
      </x:c>
    </x:row>
    <x:row r="2568" ht="75.5999984741211" hidden="0" customHeight="1">
      <x:c r="A2568" s="34" t="str">
        <x:v>P2</x:v>
      </x:c>
      <x:c r="B2568" s="34" t="str">
        <x:v>48201330101</x:v>
      </x:c>
      <x:c r="C2568" s="65" t="n">
        <x:v>422.52014900539564</x:v>
      </x:c>
      <x:c r="D2568" s="65" t="n">
        <x:v>365.3954248598661</x:v>
      </x:c>
      <x:c r="E2568" s="65" t="n">
        <x:v>57.12472414552951</x:v>
      </x:c>
      <x:c r="F2568" s="65" t="n">
        <x:v>57.12472414552951</x:v>
      </x:c>
      <x:c r="G2568" s="65" t="n">
        <x:v>422.52014900539564</x:v>
      </x:c>
      <x:c r="H2568" s="43" t="n">
        <x:v>1</x:v>
      </x:c>
      <x:c r="I2568" s="34" t="str">
        <x:v>generated design-reference observation; not predicted tract behavior</x:v>
      </x:c>
    </x:row>
    <x:row r="2569" ht="75.5999984741211" hidden="0" customHeight="1">
      <x:c r="A2569" s="36" t="str">
        <x:v>P2</x:v>
      </x:c>
      <x:c r="B2569" s="36" t="str">
        <x:v>48201330102</x:v>
      </x:c>
      <x:c r="C2569" s="66" t="n">
        <x:v>295.50177757686976</x:v>
      </x:c>
      <x:c r="D2569" s="66" t="n">
        <x:v>222.92654100399056</x:v>
      </x:c>
      <x:c r="E2569" s="66" t="n">
        <x:v>72.57523657287919</x:v>
      </x:c>
      <x:c r="F2569" s="66" t="n">
        <x:v>72.57523657287919</x:v>
      </x:c>
      <x:c r="G2569" s="66" t="n">
        <x:v>295.50177757686976</x:v>
      </x:c>
      <x:c r="H2569" s="45" t="n">
        <x:v>1</x:v>
      </x:c>
      <x:c r="I2569" s="36" t="str">
        <x:v>generated design-reference observation; not predicted tract behavior</x:v>
      </x:c>
    </x:row>
    <x:row r="2570" ht="75.5999984741211" hidden="0" customHeight="1">
      <x:c r="A2570" s="34" t="str">
        <x:v>P2</x:v>
      </x:c>
      <x:c r="B2570" s="34" t="str">
        <x:v>48201330200</x:v>
      </x:c>
      <x:c r="C2570" s="65" t="n">
        <x:v>492.91004566441694</x:v>
      </x:c>
      <x:c r="D2570" s="65" t="n">
        <x:v>423.096252000195</x:v>
      </x:c>
      <x:c r="E2570" s="65" t="n">
        <x:v>69.81379366422192</x:v>
      </x:c>
      <x:c r="F2570" s="65" t="n">
        <x:v>69.81379366422192</x:v>
      </x:c>
      <x:c r="G2570" s="65" t="n">
        <x:v>492.91004566441694</x:v>
      </x:c>
      <x:c r="H2570" s="43" t="n">
        <x:v>1</x:v>
      </x:c>
      <x:c r="I2570" s="34" t="str">
        <x:v>generated design-reference observation; not predicted tract behavior</x:v>
      </x:c>
    </x:row>
    <x:row r="2571" ht="75.5999984741211" hidden="0" customHeight="1">
      <x:c r="A2571" s="36" t="str">
        <x:v>P2</x:v>
      </x:c>
      <x:c r="B2571" s="36" t="str">
        <x:v>48201330301</x:v>
      </x:c>
      <x:c r="C2571" s="66" t="n">
        <x:v>641.3214367555624</x:v>
      </x:c>
      <x:c r="D2571" s="66" t="n">
        <x:v>554.6147785062104</x:v>
      </x:c>
      <x:c r="E2571" s="66" t="n">
        <x:v>86.70665824935202</x:v>
      </x:c>
      <x:c r="F2571" s="66" t="n">
        <x:v>86.70665824935202</x:v>
      </x:c>
      <x:c r="G2571" s="66" t="n">
        <x:v>641.3214367555624</x:v>
      </x:c>
      <x:c r="H2571" s="45" t="n">
        <x:v>1</x:v>
      </x:c>
      <x:c r="I2571" s="36" t="str">
        <x:v>generated design-reference observation; not predicted tract behavior</x:v>
      </x:c>
    </x:row>
    <x:row r="2572" ht="75.5999984741211" hidden="0" customHeight="1">
      <x:c r="A2572" s="34" t="str">
        <x:v>P2</x:v>
      </x:c>
      <x:c r="B2572" s="34" t="str">
        <x:v>48201330302</x:v>
      </x:c>
      <x:c r="C2572" s="65" t="n">
        <x:v>419.2741656065372</x:v>
      </x:c>
      <x:c r="D2572" s="65" t="n">
        <x:v>362.4324900623949</x:v>
      </x:c>
      <x:c r="E2572" s="65" t="n">
        <x:v>56.84167554414233</x:v>
      </x:c>
      <x:c r="F2572" s="65" t="n">
        <x:v>56.84167554414233</x:v>
      </x:c>
      <x:c r="G2572" s="65" t="n">
        <x:v>419.2741656065372</x:v>
      </x:c>
      <x:c r="H2572" s="43" t="n">
        <x:v>1</x:v>
      </x:c>
      <x:c r="I2572" s="34" t="str">
        <x:v>generated design-reference observation; not predicted tract behavior</x:v>
      </x:c>
    </x:row>
    <x:row r="2573" ht="75.5999984741211" hidden="0" customHeight="1">
      <x:c r="A2573" s="36" t="str">
        <x:v>P2</x:v>
      </x:c>
      <x:c r="B2573" s="36" t="str">
        <x:v>48201330303</x:v>
      </x:c>
      <x:c r="C2573" s="66" t="n">
        <x:v>823.1509191806429</x:v>
      </x:c>
      <x:c r="D2573" s="66" t="n">
        <x:v>335.09414266608457</x:v>
      </x:c>
      <x:c r="E2573" s="66" t="n">
        <x:v>488.0567765145583</x:v>
      </x:c>
      <x:c r="F2573" s="66" t="n">
        <x:v>488.0567765145583</x:v>
      </x:c>
      <x:c r="G2573" s="66" t="n">
        <x:v>823.1509191806429</x:v>
      </x:c>
      <x:c r="H2573" s="45" t="n">
        <x:v>1</x:v>
      </x:c>
      <x:c r="I2573" s="36" t="str">
        <x:v>generated design-reference observation; not predicted tract behavior</x:v>
      </x:c>
    </x:row>
    <x:row r="2574" ht="75.5999984741211" hidden="0" customHeight="1">
      <x:c r="A2574" s="34" t="str">
        <x:v>P2</x:v>
      </x:c>
      <x:c r="B2574" s="34" t="str">
        <x:v>48201330400</x:v>
      </x:c>
      <x:c r="C2574" s="65" t="n">
        <x:v>878.8531792794357</x:v>
      </x:c>
      <x:c r="D2574" s="65" t="n">
        <x:v>362.9815544181169</x:v>
      </x:c>
      <x:c r="E2574" s="65" t="n">
        <x:v>515.8716248613189</x:v>
      </x:c>
      <x:c r="F2574" s="65" t="n">
        <x:v>515.8716248613189</x:v>
      </x:c>
      <x:c r="G2574" s="65" t="n">
        <x:v>878.8531792794357</x:v>
      </x:c>
      <x:c r="H2574" s="43" t="n">
        <x:v>1</x:v>
      </x:c>
      <x:c r="I2574" s="34" t="str">
        <x:v>generated design-reference observation; not predicted tract behavior</x:v>
      </x:c>
    </x:row>
    <x:row r="2575" ht="75.5999984741211" hidden="0" customHeight="1">
      <x:c r="A2575" s="36" t="str">
        <x:v>P2</x:v>
      </x:c>
      <x:c r="B2575" s="36" t="str">
        <x:v>48201330500</x:v>
      </x:c>
      <x:c r="C2575" s="66" t="n">
        <x:v>438.7893636195286</x:v>
      </x:c>
      <x:c r="D2575" s="66" t="n">
        <x:v>379.38250440060267</x:v>
      </x:c>
      <x:c r="E2575" s="66" t="n">
        <x:v>59.406859218925945</x:v>
      </x:c>
      <x:c r="F2575" s="66" t="n">
        <x:v>59.406859218925945</x:v>
      </x:c>
      <x:c r="G2575" s="66" t="n">
        <x:v>438.7893636195286</x:v>
      </x:c>
      <x:c r="H2575" s="45" t="n">
        <x:v>1</x:v>
      </x:c>
      <x:c r="I2575" s="36" t="str">
        <x:v>generated design-reference observation; not predicted tract behavior</x:v>
      </x:c>
    </x:row>
    <x:row r="2576" ht="75.5999984741211" hidden="0" customHeight="1">
      <x:c r="A2576" s="34" t="str">
        <x:v>P2</x:v>
      </x:c>
      <x:c r="B2576" s="34" t="str">
        <x:v>48201330600</x:v>
      </x:c>
      <x:c r="C2576" s="65" t="n">
        <x:v>582.9801903397613</x:v>
      </x:c>
      <x:c r="D2576" s="65" t="n">
        <x:v>503.0802013565105</x:v>
      </x:c>
      <x:c r="E2576" s="65" t="n">
        <x:v>79.89998898325081</x:v>
      </x:c>
      <x:c r="F2576" s="65" t="n">
        <x:v>79.89998898325081</x:v>
      </x:c>
      <x:c r="G2576" s="65" t="n">
        <x:v>582.9801903397613</x:v>
      </x:c>
      <x:c r="H2576" s="43" t="n">
        <x:v>1</x:v>
      </x:c>
      <x:c r="I2576" s="34" t="str">
        <x:v>generated design-reference observation; not predicted tract behavior</x:v>
      </x:c>
    </x:row>
    <x:row r="2577" ht="75.5999984741211" hidden="0" customHeight="1">
      <x:c r="A2577" s="36" t="str">
        <x:v>P2</x:v>
      </x:c>
      <x:c r="B2577" s="36" t="str">
        <x:v>48201330700</x:v>
      </x:c>
      <x:c r="C2577" s="66" t="n">
        <x:v>718.0303906850006</x:v>
      </x:c>
      <x:c r="D2577" s="66" t="n">
        <x:v>620.9526818643885</x:v>
      </x:c>
      <x:c r="E2577" s="66" t="n">
        <x:v>97.07770882061209</x:v>
      </x:c>
      <x:c r="F2577" s="66" t="n">
        <x:v>97.07770882061209</x:v>
      </x:c>
      <x:c r="G2577" s="66" t="n">
        <x:v>718.0303906850006</x:v>
      </x:c>
      <x:c r="H2577" s="45" t="n">
        <x:v>1</x:v>
      </x:c>
      <x:c r="I2577" s="36" t="str">
        <x:v>generated design-reference observation; not predicted tract behavior</x:v>
      </x:c>
    </x:row>
    <x:row r="2578" ht="75.5999984741211" hidden="0" customHeight="1">
      <x:c r="A2578" s="34" t="str">
        <x:v>P2</x:v>
      </x:c>
      <x:c r="B2578" s="34" t="str">
        <x:v>48201330801</x:v>
      </x:c>
      <x:c r="C2578" s="65" t="n">
        <x:v>545.9382538777284</x:v>
      </x:c>
      <x:c r="D2578" s="65" t="n">
        <x:v>468.2543381143634</x:v>
      </x:c>
      <x:c r="E2578" s="65" t="n">
        <x:v>77.68391576336495</x:v>
      </x:c>
      <x:c r="F2578" s="65" t="n">
        <x:v>77.68391576336495</x:v>
      </x:c>
      <x:c r="G2578" s="65" t="n">
        <x:v>545.9382538777284</x:v>
      </x:c>
      <x:c r="H2578" s="43" t="n">
        <x:v>1</x:v>
      </x:c>
      <x:c r="I2578" s="34" t="str">
        <x:v>generated design-reference observation; not predicted tract behavior</x:v>
      </x:c>
    </x:row>
    <x:row r="2579" ht="75.5999984741211" hidden="0" customHeight="1">
      <x:c r="A2579" s="36" t="str">
        <x:v>P2</x:v>
      </x:c>
      <x:c r="B2579" s="36" t="str">
        <x:v>48201330802</x:v>
      </x:c>
      <x:c r="C2579" s="66" t="n">
        <x:v>1455.7053592390837</x:v>
      </x:c>
      <x:c r="D2579" s="66" t="n">
        <x:v>1096.3861981188475</x:v>
      </x:c>
      <x:c r="E2579" s="66" t="n">
        <x:v>359.31916112023623</x:v>
      </x:c>
      <x:c r="F2579" s="66" t="n">
        <x:v>359.31916112023623</x:v>
      </x:c>
      <x:c r="G2579" s="66" t="n">
        <x:v>1455.7053592390837</x:v>
      </x:c>
      <x:c r="H2579" s="45" t="n">
        <x:v>1</x:v>
      </x:c>
      <x:c r="I2579" s="36" t="str">
        <x:v>generated design-reference observation; not predicted tract behavior</x:v>
      </x:c>
    </x:row>
    <x:row r="2580" ht="75.5999984741211" hidden="0" customHeight="1">
      <x:c r="A2580" s="34" t="str">
        <x:v>P2</x:v>
      </x:c>
      <x:c r="B2580" s="34" t="str">
        <x:v>48201330901</x:v>
      </x:c>
      <x:c r="C2580" s="65" t="n">
        <x:v>834.1862954107347</x:v>
      </x:c>
      <x:c r="D2580" s="65" t="n">
        <x:v>720.6683483103734</x:v>
      </x:c>
      <x:c r="E2580" s="65" t="n">
        <x:v>113.51794710036131</x:v>
      </x:c>
      <x:c r="F2580" s="65" t="n">
        <x:v>113.51794710036131</x:v>
      </x:c>
      <x:c r="G2580" s="65" t="n">
        <x:v>834.1862954107347</x:v>
      </x:c>
      <x:c r="H2580" s="43" t="n">
        <x:v>1</x:v>
      </x:c>
      <x:c r="I2580" s="34" t="str">
        <x:v>generated design-reference observation; not predicted tract behavior</x:v>
      </x:c>
    </x:row>
    <x:row r="2581" ht="75.5999984741211" hidden="0" customHeight="1">
      <x:c r="A2581" s="36" t="str">
        <x:v>P2</x:v>
      </x:c>
      <x:c r="B2581" s="36" t="str">
        <x:v>48201330902</x:v>
      </x:c>
      <x:c r="C2581" s="66" t="n">
        <x:v>289.4741272720423</x:v>
      </x:c>
      <x:c r="D2581" s="66" t="n">
        <x:v>250.08535491573306</x:v>
      </x:c>
      <x:c r="E2581" s="66" t="n">
        <x:v>39.38877235630926</x:v>
      </x:c>
      <x:c r="F2581" s="66" t="n">
        <x:v>39.38877235630926</x:v>
      </x:c>
      <x:c r="G2581" s="66" t="n">
        <x:v>289.4741272720423</x:v>
      </x:c>
      <x:c r="H2581" s="45" t="n">
        <x:v>1</x:v>
      </x:c>
      <x:c r="I2581" s="36" t="str">
        <x:v>generated design-reference observation; not predicted tract behavior</x:v>
      </x:c>
    </x:row>
    <x:row r="2582" ht="75.5999984741211" hidden="0" customHeight="1">
      <x:c r="A2582" s="34" t="str">
        <x:v>P2</x:v>
      </x:c>
      <x:c r="B2582" s="34" t="str">
        <x:v>48201331100</x:v>
      </x:c>
      <x:c r="C2582" s="65" t="n">
        <x:v>342.2429711944038</x:v>
      </x:c>
      <x:c r="D2582" s="65" t="n">
        <x:v>294.80134498940214</x:v>
      </x:c>
      <x:c r="E2582" s="65" t="n">
        <x:v>47.44162620500168</x:v>
      </x:c>
      <x:c r="F2582" s="65" t="n">
        <x:v>47.44162620500168</x:v>
      </x:c>
      <x:c r="G2582" s="65" t="n">
        <x:v>342.2429711944038</x:v>
      </x:c>
      <x:c r="H2582" s="43" t="n">
        <x:v>1</x:v>
      </x:c>
      <x:c r="I2582" s="34" t="str">
        <x:v>generated design-reference observation; not predicted tract behavior</x:v>
      </x:c>
    </x:row>
    <x:row r="2583" ht="75.5999984741211" hidden="0" customHeight="1">
      <x:c r="A2583" s="36" t="str">
        <x:v>P2</x:v>
      </x:c>
      <x:c r="B2583" s="36" t="str">
        <x:v>48201331200</x:v>
      </x:c>
      <x:c r="C2583" s="66" t="n">
        <x:v>425.7386240703654</x:v>
      </x:c>
      <x:c r="D2583" s="66" t="n">
        <x:v>364.9098852363207</x:v>
      </x:c>
      <x:c r="E2583" s="66" t="n">
        <x:v>60.828738834044714</x:v>
      </x:c>
      <x:c r="F2583" s="66" t="n">
        <x:v>60.828738834044714</x:v>
      </x:c>
      <x:c r="G2583" s="66" t="n">
        <x:v>425.7386240703654</x:v>
      </x:c>
      <x:c r="H2583" s="45" t="n">
        <x:v>1</x:v>
      </x:c>
      <x:c r="I2583" s="36" t="str">
        <x:v>generated design-reference observation; not predicted tract behavior</x:v>
      </x:c>
    </x:row>
    <x:row r="2584" ht="75.5999984741211" hidden="0" customHeight="1">
      <x:c r="A2584" s="34" t="str">
        <x:v>P2</x:v>
      </x:c>
      <x:c r="B2584" s="34" t="str">
        <x:v>48201331300</x:v>
      </x:c>
      <x:c r="C2584" s="65" t="n">
        <x:v>859.6194126823821</x:v>
      </x:c>
      <x:c r="D2584" s="65" t="n">
        <x:v>646.7033709809189</x:v>
      </x:c>
      <x:c r="E2584" s="65" t="n">
        <x:v>212.9160417014632</x:v>
      </x:c>
      <x:c r="F2584" s="65" t="n">
        <x:v>212.9160417014632</x:v>
      </x:c>
      <x:c r="G2584" s="65" t="n">
        <x:v>859.6194126823821</x:v>
      </x:c>
      <x:c r="H2584" s="43" t="n">
        <x:v>1</x:v>
      </x:c>
      <x:c r="I2584" s="34" t="str">
        <x:v>generated design-reference observation; not predicted tract behavior</x:v>
      </x:c>
    </x:row>
    <x:row r="2585" ht="75.5999984741211" hidden="0" customHeight="1">
      <x:c r="A2585" s="36" t="str">
        <x:v>P2</x:v>
      </x:c>
      <x:c r="B2585" s="36" t="str">
        <x:v>48201331400</x:v>
      </x:c>
      <x:c r="C2585" s="66" t="n">
        <x:v>283.7248854893187</x:v>
      </x:c>
      <x:c r="D2585" s="66" t="n">
        <x:v>239.23114894688376</x:v>
      </x:c>
      <x:c r="E2585" s="66" t="n">
        <x:v>44.49373654243493</x:v>
      </x:c>
      <x:c r="F2585" s="66" t="n">
        <x:v>44.49373654243493</x:v>
      </x:c>
      <x:c r="G2585" s="66" t="n">
        <x:v>283.7248854893187</x:v>
      </x:c>
      <x:c r="H2585" s="45" t="n">
        <x:v>1</x:v>
      </x:c>
      <x:c r="I2585" s="36" t="str">
        <x:v>generated design-reference observation; not predicted tract behavior</x:v>
      </x:c>
    </x:row>
    <x:row r="2586" ht="75.5999984741211" hidden="0" customHeight="1">
      <x:c r="A2586" s="34" t="str">
        <x:v>P2</x:v>
      </x:c>
      <x:c r="B2586" s="34" t="str">
        <x:v>48201331501</x:v>
      </x:c>
      <x:c r="C2586" s="65" t="n">
        <x:v>657.5265660204161</x:v>
      </x:c>
      <x:c r="D2586" s="65" t="n">
        <x:v>496.038041405802</x:v>
      </x:c>
      <x:c r="E2586" s="65" t="n">
        <x:v>161.4885246146141</x:v>
      </x:c>
      <x:c r="F2586" s="65" t="n">
        <x:v>161.4885246146141</x:v>
      </x:c>
      <x:c r="G2586" s="65" t="n">
        <x:v>657.5265660204161</x:v>
      </x:c>
      <x:c r="H2586" s="43" t="n">
        <x:v>1</x:v>
      </x:c>
      <x:c r="I2586" s="34" t="str">
        <x:v>generated design-reference observation; not predicted tract behavior</x:v>
      </x:c>
    </x:row>
    <x:row r="2587" ht="75.5999984741211" hidden="0" customHeight="1">
      <x:c r="A2587" s="36" t="str">
        <x:v>P2</x:v>
      </x:c>
      <x:c r="B2587" s="36" t="str">
        <x:v>48201331502</x:v>
      </x:c>
      <x:c r="C2587" s="66" t="n">
        <x:v>500.5730815333925</x:v>
      </x:c>
      <x:c r="D2587" s="66" t="n">
        <x:v>432.8956009100778</x:v>
      </x:c>
      <x:c r="E2587" s="66" t="n">
        <x:v>67.6774806233147</x:v>
      </x:c>
      <x:c r="F2587" s="66" t="n">
        <x:v>67.6774806233147</x:v>
      </x:c>
      <x:c r="G2587" s="66" t="n">
        <x:v>500.5730815333925</x:v>
      </x:c>
      <x:c r="H2587" s="45" t="n">
        <x:v>1</x:v>
      </x:c>
      <x:c r="I2587" s="36" t="str">
        <x:v>generated design-reference observation; not predicted tract behavior</x:v>
      </x:c>
    </x:row>
    <x:row r="2588" ht="75.5999984741211" hidden="0" customHeight="1">
      <x:c r="A2588" s="34" t="str">
        <x:v>P2</x:v>
      </x:c>
      <x:c r="B2588" s="34" t="str">
        <x:v>48201331602</x:v>
      </x:c>
      <x:c r="C2588" s="65" t="n">
        <x:v>271.2793292857054</x:v>
      </x:c>
      <x:c r="D2588" s="65" t="n">
        <x:v>233.97128834027592</x:v>
      </x:c>
      <x:c r="E2588" s="65" t="n">
        <x:v>37.30804094542947</x:v>
      </x:c>
      <x:c r="F2588" s="65" t="n">
        <x:v>37.30804094542947</x:v>
      </x:c>
      <x:c r="G2588" s="65" t="n">
        <x:v>271.2793292857054</x:v>
      </x:c>
      <x:c r="H2588" s="43" t="n">
        <x:v>1</x:v>
      </x:c>
      <x:c r="I2588" s="34" t="str">
        <x:v>generated design-reference observation; not predicted tract behavior</x:v>
      </x:c>
    </x:row>
    <x:row r="2589" ht="75.5999984741211" hidden="0" customHeight="1">
      <x:c r="A2589" s="36" t="str">
        <x:v>P2</x:v>
      </x:c>
      <x:c r="B2589" s="36" t="str">
        <x:v>48201331603</x:v>
      </x:c>
      <x:c r="C2589" s="66" t="n">
        <x:v>369.3347503127207</x:v>
      </x:c>
      <x:c r="D2589" s="66" t="n">
        <x:v>319.40069207044087</x:v>
      </x:c>
      <x:c r="E2589" s="66" t="n">
        <x:v>49.93405824227983</x:v>
      </x:c>
      <x:c r="F2589" s="66" t="n">
        <x:v>49.93405824227983</x:v>
      </x:c>
      <x:c r="G2589" s="66" t="n">
        <x:v>369.3347503127207</x:v>
      </x:c>
      <x:c r="H2589" s="45" t="n">
        <x:v>1</x:v>
      </x:c>
      <x:c r="I2589" s="36" t="str">
        <x:v>generated design-reference observation; not predicted tract behavior</x:v>
      </x:c>
    </x:row>
    <x:row r="2590" ht="75.5999984741211" hidden="0" customHeight="1">
      <x:c r="A2590" s="34" t="str">
        <x:v>P2</x:v>
      </x:c>
      <x:c r="B2590" s="34" t="str">
        <x:v>48201331604</x:v>
      </x:c>
      <x:c r="C2590" s="65" t="n">
        <x:v>225.80412360581514</x:v>
      </x:c>
      <x:c r="D2590" s="65" t="n">
        <x:v>194.15011887548124</x:v>
      </x:c>
      <x:c r="E2590" s="65" t="n">
        <x:v>31.654004730333895</x:v>
      </x:c>
      <x:c r="F2590" s="65" t="n">
        <x:v>31.654004730333895</x:v>
      </x:c>
      <x:c r="G2590" s="65" t="n">
        <x:v>225.80412360581514</x:v>
      </x:c>
      <x:c r="H2590" s="43" t="n">
        <x:v>1</x:v>
      </x:c>
      <x:c r="I2590" s="34" t="str">
        <x:v>generated design-reference observation; not predicted tract behavior</x:v>
      </x:c>
    </x:row>
    <x:row r="2591" ht="75.5999984741211" hidden="0" customHeight="1">
      <x:c r="A2591" s="36" t="str">
        <x:v>P2</x:v>
      </x:c>
      <x:c r="B2591" s="36" t="str">
        <x:v>48201331700</x:v>
      </x:c>
      <x:c r="C2591" s="66" t="n">
        <x:v>317.4108052169387</x:v>
      </x:c>
      <x:c r="D2591" s="66" t="n">
        <x:v>273.5608750436555</x:v>
      </x:c>
      <x:c r="E2591" s="66" t="n">
        <x:v>43.849930173283155</x:v>
      </x:c>
      <x:c r="F2591" s="66" t="n">
        <x:v>43.849930173283155</x:v>
      </x:c>
      <x:c r="G2591" s="66" t="n">
        <x:v>317.4108052169387</x:v>
      </x:c>
      <x:c r="H2591" s="45" t="n">
        <x:v>1</x:v>
      </x:c>
      <x:c r="I2591" s="36" t="str">
        <x:v>generated design-reference observation; not predicted tract behavior</x:v>
      </x:c>
    </x:row>
    <x:row r="2592" ht="75.5999984741211" hidden="0" customHeight="1">
      <x:c r="A2592" s="34" t="str">
        <x:v>P2</x:v>
      </x:c>
      <x:c r="B2592" s="34" t="str">
        <x:v>48201331800</x:v>
      </x:c>
      <x:c r="C2592" s="65" t="n">
        <x:v>346.1688034165098</x:v>
      </x:c>
      <x:c r="D2592" s="65" t="n">
        <x:v>299.0940786611208</x:v>
      </x:c>
      <x:c r="E2592" s="65" t="n">
        <x:v>47.07472475538896</x:v>
      </x:c>
      <x:c r="F2592" s="65" t="n">
        <x:v>47.07472475538896</x:v>
      </x:c>
      <x:c r="G2592" s="65" t="n">
        <x:v>346.1688034165098</x:v>
      </x:c>
      <x:c r="H2592" s="43" t="n">
        <x:v>1</x:v>
      </x:c>
      <x:c r="I2592" s="34" t="str">
        <x:v>generated design-reference observation; not predicted tract behavior</x:v>
      </x:c>
    </x:row>
    <x:row r="2593" ht="75.5999984741211" hidden="0" customHeight="1">
      <x:c r="A2593" s="36" t="str">
        <x:v>P2</x:v>
      </x:c>
      <x:c r="B2593" s="36" t="str">
        <x:v>48201331900</x:v>
      </x:c>
      <x:c r="C2593" s="66" t="n">
        <x:v>276.364441293118</x:v>
      </x:c>
      <x:c r="D2593" s="66" t="n">
        <x:v>238.99996883028842</x:v>
      </x:c>
      <x:c r="E2593" s="66" t="n">
        <x:v>37.36447246282955</x:v>
      </x:c>
      <x:c r="F2593" s="66" t="n">
        <x:v>37.36447246282955</x:v>
      </x:c>
      <x:c r="G2593" s="66" t="n">
        <x:v>276.364441293118</x:v>
      </x:c>
      <x:c r="H2593" s="45" t="n">
        <x:v>1</x:v>
      </x:c>
      <x:c r="I2593" s="36" t="str">
        <x:v>generated design-reference observation; not predicted tract behavior</x:v>
      </x:c>
    </x:row>
    <x:row r="2594" ht="75.5999984741211" hidden="0" customHeight="1">
      <x:c r="A2594" s="34" t="str">
        <x:v>P2</x:v>
      </x:c>
      <x:c r="B2594" s="34" t="str">
        <x:v>48201332000</x:v>
      </x:c>
      <x:c r="C2594" s="65" t="n">
        <x:v>489.22392892334045</x:v>
      </x:c>
      <x:c r="D2594" s="65" t="n">
        <x:v>419.10197424836565</x:v>
      </x:c>
      <x:c r="E2594" s="65" t="n">
        <x:v>70.1219546749748</x:v>
      </x:c>
      <x:c r="F2594" s="65" t="n">
        <x:v>70.1219546749748</x:v>
      </x:c>
      <x:c r="G2594" s="65" t="n">
        <x:v>489.22392892334045</x:v>
      </x:c>
      <x:c r="H2594" s="43" t="n">
        <x:v>1</x:v>
      </x:c>
      <x:c r="I2594" s="34" t="str">
        <x:v>generated design-reference observation; not predicted tract behavior</x:v>
      </x:c>
    </x:row>
    <x:row r="2595" ht="75.5999984741211" hidden="0" customHeight="1">
      <x:c r="A2595" s="36" t="str">
        <x:v>P2</x:v>
      </x:c>
      <x:c r="B2595" s="36" t="str">
        <x:v>48201332100</x:v>
      </x:c>
      <x:c r="C2595" s="66" t="n">
        <x:v>255.01011467157255</x:v>
      </x:c>
      <x:c r="D2595" s="66" t="n">
        <x:v>220.53274716797594</x:v>
      </x:c>
      <x:c r="E2595" s="66" t="n">
        <x:v>34.47736750359661</x:v>
      </x:c>
      <x:c r="F2595" s="66" t="n">
        <x:v>34.47736750359661</x:v>
      </x:c>
      <x:c r="G2595" s="66" t="n">
        <x:v>255.01011467157255</x:v>
      </x:c>
      <x:c r="H2595" s="45" t="n">
        <x:v>1</x:v>
      </x:c>
      <x:c r="I2595" s="36" t="str">
        <x:v>generated design-reference observation; not predicted tract behavior</x:v>
      </x:c>
    </x:row>
    <x:row r="2596" ht="75.5999984741211" hidden="0" customHeight="1">
      <x:c r="A2596" s="34" t="str">
        <x:v>P2</x:v>
      </x:c>
      <x:c r="B2596" s="34" t="str">
        <x:v>48201332200</x:v>
      </x:c>
      <x:c r="C2596" s="65" t="n">
        <x:v>398.8787009091098</x:v>
      </x:c>
      <x:c r="D2596" s="65" t="n">
        <x:v>344.95030054619815</x:v>
      </x:c>
      <x:c r="E2596" s="65" t="n">
        <x:v>53.928400362911646</x:v>
      </x:c>
      <x:c r="F2596" s="65" t="n">
        <x:v>53.928400362911646</x:v>
      </x:c>
      <x:c r="G2596" s="65" t="n">
        <x:v>398.8787009091098</x:v>
      </x:c>
      <x:c r="H2596" s="43" t="n">
        <x:v>1</x:v>
      </x:c>
      <x:c r="I2596" s="34" t="str">
        <x:v>generated design-reference observation; not predicted tract behavior</x:v>
      </x:c>
    </x:row>
    <x:row r="2597" ht="75.5999984741211" hidden="0" customHeight="1">
      <x:c r="A2597" s="36" t="str">
        <x:v>P2</x:v>
      </x:c>
      <x:c r="B2597" s="36" t="str">
        <x:v>48201332300</x:v>
      </x:c>
      <x:c r="C2597" s="66" t="n">
        <x:v>517.1397489007827</x:v>
      </x:c>
      <x:c r="D2597" s="66" t="n">
        <x:v>213.38283698615987</x:v>
      </x:c>
      <x:c r="E2597" s="66" t="n">
        <x:v>303.75691191462283</x:v>
      </x:c>
      <x:c r="F2597" s="66" t="n">
        <x:v>303.75691191462283</x:v>
      </x:c>
      <x:c r="G2597" s="66" t="n">
        <x:v>517.1397489007827</x:v>
      </x:c>
      <x:c r="H2597" s="45" t="n">
        <x:v>1</x:v>
      </x:c>
      <x:c r="I2597" s="36" t="str">
        <x:v>generated design-reference observation; not predicted tract behavior</x:v>
      </x:c>
    </x:row>
    <x:row r="2598" ht="75.5999984741211" hidden="0" customHeight="1">
      <x:c r="A2598" s="34" t="str">
        <x:v>P2</x:v>
      </x:c>
      <x:c r="B2598" s="34" t="str">
        <x:v>48201332400</x:v>
      </x:c>
      <x:c r="C2598" s="65" t="n">
        <x:v>330.82308286863815</x:v>
      </x:c>
      <x:c r="D2598" s="65" t="n">
        <x:v>286.0958020647983</x:v>
      </x:c>
      <x:c r="E2598" s="65" t="n">
        <x:v>44.72728080383985</x:v>
      </x:c>
      <x:c r="F2598" s="65" t="n">
        <x:v>44.72728080383985</x:v>
      </x:c>
      <x:c r="G2598" s="65" t="n">
        <x:v>330.82308286863815</x:v>
      </x:c>
      <x:c r="H2598" s="43" t="n">
        <x:v>1</x:v>
      </x:c>
      <x:c r="I2598" s="34" t="str">
        <x:v>generated design-reference observation; not predicted tract behavior</x:v>
      </x:c>
    </x:row>
    <x:row r="2599" ht="75.5999984741211" hidden="0" customHeight="1">
      <x:c r="A2599" s="36" t="str">
        <x:v>P2</x:v>
      </x:c>
      <x:c r="B2599" s="36" t="str">
        <x:v>48201332500</x:v>
      </x:c>
      <x:c r="C2599" s="66" t="n">
        <x:v>484.5444892684393</x:v>
      </x:c>
      <x:c r="D2599" s="66" t="n">
        <x:v>365.5403627041107</x:v>
      </x:c>
      <x:c r="E2599" s="66" t="n">
        <x:v>119.0041265643286</x:v>
      </x:c>
      <x:c r="F2599" s="66" t="n">
        <x:v>119.0041265643286</x:v>
      </x:c>
      <x:c r="G2599" s="66" t="n">
        <x:v>484.5444892684393</x:v>
      </x:c>
      <x:c r="H2599" s="45" t="n">
        <x:v>1</x:v>
      </x:c>
      <x:c r="I2599" s="36" t="str">
        <x:v>generated design-reference observation; not predicted tract behavior</x:v>
      </x:c>
    </x:row>
    <x:row r="2600" ht="75.5999984741211" hidden="0" customHeight="1">
      <x:c r="A2600" s="34" t="str">
        <x:v>P2</x:v>
      </x:c>
      <x:c r="B2600" s="34" t="str">
        <x:v>48201332600</x:v>
      </x:c>
      <x:c r="C2600" s="65" t="n">
        <x:v>514.0128675189806</x:v>
      </x:c>
      <x:c r="D2600" s="65" t="n">
        <x:v>439.0072448035953</x:v>
      </x:c>
      <x:c r="E2600" s="65" t="n">
        <x:v>75.00562271538524</x:v>
      </x:c>
      <x:c r="F2600" s="65" t="n">
        <x:v>75.00562271538524</x:v>
      </x:c>
      <x:c r="G2600" s="65" t="n">
        <x:v>514.0128675189806</x:v>
      </x:c>
      <x:c r="H2600" s="43" t="n">
        <x:v>1</x:v>
      </x:c>
      <x:c r="I2600" s="34" t="str">
        <x:v>generated design-reference observation; not predicted tract behavior</x:v>
      </x:c>
    </x:row>
    <x:row r="2601" ht="75.5999984741211" hidden="0" customHeight="1">
      <x:c r="A2601" s="36" t="str">
        <x:v>P2</x:v>
      </x:c>
      <x:c r="B2601" s="36" t="str">
        <x:v>48201332700</x:v>
      </x:c>
      <x:c r="C2601" s="66" t="n">
        <x:v>188.34956213545277</x:v>
      </x:c>
      <x:c r="D2601" s="66" t="n">
        <x:v>162.88470133473953</x:v>
      </x:c>
      <x:c r="E2601" s="66" t="n">
        <x:v>25.46486080071324</x:v>
      </x:c>
      <x:c r="F2601" s="66" t="n">
        <x:v>25.46486080071324</x:v>
      </x:c>
      <x:c r="G2601" s="66" t="n">
        <x:v>188.34956213545277</x:v>
      </x:c>
      <x:c r="H2601" s="45" t="n">
        <x:v>1</x:v>
      </x:c>
      <x:c r="I2601" s="36" t="str">
        <x:v>generated design-reference observation; not predicted tract behavior</x:v>
      </x:c>
    </x:row>
    <x:row r="2602" ht="75.5999984741211" hidden="0" customHeight="1">
      <x:c r="A2602" s="34" t="str">
        <x:v>P2</x:v>
      </x:c>
      <x:c r="B2602" s="34" t="str">
        <x:v>48201332800</x:v>
      </x:c>
      <x:c r="C2602" s="65" t="n">
        <x:v>357.01101673061424</x:v>
      </x:c>
      <x:c r="D2602" s="65" t="n">
        <x:v>307.07833589610823</x:v>
      </x:c>
      <x:c r="E2602" s="65" t="n">
        <x:v>49.932680834506016</x:v>
      </x:c>
      <x:c r="F2602" s="65" t="n">
        <x:v>49.932680834506016</x:v>
      </x:c>
      <x:c r="G2602" s="65" t="n">
        <x:v>357.01101673061424</x:v>
      </x:c>
      <x:c r="H2602" s="43" t="n">
        <x:v>1</x:v>
      </x:c>
      <x:c r="I2602" s="34" t="str">
        <x:v>generated design-reference observation; not predicted tract behavior</x:v>
      </x:c>
    </x:row>
    <x:row r="2603" ht="75.5999984741211" hidden="0" customHeight="1">
      <x:c r="A2603" s="36" t="str">
        <x:v>P2</x:v>
      </x:c>
      <x:c r="B2603" s="36" t="str">
        <x:v>48201332900</x:v>
      </x:c>
      <x:c r="C2603" s="66" t="n">
        <x:v>787.3477646117485</x:v>
      </x:c>
      <x:c r="D2603" s="66" t="n">
        <x:v>324.7224281219821</x:v>
      </x:c>
      <x:c r="E2603" s="66" t="n">
        <x:v>462.6253364897664</x:v>
      </x:c>
      <x:c r="F2603" s="66" t="n">
        <x:v>462.6253364897664</x:v>
      </x:c>
      <x:c r="G2603" s="66" t="n">
        <x:v>787.3477646117485</x:v>
      </x:c>
      <x:c r="H2603" s="45" t="n">
        <x:v>1</x:v>
      </x:c>
      <x:c r="I2603" s="36" t="str">
        <x:v>generated design-reference observation; not predicted tract behavior</x:v>
      </x:c>
    </x:row>
    <x:row r="2604" ht="75.5999984741211" hidden="0" customHeight="1">
      <x:c r="A2604" s="34" t="str">
        <x:v>P2</x:v>
      </x:c>
      <x:c r="B2604" s="34" t="str">
        <x:v>48201333000</x:v>
      </x:c>
      <x:c r="C2604" s="65" t="n">
        <x:v>283.54018667606647</x:v>
      </x:c>
      <x:c r="D2604" s="65" t="n">
        <x:v>244.8729961769232</x:v>
      </x:c>
      <x:c r="E2604" s="65" t="n">
        <x:v>38.66719049914326</x:v>
      </x:c>
      <x:c r="F2604" s="65" t="n">
        <x:v>38.66719049914326</x:v>
      </x:c>
      <x:c r="G2604" s="65" t="n">
        <x:v>283.54018667606647</x:v>
      </x:c>
      <x:c r="H2604" s="43" t="n">
        <x:v>1</x:v>
      </x:c>
      <x:c r="I2604" s="34" t="str">
        <x:v>generated design-reference observation; not predicted tract behavior</x:v>
      </x:c>
    </x:row>
    <x:row r="2605" ht="75.5999984741211" hidden="0" customHeight="1">
      <x:c r="A2605" s="36" t="str">
        <x:v>P2</x:v>
      </x:c>
      <x:c r="B2605" s="36" t="str">
        <x:v>48201333100</x:v>
      </x:c>
      <x:c r="C2605" s="66" t="n">
        <x:v>500.3061600078578</x:v>
      </x:c>
      <x:c r="D2605" s="66" t="n">
        <x:v>372.54543936307357</x:v>
      </x:c>
      <x:c r="E2605" s="66" t="n">
        <x:v>127.76072064478421</x:v>
      </x:c>
      <x:c r="F2605" s="66" t="n">
        <x:v>127.76072064478421</x:v>
      </x:c>
      <x:c r="G2605" s="66" t="n">
        <x:v>500.3061600078578</x:v>
      </x:c>
      <x:c r="H2605" s="45" t="n">
        <x:v>1</x:v>
      </x:c>
      <x:c r="I2605" s="36" t="str">
        <x:v>generated design-reference observation; not predicted tract behavior</x:v>
      </x:c>
    </x:row>
    <x:row r="2606" ht="75.5999984741211" hidden="0" customHeight="1">
      <x:c r="A2606" s="34" t="str">
        <x:v>P2</x:v>
      </x:c>
      <x:c r="B2606" s="34" t="str">
        <x:v>48201333201</x:v>
      </x:c>
      <x:c r="C2606" s="65" t="n">
        <x:v>422.9249144897569</x:v>
      </x:c>
      <x:c r="D2606" s="65" t="n">
        <x:v>363.3812647747746</x:v>
      </x:c>
      <x:c r="E2606" s="65" t="n">
        <x:v>59.54364971498228</x:v>
      </x:c>
      <x:c r="F2606" s="65" t="n">
        <x:v>59.54364971498228</x:v>
      </x:c>
      <x:c r="G2606" s="65" t="n">
        <x:v>422.9249144897569</x:v>
      </x:c>
      <x:c r="H2606" s="43" t="n">
        <x:v>1</x:v>
      </x:c>
      <x:c r="I2606" s="34" t="str">
        <x:v>generated design-reference observation; not predicted tract behavior</x:v>
      </x:c>
    </x:row>
    <x:row r="2607" ht="75.5999984741211" hidden="0" customHeight="1">
      <x:c r="A2607" s="36" t="str">
        <x:v>P2</x:v>
      </x:c>
      <x:c r="B2607" s="36" t="str">
        <x:v>48201333203</x:v>
      </x:c>
      <x:c r="C2607" s="66" t="n">
        <x:v>382.4420179765779</x:v>
      </x:c>
      <x:c r="D2607" s="66" t="n">
        <x:v>157.15527022862278</x:v>
      </x:c>
      <x:c r="E2607" s="66" t="n">
        <x:v>225.28674774795513</x:v>
      </x:c>
      <x:c r="F2607" s="66" t="n">
        <x:v>225.28674774795513</x:v>
      </x:c>
      <x:c r="G2607" s="66" t="n">
        <x:v>382.4420179765779</x:v>
      </x:c>
      <x:c r="H2607" s="45" t="n">
        <x:v>1</x:v>
      </x:c>
      <x:c r="I2607" s="36" t="str">
        <x:v>generated design-reference observation; not predicted tract behavior</x:v>
      </x:c>
    </x:row>
    <x:row r="2608" ht="75.5999984741211" hidden="0" customHeight="1">
      <x:c r="A2608" s="34" t="str">
        <x:v>P2</x:v>
      </x:c>
      <x:c r="B2608" s="34" t="str">
        <x:v>48201333204</x:v>
      </x:c>
      <x:c r="C2608" s="65" t="n">
        <x:v>187.74044902791883</x:v>
      </x:c>
      <x:c r="D2608" s="65" t="n">
        <x:v>160.9102190790787</x:v>
      </x:c>
      <x:c r="E2608" s="65" t="n">
        <x:v>26.830229948840127</x:v>
      </x:c>
      <x:c r="F2608" s="65" t="n">
        <x:v>26.830229948840127</x:v>
      </x:c>
      <x:c r="G2608" s="65" t="n">
        <x:v>187.74044902791883</x:v>
      </x:c>
      <x:c r="H2608" s="43" t="n">
        <x:v>1</x:v>
      </x:c>
      <x:c r="I2608" s="34" t="str">
        <x:v>generated design-reference observation; not predicted tract behavior</x:v>
      </x:c>
    </x:row>
    <x:row r="2609" ht="75.5999984741211" hidden="0" customHeight="1">
      <x:c r="A2609" s="36" t="str">
        <x:v>P2</x:v>
      </x:c>
      <x:c r="B2609" s="36" t="str">
        <x:v>48201333205</x:v>
      </x:c>
      <x:c r="C2609" s="66" t="n">
        <x:v>112.82346656322578</x:v>
      </x:c>
      <x:c r="D2609" s="66" t="n">
        <x:v>95.5286053835867</x:v>
      </x:c>
      <x:c r="E2609" s="66" t="n">
        <x:v>17.294861179639085</x:v>
      </x:c>
      <x:c r="F2609" s="66" t="n">
        <x:v>17.294861179639085</x:v>
      </x:c>
      <x:c r="G2609" s="66" t="n">
        <x:v>112.82346656322578</x:v>
      </x:c>
      <x:c r="H2609" s="45" t="n">
        <x:v>1</x:v>
      </x:c>
      <x:c r="I2609" s="36" t="str">
        <x:v>generated design-reference observation; not predicted tract behavior</x:v>
      </x:c>
    </x:row>
    <x:row r="2610" ht="75.5999984741211" hidden="0" customHeight="1">
      <x:c r="A2610" s="34" t="str">
        <x:v>P2</x:v>
      </x:c>
      <x:c r="B2610" s="34" t="str">
        <x:v>48201333301</x:v>
      </x:c>
      <x:c r="C2610" s="65" t="n">
        <x:v>376.2747099766238</x:v>
      </x:c>
      <x:c r="D2610" s="65" t="n">
        <x:v>319.68755962632804</x:v>
      </x:c>
      <x:c r="E2610" s="65" t="n">
        <x:v>56.58715035029576</x:v>
      </x:c>
      <x:c r="F2610" s="65" t="n">
        <x:v>56.58715035029576</x:v>
      </x:c>
      <x:c r="G2610" s="65" t="n">
        <x:v>376.2747099766238</x:v>
      </x:c>
      <x:c r="H2610" s="43" t="n">
        <x:v>1</x:v>
      </x:c>
      <x:c r="I2610" s="34" t="str">
        <x:v>generated design-reference observation; not predicted tract behavior</x:v>
      </x:c>
    </x:row>
    <x:row r="2611" ht="75.5999984741211" hidden="0" customHeight="1">
      <x:c r="A2611" s="36" t="str">
        <x:v>P2</x:v>
      </x:c>
      <x:c r="B2611" s="36" t="str">
        <x:v>48201333302</x:v>
      </x:c>
      <x:c r="C2611" s="66" t="n">
        <x:v>290.0007153779104</x:v>
      </x:c>
      <x:c r="D2611" s="66" t="n">
        <x:v>249.7181001555658</x:v>
      </x:c>
      <x:c r="E2611" s="66" t="n">
        <x:v>40.28261522234462</x:v>
      </x:c>
      <x:c r="F2611" s="66" t="n">
        <x:v>40.28261522234462</x:v>
      </x:c>
      <x:c r="G2611" s="66" t="n">
        <x:v>290.0007153779104</x:v>
      </x:c>
      <x:c r="H2611" s="45" t="n">
        <x:v>1</x:v>
      </x:c>
      <x:c r="I2611" s="36" t="str">
        <x:v>generated design-reference observation; not predicted tract behavior</x:v>
      </x:c>
    </x:row>
    <x:row r="2612" ht="75.5999984741211" hidden="0" customHeight="1">
      <x:c r="A2612" s="34" t="str">
        <x:v>P2</x:v>
      </x:c>
      <x:c r="B2612" s="34" t="str">
        <x:v>48201333501</x:v>
      </x:c>
      <x:c r="C2612" s="65" t="n">
        <x:v>267.39672444542447</x:v>
      </x:c>
      <x:c r="D2612" s="65" t="n">
        <x:v>228.83771194053892</x:v>
      </x:c>
      <x:c r="E2612" s="65" t="n">
        <x:v>38.559012504885544</x:v>
      </x:c>
      <x:c r="F2612" s="65" t="n">
        <x:v>38.559012504885544</x:v>
      </x:c>
      <x:c r="G2612" s="65" t="n">
        <x:v>267.39672444542447</x:v>
      </x:c>
      <x:c r="H2612" s="43" t="n">
        <x:v>1</x:v>
      </x:c>
      <x:c r="I2612" s="34" t="str">
        <x:v>generated design-reference observation; not predicted tract behavior</x:v>
      </x:c>
    </x:row>
    <x:row r="2613" ht="75.5999984741211" hidden="0" customHeight="1">
      <x:c r="A2613" s="36" t="str">
        <x:v>P2</x:v>
      </x:c>
      <x:c r="B2613" s="36" t="str">
        <x:v>48201333502</x:v>
      </x:c>
      <x:c r="C2613" s="66" t="n">
        <x:v>200.8344159589069</x:v>
      </x:c>
      <x:c r="D2613" s="66" t="n">
        <x:v>172.71446638527422</x:v>
      </x:c>
      <x:c r="E2613" s="66" t="n">
        <x:v>28.11994957363268</x:v>
      </x:c>
      <x:c r="F2613" s="66" t="n">
        <x:v>28.11994957363268</x:v>
      </x:c>
      <x:c r="G2613" s="66" t="n">
        <x:v>200.8344159589069</x:v>
      </x:c>
      <x:c r="H2613" s="45" t="n">
        <x:v>1</x:v>
      </x:c>
      <x:c r="I2613" s="36" t="str">
        <x:v>generated design-reference observation; not predicted tract behavior</x:v>
      </x:c>
    </x:row>
    <x:row r="2614" ht="75.5999984741211" hidden="0" customHeight="1">
      <x:c r="A2614" s="34" t="str">
        <x:v>P2</x:v>
      </x:c>
      <x:c r="B2614" s="34" t="str">
        <x:v>48201333600</x:v>
      </x:c>
      <x:c r="C2614" s="65" t="n">
        <x:v>257.6273361529765</x:v>
      </x:c>
      <x:c r="D2614" s="65" t="n">
        <x:v>222.7961203050941</x:v>
      </x:c>
      <x:c r="E2614" s="65" t="n">
        <x:v>34.83121584788242</x:v>
      </x:c>
      <x:c r="F2614" s="65" t="n">
        <x:v>34.83121584788242</x:v>
      </x:c>
      <x:c r="G2614" s="65" t="n">
        <x:v>257.6273361529765</x:v>
      </x:c>
      <x:c r="H2614" s="43" t="n">
        <x:v>1</x:v>
      </x:c>
      <x:c r="I2614" s="34" t="str">
        <x:v>generated design-reference observation; not predicted tract behavior</x:v>
      </x:c>
    </x:row>
    <x:row r="2615" ht="75.5999984741211" hidden="0" customHeight="1">
      <x:c r="A2615" s="36" t="str">
        <x:v>P2</x:v>
      </x:c>
      <x:c r="B2615" s="36" t="str">
        <x:v>48201333700</x:v>
      </x:c>
      <x:c r="C2615" s="66" t="n">
        <x:v>332.76438528877856</x:v>
      </x:c>
      <x:c r="D2615" s="66" t="n">
        <x:v>287.7746403977357</x:v>
      </x:c>
      <x:c r="E2615" s="66" t="n">
        <x:v>44.98974489104285</x:v>
      </x:c>
      <x:c r="F2615" s="66" t="n">
        <x:v>44.98974489104285</x:v>
      </x:c>
      <x:c r="G2615" s="66" t="n">
        <x:v>332.76438528877856</x:v>
      </x:c>
      <x:c r="H2615" s="45" t="n">
        <x:v>1</x:v>
      </x:c>
      <x:c r="I2615" s="36" t="str">
        <x:v>generated design-reference observation; not predicted tract behavior</x:v>
      </x:c>
    </x:row>
    <x:row r="2616" ht="75.5999984741211" hidden="0" customHeight="1">
      <x:c r="A2616" s="34" t="str">
        <x:v>P2</x:v>
      </x:c>
      <x:c r="B2616" s="34" t="str">
        <x:v>48201333801</x:v>
      </x:c>
      <x:c r="C2616" s="65" t="n">
        <x:v>325.368573234721</x:v>
      </x:c>
      <x:c r="D2616" s="65" t="n">
        <x:v>277.6185757595321</x:v>
      </x:c>
      <x:c r="E2616" s="65" t="n">
        <x:v>47.74999747518888</x:v>
      </x:c>
      <x:c r="F2616" s="65" t="n">
        <x:v>47.74999747518888</x:v>
      </x:c>
      <x:c r="G2616" s="65" t="n">
        <x:v>325.368573234721</x:v>
      </x:c>
      <x:c r="H2616" s="43" t="n">
        <x:v>1</x:v>
      </x:c>
      <x:c r="I2616" s="34" t="str">
        <x:v>generated design-reference observation; not predicted tract behavior</x:v>
      </x:c>
    </x:row>
    <x:row r="2617" ht="75.5999984741211" hidden="0" customHeight="1">
      <x:c r="A2617" s="36" t="str">
        <x:v>P2</x:v>
      </x:c>
      <x:c r="B2617" s="36" t="str">
        <x:v>48201333802</x:v>
      </x:c>
      <x:c r="C2617" s="66" t="n">
        <x:v>488.42225747858595</x:v>
      </x:c>
      <x:c r="D2617" s="66" t="n">
        <x:v>422.26059805657906</x:v>
      </x:c>
      <x:c r="E2617" s="66" t="n">
        <x:v>66.16165942200689</x:v>
      </x:c>
      <x:c r="F2617" s="66" t="n">
        <x:v>66.16165942200689</x:v>
      </x:c>
      <x:c r="G2617" s="66" t="n">
        <x:v>488.42225747858595</x:v>
      </x:c>
      <x:c r="H2617" s="45" t="n">
        <x:v>1</x:v>
      </x:c>
      <x:c r="I2617" s="36" t="str">
        <x:v>generated design-reference observation; not predicted tract behavior</x:v>
      </x:c>
    </x:row>
    <x:row r="2618" ht="75.5999984741211" hidden="0" customHeight="1">
      <x:c r="A2618" s="34" t="str">
        <x:v>P2</x:v>
      </x:c>
      <x:c r="B2618" s="34" t="str">
        <x:v>48201333903</x:v>
      </x:c>
      <x:c r="C2618" s="65" t="n">
        <x:v>297.3022131443498</x:v>
      </x:c>
      <x:c r="D2618" s="65" t="n">
        <x:v>255.3899109831742</x:v>
      </x:c>
      <x:c r="E2618" s="65" t="n">
        <x:v>41.91230216117563</x:v>
      </x:c>
      <x:c r="F2618" s="65" t="n">
        <x:v>41.91230216117563</x:v>
      </x:c>
      <x:c r="G2618" s="65" t="n">
        <x:v>297.3022131443498</x:v>
      </x:c>
      <x:c r="H2618" s="43" t="n">
        <x:v>1</x:v>
      </x:c>
      <x:c r="I2618" s="34" t="str">
        <x:v>generated design-reference observation; not predicted tract behavior</x:v>
      </x:c>
    </x:row>
    <x:row r="2619" ht="75.5999984741211" hidden="0" customHeight="1">
      <x:c r="A2619" s="36" t="str">
        <x:v>P2</x:v>
      </x:c>
      <x:c r="B2619" s="36" t="str">
        <x:v>48201333904</x:v>
      </x:c>
      <x:c r="C2619" s="66" t="n">
        <x:v>898.1927471606766</x:v>
      </x:c>
      <x:c r="D2619" s="66" t="n">
        <x:v>669.7781860527298</x:v>
      </x:c>
      <x:c r="E2619" s="66" t="n">
        <x:v>228.41456110794684</x:v>
      </x:c>
      <x:c r="F2619" s="66" t="n">
        <x:v>228.41456110794684</x:v>
      </x:c>
      <x:c r="G2619" s="66" t="n">
        <x:v>898.1927471606766</x:v>
      </x:c>
      <x:c r="H2619" s="45" t="n">
        <x:v>1</x:v>
      </x:c>
      <x:c r="I2619" s="36" t="str">
        <x:v>generated design-reference observation; not predicted tract behavior</x:v>
      </x:c>
    </x:row>
    <x:row r="2620" ht="75.5999984741211" hidden="0" customHeight="1">
      <x:c r="A2620" s="34" t="str">
        <x:v>P2</x:v>
      </x:c>
      <x:c r="B2620" s="34" t="str">
        <x:v>48201333905</x:v>
      </x:c>
      <x:c r="C2620" s="65" t="n">
        <x:v>278.80482348523793</x:v>
      </x:c>
      <x:c r="D2620" s="65" t="n">
        <x:v>241.1104113500338</x:v>
      </x:c>
      <x:c r="E2620" s="65" t="n">
        <x:v>37.694412135204146</x:v>
      </x:c>
      <x:c r="F2620" s="65" t="n">
        <x:v>37.694412135204146</x:v>
      </x:c>
      <x:c r="G2620" s="65" t="n">
        <x:v>278.80482348523793</x:v>
      </x:c>
      <x:c r="H2620" s="43" t="n">
        <x:v>1</x:v>
      </x:c>
      <x:c r="I2620" s="34" t="str">
        <x:v>generated design-reference observation; not predicted tract behavior</x:v>
      </x:c>
    </x:row>
    <x:row r="2621" ht="75.5999984741211" hidden="0" customHeight="1">
      <x:c r="A2621" s="36" t="str">
        <x:v>P2</x:v>
      </x:c>
      <x:c r="B2621" s="36" t="str">
        <x:v>48201333906</x:v>
      </x:c>
      <x:c r="C2621" s="66" t="n">
        <x:v>456.2610854007929</x:v>
      </x:c>
      <x:c r="D2621" s="66" t="n">
        <x:v>394.5745866546057</x:v>
      </x:c>
      <x:c r="E2621" s="66" t="n">
        <x:v>61.686498746187226</x:v>
      </x:c>
      <x:c r="F2621" s="66" t="n">
        <x:v>61.686498746187226</x:v>
      </x:c>
      <x:c r="G2621" s="66" t="n">
        <x:v>456.2610854007929</x:v>
      </x:c>
      <x:c r="H2621" s="45" t="n">
        <x:v>1</x:v>
      </x:c>
      <x:c r="I2621" s="36" t="str">
        <x:v>generated design-reference observation; not predicted tract behavior</x:v>
      </x:c>
    </x:row>
    <x:row r="2622" ht="75.5999984741211" hidden="0" customHeight="1">
      <x:c r="A2622" s="34" t="str">
        <x:v>P2</x:v>
      </x:c>
      <x:c r="B2622" s="34" t="str">
        <x:v>48201334001</x:v>
      </x:c>
      <x:c r="C2622" s="65" t="n">
        <x:v>236.77601906539465</x:v>
      </x:c>
      <x:c r="D2622" s="65" t="n">
        <x:v>203.16111675690667</x:v>
      </x:c>
      <x:c r="E2622" s="65" t="n">
        <x:v>33.614902308487984</x:v>
      </x:c>
      <x:c r="F2622" s="65" t="n">
        <x:v>33.614902308487984</x:v>
      </x:c>
      <x:c r="G2622" s="65" t="n">
        <x:v>236.77601906539465</x:v>
      </x:c>
      <x:c r="H2622" s="43" t="n">
        <x:v>1</x:v>
      </x:c>
      <x:c r="I2622" s="34" t="str">
        <x:v>generated design-reference observation; not predicted tract behavior</x:v>
      </x:c>
    </x:row>
    <x:row r="2623" ht="75.5999984741211" hidden="0" customHeight="1">
      <x:c r="A2623" s="36" t="str">
        <x:v>P2</x:v>
      </x:c>
      <x:c r="B2623" s="36" t="str">
        <x:v>48201334002</x:v>
      </x:c>
      <x:c r="C2623" s="66" t="n">
        <x:v>324.99494355684914</x:v>
      </x:c>
      <x:c r="D2623" s="66" t="n">
        <x:v>238.74183527955196</x:v>
      </x:c>
      <x:c r="E2623" s="66" t="n">
        <x:v>86.25310827729717</x:v>
      </x:c>
      <x:c r="F2623" s="66" t="n">
        <x:v>86.25310827729717</x:v>
      </x:c>
      <x:c r="G2623" s="66" t="n">
        <x:v>324.99494355684914</x:v>
      </x:c>
      <x:c r="H2623" s="45" t="n">
        <x:v>1</x:v>
      </x:c>
      <x:c r="I2623" s="36" t="str">
        <x:v>generated design-reference observation; not predicted tract behavior</x:v>
      </x:c>
    </x:row>
    <x:row r="2624" ht="75.5999984741211" hidden="0" customHeight="1">
      <x:c r="A2624" s="34" t="str">
        <x:v>P2</x:v>
      </x:c>
      <x:c r="B2624" s="34" t="str">
        <x:v>48201334003</x:v>
      </x:c>
      <x:c r="C2624" s="65" t="n">
        <x:v>843.9967950593237</x:v>
      </x:c>
      <x:c r="D2624" s="65" t="n">
        <x:v>630.9895840117591</x:v>
      </x:c>
      <x:c r="E2624" s="65" t="n">
        <x:v>213.00721104756462</x:v>
      </x:c>
      <x:c r="F2624" s="65" t="n">
        <x:v>213.00721104756462</x:v>
      </x:c>
      <x:c r="G2624" s="65" t="n">
        <x:v>843.9967950593237</x:v>
      </x:c>
      <x:c r="H2624" s="43" t="n">
        <x:v>1</x:v>
      </x:c>
      <x:c r="I2624" s="34" t="str">
        <x:v>generated design-reference observation; not predicted tract behavior</x:v>
      </x:c>
    </x:row>
    <x:row r="2625" ht="75.5999984741211" hidden="0" customHeight="1">
      <x:c r="A2625" s="36" t="str">
        <x:v>P2</x:v>
      </x:c>
      <x:c r="B2625" s="36" t="str">
        <x:v>48201334101</x:v>
      </x:c>
      <x:c r="C2625" s="66" t="n">
        <x:v>765.2504106858264</x:v>
      </x:c>
      <x:c r="D2625" s="66" t="n">
        <x:v>644.4948049782437</x:v>
      </x:c>
      <x:c r="E2625" s="66" t="n">
        <x:v>120.75560570758273</x:v>
      </x:c>
      <x:c r="F2625" s="66" t="n">
        <x:v>120.75560570758273</x:v>
      </x:c>
      <x:c r="G2625" s="66" t="n">
        <x:v>765.2504106858264</x:v>
      </x:c>
      <x:c r="H2625" s="45" t="n">
        <x:v>1</x:v>
      </x:c>
      <x:c r="I2625" s="36" t="str">
        <x:v>generated design-reference observation; not predicted tract behavior</x:v>
      </x:c>
    </x:row>
    <x:row r="2626" ht="75.5999984741211" hidden="0" customHeight="1">
      <x:c r="A2626" s="34" t="str">
        <x:v>P2</x:v>
      </x:c>
      <x:c r="B2626" s="34" t="str">
        <x:v>48201334102</x:v>
      </x:c>
      <x:c r="C2626" s="65" t="n">
        <x:v>546.9442729456553</x:v>
      </x:c>
      <x:c r="D2626" s="65" t="n">
        <x:v>471.2514436596183</x:v>
      </x:c>
      <x:c r="E2626" s="65" t="n">
        <x:v>75.69282928603695</x:v>
      </x:c>
      <x:c r="F2626" s="65" t="n">
        <x:v>75.69282928603695</x:v>
      </x:c>
      <x:c r="G2626" s="65" t="n">
        <x:v>546.9442729456553</x:v>
      </x:c>
      <x:c r="H2626" s="43" t="n">
        <x:v>1</x:v>
      </x:c>
      <x:c r="I2626" s="34" t="str">
        <x:v>generated design-reference observation; not predicted tract behavior</x:v>
      </x:c>
    </x:row>
    <x:row r="2627" ht="75.5999984741211" hidden="0" customHeight="1">
      <x:c r="A2627" s="36" t="str">
        <x:v>P2</x:v>
      </x:c>
      <x:c r="B2627" s="36" t="str">
        <x:v>48201340101</x:v>
      </x:c>
      <x:c r="C2627" s="66" t="n">
        <x:v>127.31642876054995</x:v>
      </x:c>
      <x:c r="D2627" s="66" t="n">
        <x:v>107.25279684890529</x:v>
      </x:c>
      <x:c r="E2627" s="66" t="n">
        <x:v>20.063631911644663</x:v>
      </x:c>
      <x:c r="F2627" s="66" t="n">
        <x:v>20.063631911644663</x:v>
      </x:c>
      <x:c r="G2627" s="66" t="n">
        <x:v>127.31642876054995</x:v>
      </x:c>
      <x:c r="H2627" s="45" t="n">
        <x:v>1</x:v>
      </x:c>
      <x:c r="I2627" s="36" t="str">
        <x:v>generated design-reference observation; not predicted tract behavior</x:v>
      </x:c>
    </x:row>
    <x:row r="2628" ht="75.5999984741211" hidden="0" customHeight="1">
      <x:c r="A2628" s="34" t="str">
        <x:v>P2</x:v>
      </x:c>
      <x:c r="B2628" s="34" t="str">
        <x:v>48201340102</x:v>
      </x:c>
      <x:c r="C2628" s="65" t="n">
        <x:v>779.948929663857</x:v>
      </x:c>
      <x:c r="D2628" s="65" t="n">
        <x:v>584.0825014554774</x:v>
      </x:c>
      <x:c r="E2628" s="65" t="n">
        <x:v>195.8664282083796</x:v>
      </x:c>
      <x:c r="F2628" s="65" t="n">
        <x:v>195.8664282083796</x:v>
      </x:c>
      <x:c r="G2628" s="65" t="n">
        <x:v>779.948929663857</x:v>
      </x:c>
      <x:c r="H2628" s="43" t="n">
        <x:v>1</x:v>
      </x:c>
      <x:c r="I2628" s="34" t="str">
        <x:v>generated design-reference observation; not predicted tract behavior</x:v>
      </x:c>
    </x:row>
    <x:row r="2629" ht="75.5999984741211" hidden="0" customHeight="1">
      <x:c r="A2629" s="36" t="str">
        <x:v>P2</x:v>
      </x:c>
      <x:c r="B2629" s="36" t="str">
        <x:v>48201340202</x:v>
      </x:c>
      <x:c r="C2629" s="66" t="n">
        <x:v>674.4886279012825</x:v>
      </x:c>
      <x:c r="D2629" s="66" t="n">
        <x:v>582.4223580201846</x:v>
      </x:c>
      <x:c r="E2629" s="66" t="n">
        <x:v>92.06626988109792</x:v>
      </x:c>
      <x:c r="F2629" s="66" t="n">
        <x:v>92.06626988109792</x:v>
      </x:c>
      <x:c r="G2629" s="66" t="n">
        <x:v>674.4886279012825</x:v>
      </x:c>
      <x:c r="H2629" s="45" t="n">
        <x:v>1</x:v>
      </x:c>
      <x:c r="I2629" s="36" t="str">
        <x:v>generated design-reference observation; not predicted tract behavior</x:v>
      </x:c>
    </x:row>
    <x:row r="2630" ht="75.5999984741211" hidden="0" customHeight="1">
      <x:c r="A2630" s="34" t="str">
        <x:v>P2</x:v>
      </x:c>
      <x:c r="B2630" s="34" t="str">
        <x:v>48201340203</x:v>
      </x:c>
      <x:c r="C2630" s="65" t="n">
        <x:v>799.7222828102646</x:v>
      </x:c>
      <x:c r="D2630" s="65" t="n">
        <x:v>327.5855050572917</x:v>
      </x:c>
      <x:c r="E2630" s="65" t="n">
        <x:v>472.1367777529729</x:v>
      </x:c>
      <x:c r="F2630" s="65" t="n">
        <x:v>472.1367777529729</x:v>
      </x:c>
      <x:c r="G2630" s="65" t="n">
        <x:v>799.7222828102646</x:v>
      </x:c>
      <x:c r="H2630" s="43" t="n">
        <x:v>1</x:v>
      </x:c>
      <x:c r="I2630" s="34" t="str">
        <x:v>generated design-reference observation; not predicted tract behavior</x:v>
      </x:c>
    </x:row>
    <x:row r="2631" ht="75.5999984741211" hidden="0" customHeight="1">
      <x:c r="A2631" s="36" t="str">
        <x:v>P2</x:v>
      </x:c>
      <x:c r="B2631" s="36" t="str">
        <x:v>48201340301</x:v>
      </x:c>
      <x:c r="C2631" s="66" t="n">
        <x:v>281.6067437798941</x:v>
      </x:c>
      <x:c r="D2631" s="66" t="n">
        <x:v>243.5335120208524</x:v>
      </x:c>
      <x:c r="E2631" s="66" t="n">
        <x:v>38.073231759041676</x:v>
      </x:c>
      <x:c r="F2631" s="66" t="n">
        <x:v>38.073231759041676</x:v>
      </x:c>
      <x:c r="G2631" s="66" t="n">
        <x:v>281.6067437798941</x:v>
      </x:c>
      <x:c r="H2631" s="45" t="n">
        <x:v>1</x:v>
      </x:c>
      <x:c r="I2631" s="36" t="str">
        <x:v>generated design-reference observation; not predicted tract behavior</x:v>
      </x:c>
    </x:row>
    <x:row r="2632" ht="75.5999984741211" hidden="0" customHeight="1">
      <x:c r="A2632" s="34" t="str">
        <x:v>P2</x:v>
      </x:c>
      <x:c r="B2632" s="34" t="str">
        <x:v>48201340302</x:v>
      </x:c>
      <x:c r="C2632" s="65" t="n">
        <x:v>550.4653396834001</x:v>
      </x:c>
      <x:c r="D2632" s="65" t="n">
        <x:v>476.0424257582044</x:v>
      </x:c>
      <x:c r="E2632" s="65" t="n">
        <x:v>74.4229139251957</x:v>
      </x:c>
      <x:c r="F2632" s="65" t="n">
        <x:v>74.4229139251957</x:v>
      </x:c>
      <x:c r="G2632" s="65" t="n">
        <x:v>550.4653396834001</x:v>
      </x:c>
      <x:c r="H2632" s="43" t="n">
        <x:v>1</x:v>
      </x:c>
      <x:c r="I2632" s="34" t="str">
        <x:v>generated design-reference observation; not predicted tract behavior</x:v>
      </x:c>
    </x:row>
    <x:row r="2633" ht="75.5999984741211" hidden="0" customHeight="1">
      <x:c r="A2633" s="36" t="str">
        <x:v>P2</x:v>
      </x:c>
      <x:c r="B2633" s="36" t="str">
        <x:v>48201340400</x:v>
      </x:c>
      <x:c r="C2633" s="66" t="n">
        <x:v>85.49590172586346</x:v>
      </x:c>
      <x:c r="D2633" s="66" t="n">
        <x:v>73.93685581252672</x:v>
      </x:c>
      <x:c r="E2633" s="66" t="n">
        <x:v>11.559045913336746</x:v>
      </x:c>
      <x:c r="F2633" s="66" t="n">
        <x:v>11.559045913336746</x:v>
      </x:c>
      <x:c r="G2633" s="66" t="n">
        <x:v>85.49590172586346</x:v>
      </x:c>
      <x:c r="H2633" s="45" t="n">
        <x:v>1</x:v>
      </x:c>
      <x:c r="I2633" s="36" t="str">
        <x:v>generated design-reference observation; not predicted tract behavior</x:v>
      </x:c>
    </x:row>
    <x:row r="2634" ht="75.5999984741211" hidden="0" customHeight="1">
      <x:c r="A2634" s="34" t="str">
        <x:v>P2</x:v>
      </x:c>
      <x:c r="B2634" s="34" t="str">
        <x:v>48201340501</x:v>
      </x:c>
      <x:c r="C2634" s="65" t="n">
        <x:v>302.3951846757305</x:v>
      </x:c>
      <x:c r="D2634" s="65" t="n">
        <x:v>260.02936348027015</x:v>
      </x:c>
      <x:c r="E2634" s="65" t="n">
        <x:v>42.36582119546034</x:v>
      </x:c>
      <x:c r="F2634" s="65" t="n">
        <x:v>42.36582119546034</x:v>
      </x:c>
      <x:c r="G2634" s="65" t="n">
        <x:v>302.3951846757305</x:v>
      </x:c>
      <x:c r="H2634" s="43" t="n">
        <x:v>1</x:v>
      </x:c>
      <x:c r="I2634" s="34" t="str">
        <x:v>generated design-reference observation; not predicted tract behavior</x:v>
      </x:c>
    </x:row>
    <x:row r="2635" ht="75.5999984741211" hidden="0" customHeight="1">
      <x:c r="A2635" s="36" t="str">
        <x:v>P2</x:v>
      </x:c>
      <x:c r="B2635" s="36" t="str">
        <x:v>48201340502</x:v>
      </x:c>
      <x:c r="C2635" s="66" t="n">
        <x:v>177.8217297800755</x:v>
      </x:c>
      <x:c r="D2635" s="66" t="n">
        <x:v>152.03184297108675</x:v>
      </x:c>
      <x:c r="E2635" s="66" t="n">
        <x:v>25.78988680898874</x:v>
      </x:c>
      <x:c r="F2635" s="66" t="n">
        <x:v>25.78988680898874</x:v>
      </x:c>
      <x:c r="G2635" s="66" t="n">
        <x:v>177.8217297800755</x:v>
      </x:c>
      <x:c r="H2635" s="45" t="n">
        <x:v>1</x:v>
      </x:c>
      <x:c r="I2635" s="36" t="str">
        <x:v>generated design-reference observation; not predicted tract behavior</x:v>
      </x:c>
    </x:row>
    <x:row r="2636" ht="75.5999984741211" hidden="0" customHeight="1">
      <x:c r="A2636" s="34" t="str">
        <x:v>P2</x:v>
      </x:c>
      <x:c r="B2636" s="34" t="str">
        <x:v>48201340600</x:v>
      </x:c>
      <x:c r="C2636" s="65" t="n">
        <x:v>350.4555691623853</x:v>
      </x:c>
      <x:c r="D2636" s="65" t="n">
        <x:v>264.38368137610354</x:v>
      </x:c>
      <x:c r="E2636" s="65" t="n">
        <x:v>86.07188778628176</x:v>
      </x:c>
      <x:c r="F2636" s="65" t="n">
        <x:v>86.07188778628176</x:v>
      </x:c>
      <x:c r="G2636" s="65" t="n">
        <x:v>350.4555691623853</x:v>
      </x:c>
      <x:c r="H2636" s="43" t="n">
        <x:v>1</x:v>
      </x:c>
      <x:c r="I2636" s="34" t="str">
        <x:v>generated design-reference observation; not predicted tract behavior</x:v>
      </x:c>
    </x:row>
    <x:row r="2637" ht="75.5999984741211" hidden="0" customHeight="1">
      <x:c r="A2637" s="36" t="str">
        <x:v>P2</x:v>
      </x:c>
      <x:c r="B2637" s="36" t="str">
        <x:v>48201340701</x:v>
      </x:c>
      <x:c r="C2637" s="66" t="n">
        <x:v>315.1354730281506</x:v>
      </x:c>
      <x:c r="D2637" s="66" t="n">
        <x:v>272.0195060920261</x:v>
      </x:c>
      <x:c r="E2637" s="66" t="n">
        <x:v>43.115966936124494</x:v>
      </x:c>
      <x:c r="F2637" s="66" t="n">
        <x:v>43.115966936124494</x:v>
      </x:c>
      <x:c r="G2637" s="66" t="n">
        <x:v>315.1354730281506</x:v>
      </x:c>
      <x:c r="H2637" s="45" t="n">
        <x:v>1</x:v>
      </x:c>
      <x:c r="I2637" s="36" t="str">
        <x:v>generated design-reference observation; not predicted tract behavior</x:v>
      </x:c>
    </x:row>
    <x:row r="2638" ht="75.5999984741211" hidden="0" customHeight="1">
      <x:c r="A2638" s="34" t="str">
        <x:v>P2</x:v>
      </x:c>
      <x:c r="B2638" s="34" t="str">
        <x:v>48201340702</x:v>
      </x:c>
      <x:c r="C2638" s="65" t="n">
        <x:v>311.0524503266809</x:v>
      </x:c>
      <x:c r="D2638" s="65" t="n">
        <x:v>268.99815904251363</x:v>
      </x:c>
      <x:c r="E2638" s="65" t="n">
        <x:v>42.05429128416728</x:v>
      </x:c>
      <x:c r="F2638" s="65" t="n">
        <x:v>42.05429128416728</x:v>
      </x:c>
      <x:c r="G2638" s="65" t="n">
        <x:v>311.0524503266809</x:v>
      </x:c>
      <x:c r="H2638" s="43" t="n">
        <x:v>1</x:v>
      </x:c>
      <x:c r="I2638" s="34" t="str">
        <x:v>generated design-reference observation; not predicted tract behavior</x:v>
      </x:c>
    </x:row>
    <x:row r="2639" ht="75.5999984741211" hidden="0" customHeight="1">
      <x:c r="A2639" s="36" t="str">
        <x:v>P2</x:v>
      </x:c>
      <x:c r="B2639" s="36" t="str">
        <x:v>48201340800</x:v>
      </x:c>
      <x:c r="C2639" s="66" t="n">
        <x:v>492.7764337569579</x:v>
      </x:c>
      <x:c r="D2639" s="66" t="n">
        <x:v>426.15305991301716</x:v>
      </x:c>
      <x:c r="E2639" s="66" t="n">
        <x:v>66.62337384394073</x:v>
      </x:c>
      <x:c r="F2639" s="66" t="n">
        <x:v>66.62337384394073</x:v>
      </x:c>
      <x:c r="G2639" s="66" t="n">
        <x:v>492.7764337569579</x:v>
      </x:c>
      <x:c r="H2639" s="45" t="n">
        <x:v>1</x:v>
      </x:c>
      <x:c r="I2639" s="36" t="str">
        <x:v>generated design-reference observation; not predicted tract behavior</x:v>
      </x:c>
    </x:row>
    <x:row r="2640" ht="75.5999984741211" hidden="0" customHeight="1">
      <x:c r="A2640" s="34" t="str">
        <x:v>P2</x:v>
      </x:c>
      <x:c r="B2640" s="34" t="str">
        <x:v>48201340900</x:v>
      </x:c>
      <x:c r="C2640" s="65" t="n">
        <x:v>376.502636171701</x:v>
      </x:c>
      <x:c r="D2640" s="65" t="n">
        <x:v>322.5169600963339</x:v>
      </x:c>
      <x:c r="E2640" s="65" t="n">
        <x:v>53.98567607536711</x:v>
      </x:c>
      <x:c r="F2640" s="65" t="n">
        <x:v>53.98567607536711</x:v>
      </x:c>
      <x:c r="G2640" s="65" t="n">
        <x:v>376.502636171701</x:v>
      </x:c>
      <x:c r="H2640" s="43" t="n">
        <x:v>1</x:v>
      </x:c>
      <x:c r="I2640" s="34" t="str">
        <x:v>generated design-reference observation; not predicted tract behavior</x:v>
      </x:c>
    </x:row>
    <x:row r="2641" ht="75.5999984741211" hidden="0" customHeight="1">
      <x:c r="A2641" s="36" t="str">
        <x:v>P2</x:v>
      </x:c>
      <x:c r="B2641" s="36" t="str">
        <x:v>48201341001</x:v>
      </x:c>
      <x:c r="C2641" s="66" t="n">
        <x:v>323.2307827153761</x:v>
      </x:c>
      <x:c r="D2641" s="66" t="n">
        <x:v>273.57399000031984</x:v>
      </x:c>
      <x:c r="E2641" s="66" t="n">
        <x:v>49.65679271505627</x:v>
      </x:c>
      <x:c r="F2641" s="66" t="n">
        <x:v>49.65679271505627</x:v>
      </x:c>
      <x:c r="G2641" s="66" t="n">
        <x:v>323.2307827153761</x:v>
      </x:c>
      <x:c r="H2641" s="45" t="n">
        <x:v>1</x:v>
      </x:c>
      <x:c r="I2641" s="36" t="str">
        <x:v>generated design-reference observation; not predicted tract behavior</x:v>
      </x:c>
    </x:row>
    <x:row r="2642" ht="75.5999984741211" hidden="0" customHeight="1">
      <x:c r="A2642" s="34" t="str">
        <x:v>P2</x:v>
      </x:c>
      <x:c r="B2642" s="34" t="str">
        <x:v>48201341002</x:v>
      </x:c>
      <x:c r="C2642" s="65" t="n">
        <x:v>287.08483198571565</x:v>
      </x:c>
      <x:c r="D2642" s="65" t="n">
        <x:v>244.44132444946283</x:v>
      </x:c>
      <x:c r="E2642" s="65" t="n">
        <x:v>42.64350753625283</x:v>
      </x:c>
      <x:c r="F2642" s="65" t="n">
        <x:v>42.64350753625283</x:v>
      </x:c>
      <x:c r="G2642" s="65" t="n">
        <x:v>287.08483198571565</x:v>
      </x:c>
      <x:c r="H2642" s="43" t="n">
        <x:v>1</x:v>
      </x:c>
      <x:c r="I2642" s="34" t="str">
        <x:v>generated design-reference observation; not predicted tract behavior</x:v>
      </x:c>
    </x:row>
    <x:row r="2643" ht="75.5999984741211" hidden="0" customHeight="1">
      <x:c r="A2643" s="36" t="str">
        <x:v>P2</x:v>
      </x:c>
      <x:c r="B2643" s="36" t="str">
        <x:v>48201341101</x:v>
      </x:c>
      <x:c r="C2643" s="66" t="n">
        <x:v>158.0628865240706</x:v>
      </x:c>
      <x:c r="D2643" s="66" t="n">
        <x:v>134.88722950842225</x:v>
      </x:c>
      <x:c r="E2643" s="66" t="n">
        <x:v>23.17565701564834</x:v>
      </x:c>
      <x:c r="F2643" s="66" t="n">
        <x:v>23.17565701564834</x:v>
      </x:c>
      <x:c r="G2643" s="66" t="n">
        <x:v>158.0628865240706</x:v>
      </x:c>
      <x:c r="H2643" s="45" t="n">
        <x:v>1</x:v>
      </x:c>
      <x:c r="I2643" s="36" t="str">
        <x:v>generated design-reference observation; not predicted tract behavior</x:v>
      </x:c>
    </x:row>
    <x:row r="2644" ht="75.5999984741211" hidden="0" customHeight="1">
      <x:c r="A2644" s="34" t="str">
        <x:v>P2</x:v>
      </x:c>
      <x:c r="B2644" s="34" t="str">
        <x:v>48201341102</x:v>
      </x:c>
      <x:c r="C2644" s="65" t="n">
        <x:v>164.0046866440148</x:v>
      </x:c>
      <x:c r="D2644" s="65" t="n">
        <x:v>139.7120861055627</x:v>
      </x:c>
      <x:c r="E2644" s="65" t="n">
        <x:v>24.29260053845212</x:v>
      </x:c>
      <x:c r="F2644" s="65" t="n">
        <x:v>24.29260053845212</x:v>
      </x:c>
      <x:c r="G2644" s="65" t="n">
        <x:v>164.0046866440148</x:v>
      </x:c>
      <x:c r="H2644" s="43" t="n">
        <x:v>1</x:v>
      </x:c>
      <x:c r="I2644" s="34" t="str">
        <x:v>generated design-reference observation; not predicted tract behavior</x:v>
      </x:c>
    </x:row>
    <x:row r="2645" ht="75.5999984741211" hidden="0" customHeight="1">
      <x:c r="A2645" s="36" t="str">
        <x:v>P2</x:v>
      </x:c>
      <x:c r="B2645" s="36" t="str">
        <x:v>48201341201</x:v>
      </x:c>
      <x:c r="C2645" s="66" t="n">
        <x:v>741.3060686273824</x:v>
      </x:c>
      <x:c r="D2645" s="66" t="n">
        <x:v>549.2753020764287</x:v>
      </x:c>
      <x:c r="E2645" s="66" t="n">
        <x:v>192.03076655095367</x:v>
      </x:c>
      <x:c r="F2645" s="66" t="n">
        <x:v>192.03076655095367</x:v>
      </x:c>
      <x:c r="G2645" s="66" t="n">
        <x:v>741.3060686273824</x:v>
      </x:c>
      <x:c r="H2645" s="45" t="n">
        <x:v>1</x:v>
      </x:c>
      <x:c r="I2645" s="36" t="str">
        <x:v>generated design-reference observation; not predicted tract behavior</x:v>
      </x:c>
    </x:row>
    <x:row r="2646" ht="75.5999984741211" hidden="0" customHeight="1">
      <x:c r="A2646" s="34" t="str">
        <x:v>P2</x:v>
      </x:c>
      <x:c r="B2646" s="34" t="str">
        <x:v>48201341203</x:v>
      </x:c>
      <x:c r="C2646" s="65" t="n">
        <x:v>468.57272740756366</x:v>
      </x:c>
      <x:c r="D2646" s="65" t="n">
        <x:v>191.36838422687916</x:v>
      </x:c>
      <x:c r="E2646" s="65" t="n">
        <x:v>277.20434318068453</x:v>
      </x:c>
      <x:c r="F2646" s="65" t="n">
        <x:v>277.20434318068453</x:v>
      </x:c>
      <x:c r="G2646" s="65" t="n">
        <x:v>468.57272740756366</x:v>
      </x:c>
      <x:c r="H2646" s="43" t="n">
        <x:v>1</x:v>
      </x:c>
      <x:c r="I2646" s="34" t="str">
        <x:v>generated design-reference observation; not predicted tract behavior</x:v>
      </x:c>
    </x:row>
    <x:row r="2647" ht="75.5999984741211" hidden="0" customHeight="1">
      <x:c r="A2647" s="36" t="str">
        <x:v>P2</x:v>
      </x:c>
      <x:c r="B2647" s="36" t="str">
        <x:v>48201341204</x:v>
      </x:c>
      <x:c r="C2647" s="66" t="n">
        <x:v>612.7333251894572</x:v>
      </x:c>
      <x:c r="D2647" s="66" t="n">
        <x:v>249.1413175223756</x:v>
      </x:c>
      <x:c r="E2647" s="66" t="n">
        <x:v>363.5920076670816</x:v>
      </x:c>
      <x:c r="F2647" s="66" t="n">
        <x:v>363.5920076670816</x:v>
      </x:c>
      <x:c r="G2647" s="66" t="n">
        <x:v>612.7333251894572</x:v>
      </x:c>
      <x:c r="H2647" s="45" t="n">
        <x:v>1</x:v>
      </x:c>
      <x:c r="I2647" s="36" t="str">
        <x:v>generated design-reference observation; not predicted tract behavior</x:v>
      </x:c>
    </x:row>
    <x:row r="2648" ht="75.5999984741211" hidden="0" customHeight="1">
      <x:c r="A2648" s="34" t="str">
        <x:v>P2</x:v>
      </x:c>
      <x:c r="B2648" s="34" t="str">
        <x:v>48201341302</x:v>
      </x:c>
      <x:c r="C2648" s="65" t="n">
        <x:v>478.3427202787783</x:v>
      </x:c>
      <x:c r="D2648" s="65" t="n">
        <x:v>354.40764981315925</x:v>
      </x:c>
      <x:c r="E2648" s="65" t="n">
        <x:v>123.93507046561905</x:v>
      </x:c>
      <x:c r="F2648" s="65" t="n">
        <x:v>123.93507046561905</x:v>
      </x:c>
      <x:c r="G2648" s="65" t="n">
        <x:v>478.3427202787783</x:v>
      </x:c>
      <x:c r="H2648" s="43" t="n">
        <x:v>1</x:v>
      </x:c>
      <x:c r="I2648" s="34" t="str">
        <x:v>generated design-reference observation; not predicted tract behavior</x:v>
      </x:c>
    </x:row>
    <x:row r="2649" ht="75.5999984741211" hidden="0" customHeight="1">
      <x:c r="A2649" s="36" t="str">
        <x:v>P2</x:v>
      </x:c>
      <x:c r="B2649" s="36" t="str">
        <x:v>48201341303</x:v>
      </x:c>
      <x:c r="C2649" s="66" t="n">
        <x:v>241.24022867932092</x:v>
      </x:c>
      <x:c r="D2649" s="66" t="n">
        <x:v>207.27348657304736</x:v>
      </x:c>
      <x:c r="E2649" s="66" t="n">
        <x:v>33.96674210627356</x:v>
      </x:c>
      <x:c r="F2649" s="66" t="n">
        <x:v>33.96674210627356</x:v>
      </x:c>
      <x:c r="G2649" s="66" t="n">
        <x:v>241.24022867932092</x:v>
      </x:c>
      <x:c r="H2649" s="45" t="n">
        <x:v>1</x:v>
      </x:c>
      <x:c r="I2649" s="36" t="str">
        <x:v>generated design-reference observation; not predicted tract behavior</x:v>
      </x:c>
    </x:row>
    <x:row r="2650" ht="75.5999984741211" hidden="0" customHeight="1">
      <x:c r="A2650" s="34" t="str">
        <x:v>P2</x:v>
      </x:c>
      <x:c r="B2650" s="34" t="str">
        <x:v>48201341304</x:v>
      </x:c>
      <x:c r="C2650" s="65" t="n">
        <x:v>223.87551733977708</x:v>
      </x:c>
      <x:c r="D2650" s="65" t="n">
        <x:v>165.14632015468626</x:v>
      </x:c>
      <x:c r="E2650" s="65" t="n">
        <x:v>58.72919718509081</x:v>
      </x:c>
      <x:c r="F2650" s="65" t="n">
        <x:v>58.72919718509081</x:v>
      </x:c>
      <x:c r="G2650" s="65" t="n">
        <x:v>223.87551733977708</x:v>
      </x:c>
      <x:c r="H2650" s="43" t="n">
        <x:v>1</x:v>
      </x:c>
      <x:c r="I2650" s="34" t="str">
        <x:v>generated design-reference observation; not predicted tract behavior</x:v>
      </x:c>
    </x:row>
    <x:row r="2651" ht="75.5999984741211" hidden="0" customHeight="1">
      <x:c r="A2651" s="36" t="str">
        <x:v>P2</x:v>
      </x:c>
      <x:c r="B2651" s="36" t="str">
        <x:v>48201341400</x:v>
      </x:c>
      <x:c r="C2651" s="66" t="n">
        <x:v>976.8590248475748</x:v>
      </x:c>
      <x:c r="D2651" s="66" t="n">
        <x:v>401.67617408148203</x:v>
      </x:c>
      <x:c r="E2651" s="66" t="n">
        <x:v>575.1828507660928</x:v>
      </x:c>
      <x:c r="F2651" s="66" t="n">
        <x:v>575.1828507660928</x:v>
      </x:c>
      <x:c r="G2651" s="66" t="n">
        <x:v>976.8590248475748</x:v>
      </x:c>
      <x:c r="H2651" s="45" t="n">
        <x:v>1</x:v>
      </x:c>
      <x:c r="I2651" s="36" t="str">
        <x:v>generated design-reference observation; not predicted tract behavior</x:v>
      </x:c>
    </x:row>
    <x:row r="2652" ht="75.5999984741211" hidden="0" customHeight="1">
      <x:c r="A2652" s="34" t="str">
        <x:v>P2</x:v>
      </x:c>
      <x:c r="B2652" s="34" t="str">
        <x:v>48201341501</x:v>
      </x:c>
      <x:c r="C2652" s="65" t="n">
        <x:v>886.1437946280731</x:v>
      </x:c>
      <x:c r="D2652" s="65" t="n">
        <x:v>664.1427388066816</x:v>
      </x:c>
      <x:c r="E2652" s="65" t="n">
        <x:v>222.00105582139156</x:v>
      </x:c>
      <x:c r="F2652" s="65" t="n">
        <x:v>222.00105582139156</x:v>
      </x:c>
      <x:c r="G2652" s="65" t="n">
        <x:v>886.1437946280731</x:v>
      </x:c>
      <x:c r="H2652" s="43" t="n">
        <x:v>1</x:v>
      </x:c>
      <x:c r="I2652" s="34" t="str">
        <x:v>generated design-reference observation; not predicted tract behavior</x:v>
      </x:c>
    </x:row>
    <x:row r="2653" ht="75.5999984741211" hidden="0" customHeight="1">
      <x:c r="A2653" s="36" t="str">
        <x:v>P2</x:v>
      </x:c>
      <x:c r="B2653" s="36" t="str">
        <x:v>48201341502</x:v>
      </x:c>
      <x:c r="C2653" s="66" t="n">
        <x:v>869.2633508807223</x:v>
      </x:c>
      <x:c r="D2653" s="66" t="n">
        <x:v>354.0614432938352</x:v>
      </x:c>
      <x:c r="E2653" s="66" t="n">
        <x:v>515.201907586887</x:v>
      </x:c>
      <x:c r="F2653" s="66" t="n">
        <x:v>515.201907586887</x:v>
      </x:c>
      <x:c r="G2653" s="66" t="n">
        <x:v>869.2633508807223</x:v>
      </x:c>
      <x:c r="H2653" s="45" t="n">
        <x:v>1</x:v>
      </x:c>
      <x:c r="I2653" s="36" t="str">
        <x:v>generated design-reference observation; not predicted tract behavior</x:v>
      </x:c>
    </x:row>
    <x:row r="2654" ht="75.5999984741211" hidden="0" customHeight="1">
      <x:c r="A2654" s="34" t="str">
        <x:v>P2</x:v>
      </x:c>
      <x:c r="B2654" s="34" t="str">
        <x:v>48201341600</x:v>
      </x:c>
      <x:c r="C2654" s="65" t="n">
        <x:v>1179.2526494460153</x:v>
      </x:c>
      <x:c r="D2654" s="65" t="n">
        <x:v>485.8035824737282</x:v>
      </x:c>
      <x:c r="E2654" s="65" t="n">
        <x:v>693.449066972287</x:v>
      </x:c>
      <x:c r="F2654" s="65" t="n">
        <x:v>693.449066972287</x:v>
      </x:c>
      <x:c r="G2654" s="65" t="n">
        <x:v>1179.2526494460153</x:v>
      </x:c>
      <x:c r="H2654" s="43" t="n">
        <x:v>1</x:v>
      </x:c>
      <x:c r="I2654" s="34" t="str">
        <x:v>generated design-reference observation; not predicted tract behavior</x:v>
      </x:c>
    </x:row>
    <x:row r="2655" ht="75.5999984741211" hidden="0" customHeight="1">
      <x:c r="A2655" s="36" t="str">
        <x:v>P2</x:v>
      </x:c>
      <x:c r="B2655" s="36" t="str">
        <x:v>48201341700</x:v>
      </x:c>
      <x:c r="C2655" s="66" t="n">
        <x:v>535.6422774794123</x:v>
      </x:c>
      <x:c r="D2655" s="66" t="n">
        <x:v>220.52392563827405</x:v>
      </x:c>
      <x:c r="E2655" s="66" t="n">
        <x:v>315.1183518411383</x:v>
      </x:c>
      <x:c r="F2655" s="66" t="n">
        <x:v>315.1183518411383</x:v>
      </x:c>
      <x:c r="G2655" s="66" t="n">
        <x:v>535.6422774794123</x:v>
      </x:c>
      <x:c r="H2655" s="45" t="n">
        <x:v>1</x:v>
      </x:c>
      <x:c r="I2655" s="36" t="str">
        <x:v>generated design-reference observation; not predicted tract behavior</x:v>
      </x:c>
    </x:row>
    <x:row r="2656" ht="75.5999984741211" hidden="0" customHeight="1">
      <x:c r="A2656" s="34" t="str">
        <x:v>P2</x:v>
      </x:c>
      <x:c r="B2656" s="34" t="str">
        <x:v>48201341800</x:v>
      </x:c>
      <x:c r="C2656" s="65" t="n">
        <x:v>456.071247668023</x:v>
      </x:c>
      <x:c r="D2656" s="65" t="n">
        <x:v>188.1954637422994</x:v>
      </x:c>
      <x:c r="E2656" s="65" t="n">
        <x:v>267.87578392572357</x:v>
      </x:c>
      <x:c r="F2656" s="65" t="n">
        <x:v>267.87578392572357</x:v>
      </x:c>
      <x:c r="G2656" s="65" t="n">
        <x:v>456.071247668023</x:v>
      </x:c>
      <x:c r="H2656" s="43" t="n">
        <x:v>1</x:v>
      </x:c>
      <x:c r="I2656" s="34" t="str">
        <x:v>generated design-reference observation; not predicted tract behavior</x:v>
      </x:c>
    </x:row>
    <x:row r="2657" ht="75.5999984741211" hidden="0" customHeight="1">
      <x:c r="A2657" s="36" t="str">
        <x:v>P2</x:v>
      </x:c>
      <x:c r="B2657" s="36" t="str">
        <x:v>48201342001</x:v>
      </x:c>
      <x:c r="C2657" s="66" t="n">
        <x:v>1111.6752532100686</x:v>
      </x:c>
      <x:c r="D2657" s="66" t="n">
        <x:v>458.8936600509044</x:v>
      </x:c>
      <x:c r="E2657" s="66" t="n">
        <x:v>652.7815931591642</x:v>
      </x:c>
      <x:c r="F2657" s="66" t="n">
        <x:v>652.7815931591642</x:v>
      </x:c>
      <x:c r="G2657" s="66" t="n">
        <x:v>1111.6752532100686</x:v>
      </x:c>
      <x:c r="H2657" s="45" t="n">
        <x:v>1</x:v>
      </x:c>
      <x:c r="I2657" s="36" t="str">
        <x:v>generated design-reference observation; not predicted tract behavior</x:v>
      </x:c>
    </x:row>
    <x:row r="2658" ht="75.5999984741211" hidden="0" customHeight="1">
      <x:c r="A2658" s="34" t="str">
        <x:v>P2</x:v>
      </x:c>
      <x:c r="B2658" s="34" t="str">
        <x:v>48201342002</x:v>
      </x:c>
      <x:c r="C2658" s="65" t="n">
        <x:v>714.5395528855947</x:v>
      </x:c>
      <x:c r="D2658" s="65" t="n">
        <x:v>292.8294444538604</x:v>
      </x:c>
      <x:c r="E2658" s="65" t="n">
        <x:v>421.71010843173434</x:v>
      </x:c>
      <x:c r="F2658" s="65" t="n">
        <x:v>421.71010843173434</x:v>
      </x:c>
      <x:c r="G2658" s="65" t="n">
        <x:v>714.5395528855947</x:v>
      </x:c>
      <x:c r="H2658" s="43" t="n">
        <x:v>1</x:v>
      </x:c>
      <x:c r="I2658" s="34" t="str">
        <x:v>generated design-reference observation; not predicted tract behavior</x:v>
      </x:c>
    </x:row>
    <x:row r="2659" ht="75.5999984741211" hidden="0" customHeight="1">
      <x:c r="A2659" s="36" t="str">
        <x:v>P2</x:v>
      </x:c>
      <x:c r="B2659" s="36" t="str">
        <x:v>48201342100</x:v>
      </x:c>
      <x:c r="C2659" s="66" t="n">
        <x:v>560.7734076570516</x:v>
      </x:c>
      <x:c r="D2659" s="66" t="n">
        <x:v>422.26513091676475</x:v>
      </x:c>
      <x:c r="E2659" s="66" t="n">
        <x:v>138.50827674028687</x:v>
      </x:c>
      <x:c r="F2659" s="66" t="n">
        <x:v>138.50827674028687</x:v>
      </x:c>
      <x:c r="G2659" s="66" t="n">
        <x:v>560.7734076570516</x:v>
      </x:c>
      <x:c r="H2659" s="45" t="n">
        <x:v>1</x:v>
      </x:c>
      <x:c r="I2659" s="36" t="str">
        <x:v>generated design-reference observation; not predicted tract behavior</x:v>
      </x:c>
    </x:row>
    <x:row r="2660" ht="75.5999984741211" hidden="0" customHeight="1">
      <x:c r="A2660" s="34" t="str">
        <x:v>P2</x:v>
      </x:c>
      <x:c r="B2660" s="34" t="str">
        <x:v>48201342200</x:v>
      </x:c>
      <x:c r="C2660" s="65" t="n">
        <x:v>315.58346589433677</x:v>
      </x:c>
      <x:c r="D2660" s="65" t="n">
        <x:v>271.9876616958056</x:v>
      </x:c>
      <x:c r="E2660" s="65" t="n">
        <x:v>43.59580419853114</x:v>
      </x:c>
      <x:c r="F2660" s="65" t="n">
        <x:v>43.59580419853114</x:v>
      </x:c>
      <x:c r="G2660" s="65" t="n">
        <x:v>315.58346589433677</x:v>
      </x:c>
      <x:c r="H2660" s="43" t="n">
        <x:v>1</x:v>
      </x:c>
      <x:c r="I2660" s="34" t="str">
        <x:v>generated design-reference observation; not predicted tract behavior</x:v>
      </x:c>
    </x:row>
    <x:row r="2661" ht="75.5999984741211" hidden="0" customHeight="1">
      <x:c r="A2661" s="36" t="str">
        <x:v>P2</x:v>
      </x:c>
      <x:c r="B2661" s="36" t="str">
        <x:v>48201342300</x:v>
      </x:c>
      <x:c r="C2661" s="66" t="n">
        <x:v>577.957954524094</x:v>
      </x:c>
      <x:c r="D2661" s="66" t="n">
        <x:v>496.5756557905134</x:v>
      </x:c>
      <x:c r="E2661" s="66" t="n">
        <x:v>81.38229873358063</x:v>
      </x:c>
      <x:c r="F2661" s="66" t="n">
        <x:v>81.38229873358063</x:v>
      </x:c>
      <x:c r="G2661" s="66" t="n">
        <x:v>577.957954524094</x:v>
      </x:c>
      <x:c r="H2661" s="45" t="n">
        <x:v>1</x:v>
      </x:c>
      <x:c r="I2661" s="36" t="str">
        <x:v>generated design-reference observation; not predicted tract behavior</x:v>
      </x:c>
    </x:row>
    <x:row r="2662" ht="75.5999984741211" hidden="0" customHeight="1">
      <x:c r="A2662" s="34" t="str">
        <x:v>P2</x:v>
      </x:c>
      <x:c r="B2662" s="34" t="str">
        <x:v>48201342400</x:v>
      </x:c>
      <x:c r="C2662" s="65" t="n">
        <x:v>610.752725149476</x:v>
      </x:c>
      <x:c r="D2662" s="65" t="n">
        <x:v>251.45911199854223</x:v>
      </x:c>
      <x:c r="E2662" s="65" t="n">
        <x:v>359.29361315093377</x:v>
      </x:c>
      <x:c r="F2662" s="65" t="n">
        <x:v>359.29361315093377</x:v>
      </x:c>
      <x:c r="G2662" s="65" t="n">
        <x:v>610.752725149476</x:v>
      </x:c>
      <x:c r="H2662" s="43" t="n">
        <x:v>1</x:v>
      </x:c>
      <x:c r="I2662" s="34" t="str">
        <x:v>generated design-reference observation; not predicted tract behavior</x:v>
      </x:c>
    </x:row>
    <x:row r="2663" ht="75.5999984741211" hidden="0" customHeight="1">
      <x:c r="A2663" s="36" t="str">
        <x:v>P2</x:v>
      </x:c>
      <x:c r="B2663" s="36" t="str">
        <x:v>48201342500</x:v>
      </x:c>
      <x:c r="C2663" s="66" t="n">
        <x:v>1096.177481102351</x:v>
      </x:c>
      <x:c r="D2663" s="66" t="n">
        <x:v>450.4105792090888</x:v>
      </x:c>
      <x:c r="E2663" s="66" t="n">
        <x:v>645.7669018932622</x:v>
      </x:c>
      <x:c r="F2663" s="66" t="n">
        <x:v>645.7669018932622</x:v>
      </x:c>
      <x:c r="G2663" s="66" t="n">
        <x:v>1096.177481102351</x:v>
      </x:c>
      <x:c r="H2663" s="45" t="n">
        <x:v>1</x:v>
      </x:c>
      <x:c r="I2663" s="36" t="str">
        <x:v>generated design-reference observation; not predicted tract behavior</x:v>
      </x:c>
    </x:row>
    <x:row r="2664" ht="75.5999984741211" hidden="0" customHeight="1">
      <x:c r="A2664" s="34" t="str">
        <x:v>P2</x:v>
      </x:c>
      <x:c r="B2664" s="34" t="str">
        <x:v>48201342700</x:v>
      </x:c>
      <x:c r="C2664" s="65" t="n">
        <x:v>380.33022434420474</x:v>
      </x:c>
      <x:c r="D2664" s="65" t="n">
        <x:v>328.4266621882364</x:v>
      </x:c>
      <x:c r="E2664" s="65" t="n">
        <x:v>51.90356215596836</x:v>
      </x:c>
      <x:c r="F2664" s="65" t="n">
        <x:v>51.90356215596836</x:v>
      </x:c>
      <x:c r="G2664" s="65" t="n">
        <x:v>380.33022434420474</x:v>
      </x:c>
      <x:c r="H2664" s="43" t="n">
        <x:v>1</x:v>
      </x:c>
      <x:c r="I2664" s="34" t="str">
        <x:v>generated design-reference observation; not predicted tract behavior</x:v>
      </x:c>
    </x:row>
    <x:row r="2665" ht="75.5999984741211" hidden="0" customHeight="1">
      <x:c r="A2665" s="36" t="str">
        <x:v>P2</x:v>
      </x:c>
      <x:c r="B2665" s="36" t="str">
        <x:v>48201342801</x:v>
      </x:c>
      <x:c r="C2665" s="66" t="n">
        <x:v>428.1397086426444</x:v>
      </x:c>
      <x:c r="D2665" s="66" t="n">
        <x:v>370.25522003415887</x:v>
      </x:c>
      <x:c r="E2665" s="66" t="n">
        <x:v>57.884488608485526</x:v>
      </x:c>
      <x:c r="F2665" s="66" t="n">
        <x:v>57.884488608485526</x:v>
      </x:c>
      <x:c r="G2665" s="66" t="n">
        <x:v>428.1397086426444</x:v>
      </x:c>
      <x:c r="H2665" s="45" t="n">
        <x:v>1</x:v>
      </x:c>
      <x:c r="I2665" s="36" t="str">
        <x:v>generated design-reference observation; not predicted tract behavior</x:v>
      </x:c>
    </x:row>
    <x:row r="2666" ht="75.5999984741211" hidden="0" customHeight="1">
      <x:c r="A2666" s="34" t="str">
        <x:v>P2</x:v>
      </x:c>
      <x:c r="B2666" s="34" t="str">
        <x:v>48201342802</x:v>
      </x:c>
      <x:c r="C2666" s="65" t="n">
        <x:v>294.07194879342774</x:v>
      </x:c>
      <x:c r="D2666" s="65" t="n">
        <x:v>254.3134213165563</x:v>
      </x:c>
      <x:c r="E2666" s="65" t="n">
        <x:v>39.75852747687145</x:v>
      </x:c>
      <x:c r="F2666" s="65" t="n">
        <x:v>39.75852747687145</x:v>
      </x:c>
      <x:c r="G2666" s="65" t="n">
        <x:v>294.07194879342774</x:v>
      </x:c>
      <x:c r="H2666" s="43" t="n">
        <x:v>1</x:v>
      </x:c>
      <x:c r="I2666" s="34" t="str">
        <x:v>generated design-reference observation; not predicted tract behavior</x:v>
      </x:c>
    </x:row>
    <x:row r="2667" ht="75.5999984741211" hidden="0" customHeight="1">
      <x:c r="A2667" s="36" t="str">
        <x:v>P2</x:v>
      </x:c>
      <x:c r="B2667" s="36" t="str">
        <x:v>48201342900</x:v>
      </x:c>
      <x:c r="C2667" s="66" t="n">
        <x:v>982.1947347538189</x:v>
      </x:c>
      <x:c r="D2667" s="66" t="n">
        <x:v>738.5858209983758</x:v>
      </x:c>
      <x:c r="E2667" s="66" t="n">
        <x:v>243.60891375544315</x:v>
      </x:c>
      <x:c r="F2667" s="66" t="n">
        <x:v>243.60891375544315</x:v>
      </x:c>
      <x:c r="G2667" s="66" t="n">
        <x:v>982.1947347538189</x:v>
      </x:c>
      <x:c r="H2667" s="45" t="n">
        <x:v>1</x:v>
      </x:c>
      <x:c r="I2667" s="36" t="str">
        <x:v>generated design-reference observation; not predicted tract behavior</x:v>
      </x:c>
    </x:row>
    <x:row r="2668" ht="75.5999984741211" hidden="0" customHeight="1">
      <x:c r="A2668" s="34" t="str">
        <x:v>P2</x:v>
      </x:c>
      <x:c r="B2668" s="34" t="str">
        <x:v>48201343000</x:v>
      </x:c>
      <x:c r="C2668" s="65" t="n">
        <x:v>1255.9555575877853</x:v>
      </x:c>
      <x:c r="D2668" s="65" t="n">
        <x:v>938.8171441278712</x:v>
      </x:c>
      <x:c r="E2668" s="65" t="n">
        <x:v>317.1384134599141</x:v>
      </x:c>
      <x:c r="F2668" s="65" t="n">
        <x:v>317.1384134599141</x:v>
      </x:c>
      <x:c r="G2668" s="65" t="n">
        <x:v>1255.9555575877853</x:v>
      </x:c>
      <x:c r="H2668" s="43" t="n">
        <x:v>1</x:v>
      </x:c>
      <x:c r="I2668" s="34" t="str">
        <x:v>generated design-reference observation; not predicted tract behavior</x:v>
      </x:c>
    </x:row>
    <x:row r="2669" ht="75.5999984741211" hidden="0" customHeight="1">
      <x:c r="A2669" s="36" t="str">
        <x:v>P2</x:v>
      </x:c>
      <x:c r="B2669" s="36" t="str">
        <x:v>48201343100</x:v>
      </x:c>
      <x:c r="C2669" s="66" t="n">
        <x:v>321.69817554158084</x:v>
      </x:c>
      <x:c r="D2669" s="66" t="n">
        <x:v>278.15641659509583</x:v>
      </x:c>
      <x:c r="E2669" s="66" t="n">
        <x:v>43.541758946485004</x:v>
      </x:c>
      <x:c r="F2669" s="66" t="n">
        <x:v>43.541758946485004</x:v>
      </x:c>
      <x:c r="G2669" s="66" t="n">
        <x:v>321.69817554158084</x:v>
      </x:c>
      <x:c r="H2669" s="45" t="n">
        <x:v>1</x:v>
      </x:c>
      <x:c r="I2669" s="36" t="str">
        <x:v>generated design-reference observation; not predicted tract behavior</x:v>
      </x:c>
    </x:row>
    <x:row r="2670" ht="75.5999984741211" hidden="0" customHeight="1">
      <x:c r="A2670" s="34" t="str">
        <x:v>P2</x:v>
      </x:c>
      <x:c r="B2670" s="34" t="str">
        <x:v>48201343200</x:v>
      </x:c>
      <x:c r="C2670" s="65" t="n">
        <x:v>441.3437089091871</x:v>
      </x:c>
      <x:c r="D2670" s="65" t="n">
        <x:v>381.3385241928927</x:v>
      </x:c>
      <x:c r="E2670" s="65" t="n">
        <x:v>60.00518471629442</x:v>
      </x:c>
      <x:c r="F2670" s="65" t="n">
        <x:v>60.00518471629442</x:v>
      </x:c>
      <x:c r="G2670" s="65" t="n">
        <x:v>441.3437089091871</x:v>
      </x:c>
      <x:c r="H2670" s="43" t="n">
        <x:v>1</x:v>
      </x:c>
      <x:c r="I2670" s="34" t="str">
        <x:v>generated design-reference observation; not predicted tract behavior</x:v>
      </x:c>
    </x:row>
    <x:row r="2671" ht="75.5999984741211" hidden="0" customHeight="1">
      <x:c r="A2671" s="36" t="str">
        <x:v>P2</x:v>
      </x:c>
      <x:c r="B2671" s="36" t="str">
        <x:v>48201343301</x:v>
      </x:c>
      <x:c r="C2671" s="66" t="n">
        <x:v>367.7156883752756</x:v>
      </x:c>
      <x:c r="D2671" s="66" t="n">
        <x:v>318.00052730693835</x:v>
      </x:c>
      <x:c r="E2671" s="66" t="n">
        <x:v>49.71516106833724</x:v>
      </x:c>
      <x:c r="F2671" s="66" t="n">
        <x:v>49.71516106833724</x:v>
      </x:c>
      <x:c r="G2671" s="66" t="n">
        <x:v>367.7156883752756</x:v>
      </x:c>
      <x:c r="H2671" s="45" t="n">
        <x:v>1</x:v>
      </x:c>
      <x:c r="I2671" s="36" t="str">
        <x:v>generated design-reference observation; not predicted tract behavior</x:v>
      </x:c>
    </x:row>
    <x:row r="2672" ht="75.5999984741211" hidden="0" customHeight="1">
      <x:c r="A2672" s="34" t="str">
        <x:v>P2</x:v>
      </x:c>
      <x:c r="B2672" s="34" t="str">
        <x:v>48201343302</x:v>
      </x:c>
      <x:c r="C2672" s="65" t="n">
        <x:v>396.53656276659217</x:v>
      </x:c>
      <x:c r="D2672" s="65" t="n">
        <x:v>342.0330736832385</x:v>
      </x:c>
      <x:c r="E2672" s="65" t="n">
        <x:v>54.50348908335366</x:v>
      </x:c>
      <x:c r="F2672" s="65" t="n">
        <x:v>54.50348908335366</x:v>
      </x:c>
      <x:c r="G2672" s="65" t="n">
        <x:v>396.53656276659217</x:v>
      </x:c>
      <x:c r="H2672" s="43" t="n">
        <x:v>1</x:v>
      </x:c>
      <x:c r="I2672" s="34" t="str">
        <x:v>generated design-reference observation; not predicted tract behavior</x:v>
      </x:c>
    </x:row>
    <x:row r="2673" ht="75.5999984741211" hidden="0" customHeight="1">
      <x:c r="A2673" s="36" t="str">
        <x:v>P2</x:v>
      </x:c>
      <x:c r="B2673" s="36" t="str">
        <x:v>48201343602</x:v>
      </x:c>
      <x:c r="C2673" s="66" t="n">
        <x:v>409.3028480059838</x:v>
      </x:c>
      <x:c r="D2673" s="66" t="n">
        <x:v>307.03215053914715</x:v>
      </x:c>
      <x:c r="E2673" s="66" t="n">
        <x:v>102.27069746683662</x:v>
      </x:c>
      <x:c r="F2673" s="66" t="n">
        <x:v>102.27069746683662</x:v>
      </x:c>
      <x:c r="G2673" s="66" t="n">
        <x:v>409.3028480059838</x:v>
      </x:c>
      <x:c r="H2673" s="45" t="n">
        <x:v>1</x:v>
      </x:c>
      <x:c r="I2673" s="36" t="str">
        <x:v>generated design-reference observation; not predicted tract behavior</x:v>
      </x:c>
    </x:row>
    <x:row r="2674" ht="75.5999984741211" hidden="0" customHeight="1">
      <x:c r="A2674" s="34" t="str">
        <x:v>P2</x:v>
      </x:c>
      <x:c r="B2674" s="34" t="str">
        <x:v>48201343700</x:v>
      </x:c>
      <x:c r="C2674" s="65" t="n">
        <x:v>548.0500475101015</x:v>
      </x:c>
      <x:c r="D2674" s="65" t="n">
        <x:v>412.4358689961809</x:v>
      </x:c>
      <x:c r="E2674" s="65" t="n">
        <x:v>135.61417851392065</x:v>
      </x:c>
      <x:c r="F2674" s="65" t="n">
        <x:v>135.61417851392065</x:v>
      </x:c>
      <x:c r="G2674" s="65" t="n">
        <x:v>548.0500475101015</x:v>
      </x:c>
      <x:c r="H2674" s="43" t="n">
        <x:v>1</x:v>
      </x:c>
      <x:c r="I2674" s="34" t="str">
        <x:v>generated design-reference observation; not predicted tract behavior</x:v>
      </x:c>
    </x:row>
    <x:row r="2675" ht="75.5999984741211" hidden="0" customHeight="1">
      <x:c r="A2675" s="36" t="str">
        <x:v>P2</x:v>
      </x:c>
      <x:c r="B2675" s="36" t="str">
        <x:v>48201350101</x:v>
      </x:c>
      <x:c r="C2675" s="66" t="n">
        <x:v>611.1662570259556</x:v>
      </x:c>
      <x:c r="D2675" s="66" t="n">
        <x:v>461.063824300381</x:v>
      </x:c>
      <x:c r="E2675" s="66" t="n">
        <x:v>150.1024327255746</x:v>
      </x:c>
      <x:c r="F2675" s="66" t="n">
        <x:v>150.1024327255746</x:v>
      </x:c>
      <x:c r="G2675" s="66" t="n">
        <x:v>611.1662570259556</x:v>
      </x:c>
      <x:c r="H2675" s="45" t="n">
        <x:v>1</x:v>
      </x:c>
      <x:c r="I2675" s="36" t="str">
        <x:v>generated design-reference observation; not predicted tract behavior</x:v>
      </x:c>
    </x:row>
    <x:row r="2676" ht="75.5999984741211" hidden="0" customHeight="1">
      <x:c r="A2676" s="34" t="str">
        <x:v>P2</x:v>
      </x:c>
      <x:c r="B2676" s="34" t="str">
        <x:v>48201350102</x:v>
      </x:c>
      <x:c r="C2676" s="65" t="n">
        <x:v>749.3572440646328</x:v>
      </x:c>
      <x:c r="D2676" s="65" t="n">
        <x:v>565.3151049223591</x:v>
      </x:c>
      <x:c r="E2676" s="65" t="n">
        <x:v>184.04213914227375</x:v>
      </x:c>
      <x:c r="F2676" s="65" t="n">
        <x:v>184.04213914227375</x:v>
      </x:c>
      <x:c r="G2676" s="65" t="n">
        <x:v>749.3572440646328</x:v>
      </x:c>
      <x:c r="H2676" s="43" t="n">
        <x:v>1</x:v>
      </x:c>
      <x:c r="I2676" s="34" t="str">
        <x:v>generated design-reference observation; not predicted tract behavior</x:v>
      </x:c>
    </x:row>
    <x:row r="2677" ht="75.5999984741211" hidden="0" customHeight="1">
      <x:c r="A2677" s="36" t="str">
        <x:v>P2</x:v>
      </x:c>
      <x:c r="B2677" s="36" t="str">
        <x:v>48201350103</x:v>
      </x:c>
      <x:c r="C2677" s="66" t="n">
        <x:v>1205.9172936655998</x:v>
      </x:c>
      <x:c r="D2677" s="66" t="n">
        <x:v>909.1842898908486</x:v>
      </x:c>
      <x:c r="E2677" s="66" t="n">
        <x:v>296.7330037747512</x:v>
      </x:c>
      <x:c r="F2677" s="66" t="n">
        <x:v>296.7330037747512</x:v>
      </x:c>
      <x:c r="G2677" s="66" t="n">
        <x:v>1205.9172936655998</x:v>
      </x:c>
      <x:c r="H2677" s="45" t="n">
        <x:v>1</x:v>
      </x:c>
      <x:c r="I2677" s="36" t="str">
        <x:v>generated design-reference observation; not predicted tract behavior</x:v>
      </x:c>
    </x:row>
    <x:row r="2678" ht="75.5999984741211" hidden="0" customHeight="1">
      <x:c r="A2678" s="34" t="str">
        <x:v>P2</x:v>
      </x:c>
      <x:c r="B2678" s="34" t="str">
        <x:v>48201350104</x:v>
      </x:c>
      <x:c r="C2678" s="65" t="n">
        <x:v>962.1314860887389</x:v>
      </x:c>
      <x:c r="D2678" s="65" t="n">
        <x:v>393.3156453806414</x:v>
      </x:c>
      <x:c r="E2678" s="65" t="n">
        <x:v>568.8158407080975</x:v>
      </x:c>
      <x:c r="F2678" s="65" t="n">
        <x:v>568.8158407080975</x:v>
      </x:c>
      <x:c r="G2678" s="65" t="n">
        <x:v>962.1314860887389</x:v>
      </x:c>
      <x:c r="H2678" s="43" t="n">
        <x:v>1</x:v>
      </x:c>
      <x:c r="I2678" s="34" t="str">
        <x:v>generated design-reference observation; not predicted tract behavior</x:v>
      </x:c>
    </x:row>
    <x:row r="2679" ht="75.5999984741211" hidden="0" customHeight="1">
      <x:c r="A2679" s="36" t="str">
        <x:v>P2</x:v>
      </x:c>
      <x:c r="B2679" s="36" t="str">
        <x:v>48201350201</x:v>
      </x:c>
      <x:c r="C2679" s="66" t="n">
        <x:v>304.5879918628528</x:v>
      </x:c>
      <x:c r="D2679" s="66" t="n">
        <x:v>262.7358551549452</x:v>
      </x:c>
      <x:c r="E2679" s="66" t="n">
        <x:v>41.85213670790756</x:v>
      </x:c>
      <x:c r="F2679" s="66" t="n">
        <x:v>41.85213670790756</x:v>
      </x:c>
      <x:c r="G2679" s="66" t="n">
        <x:v>304.5879918628528</x:v>
      </x:c>
      <x:c r="H2679" s="45" t="n">
        <x:v>1</x:v>
      </x:c>
      <x:c r="I2679" s="36" t="str">
        <x:v>generated design-reference observation; not predicted tract behavior</x:v>
      </x:c>
    </x:row>
    <x:row r="2680" ht="75.5999984741211" hidden="0" customHeight="1">
      <x:c r="A2680" s="34" t="str">
        <x:v>P2</x:v>
      </x:c>
      <x:c r="B2680" s="34" t="str">
        <x:v>48201350202</x:v>
      </x:c>
      <x:c r="C2680" s="65" t="n">
        <x:v>645.5679980134466</x:v>
      </x:c>
      <x:c r="D2680" s="65" t="n">
        <x:v>487.0164977013442</x:v>
      </x:c>
      <x:c r="E2680" s="65" t="n">
        <x:v>158.55150031210246</x:v>
      </x:c>
      <x:c r="F2680" s="65" t="n">
        <x:v>158.55150031210246</x:v>
      </x:c>
      <x:c r="G2680" s="65" t="n">
        <x:v>645.5679980134466</x:v>
      </x:c>
      <x:c r="H2680" s="43" t="n">
        <x:v>1</x:v>
      </x:c>
      <x:c r="I2680" s="34" t="str">
        <x:v>generated design-reference observation; not predicted tract behavior</x:v>
      </x:c>
    </x:row>
    <x:row r="2681" ht="75.5999984741211" hidden="0" customHeight="1">
      <x:c r="A2681" s="36" t="str">
        <x:v>P2</x:v>
      </x:c>
      <x:c r="B2681" s="36" t="str">
        <x:v>48201350300</x:v>
      </x:c>
      <x:c r="C2681" s="66" t="n">
        <x:v>913.7597435371908</x:v>
      </x:c>
      <x:c r="D2681" s="66" t="n">
        <x:v>689.3403505244568</x:v>
      </x:c>
      <x:c r="E2681" s="66" t="n">
        <x:v>224.41939301273408</x:v>
      </x:c>
      <x:c r="F2681" s="66" t="n">
        <x:v>224.41939301273408</x:v>
      </x:c>
      <x:c r="G2681" s="66" t="n">
        <x:v>913.7597435371908</x:v>
      </x:c>
      <x:c r="H2681" s="45" t="n">
        <x:v>1</x:v>
      </x:c>
      <x:c r="I2681" s="36" t="str">
        <x:v>generated design-reference observation; not predicted tract behavior</x:v>
      </x:c>
    </x:row>
    <x:row r="2682" ht="75.5999984741211" hidden="0" customHeight="1">
      <x:c r="A2682" s="34" t="str">
        <x:v>P2</x:v>
      </x:c>
      <x:c r="B2682" s="34" t="str">
        <x:v>48201350400</x:v>
      </x:c>
      <x:c r="C2682" s="65" t="n">
        <x:v>1013.3562358407363</x:v>
      </x:c>
      <x:c r="D2682" s="65" t="n">
        <x:v>417.80668457899156</x:v>
      </x:c>
      <x:c r="E2682" s="65" t="n">
        <x:v>595.5495512617447</x:v>
      </x:c>
      <x:c r="F2682" s="65" t="n">
        <x:v>595.5495512617447</x:v>
      </x:c>
      <x:c r="G2682" s="65" t="n">
        <x:v>1013.3562358407362</x:v>
      </x:c>
      <x:c r="H2682" s="43" t="n">
        <x:v>0.9999999999999999</x:v>
      </x:c>
      <x:c r="I2682" s="34" t="str">
        <x:v>generated design-reference observation; not predicted tract behavior</x:v>
      </x:c>
    </x:row>
    <x:row r="2683" ht="75.5999984741211" hidden="0" customHeight="1">
      <x:c r="A2683" s="36" t="str">
        <x:v>P2</x:v>
      </x:c>
      <x:c r="B2683" s="36" t="str">
        <x:v>48201350500</x:v>
      </x:c>
      <x:c r="C2683" s="66" t="n">
        <x:v>1196.7902703128593</x:v>
      </x:c>
      <x:c r="D2683" s="66" t="n">
        <x:v>494.00856360482334</x:v>
      </x:c>
      <x:c r="E2683" s="66" t="n">
        <x:v>702.7817067080359</x:v>
      </x:c>
      <x:c r="F2683" s="66" t="n">
        <x:v>702.7817067080359</x:v>
      </x:c>
      <x:c r="G2683" s="66" t="n">
        <x:v>1196.7902703128593</x:v>
      </x:c>
      <x:c r="H2683" s="45" t="n">
        <x:v>1</x:v>
      </x:c>
      <x:c r="I2683" s="36" t="str">
        <x:v>generated design-reference observation; not predicted tract behavior</x:v>
      </x:c>
    </x:row>
    <x:row r="2684" ht="75.5999984741211" hidden="0" customHeight="1">
      <x:c r="A2684" s="34" t="str">
        <x:v>P2</x:v>
      </x:c>
      <x:c r="B2684" s="34" t="str">
        <x:v>48201350601</x:v>
      </x:c>
      <x:c r="C2684" s="65" t="n">
        <x:v>310.52979198279695</x:v>
      </x:c>
      <x:c r="D2684" s="65" t="n">
        <x:v>267.0741448197109</x:v>
      </x:c>
      <x:c r="E2684" s="65" t="n">
        <x:v>43.45564716308604</x:v>
      </x:c>
      <x:c r="F2684" s="65" t="n">
        <x:v>43.45564716308604</x:v>
      </x:c>
      <x:c r="G2684" s="65" t="n">
        <x:v>310.52979198279695</x:v>
      </x:c>
      <x:c r="H2684" s="43" t="n">
        <x:v>1</x:v>
      </x:c>
      <x:c r="I2684" s="34" t="str">
        <x:v>generated design-reference observation; not predicted tract behavior</x:v>
      </x:c>
    </x:row>
    <x:row r="2685" ht="75.5999984741211" hidden="0" customHeight="1">
      <x:c r="A2685" s="36" t="str">
        <x:v>P2</x:v>
      </x:c>
      <x:c r="B2685" s="36" t="str">
        <x:v>48201350603</x:v>
      </x:c>
      <x:c r="C2685" s="66" t="n">
        <x:v>357.3804143571187</x:v>
      </x:c>
      <x:c r="D2685" s="66" t="n">
        <x:v>309.06258233603626</x:v>
      </x:c>
      <x:c r="E2685" s="66" t="n">
        <x:v>48.31783202108244</x:v>
      </x:c>
      <x:c r="F2685" s="66" t="n">
        <x:v>48.31783202108244</x:v>
      </x:c>
      <x:c r="G2685" s="66" t="n">
        <x:v>357.3804143571187</x:v>
      </x:c>
      <x:c r="H2685" s="45" t="n">
        <x:v>1</x:v>
      </x:c>
      <x:c r="I2685" s="36" t="str">
        <x:v>generated design-reference observation; not predicted tract behavior</x:v>
      </x:c>
    </x:row>
    <x:row r="2686" ht="75.5999984741211" hidden="0" customHeight="1">
      <x:c r="A2686" s="34" t="str">
        <x:v>P2</x:v>
      </x:c>
      <x:c r="B2686" s="34" t="str">
        <x:v>48201350604</x:v>
      </x:c>
      <x:c r="C2686" s="65" t="n">
        <x:v>294.32345356040946</x:v>
      </x:c>
      <x:c r="D2686" s="65" t="n">
        <x:v>253.64913663123195</x:v>
      </x:c>
      <x:c r="E2686" s="65" t="n">
        <x:v>40.67431692917751</x:v>
      </x:c>
      <x:c r="F2686" s="65" t="n">
        <x:v>40.67431692917751</x:v>
      </x:c>
      <x:c r="G2686" s="65" t="n">
        <x:v>294.32345356040946</x:v>
      </x:c>
      <x:c r="H2686" s="43" t="n">
        <x:v>1</x:v>
      </x:c>
      <x:c r="I2686" s="34" t="str">
        <x:v>generated design-reference observation; not predicted tract behavior</x:v>
      </x:c>
    </x:row>
    <x:row r="2687" ht="75.5999984741211" hidden="0" customHeight="1">
      <x:c r="A2687" s="36" t="str">
        <x:v>P2</x:v>
      </x:c>
      <x:c r="B2687" s="36" t="str">
        <x:v>48201350700</x:v>
      </x:c>
      <x:c r="C2687" s="66" t="n">
        <x:v>188.72681928592542</x:v>
      </x:c>
      <x:c r="D2687" s="66" t="n">
        <x:v>163.21095331846828</x:v>
      </x:c>
      <x:c r="E2687" s="66" t="n">
        <x:v>25.51586596745713</x:v>
      </x:c>
      <x:c r="F2687" s="66" t="n">
        <x:v>25.51586596745713</x:v>
      </x:c>
      <x:c r="G2687" s="66" t="n">
        <x:v>188.72681928592542</x:v>
      </x:c>
      <x:c r="H2687" s="45" t="n">
        <x:v>1</x:v>
      </x:c>
      <x:c r="I2687" s="36" t="str">
        <x:v>generated design-reference observation; not predicted tract behavior</x:v>
      </x:c>
    </x:row>
    <x:row r="2688" ht="75.5999984741211" hidden="0" customHeight="1">
      <x:c r="A2688" s="34" t="str">
        <x:v>P2</x:v>
      </x:c>
      <x:c r="B2688" s="34" t="str">
        <x:v>48201350801</x:v>
      </x:c>
      <x:c r="C2688" s="65" t="n">
        <x:v>382.51517200735873</x:v>
      </x:c>
      <x:c r="D2688" s="65" t="n">
        <x:v>330.4238219115645</x:v>
      </x:c>
      <x:c r="E2688" s="65" t="n">
        <x:v>52.09135009579421</x:v>
      </x:c>
      <x:c r="F2688" s="65" t="n">
        <x:v>52.09135009579421</x:v>
      </x:c>
      <x:c r="G2688" s="65" t="n">
        <x:v>382.51517200735873</x:v>
      </x:c>
      <x:c r="H2688" s="43" t="n">
        <x:v>1</x:v>
      </x:c>
      <x:c r="I2688" s="34" t="str">
        <x:v>generated design-reference observation; not predicted tract behavior</x:v>
      </x:c>
    </x:row>
    <x:row r="2689" ht="75.5999984741211" hidden="0" customHeight="1">
      <x:c r="A2689" s="36" t="str">
        <x:v>P2</x:v>
      </x:c>
      <x:c r="B2689" s="36" t="str">
        <x:v>48201350803</x:v>
      </x:c>
      <x:c r="C2689" s="66" t="n">
        <x:v>245.59440495769277</x:v>
      </x:c>
      <x:c r="D2689" s="66" t="n">
        <x:v>211.2419871295348</x:v>
      </x:c>
      <x:c r="E2689" s="66" t="n">
        <x:v>34.35241782815797</x:v>
      </x:c>
      <x:c r="F2689" s="66" t="n">
        <x:v>34.35241782815797</x:v>
      </x:c>
      <x:c r="G2689" s="66" t="n">
        <x:v>245.59440495769277</x:v>
      </x:c>
      <x:c r="H2689" s="45" t="n">
        <x:v>1</x:v>
      </x:c>
      <x:c r="I2689" s="36" t="str">
        <x:v>generated design-reference observation; not predicted tract behavior</x:v>
      </x:c>
    </x:row>
    <x:row r="2690" ht="75.5999984741211" hidden="0" customHeight="1">
      <x:c r="A2690" s="34" t="str">
        <x:v>P2</x:v>
      </x:c>
      <x:c r="B2690" s="34" t="str">
        <x:v>48201350804</x:v>
      </x:c>
      <x:c r="C2690" s="65" t="n">
        <x:v>521.3851010011334</x:v>
      </x:c>
      <x:c r="D2690" s="65" t="n">
        <x:v>446.90909303908546</x:v>
      </x:c>
      <x:c r="E2690" s="65" t="n">
        <x:v>74.47600796204796</x:v>
      </x:c>
      <x:c r="F2690" s="65" t="n">
        <x:v>74.47600796204796</x:v>
      </x:c>
      <x:c r="G2690" s="65" t="n">
        <x:v>521.3851010011334</x:v>
      </x:c>
      <x:c r="H2690" s="43" t="n">
        <x:v>1</x:v>
      </x:c>
      <x:c r="I2690" s="34" t="str">
        <x:v>generated design-reference observation; not predicted tract behavior</x:v>
      </x:c>
    </x:row>
    <x:row r="2691" ht="75.5999984741211" hidden="0" customHeight="1">
      <x:c r="A2691" s="36" t="str">
        <x:v>P2</x:v>
      </x:c>
      <x:c r="B2691" s="36" t="str">
        <x:v>48201410101</x:v>
      </x:c>
      <x:c r="C2691" s="66" t="n">
        <x:v>176.100494031044</x:v>
      </x:c>
      <x:c r="D2691" s="66" t="n">
        <x:v>149.3630205603921</x:v>
      </x:c>
      <x:c r="E2691" s="66" t="n">
        <x:v>26.737473470651906</x:v>
      </x:c>
      <x:c r="F2691" s="66" t="n">
        <x:v>26.737473470651906</x:v>
      </x:c>
      <x:c r="G2691" s="66" t="n">
        <x:v>176.100494031044</x:v>
      </x:c>
      <x:c r="H2691" s="45" t="n">
        <x:v>1</x:v>
      </x:c>
      <x:c r="I2691" s="36" t="str">
        <x:v>generated design-reference observation; not predicted tract behavior</x:v>
      </x:c>
    </x:row>
    <x:row r="2692" ht="75.5999984741211" hidden="0" customHeight="1">
      <x:c r="A2692" s="34" t="str">
        <x:v>P2</x:v>
      </x:c>
      <x:c r="B2692" s="34" t="str">
        <x:v>48201410102</x:v>
      </x:c>
      <x:c r="C2692" s="65" t="n">
        <x:v>321.7060350655491</x:v>
      </x:c>
      <x:c r="D2692" s="65" t="n">
        <x:v>266.8485690405485</x:v>
      </x:c>
      <x:c r="E2692" s="65" t="n">
        <x:v>54.857466025000576</x:v>
      </x:c>
      <x:c r="F2692" s="65" t="n">
        <x:v>54.857466025000576</x:v>
      </x:c>
      <x:c r="G2692" s="65" t="n">
        <x:v>321.7060350655491</x:v>
      </x:c>
      <x:c r="H2692" s="43" t="n">
        <x:v>1</x:v>
      </x:c>
      <x:c r="I2692" s="34" t="str">
        <x:v>generated design-reference observation; not predicted tract behavior</x:v>
      </x:c>
    </x:row>
    <x:row r="2693" ht="75.5999984741211" hidden="0" customHeight="1">
      <x:c r="A2693" s="36" t="str">
        <x:v>P2</x:v>
      </x:c>
      <x:c r="B2693" s="36" t="str">
        <x:v>48201410201</x:v>
      </x:c>
      <x:c r="C2693" s="66" t="n">
        <x:v>139.5065504351973</x:v>
      </x:c>
      <x:c r="D2693" s="66" t="n">
        <x:v>116.19172642638395</x:v>
      </x:c>
      <x:c r="E2693" s="66" t="n">
        <x:v>23.31482400881336</x:v>
      </x:c>
      <x:c r="F2693" s="66" t="n">
        <x:v>23.31482400881336</x:v>
      </x:c>
      <x:c r="G2693" s="66" t="n">
        <x:v>139.5065504351973</x:v>
      </x:c>
      <x:c r="H2693" s="45" t="n">
        <x:v>1</x:v>
      </x:c>
      <x:c r="I2693" s="36" t="str">
        <x:v>generated design-reference observation; not predicted tract behavior</x:v>
      </x:c>
    </x:row>
    <x:row r="2694" ht="75.5999984741211" hidden="0" customHeight="1">
      <x:c r="A2694" s="34" t="str">
        <x:v>P2</x:v>
      </x:c>
      <x:c r="B2694" s="34" t="str">
        <x:v>48201410202</x:v>
      </x:c>
      <x:c r="C2694" s="65" t="n">
        <x:v>311.59082771850126</x:v>
      </x:c>
      <x:c r="D2694" s="65" t="n">
        <x:v>263.65965240404176</x:v>
      </x:c>
      <x:c r="E2694" s="65" t="n">
        <x:v>47.931175314459495</x:v>
      </x:c>
      <x:c r="F2694" s="65" t="n">
        <x:v>47.931175314459495</x:v>
      </x:c>
      <x:c r="G2694" s="65" t="n">
        <x:v>311.59082771850126</x:v>
      </x:c>
      <x:c r="H2694" s="43" t="n">
        <x:v>1</x:v>
      </x:c>
      <x:c r="I2694" s="34" t="str">
        <x:v>generated design-reference observation; not predicted tract behavior</x:v>
      </x:c>
    </x:row>
    <x:row r="2695" ht="75.5999984741211" hidden="0" customHeight="1">
      <x:c r="A2695" s="36" t="str">
        <x:v>P2</x:v>
      </x:c>
      <x:c r="B2695" s="36" t="str">
        <x:v>48201410300</x:v>
      </x:c>
      <x:c r="C2695" s="66" t="n">
        <x:v>300.2966917762264</x:v>
      </x:c>
      <x:c r="D2695" s="66" t="n">
        <x:v>250.3277784115359</x:v>
      </x:c>
      <x:c r="E2695" s="66" t="n">
        <x:v>49.96891336469051</x:v>
      </x:c>
      <x:c r="F2695" s="66" t="n">
        <x:v>49.96891336469051</x:v>
      </x:c>
      <x:c r="G2695" s="66" t="n">
        <x:v>300.2966917762264</x:v>
      </x:c>
      <x:c r="H2695" s="45" t="n">
        <x:v>1</x:v>
      </x:c>
      <x:c r="I2695" s="36" t="str">
        <x:v>generated design-reference observation; not predicted tract behavior</x:v>
      </x:c>
    </x:row>
    <x:row r="2696" ht="75.5999984741211" hidden="0" customHeight="1">
      <x:c r="A2696" s="34" t="str">
        <x:v>P2</x:v>
      </x:c>
      <x:c r="B2696" s="34" t="str">
        <x:v>48201410401</x:v>
      </x:c>
      <x:c r="C2696" s="65" t="n">
        <x:v>311.58296819453307</x:v>
      </x:c>
      <x:c r="D2696" s="65" t="n">
        <x:v>267.69138964135396</x:v>
      </x:c>
      <x:c r="E2696" s="65" t="n">
        <x:v>43.8915785531791</x:v>
      </x:c>
      <x:c r="F2696" s="65" t="n">
        <x:v>43.8915785531791</x:v>
      </x:c>
      <x:c r="G2696" s="65" t="n">
        <x:v>311.58296819453307</x:v>
      </x:c>
      <x:c r="H2696" s="43" t="n">
        <x:v>1</x:v>
      </x:c>
      <x:c r="I2696" s="34" t="str">
        <x:v>generated design-reference observation; not predicted tract behavior</x:v>
      </x:c>
    </x:row>
    <x:row r="2697" ht="75.5999984741211" hidden="0" customHeight="1">
      <x:c r="A2697" s="36" t="str">
        <x:v>P2</x:v>
      </x:c>
      <x:c r="B2697" s="36" t="str">
        <x:v>48201410402</x:v>
      </x:c>
      <x:c r="C2697" s="66" t="n">
        <x:v>243.57450729787044</x:v>
      </x:c>
      <x:c r="D2697" s="66" t="n">
        <x:v>209.79985132827397</x:v>
      </x:c>
      <x:c r="E2697" s="66" t="n">
        <x:v>33.774655969596466</x:v>
      </x:c>
      <x:c r="F2697" s="66" t="n">
        <x:v>33.774655969596466</x:v>
      </x:c>
      <x:c r="G2697" s="66" t="n">
        <x:v>243.57450729787044</x:v>
      </x:c>
      <x:c r="H2697" s="45" t="n">
        <x:v>1</x:v>
      </x:c>
      <x:c r="I2697" s="36" t="str">
        <x:v>generated design-reference observation; not predicted tract behavior</x:v>
      </x:c>
    </x:row>
    <x:row r="2698" ht="75.5999984741211" hidden="0" customHeight="1">
      <x:c r="A2698" s="34" t="str">
        <x:v>P2</x:v>
      </x:c>
      <x:c r="B2698" s="34" t="str">
        <x:v>48201410501</x:v>
      </x:c>
      <x:c r="C2698" s="65" t="n">
        <x:v>145.85704580148686</x:v>
      </x:c>
      <x:c r="D2698" s="65" t="n">
        <x:v>125.3264511295459</x:v>
      </x:c>
      <x:c r="E2698" s="65" t="n">
        <x:v>20.53059467194096</x:v>
      </x:c>
      <x:c r="F2698" s="65" t="n">
        <x:v>20.53059467194096</x:v>
      </x:c>
      <x:c r="G2698" s="65" t="n">
        <x:v>145.85704580148686</x:v>
      </x:c>
      <x:c r="H2698" s="43" t="n">
        <x:v>1</x:v>
      </x:c>
      <x:c r="I2698" s="34" t="str">
        <x:v>generated design-reference observation; not predicted tract behavior</x:v>
      </x:c>
    </x:row>
    <x:row r="2699" ht="75.5999984741211" hidden="0" customHeight="1">
      <x:c r="A2699" s="36" t="str">
        <x:v>P2</x:v>
      </x:c>
      <x:c r="B2699" s="36" t="str">
        <x:v>48201410502</x:v>
      </x:c>
      <x:c r="C2699" s="66" t="n">
        <x:v>241.70394059344352</x:v>
      </x:c>
      <x:c r="D2699" s="66" t="n">
        <x:v>206.83964318031087</x:v>
      </x:c>
      <x:c r="E2699" s="66" t="n">
        <x:v>34.86429741313265</x:v>
      </x:c>
      <x:c r="F2699" s="66" t="n">
        <x:v>34.86429741313265</x:v>
      </x:c>
      <x:c r="G2699" s="66" t="n">
        <x:v>241.70394059344352</x:v>
      </x:c>
      <x:c r="H2699" s="45" t="n">
        <x:v>1</x:v>
      </x:c>
      <x:c r="I2699" s="36" t="str">
        <x:v>generated design-reference observation; not predicted tract behavior</x:v>
      </x:c>
    </x:row>
    <x:row r="2700" ht="75.5999984741211" hidden="0" customHeight="1">
      <x:c r="A2700" s="34" t="str">
        <x:v>P2</x:v>
      </x:c>
      <x:c r="B2700" s="34" t="str">
        <x:v>48201410601</x:v>
      </x:c>
      <x:c r="C2700" s="65" t="n">
        <x:v>294.8421821423094</x:v>
      </x:c>
      <x:c r="D2700" s="65" t="n">
        <x:v>242.65629745991737</x:v>
      </x:c>
      <x:c r="E2700" s="65" t="n">
        <x:v>52.18588468239204</x:v>
      </x:c>
      <x:c r="F2700" s="65" t="n">
        <x:v>52.18588468239204</x:v>
      </x:c>
      <x:c r="G2700" s="65" t="n">
        <x:v>294.8421821423094</x:v>
      </x:c>
      <x:c r="H2700" s="43" t="n">
        <x:v>1</x:v>
      </x:c>
      <x:c r="I2700" s="34" t="str">
        <x:v>generated design-reference observation; not predicted tract behavior</x:v>
      </x:c>
    </x:row>
    <x:row r="2701" ht="75.5999984741211" hidden="0" customHeight="1">
      <x:c r="A2701" s="36" t="str">
        <x:v>P2</x:v>
      </x:c>
      <x:c r="B2701" s="36" t="str">
        <x:v>48201410602</x:v>
      </x:c>
      <x:c r="C2701" s="66" t="n">
        <x:v>213.18958763688605</x:v>
      </x:c>
      <x:c r="D2701" s="66" t="n">
        <x:v>176.9290109128973</x:v>
      </x:c>
      <x:c r="E2701" s="66" t="n">
        <x:v>36.26057672398875</x:v>
      </x:c>
      <x:c r="F2701" s="66" t="n">
        <x:v>36.26057672398875</x:v>
      </x:c>
      <x:c r="G2701" s="66" t="n">
        <x:v>213.18958763688605</x:v>
      </x:c>
      <x:c r="H2701" s="45" t="n">
        <x:v>1</x:v>
      </x:c>
      <x:c r="I2701" s="36" t="str">
        <x:v>generated design-reference observation; not predicted tract behavior</x:v>
      </x:c>
    </x:row>
    <x:row r="2702" ht="75.5999984741211" hidden="0" customHeight="1">
      <x:c r="A2702" s="34" t="str">
        <x:v>P2</x:v>
      </x:c>
      <x:c r="B2702" s="34" t="str">
        <x:v>48201410703</x:v>
      </x:c>
      <x:c r="C2702" s="65" t="n">
        <x:v>184.9188799233421</x:v>
      </x:c>
      <x:c r="D2702" s="65" t="n">
        <x:v>155.46918816704246</x:v>
      </x:c>
      <x:c r="E2702" s="65" t="n">
        <x:v>29.449691756299643</x:v>
      </x:c>
      <x:c r="F2702" s="65" t="n">
        <x:v>29.449691756299643</x:v>
      </x:c>
      <x:c r="G2702" s="65" t="n">
        <x:v>184.9188799233421</x:v>
      </x:c>
      <x:c r="H2702" s="43" t="n">
        <x:v>1</x:v>
      </x:c>
      <x:c r="I2702" s="34" t="str">
        <x:v>generated design-reference observation; not predicted tract behavior</x:v>
      </x:c>
    </x:row>
    <x:row r="2703" ht="75.5999984741211" hidden="0" customHeight="1">
      <x:c r="A2703" s="36" t="str">
        <x:v>P2</x:v>
      </x:c>
      <x:c r="B2703" s="36" t="str">
        <x:v>48201410704</x:v>
      </x:c>
      <x:c r="C2703" s="66" t="n">
        <x:v>171.75417727664038</x:v>
      </x:c>
      <x:c r="D2703" s="66" t="n">
        <x:v>145.9581224043515</x:v>
      </x:c>
      <x:c r="E2703" s="66" t="n">
        <x:v>25.796054872288863</x:v>
      </x:c>
      <x:c r="F2703" s="66" t="n">
        <x:v>25.796054872288863</x:v>
      </x:c>
      <x:c r="G2703" s="66" t="n">
        <x:v>171.75417727664038</x:v>
      </x:c>
      <x:c r="H2703" s="45" t="n">
        <x:v>1</x:v>
      </x:c>
      <x:c r="I2703" s="36" t="str">
        <x:v>generated design-reference observation; not predicted tract behavior</x:v>
      </x:c>
    </x:row>
    <x:row r="2704" ht="75.5999984741211" hidden="0" customHeight="1">
      <x:c r="A2704" s="34" t="str">
        <x:v>P2</x:v>
      </x:c>
      <x:c r="B2704" s="34" t="str">
        <x:v>48201410705</x:v>
      </x:c>
      <x:c r="C2704" s="65" t="n">
        <x:v>89.37850656614447</x:v>
      </x:c>
      <x:c r="D2704" s="65" t="n">
        <x:v>76.901900889119</x:v>
      </x:c>
      <x:c r="E2704" s="65" t="n">
        <x:v>12.47660567702546</x:v>
      </x:c>
      <x:c r="F2704" s="65" t="n">
        <x:v>12.47660567702546</x:v>
      </x:c>
      <x:c r="G2704" s="65" t="n">
        <x:v>89.37850656614447</x:v>
      </x:c>
      <x:c r="H2704" s="43" t="n">
        <x:v>1</x:v>
      </x:c>
      <x:c r="I2704" s="34" t="str">
        <x:v>generated design-reference observation; not predicted tract behavior</x:v>
      </x:c>
    </x:row>
    <x:row r="2705" ht="75.5999984741211" hidden="0" customHeight="1">
      <x:c r="A2705" s="36" t="str">
        <x:v>P2</x:v>
      </x:c>
      <x:c r="B2705" s="36" t="str">
        <x:v>48201410706</x:v>
      </x:c>
      <x:c r="C2705" s="66" t="n">
        <x:v>150.08546969636777</x:v>
      </x:c>
      <x:c r="D2705" s="66" t="n">
        <x:v>125.2789192819573</x:v>
      </x:c>
      <x:c r="E2705" s="66" t="n">
        <x:v>24.806550414410466</x:v>
      </x:c>
      <x:c r="F2705" s="66" t="n">
        <x:v>24.806550414410466</x:v>
      </x:c>
      <x:c r="G2705" s="66" t="n">
        <x:v>150.08546969636777</x:v>
      </x:c>
      <x:c r="H2705" s="45" t="n">
        <x:v>1</x:v>
      </x:c>
      <x:c r="I2705" s="36" t="str">
        <x:v>generated design-reference observation; not predicted tract behavior</x:v>
      </x:c>
    </x:row>
    <x:row r="2706" ht="75.5999984741211" hidden="0" customHeight="1">
      <x:c r="A2706" s="34" t="str">
        <x:v>P2</x:v>
      </x:c>
      <x:c r="B2706" s="34" t="str">
        <x:v>48201410801</x:v>
      </x:c>
      <x:c r="C2706" s="65" t="n">
        <x:v>217.41801153176698</x:v>
      </x:c>
      <x:c r="D2706" s="65" t="n">
        <x:v>184.9565018082096</x:v>
      </x:c>
      <x:c r="E2706" s="65" t="n">
        <x:v>32.461509723557384</x:v>
      </x:c>
      <x:c r="F2706" s="65" t="n">
        <x:v>32.461509723557384</x:v>
      </x:c>
      <x:c r="G2706" s="65" t="n">
        <x:v>217.41801153176698</x:v>
      </x:c>
      <x:c r="H2706" s="43" t="n">
        <x:v>1</x:v>
      </x:c>
      <x:c r="I2706" s="34" t="str">
        <x:v>generated design-reference observation; not predicted tract behavior</x:v>
      </x:c>
    </x:row>
    <x:row r="2707" ht="75.5999984741211" hidden="0" customHeight="1">
      <x:c r="A2707" s="36" t="str">
        <x:v>P2</x:v>
      </x:c>
      <x:c r="B2707" s="36" t="str">
        <x:v>48201410802</x:v>
      </x:c>
      <x:c r="C2707" s="66" t="n">
        <x:v>114.89052136685714</x:v>
      </x:c>
      <x:c r="D2707" s="66" t="n">
        <x:v>97.86544070614033</x:v>
      </x:c>
      <x:c r="E2707" s="66" t="n">
        <x:v>17.02508066071681</x:v>
      </x:c>
      <x:c r="F2707" s="66" t="n">
        <x:v>17.02508066071681</x:v>
      </x:c>
      <x:c r="G2707" s="66" t="n">
        <x:v>114.89052136685714</x:v>
      </x:c>
      <x:c r="H2707" s="45" t="n">
        <x:v>1</x:v>
      </x:c>
      <x:c r="I2707" s="36" t="str">
        <x:v>generated design-reference observation; not predicted tract behavior</x:v>
      </x:c>
    </x:row>
    <x:row r="2708" ht="75.5999984741211" hidden="0" customHeight="1">
      <x:c r="A2708" s="34" t="str">
        <x:v>P2</x:v>
      </x:c>
      <x:c r="B2708" s="34" t="str">
        <x:v>48201410900</x:v>
      </x:c>
      <x:c r="C2708" s="65" t="n">
        <x:v>282.4870104643303</x:v>
      </x:c>
      <x:c r="D2708" s="65" t="n">
        <x:v>238.38908029235998</x:v>
      </x:c>
      <x:c r="E2708" s="65" t="n">
        <x:v>44.09793017197032</x:v>
      </x:c>
      <x:c r="F2708" s="65" t="n">
        <x:v>44.097930171970326</x:v>
      </x:c>
      <x:c r="G2708" s="65" t="n">
        <x:v>282.4870104643303</x:v>
      </x:c>
      <x:c r="H2708" s="43" t="n">
        <x:v>1</x:v>
      </x:c>
      <x:c r="I2708" s="34" t="str">
        <x:v>generated design-reference observation; not predicted tract behavior</x:v>
      </x:c>
    </x:row>
    <x:row r="2709" ht="75.5999984741211" hidden="0" customHeight="1">
      <x:c r="A2709" s="36" t="str">
        <x:v>P2</x:v>
      </x:c>
      <x:c r="B2709" s="36" t="str">
        <x:v>48201411001</x:v>
      </x:c>
      <x:c r="C2709" s="66" t="n">
        <x:v>215.90112340590824</x:v>
      </x:c>
      <x:c r="D2709" s="66" t="n">
        <x:v>179.05958263199778</x:v>
      </x:c>
      <x:c r="E2709" s="66" t="n">
        <x:v>36.84154077391045</x:v>
      </x:c>
      <x:c r="F2709" s="66" t="n">
        <x:v>36.84154077391045</x:v>
      </x:c>
      <x:c r="G2709" s="66" t="n">
        <x:v>215.90112340590824</x:v>
      </x:c>
      <x:c r="H2709" s="45" t="n">
        <x:v>1</x:v>
      </x:c>
      <x:c r="I2709" s="36" t="str">
        <x:v>generated design-reference observation; not predicted tract behavior</x:v>
      </x:c>
    </x:row>
    <x:row r="2710" ht="75.5999984741211" hidden="0" customHeight="1">
      <x:c r="A2710" s="34" t="str">
        <x:v>P2</x:v>
      </x:c>
      <x:c r="B2710" s="34" t="str">
        <x:v>48201411002</x:v>
      </x:c>
      <x:c r="C2710" s="65" t="n">
        <x:v>173.54614874138545</x:v>
      </x:c>
      <x:c r="D2710" s="65" t="n">
        <x:v>146.8039959290006</x:v>
      </x:c>
      <x:c r="E2710" s="65" t="n">
        <x:v>26.74215281238486</x:v>
      </x:c>
      <x:c r="F2710" s="65" t="n">
        <x:v>26.74215281238486</x:v>
      </x:c>
      <x:c r="G2710" s="65" t="n">
        <x:v>173.54614874138545</x:v>
      </x:c>
      <x:c r="H2710" s="43" t="n">
        <x:v>1</x:v>
      </x:c>
      <x:c r="I2710" s="34" t="str">
        <x:v>generated design-reference observation; not predicted tract behavior</x:v>
      </x:c>
    </x:row>
    <x:row r="2711" ht="75.5999984741211" hidden="0" customHeight="1">
      <x:c r="A2711" s="36" t="str">
        <x:v>P2</x:v>
      </x:c>
      <x:c r="B2711" s="36" t="str">
        <x:v>48201411003</x:v>
      </x:c>
      <x:c r="C2711" s="66" t="n">
        <x:v>136.70070037855703</x:v>
      </x:c>
      <x:c r="D2711" s="66" t="n">
        <x:v>114.95626948886722</x:v>
      </x:c>
      <x:c r="E2711" s="66" t="n">
        <x:v>21.74443088968981</x:v>
      </x:c>
      <x:c r="F2711" s="66" t="n">
        <x:v>21.74443088968981</x:v>
      </x:c>
      <x:c r="G2711" s="66" t="n">
        <x:v>136.70070037855703</x:v>
      </x:c>
      <x:c r="H2711" s="45" t="n">
        <x:v>1</x:v>
      </x:c>
      <x:c r="I2711" s="36" t="str">
        <x:v>generated design-reference observation; not predicted tract behavior</x:v>
      </x:c>
    </x:row>
    <x:row r="2712" ht="75.5999984741211" hidden="0" customHeight="1">
      <x:c r="A2712" s="34" t="str">
        <x:v>P2</x:v>
      </x:c>
      <x:c r="B2712" s="34" t="str">
        <x:v>48201411100</x:v>
      </x:c>
      <x:c r="C2712" s="65" t="n">
        <x:v>290.99887492186934</x:v>
      </x:c>
      <x:c r="D2712" s="65" t="n">
        <x:v>247.2504103807207</x:v>
      </x:c>
      <x:c r="E2712" s="65" t="n">
        <x:v>43.74846454114865</x:v>
      </x:c>
      <x:c r="F2712" s="65" t="n">
        <x:v>43.74846454114865</x:v>
      </x:c>
      <x:c r="G2712" s="65" t="n">
        <x:v>290.99887492186934</x:v>
      </x:c>
      <x:c r="H2712" s="43" t="n">
        <x:v>1</x:v>
      </x:c>
      <x:c r="I2712" s="34" t="str">
        <x:v>generated design-reference observation; not predicted tract behavior</x:v>
      </x:c>
    </x:row>
    <x:row r="2713" ht="75.5999984741211" hidden="0" customHeight="1">
      <x:c r="A2713" s="36" t="str">
        <x:v>P2</x:v>
      </x:c>
      <x:c r="B2713" s="36" t="str">
        <x:v>48201411200</x:v>
      </x:c>
      <x:c r="C2713" s="66" t="n">
        <x:v>135.85187178999357</x:v>
      </x:c>
      <x:c r="D2713" s="66" t="n">
        <x:v>115.51402826843405</x:v>
      </x:c>
      <x:c r="E2713" s="66" t="n">
        <x:v>20.33784352155952</x:v>
      </x:c>
      <x:c r="F2713" s="66" t="n">
        <x:v>20.33784352155952</x:v>
      </x:c>
      <x:c r="G2713" s="66" t="n">
        <x:v>135.85187178999357</x:v>
      </x:c>
      <x:c r="H2713" s="45" t="n">
        <x:v>1</x:v>
      </x:c>
      <x:c r="I2713" s="36" t="str">
        <x:v>generated design-reference observation; not predicted tract behavior</x:v>
      </x:c>
    </x:row>
    <x:row r="2714" ht="75.5999984741211" hidden="0" customHeight="1">
      <x:c r="A2714" s="34" t="str">
        <x:v>P2</x:v>
      </x:c>
      <x:c r="B2714" s="34" t="str">
        <x:v>48201411301</x:v>
      </x:c>
      <x:c r="C2714" s="65" t="n">
        <x:v>154.39248883093052</x:v>
      </x:c>
      <x:c r="D2714" s="65" t="n">
        <x:v>128.4915446020158</x:v>
      </x:c>
      <x:c r="E2714" s="65" t="n">
        <x:v>25.90094422891471</x:v>
      </x:c>
      <x:c r="F2714" s="65" t="n">
        <x:v>25.90094422891471</x:v>
      </x:c>
      <x:c r="G2714" s="65" t="n">
        <x:v>154.39248883093052</x:v>
      </x:c>
      <x:c r="H2714" s="43" t="n">
        <x:v>1</x:v>
      </x:c>
      <x:c r="I2714" s="34" t="str">
        <x:v>generated design-reference observation; not predicted tract behavior</x:v>
      </x:c>
    </x:row>
    <x:row r="2715" ht="75.5999984741211" hidden="0" customHeight="1">
      <x:c r="A2715" s="36" t="str">
        <x:v>P2</x:v>
      </x:c>
      <x:c r="B2715" s="36" t="str">
        <x:v>48201411302</x:v>
      </x:c>
      <x:c r="C2715" s="66" t="n">
        <x:v>244.72985732119292</x:v>
      </x:c>
      <x:c r="D2715" s="66" t="n">
        <x:v>201.79322220629314</x:v>
      </x:c>
      <x:c r="E2715" s="66" t="n">
        <x:v>42.93663511489979</x:v>
      </x:c>
      <x:c r="F2715" s="66" t="n">
        <x:v>42.93663511489979</x:v>
      </x:c>
      <x:c r="G2715" s="66" t="n">
        <x:v>244.72985732119292</x:v>
      </x:c>
      <x:c r="H2715" s="45" t="n">
        <x:v>1</x:v>
      </x:c>
      <x:c r="I2715" s="36" t="str">
        <x:v>generated design-reference observation; not predicted tract behavior</x:v>
      </x:c>
    </x:row>
    <x:row r="2716" ht="75.5999984741211" hidden="0" customHeight="1">
      <x:c r="A2716" s="34" t="str">
        <x:v>P2</x:v>
      </x:c>
      <x:c r="B2716" s="34" t="str">
        <x:v>48201411400</x:v>
      </x:c>
      <x:c r="C2716" s="65" t="n">
        <x:v>231.32150943147764</x:v>
      </x:c>
      <x:c r="D2716" s="65" t="n">
        <x:v>196.78781999190295</x:v>
      </x:c>
      <x:c r="E2716" s="65" t="n">
        <x:v>34.53368943957469</x:v>
      </x:c>
      <x:c r="F2716" s="65" t="n">
        <x:v>34.53368943957469</x:v>
      </x:c>
      <x:c r="G2716" s="65" t="n">
        <x:v>231.32150943147764</x:v>
      </x:c>
      <x:c r="H2716" s="43" t="n">
        <x:v>1</x:v>
      </x:c>
      <x:c r="I2716" s="34" t="str">
        <x:v>generated design-reference observation; not predicted tract behavior</x:v>
      </x:c>
    </x:row>
    <x:row r="2717" ht="75.5999984741211" hidden="0" customHeight="1">
      <x:c r="A2717" s="36" t="str">
        <x:v>P2</x:v>
      </x:c>
      <x:c r="B2717" s="36" t="str">
        <x:v>48201411503</x:v>
      </x:c>
      <x:c r="C2717" s="66" t="n">
        <x:v>283.39871524463916</x:v>
      </x:c>
      <x:c r="D2717" s="66" t="n">
        <x:v>237.17582879447826</x:v>
      </x:c>
      <x:c r="E2717" s="66" t="n">
        <x:v>46.2228864501609</x:v>
      </x:c>
      <x:c r="F2717" s="66" t="n">
        <x:v>46.2228864501609</x:v>
      </x:c>
      <x:c r="G2717" s="66" t="n">
        <x:v>283.39871524463916</x:v>
      </x:c>
      <x:c r="H2717" s="45" t="n">
        <x:v>1</x:v>
      </x:c>
      <x:c r="I2717" s="36" t="str">
        <x:v>generated design-reference observation; not predicted tract behavior</x:v>
      </x:c>
    </x:row>
    <x:row r="2718" ht="75.5999984741211" hidden="0" customHeight="1">
      <x:c r="A2718" s="34" t="str">
        <x:v>P2</x:v>
      </x:c>
      <x:c r="B2718" s="34" t="str">
        <x:v>48201411504</x:v>
      </x:c>
      <x:c r="C2718" s="65" t="n">
        <x:v>212.45079238387711</x:v>
      </x:c>
      <x:c r="D2718" s="65" t="n">
        <x:v>176.46686809875848</x:v>
      </x:c>
      <x:c r="E2718" s="65" t="n">
        <x:v>35.98392428511863</x:v>
      </x:c>
      <x:c r="F2718" s="65" t="n">
        <x:v>35.98392428511863</x:v>
      </x:c>
      <x:c r="G2718" s="65" t="n">
        <x:v>212.45079238387711</x:v>
      </x:c>
      <x:c r="H2718" s="43" t="n">
        <x:v>1</x:v>
      </x:c>
      <x:c r="I2718" s="34" t="str">
        <x:v>generated design-reference observation; not predicted tract behavior</x:v>
      </x:c>
    </x:row>
    <x:row r="2719" ht="75.5999984741211" hidden="0" customHeight="1">
      <x:c r="A2719" s="36" t="str">
        <x:v>P2</x:v>
      </x:c>
      <x:c r="B2719" s="36" t="str">
        <x:v>48201411505</x:v>
      </x:c>
      <x:c r="C2719" s="66" t="n">
        <x:v>265.99379941710436</x:v>
      </x:c>
      <x:c r="D2719" s="66" t="n">
        <x:v>222.78701969154744</x:v>
      </x:c>
      <x:c r="E2719" s="66" t="n">
        <x:v>43.20677972555691</x:v>
      </x:c>
      <x:c r="F2719" s="66" t="n">
        <x:v>43.20677972555691</x:v>
      </x:c>
      <x:c r="G2719" s="66" t="n">
        <x:v>265.99379941710436</x:v>
      </x:c>
      <x:c r="H2719" s="45" t="n">
        <x:v>1</x:v>
      </x:c>
      <x:c r="I2719" s="36" t="str">
        <x:v>generated design-reference observation; not predicted tract behavior</x:v>
      </x:c>
    </x:row>
    <x:row r="2720" ht="75.5999984741211" hidden="0" customHeight="1">
      <x:c r="A2720" s="34" t="str">
        <x:v>P2</x:v>
      </x:c>
      <x:c r="B2720" s="34" t="str">
        <x:v>48201411506</x:v>
      </x:c>
      <x:c r="C2720" s="65" t="n">
        <x:v>237.97066670855799</x:v>
      </x:c>
      <x:c r="D2720" s="65" t="n">
        <x:v>196.3508445015938</x:v>
      </x:c>
      <x:c r="E2720" s="65" t="n">
        <x:v>41.61982220696419</x:v>
      </x:c>
      <x:c r="F2720" s="65" t="n">
        <x:v>41.61982220696419</x:v>
      </x:c>
      <x:c r="G2720" s="65" t="n">
        <x:v>237.97066670855799</x:v>
      </x:c>
      <x:c r="H2720" s="43" t="n">
        <x:v>1</x:v>
      </x:c>
      <x:c r="I2720" s="34" t="str">
        <x:v>generated design-reference observation; not predicted tract behavior</x:v>
      </x:c>
    </x:row>
    <x:row r="2721" ht="75.5999984741211" hidden="0" customHeight="1">
      <x:c r="A2721" s="36" t="str">
        <x:v>P2</x:v>
      </x:c>
      <x:c r="B2721" s="36" t="str">
        <x:v>48201411507</x:v>
      </x:c>
      <x:c r="C2721" s="66" t="n">
        <x:v>181.17774651448835</x:v>
      </x:c>
      <x:c r="D2721" s="66" t="n">
        <x:v>150.37389870208503</x:v>
      </x:c>
      <x:c r="E2721" s="66" t="n">
        <x:v>30.80384781240332</x:v>
      </x:c>
      <x:c r="F2721" s="66" t="n">
        <x:v>30.80384781240332</x:v>
      </x:c>
      <x:c r="G2721" s="66" t="n">
        <x:v>181.17774651448835</x:v>
      </x:c>
      <x:c r="H2721" s="45" t="n">
        <x:v>1</x:v>
      </x:c>
      <x:c r="I2721" s="36" t="str">
        <x:v>generated design-reference observation; not predicted tract behavior</x:v>
      </x:c>
    </x:row>
    <x:row r="2722" ht="75.5999984741211" hidden="0" customHeight="1">
      <x:c r="A2722" s="34" t="str">
        <x:v>P2</x:v>
      </x:c>
      <x:c r="B2722" s="34" t="str">
        <x:v>48201411600</x:v>
      </x:c>
      <x:c r="C2722" s="65" t="n">
        <x:v>224.0042926171019</x:v>
      </x:c>
      <x:c r="D2722" s="65" t="n">
        <x:v>191.40337547910497</x:v>
      </x:c>
      <x:c r="E2722" s="65" t="n">
        <x:v>32.60091713799693</x:v>
      </x:c>
      <x:c r="F2722" s="65" t="n">
        <x:v>32.60091713799693</x:v>
      </x:c>
      <x:c r="G2722" s="65" t="n">
        <x:v>224.0042926171019</x:v>
      </x:c>
      <x:c r="H2722" s="43" t="n">
        <x:v>1</x:v>
      </x:c>
      <x:c r="I2722" s="34" t="str">
        <x:v>generated design-reference observation; not predicted tract behavior</x:v>
      </x:c>
    </x:row>
    <x:row r="2723" ht="75.5999984741211" hidden="0" customHeight="1">
      <x:c r="A2723" s="36" t="str">
        <x:v>P2</x:v>
      </x:c>
      <x:c r="B2723" s="36" t="str">
        <x:v>48201411700</x:v>
      </x:c>
      <x:c r="C2723" s="66" t="n">
        <x:v>284.91560337049793</x:v>
      </x:c>
      <x:c r="D2723" s="66" t="n">
        <x:v>240.24034104735608</x:v>
      </x:c>
      <x:c r="E2723" s="66" t="n">
        <x:v>44.67526232314185</x:v>
      </x:c>
      <x:c r="F2723" s="66" t="n">
        <x:v>44.67526232314185</x:v>
      </x:c>
      <x:c r="G2723" s="66" t="n">
        <x:v>284.91560337049793</x:v>
      </x:c>
      <x:c r="H2723" s="45" t="n">
        <x:v>1</x:v>
      </x:c>
      <x:c r="I2723" s="36" t="str">
        <x:v>generated design-reference observation; not predicted tract behavior</x:v>
      </x:c>
    </x:row>
    <x:row r="2724" ht="75.5999984741211" hidden="0" customHeight="1">
      <x:c r="A2724" s="34" t="str">
        <x:v>P2</x:v>
      </x:c>
      <x:c r="B2724" s="34" t="str">
        <x:v>48201411801</x:v>
      </x:c>
      <x:c r="C2724" s="65" t="n">
        <x:v>306.0891609407751</x:v>
      </x:c>
      <x:c r="D2724" s="65" t="n">
        <x:v>257.0129811852146</x:v>
      </x:c>
      <x:c r="E2724" s="65" t="n">
        <x:v>49.07617975556053</x:v>
      </x:c>
      <x:c r="F2724" s="65" t="n">
        <x:v>49.07617975556053</x:v>
      </x:c>
      <x:c r="G2724" s="65" t="n">
        <x:v>306.0891609407751</x:v>
      </x:c>
      <x:c r="H2724" s="43" t="n">
        <x:v>1</x:v>
      </x:c>
      <x:c r="I2724" s="34" t="str">
        <x:v>generated design-reference observation; not predicted tract behavior</x:v>
      </x:c>
    </x:row>
    <x:row r="2725" ht="75.5999984741211" hidden="0" customHeight="1">
      <x:c r="A2725" s="36" t="str">
        <x:v>P2</x:v>
      </x:c>
      <x:c r="B2725" s="36" t="str">
        <x:v>48201411802</x:v>
      </x:c>
      <x:c r="C2725" s="66" t="n">
        <x:v>181.6571774765474</x:v>
      </x:c>
      <x:c r="D2725" s="66" t="n">
        <x:v>152.01680106126358</x:v>
      </x:c>
      <x:c r="E2725" s="66" t="n">
        <x:v>29.64037641528381</x:v>
      </x:c>
      <x:c r="F2725" s="66" t="n">
        <x:v>29.64037641528381</x:v>
      </x:c>
      <x:c r="G2725" s="66" t="n">
        <x:v>181.6571774765474</x:v>
      </x:c>
      <x:c r="H2725" s="45" t="n">
        <x:v>1</x:v>
      </x:c>
      <x:c r="I2725" s="36" t="str">
        <x:v>generated design-reference observation; not predicted tract behavior</x:v>
      </x:c>
    </x:row>
    <x:row r="2726" ht="75.5999984741211" hidden="0" customHeight="1">
      <x:c r="A2726" s="34" t="str">
        <x:v>P2</x:v>
      </x:c>
      <x:c r="B2726" s="34" t="str">
        <x:v>48201411901</x:v>
      </x:c>
      <x:c r="C2726" s="65" t="n">
        <x:v>173.71119874471728</x:v>
      </x:c>
      <x:c r="D2726" s="65" t="n">
        <x:v>149.8602176759111</x:v>
      </x:c>
      <x:c r="E2726" s="65" t="n">
        <x:v>23.850981068806192</x:v>
      </x:c>
      <x:c r="F2726" s="65" t="n">
        <x:v>23.850981068806192</x:v>
      </x:c>
      <x:c r="G2726" s="65" t="n">
        <x:v>173.71119874471728</x:v>
      </x:c>
      <x:c r="H2726" s="43" t="n">
        <x:v>1</x:v>
      </x:c>
      <x:c r="I2726" s="34" t="str">
        <x:v>generated design-reference observation; not predicted tract behavior</x:v>
      </x:c>
    </x:row>
    <x:row r="2727" ht="75.5999984741211" hidden="0" customHeight="1">
      <x:c r="A2727" s="36" t="str">
        <x:v>P2</x:v>
      </x:c>
      <x:c r="B2727" s="36" t="str">
        <x:v>48201411902</x:v>
      </x:c>
      <x:c r="C2727" s="66" t="n">
        <x:v>192.81377174937907</x:v>
      </x:c>
      <x:c r="D2727" s="66" t="n">
        <x:v>161.65738613429033</x:v>
      </x:c>
      <x:c r="E2727" s="66" t="n">
        <x:v>31.156385615088737</x:v>
      </x:c>
      <x:c r="F2727" s="66" t="n">
        <x:v>31.156385615088737</x:v>
      </x:c>
      <x:c r="G2727" s="66" t="n">
        <x:v>192.81377174937907</x:v>
      </x:c>
      <x:c r="H2727" s="45" t="n">
        <x:v>1</x:v>
      </x:c>
      <x:c r="I2727" s="36" t="str">
        <x:v>generated design-reference observation; not predicted tract behavior</x:v>
      </x:c>
    </x:row>
    <x:row r="2728" ht="75.5999984741211" hidden="0" customHeight="1">
      <x:c r="A2728" s="34" t="str">
        <x:v>P2</x:v>
      </x:c>
      <x:c r="B2728" s="34" t="str">
        <x:v>48201412000</x:v>
      </x:c>
      <x:c r="C2728" s="65" t="n">
        <x:v>543.4891052934898</x:v>
      </x:c>
      <x:c r="D2728" s="65" t="n">
        <x:v>404.493927085019</x:v>
      </x:c>
      <x:c r="E2728" s="65" t="n">
        <x:v>138.99517820847086</x:v>
      </x:c>
      <x:c r="F2728" s="65" t="n">
        <x:v>138.99517820847086</x:v>
      </x:c>
      <x:c r="G2728" s="65" t="n">
        <x:v>543.4891052934898</x:v>
      </x:c>
      <x:c r="H2728" s="43" t="n">
        <x:v>1</x:v>
      </x:c>
      <x:c r="I2728" s="34" t="str">
        <x:v>generated design-reference observation; not predicted tract behavior</x:v>
      </x:c>
    </x:row>
    <x:row r="2729" ht="75.5999984741211" hidden="0" customHeight="1">
      <x:c r="A2729" s="36" t="str">
        <x:v>P2</x:v>
      </x:c>
      <x:c r="B2729" s="36" t="str">
        <x:v>48201412201</x:v>
      </x:c>
      <x:c r="C2729" s="66" t="n">
        <x:v>329.33340078728446</x:v>
      </x:c>
      <x:c r="D2729" s="66" t="n">
        <x:v>242.29120487635694</x:v>
      </x:c>
      <x:c r="E2729" s="66" t="n">
        <x:v>87.04219591092752</x:v>
      </x:c>
      <x:c r="F2729" s="66" t="n">
        <x:v>87.04219591092752</x:v>
      </x:c>
      <x:c r="G2729" s="66" t="n">
        <x:v>329.33340078728446</x:v>
      </x:c>
      <x:c r="H2729" s="45" t="n">
        <x:v>1</x:v>
      </x:c>
      <x:c r="I2729" s="36" t="str">
        <x:v>generated design-reference observation; not predicted tract behavior</x:v>
      </x:c>
    </x:row>
    <x:row r="2730" ht="75.5999984741211" hidden="0" customHeight="1">
      <x:c r="A2730" s="34" t="str">
        <x:v>P2</x:v>
      </x:c>
      <x:c r="B2730" s="34" t="str">
        <x:v>48201412202</x:v>
      </x:c>
      <x:c r="C2730" s="65" t="n">
        <x:v>493.54122589693844</x:v>
      </x:c>
      <x:c r="D2730" s="65" t="n">
        <x:v>367.93412506207966</x:v>
      </x:c>
      <x:c r="E2730" s="65" t="n">
        <x:v>125.60710083485878</x:v>
      </x:c>
      <x:c r="F2730" s="65" t="n">
        <x:v>125.60710083485878</x:v>
      </x:c>
      <x:c r="G2730" s="65" t="n">
        <x:v>493.54122589693844</x:v>
      </x:c>
      <x:c r="H2730" s="43" t="n">
        <x:v>1</x:v>
      </x:c>
      <x:c r="I2730" s="34" t="str">
        <x:v>generated design-reference observation; not predicted tract behavior</x:v>
      </x:c>
    </x:row>
    <x:row r="2731" ht="75.5999984741211" hidden="0" customHeight="1">
      <x:c r="A2731" s="36" t="str">
        <x:v>P2</x:v>
      </x:c>
      <x:c r="B2731" s="36" t="str">
        <x:v>48201412300</x:v>
      </x:c>
      <x:c r="C2731" s="66" t="n">
        <x:v>976.3475512108762</x:v>
      </x:c>
      <x:c r="D2731" s="66" t="n">
        <x:v>736.556592633485</x:v>
      </x:c>
      <x:c r="E2731" s="66" t="n">
        <x:v>239.79095857739117</x:v>
      </x:c>
      <x:c r="F2731" s="66" t="n">
        <x:v>239.79095857739117</x:v>
      </x:c>
      <x:c r="G2731" s="66" t="n">
        <x:v>976.3475512108762</x:v>
      </x:c>
      <x:c r="H2731" s="45" t="n">
        <x:v>1</x:v>
      </x:c>
      <x:c r="I2731" s="36" t="str">
        <x:v>generated design-reference observation; not predicted tract behavior</x:v>
      </x:c>
    </x:row>
    <x:row r="2732" ht="75.5999984741211" hidden="0" customHeight="1">
      <x:c r="A2732" s="34" t="str">
        <x:v>P2</x:v>
      </x:c>
      <x:c r="B2732" s="34" t="str">
        <x:v>48201412400</x:v>
      </x:c>
      <x:c r="C2732" s="65" t="n">
        <x:v>633.331323773757</x:v>
      </x:c>
      <x:c r="D2732" s="65" t="n">
        <x:v>477.78515065492235</x:v>
      </x:c>
      <x:c r="E2732" s="65" t="n">
        <x:v>155.5461731188347</x:v>
      </x:c>
      <x:c r="F2732" s="65" t="n">
        <x:v>155.5461731188347</x:v>
      </x:c>
      <x:c r="G2732" s="65" t="n">
        <x:v>633.331323773757</x:v>
      </x:c>
      <x:c r="H2732" s="43" t="n">
        <x:v>1</x:v>
      </x:c>
      <x:c r="I2732" s="34" t="str">
        <x:v>generated design-reference observation; not predicted tract behavior</x:v>
      </x:c>
    </x:row>
    <x:row r="2733" ht="75.5999984741211" hidden="0" customHeight="1">
      <x:c r="A2733" s="36" t="str">
        <x:v>P2</x:v>
      </x:c>
      <x:c r="B2733" s="36" t="str">
        <x:v>48201412500</x:v>
      </x:c>
      <x:c r="C2733" s="66" t="n">
        <x:v>293.5350828485244</x:v>
      </x:c>
      <x:c r="D2733" s="66" t="n">
        <x:v>118.663681256783</x:v>
      </x:c>
      <x:c r="E2733" s="66" t="n">
        <x:v>174.8714015917414</x:v>
      </x:c>
      <x:c r="F2733" s="66" t="n">
        <x:v>174.8714015917414</x:v>
      </x:c>
      <x:c r="G2733" s="66" t="n">
        <x:v>293.5350828485244</x:v>
      </x:c>
      <x:c r="H2733" s="45" t="n">
        <x:v>1</x:v>
      </x:c>
      <x:c r="I2733" s="36" t="str">
        <x:v>generated design-reference observation; not predicted tract behavior</x:v>
      </x:c>
    </x:row>
    <x:row r="2734" ht="75.5999984741211" hidden="0" customHeight="1">
      <x:c r="A2734" s="34" t="str">
        <x:v>P2</x:v>
      </x:c>
      <x:c r="B2734" s="34" t="str">
        <x:v>48201412600</x:v>
      </x:c>
      <x:c r="C2734" s="65" t="n">
        <x:v>542.7938397116894</x:v>
      </x:c>
      <x:c r="D2734" s="65" t="n">
        <x:v>409.32770590566395</x:v>
      </x:c>
      <x:c r="E2734" s="65" t="n">
        <x:v>133.46613380602548</x:v>
      </x:c>
      <x:c r="F2734" s="65" t="n">
        <x:v>133.46613380602548</x:v>
      </x:c>
      <x:c r="G2734" s="65" t="n">
        <x:v>542.7938397116894</x:v>
      </x:c>
      <x:c r="H2734" s="43" t="n">
        <x:v>1</x:v>
      </x:c>
      <x:c r="I2734" s="34" t="str">
        <x:v>generated design-reference observation; not predicted tract behavior</x:v>
      </x:c>
    </x:row>
    <x:row r="2735" ht="75.5999984741211" hidden="0" customHeight="1">
      <x:c r="A2735" s="36" t="str">
        <x:v>P2</x:v>
      </x:c>
      <x:c r="B2735" s="36" t="str">
        <x:v>48201412700</x:v>
      </x:c>
      <x:c r="C2735" s="66" t="n">
        <x:v>539.9928262851835</x:v>
      </x:c>
      <x:c r="D2735" s="66" t="n">
        <x:v>222.66610169649903</x:v>
      </x:c>
      <x:c r="E2735" s="66" t="n">
        <x:v>317.32672458868444</x:v>
      </x:c>
      <x:c r="F2735" s="66" t="n">
        <x:v>317.32672458868444</x:v>
      </x:c>
      <x:c r="G2735" s="66" t="n">
        <x:v>539.9928262851835</x:v>
      </x:c>
      <x:c r="H2735" s="45" t="n">
        <x:v>1</x:v>
      </x:c>
      <x:c r="I2735" s="36" t="str">
        <x:v>generated design-reference observation; not predicted tract behavior</x:v>
      </x:c>
    </x:row>
    <x:row r="2736" ht="75.5999984741211" hidden="0" customHeight="1">
      <x:c r="A2736" s="34" t="str">
        <x:v>P2</x:v>
      </x:c>
      <x:c r="B2736" s="34" t="str">
        <x:v>48201412800</x:v>
      </x:c>
      <x:c r="C2736" s="65" t="n">
        <x:v>858.1245916815108</x:v>
      </x:c>
      <x:c r="D2736" s="65" t="n">
        <x:v>355.26358095614546</x:v>
      </x:c>
      <x:c r="E2736" s="65" t="n">
        <x:v>502.8610107253653</x:v>
      </x:c>
      <x:c r="F2736" s="65" t="n">
        <x:v>502.8610107253653</x:v>
      </x:c>
      <x:c r="G2736" s="65" t="n">
        <x:v>858.1245916815108</x:v>
      </x:c>
      <x:c r="H2736" s="43" t="n">
        <x:v>1</x:v>
      </x:c>
      <x:c r="I2736" s="34" t="str">
        <x:v>generated design-reference observation; not predicted tract behavior</x:v>
      </x:c>
    </x:row>
    <x:row r="2737" ht="75.5999984741211" hidden="0" customHeight="1">
      <x:c r="A2737" s="36" t="str">
        <x:v>P2</x:v>
      </x:c>
      <x:c r="B2737" s="36" t="str">
        <x:v>48201412901</x:v>
      </x:c>
      <x:c r="C2737" s="66" t="n">
        <x:v>336.4988683311976</x:v>
      </x:c>
      <x:c r="D2737" s="66" t="n">
        <x:v>133.23200080803642</x:v>
      </x:c>
      <x:c r="E2737" s="66" t="n">
        <x:v>203.2668675231612</x:v>
      </x:c>
      <x:c r="F2737" s="66" t="n">
        <x:v>203.2668675231612</x:v>
      </x:c>
      <x:c r="G2737" s="66" t="n">
        <x:v>336.4988683311976</x:v>
      </x:c>
      <x:c r="H2737" s="45" t="n">
        <x:v>1</x:v>
      </x:c>
      <x:c r="I2737" s="36" t="str">
        <x:v>generated design-reference observation; not predicted tract behavior</x:v>
      </x:c>
    </x:row>
    <x:row r="2738" ht="75.5999984741211" hidden="0" customHeight="1">
      <x:c r="A2738" s="34" t="str">
        <x:v>P2</x:v>
      </x:c>
      <x:c r="B2738" s="34" t="str">
        <x:v>48201412902</x:v>
      </x:c>
      <x:c r="C2738" s="65" t="n">
        <x:v>532.6375210085004</x:v>
      </x:c>
      <x:c r="D2738" s="65" t="n">
        <x:v>216.0877053687743</x:v>
      </x:c>
      <x:c r="E2738" s="65" t="n">
        <x:v>316.54981563972603</x:v>
      </x:c>
      <x:c r="F2738" s="65" t="n">
        <x:v>316.54981563972603</x:v>
      </x:c>
      <x:c r="G2738" s="65" t="n">
        <x:v>532.6375210085004</x:v>
      </x:c>
      <x:c r="H2738" s="43" t="n">
        <x:v>1</x:v>
      </x:c>
      <x:c r="I2738" s="34" t="str">
        <x:v>generated design-reference observation; not predicted tract behavior</x:v>
      </x:c>
    </x:row>
    <x:row r="2739" ht="75.5999984741211" hidden="0" customHeight="1">
      <x:c r="A2739" s="36" t="str">
        <x:v>P2</x:v>
      </x:c>
      <x:c r="B2739" s="36" t="str">
        <x:v>48201413000</x:v>
      </x:c>
      <x:c r="C2739" s="66" t="n">
        <x:v>544.2418058581349</x:v>
      </x:c>
      <x:c r="D2739" s="66" t="n">
        <x:v>221.28940397772075</x:v>
      </x:c>
      <x:c r="E2739" s="66" t="n">
        <x:v>322.9524018804141</x:v>
      </x:c>
      <x:c r="F2739" s="66" t="n">
        <x:v>322.9524018804141</x:v>
      </x:c>
      <x:c r="G2739" s="66" t="n">
        <x:v>544.2418058581349</x:v>
      </x:c>
      <x:c r="H2739" s="45" t="n">
        <x:v>1</x:v>
      </x:c>
      <x:c r="I2739" s="36" t="str">
        <x:v>generated design-reference observation; not predicted tract behavior</x:v>
      </x:c>
    </x:row>
    <x:row r="2740" ht="75.5999984741211" hidden="0" customHeight="1">
      <x:c r="A2740" s="34" t="str">
        <x:v>P2</x:v>
      </x:c>
      <x:c r="B2740" s="34" t="str">
        <x:v>48201413100</x:v>
      </x:c>
      <x:c r="C2740" s="65" t="n">
        <x:v>470.9172838651485</x:v>
      </x:c>
      <x:c r="D2740" s="65" t="n">
        <x:v>354.9362325859437</x:v>
      </x:c>
      <x:c r="E2740" s="65" t="n">
        <x:v>115.98105127920479</x:v>
      </x:c>
      <x:c r="F2740" s="65" t="n">
        <x:v>115.98105127920479</x:v>
      </x:c>
      <x:c r="G2740" s="65" t="n">
        <x:v>470.9172838651485</x:v>
      </x:c>
      <x:c r="H2740" s="43" t="n">
        <x:v>1</x:v>
      </x:c>
      <x:c r="I2740" s="34" t="str">
        <x:v>generated design-reference observation; not predicted tract behavior</x:v>
      </x:c>
    </x:row>
    <x:row r="2741" ht="75.5999984741211" hidden="0" customHeight="1">
      <x:c r="A2741" s="36" t="str">
        <x:v>P2</x:v>
      </x:c>
      <x:c r="B2741" s="36" t="str">
        <x:v>48201413203</x:v>
      </x:c>
      <x:c r="C2741" s="66" t="n">
        <x:v>333.7226426341297</x:v>
      </x:c>
      <x:c r="D2741" s="66" t="n">
        <x:v>134.52093658693562</x:v>
      </x:c>
      <x:c r="E2741" s="66" t="n">
        <x:v>199.2017060471941</x:v>
      </x:c>
      <x:c r="F2741" s="66" t="n">
        <x:v>199.2017060471941</x:v>
      </x:c>
      <x:c r="G2741" s="66" t="n">
        <x:v>333.7226426341297</x:v>
      </x:c>
      <x:c r="H2741" s="45" t="n">
        <x:v>1</x:v>
      </x:c>
      <x:c r="I2741" s="36" t="str">
        <x:v>generated design-reference observation; not predicted tract behavior</x:v>
      </x:c>
    </x:row>
    <x:row r="2742" ht="75.5999984741211" hidden="0" customHeight="1">
      <x:c r="A2742" s="34" t="str">
        <x:v>P2</x:v>
      </x:c>
      <x:c r="B2742" s="34" t="str">
        <x:v>48201413204</x:v>
      </x:c>
      <x:c r="C2742" s="65" t="n">
        <x:v>191.0855833445296</x:v>
      </x:c>
      <x:c r="D2742" s="65" t="n">
        <x:v>76.08585079988063</x:v>
      </x:c>
      <x:c r="E2742" s="65" t="n">
        <x:v>114.99973254464896</x:v>
      </x:c>
      <x:c r="F2742" s="65" t="n">
        <x:v>114.99973254464896</x:v>
      </x:c>
      <x:c r="G2742" s="65" t="n">
        <x:v>191.0855833445296</x:v>
      </x:c>
      <x:c r="H2742" s="43" t="n">
        <x:v>1</x:v>
      </x:c>
      <x:c r="I2742" s="34" t="str">
        <x:v>generated design-reference observation; not predicted tract behavior</x:v>
      </x:c>
    </x:row>
    <x:row r="2743" ht="75.5999984741211" hidden="0" customHeight="1">
      <x:c r="A2743" s="36" t="str">
        <x:v>P2</x:v>
      </x:c>
      <x:c r="B2743" s="36" t="str">
        <x:v>48201413205</x:v>
      </x:c>
      <x:c r="C2743" s="66" t="n">
        <x:v>258.866118046115</x:v>
      </x:c>
      <x:c r="D2743" s="66" t="n">
        <x:v>102.40556986621705</x:v>
      </x:c>
      <x:c r="E2743" s="66" t="n">
        <x:v>156.46054817989796</x:v>
      </x:c>
      <x:c r="F2743" s="66" t="n">
        <x:v>156.46054817989796</x:v>
      </x:c>
      <x:c r="G2743" s="66" t="n">
        <x:v>258.866118046115</x:v>
      </x:c>
      <x:c r="H2743" s="45" t="n">
        <x:v>1</x:v>
      </x:c>
      <x:c r="I2743" s="36" t="str">
        <x:v>generated design-reference observation; not predicted tract behavior</x:v>
      </x:c>
    </x:row>
    <x:row r="2744" ht="75.5999984741211" hidden="0" customHeight="1">
      <x:c r="A2744" s="34" t="str">
        <x:v>P2</x:v>
      </x:c>
      <x:c r="B2744" s="34" t="str">
        <x:v>48201413206</x:v>
      </x:c>
      <x:c r="C2744" s="65" t="n">
        <x:v>375.0818760697607</x:v>
      </x:c>
      <x:c r="D2744" s="65" t="n">
        <x:v>271.52436617761407</x:v>
      </x:c>
      <x:c r="E2744" s="65" t="n">
        <x:v>103.55750989214664</x:v>
      </x:c>
      <x:c r="F2744" s="65" t="n">
        <x:v>103.55750989214664</x:v>
      </x:c>
      <x:c r="G2744" s="65" t="n">
        <x:v>375.0818760697607</x:v>
      </x:c>
      <x:c r="H2744" s="43" t="n">
        <x:v>1</x:v>
      </x:c>
      <x:c r="I2744" s="34" t="str">
        <x:v>generated design-reference observation; not predicted tract behavior</x:v>
      </x:c>
    </x:row>
    <x:row r="2745" ht="75.5999984741211" hidden="0" customHeight="1">
      <x:c r="A2745" s="36" t="str">
        <x:v>P2</x:v>
      </x:c>
      <x:c r="B2745" s="36" t="str">
        <x:v>48201413301</x:v>
      </x:c>
      <x:c r="C2745" s="66" t="n">
        <x:v>747.215826072687</x:v>
      </x:c>
      <x:c r="D2745" s="66" t="n">
        <x:v>547.7953645756314</x:v>
      </x:c>
      <x:c r="E2745" s="66" t="n">
        <x:v>199.4204614970556</x:v>
      </x:c>
      <x:c r="F2745" s="66" t="n">
        <x:v>199.4204614970556</x:v>
      </x:c>
      <x:c r="G2745" s="66" t="n">
        <x:v>747.215826072687</x:v>
      </x:c>
      <x:c r="H2745" s="45" t="n">
        <x:v>1</x:v>
      </x:c>
      <x:c r="I2745" s="36" t="str">
        <x:v>generated design-reference observation; not predicted tract behavior</x:v>
      </x:c>
    </x:row>
    <x:row r="2746" ht="75.5999984741211" hidden="0" customHeight="1">
      <x:c r="A2746" s="34" t="str">
        <x:v>P2</x:v>
      </x:c>
      <x:c r="B2746" s="34" t="str">
        <x:v>48201413302</x:v>
      </x:c>
      <x:c r="C2746" s="65" t="n">
        <x:v>535.2710661166074</x:v>
      </x:c>
      <x:c r="D2746" s="65" t="n">
        <x:v>403.80849227836865</x:v>
      </x:c>
      <x:c r="E2746" s="65" t="n">
        <x:v>131.4625738382387</x:v>
      </x:c>
      <x:c r="F2746" s="65" t="n">
        <x:v>131.4625738382387</x:v>
      </x:c>
      <x:c r="G2746" s="65" t="n">
        <x:v>535.2710661166074</x:v>
      </x:c>
      <x:c r="H2746" s="43" t="n">
        <x:v>1</x:v>
      </x:c>
      <x:c r="I2746" s="34" t="str">
        <x:v>generated design-reference observation; not predicted tract behavior</x:v>
      </x:c>
    </x:row>
    <x:row r="2747" ht="75.5999984741211" hidden="0" customHeight="1">
      <x:c r="A2747" s="36" t="str">
        <x:v>P2</x:v>
      </x:c>
      <x:c r="B2747" s="36" t="str">
        <x:v>48201420100</x:v>
      </x:c>
      <x:c r="C2747" s="66" t="n">
        <x:v>225.23823788010625</x:v>
      </x:c>
      <x:c r="D2747" s="66" t="n">
        <x:v>192.60110351839378</x:v>
      </x:c>
      <x:c r="E2747" s="66" t="n">
        <x:v>32.63713436171247</x:v>
      </x:c>
      <x:c r="F2747" s="66" t="n">
        <x:v>32.63713436171247</x:v>
      </x:c>
      <x:c r="G2747" s="66" t="n">
        <x:v>225.23823788010625</x:v>
      </x:c>
      <x:c r="H2747" s="45" t="n">
        <x:v>1</x:v>
      </x:c>
      <x:c r="I2747" s="36" t="str">
        <x:v>generated design-reference observation; not predicted tract behavior</x:v>
      </x:c>
    </x:row>
    <x:row r="2748" ht="75.5999984741211" hidden="0" customHeight="1">
      <x:c r="A2748" s="34" t="str">
        <x:v>P2</x:v>
      </x:c>
      <x:c r="B2748" s="34" t="str">
        <x:v>48201420200</x:v>
      </x:c>
      <x:c r="C2748" s="65" t="n">
        <x:v>204.1511350734789</x:v>
      </x:c>
      <x:c r="D2748" s="65" t="n">
        <x:v>174.79341024347053</x:v>
      </x:c>
      <x:c r="E2748" s="65" t="n">
        <x:v>29.35772483000838</x:v>
      </x:c>
      <x:c r="F2748" s="65" t="n">
        <x:v>29.35772483000838</x:v>
      </x:c>
      <x:c r="G2748" s="65" t="n">
        <x:v>204.1511350734789</x:v>
      </x:c>
      <x:c r="H2748" s="43" t="n">
        <x:v>1</x:v>
      </x:c>
      <x:c r="I2748" s="34" t="str">
        <x:v>generated design-reference observation; not predicted tract behavior</x:v>
      </x:c>
    </x:row>
    <x:row r="2749" ht="75.5999984741211" hidden="0" customHeight="1">
      <x:c r="A2749" s="36" t="str">
        <x:v>P2</x:v>
      </x:c>
      <x:c r="B2749" s="36" t="str">
        <x:v>48201420300</x:v>
      </x:c>
      <x:c r="C2749" s="66" t="n">
        <x:v>693.4470088700665</x:v>
      </x:c>
      <x:c r="D2749" s="66" t="n">
        <x:v>283.05494001950797</x:v>
      </x:c>
      <x:c r="E2749" s="66" t="n">
        <x:v>410.39206885055853</x:v>
      </x:c>
      <x:c r="F2749" s="66" t="n">
        <x:v>410.39206885055853</x:v>
      </x:c>
      <x:c r="G2749" s="66" t="n">
        <x:v>693.4470088700665</x:v>
      </x:c>
      <x:c r="H2749" s="45" t="n">
        <x:v>1</x:v>
      </x:c>
      <x:c r="I2749" s="36" t="str">
        <x:v>generated design-reference observation; not predicted tract behavior</x:v>
      </x:c>
    </x:row>
    <x:row r="2750" ht="75.5999984741211" hidden="0" customHeight="1">
      <x:c r="A2750" s="34" t="str">
        <x:v>P2</x:v>
      </x:c>
      <x:c r="B2750" s="34" t="str">
        <x:v>48201420400</x:v>
      </x:c>
      <x:c r="C2750" s="65" t="n">
        <x:v>300.1552203447992</x:v>
      </x:c>
      <x:c r="D2750" s="65" t="n">
        <x:v>258.28672267241416</x:v>
      </x:c>
      <x:c r="E2750" s="65" t="n">
        <x:v>41.86849767238505</x:v>
      </x:c>
      <x:c r="F2750" s="65" t="n">
        <x:v>41.86849767238505</x:v>
      </x:c>
      <x:c r="G2750" s="65" t="n">
        <x:v>300.1552203447992</x:v>
      </x:c>
      <x:c r="H2750" s="43" t="n">
        <x:v>1</x:v>
      </x:c>
      <x:c r="I2750" s="34" t="str">
        <x:v>generated design-reference observation; not predicted tract behavior</x:v>
      </x:c>
    </x:row>
    <x:row r="2751" ht="75.5999984741211" hidden="0" customHeight="1">
      <x:c r="A2751" s="36" t="str">
        <x:v>P2</x:v>
      </x:c>
      <x:c r="B2751" s="36" t="str">
        <x:v>48201420500</x:v>
      </x:c>
      <x:c r="C2751" s="66" t="n">
        <x:v>283.2965414330528</x:v>
      </x:c>
      <x:c r="D2751" s="66" t="n">
        <x:v>241.94343730470825</x:v>
      </x:c>
      <x:c r="E2751" s="66" t="n">
        <x:v>41.35310412834457</x:v>
      </x:c>
      <x:c r="F2751" s="66" t="n">
        <x:v>41.35310412834457</x:v>
      </x:c>
      <x:c r="G2751" s="66" t="n">
        <x:v>283.2965414330528</x:v>
      </x:c>
      <x:c r="H2751" s="45" t="n">
        <x:v>1</x:v>
      </x:c>
      <x:c r="I2751" s="36" t="str">
        <x:v>generated design-reference observation; not predicted tract behavior</x:v>
      </x:c>
    </x:row>
    <x:row r="2752" ht="75.5999984741211" hidden="0" customHeight="1">
      <x:c r="A2752" s="34" t="str">
        <x:v>P2</x:v>
      </x:c>
      <x:c r="B2752" s="34" t="str">
        <x:v>48201420600</x:v>
      </x:c>
      <x:c r="C2752" s="65" t="n">
        <x:v>188.927237147114</x:v>
      </x:c>
      <x:c r="D2752" s="65" t="n">
        <x:v>162.74679268822155</x:v>
      </x:c>
      <x:c r="E2752" s="65" t="n">
        <x:v>26.180444458892453</x:v>
      </x:c>
      <x:c r="F2752" s="65" t="n">
        <x:v>26.180444458892453</x:v>
      </x:c>
      <x:c r="G2752" s="65" t="n">
        <x:v>188.927237147114</x:v>
      </x:c>
      <x:c r="H2752" s="43" t="n">
        <x:v>1</x:v>
      </x:c>
      <x:c r="I2752" s="34" t="str">
        <x:v>generated design-reference observation; not predicted tract behavior</x:v>
      </x:c>
    </x:row>
    <x:row r="2753" ht="75.5999984741211" hidden="0" customHeight="1">
      <x:c r="A2753" s="36" t="str">
        <x:v>P2</x:v>
      </x:c>
      <x:c r="B2753" s="36" t="str">
        <x:v>48201420700</x:v>
      </x:c>
      <x:c r="C2753" s="66" t="n">
        <x:v>494.03274843433314</x:v>
      </x:c>
      <x:c r="D2753" s="66" t="n">
        <x:v>204.52955785181393</x:v>
      </x:c>
      <x:c r="E2753" s="66" t="n">
        <x:v>289.5031905825192</x:v>
      </x:c>
      <x:c r="F2753" s="66" t="n">
        <x:v>289.5031905825192</x:v>
      </x:c>
      <x:c r="G2753" s="66" t="n">
        <x:v>494.03274843433314</x:v>
      </x:c>
      <x:c r="H2753" s="45" t="n">
        <x:v>1</x:v>
      </x:c>
      <x:c r="I2753" s="36" t="str">
        <x:v>generated design-reference observation; not predicted tract behavior</x:v>
      </x:c>
    </x:row>
    <x:row r="2754" ht="75.5999984741211" hidden="0" customHeight="1">
      <x:c r="A2754" s="34" t="str">
        <x:v>P2</x:v>
      </x:c>
      <x:c r="B2754" s="34" t="str">
        <x:v>48201420800</x:v>
      </x:c>
      <x:c r="C2754" s="65" t="n">
        <x:v>484.1466764398961</x:v>
      </x:c>
      <x:c r="D2754" s="65" t="n">
        <x:v>200.43672404611698</x:v>
      </x:c>
      <x:c r="E2754" s="65" t="n">
        <x:v>283.70995239377913</x:v>
      </x:c>
      <x:c r="F2754" s="65" t="n">
        <x:v>283.70995239377913</x:v>
      </x:c>
      <x:c r="G2754" s="65" t="n">
        <x:v>484.1466764398961</x:v>
      </x:c>
      <x:c r="H2754" s="43" t="n">
        <x:v>1</x:v>
      </x:c>
      <x:c r="I2754" s="34" t="str">
        <x:v>generated design-reference observation; not predicted tract behavior</x:v>
      </x:c>
    </x:row>
    <x:row r="2755" ht="75.5999984741211" hidden="0" customHeight="1">
      <x:c r="A2755" s="36" t="str">
        <x:v>P2</x:v>
      </x:c>
      <x:c r="B2755" s="36" t="str">
        <x:v>48201420900</x:v>
      </x:c>
      <x:c r="C2755" s="66" t="n">
        <x:v>1050.056585299537</x:v>
      </x:c>
      <x:c r="D2755" s="66" t="n">
        <x:v>434.7234263140083</x:v>
      </x:c>
      <x:c r="E2755" s="66" t="n">
        <x:v>615.3331589855286</x:v>
      </x:c>
      <x:c r="F2755" s="66" t="n">
        <x:v>615.3331589855286</x:v>
      </x:c>
      <x:c r="G2755" s="66" t="n">
        <x:v>1050.056585299537</x:v>
      </x:c>
      <x:c r="H2755" s="45" t="n">
        <x:v>1</x:v>
      </x:c>
      <x:c r="I2755" s="36" t="str">
        <x:v>generated design-reference observation; not predicted tract behavior</x:v>
      </x:c>
    </x:row>
    <x:row r="2756" ht="75.5999984741211" hidden="0" customHeight="1">
      <x:c r="A2756" s="34" t="str">
        <x:v>P2</x:v>
      </x:c>
      <x:c r="B2756" s="34" t="str">
        <x:v>48201421000</x:v>
      </x:c>
      <x:c r="C2756" s="65" t="n">
        <x:v>499.3989895682997</x:v>
      </x:c>
      <x:c r="D2756" s="65" t="n">
        <x:v>206.75118168127608</x:v>
      </x:c>
      <x:c r="E2756" s="65" t="n">
        <x:v>292.64780788702365</x:v>
      </x:c>
      <x:c r="F2756" s="65" t="n">
        <x:v>292.64780788702365</x:v>
      </x:c>
      <x:c r="G2756" s="65" t="n">
        <x:v>499.3989895682997</x:v>
      </x:c>
      <x:c r="H2756" s="43" t="n">
        <x:v>1</x:v>
      </x:c>
      <x:c r="I2756" s="34" t="str">
        <x:v>generated design-reference observation; not predicted tract behavior</x:v>
      </x:c>
    </x:row>
    <x:row r="2757" ht="75.5999984741211" hidden="0" customHeight="1">
      <x:c r="A2757" s="36" t="str">
        <x:v>P2</x:v>
      </x:c>
      <x:c r="B2757" s="36" t="str">
        <x:v>48201421101</x:v>
      </x:c>
      <x:c r="C2757" s="66" t="n">
        <x:v>225.33255216772437</x:v>
      </x:c>
      <x:c r="D2757" s="66" t="n">
        <x:v>192.04496358274497</x:v>
      </x:c>
      <x:c r="E2757" s="66" t="n">
        <x:v>33.2875885849794</x:v>
      </x:c>
      <x:c r="F2757" s="66" t="n">
        <x:v>33.2875885849794</x:v>
      </x:c>
      <x:c r="G2757" s="66" t="n">
        <x:v>225.33255216772437</x:v>
      </x:c>
      <x:c r="H2757" s="45" t="n">
        <x:v>1</x:v>
      </x:c>
      <x:c r="I2757" s="36" t="str">
        <x:v>generated design-reference observation; not predicted tract behavior</x:v>
      </x:c>
    </x:row>
    <x:row r="2758" ht="75.5999984741211" hidden="0" customHeight="1">
      <x:c r="A2758" s="34" t="str">
        <x:v>P2</x:v>
      </x:c>
      <x:c r="B2758" s="34" t="str">
        <x:v>48201421103</x:v>
      </x:c>
      <x:c r="C2758" s="65" t="n">
        <x:v>123.64996082939392</x:v>
      </x:c>
      <x:c r="D2758" s="65" t="n">
        <x:v>103.65322321741856</x:v>
      </x:c>
      <x:c r="E2758" s="65" t="n">
        <x:v>19.996737611975362</x:v>
      </x:c>
      <x:c r="F2758" s="65" t="n">
        <x:v>19.996737611975362</x:v>
      </x:c>
      <x:c r="G2758" s="65" t="n">
        <x:v>123.64996082939392</x:v>
      </x:c>
      <x:c r="H2758" s="43" t="n">
        <x:v>1</x:v>
      </x:c>
      <x:c r="I2758" s="34" t="str">
        <x:v>generated design-reference observation; not predicted tract behavior</x:v>
      </x:c>
    </x:row>
    <x:row r="2759" ht="75.5999984741211" hidden="0" customHeight="1">
      <x:c r="A2759" s="36" t="str">
        <x:v>P2</x:v>
      </x:c>
      <x:c r="B2759" s="36" t="str">
        <x:v>48201421104</x:v>
      </x:c>
      <x:c r="C2759" s="66" t="n">
        <x:v>393.98221747693356</x:v>
      </x:c>
      <x:c r="D2759" s="66" t="n">
        <x:v>330.279829404966</x:v>
      </x:c>
      <x:c r="E2759" s="66" t="n">
        <x:v>63.70238807196756</x:v>
      </x:c>
      <x:c r="F2759" s="66" t="n">
        <x:v>63.70238807196756</x:v>
      </x:c>
      <x:c r="G2759" s="66" t="n">
        <x:v>393.98221747693356</x:v>
      </x:c>
      <x:c r="H2759" s="45" t="n">
        <x:v>1</x:v>
      </x:c>
      <x:c r="I2759" s="36" t="str">
        <x:v>generated design-reference observation; not predicted tract behavior</x:v>
      </x:c>
    </x:row>
    <x:row r="2760" ht="75.5999984741211" hidden="0" customHeight="1">
      <x:c r="A2760" s="34" t="str">
        <x:v>P2</x:v>
      </x:c>
      <x:c r="B2760" s="34" t="str">
        <x:v>48201421203</x:v>
      </x:c>
      <x:c r="C2760" s="65" t="n">
        <x:v>191.04537885653855</x:v>
      </x:c>
      <x:c r="D2760" s="65" t="n">
        <x:v>161.89177716360265</x:v>
      </x:c>
      <x:c r="E2760" s="65" t="n">
        <x:v>29.153601692935894</x:v>
      </x:c>
      <x:c r="F2760" s="65" t="n">
        <x:v>29.153601692935894</x:v>
      </x:c>
      <x:c r="G2760" s="65" t="n">
        <x:v>191.04537885653855</x:v>
      </x:c>
      <x:c r="H2760" s="43" t="n">
        <x:v>1</x:v>
      </x:c>
      <x:c r="I2760" s="34" t="str">
        <x:v>generated design-reference observation; not predicted tract behavior</x:v>
      </x:c>
    </x:row>
    <x:row r="2761" ht="75.5999984741211" hidden="0" customHeight="1">
      <x:c r="A2761" s="36" t="str">
        <x:v>P2</x:v>
      </x:c>
      <x:c r="B2761" s="36" t="str">
        <x:v>48201421204</x:v>
      </x:c>
      <x:c r="C2761" s="66" t="n">
        <x:v>263.8520791357752</x:v>
      </x:c>
      <x:c r="D2761" s="66" t="n">
        <x:v>221.40894816345354</x:v>
      </x:c>
      <x:c r="E2761" s="66" t="n">
        <x:v>42.44313097232168</x:v>
      </x:c>
      <x:c r="F2761" s="66" t="n">
        <x:v>42.44313097232168</x:v>
      </x:c>
      <x:c r="G2761" s="66" t="n">
        <x:v>263.8520791357752</x:v>
      </x:c>
      <x:c r="H2761" s="45" t="n">
        <x:v>1</x:v>
      </x:c>
      <x:c r="I2761" s="36" t="str">
        <x:v>generated design-reference observation; not predicted tract behavior</x:v>
      </x:c>
    </x:row>
    <x:row r="2762" ht="75.5999984741211" hidden="0" customHeight="1">
      <x:c r="A2762" s="34" t="str">
        <x:v>P2</x:v>
      </x:c>
      <x:c r="B2762" s="34" t="str">
        <x:v>48201421205</x:v>
      </x:c>
      <x:c r="C2762" s="65" t="n">
        <x:v>195.63927061593978</x:v>
      </x:c>
      <x:c r="D2762" s="65" t="n">
        <x:v>165.3291622371802</x:v>
      </x:c>
      <x:c r="E2762" s="65" t="n">
        <x:v>30.310108378759566</x:v>
      </x:c>
      <x:c r="F2762" s="65" t="n">
        <x:v>30.310108378759566</x:v>
      </x:c>
      <x:c r="G2762" s="65" t="n">
        <x:v>195.63927061593978</x:v>
      </x:c>
      <x:c r="H2762" s="43" t="n">
        <x:v>1</x:v>
      </x:c>
      <x:c r="I2762" s="34" t="str">
        <x:v>generated design-reference observation; not predicted tract behavior</x:v>
      </x:c>
    </x:row>
    <x:row r="2763" ht="75.5999984741211" hidden="0" customHeight="1">
      <x:c r="A2763" s="36" t="str">
        <x:v>P2</x:v>
      </x:c>
      <x:c r="B2763" s="36" t="str">
        <x:v>48201421206</x:v>
      </x:c>
      <x:c r="C2763" s="66" t="n">
        <x:v>164.0361247398875</x:v>
      </x:c>
      <x:c r="D2763" s="66" t="n">
        <x:v>136.73358801803693</x:v>
      </x:c>
      <x:c r="E2763" s="66" t="n">
        <x:v>27.302536721850572</x:v>
      </x:c>
      <x:c r="F2763" s="66" t="n">
        <x:v>27.302536721850572</x:v>
      </x:c>
      <x:c r="G2763" s="66" t="n">
        <x:v>164.0361247398875</x:v>
      </x:c>
      <x:c r="H2763" s="45" t="n">
        <x:v>1</x:v>
      </x:c>
      <x:c r="I2763" s="36" t="str">
        <x:v>generated design-reference observation; not predicted tract behavior</x:v>
      </x:c>
    </x:row>
    <x:row r="2764" ht="75.5999984741211" hidden="0" customHeight="1">
      <x:c r="A2764" s="34" t="str">
        <x:v>P2</x:v>
      </x:c>
      <x:c r="B2764" s="34" t="str">
        <x:v>48201421301</x:v>
      </x:c>
      <x:c r="C2764" s="65" t="n">
        <x:v>293.6553940231142</x:v>
      </x:c>
      <x:c r="D2764" s="65" t="n">
        <x:v>245.96691288056255</x:v>
      </x:c>
      <x:c r="E2764" s="65" t="n">
        <x:v>47.68848114255164</x:v>
      </x:c>
      <x:c r="F2764" s="65" t="n">
        <x:v>47.68848114255164</x:v>
      </x:c>
      <x:c r="G2764" s="65" t="n">
        <x:v>293.6553940231142</x:v>
      </x:c>
      <x:c r="H2764" s="43" t="n">
        <x:v>1</x:v>
      </x:c>
      <x:c r="I2764" s="34" t="str">
        <x:v>generated design-reference observation; not predicted tract behavior</x:v>
      </x:c>
    </x:row>
    <x:row r="2765" ht="75.5999984741211" hidden="0" customHeight="1">
      <x:c r="A2765" s="36" t="str">
        <x:v>P2</x:v>
      </x:c>
      <x:c r="B2765" s="36" t="str">
        <x:v>48201421302</x:v>
      </x:c>
      <x:c r="C2765" s="66" t="n">
        <x:v>935.7065573501837</x:v>
      </x:c>
      <x:c r="D2765" s="66" t="n">
        <x:v>378.8198518846313</x:v>
      </x:c>
      <x:c r="E2765" s="66" t="n">
        <x:v>556.8867054655525</x:v>
      </x:c>
      <x:c r="F2765" s="66" t="n">
        <x:v>556.8867054655525</x:v>
      </x:c>
      <x:c r="G2765" s="66" t="n">
        <x:v>935.7065573501837</x:v>
      </x:c>
      <x:c r="H2765" s="45" t="n">
        <x:v>1</x:v>
      </x:c>
      <x:c r="I2765" s="36" t="str">
        <x:v>generated design-reference observation; not predicted tract behavior</x:v>
      </x:c>
    </x:row>
    <x:row r="2766" ht="75.5999984741211" hidden="0" customHeight="1">
      <x:c r="A2766" s="34" t="str">
        <x:v>P2</x:v>
      </x:c>
      <x:c r="B2766" s="34" t="str">
        <x:v>48201421401</x:v>
      </x:c>
      <x:c r="C2766" s="65" t="n">
        <x:v>271.87272334530303</x:v>
      </x:c>
      <x:c r="D2766" s="65" t="n">
        <x:v>228.87586118767734</x:v>
      </x:c>
      <x:c r="E2766" s="65" t="n">
        <x:v>42.996862157625685</x:v>
      </x:c>
      <x:c r="F2766" s="65" t="n">
        <x:v>42.996862157625685</x:v>
      </x:c>
      <x:c r="G2766" s="65" t="n">
        <x:v>271.87272334530303</x:v>
      </x:c>
      <x:c r="H2766" s="43" t="n">
        <x:v>1</x:v>
      </x:c>
      <x:c r="I2766" s="34" t="str">
        <x:v>generated design-reference observation; not predicted tract behavior</x:v>
      </x:c>
    </x:row>
    <x:row r="2767" ht="75.5999984741211" hidden="0" customHeight="1">
      <x:c r="A2767" s="36" t="str">
        <x:v>P2</x:v>
      </x:c>
      <x:c r="B2767" s="36" t="str">
        <x:v>48201421402</x:v>
      </x:c>
      <x:c r="C2767" s="66" t="n">
        <x:v>292.64937495518717</x:v>
      </x:c>
      <x:c r="D2767" s="66" t="n">
        <x:v>247.76426099179935</x:v>
      </x:c>
      <x:c r="E2767" s="66" t="n">
        <x:v>44.88511396338782</x:v>
      </x:c>
      <x:c r="F2767" s="66" t="n">
        <x:v>44.88511396338782</x:v>
      </x:c>
      <x:c r="G2767" s="66" t="n">
        <x:v>292.64937495518717</x:v>
      </x:c>
      <x:c r="H2767" s="45" t="n">
        <x:v>1</x:v>
      </x:c>
      <x:c r="I2767" s="36" t="str">
        <x:v>generated design-reference observation; not predicted tract behavior</x:v>
      </x:c>
    </x:row>
    <x:row r="2768" ht="75.5999984741211" hidden="0" customHeight="1">
      <x:c r="A2768" s="34" t="str">
        <x:v>P2</x:v>
      </x:c>
      <x:c r="B2768" s="34" t="str">
        <x:v>48201421403</x:v>
      </x:c>
      <x:c r="C2768" s="65" t="n">
        <x:v>362.60699779595853</x:v>
      </x:c>
      <x:c r="D2768" s="65" t="n">
        <x:v>308.9910739089121</x:v>
      </x:c>
      <x:c r="E2768" s="65" t="n">
        <x:v>53.61592388704645</x:v>
      </x:c>
      <x:c r="F2768" s="65" t="n">
        <x:v>53.61592388704645</x:v>
      </x:c>
      <x:c r="G2768" s="65" t="n">
        <x:v>362.60699779595853</x:v>
      </x:c>
      <x:c r="H2768" s="43" t="n">
        <x:v>1</x:v>
      </x:c>
      <x:c r="I2768" s="34" t="str">
        <x:v>generated design-reference observation; not predicted tract behavior</x:v>
      </x:c>
    </x:row>
    <x:row r="2769" ht="75.5999984741211" hidden="0" customHeight="1">
      <x:c r="A2769" s="36" t="str">
        <x:v>P2</x:v>
      </x:c>
      <x:c r="B2769" s="36" t="str">
        <x:v>48201421501</x:v>
      </x:c>
      <x:c r="C2769" s="66" t="n">
        <x:v>698.9656038532625</x:v>
      </x:c>
      <x:c r="D2769" s="66" t="n">
        <x:v>283.95453045073856</x:v>
      </x:c>
      <x:c r="E2769" s="66" t="n">
        <x:v>415.0110734025239</x:v>
      </x:c>
      <x:c r="F2769" s="66" t="n">
        <x:v>415.0110734025239</x:v>
      </x:c>
      <x:c r="G2769" s="66" t="n">
        <x:v>698.9656038532625</x:v>
      </x:c>
      <x:c r="H2769" s="45" t="n">
        <x:v>1</x:v>
      </x:c>
      <x:c r="I2769" s="36" t="str">
        <x:v>generated design-reference observation; not predicted tract behavior</x:v>
      </x:c>
    </x:row>
    <x:row r="2770" ht="75.5999984741211" hidden="0" customHeight="1">
      <x:c r="A2770" s="34" t="str">
        <x:v>P2</x:v>
      </x:c>
      <x:c r="B2770" s="34" t="str">
        <x:v>48201421502</x:v>
      </x:c>
      <x:c r="C2770" s="65" t="n">
        <x:v>442.487874225324</x:v>
      </x:c>
      <x:c r="D2770" s="65" t="n">
        <x:v>326.2965364356309</x:v>
      </x:c>
      <x:c r="E2770" s="65" t="n">
        <x:v>116.19133778969308</x:v>
      </x:c>
      <x:c r="F2770" s="65" t="n">
        <x:v>116.19133778969308</x:v>
      </x:c>
      <x:c r="G2770" s="65" t="n">
        <x:v>442.487874225324</x:v>
      </x:c>
      <x:c r="H2770" s="43" t="n">
        <x:v>1</x:v>
      </x:c>
      <x:c r="I2770" s="34" t="str">
        <x:v>generated design-reference observation; not predicted tract behavior</x:v>
      </x:c>
    </x:row>
    <x:row r="2771" ht="75.5999984741211" hidden="0" customHeight="1">
      <x:c r="A2771" s="36" t="str">
        <x:v>P2</x:v>
      </x:c>
      <x:c r="B2771" s="36" t="str">
        <x:v>48201421601</x:v>
      </x:c>
      <x:c r="C2771" s="66" t="n">
        <x:v>267.36528634955175</x:v>
      </x:c>
      <x:c r="D2771" s="66" t="n">
        <x:v>227.64821978635646</x:v>
      </x:c>
      <x:c r="E2771" s="66" t="n">
        <x:v>39.71706656319529</x:v>
      </x:c>
      <x:c r="F2771" s="66" t="n">
        <x:v>39.71706656319529</x:v>
      </x:c>
      <x:c r="G2771" s="66" t="n">
        <x:v>267.36528634955175</x:v>
      </x:c>
      <x:c r="H2771" s="45" t="n">
        <x:v>1</x:v>
      </x:c>
      <x:c r="I2771" s="36" t="str">
        <x:v>generated design-reference observation; not predicted tract behavior</x:v>
      </x:c>
    </x:row>
    <x:row r="2772" ht="75.5999984741211" hidden="0" customHeight="1">
      <x:c r="A2772" s="34" t="str">
        <x:v>P2</x:v>
      </x:c>
      <x:c r="B2772" s="34" t="str">
        <x:v>48201421602</x:v>
      </x:c>
      <x:c r="C2772" s="65" t="n">
        <x:v>501.33726909460637</x:v>
      </x:c>
      <x:c r="D2772" s="65" t="n">
        <x:v>204.6084939417352</x:v>
      </x:c>
      <x:c r="E2772" s="65" t="n">
        <x:v>296.7287751528712</x:v>
      </x:c>
      <x:c r="F2772" s="65" t="n">
        <x:v>296.7287751528712</x:v>
      </x:c>
      <x:c r="G2772" s="65" t="n">
        <x:v>501.33726909460637</x:v>
      </x:c>
      <x:c r="H2772" s="43" t="n">
        <x:v>1</x:v>
      </x:c>
      <x:c r="I2772" s="34" t="str">
        <x:v>generated design-reference observation; not predicted tract behavior</x:v>
      </x:c>
    </x:row>
    <x:row r="2773" ht="75.5999984741211" hidden="0" customHeight="1">
      <x:c r="A2773" s="36" t="str">
        <x:v>P2</x:v>
      </x:c>
      <x:c r="B2773" s="36" t="str">
        <x:v>48201421700</x:v>
      </x:c>
      <x:c r="C2773" s="66" t="n">
        <x:v>646.054683920707</x:v>
      </x:c>
      <x:c r="D2773" s="66" t="n">
        <x:v>483.0354002760327</x:v>
      </x:c>
      <x:c r="E2773" s="66" t="n">
        <x:v>163.01928364467432</x:v>
      </x:c>
      <x:c r="F2773" s="66" t="n">
        <x:v>163.01928364467432</x:v>
      </x:c>
      <x:c r="G2773" s="66" t="n">
        <x:v>646.054683920707</x:v>
      </x:c>
      <x:c r="H2773" s="45" t="n">
        <x:v>1</x:v>
      </x:c>
      <x:c r="I2773" s="36" t="str">
        <x:v>generated design-reference observation; not predicted tract behavior</x:v>
      </x:c>
    </x:row>
    <x:row r="2774" ht="75.5999984741211" hidden="0" customHeight="1">
      <x:c r="A2774" s="34" t="str">
        <x:v>P2</x:v>
      </x:c>
      <x:c r="B2774" s="34" t="str">
        <x:v>48201421801</x:v>
      </x:c>
      <x:c r="C2774" s="65" t="n">
        <x:v>409.7048928858945</x:v>
      </x:c>
      <x:c r="D2774" s="65" t="n">
        <x:v>163.59575343480378</x:v>
      </x:c>
      <x:c r="E2774" s="65" t="n">
        <x:v>246.1091394510907</x:v>
      </x:c>
      <x:c r="F2774" s="65" t="n">
        <x:v>246.1091394510907</x:v>
      </x:c>
      <x:c r="G2774" s="65" t="n">
        <x:v>409.7048928858945</x:v>
      </x:c>
      <x:c r="H2774" s="43" t="n">
        <x:v>1</x:v>
      </x:c>
      <x:c r="I2774" s="34" t="str">
        <x:v>generated design-reference observation; not predicted tract behavior</x:v>
      </x:c>
    </x:row>
    <x:row r="2775" ht="75.5999984741211" hidden="0" customHeight="1">
      <x:c r="A2775" s="36" t="str">
        <x:v>P2</x:v>
      </x:c>
      <x:c r="B2775" s="36" t="str">
        <x:v>48201421802</x:v>
      </x:c>
      <x:c r="C2775" s="66" t="n">
        <x:v>424.5255367748152</x:v>
      </x:c>
      <x:c r="D2775" s="66" t="n">
        <x:v>173.81832509273548</x:v>
      </x:c>
      <x:c r="E2775" s="66" t="n">
        <x:v>250.7072116820797</x:v>
      </x:c>
      <x:c r="F2775" s="66" t="n">
        <x:v>250.7072116820797</x:v>
      </x:c>
      <x:c r="G2775" s="66" t="n">
        <x:v>424.5255367748152</x:v>
      </x:c>
      <x:c r="H2775" s="45" t="n">
        <x:v>1</x:v>
      </x:c>
      <x:c r="I2775" s="36" t="str">
        <x:v>generated design-reference observation; not predicted tract behavior</x:v>
      </x:c>
    </x:row>
    <x:row r="2776" ht="75.5999984741211" hidden="0" customHeight="1">
      <x:c r="A2776" s="34" t="str">
        <x:v>P2</x:v>
      </x:c>
      <x:c r="B2776" s="34" t="str">
        <x:v>48201421900</x:v>
      </x:c>
      <x:c r="C2776" s="65" t="n">
        <x:v>525.7223490740353</x:v>
      </x:c>
      <x:c r="D2776" s="65" t="n">
        <x:v>217.64905251665058</x:v>
      </x:c>
      <x:c r="E2776" s="65" t="n">
        <x:v>308.07329655738465</x:v>
      </x:c>
      <x:c r="F2776" s="65" t="n">
        <x:v>308.07329655738465</x:v>
      </x:c>
      <x:c r="G2776" s="65" t="n">
        <x:v>525.7223490740353</x:v>
      </x:c>
      <x:c r="H2776" s="43" t="n">
        <x:v>1</x:v>
      </x:c>
      <x:c r="I2776" s="34" t="str">
        <x:v>generated design-reference observation; not predicted tract behavior</x:v>
      </x:c>
    </x:row>
    <x:row r="2777" ht="75.5999984741211" hidden="0" customHeight="1">
      <x:c r="A2777" s="36" t="str">
        <x:v>P2</x:v>
      </x:c>
      <x:c r="B2777" s="36" t="str">
        <x:v>48201422000</x:v>
      </x:c>
      <x:c r="C2777" s="66" t="n">
        <x:v>181.5314250930565</x:v>
      </x:c>
      <x:c r="D2777" s="66" t="n">
        <x:v>156.69104994998193</x:v>
      </x:c>
      <x:c r="E2777" s="66" t="n">
        <x:v>24.840375143074567</x:v>
      </x:c>
      <x:c r="F2777" s="66" t="n">
        <x:v>24.840375143074567</x:v>
      </x:c>
      <x:c r="G2777" s="66" t="n">
        <x:v>181.5314250930565</x:v>
      </x:c>
      <x:c r="H2777" s="45" t="n">
        <x:v>1</x:v>
      </x:c>
      <x:c r="I2777" s="36" t="str">
        <x:v>generated design-reference observation; not predicted tract behavior</x:v>
      </x:c>
    </x:row>
    <x:row r="2778" ht="75.5999984741211" hidden="0" customHeight="1">
      <x:c r="A2778" s="34" t="str">
        <x:v>P2</x:v>
      </x:c>
      <x:c r="B2778" s="34" t="str">
        <x:v>48201422100</x:v>
      </x:c>
      <x:c r="C2778" s="65" t="n">
        <x:v>723.3265006820201</x:v>
      </x:c>
      <x:c r="D2778" s="65" t="n">
        <x:v>543.1410159991898</x:v>
      </x:c>
      <x:c r="E2778" s="65" t="n">
        <x:v>180.1854846828303</x:v>
      </x:c>
      <x:c r="F2778" s="65" t="n">
        <x:v>180.1854846828303</x:v>
      </x:c>
      <x:c r="G2778" s="65" t="n">
        <x:v>723.3265006820201</x:v>
      </x:c>
      <x:c r="H2778" s="43" t="n">
        <x:v>1</x:v>
      </x:c>
      <x:c r="I2778" s="34" t="str">
        <x:v>generated design-reference observation; not predicted tract behavior</x:v>
      </x:c>
    </x:row>
    <x:row r="2779" ht="75.5999984741211" hidden="0" customHeight="1">
      <x:c r="A2779" s="36" t="str">
        <x:v>P2</x:v>
      </x:c>
      <x:c r="B2779" s="36" t="str">
        <x:v>48201422200</x:v>
      </x:c>
      <x:c r="C2779" s="66" t="n">
        <x:v>819.6346890730323</x:v>
      </x:c>
      <x:c r="D2779" s="66" t="n">
        <x:v>605.6744433908283</x:v>
      </x:c>
      <x:c r="E2779" s="66" t="n">
        <x:v>213.960245682204</x:v>
      </x:c>
      <x:c r="F2779" s="66" t="n">
        <x:v>213.960245682204</x:v>
      </x:c>
      <x:c r="G2779" s="66" t="n">
        <x:v>819.6346890730323</x:v>
      </x:c>
      <x:c r="H2779" s="45" t="n">
        <x:v>1</x:v>
      </x:c>
      <x:c r="I2779" s="36" t="str">
        <x:v>generated design-reference observation; not predicted tract behavior</x:v>
      </x:c>
    </x:row>
    <x:row r="2780" ht="75.5999984741211" hidden="0" customHeight="1">
      <x:c r="A2780" s="34" t="str">
        <x:v>P2</x:v>
      </x:c>
      <x:c r="B2780" s="34" t="str">
        <x:v>48201422302</x:v>
      </x:c>
      <x:c r="C2780" s="65" t="n">
        <x:v>300.2712994680214</x:v>
      </x:c>
      <x:c r="D2780" s="65" t="n">
        <x:v>226.43950866893152</x:v>
      </x:c>
      <x:c r="E2780" s="65" t="n">
        <x:v>73.8317907990899</x:v>
      </x:c>
      <x:c r="F2780" s="65" t="n">
        <x:v>73.8317907990899</x:v>
      </x:c>
      <x:c r="G2780" s="65" t="n">
        <x:v>300.2712994680214</x:v>
      </x:c>
      <x:c r="H2780" s="43" t="n">
        <x:v>1</x:v>
      </x:c>
      <x:c r="I2780" s="34" t="str">
        <x:v>generated design-reference observation; not predicted tract behavior</x:v>
      </x:c>
    </x:row>
    <x:row r="2781" ht="75.5999984741211" hidden="0" customHeight="1">
      <x:c r="A2781" s="36" t="str">
        <x:v>P2</x:v>
      </x:c>
      <x:c r="B2781" s="36" t="str">
        <x:v>48201422303</x:v>
      </x:c>
      <x:c r="C2781" s="66" t="n">
        <x:v>544.7835084331724</x:v>
      </x:c>
      <x:c r="D2781" s="66" t="n">
        <x:v>221.52445578690137</x:v>
      </x:c>
      <x:c r="E2781" s="66" t="n">
        <x:v>323.259052646271</x:v>
      </x:c>
      <x:c r="F2781" s="66" t="n">
        <x:v>323.259052646271</x:v>
      </x:c>
      <x:c r="G2781" s="66" t="n">
        <x:v>544.7835084331724</x:v>
      </x:c>
      <x:c r="H2781" s="45" t="n">
        <x:v>1</x:v>
      </x:c>
      <x:c r="I2781" s="36" t="str">
        <x:v>generated design-reference observation; not predicted tract behavior</x:v>
      </x:c>
    </x:row>
    <x:row r="2782" ht="75.5999984741211" hidden="0" customHeight="1">
      <x:c r="A2782" s="34" t="str">
        <x:v>P2</x:v>
      </x:c>
      <x:c r="B2782" s="34" t="str">
        <x:v>48201422304</x:v>
      </x:c>
      <x:c r="C2782" s="65" t="n">
        <x:v>631.3915328005332</x:v>
      </x:c>
      <x:c r="D2782" s="65" t="n">
        <x:v>474.9927016928154</x:v>
      </x:c>
      <x:c r="E2782" s="65" t="n">
        <x:v>156.39883110771785</x:v>
      </x:c>
      <x:c r="F2782" s="65" t="n">
        <x:v>156.39883110771785</x:v>
      </x:c>
      <x:c r="G2782" s="65" t="n">
        <x:v>631.3915328005332</x:v>
      </x:c>
      <x:c r="H2782" s="43" t="n">
        <x:v>1</x:v>
      </x:c>
      <x:c r="I2782" s="34" t="str">
        <x:v>generated design-reference observation; not predicted tract behavior</x:v>
      </x:c>
    </x:row>
    <x:row r="2783" ht="75.5999984741211" hidden="0" customHeight="1">
      <x:c r="A2783" s="36" t="str">
        <x:v>P2</x:v>
      </x:c>
      <x:c r="B2783" s="36" t="str">
        <x:v>48201422403</x:v>
      </x:c>
      <x:c r="C2783" s="66" t="n">
        <x:v>206.02956130187397</x:v>
      </x:c>
      <x:c r="D2783" s="66" t="n">
        <x:v>177.0618698102244</x:v>
      </x:c>
      <x:c r="E2783" s="66" t="n">
        <x:v>28.96769149164956</x:v>
      </x:c>
      <x:c r="F2783" s="66" t="n">
        <x:v>28.96769149164956</x:v>
      </x:c>
      <x:c r="G2783" s="66" t="n">
        <x:v>206.02956130187397</x:v>
      </x:c>
      <x:c r="H2783" s="45" t="n">
        <x:v>1</x:v>
      </x:c>
      <x:c r="I2783" s="36" t="str">
        <x:v>generated design-reference observation; not predicted tract behavior</x:v>
      </x:c>
    </x:row>
    <x:row r="2784" ht="75.5999984741211" hidden="0" customHeight="1">
      <x:c r="A2784" s="34" t="str">
        <x:v>P2</x:v>
      </x:c>
      <x:c r="B2784" s="34" t="str">
        <x:v>48201422404</x:v>
      </x:c>
      <x:c r="C2784" s="65" t="n">
        <x:v>463.6550837185501</x:v>
      </x:c>
      <x:c r="D2784" s="65" t="n">
        <x:v>189.28608626829168</x:v>
      </x:c>
      <x:c r="E2784" s="65" t="n">
        <x:v>274.3689974502584</x:v>
      </x:c>
      <x:c r="F2784" s="65" t="n">
        <x:v>274.3689974502584</x:v>
      </x:c>
      <x:c r="G2784" s="65" t="n">
        <x:v>463.6550837185501</x:v>
      </x:c>
      <x:c r="H2784" s="43" t="n">
        <x:v>1</x:v>
      </x:c>
      <x:c r="I2784" s="34" t="str">
        <x:v>generated design-reference observation; not predicted tract behavior</x:v>
      </x:c>
    </x:row>
    <x:row r="2785" ht="75.5999984741211" hidden="0" customHeight="1">
      <x:c r="A2785" s="36" t="str">
        <x:v>P2</x:v>
      </x:c>
      <x:c r="B2785" s="36" t="str">
        <x:v>48201422405</x:v>
      </x:c>
      <x:c r="C2785" s="66" t="n">
        <x:v>259.9319904119536</x:v>
      </x:c>
      <x:c r="D2785" s="66" t="n">
        <x:v>188.76998524006868</x:v>
      </x:c>
      <x:c r="E2785" s="66" t="n">
        <x:v>71.16200517188494</x:v>
      </x:c>
      <x:c r="F2785" s="66" t="n">
        <x:v>71.16200517188494</x:v>
      </x:c>
      <x:c r="G2785" s="66" t="n">
        <x:v>259.9319904119536</x:v>
      </x:c>
      <x:c r="H2785" s="45" t="n">
        <x:v>1</x:v>
      </x:c>
      <x:c r="I2785" s="36" t="str">
        <x:v>generated design-reference observation; not predicted tract behavior</x:v>
      </x:c>
    </x:row>
    <x:row r="2786" ht="75.5999984741211" hidden="0" customHeight="1">
      <x:c r="A2786" s="34" t="str">
        <x:v>P2</x:v>
      </x:c>
      <x:c r="B2786" s="34" t="str">
        <x:v>48201422406</x:v>
      </x:c>
      <x:c r="C2786" s="65" t="n">
        <x:v>226.6372331464422</x:v>
      </x:c>
      <x:c r="D2786" s="65" t="n">
        <x:v>194.18839974442764</x:v>
      </x:c>
      <x:c r="E2786" s="65" t="n">
        <x:v>32.44883340201457</x:v>
      </x:c>
      <x:c r="F2786" s="65" t="n">
        <x:v>32.44883340201457</x:v>
      </x:c>
      <x:c r="G2786" s="65" t="n">
        <x:v>226.6372331464422</x:v>
      </x:c>
      <x:c r="H2786" s="43" t="n">
        <x:v>1</x:v>
      </x:c>
      <x:c r="I2786" s="34" t="str">
        <x:v>generated design-reference observation; not predicted tract behavior</x:v>
      </x:c>
    </x:row>
    <x:row r="2787" ht="75.5999984741211" hidden="0" customHeight="1">
      <x:c r="A2787" s="36" t="str">
        <x:v>P2</x:v>
      </x:c>
      <x:c r="B2787" s="36" t="str">
        <x:v>48201422501</x:v>
      </x:c>
      <x:c r="C2787" s="66" t="n">
        <x:v>656.7297312057959</x:v>
      </x:c>
      <x:c r="D2787" s="66" t="n">
        <x:v>269.2580023831794</x:v>
      </x:c>
      <x:c r="E2787" s="66" t="n">
        <x:v>387.4717288226165</x:v>
      </x:c>
      <x:c r="F2787" s="66" t="n">
        <x:v>387.4717288226165</x:v>
      </x:c>
      <x:c r="G2787" s="66" t="n">
        <x:v>656.7297312057959</x:v>
      </x:c>
      <x:c r="H2787" s="45" t="n">
        <x:v>1</x:v>
      </x:c>
      <x:c r="I2787" s="36" t="str">
        <x:v>generated design-reference observation; not predicted tract behavior</x:v>
      </x:c>
    </x:row>
    <x:row r="2788" ht="75.5999984741211" hidden="0" customHeight="1">
      <x:c r="A2788" s="34" t="str">
        <x:v>P2</x:v>
      </x:c>
      <x:c r="B2788" s="34" t="str">
        <x:v>48201422502</x:v>
      </x:c>
      <x:c r="C2788" s="65" t="n">
        <x:v>527.2120311553889</x:v>
      </x:c>
      <x:c r="D2788" s="65" t="n">
        <x:v>215.38850895306672</x:v>
      </x:c>
      <x:c r="E2788" s="65" t="n">
        <x:v>311.8235222023222</x:v>
      </x:c>
      <x:c r="F2788" s="65" t="n">
        <x:v>311.8235222023222</x:v>
      </x:c>
      <x:c r="G2788" s="65" t="n">
        <x:v>527.2120311553889</x:v>
      </x:c>
      <x:c r="H2788" s="43" t="n">
        <x:v>1</x:v>
      </x:c>
      <x:c r="I2788" s="34" t="str">
        <x:v>generated design-reference observation; not predicted tract behavior</x:v>
      </x:c>
    </x:row>
    <x:row r="2789" ht="75.5999984741211" hidden="0" customHeight="1">
      <x:c r="A2789" s="36" t="str">
        <x:v>P2</x:v>
      </x:c>
      <x:c r="B2789" s="36" t="str">
        <x:v>48201422601</x:v>
      </x:c>
      <x:c r="C2789" s="66" t="n">
        <x:v>550.6068111148272</x:v>
      </x:c>
      <x:c r="D2789" s="66" t="n">
        <x:v>224.91744606235187</x:v>
      </x:c>
      <x:c r="E2789" s="66" t="n">
        <x:v>325.68936505247535</x:v>
      </x:c>
      <x:c r="F2789" s="66" t="n">
        <x:v>325.68936505247535</x:v>
      </x:c>
      <x:c r="G2789" s="66" t="n">
        <x:v>550.6068111148272</x:v>
      </x:c>
      <x:c r="H2789" s="45" t="n">
        <x:v>1</x:v>
      </x:c>
      <x:c r="I2789" s="36" t="str">
        <x:v>generated design-reference observation; not predicted tract behavior</x:v>
      </x:c>
    </x:row>
    <x:row r="2790" ht="75.5999984741211" hidden="0" customHeight="1">
      <x:c r="A2790" s="34" t="str">
        <x:v>P2</x:v>
      </x:c>
      <x:c r="B2790" s="34" t="str">
        <x:v>48201422602</x:v>
      </x:c>
      <x:c r="C2790" s="65" t="n">
        <x:v>335.78546538639364</x:v>
      </x:c>
      <x:c r="D2790" s="65" t="n">
        <x:v>253.31655508749537</x:v>
      </x:c>
      <x:c r="E2790" s="65" t="n">
        <x:v>82.46891029889827</x:v>
      </x:c>
      <x:c r="F2790" s="65" t="n">
        <x:v>82.46891029889827</x:v>
      </x:c>
      <x:c r="G2790" s="65" t="n">
        <x:v>335.78546538639364</x:v>
      </x:c>
      <x:c r="H2790" s="43" t="n">
        <x:v>1</x:v>
      </x:c>
      <x:c r="I2790" s="34" t="str">
        <x:v>generated design-reference observation; not predicted tract behavior</x:v>
      </x:c>
    </x:row>
    <x:row r="2791" ht="75.5999984741211" hidden="0" customHeight="1">
      <x:c r="A2791" s="36" t="str">
        <x:v>P2</x:v>
      </x:c>
      <x:c r="B2791" s="36" t="str">
        <x:v>48201422701</x:v>
      </x:c>
      <x:c r="C2791" s="66" t="n">
        <x:v>380.9039695938819</x:v>
      </x:c>
      <x:c r="D2791" s="66" t="n">
        <x:v>327.2296040843206</x:v>
      </x:c>
      <x:c r="E2791" s="66" t="n">
        <x:v>53.67436550956131</x:v>
      </x:c>
      <x:c r="F2791" s="66" t="n">
        <x:v>53.67436550956131</x:v>
      </x:c>
      <x:c r="G2791" s="66" t="n">
        <x:v>380.9039695938819</x:v>
      </x:c>
      <x:c r="H2791" s="45" t="n">
        <x:v>1</x:v>
      </x:c>
      <x:c r="I2791" s="36" t="str">
        <x:v>generated design-reference observation; not predicted tract behavior</x:v>
      </x:c>
    </x:row>
    <x:row r="2792" ht="75.5999984741211" hidden="0" customHeight="1">
      <x:c r="A2792" s="34" t="str">
        <x:v>P2</x:v>
      </x:c>
      <x:c r="B2792" s="34" t="str">
        <x:v>48201422702</x:v>
      </x:c>
      <x:c r="C2792" s="65" t="n">
        <x:v>277.4804936965996</x:v>
      </x:c>
      <x:c r="D2792" s="65" t="n">
        <x:v>239.9651309488193</x:v>
      </x:c>
      <x:c r="E2792" s="65" t="n">
        <x:v>37.51536274778027</x:v>
      </x:c>
      <x:c r="F2792" s="65" t="n">
        <x:v>37.51536274778027</x:v>
      </x:c>
      <x:c r="G2792" s="65" t="n">
        <x:v>277.4804936965996</x:v>
      </x:c>
      <x:c r="H2792" s="43" t="n">
        <x:v>1</x:v>
      </x:c>
      <x:c r="I2792" s="34" t="str">
        <x:v>generated design-reference observation; not predicted tract behavior</x:v>
      </x:c>
    </x:row>
    <x:row r="2793" ht="75.5999984741211" hidden="0" customHeight="1">
      <x:c r="A2793" s="36" t="str">
        <x:v>P2</x:v>
      </x:c>
      <x:c r="B2793" s="36" t="str">
        <x:v>48201422800</x:v>
      </x:c>
      <x:c r="C2793" s="66" t="n">
        <x:v>753.7706690621493</x:v>
      </x:c>
      <x:c r="D2793" s="66" t="n">
        <x:v>306.6726412903482</x:v>
      </x:c>
      <x:c r="E2793" s="66" t="n">
        <x:v>447.09802777180107</x:v>
      </x:c>
      <x:c r="F2793" s="66" t="n">
        <x:v>447.09802777180107</x:v>
      </x:c>
      <x:c r="G2793" s="66" t="n">
        <x:v>753.7706690621493</x:v>
      </x:c>
      <x:c r="H2793" s="45" t="n">
        <x:v>1</x:v>
      </x:c>
      <x:c r="I2793" s="36" t="str">
        <x:v>generated design-reference observation; not predicted tract behavior</x:v>
      </x:c>
    </x:row>
    <x:row r="2794" ht="75.5999984741211" hidden="0" customHeight="1">
      <x:c r="A2794" s="34" t="str">
        <x:v>P2</x:v>
      </x:c>
      <x:c r="B2794" s="34" t="str">
        <x:v>48201422900</x:v>
      </x:c>
      <x:c r="C2794" s="65" t="n">
        <x:v>708.4877194300963</x:v>
      </x:c>
      <x:c r="D2794" s="65" t="n">
        <x:v>289.71636394807194</x:v>
      </x:c>
      <x:c r="E2794" s="65" t="n">
        <x:v>418.7713554820243</x:v>
      </x:c>
      <x:c r="F2794" s="65" t="n">
        <x:v>418.7713554820243</x:v>
      </x:c>
      <x:c r="G2794" s="65" t="n">
        <x:v>708.4877194300963</x:v>
      </x:c>
      <x:c r="H2794" s="43" t="n">
        <x:v>1</x:v>
      </x:c>
      <x:c r="I2794" s="34" t="str">
        <x:v>generated design-reference observation; not predicted tract behavior</x:v>
      </x:c>
    </x:row>
    <x:row r="2795" ht="75.5999984741211" hidden="0" customHeight="1">
      <x:c r="A2795" s="36" t="str">
        <x:v>P2</x:v>
      </x:c>
      <x:c r="B2795" s="36" t="str">
        <x:v>48201423001</x:v>
      </x:c>
      <x:c r="C2795" s="66" t="n">
        <x:v>468.10145825885627</x:v>
      </x:c>
      <x:c r="D2795" s="66" t="n">
        <x:v>344.38506133925756</x:v>
      </x:c>
      <x:c r="E2795" s="66" t="n">
        <x:v>123.71639691959871</x:v>
      </x:c>
      <x:c r="F2795" s="66" t="n">
        <x:v>123.71639691959871</x:v>
      </x:c>
      <x:c r="G2795" s="66" t="n">
        <x:v>468.10145825885627</x:v>
      </x:c>
      <x:c r="H2795" s="45" t="n">
        <x:v>1</x:v>
      </x:c>
      <x:c r="I2795" s="36" t="str">
        <x:v>generated design-reference observation; not predicted tract behavior</x:v>
      </x:c>
    </x:row>
    <x:row r="2796" ht="75.5999984741211" hidden="0" customHeight="1">
      <x:c r="A2796" s="34" t="str">
        <x:v>P2</x:v>
      </x:c>
      <x:c r="B2796" s="34" t="str">
        <x:v>48201423002</x:v>
      </x:c>
      <x:c r="C2796" s="65" t="n">
        <x:v>540.9323416887642</x:v>
      </x:c>
      <x:c r="D2796" s="65" t="n">
        <x:v>219.69555169972116</x:v>
      </x:c>
      <x:c r="E2796" s="65" t="n">
        <x:v>321.236789989043</x:v>
      </x:c>
      <x:c r="F2796" s="65" t="n">
        <x:v>321.236789989043</x:v>
      </x:c>
      <x:c r="G2796" s="65" t="n">
        <x:v>540.9323416887642</x:v>
      </x:c>
      <x:c r="H2796" s="43" t="n">
        <x:v>1</x:v>
      </x:c>
      <x:c r="I2796" s="34" t="str">
        <x:v>generated design-reference observation; not predicted tract behavior</x:v>
      </x:c>
    </x:row>
    <x:row r="2797" ht="75.5999984741211" hidden="0" customHeight="1">
      <x:c r="A2797" s="36" t="str">
        <x:v>P2</x:v>
      </x:c>
      <x:c r="B2797" s="36" t="str">
        <x:v>48201423100</x:v>
      </x:c>
      <x:c r="C2797" s="66" t="n">
        <x:v>231.35687728933442</x:v>
      </x:c>
      <x:c r="D2797" s="66" t="n">
        <x:v>197.5764596363187</x:v>
      </x:c>
      <x:c r="E2797" s="66" t="n">
        <x:v>33.78041765301572</x:v>
      </x:c>
      <x:c r="F2797" s="66" t="n">
        <x:v>33.78041765301572</x:v>
      </x:c>
      <x:c r="G2797" s="66" t="n">
        <x:v>231.35687728933442</x:v>
      </x:c>
      <x:c r="H2797" s="45" t="n">
        <x:v>1</x:v>
      </x:c>
      <x:c r="I2797" s="36" t="str">
        <x:v>generated design-reference observation; not predicted tract behavior</x:v>
      </x:c>
    </x:row>
    <x:row r="2798" ht="75.5999984741211" hidden="0" customHeight="1">
      <x:c r="A2798" s="34" t="str">
        <x:v>P2</x:v>
      </x:c>
      <x:c r="B2798" s="34" t="str">
        <x:v>48201423201</x:v>
      </x:c>
      <x:c r="C2798" s="65" t="n">
        <x:v>373.8582086457917</x:v>
      </x:c>
      <x:c r="D2798" s="65" t="n">
        <x:v>281.628780983426</x:v>
      </x:c>
      <x:c r="E2798" s="65" t="n">
        <x:v>92.22942766236571</x:v>
      </x:c>
      <x:c r="F2798" s="65" t="n">
        <x:v>92.22942766236571</x:v>
      </x:c>
      <x:c r="G2798" s="65" t="n">
        <x:v>373.8582086457917</x:v>
      </x:c>
      <x:c r="H2798" s="43" t="n">
        <x:v>1</x:v>
      </x:c>
      <x:c r="I2798" s="34" t="str">
        <x:v>generated design-reference observation; not predicted tract behavior</x:v>
      </x:c>
    </x:row>
    <x:row r="2799" ht="75.5999984741211" hidden="0" customHeight="1">
      <x:c r="A2799" s="36" t="str">
        <x:v>P2</x:v>
      </x:c>
      <x:c r="B2799" s="36" t="str">
        <x:v>48201423203</x:v>
      </x:c>
      <x:c r="C2799" s="66" t="n">
        <x:v>186.51436328888266</x:v>
      </x:c>
      <x:c r="D2799" s="66" t="n">
        <x:v>159.42080250634316</x:v>
      </x:c>
      <x:c r="E2799" s="66" t="n">
        <x:v>27.093560782539498</x:v>
      </x:c>
      <x:c r="F2799" s="66" t="n">
        <x:v>27.093560782539498</x:v>
      </x:c>
      <x:c r="G2799" s="66" t="n">
        <x:v>186.51436328888266</x:v>
      </x:c>
      <x:c r="H2799" s="45" t="n">
        <x:v>1</x:v>
      </x:c>
      <x:c r="I2799" s="36" t="str">
        <x:v>generated design-reference observation; not predicted tract behavior</x:v>
      </x:c>
    </x:row>
    <x:row r="2800" ht="75.5999984741211" hidden="0" customHeight="1">
      <x:c r="A2800" s="34" t="str">
        <x:v>P2</x:v>
      </x:c>
      <x:c r="B2800" s="34" t="str">
        <x:v>48201423204</x:v>
      </x:c>
      <x:c r="C2800" s="65" t="n">
        <x:v>594.1809188625682</x:v>
      </x:c>
      <x:c r="D2800" s="65" t="n">
        <x:v>438.97245547889077</x:v>
      </x:c>
      <x:c r="E2800" s="65" t="n">
        <x:v>155.20846338367744</x:v>
      </x:c>
      <x:c r="F2800" s="65" t="n">
        <x:v>155.20846338367744</x:v>
      </x:c>
      <x:c r="G2800" s="65" t="n">
        <x:v>594.1809188625682</x:v>
      </x:c>
      <x:c r="H2800" s="43" t="n">
        <x:v>1</x:v>
      </x:c>
      <x:c r="I2800" s="34" t="str">
        <x:v>generated design-reference observation; not predicted tract behavior</x:v>
      </x:c>
    </x:row>
    <x:row r="2801" ht="75.5999984741211" hidden="0" customHeight="1">
      <x:c r="A2801" s="36" t="str">
        <x:v>P2</x:v>
      </x:c>
      <x:c r="B2801" s="36" t="str">
        <x:v>48201423301</x:v>
      </x:c>
      <x:c r="C2801" s="66" t="n">
        <x:v>376.5419337915419</x:v>
      </x:c>
      <x:c r="D2801" s="66" t="n">
        <x:v>322.14506564998726</x:v>
      </x:c>
      <x:c r="E2801" s="66" t="n">
        <x:v>54.39686814155465</x:v>
      </x:c>
      <x:c r="F2801" s="66" t="n">
        <x:v>54.39686814155465</x:v>
      </x:c>
      <x:c r="G2801" s="66" t="n">
        <x:v>376.5419337915419</x:v>
      </x:c>
      <x:c r="H2801" s="45" t="n">
        <x:v>1</x:v>
      </x:c>
      <x:c r="I2801" s="36" t="str">
        <x:v>generated design-reference observation; not predicted tract behavior</x:v>
      </x:c>
    </x:row>
    <x:row r="2802" ht="75.5999984741211" hidden="0" customHeight="1">
      <x:c r="A2802" s="34" t="str">
        <x:v>P2</x:v>
      </x:c>
      <x:c r="B2802" s="34" t="str">
        <x:v>48201423303</x:v>
      </x:c>
      <x:c r="C2802" s="65" t="n">
        <x:v>204.3246491795456</x:v>
      </x:c>
      <x:c r="D2802" s="65" t="n">
        <x:v>150.5059492024206</x:v>
      </x:c>
      <x:c r="E2802" s="65" t="n">
        <x:v>53.81869997712499</x:v>
      </x:c>
      <x:c r="F2802" s="65" t="n">
        <x:v>53.81869997712499</x:v>
      </x:c>
      <x:c r="G2802" s="65" t="n">
        <x:v>204.3246491795456</x:v>
      </x:c>
      <x:c r="H2802" s="43" t="n">
        <x:v>1</x:v>
      </x:c>
      <x:c r="I2802" s="34" t="str">
        <x:v>generated design-reference observation; not predicted tract behavior</x:v>
      </x:c>
    </x:row>
    <x:row r="2803" ht="75.5999984741211" hidden="0" customHeight="1">
      <x:c r="A2803" s="36" t="str">
        <x:v>P2</x:v>
      </x:c>
      <x:c r="B2803" s="36" t="str">
        <x:v>48201423304</x:v>
      </x:c>
      <x:c r="C2803" s="66" t="n">
        <x:v>285.02170694406834</x:v>
      </x:c>
      <x:c r="D2803" s="66" t="n">
        <x:v>243.91091913621864</x:v>
      </x:c>
      <x:c r="E2803" s="66" t="n">
        <x:v>41.110787807849704</x:v>
      </x:c>
      <x:c r="F2803" s="66" t="n">
        <x:v>41.110787807849704</x:v>
      </x:c>
      <x:c r="G2803" s="66" t="n">
        <x:v>285.02170694406834</x:v>
      </x:c>
      <x:c r="H2803" s="45" t="n">
        <x:v>1</x:v>
      </x:c>
      <x:c r="I2803" s="36" t="str">
        <x:v>generated design-reference observation; not predicted tract behavior</x:v>
      </x:c>
    </x:row>
    <x:row r="2804" ht="75.5999984741211" hidden="0" customHeight="1">
      <x:c r="A2804" s="34" t="str">
        <x:v>P2</x:v>
      </x:c>
      <x:c r="B2804" s="34" t="str">
        <x:v>48201423401</x:v>
      </x:c>
      <x:c r="C2804" s="65" t="n">
        <x:v>689.8077469834157</x:v>
      </x:c>
      <x:c r="D2804" s="65" t="n">
        <x:v>515.8875809791748</x:v>
      </x:c>
      <x:c r="E2804" s="65" t="n">
        <x:v>173.92016600424085</x:v>
      </x:c>
      <x:c r="F2804" s="65" t="n">
        <x:v>173.92016600424085</x:v>
      </x:c>
      <x:c r="G2804" s="65" t="n">
        <x:v>689.8077469834157</x:v>
      </x:c>
      <x:c r="H2804" s="43" t="n">
        <x:v>1</x:v>
      </x:c>
      <x:c r="I2804" s="34" t="str">
        <x:v>generated design-reference observation; not predicted tract behavior</x:v>
      </x:c>
    </x:row>
    <x:row r="2805" ht="75.5999984741211" hidden="0" customHeight="1">
      <x:c r="A2805" s="36" t="str">
        <x:v>P2</x:v>
      </x:c>
      <x:c r="B2805" s="36" t="str">
        <x:v>48201423402</x:v>
      </x:c>
      <x:c r="C2805" s="66" t="n">
        <x:v>367.2755550330575</x:v>
      </x:c>
      <x:c r="D2805" s="66" t="n">
        <x:v>317.24647359155176</x:v>
      </x:c>
      <x:c r="E2805" s="66" t="n">
        <x:v>50.02908144150575</x:v>
      </x:c>
      <x:c r="F2805" s="66" t="n">
        <x:v>50.02908144150575</x:v>
      </x:c>
      <x:c r="G2805" s="66" t="n">
        <x:v>367.2755550330575</x:v>
      </x:c>
      <x:c r="H2805" s="45" t="n">
        <x:v>1</x:v>
      </x:c>
      <x:c r="I2805" s="36" t="str">
        <x:v>generated design-reference observation; not predicted tract behavior</x:v>
      </x:c>
    </x:row>
    <x:row r="2806" ht="75.5999984741211" hidden="0" customHeight="1">
      <x:c r="A2806" s="34" t="str">
        <x:v>P2</x:v>
      </x:c>
      <x:c r="B2806" s="34" t="str">
        <x:v>48201423500</x:v>
      </x:c>
      <x:c r="C2806" s="65" t="n">
        <x:v>180.15600839862498</x:v>
      </x:c>
      <x:c r="D2806" s="65" t="n">
        <x:v>155.73757790720052</x:v>
      </x:c>
      <x:c r="E2806" s="65" t="n">
        <x:v>24.41843049142446</x:v>
      </x:c>
      <x:c r="F2806" s="65" t="n">
        <x:v>24.41843049142446</x:v>
      </x:c>
      <x:c r="G2806" s="65" t="n">
        <x:v>180.15600839862498</x:v>
      </x:c>
      <x:c r="H2806" s="43" t="n">
        <x:v>1</x:v>
      </x:c>
      <x:c r="I2806" s="34" t="str">
        <x:v>generated design-reference observation; not predicted tract behavior</x:v>
      </x:c>
    </x:row>
    <x:row r="2807" ht="75.5999984741211" hidden="0" customHeight="1">
      <x:c r="A2807" s="36" t="str">
        <x:v>P2</x:v>
      </x:c>
      <x:c r="B2807" s="36" t="str">
        <x:v>48201423600</x:v>
      </x:c>
      <x:c r="C2807" s="66" t="n">
        <x:v>1019.4679225941463</x:v>
      </x:c>
      <x:c r="D2807" s="66" t="n">
        <x:v>769.086600805024</x:v>
      </x:c>
      <x:c r="E2807" s="66" t="n">
        <x:v>250.38132178912235</x:v>
      </x:c>
      <x:c r="F2807" s="66" t="n">
        <x:v>250.38132178912235</x:v>
      </x:c>
      <x:c r="G2807" s="66" t="n">
        <x:v>1019.4679225941463</x:v>
      </x:c>
      <x:c r="H2807" s="45" t="n">
        <x:v>1</x:v>
      </x:c>
      <x:c r="I2807" s="36" t="str">
        <x:v>generated design-reference observation; not predicted tract behavior</x:v>
      </x:c>
    </x:row>
    <x:row r="2808" ht="75.5999984741211" hidden="0" customHeight="1">
      <x:c r="A2808" s="34" t="str">
        <x:v>P2</x:v>
      </x:c>
      <x:c r="B2808" s="34" t="str">
        <x:v>48201430101</x:v>
      </x:c>
      <x:c r="C2808" s="65" t="n">
        <x:v>220.59325921491174</x:v>
      </x:c>
      <x:c r="D2808" s="65" t="n">
        <x:v>185.93389030117638</x:v>
      </x:c>
      <x:c r="E2808" s="65" t="n">
        <x:v>34.65936891373536</x:v>
      </x:c>
      <x:c r="F2808" s="65" t="n">
        <x:v>34.65936891373536</x:v>
      </x:c>
      <x:c r="G2808" s="65" t="n">
        <x:v>220.59325921491174</x:v>
      </x:c>
      <x:c r="H2808" s="43" t="n">
        <x:v>1</x:v>
      </x:c>
      <x:c r="I2808" s="34" t="str">
        <x:v>generated design-reference observation; not predicted tract behavior</x:v>
      </x:c>
    </x:row>
    <x:row r="2809" ht="75.5999984741211" hidden="0" customHeight="1">
      <x:c r="A2809" s="36" t="str">
        <x:v>P2</x:v>
      </x:c>
      <x:c r="B2809" s="36" t="str">
        <x:v>48201430102</x:v>
      </x:c>
      <x:c r="C2809" s="66" t="n">
        <x:v>241.0516001040846</x:v>
      </x:c>
      <x:c r="D2809" s="66" t="n">
        <x:v>203.4424551801244</x:v>
      </x:c>
      <x:c r="E2809" s="66" t="n">
        <x:v>37.6091449239602</x:v>
      </x:c>
      <x:c r="F2809" s="66" t="n">
        <x:v>37.6091449239602</x:v>
      </x:c>
      <x:c r="G2809" s="66" t="n">
        <x:v>241.0516001040846</x:v>
      </x:c>
      <x:c r="H2809" s="45" t="n">
        <x:v>1</x:v>
      </x:c>
      <x:c r="I2809" s="36" t="str">
        <x:v>generated design-reference observation; not predicted tract behavior</x:v>
      </x:c>
    </x:row>
    <x:row r="2810" ht="75.5999984741211" hidden="0" customHeight="1">
      <x:c r="A2810" s="34" t="str">
        <x:v>P2</x:v>
      </x:c>
      <x:c r="B2810" s="34" t="str">
        <x:v>48201430200</x:v>
      </x:c>
      <x:c r="C2810" s="65" t="n">
        <x:v>129.62712880719494</x:v>
      </x:c>
      <x:c r="D2810" s="65" t="n">
        <x:v>110.84560183281552</x:v>
      </x:c>
      <x:c r="E2810" s="65" t="n">
        <x:v>18.781526974379418</x:v>
      </x:c>
      <x:c r="F2810" s="65" t="n">
        <x:v>18.781526974379418</x:v>
      </x:c>
      <x:c r="G2810" s="65" t="n">
        <x:v>129.62712880719494</x:v>
      </x:c>
      <x:c r="H2810" s="43" t="n">
        <x:v>1</x:v>
      </x:c>
      <x:c r="I2810" s="34" t="str">
        <x:v>generated design-reference observation; not predicted tract behavior</x:v>
      </x:c>
    </x:row>
    <x:row r="2811" ht="75.5999984741211" hidden="0" customHeight="1">
      <x:c r="A2811" s="36" t="str">
        <x:v>P2</x:v>
      </x:c>
      <x:c r="B2811" s="36" t="str">
        <x:v>48201430300</x:v>
      </x:c>
      <x:c r="C2811" s="66" t="n">
        <x:v>347.31236415387997</x:v>
      </x:c>
      <x:c r="D2811" s="66" t="n">
        <x:v>300.3557325202754</x:v>
      </x:c>
      <x:c r="E2811" s="66" t="n">
        <x:v>46.95663163360456</x:v>
      </x:c>
      <x:c r="F2811" s="66" t="n">
        <x:v>46.95663163360456</x:v>
      </x:c>
      <x:c r="G2811" s="66" t="n">
        <x:v>347.31236415387997</x:v>
      </x:c>
      <x:c r="H2811" s="45" t="n">
        <x:v>1</x:v>
      </x:c>
      <x:c r="I2811" s="36" t="str">
        <x:v>generated design-reference observation; not predicted tract behavior</x:v>
      </x:c>
    </x:row>
    <x:row r="2812" ht="75.5999984741211" hidden="0" customHeight="1">
      <x:c r="A2812" s="34" t="str">
        <x:v>P2</x:v>
      </x:c>
      <x:c r="B2812" s="34" t="str">
        <x:v>48201430400</x:v>
      </x:c>
      <x:c r="C2812" s="65" t="n">
        <x:v>246.5689859297471</x:v>
      </x:c>
      <x:c r="D2812" s="65" t="n">
        <x:v>213.23285903204527</x:v>
      </x:c>
      <x:c r="E2812" s="65" t="n">
        <x:v>33.33612689770183</x:v>
      </x:c>
      <x:c r="F2812" s="65" t="n">
        <x:v>33.33612689770183</x:v>
      </x:c>
      <x:c r="G2812" s="65" t="n">
        <x:v>246.5689859297471</x:v>
      </x:c>
      <x:c r="H2812" s="43" t="n">
        <x:v>1</x:v>
      </x:c>
      <x:c r="I2812" s="34" t="str">
        <x:v>generated design-reference observation; not predicted tract behavior</x:v>
      </x:c>
    </x:row>
    <x:row r="2813" ht="75.5999984741211" hidden="0" customHeight="1">
      <x:c r="A2813" s="36" t="str">
        <x:v>P2</x:v>
      </x:c>
      <x:c r="B2813" s="36" t="str">
        <x:v>48201430500</x:v>
      </x:c>
      <x:c r="C2813" s="66" t="n">
        <x:v>183.56704180081513</x:v>
      </x:c>
      <x:c r="D2813" s="66" t="n">
        <x:v>157.3432666695511</x:v>
      </x:c>
      <x:c r="E2813" s="66" t="n">
        <x:v>26.223775131264034</x:v>
      </x:c>
      <x:c r="F2813" s="66" t="n">
        <x:v>26.223775131264034</x:v>
      </x:c>
      <x:c r="G2813" s="66" t="n">
        <x:v>183.56704180081513</x:v>
      </x:c>
      <x:c r="H2813" s="45" t="n">
        <x:v>1</x:v>
      </x:c>
      <x:c r="I2813" s="36" t="str">
        <x:v>generated design-reference observation; not predicted tract behavior</x:v>
      </x:c>
    </x:row>
    <x:row r="2814" ht="75.5999984741211" hidden="0" customHeight="1">
      <x:c r="A2814" s="34" t="str">
        <x:v>P2</x:v>
      </x:c>
      <x:c r="B2814" s="34" t="str">
        <x:v>48201430600</x:v>
      </x:c>
      <x:c r="C2814" s="65" t="n">
        <x:v>303.94351089746203</x:v>
      </x:c>
      <x:c r="D2814" s="65" t="n">
        <x:v>262.8503482241252</x:v>
      </x:c>
      <x:c r="E2814" s="65" t="n">
        <x:v>41.09316267333685</x:v>
      </x:c>
      <x:c r="F2814" s="65" t="n">
        <x:v>41.09316267333685</x:v>
      </x:c>
      <x:c r="G2814" s="65" t="n">
        <x:v>303.94351089746203</x:v>
      </x:c>
      <x:c r="H2814" s="43" t="n">
        <x:v>1</x:v>
      </x:c>
      <x:c r="I2814" s="34" t="str">
        <x:v>generated design-reference observation; not predicted tract behavior</x:v>
      </x:c>
    </x:row>
    <x:row r="2815" ht="75.5999984741211" hidden="0" customHeight="1">
      <x:c r="A2815" s="36" t="str">
        <x:v>P2</x:v>
      </x:c>
      <x:c r="B2815" s="36" t="str">
        <x:v>48201430700</x:v>
      </x:c>
      <x:c r="C2815" s="66" t="n">
        <x:v>312.75796702777603</x:v>
      </x:c>
      <x:c r="D2815" s="66" t="n">
        <x:v>261.8405974397676</x:v>
      </x:c>
      <x:c r="E2815" s="66" t="n">
        <x:v>50.917369588008455</x:v>
      </x:c>
      <x:c r="F2815" s="66" t="n">
        <x:v>50.917369588008455</x:v>
      </x:c>
      <x:c r="G2815" s="66" t="n">
        <x:v>312.75796702777603</x:v>
      </x:c>
      <x:c r="H2815" s="45" t="n">
        <x:v>1</x:v>
      </x:c>
      <x:c r="I2815" s="36" t="str">
        <x:v>generated design-reference observation; not predicted tract behavior</x:v>
      </x:c>
    </x:row>
    <x:row r="2816" ht="75.5999984741211" hidden="0" customHeight="1">
      <x:c r="A2816" s="34" t="str">
        <x:v>P2</x:v>
      </x:c>
      <x:c r="B2816" s="34" t="str">
        <x:v>48201430800</x:v>
      </x:c>
      <x:c r="C2816" s="65" t="n">
        <x:v>517.9426295030706</x:v>
      </x:c>
      <x:c r="D2816" s="65" t="n">
        <x:v>437.226430692392</x:v>
      </x:c>
      <x:c r="E2816" s="65" t="n">
        <x:v>80.71619881067863</x:v>
      </x:c>
      <x:c r="F2816" s="65" t="n">
        <x:v>80.71619881067863</x:v>
      </x:c>
      <x:c r="G2816" s="65" t="n">
        <x:v>517.9426295030706</x:v>
      </x:c>
      <x:c r="H2816" s="43" t="n">
        <x:v>1</x:v>
      </x:c>
      <x:c r="I2816" s="34" t="str">
        <x:v>generated design-reference observation; not predicted tract behavior</x:v>
      </x:c>
    </x:row>
    <x:row r="2817" ht="75.5999984741211" hidden="0" customHeight="1">
      <x:c r="A2817" s="36" t="str">
        <x:v>P2</x:v>
      </x:c>
      <x:c r="B2817" s="36" t="str">
        <x:v>48201430900</x:v>
      </x:c>
      <x:c r="C2817" s="66" t="n">
        <x:v>444.71937445352046</x:v>
      </x:c>
      <x:c r="D2817" s="66" t="n">
        <x:v>379.5483181420533</x:v>
      </x:c>
      <x:c r="E2817" s="66" t="n">
        <x:v>65.17105631146717</x:v>
      </x:c>
      <x:c r="F2817" s="66" t="n">
        <x:v>65.17105631146717</x:v>
      </x:c>
      <x:c r="G2817" s="66" t="n">
        <x:v>444.71937445352046</x:v>
      </x:c>
      <x:c r="H2817" s="45" t="n">
        <x:v>1</x:v>
      </x:c>
      <x:c r="I2817" s="36" t="str">
        <x:v>generated design-reference observation; not predicted tract behavior</x:v>
      </x:c>
    </x:row>
    <x:row r="2818" ht="75.5999984741211" hidden="0" customHeight="1">
      <x:c r="A2818" s="34" t="str">
        <x:v>P2</x:v>
      </x:c>
      <x:c r="B2818" s="34" t="str">
        <x:v>48201431001</x:v>
      </x:c>
      <x:c r="C2818" s="65" t="n">
        <x:v>207.57002799963723</x:v>
      </x:c>
      <x:c r="D2818" s="65" t="n">
        <x:v>178.41350997607597</x:v>
      </x:c>
      <x:c r="E2818" s="65" t="n">
        <x:v>29.15651802356126</x:v>
      </x:c>
      <x:c r="F2818" s="65" t="n">
        <x:v>29.15651802356126</x:v>
      </x:c>
      <x:c r="G2818" s="65" t="n">
        <x:v>207.57002799963723</x:v>
      </x:c>
      <x:c r="H2818" s="43" t="n">
        <x:v>1</x:v>
      </x:c>
      <x:c r="I2818" s="34" t="str">
        <x:v>generated design-reference observation; not predicted tract behavior</x:v>
      </x:c>
    </x:row>
    <x:row r="2819" ht="75.5999984741211" hidden="0" customHeight="1">
      <x:c r="A2819" s="36" t="str">
        <x:v>P2</x:v>
      </x:c>
      <x:c r="B2819" s="36" t="str">
        <x:v>48201431002</x:v>
      </x:c>
      <x:c r="C2819" s="66" t="n">
        <x:v>241.95544536042536</x:v>
      </x:c>
      <x:c r="D2819" s="66" t="n">
        <x:v>208.15292251994347</x:v>
      </x:c>
      <x:c r="E2819" s="66" t="n">
        <x:v>33.802522840481885</x:v>
      </x:c>
      <x:c r="F2819" s="66" t="n">
        <x:v>33.802522840481885</x:v>
      </x:c>
      <x:c r="G2819" s="66" t="n">
        <x:v>241.95544536042536</x:v>
      </x:c>
      <x:c r="H2819" s="45" t="n">
        <x:v>1</x:v>
      </x:c>
      <x:c r="I2819" s="36" t="str">
        <x:v>generated design-reference observation; not predicted tract behavior</x:v>
      </x:c>
    </x:row>
    <x:row r="2820" ht="75.5999984741211" hidden="0" customHeight="1">
      <x:c r="A2820" s="34" t="str">
        <x:v>P2</x:v>
      </x:c>
      <x:c r="B2820" s="34" t="str">
        <x:v>48201431101</x:v>
      </x:c>
      <x:c r="C2820" s="65" t="n">
        <x:v>454.43767584017513</x:v>
      </x:c>
      <x:c r="D2820" s="65" t="n">
        <x:v>385.6266506708389</x:v>
      </x:c>
      <x:c r="E2820" s="65" t="n">
        <x:v>68.81102516933623</x:v>
      </x:c>
      <x:c r="F2820" s="65" t="n">
        <x:v>68.81102516933623</x:v>
      </x:c>
      <x:c r="G2820" s="65" t="n">
        <x:v>454.43767584017513</x:v>
      </x:c>
      <x:c r="H2820" s="43" t="n">
        <x:v>1</x:v>
      </x:c>
      <x:c r="I2820" s="34" t="str">
        <x:v>generated design-reference observation; not predicted tract behavior</x:v>
      </x:c>
    </x:row>
    <x:row r="2821" ht="75.5999984741211" hidden="0" customHeight="1">
      <x:c r="A2821" s="36" t="str">
        <x:v>P2</x:v>
      </x:c>
      <x:c r="B2821" s="36" t="str">
        <x:v>48201431102</x:v>
      </x:c>
      <x:c r="C2821" s="66" t="n">
        <x:v>331.46756383402885</x:v>
      </x:c>
      <x:c r="D2821" s="66" t="n">
        <x:v>278.68992927245426</x:v>
      </x:c>
      <x:c r="E2821" s="66" t="n">
        <x:v>52.77763456157459</x:v>
      </x:c>
      <x:c r="F2821" s="66" t="n">
        <x:v>52.77763456157459</x:v>
      </x:c>
      <x:c r="G2821" s="66" t="n">
        <x:v>331.46756383402885</x:v>
      </x:c>
      <x:c r="H2821" s="45" t="n">
        <x:v>1</x:v>
      </x:c>
      <x:c r="I2821" s="36" t="str">
        <x:v>generated design-reference observation; not predicted tract behavior</x:v>
      </x:c>
    </x:row>
    <x:row r="2822" ht="75.5999984741211" hidden="0" customHeight="1">
      <x:c r="A2822" s="34" t="str">
        <x:v>P2</x:v>
      </x:c>
      <x:c r="B2822" s="34" t="str">
        <x:v>48201431203</x:v>
      </x:c>
      <x:c r="C2822" s="65" t="n">
        <x:v>158.69950796549324</x:v>
      </x:c>
      <x:c r="D2822" s="65" t="n">
        <x:v>134.12630238362163</x:v>
      </x:c>
      <x:c r="E2822" s="65" t="n">
        <x:v>24.573205581871605</x:v>
      </x:c>
      <x:c r="F2822" s="65" t="n">
        <x:v>24.573205581871605</x:v>
      </x:c>
      <x:c r="G2822" s="65" t="n">
        <x:v>158.69950796549324</x:v>
      </x:c>
      <x:c r="H2822" s="43" t="n">
        <x:v>1</x:v>
      </x:c>
      <x:c r="I2822" s="34" t="str">
        <x:v>generated design-reference observation; not predicted tract behavior</x:v>
      </x:c>
    </x:row>
    <x:row r="2823" ht="75.5999984741211" hidden="0" customHeight="1">
      <x:c r="A2823" s="36" t="str">
        <x:v>P2</x:v>
      </x:c>
      <x:c r="B2823" s="36" t="str">
        <x:v>48201431204</x:v>
      </x:c>
      <x:c r="C2823" s="66" t="n">
        <x:v>254.78611823847942</x:v>
      </x:c>
      <x:c r="D2823" s="66" t="n">
        <x:v>213.22830610826315</x:v>
      </x:c>
      <x:c r="E2823" s="66" t="n">
        <x:v>41.55781213021626</x:v>
      </x:c>
      <x:c r="F2823" s="66" t="n">
        <x:v>41.55781213021626</x:v>
      </x:c>
      <x:c r="G2823" s="66" t="n">
        <x:v>254.78611823847942</x:v>
      </x:c>
      <x:c r="H2823" s="45" t="n">
        <x:v>1</x:v>
      </x:c>
      <x:c r="I2823" s="36" t="str">
        <x:v>generated design-reference observation; not predicted tract behavior</x:v>
      </x:c>
    </x:row>
    <x:row r="2824" ht="75.5999984741211" hidden="0" customHeight="1">
      <x:c r="A2824" s="34" t="str">
        <x:v>P2</x:v>
      </x:c>
      <x:c r="B2824" s="34" t="str">
        <x:v>48201431205</x:v>
      </x:c>
      <x:c r="C2824" s="65" t="n">
        <x:v>283.41836405455956</x:v>
      </x:c>
      <x:c r="D2824" s="65" t="n">
        <x:v>239.3534343801983</x:v>
      </x:c>
      <x:c r="E2824" s="65" t="n">
        <x:v>44.06492967436125</x:v>
      </x:c>
      <x:c r="F2824" s="65" t="n">
        <x:v>44.06492967436125</x:v>
      </x:c>
      <x:c r="G2824" s="65" t="n">
        <x:v>283.41836405455956</x:v>
      </x:c>
      <x:c r="H2824" s="43" t="n">
        <x:v>1</x:v>
      </x:c>
      <x:c r="I2824" s="34" t="str">
        <x:v>generated design-reference observation; not predicted tract behavior</x:v>
      </x:c>
    </x:row>
    <x:row r="2825" ht="75.5999984741211" hidden="0" customHeight="1">
      <x:c r="A2825" s="36" t="str">
        <x:v>P2</x:v>
      </x:c>
      <x:c r="B2825" s="36" t="str">
        <x:v>48201431206</x:v>
      </x:c>
      <x:c r="C2825" s="66" t="n">
        <x:v>141.66791952644687</x:v>
      </x:c>
      <x:c r="D2825" s="66" t="n">
        <x:v>117.62325627213946</x:v>
      </x:c>
      <x:c r="E2825" s="66" t="n">
        <x:v>24.04466325430741</x:v>
      </x:c>
      <x:c r="F2825" s="66" t="n">
        <x:v>24.04466325430741</x:v>
      </x:c>
      <x:c r="G2825" s="66" t="n">
        <x:v>141.66791952644687</x:v>
      </x:c>
      <x:c r="H2825" s="45" t="n">
        <x:v>1</x:v>
      </x:c>
      <x:c r="I2825" s="36" t="str">
        <x:v>generated design-reference observation; not predicted tract behavior</x:v>
      </x:c>
    </x:row>
    <x:row r="2826" ht="75.5999984741211" hidden="0" customHeight="1">
      <x:c r="A2826" s="34" t="str">
        <x:v>P2</x:v>
      </x:c>
      <x:c r="B2826" s="34" t="str">
        <x:v>48201431302</x:v>
      </x:c>
      <x:c r="C2826" s="65" t="n">
        <x:v>346.2906260380165</x:v>
      </x:c>
      <x:c r="D2826" s="65" t="n">
        <x:v>295.19591178483574</x:v>
      </x:c>
      <x:c r="E2826" s="65" t="n">
        <x:v>51.09471425318077</x:v>
      </x:c>
      <x:c r="F2826" s="65" t="n">
        <x:v>51.09471425318077</x:v>
      </x:c>
      <x:c r="G2826" s="65" t="n">
        <x:v>346.2906260380165</x:v>
      </x:c>
      <x:c r="H2826" s="43" t="n">
        <x:v>1</x:v>
      </x:c>
      <x:c r="I2826" s="34" t="str">
        <x:v>generated design-reference observation; not predicted tract behavior</x:v>
      </x:c>
    </x:row>
    <x:row r="2827" ht="75.5999984741211" hidden="0" customHeight="1">
      <x:c r="A2827" s="36" t="str">
        <x:v>P2</x:v>
      </x:c>
      <x:c r="B2827" s="36" t="str">
        <x:v>48201431303</x:v>
      </x:c>
      <x:c r="C2827" s="66" t="n">
        <x:v>130.85321454623096</x:v>
      </x:c>
      <x:c r="D2827" s="66" t="n">
        <x:v>110.2789268411198</x:v>
      </x:c>
      <x:c r="E2827" s="66" t="n">
        <x:v>20.57428770511116</x:v>
      </x:c>
      <x:c r="F2827" s="66" t="n">
        <x:v>20.57428770511116</x:v>
      </x:c>
      <x:c r="G2827" s="66" t="n">
        <x:v>130.85321454623096</x:v>
      </x:c>
      <x:c r="H2827" s="45" t="n">
        <x:v>1</x:v>
      </x:c>
      <x:c r="I2827" s="36" t="str">
        <x:v>generated design-reference observation; not predicted tract behavior</x:v>
      </x:c>
    </x:row>
    <x:row r="2828" ht="75.5999984741211" hidden="0" customHeight="1">
      <x:c r="A2828" s="34" t="str">
        <x:v>P2</x:v>
      </x:c>
      <x:c r="B2828" s="34" t="str">
        <x:v>48201431304</x:v>
      </x:c>
      <x:c r="C2828" s="65" t="n">
        <x:v>250.76990149073936</x:v>
      </x:c>
      <x:c r="D2828" s="65" t="n">
        <x:v>210.97512476061286</x:v>
      </x:c>
      <x:c r="E2828" s="65" t="n">
        <x:v>39.7947767301265</x:v>
      </x:c>
      <x:c r="F2828" s="65" t="n">
        <x:v>39.7947767301265</x:v>
      </x:c>
      <x:c r="G2828" s="65" t="n">
        <x:v>250.76990149073936</x:v>
      </x:c>
      <x:c r="H2828" s="43" t="n">
        <x:v>1</x:v>
      </x:c>
      <x:c r="I2828" s="34" t="str">
        <x:v>generated design-reference observation; not predicted tract behavior</x:v>
      </x:c>
    </x:row>
    <x:row r="2829" ht="75.5999984741211" hidden="0" customHeight="1">
      <x:c r="A2829" s="36" t="str">
        <x:v>P2</x:v>
      </x:c>
      <x:c r="B2829" s="36" t="str">
        <x:v>48201431401</x:v>
      </x:c>
      <x:c r="C2829" s="66" t="n">
        <x:v>216.97787818954893</x:v>
      </x:c>
      <x:c r="D2829" s="66" t="n">
        <x:v>181.5334335193818</x:v>
      </x:c>
      <x:c r="E2829" s="66" t="n">
        <x:v>35.444444670167144</x:v>
      </x:c>
      <x:c r="F2829" s="66" t="n">
        <x:v>35.444444670167144</x:v>
      </x:c>
      <x:c r="G2829" s="66" t="n">
        <x:v>216.97787818954893</x:v>
      </x:c>
      <x:c r="H2829" s="45" t="n">
        <x:v>1</x:v>
      </x:c>
      <x:c r="I2829" s="36" t="str">
        <x:v>generated design-reference observation; not predicted tract behavior</x:v>
      </x:c>
    </x:row>
    <x:row r="2830" ht="75.5999984741211" hidden="0" customHeight="1">
      <x:c r="A2830" s="34" t="str">
        <x:v>P2</x:v>
      </x:c>
      <x:c r="B2830" s="34" t="str">
        <x:v>48201431403</x:v>
      </x:c>
      <x:c r="C2830" s="65" t="n">
        <x:v>142.3124004918376</x:v>
      </x:c>
      <x:c r="D2830" s="65" t="n">
        <x:v>120.97314138095527</x:v>
      </x:c>
      <x:c r="E2830" s="65" t="n">
        <x:v>21.339259110882324</x:v>
      </x:c>
      <x:c r="F2830" s="65" t="n">
        <x:v>21.339259110882324</x:v>
      </x:c>
      <x:c r="G2830" s="65" t="n">
        <x:v>142.3124004918376</x:v>
      </x:c>
      <x:c r="H2830" s="43" t="n">
        <x:v>1</x:v>
      </x:c>
      <x:c r="I2830" s="34" t="str">
        <x:v>generated design-reference observation; not predicted tract behavior</x:v>
      </x:c>
    </x:row>
    <x:row r="2831" ht="75.5999984741211" hidden="0" customHeight="1">
      <x:c r="A2831" s="36" t="str">
        <x:v>P2</x:v>
      </x:c>
      <x:c r="B2831" s="36" t="str">
        <x:v>48201431404</x:v>
      </x:c>
      <x:c r="C2831" s="66" t="n">
        <x:v>165.17575571527365</x:v>
      </x:c>
      <x:c r="D2831" s="66" t="n">
        <x:v>140.33399616200262</x:v>
      </x:c>
      <x:c r="E2831" s="66" t="n">
        <x:v>24.841759553271032</x:v>
      </x:c>
      <x:c r="F2831" s="66" t="n">
        <x:v>24.841759553271032</x:v>
      </x:c>
      <x:c r="G2831" s="66" t="n">
        <x:v>165.17575571527365</x:v>
      </x:c>
      <x:c r="H2831" s="45" t="n">
        <x:v>1</x:v>
      </x:c>
      <x:c r="I2831" s="36" t="str">
        <x:v>generated design-reference observation; not predicted tract behavior</x:v>
      </x:c>
    </x:row>
    <x:row r="2832" ht="75.5999984741211" hidden="0" customHeight="1">
      <x:c r="A2832" s="34" t="str">
        <x:v>P2</x:v>
      </x:c>
      <x:c r="B2832" s="34" t="str">
        <x:v>48201431503</x:v>
      </x:c>
      <x:c r="C2832" s="65" t="n">
        <x:v>182.75751083209258</x:v>
      </x:c>
      <x:c r="D2832" s="65" t="n">
        <x:v>151.61918154212157</x:v>
      </x:c>
      <x:c r="E2832" s="65" t="n">
        <x:v>31.13832928997101</x:v>
      </x:c>
      <x:c r="F2832" s="65" t="n">
        <x:v>31.13832928997101</x:v>
      </x:c>
      <x:c r="G2832" s="65" t="n">
        <x:v>182.75751083209258</x:v>
      </x:c>
      <x:c r="H2832" s="43" t="n">
        <x:v>1</x:v>
      </x:c>
      <x:c r="I2832" s="34" t="str">
        <x:v>generated design-reference observation; not predicted tract behavior</x:v>
      </x:c>
    </x:row>
    <x:row r="2833" ht="75.5999984741211" hidden="0" customHeight="1">
      <x:c r="A2833" s="36" t="str">
        <x:v>P2</x:v>
      </x:c>
      <x:c r="B2833" s="36" t="str">
        <x:v>48201431504</x:v>
      </x:c>
      <x:c r="C2833" s="66" t="n">
        <x:v>198.07572304607567</x:v>
      </x:c>
      <x:c r="D2833" s="66" t="n">
        <x:v>170.32628593954672</x:v>
      </x:c>
      <x:c r="E2833" s="66" t="n">
        <x:v>27.749437106528944</x:v>
      </x:c>
      <x:c r="F2833" s="66" t="n">
        <x:v>27.749437106528944</x:v>
      </x:c>
      <x:c r="G2833" s="66" t="n">
        <x:v>198.07572304607567</x:v>
      </x:c>
      <x:c r="H2833" s="45" t="n">
        <x:v>1</x:v>
      </x:c>
      <x:c r="I2833" s="36" t="str">
        <x:v>generated design-reference observation; not predicted tract behavior</x:v>
      </x:c>
    </x:row>
    <x:row r="2834" ht="75.5999984741211" hidden="0" customHeight="1">
      <x:c r="A2834" s="34" t="str">
        <x:v>P2</x:v>
      </x:c>
      <x:c r="B2834" s="34" t="str">
        <x:v>48201431505</x:v>
      </x:c>
      <x:c r="C2834" s="65" t="n">
        <x:v>121.80690245885566</x:v>
      </x:c>
      <x:c r="D2834" s="65" t="n">
        <x:v>104.30063856018536</x:v>
      </x:c>
      <x:c r="E2834" s="65" t="n">
        <x:v>17.506263898670298</x:v>
      </x:c>
      <x:c r="F2834" s="65" t="n">
        <x:v>17.506263898670298</x:v>
      </x:c>
      <x:c r="G2834" s="65" t="n">
        <x:v>121.80690245885566</x:v>
      </x:c>
      <x:c r="H2834" s="43" t="n">
        <x:v>1</x:v>
      </x:c>
      <x:c r="I2834" s="34" t="str">
        <x:v>generated design-reference observation; not predicted tract behavior</x:v>
      </x:c>
    </x:row>
    <x:row r="2835" ht="75.5999984741211" hidden="0" customHeight="1">
      <x:c r="A2835" s="36" t="str">
        <x:v>P2</x:v>
      </x:c>
      <x:c r="B2835" s="36" t="str">
        <x:v>48201431506</x:v>
      </x:c>
      <x:c r="C2835" s="66" t="n">
        <x:v>227.28171411183305</x:v>
      </x:c>
      <x:c r="D2835" s="66" t="n">
        <x:v>191.81936446794413</x:v>
      </x:c>
      <x:c r="E2835" s="66" t="n">
        <x:v>35.46234964388893</x:v>
      </x:c>
      <x:c r="F2835" s="66" t="n">
        <x:v>35.46234964388893</x:v>
      </x:c>
      <x:c r="G2835" s="66" t="n">
        <x:v>227.28171411183305</x:v>
      </x:c>
      <x:c r="H2835" s="45" t="n">
        <x:v>1</x:v>
      </x:c>
      <x:c r="I2835" s="36" t="str">
        <x:v>generated design-reference observation; not predicted tract behavior</x:v>
      </x:c>
    </x:row>
    <x:row r="2836" ht="75.5999984741211" hidden="0" customHeight="1">
      <x:c r="A2836" s="34" t="str">
        <x:v>P2</x:v>
      </x:c>
      <x:c r="B2836" s="34" t="str">
        <x:v>48201431600</x:v>
      </x:c>
      <x:c r="C2836" s="65" t="n">
        <x:v>288.7903486868107</x:v>
      </x:c>
      <x:c r="D2836" s="65" t="n">
        <x:v>245.89343029287184</x:v>
      </x:c>
      <x:c r="E2836" s="65" t="n">
        <x:v>42.896918393938876</x:v>
      </x:c>
      <x:c r="F2836" s="65" t="n">
        <x:v>42.896918393938876</x:v>
      </x:c>
      <x:c r="G2836" s="65" t="n">
        <x:v>288.7903486868107</x:v>
      </x:c>
      <x:c r="H2836" s="43" t="n">
        <x:v>1</x:v>
      </x:c>
      <x:c r="I2836" s="34" t="str">
        <x:v>generated design-reference observation; not predicted tract behavior</x:v>
      </x:c>
    </x:row>
    <x:row r="2837" ht="75.5999984741211" hidden="0" customHeight="1">
      <x:c r="A2837" s="36" t="str">
        <x:v>P2</x:v>
      </x:c>
      <x:c r="B2837" s="36" t="str">
        <x:v>48201431701</x:v>
      </x:c>
      <x:c r="C2837" s="66" t="n">
        <x:v>162.42492232641055</x:v>
      </x:c>
      <x:c r="D2837" s="66" t="n">
        <x:v>136.4301354695065</x:v>
      </x:c>
      <x:c r="E2837" s="66" t="n">
        <x:v>25.994786856904057</x:v>
      </x:c>
      <x:c r="F2837" s="66" t="n">
        <x:v>25.994786856904057</x:v>
      </x:c>
      <x:c r="G2837" s="66" t="n">
        <x:v>162.42492232641055</x:v>
      </x:c>
      <x:c r="H2837" s="45" t="n">
        <x:v>1</x:v>
      </x:c>
      <x:c r="I2837" s="36" t="str">
        <x:v>generated design-reference observation; not predicted tract behavior</x:v>
      </x:c>
    </x:row>
    <x:row r="2838" ht="75.5999984741211" hidden="0" customHeight="1">
      <x:c r="A2838" s="34" t="str">
        <x:v>P2</x:v>
      </x:c>
      <x:c r="B2838" s="34" t="str">
        <x:v>48201431702</x:v>
      </x:c>
      <x:c r="C2838" s="65" t="n">
        <x:v>229.16014034022808</x:v>
      </x:c>
      <x:c r="D2838" s="65" t="n">
        <x:v>195.29486100264742</x:v>
      </x:c>
      <x:c r="E2838" s="65" t="n">
        <x:v>33.86527933758066</x:v>
      </x:c>
      <x:c r="F2838" s="65" t="n">
        <x:v>33.86527933758066</x:v>
      </x:c>
      <x:c r="G2838" s="65" t="n">
        <x:v>229.16014034022808</x:v>
      </x:c>
      <x:c r="H2838" s="43" t="n">
        <x:v>1</x:v>
      </x:c>
      <x:c r="I2838" s="34" t="str">
        <x:v>generated design-reference observation; not predicted tract behavior</x:v>
      </x:c>
    </x:row>
    <x:row r="2839" ht="75.5999984741211" hidden="0" customHeight="1">
      <x:c r="A2839" s="36" t="str">
        <x:v>P2</x:v>
      </x:c>
      <x:c r="B2839" s="36" t="str">
        <x:v>48201431801</x:v>
      </x:c>
      <x:c r="C2839" s="66" t="n">
        <x:v>295.8089035903956</x:v>
      </x:c>
      <x:c r="D2839" s="66" t="n">
        <x:v>247.62819416241797</x:v>
      </x:c>
      <x:c r="E2839" s="66" t="n">
        <x:v>48.180709427977604</x:v>
      </x:c>
      <x:c r="F2839" s="66" t="n">
        <x:v>48.180709427977604</x:v>
      </x:c>
      <x:c r="G2839" s="66" t="n">
        <x:v>295.8089035903956</x:v>
      </x:c>
      <x:c r="H2839" s="45" t="n">
        <x:v>1</x:v>
      </x:c>
      <x:c r="I2839" s="36" t="str">
        <x:v>generated design-reference observation; not predicted tract behavior</x:v>
      </x:c>
    </x:row>
    <x:row r="2840" ht="75.5999984741211" hidden="0" customHeight="1">
      <x:c r="A2840" s="34" t="str">
        <x:v>P2</x:v>
      </x:c>
      <x:c r="B2840" s="34" t="str">
        <x:v>48201431803</x:v>
      </x:c>
      <x:c r="C2840" s="65" t="n">
        <x:v>188.927237147114</x:v>
      </x:c>
      <x:c r="D2840" s="65" t="n">
        <x:v>156.84242662013943</x:v>
      </x:c>
      <x:c r="E2840" s="65" t="n">
        <x:v>32.084810526974564</x:v>
      </x:c>
      <x:c r="F2840" s="65" t="n">
        <x:v>32.084810526974564</x:v>
      </x:c>
      <x:c r="G2840" s="65" t="n">
        <x:v>188.927237147114</x:v>
      </x:c>
      <x:c r="H2840" s="43" t="n">
        <x:v>1</x:v>
      </x:c>
      <x:c r="I2840" s="34" t="str">
        <x:v>generated design-reference observation; not predicted tract behavior</x:v>
      </x:c>
    </x:row>
    <x:row r="2841" ht="75.5999984741211" hidden="0" customHeight="1">
      <x:c r="A2841" s="36" t="str">
        <x:v>P2</x:v>
      </x:c>
      <x:c r="B2841" s="36" t="str">
        <x:v>48201431804</x:v>
      </x:c>
      <x:c r="C2841" s="66" t="n">
        <x:v>202.74428028317465</x:v>
      </x:c>
      <x:c r="D2841" s="66" t="n">
        <x:v>166.8685877765851</x:v>
      </x:c>
      <x:c r="E2841" s="66" t="n">
        <x:v>35.87569250658956</x:v>
      </x:c>
      <x:c r="F2841" s="66" t="n">
        <x:v>35.87569250658956</x:v>
      </x:c>
      <x:c r="G2841" s="66" t="n">
        <x:v>202.74428028317465</x:v>
      </x:c>
      <x:c r="H2841" s="45" t="n">
        <x:v>1</x:v>
      </x:c>
      <x:c r="I2841" s="36" t="str">
        <x:v>generated design-reference observation; not predicted tract behavior</x:v>
      </x:c>
    </x:row>
    <x:row r="2842" ht="75.5999984741211" hidden="0" customHeight="1">
      <x:c r="A2842" s="34" t="str">
        <x:v>P2</x:v>
      </x:c>
      <x:c r="B2842" s="34" t="str">
        <x:v>48201431901</x:v>
      </x:c>
      <x:c r="C2842" s="65" t="n">
        <x:v>199.21535402146174</x:v>
      </x:c>
      <x:c r="D2842" s="65" t="n">
        <x:v>164.0360074636983</x:v>
      </x:c>
      <x:c r="E2842" s="65" t="n">
        <x:v>35.17934655776344</x:v>
      </x:c>
      <x:c r="F2842" s="65" t="n">
        <x:v>35.17934655776344</x:v>
      </x:c>
      <x:c r="G2842" s="65" t="n">
        <x:v>199.21535402146174</x:v>
      </x:c>
      <x:c r="H2842" s="43" t="n">
        <x:v>1</x:v>
      </x:c>
      <x:c r="I2842" s="34" t="str">
        <x:v>generated design-reference observation; not predicted tract behavior</x:v>
      </x:c>
    </x:row>
    <x:row r="2843" ht="75.5999984741211" hidden="0" customHeight="1">
      <x:c r="A2843" s="36" t="str">
        <x:v>P2</x:v>
      </x:c>
      <x:c r="B2843" s="36" t="str">
        <x:v>48201431902</x:v>
      </x:c>
      <x:c r="C2843" s="66" t="n">
        <x:v>195.00264917451725</x:v>
      </x:c>
      <x:c r="D2843" s="66" t="n">
        <x:v>160.44517939107223</x:v>
      </x:c>
      <x:c r="E2843" s="66" t="n">
        <x:v>34.557469783445015</x:v>
      </x:c>
      <x:c r="F2843" s="66" t="n">
        <x:v>34.557469783445015</x:v>
      </x:c>
      <x:c r="G2843" s="66" t="n">
        <x:v>195.00264917451725</x:v>
      </x:c>
      <x:c r="H2843" s="45" t="n">
        <x:v>1</x:v>
      </x:c>
      <x:c r="I2843" s="36" t="str">
        <x:v>generated design-reference observation; not predicted tract behavior</x:v>
      </x:c>
    </x:row>
    <x:row r="2844" ht="75.5999984741211" hidden="0" customHeight="1">
      <x:c r="A2844" s="34" t="str">
        <x:v>P2</x:v>
      </x:c>
      <x:c r="B2844" s="34" t="str">
        <x:v>48201432003</x:v>
      </x:c>
      <x:c r="C2844" s="65" t="n">
        <x:v>142.65821954643755</x:v>
      </x:c>
      <x:c r="D2844" s="65" t="n">
        <x:v>120.02804192117684</x:v>
      </x:c>
      <x:c r="E2844" s="65" t="n">
        <x:v>22.630177625260714</x:v>
      </x:c>
      <x:c r="F2844" s="65" t="n">
        <x:v>22.630177625260714</x:v>
      </x:c>
      <x:c r="G2844" s="65" t="n">
        <x:v>142.65821954643755</x:v>
      </x:c>
      <x:c r="H2844" s="43" t="n">
        <x:v>1</x:v>
      </x:c>
      <x:c r="I2844" s="34" t="str">
        <x:v>generated design-reference observation; not predicted tract behavior</x:v>
      </x:c>
    </x:row>
    <x:row r="2845" ht="75.5999984741211" hidden="0" customHeight="1">
      <x:c r="A2845" s="36" t="str">
        <x:v>P2</x:v>
      </x:c>
      <x:c r="B2845" s="36" t="str">
        <x:v>48201432004</x:v>
      </x:c>
      <x:c r="C2845" s="66" t="n">
        <x:v>160.98662944023366</x:v>
      </x:c>
      <x:c r="D2845" s="66" t="n">
        <x:v>139.1702670217143</x:v>
      </x:c>
      <x:c r="E2845" s="66" t="n">
        <x:v>21.81636241851936</x:v>
      </x:c>
      <x:c r="F2845" s="66" t="n">
        <x:v>21.81636241851936</x:v>
      </x:c>
      <x:c r="G2845" s="66" t="n">
        <x:v>160.98662944023366</x:v>
      </x:c>
      <x:c r="H2845" s="45" t="n">
        <x:v>1</x:v>
      </x:c>
      <x:c r="I2845" s="36" t="str">
        <x:v>generated design-reference observation; not predicted tract behavior</x:v>
      </x:c>
    </x:row>
    <x:row r="2846" ht="75.5999984741211" hidden="0" customHeight="1">
      <x:c r="A2846" s="34" t="str">
        <x:v>P2</x:v>
      </x:c>
      <x:c r="B2846" s="34" t="str">
        <x:v>48201432005</x:v>
      </x:c>
      <x:c r="C2846" s="65" t="n">
        <x:v>292.8930201982008</x:v>
      </x:c>
      <x:c r="D2846" s="65" t="n">
        <x:v>243.46117515470587</x:v>
      </x:c>
      <x:c r="E2846" s="65" t="n">
        <x:v>49.431845043494945</x:v>
      </x:c>
      <x:c r="F2846" s="65" t="n">
        <x:v>49.431845043494945</x:v>
      </x:c>
      <x:c r="G2846" s="65" t="n">
        <x:v>292.8930201982008</x:v>
      </x:c>
      <x:c r="H2846" s="43" t="n">
        <x:v>1</x:v>
      </x:c>
      <x:c r="I2846" s="34" t="str">
        <x:v>generated design-reference observation; not predicted tract behavior</x:v>
      </x:c>
    </x:row>
    <x:row r="2847" ht="75.5999984741211" hidden="0" customHeight="1">
      <x:c r="A2847" s="36" t="str">
        <x:v>P2</x:v>
      </x:c>
      <x:c r="B2847" s="36" t="str">
        <x:v>48201432006</x:v>
      </x:c>
      <x:c r="C2847" s="66" t="n">
        <x:v>182.78894892796535</x:v>
      </x:c>
      <x:c r="D2847" s="66" t="n">
        <x:v>152.58555759902777</x:v>
      </x:c>
      <x:c r="E2847" s="66" t="n">
        <x:v>30.203391328937585</x:v>
      </x:c>
      <x:c r="F2847" s="66" t="n">
        <x:v>30.203391328937585</x:v>
      </x:c>
      <x:c r="G2847" s="66" t="n">
        <x:v>182.78894892796535</x:v>
      </x:c>
      <x:c r="H2847" s="45" t="n">
        <x:v>1</x:v>
      </x:c>
      <x:c r="I2847" s="36" t="str">
        <x:v>generated design-reference observation; not predicted tract behavior</x:v>
      </x:c>
    </x:row>
    <x:row r="2848" ht="75.5999984741211" hidden="0" customHeight="1">
      <x:c r="A2848" s="34" t="str">
        <x:v>P2</x:v>
      </x:c>
      <x:c r="B2848" s="34" t="str">
        <x:v>48201432101</x:v>
      </x:c>
      <x:c r="C2848" s="65" t="n">
        <x:v>253.3674741622229</x:v>
      </x:c>
      <x:c r="D2848" s="65" t="n">
        <x:v>213.96989825520686</x:v>
      </x:c>
      <x:c r="E2848" s="65" t="n">
        <x:v>39.397575907016034</x:v>
      </x:c>
      <x:c r="F2848" s="65" t="n">
        <x:v>39.397575907016034</x:v>
      </x:c>
      <x:c r="G2848" s="65" t="n">
        <x:v>253.3674741622229</x:v>
      </x:c>
      <x:c r="H2848" s="43" t="n">
        <x:v>1</x:v>
      </x:c>
      <x:c r="I2848" s="34" t="str">
        <x:v>generated design-reference observation; not predicted tract behavior</x:v>
      </x:c>
    </x:row>
    <x:row r="2849" ht="75.5999984741211" hidden="0" customHeight="1">
      <x:c r="A2849" s="36" t="str">
        <x:v>P2</x:v>
      </x:c>
      <x:c r="B2849" s="36" t="str">
        <x:v>48201432102</x:v>
      </x:c>
      <x:c r="C2849" s="66" t="n">
        <x:v>386.32311136994207</x:v>
      </x:c>
      <x:c r="D2849" s="66" t="n">
        <x:v>324.2261127137703</x:v>
      </x:c>
      <x:c r="E2849" s="66" t="n">
        <x:v>62.09699865617176</x:v>
      </x:c>
      <x:c r="F2849" s="66" t="n">
        <x:v>62.09699865617176</x:v>
      </x:c>
      <x:c r="G2849" s="66" t="n">
        <x:v>386.32311136994207</x:v>
      </x:c>
      <x:c r="H2849" s="45" t="n">
        <x:v>1</x:v>
      </x:c>
      <x:c r="I2849" s="36" t="str">
        <x:v>generated design-reference observation; not predicted tract behavior</x:v>
      </x:c>
    </x:row>
    <x:row r="2850" ht="75.5999984741211" hidden="0" customHeight="1">
      <x:c r="A2850" s="34" t="str">
        <x:v>P2</x:v>
      </x:c>
      <x:c r="B2850" s="34" t="str">
        <x:v>48201432200</x:v>
      </x:c>
      <x:c r="C2850" s="65" t="n">
        <x:v>309.20153243217453</x:v>
      </x:c>
      <x:c r="D2850" s="65" t="n">
        <x:v>262.63154801028725</x:v>
      </x:c>
      <x:c r="E2850" s="65" t="n">
        <x:v>46.569984421887284</x:v>
      </x:c>
      <x:c r="F2850" s="65" t="n">
        <x:v>46.569984421887284</x:v>
      </x:c>
      <x:c r="G2850" s="65" t="n">
        <x:v>309.20153243217453</x:v>
      </x:c>
      <x:c r="H2850" s="43" t="n">
        <x:v>1</x:v>
      </x:c>
      <x:c r="I2850" s="34" t="str">
        <x:v>generated design-reference observation; not predicted tract behavior</x:v>
      </x:c>
    </x:row>
    <x:row r="2851" ht="75.5999984741211" hidden="0" customHeight="1">
      <x:c r="A2851" s="36" t="str">
        <x:v>P2</x:v>
      </x:c>
      <x:c r="B2851" s="36" t="str">
        <x:v>48201432301</x:v>
      </x:c>
      <x:c r="C2851" s="66" t="n">
        <x:v>282.8328295189302</x:v>
      </x:c>
      <x:c r="D2851" s="66" t="n">
        <x:v>242.4160237924376</x:v>
      </x:c>
      <x:c r="E2851" s="66" t="n">
        <x:v>40.41680572649261</x:v>
      </x:c>
      <x:c r="F2851" s="66" t="n">
        <x:v>40.41680572649261</x:v>
      </x:c>
      <x:c r="G2851" s="66" t="n">
        <x:v>282.8328295189302</x:v>
      </x:c>
      <x:c r="H2851" s="45" t="n">
        <x:v>1</x:v>
      </x:c>
      <x:c r="I2851" s="36" t="str">
        <x:v>generated design-reference observation; not predicted tract behavior</x:v>
      </x:c>
    </x:row>
    <x:row r="2852" ht="75.5999984741211" hidden="0" customHeight="1">
      <x:c r="A2852" s="34" t="str">
        <x:v>P2</x:v>
      </x:c>
      <x:c r="B2852" s="34" t="str">
        <x:v>48201432302</x:v>
      </x:c>
      <x:c r="C2852" s="65" t="n">
        <x:v>170.0290117656249</x:v>
      </x:c>
      <x:c r="D2852" s="65" t="n">
        <x:v>143.8341298690885</x:v>
      </x:c>
      <x:c r="E2852" s="65" t="n">
        <x:v>26.194881896536373</x:v>
      </x:c>
      <x:c r="F2852" s="65" t="n">
        <x:v>26.194881896536373</x:v>
      </x:c>
      <x:c r="G2852" s="65" t="n">
        <x:v>170.0290117656249</x:v>
      </x:c>
      <x:c r="H2852" s="43" t="n">
        <x:v>1</x:v>
      </x:c>
      <x:c r="I2852" s="34" t="str">
        <x:v>generated design-reference observation; not predicted tract behavior</x:v>
      </x:c>
    </x:row>
    <x:row r="2853" ht="75.5999984741211" hidden="0" customHeight="1">
      <x:c r="A2853" s="36" t="str">
        <x:v>P2</x:v>
      </x:c>
      <x:c r="B2853" s="36" t="str">
        <x:v>48201432303</x:v>
      </x:c>
      <x:c r="C2853" s="66" t="n">
        <x:v>221.4027901836343</x:v>
      </x:c>
      <x:c r="D2853" s="66" t="n">
        <x:v>184.8901868554443</x:v>
      </x:c>
      <x:c r="E2853" s="66" t="n">
        <x:v>36.51260332818998</x:v>
      </x:c>
      <x:c r="F2853" s="66" t="n">
        <x:v>36.51260332818998</x:v>
      </x:c>
      <x:c r="G2853" s="66" t="n">
        <x:v>221.4027901836343</x:v>
      </x:c>
      <x:c r="H2853" s="45" t="n">
        <x:v>1</x:v>
      </x:c>
      <x:c r="I2853" s="36" t="str">
        <x:v>generated design-reference observation; not predicted tract behavior</x:v>
      </x:c>
    </x:row>
    <x:row r="2854" ht="75.5999984741211" hidden="0" customHeight="1">
      <x:c r="A2854" s="34" t="str">
        <x:v>P2</x:v>
      </x:c>
      <x:c r="B2854" s="34" t="str">
        <x:v>48201432401</x:v>
      </x:c>
      <x:c r="C2854" s="65" t="n">
        <x:v>302.1043822889079</x:v>
      </x:c>
      <x:c r="D2854" s="65" t="n">
        <x:v>258.2872888213415</x:v>
      </x:c>
      <x:c r="E2854" s="65" t="n">
        <x:v>43.817093467566394</x:v>
      </x:c>
      <x:c r="F2854" s="65" t="n">
        <x:v>43.817093467566394</x:v>
      </x:c>
      <x:c r="G2854" s="65" t="n">
        <x:v>302.1043822889079</x:v>
      </x:c>
      <x:c r="H2854" s="43" t="n">
        <x:v>1</x:v>
      </x:c>
      <x:c r="I2854" s="34" t="str">
        <x:v>generated design-reference observation; not predicted tract behavior</x:v>
      </x:c>
    </x:row>
    <x:row r="2855" ht="75.5999984741211" hidden="0" customHeight="1">
      <x:c r="A2855" s="36" t="str">
        <x:v>P2</x:v>
      </x:c>
      <x:c r="B2855" s="36" t="str">
        <x:v>48201432402</x:v>
      </x:c>
      <x:c r="C2855" s="66" t="n">
        <x:v>240.21063103948936</x:v>
      </x:c>
      <x:c r="D2855" s="66" t="n">
        <x:v>199.557248346486</x:v>
      </x:c>
      <x:c r="E2855" s="66" t="n">
        <x:v>40.65338269300335</x:v>
      </x:c>
      <x:c r="F2855" s="66" t="n">
        <x:v>40.65338269300335</x:v>
      </x:c>
      <x:c r="G2855" s="66" t="n">
        <x:v>240.21063103948936</x:v>
      </x:c>
      <x:c r="H2855" s="45" t="n">
        <x:v>1</x:v>
      </x:c>
      <x:c r="I2855" s="36" t="str">
        <x:v>generated design-reference observation; not predicted tract behavior</x:v>
      </x:c>
    </x:row>
    <x:row r="2856" ht="75.5999984741211" hidden="0" customHeight="1">
      <x:c r="A2856" s="34" t="str">
        <x:v>P2</x:v>
      </x:c>
      <x:c r="B2856" s="34" t="str">
        <x:v>48201432501</x:v>
      </x:c>
      <x:c r="C2856" s="65" t="n">
        <x:v>285.11995099367067</x:v>
      </x:c>
      <x:c r="D2856" s="65" t="n">
        <x:v>244.95522312794094</x:v>
      </x:c>
      <x:c r="E2856" s="65" t="n">
        <x:v>40.16472786572973</x:v>
      </x:c>
      <x:c r="F2856" s="65" t="n">
        <x:v>40.16472786572973</x:v>
      </x:c>
      <x:c r="G2856" s="65" t="n">
        <x:v>285.11995099367067</x:v>
      </x:c>
      <x:c r="H2856" s="43" t="n">
        <x:v>1</x:v>
      </x:c>
      <x:c r="I2856" s="34" t="str">
        <x:v>generated design-reference observation; not predicted tract behavior</x:v>
      </x:c>
    </x:row>
    <x:row r="2857" ht="75.5999984741211" hidden="0" customHeight="1">
      <x:c r="A2857" s="36" t="str">
        <x:v>P2</x:v>
      </x:c>
      <x:c r="B2857" s="36" t="str">
        <x:v>48201432502</x:v>
      </x:c>
      <x:c r="C2857" s="66" t="n">
        <x:v>154.79332455330768</x:v>
      </x:c>
      <x:c r="D2857" s="66" t="n">
        <x:v>131.45597738941345</x:v>
      </x:c>
      <x:c r="E2857" s="66" t="n">
        <x:v>23.337347163894236</x:v>
      </x:c>
      <x:c r="F2857" s="66" t="n">
        <x:v>23.337347163894236</x:v>
      </x:c>
      <x:c r="G2857" s="66" t="n">
        <x:v>154.79332455330768</x:v>
      </x:c>
      <x:c r="H2857" s="45" t="n">
        <x:v>1</x:v>
      </x:c>
      <x:c r="I2857" s="36" t="str">
        <x:v>generated design-reference observation; not predicted tract behavior</x:v>
      </x:c>
    </x:row>
    <x:row r="2858" ht="75.5999984741211" hidden="0" customHeight="1">
      <x:c r="A2858" s="34" t="str">
        <x:v>P2</x:v>
      </x:c>
      <x:c r="B2858" s="34" t="str">
        <x:v>48201432600</x:v>
      </x:c>
      <x:c r="C2858" s="65" t="n">
        <x:v>178.8120298000662</x:v>
      </x:c>
      <x:c r="D2858" s="65" t="n">
        <x:v>153.82894960230234</x:v>
      </x:c>
      <x:c r="E2858" s="65" t="n">
        <x:v>24.983080197763854</x:v>
      </x:c>
      <x:c r="F2858" s="65" t="n">
        <x:v>24.983080197763854</x:v>
      </x:c>
      <x:c r="G2858" s="65" t="n">
        <x:v>178.8120298000662</x:v>
      </x:c>
      <x:c r="H2858" s="43" t="n">
        <x:v>1</x:v>
      </x:c>
      <x:c r="I2858" s="34" t="str">
        <x:v>generated design-reference observation; not predicted tract behavior</x:v>
      </x:c>
    </x:row>
    <x:row r="2859" ht="75.5999984741211" hidden="0" customHeight="1">
      <x:c r="A2859" s="36" t="str">
        <x:v>P2</x:v>
      </x:c>
      <x:c r="B2859" s="36" t="str">
        <x:v>48201432703</x:v>
      </x:c>
      <x:c r="C2859" s="66" t="n">
        <x:v>162.83361757275597</x:v>
      </x:c>
      <x:c r="D2859" s="66" t="n">
        <x:v>136.45490271298831</x:v>
      </x:c>
      <x:c r="E2859" s="66" t="n">
        <x:v>26.378714859767655</x:v>
      </x:c>
      <x:c r="F2859" s="66" t="n">
        <x:v>26.378714859767655</x:v>
      </x:c>
      <x:c r="G2859" s="66" t="n">
        <x:v>162.83361757275597</x:v>
      </x:c>
      <x:c r="H2859" s="45" t="n">
        <x:v>1</x:v>
      </x:c>
      <x:c r="I2859" s="36" t="str">
        <x:v>generated design-reference observation; not predicted tract behavior</x:v>
      </x:c>
    </x:row>
    <x:row r="2860" ht="75.5999984741211" hidden="0" customHeight="1">
      <x:c r="A2860" s="34" t="str">
        <x:v>P2</x:v>
      </x:c>
      <x:c r="B2860" s="34" t="str">
        <x:v>48201432704</x:v>
      </x:c>
      <x:c r="C2860" s="65" t="n">
        <x:v>140.34751949979258</x:v>
      </x:c>
      <x:c r="D2860" s="65" t="n">
        <x:v>117.46104535491658</x:v>
      </x:c>
      <x:c r="E2860" s="65" t="n">
        <x:v>22.886474144876004</x:v>
      </x:c>
      <x:c r="F2860" s="65" t="n">
        <x:v>22.886474144876004</x:v>
      </x:c>
      <x:c r="G2860" s="65" t="n">
        <x:v>140.34751949979258</x:v>
      </x:c>
      <x:c r="H2860" s="43" t="n">
        <x:v>1</x:v>
      </x:c>
      <x:c r="I2860" s="34" t="str">
        <x:v>generated design-reference observation; not predicted tract behavior</x:v>
      </x:c>
    </x:row>
    <x:row r="2861" ht="75.5999984741211" hidden="0" customHeight="1">
      <x:c r="A2861" s="36" t="str">
        <x:v>P2</x:v>
      </x:c>
      <x:c r="B2861" s="36" t="str">
        <x:v>48201432705</x:v>
      </x:c>
      <x:c r="C2861" s="66" t="n">
        <x:v>426.6267502787698</x:v>
      </x:c>
      <x:c r="D2861" s="66" t="n">
        <x:v>356.33854718051657</x:v>
      </x:c>
      <x:c r="E2861" s="66" t="n">
        <x:v>70.28820309825323</x:v>
      </x:c>
      <x:c r="F2861" s="66" t="n">
        <x:v>70.28820309825323</x:v>
      </x:c>
      <x:c r="G2861" s="66" t="n">
        <x:v>426.6267502787698</x:v>
      </x:c>
      <x:c r="H2861" s="45" t="n">
        <x:v>1</x:v>
      </x:c>
      <x:c r="I2861" s="36" t="str">
        <x:v>generated design-reference observation; not predicted tract behavior</x:v>
      </x:c>
    </x:row>
    <x:row r="2862" ht="75.5999984741211" hidden="0" customHeight="1">
      <x:c r="A2862" s="34" t="str">
        <x:v>P2</x:v>
      </x:c>
      <x:c r="B2862" s="34" t="str">
        <x:v>48201432706</x:v>
      </x:c>
      <x:c r="C2862" s="65" t="n">
        <x:v>182.22306320225636</x:v>
      </x:c>
      <x:c r="D2862" s="65" t="n">
        <x:v>154.4275544977432</x:v>
      </x:c>
      <x:c r="E2862" s="65" t="n">
        <x:v>27.795508704513168</x:v>
      </x:c>
      <x:c r="F2862" s="65" t="n">
        <x:v>27.795508704513168</x:v>
      </x:c>
      <x:c r="G2862" s="65" t="n">
        <x:v>182.22306320225636</x:v>
      </x:c>
      <x:c r="H2862" s="43" t="n">
        <x:v>1</x:v>
      </x:c>
      <x:c r="I2862" s="34" t="str">
        <x:v>generated design-reference observation; not predicted tract behavior</x:v>
      </x:c>
    </x:row>
    <x:row r="2863" ht="75.5999984741211" hidden="0" customHeight="1">
      <x:c r="A2863" s="36" t="str">
        <x:v>P2</x:v>
      </x:c>
      <x:c r="B2863" s="36" t="str">
        <x:v>48201432803</x:v>
      </x:c>
      <x:c r="C2863" s="66" t="n">
        <x:v>206.61902559948746</x:v>
      </x:c>
      <x:c r="D2863" s="66" t="n">
        <x:v>175.46596865885763</x:v>
      </x:c>
      <x:c r="E2863" s="66" t="n">
        <x:v>31.153056940629824</x:v>
      </x:c>
      <x:c r="F2863" s="66" t="n">
        <x:v>31.153056940629824</x:v>
      </x:c>
      <x:c r="G2863" s="66" t="n">
        <x:v>206.61902559948746</x:v>
      </x:c>
      <x:c r="H2863" s="45" t="n">
        <x:v>1</x:v>
      </x:c>
      <x:c r="I2863" s="36" t="str">
        <x:v>generated design-reference observation; not predicted tract behavior</x:v>
      </x:c>
    </x:row>
    <x:row r="2864" ht="75.5999984741211" hidden="0" customHeight="1">
      <x:c r="A2864" s="34" t="str">
        <x:v>P2</x:v>
      </x:c>
      <x:c r="B2864" s="34" t="str">
        <x:v>48201432804</x:v>
      </x:c>
      <x:c r="C2864" s="65" t="n">
        <x:v>161.97299969824024</x:v>
      </x:c>
      <x:c r="D2864" s="65" t="n">
        <x:v>138.73986619075174</x:v>
      </x:c>
      <x:c r="E2864" s="65" t="n">
        <x:v>23.233133507488503</x:v>
      </x:c>
      <x:c r="F2864" s="65" t="n">
        <x:v>23.233133507488503</x:v>
      </x:c>
      <x:c r="G2864" s="65" t="n">
        <x:v>161.97299969824024</x:v>
      </x:c>
      <x:c r="H2864" s="43" t="n">
        <x:v>1</x:v>
      </x:c>
      <x:c r="I2864" s="34" t="str">
        <x:v>generated design-reference observation; not predicted tract behavior</x:v>
      </x:c>
    </x:row>
    <x:row r="2865" ht="75.5999984741211" hidden="0" customHeight="1">
      <x:c r="A2865" s="36" t="str">
        <x:v>P2</x:v>
      </x:c>
      <x:c r="B2865" s="36" t="str">
        <x:v>48201432805</x:v>
      </x:c>
      <x:c r="C2865" s="66" t="n">
        <x:v>201.35314454080677</x:v>
      </x:c>
      <x:c r="D2865" s="66" t="n">
        <x:v>171.4842990066474</x:v>
      </x:c>
      <x:c r="E2865" s="66" t="n">
        <x:v>29.868845534159362</x:v>
      </x:c>
      <x:c r="F2865" s="66" t="n">
        <x:v>29.868845534159362</x:v>
      </x:c>
      <x:c r="G2865" s="66" t="n">
        <x:v>201.35314454080677</x:v>
      </x:c>
      <x:c r="H2865" s="45" t="n">
        <x:v>1</x:v>
      </x:c>
      <x:c r="I2865" s="36" t="str">
        <x:v>generated design-reference observation; not predicted tract behavior</x:v>
      </x:c>
    </x:row>
    <x:row r="2866" ht="75.5999984741211" hidden="0" customHeight="1">
      <x:c r="A2866" s="34" t="str">
        <x:v>P2</x:v>
      </x:c>
      <x:c r="B2866" s="34" t="str">
        <x:v>48201432806</x:v>
      </x:c>
      <x:c r="C2866" s="65" t="n">
        <x:v>348.21620941022076</x:v>
      </x:c>
      <x:c r="D2866" s="65" t="n">
        <x:v>293.1375497650343</x:v>
      </x:c>
      <x:c r="E2866" s="65" t="n">
        <x:v>55.07865964518646</x:v>
      </x:c>
      <x:c r="F2866" s="65" t="n">
        <x:v>55.07865964518646</x:v>
      </x:c>
      <x:c r="G2866" s="65" t="n">
        <x:v>348.21620941022076</x:v>
      </x:c>
      <x:c r="H2866" s="43" t="n">
        <x:v>1</x:v>
      </x:c>
      <x:c r="I2866" s="34" t="str">
        <x:v>generated design-reference observation; not predicted tract behavior</x:v>
      </x:c>
    </x:row>
    <x:row r="2867" ht="75.5999984741211" hidden="0" customHeight="1">
      <x:c r="A2867" s="36" t="str">
        <x:v>P2</x:v>
      </x:c>
      <x:c r="B2867" s="36" t="str">
        <x:v>48201432901</x:v>
      </x:c>
      <x:c r="C2867" s="66" t="n">
        <x:v>297.39652743196797</x:v>
      </x:c>
      <x:c r="D2867" s="66" t="n">
        <x:v>254.2697656620313</x:v>
      </x:c>
      <x:c r="E2867" s="66" t="n">
        <x:v>43.12676176993668</x:v>
      </x:c>
      <x:c r="F2867" s="66" t="n">
        <x:v>43.12676176993668</x:v>
      </x:c>
      <x:c r="G2867" s="66" t="n">
        <x:v>297.39652743196797</x:v>
      </x:c>
      <x:c r="H2867" s="45" t="n">
        <x:v>1</x:v>
      </x:c>
      <x:c r="I2867" s="36" t="str">
        <x:v>generated design-reference observation; not predicted tract behavior</x:v>
      </x:c>
    </x:row>
    <x:row r="2868" ht="75.5999984741211" hidden="0" customHeight="1">
      <x:c r="A2868" s="34" t="str">
        <x:v>P2</x:v>
      </x:c>
      <x:c r="B2868" s="34" t="str">
        <x:v>48201432903</x:v>
      </x:c>
      <x:c r="C2868" s="65" t="n">
        <x:v>171.21579988482006</x:v>
      </x:c>
      <x:c r="D2868" s="65" t="n">
        <x:v>144.62237674854777</x:v>
      </x:c>
      <x:c r="E2868" s="65" t="n">
        <x:v>26.593423136272293</x:v>
      </x:c>
      <x:c r="F2868" s="65" t="n">
        <x:v>26.593423136272293</x:v>
      </x:c>
      <x:c r="G2868" s="65" t="n">
        <x:v>171.21579988482006</x:v>
      </x:c>
      <x:c r="H2868" s="43" t="n">
        <x:v>1</x:v>
      </x:c>
      <x:c r="I2868" s="34" t="str">
        <x:v>generated design-reference observation; not predicted tract behavior</x:v>
      </x:c>
    </x:row>
    <x:row r="2869" ht="75.5999984741211" hidden="0" customHeight="1">
      <x:c r="A2869" s="36" t="str">
        <x:v>P2</x:v>
      </x:c>
      <x:c r="B2869" s="36" t="str">
        <x:v>48201432904</x:v>
      </x:c>
      <x:c r="C2869" s="66" t="n">
        <x:v>311.4532860490581</x:v>
      </x:c>
      <x:c r="D2869" s="66" t="n">
        <x:v>266.5721346981275</x:v>
      </x:c>
      <x:c r="E2869" s="66" t="n">
        <x:v>44.881151350930566</x:v>
      </x:c>
      <x:c r="F2869" s="66" t="n">
        <x:v>44.881151350930566</x:v>
      </x:c>
      <x:c r="G2869" s="66" t="n">
        <x:v>311.4532860490581</x:v>
      </x:c>
      <x:c r="H2869" s="45" t="n">
        <x:v>1</x:v>
      </x:c>
      <x:c r="I2869" s="36" t="str">
        <x:v>generated design-reference observation; not predicted tract behavior</x:v>
      </x:c>
    </x:row>
    <x:row r="2870" ht="75.5999984741211" hidden="0" customHeight="1">
      <x:c r="A2870" s="34" t="str">
        <x:v>P2</x:v>
      </x:c>
      <x:c r="B2870" s="34" t="str">
        <x:v>48201433003</x:v>
      </x:c>
      <x:c r="C2870" s="65" t="n">
        <x:v>450.633666239576</x:v>
      </x:c>
      <x:c r="D2870" s="65" t="n">
        <x:v>384.01971017128113</x:v>
      </x:c>
      <x:c r="E2870" s="65" t="n">
        <x:v>66.61395606829484</x:v>
      </x:c>
      <x:c r="F2870" s="65" t="n">
        <x:v>66.61395606829484</x:v>
      </x:c>
      <x:c r="G2870" s="65" t="n">
        <x:v>450.633666239576</x:v>
      </x:c>
      <x:c r="H2870" s="43" t="n">
        <x:v>1</x:v>
      </x:c>
      <x:c r="I2870" s="34" t="str">
        <x:v>generated design-reference observation; not predicted tract behavior</x:v>
      </x:c>
    </x:row>
    <x:row r="2871" ht="75.5999984741211" hidden="0" customHeight="1">
      <x:c r="A2871" s="36" t="str">
        <x:v>P2</x:v>
      </x:c>
      <x:c r="B2871" s="36" t="str">
        <x:v>48201433004</x:v>
      </x:c>
      <x:c r="C2871" s="66" t="n">
        <x:v>180.1088512548159</x:v>
      </x:c>
      <x:c r="D2871" s="66" t="n">
        <x:v>153.25433023241115</x:v>
      </x:c>
      <x:c r="E2871" s="66" t="n">
        <x:v>26.854521022404754</x:v>
      </x:c>
      <x:c r="F2871" s="66" t="n">
        <x:v>26.854521022404754</x:v>
      </x:c>
      <x:c r="G2871" s="66" t="n">
        <x:v>180.1088512548159</x:v>
      </x:c>
      <x:c r="H2871" s="45" t="n">
        <x:v>1</x:v>
      </x:c>
      <x:c r="I2871" s="36" t="str">
        <x:v>generated design-reference observation; not predicted tract behavior</x:v>
      </x:c>
    </x:row>
    <x:row r="2872" ht="75.5999984741211" hidden="0" customHeight="1">
      <x:c r="A2872" s="34" t="str">
        <x:v>P2</x:v>
      </x:c>
      <x:c r="B2872" s="34" t="str">
        <x:v>48201433005</x:v>
      </x:c>
      <x:c r="C2872" s="65" t="n">
        <x:v>173.7033392207491</x:v>
      </x:c>
      <x:c r="D2872" s="65" t="n">
        <x:v>146.89986367972708</x:v>
      </x:c>
      <x:c r="E2872" s="65" t="n">
        <x:v>26.80347554102201</x:v>
      </x:c>
      <x:c r="F2872" s="65" t="n">
        <x:v>26.80347554102201</x:v>
      </x:c>
      <x:c r="G2872" s="65" t="n">
        <x:v>173.7033392207491</x:v>
      </x:c>
      <x:c r="H2872" s="43" t="n">
        <x:v>1</x:v>
      </x:c>
      <x:c r="I2872" s="34" t="str">
        <x:v>generated design-reference observation; not predicted tract behavior</x:v>
      </x:c>
    </x:row>
    <x:row r="2873" ht="75.5999984741211" hidden="0" customHeight="1">
      <x:c r="A2873" s="36" t="str">
        <x:v>P2</x:v>
      </x:c>
      <x:c r="B2873" s="36" t="str">
        <x:v>48201433006</x:v>
      </x:c>
      <x:c r="C2873" s="66" t="n">
        <x:v>183.3233965578016</x:v>
      </x:c>
      <x:c r="D2873" s="66" t="n">
        <x:v>156.70650626574215</x:v>
      </x:c>
      <x:c r="E2873" s="66" t="n">
        <x:v>26.616890292059452</x:v>
      </x:c>
      <x:c r="F2873" s="66" t="n">
        <x:v>26.616890292059452</x:v>
      </x:c>
      <x:c r="G2873" s="66" t="n">
        <x:v>183.3233965578016</x:v>
      </x:c>
      <x:c r="H2873" s="45" t="n">
        <x:v>1</x:v>
      </x:c>
      <x:c r="I2873" s="36" t="str">
        <x:v>generated design-reference observation; not predicted tract behavior</x:v>
      </x:c>
    </x:row>
    <x:row r="2874" ht="75.5999984741211" hidden="0" customHeight="1">
      <x:c r="A2874" s="34" t="str">
        <x:v>P2</x:v>
      </x:c>
      <x:c r="B2874" s="34" t="str">
        <x:v>48201433007</x:v>
      </x:c>
      <x:c r="C2874" s="65" t="n">
        <x:v>140.09208497082676</x:v>
      </x:c>
      <x:c r="D2874" s="65" t="n">
        <x:v>118.35281701866172</x:v>
      </x:c>
      <x:c r="E2874" s="65" t="n">
        <x:v>21.739267952165036</x:v>
      </x:c>
      <x:c r="F2874" s="65" t="n">
        <x:v>21.739267952165036</x:v>
      </x:c>
      <x:c r="G2874" s="65" t="n">
        <x:v>140.09208497082676</x:v>
      </x:c>
      <x:c r="H2874" s="43" t="n">
        <x:v>1</x:v>
      </x:c>
      <x:c r="I2874" s="34" t="str">
        <x:v>generated design-reference observation; not predicted tract behavior</x:v>
      </x:c>
    </x:row>
    <x:row r="2875" ht="75.5999984741211" hidden="0" customHeight="1">
      <x:c r="A2875" s="36" t="str">
        <x:v>P2</x:v>
      </x:c>
      <x:c r="B2875" s="36" t="str">
        <x:v>48201433100</x:v>
      </x:c>
      <x:c r="C2875" s="66" t="n">
        <x:v>474.2267480345191</x:v>
      </x:c>
      <x:c r="D2875" s="66" t="n">
        <x:v>353.10711369420136</x:v>
      </x:c>
      <x:c r="E2875" s="66" t="n">
        <x:v>121.11963434031776</x:v>
      </x:c>
      <x:c r="F2875" s="66" t="n">
        <x:v>121.11963434031777</x:v>
      </x:c>
      <x:c r="G2875" s="66" t="n">
        <x:v>474.2267480345191</x:v>
      </x:c>
      <x:c r="H2875" s="45" t="n">
        <x:v>1</x:v>
      </x:c>
      <x:c r="I2875" s="36" t="str">
        <x:v>generated design-reference observation; not predicted tract behavior</x:v>
      </x:c>
    </x:row>
    <x:row r="2876" ht="75.5999984741211" hidden="0" customHeight="1">
      <x:c r="A2876" s="34" t="str">
        <x:v>P2</x:v>
      </x:c>
      <x:c r="B2876" s="34" t="str">
        <x:v>48201433201</x:v>
      </x:c>
      <x:c r="C2876" s="65" t="n">
        <x:v>557.2275531898688</x:v>
      </x:c>
      <x:c r="D2876" s="65" t="n">
        <x:v>417.48043908544054</x:v>
      </x:c>
      <x:c r="E2876" s="65" t="n">
        <x:v>139.74711410442825</x:v>
      </x:c>
      <x:c r="F2876" s="65" t="n">
        <x:v>139.74711410442825</x:v>
      </x:c>
      <x:c r="G2876" s="65" t="n">
        <x:v>557.2275531898688</x:v>
      </x:c>
      <x:c r="H2876" s="43" t="n">
        <x:v>1</x:v>
      </x:c>
      <x:c r="I2876" s="34" t="str">
        <x:v>generated design-reference observation; not predicted tract behavior</x:v>
      </x:c>
    </x:row>
    <x:row r="2877" ht="75.5999984741211" hidden="0" customHeight="1">
      <x:c r="A2877" s="36" t="str">
        <x:v>P2</x:v>
      </x:c>
      <x:c r="B2877" s="36" t="str">
        <x:v>48201433202</x:v>
      </x:c>
      <x:c r="C2877" s="66" t="n">
        <x:v>520.5175304707997</x:v>
      </x:c>
      <x:c r="D2877" s="66" t="n">
        <x:v>389.0612582975624</x:v>
      </x:c>
      <x:c r="E2877" s="66" t="n">
        <x:v>131.45627217323727</x:v>
      </x:c>
      <x:c r="F2877" s="66" t="n">
        <x:v>131.45627217323727</x:v>
      </x:c>
      <x:c r="G2877" s="66" t="n">
        <x:v>520.5175304707997</x:v>
      </x:c>
      <x:c r="H2877" s="45" t="n">
        <x:v>1</x:v>
      </x:c>
      <x:c r="I2877" s="36" t="str">
        <x:v>generated design-reference observation; not predicted tract behavior</x:v>
      </x:c>
    </x:row>
    <x:row r="2878" ht="75.5999984741211" hidden="0" customHeight="1">
      <x:c r="A2878" s="34" t="str">
        <x:v>P2</x:v>
      </x:c>
      <x:c r="B2878" s="34" t="str">
        <x:v>48201433300</x:v>
      </x:c>
      <x:c r="C2878" s="65" t="n">
        <x:v>662.449046339564</x:v>
      </x:c>
      <x:c r="D2878" s="65" t="n">
        <x:v>499.44971481558264</x:v>
      </x:c>
      <x:c r="E2878" s="65" t="n">
        <x:v>162.99933152398137</x:v>
      </x:c>
      <x:c r="F2878" s="65" t="n">
        <x:v>162.99933152398137</x:v>
      </x:c>
      <x:c r="G2878" s="65" t="n">
        <x:v>662.449046339564</x:v>
      </x:c>
      <x:c r="H2878" s="43" t="n">
        <x:v>1</x:v>
      </x:c>
      <x:c r="I2878" s="34" t="str">
        <x:v>generated design-reference observation; not predicted tract behavior</x:v>
      </x:c>
    </x:row>
    <x:row r="2879" ht="75.5999984741211" hidden="0" customHeight="1">
      <x:c r="A2879" s="36" t="str">
        <x:v>P2</x:v>
      </x:c>
      <x:c r="B2879" s="36" t="str">
        <x:v>48201433400</x:v>
      </x:c>
      <x:c r="C2879" s="66" t="n">
        <x:v>762.5818000092462</x:v>
      </x:c>
      <x:c r="D2879" s="66" t="n">
        <x:v>311.891628669027</x:v>
      </x:c>
      <x:c r="E2879" s="66" t="n">
        <x:v>450.6901713402192</x:v>
      </x:c>
      <x:c r="F2879" s="66" t="n">
        <x:v>450.6901713402192</x:v>
      </x:c>
      <x:c r="G2879" s="66" t="n">
        <x:v>762.5818000092462</x:v>
      </x:c>
      <x:c r="H2879" s="45" t="n">
        <x:v>1</x:v>
      </x:c>
      <x:c r="I2879" s="36" t="str">
        <x:v>generated design-reference observation; not predicted tract behavior</x:v>
      </x:c>
    </x:row>
    <x:row r="2880" ht="75.5999984741211" hidden="0" customHeight="1">
      <x:c r="A2880" s="34" t="str">
        <x:v>P2</x:v>
      </x:c>
      <x:c r="B2880" s="34" t="str">
        <x:v>48201433503</x:v>
      </x:c>
      <x:c r="C2880" s="65" t="n">
        <x:v>405.81140562781144</x:v>
      </x:c>
      <x:c r="D2880" s="65" t="n">
        <x:v>165.58985807259958</x:v>
      </x:c>
      <x:c r="E2880" s="65" t="n">
        <x:v>240.22154755521186</x:v>
      </x:c>
      <x:c r="F2880" s="65" t="n">
        <x:v>240.22154755521186</x:v>
      </x:c>
      <x:c r="G2880" s="65" t="n">
        <x:v>405.81140562781144</x:v>
      </x:c>
      <x:c r="H2880" s="43" t="n">
        <x:v>1</x:v>
      </x:c>
      <x:c r="I2880" s="34" t="str">
        <x:v>generated design-reference observation; not predicted tract behavior</x:v>
      </x:c>
    </x:row>
    <x:row r="2881" ht="75.5999984741211" hidden="0" customHeight="1">
      <x:c r="A2881" s="36" t="str">
        <x:v>P2</x:v>
      </x:c>
      <x:c r="B2881" s="36" t="str">
        <x:v>48201433504</x:v>
      </x:c>
      <x:c r="C2881" s="66" t="n">
        <x:v>588.0012169978946</x:v>
      </x:c>
      <x:c r="D2881" s="66" t="n">
        <x:v>240.0057232061903</x:v>
      </x:c>
      <x:c r="E2881" s="66" t="n">
        <x:v>347.99549379170435</x:v>
      </x:c>
      <x:c r="F2881" s="66" t="n">
        <x:v>347.99549379170435</x:v>
      </x:c>
      <x:c r="G2881" s="66" t="n">
        <x:v>588.0012169978946</x:v>
      </x:c>
      <x:c r="H2881" s="45" t="n">
        <x:v>1</x:v>
      </x:c>
      <x:c r="I2881" s="36" t="str">
        <x:v>generated design-reference observation; not predicted tract behavior</x:v>
      </x:c>
    </x:row>
    <x:row r="2882" ht="75.5999984741211" hidden="0" customHeight="1">
      <x:c r="A2882" s="34" t="str">
        <x:v>P2</x:v>
      </x:c>
      <x:c r="B2882" s="34" t="str">
        <x:v>48201433505</x:v>
      </x:c>
      <x:c r="C2882" s="65" t="n">
        <x:v>313.8776469038583</x:v>
      </x:c>
      <x:c r="D2882" s="65" t="n">
        <x:v>233.03384874087942</x:v>
      </x:c>
      <x:c r="E2882" s="65" t="n">
        <x:v>80.84379816297889</x:v>
      </x:c>
      <x:c r="F2882" s="65" t="n">
        <x:v>80.84379816297889</x:v>
      </x:c>
      <x:c r="G2882" s="65" t="n">
        <x:v>313.8776469038583</x:v>
      </x:c>
      <x:c r="H2882" s="43" t="n">
        <x:v>1</x:v>
      </x:c>
      <x:c r="I2882" s="34" t="str">
        <x:v>generated design-reference observation; not predicted tract behavior</x:v>
      </x:c>
    </x:row>
    <x:row r="2883" ht="75.5999984741211" hidden="0" customHeight="1">
      <x:c r="A2883" s="36" t="str">
        <x:v>P2</x:v>
      </x:c>
      <x:c r="B2883" s="36" t="str">
        <x:v>48201433506</x:v>
      </x:c>
      <x:c r="C2883" s="66" t="n">
        <x:v>226.38542609007712</x:v>
      </x:c>
      <x:c r="D2883" s="66" t="n">
        <x:v>169.02214442268945</x:v>
      </x:c>
      <x:c r="E2883" s="66" t="n">
        <x:v>57.36328166738767</x:v>
      </x:c>
      <x:c r="F2883" s="66" t="n">
        <x:v>57.36328166738766</x:v>
      </x:c>
      <x:c r="G2883" s="66" t="n">
        <x:v>226.38542609007712</x:v>
      </x:c>
      <x:c r="H2883" s="45" t="n">
        <x:v>1</x:v>
      </x:c>
      <x:c r="I2883" s="36" t="str">
        <x:v>generated design-reference observation; not predicted tract behavior</x:v>
      </x:c>
    </x:row>
    <x:row r="2884" ht="75.5999984741211" hidden="0" customHeight="1">
      <x:c r="A2884" s="34" t="str">
        <x:v>P2</x:v>
      </x:c>
      <x:c r="B2884" s="34" t="str">
        <x:v>48201433507</x:v>
      </x:c>
      <x:c r="C2884" s="65" t="n">
        <x:v>433.49113759682484</x:v>
      </x:c>
      <x:c r="D2884" s="65" t="n">
        <x:v>322.76843399632867</x:v>
      </x:c>
      <x:c r="E2884" s="65" t="n">
        <x:v>110.72270360049617</x:v>
      </x:c>
      <x:c r="F2884" s="65" t="n">
        <x:v>110.72270360049617</x:v>
      </x:c>
      <x:c r="G2884" s="65" t="n">
        <x:v>433.49113759682484</x:v>
      </x:c>
      <x:c r="H2884" s="43" t="n">
        <x:v>1</x:v>
      </x:c>
      <x:c r="I2884" s="34" t="str">
        <x:v>generated design-reference observation; not predicted tract behavior</x:v>
      </x:c>
    </x:row>
    <x:row r="2885" ht="75.5999984741211" hidden="0" customHeight="1">
      <x:c r="A2885" s="36" t="str">
        <x:v>P2</x:v>
      </x:c>
      <x:c r="B2885" s="36" t="str">
        <x:v>48201433601</x:v>
      </x:c>
      <x:c r="C2885" s="66" t="n">
        <x:v>414.29485488331176</x:v>
      </x:c>
      <x:c r="D2885" s="66" t="n">
        <x:v>305.85745977875575</x:v>
      </x:c>
      <x:c r="E2885" s="66" t="n">
        <x:v>108.437395104556</x:v>
      </x:c>
      <x:c r="F2885" s="66" t="n">
        <x:v>108.437395104556</x:v>
      </x:c>
      <x:c r="G2885" s="66" t="n">
        <x:v>414.29485488331176</x:v>
      </x:c>
      <x:c r="H2885" s="45" t="n">
        <x:v>1</x:v>
      </x:c>
      <x:c r="I2885" s="36" t="str">
        <x:v>generated design-reference observation; not predicted tract behavior</x:v>
      </x:c>
    </x:row>
    <x:row r="2886" ht="75.5999984741211" hidden="0" customHeight="1">
      <x:c r="A2886" s="34" t="str">
        <x:v>P2</x:v>
      </x:c>
      <x:c r="B2886" s="34" t="str">
        <x:v>48201433602</x:v>
      </x:c>
      <x:c r="C2886" s="65" t="n">
        <x:v>577.5849294249888</x:v>
      </x:c>
      <x:c r="D2886" s="65" t="n">
        <x:v>429.2306861077575</x:v>
      </x:c>
      <x:c r="E2886" s="65" t="n">
        <x:v>148.3542433172313</x:v>
      </x:c>
      <x:c r="F2886" s="65" t="n">
        <x:v>148.3542433172313</x:v>
      </x:c>
      <x:c r="G2886" s="65" t="n">
        <x:v>577.5849294249888</x:v>
      </x:c>
      <x:c r="H2886" s="43" t="n">
        <x:v>1</x:v>
      </x:c>
      <x:c r="I2886" s="34" t="str">
        <x:v>generated design-reference observation; not predicted tract behavior</x:v>
      </x:c>
    </x:row>
    <x:row r="2887" ht="75.5999984741211" hidden="0" customHeight="1">
      <x:c r="A2887" s="36" t="str">
        <x:v>P2</x:v>
      </x:c>
      <x:c r="B2887" s="36" t="str">
        <x:v>48201440101</x:v>
      </x:c>
      <x:c r="C2887" s="66" t="n">
        <x:v>260.390865695942</x:v>
      </x:c>
      <x:c r="D2887" s="66" t="n">
        <x:v>192.6338900598942</x:v>
      </x:c>
      <x:c r="E2887" s="66" t="n">
        <x:v>67.7569756360478</x:v>
      </x:c>
      <x:c r="F2887" s="66" t="n">
        <x:v>67.7569756360478</x:v>
      </x:c>
      <x:c r="G2887" s="66" t="n">
        <x:v>260.390865695942</x:v>
      </x:c>
      <x:c r="H2887" s="45" t="n">
        <x:v>1</x:v>
      </x:c>
      <x:c r="I2887" s="36" t="str">
        <x:v>generated design-reference observation; not predicted tract behavior</x:v>
      </x:c>
    </x:row>
    <x:row r="2888" ht="75.5999984741211" hidden="0" customHeight="1">
      <x:c r="A2888" s="34" t="str">
        <x:v>P2</x:v>
      </x:c>
      <x:c r="B2888" s="34" t="str">
        <x:v>48201440102</x:v>
      </x:c>
      <x:c r="C2888" s="65" t="n">
        <x:v>358.4335905688548</x:v>
      </x:c>
      <x:c r="D2888" s="65" t="n">
        <x:v>308.21319586269607</x:v>
      </x:c>
      <x:c r="E2888" s="65" t="n">
        <x:v>50.22039470615874</x:v>
      </x:c>
      <x:c r="F2888" s="65" t="n">
        <x:v>50.22039470615874</x:v>
      </x:c>
      <x:c r="G2888" s="65" t="n">
        <x:v>358.4335905688548</x:v>
      </x:c>
      <x:c r="H2888" s="43" t="n">
        <x:v>1</x:v>
      </x:c>
      <x:c r="I2888" s="34" t="str">
        <x:v>generated design-reference observation; not predicted tract behavior</x:v>
      </x:c>
    </x:row>
    <x:row r="2889" ht="75.5999984741211" hidden="0" customHeight="1">
      <x:c r="A2889" s="36" t="str">
        <x:v>P2</x:v>
      </x:c>
      <x:c r="B2889" s="36" t="str">
        <x:v>48201450100</x:v>
      </x:c>
      <x:c r="C2889" s="66" t="n">
        <x:v>148.7807887176499</x:v>
      </x:c>
      <x:c r="D2889" s="66" t="n">
        <x:v>128.5450020585708</x:v>
      </x:c>
      <x:c r="E2889" s="66" t="n">
        <x:v>20.23578665907911</x:v>
      </x:c>
      <x:c r="F2889" s="66" t="n">
        <x:v>20.23578665907911</x:v>
      </x:c>
      <x:c r="G2889" s="66" t="n">
        <x:v>148.7807887176499</x:v>
      </x:c>
      <x:c r="H2889" s="45" t="n">
        <x:v>1</x:v>
      </x:c>
      <x:c r="I2889" s="36" t="str">
        <x:v>generated design-reference observation; not predicted tract behavior</x:v>
      </x:c>
    </x:row>
    <x:row r="2890" ht="75.5999984741211" hidden="0" customHeight="1">
      <x:c r="A2890" s="34" t="str">
        <x:v>P2</x:v>
      </x:c>
      <x:c r="B2890" s="34" t="str">
        <x:v>48201450200</x:v>
      </x:c>
      <x:c r="C2890" s="65" t="n">
        <x:v>473.3476905076165</x:v>
      </x:c>
      <x:c r="D2890" s="65" t="n">
        <x:v>401.3259712404773</x:v>
      </x:c>
      <x:c r="E2890" s="65" t="n">
        <x:v>72.02171926713919</x:v>
      </x:c>
      <x:c r="F2890" s="65" t="n">
        <x:v>72.02171926713919</x:v>
      </x:c>
      <x:c r="G2890" s="65" t="n">
        <x:v>473.3476905076165</x:v>
      </x:c>
      <x:c r="H2890" s="43" t="n">
        <x:v>1</x:v>
      </x:c>
      <x:c r="I2890" s="34" t="str">
        <x:v>generated design-reference observation; not predicted tract behavior</x:v>
      </x:c>
    </x:row>
    <x:row r="2891" ht="75.5999984741211" hidden="0" customHeight="1">
      <x:c r="A2891" s="36" t="str">
        <x:v>P2</x:v>
      </x:c>
      <x:c r="B2891" s="36" t="str">
        <x:v>48201450301</x:v>
      </x:c>
      <x:c r="C2891" s="66" t="n">
        <x:v>217.14292819288065</x:v>
      </x:c>
      <x:c r="D2891" s="66" t="n">
        <x:v>185.8721110670354</x:v>
      </x:c>
      <x:c r="E2891" s="66" t="n">
        <x:v>31.27081712584524</x:v>
      </x:c>
      <x:c r="F2891" s="66" t="n">
        <x:v>31.27081712584524</x:v>
      </x:c>
      <x:c r="G2891" s="66" t="n">
        <x:v>217.14292819288065</x:v>
      </x:c>
      <x:c r="H2891" s="45" t="n">
        <x:v>1</x:v>
      </x:c>
      <x:c r="I2891" s="36" t="str">
        <x:v>generated design-reference observation; not predicted tract behavior</x:v>
      </x:c>
    </x:row>
    <x:row r="2892" ht="75.5999984741211" hidden="0" customHeight="1">
      <x:c r="A2892" s="34" t="str">
        <x:v>P2</x:v>
      </x:c>
      <x:c r="B2892" s="34" t="str">
        <x:v>48201450302</x:v>
      </x:c>
      <x:c r="C2892" s="65" t="n">
        <x:v>462.8002093423188</x:v>
      </x:c>
      <x:c r="D2892" s="65" t="n">
        <x:v>392.82722970214616</x:v>
      </x:c>
      <x:c r="E2892" s="65" t="n">
        <x:v>69.97297964017264</x:v>
      </x:c>
      <x:c r="F2892" s="65" t="n">
        <x:v>69.97297964017264</x:v>
      </x:c>
      <x:c r="G2892" s="65" t="n">
        <x:v>462.8002093423188</x:v>
      </x:c>
      <x:c r="H2892" s="43" t="n">
        <x:v>1</x:v>
      </x:c>
      <x:c r="I2892" s="34" t="str">
        <x:v>generated design-reference observation; not predicted tract behavior</x:v>
      </x:c>
    </x:row>
    <x:row r="2893" ht="75.5999984741211" hidden="0" customHeight="1">
      <x:c r="A2893" s="36" t="str">
        <x:v>P2</x:v>
      </x:c>
      <x:c r="B2893" s="36" t="str">
        <x:v>48201450401</x:v>
      </x:c>
      <x:c r="C2893" s="66" t="n">
        <x:v>162.32274851482424</x:v>
      </x:c>
      <x:c r="D2893" s="66" t="n">
        <x:v>138.06929752748098</x:v>
      </x:c>
      <x:c r="E2893" s="66" t="n">
        <x:v>24.253450987343257</x:v>
      </x:c>
      <x:c r="F2893" s="66" t="n">
        <x:v>24.253450987343257</x:v>
      </x:c>
      <x:c r="G2893" s="66" t="n">
        <x:v>162.32274851482424</x:v>
      </x:c>
      <x:c r="H2893" s="45" t="n">
        <x:v>1</x:v>
      </x:c>
      <x:c r="I2893" s="36" t="str">
        <x:v>generated design-reference observation; not predicted tract behavior</x:v>
      </x:c>
    </x:row>
    <x:row r="2894" ht="75.5999984741211" hidden="0" customHeight="1">
      <x:c r="A2894" s="34" t="str">
        <x:v>P2</x:v>
      </x:c>
      <x:c r="B2894" s="34" t="str">
        <x:v>48201450402</x:v>
      </x:c>
      <x:c r="C2894" s="65" t="n">
        <x:v>311.79185015845667</x:v>
      </x:c>
      <x:c r="D2894" s="65" t="n">
        <x:v>230.99805158589876</x:v>
      </x:c>
      <x:c r="E2894" s="65" t="n">
        <x:v>80.7937985725579</x:v>
      </x:c>
      <x:c r="F2894" s="65" t="n">
        <x:v>80.7937985725579</x:v>
      </x:c>
      <x:c r="G2894" s="65" t="n">
        <x:v>311.79185015845667</x:v>
      </x:c>
      <x:c r="H2894" s="43" t="n">
        <x:v>1</x:v>
      </x:c>
      <x:c r="I2894" s="34" t="str">
        <x:v>generated design-reference observation; not predicted tract behavior</x:v>
      </x:c>
    </x:row>
    <x:row r="2895" ht="75.5999984741211" hidden="0" customHeight="1">
      <x:c r="A2895" s="36" t="str">
        <x:v>P2</x:v>
      </x:c>
      <x:c r="B2895" s="36" t="str">
        <x:v>48201450500</x:v>
      </x:c>
      <x:c r="C2895" s="66" t="n">
        <x:v>273.7118519538572</x:v>
      </x:c>
      <x:c r="D2895" s="66" t="n">
        <x:v>234.226443803409</x:v>
      </x:c>
      <x:c r="E2895" s="66" t="n">
        <x:v>39.485408150448194</x:v>
      </x:c>
      <x:c r="F2895" s="66" t="n">
        <x:v>39.4854081504482</x:v>
      </x:c>
      <x:c r="G2895" s="66" t="n">
        <x:v>273.7118519538572</x:v>
      </x:c>
      <x:c r="H2895" s="45" t="n">
        <x:v>1</x:v>
      </x:c>
      <x:c r="I2895" s="36" t="str">
        <x:v>generated design-reference observation; not predicted tract behavior</x:v>
      </x:c>
    </x:row>
    <x:row r="2896" ht="75.5999984741211" hidden="0" customHeight="1">
      <x:c r="A2896" s="34" t="str">
        <x:v>P2</x:v>
      </x:c>
      <x:c r="B2896" s="34" t="str">
        <x:v>48201450600</x:v>
      </x:c>
      <x:c r="C2896" s="65" t="n">
        <x:v>456.4457842140452</x:v>
      </x:c>
      <x:c r="D2896" s="65" t="n">
        <x:v>385.7308555133934</x:v>
      </x:c>
      <x:c r="E2896" s="65" t="n">
        <x:v>70.7149287006518</x:v>
      </x:c>
      <x:c r="F2896" s="65" t="n">
        <x:v>70.7149287006518</x:v>
      </x:c>
      <x:c r="G2896" s="65" t="n">
        <x:v>456.4457842140452</x:v>
      </x:c>
      <x:c r="H2896" s="43" t="n">
        <x:v>1</x:v>
      </x:c>
      <x:c r="I2896" s="34" t="str">
        <x:v>generated design-reference observation; not predicted tract behavior</x:v>
      </x:c>
    </x:row>
    <x:row r="2897" ht="75.5999984741211" hidden="0" customHeight="1">
      <x:c r="A2897" s="36" t="str">
        <x:v>P2</x:v>
      </x:c>
      <x:c r="B2897" s="36" t="str">
        <x:v>48201450700</x:v>
      </x:c>
      <x:c r="C2897" s="66" t="n">
        <x:v>1178.7786596928574</x:v>
      </x:c>
      <x:c r="D2897" s="66" t="n">
        <x:v>487.8669287487605</x:v>
      </x:c>
      <x:c r="E2897" s="66" t="n">
        <x:v>690.9117309440969</x:v>
      </x:c>
      <x:c r="F2897" s="66" t="n">
        <x:v>690.9117309440969</x:v>
      </x:c>
      <x:c r="G2897" s="66" t="n">
        <x:v>1178.7786596928574</x:v>
      </x:c>
      <x:c r="H2897" s="45" t="n">
        <x:v>1</x:v>
      </x:c>
      <x:c r="I2897" s="36" t="str">
        <x:v>generated design-reference observation; not predicted tract behavior</x:v>
      </x:c>
    </x:row>
    <x:row r="2898" ht="75.5999984741211" hidden="0" customHeight="1">
      <x:c r="A2898" s="34" t="str">
        <x:v>P2</x:v>
      </x:c>
      <x:c r="B2898" s="34" t="str">
        <x:v>48201450801</x:v>
      </x:c>
      <x:c r="C2898" s="65" t="n">
        <x:v>318.23696210174774</x:v>
      </x:c>
      <x:c r="D2898" s="65" t="n">
        <x:v>235.21474447059938</x:v>
      </x:c>
      <x:c r="E2898" s="65" t="n">
        <x:v>83.02221763114835</x:v>
      </x:c>
      <x:c r="F2898" s="65" t="n">
        <x:v>83.02221763114835</x:v>
      </x:c>
      <x:c r="G2898" s="65" t="n">
        <x:v>318.23696210174774</x:v>
      </x:c>
      <x:c r="H2898" s="43" t="n">
        <x:v>1</x:v>
      </x:c>
      <x:c r="I2898" s="34" t="str">
        <x:v>generated design-reference observation; not predicted tract behavior</x:v>
      </x:c>
    </x:row>
    <x:row r="2899" ht="75.5999984741211" hidden="0" customHeight="1">
      <x:c r="A2899" s="36" t="str">
        <x:v>P2</x:v>
      </x:c>
      <x:c r="B2899" s="36" t="str">
        <x:v>48201450803</x:v>
      </x:c>
      <x:c r="C2899" s="66" t="n">
        <x:v>341.4805973694904</x:v>
      </x:c>
      <x:c r="D2899" s="66" t="n">
        <x:v>293.4013998853447</x:v>
      </x:c>
      <x:c r="E2899" s="66" t="n">
        <x:v>48.07919748414571</x:v>
      </x:c>
      <x:c r="F2899" s="66" t="n">
        <x:v>48.07919748414571</x:v>
      </x:c>
      <x:c r="G2899" s="66" t="n">
        <x:v>341.4805973694904</x:v>
      </x:c>
      <x:c r="H2899" s="45" t="n">
        <x:v>1</x:v>
      </x:c>
      <x:c r="I2899" s="36" t="str">
        <x:v>generated design-reference observation; not predicted tract behavior</x:v>
      </x:c>
    </x:row>
    <x:row r="2900" ht="75.5999984741211" hidden="0" customHeight="1">
      <x:c r="A2900" s="34" t="str">
        <x:v>P2</x:v>
      </x:c>
      <x:c r="B2900" s="34" t="str">
        <x:v>48201450804</x:v>
      </x:c>
      <x:c r="C2900" s="65" t="n">
        <x:v>183.2212227462152</x:v>
      </x:c>
      <x:c r="D2900" s="65" t="n">
        <x:v>155.9758222463618</x:v>
      </x:c>
      <x:c r="E2900" s="65" t="n">
        <x:v>27.245400499853417</x:v>
      </x:c>
      <x:c r="F2900" s="65" t="n">
        <x:v>27.245400499853417</x:v>
      </x:c>
      <x:c r="G2900" s="65" t="n">
        <x:v>183.2212227462152</x:v>
      </x:c>
      <x:c r="H2900" s="43" t="n">
        <x:v>1</x:v>
      </x:c>
      <x:c r="I2900" s="34" t="str">
        <x:v>generated design-reference observation; not predicted tract behavior</x:v>
      </x:c>
    </x:row>
    <x:row r="2901" ht="75.5999984741211" hidden="0" customHeight="1">
      <x:c r="A2901" s="36" t="str">
        <x:v>P2</x:v>
      </x:c>
      <x:c r="B2901" s="36" t="str">
        <x:v>48201450900</x:v>
      </x:c>
      <x:c r="C2901" s="66" t="n">
        <x:v>222.1887425804523</x:v>
      </x:c>
      <x:c r="D2901" s="66" t="n">
        <x:v>188.74083740958838</x:v>
      </x:c>
      <x:c r="E2901" s="66" t="n">
        <x:v>33.44790517086392</x:v>
      </x:c>
      <x:c r="F2901" s="66" t="n">
        <x:v>33.44790517086392</x:v>
      </x:c>
      <x:c r="G2901" s="66" t="n">
        <x:v>222.1887425804523</x:v>
      </x:c>
      <x:c r="H2901" s="45" t="n">
        <x:v>1</x:v>
      </x:c>
      <x:c r="I2901" s="36" t="str">
        <x:v>generated design-reference observation; not predicted tract behavior</x:v>
      </x:c>
    </x:row>
    <x:row r="2902" ht="75.5999984741211" hidden="0" customHeight="1">
      <x:c r="A2902" s="34" t="str">
        <x:v>P2</x:v>
      </x:c>
      <x:c r="B2902" s="34" t="str">
        <x:v>48201451003</x:v>
      </x:c>
      <x:c r="C2902" s="65" t="n">
        <x:v>308.96181695114507</x:v>
      </x:c>
      <x:c r="D2902" s="65" t="n">
        <x:v>263.84865436336673</x:v>
      </x:c>
      <x:c r="E2902" s="65" t="n">
        <x:v>45.11316258777833</x:v>
      </x:c>
      <x:c r="F2902" s="65" t="n">
        <x:v>45.11316258777833</x:v>
      </x:c>
      <x:c r="G2902" s="65" t="n">
        <x:v>308.96181695114507</x:v>
      </x:c>
      <x:c r="H2902" s="43" t="n">
        <x:v>1</x:v>
      </x:c>
      <x:c r="I2902" s="34" t="str">
        <x:v>generated design-reference observation; not predicted tract behavior</x:v>
      </x:c>
    </x:row>
    <x:row r="2903" ht="75.5999984741211" hidden="0" customHeight="1">
      <x:c r="A2903" s="36" t="str">
        <x:v>P2</x:v>
      </x:c>
      <x:c r="B2903" s="36" t="str">
        <x:v>48201451004</x:v>
      </x:c>
      <x:c r="C2903" s="66" t="n">
        <x:v>136.37845989586162</x:v>
      </x:c>
      <x:c r="D2903" s="66" t="n">
        <x:v>116.33181813451466</x:v>
      </x:c>
      <x:c r="E2903" s="66" t="n">
        <x:v>20.04664176134696</x:v>
      </x:c>
      <x:c r="F2903" s="66" t="n">
        <x:v>20.04664176134696</x:v>
      </x:c>
      <x:c r="G2903" s="66" t="n">
        <x:v>136.37845989586162</x:v>
      </x:c>
      <x:c r="H2903" s="45" t="n">
        <x:v>1</x:v>
      </x:c>
      <x:c r="I2903" s="36" t="str">
        <x:v>generated design-reference observation; not predicted tract behavior</x:v>
      </x:c>
    </x:row>
    <x:row r="2904" ht="75.5999984741211" hidden="0" customHeight="1">
      <x:c r="A2904" s="34" t="str">
        <x:v>P2</x:v>
      </x:c>
      <x:c r="B2904" s="34" t="str">
        <x:v>48201451005</x:v>
      </x:c>
      <x:c r="C2904" s="65" t="n">
        <x:v>163.94966997623752</x:v>
      </x:c>
      <x:c r="D2904" s="65" t="n">
        <x:v>139.8354654273088</x:v>
      </x:c>
      <x:c r="E2904" s="65" t="n">
        <x:v>24.11420454892871</x:v>
      </x:c>
      <x:c r="F2904" s="65" t="n">
        <x:v>24.11420454892871</x:v>
      </x:c>
      <x:c r="G2904" s="65" t="n">
        <x:v>163.94966997623752</x:v>
      </x:c>
      <x:c r="H2904" s="43" t="n">
        <x:v>1</x:v>
      </x:c>
      <x:c r="I2904" s="34" t="str">
        <x:v>generated design-reference observation; not predicted tract behavior</x:v>
      </x:c>
    </x:row>
    <x:row r="2905" ht="75.5999984741211" hidden="0" customHeight="1">
      <x:c r="A2905" s="36" t="str">
        <x:v>P2</x:v>
      </x:c>
      <x:c r="B2905" s="36" t="str">
        <x:v>48201451006</x:v>
      </x:c>
      <x:c r="C2905" s="66" t="n">
        <x:v>203.8210350668153</x:v>
      </x:c>
      <x:c r="D2905" s="66" t="n">
        <x:v>175.1825496569194</x:v>
      </x:c>
      <x:c r="E2905" s="66" t="n">
        <x:v>28.638485409895907</x:v>
      </x:c>
      <x:c r="F2905" s="66" t="n">
        <x:v>28.638485409895907</x:v>
      </x:c>
      <x:c r="G2905" s="66" t="n">
        <x:v>203.8210350668153</x:v>
      </x:c>
      <x:c r="H2905" s="45" t="n">
        <x:v>1</x:v>
      </x:c>
      <x:c r="I2905" s="36" t="str">
        <x:v>generated design-reference observation; not predicted tract behavior</x:v>
      </x:c>
    </x:row>
    <x:row r="2906" ht="75.5999984741211" hidden="0" customHeight="1">
      <x:c r="A2906" s="34" t="str">
        <x:v>P2</x:v>
      </x:c>
      <x:c r="B2906" s="34" t="str">
        <x:v>48201451100</x:v>
      </x:c>
      <x:c r="C2906" s="65" t="n">
        <x:v>318.0985135641544</x:v>
      </x:c>
      <x:c r="D2906" s="65" t="n">
        <x:v>272.77516553673945</x:v>
      </x:c>
      <x:c r="E2906" s="65" t="n">
        <x:v>45.323348027414966</x:v>
      </x:c>
      <x:c r="F2906" s="65" t="n">
        <x:v>45.323348027414966</x:v>
      </x:c>
      <x:c r="G2906" s="65" t="n">
        <x:v>318.0985135641544</x:v>
      </x:c>
      <x:c r="H2906" s="43" t="n">
        <x:v>1</x:v>
      </x:c>
      <x:c r="I2906" s="34" t="str">
        <x:v>generated design-reference observation; not predicted tract behavior</x:v>
      </x:c>
    </x:row>
    <x:row r="2907" ht="75.5999984741211" hidden="0" customHeight="1">
      <x:c r="A2907" s="36" t="str">
        <x:v>P2</x:v>
      </x:c>
      <x:c r="B2907" s="36" t="str">
        <x:v>48201451200</x:v>
      </x:c>
      <x:c r="C2907" s="66" t="n">
        <x:v>221.55998066299787</x:v>
      </x:c>
      <x:c r="D2907" s="66" t="n">
        <x:v>191.2765066244481</x:v>
      </x:c>
      <x:c r="E2907" s="66" t="n">
        <x:v>30.28347403854977</x:v>
      </x:c>
      <x:c r="F2907" s="66" t="n">
        <x:v>30.28347403854977</x:v>
      </x:c>
      <x:c r="G2907" s="66" t="n">
        <x:v>221.55998066299787</x:v>
      </x:c>
      <x:c r="H2907" s="45" t="n">
        <x:v>1</x:v>
      </x:c>
      <x:c r="I2907" s="36" t="str">
        <x:v>generated design-reference observation; not predicted tract behavior</x:v>
      </x:c>
    </x:row>
    <x:row r="2908" ht="75.5999984741211" hidden="0" customHeight="1">
      <x:c r="A2908" s="34" t="str">
        <x:v>P2</x:v>
      </x:c>
      <x:c r="B2908" s="34" t="str">
        <x:v>48201451301</x:v>
      </x:c>
      <x:c r="C2908" s="65" t="n">
        <x:v>326.59858873574126</x:v>
      </x:c>
      <x:c r="D2908" s="65" t="n">
        <x:v>280.5327062535322</x:v>
      </x:c>
      <x:c r="E2908" s="65" t="n">
        <x:v>46.065882482209076</x:v>
      </x:c>
      <x:c r="F2908" s="65" t="n">
        <x:v>46.065882482209076</x:v>
      </x:c>
      <x:c r="G2908" s="65" t="n">
        <x:v>326.59858873574126</x:v>
      </x:c>
      <x:c r="H2908" s="43" t="n">
        <x:v>1</x:v>
      </x:c>
      <x:c r="I2908" s="34" t="str">
        <x:v>generated design-reference observation; not predicted tract behavior</x:v>
      </x:c>
    </x:row>
    <x:row r="2909" ht="75.5999984741211" hidden="0" customHeight="1">
      <x:c r="A2909" s="36" t="str">
        <x:v>P2</x:v>
      </x:c>
      <x:c r="B2909" s="36" t="str">
        <x:v>48201451302</x:v>
      </x:c>
      <x:c r="C2909" s="66" t="n">
        <x:v>260.9833528873894</x:v>
      </x:c>
      <x:c r="D2909" s="66" t="n">
        <x:v>225.56758920090712</x:v>
      </x:c>
      <x:c r="E2909" s="66" t="n">
        <x:v>35.41576368648228</x:v>
      </x:c>
      <x:c r="F2909" s="66" t="n">
        <x:v>35.41576368648228</x:v>
      </x:c>
      <x:c r="G2909" s="66" t="n">
        <x:v>260.9833528873894</x:v>
      </x:c>
      <x:c r="H2909" s="45" t="n">
        <x:v>1</x:v>
      </x:c>
      <x:c r="I2909" s="36" t="str">
        <x:v>generated design-reference observation; not predicted tract behavior</x:v>
      </x:c>
    </x:row>
    <x:row r="2910" ht="75.5999984741211" hidden="0" customHeight="1">
      <x:c r="A2910" s="34" t="str">
        <x:v>P2</x:v>
      </x:c>
      <x:c r="B2910" s="34" t="str">
        <x:v>48201451401</x:v>
      </x:c>
      <x:c r="C2910" s="65" t="n">
        <x:v>283.01359857019827</x:v>
      </x:c>
      <x:c r="D2910" s="65" t="n">
        <x:v>240.5456854132705</x:v>
      </x:c>
      <x:c r="E2910" s="65" t="n">
        <x:v>42.46791315692778</x:v>
      </x:c>
      <x:c r="F2910" s="65" t="n">
        <x:v>42.46791315692778</x:v>
      </x:c>
      <x:c r="G2910" s="65" t="n">
        <x:v>283.01359857019827</x:v>
      </x:c>
      <x:c r="H2910" s="43" t="n">
        <x:v>1</x:v>
      </x:c>
      <x:c r="I2910" s="34" t="str">
        <x:v>generated design-reference observation; not predicted tract behavior</x:v>
      </x:c>
    </x:row>
    <x:row r="2911" ht="75.5999984741211" hidden="0" customHeight="1">
      <x:c r="A2911" s="36" t="str">
        <x:v>P2</x:v>
      </x:c>
      <x:c r="B2911" s="36" t="str">
        <x:v>48201451404</x:v>
      </x:c>
      <x:c r="C2911" s="66" t="n">
        <x:v>290.4408487201286</x:v>
      </x:c>
      <x:c r="D2911" s="66" t="n">
        <x:v>244.88661610495078</x:v>
      </x:c>
      <x:c r="E2911" s="66" t="n">
        <x:v>45.554232615177824</x:v>
      </x:c>
      <x:c r="F2911" s="66" t="n">
        <x:v>45.554232615177824</x:v>
      </x:c>
      <x:c r="G2911" s="66" t="n">
        <x:v>290.4408487201286</x:v>
      </x:c>
      <x:c r="H2911" s="45" t="n">
        <x:v>1</x:v>
      </x:c>
      <x:c r="I2911" s="36" t="str">
        <x:v>generated design-reference observation; not predicted tract behavior</x:v>
      </x:c>
    </x:row>
    <x:row r="2912" ht="75.5999984741211" hidden="0" customHeight="1">
      <x:c r="A2912" s="34" t="str">
        <x:v>P2</x:v>
      </x:c>
      <x:c r="B2912" s="34" t="str">
        <x:v>48201451405</x:v>
      </x:c>
      <x:c r="C2912" s="65" t="n">
        <x:v>228.6492712822964</x:v>
      </x:c>
      <x:c r="D2912" s="65" t="n">
        <x:v>192.17372719034907</x:v>
      </x:c>
      <x:c r="E2912" s="65" t="n">
        <x:v>36.47554409194734</x:v>
      </x:c>
      <x:c r="F2912" s="65" t="n">
        <x:v>36.47554409194734</x:v>
      </x:c>
      <x:c r="G2912" s="65" t="n">
        <x:v>228.6492712822964</x:v>
      </x:c>
      <x:c r="H2912" s="43" t="n">
        <x:v>1</x:v>
      </x:c>
      <x:c r="I2912" s="34" t="str">
        <x:v>generated design-reference observation; not predicted tract behavior</x:v>
      </x:c>
    </x:row>
    <x:row r="2913" ht="75.5999984741211" hidden="0" customHeight="1">
      <x:c r="A2913" s="36" t="str">
        <x:v>P2</x:v>
      </x:c>
      <x:c r="B2913" s="36" t="str">
        <x:v>48201451406</x:v>
      </x:c>
      <x:c r="C2913" s="66" t="n">
        <x:v>198.5787325800392</x:v>
      </x:c>
      <x:c r="D2913" s="66" t="n">
        <x:v>169.3790417255788</x:v>
      </x:c>
      <x:c r="E2913" s="66" t="n">
        <x:v>29.199690854460414</x:v>
      </x:c>
      <x:c r="F2913" s="66" t="n">
        <x:v>29.199690854460414</x:v>
      </x:c>
      <x:c r="G2913" s="66" t="n">
        <x:v>198.5787325800392</x:v>
      </x:c>
      <x:c r="H2913" s="45" t="n">
        <x:v>1</x:v>
      </x:c>
      <x:c r="I2913" s="36" t="str">
        <x:v>generated design-reference observation; not predicted tract behavior</x:v>
      </x:c>
    </x:row>
    <x:row r="2914" ht="75.5999984741211" hidden="0" customHeight="1">
      <x:c r="A2914" s="34" t="str">
        <x:v>P2</x:v>
      </x:c>
      <x:c r="B2914" s="34" t="str">
        <x:v>48201451407</x:v>
      </x:c>
      <x:c r="C2914" s="65" t="n">
        <x:v>257.17873870802345</x:v>
      </x:c>
      <x:c r="D2914" s="65" t="n">
        <x:v>192.26294616433736</x:v>
      </x:c>
      <x:c r="E2914" s="65" t="n">
        <x:v>64.91579254368608</x:v>
      </x:c>
      <x:c r="F2914" s="65" t="n">
        <x:v>64.91579254368608</x:v>
      </x:c>
      <x:c r="G2914" s="65" t="n">
        <x:v>257.17873870802345</x:v>
      </x:c>
      <x:c r="H2914" s="43" t="n">
        <x:v>1</x:v>
      </x:c>
      <x:c r="I2914" s="34" t="str">
        <x:v>generated design-reference observation; not predicted tract behavior</x:v>
      </x:c>
    </x:row>
    <x:row r="2915" ht="75.5999984741211" hidden="0" customHeight="1">
      <x:c r="A2915" s="36" t="str">
        <x:v>P2</x:v>
      </x:c>
      <x:c r="B2915" s="36" t="str">
        <x:v>48201451501</x:v>
      </x:c>
      <x:c r="C2915" s="66" t="n">
        <x:v>237.6327071779263</x:v>
      </x:c>
      <x:c r="D2915" s="66" t="n">
        <x:v>200.5606948752919</x:v>
      </x:c>
      <x:c r="E2915" s="66" t="n">
        <x:v>37.07201230263442</x:v>
      </x:c>
      <x:c r="F2915" s="66" t="n">
        <x:v>37.07201230263442</x:v>
      </x:c>
      <x:c r="G2915" s="66" t="n">
        <x:v>237.6327071779263</x:v>
      </x:c>
      <x:c r="H2915" s="45" t="n">
        <x:v>1</x:v>
      </x:c>
      <x:c r="I2915" s="36" t="str">
        <x:v>generated design-reference observation; not predicted tract behavior</x:v>
      </x:c>
    </x:row>
    <x:row r="2916" ht="75.5999984741211" hidden="0" customHeight="1">
      <x:c r="A2916" s="34" t="str">
        <x:v>P2</x:v>
      </x:c>
      <x:c r="B2916" s="34" t="str">
        <x:v>48201451502</x:v>
      </x:c>
      <x:c r="C2916" s="65" t="n">
        <x:v>393.8123308434674</x:v>
      </x:c>
      <x:c r="D2916" s="65" t="n">
        <x:v>294.0850565167571</x:v>
      </x:c>
      <x:c r="E2916" s="65" t="n">
        <x:v>99.7272743267103</x:v>
      </x:c>
      <x:c r="F2916" s="65" t="n">
        <x:v>99.7272743267103</x:v>
      </x:c>
      <x:c r="G2916" s="65" t="n">
        <x:v>393.8123308434674</x:v>
      </x:c>
      <x:c r="H2916" s="43" t="n">
        <x:v>1</x:v>
      </x:c>
      <x:c r="I2916" s="34" t="str">
        <x:v>generated design-reference observation; not predicted tract behavior</x:v>
      </x:c>
    </x:row>
    <x:row r="2917" ht="75.5999984741211" hidden="0" customHeight="1">
      <x:c r="A2917" s="36" t="str">
        <x:v>P2</x:v>
      </x:c>
      <x:c r="B2917" s="36" t="str">
        <x:v>48201451603</x:v>
      </x:c>
      <x:c r="C2917" s="66" t="n">
        <x:v>263.9699719952979</x:v>
      </x:c>
      <x:c r="D2917" s="66" t="n">
        <x:v>224.52009220971135</x:v>
      </x:c>
      <x:c r="E2917" s="66" t="n">
        <x:v>39.449879785586546</x:v>
      </x:c>
      <x:c r="F2917" s="66" t="n">
        <x:v>39.449879785586546</x:v>
      </x:c>
      <x:c r="G2917" s="66" t="n">
        <x:v>263.9699719952979</x:v>
      </x:c>
      <x:c r="H2917" s="45" t="n">
        <x:v>1</x:v>
      </x:c>
      <x:c r="I2917" s="36" t="str">
        <x:v>generated design-reference observation; not predicted tract behavior</x:v>
      </x:c>
    </x:row>
    <x:row r="2918" ht="75.5999984741211" hidden="0" customHeight="1">
      <x:c r="A2918" s="34" t="str">
        <x:v>P2</x:v>
      </x:c>
      <x:c r="B2918" s="34" t="str">
        <x:v>48201451604</x:v>
      </x:c>
      <x:c r="C2918" s="65" t="n">
        <x:v>284.3025605009799</x:v>
      </x:c>
      <x:c r="D2918" s="65" t="n">
        <x:v>242.4041515398349</x:v>
      </x:c>
      <x:c r="E2918" s="65" t="n">
        <x:v>41.89840896114498</x:v>
      </x:c>
      <x:c r="F2918" s="65" t="n">
        <x:v>41.89840896114498</x:v>
      </x:c>
      <x:c r="G2918" s="65" t="n">
        <x:v>284.3025605009799</x:v>
      </x:c>
      <x:c r="H2918" s="43" t="n">
        <x:v>1</x:v>
      </x:c>
      <x:c r="I2918" s="34" t="str">
        <x:v>generated design-reference observation; not predicted tract behavior</x:v>
      </x:c>
    </x:row>
    <x:row r="2919" ht="75.5999984741211" hidden="0" customHeight="1">
      <x:c r="A2919" s="36" t="str">
        <x:v>P2</x:v>
      </x:c>
      <x:c r="B2919" s="36" t="str">
        <x:v>48201451605</x:v>
      </x:c>
      <x:c r="C2919" s="66" t="n">
        <x:v>252.369314618264</x:v>
      </x:c>
      <x:c r="D2919" s="66" t="n">
        <x:v>212.50781080095888</x:v>
      </x:c>
      <x:c r="E2919" s="66" t="n">
        <x:v>39.861503817305135</x:v>
      </x:c>
      <x:c r="F2919" s="66" t="n">
        <x:v>39.861503817305135</x:v>
      </x:c>
      <x:c r="G2919" s="66" t="n">
        <x:v>252.369314618264</x:v>
      </x:c>
      <x:c r="H2919" s="45" t="n">
        <x:v>1</x:v>
      </x:c>
      <x:c r="I2919" s="36" t="str">
        <x:v>generated design-reference observation; not predicted tract behavior</x:v>
      </x:c>
    </x:row>
    <x:row r="2920" ht="75.5999984741211" hidden="0" customHeight="1">
      <x:c r="A2920" s="34" t="str">
        <x:v>P2</x:v>
      </x:c>
      <x:c r="B2920" s="34" t="str">
        <x:v>48201451606</x:v>
      </x:c>
      <x:c r="C2920" s="65" t="n">
        <x:v>509.86303886378147</x:v>
      </x:c>
      <x:c r="D2920" s="65" t="n">
        <x:v>438.9218207280945</x:v>
      </x:c>
      <x:c r="E2920" s="65" t="n">
        <x:v>70.941218135687</x:v>
      </x:c>
      <x:c r="F2920" s="65" t="n">
        <x:v>70.941218135687</x:v>
      </x:c>
      <x:c r="G2920" s="65" t="n">
        <x:v>509.86303886378147</x:v>
      </x:c>
      <x:c r="H2920" s="43" t="n">
        <x:v>1</x:v>
      </x:c>
      <x:c r="I2920" s="34" t="str">
        <x:v>generated design-reference observation; not predicted tract behavior</x:v>
      </x:c>
    </x:row>
    <x:row r="2921" ht="75.5999984741211" hidden="0" customHeight="1">
      <x:c r="A2921" s="36" t="str">
        <x:v>P2</x:v>
      </x:c>
      <x:c r="B2921" s="36" t="str">
        <x:v>48201451700</x:v>
      </x:c>
      <x:c r="C2921" s="66" t="n">
        <x:v>697.7407272717599</x:v>
      </x:c>
      <x:c r="D2921" s="66" t="n">
        <x:v>522.9721022614463</x:v>
      </x:c>
      <x:c r="E2921" s="66" t="n">
        <x:v>174.7686250103136</x:v>
      </x:c>
      <x:c r="F2921" s="66" t="n">
        <x:v>174.7686250103136</x:v>
      </x:c>
      <x:c r="G2921" s="66" t="n">
        <x:v>697.7407272717599</x:v>
      </x:c>
      <x:c r="H2921" s="45" t="n">
        <x:v>1</x:v>
      </x:c>
      <x:c r="I2921" s="36" t="str">
        <x:v>generated design-reference observation; not predicted tract behavior</x:v>
      </x:c>
    </x:row>
    <x:row r="2922" ht="75.5999984741211" hidden="0" customHeight="1">
      <x:c r="A2922" s="34" t="str">
        <x:v>P2</x:v>
      </x:c>
      <x:c r="B2922" s="34" t="str">
        <x:v>48201451800</x:v>
      </x:c>
      <x:c r="C2922" s="65" t="n">
        <x:v>828.0265446453651</x:v>
      </x:c>
      <x:c r="D2922" s="65" t="n">
        <x:v>623.255043237658</x:v>
      </x:c>
      <x:c r="E2922" s="65" t="n">
        <x:v>204.7715014077071</x:v>
      </x:c>
      <x:c r="F2922" s="65" t="n">
        <x:v>204.7715014077071</x:v>
      </x:c>
      <x:c r="G2922" s="65" t="n">
        <x:v>828.0265446453651</x:v>
      </x:c>
      <x:c r="H2922" s="43" t="n">
        <x:v>1</x:v>
      </x:c>
      <x:c r="I2922" s="34" t="str">
        <x:v>generated design-reference observation; not predicted tract behavior</x:v>
      </x:c>
    </x:row>
    <x:row r="2923" ht="75.5999984741211" hidden="0" customHeight="1">
      <x:c r="A2923" s="36" t="str">
        <x:v>P2</x:v>
      </x:c>
      <x:c r="B2923" s="36" t="str">
        <x:v>48201451902</x:v>
      </x:c>
      <x:c r="C2923" s="66" t="n">
        <x:v>358.24254367855144</x:v>
      </x:c>
      <x:c r="D2923" s="66" t="n">
        <x:v>270.25817495109925</x:v>
      </x:c>
      <x:c r="E2923" s="66" t="n">
        <x:v>87.98436872745219</x:v>
      </x:c>
      <x:c r="F2923" s="66" t="n">
        <x:v>87.98436872745219</x:v>
      </x:c>
      <x:c r="G2923" s="66" t="n">
        <x:v>358.24254367855144</x:v>
      </x:c>
      <x:c r="H2923" s="45" t="n">
        <x:v>1</x:v>
      </x:c>
      <x:c r="I2923" s="36" t="str">
        <x:v>generated design-reference observation; not predicted tract behavior</x:v>
      </x:c>
    </x:row>
    <x:row r="2924" ht="75.5999984741211" hidden="0" customHeight="1">
      <x:c r="A2924" s="34" t="str">
        <x:v>P2</x:v>
      </x:c>
      <x:c r="B2924" s="34" t="str">
        <x:v>48201451903</x:v>
      </x:c>
      <x:c r="C2924" s="65" t="n">
        <x:v>680.5392521992475</x:v>
      </x:c>
      <x:c r="D2924" s="65" t="n">
        <x:v>277.88720454861175</x:v>
      </x:c>
      <x:c r="E2924" s="65" t="n">
        <x:v>402.6520476506357</x:v>
      </x:c>
      <x:c r="F2924" s="65" t="n">
        <x:v>402.6520476506357</x:v>
      </x:c>
      <x:c r="G2924" s="65" t="n">
        <x:v>680.5392521992475</x:v>
      </x:c>
      <x:c r="H2924" s="43" t="n">
        <x:v>1</x:v>
      </x:c>
      <x:c r="I2924" s="34" t="str">
        <x:v>generated design-reference observation; not predicted tract behavior</x:v>
      </x:c>
    </x:row>
    <x:row r="2925" ht="75.5999984741211" hidden="0" customHeight="1">
      <x:c r="A2925" s="36" t="str">
        <x:v>P2</x:v>
      </x:c>
      <x:c r="B2925" s="36" t="str">
        <x:v>48201451904</x:v>
      </x:c>
      <x:c r="C2925" s="66" t="n">
        <x:v>619.7754586649467</x:v>
      </x:c>
      <x:c r="D2925" s="66" t="n">
        <x:v>253.7138469530433</x:v>
      </x:c>
      <x:c r="E2925" s="66" t="n">
        <x:v>366.06161171190337</x:v>
      </x:c>
      <x:c r="F2925" s="66" t="n">
        <x:v>366.06161171190337</x:v>
      </x:c>
      <x:c r="G2925" s="66" t="n">
        <x:v>619.7754586649467</x:v>
      </x:c>
      <x:c r="H2925" s="45" t="n">
        <x:v>1</x:v>
      </x:c>
      <x:c r="I2925" s="36" t="str">
        <x:v>generated design-reference observation; not predicted tract behavior</x:v>
      </x:c>
    </x:row>
    <x:row r="2926" ht="75.5999984741211" hidden="0" customHeight="1">
      <x:c r="A2926" s="34" t="str">
        <x:v>P2</x:v>
      </x:c>
      <x:c r="B2926" s="34" t="str">
        <x:v>48201452001</x:v>
      </x:c>
      <x:c r="C2926" s="65" t="n">
        <x:v>1105.6657402682451</x:v>
      </x:c>
      <x:c r="D2926" s="65" t="n">
        <x:v>455.95336315723796</x:v>
      </x:c>
      <x:c r="E2926" s="65" t="n">
        <x:v>649.7123771110072</x:v>
      </x:c>
      <x:c r="F2926" s="65" t="n">
        <x:v>649.7123771110072</x:v>
      </x:c>
      <x:c r="G2926" s="65" t="n">
        <x:v>1105.6657402682451</x:v>
      </x:c>
      <x:c r="H2926" s="43" t="n">
        <x:v>1</x:v>
      </x:c>
      <x:c r="I2926" s="34" t="str">
        <x:v>generated design-reference observation; not predicted tract behavior</x:v>
      </x:c>
    </x:row>
    <x:row r="2927" ht="75.5999984741211" hidden="0" customHeight="1">
      <x:c r="A2927" s="36" t="str">
        <x:v>P2</x:v>
      </x:c>
      <x:c r="B2927" s="36" t="str">
        <x:v>48201452002</x:v>
      </x:c>
      <x:c r="C2927" s="66" t="n">
        <x:v>518.6403133999381</x:v>
      </x:c>
      <x:c r="D2927" s="66" t="n">
        <x:v>379.29559742657636</x:v>
      </x:c>
      <x:c r="E2927" s="66" t="n">
        <x:v>139.34471597336176</x:v>
      </x:c>
      <x:c r="F2927" s="66" t="n">
        <x:v>139.34471597336176</x:v>
      </x:c>
      <x:c r="G2927" s="66" t="n">
        <x:v>518.6403133999381</x:v>
      </x:c>
      <x:c r="H2927" s="45" t="n">
        <x:v>1</x:v>
      </x:c>
      <x:c r="I2927" s="36" t="str">
        <x:v>generated design-reference observation; not predicted tract behavior</x:v>
      </x:c>
    </x:row>
    <x:row r="2928" ht="75.5999984741211" hidden="0" customHeight="1">
      <x:c r="A2928" s="34" t="str">
        <x:v>P2</x:v>
      </x:c>
      <x:c r="B2928" s="34" t="str">
        <x:v>48201452101</x:v>
      </x:c>
      <x:c r="C2928" s="65" t="n">
        <x:v>1006.5637933959282</x:v>
      </x:c>
      <x:c r="D2928" s="65" t="n">
        <x:v>742.0721763192627</x:v>
      </x:c>
      <x:c r="E2928" s="65" t="n">
        <x:v>264.49161707666553</x:v>
      </x:c>
      <x:c r="F2928" s="65" t="n">
        <x:v>264.49161707666553</x:v>
      </x:c>
      <x:c r="G2928" s="65" t="n">
        <x:v>1006.5637933959282</x:v>
      </x:c>
      <x:c r="H2928" s="43" t="n">
        <x:v>1</x:v>
      </x:c>
      <x:c r="I2928" s="34" t="str">
        <x:v>generated design-reference observation; not predicted tract behavior</x:v>
      </x:c>
    </x:row>
    <x:row r="2929" ht="75.5999984741211" hidden="0" customHeight="1">
      <x:c r="A2929" s="36" t="str">
        <x:v>P2</x:v>
      </x:c>
      <x:c r="B2929" s="36" t="str">
        <x:v>48201452102</x:v>
      </x:c>
      <x:c r="C2929" s="66" t="n">
        <x:v>144.85888625752796</x:v>
      </x:c>
      <x:c r="D2929" s="66" t="n">
        <x:v>121.99559645750486</x:v>
      </x:c>
      <x:c r="E2929" s="66" t="n">
        <x:v>22.863289800023097</x:v>
      </x:c>
      <x:c r="F2929" s="66" t="n">
        <x:v>22.863289800023097</x:v>
      </x:c>
      <x:c r="G2929" s="66" t="n">
        <x:v>144.85888625752796</x:v>
      </x:c>
      <x:c r="H2929" s="45" t="n">
        <x:v>1</x:v>
      </x:c>
      <x:c r="I2929" s="36" t="str">
        <x:v>generated design-reference observation; not predicted tract behavior</x:v>
      </x:c>
    </x:row>
    <x:row r="2930" ht="75.5999984741211" hidden="0" customHeight="1">
      <x:c r="A2930" s="34" t="str">
        <x:v>P2</x:v>
      </x:c>
      <x:c r="B2930" s="34" t="str">
        <x:v>48201452103</x:v>
      </x:c>
      <x:c r="C2930" s="65" t="n">
        <x:v>200.55147309605238</x:v>
      </x:c>
      <x:c r="D2930" s="65" t="n">
        <x:v>169.9170091186414</x:v>
      </x:c>
      <x:c r="E2930" s="65" t="n">
        <x:v>30.634463977410974</x:v>
      </x:c>
      <x:c r="F2930" s="65" t="n">
        <x:v>30.634463977410974</x:v>
      </x:c>
      <x:c r="G2930" s="65" t="n">
        <x:v>200.55147309605238</x:v>
      </x:c>
      <x:c r="H2930" s="43" t="n">
        <x:v>1</x:v>
      </x:c>
      <x:c r="I2930" s="34" t="str">
        <x:v>generated design-reference observation; not predicted tract behavior</x:v>
      </x:c>
    </x:row>
    <x:row r="2931" ht="75.5999984741211" hidden="0" customHeight="1">
      <x:c r="A2931" s="36" t="str">
        <x:v>P2</x:v>
      </x:c>
      <x:c r="B2931" s="36" t="str">
        <x:v>48201452202</x:v>
      </x:c>
      <x:c r="C2931" s="66" t="n">
        <x:v>252.34573604635946</x:v>
      </x:c>
      <x:c r="D2931" s="66" t="n">
        <x:v>213.57883558971926</x:v>
      </x:c>
      <x:c r="E2931" s="66" t="n">
        <x:v>38.7669004566402</x:v>
      </x:c>
      <x:c r="F2931" s="66" t="n">
        <x:v>38.7669004566402</x:v>
      </x:c>
      <x:c r="G2931" s="66" t="n">
        <x:v>252.34573604635946</x:v>
      </x:c>
      <x:c r="H2931" s="45" t="n">
        <x:v>1</x:v>
      </x:c>
      <x:c r="I2931" s="36" t="str">
        <x:v>generated design-reference observation; not predicted tract behavior</x:v>
      </x:c>
    </x:row>
    <x:row r="2932" ht="75.5999984741211" hidden="0" customHeight="1">
      <x:c r="A2932" s="34" t="str">
        <x:v>P2</x:v>
      </x:c>
      <x:c r="B2932" s="34" t="str">
        <x:v>48201452203</x:v>
      </x:c>
      <x:c r="C2932" s="65" t="n">
        <x:v>182.73393226018806</x:v>
      </x:c>
      <x:c r="D2932" s="65" t="n">
        <x:v>155.54610865200476</x:v>
      </x:c>
      <x:c r="E2932" s="65" t="n">
        <x:v>27.187823608183294</x:v>
      </x:c>
      <x:c r="F2932" s="65" t="n">
        <x:v>27.187823608183294</x:v>
      </x:c>
      <x:c r="G2932" s="65" t="n">
        <x:v>182.73393226018806</x:v>
      </x:c>
      <x:c r="H2932" s="43" t="n">
        <x:v>1</x:v>
      </x:c>
      <x:c r="I2932" s="34" t="str">
        <x:v>generated design-reference observation; not predicted tract behavior</x:v>
      </x:c>
    </x:row>
    <x:row r="2933" ht="75.5999984741211" hidden="0" customHeight="1">
      <x:c r="A2933" s="36" t="str">
        <x:v>P2</x:v>
      </x:c>
      <x:c r="B2933" s="36" t="str">
        <x:v>48201452204</x:v>
      </x:c>
      <x:c r="C2933" s="66" t="n">
        <x:v>196.6335003979146</x:v>
      </x:c>
      <x:c r="D2933" s="66" t="n">
        <x:v>165.36249194592057</x:v>
      </x:c>
      <x:c r="E2933" s="66" t="n">
        <x:v>31.27100845199402</x:v>
      </x:c>
      <x:c r="F2933" s="66" t="n">
        <x:v>31.27100845199402</x:v>
      </x:c>
      <x:c r="G2933" s="66" t="n">
        <x:v>196.6335003979146</x:v>
      </x:c>
      <x:c r="H2933" s="45" t="n">
        <x:v>1</x:v>
      </x:c>
      <x:c r="I2933" s="36" t="str">
        <x:v>generated design-reference observation; not predicted tract behavior</x:v>
      </x:c>
    </x:row>
    <x:row r="2934" ht="75.5999984741211" hidden="0" customHeight="1">
      <x:c r="A2934" s="34" t="str">
        <x:v>P2</x:v>
      </x:c>
      <x:c r="B2934" s="34" t="str">
        <x:v>48201452300</x:v>
      </x:c>
      <x:c r="C2934" s="65" t="n">
        <x:v>388.24839245276274</x:v>
      </x:c>
      <x:c r="D2934" s="65" t="n">
        <x:v>159.89175552608566</x:v>
      </x:c>
      <x:c r="E2934" s="65" t="n">
        <x:v>228.35663692667708</x:v>
      </x:c>
      <x:c r="F2934" s="65" t="n">
        <x:v>228.35663692667708</x:v>
      </x:c>
      <x:c r="G2934" s="65" t="n">
        <x:v>388.24839245276274</x:v>
      </x:c>
      <x:c r="H2934" s="43" t="n">
        <x:v>1</x:v>
      </x:c>
      <x:c r="I2934" s="34" t="str">
        <x:v>generated design-reference observation; not predicted tract behavior</x:v>
      </x:c>
    </x:row>
    <x:row r="2935" ht="75.5999984741211" hidden="0" customHeight="1">
      <x:c r="A2935" s="36" t="str">
        <x:v>P2</x:v>
      </x:c>
      <x:c r="B2935" s="36" t="str">
        <x:v>48201452401</x:v>
      </x:c>
      <x:c r="C2935" s="66" t="n">
        <x:v>556.1254060980232</x:v>
      </x:c>
      <x:c r="D2935" s="66" t="n">
        <x:v>229.2900932943881</x:v>
      </x:c>
      <x:c r="E2935" s="66" t="n">
        <x:v>326.8353128036351</x:v>
      </x:c>
      <x:c r="F2935" s="66" t="n">
        <x:v>326.8353128036351</x:v>
      </x:c>
      <x:c r="G2935" s="66" t="n">
        <x:v>556.1254060980232</x:v>
      </x:c>
      <x:c r="H2935" s="45" t="n">
        <x:v>1</x:v>
      </x:c>
      <x:c r="I2935" s="36" t="str">
        <x:v>generated design-reference observation; not predicted tract behavior</x:v>
      </x:c>
    </x:row>
    <x:row r="2936" ht="75.5999984741211" hidden="0" customHeight="1">
      <x:c r="A2936" s="34" t="str">
        <x:v>P2</x:v>
      </x:c>
      <x:c r="B2936" s="34" t="str">
        <x:v>48201452402</x:v>
      </x:c>
      <x:c r="C2936" s="65" t="n">
        <x:v>559.0978176049123</x:v>
      </x:c>
      <x:c r="D2936" s="65" t="n">
        <x:v>418.9103326818228</x:v>
      </x:c>
      <x:c r="E2936" s="65" t="n">
        <x:v>140.18748492308947</x:v>
      </x:c>
      <x:c r="F2936" s="65" t="n">
        <x:v>140.18748492308947</x:v>
      </x:c>
      <x:c r="G2936" s="65" t="n">
        <x:v>559.0978176049123</x:v>
      </x:c>
      <x:c r="H2936" s="43" t="n">
        <x:v>1</x:v>
      </x:c>
      <x:c r="I2936" s="34" t="str">
        <x:v>generated design-reference observation; not predicted tract behavior</x:v>
      </x:c>
    </x:row>
    <x:row r="2937" ht="75.5999984741211" hidden="0" customHeight="1">
      <x:c r="A2937" s="36" t="str">
        <x:v>P2</x:v>
      </x:c>
      <x:c r="B2937" s="36" t="str">
        <x:v>48201452501</x:v>
      </x:c>
      <x:c r="C2937" s="66" t="n">
        <x:v>201.49461597223404</x:v>
      </x:c>
      <x:c r="D2937" s="66" t="n">
        <x:v>171.70064871446738</x:v>
      </x:c>
      <x:c r="E2937" s="66" t="n">
        <x:v>29.793967257766667</x:v>
      </x:c>
      <x:c r="F2937" s="66" t="n">
        <x:v>29.793967257766667</x:v>
      </x:c>
      <x:c r="G2937" s="66" t="n">
        <x:v>201.49461597223404</x:v>
      </x:c>
      <x:c r="H2937" s="45" t="n">
        <x:v>1</x:v>
      </x:c>
      <x:c r="I2937" s="36" t="str">
        <x:v>generated design-reference observation; not predicted tract behavior</x:v>
      </x:c>
    </x:row>
    <x:row r="2938" ht="75.5999984741211" hidden="0" customHeight="1">
      <x:c r="A2938" s="34" t="str">
        <x:v>P2</x:v>
      </x:c>
      <x:c r="B2938" s="34" t="str">
        <x:v>48201452502</x:v>
      </x:c>
      <x:c r="C2938" s="65" t="n">
        <x:v>367.43274551242115</x:v>
      </x:c>
      <x:c r="D2938" s="65" t="n">
        <x:v>316.38795890819574</x:v>
      </x:c>
      <x:c r="E2938" s="65" t="n">
        <x:v>51.04478660422541</x:v>
      </x:c>
      <x:c r="F2938" s="65" t="n">
        <x:v>51.04478660422541</x:v>
      </x:c>
      <x:c r="G2938" s="65" t="n">
        <x:v>367.43274551242115</x:v>
      </x:c>
      <x:c r="H2938" s="43" t="n">
        <x:v>1</x:v>
      </x:c>
      <x:c r="I2938" s="34" t="str">
        <x:v>generated design-reference observation; not predicted tract behavior</x:v>
      </x:c>
    </x:row>
    <x:row r="2939" ht="75.5999984741211" hidden="0" customHeight="1">
      <x:c r="A2939" s="36" t="str">
        <x:v>P2</x:v>
      </x:c>
      <x:c r="B2939" s="36" t="str">
        <x:v>48201452601</x:v>
      </x:c>
      <x:c r="C2939" s="66" t="n">
        <x:v>772.0089967196949</x:v>
      </x:c>
      <x:c r="D2939" s="66" t="n">
        <x:v>570.5449412980474</x:v>
      </x:c>
      <x:c r="E2939" s="66" t="n">
        <x:v>201.46405542164746</x:v>
      </x:c>
      <x:c r="F2939" s="66" t="n">
        <x:v>201.46405542164746</x:v>
      </x:c>
      <x:c r="G2939" s="66" t="n">
        <x:v>772.0089967196949</x:v>
      </x:c>
      <x:c r="H2939" s="45" t="n">
        <x:v>1</x:v>
      </x:c>
      <x:c r="I2939" s="36" t="str">
        <x:v>generated design-reference observation; not predicted tract behavior</x:v>
      </x:c>
    </x:row>
    <x:row r="2940" ht="75.5999984741211" hidden="0" customHeight="1">
      <x:c r="A2940" s="34" t="str">
        <x:v>P2</x:v>
      </x:c>
      <x:c r="B2940" s="34" t="str">
        <x:v>48201452602</x:v>
      </x:c>
      <x:c r="C2940" s="65" t="n">
        <x:v>241.71180011741174</x:v>
      </x:c>
      <x:c r="D2940" s="65" t="n">
        <x:v>207.11141514460454</x:v>
      </x:c>
      <x:c r="E2940" s="65" t="n">
        <x:v>34.600384972807205</x:v>
      </x:c>
      <x:c r="F2940" s="65" t="n">
        <x:v>34.600384972807205</x:v>
      </x:c>
      <x:c r="G2940" s="65" t="n">
        <x:v>241.71180011741174</x:v>
      </x:c>
      <x:c r="H2940" s="43" t="n">
        <x:v>1</x:v>
      </x:c>
      <x:c r="I2940" s="34" t="str">
        <x:v>generated design-reference observation; not predicted tract behavior</x:v>
      </x:c>
    </x:row>
    <x:row r="2941" ht="75.5999984741211" hidden="0" customHeight="1">
      <x:c r="A2941" s="36" t="str">
        <x:v>P2</x:v>
      </x:c>
      <x:c r="B2941" s="36" t="str">
        <x:v>48201452701</x:v>
      </x:c>
      <x:c r="C2941" s="66" t="n">
        <x:v>323.11288985585344</x:v>
      </x:c>
      <x:c r="D2941" s="66" t="n">
        <x:v>278.79345233588356</x:v>
      </x:c>
      <x:c r="E2941" s="66" t="n">
        <x:v>44.31943751996988</x:v>
      </x:c>
      <x:c r="F2941" s="66" t="n">
        <x:v>44.31943751996988</x:v>
      </x:c>
      <x:c r="G2941" s="66" t="n">
        <x:v>323.11288985585344</x:v>
      </x:c>
      <x:c r="H2941" s="45" t="n">
        <x:v>1</x:v>
      </x:c>
      <x:c r="I2941" s="36" t="str">
        <x:v>generated design-reference observation; not predicted tract behavior</x:v>
      </x:c>
    </x:row>
    <x:row r="2942" ht="75.5999984741211" hidden="0" customHeight="1">
      <x:c r="A2942" s="34" t="str">
        <x:v>P2</x:v>
      </x:c>
      <x:c r="B2942" s="34" t="str">
        <x:v>48201452702</x:v>
      </x:c>
      <x:c r="C2942" s="65" t="n">
        <x:v>348.15333321847527</x:v>
      </x:c>
      <x:c r="D2942" s="65" t="n">
        <x:v>295.3852166621786</x:v>
      </x:c>
      <x:c r="E2942" s="65" t="n">
        <x:v>52.76811655629666</x:v>
      </x:c>
      <x:c r="F2942" s="65" t="n">
        <x:v>52.76811655629666</x:v>
      </x:c>
      <x:c r="G2942" s="65" t="n">
        <x:v>348.15333321847527</x:v>
      </x:c>
      <x:c r="H2942" s="43" t="n">
        <x:v>1</x:v>
      </x:c>
      <x:c r="I2942" s="34" t="str">
        <x:v>generated design-reference observation; not predicted tract behavior</x:v>
      </x:c>
    </x:row>
    <x:row r="2943" ht="75.5999984741211" hidden="0" customHeight="1">
      <x:c r="A2943" s="36" t="str">
        <x:v>P2</x:v>
      </x:c>
      <x:c r="B2943" s="36" t="str">
        <x:v>48201452703</x:v>
      </x:c>
      <x:c r="C2943" s="66" t="n">
        <x:v>322.5037767483194</x:v>
      </x:c>
      <x:c r="D2943" s="66" t="n">
        <x:v>276.05552778937994</x:v>
      </x:c>
      <x:c r="E2943" s="66" t="n">
        <x:v>46.44824895893947</x:v>
      </x:c>
      <x:c r="F2943" s="66" t="n">
        <x:v>46.44824895893947</x:v>
      </x:c>
      <x:c r="G2943" s="66" t="n">
        <x:v>322.5037767483194</x:v>
      </x:c>
      <x:c r="H2943" s="45" t="n">
        <x:v>1</x:v>
      </x:c>
      <x:c r="I2943" s="36" t="str">
        <x:v>generated design-reference observation; not predicted tract behavior</x:v>
      </x:c>
    </x:row>
    <x:row r="2944" ht="75.5999984741211" hidden="0" customHeight="1">
      <x:c r="A2944" s="34" t="str">
        <x:v>P2</x:v>
      </x:c>
      <x:c r="B2944" s="34" t="str">
        <x:v>48201452801</x:v>
      </x:c>
      <x:c r="C2944" s="65" t="n">
        <x:v>940.5480241145826</x:v>
      </x:c>
      <x:c r="D2944" s="65" t="n">
        <x:v>388.66902873812637</x:v>
      </x:c>
      <x:c r="E2944" s="65" t="n">
        <x:v>551.8789953764563</x:v>
      </x:c>
      <x:c r="F2944" s="65" t="n">
        <x:v>551.8789953764563</x:v>
      </x:c>
      <x:c r="G2944" s="65" t="n">
        <x:v>940.5480241145826</x:v>
      </x:c>
      <x:c r="H2944" s="43" t="n">
        <x:v>1</x:v>
      </x:c>
      <x:c r="I2944" s="34" t="str">
        <x:v>generated design-reference observation; not predicted tract behavior</x:v>
      </x:c>
    </x:row>
    <x:row r="2945" ht="75.5999984741211" hidden="0" customHeight="1">
      <x:c r="A2945" s="36" t="str">
        <x:v>P2</x:v>
      </x:c>
      <x:c r="B2945" s="36" t="str">
        <x:v>48201452802</x:v>
      </x:c>
      <x:c r="C2945" s="66" t="n">
        <x:v>900.8973302738808</x:v>
      </x:c>
      <x:c r="D2945" s="66" t="n">
        <x:v>674.9389947192705</x:v>
      </x:c>
      <x:c r="E2945" s="66" t="n">
        <x:v>225.95833555461036</x:v>
      </x:c>
      <x:c r="F2945" s="66" t="n">
        <x:v>225.95833555461033</x:v>
      </x:c>
      <x:c r="G2945" s="66" t="n">
        <x:v>900.8973302738808</x:v>
      </x:c>
      <x:c r="H2945" s="45" t="n">
        <x:v>1</x:v>
      </x:c>
      <x:c r="I2945" s="36" t="str">
        <x:v>generated design-reference observation; not predicted tract behavior</x:v>
      </x:c>
    </x:row>
    <x:row r="2946" ht="75.5999984741211" hidden="0" customHeight="1">
      <x:c r="A2946" s="34" t="str">
        <x:v>P2</x:v>
      </x:c>
      <x:c r="B2946" s="34" t="str">
        <x:v>48201452900</x:v>
      </x:c>
      <x:c r="C2946" s="65" t="n">
        <x:v>743.4783201364339</x:v>
      </x:c>
      <x:c r="D2946" s="65" t="n">
        <x:v>307.8000245364836</x:v>
      </x:c>
      <x:c r="E2946" s="65" t="n">
        <x:v>435.67829559995033</x:v>
      </x:c>
      <x:c r="F2946" s="65" t="n">
        <x:v>435.67829559995033</x:v>
      </x:c>
      <x:c r="G2946" s="65" t="n">
        <x:v>743.4783201364339</x:v>
      </x:c>
      <x:c r="H2946" s="43" t="n">
        <x:v>1</x:v>
      </x:c>
      <x:c r="I2946" s="34" t="str">
        <x:v>generated design-reference observation; not predicted tract behavior</x:v>
      </x:c>
    </x:row>
    <x:row r="2947" ht="75.5999984741211" hidden="0" customHeight="1">
      <x:c r="A2947" s="36" t="str">
        <x:v>P2</x:v>
      </x:c>
      <x:c r="B2947" s="36" t="str">
        <x:v>48201453001</x:v>
      </x:c>
      <x:c r="C2947" s="66" t="n">
        <x:v>546.1716212817065</x:v>
      </x:c>
      <x:c r="D2947" s="66" t="n">
        <x:v>225.96163285646477</x:v>
      </x:c>
      <x:c r="E2947" s="66" t="n">
        <x:v>320.2099884252417</x:v>
      </x:c>
      <x:c r="F2947" s="66" t="n">
        <x:v>320.2099884252417</x:v>
      </x:c>
      <x:c r="G2947" s="66" t="n">
        <x:v>546.1716212817065</x:v>
      </x:c>
      <x:c r="H2947" s="45" t="n">
        <x:v>1</x:v>
      </x:c>
      <x:c r="I2947" s="36" t="str">
        <x:v>generated design-reference observation; not predicted tract behavior</x:v>
      </x:c>
    </x:row>
    <x:row r="2948" ht="75.5999984741211" hidden="0" customHeight="1">
      <x:c r="A2948" s="34" t="str">
        <x:v>P2</x:v>
      </x:c>
      <x:c r="B2948" s="34" t="str">
        <x:v>48201453002</x:v>
      </x:c>
      <x:c r="C2948" s="65" t="n">
        <x:v>883.6269332219549</x:v>
      </x:c>
      <x:c r="D2948" s="65" t="n">
        <x:v>365.26135353532743</x:v>
      </x:c>
      <x:c r="E2948" s="65" t="n">
        <x:v>518.3655796866275</x:v>
      </x:c>
      <x:c r="F2948" s="65" t="n">
        <x:v>518.3655796866275</x:v>
      </x:c>
      <x:c r="G2948" s="65" t="n">
        <x:v>883.6269332219549</x:v>
      </x:c>
      <x:c r="H2948" s="43" t="n">
        <x:v>1</x:v>
      </x:c>
      <x:c r="I2948" s="34" t="str">
        <x:v>generated design-reference observation; not predicted tract behavior</x:v>
      </x:c>
    </x:row>
    <x:row r="2949" ht="75.5999984741211" hidden="0" customHeight="1">
      <x:c r="A2949" s="36" t="str">
        <x:v>P2</x:v>
      </x:c>
      <x:c r="B2949" s="36" t="str">
        <x:v>48201453100</x:v>
      </x:c>
      <x:c r="C2949" s="66" t="n">
        <x:v>650.0938746615848</x:v>
      </x:c>
      <x:c r="D2949" s="66" t="n">
        <x:v>266.30084445320125</x:v>
      </x:c>
      <x:c r="E2949" s="66" t="n">
        <x:v>383.7930302083835</x:v>
      </x:c>
      <x:c r="F2949" s="66" t="n">
        <x:v>383.7930302083835</x:v>
      </x:c>
      <x:c r="G2949" s="66" t="n">
        <x:v>650.0938746615848</x:v>
      </x:c>
      <x:c r="H2949" s="45" t="n">
        <x:v>1</x:v>
      </x:c>
      <x:c r="I2949" s="36" t="str">
        <x:v>generated design-reference observation; not predicted tract behavior</x:v>
      </x:c>
    </x:row>
    <x:row r="2950" ht="75.5999984741211" hidden="0" customHeight="1">
      <x:c r="A2950" s="34" t="str">
        <x:v>P2</x:v>
      </x:c>
      <x:c r="B2950" s="34" t="str">
        <x:v>48201453201</x:v>
      </x:c>
      <x:c r="C2950" s="65" t="n">
        <x:v>704.5095911446632</x:v>
      </x:c>
      <x:c r="D2950" s="65" t="n">
        <x:v>285.9194652228909</x:v>
      </x:c>
      <x:c r="E2950" s="65" t="n">
        <x:v>418.5901259217723</x:v>
      </x:c>
      <x:c r="F2950" s="65" t="n">
        <x:v>418.5901259217723</x:v>
      </x:c>
      <x:c r="G2950" s="65" t="n">
        <x:v>704.5095911446632</x:v>
      </x:c>
      <x:c r="H2950" s="43" t="n">
        <x:v>1</x:v>
      </x:c>
      <x:c r="I2950" s="34" t="str">
        <x:v>generated design-reference observation; not predicted tract behavior</x:v>
      </x:c>
    </x:row>
    <x:row r="2951" ht="75.5999984741211" hidden="0" customHeight="1">
      <x:c r="A2951" s="36" t="str">
        <x:v>P2</x:v>
      </x:c>
      <x:c r="B2951" s="36" t="str">
        <x:v>48201453202</x:v>
      </x:c>
      <x:c r="C2951" s="66" t="n">
        <x:v>729.1111103226008</x:v>
      </x:c>
      <x:c r="D2951" s="66" t="n">
        <x:v>541.9753189907259</x:v>
      </x:c>
      <x:c r="E2951" s="66" t="n">
        <x:v>187.13579133187488</x:v>
      </x:c>
      <x:c r="F2951" s="66" t="n">
        <x:v>187.13579133187488</x:v>
      </x:c>
      <x:c r="G2951" s="66" t="n">
        <x:v>729.1111103226008</x:v>
      </x:c>
      <x:c r="H2951" s="45" t="n">
        <x:v>1</x:v>
      </x:c>
      <x:c r="I2951" s="36" t="str">
        <x:v>generated design-reference observation; not predicted tract behavior</x:v>
      </x:c>
    </x:row>
    <x:row r="2952" ht="75.5999984741211" hidden="0" customHeight="1">
      <x:c r="A2952" s="34" t="str">
        <x:v>P2</x:v>
      </x:c>
      <x:c r="B2952" s="34" t="str">
        <x:v>48201453300</x:v>
      </x:c>
      <x:c r="C2952" s="65" t="n">
        <x:v>673.5593903367368</x:v>
      </x:c>
      <x:c r="D2952" s="65" t="n">
        <x:v>496.81973502974415</x:v>
      </x:c>
      <x:c r="E2952" s="65" t="n">
        <x:v>176.73965530699263</x:v>
      </x:c>
      <x:c r="F2952" s="65" t="n">
        <x:v>176.73965530699263</x:v>
      </x:c>
      <x:c r="G2952" s="65" t="n">
        <x:v>673.5593903367368</x:v>
      </x:c>
      <x:c r="H2952" s="43" t="n">
        <x:v>1</x:v>
      </x:c>
      <x:c r="I2952" s="34" t="str">
        <x:v>generated design-reference observation; not predicted tract behavior</x:v>
      </x:c>
    </x:row>
    <x:row r="2953" ht="75.5999984741211" hidden="0" customHeight="1">
      <x:c r="A2953" s="36" t="str">
        <x:v>P2</x:v>
      </x:c>
      <x:c r="B2953" s="36" t="str">
        <x:v>48201453401</x:v>
      </x:c>
      <x:c r="C2953" s="66" t="n">
        <x:v>297.6401726749816</x:v>
      </x:c>
      <x:c r="D2953" s="66" t="n">
        <x:v>254.82522911603087</x:v>
      </x:c>
      <x:c r="E2953" s="66" t="n">
        <x:v>42.814943558950745</x:v>
      </x:c>
      <x:c r="F2953" s="66" t="n">
        <x:v>42.814943558950745</x:v>
      </x:c>
      <x:c r="G2953" s="66" t="n">
        <x:v>297.6401726749816</x:v>
      </x:c>
      <x:c r="H2953" s="45" t="n">
        <x:v>1</x:v>
      </x:c>
      <x:c r="I2953" s="36" t="str">
        <x:v>generated design-reference observation; not predicted tract behavior</x:v>
      </x:c>
    </x:row>
    <x:row r="2954" ht="75.5999984741211" hidden="0" customHeight="1">
      <x:c r="A2954" s="34" t="str">
        <x:v>P2</x:v>
      </x:c>
      <x:c r="B2954" s="34" t="str">
        <x:v>48201453403</x:v>
      </x:c>
      <x:c r="C2954" s="65" t="n">
        <x:v>322.72777318141254</x:v>
      </x:c>
      <x:c r="D2954" s="65" t="n">
        <x:v>274.87843541045606</x:v>
      </x:c>
      <x:c r="E2954" s="65" t="n">
        <x:v>47.84933777095648</x:v>
      </x:c>
      <x:c r="F2954" s="65" t="n">
        <x:v>47.84933777095648</x:v>
      </x:c>
      <x:c r="G2954" s="65" t="n">
        <x:v>322.72777318141254</x:v>
      </x:c>
      <x:c r="H2954" s="43" t="n">
        <x:v>1</x:v>
      </x:c>
      <x:c r="I2954" s="34" t="str">
        <x:v>generated design-reference observation; not predicted tract behavior</x:v>
      </x:c>
    </x:row>
    <x:row r="2955" ht="75.5999984741211" hidden="0" customHeight="1">
      <x:c r="A2955" s="36" t="str">
        <x:v>P2</x:v>
      </x:c>
      <x:c r="B2955" s="36" t="str">
        <x:v>48201453404</x:v>
      </x:c>
      <x:c r="C2955" s="66" t="n">
        <x:v>369.0242991159776</x:v>
      </x:c>
      <x:c r="D2955" s="66" t="n">
        <x:v>316.31767656962535</x:v>
      </x:c>
      <x:c r="E2955" s="66" t="n">
        <x:v>52.706622546352264</x:v>
      </x:c>
      <x:c r="F2955" s="66" t="n">
        <x:v>52.706622546352264</x:v>
      </x:c>
      <x:c r="G2955" s="66" t="n">
        <x:v>369.0242991159776</x:v>
      </x:c>
      <x:c r="H2955" s="45" t="n">
        <x:v>1</x:v>
      </x:c>
      <x:c r="I2955" s="36" t="str">
        <x:v>generated design-reference observation; not predicted tract behavior</x:v>
      </x:c>
    </x:row>
    <x:row r="2956" ht="75.5999984741211" hidden="0" customHeight="1">
      <x:c r="A2956" s="34" t="str">
        <x:v>P2</x:v>
      </x:c>
      <x:c r="B2956" s="34" t="str">
        <x:v>48201453405</x:v>
      </x:c>
      <x:c r="C2956" s="65" t="n">
        <x:v>331.9469947960878</x:v>
      </x:c>
      <x:c r="D2956" s="65" t="n">
        <x:v>283.11489028474955</x:v>
      </x:c>
      <x:c r="E2956" s="65" t="n">
        <x:v>48.83210451133823</x:v>
      </x:c>
      <x:c r="F2956" s="65" t="n">
        <x:v>48.83210451133823</x:v>
      </x:c>
      <x:c r="G2956" s="65" t="n">
        <x:v>331.9469947960878</x:v>
      </x:c>
      <x:c r="H2956" s="43" t="n">
        <x:v>1</x:v>
      </x:c>
      <x:c r="I2956" s="34" t="str">
        <x:v>generated design-reference observation; not predicted tract behavior</x:v>
      </x:c>
    </x:row>
    <x:row r="2957" ht="75.5999984741211" hidden="0" customHeight="1">
      <x:c r="A2957" s="36" t="str">
        <x:v>P2</x:v>
      </x:c>
      <x:c r="B2957" s="36" t="str">
        <x:v>48201453501</x:v>
      </x:c>
      <x:c r="C2957" s="66" t="n">
        <x:v>483.40002166291896</x:v>
      </x:c>
      <x:c r="D2957" s="66" t="n">
        <x:v>415.97285899992147</x:v>
      </x:c>
      <x:c r="E2957" s="66" t="n">
        <x:v>67.42716266299749</x:v>
      </x:c>
      <x:c r="F2957" s="66" t="n">
        <x:v>67.42716266299749</x:v>
      </x:c>
      <x:c r="G2957" s="66" t="n">
        <x:v>483.40002166291896</x:v>
      </x:c>
      <x:c r="H2957" s="45" t="n">
        <x:v>1</x:v>
      </x:c>
      <x:c r="I2957" s="36" t="str">
        <x:v>generated design-reference observation; not predicted tract behavior</x:v>
      </x:c>
    </x:row>
    <x:row r="2958" ht="75.5999984741211" hidden="0" customHeight="1">
      <x:c r="A2958" s="34" t="str">
        <x:v>P2</x:v>
      </x:c>
      <x:c r="B2958" s="34" t="str">
        <x:v>48201453502</x:v>
      </x:c>
      <x:c r="C2958" s="65" t="n">
        <x:v>521.1015535595122</x:v>
      </x:c>
      <x:c r="D2958" s="65" t="n">
        <x:v>392.7732128743655</x:v>
      </x:c>
      <x:c r="E2958" s="65" t="n">
        <x:v>128.3283406851467</x:v>
      </x:c>
      <x:c r="F2958" s="65" t="n">
        <x:v>128.3283406851467</x:v>
      </x:c>
      <x:c r="G2958" s="65" t="n">
        <x:v>521.1015535595122</x:v>
      </x:c>
      <x:c r="H2958" s="43" t="n">
        <x:v>1</x:v>
      </x:c>
      <x:c r="I2958" s="34" t="str">
        <x:v>generated design-reference observation; not predicted tract behavior</x:v>
      </x:c>
    </x:row>
    <x:row r="2959" ht="75.5999984741211" hidden="0" customHeight="1">
      <x:c r="A2959" s="36" t="str">
        <x:v>P2</x:v>
      </x:c>
      <x:c r="B2959" s="36" t="str">
        <x:v>48201453601</x:v>
      </x:c>
      <x:c r="C2959" s="66" t="n">
        <x:v>131.26190979257638</x:v>
      </x:c>
      <x:c r="D2959" s="66" t="n">
        <x:v>112.24314536909242</x:v>
      </x:c>
      <x:c r="E2959" s="66" t="n">
        <x:v>19.018764423483958</x:v>
      </x:c>
      <x:c r="F2959" s="66" t="n">
        <x:v>19.018764423483958</x:v>
      </x:c>
      <x:c r="G2959" s="66" t="n">
        <x:v>131.26190979257638</x:v>
      </x:c>
      <x:c r="H2959" s="45" t="n">
        <x:v>1</x:v>
      </x:c>
      <x:c r="I2959" s="36" t="str">
        <x:v>generated design-reference observation; not predicted tract behavior</x:v>
      </x:c>
    </x:row>
    <x:row r="2960" ht="75.5999984741211" hidden="0" customHeight="1">
      <x:c r="A2960" s="34" t="str">
        <x:v>P2</x:v>
      </x:c>
      <x:c r="B2960" s="34" t="str">
        <x:v>48201453603</x:v>
      </x:c>
      <x:c r="C2960" s="65" t="n">
        <x:v>602.3055506199826</x:v>
      </x:c>
      <x:c r="D2960" s="65" t="n">
        <x:v>246.83485306991253</x:v>
      </x:c>
      <x:c r="E2960" s="65" t="n">
        <x:v>355.47069755007004</x:v>
      </x:c>
      <x:c r="F2960" s="65" t="n">
        <x:v>355.47069755007004</x:v>
      </x:c>
      <x:c r="G2960" s="65" t="n">
        <x:v>602.3055506199826</x:v>
      </x:c>
      <x:c r="H2960" s="43" t="n">
        <x:v>1</x:v>
      </x:c>
      <x:c r="I2960" s="34" t="str">
        <x:v>generated design-reference observation; not predicted tract behavior</x:v>
      </x:c>
    </x:row>
    <x:row r="2961" ht="75.5999984741211" hidden="0" customHeight="1">
      <x:c r="A2961" s="36" t="str">
        <x:v>P2</x:v>
      </x:c>
      <x:c r="B2961" s="36" t="str">
        <x:v>48201453604</x:v>
      </x:c>
      <x:c r="C2961" s="66" t="n">
        <x:v>291.26216897480344</x:v>
      </x:c>
      <x:c r="D2961" s="66" t="n">
        <x:v>251.88352372941</x:v>
      </x:c>
      <x:c r="E2961" s="66" t="n">
        <x:v>39.37864524539344</x:v>
      </x:c>
      <x:c r="F2961" s="66" t="n">
        <x:v>39.37864524539344</x:v>
      </x:c>
      <x:c r="G2961" s="66" t="n">
        <x:v>291.26216897480344</x:v>
      </x:c>
      <x:c r="H2961" s="45" t="n">
        <x:v>1</x:v>
      </x:c>
      <x:c r="I2961" s="36" t="str">
        <x:v>generated design-reference observation; not predicted tract behavior</x:v>
      </x:c>
    </x:row>
    <x:row r="2962" ht="75.5999984741211" hidden="0" customHeight="1">
      <x:c r="A2962" s="34" t="str">
        <x:v>P2</x:v>
      </x:c>
      <x:c r="B2962" s="34" t="str">
        <x:v>48201453701</x:v>
      </x:c>
      <x:c r="C2962" s="65" t="n">
        <x:v>366.81970264290305</x:v>
      </x:c>
      <x:c r="D2962" s="65" t="n">
        <x:v>315.39412180836786</x:v>
      </x:c>
      <x:c r="E2962" s="65" t="n">
        <x:v>51.4255808345352</x:v>
      </x:c>
      <x:c r="F2962" s="65" t="n">
        <x:v>51.4255808345352</x:v>
      </x:c>
      <x:c r="G2962" s="65" t="n">
        <x:v>366.81970264290305</x:v>
      </x:c>
      <x:c r="H2962" s="43" t="n">
        <x:v>1</x:v>
      </x:c>
      <x:c r="I2962" s="34" t="str">
        <x:v>generated design-reference observation; not predicted tract behavior</x:v>
      </x:c>
    </x:row>
    <x:row r="2963" ht="75.5999984741211" hidden="0" customHeight="1">
      <x:c r="A2963" s="36" t="str">
        <x:v>P2</x:v>
      </x:c>
      <x:c r="B2963" s="36" t="str">
        <x:v>48201453702</x:v>
      </x:c>
      <x:c r="C2963" s="66" t="n">
        <x:v>780.9996875605259</x:v>
      </x:c>
      <x:c r="D2963" s="66" t="n">
        <x:v>319.8354329367069</x:v>
      </x:c>
      <x:c r="E2963" s="66" t="n">
        <x:v>461.164254623819</x:v>
      </x:c>
      <x:c r="F2963" s="66" t="n">
        <x:v>461.164254623819</x:v>
      </x:c>
      <x:c r="G2963" s="66" t="n">
        <x:v>780.9996875605259</x:v>
      </x:c>
      <x:c r="H2963" s="45" t="n">
        <x:v>1</x:v>
      </x:c>
      <x:c r="I2963" s="36" t="str">
        <x:v>generated design-reference observation; not predicted tract behavior</x:v>
      </x:c>
    </x:row>
    <x:row r="2964" ht="75.5999984741211" hidden="0" customHeight="1">
      <x:c r="A2964" s="34" t="str">
        <x:v>P2</x:v>
      </x:c>
      <x:c r="B2964" s="34" t="str">
        <x:v>48201453800</x:v>
      </x:c>
      <x:c r="C2964" s="65" t="n">
        <x:v>628.9928665433214</x:v>
      </x:c>
      <x:c r="D2964" s="65" t="n">
        <x:v>259.1430320066015</x:v>
      </x:c>
      <x:c r="E2964" s="65" t="n">
        <x:v>369.84983453671987</x:v>
      </x:c>
      <x:c r="F2964" s="65" t="n">
        <x:v>369.84983453671987</x:v>
      </x:c>
      <x:c r="G2964" s="65" t="n">
        <x:v>628.9928665433214</x:v>
      </x:c>
      <x:c r="H2964" s="43" t="n">
        <x:v>1</x:v>
      </x:c>
      <x:c r="I2964" s="34" t="str">
        <x:v>generated design-reference observation; not predicted tract behavior</x:v>
      </x:c>
    </x:row>
    <x:row r="2965" ht="75.5999984741211" hidden="0" customHeight="1">
      <x:c r="A2965" s="36" t="str">
        <x:v>P2</x:v>
      </x:c>
      <x:c r="B2965" s="36" t="str">
        <x:v>48201453901</x:v>
      </x:c>
      <x:c r="C2965" s="66" t="n">
        <x:v>492.32451112878744</x:v>
      </x:c>
      <x:c r="D2965" s="66" t="n">
        <x:v>425.3424716381797</x:v>
      </x:c>
      <x:c r="E2965" s="66" t="n">
        <x:v>66.98203949060775</x:v>
      </x:c>
      <x:c r="F2965" s="66" t="n">
        <x:v>66.98203949060775</x:v>
      </x:c>
      <x:c r="G2965" s="66" t="n">
        <x:v>492.32451112878744</x:v>
      </x:c>
      <x:c r="H2965" s="45" t="n">
        <x:v>1</x:v>
      </x:c>
      <x:c r="I2965" s="36" t="str">
        <x:v>generated design-reference observation; not predicted tract behavior</x:v>
      </x:c>
    </x:row>
    <x:row r="2966" ht="75.5999984741211" hidden="0" customHeight="1">
      <x:c r="A2966" s="34" t="str">
        <x:v>P2</x:v>
      </x:c>
      <x:c r="B2966" s="34" t="str">
        <x:v>48201453902</x:v>
      </x:c>
      <x:c r="C2966" s="65" t="n">
        <x:v>533.0462162548457</x:v>
      </x:c>
      <x:c r="D2966" s="65" t="n">
        <x:v>401.0647083463063</x:v>
      </x:c>
      <x:c r="E2966" s="65" t="n">
        <x:v>131.9815079085394</x:v>
      </x:c>
      <x:c r="F2966" s="65" t="n">
        <x:v>131.9815079085394</x:v>
      </x:c>
      <x:c r="G2966" s="65" t="n">
        <x:v>533.0462162548457</x:v>
      </x:c>
      <x:c r="H2966" s="43" t="n">
        <x:v>1</x:v>
      </x:c>
      <x:c r="I2966" s="34" t="str">
        <x:v>generated design-reference observation; not predicted tract behavior</x:v>
      </x:c>
    </x:row>
    <x:row r="2967" ht="75.5999984741211" hidden="0" customHeight="1">
      <x:c r="A2967" s="36" t="str">
        <x:v>P2</x:v>
      </x:c>
      <x:c r="B2967" s="36" t="str">
        <x:v>48201454000</x:v>
      </x:c>
      <x:c r="C2967" s="66" t="n">
        <x:v>346.003753413178</x:v>
      </x:c>
      <x:c r="D2967" s="66" t="n">
        <x:v>299.22404595171633</x:v>
      </x:c>
      <x:c r="E2967" s="66" t="n">
        <x:v>46.77970746146167</x:v>
      </x:c>
      <x:c r="F2967" s="66" t="n">
        <x:v>46.77970746146167</x:v>
      </x:c>
      <x:c r="G2967" s="66" t="n">
        <x:v>346.003753413178</x:v>
      </x:c>
      <x:c r="H2967" s="45" t="n">
        <x:v>1</x:v>
      </x:c>
      <x:c r="I2967" s="36" t="str">
        <x:v>generated design-reference observation; not predicted tract behavior</x:v>
      </x:c>
    </x:row>
    <x:row r="2968" ht="75.5999984741211" hidden="0" customHeight="1">
      <x:c r="A2968" s="34" t="str">
        <x:v>P2</x:v>
      </x:c>
      <x:c r="B2968" s="34" t="str">
        <x:v>48201454100</x:v>
      </x:c>
      <x:c r="C2968" s="65" t="n">
        <x:v>668.5879391374795</x:v>
      </x:c>
      <x:c r="D2968" s="65" t="n">
        <x:v>275.577411483939</x:v>
      </x:c>
      <x:c r="E2968" s="65" t="n">
        <x:v>393.01052765354046</x:v>
      </x:c>
      <x:c r="F2968" s="65" t="n">
        <x:v>393.01052765354046</x:v>
      </x:c>
      <x:c r="G2968" s="65" t="n">
        <x:v>668.5879391374795</x:v>
      </x:c>
      <x:c r="H2968" s="43" t="n">
        <x:v>1</x:v>
      </x:c>
      <x:c r="I2968" s="34" t="str">
        <x:v>generated design-reference observation; not predicted tract behavior</x:v>
      </x:c>
    </x:row>
    <x:row r="2969" ht="75.5999984741211" hidden="0" customHeight="1">
      <x:c r="A2969" s="36" t="str">
        <x:v>P2</x:v>
      </x:c>
      <x:c r="B2969" s="36" t="str">
        <x:v>48201454200</x:v>
      </x:c>
      <x:c r="C2969" s="66" t="n">
        <x:v>344.0192236112125</x:v>
      </x:c>
      <x:c r="D2969" s="66" t="n">
        <x:v>297.50782457897657</x:v>
      </x:c>
      <x:c r="E2969" s="66" t="n">
        <x:v>46.51139903223594</x:v>
      </x:c>
      <x:c r="F2969" s="66" t="n">
        <x:v>46.51139903223594</x:v>
      </x:c>
      <x:c r="G2969" s="66" t="n">
        <x:v>344.0192236112125</x:v>
      </x:c>
      <x:c r="H2969" s="45" t="n">
        <x:v>1</x:v>
      </x:c>
      <x:c r="I2969" s="36" t="str">
        <x:v>generated design-reference observation; not predicted tract behavior</x:v>
      </x:c>
    </x:row>
    <x:row r="2970" ht="75.5999984741211" hidden="0" customHeight="1">
      <x:c r="A2970" s="34" t="str">
        <x:v>P2</x:v>
      </x:c>
      <x:c r="B2970" s="34" t="str">
        <x:v>48201454302</x:v>
      </x:c>
      <x:c r="C2970" s="65" t="n">
        <x:v>471.9251166693759</x:v>
      </x:c>
      <x:c r="D2970" s="65" t="n">
        <x:v>407.84353292037224</x:v>
      </x:c>
      <x:c r="E2970" s="65" t="n">
        <x:v>64.08158374900364</x:v>
      </x:c>
      <x:c r="F2970" s="65" t="n">
        <x:v>64.08158374900364</x:v>
      </x:c>
      <x:c r="G2970" s="65" t="n">
        <x:v>471.9251166693759</x:v>
      </x:c>
      <x:c r="H2970" s="43" t="n">
        <x:v>1</x:v>
      </x:c>
      <x:c r="I2970" s="34" t="str">
        <x:v>generated design-reference observation; not predicted tract behavior</x:v>
      </x:c>
    </x:row>
    <x:row r="2971" ht="75.5999984741211" hidden="0" customHeight="1">
      <x:c r="A2971" s="36" t="str">
        <x:v>P2</x:v>
      </x:c>
      <x:c r="B2971" s="36" t="str">
        <x:v>48201454303</x:v>
      </x:c>
      <x:c r="C2971" s="66" t="n">
        <x:v>661.4865569428454</x:v>
      </x:c>
      <x:c r="D2971" s="66" t="n">
        <x:v>273.00739282074676</x:v>
      </x:c>
      <x:c r="E2971" s="66" t="n">
        <x:v>388.4791641220986</x:v>
      </x:c>
      <x:c r="F2971" s="66" t="n">
        <x:v>388.4791641220986</x:v>
      </x:c>
      <x:c r="G2971" s="66" t="n">
        <x:v>661.4865569428454</x:v>
      </x:c>
      <x:c r="H2971" s="45" t="n">
        <x:v>1</x:v>
      </x:c>
      <x:c r="I2971" s="36" t="str">
        <x:v>generated design-reference observation; not predicted tract behavior</x:v>
      </x:c>
    </x:row>
    <x:row r="2972" ht="75.5999984741211" hidden="0" customHeight="1">
      <x:c r="A2972" s="34" t="str">
        <x:v>P2</x:v>
      </x:c>
      <x:c r="B2972" s="34" t="str">
        <x:v>48201454304</x:v>
      </x:c>
      <x:c r="C2972" s="65" t="n">
        <x:v>477.5289572586883</x:v>
      </x:c>
      <x:c r="D2972" s="65" t="n">
        <x:v>407.29409724145233</x:v>
      </x:c>
      <x:c r="E2972" s="65" t="n">
        <x:v>70.23486001723597</x:v>
      </x:c>
      <x:c r="F2972" s="65" t="n">
        <x:v>70.23486001723597</x:v>
      </x:c>
      <x:c r="G2972" s="65" t="n">
        <x:v>477.5289572586883</x:v>
      </x:c>
      <x:c r="H2972" s="43" t="n">
        <x:v>1</x:v>
      </x:c>
      <x:c r="I2972" s="34" t="str">
        <x:v>generated design-reference observation; not predicted tract behavior</x:v>
      </x:c>
    </x:row>
    <x:row r="2973" ht="75.5999984741211" hidden="0" customHeight="1">
      <x:c r="A2973" s="36" t="str">
        <x:v>P2</x:v>
      </x:c>
      <x:c r="B2973" s="36" t="str">
        <x:v>48201454305</x:v>
      </x:c>
      <x:c r="C2973" s="66" t="n">
        <x:v>282.03115807417583</x:v>
      </x:c>
      <x:c r="D2973" s="66" t="n">
        <x:v>241.55827114205536</x:v>
      </x:c>
      <x:c r="E2973" s="66" t="n">
        <x:v>40.472886932120474</x:v>
      </x:c>
      <x:c r="F2973" s="66" t="n">
        <x:v>40.472886932120474</x:v>
      </x:c>
      <x:c r="G2973" s="66" t="n">
        <x:v>282.03115807417583</x:v>
      </x:c>
      <x:c r="H2973" s="45" t="n">
        <x:v>1</x:v>
      </x:c>
      <x:c r="I2973" s="36" t="str">
        <x:v>generated design-reference observation; not predicted tract behavior</x:v>
      </x:c>
    </x:row>
    <x:row r="2974" ht="75.5999984741211" hidden="0" customHeight="1">
      <x:c r="A2974" s="34" t="str">
        <x:v>P2</x:v>
      </x:c>
      <x:c r="B2974" s="34" t="str">
        <x:v>48201454400</x:v>
      </x:c>
      <x:c r="C2974" s="65" t="n">
        <x:v>172.2614188619714</x:v>
      </x:c>
      <x:c r="D2974" s="65" t="n">
        <x:v>67.8636163993798</x:v>
      </x:c>
      <x:c r="E2974" s="65" t="n">
        <x:v>104.39780246259161</x:v>
      </x:c>
      <x:c r="F2974" s="65" t="n">
        <x:v>104.39780246259161</x:v>
      </x:c>
      <x:c r="G2974" s="65" t="n">
        <x:v>172.2614188619714</x:v>
      </x:c>
      <x:c r="H2974" s="43" t="n">
        <x:v>1</x:v>
      </x:c>
      <x:c r="I2974" s="34" t="str">
        <x:v>generated design-reference observation; not predicted tract behavior</x:v>
      </x:c>
    </x:row>
    <x:row r="2975" ht="75.5999984741211" hidden="0" customHeight="1">
      <x:c r="A2975" s="36" t="str">
        <x:v>P2</x:v>
      </x:c>
      <x:c r="B2975" s="36" t="str">
        <x:v>48201454502</x:v>
      </x:c>
      <x:c r="C2975" s="66" t="n">
        <x:v>377.7867614723483</x:v>
      </x:c>
      <x:c r="D2975" s="66" t="n">
        <x:v>156.40371924955218</x:v>
      </x:c>
      <x:c r="E2975" s="66" t="n">
        <x:v>221.38304222279612</x:v>
      </x:c>
      <x:c r="F2975" s="66" t="n">
        <x:v>221.38304222279612</x:v>
      </x:c>
      <x:c r="G2975" s="66" t="n">
        <x:v>377.7867614723483</x:v>
      </x:c>
      <x:c r="H2975" s="45" t="n">
        <x:v>1</x:v>
      </x:c>
      <x:c r="I2975" s="36" t="str">
        <x:v>generated design-reference observation; not predicted tract behavior</x:v>
      </x:c>
    </x:row>
    <x:row r="2976" ht="75.5999984741211" hidden="0" customHeight="1">
      <x:c r="A2976" s="34" t="str">
        <x:v>P2</x:v>
      </x:c>
      <x:c r="B2976" s="34" t="str">
        <x:v>48201454503</x:v>
      </x:c>
      <x:c r="C2976" s="65" t="n">
        <x:v>217.57913177311465</x:v>
      </x:c>
      <x:c r="D2976" s="65" t="n">
        <x:v>188.16243315738956</x:v>
      </x:c>
      <x:c r="E2976" s="65" t="n">
        <x:v>29.416698615725096</x:v>
      </x:c>
      <x:c r="F2976" s="65" t="n">
        <x:v>29.416698615725096</x:v>
      </x:c>
      <x:c r="G2976" s="65" t="n">
        <x:v>217.57913177311465</x:v>
      </x:c>
      <x:c r="H2976" s="43" t="n">
        <x:v>1</x:v>
      </x:c>
      <x:c r="I2976" s="34" t="str">
        <x:v>generated design-reference observation; not predicted tract behavior</x:v>
      </x:c>
    </x:row>
    <x:row r="2977" ht="75.5999984741211" hidden="0" customHeight="1">
      <x:c r="A2977" s="36" t="str">
        <x:v>P2</x:v>
      </x:c>
      <x:c r="B2977" s="36" t="str">
        <x:v>48201454504</x:v>
      </x:c>
      <x:c r="C2977" s="66" t="n">
        <x:v>904.1608464569757</x:v>
      </x:c>
      <x:c r="D2977" s="66" t="n">
        <x:v>371.48020515428584</x:v>
      </x:c>
      <x:c r="E2977" s="66" t="n">
        <x:v>532.6806413026899</x:v>
      </x:c>
      <x:c r="F2977" s="66" t="n">
        <x:v>532.6806413026899</x:v>
      </x:c>
      <x:c r="G2977" s="66" t="n">
        <x:v>904.1608464569757</x:v>
      </x:c>
      <x:c r="H2977" s="45" t="n">
        <x:v>1</x:v>
      </x:c>
      <x:c r="I2977" s="36" t="str">
        <x:v>generated design-reference observation; not predicted tract behavior</x:v>
      </x:c>
    </x:row>
    <x:row r="2978" ht="75.5999984741211" hidden="0" customHeight="1">
      <x:c r="A2978" s="34" t="str">
        <x:v>P2</x:v>
      </x:c>
      <x:c r="B2978" s="34" t="str">
        <x:v>48201454505</x:v>
      </x:c>
      <x:c r="C2978" s="65" t="n">
        <x:v>196.02438729038064</x:v>
      </x:c>
      <x:c r="D2978" s="65" t="n">
        <x:v>169.5218901287212</x:v>
      </x:c>
      <x:c r="E2978" s="65" t="n">
        <x:v>26.50249716165945</x:v>
      </x:c>
      <x:c r="F2978" s="65" t="n">
        <x:v>26.50249716165945</x:v>
      </x:c>
      <x:c r="G2978" s="65" t="n">
        <x:v>196.02438729038064</x:v>
      </x:c>
      <x:c r="H2978" s="43" t="n">
        <x:v>1</x:v>
      </x:c>
      <x:c r="I2978" s="34" t="str">
        <x:v>generated design-reference observation; not predicted tract behavior</x:v>
      </x:c>
    </x:row>
    <x:row r="2979" ht="75.5999984741211" hidden="0" customHeight="1">
      <x:c r="A2979" s="36" t="str">
        <x:v>P2</x:v>
      </x:c>
      <x:c r="B2979" s="36" t="str">
        <x:v>48201454600</x:v>
      </x:c>
      <x:c r="C2979" s="66" t="n">
        <x:v>425.01161810330876</x:v>
      </x:c>
      <x:c r="D2979" s="66" t="n">
        <x:v>361.93388261245127</x:v>
      </x:c>
      <x:c r="E2979" s="66" t="n">
        <x:v>63.07773549085749</x:v>
      </x:c>
      <x:c r="F2979" s="66" t="n">
        <x:v>63.07773549085749</x:v>
      </x:c>
      <x:c r="G2979" s="66" t="n">
        <x:v>425.01161810330876</x:v>
      </x:c>
      <x:c r="H2979" s="45" t="n">
        <x:v>1</x:v>
      </x:c>
      <x:c r="I2979" s="36" t="str">
        <x:v>generated design-reference observation; not predicted tract behavior</x:v>
      </x:c>
    </x:row>
    <x:row r="2980" ht="75.5999984741211" hidden="0" customHeight="1">
      <x:c r="A2980" s="34" t="str">
        <x:v>P2</x:v>
      </x:c>
      <x:c r="B2980" s="34" t="str">
        <x:v>48201454700</x:v>
      </x:c>
      <x:c r="C2980" s="65" t="n">
        <x:v>606.0793312822426</x:v>
      </x:c>
      <x:c r="D2980" s="65" t="n">
        <x:v>523.666295566529</x:v>
      </x:c>
      <x:c r="E2980" s="65" t="n">
        <x:v>82.41303571571359</x:v>
      </x:c>
      <x:c r="F2980" s="65" t="n">
        <x:v>82.41303571571359</x:v>
      </x:c>
      <x:c r="G2980" s="65" t="n">
        <x:v>606.0793312822426</x:v>
      </x:c>
      <x:c r="H2980" s="43" t="n">
        <x:v>1</x:v>
      </x:c>
      <x:c r="I2980" s="34" t="str">
        <x:v>generated design-reference observation; not predicted tract behavior</x:v>
      </x:c>
    </x:row>
    <x:row r="2981" ht="75.5999984741211" hidden="0" customHeight="1">
      <x:c r="A2981" s="36" t="str">
        <x:v>P2</x:v>
      </x:c>
      <x:c r="B2981" s="36" t="str">
        <x:v>48201454801</x:v>
      </x:c>
      <x:c r="C2981" s="66" t="n">
        <x:v>330.3357923826109</x:v>
      </x:c>
      <x:c r="D2981" s="66" t="n">
        <x:v>279.25231355038306</x:v>
      </x:c>
      <x:c r="E2981" s="66" t="n">
        <x:v>51.083478832227854</x:v>
      </x:c>
      <x:c r="F2981" s="66" t="n">
        <x:v>51.083478832227854</x:v>
      </x:c>
      <x:c r="G2981" s="66" t="n">
        <x:v>330.3357923826109</x:v>
      </x:c>
      <x:c r="H2981" s="45" t="n">
        <x:v>1</x:v>
      </x:c>
      <x:c r="I2981" s="36" t="str">
        <x:v>generated design-reference observation; not predicted tract behavior</x:v>
      </x:c>
    </x:row>
    <x:row r="2982" ht="75.5999984741211" hidden="0" customHeight="1">
      <x:c r="A2982" s="34" t="str">
        <x:v>P2</x:v>
      </x:c>
      <x:c r="B2982" s="34" t="str">
        <x:v>48201454802</x:v>
      </x:c>
      <x:c r="C2982" s="65" t="n">
        <x:v>348.34982131767975</x:v>
      </x:c>
      <x:c r="D2982" s="65" t="n">
        <x:v>300.35193896528824</x:v>
      </x:c>
      <x:c r="E2982" s="65" t="n">
        <x:v>47.997882352391514</x:v>
      </x:c>
      <x:c r="F2982" s="65" t="n">
        <x:v>47.997882352391514</x:v>
      </x:c>
      <x:c r="G2982" s="65" t="n">
        <x:v>348.34982131767975</x:v>
      </x:c>
      <x:c r="H2982" s="43" t="n">
        <x:v>1</x:v>
      </x:c>
      <x:c r="I2982" s="34" t="str">
        <x:v>generated design-reference observation; not predicted tract behavior</x:v>
      </x:c>
    </x:row>
    <x:row r="2983" ht="75.5999984741211" hidden="0" customHeight="1">
      <x:c r="A2983" s="36" t="str">
        <x:v>P2</x:v>
      </x:c>
      <x:c r="B2983" s="36" t="str">
        <x:v>48201454901</x:v>
      </x:c>
      <x:c r="C2983" s="66" t="n">
        <x:v>192.34613007327235</x:v>
      </x:c>
      <x:c r="D2983" s="66" t="n">
        <x:v>165.62277523233294</x:v>
      </x:c>
      <x:c r="E2983" s="66" t="n">
        <x:v>26.723354840939407</x:v>
      </x:c>
      <x:c r="F2983" s="66" t="n">
        <x:v>26.723354840939407</x:v>
      </x:c>
      <x:c r="G2983" s="66" t="n">
        <x:v>192.34613007327235</x:v>
      </x:c>
      <x:c r="H2983" s="45" t="n">
        <x:v>1</x:v>
      </x:c>
      <x:c r="I2983" s="36" t="str">
        <x:v>generated design-reference observation; not predicted tract behavior</x:v>
      </x:c>
    </x:row>
    <x:row r="2984" ht="75.5999984741211" hidden="0" customHeight="1">
      <x:c r="A2984" s="34" t="str">
        <x:v>P2</x:v>
      </x:c>
      <x:c r="B2984" s="34" t="str">
        <x:v>48201454902</x:v>
      </x:c>
      <x:c r="C2984" s="65" t="n">
        <x:v>683.8336018994487</x:v>
      </x:c>
      <x:c r="D2984" s="65" t="n">
        <x:v>584.7598586805566</x:v>
      </x:c>
      <x:c r="E2984" s="65" t="n">
        <x:v>99.0737432188921</x:v>
      </x:c>
      <x:c r="F2984" s="65" t="n">
        <x:v>99.0737432188921</x:v>
      </x:c>
      <x:c r="G2984" s="65" t="n">
        <x:v>683.8336018994487</x:v>
      </x:c>
      <x:c r="H2984" s="43" t="n">
        <x:v>1</x:v>
      </x:c>
      <x:c r="I2984" s="34" t="str">
        <x:v>generated design-reference observation; not predicted tract behavior</x:v>
      </x:c>
    </x:row>
    <x:row r="2985" ht="75.5999984741211" hidden="0" customHeight="1">
      <x:c r="A2985" s="36" t="str">
        <x:v>P2</x:v>
      </x:c>
      <x:c r="B2985" s="36" t="str">
        <x:v>48201455000</x:v>
      </x:c>
      <x:c r="C2985" s="66" t="n">
        <x:v>289.23048202902885</x:v>
      </x:c>
      <x:c r="D2985" s="66" t="n">
        <x:v>246.98373944376962</x:v>
      </x:c>
      <x:c r="E2985" s="66" t="n">
        <x:v>42.24674258525923</x:v>
      </x:c>
      <x:c r="F2985" s="66" t="n">
        <x:v>42.24674258525923</x:v>
      </x:c>
      <x:c r="G2985" s="66" t="n">
        <x:v>289.23048202902885</x:v>
      </x:c>
      <x:c r="H2985" s="45" t="n">
        <x:v>1</x:v>
      </x:c>
      <x:c r="I2985" s="36" t="str">
        <x:v>generated design-reference observation; not predicted tract behavior</x:v>
      </x:c>
    </x:row>
    <x:row r="2986" ht="75.5999984741211" hidden="0" customHeight="1">
      <x:c r="A2986" s="34" t="str">
        <x:v>P2</x:v>
      </x:c>
      <x:c r="B2986" s="34" t="str">
        <x:v>48201455102</x:v>
      </x:c>
      <x:c r="C2986" s="65" t="n">
        <x:v>230.88137608925956</x:v>
      </x:c>
      <x:c r="D2986" s="65" t="n">
        <x:v>199.66621404199165</x:v>
      </x:c>
      <x:c r="E2986" s="65" t="n">
        <x:v>31.21516204726791</x:v>
      </x:c>
      <x:c r="F2986" s="65" t="n">
        <x:v>31.21516204726791</x:v>
      </x:c>
      <x:c r="G2986" s="65" t="n">
        <x:v>230.88137608925956</x:v>
      </x:c>
      <x:c r="H2986" s="43" t="n">
        <x:v>1</x:v>
      </x:c>
      <x:c r="I2986" s="34" t="str">
        <x:v>generated design-reference observation; not predicted tract behavior</x:v>
      </x:c>
    </x:row>
    <x:row r="2987" ht="75.5999984741211" hidden="0" customHeight="1">
      <x:c r="A2987" s="36" t="str">
        <x:v>P2</x:v>
      </x:c>
      <x:c r="B2987" s="36" t="str">
        <x:v>48201455103</x:v>
      </x:c>
      <x:c r="C2987" s="66" t="n">
        <x:v>303.6291299387348</x:v>
      </x:c>
      <x:c r="D2987" s="66" t="n">
        <x:v>262.5784715710179</x:v>
      </x:c>
      <x:c r="E2987" s="66" t="n">
        <x:v>41.05065836771695</x:v>
      </x:c>
      <x:c r="F2987" s="66" t="n">
        <x:v>41.05065836771695</x:v>
      </x:c>
      <x:c r="G2987" s="66" t="n">
        <x:v>303.6291299387348</x:v>
      </x:c>
      <x:c r="H2987" s="45" t="n">
        <x:v>1</x:v>
      </x:c>
      <x:c r="I2987" s="36" t="str">
        <x:v>generated design-reference observation; not predicted tract behavior</x:v>
      </x:c>
    </x:row>
    <x:row r="2988" ht="75.5999984741211" hidden="0" customHeight="1">
      <x:c r="A2988" s="34" t="str">
        <x:v>P2</x:v>
      </x:c>
      <x:c r="B2988" s="34" t="str">
        <x:v>48201455104</x:v>
      </x:c>
      <x:c r="C2988" s="65" t="n">
        <x:v>274.2580888696457</x:v>
      </x:c>
      <x:c r="D2988" s="65" t="n">
        <x:v>236.40541286069472</x:v>
      </x:c>
      <x:c r="E2988" s="65" t="n">
        <x:v>37.852676008950965</x:v>
      </x:c>
      <x:c r="F2988" s="65" t="n">
        <x:v>37.852676008950965</x:v>
      </x:c>
      <x:c r="G2988" s="65" t="n">
        <x:v>274.2580888696457</x:v>
      </x:c>
      <x:c r="H2988" s="43" t="n">
        <x:v>1</x:v>
      </x:c>
      <x:c r="I2988" s="34" t="str">
        <x:v>generated design-reference observation; not predicted tract behavior</x:v>
      </x:c>
    </x:row>
    <x:row r="2989" ht="75.5999984741211" hidden="0" customHeight="1">
      <x:c r="A2989" s="36" t="str">
        <x:v>P2</x:v>
      </x:c>
      <x:c r="B2989" s="36" t="str">
        <x:v>48201455200</x:v>
      </x:c>
      <x:c r="C2989" s="66" t="n">
        <x:v>337.9438115838092</x:v>
      </x:c>
      <x:c r="D2989" s="66" t="n">
        <x:v>292.16207762106245</x:v>
      </x:c>
      <x:c r="E2989" s="66" t="n">
        <x:v>45.78173396274673</x:v>
      </x:c>
      <x:c r="F2989" s="66" t="n">
        <x:v>45.78173396274673</x:v>
      </x:c>
      <x:c r="G2989" s="66" t="n">
        <x:v>337.9438115838092</x:v>
      </x:c>
      <x:c r="H2989" s="45" t="n">
        <x:v>1</x:v>
      </x:c>
      <x:c r="I2989" s="36" t="str">
        <x:v>generated design-reference observation; not predicted tract behavior</x:v>
      </x:c>
    </x:row>
    <x:row r="2990" ht="75.5999984741211" hidden="0" customHeight="1">
      <x:c r="A2990" s="34" t="str">
        <x:v>P2</x:v>
      </x:c>
      <x:c r="B2990" s="34" t="str">
        <x:v>48201455300</x:v>
      </x:c>
      <x:c r="C2990" s="65" t="n">
        <x:v>1065.7396607992735</x:v>
      </x:c>
      <x:c r="D2990" s="65" t="n">
        <x:v>902.2850237248248</x:v>
      </x:c>
      <x:c r="E2990" s="65" t="n">
        <x:v>163.45463707444867</x:v>
      </x:c>
      <x:c r="F2990" s="65" t="n">
        <x:v>163.45463707444867</x:v>
      </x:c>
      <x:c r="G2990" s="65" t="n">
        <x:v>1065.7396607992735</x:v>
      </x:c>
      <x:c r="H2990" s="43" t="n">
        <x:v>1</x:v>
      </x:c>
      <x:c r="I2990" s="34" t="str">
        <x:v>generated design-reference observation; not predicted tract behavior</x:v>
      </x:c>
    </x:row>
    <x:row r="2991" ht="75.5999984741211" hidden="0" customHeight="1">
      <x:c r="A2991" s="36" t="str">
        <x:v>P2</x:v>
      </x:c>
      <x:c r="B2991" s="36" t="str">
        <x:v>48201510100</x:v>
      </x:c>
      <x:c r="C2991" s="66" t="n">
        <x:v>246.78119307688792</x:v>
      </x:c>
      <x:c r="D2991" s="66" t="n">
        <x:v>210.81586766759958</x:v>
      </x:c>
      <x:c r="E2991" s="66" t="n">
        <x:v>35.96532540928834</x:v>
      </x:c>
      <x:c r="F2991" s="66" t="n">
        <x:v>35.96532540928834</x:v>
      </x:c>
      <x:c r="G2991" s="66" t="n">
        <x:v>246.78119307688792</x:v>
      </x:c>
      <x:c r="H2991" s="45" t="n">
        <x:v>1</x:v>
      </x:c>
      <x:c r="I2991" s="36" t="str">
        <x:v>generated design-reference observation; not predicted tract behavior</x:v>
      </x:c>
    </x:row>
    <x:row r="2992" ht="75.5999984741211" hidden="0" customHeight="1">
      <x:c r="A2992" s="34" t="str">
        <x:v>P2</x:v>
      </x:c>
      <x:c r="B2992" s="34" t="str">
        <x:v>48201510201</x:v>
      </x:c>
      <x:c r="C2992" s="65" t="n">
        <x:v>194.72756583563088</x:v>
      </x:c>
      <x:c r="D2992" s="65" t="n">
        <x:v>161.1832389803113</x:v>
      </x:c>
      <x:c r="E2992" s="65" t="n">
        <x:v>33.54432685531958</x:v>
      </x:c>
      <x:c r="F2992" s="65" t="n">
        <x:v>33.54432685531958</x:v>
      </x:c>
      <x:c r="G2992" s="65" t="n">
        <x:v>194.72756583563088</x:v>
      </x:c>
      <x:c r="H2992" s="43" t="n">
        <x:v>1</x:v>
      </x:c>
      <x:c r="I2992" s="34" t="str">
        <x:v>generated design-reference observation; not predicted tract behavior</x:v>
      </x:c>
    </x:row>
    <x:row r="2993" ht="75.5999984741211" hidden="0" customHeight="1">
      <x:c r="A2993" s="36" t="str">
        <x:v>P2</x:v>
      </x:c>
      <x:c r="B2993" s="36" t="str">
        <x:v>48201510202</x:v>
      </x:c>
      <x:c r="C2993" s="66" t="n">
        <x:v>528.5844249559865</x:v>
      </x:c>
      <x:c r="D2993" s="66" t="n">
        <x:v>443.27082446907474</x:v>
      </x:c>
      <x:c r="E2993" s="66" t="n">
        <x:v>85.31360048691175</x:v>
      </x:c>
      <x:c r="F2993" s="66" t="n">
        <x:v>85.31360048691175</x:v>
      </x:c>
      <x:c r="G2993" s="66" t="n">
        <x:v>528.5844249559865</x:v>
      </x:c>
      <x:c r="H2993" s="45" t="n">
        <x:v>1</x:v>
      </x:c>
      <x:c r="I2993" s="36" t="str">
        <x:v>generated design-reference observation; not predicted tract behavior</x:v>
      </x:c>
    </x:row>
    <x:row r="2994" ht="75.5999984741211" hidden="0" customHeight="1">
      <x:c r="A2994" s="34" t="str">
        <x:v>P2</x:v>
      </x:c>
      <x:c r="B2994" s="34" t="str">
        <x:v>48201510301</x:v>
      </x:c>
      <x:c r="C2994" s="65" t="n">
        <x:v>504.98529737337554</x:v>
      </x:c>
      <x:c r="D2994" s="65" t="n">
        <x:v>376.0467487912377</x:v>
      </x:c>
      <x:c r="E2994" s="65" t="n">
        <x:v>128.93854858213786</x:v>
      </x:c>
      <x:c r="F2994" s="65" t="n">
        <x:v>128.93854858213786</x:v>
      </x:c>
      <x:c r="G2994" s="65" t="n">
        <x:v>504.98529737337554</x:v>
      </x:c>
      <x:c r="H2994" s="43" t="n">
        <x:v>1</x:v>
      </x:c>
      <x:c r="I2994" s="34" t="str">
        <x:v>generated design-reference observation; not predicted tract behavior</x:v>
      </x:c>
    </x:row>
    <x:row r="2995" ht="75.5999984741211" hidden="0" customHeight="1">
      <x:c r="A2995" s="36" t="str">
        <x:v>P2</x:v>
      </x:c>
      <x:c r="B2995" s="36" t="str">
        <x:v>48201510302</x:v>
      </x:c>
      <x:c r="C2995" s="66" t="n">
        <x:v>275.76711747153627</x:v>
      </x:c>
      <x:c r="D2995" s="66" t="n">
        <x:v>238.2137998589056</x:v>
      </x:c>
      <x:c r="E2995" s="66" t="n">
        <x:v>37.55331761263068</x:v>
      </x:c>
      <x:c r="F2995" s="66" t="n">
        <x:v>37.55331761263068</x:v>
      </x:c>
      <x:c r="G2995" s="66" t="n">
        <x:v>275.76711747153627</x:v>
      </x:c>
      <x:c r="H2995" s="45" t="n">
        <x:v>1</x:v>
      </x:c>
      <x:c r="I2995" s="36" t="str">
        <x:v>generated design-reference observation; not predicted tract behavior</x:v>
      </x:c>
    </x:row>
    <x:row r="2996" ht="75.5999984741211" hidden="0" customHeight="1">
      <x:c r="A2996" s="34" t="str">
        <x:v>P2</x:v>
      </x:c>
      <x:c r="B2996" s="34" t="str">
        <x:v>48201510400</x:v>
      </x:c>
      <x:c r="C2996" s="65" t="n">
        <x:v>306.71006333426146</x:v>
      </x:c>
      <x:c r="D2996" s="65" t="n">
        <x:v>263.0336113131677</x:v>
      </x:c>
      <x:c r="E2996" s="65" t="n">
        <x:v>43.67645202109378</x:v>
      </x:c>
      <x:c r="F2996" s="65" t="n">
        <x:v>43.67645202109378</x:v>
      </x:c>
      <x:c r="G2996" s="65" t="n">
        <x:v>306.71006333426146</x:v>
      </x:c>
      <x:c r="H2996" s="43" t="n">
        <x:v>1</x:v>
      </x:c>
      <x:c r="I2996" s="34" t="str">
        <x:v>generated design-reference observation; not predicted tract behavior</x:v>
      </x:c>
    </x:row>
    <x:row r="2997" ht="75.5999984741211" hidden="0" customHeight="1">
      <x:c r="A2997" s="36" t="str">
        <x:v>P2</x:v>
      </x:c>
      <x:c r="B2997" s="36" t="str">
        <x:v>48201510500</x:v>
      </x:c>
      <x:c r="C2997" s="66" t="n">
        <x:v>404.60829388191314</x:v>
      </x:c>
      <x:c r="D2997" s="66" t="n">
        <x:v>342.294531427576</x:v>
      </x:c>
      <x:c r="E2997" s="66" t="n">
        <x:v>62.313762454337166</x:v>
      </x:c>
      <x:c r="F2997" s="66" t="n">
        <x:v>62.313762454337166</x:v>
      </x:c>
      <x:c r="G2997" s="66" t="n">
        <x:v>404.60829388191314</x:v>
      </x:c>
      <x:c r="H2997" s="45" t="n">
        <x:v>1</x:v>
      </x:c>
      <x:c r="I2997" s="36" t="str">
        <x:v>generated design-reference observation; not predicted tract behavior</x:v>
      </x:c>
    </x:row>
    <x:row r="2998" ht="75.5999984741211" hidden="0" customHeight="1">
      <x:c r="A2998" s="34" t="str">
        <x:v>P2</x:v>
      </x:c>
      <x:c r="B2998" s="34" t="str">
        <x:v>48201510601</x:v>
      </x:c>
      <x:c r="C2998" s="65" t="n">
        <x:v>272.80407693553235</x:v>
      </x:c>
      <x:c r="D2998" s="65" t="n">
        <x:v>231.2238713399561</x:v>
      </x:c>
      <x:c r="E2998" s="65" t="n">
        <x:v>41.580205595576246</x:v>
      </x:c>
      <x:c r="F2998" s="65" t="n">
        <x:v>41.58020559557625</x:v>
      </x:c>
      <x:c r="G2998" s="65" t="n">
        <x:v>272.80407693553235</x:v>
      </x:c>
      <x:c r="H2998" s="43" t="n">
        <x:v>1</x:v>
      </x:c>
      <x:c r="I2998" s="34" t="str">
        <x:v>generated design-reference observation; not predicted tract behavior</x:v>
      </x:c>
    </x:row>
    <x:row r="2999" ht="75.5999984741211" hidden="0" customHeight="1">
      <x:c r="A2999" s="36" t="str">
        <x:v>P2</x:v>
      </x:c>
      <x:c r="B2999" s="36" t="str">
        <x:v>48201510602</x:v>
      </x:c>
      <x:c r="C2999" s="66" t="n">
        <x:v>363.4086692407129</x:v>
      </x:c>
      <x:c r="D2999" s="66" t="n">
        <x:v>308.3556647741712</x:v>
      </x:c>
      <x:c r="E2999" s="66" t="n">
        <x:v>55.05300446654172</x:v>
      </x:c>
      <x:c r="F2999" s="66" t="n">
        <x:v>55.05300446654172</x:v>
      </x:c>
      <x:c r="G2999" s="66" t="n">
        <x:v>363.4086692407129</x:v>
      </x:c>
      <x:c r="H2999" s="45" t="n">
        <x:v>1</x:v>
      </x:c>
      <x:c r="I2999" s="36" t="str">
        <x:v>generated design-reference observation; not predicted tract behavior</x:v>
      </x:c>
    </x:row>
    <x:row r="3000" ht="75.5999984741211" hidden="0" customHeight="1">
      <x:c r="A3000" s="34" t="str">
        <x:v>P2</x:v>
      </x:c>
      <x:c r="B3000" s="34" t="str">
        <x:v>48201510701</x:v>
      </x:c>
      <x:c r="C3000" s="65" t="n">
        <x:v>173.1610320669446</x:v>
      </x:c>
      <x:c r="D3000" s="65" t="n">
        <x:v>144.39315585659617</x:v>
      </x:c>
      <x:c r="E3000" s="65" t="n">
        <x:v>28.767876210348447</x:v>
      </x:c>
      <x:c r="F3000" s="65" t="n">
        <x:v>28.767876210348447</x:v>
      </x:c>
      <x:c r="G3000" s="65" t="n">
        <x:v>173.1610320669446</x:v>
      </x:c>
      <x:c r="H3000" s="43" t="n">
        <x:v>1</x:v>
      </x:c>
      <x:c r="I3000" s="34" t="str">
        <x:v>generated design-reference observation; not predicted tract behavior</x:v>
      </x:c>
    </x:row>
    <x:row r="3001" ht="75.5999984741211" hidden="0" customHeight="1">
      <x:c r="A3001" s="36" t="str">
        <x:v>P2</x:v>
      </x:c>
      <x:c r="B3001" s="36" t="str">
        <x:v>48201510702</x:v>
      </x:c>
      <x:c r="C3001" s="66" t="n">
        <x:v>163.28161043894224</x:v>
      </x:c>
      <x:c r="D3001" s="66" t="n">
        <x:v>141.20593670759723</x:v>
      </x:c>
      <x:c r="E3001" s="66" t="n">
        <x:v>22.075673731345006</x:v>
      </x:c>
      <x:c r="F3001" s="66" t="n">
        <x:v>22.075673731345006</x:v>
      </x:c>
      <x:c r="G3001" s="66" t="n">
        <x:v>163.28161043894224</x:v>
      </x:c>
      <x:c r="H3001" s="45" t="n">
        <x:v>1</x:v>
      </x:c>
      <x:c r="I3001" s="36" t="str">
        <x:v>generated design-reference observation; not predicted tract behavior</x:v>
      </x:c>
    </x:row>
    <x:row r="3002" ht="75.5999984741211" hidden="0" customHeight="1">
      <x:c r="A3002" s="34" t="str">
        <x:v>P2</x:v>
      </x:c>
      <x:c r="B3002" s="34" t="str">
        <x:v>48201510801</x:v>
      </x:c>
      <x:c r="C3002" s="65" t="n">
        <x:v>360.95649776264077</x:v>
      </x:c>
      <x:c r="D3002" s="65" t="n">
        <x:v>307.11084652035294</x:v>
      </x:c>
      <x:c r="E3002" s="65" t="n">
        <x:v>53.84565124228783</x:v>
      </x:c>
      <x:c r="F3002" s="65" t="n">
        <x:v>53.84565124228783</x:v>
      </x:c>
      <x:c r="G3002" s="65" t="n">
        <x:v>360.95649776264077</x:v>
      </x:c>
      <x:c r="H3002" s="43" t="n">
        <x:v>1</x:v>
      </x:c>
      <x:c r="I3002" s="34" t="str">
        <x:v>generated design-reference observation; not predicted tract behavior</x:v>
      </x:c>
    </x:row>
    <x:row r="3003" ht="75.5999984741211" hidden="0" customHeight="1">
      <x:c r="A3003" s="36" t="str">
        <x:v>P2</x:v>
      </x:c>
      <x:c r="B3003" s="36" t="str">
        <x:v>48201510802</x:v>
      </x:c>
      <x:c r="C3003" s="66" t="n">
        <x:v>223.97285452122915</x:v>
      </x:c>
      <x:c r="D3003" s="66" t="n">
        <x:v>191.8367013467688</x:v>
      </x:c>
      <x:c r="E3003" s="66" t="n">
        <x:v>32.13615317446036</x:v>
      </x:c>
      <x:c r="F3003" s="66" t="n">
        <x:v>32.13615317446036</x:v>
      </x:c>
      <x:c r="G3003" s="66" t="n">
        <x:v>223.97285452122915</x:v>
      </x:c>
      <x:c r="H3003" s="45" t="n">
        <x:v>1</x:v>
      </x:c>
      <x:c r="I3003" s="36" t="str">
        <x:v>generated design-reference observation; not predicted tract behavior</x:v>
      </x:c>
    </x:row>
    <x:row r="3004" ht="75.5999984741211" hidden="0" customHeight="1">
      <x:c r="A3004" s="34" t="str">
        <x:v>P2</x:v>
      </x:c>
      <x:c r="B3004" s="34" t="str">
        <x:v>48201510803</x:v>
      </x:c>
      <x:c r="C3004" s="65" t="n">
        <x:v>352.4440287263348</x:v>
      </x:c>
      <x:c r="D3004" s="65" t="n">
        <x:v>257.63460020407285</x:v>
      </x:c>
      <x:c r="E3004" s="65" t="n">
        <x:v>94.80942852226195</x:v>
      </x:c>
      <x:c r="F3004" s="65" t="n">
        <x:v>94.80942852226195</x:v>
      </x:c>
      <x:c r="G3004" s="65" t="n">
        <x:v>352.4440287263348</x:v>
      </x:c>
      <x:c r="H3004" s="43" t="n">
        <x:v>1</x:v>
      </x:c>
      <x:c r="I3004" s="34" t="str">
        <x:v>generated design-reference observation; not predicted tract behavior</x:v>
      </x:c>
    </x:row>
    <x:row r="3005" ht="75.5999984741211" hidden="0" customHeight="1">
      <x:c r="A3005" s="36" t="str">
        <x:v>P2</x:v>
      </x:c>
      <x:c r="B3005" s="36" t="str">
        <x:v>48201510901</x:v>
      </x:c>
      <x:c r="C3005" s="66" t="n">
        <x:v>907.1825311333577</x:v>
      </x:c>
      <x:c r="D3005" s="66" t="n">
        <x:v>684.3785014870051</x:v>
      </x:c>
      <x:c r="E3005" s="66" t="n">
        <x:v>222.80402964635255</x:v>
      </x:c>
      <x:c r="F3005" s="66" t="n">
        <x:v>222.80402964635255</x:v>
      </x:c>
      <x:c r="G3005" s="66" t="n">
        <x:v>907.1825311333577</x:v>
      </x:c>
      <x:c r="H3005" s="45" t="n">
        <x:v>1</x:v>
      </x:c>
      <x:c r="I3005" s="36" t="str">
        <x:v>generated design-reference observation; not predicted tract behavior</x:v>
      </x:c>
    </x:row>
    <x:row r="3006" ht="75.5999984741211" hidden="0" customHeight="1">
      <x:c r="A3006" s="34" t="str">
        <x:v>P2</x:v>
      </x:c>
      <x:c r="B3006" s="34" t="str">
        <x:v>48201510902</x:v>
      </x:c>
      <x:c r="C3006" s="65" t="n">
        <x:v>456.4182758801566</x:v>
      </x:c>
      <x:c r="D3006" s="65" t="n">
        <x:v>386.5365335673731</x:v>
      </x:c>
      <x:c r="E3006" s="65" t="n">
        <x:v>69.8817423127835</x:v>
      </x:c>
      <x:c r="F3006" s="65" t="n">
        <x:v>69.8817423127835</x:v>
      </x:c>
      <x:c r="G3006" s="65" t="n">
        <x:v>456.4182758801566</x:v>
      </x:c>
      <x:c r="H3006" s="43" t="n">
        <x:v>1</x:v>
      </x:c>
      <x:c r="I3006" s="34" t="str">
        <x:v>generated design-reference observation; not predicted tract behavior</x:v>
      </x:c>
    </x:row>
    <x:row r="3007" ht="75.5999984741211" hidden="0" customHeight="1">
      <x:c r="A3007" s="36" t="str">
        <x:v>P2</x:v>
      </x:c>
      <x:c r="B3007" s="36" t="str">
        <x:v>48201511001</x:v>
      </x:c>
      <x:c r="C3007" s="66" t="n">
        <x:v>288.6410177314153</x:v>
      </x:c>
      <x:c r="D3007" s="66" t="n">
        <x:v>245.4183052327894</x:v>
      </x:c>
      <x:c r="E3007" s="66" t="n">
        <x:v>43.22271249862587</x:v>
      </x:c>
      <x:c r="F3007" s="66" t="n">
        <x:v>43.22271249862587</x:v>
      </x:c>
      <x:c r="G3007" s="66" t="n">
        <x:v>288.6410177314153</x:v>
      </x:c>
      <x:c r="H3007" s="45" t="n">
        <x:v>1</x:v>
      </x:c>
      <x:c r="I3007" s="36" t="str">
        <x:v>generated design-reference observation; not predicted tract behavior</x:v>
      </x:c>
    </x:row>
    <x:row r="3008" ht="75.5999984741211" hidden="0" customHeight="1">
      <x:c r="A3008" s="34" t="str">
        <x:v>P2</x:v>
      </x:c>
      <x:c r="B3008" s="34" t="str">
        <x:v>48201511003</x:v>
      </x:c>
      <x:c r="C3008" s="65" t="n">
        <x:v>151.6337959180993</x:v>
      </x:c>
      <x:c r="D3008" s="65" t="n">
        <x:v>128.7482305175798</x:v>
      </x:c>
      <x:c r="E3008" s="65" t="n">
        <x:v>22.88556540051951</x:v>
      </x:c>
      <x:c r="F3008" s="65" t="n">
        <x:v>22.885565400519514</x:v>
      </x:c>
      <x:c r="G3008" s="65" t="n">
        <x:v>151.6337959180993</x:v>
      </x:c>
      <x:c r="H3008" s="43" t="n">
        <x:v>1</x:v>
      </x:c>
      <x:c r="I3008" s="34" t="str">
        <x:v>generated design-reference observation; not predicted tract behavior</x:v>
      </x:c>
    </x:row>
    <x:row r="3009" ht="75.5999984741211" hidden="0" customHeight="1">
      <x:c r="A3009" s="36" t="str">
        <x:v>P2</x:v>
      </x:c>
      <x:c r="B3009" s="36" t="str">
        <x:v>48201511004</x:v>
      </x:c>
      <x:c r="C3009" s="66" t="n">
        <x:v>263.08154349751015</x:v>
      </x:c>
      <x:c r="D3009" s="66" t="n">
        <x:v>194.61769499051516</x:v>
      </x:c>
      <x:c r="E3009" s="66" t="n">
        <x:v>68.46384850699499</x:v>
      </x:c>
      <x:c r="F3009" s="66" t="n">
        <x:v>68.46384850699499</x:v>
      </x:c>
      <x:c r="G3009" s="66" t="n">
        <x:v>263.08154349751015</x:v>
      </x:c>
      <x:c r="H3009" s="45" t="n">
        <x:v>1</x:v>
      </x:c>
      <x:c r="I3009" s="36" t="str">
        <x:v>generated design-reference observation; not predicted tract behavior</x:v>
      </x:c>
    </x:row>
    <x:row r="3010" ht="75.5999984741211" hidden="0" customHeight="1">
      <x:c r="A3010" s="34" t="str">
        <x:v>P2</x:v>
      </x:c>
      <x:c r="B3010" s="34" t="str">
        <x:v>48201511100</x:v>
      </x:c>
      <x:c r="C3010" s="65" t="n">
        <x:v>620.4689105104468</x:v>
      </x:c>
      <x:c r="D3010" s="65" t="n">
        <x:v>461.93681476642575</x:v>
      </x:c>
      <x:c r="E3010" s="65" t="n">
        <x:v>158.53209574402103</x:v>
      </x:c>
      <x:c r="F3010" s="65" t="n">
        <x:v>158.53209574402103</x:v>
      </x:c>
      <x:c r="G3010" s="65" t="n">
        <x:v>620.4689105104468</x:v>
      </x:c>
      <x:c r="H3010" s="43" t="n">
        <x:v>1</x:v>
      </x:c>
      <x:c r="I3010" s="34" t="str">
        <x:v>generated design-reference observation; not predicted tract behavior</x:v>
      </x:c>
    </x:row>
    <x:row r="3011" ht="75.5999984741211" hidden="0" customHeight="1">
      <x:c r="A3011" s="36" t="str">
        <x:v>P2</x:v>
      </x:c>
      <x:c r="B3011" s="36" t="str">
        <x:v>48201511201</x:v>
      </x:c>
      <x:c r="C3011" s="66" t="n">
        <x:v>496.4534818165324</x:v>
      </x:c>
      <x:c r="D3011" s="66" t="n">
        <x:v>204.28079566334677</x:v>
      </x:c>
      <x:c r="E3011" s="66" t="n">
        <x:v>292.1726861531856</x:v>
      </x:c>
      <x:c r="F3011" s="66" t="n">
        <x:v>292.1726861531856</x:v>
      </x:c>
      <x:c r="G3011" s="66" t="n">
        <x:v>496.4534818165324</x:v>
      </x:c>
      <x:c r="H3011" s="45" t="n">
        <x:v>1</x:v>
      </x:c>
      <x:c r="I3011" s="36" t="str">
        <x:v>generated design-reference observation; not predicted tract behavior</x:v>
      </x:c>
    </x:row>
    <x:row r="3012" ht="75.5999984741211" hidden="0" customHeight="1">
      <x:c r="A3012" s="34" t="str">
        <x:v>P2</x:v>
      </x:c>
      <x:c r="B3012" s="34" t="str">
        <x:v>48201511202</x:v>
      </x:c>
      <x:c r="C3012" s="65" t="n">
        <x:v>606.7068840421636</x:v>
      </x:c>
      <x:c r="D3012" s="65" t="n">
        <x:v>250.7800552829397</x:v>
      </x:c>
      <x:c r="E3012" s="65" t="n">
        <x:v>355.92682875922384</x:v>
      </x:c>
      <x:c r="F3012" s="65" t="n">
        <x:v>355.92682875922384</x:v>
      </x:c>
      <x:c r="G3012" s="65" t="n">
        <x:v>606.7068840421636</x:v>
      </x:c>
      <x:c r="H3012" s="43" t="n">
        <x:v>1</x:v>
      </x:c>
      <x:c r="I3012" s="34" t="str">
        <x:v>generated design-reference observation; not predicted tract behavior</x:v>
      </x:c>
    </x:row>
    <x:row r="3013" ht="75.5999984741211" hidden="0" customHeight="1">
      <x:c r="A3013" s="36" t="str">
        <x:v>P2</x:v>
      </x:c>
      <x:c r="B3013" s="36" t="str">
        <x:v>48201511301</x:v>
      </x:c>
      <x:c r="C3013" s="66" t="n">
        <x:v>408.3808653866395</x:v>
      </x:c>
      <x:c r="D3013" s="66" t="n">
        <x:v>348.9698130417514</x:v>
      </x:c>
      <x:c r="E3013" s="66" t="n">
        <x:v>59.411052344888105</x:v>
      </x:c>
      <x:c r="F3013" s="66" t="n">
        <x:v>59.411052344888105</x:v>
      </x:c>
      <x:c r="G3013" s="66" t="n">
        <x:v>408.3808653866395</x:v>
      </x:c>
      <x:c r="H3013" s="45" t="n">
        <x:v>1</x:v>
      </x:c>
      <x:c r="I3013" s="36" t="str">
        <x:v>generated design-reference observation; not predicted tract behavior</x:v>
      </x:c>
    </x:row>
    <x:row r="3014" ht="75.5999984741211" hidden="0" customHeight="1">
      <x:c r="A3014" s="34" t="str">
        <x:v>P2</x:v>
      </x:c>
      <x:c r="B3014" s="34" t="str">
        <x:v>48201511302</x:v>
      </x:c>
      <x:c r="C3014" s="65" t="n">
        <x:v>396.35579371532395</x:v>
      </x:c>
      <x:c r="D3014" s="65" t="n">
        <x:v>341.69559716268753</x:v>
      </x:c>
      <x:c r="E3014" s="65" t="n">
        <x:v>54.66019655263642</x:v>
      </x:c>
      <x:c r="F3014" s="65" t="n">
        <x:v>54.66019655263642</x:v>
      </x:c>
      <x:c r="G3014" s="65" t="n">
        <x:v>396.35579371532395</x:v>
      </x:c>
      <x:c r="H3014" s="43" t="n">
        <x:v>1</x:v>
      </x:c>
      <x:c r="I3014" s="34" t="str">
        <x:v>generated design-reference observation; not predicted tract behavior</x:v>
      </x:c>
    </x:row>
    <x:row r="3015" ht="75.5999984741211" hidden="0" customHeight="1">
      <x:c r="A3015" s="36" t="str">
        <x:v>P2</x:v>
      </x:c>
      <x:c r="B3015" s="36" t="str">
        <x:v>48201511400</x:v>
      </x:c>
      <x:c r="C3015" s="66" t="n">
        <x:v>216.8246174721694</x:v>
      </x:c>
      <x:c r="D3015" s="66" t="n">
        <x:v>186.9265387754191</x:v>
      </x:c>
      <x:c r="E3015" s="66" t="n">
        <x:v>29.898078696750304</x:v>
      </x:c>
      <x:c r="F3015" s="66" t="n">
        <x:v>29.898078696750304</x:v>
      </x:c>
      <x:c r="G3015" s="66" t="n">
        <x:v>216.8246174721694</x:v>
      </x:c>
      <x:c r="H3015" s="45" t="n">
        <x:v>1</x:v>
      </x:c>
      <x:c r="I3015" s="36" t="str">
        <x:v>generated design-reference observation; not predicted tract behavior</x:v>
      </x:c>
    </x:row>
    <x:row r="3016" ht="75.5999984741211" hidden="0" customHeight="1">
      <x:c r="A3016" s="34" t="str">
        <x:v>P2</x:v>
      </x:c>
      <x:c r="B3016" s="34" t="str">
        <x:v>48201511501</x:v>
      </x:c>
      <x:c r="C3016" s="65" t="n">
        <x:v>298.1117441130724</x:v>
      </x:c>
      <x:c r="D3016" s="65" t="n">
        <x:v>251.8855877061154</x:v>
      </x:c>
      <x:c r="E3016" s="65" t="n">
        <x:v>46.22615640695702</x:v>
      </x:c>
      <x:c r="F3016" s="65" t="n">
        <x:v>46.22615640695702</x:v>
      </x:c>
      <x:c r="G3016" s="65" t="n">
        <x:v>298.1117441130724</x:v>
      </x:c>
      <x:c r="H3016" s="43" t="n">
        <x:v>1</x:v>
      </x:c>
      <x:c r="I3016" s="34" t="str">
        <x:v>generated design-reference observation; not predicted tract behavior</x:v>
      </x:c>
    </x:row>
    <x:row r="3017" ht="75.5999984741211" hidden="0" customHeight="1">
      <x:c r="A3017" s="36" t="str">
        <x:v>P2</x:v>
      </x:c>
      <x:c r="B3017" s="36" t="str">
        <x:v>48201511502</x:v>
      </x:c>
      <x:c r="C3017" s="66" t="n">
        <x:v>433.07548969466154</x:v>
      </x:c>
      <x:c r="D3017" s="66" t="n">
        <x:v>374.06350773732396</x:v>
      </x:c>
      <x:c r="E3017" s="66" t="n">
        <x:v>59.01198195733758</x:v>
      </x:c>
      <x:c r="F3017" s="66" t="n">
        <x:v>59.01198195733758</x:v>
      </x:c>
      <x:c r="G3017" s="66" t="n">
        <x:v>433.07548969466154</x:v>
      </x:c>
      <x:c r="H3017" s="45" t="n">
        <x:v>1</x:v>
      </x:c>
      <x:c r="I3017" s="36" t="str">
        <x:v>generated design-reference observation; not predicted tract behavior</x:v>
      </x:c>
    </x:row>
    <x:row r="3018" ht="75.5999984741211" hidden="0" customHeight="1">
      <x:c r="A3018" s="34" t="str">
        <x:v>P2</x:v>
      </x:c>
      <x:c r="B3018" s="34" t="str">
        <x:v>48201511600</x:v>
      </x:c>
      <x:c r="C3018" s="65" t="n">
        <x:v>284.263262881139</x:v>
      </x:c>
      <x:c r="D3018" s="65" t="n">
        <x:v>243.14050078135912</x:v>
      </x:c>
      <x:c r="E3018" s="65" t="n">
        <x:v>41.12276209977986</x:v>
      </x:c>
      <x:c r="F3018" s="65" t="n">
        <x:v>41.12276209977986</x:v>
      </x:c>
      <x:c r="G3018" s="65" t="n">
        <x:v>284.263262881139</x:v>
      </x:c>
      <x:c r="H3018" s="43" t="n">
        <x:v>1</x:v>
      </x:c>
      <x:c r="I3018" s="34" t="str">
        <x:v>generated design-reference observation; not predicted tract behavior</x:v>
      </x:c>
    </x:row>
    <x:row r="3019" ht="75.5999984741211" hidden="0" customHeight="1">
      <x:c r="A3019" s="36" t="str">
        <x:v>P2</x:v>
      </x:c>
      <x:c r="B3019" s="36" t="str">
        <x:v>48201520100</x:v>
      </x:c>
      <x:c r="C3019" s="66" t="n">
        <x:v>271.60942929236893</x:v>
      </x:c>
      <x:c r="D3019" s="66" t="n">
        <x:v>231.0015603240394</x:v>
      </x:c>
      <x:c r="E3019" s="66" t="n">
        <x:v>40.60786896832954</x:v>
      </x:c>
      <x:c r="F3019" s="66" t="n">
        <x:v>40.60786896832954</x:v>
      </x:c>
      <x:c r="G3019" s="66" t="n">
        <x:v>271.60942929236893</x:v>
      </x:c>
      <x:c r="H3019" s="45" t="n">
        <x:v>1</x:v>
      </x:c>
      <x:c r="I3019" s="36" t="str">
        <x:v>generated design-reference observation; not predicted tract behavior</x:v>
      </x:c>
    </x:row>
    <x:row r="3020" ht="75.5999984741211" hidden="0" customHeight="1">
      <x:c r="A3020" s="34" t="str">
        <x:v>P2</x:v>
      </x:c>
      <x:c r="B3020" s="34" t="str">
        <x:v>48201520200</x:v>
      </x:c>
      <x:c r="C3020" s="65" t="n">
        <x:v>257.5605301992469</x:v>
      </x:c>
      <x:c r="D3020" s="65" t="n">
        <x:v>221.85100266455566</x:v>
      </x:c>
      <x:c r="E3020" s="65" t="n">
        <x:v>35.70952753469123</x:v>
      </x:c>
      <x:c r="F3020" s="65" t="n">
        <x:v>35.70952753469123</x:v>
      </x:c>
      <x:c r="G3020" s="65" t="n">
        <x:v>257.5605301992469</x:v>
      </x:c>
      <x:c r="H3020" s="43" t="n">
        <x:v>1</x:v>
      </x:c>
      <x:c r="I3020" s="34" t="str">
        <x:v>generated design-reference observation; not predicted tract behavior</x:v>
      </x:c>
    </x:row>
    <x:row r="3021" ht="75.5999984741211" hidden="0" customHeight="1">
      <x:c r="A3021" s="36" t="str">
        <x:v>P2</x:v>
      </x:c>
      <x:c r="B3021" s="36" t="str">
        <x:v>48201520301</x:v>
      </x:c>
      <x:c r="C3021" s="66" t="n">
        <x:v>200.88943262668414</x:v>
      </x:c>
      <x:c r="D3021" s="66" t="n">
        <x:v>171.47053215494756</x:v>
      </x:c>
      <x:c r="E3021" s="66" t="n">
        <x:v>29.418900471736578</x:v>
      </x:c>
      <x:c r="F3021" s="66" t="n">
        <x:v>29.418900471736578</x:v>
      </x:c>
      <x:c r="G3021" s="66" t="n">
        <x:v>200.88943262668414</x:v>
      </x:c>
      <x:c r="H3021" s="45" t="n">
        <x:v>1</x:v>
      </x:c>
      <x:c r="I3021" s="36" t="str">
        <x:v>generated design-reference observation; not predicted tract behavior</x:v>
      </x:c>
    </x:row>
    <x:row r="3022" ht="75.5999984741211" hidden="0" customHeight="1">
      <x:c r="A3022" s="34" t="str">
        <x:v>P2</x:v>
      </x:c>
      <x:c r="B3022" s="34" t="str">
        <x:v>48201520302</x:v>
      </x:c>
      <x:c r="C3022" s="65" t="n">
        <x:v>210.39159710421393</x:v>
      </x:c>
      <x:c r="D3022" s="65" t="n">
        <x:v>180.25287851894933</x:v>
      </x:c>
      <x:c r="E3022" s="65" t="n">
        <x:v>30.1387185852646</x:v>
      </x:c>
      <x:c r="F3022" s="65" t="n">
        <x:v>30.1387185852646</x:v>
      </x:c>
      <x:c r="G3022" s="65" t="n">
        <x:v>210.39159710421393</x:v>
      </x:c>
      <x:c r="H3022" s="43" t="n">
        <x:v>1</x:v>
      </x:c>
      <x:c r="I3022" s="34" t="str">
        <x:v>generated design-reference observation; not predicted tract behavior</x:v>
      </x:c>
    </x:row>
    <x:row r="3023" ht="75.5999984741211" hidden="0" customHeight="1">
      <x:c r="A3023" s="36" t="str">
        <x:v>P2</x:v>
      </x:c>
      <x:c r="B3023" s="36" t="str">
        <x:v>48201520400</x:v>
      </x:c>
      <x:c r="C3023" s="66" t="n">
        <x:v>312.62828488230116</x:v>
      </x:c>
      <x:c r="D3023" s="66" t="n">
        <x:v>264.6709687397592</x:v>
      </x:c>
      <x:c r="E3023" s="66" t="n">
        <x:v>47.95731614254197</x:v>
      </x:c>
      <x:c r="F3023" s="66" t="n">
        <x:v>47.95731614254197</x:v>
      </x:c>
      <x:c r="G3023" s="66" t="n">
        <x:v>312.62828488230116</x:v>
      </x:c>
      <x:c r="H3023" s="45" t="n">
        <x:v>1</x:v>
      </x:c>
      <x:c r="I3023" s="36" t="str">
        <x:v>generated design-reference observation; not predicted tract behavior</x:v>
      </x:c>
    </x:row>
    <x:row r="3024" ht="75.5999984741211" hidden="0" customHeight="1">
      <x:c r="A3024" s="34" t="str">
        <x:v>P2</x:v>
      </x:c>
      <x:c r="B3024" s="34" t="str">
        <x:v>48201520501</x:v>
      </x:c>
      <x:c r="C3024" s="65" t="n">
        <x:v>325.4668172843233</x:v>
      </x:c>
      <x:c r="D3024" s="65" t="n">
        <x:v>281.15908918966085</x:v>
      </x:c>
      <x:c r="E3024" s="65" t="n">
        <x:v>44.30772809466248</x:v>
      </x:c>
      <x:c r="F3024" s="65" t="n">
        <x:v>44.30772809466248</x:v>
      </x:c>
      <x:c r="G3024" s="65" t="n">
        <x:v>325.4668172843233</x:v>
      </x:c>
      <x:c r="H3024" s="43" t="n">
        <x:v>1</x:v>
      </x:c>
      <x:c r="I3024" s="34" t="str">
        <x:v>generated design-reference observation; not predicted tract behavior</x:v>
      </x:c>
    </x:row>
    <x:row r="3025" ht="75.5999984741211" hidden="0" customHeight="1">
      <x:c r="A3025" s="36" t="str">
        <x:v>P2</x:v>
      </x:c>
      <x:c r="B3025" s="36" t="str">
        <x:v>48201520502</x:v>
      </x:c>
      <x:c r="C3025" s="66" t="n">
        <x:v>652.2147369754598</x:v>
      </x:c>
      <x:c r="D3025" s="66" t="n">
        <x:v>486.95992590182675</x:v>
      </x:c>
      <x:c r="E3025" s="66" t="n">
        <x:v>165.25481107363305</x:v>
      </x:c>
      <x:c r="F3025" s="66" t="n">
        <x:v>165.25481107363305</x:v>
      </x:c>
      <x:c r="G3025" s="66" t="n">
        <x:v>652.2147369754598</x:v>
      </x:c>
      <x:c r="H3025" s="45" t="n">
        <x:v>1</x:v>
      </x:c>
      <x:c r="I3025" s="36" t="str">
        <x:v>generated design-reference observation; not predicted tract behavior</x:v>
      </x:c>
    </x:row>
    <x:row r="3026" ht="75.5999984741211" hidden="0" customHeight="1">
      <x:c r="A3026" s="34" t="str">
        <x:v>P2</x:v>
      </x:c>
      <x:c r="B3026" s="34" t="str">
        <x:v>48201520601</x:v>
      </x:c>
      <x:c r="C3026" s="65" t="n">
        <x:v>384.335860963526</x:v>
      </x:c>
      <x:c r="D3026" s="65" t="n">
        <x:v>285.307928964221</x:v>
      </x:c>
      <x:c r="E3026" s="65" t="n">
        <x:v>99.027931999305</x:v>
      </x:c>
      <x:c r="F3026" s="65" t="n">
        <x:v>99.027931999305</x:v>
      </x:c>
      <x:c r="G3026" s="65" t="n">
        <x:v>384.335860963526</x:v>
      </x:c>
      <x:c r="H3026" s="43" t="n">
        <x:v>1</x:v>
      </x:c>
      <x:c r="I3026" s="34" t="str">
        <x:v>generated design-reference observation; not predicted tract behavior</x:v>
      </x:c>
    </x:row>
    <x:row r="3027" ht="75.5999984741211" hidden="0" customHeight="1">
      <x:c r="A3027" s="36" t="str">
        <x:v>P2</x:v>
      </x:c>
      <x:c r="B3027" s="36" t="str">
        <x:v>48201520603</x:v>
      </x:c>
      <x:c r="C3027" s="66" t="n">
        <x:v>170.00150343173624</x:v>
      </x:c>
      <x:c r="D3027" s="66" t="n">
        <x:v>146.24128077592866</x:v>
      </x:c>
      <x:c r="E3027" s="66" t="n">
        <x:v>23.76022265580758</x:v>
      </x:c>
      <x:c r="F3027" s="66" t="n">
        <x:v>23.76022265580758</x:v>
      </x:c>
      <x:c r="G3027" s="66" t="n">
        <x:v>170.00150343173624</x:v>
      </x:c>
      <x:c r="H3027" s="45" t="n">
        <x:v>1</x:v>
      </x:c>
      <x:c r="I3027" s="36" t="str">
        <x:v>generated design-reference observation; not predicted tract behavior</x:v>
      </x:c>
    </x:row>
    <x:row r="3028" ht="75.5999984741211" hidden="0" customHeight="1">
      <x:c r="A3028" s="34" t="str">
        <x:v>P2</x:v>
      </x:c>
      <x:c r="B3028" s="34" t="str">
        <x:v>48201520604</x:v>
      </x:c>
      <x:c r="C3028" s="65" t="n">
        <x:v>276.450896056768</x:v>
      </x:c>
      <x:c r="D3028" s="65" t="n">
        <x:v>238.83078109876038</x:v>
      </x:c>
      <x:c r="E3028" s="65" t="n">
        <x:v>37.620114958007605</x:v>
      </x:c>
      <x:c r="F3028" s="65" t="n">
        <x:v>37.620114958007605</x:v>
      </x:c>
      <x:c r="G3028" s="65" t="n">
        <x:v>276.450896056768</x:v>
      </x:c>
      <x:c r="H3028" s="43" t="n">
        <x:v>1</x:v>
      </x:c>
      <x:c r="I3028" s="34" t="str">
        <x:v>generated design-reference observation; not predicted tract behavior</x:v>
      </x:c>
    </x:row>
    <x:row r="3029" ht="75.5999984741211" hidden="0" customHeight="1">
      <x:c r="A3029" s="36" t="str">
        <x:v>P2</x:v>
      </x:c>
      <x:c r="B3029" s="36" t="str">
        <x:v>48201520700</x:v>
      </x:c>
      <x:c r="C3029" s="66" t="n">
        <x:v>354.81035001952387</x:v>
      </x:c>
      <x:c r="D3029" s="66" t="n">
        <x:v>305.52024880141374</x:v>
      </x:c>
      <x:c r="E3029" s="66" t="n">
        <x:v>49.290101218110124</x:v>
      </x:c>
      <x:c r="F3029" s="66" t="n">
        <x:v>49.290101218110124</x:v>
      </x:c>
      <x:c r="G3029" s="66" t="n">
        <x:v>354.81035001952387</x:v>
      </x:c>
      <x:c r="H3029" s="45" t="n">
        <x:v>1</x:v>
      </x:c>
      <x:c r="I3029" s="36" t="str">
        <x:v>generated design-reference observation; not predicted tract behavior</x:v>
      </x:c>
    </x:row>
    <x:row r="3030" ht="75.5999984741211" hidden="0" customHeight="1">
      <x:c r="A3030" s="34" t="str">
        <x:v>P2</x:v>
      </x:c>
      <x:c r="B3030" s="34" t="str">
        <x:v>48201521000</x:v>
      </x:c>
      <x:c r="C3030" s="65" t="n">
        <x:v>174.48143209359893</x:v>
      </x:c>
      <x:c r="D3030" s="65" t="n">
        <x:v>149.14647918125416</x:v>
      </x:c>
      <x:c r="E3030" s="65" t="n">
        <x:v>25.33495291234476</x:v>
      </x:c>
      <x:c r="F3030" s="65" t="n">
        <x:v>25.33495291234476</x:v>
      </x:c>
      <x:c r="G3030" s="65" t="n">
        <x:v>174.48143209359893</x:v>
      </x:c>
      <x:c r="H3030" s="43" t="n">
        <x:v>1</x:v>
      </x:c>
      <x:c r="I3030" s="34" t="str">
        <x:v>generated design-reference observation; not predicted tract behavior</x:v>
      </x:c>
    </x:row>
    <x:row r="3031" ht="75.5999984741211" hidden="0" customHeight="1">
      <x:c r="A3031" s="36" t="str">
        <x:v>P2</x:v>
      </x:c>
      <x:c r="B3031" s="36" t="str">
        <x:v>48201521100</x:v>
      </x:c>
      <x:c r="C3031" s="66" t="n">
        <x:v>202.31986598889296</x:v>
      </x:c>
      <x:c r="D3031" s="66" t="n">
        <x:v>172.32482185678407</x:v>
      </x:c>
      <x:c r="E3031" s="66" t="n">
        <x:v>29.995044132108887</x:v>
      </x:c>
      <x:c r="F3031" s="66" t="n">
        <x:v>29.995044132108887</x:v>
      </x:c>
      <x:c r="G3031" s="66" t="n">
        <x:v>202.31986598889296</x:v>
      </x:c>
      <x:c r="H3031" s="45" t="n">
        <x:v>1</x:v>
      </x:c>
      <x:c r="I3031" s="36" t="str">
        <x:v>generated design-reference observation; not predicted tract behavior</x:v>
      </x:c>
    </x:row>
    <x:row r="3032" ht="75.5999984741211" hidden="0" customHeight="1">
      <x:c r="A3032" s="34" t="str">
        <x:v>P2</x:v>
      </x:c>
      <x:c r="B3032" s="34" t="str">
        <x:v>48201521201</x:v>
      </x:c>
      <x:c r="C3032" s="65" t="n">
        <x:v>166.40184145430973</x:v>
      </x:c>
      <x:c r="D3032" s="65" t="n">
        <x:v>141.9412150183699</x:v>
      </x:c>
      <x:c r="E3032" s="65" t="n">
        <x:v>24.460626435939844</x:v>
      </x:c>
      <x:c r="F3032" s="65" t="n">
        <x:v>24.460626435939844</x:v>
      </x:c>
      <x:c r="G3032" s="65" t="n">
        <x:v>166.40184145430973</x:v>
      </x:c>
      <x:c r="H3032" s="43" t="n">
        <x:v>1</x:v>
      </x:c>
      <x:c r="I3032" s="34" t="str">
        <x:v>generated design-reference observation; not predicted tract behavior</x:v>
      </x:c>
    </x:row>
    <x:row r="3033" ht="75.5999984741211" hidden="0" customHeight="1">
      <x:c r="A3033" s="36" t="str">
        <x:v>P2</x:v>
      </x:c>
      <x:c r="B3033" s="36" t="str">
        <x:v>48201521202</x:v>
      </x:c>
      <x:c r="C3033" s="66" t="n">
        <x:v>268.5756530406515</x:v>
      </x:c>
      <x:c r="D3033" s="66" t="n">
        <x:v>230.135824825249</x:v>
      </x:c>
      <x:c r="E3033" s="66" t="n">
        <x:v>38.439828215402514</x:v>
      </x:c>
      <x:c r="F3033" s="66" t="n">
        <x:v>38.439828215402514</x:v>
      </x:c>
      <x:c r="G3033" s="66" t="n">
        <x:v>268.5756530406515</x:v>
      </x:c>
      <x:c r="H3033" s="45" t="n">
        <x:v>1</x:v>
      </x:c>
      <x:c r="I3033" s="36" t="str">
        <x:v>generated design-reference observation; not predicted tract behavior</x:v>
      </x:c>
    </x:row>
    <x:row r="3034" ht="75.5999984741211" hidden="0" customHeight="1">
      <x:c r="A3034" s="34" t="str">
        <x:v>P2</x:v>
      </x:c>
      <x:c r="B3034" s="34" t="str">
        <x:v>48201521300</x:v>
      </x:c>
      <x:c r="C3034" s="65" t="n">
        <x:v>579.4591236020167</x:v>
      </x:c>
      <x:c r="D3034" s="65" t="n">
        <x:v>498.63756925276704</x:v>
      </x:c>
      <x:c r="E3034" s="65" t="n">
        <x:v>80.82155434924965</x:v>
      </x:c>
      <x:c r="F3034" s="65" t="n">
        <x:v>80.82155434924965</x:v>
      </x:c>
      <x:c r="G3034" s="65" t="n">
        <x:v>579.4591236020167</x:v>
      </x:c>
      <x:c r="H3034" s="43" t="n">
        <x:v>1</x:v>
      </x:c>
      <x:c r="I3034" s="34" t="str">
        <x:v>generated design-reference observation; not predicted tract behavior</x:v>
      </x:c>
    </x:row>
    <x:row r="3035" ht="75.5999984741211" hidden="0" customHeight="1">
      <x:c r="A3035" s="36" t="str">
        <x:v>P2</x:v>
      </x:c>
      <x:c r="B3035" s="36" t="str">
        <x:v>48201521401</x:v>
      </x:c>
      <x:c r="C3035" s="66" t="n">
        <x:v>261.74572671230294</x:v>
      </x:c>
      <x:c r="D3035" s="66" t="n">
        <x:v>224.39704423426014</x:v>
      </x:c>
      <x:c r="E3035" s="66" t="n">
        <x:v>37.348682478042804</x:v>
      </x:c>
      <x:c r="F3035" s="66" t="n">
        <x:v>37.348682478042804</x:v>
      </x:c>
      <x:c r="G3035" s="66" t="n">
        <x:v>261.74572671230294</x:v>
      </x:c>
      <x:c r="H3035" s="45" t="n">
        <x:v>1</x:v>
      </x:c>
      <x:c r="I3035" s="36" t="str">
        <x:v>generated design-reference observation; not predicted tract behavior</x:v>
      </x:c>
    </x:row>
    <x:row r="3036" ht="75.5999984741211" hidden="0" customHeight="1">
      <x:c r="A3036" s="34" t="str">
        <x:v>P2</x:v>
      </x:c>
      <x:c r="B3036" s="34" t="str">
        <x:v>48201521402</x:v>
      </x:c>
      <x:c r="C3036" s="65" t="n">
        <x:v>591.852383742303</x:v>
      </x:c>
      <x:c r="D3036" s="65" t="n">
        <x:v>241.94152992987446</x:v>
      </x:c>
      <x:c r="E3036" s="65" t="n">
        <x:v>349.9108538124285</x:v>
      </x:c>
      <x:c r="F3036" s="65" t="n">
        <x:v>349.9108538124285</x:v>
      </x:c>
      <x:c r="G3036" s="65" t="n">
        <x:v>591.852383742303</x:v>
      </x:c>
      <x:c r="H3036" s="43" t="n">
        <x:v>1</x:v>
      </x:c>
      <x:c r="I3036" s="34" t="str">
        <x:v>generated design-reference observation; not predicted tract behavior</x:v>
      </x:c>
    </x:row>
    <x:row r="3037" ht="75.5999984741211" hidden="0" customHeight="1">
      <x:c r="A3037" s="36" t="str">
        <x:v>P2</x:v>
      </x:c>
      <x:c r="B3037" s="36" t="str">
        <x:v>48201521501</x:v>
      </x:c>
      <x:c r="C3037" s="66" t="n">
        <x:v>497.0628972134499</x:v>
      </x:c>
      <x:c r="D3037" s="66" t="n">
        <x:v>204.03659955833203</x:v>
      </x:c>
      <x:c r="E3037" s="66" t="n">
        <x:v>293.0262976551179</x:v>
      </x:c>
      <x:c r="F3037" s="66" t="n">
        <x:v>293.0262976551179</x:v>
      </x:c>
      <x:c r="G3037" s="66" t="n">
        <x:v>497.0628972134499</x:v>
      </x:c>
      <x:c r="H3037" s="45" t="n">
        <x:v>1</x:v>
      </x:c>
      <x:c r="I3037" s="36" t="str">
        <x:v>generated design-reference observation; not predicted tract behavior</x:v>
      </x:c>
    </x:row>
    <x:row r="3038" ht="75.5999984741211" hidden="0" customHeight="1">
      <x:c r="A3038" s="34" t="str">
        <x:v>P2</x:v>
      </x:c>
      <x:c r="B3038" s="34" t="str">
        <x:v>48201521502</x:v>
      </x:c>
      <x:c r="C3038" s="65" t="n">
        <x:v>507.7276666595036</x:v>
      </x:c>
      <x:c r="D3038" s="65" t="n">
        <x:v>210.07203843362845</x:v>
      </x:c>
      <x:c r="E3038" s="65" t="n">
        <x:v>297.65562822587515</x:v>
      </x:c>
      <x:c r="F3038" s="65" t="n">
        <x:v>297.65562822587515</x:v>
      </x:c>
      <x:c r="G3038" s="65" t="n">
        <x:v>507.7276666595036</x:v>
      </x:c>
      <x:c r="H3038" s="43" t="n">
        <x:v>1</x:v>
      </x:c>
      <x:c r="I3038" s="34" t="str">
        <x:v>generated design-reference observation; not predicted tract behavior</x:v>
      </x:c>
    </x:row>
    <x:row r="3039" ht="75.5999984741211" hidden="0" customHeight="1">
      <x:c r="A3039" s="36" t="str">
        <x:v>P2</x:v>
      </x:c>
      <x:c r="B3039" s="36" t="str">
        <x:v>48201521600</x:v>
      </x:c>
      <x:c r="C3039" s="66" t="n">
        <x:v>236.51665477444467</x:v>
      </x:c>
      <x:c r="D3039" s="66" t="n">
        <x:v>204.4180758624847</x:v>
      </x:c>
      <x:c r="E3039" s="66" t="n">
        <x:v>32.098578911959976</x:v>
      </x:c>
      <x:c r="F3039" s="66" t="n">
        <x:v>32.098578911959976</x:v>
      </x:c>
      <x:c r="G3039" s="66" t="n">
        <x:v>236.51665477444467</x:v>
      </x:c>
      <x:c r="H3039" s="45" t="n">
        <x:v>1</x:v>
      </x:c>
      <x:c r="I3039" s="36" t="str">
        <x:v>generated design-reference observation; not predicted tract behavior</x:v>
      </x:c>
    </x:row>
    <x:row r="3040" ht="75.5999984741211" hidden="0" customHeight="1">
      <x:c r="A3040" s="34" t="str">
        <x:v>P2</x:v>
      </x:c>
      <x:c r="B3040" s="34" t="str">
        <x:v>48201521701</x:v>
      </x:c>
      <x:c r="C3040" s="65" t="n">
        <x:v>663.3250809726328</x:v>
      </x:c>
      <x:c r="D3040" s="65" t="n">
        <x:v>490.0009202005185</x:v>
      </x:c>
      <x:c r="E3040" s="65" t="n">
        <x:v>173.32416077211428</x:v>
      </x:c>
      <x:c r="F3040" s="65" t="n">
        <x:v>173.32416077211428</x:v>
      </x:c>
      <x:c r="G3040" s="65" t="n">
        <x:v>663.3250809726328</x:v>
      </x:c>
      <x:c r="H3040" s="43" t="n">
        <x:v>1</x:v>
      </x:c>
      <x:c r="I3040" s="34" t="str">
        <x:v>generated design-reference observation; not predicted tract behavior</x:v>
      </x:c>
    </x:row>
    <x:row r="3041" ht="75.5999984741211" hidden="0" customHeight="1">
      <x:c r="A3041" s="36" t="str">
        <x:v>P2</x:v>
      </x:c>
      <x:c r="B3041" s="36" t="str">
        <x:v>48201521702</x:v>
      </x:c>
      <x:c r="C3041" s="66" t="n">
        <x:v>450.20532218331016</x:v>
      </x:c>
      <x:c r="D3041" s="66" t="n">
        <x:v>336.3010555944258</x:v>
      </x:c>
      <x:c r="E3041" s="66" t="n">
        <x:v>113.90426658888435</x:v>
      </x:c>
      <x:c r="F3041" s="66" t="n">
        <x:v>113.90426658888435</x:v>
      </x:c>
      <x:c r="G3041" s="66" t="n">
        <x:v>450.20532218331016</x:v>
      </x:c>
      <x:c r="H3041" s="45" t="n">
        <x:v>1</x:v>
      </x:c>
      <x:c r="I3041" s="36" t="str">
        <x:v>generated design-reference observation; not predicted tract behavior</x:v>
      </x:c>
    </x:row>
    <x:row r="3042" ht="75.5999984741211" hidden="0" customHeight="1">
      <x:c r="A3042" s="34" t="str">
        <x:v>P2</x:v>
      </x:c>
      <x:c r="B3042" s="34" t="str">
        <x:v>48201521800</x:v>
      </x:c>
      <x:c r="C3042" s="65" t="n">
        <x:v>375.48875757980574</x:v>
      </x:c>
      <x:c r="D3042" s="65" t="n">
        <x:v>323.01361083104223</x:v>
      </x:c>
      <x:c r="E3042" s="65" t="n">
        <x:v>52.47514674876351</x:v>
      </x:c>
      <x:c r="F3042" s="65" t="n">
        <x:v>52.47514674876351</x:v>
      </x:c>
      <x:c r="G3042" s="65" t="n">
        <x:v>375.48875757980574</x:v>
      </x:c>
      <x:c r="H3042" s="43" t="n">
        <x:v>1</x:v>
      </x:c>
      <x:c r="I3042" s="34" t="str">
        <x:v>generated design-reference observation; not predicted tract behavior</x:v>
      </x:c>
    </x:row>
    <x:row r="3043" ht="75.5999984741211" hidden="0" customHeight="1">
      <x:c r="A3043" s="36" t="str">
        <x:v>P2</x:v>
      </x:c>
      <x:c r="B3043" s="36" t="str">
        <x:v>48201521900</x:v>
      </x:c>
      <x:c r="C3043" s="66" t="n">
        <x:v>583.7386344026906</x:v>
      </x:c>
      <x:c r="D3043" s="66" t="n">
        <x:v>498.08272161853176</x:v>
      </x:c>
      <x:c r="E3043" s="66" t="n">
        <x:v>85.65591278415889</x:v>
      </x:c>
      <x:c r="F3043" s="66" t="n">
        <x:v>85.65591278415889</x:v>
      </x:c>
      <x:c r="G3043" s="66" t="n">
        <x:v>583.7386344026906</x:v>
      </x:c>
      <x:c r="H3043" s="45" t="n">
        <x:v>1</x:v>
      </x:c>
      <x:c r="I3043" s="36" t="str">
        <x:v>generated design-reference observation; not predicted tract behavior</x:v>
      </x:c>
    </x:row>
    <x:row r="3044" ht="75.5999984741211" hidden="0" customHeight="1">
      <x:c r="A3044" s="34" t="str">
        <x:v>P2</x:v>
      </x:c>
      <x:c r="B3044" s="34" t="str">
        <x:v>48201522001</x:v>
      </x:c>
      <x:c r="C3044" s="65" t="n">
        <x:v>390.6352694240224</x:v>
      </x:c>
      <x:c r="D3044" s="65" t="n">
        <x:v>158.92234528787813</x:v>
      </x:c>
      <x:c r="E3044" s="65" t="n">
        <x:v>231.71292413614427</x:v>
      </x:c>
      <x:c r="F3044" s="65" t="n">
        <x:v>231.71292413614427</x:v>
      </x:c>
      <x:c r="G3044" s="65" t="n">
        <x:v>390.6352694240224</x:v>
      </x:c>
      <x:c r="H3044" s="43" t="n">
        <x:v>1</x:v>
      </x:c>
      <x:c r="I3044" s="34" t="str">
        <x:v>generated design-reference observation; not predicted tract behavior</x:v>
      </x:c>
    </x:row>
    <x:row r="3045" ht="75.5999984741211" hidden="0" customHeight="1">
      <x:c r="A3045" s="36" t="str">
        <x:v>P2</x:v>
      </x:c>
      <x:c r="B3045" s="36" t="str">
        <x:v>48201522002</x:v>
      </x:c>
      <x:c r="C3045" s="66" t="n">
        <x:v>439.06021490704734</x:v>
      </x:c>
      <x:c r="D3045" s="66" t="n">
        <x:v>327.9305285801476</x:v>
      </x:c>
      <x:c r="E3045" s="66" t="n">
        <x:v>111.12968632689973</x:v>
      </x:c>
      <x:c r="F3045" s="66" t="n">
        <x:v>111.12968632689973</x:v>
      </x:c>
      <x:c r="G3045" s="66" t="n">
        <x:v>439.06021490704734</x:v>
      </x:c>
      <x:c r="H3045" s="45" t="n">
        <x:v>1</x:v>
      </x:c>
      <x:c r="I3045" s="36" t="str">
        <x:v>generated design-reference observation; not predicted tract behavior</x:v>
      </x:c>
    </x:row>
    <x:row r="3046" ht="75.5999984741211" hidden="0" customHeight="1">
      <x:c r="A3046" s="34" t="str">
        <x:v>P2</x:v>
      </x:c>
      <x:c r="B3046" s="34" t="str">
        <x:v>48201522101</x:v>
      </x:c>
      <x:c r="C3046" s="65" t="n">
        <x:v>273.40926028108225</x:v>
      </x:c>
      <x:c r="D3046" s="65" t="n">
        <x:v>230.9278047535045</x:v>
      </x:c>
      <x:c r="E3046" s="65" t="n">
        <x:v>42.481455527577765</x:v>
      </x:c>
      <x:c r="F3046" s="65" t="n">
        <x:v>42.481455527577765</x:v>
      </x:c>
      <x:c r="G3046" s="65" t="n">
        <x:v>273.40926028108225</x:v>
      </x:c>
      <x:c r="H3046" s="43" t="n">
        <x:v>1</x:v>
      </x:c>
      <x:c r="I3046" s="34" t="str">
        <x:v>generated design-reference observation; not predicted tract behavior</x:v>
      </x:c>
    </x:row>
    <x:row r="3047" ht="75.5999984741211" hidden="0" customHeight="1">
      <x:c r="A3047" s="36" t="str">
        <x:v>P2</x:v>
      </x:c>
      <x:c r="B3047" s="36" t="str">
        <x:v>48201522102</x:v>
      </x:c>
      <x:c r="C3047" s="66" t="n">
        <x:v>364.80373474506484</x:v>
      </x:c>
      <x:c r="D3047" s="66" t="n">
        <x:v>315.4822698075321</x:v>
      </x:c>
      <x:c r="E3047" s="66" t="n">
        <x:v>49.32146493753277</x:v>
      </x:c>
      <x:c r="F3047" s="66" t="n">
        <x:v>49.32146493753277</x:v>
      </x:c>
      <x:c r="G3047" s="66" t="n">
        <x:v>364.80373474506484</x:v>
      </x:c>
      <x:c r="H3047" s="45" t="n">
        <x:v>1</x:v>
      </x:c>
      <x:c r="I3047" s="36" t="str">
        <x:v>generated design-reference observation; not predicted tract behavior</x:v>
      </x:c>
    </x:row>
    <x:row r="3048" ht="75.5999984741211" hidden="0" customHeight="1">
      <x:c r="A3048" s="34" t="str">
        <x:v>P2</x:v>
      </x:c>
      <x:c r="B3048" s="34" t="str">
        <x:v>48201522201</x:v>
      </x:c>
      <x:c r="C3048" s="65" t="n">
        <x:v>416.5351215036265</x:v>
      </x:c>
      <x:c r="D3048" s="65" t="n">
        <x:v>356.4636704389608</x:v>
      </x:c>
      <x:c r="E3048" s="65" t="n">
        <x:v>60.07145106466572</x:v>
      </x:c>
      <x:c r="F3048" s="65" t="n">
        <x:v>60.07145106466572</x:v>
      </x:c>
      <x:c r="G3048" s="65" t="n">
        <x:v>416.5351215036265</x:v>
      </x:c>
      <x:c r="H3048" s="43" t="n">
        <x:v>1</x:v>
      </x:c>
      <x:c r="I3048" s="34" t="str">
        <x:v>generated design-reference observation; not predicted tract behavior</x:v>
      </x:c>
    </x:row>
    <x:row r="3049" ht="75.5999984741211" hidden="0" customHeight="1">
      <x:c r="A3049" s="36" t="str">
        <x:v>P2</x:v>
      </x:c>
      <x:c r="B3049" s="36" t="str">
        <x:v>48201522202</x:v>
      </x:c>
      <x:c r="C3049" s="66" t="n">
        <x:v>328.5988375856431</x:v>
      </x:c>
      <x:c r="D3049" s="66" t="n">
        <x:v>283.55096618638</x:v>
      </x:c>
      <x:c r="E3049" s="66" t="n">
        <x:v>45.0478713992631</x:v>
      </x:c>
      <x:c r="F3049" s="66" t="n">
        <x:v>45.0478713992631</x:v>
      </x:c>
      <x:c r="G3049" s="66" t="n">
        <x:v>328.5988375856431</x:v>
      </x:c>
      <x:c r="H3049" s="45" t="n">
        <x:v>1</x:v>
      </x:c>
      <x:c r="I3049" s="36" t="str">
        <x:v>generated design-reference observation; not predicted tract behavior</x:v>
      </x:c>
    </x:row>
    <x:row r="3050" ht="75.5999984741211" hidden="0" customHeight="1">
      <x:c r="A3050" s="34" t="str">
        <x:v>P2</x:v>
      </x:c>
      <x:c r="B3050" s="34" t="str">
        <x:v>48201522301</x:v>
      </x:c>
      <x:c r="C3050" s="65" t="n">
        <x:v>318.6526100039111</x:v>
      </x:c>
      <x:c r="D3050" s="65" t="n">
        <x:v>272.5358566783935</x:v>
      </x:c>
      <x:c r="E3050" s="65" t="n">
        <x:v>46.11675332551761</x:v>
      </x:c>
      <x:c r="F3050" s="65" t="n">
        <x:v>46.11675332551761</x:v>
      </x:c>
      <x:c r="G3050" s="65" t="n">
        <x:v>318.6526100039111</x:v>
      </x:c>
      <x:c r="H3050" s="43" t="n">
        <x:v>1</x:v>
      </x:c>
      <x:c r="I3050" s="34" t="str">
        <x:v>generated design-reference observation; not predicted tract behavior</x:v>
      </x:c>
    </x:row>
    <x:row r="3051" ht="75.5999984741211" hidden="0" customHeight="1">
      <x:c r="A3051" s="36" t="str">
        <x:v>P2</x:v>
      </x:c>
      <x:c r="B3051" s="36" t="str">
        <x:v>48201522302</x:v>
      </x:c>
      <x:c r="C3051" s="66" t="n">
        <x:v>253.0766717754002</x:v>
      </x:c>
      <x:c r="D3051" s="66" t="n">
        <x:v>213.7363656230505</x:v>
      </x:c>
      <x:c r="E3051" s="66" t="n">
        <x:v>39.34030615234971</x:v>
      </x:c>
      <x:c r="F3051" s="66" t="n">
        <x:v>39.34030615234971</x:v>
      </x:c>
      <x:c r="G3051" s="66" t="n">
        <x:v>253.0766717754002</x:v>
      </x:c>
      <x:c r="H3051" s="45" t="n">
        <x:v>1</x:v>
      </x:c>
      <x:c r="I3051" s="36" t="str">
        <x:v>generated design-reference observation; not predicted tract behavior</x:v>
      </x:c>
    </x:row>
    <x:row r="3052" ht="75.5999984741211" hidden="0" customHeight="1">
      <x:c r="A3052" s="34" t="str">
        <x:v>P2</x:v>
      </x:c>
      <x:c r="B3052" s="34" t="str">
        <x:v>48201522401</x:v>
      </x:c>
      <x:c r="C3052" s="65" t="n">
        <x:v>486.48881458241385</x:v>
      </x:c>
      <x:c r="D3052" s="65" t="n">
        <x:v>415.34536642505594</x:v>
      </x:c>
      <x:c r="E3052" s="65" t="n">
        <x:v>71.14344815735791</x:v>
      </x:c>
      <x:c r="F3052" s="65" t="n">
        <x:v>71.14344815735791</x:v>
      </x:c>
      <x:c r="G3052" s="65" t="n">
        <x:v>486.48881458241385</x:v>
      </x:c>
      <x:c r="H3052" s="43" t="n">
        <x:v>1</x:v>
      </x:c>
      <x:c r="I3052" s="34" t="str">
        <x:v>generated design-reference observation; not predicted tract behavior</x:v>
      </x:c>
    </x:row>
    <x:row r="3053" ht="75.5999984741211" hidden="0" customHeight="1">
      <x:c r="A3053" s="36" t="str">
        <x:v>P2</x:v>
      </x:c>
      <x:c r="B3053" s="36" t="str">
        <x:v>48201522402</x:v>
      </x:c>
      <x:c r="C3053" s="66" t="n">
        <x:v>309.31549552971313</x:v>
      </x:c>
      <x:c r="D3053" s="66" t="n">
        <x:v>265.56962871954994</x:v>
      </x:c>
      <x:c r="E3053" s="66" t="n">
        <x:v>43.74586681016319</x:v>
      </x:c>
      <x:c r="F3053" s="66" t="n">
        <x:v>43.74586681016319</x:v>
      </x:c>
      <x:c r="G3053" s="66" t="n">
        <x:v>309.31549552971313</x:v>
      </x:c>
      <x:c r="H3053" s="45" t="n">
        <x:v>1</x:v>
      </x:c>
      <x:c r="I3053" s="36" t="str">
        <x:v>generated design-reference observation; not predicted tract behavior</x:v>
      </x:c>
    </x:row>
    <x:row r="3054" ht="75.5999984741211" hidden="0" customHeight="1">
      <x:c r="A3054" s="34" t="str">
        <x:v>P2</x:v>
      </x:c>
      <x:c r="B3054" s="34" t="str">
        <x:v>48201522500</x:v>
      </x:c>
      <x:c r="C3054" s="65" t="n">
        <x:v>437.0759873944652</x:v>
      </x:c>
      <x:c r="D3054" s="65" t="n">
        <x:v>377.98331389873346</x:v>
      </x:c>
      <x:c r="E3054" s="65" t="n">
        <x:v>59.09267349573173</x:v>
      </x:c>
      <x:c r="F3054" s="65" t="n">
        <x:v>59.09267349573173</x:v>
      </x:c>
      <x:c r="G3054" s="65" t="n">
        <x:v>437.0759873944652</x:v>
      </x:c>
      <x:c r="H3054" s="43" t="n">
        <x:v>1</x:v>
      </x:c>
      <x:c r="I3054" s="34" t="str">
        <x:v>generated design-reference observation; not predicted tract behavior</x:v>
      </x:c>
    </x:row>
    <x:row r="3055" ht="75.5999984741211" hidden="0" customHeight="1">
      <x:c r="A3055" s="36" t="str">
        <x:v>P2</x:v>
      </x:c>
      <x:c r="B3055" s="36" t="str">
        <x:v>48201530101</x:v>
      </x:c>
      <x:c r="C3055" s="66" t="n">
        <x:v>271.18501499808724</x:v>
      </x:c>
      <x:c r="D3055" s="66" t="n">
        <x:v>230.91624838556876</x:v>
      </x:c>
      <x:c r="E3055" s="66" t="n">
        <x:v>40.268766612518476</x:v>
      </x:c>
      <x:c r="F3055" s="66" t="n">
        <x:v>40.268766612518476</x:v>
      </x:c>
      <x:c r="G3055" s="66" t="n">
        <x:v>271.18501499808724</x:v>
      </x:c>
      <x:c r="H3055" s="45" t="n">
        <x:v>1</x:v>
      </x:c>
      <x:c r="I3055" s="36" t="str">
        <x:v>generated design-reference observation; not predicted tract behavior</x:v>
      </x:c>
    </x:row>
    <x:row r="3056" ht="75.5999984741211" hidden="0" customHeight="1">
      <x:c r="A3056" s="34" t="str">
        <x:v>P2</x:v>
      </x:c>
      <x:c r="B3056" s="34" t="str">
        <x:v>48201530102</x:v>
      </x:c>
      <x:c r="C3056" s="65" t="n">
        <x:v>508.9634256588082</x:v>
      </x:c>
      <x:c r="D3056" s="65" t="n">
        <x:v>204.85129598656818</x:v>
      </x:c>
      <x:c r="E3056" s="65" t="n">
        <x:v>304.11212967224003</x:v>
      </x:c>
      <x:c r="F3056" s="65" t="n">
        <x:v>304.11212967224003</x:v>
      </x:c>
      <x:c r="G3056" s="65" t="n">
        <x:v>508.9634256588082</x:v>
      </x:c>
      <x:c r="H3056" s="43" t="n">
        <x:v>1</x:v>
      </x:c>
      <x:c r="I3056" s="34" t="str">
        <x:v>generated design-reference observation; not predicted tract behavior</x:v>
      </x:c>
    </x:row>
    <x:row r="3057" ht="75.5999984741211" hidden="0" customHeight="1">
      <x:c r="A3057" s="36" t="str">
        <x:v>P2</x:v>
      </x:c>
      <x:c r="B3057" s="36" t="str">
        <x:v>48201530200</x:v>
      </x:c>
      <x:c r="C3057" s="66" t="n">
        <x:v>336.80418060842317</x:v>
      </x:c>
      <x:c r="D3057" s="66" t="n">
        <x:v>288.5549484305339</x:v>
      </x:c>
      <x:c r="E3057" s="66" t="n">
        <x:v>48.24923217788927</x:v>
      </x:c>
      <x:c r="F3057" s="66" t="n">
        <x:v>48.24923217788927</x:v>
      </x:c>
      <x:c r="G3057" s="66" t="n">
        <x:v>336.80418060842317</x:v>
      </x:c>
      <x:c r="H3057" s="45" t="n">
        <x:v>1</x:v>
      </x:c>
      <x:c r="I3057" s="36" t="str">
        <x:v>generated design-reference observation; not predicted tract behavior</x:v>
      </x:c>
    </x:row>
    <x:row r="3058" ht="75.5999984741211" hidden="0" customHeight="1">
      <x:c r="A3058" s="34" t="str">
        <x:v>P2</x:v>
      </x:c>
      <x:c r="B3058" s="34" t="str">
        <x:v>48201530300</x:v>
      </x:c>
      <x:c r="C3058" s="65" t="n">
        <x:v>342.7242158927631</x:v>
      </x:c>
      <x:c r="D3058" s="65" t="n">
        <x:v>258.5511484695005</x:v>
      </x:c>
      <x:c r="E3058" s="65" t="n">
        <x:v>84.17306742326258</x:v>
      </x:c>
      <x:c r="F3058" s="65" t="n">
        <x:v>84.17306742326258</x:v>
      </x:c>
      <x:c r="G3058" s="65" t="n">
        <x:v>342.7242158927631</x:v>
      </x:c>
      <x:c r="H3058" s="43" t="n">
        <x:v>1</x:v>
      </x:c>
      <x:c r="I3058" s="34" t="str">
        <x:v>generated design-reference observation; not predicted tract behavior</x:v>
      </x:c>
    </x:row>
    <x:row r="3059" ht="75.5999984741211" hidden="0" customHeight="1">
      <x:c r="A3059" s="36" t="str">
        <x:v>P2</x:v>
      </x:c>
      <x:c r="B3059" s="36" t="str">
        <x:v>48201530400</x:v>
      </x:c>
      <x:c r="C3059" s="66" t="n">
        <x:v>616.4575303928411</x:v>
      </x:c>
      <x:c r="D3059" s="66" t="n">
        <x:v>253.50908140357413</x:v>
      </x:c>
      <x:c r="E3059" s="66" t="n">
        <x:v>362.94844898926704</x:v>
      </x:c>
      <x:c r="F3059" s="66" t="n">
        <x:v>362.94844898926704</x:v>
      </x:c>
      <x:c r="G3059" s="66" t="n">
        <x:v>616.4575303928411</x:v>
      </x:c>
      <x:c r="H3059" s="45" t="n">
        <x:v>1</x:v>
      </x:c>
      <x:c r="I3059" s="36" t="str">
        <x:v>generated design-reference observation; not predicted tract behavior</x:v>
      </x:c>
    </x:row>
    <x:row r="3060" ht="75.5999984741211" hidden="0" customHeight="1">
      <x:c r="A3060" s="34" t="str">
        <x:v>P2</x:v>
      </x:c>
      <x:c r="B3060" s="34" t="str">
        <x:v>48201530501</x:v>
      </x:c>
      <x:c r="C3060" s="65" t="n">
        <x:v>284.8339852369822</x:v>
      </x:c>
      <x:c r="D3060" s="65" t="n">
        <x:v>114.99991716124451</x:v>
      </x:c>
      <x:c r="E3060" s="65" t="n">
        <x:v>169.83406807573766</x:v>
      </x:c>
      <x:c r="F3060" s="65" t="n">
        <x:v>169.83406807573763</x:v>
      </x:c>
      <x:c r="G3060" s="65" t="n">
        <x:v>284.83398523698213</x:v>
      </x:c>
      <x:c r="H3060" s="43" t="n">
        <x:v>0.9999999999999998</x:v>
      </x:c>
      <x:c r="I3060" s="34" t="str">
        <x:v>generated design-reference observation; not predicted tract behavior</x:v>
      </x:c>
    </x:row>
    <x:row r="3061" ht="75.5999984741211" hidden="0" customHeight="1">
      <x:c r="A3061" s="36" t="str">
        <x:v>P2</x:v>
      </x:c>
      <x:c r="B3061" s="36" t="str">
        <x:v>48201530502</x:v>
      </x:c>
      <x:c r="C3061" s="66" t="n">
        <x:v>446.9892654334075</x:v>
      </x:c>
      <x:c r="D3061" s="66" t="n">
        <x:v>182.1204711980745</x:v>
      </x:c>
      <x:c r="E3061" s="66" t="n">
        <x:v>264.868794235333</x:v>
      </x:c>
      <x:c r="F3061" s="66" t="n">
        <x:v>264.868794235333</x:v>
      </x:c>
      <x:c r="G3061" s="66" t="n">
        <x:v>446.98926543340747</x:v>
      </x:c>
      <x:c r="H3061" s="45" t="n">
        <x:v>0.9999999999999999</x:v>
      </x:c>
      <x:c r="I3061" s="36" t="str">
        <x:v>generated design-reference observation; not predicted tract behavior</x:v>
      </x:c>
    </x:row>
    <x:row r="3062" ht="75.5999984741211" hidden="0" customHeight="1">
      <x:c r="A3062" s="34" t="str">
        <x:v>P2</x:v>
      </x:c>
      <x:c r="B3062" s="34" t="str">
        <x:v>48201530600</x:v>
      </x:c>
      <x:c r="C3062" s="65" t="n">
        <x:v>290.15790585727416</x:v>
      </x:c>
      <x:c r="D3062" s="65" t="n">
        <x:v>248.42092117591795</x:v>
      </x:c>
      <x:c r="E3062" s="65" t="n">
        <x:v>41.736984681356205</x:v>
      </x:c>
      <x:c r="F3062" s="65" t="n">
        <x:v>41.736984681356205</x:v>
      </x:c>
      <x:c r="G3062" s="65" t="n">
        <x:v>290.15790585727416</x:v>
      </x:c>
      <x:c r="H3062" s="43" t="n">
        <x:v>1</x:v>
      </x:c>
      <x:c r="I3062" s="34" t="str">
        <x:v>generated design-reference observation; not predicted tract behavior</x:v>
      </x:c>
    </x:row>
    <x:row r="3063" ht="75.5999984741211" hidden="0" customHeight="1">
      <x:c r="A3063" s="36" t="str">
        <x:v>P2</x:v>
      </x:c>
      <x:c r="B3063" s="36" t="str">
        <x:v>48201530701</x:v>
      </x:c>
      <x:c r="C3063" s="66" t="n">
        <x:v>209.66428884777386</x:v>
      </x:c>
      <x:c r="D3063" s="66" t="n">
        <x:v>153.49801169608935</x:v>
      </x:c>
      <x:c r="E3063" s="66" t="n">
        <x:v>56.16627715168451</x:v>
      </x:c>
      <x:c r="F3063" s="66" t="n">
        <x:v>56.16627715168451</x:v>
      </x:c>
      <x:c r="G3063" s="66" t="n">
        <x:v>209.66428884777386</x:v>
      </x:c>
      <x:c r="H3063" s="45" t="n">
        <x:v>1</x:v>
      </x:c>
      <x:c r="I3063" s="36" t="str">
        <x:v>generated design-reference observation; not predicted tract behavior</x:v>
      </x:c>
    </x:row>
    <x:row r="3064" ht="75.5999984741211" hidden="0" customHeight="1">
      <x:c r="A3064" s="34" t="str">
        <x:v>P2</x:v>
      </x:c>
      <x:c r="B3064" s="34" t="str">
        <x:v>48201530702</x:v>
      </x:c>
      <x:c r="C3064" s="65" t="n">
        <x:v>748.8022407567258</x:v>
      </x:c>
      <x:c r="D3064" s="65" t="n">
        <x:v>309.5395438307223</x:v>
      </x:c>
      <x:c r="E3064" s="65" t="n">
        <x:v>439.2626969260035</x:v>
      </x:c>
      <x:c r="F3064" s="65" t="n">
        <x:v>439.2626969260035</x:v>
      </x:c>
      <x:c r="G3064" s="65" t="n">
        <x:v>748.8022407567258</x:v>
      </x:c>
      <x:c r="H3064" s="43" t="n">
        <x:v>1</x:v>
      </x:c>
      <x:c r="I3064" s="34" t="str">
        <x:v>generated design-reference observation; not predicted tract behavior</x:v>
      </x:c>
    </x:row>
    <x:row r="3065" ht="75.5999984741211" hidden="0" customHeight="1">
      <x:c r="A3065" s="36" t="str">
        <x:v>P2</x:v>
      </x:c>
      <x:c r="B3065" s="36" t="str">
        <x:v>48201530800</x:v>
      </x:c>
      <x:c r="C3065" s="66" t="n">
        <x:v>316.59734448623203</x:v>
      </x:c>
      <x:c r="D3065" s="66" t="n">
        <x:v>270.68062121691344</x:v>
      </x:c>
      <x:c r="E3065" s="66" t="n">
        <x:v>45.916723269318595</x:v>
      </x:c>
      <x:c r="F3065" s="66" t="n">
        <x:v>45.916723269318595</x:v>
      </x:c>
      <x:c r="G3065" s="66" t="n">
        <x:v>316.59734448623203</x:v>
      </x:c>
      <x:c r="H3065" s="45" t="n">
        <x:v>1</x:v>
      </x:c>
      <x:c r="I3065" s="36" t="str">
        <x:v>generated design-reference observation; not predicted tract behavior</x:v>
      </x:c>
    </x:row>
    <x:row r="3066" ht="75.5999984741211" hidden="0" customHeight="1">
      <x:c r="A3066" s="34" t="str">
        <x:v>P2</x:v>
      </x:c>
      <x:c r="B3066" s="34" t="str">
        <x:v>48201530900</x:v>
      </x:c>
      <x:c r="C3066" s="65" t="n">
        <x:v>373.5946123034743</x:v>
      </x:c>
      <x:c r="D3066" s="65" t="n">
        <x:v>321.7016385890614</x:v>
      </x:c>
      <x:c r="E3066" s="65" t="n">
        <x:v>51.8929737144129</x:v>
      </x:c>
      <x:c r="F3066" s="65" t="n">
        <x:v>51.8929737144129</x:v>
      </x:c>
      <x:c r="G3066" s="65" t="n">
        <x:v>373.5946123034743</x:v>
      </x:c>
      <x:c r="H3066" s="43" t="n">
        <x:v>1</x:v>
      </x:c>
      <x:c r="I3066" s="34" t="str">
        <x:v>generated design-reference observation; not predicted tract behavior</x:v>
      </x:c>
    </x:row>
    <x:row r="3067" ht="75.5999984741211" hidden="0" customHeight="1">
      <x:c r="A3067" s="36" t="str">
        <x:v>P2</x:v>
      </x:c>
      <x:c r="B3067" s="36" t="str">
        <x:v>48201531000</x:v>
      </x:c>
      <x:c r="C3067" s="66" t="n">
        <x:v>401.3858890549593</x:v>
      </x:c>
      <x:c r="D3067" s="66" t="n">
        <x:v>346.3922008647974</x:v>
      </x:c>
      <x:c r="E3067" s="66" t="n">
        <x:v>54.99368819016189</x:v>
      </x:c>
      <x:c r="F3067" s="66" t="n">
        <x:v>54.99368819016189</x:v>
      </x:c>
      <x:c r="G3067" s="66" t="n">
        <x:v>401.3858890549593</x:v>
      </x:c>
      <x:c r="H3067" s="45" t="n">
        <x:v>1</x:v>
      </x:c>
      <x:c r="I3067" s="36" t="str">
        <x:v>generated design-reference observation; not predicted tract behavior</x:v>
      </x:c>
    </x:row>
    <x:row r="3068" ht="75.5999984741211" hidden="0" customHeight="1">
      <x:c r="A3068" s="34" t="str">
        <x:v>P2</x:v>
      </x:c>
      <x:c r="B3068" s="34" t="str">
        <x:v>48201531100</x:v>
      </x:c>
      <x:c r="C3068" s="65" t="n">
        <x:v>283.4694509603528</x:v>
      </x:c>
      <x:c r="D3068" s="65" t="n">
        <x:v>244.57368370824193</x:v>
      </x:c>
      <x:c r="E3068" s="65" t="n">
        <x:v>38.89576725211086</x:v>
      </x:c>
      <x:c r="F3068" s="65" t="n">
        <x:v>38.89576725211086</x:v>
      </x:c>
      <x:c r="G3068" s="65" t="n">
        <x:v>283.4694509603528</x:v>
      </x:c>
      <x:c r="H3068" s="43" t="n">
        <x:v>1</x:v>
      </x:c>
      <x:c r="I3068" s="34" t="str">
        <x:v>generated design-reference observation; not predicted tract behavior</x:v>
      </x:c>
    </x:row>
    <x:row r="3069" ht="75.5999984741211" hidden="0" customHeight="1">
      <x:c r="A3069" s="36" t="str">
        <x:v>P2</x:v>
      </x:c>
      <x:c r="B3069" s="36" t="str">
        <x:v>48201531200</x:v>
      </x:c>
      <x:c r="C3069" s="66" t="n">
        <x:v>658.0924517461251</x:v>
      </x:c>
      <x:c r="D3069" s="66" t="n">
        <x:v>271.7382083426866</x:v>
      </x:c>
      <x:c r="E3069" s="66" t="n">
        <x:v>386.3542434034385</x:v>
      </x:c>
      <x:c r="F3069" s="66" t="n">
        <x:v>386.3542434034385</x:v>
      </x:c>
      <x:c r="G3069" s="66" t="n">
        <x:v>658.0924517461251</x:v>
      </x:c>
      <x:c r="H3069" s="45" t="n">
        <x:v>1</x:v>
      </x:c>
      <x:c r="I3069" s="36" t="str">
        <x:v>generated design-reference observation; not predicted tract behavior</x:v>
      </x:c>
    </x:row>
    <x:row r="3070" ht="75.5999984741211" hidden="0" customHeight="1">
      <x:c r="A3070" s="34" t="str">
        <x:v>P2</x:v>
      </x:c>
      <x:c r="B3070" s="34" t="str">
        <x:v>48201531300</x:v>
      </x:c>
      <x:c r="C3070" s="65" t="n">
        <x:v>408.8602963486985</x:v>
      </x:c>
      <x:c r="D3070" s="65" t="n">
        <x:v>347.72144171064446</x:v>
      </x:c>
      <x:c r="E3070" s="65" t="n">
        <x:v>61.138854638054056</x:v>
      </x:c>
      <x:c r="F3070" s="65" t="n">
        <x:v>61.138854638054056</x:v>
      </x:c>
      <x:c r="G3070" s="65" t="n">
        <x:v>408.8602963486985</x:v>
      </x:c>
      <x:c r="H3070" s="43" t="n">
        <x:v>1</x:v>
      </x:c>
      <x:c r="I3070" s="34" t="str">
        <x:v>generated design-reference observation; not predicted tract behavior</x:v>
      </x:c>
    </x:row>
    <x:row r="3071" ht="75.5999984741211" hidden="0" customHeight="1">
      <x:c r="A3071" s="36" t="str">
        <x:v>P2</x:v>
      </x:c>
      <x:c r="B3071" s="36" t="str">
        <x:v>48201531400</x:v>
      </x:c>
      <x:c r="C3071" s="66" t="n">
        <x:v>309.1289829801605</x:v>
      </x:c>
      <x:c r="D3071" s="66" t="n">
        <x:v>231.81223601607877</x:v>
      </x:c>
      <x:c r="E3071" s="66" t="n">
        <x:v>77.31674696408174</x:v>
      </x:c>
      <x:c r="F3071" s="66" t="n">
        <x:v>77.31674696408174</x:v>
      </x:c>
      <x:c r="G3071" s="66" t="n">
        <x:v>309.1289829801605</x:v>
      </x:c>
      <x:c r="H3071" s="45" t="n">
        <x:v>1</x:v>
      </x:c>
      <x:c r="I3071" s="36" t="str">
        <x:v>generated design-reference observation; not predicted tract behavior</x:v>
      </x:c>
    </x:row>
    <x:row r="3072" ht="75.5999984741211" hidden="0" customHeight="1">
      <x:c r="A3072" s="34" t="str">
        <x:v>P2</x:v>
      </x:c>
      <x:c r="B3072" s="34" t="str">
        <x:v>48201531500</x:v>
      </x:c>
      <x:c r="C3072" s="65" t="n">
        <x:v>211.1461114051592</x:v>
      </x:c>
      <x:c r="D3072" s="65" t="n">
        <x:v>181.16334571712633</x:v>
      </x:c>
      <x:c r="E3072" s="65" t="n">
        <x:v>29.982765688032856</x:v>
      </x:c>
      <x:c r="F3072" s="65" t="n">
        <x:v>29.982765688032856</x:v>
      </x:c>
      <x:c r="G3072" s="65" t="n">
        <x:v>211.1461114051592</x:v>
      </x:c>
      <x:c r="H3072" s="43" t="n">
        <x:v>1</x:v>
      </x:c>
      <x:c r="I3072" s="34" t="str">
        <x:v>generated design-reference observation; not predicted tract behavior</x:v>
      </x:c>
    </x:row>
    <x:row r="3073" ht="75.5999984741211" hidden="0" customHeight="1">
      <x:c r="A3073" s="36" t="str">
        <x:v>P2</x:v>
      </x:c>
      <x:c r="B3073" s="36" t="str">
        <x:v>48201531600</x:v>
      </x:c>
      <x:c r="C3073" s="66" t="n">
        <x:v>514.8882975732824</x:v>
      </x:c>
      <x:c r="D3073" s="66" t="n">
        <x:v>212.57771114696462</x:v>
      </x:c>
      <x:c r="E3073" s="66" t="n">
        <x:v>302.31058642631785</x:v>
      </x:c>
      <x:c r="F3073" s="66" t="n">
        <x:v>302.31058642631785</x:v>
      </x:c>
      <x:c r="G3073" s="66" t="n">
        <x:v>514.8882975732824</x:v>
      </x:c>
      <x:c r="H3073" s="45" t="n">
        <x:v>1</x:v>
      </x:c>
      <x:c r="I3073" s="36" t="str">
        <x:v>generated design-reference observation; not predicted tract behavior</x:v>
      </x:c>
    </x:row>
    <x:row r="3074" ht="75.5999984741211" hidden="0" customHeight="1">
      <x:c r="A3074" s="34" t="str">
        <x:v>P2</x:v>
      </x:c>
      <x:c r="B3074" s="34" t="str">
        <x:v>48201531700</x:v>
      </x:c>
      <x:c r="C3074" s="65" t="n">
        <x:v>309.90103006534264</x:v>
      </x:c>
      <x:c r="D3074" s="65" t="n">
        <x:v>268.0024108005083</x:v>
      </x:c>
      <x:c r="E3074" s="65" t="n">
        <x:v>41.89861926483434</x:v>
      </x:c>
      <x:c r="F3074" s="65" t="n">
        <x:v>41.89861926483434</x:v>
      </x:c>
      <x:c r="G3074" s="65" t="n">
        <x:v>309.90103006534264</x:v>
      </x:c>
      <x:c r="H3074" s="43" t="n">
        <x:v>1</x:v>
      </x:c>
      <x:c r="I3074" s="34" t="str">
        <x:v>generated design-reference observation; not predicted tract behavior</x:v>
      </x:c>
    </x:row>
    <x:row r="3075" ht="75.5999984741211" hidden="0" customHeight="1">
      <x:c r="A3075" s="36" t="str">
        <x:v>P2</x:v>
      </x:c>
      <x:c r="B3075" s="36" t="str">
        <x:v>48201531800</x:v>
      </x:c>
      <x:c r="C3075" s="66" t="n">
        <x:v>238.23789052347612</x:v>
      </x:c>
      <x:c r="D3075" s="66" t="n">
        <x:v>205.93412249532204</x:v>
      </x:c>
      <x:c r="E3075" s="66" t="n">
        <x:v>32.30376802815408</x:v>
      </x:c>
      <x:c r="F3075" s="66" t="n">
        <x:v>32.30376802815408</x:v>
      </x:c>
      <x:c r="G3075" s="66" t="n">
        <x:v>238.23789052347612</x:v>
      </x:c>
      <x:c r="H3075" s="45" t="n">
        <x:v>1</x:v>
      </x:c>
      <x:c r="I3075" s="36" t="str">
        <x:v>generated design-reference observation; not predicted tract behavior</x:v>
      </x:c>
    </x:row>
    <x:row r="3076" ht="75.5999984741211" hidden="0" customHeight="1">
      <x:c r="A3076" s="34" t="str">
        <x:v>P2</x:v>
      </x:c>
      <x:c r="B3076" s="34" t="str">
        <x:v>48201531900</x:v>
      </x:c>
      <x:c r="C3076" s="65" t="n">
        <x:v>501.44548869386057</x:v>
      </x:c>
      <x:c r="D3076" s="65" t="n">
        <x:v>432.109992993698</x:v>
      </x:c>
      <x:c r="E3076" s="65" t="n">
        <x:v>69.3354957001626</x:v>
      </x:c>
      <x:c r="F3076" s="65" t="n">
        <x:v>69.3354957001626</x:v>
      </x:c>
      <x:c r="G3076" s="65" t="n">
        <x:v>501.44548869386057</x:v>
      </x:c>
      <x:c r="H3076" s="43" t="n">
        <x:v>1</x:v>
      </x:c>
      <x:c r="I3076" s="34" t="str">
        <x:v>generated design-reference observation; not predicted tract behavior</x:v>
      </x:c>
    </x:row>
    <x:row r="3077" ht="75.5999984741211" hidden="0" customHeight="1">
      <x:c r="A3077" s="36" t="str">
        <x:v>P2</x:v>
      </x:c>
      <x:c r="B3077" s="36" t="str">
        <x:v>48201532003</x:v>
      </x:c>
      <x:c r="C3077" s="66" t="n">
        <x:v>563.902102775154</x:v>
      </x:c>
      <x:c r="D3077" s="66" t="n">
        <x:v>421.8136151433877</x:v>
      </x:c>
      <x:c r="E3077" s="66" t="n">
        <x:v>142.08848763176633</x:v>
      </x:c>
      <x:c r="F3077" s="66" t="n">
        <x:v>142.08848763176633</x:v>
      </x:c>
      <x:c r="G3077" s="66" t="n">
        <x:v>563.902102775154</x:v>
      </x:c>
      <x:c r="H3077" s="45" t="n">
        <x:v>1</x:v>
      </x:c>
      <x:c r="I3077" s="36" t="str">
        <x:v>generated design-reference observation; not predicted tract behavior</x:v>
      </x:c>
    </x:row>
    <x:row r="3078" ht="75.5999984741211" hidden="0" customHeight="1">
      <x:c r="A3078" s="34" t="str">
        <x:v>P2</x:v>
      </x:c>
      <x:c r="B3078" s="34" t="str">
        <x:v>48201532004</x:v>
      </x:c>
      <x:c r="C3078" s="65" t="n">
        <x:v>775.0403546563451</x:v>
      </x:c>
      <x:c r="D3078" s="65" t="n">
        <x:v>579.165978700061</x:v>
      </x:c>
      <x:c r="E3078" s="65" t="n">
        <x:v>195.8743759562841</x:v>
      </x:c>
      <x:c r="F3078" s="65" t="n">
        <x:v>195.8743759562841</x:v>
      </x:c>
      <x:c r="G3078" s="65" t="n">
        <x:v>775.0403546563451</x:v>
      </x:c>
      <x:c r="H3078" s="43" t="n">
        <x:v>1</x:v>
      </x:c>
      <x:c r="I3078" s="34" t="str">
        <x:v>generated design-reference observation; not predicted tract behavior</x:v>
      </x:c>
    </x:row>
    <x:row r="3079" ht="75.5999984741211" hidden="0" customHeight="1">
      <x:c r="A3079" s="36" t="str">
        <x:v>P2</x:v>
      </x:c>
      <x:c r="B3079" s="36" t="str">
        <x:v>48201532101</x:v>
      </x:c>
      <x:c r="C3079" s="66" t="n">
        <x:v>304.54083471904374</x:v>
      </x:c>
      <x:c r="D3079" s="66" t="n">
        <x:v>260.4501214049172</x:v>
      </x:c>
      <x:c r="E3079" s="66" t="n">
        <x:v>44.09071331412656</x:v>
      </x:c>
      <x:c r="F3079" s="66" t="n">
        <x:v>44.09071331412656</x:v>
      </x:c>
      <x:c r="G3079" s="66" t="n">
        <x:v>304.54083471904374</x:v>
      </x:c>
      <x:c r="H3079" s="45" t="n">
        <x:v>1</x:v>
      </x:c>
      <x:c r="I3079" s="36" t="str">
        <x:v>generated design-reference observation; not predicted tract behavior</x:v>
      </x:c>
    </x:row>
    <x:row r="3080" ht="75.5999984741211" hidden="0" customHeight="1">
      <x:c r="A3080" s="34" t="str">
        <x:v>P2</x:v>
      </x:c>
      <x:c r="B3080" s="34" t="str">
        <x:v>48201532102</x:v>
      </x:c>
      <x:c r="C3080" s="65" t="n">
        <x:v>265.63619107655217</x:v>
      </x:c>
      <x:c r="D3080" s="65" t="n">
        <x:v>225.3905522282084</x:v>
      </x:c>
      <x:c r="E3080" s="65" t="n">
        <x:v>40.24563884834376</x:v>
      </x:c>
      <x:c r="F3080" s="65" t="n">
        <x:v>40.24563884834376</x:v>
      </x:c>
      <x:c r="G3080" s="65" t="n">
        <x:v>265.63619107655217</x:v>
      </x:c>
      <x:c r="H3080" s="43" t="n">
        <x:v>1</x:v>
      </x:c>
      <x:c r="I3080" s="34" t="str">
        <x:v>generated design-reference observation; not predicted tract behavior</x:v>
      </x:c>
    </x:row>
    <x:row r="3081" ht="75.5999984741211" hidden="0" customHeight="1">
      <x:c r="A3081" s="36" t="str">
        <x:v>P2</x:v>
      </x:c>
      <x:c r="B3081" s="36" t="str">
        <x:v>48201532200</x:v>
      </x:c>
      <x:c r="C3081" s="66" t="n">
        <x:v>288.77855940085846</x:v>
      </x:c>
      <x:c r="D3081" s="66" t="n">
        <x:v>247.1993199853247</x:v>
      </x:c>
      <x:c r="E3081" s="66" t="n">
        <x:v>41.57923941553375</x:v>
      </x:c>
      <x:c r="F3081" s="66" t="n">
        <x:v>41.57923941553375</x:v>
      </x:c>
      <x:c r="G3081" s="66" t="n">
        <x:v>288.77855940085846</x:v>
      </x:c>
      <x:c r="H3081" s="45" t="n">
        <x:v>1</x:v>
      </x:c>
      <x:c r="I3081" s="36" t="str">
        <x:v>generated design-reference observation; not predicted tract behavior</x:v>
      </x:c>
    </x:row>
    <x:row r="3082" ht="75.5999984741211" hidden="0" customHeight="1">
      <x:c r="A3082" s="34" t="str">
        <x:v>P2</x:v>
      </x:c>
      <x:c r="B3082" s="34" t="str">
        <x:v>48201532301</x:v>
      </x:c>
      <x:c r="C3082" s="65" t="n">
        <x:v>819.2066473061499</x:v>
      </x:c>
      <x:c r="D3082" s="65" t="n">
        <x:v>336.0912328105419</x:v>
      </x:c>
      <x:c r="E3082" s="65" t="n">
        <x:v>483.115414495608</x:v>
      </x:c>
      <x:c r="F3082" s="65" t="n">
        <x:v>483.115414495608</x:v>
      </x:c>
      <x:c r="G3082" s="65" t="n">
        <x:v>819.2066473061499</x:v>
      </x:c>
      <x:c r="H3082" s="43" t="n">
        <x:v>1</x:v>
      </x:c>
      <x:c r="I3082" s="34" t="str">
        <x:v>generated design-reference observation; not predicted tract behavior</x:v>
      </x:c>
    </x:row>
    <x:row r="3083" ht="75.5999984741211" hidden="0" customHeight="1">
      <x:c r="A3083" s="36" t="str">
        <x:v>P2</x:v>
      </x:c>
      <x:c r="B3083" s="36" t="str">
        <x:v>48201532302</x:v>
      </x:c>
      <x:c r="C3083" s="66" t="n">
        <x:v>758.7475614703077</x:v>
      </x:c>
      <x:c r="D3083" s="66" t="n">
        <x:v>313.3640343724481</x:v>
      </x:c>
      <x:c r="E3083" s="66" t="n">
        <x:v>445.3835270978596</x:v>
      </x:c>
      <x:c r="F3083" s="66" t="n">
        <x:v>445.3835270978596</x:v>
      </x:c>
      <x:c r="G3083" s="66" t="n">
        <x:v>758.7475614703077</x:v>
      </x:c>
      <x:c r="H3083" s="45" t="n">
        <x:v>1</x:v>
      </x:c>
      <x:c r="I3083" s="36" t="str">
        <x:v>generated design-reference observation; not predicted tract behavior</x:v>
      </x:c>
    </x:row>
    <x:row r="3084" ht="75.5999984741211" hidden="0" customHeight="1">
      <x:c r="A3084" s="34" t="str">
        <x:v>P2</x:v>
      </x:c>
      <x:c r="B3084" s="34" t="str">
        <x:v>48201532400</x:v>
      </x:c>
      <x:c r="C3084" s="65" t="n">
        <x:v>1268.4473640670576</x:v>
      </x:c>
      <x:c r="D3084" s="65" t="n">
        <x:v>523.4375945212533</x:v>
      </x:c>
      <x:c r="E3084" s="65" t="n">
        <x:v>745.0097695458043</x:v>
      </x:c>
      <x:c r="F3084" s="65" t="n">
        <x:v>745.0097695458043</x:v>
      </x:c>
      <x:c r="G3084" s="65" t="n">
        <x:v>1268.4473640670576</x:v>
      </x:c>
      <x:c r="H3084" s="43" t="n">
        <x:v>1</x:v>
      </x:c>
      <x:c r="I3084" s="34" t="str">
        <x:v>generated design-reference observation; not predicted tract behavior</x:v>
      </x:c>
    </x:row>
    <x:row r="3085" ht="75.5999984741211" hidden="0" customHeight="1">
      <x:c r="A3085" s="36" t="str">
        <x:v>P2</x:v>
      </x:c>
      <x:c r="B3085" s="36" t="str">
        <x:v>48201532502</x:v>
      </x:c>
      <x:c r="C3085" s="66" t="n">
        <x:v>460.62312120313294</x:v>
      </x:c>
      <x:c r="D3085" s="66" t="n">
        <x:v>398.34687521646936</x:v>
      </x:c>
      <x:c r="E3085" s="66" t="n">
        <x:v>62.27624598666358</x:v>
      </x:c>
      <x:c r="F3085" s="66" t="n">
        <x:v>62.27624598666358</x:v>
      </x:c>
      <x:c r="G3085" s="66" t="n">
        <x:v>460.62312120313294</x:v>
      </x:c>
      <x:c r="H3085" s="45" t="n">
        <x:v>1</x:v>
      </x:c>
      <x:c r="I3085" s="36" t="str">
        <x:v>generated design-reference observation; not predicted tract behavior</x:v>
      </x:c>
    </x:row>
    <x:row r="3086" ht="75.5999984741211" hidden="0" customHeight="1">
      <x:c r="A3086" s="34" t="str">
        <x:v>P2</x:v>
      </x:c>
      <x:c r="B3086" s="34" t="str">
        <x:v>48201532503</x:v>
      </x:c>
      <x:c r="C3086" s="65" t="n">
        <x:v>450.1935328973579</x:v>
      </x:c>
      <x:c r="D3086" s="65" t="n">
        <x:v>389.3273672496351</x:v>
      </x:c>
      <x:c r="E3086" s="65" t="n">
        <x:v>60.86616564772282</x:v>
      </x:c>
      <x:c r="F3086" s="65" t="n">
        <x:v>60.86616564772282</x:v>
      </x:c>
      <x:c r="G3086" s="65" t="n">
        <x:v>450.1935328973579</x:v>
      </x:c>
      <x:c r="H3086" s="43" t="n">
        <x:v>1</x:v>
      </x:c>
      <x:c r="I3086" s="34" t="str">
        <x:v>generated design-reference observation; not predicted tract behavior</x:v>
      </x:c>
    </x:row>
    <x:row r="3087" ht="75.5999984741211" hidden="0" customHeight="1">
      <x:c r="A3087" s="36" t="str">
        <x:v>P2</x:v>
      </x:c>
      <x:c r="B3087" s="36" t="str">
        <x:v>48201532504</x:v>
      </x:c>
      <x:c r="C3087" s="66" t="n">
        <x:v>376.3375861683692</x:v>
      </x:c>
      <x:c r="D3087" s="66" t="n">
        <x:v>325.4567445184057</x:v>
      </x:c>
      <x:c r="E3087" s="66" t="n">
        <x:v>50.88084164996354</x:v>
      </x:c>
      <x:c r="F3087" s="66" t="n">
        <x:v>50.88084164996354</x:v>
      </x:c>
      <x:c r="G3087" s="66" t="n">
        <x:v>376.3375861683692</x:v>
      </x:c>
      <x:c r="H3087" s="45" t="n">
        <x:v>1</x:v>
      </x:c>
      <x:c r="I3087" s="36" t="str">
        <x:v>generated design-reference observation; not predicted tract behavior</x:v>
      </x:c>
    </x:row>
    <x:row r="3088" ht="75.5999984741211" hidden="0" customHeight="1">
      <x:c r="A3088" s="34" t="str">
        <x:v>P2</x:v>
      </x:c>
      <x:c r="B3088" s="34" t="str">
        <x:v>48201532600</x:v>
      </x:c>
      <x:c r="C3088" s="65" t="n">
        <x:v>517.1566771062525</x:v>
      </x:c>
      <x:c r="D3088" s="65" t="n">
        <x:v>442.68300897549784</x:v>
      </x:c>
      <x:c r="E3088" s="65" t="n">
        <x:v>74.47366813075462</x:v>
      </x:c>
      <x:c r="F3088" s="65" t="n">
        <x:v>74.47366813075462</x:v>
      </x:c>
      <x:c r="G3088" s="65" t="n">
        <x:v>517.1566771062525</x:v>
      </x:c>
      <x:c r="H3088" s="43" t="n">
        <x:v>1</x:v>
      </x:c>
      <x:c r="I3088" s="34" t="str">
        <x:v>generated design-reference observation; not predicted tract behavior</x:v>
      </x:c>
    </x:row>
    <x:row r="3089" ht="75.5999984741211" hidden="0" customHeight="1">
      <x:c r="A3089" s="36" t="str">
        <x:v>P2</x:v>
      </x:c>
      <x:c r="B3089" s="36" t="str">
        <x:v>48201532700</x:v>
      </x:c>
      <x:c r="C3089" s="66" t="n">
        <x:v>446.271630437236</x:v>
      </x:c>
      <x:c r="D3089" s="66" t="n">
        <x:v>384.0858832101262</x:v>
      </x:c>
      <x:c r="E3089" s="66" t="n">
        <x:v>62.1857472271098</x:v>
      </x:c>
      <x:c r="F3089" s="66" t="n">
        <x:v>62.1857472271098</x:v>
      </x:c>
      <x:c r="G3089" s="66" t="n">
        <x:v>446.271630437236</x:v>
      </x:c>
      <x:c r="H3089" s="45" t="n">
        <x:v>1</x:v>
      </x:c>
      <x:c r="I3089" s="36" t="str">
        <x:v>generated design-reference observation; not predicted tract behavior</x:v>
      </x:c>
    </x:row>
    <x:row r="3090" ht="75.5999984741211" hidden="0" customHeight="1">
      <x:c r="A3090" s="34" t="str">
        <x:v>P2</x:v>
      </x:c>
      <x:c r="B3090" s="34" t="str">
        <x:v>48201532800</x:v>
      </x:c>
      <x:c r="C3090" s="65" t="n">
        <x:v>330.37629915998525</x:v>
      </x:c>
      <x:c r="D3090" s="65" t="n">
        <x:v>248.4148248444274</x:v>
      </x:c>
      <x:c r="E3090" s="65" t="n">
        <x:v>81.96147431555787</x:v>
      </x:c>
      <x:c r="F3090" s="65" t="n">
        <x:v>81.96147431555787</x:v>
      </x:c>
      <x:c r="G3090" s="65" t="n">
        <x:v>330.37629915998525</x:v>
      </x:c>
      <x:c r="H3090" s="43" t="n">
        <x:v>1</x:v>
      </x:c>
      <x:c r="I3090" s="34" t="str">
        <x:v>generated design-reference observation; not predicted tract behavior</x:v>
      </x:c>
    </x:row>
    <x:row r="3091" ht="75.5999984741211" hidden="0" customHeight="1">
      <x:c r="A3091" s="36" t="str">
        <x:v>P2</x:v>
      </x:c>
      <x:c r="B3091" s="36" t="str">
        <x:v>48201532900</x:v>
      </x:c>
      <x:c r="C3091" s="66" t="n">
        <x:v>417.58829771536256</x:v>
      </x:c>
      <x:c r="D3091" s="66" t="n">
        <x:v>360.098558836062</x:v>
      </x:c>
      <x:c r="E3091" s="66" t="n">
        <x:v>57.489738879300546</x:v>
      </x:c>
      <x:c r="F3091" s="66" t="n">
        <x:v>57.489738879300546</x:v>
      </x:c>
      <x:c r="G3091" s="66" t="n">
        <x:v>417.58829771536256</x:v>
      </x:c>
      <x:c r="H3091" s="45" t="n">
        <x:v>1</x:v>
      </x:c>
      <x:c r="I3091" s="36" t="str">
        <x:v>generated design-reference observation; not predicted tract behavior</x:v>
      </x:c>
    </x:row>
    <x:row r="3092" ht="75.5999984741211" hidden="0" customHeight="1">
      <x:c r="A3092" s="34" t="str">
        <x:v>P2</x:v>
      </x:c>
      <x:c r="B3092" s="34" t="str">
        <x:v>48201533000</x:v>
      </x:c>
      <x:c r="C3092" s="65" t="n">
        <x:v>208.6310637353416</x:v>
      </x:c>
      <x:c r="D3092" s="65" t="n">
        <x:v>178.64476713291018</x:v>
      </x:c>
      <x:c r="E3092" s="65" t="n">
        <x:v>29.986296602431423</x:v>
      </x:c>
      <x:c r="F3092" s="65" t="n">
        <x:v>29.986296602431423</x:v>
      </x:c>
      <x:c r="G3092" s="65" t="n">
        <x:v>208.6310637353416</x:v>
      </x:c>
      <x:c r="H3092" s="43" t="n">
        <x:v>1</x:v>
      </x:c>
      <x:c r="I3092" s="34" t="str">
        <x:v>generated design-reference observation; not predicted tract behavior</x:v>
      </x:c>
    </x:row>
    <x:row r="3093" ht="75.5999984741211" hidden="0" customHeight="1">
      <x:c r="A3093" s="36" t="str">
        <x:v>P2</x:v>
      </x:c>
      <x:c r="B3093" s="36" t="str">
        <x:v>48201533100</x:v>
      </x:c>
      <x:c r="C3093" s="66" t="n">
        <x:v>712.7527203403674</x:v>
      </x:c>
      <x:c r="D3093" s="66" t="n">
        <x:v>614.0951336048238</x:v>
      </x:c>
      <x:c r="E3093" s="66" t="n">
        <x:v>98.65758673554365</x:v>
      </x:c>
      <x:c r="F3093" s="66" t="n">
        <x:v>98.65758673554365</x:v>
      </x:c>
      <x:c r="G3093" s="66" t="n">
        <x:v>712.7527203403674</x:v>
      </x:c>
      <x:c r="H3093" s="45" t="n">
        <x:v>1</x:v>
      </x:c>
      <x:c r="I3093" s="36" t="str">
        <x:v>generated design-reference observation; not predicted tract behavior</x:v>
      </x:c>
    </x:row>
    <x:row r="3094" ht="75.5999984741211" hidden="0" customHeight="1">
      <x:c r="A3094" s="34" t="str">
        <x:v>P2</x:v>
      </x:c>
      <x:c r="B3094" s="34" t="str">
        <x:v>48201533200</x:v>
      </x:c>
      <x:c r="C3094" s="65" t="n">
        <x:v>305.7079740283186</x:v>
      </x:c>
      <x:c r="D3094" s="65" t="n">
        <x:v>262.41250351681066</x:v>
      </x:c>
      <x:c r="E3094" s="65" t="n">
        <x:v>43.295470511507915</x:v>
      </x:c>
      <x:c r="F3094" s="65" t="n">
        <x:v>43.295470511507915</x:v>
      </x:c>
      <x:c r="G3094" s="65" t="n">
        <x:v>305.7079740283186</x:v>
      </x:c>
      <x:c r="H3094" s="43" t="n">
        <x:v>1</x:v>
      </x:c>
      <x:c r="I3094" s="34" t="str">
        <x:v>generated design-reference observation; not predicted tract behavior</x:v>
      </x:c>
    </x:row>
    <x:row r="3095" ht="75.5999984741211" hidden="0" customHeight="1">
      <x:c r="A3095" s="36" t="str">
        <x:v>P2</x:v>
      </x:c>
      <x:c r="B3095" s="36" t="str">
        <x:v>48201533301</x:v>
      </x:c>
      <x:c r="C3095" s="66" t="n">
        <x:v>258.4840242655081</x:v>
      </x:c>
      <x:c r="D3095" s="66" t="n">
        <x:v>221.59443248149304</x:v>
      </x:c>
      <x:c r="E3095" s="66" t="n">
        <x:v>36.88959178401504</x:v>
      </x:c>
      <x:c r="F3095" s="66" t="n">
        <x:v>36.88959178401504</x:v>
      </x:c>
      <x:c r="G3095" s="66" t="n">
        <x:v>258.4840242655081</x:v>
      </x:c>
      <x:c r="H3095" s="45" t="n">
        <x:v>1</x:v>
      </x:c>
      <x:c r="I3095" s="36" t="str">
        <x:v>generated design-reference observation; not predicted tract behavior</x:v>
      </x:c>
    </x:row>
    <x:row r="3096" ht="75.5999984741211" hidden="0" customHeight="1">
      <x:c r="A3096" s="34" t="str">
        <x:v>P2</x:v>
      </x:c>
      <x:c r="B3096" s="34" t="str">
        <x:v>48201533302</x:v>
      </x:c>
      <x:c r="C3096" s="65" t="n">
        <x:v>320.2991802752449</x:v>
      </x:c>
      <x:c r="D3096" s="65" t="n">
        <x:v>275.6588699874972</x:v>
      </x:c>
      <x:c r="E3096" s="65" t="n">
        <x:v>44.640310287747695</x:v>
      </x:c>
      <x:c r="F3096" s="65" t="n">
        <x:v>44.640310287747695</x:v>
      </x:c>
      <x:c r="G3096" s="65" t="n">
        <x:v>320.2991802752449</x:v>
      </x:c>
      <x:c r="H3096" s="43" t="n">
        <x:v>1</x:v>
      </x:c>
      <x:c r="I3096" s="34" t="str">
        <x:v>generated design-reference observation; not predicted tract behavior</x:v>
      </x:c>
    </x:row>
    <x:row r="3097" ht="75.5999984741211" hidden="0" customHeight="1">
      <x:c r="A3097" s="36" t="str">
        <x:v>P2</x:v>
      </x:c>
      <x:c r="B3097" s="36" t="str">
        <x:v>48201533401</x:v>
      </x:c>
      <x:c r="C3097" s="66" t="n">
        <x:v>343.50442479129674</x:v>
      </x:c>
      <x:c r="D3097" s="66" t="n">
        <x:v>296.65923371704054</x:v>
      </x:c>
      <x:c r="E3097" s="66" t="n">
        <x:v>46.845191074256206</x:v>
      </x:c>
      <x:c r="F3097" s="66" t="n">
        <x:v>46.845191074256206</x:v>
      </x:c>
      <x:c r="G3097" s="66" t="n">
        <x:v>343.50442479129674</x:v>
      </x:c>
      <x:c r="H3097" s="45" t="n">
        <x:v>1</x:v>
      </x:c>
      <x:c r="I3097" s="36" t="str">
        <x:v>generated design-reference observation; not predicted tract behavior</x:v>
      </x:c>
    </x:row>
    <x:row r="3098" ht="75.5999984741211" hidden="0" customHeight="1">
      <x:c r="A3098" s="34" t="str">
        <x:v>P2</x:v>
      </x:c>
      <x:c r="B3098" s="34" t="str">
        <x:v>48201533402</x:v>
      </x:c>
      <x:c r="C3098" s="65" t="n">
        <x:v>520.9056700390745</x:v>
      </x:c>
      <x:c r="D3098" s="65" t="n">
        <x:v>450.4792234497916</x:v>
      </x:c>
      <x:c r="E3098" s="65" t="n">
        <x:v>70.42644658928288</x:v>
      </x:c>
      <x:c r="F3098" s="65" t="n">
        <x:v>70.42644658928288</x:v>
      </x:c>
      <x:c r="G3098" s="65" t="n">
        <x:v>520.9056700390745</x:v>
      </x:c>
      <x:c r="H3098" s="43" t="n">
        <x:v>1</x:v>
      </x:c>
      <x:c r="I3098" s="34" t="str">
        <x:v>generated design-reference observation; not predicted tract behavior</x:v>
      </x:c>
    </x:row>
    <x:row r="3099" ht="75.5999984741211" hidden="0" customHeight="1">
      <x:c r="A3099" s="36" t="str">
        <x:v>P2</x:v>
      </x:c>
      <x:c r="B3099" s="36" t="str">
        <x:v>48201533500</x:v>
      </x:c>
      <x:c r="C3099" s="66" t="n">
        <x:v>337.2993306184185</x:v>
      </x:c>
      <x:c r="D3099" s="66" t="n">
        <x:v>291.6964611188083</x:v>
      </x:c>
      <x:c r="E3099" s="66" t="n">
        <x:v>45.602869499610165</x:v>
      </x:c>
      <x:c r="F3099" s="66" t="n">
        <x:v>45.602869499610165</x:v>
      </x:c>
      <x:c r="G3099" s="66" t="n">
        <x:v>337.2993306184185</x:v>
      </x:c>
      <x:c r="H3099" s="45" t="n">
        <x:v>1</x:v>
      </x:c>
      <x:c r="I3099" s="36" t="str">
        <x:v>generated design-reference observation; not predicted tract behavior</x:v>
      </x:c>
    </x:row>
    <x:row r="3100" ht="75.5999984741211" hidden="0" customHeight="1">
      <x:c r="A3100" s="34" t="str">
        <x:v>P2</x:v>
      </x:c>
      <x:c r="B3100" s="34" t="str">
        <x:v>48201533600</x:v>
      </x:c>
      <x:c r="C3100" s="65" t="n">
        <x:v>436.6594326241517</x:v>
      </x:c>
      <x:c r="D3100" s="65" t="n">
        <x:v>376.30679117809007</x:v>
      </x:c>
      <x:c r="E3100" s="65" t="n">
        <x:v>60.352641446061625</x:v>
      </x:c>
      <x:c r="F3100" s="65" t="n">
        <x:v>60.352641446061625</x:v>
      </x:c>
      <x:c r="G3100" s="65" t="n">
        <x:v>436.6594326241517</x:v>
      </x:c>
      <x:c r="H3100" s="43" t="n">
        <x:v>1</x:v>
      </x:c>
      <x:c r="I3100" s="34" t="str">
        <x:v>generated design-reference observation; not predicted tract behavior</x:v>
      </x:c>
    </x:row>
    <x:row r="3101" ht="75.5999984741211" hidden="0" customHeight="1">
      <x:c r="A3101" s="36" t="str">
        <x:v>P2</x:v>
      </x:c>
      <x:c r="B3101" s="36" t="str">
        <x:v>48201533701</x:v>
      </x:c>
      <x:c r="C3101" s="66" t="n">
        <x:v>579.3097926466212</x:v>
      </x:c>
      <x:c r="D3101" s="66" t="n">
        <x:v>495.937679856658</x:v>
      </x:c>
      <x:c r="E3101" s="66" t="n">
        <x:v>83.37211278996318</x:v>
      </x:c>
      <x:c r="F3101" s="66" t="n">
        <x:v>83.37211278996318</x:v>
      </x:c>
      <x:c r="G3101" s="66" t="n">
        <x:v>579.3097926466212</x:v>
      </x:c>
      <x:c r="H3101" s="45" t="n">
        <x:v>1</x:v>
      </x:c>
      <x:c r="I3101" s="36" t="str">
        <x:v>generated design-reference observation; not predicted tract behavior</x:v>
      </x:c>
    </x:row>
    <x:row r="3102" ht="75.5999984741211" hidden="0" customHeight="1">
      <x:c r="A3102" s="34" t="str">
        <x:v>P2</x:v>
      </x:c>
      <x:c r="B3102" s="34" t="str">
        <x:v>48201533702</x:v>
      </x:c>
      <x:c r="C3102" s="65" t="n">
        <x:v>261.75358623627113</x:v>
      </x:c>
      <x:c r="D3102" s="65" t="n">
        <x:v>226.36450137712725</x:v>
      </x:c>
      <x:c r="E3102" s="65" t="n">
        <x:v>35.38908485914388</x:v>
      </x:c>
      <x:c r="F3102" s="65" t="n">
        <x:v>35.38908485914388</x:v>
      </x:c>
      <x:c r="G3102" s="65" t="n">
        <x:v>261.75358623627113</x:v>
      </x:c>
      <x:c r="H3102" s="43" t="n">
        <x:v>1</x:v>
      </x:c>
      <x:c r="I3102" s="34" t="str">
        <x:v>generated design-reference observation; not predicted tract behavior</x:v>
      </x:c>
    </x:row>
    <x:row r="3103" ht="75.5999984741211" hidden="0" customHeight="1">
      <x:c r="A3103" s="36" t="str">
        <x:v>P2</x:v>
      </x:c>
      <x:c r="B3103" s="36" t="str">
        <x:v>48201533802</x:v>
      </x:c>
      <x:c r="C3103" s="66" t="n">
        <x:v>984.551685076123</x:v>
      </x:c>
      <x:c r="D3103" s="66" t="n">
        <x:v>742.7457912214273</x:v>
      </x:c>
      <x:c r="E3103" s="66" t="n">
        <x:v>241.80589385469568</x:v>
      </x:c>
      <x:c r="F3103" s="66" t="n">
        <x:v>241.80589385469568</x:v>
      </x:c>
      <x:c r="G3103" s="66" t="n">
        <x:v>984.551685076123</x:v>
      </x:c>
      <x:c r="H3103" s="45" t="n">
        <x:v>1</x:v>
      </x:c>
      <x:c r="I3103" s="36" t="str">
        <x:v>generated design-reference observation; not predicted tract behavior</x:v>
      </x:c>
    </x:row>
    <x:row r="3104" ht="75.5999984741211" hidden="0" customHeight="1">
      <x:c r="A3104" s="34" t="str">
        <x:v>P2</x:v>
      </x:c>
      <x:c r="B3104" s="34" t="str">
        <x:v>48201533803</x:v>
      </x:c>
      <x:c r="C3104" s="65" t="n">
        <x:v>1199.9389165302655</x:v>
      </x:c>
      <x:c r="D3104" s="65" t="n">
        <x:v>496.7747114435299</x:v>
      </x:c>
      <x:c r="E3104" s="65" t="n">
        <x:v>703.1642050867356</x:v>
      </x:c>
      <x:c r="F3104" s="65" t="n">
        <x:v>703.1642050867356</x:v>
      </x:c>
      <x:c r="G3104" s="65" t="n">
        <x:v>1199.9389165302655</x:v>
      </x:c>
      <x:c r="H3104" s="43" t="n">
        <x:v>1</x:v>
      </x:c>
      <x:c r="I3104" s="34" t="str">
        <x:v>generated design-reference observation; not predicted tract behavior</x:v>
      </x:c>
    </x:row>
    <x:row r="3105" ht="75.5999984741211" hidden="0" customHeight="1">
      <x:c r="A3105" s="36" t="str">
        <x:v>P2</x:v>
      </x:c>
      <x:c r="B3105" s="36" t="str">
        <x:v>48201533804</x:v>
      </x:c>
      <x:c r="C3105" s="66" t="n">
        <x:v>514.7045056281804</x:v>
      </x:c>
      <x:c r="D3105" s="66" t="n">
        <x:v>445.11645646725043</x:v>
      </x:c>
      <x:c r="E3105" s="66" t="n">
        <x:v>69.58804916092998</x:v>
      </x:c>
      <x:c r="F3105" s="66" t="n">
        <x:v>69.58804916092998</x:v>
      </x:c>
      <x:c r="G3105" s="66" t="n">
        <x:v>514.7045056281804</x:v>
      </x:c>
      <x:c r="H3105" s="45" t="n">
        <x:v>1</x:v>
      </x:c>
      <x:c r="I3105" s="36" t="str">
        <x:v>generated design-reference observation; not predicted tract behavior</x:v>
      </x:c>
    </x:row>
    <x:row r="3106" ht="75.5999984741211" hidden="0" customHeight="1">
      <x:c r="A3106" s="34" t="str">
        <x:v>P2</x:v>
      </x:c>
      <x:c r="B3106" s="34" t="str">
        <x:v>48201533902</x:v>
      </x:c>
      <x:c r="C3106" s="65" t="n">
        <x:v>455.9781425379384</x:v>
      </x:c>
      <x:c r="D3106" s="65" t="n">
        <x:v>389.839909789612</x:v>
      </x:c>
      <x:c r="E3106" s="65" t="n">
        <x:v>66.1382327483264</x:v>
      </x:c>
      <x:c r="F3106" s="65" t="n">
        <x:v>66.1382327483264</x:v>
      </x:c>
      <x:c r="G3106" s="65" t="n">
        <x:v>455.9781425379384</x:v>
      </x:c>
      <x:c r="H3106" s="43" t="n">
        <x:v>1</x:v>
      </x:c>
      <x:c r="I3106" s="34" t="str">
        <x:v>generated design-reference observation; not predicted tract behavior</x:v>
      </x:c>
    </x:row>
    <x:row r="3107" ht="75.5999984741211" hidden="0" customHeight="1">
      <x:c r="A3107" s="36" t="str">
        <x:v>P2</x:v>
      </x:c>
      <x:c r="B3107" s="36" t="str">
        <x:v>48201533903</x:v>
      </x:c>
      <x:c r="C3107" s="66" t="n">
        <x:v>330.54799952975173</x:v>
      </x:c>
      <x:c r="D3107" s="66" t="n">
        <x:v>285.85790999332926</x:v>
      </x:c>
      <x:c r="E3107" s="66" t="n">
        <x:v>44.69008953642248</x:v>
      </x:c>
      <x:c r="F3107" s="66" t="n">
        <x:v>44.69008953642248</x:v>
      </x:c>
      <x:c r="G3107" s="66" t="n">
        <x:v>330.54799952975173</x:v>
      </x:c>
      <x:c r="H3107" s="45" t="n">
        <x:v>1</x:v>
      </x:c>
      <x:c r="I3107" s="36" t="str">
        <x:v>generated design-reference observation; not predicted tract behavior</x:v>
      </x:c>
    </x:row>
    <x:row r="3108" ht="75.5999984741211" hidden="0" customHeight="1">
      <x:c r="A3108" s="34" t="str">
        <x:v>P2</x:v>
      </x:c>
      <x:c r="B3108" s="34" t="str">
        <x:v>48201533904</x:v>
      </x:c>
      <x:c r="C3108" s="65" t="n">
        <x:v>354.0008190508013</x:v>
      </x:c>
      <x:c r="D3108" s="65" t="n">
        <x:v>305.2950711794265</x:v>
      </x:c>
      <x:c r="E3108" s="65" t="n">
        <x:v>48.7057478713748</x:v>
      </x:c>
      <x:c r="F3108" s="65" t="n">
        <x:v>48.7057478713748</x:v>
      </x:c>
      <x:c r="G3108" s="65" t="n">
        <x:v>354.0008190508013</x:v>
      </x:c>
      <x:c r="H3108" s="43" t="n">
        <x:v>1</x:v>
      </x:c>
      <x:c r="I3108" s="34" t="str">
        <x:v>generated design-reference observation; not predicted tract behavior</x:v>
      </x:c>
    </x:row>
    <x:row r="3109" ht="75.5999984741211" hidden="0" customHeight="1">
      <x:c r="A3109" s="36" t="str">
        <x:v>P2</x:v>
      </x:c>
      <x:c r="B3109" s="36" t="str">
        <x:v>48201534001</x:v>
      </x:c>
      <x:c r="C3109" s="66" t="n">
        <x:v>476.0344385472005</x:v>
      </x:c>
      <x:c r="D3109" s="66" t="n">
        <x:v>356.4144646814662</x:v>
      </x:c>
      <x:c r="E3109" s="66" t="n">
        <x:v>119.61997386573432</x:v>
      </x:c>
      <x:c r="F3109" s="66" t="n">
        <x:v>119.61997386573432</x:v>
      </x:c>
      <x:c r="G3109" s="66" t="n">
        <x:v>476.0344385472005</x:v>
      </x:c>
      <x:c r="H3109" s="45" t="n">
        <x:v>1</x:v>
      </x:c>
      <x:c r="I3109" s="36" t="str">
        <x:v>generated design-reference observation; not predicted tract behavior</x:v>
      </x:c>
    </x:row>
    <x:row r="3110" ht="75.5999984741211" hidden="0" customHeight="1">
      <x:c r="A3110" s="34" t="str">
        <x:v>P2</x:v>
      </x:c>
      <x:c r="B3110" s="34" t="str">
        <x:v>48201534002</x:v>
      </x:c>
      <x:c r="C3110" s="65" t="n">
        <x:v>419.0698179833646</x:v>
      </x:c>
      <x:c r="D3110" s="65" t="n">
        <x:v>362.4115785920137</x:v>
      </x:c>
      <x:c r="E3110" s="65" t="n">
        <x:v>56.65823939135089</x:v>
      </x:c>
      <x:c r="F3110" s="65" t="n">
        <x:v>56.65823939135089</x:v>
      </x:c>
      <x:c r="G3110" s="65" t="n">
        <x:v>419.0698179833646</x:v>
      </x:c>
      <x:c r="H3110" s="43" t="n">
        <x:v>1</x:v>
      </x:c>
      <x:c r="I3110" s="34" t="str">
        <x:v>generated design-reference observation; not predicted tract behavior</x:v>
      </x:c>
    </x:row>
    <x:row r="3111" ht="75.5999984741211" hidden="0" customHeight="1">
      <x:c r="A3111" s="36" t="str">
        <x:v>P2</x:v>
      </x:c>
      <x:c r="B3111" s="36" t="str">
        <x:v>48201534003</x:v>
      </x:c>
      <x:c r="C3111" s="66" t="n">
        <x:v>184.22724181414225</x:v>
      </x:c>
      <x:c r="D3111" s="66" t="n">
        <x:v>159.13446323398549</x:v>
      </x:c>
      <x:c r="E3111" s="66" t="n">
        <x:v>25.09277858015676</x:v>
      </x:c>
      <x:c r="F3111" s="66" t="n">
        <x:v>25.09277858015676</x:v>
      </x:c>
      <x:c r="G3111" s="66" t="n">
        <x:v>184.22724181414225</x:v>
      </x:c>
      <x:c r="H3111" s="45" t="n">
        <x:v>1</x:v>
      </x:c>
      <x:c r="I3111" s="36" t="str">
        <x:v>generated design-reference observation; not predicted tract behavior</x:v>
      </x:c>
    </x:row>
    <x:row r="3112" ht="75.5999984741211" hidden="0" customHeight="1">
      <x:c r="A3112" s="34" t="str">
        <x:v>P2</x:v>
      </x:c>
      <x:c r="B3112" s="34" t="str">
        <x:v>48201534101</x:v>
      </x:c>
      <x:c r="C3112" s="65" t="n">
        <x:v>236.88605240094915</x:v>
      </x:c>
      <x:c r="D3112" s="65" t="n">
        <x:v>204.85905811634083</x:v>
      </x:c>
      <x:c r="E3112" s="65" t="n">
        <x:v>32.02699428460832</x:v>
      </x:c>
      <x:c r="F3112" s="65" t="n">
        <x:v>32.02699428460832</x:v>
      </x:c>
      <x:c r="G3112" s="65" t="n">
        <x:v>236.88605240094915</x:v>
      </x:c>
      <x:c r="H3112" s="43" t="n">
        <x:v>1</x:v>
      </x:c>
      <x:c r="I3112" s="34" t="str">
        <x:v>generated design-reference observation; not predicted tract behavior</x:v>
      </x:c>
    </x:row>
    <x:row r="3113" ht="75.5999984741211" hidden="0" customHeight="1">
      <x:c r="A3113" s="36" t="str">
        <x:v>P2</x:v>
      </x:c>
      <x:c r="B3113" s="36" t="str">
        <x:v>48201534102</x:v>
      </x:c>
      <x:c r="C3113" s="66" t="n">
        <x:v>434.0815087625885</x:v>
      </x:c>
      <x:c r="D3113" s="66" t="n">
        <x:v>375.39368877788655</x:v>
      </x:c>
      <x:c r="E3113" s="66" t="n">
        <x:v>58.687819984701946</x:v>
      </x:c>
      <x:c r="F3113" s="66" t="n">
        <x:v>58.687819984701946</x:v>
      </x:c>
      <x:c r="G3113" s="66" t="n">
        <x:v>434.0815087625885</x:v>
      </x:c>
      <x:c r="H3113" s="45" t="n">
        <x:v>1</x:v>
      </x:c>
      <x:c r="I3113" s="36" t="str">
        <x:v>generated design-reference observation; not predicted tract behavior</x:v>
      </x:c>
    </x:row>
    <x:row r="3114" ht="75.5999984741211" hidden="0" customHeight="1">
      <x:c r="A3114" s="34" t="str">
        <x:v>P2</x:v>
      </x:c>
      <x:c r="B3114" s="34" t="str">
        <x:v>48201534201</x:v>
      </x:c>
      <x:c r="C3114" s="65" t="n">
        <x:v>263.451243413398</x:v>
      </x:c>
      <x:c r="D3114" s="65" t="n">
        <x:v>227.50822958003465</x:v>
      </x:c>
      <x:c r="E3114" s="65" t="n">
        <x:v>35.94301383336335</x:v>
      </x:c>
      <x:c r="F3114" s="65" t="n">
        <x:v>35.94301383336335</x:v>
      </x:c>
      <x:c r="G3114" s="65" t="n">
        <x:v>263.451243413398</x:v>
      </x:c>
      <x:c r="H3114" s="43" t="n">
        <x:v>1</x:v>
      </x:c>
      <x:c r="I3114" s="34" t="str">
        <x:v>generated design-reference observation; not predicted tract behavior</x:v>
      </x:c>
    </x:row>
    <x:row r="3115" ht="75.5999984741211" hidden="0" customHeight="1">
      <x:c r="A3115" s="36" t="str">
        <x:v>P2</x:v>
      </x:c>
      <x:c r="B3115" s="36" t="str">
        <x:v>48201534203</x:v>
      </x:c>
      <x:c r="C3115" s="66" t="n">
        <x:v>377.0673127398764</x:v>
      </x:c>
      <x:c r="D3115" s="66" t="n">
        <x:v>155.53246511252163</x:v>
      </x:c>
      <x:c r="E3115" s="66" t="n">
        <x:v>221.53484762735476</x:v>
      </x:c>
      <x:c r="F3115" s="66" t="n">
        <x:v>221.53484762735476</x:v>
      </x:c>
      <x:c r="G3115" s="66" t="n">
        <x:v>377.0673127398764</x:v>
      </x:c>
      <x:c r="H3115" s="45" t="n">
        <x:v>1</x:v>
      </x:c>
      <x:c r="I3115" s="36" t="str">
        <x:v>generated design-reference observation; not predicted tract behavior</x:v>
      </x:c>
    </x:row>
    <x:row r="3116" ht="75.5999984741211" hidden="0" customHeight="1">
      <x:c r="A3116" s="34" t="str">
        <x:v>P2</x:v>
      </x:c>
      <x:c r="B3116" s="34" t="str">
        <x:v>48201534204</x:v>
      </x:c>
      <x:c r="C3116" s="65" t="n">
        <x:v>823.0493499478233</x:v>
      </x:c>
      <x:c r="D3116" s="65" t="n">
        <x:v>336.53344172313433</x:v>
      </x:c>
      <x:c r="E3116" s="65" t="n">
        <x:v>486.515908224689</x:v>
      </x:c>
      <x:c r="F3116" s="65" t="n">
        <x:v>486.515908224689</x:v>
      </x:c>
      <x:c r="G3116" s="65" t="n">
        <x:v>823.0493499478233</x:v>
      </x:c>
      <x:c r="H3116" s="43" t="n">
        <x:v>1</x:v>
      </x:c>
      <x:c r="I3116" s="34" t="str">
        <x:v>generated design-reference observation; not predicted tract behavior</x:v>
      </x:c>
    </x:row>
    <x:row r="3117" ht="75.5999984741211" hidden="0" customHeight="1">
      <x:c r="A3117" s="36" t="str">
        <x:v>P2</x:v>
      </x:c>
      <x:c r="B3117" s="36" t="str">
        <x:v>48201534205</x:v>
      </x:c>
      <x:c r="C3117" s="66" t="n">
        <x:v>303.8256180379393</x:v>
      </x:c>
      <x:c r="D3117" s="66" t="n">
        <x:v>261.9462342717656</x:v>
      </x:c>
      <x:c r="E3117" s="66" t="n">
        <x:v>41.8793837661737</x:v>
      </x:c>
      <x:c r="F3117" s="66" t="n">
        <x:v>41.8793837661737</x:v>
      </x:c>
      <x:c r="G3117" s="66" t="n">
        <x:v>303.8256180379393</x:v>
      </x:c>
      <x:c r="H3117" s="45" t="n">
        <x:v>1</x:v>
      </x:c>
      <x:c r="I3117" s="36" t="str">
        <x:v>generated design-reference observation; not predicted tract behavior</x:v>
      </x:c>
    </x:row>
    <x:row r="3118" ht="75.5999984741211" hidden="0" customHeight="1">
      <x:c r="A3118" s="34" t="str">
        <x:v>P2</x:v>
      </x:c>
      <x:c r="B3118" s="34" t="str">
        <x:v>48201540101</x:v>
      </x:c>
      <x:c r="C3118" s="65" t="n">
        <x:v>1217.747388684628</x:v>
      </x:c>
      <x:c r="D3118" s="65" t="n">
        <x:v>504.147418915436</x:v>
      </x:c>
      <x:c r="E3118" s="65" t="n">
        <x:v>713.5999697691921</x:v>
      </x:c>
      <x:c r="F3118" s="65" t="n">
        <x:v>713.5999697691921</x:v>
      </x:c>
      <x:c r="G3118" s="65" t="n">
        <x:v>1217.747388684628</x:v>
      </x:c>
      <x:c r="H3118" s="43" t="n">
        <x:v>1</x:v>
      </x:c>
      <x:c r="I3118" s="34" t="str">
        <x:v>generated design-reference observation; not predicted tract behavior</x:v>
      </x:c>
    </x:row>
    <x:row r="3119" ht="75.5999984741211" hidden="0" customHeight="1">
      <x:c r="A3119" s="36" t="str">
        <x:v>P2</x:v>
      </x:c>
      <x:c r="B3119" s="36" t="str">
        <x:v>48201540102</x:v>
      </x:c>
      <x:c r="C3119" s="66" t="n">
        <x:v>512.2366151021719</x:v>
      </x:c>
      <x:c r="D3119" s="66" t="n">
        <x:v>440.66107179007633</x:v>
      </x:c>
      <x:c r="E3119" s="66" t="n">
        <x:v>71.57554331209553</x:v>
      </x:c>
      <x:c r="F3119" s="66" t="n">
        <x:v>71.57554331209553</x:v>
      </x:c>
      <x:c r="G3119" s="66" t="n">
        <x:v>512.2366151021719</x:v>
      </x:c>
      <x:c r="H3119" s="45" t="n">
        <x:v>1</x:v>
      </x:c>
      <x:c r="I3119" s="36" t="str">
        <x:v>generated design-reference observation; not predicted tract behavior</x:v>
      </x:c>
    </x:row>
    <x:row r="3120" ht="75.5999984741211" hidden="0" customHeight="1">
      <x:c r="A3120" s="34" t="str">
        <x:v>P2</x:v>
      </x:c>
      <x:c r="B3120" s="34" t="str">
        <x:v>48201540200</x:v>
      </x:c>
      <x:c r="C3120" s="65" t="n">
        <x:v>196.18157776974425</x:v>
      </x:c>
      <x:c r="D3120" s="65" t="n">
        <x:v>168.53263663961292</x:v>
      </x:c>
      <x:c r="E3120" s="65" t="n">
        <x:v>27.648941130131334</x:v>
      </x:c>
      <x:c r="F3120" s="65" t="n">
        <x:v>27.648941130131334</x:v>
      </x:c>
      <x:c r="G3120" s="65" t="n">
        <x:v>196.18157776974425</x:v>
      </x:c>
      <x:c r="H3120" s="43" t="n">
        <x:v>1</x:v>
      </x:c>
      <x:c r="I3120" s="34" t="str">
        <x:v>generated design-reference observation; not predicted tract behavior</x:v>
      </x:c>
    </x:row>
    <x:row r="3121" ht="75.5999984741211" hidden="0" customHeight="1">
      <x:c r="A3121" s="36" t="str">
        <x:v>P2</x:v>
      </x:c>
      <x:c r="B3121" s="36" t="str">
        <x:v>48201540502</x:v>
      </x:c>
      <x:c r="C3121" s="66" t="n">
        <x:v>412.9708273840568</x:v>
      </x:c>
      <x:c r="D3121" s="66" t="n">
        <x:v>357.13717152173234</x:v>
      </x:c>
      <x:c r="E3121" s="66" t="n">
        <x:v>55.83365586232446</x:v>
      </x:c>
      <x:c r="F3121" s="66" t="n">
        <x:v>55.83365586232446</x:v>
      </x:c>
      <x:c r="G3121" s="66" t="n">
        <x:v>412.9708273840568</x:v>
      </x:c>
      <x:c r="H3121" s="45" t="n">
        <x:v>1</x:v>
      </x:c>
      <x:c r="I3121" s="36" t="str">
        <x:v>generated design-reference observation; not predicted tract behavior</x:v>
      </x:c>
    </x:row>
    <x:row r="3122" ht="75.5999984741211" hidden="0" customHeight="1">
      <x:c r="A3122" s="34" t="str">
        <x:v>P2</x:v>
      </x:c>
      <x:c r="B3122" s="34" t="str">
        <x:v>48201540503</x:v>
      </x:c>
      <x:c r="C3122" s="65" t="n">
        <x:v>890.1442923278767</x:v>
      </x:c>
      <x:c r="D3122" s="65" t="n">
        <x:v>364.6315867548528</x:v>
      </x:c>
      <x:c r="E3122" s="65" t="n">
        <x:v>525.5127055730238</x:v>
      </x:c>
      <x:c r="F3122" s="65" t="n">
        <x:v>525.5127055730238</x:v>
      </x:c>
      <x:c r="G3122" s="65" t="n">
        <x:v>890.1442923278767</x:v>
      </x:c>
      <x:c r="H3122" s="43" t="n">
        <x:v>1</x:v>
      </x:c>
      <x:c r="I3122" s="34" t="str">
        <x:v>generated design-reference observation; not predicted tract behavior</x:v>
      </x:c>
    </x:row>
    <x:row r="3123" ht="75.5999984741211" hidden="0" customHeight="1">
      <x:c r="A3123" s="36" t="str">
        <x:v>P2</x:v>
      </x:c>
      <x:c r="B3123" s="36" t="str">
        <x:v>48201540504</x:v>
      </x:c>
      <x:c r="C3123" s="66" t="n">
        <x:v>274.04195196052075</x:v>
      </x:c>
      <x:c r="D3123" s="66" t="n">
        <x:v>234.46379712573298</x:v>
      </x:c>
      <x:c r="E3123" s="66" t="n">
        <x:v>39.57815483478777</x:v>
      </x:c>
      <x:c r="F3123" s="66" t="n">
        <x:v>39.57815483478777</x:v>
      </x:c>
      <x:c r="G3123" s="66" t="n">
        <x:v>274.04195196052075</x:v>
      </x:c>
      <x:c r="H3123" s="45" t="n">
        <x:v>1</x:v>
      </x:c>
      <x:c r="I3123" s="36" t="str">
        <x:v>generated design-reference observation; not predicted tract behavior</x:v>
      </x:c>
    </x:row>
    <x:row r="3124" ht="75.5999984741211" hidden="0" customHeight="1">
      <x:c r="A3124" s="34" t="str">
        <x:v>P2</x:v>
      </x:c>
      <x:c r="B3124" s="34" t="str">
        <x:v>48201540601</x:v>
      </x:c>
      <x:c r="C3124" s="65" t="n">
        <x:v>331.7505066968834</x:v>
      </x:c>
      <x:c r="D3124" s="65" t="n">
        <x:v>286.30874680901115</x:v>
      </x:c>
      <x:c r="E3124" s="65" t="n">
        <x:v>45.44175988787225</x:v>
      </x:c>
      <x:c r="F3124" s="65" t="n">
        <x:v>45.44175988787225</x:v>
      </x:c>
      <x:c r="G3124" s="65" t="n">
        <x:v>331.7505066968834</x:v>
      </x:c>
      <x:c r="H3124" s="43" t="n">
        <x:v>1</x:v>
      </x:c>
      <x:c r="I3124" s="34" t="str">
        <x:v>generated design-reference observation; not predicted tract behavior</x:v>
      </x:c>
    </x:row>
    <x:row r="3125" ht="75.5999984741211" hidden="0" customHeight="1">
      <x:c r="A3125" s="36" t="str">
        <x:v>P2</x:v>
      </x:c>
      <x:c r="B3125" s="36" t="str">
        <x:v>48201540602</x:v>
      </x:c>
      <x:c r="C3125" s="66" t="n">
        <x:v>599.6109430564303</x:v>
      </x:c>
      <x:c r="D3125" s="66" t="n">
        <x:v>514.8898492103675</x:v>
      </x:c>
      <x:c r="E3125" s="66" t="n">
        <x:v>84.72109384606279</x:v>
      </x:c>
      <x:c r="F3125" s="66" t="n">
        <x:v>84.72109384606279</x:v>
      </x:c>
      <x:c r="G3125" s="66" t="n">
        <x:v>599.6109430564303</x:v>
      </x:c>
      <x:c r="H3125" s="45" t="n">
        <x:v>1</x:v>
      </x:c>
      <x:c r="I3125" s="36" t="str">
        <x:v>generated design-reference observation; not predicted tract behavior</x:v>
      </x:c>
    </x:row>
    <x:row r="3126" ht="75.5999984741211" hidden="0" customHeight="1">
      <x:c r="A3126" s="34" t="str">
        <x:v>P2</x:v>
      </x:c>
      <x:c r="B3126" s="34" t="str">
        <x:v>48201540700</x:v>
      </x:c>
      <x:c r="C3126" s="65" t="n">
        <x:v>432.525323016889</x:v>
      </x:c>
      <x:c r="D3126" s="65" t="n">
        <x:v>374.0478993450056</x:v>
      </x:c>
      <x:c r="E3126" s="65" t="n">
        <x:v>58.4774236718834</x:v>
      </x:c>
      <x:c r="F3126" s="65" t="n">
        <x:v>58.4774236718834</x:v>
      </x:c>
      <x:c r="G3126" s="65" t="n">
        <x:v>432.525323016889</x:v>
      </x:c>
      <x:c r="H3126" s="43" t="n">
        <x:v>1</x:v>
      </x:c>
      <x:c r="I3126" s="34" t="str">
        <x:v>generated design-reference observation; not predicted tract behavior</x:v>
      </x:c>
    </x:row>
    <x:row r="3127" ht="75.5999984741211" hidden="0" customHeight="1">
      <x:c r="A3127" s="36" t="str">
        <x:v>P2</x:v>
      </x:c>
      <x:c r="B3127" s="36" t="str">
        <x:v>48201540800</x:v>
      </x:c>
      <x:c r="C3127" s="66" t="n">
        <x:v>549.6715277626139</x:v>
      </x:c>
      <x:c r="D3127" s="66" t="n">
        <x:v>471.8696136888098</x:v>
      </x:c>
      <x:c r="E3127" s="66" t="n">
        <x:v>77.80191407380408</x:v>
      </x:c>
      <x:c r="F3127" s="66" t="n">
        <x:v>77.80191407380408</x:v>
      </x:c>
      <x:c r="G3127" s="66" t="n">
        <x:v>549.6715277626139</x:v>
      </x:c>
      <x:c r="H3127" s="45" t="n">
        <x:v>1</x:v>
      </x:c>
      <x:c r="I3127" s="36" t="str">
        <x:v>generated design-reference observation; not predicted tract behavior</x:v>
      </x:c>
    </x:row>
    <x:row r="3128" ht="75.5999984741211" hidden="0" customHeight="1">
      <x:c r="A3128" s="34" t="str">
        <x:v>P2</x:v>
      </x:c>
      <x:c r="B3128" s="34" t="str">
        <x:v>48201540901</x:v>
      </x:c>
      <x:c r="C3128" s="65" t="n">
        <x:v>248.63604073337845</x:v>
      </x:c>
      <x:c r="D3128" s="65" t="n">
        <x:v>213.94534578609455</x:v>
      </x:c>
      <x:c r="E3128" s="65" t="n">
        <x:v>34.6906949472839</x:v>
      </x:c>
      <x:c r="F3128" s="65" t="n">
        <x:v>34.6906949472839</x:v>
      </x:c>
      <x:c r="G3128" s="65" t="n">
        <x:v>248.63604073337845</x:v>
      </x:c>
      <x:c r="H3128" s="43" t="n">
        <x:v>1</x:v>
      </x:c>
      <x:c r="I3128" s="34" t="str">
        <x:v>generated design-reference observation; not predicted tract behavior</x:v>
      </x:c>
    </x:row>
    <x:row r="3129" ht="75.5999984741211" hidden="0" customHeight="1">
      <x:c r="A3129" s="36" t="str">
        <x:v>P2</x:v>
      </x:c>
      <x:c r="B3129" s="36" t="str">
        <x:v>48201540903</x:v>
      </x:c>
      <x:c r="C3129" s="66" t="n">
        <x:v>284.5344164580412</x:v>
      </x:c>
      <x:c r="D3129" s="66" t="n">
        <x:v>241.1971637182341</x:v>
      </x:c>
      <x:c r="E3129" s="66" t="n">
        <x:v>43.33725273980713</x:v>
      </x:c>
      <x:c r="F3129" s="66" t="n">
        <x:v>43.33725273980713</x:v>
      </x:c>
      <x:c r="G3129" s="66" t="n">
        <x:v>284.5344164580412</x:v>
      </x:c>
      <x:c r="H3129" s="45" t="n">
        <x:v>1</x:v>
      </x:c>
      <x:c r="I3129" s="36" t="str">
        <x:v>generated design-reference observation; not predicted tract behavior</x:v>
      </x:c>
    </x:row>
    <x:row r="3130" ht="75.5999984741211" hidden="0" customHeight="1">
      <x:c r="A3130" s="34" t="str">
        <x:v>P2</x:v>
      </x:c>
      <x:c r="B3130" s="34" t="str">
        <x:v>48201540904</x:v>
      </x:c>
      <x:c r="C3130" s="65" t="n">
        <x:v>302.10438228890786</x:v>
      </x:c>
      <x:c r="D3130" s="65" t="n">
        <x:v>258.30187264990894</x:v>
      </x:c>
      <x:c r="E3130" s="65" t="n">
        <x:v>43.80250963899891</x:v>
      </x:c>
      <x:c r="F3130" s="65" t="n">
        <x:v>43.80250963899891</x:v>
      </x:c>
      <x:c r="G3130" s="65" t="n">
        <x:v>302.10438228890786</x:v>
      </x:c>
      <x:c r="H3130" s="43" t="n">
        <x:v>1</x:v>
      </x:c>
      <x:c r="I3130" s="34" t="str">
        <x:v>generated design-reference observation; not predicted tract behavior</x:v>
      </x:c>
    </x:row>
    <x:row r="3131" ht="75.5999984741211" hidden="0" customHeight="1">
      <x:c r="A3131" s="36" t="str">
        <x:v>P2</x:v>
      </x:c>
      <x:c r="B3131" s="36" t="str">
        <x:v>48201541004</x:v>
      </x:c>
      <x:c r="C3131" s="66" t="n">
        <x:v>459.15339022108327</x:v>
      </x:c>
      <x:c r="D3131" s="66" t="n">
        <x:v>395.05266558761605</x:v>
      </x:c>
      <x:c r="E3131" s="66" t="n">
        <x:v>64.10072463346722</x:v>
      </x:c>
      <x:c r="F3131" s="66" t="n">
        <x:v>64.10072463346722</x:v>
      </x:c>
      <x:c r="G3131" s="66" t="n">
        <x:v>459.15339022108327</x:v>
      </x:c>
      <x:c r="H3131" s="45" t="n">
        <x:v>1</x:v>
      </x:c>
      <x:c r="I3131" s="36" t="str">
        <x:v>generated design-reference observation; not predicted tract behavior</x:v>
      </x:c>
    </x:row>
    <x:row r="3132" ht="75.5999984741211" hidden="0" customHeight="1">
      <x:c r="A3132" s="34" t="str">
        <x:v>P2</x:v>
      </x:c>
      <x:c r="B3132" s="34" t="str">
        <x:v>48201541005</x:v>
      </x:c>
      <x:c r="C3132" s="65" t="n">
        <x:v>365.8529811948169</x:v>
      </x:c>
      <x:c r="D3132" s="65" t="n">
        <x:v>312.20853016925406</x:v>
      </x:c>
      <x:c r="E3132" s="65" t="n">
        <x:v>53.64445102556283</x:v>
      </x:c>
      <x:c r="F3132" s="65" t="n">
        <x:v>53.64445102556283</x:v>
      </x:c>
      <x:c r="G3132" s="65" t="n">
        <x:v>365.8529811948169</x:v>
      </x:c>
      <x:c r="H3132" s="43" t="n">
        <x:v>1</x:v>
      </x:c>
      <x:c r="I3132" s="34" t="str">
        <x:v>generated design-reference observation; not predicted tract behavior</x:v>
      </x:c>
    </x:row>
    <x:row r="3133" ht="75.5999984741211" hidden="0" customHeight="1">
      <x:c r="A3133" s="36" t="str">
        <x:v>P2</x:v>
      </x:c>
      <x:c r="B3133" s="36" t="str">
        <x:v>48201541006</x:v>
      </x:c>
      <x:c r="C3133" s="66" t="n">
        <x:v>501.31187678640157</x:v>
      </x:c>
      <x:c r="D3133" s="66" t="n">
        <x:v>430.93200272445057</x:v>
      </x:c>
      <x:c r="E3133" s="66" t="n">
        <x:v>70.379874061951</x:v>
      </x:c>
      <x:c r="F3133" s="66" t="n">
        <x:v>70.379874061951</x:v>
      </x:c>
      <x:c r="G3133" s="66" t="n">
        <x:v>501.31187678640157</x:v>
      </x:c>
      <x:c r="H3133" s="45" t="n">
        <x:v>1</x:v>
      </x:c>
      <x:c r="I3133" s="36" t="str">
        <x:v>generated design-reference observation; not predicted tract behavior</x:v>
      </x:c>
    </x:row>
    <x:row r="3134" ht="75.5999984741211" hidden="0" customHeight="1">
      <x:c r="A3134" s="34" t="str">
        <x:v>P2</x:v>
      </x:c>
      <x:c r="B3134" s="34" t="str">
        <x:v>48201541007</x:v>
      </x:c>
      <x:c r="C3134" s="65" t="n">
        <x:v>592.9775048272865</x:v>
      </x:c>
      <x:c r="D3134" s="65" t="n">
        <x:v>512.8069461746372</x:v>
      </x:c>
      <x:c r="E3134" s="65" t="n">
        <x:v>80.17055865264922</x:v>
      </x:c>
      <x:c r="F3134" s="65" t="n">
        <x:v>80.17055865264922</x:v>
      </x:c>
      <x:c r="G3134" s="65" t="n">
        <x:v>592.9775048272865</x:v>
      </x:c>
      <x:c r="H3134" s="43" t="n">
        <x:v>1</x:v>
      </x:c>
      <x:c r="I3134" s="34" t="str">
        <x:v>generated design-reference observation; not predicted tract behavior</x:v>
      </x:c>
    </x:row>
    <x:row r="3135" ht="75.5999984741211" hidden="0" customHeight="1">
      <x:c r="A3135" s="36" t="str">
        <x:v>P2</x:v>
      </x:c>
      <x:c r="B3135" s="36" t="str">
        <x:v>48201541008</x:v>
      </x:c>
      <x:c r="C3135" s="66" t="n">
        <x:v>266.374986329561</x:v>
      </x:c>
      <x:c r="D3135" s="66" t="n">
        <x:v>230.36108817780436</x:v>
      </x:c>
      <x:c r="E3135" s="66" t="n">
        <x:v>36.01389815175665</x:v>
      </x:c>
      <x:c r="F3135" s="66" t="n">
        <x:v>36.01389815175665</x:v>
      </x:c>
      <x:c r="G3135" s="66" t="n">
        <x:v>266.374986329561</x:v>
      </x:c>
      <x:c r="H3135" s="45" t="n">
        <x:v>1</x:v>
      </x:c>
      <x:c r="I3135" s="36" t="str">
        <x:v>generated design-reference observation; not predicted tract behavior</x:v>
      </x:c>
    </x:row>
    <x:row r="3136" ht="75.5999984741211" hidden="0" customHeight="1">
      <x:c r="A3136" s="34" t="str">
        <x:v>P2</x:v>
      </x:c>
      <x:c r="B3136" s="34" t="str">
        <x:v>48201541009</x:v>
      </x:c>
      <x:c r="C3136" s="65" t="n">
        <x:v>393.31808770162235</x:v>
      </x:c>
      <x:c r="D3136" s="65" t="n">
        <x:v>339.7097796547376</x:v>
      </x:c>
      <x:c r="E3136" s="65" t="n">
        <x:v>53.60830804688476</x:v>
      </x:c>
      <x:c r="F3136" s="65" t="n">
        <x:v>53.60830804688476</x:v>
      </x:c>
      <x:c r="G3136" s="65" t="n">
        <x:v>393.31808770162235</x:v>
      </x:c>
      <x:c r="H3136" s="43" t="n">
        <x:v>1</x:v>
      </x:c>
      <x:c r="I3136" s="34" t="str">
        <x:v>generated design-reference observation; not predicted tract behavior</x:v>
      </x:c>
    </x:row>
    <x:row r="3137" ht="75.5999984741211" hidden="0" customHeight="1">
      <x:c r="A3137" s="36" t="str">
        <x:v>P2</x:v>
      </x:c>
      <x:c r="B3137" s="36" t="str">
        <x:v>48201541100</x:v>
      </x:c>
      <x:c r="C3137" s="66" t="n">
        <x:v>647.93915593677</x:v>
      </x:c>
      <x:c r="D3137" s="66" t="n">
        <x:v>559.3400134418006</x:v>
      </x:c>
      <x:c r="E3137" s="66" t="n">
        <x:v>88.59914249496944</x:v>
      </x:c>
      <x:c r="F3137" s="66" t="n">
        <x:v>88.59914249496944</x:v>
      </x:c>
      <x:c r="G3137" s="66" t="n">
        <x:v>647.93915593677</x:v>
      </x:c>
      <x:c r="H3137" s="45" t="n">
        <x:v>1</x:v>
      </x:c>
      <x:c r="I3137" s="36" t="str">
        <x:v>generated design-reference observation; not predicted tract behavior</x:v>
      </x:c>
    </x:row>
    <x:row r="3138" ht="75.5999984741211" hidden="0" customHeight="1">
      <x:c r="A3138" s="34" t="str">
        <x:v>P2</x:v>
      </x:c>
      <x:c r="B3138" s="34" t="str">
        <x:v>48201541203</x:v>
      </x:c>
      <x:c r="C3138" s="65" t="n">
        <x:v>200.52789452414783</x:v>
      </x:c>
      <x:c r="D3138" s="65" t="n">
        <x:v>173.41652318448303</x:v>
      </x:c>
      <x:c r="E3138" s="65" t="n">
        <x:v>27.1113713396648</x:v>
      </x:c>
      <x:c r="F3138" s="65" t="n">
        <x:v>27.1113713396648</x:v>
      </x:c>
      <x:c r="G3138" s="65" t="n">
        <x:v>200.52789452414783</x:v>
      </x:c>
      <x:c r="H3138" s="43" t="n">
        <x:v>1</x:v>
      </x:c>
      <x:c r="I3138" s="34" t="str">
        <x:v>generated design-reference observation; not predicted tract behavior</x:v>
      </x:c>
    </x:row>
    <x:row r="3139" ht="75.5999984741211" hidden="0" customHeight="1">
      <x:c r="A3139" s="36" t="str">
        <x:v>P2</x:v>
      </x:c>
      <x:c r="B3139" s="36" t="str">
        <x:v>48201541204</x:v>
      </x:c>
      <x:c r="C3139" s="66" t="n">
        <x:v>469.6537142425719</x:v>
      </x:c>
      <x:c r="D3139" s="66" t="n">
        <x:v>405.21273885339986</x:v>
      </x:c>
      <x:c r="E3139" s="66" t="n">
        <x:v>64.44097538917202</x:v>
      </x:c>
      <x:c r="F3139" s="66" t="n">
        <x:v>64.44097538917202</x:v>
      </x:c>
      <x:c r="G3139" s="66" t="n">
        <x:v>469.6537142425719</x:v>
      </x:c>
      <x:c r="H3139" s="45" t="n">
        <x:v>1</x:v>
      </x:c>
      <x:c r="I3139" s="36" t="str">
        <x:v>generated design-reference observation; not predicted tract behavior</x:v>
      </x:c>
    </x:row>
    <x:row r="3140" ht="75.5999984741211" hidden="0" customHeight="1">
      <x:c r="A3140" s="34" t="str">
        <x:v>P2</x:v>
      </x:c>
      <x:c r="B3140" s="34" t="str">
        <x:v>48201541205</x:v>
      </x:c>
      <x:c r="C3140" s="65" t="n">
        <x:v>261.42348622960753</x:v>
      </x:c>
      <x:c r="D3140" s="65" t="n">
        <x:v>226.0790308913646</x:v>
      </x:c>
      <x:c r="E3140" s="65" t="n">
        <x:v>35.34445533824294</x:v>
      </x:c>
      <x:c r="F3140" s="65" t="n">
        <x:v>35.34445533824294</x:v>
      </x:c>
      <x:c r="G3140" s="65" t="n">
        <x:v>261.42348622960753</x:v>
      </x:c>
      <x:c r="H3140" s="43" t="n">
        <x:v>1</x:v>
      </x:c>
      <x:c r="I3140" s="34" t="str">
        <x:v>generated design-reference observation; not predicted tract behavior</x:v>
      </x:c>
    </x:row>
    <x:row r="3141" ht="75.5999984741211" hidden="0" customHeight="1">
      <x:c r="A3141" s="36" t="str">
        <x:v>P2</x:v>
      </x:c>
      <x:c r="B3141" s="36" t="str">
        <x:v>48201541206</x:v>
      </x:c>
      <x:c r="C3141" s="66" t="n">
        <x:v>387.38021734366225</x:v>
      </x:c>
      <x:c r="D3141" s="66" t="n">
        <x:v>333.17628433791305</x:v>
      </x:c>
      <x:c r="E3141" s="66" t="n">
        <x:v>54.20393300574921</x:v>
      </x:c>
      <x:c r="F3141" s="66" t="n">
        <x:v>54.20393300574921</x:v>
      </x:c>
      <x:c r="G3141" s="66" t="n">
        <x:v>387.38021734366225</x:v>
      </x:c>
      <x:c r="H3141" s="45" t="n">
        <x:v>1</x:v>
      </x:c>
      <x:c r="I3141" s="36" t="str">
        <x:v>generated design-reference observation; not predicted tract behavior</x:v>
      </x:c>
    </x:row>
    <x:row r="3142" ht="75.5999984741211" hidden="0" customHeight="1">
      <x:c r="A3142" s="34" t="str">
        <x:v>P2</x:v>
      </x:c>
      <x:c r="B3142" s="34" t="str">
        <x:v>48201541207</x:v>
      </x:c>
      <x:c r="C3142" s="65" t="n">
        <x:v>339.9872878155361</x:v>
      </x:c>
      <x:c r="D3142" s="65" t="n">
        <x:v>294.0210065028756</x:v>
      </x:c>
      <x:c r="E3142" s="65" t="n">
        <x:v>45.9662813126605</x:v>
      </x:c>
      <x:c r="F3142" s="65" t="n">
        <x:v>45.9662813126605</x:v>
      </x:c>
      <x:c r="G3142" s="65" t="n">
        <x:v>339.9872878155361</x:v>
      </x:c>
      <x:c r="H3142" s="43" t="n">
        <x:v>1</x:v>
      </x:c>
      <x:c r="I3142" s="34" t="str">
        <x:v>generated design-reference observation; not predicted tract behavior</x:v>
      </x:c>
    </x:row>
    <x:row r="3143" ht="75.5999984741211" hidden="0" customHeight="1">
      <x:c r="A3143" s="36" t="str">
        <x:v>P2</x:v>
      </x:c>
      <x:c r="B3143" s="36" t="str">
        <x:v>48201541301</x:v>
      </x:c>
      <x:c r="C3143" s="66" t="n">
        <x:v>884.1136191292153</x:v>
      </x:c>
      <x:c r="D3143" s="66" t="n">
        <x:v>664.890051014327</x:v>
      </x:c>
      <x:c r="E3143" s="66" t="n">
        <x:v>219.22356811488828</x:v>
      </x:c>
      <x:c r="F3143" s="66" t="n">
        <x:v>219.22356811488828</x:v>
      </x:c>
      <x:c r="G3143" s="66" t="n">
        <x:v>884.1136191292153</x:v>
      </x:c>
      <x:c r="H3143" s="45" t="n">
        <x:v>1</x:v>
      </x:c>
      <x:c r="I3143" s="36" t="str">
        <x:v>generated design-reference observation; not predicted tract behavior</x:v>
      </x:c>
    </x:row>
    <x:row r="3144" ht="75.5999984741211" hidden="0" customHeight="1">
      <x:c r="A3144" s="34" t="str">
        <x:v>P2</x:v>
      </x:c>
      <x:c r="B3144" s="34" t="str">
        <x:v>48201541302</x:v>
      </x:c>
      <x:c r="C3144" s="65" t="n">
        <x:v>596.498571565031</x:v>
      </x:c>
      <x:c r="D3144" s="65" t="n">
        <x:v>515.2877899301494</x:v>
      </x:c>
      <x:c r="E3144" s="65" t="n">
        <x:v>81.21078163488164</x:v>
      </x:c>
      <x:c r="F3144" s="65" t="n">
        <x:v>81.21078163488164</x:v>
      </x:c>
      <x:c r="G3144" s="65" t="n">
        <x:v>596.498571565031</x:v>
      </x:c>
      <x:c r="H3144" s="43" t="n">
        <x:v>1</x:v>
      </x:c>
      <x:c r="I3144" s="34" t="str">
        <x:v>generated design-reference observation; not predicted tract behavior</x:v>
      </x:c>
    </x:row>
    <x:row r="3145" ht="75.5999984741211" hidden="0" customHeight="1">
      <x:c r="A3145" s="36" t="str">
        <x:v>P2</x:v>
      </x:c>
      <x:c r="B3145" s="36" t="str">
        <x:v>48201541401</x:v>
      </x:c>
      <x:c r="C3145" s="66" t="n">
        <x:v>364.87054069879446</x:v>
      </x:c>
      <x:c r="D3145" s="66" t="n">
        <x:v>312.62118968547117</x:v>
      </x:c>
      <x:c r="E3145" s="66" t="n">
        <x:v>52.24935101332329</x:v>
      </x:c>
      <x:c r="F3145" s="66" t="n">
        <x:v>52.24935101332329</x:v>
      </x:c>
      <x:c r="G3145" s="66" t="n">
        <x:v>364.87054069879446</x:v>
      </x:c>
      <x:c r="H3145" s="45" t="n">
        <x:v>1</x:v>
      </x:c>
      <x:c r="I3145" s="36" t="str">
        <x:v>generated design-reference observation; not predicted tract behavior</x:v>
      </x:c>
    </x:row>
    <x:row r="3146" ht="75.5999984741211" hidden="0" customHeight="1">
      <x:c r="A3146" s="34" t="str">
        <x:v>P2</x:v>
      </x:c>
      <x:c r="B3146" s="34" t="str">
        <x:v>48201541402</x:v>
      </x:c>
      <x:c r="C3146" s="65" t="n">
        <x:v>190.21619907789557</x:v>
      </x:c>
      <x:c r="D3146" s="65" t="n">
        <x:v>164.44942108034644</x:v>
      </x:c>
      <x:c r="E3146" s="65" t="n">
        <x:v>25.766777997549127</x:v>
      </x:c>
      <x:c r="F3146" s="65" t="n">
        <x:v>25.766777997549127</x:v>
      </x:c>
      <x:c r="G3146" s="65" t="n">
        <x:v>190.21619907789557</x:v>
      </x:c>
      <x:c r="H3146" s="43" t="n">
        <x:v>1</x:v>
      </x:c>
      <x:c r="I3146" s="34" t="str">
        <x:v>generated design-reference observation; not predicted tract behavior</x:v>
      </x:c>
    </x:row>
    <x:row r="3147" ht="75.5999984741211" hidden="0" customHeight="1">
      <x:c r="A3147" s="36" t="str">
        <x:v>P2</x:v>
      </x:c>
      <x:c r="B3147" s="36" t="str">
        <x:v>48201541403</x:v>
      </x:c>
      <x:c r="C3147" s="66" t="n">
        <x:v>264.6773291524341</x:v>
      </x:c>
      <x:c r="D3147" s="66" t="n">
        <x:v>228.4880728460998</x:v>
      </x:c>
      <x:c r="E3147" s="66" t="n">
        <x:v>36.18925630633427</x:v>
      </x:c>
      <x:c r="F3147" s="66" t="n">
        <x:v>36.18925630633427</x:v>
      </x:c>
      <x:c r="G3147" s="66" t="n">
        <x:v>264.6773291524341</x:v>
      </x:c>
      <x:c r="H3147" s="45" t="n">
        <x:v>1</x:v>
      </x:c>
      <x:c r="I3147" s="36" t="str">
        <x:v>generated design-reference observation; not predicted tract behavior</x:v>
      </x:c>
    </x:row>
    <x:row r="3148" ht="75.5999984741211" hidden="0" customHeight="1">
      <x:c r="A3148" s="34" t="str">
        <x:v>P2</x:v>
      </x:c>
      <x:c r="B3148" s="34" t="str">
        <x:v>48201541404</x:v>
      </x:c>
      <x:c r="C3148" s="65" t="n">
        <x:v>270.79203879967827</x:v>
      </x:c>
      <x:c r="D3148" s="65" t="n">
        <x:v>234.18095515396178</x:v>
      </x:c>
      <x:c r="E3148" s="65" t="n">
        <x:v>36.61108364571649</x:v>
      </x:c>
      <x:c r="F3148" s="65" t="n">
        <x:v>36.61108364571649</x:v>
      </x:c>
      <x:c r="G3148" s="65" t="n">
        <x:v>270.79203879967827</x:v>
      </x:c>
      <x:c r="H3148" s="43" t="n">
        <x:v>1</x:v>
      </x:c>
      <x:c r="I3148" s="34" t="str">
        <x:v>generated design-reference observation; not predicted tract behavior</x:v>
      </x:c>
    </x:row>
    <x:row r="3149" ht="75.5999984741211" hidden="0" customHeight="1">
      <x:c r="A3149" s="36" t="str">
        <x:v>P2</x:v>
      </x:c>
      <x:c r="B3149" s="36" t="str">
        <x:v>48201541500</x:v>
      </x:c>
      <x:c r="C3149" s="66" t="n">
        <x:v>411.32032735073903</x:v>
      </x:c>
      <x:c r="D3149" s="66" t="n">
        <x:v>354.7355440154707</x:v>
      </x:c>
      <x:c r="E3149" s="66" t="n">
        <x:v>56.584783335268355</x:v>
      </x:c>
      <x:c r="F3149" s="66" t="n">
        <x:v>56.584783335268355</x:v>
      </x:c>
      <x:c r="G3149" s="66" t="n">
        <x:v>411.32032735073903</x:v>
      </x:c>
      <x:c r="H3149" s="45" t="n">
        <x:v>1</x:v>
      </x:c>
      <x:c r="I3149" s="36" t="str">
        <x:v>generated design-reference observation; not predicted tract behavior</x:v>
      </x:c>
    </x:row>
    <x:row r="3150" ht="75.5999984741211" hidden="0" customHeight="1">
      <x:c r="A3150" s="34" t="str">
        <x:v>P2</x:v>
      </x:c>
      <x:c r="B3150" s="34" t="str">
        <x:v>48201541603</x:v>
      </x:c>
      <x:c r="C3150" s="65" t="n">
        <x:v>544.9558133817058</x:v>
      </x:c>
      <x:c r="D3150" s="65" t="n">
        <x:v>469.4207934594267</x:v>
      </x:c>
      <x:c r="E3150" s="65" t="n">
        <x:v>75.53501992227905</x:v>
      </x:c>
      <x:c r="F3150" s="65" t="n">
        <x:v>75.53501992227905</x:v>
      </x:c>
      <x:c r="G3150" s="65" t="n">
        <x:v>544.9558133817058</x:v>
      </x:c>
      <x:c r="H3150" s="43" t="n">
        <x:v>1</x:v>
      </x:c>
      <x:c r="I3150" s="34" t="str">
        <x:v>generated design-reference observation; not predicted tract behavior</x:v>
      </x:c>
    </x:row>
    <x:row r="3151" ht="75.5999984741211" hidden="0" customHeight="1">
      <x:c r="A3151" s="36" t="str">
        <x:v>P2</x:v>
      </x:c>
      <x:c r="B3151" s="36" t="str">
        <x:v>48201541604</x:v>
      </x:c>
      <x:c r="C3151" s="66" t="n">
        <x:v>815.8853938508272</x:v>
      </x:c>
      <x:c r="D3151" s="66" t="n">
        <x:v>705.5776886021953</x:v>
      </x:c>
      <x:c r="E3151" s="66" t="n">
        <x:v>110.30770524863192</x:v>
      </x:c>
      <x:c r="F3151" s="66" t="n">
        <x:v>110.30770524863192</x:v>
      </x:c>
      <x:c r="G3151" s="66" t="n">
        <x:v>815.8853938508272</x:v>
      </x:c>
      <x:c r="H3151" s="45" t="n">
        <x:v>1</x:v>
      </x:c>
      <x:c r="I3151" s="36" t="str">
        <x:v>generated design-reference observation; not predicted tract behavior</x:v>
      </x:c>
    </x:row>
    <x:row r="3152" ht="75.5999984741211" hidden="0" customHeight="1">
      <x:c r="A3152" s="34" t="str">
        <x:v>P2</x:v>
      </x:c>
      <x:c r="B3152" s="34" t="str">
        <x:v>48201541701</x:v>
      </x:c>
      <x:c r="C3152" s="65" t="n">
        <x:v>974.3451863352907</x:v>
      </x:c>
      <x:c r="D3152" s="65" t="n">
        <x:v>731.8252424585173</x:v>
      </x:c>
      <x:c r="E3152" s="65" t="n">
        <x:v>242.51994387677337</x:v>
      </x:c>
      <x:c r="F3152" s="65" t="n">
        <x:v>242.51994387677337</x:v>
      </x:c>
      <x:c r="G3152" s="65" t="n">
        <x:v>974.3451863352907</x:v>
      </x:c>
      <x:c r="H3152" s="43" t="n">
        <x:v>1</x:v>
      </x:c>
      <x:c r="I3152" s="34" t="str">
        <x:v>generated design-reference observation; not predicted tract behavior</x:v>
      </x:c>
    </x:row>
    <x:row r="3153" ht="75.5999984741211" hidden="0" customHeight="1">
      <x:c r="A3153" s="36" t="str">
        <x:v>P2</x:v>
      </x:c>
      <x:c r="B3153" s="36" t="str">
        <x:v>48201541702</x:v>
      </x:c>
      <x:c r="C3153" s="66" t="n">
        <x:v>211.94778284991358</x:v>
      </x:c>
      <x:c r="D3153" s="66" t="n">
        <x:v>180.69935185077034</x:v>
      </x:c>
      <x:c r="E3153" s="66" t="n">
        <x:v>31.24843099914324</x:v>
      </x:c>
      <x:c r="F3153" s="66" t="n">
        <x:v>31.24843099914324</x:v>
      </x:c>
      <x:c r="G3153" s="66" t="n">
        <x:v>211.94778284991358</x:v>
      </x:c>
      <x:c r="H3153" s="45" t="n">
        <x:v>1</x:v>
      </x:c>
      <x:c r="I3153" s="36" t="str">
        <x:v>generated design-reference observation; not predicted tract behavior</x:v>
      </x:c>
    </x:row>
    <x:row r="3154" ht="75.5999984741211" hidden="0" customHeight="1">
      <x:c r="A3154" s="34" t="str">
        <x:v>P2</x:v>
      </x:c>
      <x:c r="B3154" s="34" t="str">
        <x:v>48201541703</x:v>
      </x:c>
      <x:c r="C3154" s="65" t="n">
        <x:v>640.7664334476553</x:v>
      </x:c>
      <x:c r="D3154" s="65" t="n">
        <x:v>258.5772012163542</x:v>
      </x:c>
      <x:c r="E3154" s="65" t="n">
        <x:v>382.18923223130116</x:v>
      </x:c>
      <x:c r="F3154" s="65" t="n">
        <x:v>382.18923223130116</x:v>
      </x:c>
      <x:c r="G3154" s="65" t="n">
        <x:v>640.7664334476553</x:v>
      </x:c>
      <x:c r="H3154" s="43" t="n">
        <x:v>1</x:v>
      </x:c>
      <x:c r="I3154" s="34" t="str">
        <x:v>generated design-reference observation; not predicted tract behavior</x:v>
      </x:c>
    </x:row>
    <x:row r="3155" ht="75.5999984741211" hidden="0" customHeight="1">
      <x:c r="A3155" s="36" t="str">
        <x:v>P2</x:v>
      </x:c>
      <x:c r="B3155" s="36" t="str">
        <x:v>48201541801</x:v>
      </x:c>
      <x:c r="C3155" s="66" t="n">
        <x:v>321.3248481530923</x:v>
      </x:c>
      <x:c r="D3155" s="66" t="n">
        <x:v>272.9765259520273</x:v>
      </x:c>
      <x:c r="E3155" s="66" t="n">
        <x:v>48.348322201065</x:v>
      </x:c>
      <x:c r="F3155" s="66" t="n">
        <x:v>48.348322201065</x:v>
      </x:c>
      <x:c r="G3155" s="66" t="n">
        <x:v>321.3248481530923</x:v>
      </x:c>
      <x:c r="H3155" s="45" t="n">
        <x:v>1</x:v>
      </x:c>
      <x:c r="I3155" s="36" t="str">
        <x:v>generated design-reference observation; not predicted tract behavior</x:v>
      </x:c>
    </x:row>
    <x:row r="3156" ht="75.5999984741211" hidden="0" customHeight="1">
      <x:c r="A3156" s="34" t="str">
        <x:v>P2</x:v>
      </x:c>
      <x:c r="B3156" s="34" t="str">
        <x:v>48201541802</x:v>
      </x:c>
      <x:c r="C3156" s="65" t="n">
        <x:v>716.4185836927568</x:v>
      </x:c>
      <x:c r="D3156" s="65" t="n">
        <x:v>288.076029055801</x:v>
      </x:c>
      <x:c r="E3156" s="65" t="n">
        <x:v>428.3425546369558</x:v>
      </x:c>
      <x:c r="F3156" s="65" t="n">
        <x:v>428.3425546369558</x:v>
      </x:c>
      <x:c r="G3156" s="65" t="n">
        <x:v>716.4185836927568</x:v>
      </x:c>
      <x:c r="H3156" s="43" t="n">
        <x:v>1</x:v>
      </x:c>
      <x:c r="I3156" s="34" t="str">
        <x:v>generated design-reference observation; not predicted tract behavior</x:v>
      </x:c>
    </x:row>
    <x:row r="3157" ht="75.5999984741211" hidden="0" customHeight="1">
      <x:c r="A3157" s="36" t="str">
        <x:v>P2</x:v>
      </x:c>
      <x:c r="B3157" s="36" t="str">
        <x:v>48201541901</x:v>
      </x:c>
      <x:c r="C3157" s="66" t="n">
        <x:v>219.9644972974573</x:v>
      </x:c>
      <x:c r="D3157" s="66" t="n">
        <x:v>188.05382047073942</x:v>
      </x:c>
      <x:c r="E3157" s="66" t="n">
        <x:v>31.91067682671789</x:v>
      </x:c>
      <x:c r="F3157" s="66" t="n">
        <x:v>31.91067682671789</x:v>
      </x:c>
      <x:c r="G3157" s="66" t="n">
        <x:v>219.9644972974573</x:v>
      </x:c>
      <x:c r="H3157" s="45" t="n">
        <x:v>1</x:v>
      </x:c>
      <x:c r="I3157" s="36" t="str">
        <x:v>generated design-reference observation; not predicted tract behavior</x:v>
      </x:c>
    </x:row>
    <x:row r="3158" ht="75.5999984741211" hidden="0" customHeight="1">
      <x:c r="A3158" s="34" t="str">
        <x:v>P2</x:v>
      </x:c>
      <x:c r="B3158" s="34" t="str">
        <x:v>48201541902</x:v>
      </x:c>
      <x:c r="C3158" s="65" t="n">
        <x:v>379.6975326647663</x:v>
      </x:c>
      <x:c r="D3158" s="65" t="n">
        <x:v>328.3624262484899</x:v>
      </x:c>
      <x:c r="E3158" s="65" t="n">
        <x:v>51.3351064162764</x:v>
      </x:c>
      <x:c r="F3158" s="65" t="n">
        <x:v>51.3351064162764</x:v>
      </x:c>
      <x:c r="G3158" s="65" t="n">
        <x:v>379.6975326647663</x:v>
      </x:c>
      <x:c r="H3158" s="43" t="n">
        <x:v>1</x:v>
      </x:c>
      <x:c r="I3158" s="34" t="str">
        <x:v>generated design-reference observation; not predicted tract behavior</x:v>
      </x:c>
    </x:row>
    <x:row r="3159" ht="75.5999984741211" hidden="0" customHeight="1">
      <x:c r="A3159" s="36" t="str">
        <x:v>P2</x:v>
      </x:c>
      <x:c r="B3159" s="36" t="str">
        <x:v>48201542001</x:v>
      </x:c>
      <x:c r="C3159" s="66" t="n">
        <x:v>348.12189512260255</x:v>
      </x:c>
      <x:c r="D3159" s="66" t="n">
        <x:v>301.0558149020267</x:v>
      </x:c>
      <x:c r="E3159" s="66" t="n">
        <x:v>47.06608022057583</x:v>
      </x:c>
      <x:c r="F3159" s="66" t="n">
        <x:v>47.06608022057583</x:v>
      </x:c>
      <x:c r="G3159" s="66" t="n">
        <x:v>348.12189512260255</x:v>
      </x:c>
      <x:c r="H3159" s="45" t="n">
        <x:v>1</x:v>
      </x:c>
      <x:c r="I3159" s="36" t="str">
        <x:v>generated design-reference observation; not predicted tract behavior</x:v>
      </x:c>
    </x:row>
    <x:row r="3160" ht="75.5999984741211" hidden="0" customHeight="1">
      <x:c r="A3160" s="34" t="str">
        <x:v>P2</x:v>
      </x:c>
      <x:c r="B3160" s="34" t="str">
        <x:v>48201542002</x:v>
      </x:c>
      <x:c r="C3160" s="65" t="n">
        <x:v>198.3901040048029</x:v>
      </x:c>
      <x:c r="D3160" s="65" t="n">
        <x:v>171.56776194335356</x:v>
      </x:c>
      <x:c r="E3160" s="65" t="n">
        <x:v>26.822342061449348</x:v>
      </x:c>
      <x:c r="F3160" s="65" t="n">
        <x:v>26.822342061449348</x:v>
      </x:c>
      <x:c r="G3160" s="65" t="n">
        <x:v>198.3901040048029</x:v>
      </x:c>
      <x:c r="H3160" s="43" t="n">
        <x:v>1</x:v>
      </x:c>
      <x:c r="I3160" s="34" t="str">
        <x:v>generated design-reference observation; not predicted tract behavior</x:v>
      </x:c>
    </x:row>
    <x:row r="3161" ht="75.5999984741211" hidden="0" customHeight="1">
      <x:c r="A3161" s="36" t="str">
        <x:v>P2</x:v>
      </x:c>
      <x:c r="B3161" s="36" t="str">
        <x:v>48201542003</x:v>
      </x:c>
      <x:c r="C3161" s="66" t="n">
        <x:v>306.71006333426146</x:v>
      </x:c>
      <x:c r="D3161" s="66" t="n">
        <x:v>265.2428627714693</x:v>
      </x:c>
      <x:c r="E3161" s="66" t="n">
        <x:v>41.467200562792186</x:v>
      </x:c>
      <x:c r="F3161" s="66" t="n">
        <x:v>41.467200562792186</x:v>
      </x:c>
      <x:c r="G3161" s="66" t="n">
        <x:v>306.71006333426146</x:v>
      </x:c>
      <x:c r="H3161" s="45" t="n">
        <x:v>1</x:v>
      </x:c>
      <x:c r="I3161" s="36" t="str">
        <x:v>generated design-reference observation; not predicted tract behavior</x:v>
      </x:c>
    </x:row>
    <x:row r="3162" ht="75.5999984741211" hidden="0" customHeight="1">
      <x:c r="A3162" s="34" t="str">
        <x:v>P2</x:v>
      </x:c>
      <x:c r="B3162" s="34" t="str">
        <x:v>48201542004</x:v>
      </x:c>
      <x:c r="C3162" s="65" t="n">
        <x:v>519.6281951048618</x:v>
      </x:c>
      <x:c r="D3162" s="65" t="n">
        <x:v>215.12607277341277</x:v>
      </x:c>
      <x:c r="E3162" s="65" t="n">
        <x:v>304.502122331449</x:v>
      </x:c>
      <x:c r="F3162" s="65" t="n">
        <x:v>304.502122331449</x:v>
      </x:c>
      <x:c r="G3162" s="65" t="n">
        <x:v>519.6281951048618</x:v>
      </x:c>
      <x:c r="H3162" s="43" t="n">
        <x:v>1</x:v>
      </x:c>
      <x:c r="I3162" s="34" t="str">
        <x:v>generated design-reference observation; not predicted tract behavior</x:v>
      </x:c>
    </x:row>
    <x:row r="3163" ht="75.5999984741211" hidden="0" customHeight="1">
      <x:c r="A3163" s="36" t="str">
        <x:v>P2</x:v>
      </x:c>
      <x:c r="B3163" s="36" t="str">
        <x:v>48201542103</x:v>
      </x:c>
      <x:c r="C3163" s="66" t="n">
        <x:v>763.5684725566359</x:v>
      </x:c>
      <x:c r="D3163" s="66" t="n">
        <x:v>660.3340150669787</x:v>
      </x:c>
      <x:c r="E3163" s="66" t="n">
        <x:v>103.23445748965719</x:v>
      </x:c>
      <x:c r="F3163" s="66" t="n">
        <x:v>103.23445748965719</x:v>
      </x:c>
      <x:c r="G3163" s="66" t="n">
        <x:v>763.5684725566359</x:v>
      </x:c>
      <x:c r="H3163" s="45" t="n">
        <x:v>1</x:v>
      </x:c>
      <x:c r="I3163" s="36" t="str">
        <x:v>generated design-reference observation; not predicted tract behavior</x:v>
      </x:c>
    </x:row>
    <x:row r="3164" ht="75.5999984741211" hidden="0" customHeight="1">
      <x:c r="A3164" s="34" t="str">
        <x:v>P2</x:v>
      </x:c>
      <x:c r="B3164" s="34" t="str">
        <x:v>48201542104</x:v>
      </x:c>
      <x:c r="C3164" s="65" t="n">
        <x:v>640.001036728908</x:v>
      </x:c>
      <x:c r="D3164" s="65" t="n">
        <x:v>552.4667877438353</x:v>
      </x:c>
      <x:c r="E3164" s="65" t="n">
        <x:v>87.53424898507274</x:v>
      </x:c>
      <x:c r="F3164" s="65" t="n">
        <x:v>87.53424898507274</x:v>
      </x:c>
      <x:c r="G3164" s="65" t="n">
        <x:v>640.001036728908</x:v>
      </x:c>
      <x:c r="H3164" s="43" t="n">
        <x:v>1</x:v>
      </x:c>
      <x:c r="I3164" s="34" t="str">
        <x:v>generated design-reference observation; not predicted tract behavior</x:v>
      </x:c>
    </x:row>
    <x:row r="3165" ht="75.5999984741211" hidden="0" customHeight="1">
      <x:c r="A3165" s="36" t="str">
        <x:v>P2</x:v>
      </x:c>
      <x:c r="B3165" s="36" t="str">
        <x:v>48201542105</x:v>
      </x:c>
      <x:c r="C3165" s="66" t="n">
        <x:v>803.4869947910229</x:v>
      </x:c>
      <x:c r="D3165" s="66" t="n">
        <x:v>689.5397776656209</x:v>
      </x:c>
      <x:c r="E3165" s="66" t="n">
        <x:v>113.94721712540195</x:v>
      </x:c>
      <x:c r="F3165" s="66" t="n">
        <x:v>113.94721712540195</x:v>
      </x:c>
      <x:c r="G3165" s="66" t="n">
        <x:v>803.4869947910229</x:v>
      </x:c>
      <x:c r="H3165" s="45" t="n">
        <x:v>1</x:v>
      </x:c>
      <x:c r="I3165" s="36" t="str">
        <x:v>generated design-reference observation; not predicted tract behavior</x:v>
      </x:c>
    </x:row>
    <x:row r="3166" ht="75.5999984741211" hidden="0" customHeight="1">
      <x:c r="A3166" s="34" t="str">
        <x:v>P2</x:v>
      </x:c>
      <x:c r="B3166" s="34" t="str">
        <x:v>48201542106</x:v>
      </x:c>
      <x:c r="C3166" s="65" t="n">
        <x:v>676.7521708041185</x:v>
      </x:c>
      <x:c r="D3166" s="65" t="n">
        <x:v>584.7285678198787</x:v>
      </x:c>
      <x:c r="E3166" s="65" t="n">
        <x:v>92.0236029842398</x:v>
      </x:c>
      <x:c r="F3166" s="65" t="n">
        <x:v>92.0236029842398</x:v>
      </x:c>
      <x:c r="G3166" s="65" t="n">
        <x:v>676.7521708041185</x:v>
      </x:c>
      <x:c r="H3166" s="43" t="n">
        <x:v>1</x:v>
      </x:c>
      <x:c r="I3166" s="34" t="str">
        <x:v>generated design-reference observation; not predicted tract behavior</x:v>
      </x:c>
    </x:row>
    <x:row r="3167" ht="75.5999984741211" hidden="0" customHeight="1">
      <x:c r="A3167" s="36" t="str">
        <x:v>P2</x:v>
      </x:c>
      <x:c r="B3167" s="36" t="str">
        <x:v>48201542107</x:v>
      </x:c>
      <x:c r="C3167" s="66" t="n">
        <x:v>305.2324728282436</x:v>
      </x:c>
      <x:c r="D3167" s="66" t="n">
        <x:v>263.96504250186507</x:v>
      </x:c>
      <x:c r="E3167" s="66" t="n">
        <x:v>41.26743032637853</x:v>
      </x:c>
      <x:c r="F3167" s="66" t="n">
        <x:v>41.26743032637853</x:v>
      </x:c>
      <x:c r="G3167" s="66" t="n">
        <x:v>305.2324728282436</x:v>
      </x:c>
      <x:c r="H3167" s="45" t="n">
        <x:v>1</x:v>
      </x:c>
      <x:c r="I3167" s="36" t="str">
        <x:v>generated design-reference observation; not predicted tract behavior</x:v>
      </x:c>
    </x:row>
    <x:row r="3168" ht="75.5999984741211" hidden="0" customHeight="1">
      <x:c r="A3168" s="34" t="str">
        <x:v>P2</x:v>
      </x:c>
      <x:c r="B3168" s="34" t="str">
        <x:v>48201542108</x:v>
      </x:c>
      <x:c r="C3168" s="65" t="n">
        <x:v>416.6648036491015</x:v>
      </x:c>
      <x:c r="D3168" s="65" t="n">
        <x:v>360.33172219574294</x:v>
      </x:c>
      <x:c r="E3168" s="65" t="n">
        <x:v>56.333081453358545</x:v>
      </x:c>
      <x:c r="F3168" s="65" t="n">
        <x:v>56.333081453358545</x:v>
      </x:c>
      <x:c r="G3168" s="65" t="n">
        <x:v>416.6648036491015</x:v>
      </x:c>
      <x:c r="H3168" s="43" t="n">
        <x:v>1</x:v>
      </x:c>
      <x:c r="I3168" s="34" t="str">
        <x:v>generated design-reference observation; not predicted tract behavior</x:v>
      </x:c>
    </x:row>
    <x:row r="3169" ht="75.5999984741211" hidden="0" customHeight="1">
      <x:c r="A3169" s="36" t="str">
        <x:v>P2</x:v>
      </x:c>
      <x:c r="B3169" s="36" t="str">
        <x:v>48201542201</x:v>
      </x:c>
      <x:c r="C3169" s="66" t="n">
        <x:v>603.2970597975068</x:v>
      </x:c>
      <x:c r="D3169" s="66" t="n">
        <x:v>521.731297312884</x:v>
      </x:c>
      <x:c r="E3169" s="66" t="n">
        <x:v>81.56576248462284</x:v>
      </x:c>
      <x:c r="F3169" s="66" t="n">
        <x:v>81.56576248462284</x:v>
      </x:c>
      <x:c r="G3169" s="66" t="n">
        <x:v>603.2970597975068</x:v>
      </x:c>
      <x:c r="H3169" s="45" t="n">
        <x:v>1</x:v>
      </x:c>
      <x:c r="I3169" s="36" t="str">
        <x:v>generated design-reference observation; not predicted tract behavior</x:v>
      </x:c>
    </x:row>
    <x:row r="3170" ht="75.5999984741211" hidden="0" customHeight="1">
      <x:c r="A3170" s="34" t="str">
        <x:v>P2</x:v>
      </x:c>
      <x:c r="B3170" s="34" t="str">
        <x:v>48201542202</x:v>
      </x:c>
      <x:c r="C3170" s="65" t="n">
        <x:v>955.28191095047</x:v>
      </x:c>
      <x:c r="D3170" s="65" t="n">
        <x:v>822.266097373853</x:v>
      </x:c>
      <x:c r="E3170" s="65" t="n">
        <x:v>133.015813576617</x:v>
      </x:c>
      <x:c r="F3170" s="65" t="n">
        <x:v>133.015813576617</x:v>
      </x:c>
      <x:c r="G3170" s="65" t="n">
        <x:v>955.28191095047</x:v>
      </x:c>
      <x:c r="H3170" s="43" t="n">
        <x:v>1</x:v>
      </x:c>
      <x:c r="I3170" s="34" t="str">
        <x:v>generated design-reference observation; not predicted tract behavior</x:v>
      </x:c>
    </x:row>
    <x:row r="3171" ht="75.5999984741211" hidden="0" customHeight="1">
      <x:c r="A3171" s="36" t="str">
        <x:v>P2</x:v>
      </x:c>
      <x:c r="B3171" s="36" t="str">
        <x:v>48201542203</x:v>
      </x:c>
      <x:c r="C3171" s="66" t="n">
        <x:v>1000.3444916220307</x:v>
      </x:c>
      <x:c r="D3171" s="66" t="n">
        <x:v>865.0979163547321</x:v>
      </x:c>
      <x:c r="E3171" s="66" t="n">
        <x:v>135.24657526729857</x:v>
      </x:c>
      <x:c r="F3171" s="66" t="n">
        <x:v>135.24657526729857</x:v>
      </x:c>
      <x:c r="G3171" s="66" t="n">
        <x:v>1000.3444916220307</x:v>
      </x:c>
      <x:c r="H3171" s="45" t="n">
        <x:v>1</x:v>
      </x:c>
      <x:c r="I3171" s="36" t="str">
        <x:v>generated design-reference observation; not predicted tract behavior</x:v>
      </x:c>
    </x:row>
    <x:row r="3172" ht="75.5999984741211" hidden="0" customHeight="1">
      <x:c r="A3172" s="34" t="str">
        <x:v>P2</x:v>
      </x:c>
      <x:c r="B3172" s="34" t="str">
        <x:v>48201542302</x:v>
      </x:c>
      <x:c r="C3172" s="65" t="n">
        <x:v>627.7676876724357</x:v>
      </x:c>
      <x:c r="D3172" s="65" t="n">
        <x:v>540.6305629585968</x:v>
      </x:c>
      <x:c r="E3172" s="65" t="n">
        <x:v>87.13712471383894</x:v>
      </x:c>
      <x:c r="F3172" s="65" t="n">
        <x:v>87.13712471383894</x:v>
      </x:c>
      <x:c r="G3172" s="65" t="n">
        <x:v>627.7676876724357</x:v>
      </x:c>
      <x:c r="H3172" s="43" t="n">
        <x:v>1</x:v>
      </x:c>
      <x:c r="I3172" s="34" t="str">
        <x:v>generated design-reference observation; not predicted tract behavior</x:v>
      </x:c>
    </x:row>
    <x:row r="3173" ht="75.5999984741211" hidden="0" customHeight="1">
      <x:c r="A3173" s="36" t="str">
        <x:v>P2</x:v>
      </x:c>
      <x:c r="B3173" s="36" t="str">
        <x:v>48201542303</x:v>
      </x:c>
      <x:c r="C3173" s="66" t="n">
        <x:v>292.0441916096373</x:v>
      </x:c>
      <x:c r="D3173" s="66" t="n">
        <x:v>252.31387850553102</x:v>
      </x:c>
      <x:c r="E3173" s="66" t="n">
        <x:v>39.7303131041063</x:v>
      </x:c>
      <x:c r="F3173" s="66" t="n">
        <x:v>39.7303131041063</x:v>
      </x:c>
      <x:c r="G3173" s="66" t="n">
        <x:v>292.0441916096373</x:v>
      </x:c>
      <x:c r="H3173" s="45" t="n">
        <x:v>1</x:v>
      </x:c>
      <x:c r="I3173" s="36" t="str">
        <x:v>generated design-reference observation; not predicted tract behavior</x:v>
      </x:c>
    </x:row>
    <x:row r="3174" ht="75.5999984741211" hidden="0" customHeight="1">
      <x:c r="A3174" s="34" t="str">
        <x:v>P2</x:v>
      </x:c>
      <x:c r="B3174" s="34" t="str">
        <x:v>48201542304</x:v>
      </x:c>
      <x:c r="C3174" s="65" t="n">
        <x:v>440.1019041222147</x:v>
      </x:c>
      <x:c r="D3174" s="65" t="n">
        <x:v>380.6001266848913</x:v>
      </x:c>
      <x:c r="E3174" s="65" t="n">
        <x:v>59.501777437323426</x:v>
      </x:c>
      <x:c r="F3174" s="65" t="n">
        <x:v>59.501777437323426</x:v>
      </x:c>
      <x:c r="G3174" s="65" t="n">
        <x:v>440.1019041222147</x:v>
      </x:c>
      <x:c r="H3174" s="43" t="n">
        <x:v>1</x:v>
      </x:c>
      <x:c r="I3174" s="34" t="str">
        <x:v>generated design-reference observation; not predicted tract behavior</x:v>
      </x:c>
    </x:row>
    <x:row r="3175" ht="75.5999984741211" hidden="0" customHeight="1">
      <x:c r="A3175" s="36" t="str">
        <x:v>P2</x:v>
      </x:c>
      <x:c r="B3175" s="36" t="str">
        <x:v>48201542305</x:v>
      </x:c>
      <x:c r="C3175" s="66" t="n">
        <x:v>381.8156743741908</x:v>
      </x:c>
      <x:c r="D3175" s="66" t="n">
        <x:v>330.0559941512283</x:v>
      </x:c>
      <x:c r="E3175" s="66" t="n">
        <x:v>51.759680222962515</x:v>
      </x:c>
      <x:c r="F3175" s="66" t="n">
        <x:v>51.759680222962515</x:v>
      </x:c>
      <x:c r="G3175" s="66" t="n">
        <x:v>381.8156743741908</x:v>
      </x:c>
      <x:c r="H3175" s="45" t="n">
        <x:v>1</x:v>
      </x:c>
      <x:c r="I3175" s="36" t="str">
        <x:v>generated design-reference observation; not predicted tract behavior</x:v>
      </x:c>
    </x:row>
    <x:row r="3176" ht="75.5999984741211" hidden="0" customHeight="1">
      <x:c r="A3176" s="34" t="str">
        <x:v>P2</x:v>
      </x:c>
      <x:c r="B3176" s="34" t="str">
        <x:v>48201542401</x:v>
      </x:c>
      <x:c r="C3176" s="65" t="n">
        <x:v>401.3230128632139</x:v>
      </x:c>
      <x:c r="D3176" s="65" t="n">
        <x:v>341.71519802699606</x:v>
      </x:c>
      <x:c r="E3176" s="65" t="n">
        <x:v>59.60781483621781</x:v>
      </x:c>
      <x:c r="F3176" s="65" t="n">
        <x:v>59.60781483621781</x:v>
      </x:c>
      <x:c r="G3176" s="65" t="n">
        <x:v>401.3230128632139</x:v>
      </x:c>
      <x:c r="H3176" s="43" t="n">
        <x:v>1</x:v>
      </x:c>
      <x:c r="I3176" s="34" t="str">
        <x:v>generated design-reference observation; not predicted tract behavior</x:v>
      </x:c>
    </x:row>
    <x:row r="3177" ht="75.5999984741211" hidden="0" customHeight="1">
      <x:c r="A3177" s="36" t="str">
        <x:v>P2</x:v>
      </x:c>
      <x:c r="B3177" s="36" t="str">
        <x:v>48201542402</x:v>
      </x:c>
      <x:c r="C3177" s="66" t="n">
        <x:v>411.42250116232526</x:v>
      </x:c>
      <x:c r="D3177" s="66" t="n">
        <x:v>354.4545566518979</x:v>
      </x:c>
      <x:c r="E3177" s="66" t="n">
        <x:v>56.967944510427344</x:v>
      </x:c>
      <x:c r="F3177" s="66" t="n">
        <x:v>56.967944510427344</x:v>
      </x:c>
      <x:c r="G3177" s="66" t="n">
        <x:v>411.42250116232526</x:v>
      </x:c>
      <x:c r="H3177" s="45" t="n">
        <x:v>1</x:v>
      </x:c>
      <x:c r="I3177" s="36" t="str">
        <x:v>generated design-reference observation; not predicted tract behavior</x:v>
      </x:c>
    </x:row>
    <x:row r="3178" ht="75.5999984741211" hidden="0" customHeight="1">
      <x:c r="A3178" s="34" t="str">
        <x:v>P2</x:v>
      </x:c>
      <x:c r="B3178" s="34" t="str">
        <x:v>48201542500</x:v>
      </x:c>
      <x:c r="C3178" s="65" t="n">
        <x:v>314.42811587101426</x:v>
      </x:c>
      <x:c r="D3178" s="65" t="n">
        <x:v>267.26621532911065</x:v>
      </x:c>
      <x:c r="E3178" s="65" t="n">
        <x:v>47.161900541903606</x:v>
      </x:c>
      <x:c r="F3178" s="65" t="n">
        <x:v>47.161900541903606</x:v>
      </x:c>
      <x:c r="G3178" s="65" t="n">
        <x:v>314.42811587101426</x:v>
      </x:c>
      <x:c r="H3178" s="43" t="n">
        <x:v>1</x:v>
      </x:c>
      <x:c r="I3178" s="34" t="str">
        <x:v>generated design-reference observation; not predicted tract behavior</x:v>
      </x:c>
    </x:row>
    <x:row r="3179" ht="75.5999984741211" hidden="0" customHeight="1">
      <x:c r="A3179" s="36" t="str">
        <x:v>P2</x:v>
      </x:c>
      <x:c r="B3179" s="36" t="str">
        <x:v>48201542600</x:v>
      </x:c>
      <x:c r="C3179" s="66" t="n">
        <x:v>492.8078718528306</x:v>
      </x:c>
      <x:c r="D3179" s="66" t="n">
        <x:v>422.5436268706864</x:v>
      </x:c>
      <x:c r="E3179" s="66" t="n">
        <x:v>70.26424498214419</x:v>
      </x:c>
      <x:c r="F3179" s="66" t="n">
        <x:v>70.26424498214419</x:v>
      </x:c>
      <x:c r="G3179" s="66" t="n">
        <x:v>492.8078718528306</x:v>
      </x:c>
      <x:c r="H3179" s="45" t="n">
        <x:v>1</x:v>
      </x:c>
      <x:c r="I3179" s="36" t="str">
        <x:v>generated design-reference observation; not predicted tract behavior</x:v>
      </x:c>
    </x:row>
    <x:row r="3180" ht="75.5999984741211" hidden="0" customHeight="1">
      <x:c r="A3180" s="34" t="str">
        <x:v>P2</x:v>
      </x:c>
      <x:c r="B3180" s="34" t="str">
        <x:v>48201542700</x:v>
      </x:c>
      <x:c r="C3180" s="65" t="n">
        <x:v>392.8740245974202</x:v>
      </x:c>
      <x:c r="D3180" s="65" t="n">
        <x:v>338.71862971644947</x:v>
      </x:c>
      <x:c r="E3180" s="65" t="n">
        <x:v>54.15539488097073</x:v>
      </x:c>
      <x:c r="F3180" s="65" t="n">
        <x:v>54.15539488097073</x:v>
      </x:c>
      <x:c r="G3180" s="65" t="n">
        <x:v>392.8740245974202</x:v>
      </x:c>
      <x:c r="H3180" s="43" t="n">
        <x:v>1</x:v>
      </x:c>
      <x:c r="I3180" s="34" t="str">
        <x:v>generated design-reference observation; not predicted tract behavior</x:v>
      </x:c>
    </x:row>
    <x:row r="3181" ht="75.5999984741211" hidden="0" customHeight="1">
      <x:c r="A3181" s="36" t="str">
        <x:v>P2</x:v>
      </x:c>
      <x:c r="B3181" s="36" t="str">
        <x:v>48201542800</x:v>
      </x:c>
      <x:c r="C3181" s="66" t="n">
        <x:v>711.5069857914111</x:v>
      </x:c>
      <x:c r="D3181" s="66" t="n">
        <x:v>615.3112413124123</x:v>
      </x:c>
      <x:c r="E3181" s="66" t="n">
        <x:v>96.19574447899879</x:v>
      </x:c>
      <x:c r="F3181" s="66" t="n">
        <x:v>96.19574447899879</x:v>
      </x:c>
      <x:c r="G3181" s="66" t="n">
        <x:v>711.5069857914111</x:v>
      </x:c>
      <x:c r="H3181" s="45" t="n">
        <x:v>1</x:v>
      </x:c>
      <x:c r="I3181" s="36" t="str">
        <x:v>generated design-reference observation; not predicted tract behavior</x:v>
      </x:c>
    </x:row>
    <x:row r="3182" ht="75.5999984741211" hidden="0" customHeight="1">
      <x:c r="A3182" s="34" t="str">
        <x:v>P2</x:v>
      </x:c>
      <x:c r="B3182" s="34" t="str">
        <x:v>48201542901</x:v>
      </x:c>
      <x:c r="C3182" s="65" t="n">
        <x:v>765.7219821239173</x:v>
      </x:c>
      <x:c r="D3182" s="65" t="n">
        <x:v>659.330661390223</x:v>
      </x:c>
      <x:c r="E3182" s="65" t="n">
        <x:v>106.39132073369433</x:v>
      </x:c>
      <x:c r="F3182" s="65" t="n">
        <x:v>106.39132073369433</x:v>
      </x:c>
      <x:c r="G3182" s="65" t="n">
        <x:v>765.7219821239173</x:v>
      </x:c>
      <x:c r="H3182" s="43" t="n">
        <x:v>1</x:v>
      </x:c>
      <x:c r="I3182" s="34" t="str">
        <x:v>generated design-reference observation; not predicted tract behavior</x:v>
      </x:c>
    </x:row>
    <x:row r="3183" ht="75.5999984741211" hidden="0" customHeight="1">
      <x:c r="A3183" s="36" t="str">
        <x:v>P2</x:v>
      </x:c>
      <x:c r="B3183" s="36" t="str">
        <x:v>48201542902</x:v>
      </x:c>
      <x:c r="C3183" s="66" t="n">
        <x:v>3386.421302883821</x:v>
      </x:c>
      <x:c r="D3183" s="66" t="n">
        <x:v>2919.5967658732993</x:v>
      </x:c>
      <x:c r="E3183" s="66" t="n">
        <x:v>466.8245370105219</x:v>
      </x:c>
      <x:c r="F3183" s="66" t="n">
        <x:v>466.8245370105219</x:v>
      </x:c>
      <x:c r="G3183" s="66" t="n">
        <x:v>3386.421302883821</x:v>
      </x:c>
      <x:c r="H3183" s="45" t="n">
        <x:v>1</x:v>
      </x:c>
      <x:c r="I3183" s="36" t="str">
        <x:v>generated design-reference observation; not predicted tract behavior</x:v>
      </x:c>
    </x:row>
    <x:row r="3184" ht="75.5999984741211" hidden="0" customHeight="1">
      <x:c r="A3184" s="34" t="str">
        <x:v>P2</x:v>
      </x:c>
      <x:c r="B3184" s="34" t="str">
        <x:v>48201543004</x:v>
      </x:c>
      <x:c r="C3184" s="65" t="n">
        <x:v>2565.8915349465665</x:v>
      </x:c>
      <x:c r="D3184" s="65" t="n">
        <x:v>1931.0330309310082</x:v>
      </x:c>
      <x:c r="E3184" s="65" t="n">
        <x:v>634.8585040155583</x:v>
      </x:c>
      <x:c r="F3184" s="65" t="n">
        <x:v>634.8585040155583</x:v>
      </x:c>
      <x:c r="G3184" s="65" t="n">
        <x:v>2565.8915349465665</x:v>
      </x:c>
      <x:c r="H3184" s="43" t="n">
        <x:v>1</x:v>
      </x:c>
      <x:c r="I3184" s="34" t="str">
        <x:v>generated design-reference observation; not predicted tract behavior</x:v>
      </x:c>
    </x:row>
    <x:row r="3185" ht="75.5999984741211" hidden="0" customHeight="1">
      <x:c r="A3185" s="36" t="str">
        <x:v>P2</x:v>
      </x:c>
      <x:c r="B3185" s="36" t="str">
        <x:v>48201543005</x:v>
      </x:c>
      <x:c r="C3185" s="66" t="n">
        <x:v>960.4259693876437</x:v>
      </x:c>
      <x:c r="D3185" s="66" t="n">
        <x:v>829.7484925767942</x:v>
      </x:c>
      <x:c r="E3185" s="66" t="n">
        <x:v>130.6774768108495</x:v>
      </x:c>
      <x:c r="F3185" s="66" t="n">
        <x:v>130.6774768108495</x:v>
      </x:c>
      <x:c r="G3185" s="66" t="n">
        <x:v>960.4259693876437</x:v>
      </x:c>
      <x:c r="H3185" s="45" t="n">
        <x:v>1</x:v>
      </x:c>
      <x:c r="I3185" s="36" t="str">
        <x:v>generated design-reference observation; not predicted tract behavior</x:v>
      </x:c>
    </x:row>
    <x:row r="3186" ht="75.5999984741211" hidden="0" customHeight="1">
      <x:c r="A3186" s="34" t="str">
        <x:v>P2</x:v>
      </x:c>
      <x:c r="B3186" s="34" t="str">
        <x:v>48201543006</x:v>
      </x:c>
      <x:c r="C3186" s="65" t="n">
        <x:v>1416.4669881173277</x:v>
      </x:c>
      <x:c r="D3186" s="65" t="n">
        <x:v>1218.1506507866952</x:v>
      </x:c>
      <x:c r="E3186" s="65" t="n">
        <x:v>198.31633733063245</x:v>
      </x:c>
      <x:c r="F3186" s="65" t="n">
        <x:v>198.31633733063245</x:v>
      </x:c>
      <x:c r="G3186" s="65" t="n">
        <x:v>1416.4669881173277</x:v>
      </x:c>
      <x:c r="H3186" s="43" t="n">
        <x:v>1</x:v>
      </x:c>
      <x:c r="I3186" s="34" t="str">
        <x:v>generated design-reference observation; not predicted tract behavior</x:v>
      </x:c>
    </x:row>
    <x:row r="3187" ht="75.5999984741211" hidden="0" customHeight="1">
      <x:c r="A3187" s="36" t="str">
        <x:v>P2</x:v>
      </x:c>
      <x:c r="B3187" s="36" t="str">
        <x:v>48201543007</x:v>
      </x:c>
      <x:c r="C3187" s="66" t="n">
        <x:v>1876.1076688244377</x:v>
      </x:c>
      <x:c r="D3187" s="66" t="n">
        <x:v>1619.8517375317406</x:v>
      </x:c>
      <x:c r="E3187" s="66" t="n">
        <x:v>256.25593129269714</x:v>
      </x:c>
      <x:c r="F3187" s="66" t="n">
        <x:v>256.25593129269714</x:v>
      </x:c>
      <x:c r="G3187" s="66" t="n">
        <x:v>1876.1076688244377</x:v>
      </x:c>
      <x:c r="H3187" s="45" t="n">
        <x:v>1</x:v>
      </x:c>
      <x:c r="I3187" s="36" t="str">
        <x:v>generated design-reference observation; not predicted tract behavior</x:v>
      </x:c>
    </x:row>
    <x:row r="3188" ht="75.5999984741211" hidden="0" customHeight="1">
      <x:c r="A3188" s="34" t="str">
        <x:v>P2</x:v>
      </x:c>
      <x:c r="B3188" s="34" t="str">
        <x:v>48201543008</x:v>
      </x:c>
      <x:c r="C3188" s="65" t="n">
        <x:v>419.50602156359855</x:v>
      </x:c>
      <x:c r="D3188" s="65" t="n">
        <x:v>361.827276660145</x:v>
      </x:c>
      <x:c r="E3188" s="65" t="n">
        <x:v>57.67874490345355</x:v>
      </x:c>
      <x:c r="F3188" s="65" t="n">
        <x:v>57.67874490345355</x:v>
      </x:c>
      <x:c r="G3188" s="65" t="n">
        <x:v>419.50602156359855</x:v>
      </x:c>
      <x:c r="H3188" s="43" t="n">
        <x:v>1</x:v>
      </x:c>
      <x:c r="I3188" s="34" t="str">
        <x:v>generated design-reference observation; not predicted tract behavior</x:v>
      </x:c>
    </x:row>
    <x:row r="3189" ht="75.5999984741211" hidden="0" customHeight="1">
      <x:c r="A3189" s="36" t="str">
        <x:v>P2</x:v>
      </x:c>
      <x:c r="B3189" s="36" t="str">
        <x:v>48201543009</x:v>
      </x:c>
      <x:c r="C3189" s="66" t="n">
        <x:v>422.4729918615867</x:v>
      </x:c>
      <x:c r="D3189" s="66" t="n">
        <x:v>365.3546433619002</x:v>
      </x:c>
      <x:c r="E3189" s="66" t="n">
        <x:v>57.11834849968653</x:v>
      </x:c>
      <x:c r="F3189" s="66" t="n">
        <x:v>57.11834849968653</x:v>
      </x:c>
      <x:c r="G3189" s="66" t="n">
        <x:v>422.4729918615867</x:v>
      </x:c>
      <x:c r="H3189" s="45" t="n">
        <x:v>1</x:v>
      </x:c>
      <x:c r="I3189" s="36" t="str">
        <x:v>generated design-reference observation; not predicted tract behavior</x:v>
      </x:c>
    </x:row>
    <x:row r="3190" ht="75.5999984741211" hidden="0" customHeight="1">
      <x:c r="A3190" s="34" t="str">
        <x:v>P2</x:v>
      </x:c>
      <x:c r="B3190" s="34" t="str">
        <x:v>48201543010</x:v>
      </x:c>
      <x:c r="C3190" s="65" t="n">
        <x:v>444.75474231137724</x:v>
      </x:c>
      <x:c r="D3190" s="65" t="n">
        <x:v>384.623901150879</x:v>
      </x:c>
      <x:c r="E3190" s="65" t="n">
        <x:v>60.13084116049822</x:v>
      </x:c>
      <x:c r="F3190" s="65" t="n">
        <x:v>60.13084116049822</x:v>
      </x:c>
      <x:c r="G3190" s="65" t="n">
        <x:v>444.75474231137724</x:v>
      </x:c>
      <x:c r="H3190" s="43" t="n">
        <x:v>1</x:v>
      </x:c>
      <x:c r="I3190" s="34" t="str">
        <x:v>generated design-reference observation; not predicted tract behavior</x:v>
      </x:c>
    </x:row>
    <x:row r="3191" ht="75.5999984741211" hidden="0" customHeight="1">
      <x:c r="A3191" s="36" t="str">
        <x:v>P2</x:v>
      </x:c>
      <x:c r="B3191" s="36" t="str">
        <x:v>48201543011</x:v>
      </x:c>
      <x:c r="C3191" s="66" t="n">
        <x:v>331.27893525879256</x:v>
      </x:c>
      <x:c r="D3191" s="66" t="n">
        <x:v>286.49002321180376</x:v>
      </x:c>
      <x:c r="E3191" s="66" t="n">
        <x:v>44.7889120469888</x:v>
      </x:c>
      <x:c r="F3191" s="66" t="n">
        <x:v>44.7889120469888</x:v>
      </x:c>
      <x:c r="G3191" s="66" t="n">
        <x:v>331.27893525879256</x:v>
      </x:c>
      <x:c r="H3191" s="45" t="n">
        <x:v>1</x:v>
      </x:c>
      <x:c r="I3191" s="36" t="str">
        <x:v>generated design-reference observation; not predicted tract behavior</x:v>
      </x:c>
    </x:row>
    <x:row r="3192" ht="75.5999984741211" hidden="0" customHeight="1">
      <x:c r="A3192" s="34" t="str">
        <x:v>P2</x:v>
      </x:c>
      <x:c r="B3192" s="34" t="str">
        <x:v>48201543100</x:v>
      </x:c>
      <x:c r="C3192" s="65" t="n">
        <x:v>796.5990289010631</x:v>
      </x:c>
      <x:c r="D3192" s="65" t="n">
        <x:v>329.7919979650401</x:v>
      </x:c>
      <x:c r="E3192" s="65" t="n">
        <x:v>466.807030936023</x:v>
      </x:c>
      <x:c r="F3192" s="65" t="n">
        <x:v>466.807030936023</x:v>
      </x:c>
      <x:c r="G3192" s="65" t="n">
        <x:v>796.5990289010631</x:v>
      </x:c>
      <x:c r="H3192" s="43" t="n">
        <x:v>1</x:v>
      </x:c>
      <x:c r="I3192" s="34" t="str">
        <x:v>generated design-reference observation; not predicted tract behavior</x:v>
      </x:c>
    </x:row>
    <x:row r="3193" ht="75.5999984741211" hidden="0" customHeight="1">
      <x:c r="A3193" s="36" t="str">
        <x:v>P2</x:v>
      </x:c>
      <x:c r="B3193" s="36" t="str">
        <x:v>48201543201</x:v>
      </x:c>
      <x:c r="C3193" s="66" t="n">
        <x:v>533.1822464773719</x:v>
      </x:c>
      <x:c r="D3193" s="66" t="n">
        <x:v>453.5868724388526</x:v>
      </x:c>
      <x:c r="E3193" s="66" t="n">
        <x:v>79.59537403851931</x:v>
      </x:c>
      <x:c r="F3193" s="66" t="n">
        <x:v>79.59537403851931</x:v>
      </x:c>
      <x:c r="G3193" s="66" t="n">
        <x:v>533.1822464773719</x:v>
      </x:c>
      <x:c r="H3193" s="45" t="n">
        <x:v>1</x:v>
      </x:c>
      <x:c r="I3193" s="36" t="str">
        <x:v>generated design-reference observation; not predicted tract behavior</x:v>
      </x:c>
    </x:row>
    <x:row r="3194" ht="75.5999984741211" hidden="0" customHeight="1">
      <x:c r="A3194" s="34" t="str">
        <x:v>P2</x:v>
      </x:c>
      <x:c r="B3194" s="34" t="str">
        <x:v>48201543202</x:v>
      </x:c>
      <x:c r="C3194" s="65" t="n">
        <x:v>673.8272187304217</x:v>
      </x:c>
      <x:c r="D3194" s="65" t="n">
        <x:v>273.529904000238</x:v>
      </x:c>
      <x:c r="E3194" s="65" t="n">
        <x:v>400.2973147301837</x:v>
      </x:c>
      <x:c r="F3194" s="65" t="n">
        <x:v>400.2973147301837</x:v>
      </x:c>
      <x:c r="G3194" s="65" t="n">
        <x:v>673.8272187304217</x:v>
      </x:c>
      <x:c r="H3194" s="43" t="n">
        <x:v>1</x:v>
      </x:c>
      <x:c r="I3194" s="34" t="str">
        <x:v>generated design-reference observation; not predicted tract behavior</x:v>
      </x:c>
    </x:row>
    <x:row r="3195" ht="75.5999984741211" hidden="0" customHeight="1">
      <x:c r="A3195" s="36" t="str">
        <x:v>P2</x:v>
      </x:c>
      <x:c r="B3195" s="36" t="str">
        <x:v>48201550101</x:v>
      </x:c>
      <x:c r="C3195" s="66" t="n">
        <x:v>348.8286477009719</x:v>
      </x:c>
      <x:c r="D3195" s="66" t="n">
        <x:v>256.10611802891134</x:v>
      </x:c>
      <x:c r="E3195" s="66" t="n">
        <x:v>92.72252967206055</x:v>
      </x:c>
      <x:c r="F3195" s="66" t="n">
        <x:v>92.72252967206055</x:v>
      </x:c>
      <x:c r="G3195" s="66" t="n">
        <x:v>348.8286477009719</x:v>
      </x:c>
      <x:c r="H3195" s="45" t="n">
        <x:v>1</x:v>
      </x:c>
      <x:c r="I3195" s="36" t="str">
        <x:v>generated design-reference observation; not predicted tract behavior</x:v>
      </x:c>
    </x:row>
    <x:row r="3196" ht="75.5999984741211" hidden="0" customHeight="1">
      <x:c r="A3196" s="34" t="str">
        <x:v>P2</x:v>
      </x:c>
      <x:c r="B3196" s="34" t="str">
        <x:v>48201550102</x:v>
      </x:c>
      <x:c r="C3196" s="65" t="n">
        <x:v>332.1422737377587</x:v>
      </x:c>
      <x:c r="D3196" s="65" t="n">
        <x:v>246.25420451240734</x:v>
      </x:c>
      <x:c r="E3196" s="65" t="n">
        <x:v>85.88806922535139</x:v>
      </x:c>
      <x:c r="F3196" s="65" t="n">
        <x:v>85.88806922535139</x:v>
      </x:c>
      <x:c r="G3196" s="65" t="n">
        <x:v>332.1422737377587</x:v>
      </x:c>
      <x:c r="H3196" s="43" t="n">
        <x:v>1</x:v>
      </x:c>
      <x:c r="I3196" s="34" t="str">
        <x:v>generated design-reference observation; not predicted tract behavior</x:v>
      </x:c>
    </x:row>
    <x:row r="3197" ht="75.5999984741211" hidden="0" customHeight="1">
      <x:c r="A3197" s="36" t="str">
        <x:v>P2</x:v>
      </x:c>
      <x:c r="B3197" s="36" t="str">
        <x:v>48201550201</x:v>
      </x:c>
      <x:c r="C3197" s="66" t="n">
        <x:v>337.4468478375135</x:v>
      </x:c>
      <x:c r="D3197" s="66" t="n">
        <x:v>138.71995905589867</x:v>
      </x:c>
      <x:c r="E3197" s="66" t="n">
        <x:v>198.7268887816148</x:v>
      </x:c>
      <x:c r="F3197" s="66" t="n">
        <x:v>198.7268887816148</x:v>
      </x:c>
      <x:c r="G3197" s="66" t="n">
        <x:v>337.4468478375135</x:v>
      </x:c>
      <x:c r="H3197" s="45" t="n">
        <x:v>1</x:v>
      </x:c>
      <x:c r="I3197" s="36" t="str">
        <x:v>generated design-reference observation; not predicted tract behavior</x:v>
      </x:c>
    </x:row>
    <x:row r="3198" ht="75.5999984741211" hidden="0" customHeight="1">
      <x:c r="A3198" s="34" t="str">
        <x:v>P2</x:v>
      </x:c>
      <x:c r="B3198" s="34" t="str">
        <x:v>48201550202</x:v>
      </x:c>
      <x:c r="C3198" s="65" t="n">
        <x:v>325.12009136157326</x:v>
      </x:c>
      <x:c r="D3198" s="65" t="n">
        <x:v>241.77781943534092</x:v>
      </x:c>
      <x:c r="E3198" s="65" t="n">
        <x:v>83.34227192623234</x:v>
      </x:c>
      <x:c r="F3198" s="65" t="n">
        <x:v>83.34227192623234</x:v>
      </x:c>
      <x:c r="G3198" s="65" t="n">
        <x:v>325.12009136157326</x:v>
      </x:c>
      <x:c r="H3198" s="43" t="n">
        <x:v>1</x:v>
      </x:c>
      <x:c r="I3198" s="34" t="str">
        <x:v>generated design-reference observation; not predicted tract behavior</x:v>
      </x:c>
    </x:row>
    <x:row r="3199" ht="75.5999984741211" hidden="0" customHeight="1">
      <x:c r="A3199" s="36" t="str">
        <x:v>P2</x:v>
      </x:c>
      <x:c r="B3199" s="36" t="str">
        <x:v>48201550303</x:v>
      </x:c>
      <x:c r="C3199" s="66" t="n">
        <x:v>277.20148059572904</x:v>
      </x:c>
      <x:c r="D3199" s="66" t="n">
        <x:v>235.9221832764676</x:v>
      </x:c>
      <x:c r="E3199" s="66" t="n">
        <x:v>41.279297319261445</x:v>
      </x:c>
      <x:c r="F3199" s="66" t="n">
        <x:v>41.279297319261445</x:v>
      </x:c>
      <x:c r="G3199" s="66" t="n">
        <x:v>277.20148059572904</x:v>
      </x:c>
      <x:c r="H3199" s="45" t="n">
        <x:v>1</x:v>
      </x:c>
      <x:c r="I3199" s="36" t="str">
        <x:v>generated design-reference observation; not predicted tract behavior</x:v>
      </x:c>
    </x:row>
    <x:row r="3200" ht="75.5999984741211" hidden="0" customHeight="1">
      <x:c r="A3200" s="34" t="str">
        <x:v>P2</x:v>
      </x:c>
      <x:c r="B3200" s="34" t="str">
        <x:v>48201550304</x:v>
      </x:c>
      <x:c r="C3200" s="65" t="n">
        <x:v>130.067262149413</x:v>
      </x:c>
      <x:c r="D3200" s="65" t="n">
        <x:v>111.11818188050053</x:v>
      </x:c>
      <x:c r="E3200" s="65" t="n">
        <x:v>18.949080268912482</x:v>
      </x:c>
      <x:c r="F3200" s="65" t="n">
        <x:v>18.949080268912482</x:v>
      </x:c>
      <x:c r="G3200" s="65" t="n">
        <x:v>130.067262149413</x:v>
      </x:c>
      <x:c r="H3200" s="43" t="n">
        <x:v>1</x:v>
      </x:c>
      <x:c r="I3200" s="34" t="str">
        <x:v>generated design-reference observation; not predicted tract behavior</x:v>
      </x:c>
    </x:row>
    <x:row r="3201" ht="75.5999984741211" hidden="0" customHeight="1">
      <x:c r="A3201" s="36" t="str">
        <x:v>P2</x:v>
      </x:c>
      <x:c r="B3201" s="36" t="str">
        <x:v>48201550305</x:v>
      </x:c>
      <x:c r="C3201" s="66" t="n">
        <x:v>261.6042552808757</x:v>
      </x:c>
      <x:c r="D3201" s="66" t="n">
        <x:v>224.1412806019184</x:v>
      </x:c>
      <x:c r="E3201" s="66" t="n">
        <x:v>37.462974678957295</x:v>
      </x:c>
      <x:c r="F3201" s="66" t="n">
        <x:v>37.462974678957295</x:v>
      </x:c>
      <x:c r="G3201" s="66" t="n">
        <x:v>261.6042552808757</x:v>
      </x:c>
      <x:c r="H3201" s="45" t="n">
        <x:v>1</x:v>
      </x:c>
      <x:c r="I3201" s="36" t="str">
        <x:v>generated design-reference observation; not predicted tract behavior</x:v>
      </x:c>
    </x:row>
    <x:row r="3202" ht="75.5999984741211" hidden="0" customHeight="1">
      <x:c r="A3202" s="34" t="str">
        <x:v>P2</x:v>
      </x:c>
      <x:c r="B3202" s="34" t="str">
        <x:v>48201550306</x:v>
      </x:c>
      <x:c r="C3202" s="65" t="n">
        <x:v>410.28679994892326</x:v>
      </x:c>
      <x:c r="D3202" s="65" t="n">
        <x:v>352.7239489791082</x:v>
      </x:c>
      <x:c r="E3202" s="65" t="n">
        <x:v>57.56285096981509</x:v>
      </x:c>
      <x:c r="F3202" s="65" t="n">
        <x:v>57.56285096981509</x:v>
      </x:c>
      <x:c r="G3202" s="65" t="n">
        <x:v>410.28679994892326</x:v>
      </x:c>
      <x:c r="H3202" s="43" t="n">
        <x:v>1</x:v>
      </x:c>
      <x:c r="I3202" s="34" t="str">
        <x:v>generated design-reference observation; not predicted tract behavior</x:v>
      </x:c>
    </x:row>
    <x:row r="3203" ht="75.5999984741211" hidden="0" customHeight="1">
      <x:c r="A3203" s="36" t="str">
        <x:v>P2</x:v>
      </x:c>
      <x:c r="B3203" s="36" t="str">
        <x:v>48201550307</x:v>
      </x:c>
      <x:c r="C3203" s="66" t="n">
        <x:v>228.9479331930872</x:v>
      </x:c>
      <x:c r="D3203" s="66" t="n">
        <x:v>194.35783713392505</x:v>
      </x:c>
      <x:c r="E3203" s="66" t="n">
        <x:v>34.590096059162164</x:v>
      </x:c>
      <x:c r="F3203" s="66" t="n">
        <x:v>34.590096059162164</x:v>
      </x:c>
      <x:c r="G3203" s="66" t="n">
        <x:v>228.9479331930872</x:v>
      </x:c>
      <x:c r="H3203" s="45" t="n">
        <x:v>1</x:v>
      </x:c>
      <x:c r="I3203" s="36" t="str">
        <x:v>generated design-reference observation; not predicted tract behavior</x:v>
      </x:c>
    </x:row>
    <x:row r="3204" ht="75.5999984741211" hidden="0" customHeight="1">
      <x:c r="A3204" s="34" t="str">
        <x:v>P2</x:v>
      </x:c>
      <x:c r="B3204" s="34" t="str">
        <x:v>48201550308</x:v>
      </x:c>
      <x:c r="C3204" s="65" t="n">
        <x:v>247.01697879593337</x:v>
      </x:c>
      <x:c r="D3204" s="65" t="n">
        <x:v>209.49131233786025</x:v>
      </x:c>
      <x:c r="E3204" s="65" t="n">
        <x:v>37.52566645807312</x:v>
      </x:c>
      <x:c r="F3204" s="65" t="n">
        <x:v>37.52566645807312</x:v>
      </x:c>
      <x:c r="G3204" s="65" t="n">
        <x:v>247.01697879593337</x:v>
      </x:c>
      <x:c r="H3204" s="43" t="n">
        <x:v>1</x:v>
      </x:c>
      <x:c r="I3204" s="34" t="str">
        <x:v>generated design-reference observation; not predicted tract behavior</x:v>
      </x:c>
    </x:row>
    <x:row r="3205" ht="75.5999984741211" hidden="0" customHeight="1">
      <x:c r="A3205" s="36" t="str">
        <x:v>P2</x:v>
      </x:c>
      <x:c r="B3205" s="36" t="str">
        <x:v>48201550403</x:v>
      </x:c>
      <x:c r="C3205" s="66" t="n">
        <x:v>243.3623001507296</x:v>
      </x:c>
      <x:c r="D3205" s="66" t="n">
        <x:v>208.55676604745912</x:v>
      </x:c>
      <x:c r="E3205" s="66" t="n">
        <x:v>34.805534103270475</x:v>
      </x:c>
      <x:c r="F3205" s="66" t="n">
        <x:v>34.805534103270475</x:v>
      </x:c>
      <x:c r="G3205" s="66" t="n">
        <x:v>243.3623001507296</x:v>
      </x:c>
      <x:c r="H3205" s="45" t="n">
        <x:v>1</x:v>
      </x:c>
      <x:c r="I3205" s="36" t="str">
        <x:v>generated design-reference observation; not predicted tract behavior</x:v>
      </x:c>
    </x:row>
    <x:row r="3206" ht="75.5999984741211" hidden="0" customHeight="1">
      <x:c r="A3206" s="34" t="str">
        <x:v>P2</x:v>
      </x:c>
      <x:c r="B3206" s="34" t="str">
        <x:v>48201550404</x:v>
      </x:c>
      <x:c r="C3206" s="65" t="n">
        <x:v>503.88194112399634</x:v>
      </x:c>
      <x:c r="D3206" s="65" t="n">
        <x:v>435.3316773397101</x:v>
      </x:c>
      <x:c r="E3206" s="65" t="n">
        <x:v>68.55026378428624</x:v>
      </x:c>
      <x:c r="F3206" s="65" t="n">
        <x:v>68.55026378428624</x:v>
      </x:c>
      <x:c r="G3206" s="65" t="n">
        <x:v>503.88194112399634</x:v>
      </x:c>
      <x:c r="H3206" s="43" t="n">
        <x:v>1</x:v>
      </x:c>
      <x:c r="I3206" s="34" t="str">
        <x:v>generated design-reference observation; not predicted tract behavior</x:v>
      </x:c>
    </x:row>
    <x:row r="3207" ht="75.5999984741211" hidden="0" customHeight="1">
      <x:c r="A3207" s="36" t="str">
        <x:v>P2</x:v>
      </x:c>
      <x:c r="B3207" s="36" t="str">
        <x:v>48201550405</x:v>
      </x:c>
      <x:c r="C3207" s="66" t="n">
        <x:v>575.3407330426901</x:v>
      </x:c>
      <x:c r="D3207" s="66" t="n">
        <x:v>492.0506582235722</x:v>
      </x:c>
      <x:c r="E3207" s="66" t="n">
        <x:v>83.29007481911788</x:v>
      </x:c>
      <x:c r="F3207" s="66" t="n">
        <x:v>83.29007481911788</x:v>
      </x:c>
      <x:c r="G3207" s="66" t="n">
        <x:v>575.3407330426901</x:v>
      </x:c>
      <x:c r="H3207" s="45" t="n">
        <x:v>1</x:v>
      </x:c>
      <x:c r="I3207" s="36" t="str">
        <x:v>generated design-reference observation; not predicted tract behavior</x:v>
      </x:c>
    </x:row>
    <x:row r="3208" ht="75.5999984741211" hidden="0" customHeight="1">
      <x:c r="A3208" s="34" t="str">
        <x:v>P2</x:v>
      </x:c>
      <x:c r="B3208" s="34" t="str">
        <x:v>48201550406</x:v>
      </x:c>
      <x:c r="C3208" s="65" t="n">
        <x:v>344.76194862620554</x:v>
      </x:c>
      <x:c r="D3208" s="65" t="n">
        <x:v>293.73514668940885</x:v>
      </x:c>
      <x:c r="E3208" s="65" t="n">
        <x:v>51.02680193679669</x:v>
      </x:c>
      <x:c r="F3208" s="65" t="n">
        <x:v>51.02680193679669</x:v>
      </x:c>
      <x:c r="G3208" s="65" t="n">
        <x:v>344.76194862620554</x:v>
      </x:c>
      <x:c r="H3208" s="43" t="n">
        <x:v>1</x:v>
      </x:c>
      <x:c r="I3208" s="34" t="str">
        <x:v>generated design-reference observation; not predicted tract behavior</x:v>
      </x:c>
    </x:row>
    <x:row r="3209" ht="75.5999984741211" hidden="0" customHeight="1">
      <x:c r="A3209" s="36" t="str">
        <x:v>P2</x:v>
      </x:c>
      <x:c r="B3209" s="36" t="str">
        <x:v>48201550407</x:v>
      </x:c>
      <x:c r="C3209" s="66" t="n">
        <x:v>503.19030301479654</x:v>
      </x:c>
      <x:c r="D3209" s="66" t="n">
        <x:v>435.03180894665627</x:v>
      </x:c>
      <x:c r="E3209" s="66" t="n">
        <x:v>68.15849406814027</x:v>
      </x:c>
      <x:c r="F3209" s="66" t="n">
        <x:v>68.15849406814027</x:v>
      </x:c>
      <x:c r="G3209" s="66" t="n">
        <x:v>503.19030301479654</x:v>
      </x:c>
      <x:c r="H3209" s="45" t="n">
        <x:v>1</x:v>
      </x:c>
      <x:c r="I3209" s="36" t="str">
        <x:v>generated design-reference observation; not predicted tract behavior</x:v>
      </x:c>
    </x:row>
    <x:row r="3210" ht="75.5999984741211" hidden="0" customHeight="1">
      <x:c r="A3210" s="34" t="str">
        <x:v>P2</x:v>
      </x:c>
      <x:c r="B3210" s="34" t="str">
        <x:v>48201550500</x:v>
      </x:c>
      <x:c r="C3210" s="65" t="n">
        <x:v>521.8055855334312</x:v>
      </x:c>
      <x:c r="D3210" s="65" t="n">
        <x:v>448.4180730750396</x:v>
      </x:c>
      <x:c r="E3210" s="65" t="n">
        <x:v>73.3875124583916</x:v>
      </x:c>
      <x:c r="F3210" s="65" t="n">
        <x:v>73.3875124583916</x:v>
      </x:c>
      <x:c r="G3210" s="65" t="n">
        <x:v>521.8055855334312</x:v>
      </x:c>
      <x:c r="H3210" s="43" t="n">
        <x:v>1</x:v>
      </x:c>
      <x:c r="I3210" s="34" t="str">
        <x:v>generated design-reference observation; not predicted tract behavior</x:v>
      </x:c>
    </x:row>
    <x:row r="3211" ht="75.5999984741211" hidden="0" customHeight="1">
      <x:c r="A3211" s="36" t="str">
        <x:v>P2</x:v>
      </x:c>
      <x:c r="B3211" s="36" t="str">
        <x:v>48201550601</x:v>
      </x:c>
      <x:c r="C3211" s="66" t="n">
        <x:v>573.5094639581043</x:v>
      </x:c>
      <x:c r="D3211" s="66" t="n">
        <x:v>494.40711195753767</x:v>
      </x:c>
      <x:c r="E3211" s="66" t="n">
        <x:v>79.10235200056667</x:v>
      </x:c>
      <x:c r="F3211" s="66" t="n">
        <x:v>79.10235200056667</x:v>
      </x:c>
      <x:c r="G3211" s="66" t="n">
        <x:v>573.5094639581043</x:v>
      </x:c>
      <x:c r="H3211" s="45" t="n">
        <x:v>1</x:v>
      </x:c>
      <x:c r="I3211" s="36" t="str">
        <x:v>generated design-reference observation; not predicted tract behavior</x:v>
      </x:c>
    </x:row>
    <x:row r="3212" ht="75.5999984741211" hidden="0" customHeight="1">
      <x:c r="A3212" s="34" t="str">
        <x:v>P2</x:v>
      </x:c>
      <x:c r="B3212" s="34" t="str">
        <x:v>48201550602</x:v>
      </x:c>
      <x:c r="C3212" s="65" t="n">
        <x:v>375.38779292575293</x:v>
      </x:c>
      <x:c r="D3212" s="65" t="n">
        <x:v>283.1925509831881</x:v>
      </x:c>
      <x:c r="E3212" s="65" t="n">
        <x:v>92.19524194256485</x:v>
      </x:c>
      <x:c r="F3212" s="65" t="n">
        <x:v>92.19524194256485</x:v>
      </x:c>
      <x:c r="G3212" s="65" t="n">
        <x:v>375.38779292575293</x:v>
      </x:c>
      <x:c r="H3212" s="43" t="n">
        <x:v>1</x:v>
      </x:c>
      <x:c r="I3212" s="34" t="str">
        <x:v>generated design-reference observation; not predicted tract behavior</x:v>
      </x:c>
    </x:row>
    <x:row r="3213" ht="75.5999984741211" hidden="0" customHeight="1">
      <x:c r="A3213" s="36" t="str">
        <x:v>P2</x:v>
      </x:c>
      <x:c r="B3213" s="36" t="str">
        <x:v>48201550603</x:v>
      </x:c>
      <x:c r="C3213" s="66" t="n">
        <x:v>401.55093905829114</x:v>
      </x:c>
      <x:c r="D3213" s="66" t="n">
        <x:v>345.2935824873435</x:v>
      </x:c>
      <x:c r="E3213" s="66" t="n">
        <x:v>56.25735657094765</x:v>
      </x:c>
      <x:c r="F3213" s="66" t="n">
        <x:v>56.25735657094765</x:v>
      </x:c>
      <x:c r="G3213" s="66" t="n">
        <x:v>401.55093905829114</x:v>
      </x:c>
      <x:c r="H3213" s="45" t="n">
        <x:v>1</x:v>
      </x:c>
      <x:c r="I3213" s="36" t="str">
        <x:v>generated design-reference observation; not predicted tract behavior</x:v>
      </x:c>
    </x:row>
    <x:row r="3214" ht="75.5999984741211" hidden="0" customHeight="1">
      <x:c r="A3214" s="34" t="str">
        <x:v>P2</x:v>
      </x:c>
      <x:c r="B3214" s="34" t="str">
        <x:v>48201550700</x:v>
      </x:c>
      <x:c r="C3214" s="65" t="n">
        <x:v>407.5634748939488</x:v>
      </x:c>
      <x:c r="D3214" s="65" t="n">
        <x:v>352.4608930882869</x:v>
      </x:c>
      <x:c r="E3214" s="65" t="n">
        <x:v>55.102581805661885</x:v>
      </x:c>
      <x:c r="F3214" s="65" t="n">
        <x:v>55.102581805661885</x:v>
      </x:c>
      <x:c r="G3214" s="65" t="n">
        <x:v>407.5634748939488</x:v>
      </x:c>
      <x:c r="H3214" s="43" t="n">
        <x:v>1</x:v>
      </x:c>
      <x:c r="I3214" s="34" t="str">
        <x:v>generated design-reference observation; not predicted tract behavior</x:v>
      </x:c>
    </x:row>
    <x:row r="3215" ht="75.5999984741211" hidden="0" customHeight="1">
      <x:c r="A3215" s="36" t="str">
        <x:v>P2</x:v>
      </x:c>
      <x:c r="B3215" s="36" t="str">
        <x:v>48201550800</x:v>
      </x:c>
      <x:c r="C3215" s="66" t="n">
        <x:v>627.9009972905112</x:v>
      </x:c>
      <x:c r="D3215" s="66" t="n">
        <x:v>259.0604160615586</x:v>
      </x:c>
      <x:c r="E3215" s="66" t="n">
        <x:v>368.8405812289526</x:v>
      </x:c>
      <x:c r="F3215" s="66" t="n">
        <x:v>368.8405812289526</x:v>
      </x:c>
      <x:c r="G3215" s="66" t="n">
        <x:v>627.9009972905112</x:v>
      </x:c>
      <x:c r="H3215" s="45" t="n">
        <x:v>1</x:v>
      </x:c>
      <x:c r="I3215" s="36" t="str">
        <x:v>generated design-reference observation; not predicted tract behavior</x:v>
      </x:c>
    </x:row>
    <x:row r="3216" ht="75.5999984741211" hidden="0" customHeight="1">
      <x:c r="A3216" s="34" t="str">
        <x:v>P2</x:v>
      </x:c>
      <x:c r="B3216" s="34" t="str">
        <x:v>48201550901</x:v>
      </x:c>
      <x:c r="C3216" s="65" t="n">
        <x:v>973.7865555547831</x:v>
      </x:c>
      <x:c r="D3216" s="65" t="n">
        <x:v>403.1476339996802</x:v>
      </x:c>
      <x:c r="E3216" s="65" t="n">
        <x:v>570.638921555103</x:v>
      </x:c>
      <x:c r="F3216" s="65" t="n">
        <x:v>570.638921555103</x:v>
      </x:c>
      <x:c r="G3216" s="65" t="n">
        <x:v>973.7865555547831</x:v>
      </x:c>
      <x:c r="H3216" s="43" t="n">
        <x:v>1</x:v>
      </x:c>
      <x:c r="I3216" s="34" t="str">
        <x:v>generated design-reference observation; not predicted tract behavior</x:v>
      </x:c>
    </x:row>
    <x:row r="3217" ht="75.5999984741211" hidden="0" customHeight="1">
      <x:c r="A3217" s="36" t="str">
        <x:v>P2</x:v>
      </x:c>
      <x:c r="B3217" s="36" t="str">
        <x:v>48201550902</x:v>
      </x:c>
      <x:c r="C3217" s="66" t="n">
        <x:v>361.49094539247693</x:v>
      </x:c>
      <x:c r="D3217" s="66" t="n">
        <x:v>311.5024559339198</x:v>
      </x:c>
      <x:c r="E3217" s="66" t="n">
        <x:v>49.988489458557126</x:v>
      </x:c>
      <x:c r="F3217" s="66" t="n">
        <x:v>49.988489458557126</x:v>
      </x:c>
      <x:c r="G3217" s="66" t="n">
        <x:v>361.49094539247693</x:v>
      </x:c>
      <x:c r="H3217" s="45" t="n">
        <x:v>1</x:v>
      </x:c>
      <x:c r="I3217" s="36" t="str">
        <x:v>generated design-reference observation; not predicted tract behavior</x:v>
      </x:c>
    </x:row>
    <x:row r="3218" ht="75.5999984741211" hidden="0" customHeight="1">
      <x:c r="A3218" s="34" t="str">
        <x:v>P2</x:v>
      </x:c>
      <x:c r="B3218" s="34" t="str">
        <x:v>48201551000</x:v>
      </x:c>
      <x:c r="C3218" s="65" t="n">
        <x:v>295.3766297721457</x:v>
      </x:c>
      <x:c r="D3218" s="65" t="n">
        <x:v>254.6234113101726</x:v>
      </x:c>
      <x:c r="E3218" s="65" t="n">
        <x:v>40.75321846197309</x:v>
      </x:c>
      <x:c r="F3218" s="65" t="n">
        <x:v>40.75321846197309</x:v>
      </x:c>
      <x:c r="G3218" s="65" t="n">
        <x:v>295.3766297721457</x:v>
      </x:c>
      <x:c r="H3218" s="43" t="n">
        <x:v>1</x:v>
      </x:c>
      <x:c r="I3218" s="34" t="str">
        <x:v>generated design-reference observation; not predicted tract behavior</x:v>
      </x:c>
    </x:row>
    <x:row r="3219" ht="75.5999984741211" hidden="0" customHeight="1">
      <x:c r="A3219" s="36" t="str">
        <x:v>P2</x:v>
      </x:c>
      <x:c r="B3219" s="36" t="str">
        <x:v>48201551101</x:v>
      </x:c>
      <x:c r="C3219" s="66" t="n">
        <x:v>301.7035465665307</x:v>
      </x:c>
      <x:c r="D3219" s="66" t="n">
        <x:v>256.8364578977555</x:v>
      </x:c>
      <x:c r="E3219" s="66" t="n">
        <x:v>44.86708866877518</x:v>
      </x:c>
      <x:c r="F3219" s="66" t="n">
        <x:v>44.86708866877518</x:v>
      </x:c>
      <x:c r="G3219" s="66" t="n">
        <x:v>301.7035465665307</x:v>
      </x:c>
      <x:c r="H3219" s="45" t="n">
        <x:v>1</x:v>
      </x:c>
      <x:c r="I3219" s="36" t="str">
        <x:v>generated design-reference observation; not predicted tract behavior</x:v>
      </x:c>
    </x:row>
    <x:row r="3220" ht="75.5999984741211" hidden="0" customHeight="1">
      <x:c r="A3220" s="34" t="str">
        <x:v>P2</x:v>
      </x:c>
      <x:c r="B3220" s="34" t="str">
        <x:v>48201551102</x:v>
      </x:c>
      <x:c r="C3220" s="65" t="n">
        <x:v>525.2244784595895</x:v>
      </x:c>
      <x:c r="D3220" s="65" t="n">
        <x:v>454.214128971853</x:v>
      </x:c>
      <x:c r="E3220" s="65" t="n">
        <x:v>71.0103494877365</x:v>
      </x:c>
      <x:c r="F3220" s="65" t="n">
        <x:v>71.0103494877365</x:v>
      </x:c>
      <x:c r="G3220" s="65" t="n">
        <x:v>525.2244784595895</x:v>
      </x:c>
      <x:c r="H3220" s="43" t="n">
        <x:v>1</x:v>
      </x:c>
      <x:c r="I3220" s="34" t="str">
        <x:v>generated design-reference observation; not predicted tract behavior</x:v>
      </x:c>
    </x:row>
    <x:row r="3221" ht="75.5999984741211" hidden="0" customHeight="1">
      <x:c r="A3221" s="36" t="str">
        <x:v>P2</x:v>
      </x:c>
      <x:c r="B3221" s="36" t="str">
        <x:v>48201551201</x:v>
      </x:c>
      <x:c r="C3221" s="66" t="n">
        <x:v>395.77418894167863</x:v>
      </x:c>
      <x:c r="D3221" s="66" t="n">
        <x:v>338.89472182270464</x:v>
      </x:c>
      <x:c r="E3221" s="66" t="n">
        <x:v>56.87946711897399</x:v>
      </x:c>
      <x:c r="F3221" s="66" t="n">
        <x:v>56.87946711897399</x:v>
      </x:c>
      <x:c r="G3221" s="66" t="n">
        <x:v>395.77418894167863</x:v>
      </x:c>
      <x:c r="H3221" s="45" t="n">
        <x:v>1</x:v>
      </x:c>
      <x:c r="I3221" s="36" t="str">
        <x:v>generated design-reference observation; not predicted tract behavior</x:v>
      </x:c>
    </x:row>
    <x:row r="3222" ht="75.5999984741211" hidden="0" customHeight="1">
      <x:c r="A3222" s="34" t="str">
        <x:v>P2</x:v>
      </x:c>
      <x:c r="B3222" s="34" t="str">
        <x:v>48201551202</x:v>
      </x:c>
      <x:c r="C3222" s="65" t="n">
        <x:v>296.03290002348876</x:v>
      </x:c>
      <x:c r="D3222" s="65" t="n">
        <x:v>254.41427366433572</x:v>
      </x:c>
      <x:c r="E3222" s="65" t="n">
        <x:v>41.61862635915304</x:v>
      </x:c>
      <x:c r="F3222" s="65" t="n">
        <x:v>41.61862635915304</x:v>
      </x:c>
      <x:c r="G3222" s="65" t="n">
        <x:v>296.03290002348876</x:v>
      </x:c>
      <x:c r="H3222" s="43" t="n">
        <x:v>1</x:v>
      </x:c>
      <x:c r="I3222" s="34" t="str">
        <x:v>generated design-reference observation; not predicted tract behavior</x:v>
      </x:c>
    </x:row>
    <x:row r="3223" ht="75.5999984741211" hidden="0" customHeight="1">
      <x:c r="A3223" s="36" t="str">
        <x:v>P2</x:v>
      </x:c>
      <x:c r="B3223" s="36" t="str">
        <x:v>48201551300</x:v>
      </x:c>
      <x:c r="C3223" s="66" t="n">
        <x:v>292.8301440064553</x:v>
      </x:c>
      <x:c r="D3223" s="66" t="n">
        <x:v>253.23950853678255</x:v>
      </x:c>
      <x:c r="E3223" s="66" t="n">
        <x:v>39.590635469672776</x:v>
      </x:c>
      <x:c r="F3223" s="66" t="n">
        <x:v>39.590635469672776</x:v>
      </x:c>
      <x:c r="G3223" s="66" t="n">
        <x:v>292.8301440064553</x:v>
      </x:c>
      <x:c r="H3223" s="45" t="n">
        <x:v>1</x:v>
      </x:c>
      <x:c r="I3223" s="36" t="str">
        <x:v>generated design-reference observation; not predicted tract behavior</x:v>
      </x:c>
    </x:row>
    <x:row r="3224" ht="75.5999984741211" hidden="0" customHeight="1">
      <x:c r="A3224" s="34" t="str">
        <x:v>P2</x:v>
      </x:c>
      <x:c r="B3224" s="34" t="str">
        <x:v>48201551400</x:v>
      </x:c>
      <x:c r="C3224" s="65" t="n">
        <x:v>513.6041722726353</x:v>
      </x:c>
      <x:c r="D3224" s="65" t="n">
        <x:v>441.4217230274529</x:v>
      </x:c>
      <x:c r="E3224" s="65" t="n">
        <x:v>72.1824492451824</x:v>
      </x:c>
      <x:c r="F3224" s="65" t="n">
        <x:v>72.1824492451824</x:v>
      </x:c>
      <x:c r="G3224" s="65" t="n">
        <x:v>513.6041722726353</x:v>
      </x:c>
      <x:c r="H3224" s="43" t="n">
        <x:v>1</x:v>
      </x:c>
      <x:c r="I3224" s="34" t="str">
        <x:v>generated design-reference observation; not predicted tract behavior</x:v>
      </x:c>
    </x:row>
    <x:row r="3225" ht="75.5999984741211" hidden="0" customHeight="1">
      <x:c r="A3225" s="36" t="str">
        <x:v>P2</x:v>
      </x:c>
      <x:c r="B3225" s="36" t="str">
        <x:v>48201551501</x:v>
      </x:c>
      <x:c r="C3225" s="66" t="n">
        <x:v>753.9907357332584</x:v>
      </x:c>
      <x:c r="D3225" s="66" t="n">
        <x:v>308.167797420364</x:v>
      </x:c>
      <x:c r="E3225" s="66" t="n">
        <x:v>445.82293831289434</x:v>
      </x:c>
      <x:c r="F3225" s="66" t="n">
        <x:v>445.82293831289434</x:v>
      </x:c>
      <x:c r="G3225" s="66" t="n">
        <x:v>753.9907357332584</x:v>
      </x:c>
      <x:c r="H3225" s="45" t="n">
        <x:v>1</x:v>
      </x:c>
      <x:c r="I3225" s="36" t="str">
        <x:v>generated design-reference observation; not predicted tract behavior</x:v>
      </x:c>
    </x:row>
    <x:row r="3226" ht="75.5999984741211" hidden="0" customHeight="1">
      <x:c r="A3226" s="34" t="str">
        <x:v>P2</x:v>
      </x:c>
      <x:c r="B3226" s="34" t="str">
        <x:v>48201551502</x:v>
      </x:c>
      <x:c r="C3226" s="65" t="n">
        <x:v>398.9572961487916</x:v>
      </x:c>
      <x:c r="D3226" s="65" t="n">
        <x:v>344.5083904931556</x:v>
      </x:c>
      <x:c r="E3226" s="65" t="n">
        <x:v>54.448905655636</x:v>
      </x:c>
      <x:c r="F3226" s="65" t="n">
        <x:v>54.448905655636</x:v>
      </x:c>
      <x:c r="G3226" s="65" t="n">
        <x:v>398.9572961487916</x:v>
      </x:c>
      <x:c r="H3226" s="43" t="n">
        <x:v>1</x:v>
      </x:c>
      <x:c r="I3226" s="34" t="str">
        <x:v>generated design-reference observation; not predicted tract behavior</x:v>
      </x:c>
    </x:row>
    <x:row r="3227" ht="75.5999984741211" hidden="0" customHeight="1">
      <x:c r="A3227" s="36" t="str">
        <x:v>P2</x:v>
      </x:c>
      <x:c r="B3227" s="36" t="str">
        <x:v>48201551601</x:v>
      </x:c>
      <x:c r="C3227" s="66" t="n">
        <x:v>242.02618107613895</x:v>
      </x:c>
      <x:c r="D3227" s="66" t="n">
        <x:v>209.30424139464495</x:v>
      </x:c>
      <x:c r="E3227" s="66" t="n">
        <x:v>32.72193968149401</x:v>
      </x:c>
      <x:c r="F3227" s="66" t="n">
        <x:v>32.72193968149401</x:v>
      </x:c>
      <x:c r="G3227" s="66" t="n">
        <x:v>242.02618107613895</x:v>
      </x:c>
      <x:c r="H3227" s="45" t="n">
        <x:v>1</x:v>
      </x:c>
      <x:c r="I3227" s="36" t="str">
        <x:v>generated design-reference observation; not predicted tract behavior</x:v>
      </x:c>
    </x:row>
    <x:row r="3228" ht="75.5999984741211" hidden="0" customHeight="1">
      <x:c r="A3228" s="34" t="str">
        <x:v>P2</x:v>
      </x:c>
      <x:c r="B3228" s="34" t="str">
        <x:v>48201551602</x:v>
      </x:c>
      <x:c r="C3228" s="65" t="n">
        <x:v>358.3156977093322</x:v>
      </x:c>
      <x:c r="D3228" s="65" t="n">
        <x:v>307.6905578044535</x:v>
      </x:c>
      <x:c r="E3228" s="65" t="n">
        <x:v>50.62513990487872</x:v>
      </x:c>
      <x:c r="F3228" s="65" t="n">
        <x:v>50.62513990487872</x:v>
      </x:c>
      <x:c r="G3228" s="65" t="n">
        <x:v>358.3156977093322</x:v>
      </x:c>
      <x:c r="H3228" s="43" t="n">
        <x:v>1</x:v>
      </x:c>
      <x:c r="I3228" s="34" t="str">
        <x:v>generated design-reference observation; not predicted tract behavior</x:v>
      </x:c>
    </x:row>
    <x:row r="3229" ht="75.5999984741211" hidden="0" customHeight="1">
      <x:c r="A3229" s="36" t="str">
        <x:v>P2</x:v>
      </x:c>
      <x:c r="B3229" s="36" t="str">
        <x:v>48201551702</x:v>
      </x:c>
      <x:c r="C3229" s="66" t="n">
        <x:v>329.2590375989703</x:v>
      </x:c>
      <x:c r="D3229" s="66" t="n">
        <x:v>284.7432157155895</x:v>
      </x:c>
      <x:c r="E3229" s="66" t="n">
        <x:v>44.515821883380795</x:v>
      </x:c>
      <x:c r="F3229" s="66" t="n">
        <x:v>44.515821883380795</x:v>
      </x:c>
      <x:c r="G3229" s="66" t="n">
        <x:v>329.2590375989703</x:v>
      </x:c>
      <x:c r="H3229" s="45" t="n">
        <x:v>1</x:v>
      </x:c>
      <x:c r="I3229" s="36" t="str">
        <x:v>generated design-reference observation; not predicted tract behavior</x:v>
      </x:c>
    </x:row>
    <x:row r="3230" ht="75.5999984741211" hidden="0" customHeight="1">
      <x:c r="A3230" s="34" t="str">
        <x:v>P2</x:v>
      </x:c>
      <x:c r="B3230" s="34" t="str">
        <x:v>48201551703</x:v>
      </x:c>
      <x:c r="C3230" s="65" t="n">
        <x:v>650.5878155140467</x:v>
      </x:c>
      <x:c r="D3230" s="65" t="n">
        <x:v>558.8314094004481</x:v>
      </x:c>
      <x:c r="E3230" s="65" t="n">
        <x:v>91.75640611359859</x:v>
      </x:c>
      <x:c r="F3230" s="65" t="n">
        <x:v>91.75640611359859</x:v>
      </x:c>
      <x:c r="G3230" s="65" t="n">
        <x:v>650.5878155140467</x:v>
      </x:c>
      <x:c r="H3230" s="43" t="n">
        <x:v>1</x:v>
      </x:c>
      <x:c r="I3230" s="34" t="str">
        <x:v>generated design-reference observation; not predicted tract behavior</x:v>
      </x:c>
    </x:row>
    <x:row r="3231" ht="75.5999984741211" hidden="0" customHeight="1">
      <x:c r="A3231" s="36" t="str">
        <x:v>P2</x:v>
      </x:c>
      <x:c r="B3231" s="36" t="str">
        <x:v>48201551704</x:v>
      </x:c>
      <x:c r="C3231" s="66" t="n">
        <x:v>321.26983148531514</x:v>
      </x:c>
      <x:c r="D3231" s="66" t="n">
        <x:v>276.56301363328515</x:v>
      </x:c>
      <x:c r="E3231" s="66" t="n">
        <x:v>44.706817852029985</x:v>
      </x:c>
      <x:c r="F3231" s="66" t="n">
        <x:v>44.706817852029985</x:v>
      </x:c>
      <x:c r="G3231" s="66" t="n">
        <x:v>321.26983148531514</x:v>
      </x:c>
      <x:c r="H3231" s="45" t="n">
        <x:v>1</x:v>
      </x:c>
      <x:c r="I3231" s="36" t="str">
        <x:v>generated design-reference observation; not predicted tract behavior</x:v>
      </x:c>
    </x:row>
    <x:row r="3232" ht="75.5999984741211" hidden="0" customHeight="1">
      <x:c r="A3232" s="34" t="str">
        <x:v>P2</x:v>
      </x:c>
      <x:c r="B3232" s="34" t="str">
        <x:v>48201551705</x:v>
      </x:c>
      <x:c r="C3232" s="65" t="n">
        <x:v>377.1942742809008</x:v>
      </x:c>
      <x:c r="D3232" s="65" t="n">
        <x:v>325.3442350499379</x:v>
      </x:c>
      <x:c r="E3232" s="65" t="n">
        <x:v>51.85003923096292</x:v>
      </x:c>
      <x:c r="F3232" s="65" t="n">
        <x:v>51.85003923096292</x:v>
      </x:c>
      <x:c r="G3232" s="65" t="n">
        <x:v>377.1942742809008</x:v>
      </x:c>
      <x:c r="H3232" s="43" t="n">
        <x:v>1</x:v>
      </x:c>
      <x:c r="I3232" s="34" t="str">
        <x:v>generated design-reference observation; not predicted tract behavior</x:v>
      </x:c>
    </x:row>
    <x:row r="3233" ht="75.5999984741211" hidden="0" customHeight="1">
      <x:c r="A3233" s="36" t="str">
        <x:v>P2</x:v>
      </x:c>
      <x:c r="B3233" s="36" t="str">
        <x:v>48201551800</x:v>
      </x:c>
      <x:c r="C3233" s="66" t="n">
        <x:v>311.9130682011967</x:v>
      </x:c>
      <x:c r="D3233" s="66" t="n">
        <x:v>269.74242138039494</x:v>
      </x:c>
      <x:c r="E3233" s="66" t="n">
        <x:v>42.17064682080178</x:v>
      </x:c>
      <x:c r="F3233" s="66" t="n">
        <x:v>42.17064682080178</x:v>
      </x:c>
      <x:c r="G3233" s="66" t="n">
        <x:v>311.9130682011967</x:v>
      </x:c>
      <x:c r="H3233" s="45" t="n">
        <x:v>1</x:v>
      </x:c>
      <x:c r="I3233" s="36" t="str">
        <x:v>generated design-reference observation; not predicted tract behavior</x:v>
      </x:c>
    </x:row>
    <x:row r="3234" ht="75.5999984741211" hidden="0" customHeight="1">
      <x:c r="A3234" s="34" t="str">
        <x:v>P2</x:v>
      </x:c>
      <x:c r="B3234" s="34" t="str">
        <x:v>48201551901</x:v>
      </x:c>
      <x:c r="C3234" s="65" t="n">
        <x:v>190.29479431757736</x:v>
      </x:c>
      <x:c r="D3234" s="65" t="n">
        <x:v>162.63336809671222</x:v>
      </x:c>
      <x:c r="E3234" s="65" t="n">
        <x:v>27.66142622086514</x:v>
      </x:c>
      <x:c r="F3234" s="65" t="n">
        <x:v>27.66142622086514</x:v>
      </x:c>
      <x:c r="G3234" s="65" t="n">
        <x:v>190.29479431757736</x:v>
      </x:c>
      <x:c r="H3234" s="43" t="n">
        <x:v>1</x:v>
      </x:c>
      <x:c r="I3234" s="34" t="str">
        <x:v>generated design-reference observation; not predicted tract behavior</x:v>
      </x:c>
    </x:row>
    <x:row r="3235" ht="75.5999984741211" hidden="0" customHeight="1">
      <x:c r="A3235" s="36" t="str">
        <x:v>P2</x:v>
      </x:c>
      <x:c r="B3235" s="36" t="str">
        <x:v>48201551902</x:v>
      </x:c>
      <x:c r="C3235" s="66" t="n">
        <x:v>383.7569767943313</x:v>
      </x:c>
      <x:c r="D3235" s="66" t="n">
        <x:v>325.9512133243303</x:v>
      </x:c>
      <x:c r="E3235" s="66" t="n">
        <x:v>57.80576347000101</x:v>
      </x:c>
      <x:c r="F3235" s="66" t="n">
        <x:v>57.80576347000101</x:v>
      </x:c>
      <x:c r="G3235" s="66" t="n">
        <x:v>383.7569767943313</x:v>
      </x:c>
      <x:c r="H3235" s="45" t="n">
        <x:v>1</x:v>
      </x:c>
      <x:c r="I3235" s="36" t="str">
        <x:v>generated design-reference observation; not predicted tract behavior</x:v>
      </x:c>
    </x:row>
    <x:row r="3236" ht="75.5999984741211" hidden="0" customHeight="1">
      <x:c r="A3236" s="34" t="str">
        <x:v>P2</x:v>
      </x:c>
      <x:c r="B3236" s="34" t="str">
        <x:v>48201552002</x:v>
      </x:c>
      <x:c r="C3236" s="65" t="n">
        <x:v>119.35473098078349</x:v>
      </x:c>
      <x:c r="D3236" s="65" t="n">
        <x:v>100.99000612003073</x:v>
      </x:c>
      <x:c r="E3236" s="65" t="n">
        <x:v>18.36472486075276</x:v>
      </x:c>
      <x:c r="F3236" s="65" t="n">
        <x:v>18.36472486075276</x:v>
      </x:c>
      <x:c r="G3236" s="65" t="n">
        <x:v>119.35473098078349</x:v>
      </x:c>
      <x:c r="H3236" s="43" t="n">
        <x:v>1</x:v>
      </x:c>
      <x:c r="I3236" s="34" t="str">
        <x:v>generated design-reference observation; not predicted tract behavior</x:v>
      </x:c>
    </x:row>
    <x:row r="3237" ht="75.5999984741211" hidden="0" customHeight="1">
      <x:c r="A3237" s="36" t="str">
        <x:v>P2</x:v>
      </x:c>
      <x:c r="B3237" s="36" t="str">
        <x:v>48201552003</x:v>
      </x:c>
      <x:c r="C3237" s="66" t="n">
        <x:v>359.67539535582733</x:v>
      </x:c>
      <x:c r="D3237" s="66" t="n">
        <x:v>309.3910970862808</x:v>
      </x:c>
      <x:c r="E3237" s="66" t="n">
        <x:v>50.284298269546525</x:v>
      </x:c>
      <x:c r="F3237" s="66" t="n">
        <x:v>50.284298269546525</x:v>
      </x:c>
      <x:c r="G3237" s="66" t="n">
        <x:v>359.67539535582733</x:v>
      </x:c>
      <x:c r="H3237" s="45" t="n">
        <x:v>1</x:v>
      </x:c>
      <x:c r="I3237" s="36" t="str">
        <x:v>generated design-reference observation; not predicted tract behavior</x:v>
      </x:c>
    </x:row>
    <x:row r="3238" ht="75.5999984741211" hidden="0" customHeight="1">
      <x:c r="A3238" s="34" t="str">
        <x:v>P2</x:v>
      </x:c>
      <x:c r="B3238" s="34" t="str">
        <x:v>48201552004</x:v>
      </x:c>
      <x:c r="C3238" s="65" t="n">
        <x:v>264.87381725163857</x:v>
      </x:c>
      <x:c r="D3238" s="65" t="n">
        <x:v>225.58131351266707</x:v>
      </x:c>
      <x:c r="E3238" s="65" t="n">
        <x:v>39.292503738971504</x:v>
      </x:c>
      <x:c r="F3238" s="65" t="n">
        <x:v>39.292503738971504</x:v>
      </x:c>
      <x:c r="G3238" s="65" t="n">
        <x:v>264.87381725163857</x:v>
      </x:c>
      <x:c r="H3238" s="43" t="n">
        <x:v>1</x:v>
      </x:c>
      <x:c r="I3238" s="34" t="str">
        <x:v>generated design-reference observation; not predicted tract behavior</x:v>
      </x:c>
    </x:row>
    <x:row r="3239" ht="75.5999984741211" hidden="0" customHeight="1">
      <x:c r="A3239" s="36" t="str">
        <x:v>P2</x:v>
      </x:c>
      <x:c r="B3239" s="36" t="str">
        <x:v>48201552101</x:v>
      </x:c>
      <x:c r="C3239" s="66" t="n">
        <x:v>351.6822594801882</x:v>
      </x:c>
      <x:c r="D3239" s="66" t="n">
        <x:v>301.24496090270435</x:v>
      </x:c>
      <x:c r="E3239" s="66" t="n">
        <x:v>50.43729857748383</x:v>
      </x:c>
      <x:c r="F3239" s="66" t="n">
        <x:v>50.43729857748383</x:v>
      </x:c>
      <x:c r="G3239" s="66" t="n">
        <x:v>351.6822594801882</x:v>
      </x:c>
      <x:c r="H3239" s="45" t="n">
        <x:v>1</x:v>
      </x:c>
      <x:c r="I3239" s="36" t="str">
        <x:v>generated design-reference observation; not predicted tract behavior</x:v>
      </x:c>
    </x:row>
    <x:row r="3240" ht="75.5999984741211" hidden="0" customHeight="1">
      <x:c r="A3240" s="34" t="str">
        <x:v>P2</x:v>
      </x:c>
      <x:c r="B3240" s="34" t="str">
        <x:v>48201552102</x:v>
      </x:c>
      <x:c r="C3240" s="65" t="n">
        <x:v>478.73146442582</x:v>
      </x:c>
      <x:c r="D3240" s="65" t="n">
        <x:v>412.59616601327133</x:v>
      </x:c>
      <x:c r="E3240" s="65" t="n">
        <x:v>66.13529841254865</x:v>
      </x:c>
      <x:c r="F3240" s="65" t="n">
        <x:v>66.13529841254865</x:v>
      </x:c>
      <x:c r="G3240" s="65" t="n">
        <x:v>478.73146442582</x:v>
      </x:c>
      <x:c r="H3240" s="43" t="n">
        <x:v>1</x:v>
      </x:c>
      <x:c r="I3240" s="34" t="str">
        <x:v>generated design-reference observation; not predicted tract behavior</x:v>
      </x:c>
    </x:row>
    <x:row r="3241" ht="75.5999984741211" hidden="0" customHeight="1">
      <x:c r="A3241" s="36" t="str">
        <x:v>P2</x:v>
      </x:c>
      <x:c r="B3241" s="36" t="str">
        <x:v>48201552103</x:v>
      </x:c>
      <x:c r="C3241" s="66" t="n">
        <x:v>320.24416360746767</x:v>
      </x:c>
      <x:c r="D3241" s="66" t="n">
        <x:v>275.0405534855211</x:v>
      </x:c>
      <x:c r="E3241" s="66" t="n">
        <x:v>45.203610121946554</x:v>
      </x:c>
      <x:c r="F3241" s="66" t="n">
        <x:v>45.203610121946554</x:v>
      </x:c>
      <x:c r="G3241" s="66" t="n">
        <x:v>320.24416360746767</x:v>
      </x:c>
      <x:c r="H3241" s="45" t="n">
        <x:v>1</x:v>
      </x:c>
      <x:c r="I3241" s="36" t="str">
        <x:v>generated design-reference observation; not predicted tract behavior</x:v>
      </x:c>
    </x:row>
    <x:row r="3242" ht="75.5999984741211" hidden="0" customHeight="1">
      <x:c r="A3242" s="34" t="str">
        <x:v>P2</x:v>
      </x:c>
      <x:c r="B3242" s="34" t="str">
        <x:v>48201552200</x:v>
      </x:c>
      <x:c r="C3242" s="65" t="n">
        <x:v>588.9141309357373</x:v>
      </x:c>
      <x:c r="D3242" s="65" t="n">
        <x:v>503.16000856053495</x:v>
      </x:c>
      <x:c r="E3242" s="65" t="n">
        <x:v>85.75412237520231</x:v>
      </x:c>
      <x:c r="F3242" s="65" t="n">
        <x:v>85.75412237520231</x:v>
      </x:c>
      <x:c r="G3242" s="65" t="n">
        <x:v>588.9141309357373</x:v>
      </x:c>
      <x:c r="H3242" s="43" t="n">
        <x:v>1</x:v>
      </x:c>
      <x:c r="I3242" s="34" t="str">
        <x:v>generated design-reference observation; not predicted tract behavior</x:v>
      </x:c>
    </x:row>
    <x:row r="3243" ht="75.5999984741211" hidden="0" customHeight="1">
      <x:c r="A3243" s="36" t="str">
        <x:v>P2</x:v>
      </x:c>
      <x:c r="B3243" s="36" t="str">
        <x:v>48201552301</x:v>
      </x:c>
      <x:c r="C3243" s="66" t="n">
        <x:v>389.8638269176072</x:v>
      </x:c>
      <x:c r="D3243" s="66" t="n">
        <x:v>333.98125017911514</x:v>
      </x:c>
      <x:c r="E3243" s="66" t="n">
        <x:v>55.88257673849205</x:v>
      </x:c>
      <x:c r="F3243" s="66" t="n">
        <x:v>55.88257673849205</x:v>
      </x:c>
      <x:c r="G3243" s="66" t="n">
        <x:v>389.8638269176072</x:v>
      </x:c>
      <x:c r="H3243" s="45" t="n">
        <x:v>1</x:v>
      </x:c>
      <x:c r="I3243" s="36" t="str">
        <x:v>generated design-reference observation; not predicted tract behavior</x:v>
      </x:c>
    </x:row>
    <x:row r="3244" ht="75.5999984741211" hidden="0" customHeight="1">
      <x:c r="A3244" s="34" t="str">
        <x:v>P2</x:v>
      </x:c>
      <x:c r="B3244" s="34" t="str">
        <x:v>48201552303</x:v>
      </x:c>
      <x:c r="C3244" s="65" t="n">
        <x:v>268.8743149514423</x:v>
      </x:c>
      <x:c r="D3244" s="65" t="n">
        <x:v>229.2433440017123</x:v>
      </x:c>
      <x:c r="E3244" s="65" t="n">
        <x:v>39.63097094972997</x:v>
      </x:c>
      <x:c r="F3244" s="65" t="n">
        <x:v>39.63097094972997</x:v>
      </x:c>
      <x:c r="G3244" s="65" t="n">
        <x:v>268.8743149514423</x:v>
      </x:c>
      <x:c r="H3244" s="43" t="n">
        <x:v>1</x:v>
      </x:c>
      <x:c r="I3244" s="34" t="str">
        <x:v>generated design-reference observation; not predicted tract behavior</x:v>
      </x:c>
    </x:row>
    <x:row r="3245" ht="75.5999984741211" hidden="0" customHeight="1">
      <x:c r="A3245" s="36" t="str">
        <x:v>P2</x:v>
      </x:c>
      <x:c r="B3245" s="36" t="str">
        <x:v>48201552304</x:v>
      </x:c>
      <x:c r="C3245" s="66" t="n">
        <x:v>168.16237482318212</x:v>
      </x:c>
      <x:c r="D3245" s="66" t="n">
        <x:v>145.0819749475521</x:v>
      </x:c>
      <x:c r="E3245" s="66" t="n">
        <x:v>23.080399875630008</x:v>
      </x:c>
      <x:c r="F3245" s="66" t="n">
        <x:v>23.080399875630008</x:v>
      </x:c>
      <x:c r="G3245" s="66" t="n">
        <x:v>168.16237482318212</x:v>
      </x:c>
      <x:c r="H3245" s="45" t="n">
        <x:v>1</x:v>
      </x:c>
      <x:c r="I3245" s="36" t="str">
        <x:v>generated design-reference observation; not predicted tract behavior</x:v>
      </x:c>
    </x:row>
    <x:row r="3246" ht="75.5999984741211" hidden="0" customHeight="1">
      <x:c r="A3246" s="34" t="str">
        <x:v>P2</x:v>
      </x:c>
      <x:c r="B3246" s="34" t="str">
        <x:v>48201552401</x:v>
      </x:c>
      <x:c r="C3246" s="65" t="n">
        <x:v>427.47950862931737</x:v>
      </x:c>
      <x:c r="D3246" s="65" t="n">
        <x:v>365.87348608998195</x:v>
      </x:c>
      <x:c r="E3246" s="65" t="n">
        <x:v>61.60602253933541</x:v>
      </x:c>
      <x:c r="F3246" s="65" t="n">
        <x:v>61.60602253933541</x:v>
      </x:c>
      <x:c r="G3246" s="65" t="n">
        <x:v>427.47950862931737</x:v>
      </x:c>
      <x:c r="H3246" s="43" t="n">
        <x:v>1</x:v>
      </x:c>
      <x:c r="I3246" s="34" t="str">
        <x:v>generated design-reference observation; not predicted tract behavior</x:v>
      </x:c>
    </x:row>
    <x:row r="3247" ht="75.5999984741211" hidden="0" customHeight="1">
      <x:c r="A3247" s="36" t="str">
        <x:v>P2</x:v>
      </x:c>
      <x:c r="B3247" s="36" t="str">
        <x:v>48201552402</x:v>
      </x:c>
      <x:c r="C3247" s="66" t="n">
        <x:v>255.71747182870877</x:v>
      </x:c>
      <x:c r="D3247" s="66" t="n">
        <x:v>220.6560763741337</x:v>
      </x:c>
      <x:c r="E3247" s="66" t="n">
        <x:v>35.06139545457506</x:v>
      </x:c>
      <x:c r="F3247" s="66" t="n">
        <x:v>35.06139545457506</x:v>
      </x:c>
      <x:c r="G3247" s="66" t="n">
        <x:v>255.71747182870877</x:v>
      </x:c>
      <x:c r="H3247" s="45" t="n">
        <x:v>1</x:v>
      </x:c>
      <x:c r="I3247" s="36" t="str">
        <x:v>generated design-reference observation; not predicted tract behavior</x:v>
      </x:c>
    </x:row>
    <x:row r="3248" ht="75.5999984741211" hidden="0" customHeight="1">
      <x:c r="A3248" s="34" t="str">
        <x:v>P2</x:v>
      </x:c>
      <x:c r="B3248" s="34" t="str">
        <x:v>48201552501</x:v>
      </x:c>
      <x:c r="C3248" s="65" t="n">
        <x:v>417.24640842274675</x:v>
      </x:c>
      <x:c r="D3248" s="65" t="n">
        <x:v>358.76708391909364</x:v>
      </x:c>
      <x:c r="E3248" s="65" t="n">
        <x:v>58.47932450365312</x:v>
      </x:c>
      <x:c r="F3248" s="65" t="n">
        <x:v>58.47932450365312</x:v>
      </x:c>
      <x:c r="G3248" s="65" t="n">
        <x:v>417.24640842274675</x:v>
      </x:c>
      <x:c r="H3248" s="43" t="n">
        <x:v>1</x:v>
      </x:c>
      <x:c r="I3248" s="34" t="str">
        <x:v>generated design-reference observation; not predicted tract behavior</x:v>
      </x:c>
    </x:row>
    <x:row r="3249" ht="75.5999984741211" hidden="0" customHeight="1">
      <x:c r="A3249" s="36" t="str">
        <x:v>P2</x:v>
      </x:c>
      <x:c r="B3249" s="36" t="str">
        <x:v>48201552502</x:v>
      </x:c>
      <x:c r="C3249" s="66" t="n">
        <x:v>516.8815937673664</x:v>
      </x:c>
      <x:c r="D3249" s="66" t="n">
        <x:v>445.46528509782223</x:v>
      </x:c>
      <x:c r="E3249" s="66" t="n">
        <x:v>71.41630866954421</x:v>
      </x:c>
      <x:c r="F3249" s="66" t="n">
        <x:v>71.41630866954421</x:v>
      </x:c>
      <x:c r="G3249" s="66" t="n">
        <x:v>516.8815937673664</x:v>
      </x:c>
      <x:c r="H3249" s="45" t="n">
        <x:v>1</x:v>
      </x:c>
      <x:c r="I3249" s="36" t="str">
        <x:v>generated design-reference observation; not predicted tract behavior</x:v>
      </x:c>
    </x:row>
    <x:row r="3250" ht="75.5999984741211" hidden="0" customHeight="1">
      <x:c r="A3250" s="34" t="str">
        <x:v>P2</x:v>
      </x:c>
      <x:c r="B3250" s="34" t="str">
        <x:v>48201552602</x:v>
      </x:c>
      <x:c r="C3250" s="65" t="n">
        <x:v>637.340587865679</x:v>
      </x:c>
      <x:c r="D3250" s="65" t="n">
        <x:v>540.3500010164461</x:v>
      </x:c>
      <x:c r="E3250" s="65" t="n">
        <x:v>96.99058684923295</x:v>
      </x:c>
      <x:c r="F3250" s="65" t="n">
        <x:v>96.99058684923295</x:v>
      </x:c>
      <x:c r="G3250" s="65" t="n">
        <x:v>637.340587865679</x:v>
      </x:c>
      <x:c r="H3250" s="43" t="n">
        <x:v>1</x:v>
      </x:c>
      <x:c r="I3250" s="34" t="str">
        <x:v>generated design-reference observation; not predicted tract behavior</x:v>
      </x:c>
    </x:row>
    <x:row r="3251" ht="75.5999984741211" hidden="0" customHeight="1">
      <x:c r="A3251" s="36" t="str">
        <x:v>P2</x:v>
      </x:c>
      <x:c r="B3251" s="36" t="str">
        <x:v>48201552603</x:v>
      </x:c>
      <x:c r="C3251" s="66" t="n">
        <x:v>445.2852601792294</x:v>
      </x:c>
      <x:c r="D3251" s="66" t="n">
        <x:v>376.16759528717256</x:v>
      </x:c>
      <x:c r="E3251" s="66" t="n">
        <x:v>69.11766489205684</x:v>
      </x:c>
      <x:c r="F3251" s="66" t="n">
        <x:v>69.11766489205684</x:v>
      </x:c>
      <x:c r="G3251" s="66" t="n">
        <x:v>445.2852601792294</x:v>
      </x:c>
      <x:c r="H3251" s="45" t="n">
        <x:v>1</x:v>
      </x:c>
      <x:c r="I3251" s="36" t="str">
        <x:v>generated design-reference observation; not predicted tract behavior</x:v>
      </x:c>
    </x:row>
    <x:row r="3252" ht="75.5999984741211" hidden="0" customHeight="1">
      <x:c r="A3252" s="34" t="str">
        <x:v>P2</x:v>
      </x:c>
      <x:c r="B3252" s="34" t="str">
        <x:v>48201552604</x:v>
      </x:c>
      <x:c r="C3252" s="65" t="n">
        <x:v>242.63922394565702</x:v>
      </x:c>
      <x:c r="D3252" s="65" t="n">
        <x:v>209.50003941979233</x:v>
      </x:c>
      <x:c r="E3252" s="65" t="n">
        <x:v>33.13918452586469</x:v>
      </x:c>
      <x:c r="F3252" s="65" t="n">
        <x:v>33.13918452586469</x:v>
      </x:c>
      <x:c r="G3252" s="65" t="n">
        <x:v>242.63922394565702</x:v>
      </x:c>
      <x:c r="H3252" s="43" t="n">
        <x:v>1</x:v>
      </x:c>
      <x:c r="I3252" s="34" t="str">
        <x:v>generated design-reference observation; not predicted tract behavior</x:v>
      </x:c>
    </x:row>
    <x:row r="3253" ht="75.5999984741211" hidden="0" customHeight="1">
      <x:c r="A3253" s="36" t="str">
        <x:v>P2</x:v>
      </x:c>
      <x:c r="B3253" s="36" t="str">
        <x:v>48201552701</x:v>
      </x:c>
      <x:c r="C3253" s="66" t="n">
        <x:v>255.16730515093616</x:v>
      </x:c>
      <x:c r="D3253" s="66" t="n">
        <x:v>215.51857635406716</x:v>
      </x:c>
      <x:c r="E3253" s="66" t="n">
        <x:v>39.648728796868994</x:v>
      </x:c>
      <x:c r="F3253" s="66" t="n">
        <x:v>39.648728796868994</x:v>
      </x:c>
      <x:c r="G3253" s="66" t="n">
        <x:v>255.16730515093616</x:v>
      </x:c>
      <x:c r="H3253" s="45" t="n">
        <x:v>1</x:v>
      </x:c>
      <x:c r="I3253" s="36" t="str">
        <x:v>generated design-reference observation; not predicted tract behavior</x:v>
      </x:c>
    </x:row>
    <x:row r="3254" ht="75.5999984741211" hidden="0" customHeight="1">
      <x:c r="A3254" s="34" t="str">
        <x:v>P2</x:v>
      </x:c>
      <x:c r="B3254" s="34" t="str">
        <x:v>48201552702</x:v>
      </x:c>
      <x:c r="C3254" s="65" t="n">
        <x:v>486.3316241030501</x:v>
      </x:c>
      <x:c r="D3254" s="65" t="n">
        <x:v>416.2959075300886</x:v>
      </x:c>
      <x:c r="E3254" s="65" t="n">
        <x:v>70.03571657296152</x:v>
      </x:c>
      <x:c r="F3254" s="65" t="n">
        <x:v>70.03571657296152</x:v>
      </x:c>
      <x:c r="G3254" s="65" t="n">
        <x:v>486.3316241030501</x:v>
      </x:c>
      <x:c r="H3254" s="43" t="n">
        <x:v>1</x:v>
      </x:c>
      <x:c r="I3254" s="34" t="str">
        <x:v>generated design-reference observation; not predicted tract behavior</x:v>
      </x:c>
    </x:row>
    <x:row r="3255" ht="75.5999984741211" hidden="0" customHeight="1">
      <x:c r="A3255" s="36" t="str">
        <x:v>P2</x:v>
      </x:c>
      <x:c r="B3255" s="36" t="str">
        <x:v>48201552801</x:v>
      </x:c>
      <x:c r="C3255" s="66" t="n">
        <x:v>428.69773484438525</x:v>
      </x:c>
      <x:c r="D3255" s="66" t="n">
        <x:v>368.4009161951435</x:v>
      </x:c>
      <x:c r="E3255" s="66" t="n">
        <x:v>60.29681864924174</x:v>
      </x:c>
      <x:c r="F3255" s="66" t="n">
        <x:v>60.29681864924174</x:v>
      </x:c>
      <x:c r="G3255" s="66" t="n">
        <x:v>428.69773484438525</x:v>
      </x:c>
      <x:c r="H3255" s="45" t="n">
        <x:v>1</x:v>
      </x:c>
      <x:c r="I3255" s="36" t="str">
        <x:v>generated design-reference observation; not predicted tract behavior</x:v>
      </x:c>
    </x:row>
    <x:row r="3256" ht="75.5999984741211" hidden="0" customHeight="1">
      <x:c r="A3256" s="34" t="str">
        <x:v>P2</x:v>
      </x:c>
      <x:c r="B3256" s="34" t="str">
        <x:v>48201552802</x:v>
      </x:c>
      <x:c r="C3256" s="65" t="n">
        <x:v>323.84382558489415</x:v>
      </x:c>
      <x:c r="D3256" s="65" t="n">
        <x:v>277.93696638079166</x:v>
      </x:c>
      <x:c r="E3256" s="65" t="n">
        <x:v>45.90685920410249</x:v>
      </x:c>
      <x:c r="F3256" s="65" t="n">
        <x:v>45.90685920410249</x:v>
      </x:c>
      <x:c r="G3256" s="65" t="n">
        <x:v>323.84382558489415</x:v>
      </x:c>
      <x:c r="H3256" s="43" t="n">
        <x:v>1</x:v>
      </x:c>
      <x:c r="I3256" s="34" t="str">
        <x:v>generated design-reference observation; not predicted tract behavior</x:v>
      </x:c>
    </x:row>
    <x:row r="3257" ht="75.5999984741211" hidden="0" customHeight="1">
      <x:c r="A3257" s="36" t="str">
        <x:v>P2</x:v>
      </x:c>
      <x:c r="B3257" s="36" t="str">
        <x:v>48201552901</x:v>
      </x:c>
      <x:c r="C3257" s="66" t="n">
        <x:v>406.87183678474906</x:v>
      </x:c>
      <x:c r="D3257" s="66" t="n">
        <x:v>350.11255173531765</x:v>
      </x:c>
      <x:c r="E3257" s="66" t="n">
        <x:v>56.75928504943141</x:v>
      </x:c>
      <x:c r="F3257" s="66" t="n">
        <x:v>56.75928504943141</x:v>
      </x:c>
      <x:c r="G3257" s="66" t="n">
        <x:v>406.87183678474906</x:v>
      </x:c>
      <x:c r="H3257" s="45" t="n">
        <x:v>1</x:v>
      </x:c>
      <x:c r="I3257" s="36" t="str">
        <x:v>generated design-reference observation; not predicted tract behavior</x:v>
      </x:c>
    </x:row>
    <x:row r="3258" ht="75.5999984741211" hidden="0" customHeight="1">
      <x:c r="A3258" s="34" t="str">
        <x:v>P2</x:v>
      </x:c>
      <x:c r="B3258" s="34" t="str">
        <x:v>48201552902</x:v>
      </x:c>
      <x:c r="C3258" s="65" t="n">
        <x:v>426.418472893613</x:v>
      </x:c>
      <x:c r="D3258" s="65" t="n">
        <x:v>367.38776006592394</x:v>
      </x:c>
      <x:c r="E3258" s="65" t="n">
        <x:v>59.03071282768906</x:v>
      </x:c>
      <x:c r="F3258" s="65" t="n">
        <x:v>59.03071282768906</x:v>
      </x:c>
      <x:c r="G3258" s="65" t="n">
        <x:v>426.418472893613</x:v>
      </x:c>
      <x:c r="H3258" s="43" t="n">
        <x:v>1</x:v>
      </x:c>
      <x:c r="I3258" s="34" t="str">
        <x:v>generated design-reference observation; not predicted tract behavior</x:v>
      </x:c>
    </x:row>
    <x:row r="3259" ht="75.5999984741211" hidden="0" customHeight="1">
      <x:c r="A3259" s="36" t="str">
        <x:v>P2</x:v>
      </x:c>
      <x:c r="B3259" s="36" t="str">
        <x:v>48201553001</x:v>
      </x:c>
      <x:c r="C3259" s="66" t="n">
        <x:v>579.1683212151938</x:v>
      </x:c>
      <x:c r="D3259" s="66" t="n">
        <x:v>500.3971906579723</x:v>
      </x:c>
      <x:c r="E3259" s="66" t="n">
        <x:v>78.77113055722151</x:v>
      </x:c>
      <x:c r="F3259" s="66" t="n">
        <x:v>78.77113055722151</x:v>
      </x:c>
      <x:c r="G3259" s="66" t="n">
        <x:v>579.1683212151938</x:v>
      </x:c>
      <x:c r="H3259" s="45" t="n">
        <x:v>1</x:v>
      </x:c>
      <x:c r="I3259" s="36" t="str">
        <x:v>generated design-reference observation; not predicted tract behavior</x:v>
      </x:c>
    </x:row>
    <x:row r="3260" ht="75.5999984741211" hidden="0" customHeight="1">
      <x:c r="A3260" s="34" t="str">
        <x:v>P2</x:v>
      </x:c>
      <x:c r="B3260" s="34" t="str">
        <x:v>48201553002</x:v>
      </x:c>
      <x:c r="C3260" s="65" t="n">
        <x:v>385.5017911152672</x:v>
      </x:c>
      <x:c r="D3260" s="65" t="n">
        <x:v>332.57027081472444</x:v>
      </x:c>
      <x:c r="E3260" s="65" t="n">
        <x:v>52.931520300542786</x:v>
      </x:c>
      <x:c r="F3260" s="65" t="n">
        <x:v>52.931520300542786</x:v>
      </x:c>
      <x:c r="G3260" s="65" t="n">
        <x:v>385.5017911152672</x:v>
      </x:c>
      <x:c r="H3260" s="43" t="n">
        <x:v>1</x:v>
      </x:c>
      <x:c r="I3260" s="34" t="str">
        <x:v>generated design-reference observation; not predicted tract behavior</x:v>
      </x:c>
    </x:row>
    <x:row r="3261" ht="75.5999984741211" hidden="0" customHeight="1">
      <x:c r="A3261" s="36" t="str">
        <x:v>P2</x:v>
      </x:c>
      <x:c r="B3261" s="36" t="str">
        <x:v>48201553101</x:v>
      </x:c>
      <x:c r="C3261" s="66" t="n">
        <x:v>496.40572009395663</x:v>
      </x:c>
      <x:c r="D3261" s="66" t="n">
        <x:v>372.91168165892776</x:v>
      </x:c>
      <x:c r="E3261" s="66" t="n">
        <x:v>123.49403843502887</x:v>
      </x:c>
      <x:c r="F3261" s="66" t="n">
        <x:v>123.49403843502887</x:v>
      </x:c>
      <x:c r="G3261" s="66" t="n">
        <x:v>496.40572009395663</x:v>
      </x:c>
      <x:c r="H3261" s="45" t="n">
        <x:v>1</x:v>
      </x:c>
      <x:c r="I3261" s="36" t="str">
        <x:v>generated design-reference observation; not predicted tract behavior</x:v>
      </x:c>
    </x:row>
    <x:row r="3262" ht="75.5999984741211" hidden="0" customHeight="1">
      <x:c r="A3262" s="34" t="str">
        <x:v>P2</x:v>
      </x:c>
      <x:c r="B3262" s="34" t="str">
        <x:v>48201553102</x:v>
      </x:c>
      <x:c r="C3262" s="65" t="n">
        <x:v>406.9897296442717</x:v>
      </x:c>
      <x:c r="D3262" s="65" t="n">
        <x:v>350.2528275436601</x:v>
      </x:c>
      <x:c r="E3262" s="65" t="n">
        <x:v>56.73690210061159</x:v>
      </x:c>
      <x:c r="F3262" s="65" t="n">
        <x:v>56.73690210061159</x:v>
      </x:c>
      <x:c r="G3262" s="65" t="n">
        <x:v>406.9897296442717</x:v>
      </x:c>
      <x:c r="H3262" s="43" t="n">
        <x:v>1</x:v>
      </x:c>
      <x:c r="I3262" s="34" t="str">
        <x:v>generated design-reference observation; not predicted tract behavior</x:v>
      </x:c>
    </x:row>
    <x:row r="3263" ht="75.5999984741211" hidden="0" customHeight="1">
      <x:c r="A3263" s="36" t="str">
        <x:v>P2</x:v>
      </x:c>
      <x:c r="B3263" s="36" t="str">
        <x:v>48201553201</x:v>
      </x:c>
      <x:c r="C3263" s="66" t="n">
        <x:v>205.03140175791503</x:v>
      </x:c>
      <x:c r="D3263" s="66" t="n">
        <x:v>175.8052025620048</x:v>
      </x:c>
      <x:c r="E3263" s="66" t="n">
        <x:v>29.226199195910226</x:v>
      </x:c>
      <x:c r="F3263" s="66" t="n">
        <x:v>29.226199195910226</x:v>
      </x:c>
      <x:c r="G3263" s="66" t="n">
        <x:v>205.03140175791503</x:v>
      </x:c>
      <x:c r="H3263" s="45" t="n">
        <x:v>1</x:v>
      </x:c>
      <x:c r="I3263" s="36" t="str">
        <x:v>generated design-reference observation; not predicted tract behavior</x:v>
      </x:c>
    </x:row>
    <x:row r="3264" ht="75.5999984741211" hidden="0" customHeight="1">
      <x:c r="A3264" s="34" t="str">
        <x:v>P2</x:v>
      </x:c>
      <x:c r="B3264" s="34" t="str">
        <x:v>48201553202</x:v>
      </x:c>
      <x:c r="C3264" s="65" t="n">
        <x:v>381.3834005559409</x:v>
      </x:c>
      <x:c r="D3264" s="65" t="n">
        <x:v>327.9759268294127</x:v>
      </x:c>
      <x:c r="E3264" s="65" t="n">
        <x:v>53.407473726528224</x:v>
      </x:c>
      <x:c r="F3264" s="65" t="n">
        <x:v>53.407473726528224</x:v>
      </x:c>
      <x:c r="G3264" s="65" t="n">
        <x:v>381.3834005559409</x:v>
      </x:c>
      <x:c r="H3264" s="43" t="n">
        <x:v>1</x:v>
      </x:c>
      <x:c r="I3264" s="34" t="str">
        <x:v>generated design-reference observation; not predicted tract behavior</x:v>
      </x:c>
    </x:row>
    <x:row r="3265" ht="75.5999984741211" hidden="0" customHeight="1">
      <x:c r="A3265" s="36" t="str">
        <x:v>P2</x:v>
      </x:c>
      <x:c r="B3265" s="36" t="str">
        <x:v>48201553300</x:v>
      </x:c>
      <x:c r="C3265" s="66" t="n">
        <x:v>304.1714370925392</x:v>
      </x:c>
      <x:c r="D3265" s="66" t="n">
        <x:v>258.6962271640694</x:v>
      </x:c>
      <x:c r="E3265" s="66" t="n">
        <x:v>45.47520992846978</x:v>
      </x:c>
      <x:c r="F3265" s="66" t="n">
        <x:v>45.47520992846978</x:v>
      </x:c>
      <x:c r="G3265" s="66" t="n">
        <x:v>304.1714370925392</x:v>
      </x:c>
      <x:c r="H3265" s="45" t="n">
        <x:v>1</x:v>
      </x:c>
      <x:c r="I3265" s="36" t="str">
        <x:v>generated design-reference observation; not predicted tract behavior</x:v>
      </x:c>
    </x:row>
    <x:row r="3266" ht="75.5999984741211" hidden="0" customHeight="1">
      <x:c r="A3266" s="34" t="str">
        <x:v>P2</x:v>
      </x:c>
      <x:c r="B3266" s="34" t="str">
        <x:v>48201553401</x:v>
      </x:c>
      <x:c r="C3266" s="65" t="n">
        <x:v>361.6206275379519</x:v>
      </x:c>
      <x:c r="D3266" s="65" t="n">
        <x:v>312.67077175956194</x:v>
      </x:c>
      <x:c r="E3266" s="65" t="n">
        <x:v>48.949855778389974</x:v>
      </x:c>
      <x:c r="F3266" s="65" t="n">
        <x:v>48.949855778389974</x:v>
      </x:c>
      <x:c r="G3266" s="65" t="n">
        <x:v>361.6206275379519</x:v>
      </x:c>
      <x:c r="H3266" s="43" t="n">
        <x:v>1</x:v>
      </x:c>
      <x:c r="I3266" s="34" t="str">
        <x:v>generated design-reference observation; not predicted tract behavior</x:v>
      </x:c>
    </x:row>
    <x:row r="3267" ht="75.5999984741211" hidden="0" customHeight="1">
      <x:c r="A3267" s="36" t="str">
        <x:v>P2</x:v>
      </x:c>
      <x:c r="B3267" s="36" t="str">
        <x:v>48201553403</x:v>
      </x:c>
      <x:c r="C3267" s="66" t="n">
        <x:v>681.3342732775675</x:v>
      </x:c>
      <x:c r="D3267" s="66" t="n">
        <x:v>581.5503795966108</x:v>
      </x:c>
      <x:c r="E3267" s="66" t="n">
        <x:v>99.78389368095668</x:v>
      </x:c>
      <x:c r="F3267" s="66" t="n">
        <x:v>99.78389368095668</x:v>
      </x:c>
      <x:c r="G3267" s="66" t="n">
        <x:v>681.3342732775675</x:v>
      </x:c>
      <x:c r="H3267" s="45" t="n">
        <x:v>1</x:v>
      </x:c>
      <x:c r="I3267" s="36" t="str">
        <x:v>generated design-reference observation; not predicted tract behavior</x:v>
      </x:c>
    </x:row>
    <x:row r="3268" ht="75.5999984741211" hidden="0" customHeight="1">
      <x:c r="A3268" s="34" t="str">
        <x:v>P2</x:v>
      </x:c>
      <x:c r="B3268" s="34" t="str">
        <x:v>48201553404</x:v>
      </x:c>
      <x:c r="C3268" s="65" t="n">
        <x:v>281.3316604410077</x:v>
      </x:c>
      <x:c r="D3268" s="65" t="n">
        <x:v>243.29561994938348</x:v>
      </x:c>
      <x:c r="E3268" s="65" t="n">
        <x:v>38.03604049162425</x:v>
      </x:c>
      <x:c r="F3268" s="65" t="n">
        <x:v>38.03604049162425</x:v>
      </x:c>
      <x:c r="G3268" s="65" t="n">
        <x:v>281.3316604410077</x:v>
      </x:c>
      <x:c r="H3268" s="43" t="n">
        <x:v>1</x:v>
      </x:c>
      <x:c r="I3268" s="34" t="str">
        <x:v>generated design-reference observation; not predicted tract behavior</x:v>
      </x:c>
    </x:row>
    <x:row r="3269" ht="75.5999984741211" hidden="0" customHeight="1">
      <x:c r="A3269" s="36" t="str">
        <x:v>P2</x:v>
      </x:c>
      <x:c r="B3269" s="36" t="str">
        <x:v>48201553405</x:v>
      </x:c>
      <x:c r="C3269" s="66" t="n">
        <x:v>1134.3082639233605</x:v>
      </x:c>
      <x:c r="D3269" s="66" t="n">
        <x:v>467.86912076361176</x:v>
      </x:c>
      <x:c r="E3269" s="66" t="n">
        <x:v>666.4391431597487</x:v>
      </x:c>
      <x:c r="F3269" s="66" t="n">
        <x:v>666.4391431597487</x:v>
      </x:c>
      <x:c r="G3269" s="66" t="n">
        <x:v>1134.3082639233605</x:v>
      </x:c>
      <x:c r="H3269" s="45" t="n">
        <x:v>1</x:v>
      </x:c>
      <x:c r="I3269" s="36" t="str">
        <x:v>generated design-reference observation; not predicted tract behavior</x:v>
      </x:c>
    </x:row>
    <x:row r="3270" ht="75.5999984741211" hidden="0" customHeight="1">
      <x:c r="A3270" s="34" t="str">
        <x:v>P2</x:v>
      </x:c>
      <x:c r="B3270" s="34" t="str">
        <x:v>48201553500</x:v>
      </x:c>
      <x:c r="C3270" s="65" t="n">
        <x:v>592.7652976801455</x:v>
      </x:c>
      <x:c r="D3270" s="65" t="n">
        <x:v>512.2188788130417</x:v>
      </x:c>
      <x:c r="E3270" s="65" t="n">
        <x:v>80.54641886710385</x:v>
      </x:c>
      <x:c r="F3270" s="65" t="n">
        <x:v>80.54641886710385</x:v>
      </x:c>
      <x:c r="G3270" s="65" t="n">
        <x:v>592.7652976801455</x:v>
      </x:c>
      <x:c r="H3270" s="43" t="n">
        <x:v>1</x:v>
      </x:c>
      <x:c r="I3270" s="34" t="str">
        <x:v>generated design-reference observation; not predicted tract behavior</x:v>
      </x:c>
    </x:row>
    <x:row r="3271" ht="75.5999984741211" hidden="0" customHeight="1">
      <x:c r="A3271" s="36" t="str">
        <x:v>P2</x:v>
      </x:c>
      <x:c r="B3271" s="36" t="str">
        <x:v>48201553601</x:v>
      </x:c>
      <x:c r="C3271" s="66" t="n">
        <x:v>411.3439059226435</x:v>
      </x:c>
      <x:c r="D3271" s="66" t="n">
        <x:v>353.6336261480359</x:v>
      </x:c>
      <x:c r="E3271" s="66" t="n">
        <x:v>57.71027977460761</x:v>
      </x:c>
      <x:c r="F3271" s="66" t="n">
        <x:v>57.71027977460761</x:v>
      </x:c>
      <x:c r="G3271" s="66" t="n">
        <x:v>411.3439059226435</x:v>
      </x:c>
      <x:c r="H3271" s="45" t="n">
        <x:v>1</x:v>
      </x:c>
      <x:c r="I3271" s="36" t="str">
        <x:v>generated design-reference observation; not predicted tract behavior</x:v>
      </x:c>
    </x:row>
    <x:row r="3272" ht="75.5999984741211" hidden="0" customHeight="1">
      <x:c r="A3272" s="34" t="str">
        <x:v>P2</x:v>
      </x:c>
      <x:c r="B3272" s="34" t="str">
        <x:v>48201553602</x:v>
      </x:c>
      <x:c r="C3272" s="65" t="n">
        <x:v>196.3309087251397</x:v>
      </x:c>
      <x:c r="D3272" s="65" t="n">
        <x:v>167.19383790192776</x:v>
      </x:c>
      <x:c r="E3272" s="65" t="n">
        <x:v>29.13707082321193</x:v>
      </x:c>
      <x:c r="F3272" s="65" t="n">
        <x:v>29.13707082321193</x:v>
      </x:c>
      <x:c r="G3272" s="65" t="n">
        <x:v>196.3309087251397</x:v>
      </x:c>
      <x:c r="H3272" s="43" t="n">
        <x:v>1</x:v>
      </x:c>
      <x:c r="I3272" s="34" t="str">
        <x:v>generated design-reference observation; not predicted tract behavior</x:v>
      </x:c>
    </x:row>
    <x:row r="3273" ht="75.5999984741211" hidden="0" customHeight="1">
      <x:c r="A3273" s="36" t="str">
        <x:v>P2</x:v>
      </x:c>
      <x:c r="B3273" s="36" t="str">
        <x:v>48201553700</x:v>
      </x:c>
      <x:c r="C3273" s="66" t="n">
        <x:v>629.8271852414822</x:v>
      </x:c>
      <x:c r="D3273" s="66" t="n">
        <x:v>474.65417223179094</x:v>
      </x:c>
      <x:c r="E3273" s="66" t="n">
        <x:v>155.17301300969126</x:v>
      </x:c>
      <x:c r="F3273" s="66" t="n">
        <x:v>155.17301300969126</x:v>
      </x:c>
      <x:c r="G3273" s="66" t="n">
        <x:v>629.8271852414822</x:v>
      </x:c>
      <x:c r="H3273" s="45" t="n">
        <x:v>1</x:v>
      </x:c>
      <x:c r="I3273" s="36" t="str">
        <x:v>generated design-reference observation; not predicted tract behavior</x:v>
      </x:c>
    </x:row>
    <x:row r="3274" ht="75.5999984741211" hidden="0" customHeight="1">
      <x:c r="A3274" s="34" t="str">
        <x:v>P2</x:v>
      </x:c>
      <x:c r="B3274" s="34" t="str">
        <x:v>48201553801</x:v>
      </x:c>
      <x:c r="C3274" s="65" t="n">
        <x:v>209.30305303462097</x:v>
      </x:c>
      <x:c r="D3274" s="65" t="n">
        <x:v>179.97640814494292</x:v>
      </x:c>
      <x:c r="E3274" s="65" t="n">
        <x:v>29.32664488967805</x:v>
      </x:c>
      <x:c r="F3274" s="65" t="n">
        <x:v>29.32664488967805</x:v>
      </x:c>
      <x:c r="G3274" s="65" t="n">
        <x:v>209.30305303462097</x:v>
      </x:c>
      <x:c r="H3274" s="43" t="n">
        <x:v>1</x:v>
      </x:c>
      <x:c r="I3274" s="34" t="str">
        <x:v>generated design-reference observation; not predicted tract behavior</x:v>
      </x:c>
    </x:row>
    <x:row r="3275" ht="75.5999984741211" hidden="0" customHeight="1">
      <x:c r="A3275" s="36" t="str">
        <x:v>P2</x:v>
      </x:c>
      <x:c r="B3275" s="36" t="str">
        <x:v>48201553803</x:v>
      </x:c>
      <x:c r="C3275" s="66" t="n">
        <x:v>390.0367364449072</x:v>
      </x:c>
      <x:c r="D3275" s="66" t="n">
        <x:v>337.0696857660148</x:v>
      </x:c>
      <x:c r="E3275" s="66" t="n">
        <x:v>52.967050678892406</x:v>
      </x:c>
      <x:c r="F3275" s="66" t="n">
        <x:v>52.967050678892406</x:v>
      </x:c>
      <x:c r="G3275" s="66" t="n">
        <x:v>390.0367364449072</x:v>
      </x:c>
      <x:c r="H3275" s="45" t="n">
        <x:v>1</x:v>
      </x:c>
      <x:c r="I3275" s="36" t="str">
        <x:v>generated design-reference observation; not predicted tract behavior</x:v>
      </x:c>
    </x:row>
    <x:row r="3276" ht="75.5999984741211" hidden="0" customHeight="1">
      <x:c r="A3276" s="34" t="str">
        <x:v>P2</x:v>
      </x:c>
      <x:c r="B3276" s="34" t="str">
        <x:v>48201553804</x:v>
      </x:c>
      <x:c r="C3276" s="65" t="n">
        <x:v>470.28640592201054</x:v>
      </x:c>
      <x:c r="D3276" s="65" t="n">
        <x:v>402.1772794205305</x:v>
      </x:c>
      <x:c r="E3276" s="65" t="n">
        <x:v>68.10912650148003</x:v>
      </x:c>
      <x:c r="F3276" s="65" t="n">
        <x:v>68.10912650148003</x:v>
      </x:c>
      <x:c r="G3276" s="65" t="n">
        <x:v>470.28640592201054</x:v>
      </x:c>
      <x:c r="H3276" s="43" t="n">
        <x:v>1</x:v>
      </x:c>
      <x:c r="I3276" s="34" t="str">
        <x:v>generated design-reference observation; not predicted tract behavior</x:v>
      </x:c>
    </x:row>
    <x:row r="3277" ht="75.5999984741211" hidden="0" customHeight="1">
      <x:c r="A3277" s="36" t="str">
        <x:v>P2</x:v>
      </x:c>
      <x:c r="B3277" s="36" t="str">
        <x:v>48201553901</x:v>
      </x:c>
      <x:c r="C3277" s="66" t="n">
        <x:v>888.7093246249171</x:v>
      </x:c>
      <x:c r="D3277" s="66" t="n">
        <x:v>670.374249287444</x:v>
      </x:c>
      <x:c r="E3277" s="66" t="n">
        <x:v>218.3350753374732</x:v>
      </x:c>
      <x:c r="F3277" s="66" t="n">
        <x:v>218.3350753374732</x:v>
      </x:c>
      <x:c r="G3277" s="66" t="n">
        <x:v>888.7093246249171</x:v>
      </x:c>
      <x:c r="H3277" s="45" t="n">
        <x:v>1</x:v>
      </x:c>
      <x:c r="I3277" s="36" t="str">
        <x:v>generated design-reference observation; not predicted tract behavior</x:v>
      </x:c>
    </x:row>
    <x:row r="3278" ht="75.5999984741211" hidden="0" customHeight="1">
      <x:c r="A3278" s="34" t="str">
        <x:v>P2</x:v>
      </x:c>
      <x:c r="B3278" s="34" t="str">
        <x:v>48201554001</x:v>
      </x:c>
      <x:c r="C3278" s="65" t="n">
        <x:v>286.8962034104793</x:v>
      </x:c>
      <x:c r="D3278" s="65" t="n">
        <x:v>243.59991346265173</x:v>
      </x:c>
      <x:c r="E3278" s="65" t="n">
        <x:v>43.296289947827574</x:v>
      </x:c>
      <x:c r="F3278" s="65" t="n">
        <x:v>43.296289947827574</x:v>
      </x:c>
      <x:c r="G3278" s="65" t="n">
        <x:v>286.8962034104793</x:v>
      </x:c>
      <x:c r="H3278" s="43" t="n">
        <x:v>1</x:v>
      </x:c>
      <x:c r="I3278" s="34" t="str">
        <x:v>generated design-reference observation; not predicted tract behavior</x:v>
      </x:c>
    </x:row>
    <x:row r="3279" ht="75.5999984741211" hidden="0" customHeight="1">
      <x:c r="A3279" s="36" t="str">
        <x:v>P2</x:v>
      </x:c>
      <x:c r="B3279" s="36" t="str">
        <x:v>48201554002</x:v>
      </x:c>
      <x:c r="C3279" s="66" t="n">
        <x:v>369.35439912264115</x:v>
      </x:c>
      <x:c r="D3279" s="66" t="n">
        <x:v>319.4176843612601</x:v>
      </x:c>
      <x:c r="E3279" s="66" t="n">
        <x:v>49.93671476138104</x:v>
      </x:c>
      <x:c r="F3279" s="66" t="n">
        <x:v>49.93671476138104</x:v>
      </x:c>
      <x:c r="G3279" s="66" t="n">
        <x:v>369.35439912264115</x:v>
      </x:c>
      <x:c r="H3279" s="45" t="n">
        <x:v>1</x:v>
      </x:c>
      <x:c r="I3279" s="36" t="str">
        <x:v>generated design-reference observation; not predicted tract behavior</x:v>
      </x:c>
    </x:row>
    <x:row r="3280" ht="75.5999984741211" hidden="0" customHeight="1">
      <x:c r="A3280" s="34" t="str">
        <x:v>P2</x:v>
      </x:c>
      <x:c r="B3280" s="34" t="str">
        <x:v>48201554103</x:v>
      </x:c>
      <x:c r="C3280" s="65" t="n">
        <x:v>411.3910630664526</x:v>
      </x:c>
      <x:c r="D3280" s="65" t="n">
        <x:v>355.7709913398682</x:v>
      </x:c>
      <x:c r="E3280" s="65" t="n">
        <x:v>55.6200717265844</x:v>
      </x:c>
      <x:c r="F3280" s="65" t="n">
        <x:v>55.6200717265844</x:v>
      </x:c>
      <x:c r="G3280" s="65" t="n">
        <x:v>411.3910630664526</x:v>
      </x:c>
      <x:c r="H3280" s="43" t="n">
        <x:v>1</x:v>
      </x:c>
      <x:c r="I3280" s="34" t="str">
        <x:v>generated design-reference observation; not predicted tract behavior</x:v>
      </x:c>
    </x:row>
    <x:row r="3281" ht="75.5999984741211" hidden="0" customHeight="1">
      <x:c r="A3281" s="36" t="str">
        <x:v>P2</x:v>
      </x:c>
      <x:c r="B3281" s="36" t="str">
        <x:v>48201554104</x:v>
      </x:c>
      <x:c r="C3281" s="66" t="n">
        <x:v>325.58863990583006</x:v>
      </x:c>
      <x:c r="D3281" s="66" t="n">
        <x:v>281.56905579056183</x:v>
      </x:c>
      <x:c r="E3281" s="66" t="n">
        <x:v>44.01958411526823</x:v>
      </x:c>
      <x:c r="F3281" s="66" t="n">
        <x:v>44.01958411526823</x:v>
      </x:c>
      <x:c r="G3281" s="66" t="n">
        <x:v>325.58863990583006</x:v>
      </x:c>
      <x:c r="H3281" s="45" t="n">
        <x:v>1</x:v>
      </x:c>
      <x:c r="I3281" s="36" t="str">
        <x:v>generated design-reference observation; not predicted tract behavior</x:v>
      </x:c>
    </x:row>
    <x:row r="3282" ht="75.5999984741211" hidden="0" customHeight="1">
      <x:c r="A3282" s="34" t="str">
        <x:v>P2</x:v>
      </x:c>
      <x:c r="B3282" s="34" t="str">
        <x:v>48201554201</x:v>
      </x:c>
      <x:c r="C3282" s="65" t="n">
        <x:v>522.9255676988969</x:v>
      </x:c>
      <x:c r="D3282" s="65" t="n">
        <x:v>445.246943085734</x:v>
      </x:c>
      <x:c r="E3282" s="65" t="n">
        <x:v>77.67862461316287</x:v>
      </x:c>
      <x:c r="F3282" s="65" t="n">
        <x:v>77.67862461316287</x:v>
      </x:c>
      <x:c r="G3282" s="65" t="n">
        <x:v>522.9255676988969</x:v>
      </x:c>
      <x:c r="H3282" s="43" t="n">
        <x:v>1</x:v>
      </x:c>
      <x:c r="I3282" s="34" t="str">
        <x:v>generated design-reference observation; not predicted tract behavior</x:v>
      </x:c>
    </x:row>
    <x:row r="3283" ht="75.5999984741211" hidden="0" customHeight="1">
      <x:c r="A3283" s="36" t="str">
        <x:v>P2</x:v>
      </x:c>
      <x:c r="B3283" s="36" t="str">
        <x:v>48201554202</x:v>
      </x:c>
      <x:c r="C3283" s="66" t="n">
        <x:v>256.9749956636176</x:v>
      </x:c>
      <x:c r="D3283" s="66" t="n">
        <x:v>217.91694570108984</x:v>
      </x:c>
      <x:c r="E3283" s="66" t="n">
        <x:v>39.058049962527775</x:v>
      </x:c>
      <x:c r="F3283" s="66" t="n">
        <x:v>39.058049962527775</x:v>
      </x:c>
      <x:c r="G3283" s="66" t="n">
        <x:v>256.9749956636176</x:v>
      </x:c>
      <x:c r="H3283" s="45" t="n">
        <x:v>1</x:v>
      </x:c>
      <x:c r="I3283" s="36" t="str">
        <x:v>generated design-reference observation; not predicted tract behavior</x:v>
      </x:c>
    </x:row>
    <x:row r="3284" ht="75.5999984741211" hidden="0" customHeight="1">
      <x:c r="A3284" s="34" t="str">
        <x:v>P2</x:v>
      </x:c>
      <x:c r="B3284" s="34" t="str">
        <x:v>48201554301</x:v>
      </x:c>
      <x:c r="C3284" s="65" t="n">
        <x:v>638.0361557368631</x:v>
      </x:c>
      <x:c r="D3284" s="65" t="n">
        <x:v>549.535743316598</x:v>
      </x:c>
      <x:c r="E3284" s="65" t="n">
        <x:v>88.50041242026509</x:v>
      </x:c>
      <x:c r="F3284" s="65" t="n">
        <x:v>88.50041242026509</x:v>
      </x:c>
      <x:c r="G3284" s="65" t="n">
        <x:v>638.0361557368631</x:v>
      </x:c>
      <x:c r="H3284" s="43" t="n">
        <x:v>1</x:v>
      </x:c>
      <x:c r="I3284" s="34" t="str">
        <x:v>generated design-reference observation; not predicted tract behavior</x:v>
      </x:c>
    </x:row>
    <x:row r="3285" ht="75.5999984741211" hidden="0" customHeight="1">
      <x:c r="A3285" s="36" t="str">
        <x:v>P2</x:v>
      </x:c>
      <x:c r="B3285" s="36" t="str">
        <x:v>48201554302</x:v>
      </x:c>
      <x:c r="C3285" s="66" t="n">
        <x:v>690.3222435139481</x:v>
      </x:c>
      <x:c r="D3285" s="66" t="n">
        <x:v>519.4850433480871</x:v>
      </x:c>
      <x:c r="E3285" s="66" t="n">
        <x:v>170.83720016586108</x:v>
      </x:c>
      <x:c r="F3285" s="66" t="n">
        <x:v>170.83720016586108</x:v>
      </x:c>
      <x:c r="G3285" s="66" t="n">
        <x:v>690.3222435139481</x:v>
      </x:c>
      <x:c r="H3285" s="45" t="n">
        <x:v>1</x:v>
      </x:c>
      <x:c r="I3285" s="36" t="str">
        <x:v>generated design-reference observation; not predicted tract behavior</x:v>
      </x:c>
    </x:row>
    <x:row r="3286" ht="75.5999984741211" hidden="0" customHeight="1">
      <x:c r="A3286" s="34" t="str">
        <x:v>P2</x:v>
      </x:c>
      <x:c r="B3286" s="34" t="str">
        <x:v>48201554404</x:v>
      </x:c>
      <x:c r="C3286" s="65" t="n">
        <x:v>381.6663434187953</x:v>
      </x:c>
      <x:c r="D3286" s="65" t="n">
        <x:v>330.0650537885742</x:v>
      </x:c>
      <x:c r="E3286" s="65" t="n">
        <x:v>51.60128963022112</x:v>
      </x:c>
      <x:c r="F3286" s="65" t="n">
        <x:v>51.60128963022112</x:v>
      </x:c>
      <x:c r="G3286" s="65" t="n">
        <x:v>381.6663434187953</x:v>
      </x:c>
      <x:c r="H3286" s="43" t="n">
        <x:v>1</x:v>
      </x:c>
      <x:c r="I3286" s="34" t="str">
        <x:v>generated design-reference observation; not predicted tract behavior</x:v>
      </x:c>
    </x:row>
    <x:row r="3287" ht="75.5999984741211" hidden="0" customHeight="1">
      <x:c r="A3287" s="36" t="str">
        <x:v>P2</x:v>
      </x:c>
      <x:c r="B3287" s="36" t="str">
        <x:v>48201554405</x:v>
      </x:c>
      <x:c r="C3287" s="66" t="n">
        <x:v>713.1103286809196</x:v>
      </x:c>
      <x:c r="D3287" s="66" t="n">
        <x:v>616.3062225584167</x:v>
      </x:c>
      <x:c r="E3287" s="66" t="n">
        <x:v>96.80410612250284</x:v>
      </x:c>
      <x:c r="F3287" s="66" t="n">
        <x:v>96.80410612250284</x:v>
      </x:c>
      <x:c r="G3287" s="66" t="n">
        <x:v>713.1103286809196</x:v>
      </x:c>
      <x:c r="H3287" s="45" t="n">
        <x:v>1</x:v>
      </x:c>
      <x:c r="I3287" s="36" t="str">
        <x:v>generated design-reference observation; not predicted tract behavior</x:v>
      </x:c>
    </x:row>
    <x:row r="3288" ht="75.5999984741211" hidden="0" customHeight="1">
      <x:c r="A3288" s="34" t="str">
        <x:v>P2</x:v>
      </x:c>
      <x:c r="B3288" s="34" t="str">
        <x:v>48201554406</x:v>
      </x:c>
      <x:c r="C3288" s="65" t="n">
        <x:v>710.422371483802</x:v>
      </x:c>
      <x:c r="D3288" s="65" t="n">
        <x:v>535.9426370473802</x:v>
      </x:c>
      <x:c r="E3288" s="65" t="n">
        <x:v>174.47973443642172</x:v>
      </x:c>
      <x:c r="F3288" s="65" t="n">
        <x:v>174.47973443642172</x:v>
      </x:c>
      <x:c r="G3288" s="65" t="n">
        <x:v>710.422371483802</x:v>
      </x:c>
      <x:c r="H3288" s="43" t="n">
        <x:v>1</x:v>
      </x:c>
      <x:c r="I3288" s="34" t="str">
        <x:v>generated design-reference observation; not predicted tract behavior</x:v>
      </x:c>
    </x:row>
    <x:row r="3289" ht="75.5999984741211" hidden="0" customHeight="1">
      <x:c r="A3289" s="36" t="str">
        <x:v>P2</x:v>
      </x:c>
      <x:c r="B3289" s="36" t="str">
        <x:v>48201554407</x:v>
      </x:c>
      <x:c r="C3289" s="66" t="n">
        <x:v>506.1061864069913</x:v>
      </x:c>
      <x:c r="D3289" s="66" t="n">
        <x:v>437.34094372089595</x:v>
      </x:c>
      <x:c r="E3289" s="66" t="n">
        <x:v>68.76524268609535</x:v>
      </x:c>
      <x:c r="F3289" s="66" t="n">
        <x:v>68.76524268609535</x:v>
      </x:c>
      <x:c r="G3289" s="66" t="n">
        <x:v>506.1061864069913</x:v>
      </x:c>
      <x:c r="H3289" s="45" t="n">
        <x:v>1</x:v>
      </x:c>
      <x:c r="I3289" s="36" t="str">
        <x:v>generated design-reference observation; not predicted tract behavior</x:v>
      </x:c>
    </x:row>
    <x:row r="3290" ht="75.5999984741211" hidden="0" customHeight="1">
      <x:c r="A3290" s="34" t="str">
        <x:v>P2</x:v>
      </x:c>
      <x:c r="B3290" s="34" t="str">
        <x:v>48201554408</x:v>
      </x:c>
      <x:c r="C3290" s="65" t="n">
        <x:v>1574.3738933195682</x:v>
      </x:c>
      <x:c r="D3290" s="65" t="n">
        <x:v>649.9582330476576</x:v>
      </x:c>
      <x:c r="E3290" s="65" t="n">
        <x:v>924.4156602719106</x:v>
      </x:c>
      <x:c r="F3290" s="65" t="n">
        <x:v>924.4156602719106</x:v>
      </x:c>
      <x:c r="G3290" s="65" t="n">
        <x:v>1574.3738933195682</x:v>
      </x:c>
      <x:c r="H3290" s="43" t="n">
        <x:v>1</x:v>
      </x:c>
      <x:c r="I3290" s="34" t="str">
        <x:v>generated design-reference observation; not predicted tract behavior</x:v>
      </x:c>
    </x:row>
    <x:row r="3291" ht="75.5999984741211" hidden="0" customHeight="1">
      <x:c r="A3291" s="36" t="str">
        <x:v>P2</x:v>
      </x:c>
      <x:c r="B3291" s="36" t="str">
        <x:v>48201554409</x:v>
      </x:c>
      <x:c r="C3291" s="66" t="n">
        <x:v>572.9435782323953</x:v>
      </x:c>
      <x:c r="D3291" s="66" t="n">
        <x:v>492.5715433447274</x:v>
      </x:c>
      <x:c r="E3291" s="66" t="n">
        <x:v>80.37203488766795</x:v>
      </x:c>
      <x:c r="F3291" s="66" t="n">
        <x:v>80.37203488766795</x:v>
      </x:c>
      <x:c r="G3291" s="66" t="n">
        <x:v>572.9435782323953</x:v>
      </x:c>
      <x:c r="H3291" s="45" t="n">
        <x:v>1</x:v>
      </x:c>
      <x:c r="I3291" s="36" t="str">
        <x:v>generated design-reference observation; not predicted tract behavior</x:v>
      </x:c>
    </x:row>
    <x:row r="3292" ht="75.5999984741211" hidden="0" customHeight="1">
      <x:c r="A3292" s="34" t="str">
        <x:v>P2</x:v>
      </x:c>
      <x:c r="B3292" s="34" t="str">
        <x:v>48201554410</x:v>
      </x:c>
      <x:c r="C3292" s="65" t="n">
        <x:v>364.54044069213086</x:v>
      </x:c>
      <x:c r="D3292" s="65" t="n">
        <x:v>313.7334412740744</x:v>
      </x:c>
      <x:c r="E3292" s="65" t="n">
        <x:v>50.80699941805648</x:v>
      </x:c>
      <x:c r="F3292" s="65" t="n">
        <x:v>50.80699941805648</x:v>
      </x:c>
      <x:c r="G3292" s="65" t="n">
        <x:v>364.54044069213086</x:v>
      </x:c>
      <x:c r="H3292" s="43" t="n">
        <x:v>1</x:v>
      </x:c>
      <x:c r="I3292" s="34" t="str">
        <x:v>generated design-reference observation; not predicted tract behavior</x:v>
      </x:c>
    </x:row>
    <x:row r="3293" ht="75.5999984741211" hidden="0" customHeight="1">
      <x:c r="A3293" s="36" t="str">
        <x:v>P2</x:v>
      </x:c>
      <x:c r="B3293" s="36" t="str">
        <x:v>48201554501</x:v>
      </x:c>
      <x:c r="C3293" s="66" t="n">
        <x:v>921.5328127417208</x:v>
      </x:c>
      <x:c r="D3293" s="66" t="n">
        <x:v>695.2043539323543</x:v>
      </x:c>
      <x:c r="E3293" s="66" t="n">
        <x:v>226.32845880936657</x:v>
      </x:c>
      <x:c r="F3293" s="66" t="n">
        <x:v>226.32845880936657</x:v>
      </x:c>
      <x:c r="G3293" s="66" t="n">
        <x:v>921.5328127417208</x:v>
      </x:c>
      <x:c r="H3293" s="45" t="n">
        <x:v>1</x:v>
      </x:c>
      <x:c r="I3293" s="36" t="str">
        <x:v>generated design-reference observation; not predicted tract behavior</x:v>
      </x:c>
    </x:row>
    <x:row r="3294" ht="75.5999984741211" hidden="0" customHeight="1">
      <x:c r="A3294" s="34" t="str">
        <x:v>P2</x:v>
      </x:c>
      <x:c r="B3294" s="34" t="str">
        <x:v>48201554502</x:v>
      </x:c>
      <x:c r="C3294" s="65" t="n">
        <x:v>846.750046763254</x:v>
      </x:c>
      <x:c r="D3294" s="65" t="n">
        <x:v>638.7882352781988</x:v>
      </x:c>
      <x:c r="E3294" s="65" t="n">
        <x:v>207.96181148505514</x:v>
      </x:c>
      <x:c r="F3294" s="65" t="n">
        <x:v>207.96181148505514</x:v>
      </x:c>
      <x:c r="G3294" s="65" t="n">
        <x:v>846.750046763254</x:v>
      </x:c>
      <x:c r="H3294" s="43" t="n">
        <x:v>1</x:v>
      </x:c>
      <x:c r="I3294" s="34" t="str">
        <x:v>generated design-reference observation; not predicted tract behavior</x:v>
      </x:c>
    </x:row>
    <x:row r="3295" ht="75.5999984741211" hidden="0" customHeight="1">
      <x:c r="A3295" s="36" t="str">
        <x:v>P2</x:v>
      </x:c>
      <x:c r="B3295" s="36" t="str">
        <x:v>48201554600</x:v>
      </x:c>
      <x:c r="C3295" s="66" t="n">
        <x:v>373.02086705379713</x:v>
      </x:c>
      <x:c r="D3295" s="66" t="n">
        <x:v>322.23317220937037</x:v>
      </x:c>
      <x:c r="E3295" s="66" t="n">
        <x:v>50.78769484442677</x:v>
      </x:c>
      <x:c r="F3295" s="66" t="n">
        <x:v>50.78769484442677</x:v>
      </x:c>
      <x:c r="G3295" s="66" t="n">
        <x:v>373.02086705379713</x:v>
      </x:c>
      <x:c r="H3295" s="45" t="n">
        <x:v>1</x:v>
      </x:c>
      <x:c r="I3295" s="36" t="str">
        <x:v>generated design-reference observation; not predicted tract behavior</x:v>
      </x:c>
    </x:row>
    <x:row r="3296" ht="75.5999984741211" hidden="0" customHeight="1">
      <x:c r="A3296" s="34" t="str">
        <x:v>P2</x:v>
      </x:c>
      <x:c r="B3296" s="34" t="str">
        <x:v>48201554701</x:v>
      </x:c>
      <x:c r="C3296" s="65" t="n">
        <x:v>269.15725781429677</x:v>
      </x:c>
      <x:c r="D3296" s="65" t="n">
        <x:v>229.8175555649863</x:v>
      </x:c>
      <x:c r="E3296" s="65" t="n">
        <x:v>39.33970224931048</x:v>
      </x:c>
      <x:c r="F3296" s="65" t="n">
        <x:v>39.33970224931048</x:v>
      </x:c>
      <x:c r="G3296" s="65" t="n">
        <x:v>269.15725781429677</x:v>
      </x:c>
      <x:c r="H3296" s="43" t="n">
        <x:v>1</x:v>
      </x:c>
      <x:c r="I3296" s="34" t="str">
        <x:v>generated design-reference observation; not predicted tract behavior</x:v>
      </x:c>
    </x:row>
    <x:row r="3297" ht="75.5999984741211" hidden="0" customHeight="1">
      <x:c r="A3297" s="36" t="str">
        <x:v>P2</x:v>
      </x:c>
      <x:c r="B3297" s="36" t="str">
        <x:v>48201554702</x:v>
      </x:c>
      <x:c r="C3297" s="66" t="n">
        <x:v>350.9906213709883</x:v>
      </x:c>
      <x:c r="D3297" s="66" t="n">
        <x:v>303.5366893616307</x:v>
      </x:c>
      <x:c r="E3297" s="66" t="n">
        <x:v>47.45393200935763</x:v>
      </x:c>
      <x:c r="F3297" s="66" t="n">
        <x:v>47.45393200935763</x:v>
      </x:c>
      <x:c r="G3297" s="66" t="n">
        <x:v>350.9906213709883</x:v>
      </x:c>
      <x:c r="H3297" s="45" t="n">
        <x:v>1</x:v>
      </x:c>
      <x:c r="I3297" s="36" t="str">
        <x:v>generated design-reference observation; not predicted tract behavior</x:v>
      </x:c>
    </x:row>
    <x:row r="3298" ht="75.5999984741211" hidden="0" customHeight="1">
      <x:c r="A3298" s="34" t="str">
        <x:v>P2</x:v>
      </x:c>
      <x:c r="B3298" s="34" t="str">
        <x:v>48201554803</x:v>
      </x:c>
      <x:c r="C3298" s="65" t="n">
        <x:v>642.6103986863438</x:v>
      </x:c>
      <x:c r="D3298" s="65" t="n">
        <x:v>554.9542122060617</x:v>
      </x:c>
      <x:c r="E3298" s="65" t="n">
        <x:v>87.65618648028214</x:v>
      </x:c>
      <x:c r="F3298" s="65" t="n">
        <x:v>87.65618648028214</x:v>
      </x:c>
      <x:c r="G3298" s="65" t="n">
        <x:v>642.6103986863438</x:v>
      </x:c>
      <x:c r="H3298" s="43" t="n">
        <x:v>1</x:v>
      </x:c>
      <x:c r="I3298" s="34" t="str">
        <x:v>generated design-reference observation; not predicted tract behavior</x:v>
      </x:c>
    </x:row>
    <x:row r="3299" ht="75.5999984741211" hidden="0" customHeight="1">
      <x:c r="A3299" s="36" t="str">
        <x:v>P2</x:v>
      </x:c>
      <x:c r="B3299" s="36" t="str">
        <x:v>48201554804</x:v>
      </x:c>
      <x:c r="C3299" s="66" t="n">
        <x:v>373.405983728238</x:v>
      </x:c>
      <x:c r="D3299" s="66" t="n">
        <x:v>320.72058748187106</x:v>
      </x:c>
      <x:c r="E3299" s="66" t="n">
        <x:v>52.68539624636696</x:v>
      </x:c>
      <x:c r="F3299" s="66" t="n">
        <x:v>52.68539624636696</x:v>
      </x:c>
      <x:c r="G3299" s="66" t="n">
        <x:v>373.405983728238</x:v>
      </x:c>
      <x:c r="H3299" s="45" t="n">
        <x:v>1</x:v>
      </x:c>
      <x:c r="I3299" s="36" t="str">
        <x:v>generated design-reference observation; not predicted tract behavior</x:v>
      </x:c>
    </x:row>
    <x:row r="3300" ht="75.5999984741211" hidden="0" customHeight="1">
      <x:c r="A3300" s="34" t="str">
        <x:v>P2</x:v>
      </x:c>
      <x:c r="B3300" s="34" t="str">
        <x:v>48201554805</x:v>
      </x:c>
      <x:c r="C3300" s="65" t="n">
        <x:v>714.6193572828101</x:v>
      </x:c>
      <x:c r="D3300" s="65" t="n">
        <x:v>618.0028201781741</x:v>
      </x:c>
      <x:c r="E3300" s="65" t="n">
        <x:v>96.616537104636</x:v>
      </x:c>
      <x:c r="F3300" s="65" t="n">
        <x:v>96.616537104636</x:v>
      </x:c>
      <x:c r="G3300" s="65" t="n">
        <x:v>714.6193572828101</x:v>
      </x:c>
      <x:c r="H3300" s="43" t="n">
        <x:v>1</x:v>
      </x:c>
      <x:c r="I3300" s="34" t="str">
        <x:v>generated design-reference observation; not predicted tract behavior</x:v>
      </x:c>
    </x:row>
    <x:row r="3301" ht="75.5999984741211" hidden="0" customHeight="1">
      <x:c r="A3301" s="36" t="str">
        <x:v>P2</x:v>
      </x:c>
      <x:c r="B3301" s="36" t="str">
        <x:v>48201554806</x:v>
      </x:c>
      <x:c r="C3301" s="66" t="n">
        <x:v>165.58445096161898</x:v>
      </x:c>
      <x:c r="D3301" s="66" t="n">
        <x:v>143.1974331916081</x:v>
      </x:c>
      <x:c r="E3301" s="66" t="n">
        <x:v>22.387017770010885</x:v>
      </x:c>
      <x:c r="F3301" s="66" t="n">
        <x:v>22.387017770010885</x:v>
      </x:c>
      <x:c r="G3301" s="66" t="n">
        <x:v>165.58445096161898</x:v>
      </x:c>
      <x:c r="H3301" s="45" t="n">
        <x:v>1</x:v>
      </x:c>
      <x:c r="I3301" s="36" t="str">
        <x:v>generated design-reference observation; not predicted tract behavior</x:v>
      </x:c>
    </x:row>
    <x:row r="3302" ht="75.5999984741211" hidden="0" customHeight="1">
      <x:c r="A3302" s="34" t="str">
        <x:v>P2</x:v>
      </x:c>
      <x:c r="B3302" s="34" t="str">
        <x:v>48201554807</x:v>
      </x:c>
      <x:c r="C3302" s="65" t="n">
        <x:v>532.8285678988038</x:v>
      </x:c>
      <x:c r="D3302" s="65" t="n">
        <x:v>460.7901455188856</x:v>
      </x:c>
      <x:c r="E3302" s="65" t="n">
        <x:v>72.03842237991825</x:v>
      </x:c>
      <x:c r="F3302" s="65" t="n">
        <x:v>72.03842237991825</x:v>
      </x:c>
      <x:c r="G3302" s="65" t="n">
        <x:v>532.8285678988038</x:v>
      </x:c>
      <x:c r="H3302" s="43" t="n">
        <x:v>1</x:v>
      </x:c>
      <x:c r="I3302" s="34" t="str">
        <x:v>generated design-reference observation; not predicted tract behavior</x:v>
      </x:c>
    </x:row>
    <x:row r="3303" ht="75.5999984741211" hidden="0" customHeight="1">
      <x:c r="A3303" s="36" t="str">
        <x:v>P2</x:v>
      </x:c>
      <x:c r="B3303" s="36" t="str">
        <x:v>48201554808</x:v>
      </x:c>
      <x:c r="C3303" s="66" t="n">
        <x:v>255.87466230807235</x:v>
      </x:c>
      <x:c r="D3303" s="66" t="n">
        <x:v>221.28040796402095</x:v>
      </x:c>
      <x:c r="E3303" s="66" t="n">
        <x:v>34.59425434405139</x:v>
      </x:c>
      <x:c r="F3303" s="66" t="n">
        <x:v>34.59425434405139</x:v>
      </x:c>
      <x:c r="G3303" s="66" t="n">
        <x:v>255.87466230807235</x:v>
      </x:c>
      <x:c r="H3303" s="45" t="n">
        <x:v>1</x:v>
      </x:c>
      <x:c r="I3303" s="36" t="str">
        <x:v>generated design-reference observation; not predicted tract behavior</x:v>
      </x:c>
    </x:row>
    <x:row r="3304" ht="75.5999984741211" hidden="0" customHeight="1">
      <x:c r="A3304" s="34" t="str">
        <x:v>P2</x:v>
      </x:c>
      <x:c r="B3304" s="34" t="str">
        <x:v>48201554809</x:v>
      </x:c>
      <x:c r="C3304" s="65" t="n">
        <x:v>873.0123438135446</x:v>
      </x:c>
      <x:c r="D3304" s="65" t="n">
        <x:v>751.722972076833</x:v>
      </x:c>
      <x:c r="E3304" s="65" t="n">
        <x:v>121.28937173671159</x:v>
      </x:c>
      <x:c r="F3304" s="65" t="n">
        <x:v>121.28937173671159</x:v>
      </x:c>
      <x:c r="G3304" s="65" t="n">
        <x:v>873.0123438135446</x:v>
      </x:c>
      <x:c r="H3304" s="43" t="n">
        <x:v>1</x:v>
      </x:c>
      <x:c r="I3304" s="34" t="str">
        <x:v>generated design-reference observation; not predicted tract behavior</x:v>
      </x:c>
    </x:row>
    <x:row r="3305" ht="75.5999984741211" hidden="0" customHeight="1">
      <x:c r="A3305" s="36" t="str">
        <x:v>P2</x:v>
      </x:c>
      <x:c r="B3305" s="36" t="str">
        <x:v>48201554902</x:v>
      </x:c>
      <x:c r="C3305" s="66" t="n">
        <x:v>897.2432562074438</x:v>
      </x:c>
      <x:c r="D3305" s="66" t="n">
        <x:v>771.5650239021272</x:v>
      </x:c>
      <x:c r="E3305" s="66" t="n">
        <x:v>125.67823230531656</x:v>
      </x:c>
      <x:c r="F3305" s="66" t="n">
        <x:v>125.67823230531656</x:v>
      </x:c>
      <x:c r="G3305" s="66" t="n">
        <x:v>897.2432562074438</x:v>
      </x:c>
      <x:c r="H3305" s="45" t="n">
        <x:v>1</x:v>
      </x:c>
      <x:c r="I3305" s="36" t="str">
        <x:v>generated design-reference observation; not predicted tract behavior</x:v>
      </x:c>
    </x:row>
    <x:row r="3306" ht="75.5999984741211" hidden="0" customHeight="1">
      <x:c r="A3306" s="34" t="str">
        <x:v>P2</x:v>
      </x:c>
      <x:c r="B3306" s="34" t="str">
        <x:v>48201554904</x:v>
      </x:c>
      <x:c r="C3306" s="65" t="n">
        <x:v>313.02912060467827</x:v>
      </x:c>
      <x:c r="D3306" s="65" t="n">
        <x:v>270.03667170661925</x:v>
      </x:c>
      <x:c r="E3306" s="65" t="n">
        <x:v>42.992448898059024</x:v>
      </x:c>
      <x:c r="F3306" s="65" t="n">
        <x:v>42.992448898059024</x:v>
      </x:c>
      <x:c r="G3306" s="65" t="n">
        <x:v>313.02912060467827</x:v>
      </x:c>
      <x:c r="H3306" s="43" t="n">
        <x:v>1</x:v>
      </x:c>
      <x:c r="I3306" s="34" t="str">
        <x:v>generated design-reference observation; not predicted tract behavior</x:v>
      </x:c>
    </x:row>
    <x:row r="3307" ht="75.5999984741211" hidden="0" customHeight="1">
      <x:c r="A3307" s="36" t="str">
        <x:v>P2</x:v>
      </x:c>
      <x:c r="B3307" s="36" t="str">
        <x:v>48201554905</x:v>
      </x:c>
      <x:c r="C3307" s="66" t="n">
        <x:v>659.5830406956288</x:v>
      </x:c>
      <x:c r="D3307" s="66" t="n">
        <x:v>570.1153961463475</x:v>
      </x:c>
      <x:c r="E3307" s="66" t="n">
        <x:v>89.46764454928132</x:v>
      </x:c>
      <x:c r="F3307" s="66" t="n">
        <x:v>89.46764454928132</x:v>
      </x:c>
      <x:c r="G3307" s="66" t="n">
        <x:v>659.5830406956288</x:v>
      </x:c>
      <x:c r="H3307" s="45" t="n">
        <x:v>1</x:v>
      </x:c>
      <x:c r="I3307" s="36" t="str">
        <x:v>generated design-reference observation; not predicted tract behavior</x:v>
      </x:c>
    </x:row>
    <x:row r="3308" ht="75.5999984741211" hidden="0" customHeight="1">
      <x:c r="A3308" s="34" t="str">
        <x:v>P2</x:v>
      </x:c>
      <x:c r="B3308" s="34" t="str">
        <x:v>48201554906</x:v>
      </x:c>
      <x:c r="C3308" s="65" t="n">
        <x:v>672.9336513131165</x:v>
      </x:c>
      <x:c r="D3308" s="65" t="n">
        <x:v>502.6995000646615</x:v>
      </x:c>
      <x:c r="E3308" s="65" t="n">
        <x:v>170.23415124845496</x:v>
      </x:c>
      <x:c r="F3308" s="65" t="n">
        <x:v>170.23415124845496</x:v>
      </x:c>
      <x:c r="G3308" s="65" t="n">
        <x:v>672.9336513131165</x:v>
      </x:c>
      <x:c r="H3308" s="43" t="n">
        <x:v>1</x:v>
      </x:c>
      <x:c r="I3308" s="34" t="str">
        <x:v>generated design-reference observation; not predicted tract behavior</x:v>
      </x:c>
    </x:row>
    <x:row r="3309" ht="75.5999984741211" hidden="0" customHeight="1">
      <x:c r="A3309" s="36" t="str">
        <x:v>P2</x:v>
      </x:c>
      <x:c r="B3309" s="36" t="str">
        <x:v>48201554907</x:v>
      </x:c>
      <x:c r="C3309" s="66" t="n">
        <x:v>350.2518261179793</x:v>
      </x:c>
      <x:c r="D3309" s="66" t="n">
        <x:v>300.7394496405504</x:v>
      </x:c>
      <x:c r="E3309" s="66" t="n">
        <x:v>49.512376477428916</x:v>
      </x:c>
      <x:c r="F3309" s="66" t="n">
        <x:v>49.512376477428916</x:v>
      </x:c>
      <x:c r="G3309" s="66" t="n">
        <x:v>350.2518261179793</x:v>
      </x:c>
      <x:c r="H3309" s="45" t="n">
        <x:v>1</x:v>
      </x:c>
      <x:c r="I3309" s="36" t="str">
        <x:v>generated design-reference observation; not predicted tract behavior</x:v>
      </x:c>
    </x:row>
    <x:row r="3310" ht="75.5999984741211" hidden="0" customHeight="1">
      <x:c r="A3310" s="34" t="str">
        <x:v>P2</x:v>
      </x:c>
      <x:c r="B3310" s="34" t="str">
        <x:v>48201554908</x:v>
      </x:c>
      <x:c r="C3310" s="65" t="n">
        <x:v>614.4733028802591</x:v>
      </x:c>
      <x:c r="D3310" s="65" t="n">
        <x:v>531.396512330848</x:v>
      </x:c>
      <x:c r="E3310" s="65" t="n">
        <x:v>83.07679054941104</x:v>
      </x:c>
      <x:c r="F3310" s="65" t="n">
        <x:v>83.07679054941104</x:v>
      </x:c>
      <x:c r="G3310" s="65" t="n">
        <x:v>614.4733028802591</x:v>
      </x:c>
      <x:c r="H3310" s="43" t="n">
        <x:v>1</x:v>
      </x:c>
      <x:c r="I3310" s="34" t="str">
        <x:v>generated design-reference observation; not predicted tract behavior</x:v>
      </x:c>
    </x:row>
    <x:row r="3311" ht="75.5999984741211" hidden="0" customHeight="1">
      <x:c r="A3311" s="36" t="str">
        <x:v>P2</x:v>
      </x:c>
      <x:c r="B3311" s="36" t="str">
        <x:v>48201555001</x:v>
      </x:c>
      <x:c r="C3311" s="66" t="n">
        <x:v>197.55699446417577</x:v>
      </x:c>
      <x:c r="D3311" s="66" t="n">
        <x:v>170.8472888126192</x:v>
      </x:c>
      <x:c r="E3311" s="66" t="n">
        <x:v>26.70970565155656</x:v>
      </x:c>
      <x:c r="F3311" s="66" t="n">
        <x:v>26.70970565155656</x:v>
      </x:c>
      <x:c r="G3311" s="66" t="n">
        <x:v>197.55699446417577</x:v>
      </x:c>
      <x:c r="H3311" s="45" t="n">
        <x:v>1</x:v>
      </x:c>
      <x:c r="I3311" s="36" t="str">
        <x:v>generated design-reference observation; not predicted tract behavior</x:v>
      </x:c>
    </x:row>
    <x:row r="3312" ht="75.5999984741211" hidden="0" customHeight="1">
      <x:c r="A3312" s="34" t="str">
        <x:v>P2</x:v>
      </x:c>
      <x:c r="B3312" s="34" t="str">
        <x:v>48201555002</x:v>
      </x:c>
      <x:c r="C3312" s="65" t="n">
        <x:v>388.9206840414256</x:v>
      </x:c>
      <x:c r="D3312" s="65" t="n">
        <x:v>336.33860755902487</x:v>
      </x:c>
      <x:c r="E3312" s="65" t="n">
        <x:v>52.58207648240074</x:v>
      </x:c>
      <x:c r="F3312" s="65" t="n">
        <x:v>52.58207648240074</x:v>
      </x:c>
      <x:c r="G3312" s="65" t="n">
        <x:v>388.9206840414256</x:v>
      </x:c>
      <x:c r="H3312" s="43" t="n">
        <x:v>1</x:v>
      </x:c>
      <x:c r="I3312" s="34" t="str">
        <x:v>generated design-reference observation; not predicted tract behavior</x:v>
      </x:c>
    </x:row>
    <x:row r="3313" ht="75.5999984741211" hidden="0" customHeight="1">
      <x:c r="A3313" s="36" t="str">
        <x:v>P2</x:v>
      </x:c>
      <x:c r="B3313" s="36" t="str">
        <x:v>48201555101</x:v>
      </x:c>
      <x:c r="C3313" s="66" t="n">
        <x:v>419.3920584660599</x:v>
      </x:c>
      <x:c r="D3313" s="66" t="n">
        <x:v>360.1732402267422</x:v>
      </x:c>
      <x:c r="E3313" s="66" t="n">
        <x:v>59.21881823931767</x:v>
      </x:c>
      <x:c r="F3313" s="66" t="n">
        <x:v>59.21881823931767</x:v>
      </x:c>
      <x:c r="G3313" s="66" t="n">
        <x:v>419.3920584660599</x:v>
      </x:c>
      <x:c r="H3313" s="45" t="n">
        <x:v>1</x:v>
      </x:c>
      <x:c r="I3313" s="36" t="str">
        <x:v>generated design-reference observation; not predicted tract behavior</x:v>
      </x:c>
    </x:row>
    <x:row r="3314" ht="75.5999984741211" hidden="0" customHeight="1">
      <x:c r="A3314" s="34" t="str">
        <x:v>P2</x:v>
      </x:c>
      <x:c r="B3314" s="34" t="str">
        <x:v>48201555102</x:v>
      </x:c>
      <x:c r="C3314" s="65" t="n">
        <x:v>486.76389792130004</x:v>
      </x:c>
      <x:c r="D3314" s="65" t="n">
        <x:v>412.5327202053229</x:v>
      </x:c>
      <x:c r="E3314" s="65" t="n">
        <x:v>74.23117771597714</x:v>
      </x:c>
      <x:c r="F3314" s="65" t="n">
        <x:v>74.23117771597714</x:v>
      </x:c>
      <x:c r="G3314" s="65" t="n">
        <x:v>486.76389792130004</x:v>
      </x:c>
      <x:c r="H3314" s="43" t="n">
        <x:v>1</x:v>
      </x:c>
      <x:c r="I3314" s="34" t="str">
        <x:v>generated design-reference observation; not predicted tract behavior</x:v>
      </x:c>
    </x:row>
    <x:row r="3315" ht="75.5999984741211" hidden="0" customHeight="1">
      <x:c r="A3315" s="36" t="str">
        <x:v>P2</x:v>
      </x:c>
      <x:c r="B3315" s="36" t="str">
        <x:v>48201555200</x:v>
      </x:c>
      <x:c r="C3315" s="66" t="n">
        <x:v>1021.1958087096126</x:v>
      </x:c>
      <x:c r="D3315" s="66" t="n">
        <x:v>876.7657137060042</x:v>
      </x:c>
      <x:c r="E3315" s="66" t="n">
        <x:v>144.43009500360836</x:v>
      </x:c>
      <x:c r="F3315" s="66" t="n">
        <x:v>144.43009500360836</x:v>
      </x:c>
      <x:c r="G3315" s="66" t="n">
        <x:v>1021.1958087096126</x:v>
      </x:c>
      <x:c r="H3315" s="45" t="n">
        <x:v>1</x:v>
      </x:c>
      <x:c r="I3315" s="36" t="str">
        <x:v>generated design-reference observation; not predicted tract behavior</x:v>
      </x:c>
    </x:row>
    <x:row r="3316" ht="75.5999984741211" hidden="0" customHeight="1">
      <x:c r="A3316" s="34" t="str">
        <x:v>P2</x:v>
      </x:c>
      <x:c r="B3316" s="34" t="str">
        <x:v>48201555301</x:v>
      </x:c>
      <x:c r="C3316" s="65" t="n">
        <x:v>710.1303599394458</x:v>
      </x:c>
      <x:c r="D3316" s="65" t="n">
        <x:v>528.1164090312925</x:v>
      </x:c>
      <x:c r="E3316" s="65" t="n">
        <x:v>182.01395090815333</x:v>
      </x:c>
      <x:c r="F3316" s="65" t="n">
        <x:v>182.01395090815333</x:v>
      </x:c>
      <x:c r="G3316" s="65" t="n">
        <x:v>710.1303599394458</x:v>
      </x:c>
      <x:c r="H3316" s="43" t="n">
        <x:v>1</x:v>
      </x:c>
      <x:c r="I3316" s="34" t="str">
        <x:v>generated design-reference observation; not predicted tract behavior</x:v>
      </x:c>
    </x:row>
    <x:row r="3317" ht="75.5999984741211" hidden="0" customHeight="1">
      <x:c r="A3317" s="36" t="str">
        <x:v>P2</x:v>
      </x:c>
      <x:c r="B3317" s="36" t="str">
        <x:v>48201555303</x:v>
      </x:c>
      <x:c r="C3317" s="66" t="n">
        <x:v>1303.6120834582293</x:v>
      </x:c>
      <x:c r="D3317" s="66" t="n">
        <x:v>1126.808084915784</x:v>
      </x:c>
      <x:c r="E3317" s="66" t="n">
        <x:v>176.80399854244524</x:v>
      </x:c>
      <x:c r="F3317" s="66" t="n">
        <x:v>176.80399854244524</x:v>
      </x:c>
      <x:c r="G3317" s="66" t="n">
        <x:v>1303.6120834582293</x:v>
      </x:c>
      <x:c r="H3317" s="45" t="n">
        <x:v>1</x:v>
      </x:c>
      <x:c r="I3317" s="36" t="str">
        <x:v>generated design-reference observation; not predicted tract behavior</x:v>
      </x:c>
    </x:row>
    <x:row r="3318" ht="75.5999984741211" hidden="0" customHeight="1">
      <x:c r="A3318" s="34" t="str">
        <x:v>P2</x:v>
      </x:c>
      <x:c r="B3318" s="34" t="str">
        <x:v>48201555304</x:v>
      </x:c>
      <x:c r="C3318" s="65" t="n">
        <x:v>752.3450723300748</x:v>
      </x:c>
      <x:c r="D3318" s="65" t="n">
        <x:v>646.8265308754142</x:v>
      </x:c>
      <x:c r="E3318" s="65" t="n">
        <x:v>105.51854145466064</x:v>
      </x:c>
      <x:c r="F3318" s="65" t="n">
        <x:v>105.51854145466064</x:v>
      </x:c>
      <x:c r="G3318" s="65" t="n">
        <x:v>752.3450723300748</x:v>
      </x:c>
      <x:c r="H3318" s="43" t="n">
        <x:v>1</x:v>
      </x:c>
      <x:c r="I3318" s="34" t="str">
        <x:v>generated design-reference observation; not predicted tract behavior</x:v>
      </x:c>
    </x:row>
    <x:row r="3319" ht="75.5999984741211" hidden="0" customHeight="1">
      <x:c r="A3319" s="36" t="str">
        <x:v>P2</x:v>
      </x:c>
      <x:c r="B3319" s="36" t="str">
        <x:v>48201555305</x:v>
      </x:c>
      <x:c r="C3319" s="66" t="n">
        <x:v>997.7076213307064</x:v>
      </x:c>
      <x:c r="D3319" s="66" t="n">
        <x:v>856.5096934200193</x:v>
      </x:c>
      <x:c r="E3319" s="66" t="n">
        <x:v>141.1979279106871</x:v>
      </x:c>
      <x:c r="F3319" s="66" t="n">
        <x:v>141.1979279106871</x:v>
      </x:c>
      <x:c r="G3319" s="66" t="n">
        <x:v>997.7076213307064</x:v>
      </x:c>
      <x:c r="H3319" s="45" t="n">
        <x:v>1</x:v>
      </x:c>
      <x:c r="I3319" s="36" t="str">
        <x:v>generated design-reference observation; not predicted tract behavior</x:v>
      </x:c>
    </x:row>
    <x:row r="3320" ht="75.5999984741211" hidden="0" customHeight="1">
      <x:c r="A3320" s="34" t="str">
        <x:v>P2</x:v>
      </x:c>
      <x:c r="B3320" s="34" t="str">
        <x:v>48201555401</x:v>
      </x:c>
      <x:c r="C3320" s="65" t="n">
        <x:v>307.88899192948844</x:v>
      </x:c>
      <x:c r="D3320" s="65" t="n">
        <x:v>265.4627822480401</x:v>
      </x:c>
      <x:c r="E3320" s="65" t="n">
        <x:v>42.42620968144831</x:v>
      </x:c>
      <x:c r="F3320" s="65" t="n">
        <x:v>42.42620968144831</x:v>
      </x:c>
      <x:c r="G3320" s="65" t="n">
        <x:v>307.88899192948844</x:v>
      </x:c>
      <x:c r="H3320" s="43" t="n">
        <x:v>1</x:v>
      </x:c>
      <x:c r="I3320" s="34" t="str">
        <x:v>generated design-reference observation; not predicted tract behavior</x:v>
      </x:c>
    </x:row>
    <x:row r="3321" ht="75.5999984741211" hidden="0" customHeight="1">
      <x:c r="A3321" s="36" t="str">
        <x:v>P2</x:v>
      </x:c>
      <x:c r="B3321" s="36" t="str">
        <x:v>48201555403</x:v>
      </x:c>
      <x:c r="C3321" s="66" t="n">
        <x:v>360.665695375818</x:v>
      </x:c>
      <x:c r="D3321" s="66" t="n">
        <x:v>310.4290524798064</x:v>
      </x:c>
      <x:c r="E3321" s="66" t="n">
        <x:v>50.23664289601163</x:v>
      </x:c>
      <x:c r="F3321" s="66" t="n">
        <x:v>50.23664289601163</x:v>
      </x:c>
      <x:c r="G3321" s="66" t="n">
        <x:v>360.665695375818</x:v>
      </x:c>
      <x:c r="H3321" s="45" t="n">
        <x:v>1</x:v>
      </x:c>
      <x:c r="I3321" s="36" t="str">
        <x:v>generated design-reference observation; not predicted tract behavior</x:v>
      </x:c>
    </x:row>
    <x:row r="3322" ht="75.5999984741211" hidden="0" customHeight="1">
      <x:c r="A3322" s="34" t="str">
        <x:v>P2</x:v>
      </x:c>
      <x:c r="B3322" s="34" t="str">
        <x:v>48201555404</x:v>
      </x:c>
      <x:c r="C3322" s="65" t="n">
        <x:v>303.21257516842127</x:v>
      </x:c>
      <x:c r="D3322" s="65" t="n">
        <x:v>257.0621104951177</x:v>
      </x:c>
      <x:c r="E3322" s="65" t="n">
        <x:v>46.15046467330359</x:v>
      </x:c>
      <x:c r="F3322" s="65" t="n">
        <x:v>46.150464673303595</x:v>
      </x:c>
      <x:c r="G3322" s="65" t="n">
        <x:v>303.21257516842127</x:v>
      </x:c>
      <x:c r="H3322" s="43" t="n">
        <x:v>1</x:v>
      </x:c>
      <x:c r="I3322" s="34" t="str">
        <x:v>generated design-reference observation; not predicted tract behavior</x:v>
      </x:c>
    </x:row>
    <x:row r="3323" ht="75.5999984741211" hidden="0" customHeight="1">
      <x:c r="A3323" s="36" t="str">
        <x:v>P2</x:v>
      </x:c>
      <x:c r="B3323" s="36" t="str">
        <x:v>48201555501</x:v>
      </x:c>
      <x:c r="C3323" s="66" t="n">
        <x:v>1030.5891490091212</x:v>
      </x:c>
      <x:c r="D3323" s="66" t="n">
        <x:v>425.85820580786094</x:v>
      </x:c>
      <x:c r="E3323" s="66" t="n">
        <x:v>604.7309432012603</x:v>
      </x:c>
      <x:c r="F3323" s="66" t="n">
        <x:v>0</x:v>
      </x:c>
      <x:c r="G3323" s="66" t="n">
        <x:v>425.85820580786094</x:v>
      </x:c>
      <x:c r="H3323" s="45" t="n">
        <x:v>0.4132182123373898</x:v>
      </x:c>
      <x:c r="I3323" s="36" t="str">
        <x:v>generated design-reference observation; not predicted tract behavior</x:v>
      </x:c>
    </x:row>
    <x:row r="3324" ht="75.5999984741211" hidden="0" customHeight="1">
      <x:c r="A3324" s="34" t="str">
        <x:v>P2</x:v>
      </x:c>
      <x:c r="B3324" s="34" t="str">
        <x:v>48201555503</x:v>
      </x:c>
      <x:c r="C3324" s="65" t="n">
        <x:v>1104.813284207081</x:v>
      </x:c>
      <x:c r="D3324" s="65" t="n">
        <x:v>953.5800869524438</x:v>
      </x:c>
      <x:c r="E3324" s="65" t="n">
        <x:v>151.23319725463728</x:v>
      </x:c>
      <x:c r="F3324" s="65" t="n">
        <x:v>151.23319725463728</x:v>
      </x:c>
      <x:c r="G3324" s="65" t="n">
        <x:v>1104.813284207081</x:v>
      </x:c>
      <x:c r="H3324" s="43" t="n">
        <x:v>1</x:v>
      </x:c>
      <x:c r="I3324" s="34" t="str">
        <x:v>generated design-reference observation; not predicted tract behavior</x:v>
      </x:c>
    </x:row>
    <x:row r="3325" ht="75.5999984741211" hidden="0" customHeight="1">
      <x:c r="A3325" s="36" t="str">
        <x:v>P2</x:v>
      </x:c>
      <x:c r="B3325" s="36" t="str">
        <x:v>48201555504</x:v>
      </x:c>
      <x:c r="C3325" s="66" t="n">
        <x:v>644.5477713445002</x:v>
      </x:c>
      <x:c r="D3325" s="66" t="n">
        <x:v>553.7202388338349</x:v>
      </x:c>
      <x:c r="E3325" s="66" t="n">
        <x:v>90.82753251066538</x:v>
      </x:c>
      <x:c r="F3325" s="66" t="n">
        <x:v>90.82753251066538</x:v>
      </x:c>
      <x:c r="G3325" s="66" t="n">
        <x:v>644.5477713445002</x:v>
      </x:c>
      <x:c r="H3325" s="45" t="n">
        <x:v>1</x:v>
      </x:c>
      <x:c r="I3325" s="36" t="str">
        <x:v>generated design-reference observation; not predicted tract behavior</x:v>
      </x:c>
    </x:row>
    <x:row r="3326" ht="75.5999984741211" hidden="0" customHeight="1">
      <x:c r="A3326" s="34" t="str">
        <x:v>P2</x:v>
      </x:c>
      <x:c r="B3326" s="34" t="str">
        <x:v>48201555505</x:v>
      </x:c>
      <x:c r="C3326" s="65" t="n">
        <x:v>923.0696519668836</x:v>
      </x:c>
      <x:c r="D3326" s="65" t="n">
        <x:v>792.8703075067601</x:v>
      </x:c>
      <x:c r="E3326" s="65" t="n">
        <x:v>130.19934446012348</x:v>
      </x:c>
      <x:c r="F3326" s="65" t="n">
        <x:v>130.19934446012348</x:v>
      </x:c>
      <x:c r="G3326" s="65" t="n">
        <x:v>923.0696519668836</x:v>
      </x:c>
      <x:c r="H3326" s="43" t="n">
        <x:v>1</x:v>
      </x:c>
      <x:c r="I3326" s="34" t="str">
        <x:v>generated design-reference observation; not predicted tract behavior</x:v>
      </x:c>
    </x:row>
    <x:row r="3327" ht="75.5999984741211" hidden="0" customHeight="1">
      <x:c r="A3327" s="36" t="str">
        <x:v>P2</x:v>
      </x:c>
      <x:c r="B3327" s="36" t="str">
        <x:v>48201555600</x:v>
      </x:c>
      <x:c r="C3327" s="66" t="n">
        <x:v>795.1873374806247</x:v>
      </x:c>
      <x:c r="D3327" s="66" t="n">
        <x:v>687.6780094532443</x:v>
      </x:c>
      <x:c r="E3327" s="66" t="n">
        <x:v>107.50932802738043</x:v>
      </x:c>
      <x:c r="F3327" s="66" t="n">
        <x:v>107.50932802738043</x:v>
      </x:c>
      <x:c r="G3327" s="66" t="n">
        <x:v>795.1873374806247</x:v>
      </x:c>
      <x:c r="H3327" s="45" t="n">
        <x:v>1</x:v>
      </x:c>
      <x:c r="I3327" s="36" t="str">
        <x:v>generated design-reference observation; not predicted tract behavior</x:v>
      </x:c>
    </x:row>
    <x:row r="3328" ht="75.5999984741211" hidden="0" customHeight="1">
      <x:c r="A3328" s="34" t="str">
        <x:v>P2</x:v>
      </x:c>
      <x:c r="B3328" s="34" t="str">
        <x:v>48201555701</x:v>
      </x:c>
      <x:c r="C3328" s="65" t="n">
        <x:v>979.2023721476261</x:v>
      </x:c>
      <x:c r="D3328" s="65" t="n">
        <x:v>846.096759351109</x:v>
      </x:c>
      <x:c r="E3328" s="65" t="n">
        <x:v>133.1056127965171</x:v>
      </x:c>
      <x:c r="F3328" s="65" t="n">
        <x:v>133.1056127965171</x:v>
      </x:c>
      <x:c r="G3328" s="65" t="n">
        <x:v>979.2023721476261</x:v>
      </x:c>
      <x:c r="H3328" s="43" t="n">
        <x:v>1</x:v>
      </x:c>
      <x:c r="I3328" s="34" t="str">
        <x:v>generated design-reference observation; not predicted tract behavior</x:v>
      </x:c>
    </x:row>
    <x:row r="3329" ht="75.5999984741211" hidden="0" customHeight="1">
      <x:c r="A3329" s="36" t="str">
        <x:v>P2</x:v>
      </x:c>
      <x:c r="B3329" s="36" t="str">
        <x:v>48201555703</x:v>
      </x:c>
      <x:c r="C3329" s="66" t="n">
        <x:v>502.25501966258315</x:v>
      </x:c>
      <x:c r="D3329" s="66" t="n">
        <x:v>433.7937913267949</x:v>
      </x:c>
      <x:c r="E3329" s="66" t="n">
        <x:v>68.46122833578823</x:v>
      </x:c>
      <x:c r="F3329" s="66" t="n">
        <x:v>68.46122833578823</x:v>
      </x:c>
      <x:c r="G3329" s="66" t="n">
        <x:v>502.25501966258315</x:v>
      </x:c>
      <x:c r="H3329" s="45" t="n">
        <x:v>1</x:v>
      </x:c>
      <x:c r="I3329" s="36" t="str">
        <x:v>generated design-reference observation; not predicted tract behavior</x:v>
      </x:c>
    </x:row>
    <x:row r="3330" ht="75.5999984741211" hidden="0" customHeight="1">
      <x:c r="A3330" s="34" t="str">
        <x:v>P2</x:v>
      </x:c>
      <x:c r="B3330" s="34" t="str">
        <x:v>48201555704</x:v>
      </x:c>
      <x:c r="C3330" s="65" t="n">
        <x:v>655.9715894322501</x:v>
      </x:c>
      <x:c r="D3330" s="65" t="n">
        <x:v>567.2842305410098</x:v>
      </x:c>
      <x:c r="E3330" s="65" t="n">
        <x:v>88.68735889124025</x:v>
      </x:c>
      <x:c r="F3330" s="65" t="n">
        <x:v>88.68735889124025</x:v>
      </x:c>
      <x:c r="G3330" s="65" t="n">
        <x:v>655.9715894322501</x:v>
      </x:c>
      <x:c r="H3330" s="43" t="n">
        <x:v>1</x:v>
      </x:c>
      <x:c r="I3330" s="34" t="str">
        <x:v>generated design-reference observation; not predicted tract behavior</x:v>
      </x:c>
    </x:row>
    <x:row r="3331" ht="75.5999984741211" hidden="0" customHeight="1">
      <x:c r="A3331" s="36" t="str">
        <x:v>P2</x:v>
      </x:c>
      <x:c r="B3331" s="36" t="str">
        <x:v>48201556000</x:v>
      </x:c>
      <x:c r="C3331" s="66" t="n">
        <x:v>1262.6482445360746</x:v>
      </x:c>
      <x:c r="D3331" s="66" t="n">
        <x:v>1088.053617385661</x:v>
      </x:c>
      <x:c r="E3331" s="66" t="n">
        <x:v>174.59462715041354</x:v>
      </x:c>
      <x:c r="F3331" s="66" t="n">
        <x:v>174.59462715041354</x:v>
      </x:c>
      <x:c r="G3331" s="66" t="n">
        <x:v>1262.6482445360746</x:v>
      </x:c>
      <x:c r="H3331" s="45" t="n">
        <x:v>1</x:v>
      </x:c>
      <x:c r="I3331" s="36" t="str">
        <x:v>generated design-reference observation; not predicted tract behavior</x:v>
      </x:c>
    </x:row>
    <x:row r="3332" ht="75.5999984741211" hidden="0" customHeight="1">
      <x:c r="A3332" s="34" t="str">
        <x:v>P2</x:v>
      </x:c>
      <x:c r="B3332" s="34" t="str">
        <x:v>48201556100</x:v>
      </x:c>
      <x:c r="C3332" s="65" t="n">
        <x:v>303.330468027944</x:v>
      </x:c>
      <x:c r="D3332" s="65" t="n">
        <x:v>262.320188750566</x:v>
      </x:c>
      <x:c r="E3332" s="65" t="n">
        <x:v>41.010279277378004</x:v>
      </x:c>
      <x:c r="F3332" s="65" t="n">
        <x:v>41.010279277378004</x:v>
      </x:c>
      <x:c r="G3332" s="65" t="n">
        <x:v>303.330468027944</x:v>
      </x:c>
      <x:c r="H3332" s="43" t="n">
        <x:v>1</x:v>
      </x:c>
      <x:c r="I3332" s="34" t="str">
        <x:v>generated design-reference observation; not predicted tract behavior</x:v>
      </x:c>
    </x:row>
    <x:row r="3333" ht="75.5999984741211" hidden="0" customHeight="1">
      <x:c r="A3333" s="36" t="str">
        <x:v>P2</x:v>
      </x:c>
      <x:c r="B3333" s="36" t="str">
        <x:v>48201980000</x:v>
      </x:c>
      <x:c r="C3333" s="66" t="n">
        <x:v>2.845147676481207</x:v>
      </x:c>
      <x:c r="D3333" s="66" t="n">
        <x:v>2.460483710620948</x:v>
      </x:c>
      <x:c r="E3333" s="66" t="n">
        <x:v>0.3846639658602591</x:v>
      </x:c>
      <x:c r="F3333" s="66" t="n">
        <x:v>0.3846639658602591</x:v>
      </x:c>
      <x:c r="G3333" s="66" t="n">
        <x:v>2.845147676481207</x:v>
      </x:c>
      <x:c r="H3333" s="45" t="n">
        <x:v>1</x:v>
      </x:c>
      <x:c r="I3333" s="36" t="str">
        <x:v>generated design-reference observation; not predicted tract behavior</x:v>
      </x:c>
    </x:row>
    <x:row r="3334" ht="75.5999984741211" hidden="0" customHeight="1">
      <x:c r="A3334" s="34" t="str">
        <x:v>P2</x:v>
      </x:c>
      <x:c r="B3334" s="34" t="str">
        <x:v>48201980200</x:v>
      </x:c>
      <x:c r="C3334" s="65" t="n">
        <x:v>13.211859790510799</x:v>
      </x:c>
      <x:c r="D3334" s="65" t="n">
        <x:v>11.220743226131892</x:v>
      </x:c>
      <x:c r="E3334" s="65" t="n">
        <x:v>1.9911165643789062</x:v>
      </x:c>
      <x:c r="F3334" s="65" t="n">
        <x:v>1.9911165643789062</x:v>
      </x:c>
      <x:c r="G3334" s="65" t="n">
        <x:v>13.211859790510799</x:v>
      </x:c>
      <x:c r="H3334" s="43" t="n">
        <x:v>1</x:v>
      </x:c>
      <x:c r="I3334" s="34" t="str">
        <x:v>generated design-reference observation; not predicted tract behavior</x:v>
      </x:c>
    </x:row>
    <x:row r="3335" ht="75.5999984741211" hidden="0" customHeight="1">
      <x:c r="A3335" s="36" t="str">
        <x:v>P2</x:v>
      </x:c>
      <x:c r="B3335" s="36" t="str">
        <x:v>48201980300</x:v>
      </x:c>
      <x:c r="C3335" s="66" t="n">
        <x:v>410.1232613925085</x:v>
      </x:c>
      <x:c r="D3335" s="66" t="n">
        <x:v>309.3969883945084</x:v>
      </x:c>
      <x:c r="E3335" s="66" t="n">
        <x:v>100.72627299800007</x:v>
      </x:c>
      <x:c r="F3335" s="66" t="n">
        <x:v>100.72627299800007</x:v>
      </x:c>
      <x:c r="G3335" s="66" t="n">
        <x:v>410.1232613925085</x:v>
      </x:c>
      <x:c r="H3335" s="45" t="n">
        <x:v>1</x:v>
      </x:c>
      <x:c r="I3335" s="36" t="str">
        <x:v>generated design-reference observation; not predicted tract behavior</x:v>
      </x:c>
    </x:row>
    <x:row r="3336" ht="75.5999984741211" hidden="0" customHeight="1">
      <x:c r="A3336" s="34" t="str">
        <x:v>P2</x:v>
      </x:c>
      <x:c r="B3336" s="34" t="str">
        <x:v>48201980400</x:v>
      </x:c>
      <x:c r="C3336" s="65" t="n">
        <x:v>339.9558497196634</x:v>
      </x:c>
      <x:c r="D3336" s="65" t="n">
        <x:v>293.9938188375649</x:v>
      </x:c>
      <x:c r="E3336" s="65" t="n">
        <x:v>45.962030882098475</x:v>
      </x:c>
      <x:c r="F3336" s="65" t="n">
        <x:v>45.962030882098475</x:v>
      </x:c>
      <x:c r="G3336" s="65" t="n">
        <x:v>339.9558497196634</x:v>
      </x:c>
      <x:c r="H3336" s="43" t="n">
        <x:v>1</x:v>
      </x:c>
      <x:c r="I3336" s="34" t="str">
        <x:v>generated design-reference observation; not predicted tract behavior</x:v>
      </x:c>
    </x:row>
    <x:row r="3337" ht="75.5999984741211" hidden="0" customHeight="1">
      <x:c r="A3337" s="36" t="str">
        <x:v>P2</x:v>
      </x:c>
      <x:c r="B3337" s="36" t="str">
        <x:v>48201980700</x:v>
      </x:c>
      <x:c r="C3337" s="66" t="n">
        <x:v>284.8503088636853</x:v>
      </x:c>
      <x:c r="D3337" s="66" t="n">
        <x:v>205.16004266538548</x:v>
      </x:c>
      <x:c r="E3337" s="66" t="n">
        <x:v>79.69026619829984</x:v>
      </x:c>
      <x:c r="F3337" s="66" t="n">
        <x:v>79.69026619829984</x:v>
      </x:c>
      <x:c r="G3337" s="66" t="n">
        <x:v>284.8503088636853</x:v>
      </x:c>
      <x:c r="H3337" s="45" t="n">
        <x:v>1</x:v>
      </x:c>
      <x:c r="I3337" s="36" t="str">
        <x:v>generated design-reference observation; not predicted tract behavior</x:v>
      </x:c>
    </x:row>
    <x:row r="3338" ht="75.5999984741211" hidden="0" customHeight="1">
      <x:c r="A3338" s="34" t="str">
        <x:v>H3</x:v>
      </x:c>
      <x:c r="B3338" s="34" t="str">
        <x:v>48201100001</x:v>
      </x:c>
      <x:c r="C3338" s="65" t="n">
        <x:v>401.32694262519794</x:v>
      </x:c>
      <x:c r="D3338" s="65" t="n">
        <x:v>351.7824611941438</x:v>
      </x:c>
      <x:c r="E3338" s="65" t="n">
        <x:v>49.54448143105412</x:v>
      </x:c>
      <x:c r="F3338" s="65" t="n">
        <x:v>49.54448143105412</x:v>
      </x:c>
      <x:c r="G3338" s="65" t="n">
        <x:v>401.32694262519794</x:v>
      </x:c>
      <x:c r="H3338" s="43" t="n">
        <x:v>1</x:v>
      </x:c>
      <x:c r="I3338" s="34" t="str">
        <x:v>generated design-reference observation; not predicted tract behavior</x:v>
      </x:c>
    </x:row>
    <x:row r="3339" ht="75.5999984741211" hidden="0" customHeight="1">
      <x:c r="A3339" s="36" t="str">
        <x:v>H3</x:v>
      </x:c>
      <x:c r="B3339" s="36" t="str">
        <x:v>48201210400</x:v>
      </x:c>
      <x:c r="C3339" s="66" t="n">
        <x:v>299.7190167645652</x:v>
      </x:c>
      <x:c r="D3339" s="66" t="n">
        <x:v>267.04762335958645</x:v>
      </x:c>
      <x:c r="E3339" s="66" t="n">
        <x:v>32.671393404978744</x:v>
      </x:c>
      <x:c r="F3339" s="66" t="n">
        <x:v>32.671393404978744</x:v>
      </x:c>
      <x:c r="G3339" s="66" t="n">
        <x:v>299.7190167645652</x:v>
      </x:c>
      <x:c r="H3339" s="45" t="n">
        <x:v>1</x:v>
      </x:c>
      <x:c r="I3339" s="36" t="str">
        <x:v>generated design-reference observation; not predicted tract behavior</x:v>
      </x:c>
    </x:row>
    <x:row r="3340" ht="75.5999984741211" hidden="0" customHeight="1">
      <x:c r="A3340" s="34" t="str">
        <x:v>H3</x:v>
      </x:c>
      <x:c r="B3340" s="34" t="str">
        <x:v>48201210500</x:v>
      </x:c>
      <x:c r="C3340" s="65" t="n">
        <x:v>397.1613949220625</x:v>
      </x:c>
      <x:c r="D3340" s="65" t="n">
        <x:v>354.00241805969836</x:v>
      </x:c>
      <x:c r="E3340" s="65" t="n">
        <x:v>43.15897686236417</x:v>
      </x:c>
      <x:c r="F3340" s="65" t="n">
        <x:v>43.15897686236417</x:v>
      </x:c>
      <x:c r="G3340" s="65" t="n">
        <x:v>397.1613949220625</x:v>
      </x:c>
      <x:c r="H3340" s="43" t="n">
        <x:v>1</x:v>
      </x:c>
      <x:c r="I3340" s="34" t="str">
        <x:v>generated design-reference observation; not predicted tract behavior</x:v>
      </x:c>
    </x:row>
    <x:row r="3341" ht="75.5999984741211" hidden="0" customHeight="1">
      <x:c r="A3341" s="36" t="str">
        <x:v>H3</x:v>
      </x:c>
      <x:c r="B3341" s="36" t="str">
        <x:v>48201210600</x:v>
      </x:c>
      <x:c r="C3341" s="66" t="n">
        <x:v>448.51945429213555</x:v>
      </x:c>
      <x:c r="D3341" s="66" t="n">
        <x:v>400.13263538815494</x:v>
      </x:c>
      <x:c r="E3341" s="66" t="n">
        <x:v>48.38681890398061</x:v>
      </x:c>
      <x:c r="F3341" s="66" t="n">
        <x:v>48.38681890398061</x:v>
      </x:c>
      <x:c r="G3341" s="66" t="n">
        <x:v>448.51945429213555</x:v>
      </x:c>
      <x:c r="H3341" s="45" t="n">
        <x:v>1</x:v>
      </x:c>
      <x:c r="I3341" s="36" t="str">
        <x:v>generated design-reference observation; not predicted tract behavior</x:v>
      </x:c>
    </x:row>
    <x:row r="3342" ht="75.5999984741211" hidden="0" customHeight="1">
      <x:c r="A3342" s="34" t="str">
        <x:v>H3</x:v>
      </x:c>
      <x:c r="B3342" s="34" t="str">
        <x:v>48201210700</x:v>
      </x:c>
      <x:c r="C3342" s="65" t="n">
        <x:v>181.14630841861566</x:v>
      </x:c>
      <x:c r="D3342" s="65" t="n">
        <x:v>161.56288292599314</x:v>
      </x:c>
      <x:c r="E3342" s="65" t="n">
        <x:v>19.583425492622524</x:v>
      </x:c>
      <x:c r="F3342" s="65" t="n">
        <x:v>19.583425492622524</x:v>
      </x:c>
      <x:c r="G3342" s="65" t="n">
        <x:v>181.14630841861566</x:v>
      </x:c>
      <x:c r="H3342" s="43" t="n">
        <x:v>1</x:v>
      </x:c>
      <x:c r="I3342" s="34" t="str">
        <x:v>generated design-reference observation; not predicted tract behavior</x:v>
      </x:c>
    </x:row>
    <x:row r="3343" ht="75.5999984741211" hidden="0" customHeight="1">
      <x:c r="A3343" s="36" t="str">
        <x:v>H3</x:v>
      </x:c>
      <x:c r="B3343" s="36" t="str">
        <x:v>48201210800</x:v>
      </x:c>
      <x:c r="C3343" s="66" t="n">
        <x:v>184.95031801921485</x:v>
      </x:c>
      <x:c r="D3343" s="66" t="n">
        <x:v>164.74954179086535</x:v>
      </x:c>
      <x:c r="E3343" s="66" t="n">
        <x:v>20.200776228349497</x:v>
      </x:c>
      <x:c r="F3343" s="66" t="n">
        <x:v>20.200776228349497</x:v>
      </x:c>
      <x:c r="G3343" s="66" t="n">
        <x:v>184.95031801921485</x:v>
      </x:c>
      <x:c r="H3343" s="45" t="n">
        <x:v>1</x:v>
      </x:c>
      <x:c r="I3343" s="36" t="str">
        <x:v>generated design-reference observation; not predicted tract behavior</x:v>
      </x:c>
    </x:row>
    <x:row r="3344" ht="75.5999984741211" hidden="0" customHeight="1">
      <x:c r="A3344" s="34" t="str">
        <x:v>H3</x:v>
      </x:c>
      <x:c r="B3344" s="34" t="str">
        <x:v>48201210900</x:v>
      </x:c>
      <x:c r="C3344" s="65" t="n">
        <x:v>314.54298583670305</x:v>
      </x:c>
      <x:c r="D3344" s="65" t="n">
        <x:v>134.46712644519053</x:v>
      </x:c>
      <x:c r="E3344" s="65" t="n">
        <x:v>180.07585939151252</x:v>
      </x:c>
      <x:c r="F3344" s="65" t="n">
        <x:v>180.07585939151252</x:v>
      </x:c>
      <x:c r="G3344" s="65" t="n">
        <x:v>314.54298583670305</x:v>
      </x:c>
      <x:c r="H3344" s="43" t="n">
        <x:v>1</x:v>
      </x:c>
      <x:c r="I3344" s="34" t="str">
        <x:v>generated design-reference observation; not predicted tract behavior</x:v>
      </x:c>
    </x:row>
    <x:row r="3345" ht="75.5999984741211" hidden="0" customHeight="1">
      <x:c r="A3345" s="36" t="str">
        <x:v>H3</x:v>
      </x:c>
      <x:c r="B3345" s="36" t="str">
        <x:v>48201211000</x:v>
      </x:c>
      <x:c r="C3345" s="66" t="n">
        <x:v>301.62676506314926</x:v>
      </x:c>
      <x:c r="D3345" s="66" t="n">
        <x:v>128.92522665364632</x:v>
      </x:c>
      <x:c r="E3345" s="66" t="n">
        <x:v>172.70153840950294</x:v>
      </x:c>
      <x:c r="F3345" s="66" t="n">
        <x:v>172.70153840950294</x:v>
      </x:c>
      <x:c r="G3345" s="66" t="n">
        <x:v>301.62676506314926</x:v>
      </x:c>
      <x:c r="H3345" s="45" t="n">
        <x:v>1</x:v>
      </x:c>
      <x:c r="I3345" s="36" t="str">
        <x:v>generated design-reference observation; not predicted tract behavior</x:v>
      </x:c>
    </x:row>
    <x:row r="3346" ht="75.5999984741211" hidden="0" customHeight="1">
      <x:c r="A3346" s="34" t="str">
        <x:v>H3</x:v>
      </x:c>
      <x:c r="B3346" s="34" t="str">
        <x:v>48201211101</x:v>
      </x:c>
      <x:c r="C3346" s="65" t="n">
        <x:v>429.67412955273994</x:v>
      </x:c>
      <x:c r="D3346" s="65" t="n">
        <x:v>334.21123612368575</x:v>
      </x:c>
      <x:c r="E3346" s="65" t="n">
        <x:v>95.46289342905419</x:v>
      </x:c>
      <x:c r="F3346" s="65" t="n">
        <x:v>95.46289342905419</x:v>
      </x:c>
      <x:c r="G3346" s="65" t="n">
        <x:v>429.67412955273994</x:v>
      </x:c>
      <x:c r="H3346" s="43" t="n">
        <x:v>1</x:v>
      </x:c>
      <x:c r="I3346" s="34" t="str">
        <x:v>generated design-reference observation; not predicted tract behavior</x:v>
      </x:c>
    </x:row>
    <x:row r="3347" ht="75.5999984741211" hidden="0" customHeight="1">
      <x:c r="A3347" s="36" t="str">
        <x:v>H3</x:v>
      </x:c>
      <x:c r="B3347" s="36" t="str">
        <x:v>48201211102</x:v>
      </x:c>
      <x:c r="C3347" s="66" t="n">
        <x:v>345.4774675966933</x:v>
      </x:c>
      <x:c r="D3347" s="66" t="n">
        <x:v>268.85214504752753</x:v>
      </x:c>
      <x:c r="E3347" s="66" t="n">
        <x:v>76.62532254916579</x:v>
      </x:c>
      <x:c r="F3347" s="66" t="n">
        <x:v>76.62532254916579</x:v>
      </x:c>
      <x:c r="G3347" s="66" t="n">
        <x:v>345.4774675966933</x:v>
      </x:c>
      <x:c r="H3347" s="45" t="n">
        <x:v>1</x:v>
      </x:c>
      <x:c r="I3347" s="36" t="str">
        <x:v>generated design-reference observation; not predicted tract behavior</x:v>
      </x:c>
    </x:row>
    <x:row r="3348" ht="75.5999984741211" hidden="0" customHeight="1">
      <x:c r="A3348" s="34" t="str">
        <x:v>H3</x:v>
      </x:c>
      <x:c r="B3348" s="34" t="str">
        <x:v>48201211200</x:v>
      </x:c>
      <x:c r="C3348" s="65" t="n">
        <x:v>416.044505834382</x:v>
      </x:c>
      <x:c r="D3348" s="65" t="n">
        <x:v>177.31590419882673</x:v>
      </x:c>
      <x:c r="E3348" s="65" t="n">
        <x:v>238.72860163555526</x:v>
      </x:c>
      <x:c r="F3348" s="65" t="n">
        <x:v>238.72860163555526</x:v>
      </x:c>
      <x:c r="G3348" s="65" t="n">
        <x:v>416.044505834382</x:v>
      </x:c>
      <x:c r="H3348" s="43" t="n">
        <x:v>1</x:v>
      </x:c>
      <x:c r="I3348" s="34" t="str">
        <x:v>generated design-reference observation; not predicted tract behavior</x:v>
      </x:c>
    </x:row>
    <x:row r="3349" ht="75.5999984741211" hidden="0" customHeight="1">
      <x:c r="A3349" s="36" t="str">
        <x:v>H3</x:v>
      </x:c>
      <x:c r="B3349" s="36" t="str">
        <x:v>48201211301</x:v>
      </x:c>
      <x:c r="C3349" s="66" t="n">
        <x:v>224.3776200055905</x:v>
      </x:c>
      <x:c r="D3349" s="66" t="n">
        <x:v>200.26894052717964</x:v>
      </x:c>
      <x:c r="E3349" s="66" t="n">
        <x:v>24.108679478410863</x:v>
      </x:c>
      <x:c r="F3349" s="66" t="n">
        <x:v>24.108679478410863</x:v>
      </x:c>
      <x:c r="G3349" s="66" t="n">
        <x:v>224.3776200055905</x:v>
      </x:c>
      <x:c r="H3349" s="45" t="n">
        <x:v>1</x:v>
      </x:c>
      <x:c r="I3349" s="36" t="str">
        <x:v>generated design-reference observation; not predicted tract behavior</x:v>
      </x:c>
    </x:row>
    <x:row r="3350" ht="75.5999984741211" hidden="0" customHeight="1">
      <x:c r="A3350" s="34" t="str">
        <x:v>H3</x:v>
      </x:c>
      <x:c r="B3350" s="34" t="str">
        <x:v>48201211302</x:v>
      </x:c>
      <x:c r="C3350" s="65" t="n">
        <x:v>175.89221664588723</x:v>
      </x:c>
      <x:c r="D3350" s="65" t="n">
        <x:v>156.35495835570103</x:v>
      </x:c>
      <x:c r="E3350" s="65" t="n">
        <x:v>19.5372582901862</x:v>
      </x:c>
      <x:c r="F3350" s="65" t="n">
        <x:v>19.5372582901862</x:v>
      </x:c>
      <x:c r="G3350" s="65" t="n">
        <x:v>175.89221664588723</x:v>
      </x:c>
      <x:c r="H3350" s="43" t="n">
        <x:v>1</x:v>
      </x:c>
      <x:c r="I3350" s="34" t="str">
        <x:v>generated design-reference observation; not predicted tract behavior</x:v>
      </x:c>
    </x:row>
    <x:row r="3351" ht="75.5999984741211" hidden="0" customHeight="1">
      <x:c r="A3351" s="36" t="str">
        <x:v>H3</x:v>
      </x:c>
      <x:c r="B3351" s="36" t="str">
        <x:v>48201211400</x:v>
      </x:c>
      <x:c r="C3351" s="66" t="n">
        <x:v>354.0558357185785</x:v>
      </x:c>
      <x:c r="D3351" s="66" t="n">
        <x:v>315.6303858649423</x:v>
      </x:c>
      <x:c r="E3351" s="66" t="n">
        <x:v>38.42544985363622</x:v>
      </x:c>
      <x:c r="F3351" s="66" t="n">
        <x:v>38.42544985363622</x:v>
      </x:c>
      <x:c r="G3351" s="66" t="n">
        <x:v>354.0558357185785</x:v>
      </x:c>
      <x:c r="H3351" s="45" t="n">
        <x:v>1</x:v>
      </x:c>
      <x:c r="I3351" s="36" t="str">
        <x:v>generated design-reference observation; not predicted tract behavior</x:v>
      </x:c>
    </x:row>
    <x:row r="3352" ht="75.5999984741211" hidden="0" customHeight="1">
      <x:c r="A3352" s="34" t="str">
        <x:v>H3</x:v>
      </x:c>
      <x:c r="B3352" s="34" t="str">
        <x:v>48201211501</x:v>
      </x:c>
      <x:c r="C3352" s="65" t="n">
        <x:v>255.21839205672933</x:v>
      </x:c>
      <x:c r="D3352" s="65" t="n">
        <x:v>227.77906561273326</x:v>
      </x:c>
      <x:c r="E3352" s="65" t="n">
        <x:v>27.439326443996066</x:v>
      </x:c>
      <x:c r="F3352" s="65" t="n">
        <x:v>27.439326443996066</x:v>
      </x:c>
      <x:c r="G3352" s="65" t="n">
        <x:v>255.21839205672933</x:v>
      </x:c>
      <x:c r="H3352" s="43" t="n">
        <x:v>1</x:v>
      </x:c>
      <x:c r="I3352" s="34" t="str">
        <x:v>generated design-reference observation; not predicted tract behavior</x:v>
      </x:c>
    </x:row>
    <x:row r="3353" ht="75.5999984741211" hidden="0" customHeight="1">
      <x:c r="A3353" s="36" t="str">
        <x:v>H3</x:v>
      </x:c>
      <x:c r="B3353" s="36" t="str">
        <x:v>48201211502</x:v>
      </x:c>
      <x:c r="C3353" s="66" t="n">
        <x:v>226.63723314644227</x:v>
      </x:c>
      <x:c r="D3353" s="66" t="n">
        <x:v>202.25313247564927</x:v>
      </x:c>
      <x:c r="E3353" s="66" t="n">
        <x:v>24.384100670793003</x:v>
      </x:c>
      <x:c r="F3353" s="66" t="n">
        <x:v>24.384100670793003</x:v>
      </x:c>
      <x:c r="G3353" s="66" t="n">
        <x:v>226.63723314644227</x:v>
      </x:c>
      <x:c r="H3353" s="45" t="n">
        <x:v>1</x:v>
      </x:c>
      <x:c r="I3353" s="36" t="str">
        <x:v>generated design-reference observation; not predicted tract behavior</x:v>
      </x:c>
    </x:row>
    <x:row r="3354" ht="75.5999984741211" hidden="0" customHeight="1">
      <x:c r="A3354" s="34" t="str">
        <x:v>H3</x:v>
      </x:c>
      <x:c r="B3354" s="34" t="str">
        <x:v>48201211600</x:v>
      </x:c>
      <x:c r="C3354" s="65" t="n">
        <x:v>229.8596379733961</x:v>
      </x:c>
      <x:c r="D3354" s="65" t="n">
        <x:v>204.58278439171892</x:v>
      </x:c>
      <x:c r="E3354" s="65" t="n">
        <x:v>25.276853581677187</x:v>
      </x:c>
      <x:c r="F3354" s="65" t="n">
        <x:v>25.276853581677187</x:v>
      </x:c>
      <x:c r="G3354" s="65" t="n">
        <x:v>229.8596379733961</x:v>
      </x:c>
      <x:c r="H3354" s="43" t="n">
        <x:v>1</x:v>
      </x:c>
      <x:c r="I3354" s="34" t="str">
        <x:v>generated design-reference observation; not predicted tract behavior</x:v>
      </x:c>
    </x:row>
    <x:row r="3355" ht="75.5999984741211" hidden="0" customHeight="1">
      <x:c r="A3355" s="36" t="str">
        <x:v>H3</x:v>
      </x:c>
      <x:c r="B3355" s="36" t="str">
        <x:v>48201211700</x:v>
      </x:c>
      <x:c r="C3355" s="66" t="n">
        <x:v>551.1717899723859</x:v>
      </x:c>
      <x:c r="D3355" s="66" t="n">
        <x:v>428.95652197154817</x:v>
      </x:c>
      <x:c r="E3355" s="66" t="n">
        <x:v>122.21526800083774</x:v>
      </x:c>
      <x:c r="F3355" s="66" t="n">
        <x:v>122.21526800083774</x:v>
      </x:c>
      <x:c r="G3355" s="66" t="n">
        <x:v>551.1717899723859</x:v>
      </x:c>
      <x:c r="H3355" s="45" t="n">
        <x:v>1</x:v>
      </x:c>
      <x:c r="I3355" s="36" t="str">
        <x:v>generated design-reference observation; not predicted tract behavior</x:v>
      </x:c>
    </x:row>
    <x:row r="3356" ht="75.5999984741211" hidden="0" customHeight="1">
      <x:c r="A3356" s="34" t="str">
        <x:v>H3</x:v>
      </x:c>
      <x:c r="B3356" s="34" t="str">
        <x:v>48201211900</x:v>
      </x:c>
      <x:c r="C3356" s="65" t="n">
        <x:v>340.2859497263269</x:v>
      </x:c>
      <x:c r="D3356" s="65" t="n">
        <x:v>303.7036721151548</x:v>
      </x:c>
      <x:c r="E3356" s="65" t="n">
        <x:v>36.58227761117212</x:v>
      </x:c>
      <x:c r="F3356" s="65" t="n">
        <x:v>36.58227761117212</x:v>
      </x:c>
      <x:c r="G3356" s="65" t="n">
        <x:v>340.2859497263269</x:v>
      </x:c>
      <x:c r="H3356" s="43" t="n">
        <x:v>1</x:v>
      </x:c>
      <x:c r="I3356" s="34" t="str">
        <x:v>generated design-reference observation; not predicted tract behavior</x:v>
      </x:c>
    </x:row>
    <x:row r="3357" ht="75.5999984741211" hidden="0" customHeight="1">
      <x:c r="A3357" s="36" t="str">
        <x:v>H3</x:v>
      </x:c>
      <x:c r="B3357" s="36" t="str">
        <x:v>48201212300</x:v>
      </x:c>
      <x:c r="C3357" s="66" t="n">
        <x:v>390.9641602731525</x:v>
      </x:c>
      <x:c r="D3357" s="66" t="n">
        <x:v>347.2927624903081</x:v>
      </x:c>
      <x:c r="E3357" s="66" t="n">
        <x:v>43.671397782844394</x:v>
      </x:c>
      <x:c r="F3357" s="66" t="n">
        <x:v>43.671397782844394</x:v>
      </x:c>
      <x:c r="G3357" s="66" t="n">
        <x:v>390.9641602731525</x:v>
      </x:c>
      <x:c r="H3357" s="45" t="n">
        <x:v>1</x:v>
      </x:c>
      <x:c r="I3357" s="36" t="str">
        <x:v>generated design-reference observation; not predicted tract behavior</x:v>
      </x:c>
    </x:row>
    <x:row r="3358" ht="75.5999984741211" hidden="0" customHeight="1">
      <x:c r="A3358" s="34" t="str">
        <x:v>H3</x:v>
      </x:c>
      <x:c r="B3358" s="34" t="str">
        <x:v>48201212400</x:v>
      </x:c>
      <x:c r="C3358" s="65" t="n">
        <x:v>238.08070004411252</x:v>
      </x:c>
      <x:c r="D3358" s="65" t="n">
        <x:v>212.60606513939246</x:v>
      </x:c>
      <x:c r="E3358" s="65" t="n">
        <x:v>25.474634904720062</x:v>
      </x:c>
      <x:c r="F3358" s="65" t="n">
        <x:v>25.474634904720062</x:v>
      </x:c>
      <x:c r="G3358" s="65" t="n">
        <x:v>238.08070004411252</x:v>
      </x:c>
      <x:c r="H3358" s="43" t="n">
        <x:v>1</x:v>
      </x:c>
      <x:c r="I3358" s="34" t="str">
        <x:v>generated design-reference observation; not predicted tract behavior</x:v>
      </x:c>
    </x:row>
    <x:row r="3359" ht="75.5999984741211" hidden="0" customHeight="1">
      <x:c r="A3359" s="36" t="str">
        <x:v>H3</x:v>
      </x:c>
      <x:c r="B3359" s="36" t="str">
        <x:v>48201212500</x:v>
      </x:c>
      <x:c r="C3359" s="66" t="n">
        <x:v>286.10239148969316</x:v>
      </x:c>
      <x:c r="D3359" s="66" t="n">
        <x:v>255.37533651620168</x:v>
      </x:c>
      <x:c r="E3359" s="66" t="n">
        <x:v>30.727054973491477</x:v>
      </x:c>
      <x:c r="F3359" s="66" t="n">
        <x:v>30.727054973491477</x:v>
      </x:c>
      <x:c r="G3359" s="66" t="n">
        <x:v>286.10239148969316</x:v>
      </x:c>
      <x:c r="H3359" s="45" t="n">
        <x:v>1</x:v>
      </x:c>
      <x:c r="I3359" s="36" t="str">
        <x:v>generated design-reference observation; not predicted tract behavior</x:v>
      </x:c>
    </x:row>
    <x:row r="3360" ht="75.5999984741211" hidden="0" customHeight="1">
      <x:c r="A3360" s="34" t="str">
        <x:v>H3</x:v>
      </x:c>
      <x:c r="B3360" s="34" t="str">
        <x:v>48201220100</x:v>
      </x:c>
      <x:c r="C3360" s="65" t="n">
        <x:v>124.90355490231863</x:v>
      </x:c>
      <x:c r="D3360" s="65" t="n">
        <x:v>111.53887452777052</x:v>
      </x:c>
      <x:c r="E3360" s="65" t="n">
        <x:v>13.364680374548115</x:v>
      </x:c>
      <x:c r="F3360" s="65" t="n">
        <x:v>13.364680374548115</x:v>
      </x:c>
      <x:c r="G3360" s="65" t="n">
        <x:v>124.90355490231863</x:v>
      </x:c>
      <x:c r="H3360" s="43" t="n">
        <x:v>1</x:v>
      </x:c>
      <x:c r="I3360" s="34" t="str">
        <x:v>generated design-reference observation; not predicted tract behavior</x:v>
      </x:c>
    </x:row>
    <x:row r="3361" ht="75.5999984741211" hidden="0" customHeight="1">
      <x:c r="A3361" s="36" t="str">
        <x:v>H3</x:v>
      </x:c>
      <x:c r="B3361" s="36" t="str">
        <x:v>48201220200</x:v>
      </x:c>
      <x:c r="C3361" s="66" t="n">
        <x:v>194.64897059594912</x:v>
      </x:c>
      <x:c r="D3361" s="66" t="n">
        <x:v>173.78463466254385</x:v>
      </x:c>
      <x:c r="E3361" s="66" t="n">
        <x:v>20.864335933405272</x:v>
      </x:c>
      <x:c r="F3361" s="66" t="n">
        <x:v>20.864335933405272</x:v>
      </x:c>
      <x:c r="G3361" s="66" t="n">
        <x:v>194.64897059594912</x:v>
      </x:c>
      <x:c r="H3361" s="45" t="n">
        <x:v>1</x:v>
      </x:c>
      <x:c r="I3361" s="36" t="str">
        <x:v>generated design-reference observation; not predicted tract behavior</x:v>
      </x:c>
    </x:row>
    <x:row r="3362" ht="75.5999984741211" hidden="0" customHeight="1">
      <x:c r="A3362" s="34" t="str">
        <x:v>H3</x:v>
      </x:c>
      <x:c r="B3362" s="34" t="str">
        <x:v>48201220300</x:v>
      </x:c>
      <x:c r="C3362" s="65" t="n">
        <x:v>307.40956096742946</x:v>
      </x:c>
      <x:c r="D3362" s="65" t="n">
        <x:v>274.2290348124449</x:v>
      </x:c>
      <x:c r="E3362" s="65" t="n">
        <x:v>33.180526154984534</x:v>
      </x:c>
      <x:c r="F3362" s="65" t="n">
        <x:v>33.180526154984534</x:v>
      </x:c>
      <x:c r="G3362" s="65" t="n">
        <x:v>307.40956096742946</x:v>
      </x:c>
      <x:c r="H3362" s="43" t="n">
        <x:v>1</x:v>
      </x:c>
      <x:c r="I3362" s="34" t="str">
        <x:v>generated design-reference observation; not predicted tract behavior</x:v>
      </x:c>
    </x:row>
    <x:row r="3363" ht="75.5999984741211" hidden="0" customHeight="1">
      <x:c r="A3363" s="36" t="str">
        <x:v>H3</x:v>
      </x:c>
      <x:c r="B3363" s="36" t="str">
        <x:v>48201220400</x:v>
      </x:c>
      <x:c r="C3363" s="66" t="n">
        <x:v>342.7656295382877</x:v>
      </x:c>
      <x:c r="D3363" s="66" t="n">
        <x:v>305.1825101459157</x:v>
      </x:c>
      <x:c r="E3363" s="66" t="n">
        <x:v>37.583119392372</x:v>
      </x:c>
      <x:c r="F3363" s="66" t="n">
        <x:v>37.583119392372</x:v>
      </x:c>
      <x:c r="G3363" s="66" t="n">
        <x:v>342.7656295382877</x:v>
      </x:c>
      <x:c r="H3363" s="45" t="n">
        <x:v>1</x:v>
      </x:c>
      <x:c r="I3363" s="36" t="str">
        <x:v>generated design-reference observation; not predicted tract behavior</x:v>
      </x:c>
    </x:row>
    <x:row r="3364" ht="75.5999984741211" hidden="0" customHeight="1">
      <x:c r="A3364" s="34" t="str">
        <x:v>H3</x:v>
      </x:c>
      <x:c r="B3364" s="34" t="str">
        <x:v>48201220500</x:v>
      </x:c>
      <x:c r="C3364" s="65" t="n">
        <x:v>281.58316520798957</x:v>
      </x:c>
      <x:c r="D3364" s="65" t="n">
        <x:v>249.2259870289781</x:v>
      </x:c>
      <x:c r="E3364" s="65" t="n">
        <x:v>32.35717817901147</x:v>
      </x:c>
      <x:c r="F3364" s="65" t="n">
        <x:v>32.35717817901147</x:v>
      </x:c>
      <x:c r="G3364" s="65" t="n">
        <x:v>281.58316520798957</x:v>
      </x:c>
      <x:c r="H3364" s="43" t="n">
        <x:v>1</x:v>
      </x:c>
      <x:c r="I3364" s="34" t="str">
        <x:v>generated design-reference observation; not predicted tract behavior</x:v>
      </x:c>
    </x:row>
    <x:row r="3365" ht="75.5999984741211" hidden="0" customHeight="1">
      <x:c r="A3365" s="36" t="str">
        <x:v>H3</x:v>
      </x:c>
      <x:c r="B3365" s="36" t="str">
        <x:v>48201220600</x:v>
      </x:c>
      <x:c r="C3365" s="66" t="n">
        <x:v>256.4051801759245</x:v>
      </x:c>
      <x:c r="D3365" s="66" t="n">
        <x:v>228.1596583012111</x:v>
      </x:c>
      <x:c r="E3365" s="66" t="n">
        <x:v>28.245521874713404</x:v>
      </x:c>
      <x:c r="F3365" s="66" t="n">
        <x:v>28.245521874713404</x:v>
      </x:c>
      <x:c r="G3365" s="66" t="n">
        <x:v>256.4051801759245</x:v>
      </x:c>
      <x:c r="H3365" s="45" t="n">
        <x:v>1</x:v>
      </x:c>
      <x:c r="I3365" s="36" t="str">
        <x:v>generated design-reference observation; not predicted tract behavior</x:v>
      </x:c>
    </x:row>
    <x:row r="3366" ht="75.5999984741211" hidden="0" customHeight="1">
      <x:c r="A3366" s="34" t="str">
        <x:v>H3</x:v>
      </x:c>
      <x:c r="B3366" s="34" t="str">
        <x:v>48201220701</x:v>
      </x:c>
      <x:c r="C3366" s="65" t="n">
        <x:v>281.81895092703496</x:v>
      </x:c>
      <x:c r="D3366" s="65" t="n">
        <x:v>249.83271217710768</x:v>
      </x:c>
      <x:c r="E3366" s="65" t="n">
        <x:v>31.98623874992728</x:v>
      </x:c>
      <x:c r="F3366" s="65" t="n">
        <x:v>31.98623874992728</x:v>
      </x:c>
      <x:c r="G3366" s="65" t="n">
        <x:v>281.81895092703496</x:v>
      </x:c>
      <x:c r="H3366" s="43" t="n">
        <x:v>1</x:v>
      </x:c>
      <x:c r="I3366" s="34" t="str">
        <x:v>generated design-reference observation; not predicted tract behavior</x:v>
      </x:c>
    </x:row>
    <x:row r="3367" ht="75.5999984741211" hidden="0" customHeight="1">
      <x:c r="A3367" s="36" t="str">
        <x:v>H3</x:v>
      </x:c>
      <x:c r="B3367" s="36" t="str">
        <x:v>48201220702</x:v>
      </x:c>
      <x:c r="C3367" s="66" t="n">
        <x:v>310.0425014967699</x:v>
      </x:c>
      <x:c r="D3367" s="66" t="n">
        <x:v>275.8188999253475</x:v>
      </x:c>
      <x:c r="E3367" s="66" t="n">
        <x:v>34.223601571422364</x:v>
      </x:c>
      <x:c r="F3367" s="66" t="n">
        <x:v>34.223601571422364</x:v>
      </x:c>
      <x:c r="G3367" s="66" t="n">
        <x:v>310.0425014967699</x:v>
      </x:c>
      <x:c r="H3367" s="45" t="n">
        <x:v>1</x:v>
      </x:c>
      <x:c r="I3367" s="36" t="str">
        <x:v>generated design-reference observation; not predicted tract behavior</x:v>
      </x:c>
    </x:row>
    <x:row r="3368" ht="75.5999984741211" hidden="0" customHeight="1">
      <x:c r="A3368" s="34" t="str">
        <x:v>H3</x:v>
      </x:c>
      <x:c r="B3368" s="34" t="str">
        <x:v>48201220800</x:v>
      </x:c>
      <x:c r="C3368" s="65" t="n">
        <x:v>319.04165644033606</x:v>
      </x:c>
      <x:c r="D3368" s="65" t="n">
        <x:v>283.08539114381944</x:v>
      </x:c>
      <x:c r="E3368" s="65" t="n">
        <x:v>35.95626529651662</x:v>
      </x:c>
      <x:c r="F3368" s="65" t="n">
        <x:v>35.95626529651662</x:v>
      </x:c>
      <x:c r="G3368" s="65" t="n">
        <x:v>319.04165644033606</x:v>
      </x:c>
      <x:c r="H3368" s="43" t="n">
        <x:v>1</x:v>
      </x:c>
      <x:c r="I3368" s="34" t="str">
        <x:v>generated design-reference observation; not predicted tract behavior</x:v>
      </x:c>
    </x:row>
    <x:row r="3369" ht="75.5999984741211" hidden="0" customHeight="1">
      <x:c r="A3369" s="36" t="str">
        <x:v>H3</x:v>
      </x:c>
      <x:c r="B3369" s="36" t="str">
        <x:v>48201220900</x:v>
      </x:c>
      <x:c r="C3369" s="66" t="n">
        <x:v>148.0419934646409</x:v>
      </x:c>
      <x:c r="D3369" s="66" t="n">
        <x:v>131.93960845396595</x:v>
      </x:c>
      <x:c r="E3369" s="66" t="n">
        <x:v>16.102385010674965</x:v>
      </x:c>
      <x:c r="F3369" s="66" t="n">
        <x:v>16.102385010674965</x:v>
      </x:c>
      <x:c r="G3369" s="66" t="n">
        <x:v>148.0419934646409</x:v>
      </x:c>
      <x:c r="H3369" s="45" t="n">
        <x:v>1</x:v>
      </x:c>
      <x:c r="I3369" s="36" t="str">
        <x:v>generated design-reference observation; not predicted tract behavior</x:v>
      </x:c>
    </x:row>
    <x:row r="3370" ht="75.5999984741211" hidden="0" customHeight="1">
      <x:c r="A3370" s="34" t="str">
        <x:v>H3</x:v>
      </x:c>
      <x:c r="B3370" s="34" t="str">
        <x:v>48201221000</x:v>
      </x:c>
      <x:c r="C3370" s="65" t="n">
        <x:v>500.71636670112014</x:v>
      </x:c>
      <x:c r="D3370" s="65" t="n">
        <x:v>388.9835992729617</x:v>
      </x:c>
      <x:c r="E3370" s="65" t="n">
        <x:v>111.73276742815841</x:v>
      </x:c>
      <x:c r="F3370" s="65" t="n">
        <x:v>111.73276742815841</x:v>
      </x:c>
      <x:c r="G3370" s="65" t="n">
        <x:v>500.71636670112014</x:v>
      </x:c>
      <x:c r="H3370" s="43" t="n">
        <x:v>1</x:v>
      </x:c>
      <x:c r="I3370" s="34" t="str">
        <x:v>generated design-reference observation; not predicted tract behavior</x:v>
      </x:c>
    </x:row>
    <x:row r="3371" ht="75.5999984741211" hidden="0" customHeight="1">
      <x:c r="A3371" s="36" t="str">
        <x:v>H3</x:v>
      </x:c>
      <x:c r="B3371" s="36" t="str">
        <x:v>48201221100</x:v>
      </x:c>
      <x:c r="C3371" s="66" t="n">
        <x:v>263.64773151260255</x:v>
      </x:c>
      <x:c r="D3371" s="66" t="n">
        <x:v>235.43742424075404</x:v>
      </x:c>
      <x:c r="E3371" s="66" t="n">
        <x:v>28.210307271848507</x:v>
      </x:c>
      <x:c r="F3371" s="66" t="n">
        <x:v>28.210307271848507</x:v>
      </x:c>
      <x:c r="G3371" s="66" t="n">
        <x:v>263.64773151260255</x:v>
      </x:c>
      <x:c r="H3371" s="45" t="n">
        <x:v>1</x:v>
      </x:c>
      <x:c r="I3371" s="36" t="str">
        <x:v>generated design-reference observation; not predicted tract behavior</x:v>
      </x:c>
    </x:row>
    <x:row r="3372" ht="75.5999984741211" hidden="0" customHeight="1">
      <x:c r="A3372" s="34" t="str">
        <x:v>H3</x:v>
      </x:c>
      <x:c r="B3372" s="34" t="str">
        <x:v>48201221200</x:v>
      </x:c>
      <x:c r="C3372" s="65" t="n">
        <x:v>435.52766117273376</x:v>
      </x:c>
      <x:c r="D3372" s="65" t="n">
        <x:v>388.9262014272512</x:v>
      </x:c>
      <x:c r="E3372" s="65" t="n">
        <x:v>46.60145974548254</x:v>
      </x:c>
      <x:c r="F3372" s="65" t="n">
        <x:v>46.60145974548254</x:v>
      </x:c>
      <x:c r="G3372" s="65" t="n">
        <x:v>435.52766117273376</x:v>
      </x:c>
      <x:c r="H3372" s="43" t="n">
        <x:v>1</x:v>
      </x:c>
      <x:c r="I3372" s="34" t="str">
        <x:v>generated design-reference observation; not predicted tract behavior</x:v>
      </x:c>
    </x:row>
    <x:row r="3373" ht="75.5999984741211" hidden="0" customHeight="1">
      <x:c r="A3373" s="36" t="str">
        <x:v>H3</x:v>
      </x:c>
      <x:c r="B3373" s="36" t="str">
        <x:v>48201221301</x:v>
      </x:c>
      <x:c r="C3373" s="66" t="n">
        <x:v>329.98211380404285</x:v>
      </x:c>
      <x:c r="D3373" s="66" t="n">
        <x:v>294.6740276270102</x:v>
      </x:c>
      <x:c r="E3373" s="66" t="n">
        <x:v>35.308086177032635</x:v>
      </x:c>
      <x:c r="F3373" s="66" t="n">
        <x:v>35.308086177032635</x:v>
      </x:c>
      <x:c r="G3373" s="66" t="n">
        <x:v>329.98211380404285</x:v>
      </x:c>
      <x:c r="H3373" s="45" t="n">
        <x:v>1</x:v>
      </x:c>
      <x:c r="I3373" s="36" t="str">
        <x:v>generated design-reference observation; not predicted tract behavior</x:v>
      </x:c>
    </x:row>
    <x:row r="3374" ht="75.5999984741211" hidden="0" customHeight="1">
      <x:c r="A3374" s="34" t="str">
        <x:v>H3</x:v>
      </x:c>
      <x:c r="B3374" s="34" t="str">
        <x:v>48201221302</x:v>
      </x:c>
      <x:c r="C3374" s="65" t="n">
        <x:v>275.03618174249544</x:v>
      </x:c>
      <x:c r="D3374" s="65" t="n">
        <x:v>245.10633082128723</x:v>
      </x:c>
      <x:c r="E3374" s="65" t="n">
        <x:v>29.929850921208214</x:v>
      </x:c>
      <x:c r="F3374" s="65" t="n">
        <x:v>29.929850921208214</x:v>
      </x:c>
      <x:c r="G3374" s="65" t="n">
        <x:v>275.03618174249544</x:v>
      </x:c>
      <x:c r="H3374" s="43" t="n">
        <x:v>1</x:v>
      </x:c>
      <x:c r="I3374" s="34" t="str">
        <x:v>generated design-reference observation; not predicted tract behavior</x:v>
      </x:c>
    </x:row>
    <x:row r="3375" ht="75.5999984741211" hidden="0" customHeight="1">
      <x:c r="A3375" s="36" t="str">
        <x:v>H3</x:v>
      </x:c>
      <x:c r="B3375" s="36" t="str">
        <x:v>48201221400</x:v>
      </x:c>
      <x:c r="C3375" s="66" t="n">
        <x:v>463.18925577874376</x:v>
      </x:c>
      <x:c r="D3375" s="66" t="n">
        <x:v>410.452358535866</x:v>
      </x:c>
      <x:c r="E3375" s="66" t="n">
        <x:v>52.736897242877774</x:v>
      </x:c>
      <x:c r="F3375" s="66" t="n">
        <x:v>52.736897242877774</x:v>
      </x:c>
      <x:c r="G3375" s="66" t="n">
        <x:v>463.18925577874376</x:v>
      </x:c>
      <x:c r="H3375" s="45" t="n">
        <x:v>1</x:v>
      </x:c>
      <x:c r="I3375" s="36" t="str">
        <x:v>generated design-reference observation; not predicted tract behavior</x:v>
      </x:c>
    </x:row>
    <x:row r="3376" ht="75.5999984741211" hidden="0" customHeight="1">
      <x:c r="A3376" s="34" t="str">
        <x:v>H3</x:v>
      </x:c>
      <x:c r="B3376" s="34" t="str">
        <x:v>48201221501</x:v>
      </x:c>
      <x:c r="C3376" s="65" t="n">
        <x:v>385.6078946888377</x:v>
      </x:c>
      <x:c r="D3376" s="65" t="n">
        <x:v>343.7788292476946</x:v>
      </x:c>
      <x:c r="E3376" s="65" t="n">
        <x:v>41.829065441143086</x:v>
      </x:c>
      <x:c r="F3376" s="65" t="n">
        <x:v>41.829065441143086</x:v>
      </x:c>
      <x:c r="G3376" s="65" t="n">
        <x:v>385.6078946888377</x:v>
      </x:c>
      <x:c r="H3376" s="43" t="n">
        <x:v>1</x:v>
      </x:c>
      <x:c r="I3376" s="34" t="str">
        <x:v>generated design-reference observation; not predicted tract behavior</x:v>
      </x:c>
    </x:row>
    <x:row r="3377" ht="75.5999984741211" hidden="0" customHeight="1">
      <x:c r="A3377" s="36" t="str">
        <x:v>H3</x:v>
      </x:c>
      <x:c r="B3377" s="36" t="str">
        <x:v>48201221502</x:v>
      </x:c>
      <x:c r="C3377" s="66" t="n">
        <x:v>238.24575004744432</x:v>
      </x:c>
      <x:c r="D3377" s="66" t="n">
        <x:v>210.45319776443117</x:v>
      </x:c>
      <x:c r="E3377" s="66" t="n">
        <x:v>27.79255228301315</x:v>
      </x:c>
      <x:c r="F3377" s="66" t="n">
        <x:v>27.79255228301315</x:v>
      </x:c>
      <x:c r="G3377" s="66" t="n">
        <x:v>238.24575004744432</x:v>
      </x:c>
      <x:c r="H3377" s="45" t="n">
        <x:v>1</x:v>
      </x:c>
      <x:c r="I3377" s="36" t="str">
        <x:v>generated design-reference observation; not predicted tract behavior</x:v>
      </x:c>
    </x:row>
    <x:row r="3378" ht="75.5999984741211" hidden="0" customHeight="1">
      <x:c r="A3378" s="34" t="str">
        <x:v>H3</x:v>
      </x:c>
      <x:c r="B3378" s="34" t="str">
        <x:v>48201221601</x:v>
      </x:c>
      <x:c r="C3378" s="65" t="n">
        <x:v>560.2897446436251</x:v>
      </x:c>
      <x:c r="D3378" s="65" t="n">
        <x:v>239.45026054987386</x:v>
      </x:c>
      <x:c r="E3378" s="65" t="n">
        <x:v>320.83948409375125</x:v>
      </x:c>
      <x:c r="F3378" s="65" t="n">
        <x:v>320.83948409375125</x:v>
      </x:c>
      <x:c r="G3378" s="65" t="n">
        <x:v>560.2897446436251</x:v>
      </x:c>
      <x:c r="H3378" s="43" t="n">
        <x:v>1</x:v>
      </x:c>
      <x:c r="I3378" s="34" t="str">
        <x:v>generated design-reference observation; not predicted tract behavior</x:v>
      </x:c>
    </x:row>
    <x:row r="3379" ht="75.5999984741211" hidden="0" customHeight="1">
      <x:c r="A3379" s="36" t="str">
        <x:v>H3</x:v>
      </x:c>
      <x:c r="B3379" s="36" t="str">
        <x:v>48201221602</x:v>
      </x:c>
      <x:c r="C3379" s="66" t="n">
        <x:v>447.41912093659033</x:v>
      </x:c>
      <x:c r="D3379" s="66" t="n">
        <x:v>399.5452749963751</x:v>
      </x:c>
      <x:c r="E3379" s="66" t="n">
        <x:v>47.87384594021523</x:v>
      </x:c>
      <x:c r="F3379" s="66" t="n">
        <x:v>47.87384594021523</x:v>
      </x:c>
      <x:c r="G3379" s="66" t="n">
        <x:v>447.41912093659033</x:v>
      </x:c>
      <x:c r="H3379" s="45" t="n">
        <x:v>1</x:v>
      </x:c>
      <x:c r="I3379" s="36" t="str">
        <x:v>generated design-reference observation; not predicted tract behavior</x:v>
      </x:c>
    </x:row>
    <x:row r="3380" ht="75.5999984741211" hidden="0" customHeight="1">
      <x:c r="A3380" s="34" t="str">
        <x:v>H3</x:v>
      </x:c>
      <x:c r="B3380" s="34" t="str">
        <x:v>48201221701</x:v>
      </x:c>
      <x:c r="C3380" s="65" t="n">
        <x:v>752.3538387221931</x:v>
      </x:c>
      <x:c r="D3380" s="65" t="n">
        <x:v>586.0836403645885</x:v>
      </x:c>
      <x:c r="E3380" s="65" t="n">
        <x:v>166.2701983576046</x:v>
      </x:c>
      <x:c r="F3380" s="65" t="n">
        <x:v>166.2701983576046</x:v>
      </x:c>
      <x:c r="G3380" s="65" t="n">
        <x:v>752.3538387221931</x:v>
      </x:c>
      <x:c r="H3380" s="43" t="n">
        <x:v>1</x:v>
      </x:c>
      <x:c r="I3380" s="34" t="str">
        <x:v>generated design-reference observation; not predicted tract behavior</x:v>
      </x:c>
    </x:row>
    <x:row r="3381" ht="75.5999984741211" hidden="0" customHeight="1">
      <x:c r="A3381" s="36" t="str">
        <x:v>H3</x:v>
      </x:c>
      <x:c r="B3381" s="36" t="str">
        <x:v>48201221702</x:v>
      </x:c>
      <x:c r="C3381" s="66" t="n">
        <x:v>503.88496401783027</x:v>
      </x:c>
      <x:c r="D3381" s="66" t="n">
        <x:v>215.36881350659186</x:v>
      </x:c>
      <x:c r="E3381" s="66" t="n">
        <x:v>288.5161505112384</x:v>
      </x:c>
      <x:c r="F3381" s="66" t="n">
        <x:v>288.5161505112384</x:v>
      </x:c>
      <x:c r="G3381" s="66" t="n">
        <x:v>503.88496401783027</x:v>
      </x:c>
      <x:c r="H3381" s="45" t="n">
        <x:v>1</x:v>
      </x:c>
      <x:c r="I3381" s="36" t="str">
        <x:v>generated design-reference observation; not predicted tract behavior</x:v>
      </x:c>
    </x:row>
    <x:row r="3382" ht="75.5999984741211" hidden="0" customHeight="1">
      <x:c r="A3382" s="34" t="str">
        <x:v>H3</x:v>
      </x:c>
      <x:c r="B3382" s="34" t="str">
        <x:v>48201221800</x:v>
      </x:c>
      <x:c r="C3382" s="65" t="n">
        <x:v>576.50031511738</x:v>
      </x:c>
      <x:c r="D3382" s="65" t="n">
        <x:v>448.80839090291386</x:v>
      </x:c>
      <x:c r="E3382" s="65" t="n">
        <x:v>127.6919242144661</x:v>
      </x:c>
      <x:c r="F3382" s="65" t="n">
        <x:v>127.6919242144661</x:v>
      </x:c>
      <x:c r="G3382" s="65" t="n">
        <x:v>576.50031511738</x:v>
      </x:c>
      <x:c r="H3382" s="43" t="n">
        <x:v>1</x:v>
      </x:c>
      <x:c r="I3382" s="34" t="str">
        <x:v>generated design-reference observation; not predicted tract behavior</x:v>
      </x:c>
    </x:row>
    <x:row r="3383" ht="75.5999984741211" hidden="0" customHeight="1">
      <x:c r="A3383" s="36" t="str">
        <x:v>H3</x:v>
      </x:c>
      <x:c r="B3383" s="36" t="str">
        <x:v>48201221900</x:v>
      </x:c>
      <x:c r="C3383" s="66" t="n">
        <x:v>839.0126477059638</x:v>
      </x:c>
      <x:c r="D3383" s="66" t="n">
        <x:v>358.6779068942995</x:v>
      </x:c>
      <x:c r="E3383" s="66" t="n">
        <x:v>480.3347408116643</x:v>
      </x:c>
      <x:c r="F3383" s="66" t="n">
        <x:v>480.3347408116643</x:v>
      </x:c>
      <x:c r="G3383" s="66" t="n">
        <x:v>839.0126477059638</x:v>
      </x:c>
      <x:c r="H3383" s="45" t="n">
        <x:v>1</x:v>
      </x:c>
      <x:c r="I3383" s="36" t="str">
        <x:v>generated design-reference observation; not predicted tract behavior</x:v>
      </x:c>
    </x:row>
    <x:row r="3384" ht="75.5999984741211" hidden="0" customHeight="1">
      <x:c r="A3384" s="34" t="str">
        <x:v>H3</x:v>
      </x:c>
      <x:c r="B3384" s="34" t="str">
        <x:v>48201222000</x:v>
      </x:c>
      <x:c r="C3384" s="65" t="n">
        <x:v>357.77762260689525</x:v>
      </x:c>
      <x:c r="D3384" s="65" t="n">
        <x:v>152.9499336644477</x:v>
      </x:c>
      <x:c r="E3384" s="65" t="n">
        <x:v>204.82768894244754</x:v>
      </x:c>
      <x:c r="F3384" s="65" t="n">
        <x:v>204.82768894244754</x:v>
      </x:c>
      <x:c r="G3384" s="65" t="n">
        <x:v>357.77762260689525</x:v>
      </x:c>
      <x:c r="H3384" s="43" t="n">
        <x:v>1</x:v>
      </x:c>
      <x:c r="I3384" s="34" t="str">
        <x:v>generated design-reference observation; not predicted tract behavior</x:v>
      </x:c>
    </x:row>
    <x:row r="3385" ht="75.5999984741211" hidden="0" customHeight="1">
      <x:c r="A3385" s="36" t="str">
        <x:v>H3</x:v>
      </x:c>
      <x:c r="B3385" s="36" t="str">
        <x:v>48201222100</x:v>
      </x:c>
      <x:c r="C3385" s="66" t="n">
        <x:v>853.4862633827511</x:v>
      </x:c>
      <x:c r="D3385" s="66" t="n">
        <x:v>364.86537759612605</x:v>
      </x:c>
      <x:c r="E3385" s="66" t="n">
        <x:v>488.620885786625</x:v>
      </x:c>
      <x:c r="F3385" s="66" t="n">
        <x:v>488.620885786625</x:v>
      </x:c>
      <x:c r="G3385" s="66" t="n">
        <x:v>853.4862633827511</x:v>
      </x:c>
      <x:c r="H3385" s="45" t="n">
        <x:v>1</x:v>
      </x:c>
      <x:c r="I3385" s="36" t="str">
        <x:v>generated design-reference observation; not predicted tract behavior</x:v>
      </x:c>
    </x:row>
    <x:row r="3386" ht="75.5999984741211" hidden="0" customHeight="1">
      <x:c r="A3386" s="34" t="str">
        <x:v>H3</x:v>
      </x:c>
      <x:c r="B3386" s="34" t="str">
        <x:v>48201222200</x:v>
      </x:c>
      <x:c r="C3386" s="65" t="n">
        <x:v>275.099057934241</x:v>
      </x:c>
      <x:c r="D3386" s="65" t="n">
        <x:v>244.87441820654576</x:v>
      </x:c>
      <x:c r="E3386" s="65" t="n">
        <x:v>30.224639727695234</x:v>
      </x:c>
      <x:c r="F3386" s="65" t="n">
        <x:v>30.224639727695234</x:v>
      </x:c>
      <x:c r="G3386" s="65" t="n">
        <x:v>275.099057934241</x:v>
      </x:c>
      <x:c r="H3386" s="43" t="n">
        <x:v>1</x:v>
      </x:c>
      <x:c r="I3386" s="34" t="str">
        <x:v>generated design-reference observation; not predicted tract behavior</x:v>
      </x:c>
    </x:row>
    <x:row r="3387" ht="75.5999984741211" hidden="0" customHeight="1">
      <x:c r="A3387" s="36" t="str">
        <x:v>H3</x:v>
      </x:c>
      <x:c r="B3387" s="36" t="str">
        <x:v>48201222300</x:v>
      </x:c>
      <x:c r="C3387" s="66" t="n">
        <x:v>814.9407395277285</x:v>
      </x:c>
      <x:c r="D3387" s="66" t="n">
        <x:v>348.38716614810386</x:v>
      </x:c>
      <x:c r="E3387" s="66" t="n">
        <x:v>466.55357337962465</x:v>
      </x:c>
      <x:c r="F3387" s="66" t="n">
        <x:v>466.55357337962465</x:v>
      </x:c>
      <x:c r="G3387" s="66" t="n">
        <x:v>814.9407395277285</x:v>
      </x:c>
      <x:c r="H3387" s="45" t="n">
        <x:v>1</x:v>
      </x:c>
      <x:c r="I3387" s="36" t="str">
        <x:v>generated design-reference observation; not predicted tract behavior</x:v>
      </x:c>
    </x:row>
    <x:row r="3388" ht="75.5999984741211" hidden="0" customHeight="1">
      <x:c r="A3388" s="34" t="str">
        <x:v>H3</x:v>
      </x:c>
      <x:c r="B3388" s="34" t="str">
        <x:v>48201222401</x:v>
      </x:c>
      <x:c r="C3388" s="65" t="n">
        <x:v>265.54187678893396</x:v>
      </x:c>
      <x:c r="D3388" s="65" t="n">
        <x:v>237.128895972518</x:v>
      </x:c>
      <x:c r="E3388" s="65" t="n">
        <x:v>28.412980816415967</x:v>
      </x:c>
      <x:c r="F3388" s="65" t="n">
        <x:v>28.412980816415967</x:v>
      </x:c>
      <x:c r="G3388" s="65" t="n">
        <x:v>265.54187678893396</x:v>
      </x:c>
      <x:c r="H3388" s="43" t="n">
        <x:v>1</x:v>
      </x:c>
      <x:c r="I3388" s="34" t="str">
        <x:v>generated design-reference observation; not predicted tract behavior</x:v>
      </x:c>
    </x:row>
    <x:row r="3389" ht="75.5999984741211" hidden="0" customHeight="1">
      <x:c r="A3389" s="36" t="str">
        <x:v>H3</x:v>
      </x:c>
      <x:c r="B3389" s="36" t="str">
        <x:v>48201222402</x:v>
      </x:c>
      <x:c r="C3389" s="66" t="n">
        <x:v>583.0312772455544</x:v>
      </x:c>
      <x:c r="D3389" s="66" t="n">
        <x:v>520.5208307181925</x:v>
      </x:c>
      <x:c r="E3389" s="66" t="n">
        <x:v>62.510446527361864</x:v>
      </x:c>
      <x:c r="F3389" s="66" t="n">
        <x:v>62.510446527361864</x:v>
      </x:c>
      <x:c r="G3389" s="66" t="n">
        <x:v>583.0312772455544</x:v>
      </x:c>
      <x:c r="H3389" s="45" t="n">
        <x:v>1</x:v>
      </x:c>
      <x:c r="I3389" s="36" t="str">
        <x:v>generated design-reference observation; not predicted tract behavior</x:v>
      </x:c>
    </x:row>
    <x:row r="3390" ht="75.5999984741211" hidden="0" customHeight="1">
      <x:c r="A3390" s="34" t="str">
        <x:v>H3</x:v>
      </x:c>
      <x:c r="B3390" s="34" t="str">
        <x:v>48201222501</x:v>
      </x:c>
      <x:c r="C3390" s="65" t="n">
        <x:v>273.7393602877458</x:v>
      </x:c>
      <x:c r="D3390" s="65" t="n">
        <x:v>243.71898328001242</x:v>
      </x:c>
      <x:c r="E3390" s="65" t="n">
        <x:v>30.020377007733373</x:v>
      </x:c>
      <x:c r="F3390" s="65" t="n">
        <x:v>30.020377007733373</x:v>
      </x:c>
      <x:c r="G3390" s="65" t="n">
        <x:v>273.7393602877458</x:v>
      </x:c>
      <x:c r="H3390" s="43" t="n">
        <x:v>1</x:v>
      </x:c>
      <x:c r="I3390" s="34" t="str">
        <x:v>generated design-reference observation; not predicted tract behavior</x:v>
      </x:c>
    </x:row>
    <x:row r="3391" ht="75.5999984741211" hidden="0" customHeight="1">
      <x:c r="A3391" s="36" t="str">
        <x:v>H3</x:v>
      </x:c>
      <x:c r="B3391" s="36" t="str">
        <x:v>48201222502</x:v>
      </x:c>
      <x:c r="C3391" s="66" t="n">
        <x:v>556.0734123240799</x:v>
      </x:c>
      <x:c r="D3391" s="66" t="n">
        <x:v>433.1811882004582</x:v>
      </x:c>
      <x:c r="E3391" s="66" t="n">
        <x:v>122.89222412362165</x:v>
      </x:c>
      <x:c r="F3391" s="66" t="n">
        <x:v>122.89222412362165</x:v>
      </x:c>
      <x:c r="G3391" s="66" t="n">
        <x:v>556.0734123240799</x:v>
      </x:c>
      <x:c r="H3391" s="45" t="n">
        <x:v>1</x:v>
      </x:c>
      <x:c r="I3391" s="36" t="str">
        <x:v>generated design-reference observation; not predicted tract behavior</x:v>
      </x:c>
    </x:row>
    <x:row r="3392" ht="75.5999984741211" hidden="0" customHeight="1">
      <x:c r="A3392" s="34" t="str">
        <x:v>H3</x:v>
      </x:c>
      <x:c r="B3392" s="34" t="str">
        <x:v>48201222504</x:v>
      </x:c>
      <x:c r="C3392" s="65" t="n">
        <x:v>264.15860057053413</x:v>
      </x:c>
      <x:c r="D3392" s="65" t="n">
        <x:v>235.17947740788776</x:v>
      </x:c>
      <x:c r="E3392" s="65" t="n">
        <x:v>28.979123162646374</x:v>
      </x:c>
      <x:c r="F3392" s="65" t="n">
        <x:v>28.979123162646374</x:v>
      </x:c>
      <x:c r="G3392" s="65" t="n">
        <x:v>264.15860057053413</x:v>
      </x:c>
      <x:c r="H3392" s="43" t="n">
        <x:v>1</x:v>
      </x:c>
      <x:c r="I3392" s="34" t="str">
        <x:v>generated design-reference observation; not predicted tract behavior</x:v>
      </x:c>
    </x:row>
    <x:row r="3393" ht="75.5999984741211" hidden="0" customHeight="1">
      <x:c r="A3393" s="36" t="str">
        <x:v>H3</x:v>
      </x:c>
      <x:c r="B3393" s="36" t="str">
        <x:v>48201222505</x:v>
      </x:c>
      <x:c r="C3393" s="66" t="n">
        <x:v>265.89948512948604</x:v>
      </x:c>
      <x:c r="D3393" s="66" t="n">
        <x:v>237.448240220631</x:v>
      </x:c>
      <x:c r="E3393" s="66" t="n">
        <x:v>28.451244908855045</x:v>
      </x:c>
      <x:c r="F3393" s="66" t="n">
        <x:v>28.451244908855045</x:v>
      </x:c>
      <x:c r="G3393" s="66" t="n">
        <x:v>265.89948512948604</x:v>
      </x:c>
      <x:c r="H3393" s="45" t="n">
        <x:v>1</x:v>
      </x:c>
      <x:c r="I3393" s="36" t="str">
        <x:v>generated design-reference observation; not predicted tract behavior</x:v>
      </x:c>
    </x:row>
    <x:row r="3394" ht="75.5999984741211" hidden="0" customHeight="1">
      <x:c r="A3394" s="34" t="str">
        <x:v>H3</x:v>
      </x:c>
      <x:c r="B3394" s="34" t="str">
        <x:v>48201222601</x:v>
      </x:c>
      <x:c r="C3394" s="65" t="n">
        <x:v>184.4669572951718</x:v>
      </x:c>
      <x:c r="D3394" s="65" t="n">
        <x:v>163.79491505588695</x:v>
      </x:c>
      <x:c r="E3394" s="65" t="n">
        <x:v>20.67204223928485</x:v>
      </x:c>
      <x:c r="F3394" s="65" t="n">
        <x:v>20.67204223928485</x:v>
      </x:c>
      <x:c r="G3394" s="65" t="n">
        <x:v>184.4669572951718</x:v>
      </x:c>
      <x:c r="H3394" s="43" t="n">
        <x:v>1</x:v>
      </x:c>
      <x:c r="I3394" s="34" t="str">
        <x:v>generated design-reference observation; not predicted tract behavior</x:v>
      </x:c>
    </x:row>
    <x:row r="3395" ht="75.5999984741211" hidden="0" customHeight="1">
      <x:c r="A3395" s="36" t="str">
        <x:v>H3</x:v>
      </x:c>
      <x:c r="B3395" s="36" t="str">
        <x:v>48201222602</x:v>
      </x:c>
      <x:c r="C3395" s="66" t="n">
        <x:v>191.36368957724983</x:v>
      </x:c>
      <x:c r="D3395" s="66" t="n">
        <x:v>169.89890769967107</x:v>
      </x:c>
      <x:c r="E3395" s="66" t="n">
        <x:v>21.46478187757876</x:v>
      </x:c>
      <x:c r="F3395" s="66" t="n">
        <x:v>21.46478187757876</x:v>
      </x:c>
      <x:c r="G3395" s="66" t="n">
        <x:v>191.36368957724983</x:v>
      </x:c>
      <x:c r="H3395" s="45" t="n">
        <x:v>1</x:v>
      </x:c>
      <x:c r="I3395" s="36" t="str">
        <x:v>generated design-reference observation; not predicted tract behavior</x:v>
      </x:c>
    </x:row>
    <x:row r="3396" ht="75.5999984741211" hidden="0" customHeight="1">
      <x:c r="A3396" s="34" t="str">
        <x:v>H3</x:v>
      </x:c>
      <x:c r="B3396" s="34" t="str">
        <x:v>48201222701</x:v>
      </x:c>
      <x:c r="C3396" s="65" t="n">
        <x:v>222.67996282846357</x:v>
      </x:c>
      <x:c r="D3396" s="65" t="n">
        <x:v>197.5144320077768</x:v>
      </x:c>
      <x:c r="E3396" s="65" t="n">
        <x:v>25.16553082068677</x:v>
      </x:c>
      <x:c r="F3396" s="65" t="n">
        <x:v>25.16553082068677</x:v>
      </x:c>
      <x:c r="G3396" s="65" t="n">
        <x:v>222.67996282846357</x:v>
      </x:c>
      <x:c r="H3396" s="43" t="n">
        <x:v>1</x:v>
      </x:c>
      <x:c r="I3396" s="34" t="str">
        <x:v>generated design-reference observation; not predicted tract behavior</x:v>
      </x:c>
    </x:row>
    <x:row r="3397" ht="75.5999984741211" hidden="0" customHeight="1">
      <x:c r="A3397" s="36" t="str">
        <x:v>H3</x:v>
      </x:c>
      <x:c r="B3397" s="36" t="str">
        <x:v>48201222702</x:v>
      </x:c>
      <x:c r="C3397" s="66" t="n">
        <x:v>479.3717133398433</x:v>
      </x:c>
      <x:c r="D3397" s="66" t="n">
        <x:v>370.4671589896892</x:v>
      </x:c>
      <x:c r="E3397" s="66" t="n">
        <x:v>108.90455435015411</x:v>
      </x:c>
      <x:c r="F3397" s="66" t="n">
        <x:v>108.90455435015411</x:v>
      </x:c>
      <x:c r="G3397" s="66" t="n">
        <x:v>479.3717133398433</x:v>
      </x:c>
      <x:c r="H3397" s="45" t="n">
        <x:v>1</x:v>
      </x:c>
      <x:c r="I3397" s="36" t="str">
        <x:v>generated design-reference observation; not predicted tract behavior</x:v>
      </x:c>
    </x:row>
    <x:row r="3398" ht="75.5999984741211" hidden="0" customHeight="1">
      <x:c r="A3398" s="34" t="str">
        <x:v>H3</x:v>
      </x:c>
      <x:c r="B3398" s="34" t="str">
        <x:v>48201222800</x:v>
      </x:c>
      <x:c r="C3398" s="65" t="n">
        <x:v>324.8970017966302</x:v>
      </x:c>
      <x:c r="D3398" s="65" t="n">
        <x:v>290.13302260439076</x:v>
      </x:c>
      <x:c r="E3398" s="65" t="n">
        <x:v>34.76397919223945</x:v>
      </x:c>
      <x:c r="F3398" s="65" t="n">
        <x:v>34.76397919223945</x:v>
      </x:c>
      <x:c r="G3398" s="65" t="n">
        <x:v>324.8970017966302</x:v>
      </x:c>
      <x:c r="H3398" s="43" t="n">
        <x:v>1</x:v>
      </x:c>
      <x:c r="I3398" s="34" t="str">
        <x:v>generated design-reference observation; not predicted tract behavior</x:v>
      </x:c>
    </x:row>
    <x:row r="3399" ht="75.5999984741211" hidden="0" customHeight="1">
      <x:c r="A3399" s="36" t="str">
        <x:v>H3</x:v>
      </x:c>
      <x:c r="B3399" s="36" t="str">
        <x:v>48201222900</x:v>
      </x:c>
      <x:c r="C3399" s="66" t="n">
        <x:v>1357.4474043251957</x:v>
      </x:c>
      <x:c r="D3399" s="66" t="n">
        <x:v>580.3087653490211</x:v>
      </x:c>
      <x:c r="E3399" s="66" t="n">
        <x:v>777.1386389761747</x:v>
      </x:c>
      <x:c r="F3399" s="66" t="n">
        <x:v>777.1386389761747</x:v>
      </x:c>
      <x:c r="G3399" s="66" t="n">
        <x:v>1357.4474043251957</x:v>
      </x:c>
      <x:c r="H3399" s="45" t="n">
        <x:v>1</x:v>
      </x:c>
      <x:c r="I3399" s="36" t="str">
        <x:v>generated design-reference observation; not predicted tract behavior</x:v>
      </x:c>
    </x:row>
    <x:row r="3400" ht="75.5999984741211" hidden="0" customHeight="1">
      <x:c r="A3400" s="34" t="str">
        <x:v>H3</x:v>
      </x:c>
      <x:c r="B3400" s="34" t="str">
        <x:v>48201223001</x:v>
      </x:c>
      <x:c r="C3400" s="65" t="n">
        <x:v>702.2242834062232</x:v>
      </x:c>
      <x:c r="D3400" s="65" t="n">
        <x:v>299.58654057391476</x:v>
      </x:c>
      <x:c r="E3400" s="65" t="n">
        <x:v>402.63774283230845</x:v>
      </x:c>
      <x:c r="F3400" s="65" t="n">
        <x:v>402.63774283230845</x:v>
      </x:c>
      <x:c r="G3400" s="65" t="n">
        <x:v>702.2242834062232</x:v>
      </x:c>
      <x:c r="H3400" s="43" t="n">
        <x:v>1</x:v>
      </x:c>
      <x:c r="I3400" s="34" t="str">
        <x:v>generated design-reference observation; not predicted tract behavior</x:v>
      </x:c>
    </x:row>
    <x:row r="3401" ht="75.5999984741211" hidden="0" customHeight="1">
      <x:c r="A3401" s="36" t="str">
        <x:v>H3</x:v>
      </x:c>
      <x:c r="B3401" s="36" t="str">
        <x:v>48201223002</x:v>
      </x:c>
      <x:c r="C3401" s="66" t="n">
        <x:v>395.0081876441645</x:v>
      </x:c>
      <x:c r="D3401" s="66" t="n">
        <x:v>305.7818534451157</x:v>
      </x:c>
      <x:c r="E3401" s="66" t="n">
        <x:v>89.22633419904878</x:v>
      </x:c>
      <x:c r="F3401" s="66" t="n">
        <x:v>89.22633419904878</x:v>
      </x:c>
      <x:c r="G3401" s="66" t="n">
        <x:v>395.0081876441645</x:v>
      </x:c>
      <x:c r="H3401" s="45" t="n">
        <x:v>1</x:v>
      </x:c>
      <x:c r="I3401" s="36" t="str">
        <x:v>generated design-reference observation; not predicted tract behavior</x:v>
      </x:c>
    </x:row>
    <x:row r="3402" ht="75.5999984741211" hidden="0" customHeight="1">
      <x:c r="A3402" s="34" t="str">
        <x:v>H3</x:v>
      </x:c>
      <x:c r="B3402" s="34" t="str">
        <x:v>48201223100</x:v>
      </x:c>
      <x:c r="C3402" s="65" t="n">
        <x:v>310.00501761322926</x:v>
      </x:c>
      <x:c r="D3402" s="65" t="n">
        <x:v>241.4939087207056</x:v>
      </x:c>
      <x:c r="E3402" s="65" t="n">
        <x:v>68.51110889252365</x:v>
      </x:c>
      <x:c r="F3402" s="65" t="n">
        <x:v>68.51110889252365</x:v>
      </x:c>
      <x:c r="G3402" s="65" t="n">
        <x:v>310.00501761322926</x:v>
      </x:c>
      <x:c r="H3402" s="43" t="n">
        <x:v>1</x:v>
      </x:c>
      <x:c r="I3402" s="34" t="str">
        <x:v>generated design-reference observation; not predicted tract behavior</x:v>
      </x:c>
    </x:row>
    <x:row r="3403" ht="75.5999984741211" hidden="0" customHeight="1">
      <x:c r="A3403" s="36" t="str">
        <x:v>H3</x:v>
      </x:c>
      <x:c r="B3403" s="36" t="str">
        <x:v>48201230100</x:v>
      </x:c>
      <x:c r="C3403" s="66" t="n">
        <x:v>145.47192912704602</x:v>
      </x:c>
      <x:c r="D3403" s="66" t="n">
        <x:v>129.59010788114347</x:v>
      </x:c>
      <x:c r="E3403" s="66" t="n">
        <x:v>15.881821245902557</x:v>
      </x:c>
      <x:c r="F3403" s="66" t="n">
        <x:v>15.881821245902557</x:v>
      </x:c>
      <x:c r="G3403" s="66" t="n">
        <x:v>145.47192912704602</x:v>
      </x:c>
      <x:c r="H3403" s="45" t="n">
        <x:v>1</x:v>
      </x:c>
      <x:c r="I3403" s="36" t="str">
        <x:v>generated design-reference observation; not predicted tract behavior</x:v>
      </x:c>
    </x:row>
    <x:row r="3404" ht="75.5999984741211" hidden="0" customHeight="1">
      <x:c r="A3404" s="34" t="str">
        <x:v>H3</x:v>
      </x:c>
      <x:c r="B3404" s="34" t="str">
        <x:v>48201230200</x:v>
      </x:c>
      <x:c r="C3404" s="65" t="n">
        <x:v>428.44623007740347</x:v>
      </x:c>
      <x:c r="D3404" s="65" t="n">
        <x:v>382.05278816889927</x:v>
      </x:c>
      <x:c r="E3404" s="65" t="n">
        <x:v>46.3934419085042</x:v>
      </x:c>
      <x:c r="F3404" s="65" t="n">
        <x:v>46.3934419085042</x:v>
      </x:c>
      <x:c r="G3404" s="65" t="n">
        <x:v>428.44623007740347</x:v>
      </x:c>
      <x:c r="H3404" s="43" t="n">
        <x:v>1</x:v>
      </x:c>
      <x:c r="I3404" s="34" t="str">
        <x:v>generated design-reference observation; not predicted tract behavior</x:v>
      </x:c>
    </x:row>
    <x:row r="3405" ht="75.5999984741211" hidden="0" customHeight="1">
      <x:c r="A3405" s="36" t="str">
        <x:v>H3</x:v>
      </x:c>
      <x:c r="B3405" s="36" t="str">
        <x:v>48201230300</x:v>
      </x:c>
      <x:c r="C3405" s="66" t="n">
        <x:v>176.96504166754386</x:v>
      </x:c>
      <x:c r="D3405" s="66" t="n">
        <x:v>158.02978220911663</x:v>
      </x:c>
      <x:c r="E3405" s="66" t="n">
        <x:v>18.935259458427225</x:v>
      </x:c>
      <x:c r="F3405" s="66" t="n">
        <x:v>18.935259458427225</x:v>
      </x:c>
      <x:c r="G3405" s="66" t="n">
        <x:v>176.96504166754386</x:v>
      </x:c>
      <x:c r="H3405" s="45" t="n">
        <x:v>1</x:v>
      </x:c>
      <x:c r="I3405" s="36" t="str">
        <x:v>generated design-reference observation; not predicted tract behavior</x:v>
      </x:c>
    </x:row>
    <x:row r="3406" ht="75.5999984741211" hidden="0" customHeight="1">
      <x:c r="A3406" s="34" t="str">
        <x:v>H3</x:v>
      </x:c>
      <x:c r="B3406" s="34" t="str">
        <x:v>48201230400</x:v>
      </x:c>
      <x:c r="C3406" s="65" t="n">
        <x:v>340.74180211648144</x:v>
      </x:c>
      <x:c r="D3406" s="65" t="n">
        <x:v>304.14411909488604</x:v>
      </x:c>
      <x:c r="E3406" s="65" t="n">
        <x:v>36.5976830215954</x:v>
      </x:c>
      <x:c r="F3406" s="65" t="n">
        <x:v>36.5976830215954</x:v>
      </x:c>
      <x:c r="G3406" s="65" t="n">
        <x:v>340.74180211648144</x:v>
      </x:c>
      <x:c r="H3406" s="43" t="n">
        <x:v>1</x:v>
      </x:c>
      <x:c r="I3406" s="34" t="str">
        <x:v>generated design-reference observation; not predicted tract behavior</x:v>
      </x:c>
    </x:row>
    <x:row r="3407" ht="75.5999984741211" hidden="0" customHeight="1">
      <x:c r="A3407" s="36" t="str">
        <x:v>H3</x:v>
      </x:c>
      <x:c r="B3407" s="36" t="str">
        <x:v>48201230500</x:v>
      </x:c>
      <x:c r="C3407" s="66" t="n">
        <x:v>296.21759883674093</x:v>
      </x:c>
      <x:c r="D3407" s="66" t="n">
        <x:v>264.52231576120965</x:v>
      </x:c>
      <x:c r="E3407" s="66" t="n">
        <x:v>31.69528307553128</x:v>
      </x:c>
      <x:c r="F3407" s="66" t="n">
        <x:v>31.69528307553128</x:v>
      </x:c>
      <x:c r="G3407" s="66" t="n">
        <x:v>296.21759883674093</x:v>
      </x:c>
      <x:c r="H3407" s="45" t="n">
        <x:v>1</x:v>
      </x:c>
      <x:c r="I3407" s="36" t="str">
        <x:v>generated design-reference observation; not predicted tract behavior</x:v>
      </x:c>
    </x:row>
    <x:row r="3408" ht="75.5999984741211" hidden="0" customHeight="1">
      <x:c r="A3408" s="34" t="str">
        <x:v>H3</x:v>
      </x:c>
      <x:c r="B3408" s="34" t="str">
        <x:v>48201230600</x:v>
      </x:c>
      <x:c r="C3408" s="65" t="n">
        <x:v>250.37299553034623</x:v>
      </x:c>
      <x:c r="D3408" s="65" t="n">
        <x:v>223.54862133460938</x:v>
      </x:c>
      <x:c r="E3408" s="65" t="n">
        <x:v>26.82437419573685</x:v>
      </x:c>
      <x:c r="F3408" s="65" t="n">
        <x:v>26.82437419573685</x:v>
      </x:c>
      <x:c r="G3408" s="65" t="n">
        <x:v>250.37299553034623</x:v>
      </x:c>
      <x:c r="H3408" s="43" t="n">
        <x:v>1</x:v>
      </x:c>
      <x:c r="I3408" s="34" t="str">
        <x:v>generated design-reference observation; not predicted tract behavior</x:v>
      </x:c>
    </x:row>
    <x:row r="3409" ht="75.5999984741211" hidden="0" customHeight="1">
      <x:c r="A3409" s="36" t="str">
        <x:v>H3</x:v>
      </x:c>
      <x:c r="B3409" s="36" t="str">
        <x:v>48201230700</x:v>
      </x:c>
      <x:c r="C3409" s="66" t="n">
        <x:v>279.4689532605491</x:v>
      </x:c>
      <x:c r="D3409" s="66" t="n">
        <x:v>249.35764318654861</x:v>
      </x:c>
      <x:c r="E3409" s="66" t="n">
        <x:v>30.11131007400047</x:v>
      </x:c>
      <x:c r="F3409" s="66" t="n">
        <x:v>30.11131007400047</x:v>
      </x:c>
      <x:c r="G3409" s="66" t="n">
        <x:v>279.4689532605491</x:v>
      </x:c>
      <x:c r="H3409" s="45" t="n">
        <x:v>1</x:v>
      </x:c>
      <x:c r="I3409" s="36" t="str">
        <x:v>generated design-reference observation; not predicted tract behavior</x:v>
      </x:c>
    </x:row>
    <x:row r="3410" ht="75.5999984741211" hidden="0" customHeight="1">
      <x:c r="A3410" s="34" t="str">
        <x:v>H3</x:v>
      </x:c>
      <x:c r="B3410" s="34" t="str">
        <x:v>48201230800</x:v>
      </x:c>
      <x:c r="C3410" s="65" t="n">
        <x:v>192.19679911787694</x:v>
      </x:c>
      <x:c r="D3410" s="65" t="n">
        <x:v>171.52266086287793</x:v>
      </x:c>
      <x:c r="E3410" s="65" t="n">
        <x:v>20.674138254999008</x:v>
      </x:c>
      <x:c r="F3410" s="65" t="n">
        <x:v>20.674138254999008</x:v>
      </x:c>
      <x:c r="G3410" s="65" t="n">
        <x:v>192.19679911787694</x:v>
      </x:c>
      <x:c r="H3410" s="43" t="n">
        <x:v>1</x:v>
      </x:c>
      <x:c r="I3410" s="34" t="str">
        <x:v>generated design-reference observation; not predicted tract behavior</x:v>
      </x:c>
    </x:row>
    <x:row r="3411" ht="75.5999984741211" hidden="0" customHeight="1">
      <x:c r="A3411" s="36" t="str">
        <x:v>H3</x:v>
      </x:c>
      <x:c r="B3411" s="36" t="str">
        <x:v>48201230900</x:v>
      </x:c>
      <x:c r="C3411" s="66" t="n">
        <x:v>370.85556820056354</x:v>
      </x:c>
      <x:c r="D3411" s="66" t="n">
        <x:v>330.34361589916705</x:v>
      </x:c>
      <x:c r="E3411" s="66" t="n">
        <x:v>40.51195230139649</x:v>
      </x:c>
      <x:c r="F3411" s="66" t="n">
        <x:v>40.51195230139649</x:v>
      </x:c>
      <x:c r="G3411" s="66" t="n">
        <x:v>370.85556820056354</x:v>
      </x:c>
      <x:c r="H3411" s="45" t="n">
        <x:v>1</x:v>
      </x:c>
      <x:c r="I3411" s="36" t="str">
        <x:v>generated design-reference observation; not predicted tract behavior</x:v>
      </x:c>
    </x:row>
    <x:row r="3412" ht="75.5999984741211" hidden="0" customHeight="1">
      <x:c r="A3412" s="34" t="str">
        <x:v>H3</x:v>
      </x:c>
      <x:c r="B3412" s="34" t="str">
        <x:v>48201231000</x:v>
      </x:c>
      <x:c r="C3412" s="65" t="n">
        <x:v>494.2500945009916</x:v>
      </x:c>
      <x:c r="D3412" s="65" t="n">
        <x:v>441.36533438938545</x:v>
      </x:c>
      <x:c r="E3412" s="65" t="n">
        <x:v>52.88476011160617</x:v>
      </x:c>
      <x:c r="F3412" s="65" t="n">
        <x:v>52.88476011160617</x:v>
      </x:c>
      <x:c r="G3412" s="65" t="n">
        <x:v>494.2500945009916</x:v>
      </x:c>
      <x:c r="H3412" s="43" t="n">
        <x:v>1</x:v>
      </x:c>
      <x:c r="I3412" s="34" t="str">
        <x:v>generated design-reference observation; not predicted tract behavior</x:v>
      </x:c>
    </x:row>
    <x:row r="3413" ht="75.5999984741211" hidden="0" customHeight="1">
      <x:c r="A3413" s="36" t="str">
        <x:v>H3</x:v>
      </x:c>
      <x:c r="B3413" s="36" t="str">
        <x:v>48201231100</x:v>
      </x:c>
      <x:c r="C3413" s="66" t="n">
        <x:v>449.9341686064079</x:v>
      </x:c>
      <x:c r="D3413" s="66" t="n">
        <x:v>401.3818403866819</x:v>
      </x:c>
      <x:c r="E3413" s="66" t="n">
        <x:v>48.55232821972601</x:v>
      </x:c>
      <x:c r="F3413" s="66" t="n">
        <x:v>48.55232821972601</x:v>
      </x:c>
      <x:c r="G3413" s="66" t="n">
        <x:v>449.9341686064079</x:v>
      </x:c>
      <x:c r="H3413" s="45" t="n">
        <x:v>1</x:v>
      </x:c>
      <x:c r="I3413" s="36" t="str">
        <x:v>generated design-reference observation; not predicted tract behavior</x:v>
      </x:c>
    </x:row>
    <x:row r="3414" ht="75.5999984741211" hidden="0" customHeight="1">
      <x:c r="A3414" s="34" t="str">
        <x:v>H3</x:v>
      </x:c>
      <x:c r="B3414" s="34" t="str">
        <x:v>48201231200</x:v>
      </x:c>
      <x:c r="C3414" s="65" t="n">
        <x:v>452.3549019886075</x:v>
      </x:c>
      <x:c r="D3414" s="65" t="n">
        <x:v>402.7869367124013</x:v>
      </x:c>
      <x:c r="E3414" s="65" t="n">
        <x:v>49.567965276206166</x:v>
      </x:c>
      <x:c r="F3414" s="65" t="n">
        <x:v>49.567965276206166</x:v>
      </x:c>
      <x:c r="G3414" s="65" t="n">
        <x:v>452.3549019886075</x:v>
      </x:c>
      <x:c r="H3414" s="43" t="n">
        <x:v>1</x:v>
      </x:c>
      <x:c r="I3414" s="34" t="str">
        <x:v>generated design-reference observation; not predicted tract behavior</x:v>
      </x:c>
    </x:row>
    <x:row r="3415" ht="75.5999984741211" hidden="0" customHeight="1">
      <x:c r="A3415" s="36" t="str">
        <x:v>H3</x:v>
      </x:c>
      <x:c r="B3415" s="36" t="str">
        <x:v>48201231300</x:v>
      </x:c>
      <x:c r="C3415" s="66" t="n">
        <x:v>440.1883588858646</x:v>
      </x:c>
      <x:c r="D3415" s="66" t="n">
        <x:v>392.522900441647</x:v>
      </x:c>
      <x:c r="E3415" s="66" t="n">
        <x:v>47.66545844421762</x:v>
      </x:c>
      <x:c r="F3415" s="66" t="n">
        <x:v>47.66545844421762</x:v>
      </x:c>
      <x:c r="G3415" s="66" t="n">
        <x:v>440.1883588858646</x:v>
      </x:c>
      <x:c r="H3415" s="45" t="n">
        <x:v>1</x:v>
      </x:c>
      <x:c r="I3415" s="36" t="str">
        <x:v>generated design-reference observation; not predicted tract behavior</x:v>
      </x:c>
    </x:row>
    <x:row r="3416" ht="75.5999984741211" hidden="0" customHeight="1">
      <x:c r="A3416" s="34" t="str">
        <x:v>H3</x:v>
      </x:c>
      <x:c r="B3416" s="34" t="str">
        <x:v>48201231400</x:v>
      </x:c>
      <x:c r="C3416" s="65" t="n">
        <x:v>307.4842264451272</x:v>
      </x:c>
      <x:c r="D3416" s="65" t="n">
        <x:v>274.5834142154986</x:v>
      </x:c>
      <x:c r="E3416" s="65" t="n">
        <x:v>32.90081222962863</x:v>
      </x:c>
      <x:c r="F3416" s="65" t="n">
        <x:v>32.90081222962863</x:v>
      </x:c>
      <x:c r="G3416" s="65" t="n">
        <x:v>307.4842264451272</x:v>
      </x:c>
      <x:c r="H3416" s="43" t="n">
        <x:v>1</x:v>
      </x:c>
      <x:c r="I3416" s="34" t="str">
        <x:v>generated design-reference observation; not predicted tract behavior</x:v>
      </x:c>
    </x:row>
    <x:row r="3417" ht="75.5999984741211" hidden="0" customHeight="1">
      <x:c r="A3417" s="36" t="str">
        <x:v>H3</x:v>
      </x:c>
      <x:c r="B3417" s="36" t="str">
        <x:v>48201231500</x:v>
      </x:c>
      <x:c r="C3417" s="66" t="n">
        <x:v>259.67081238470337</x:v>
      </x:c>
      <x:c r="D3417" s="66" t="n">
        <x:v>231.8592278253829</x:v>
      </x:c>
      <x:c r="E3417" s="66" t="n">
        <x:v>27.811584559320465</x:v>
      </x:c>
      <x:c r="F3417" s="66" t="n">
        <x:v>27.811584559320465</x:v>
      </x:c>
      <x:c r="G3417" s="66" t="n">
        <x:v>259.67081238470337</x:v>
      </x:c>
      <x:c r="H3417" s="45" t="n">
        <x:v>1</x:v>
      </x:c>
      <x:c r="I3417" s="36" t="str">
        <x:v>generated design-reference observation; not predicted tract behavior</x:v>
      </x:c>
    </x:row>
    <x:row r="3418" ht="75.5999984741211" hidden="0" customHeight="1">
      <x:c r="A3418" s="34" t="str">
        <x:v>H3</x:v>
      </x:c>
      <x:c r="B3418" s="34" t="str">
        <x:v>48201231600</x:v>
      </x:c>
      <x:c r="C3418" s="65" t="n">
        <x:v>230.43338322307326</x:v>
      </x:c>
      <x:c r="D3418" s="65" t="n">
        <x:v>205.7770112182044</x:v>
      </x:c>
      <x:c r="E3418" s="65" t="n">
        <x:v>24.65637200486887</x:v>
      </x:c>
      <x:c r="F3418" s="65" t="n">
        <x:v>24.65637200486887</x:v>
      </x:c>
      <x:c r="G3418" s="65" t="n">
        <x:v>230.43338322307326</x:v>
      </x:c>
      <x:c r="H3418" s="43" t="n">
        <x:v>1</x:v>
      </x:c>
      <x:c r="I3418" s="34" t="str">
        <x:v>generated design-reference observation; not predicted tract behavior</x:v>
      </x:c>
    </x:row>
    <x:row r="3419" ht="75.5999984741211" hidden="0" customHeight="1">
      <x:c r="A3419" s="36" t="str">
        <x:v>H3</x:v>
      </x:c>
      <x:c r="B3419" s="36" t="str">
        <x:v>48201231700</x:v>
      </x:c>
      <x:c r="C3419" s="66" t="n">
        <x:v>817.8862472794956</x:v>
      </x:c>
      <x:c r="D3419" s="66" t="n">
        <x:v>349.60591576000115</x:v>
      </x:c>
      <x:c r="E3419" s="66" t="n">
        <x:v>468.28033151949444</x:v>
      </x:c>
      <x:c r="F3419" s="66" t="n">
        <x:v>468.28033151949444</x:v>
      </x:c>
      <x:c r="G3419" s="66" t="n">
        <x:v>817.8862472794956</x:v>
      </x:c>
      <x:c r="H3419" s="45" t="n">
        <x:v>1</x:v>
      </x:c>
      <x:c r="I3419" s="36" t="str">
        <x:v>generated design-reference observation; not predicted tract behavior</x:v>
      </x:c>
    </x:row>
    <x:row r="3420" ht="75.5999984741211" hidden="0" customHeight="1">
      <x:c r="A3420" s="34" t="str">
        <x:v>H3</x:v>
      </x:c>
      <x:c r="B3420" s="34" t="str">
        <x:v>48201231800</x:v>
      </x:c>
      <x:c r="C3420" s="65" t="n">
        <x:v>261.2662957502439</x:v>
      </x:c>
      <x:c r="D3420" s="65" t="n">
        <x:v>233.31080210496776</x:v>
      </x:c>
      <x:c r="E3420" s="65" t="n">
        <x:v>27.955493645276135</x:v>
      </x:c>
      <x:c r="F3420" s="65" t="n">
        <x:v>27.955493645276135</x:v>
      </x:c>
      <x:c r="G3420" s="65" t="n">
        <x:v>261.2662957502439</x:v>
      </x:c>
      <x:c r="H3420" s="43" t="n">
        <x:v>1</x:v>
      </x:c>
      <x:c r="I3420" s="34" t="str">
        <x:v>generated design-reference observation; not predicted tract behavior</x:v>
      </x:c>
    </x:row>
    <x:row r="3421" ht="75.5999984741211" hidden="0" customHeight="1">
      <x:c r="A3421" s="36" t="str">
        <x:v>H3</x:v>
      </x:c>
      <x:c r="B3421" s="36" t="str">
        <x:v>48201231900</x:v>
      </x:c>
      <x:c r="C3421" s="66" t="n">
        <x:v>1033.5515849663586</x:v>
      </x:c>
      <x:c r="D3421" s="66" t="n">
        <x:v>441.84330257311825</x:v>
      </x:c>
      <x:c r="E3421" s="66" t="n">
        <x:v>591.7082823932403</x:v>
      </x:c>
      <x:c r="F3421" s="66" t="n">
        <x:v>591.7082823932403</x:v>
      </x:c>
      <x:c r="G3421" s="66" t="n">
        <x:v>1033.5515849663586</x:v>
      </x:c>
      <x:c r="H3421" s="45" t="n">
        <x:v>1</x:v>
      </x:c>
      <x:c r="I3421" s="36" t="str">
        <x:v>generated design-reference observation; not predicted tract behavior</x:v>
      </x:c>
    </x:row>
    <x:row r="3422" ht="75.5999984741211" hidden="0" customHeight="1">
      <x:c r="A3422" s="34" t="str">
        <x:v>H3</x:v>
      </x:c>
      <x:c r="B3422" s="34" t="str">
        <x:v>48201232000</x:v>
      </x:c>
      <x:c r="C3422" s="65" t="n">
        <x:v>687.3812701029317</x:v>
      </x:c>
      <x:c r="D3422" s="65" t="n">
        <x:v>535.4700094101838</x:v>
      </x:c>
      <x:c r="E3422" s="65" t="n">
        <x:v>151.91126069274787</x:v>
      </x:c>
      <x:c r="F3422" s="65" t="n">
        <x:v>151.91126069274787</x:v>
      </x:c>
      <x:c r="G3422" s="65" t="n">
        <x:v>687.3812701029317</x:v>
      </x:c>
      <x:c r="H3422" s="43" t="n">
        <x:v>1</x:v>
      </x:c>
      <x:c r="I3422" s="34" t="str">
        <x:v>generated design-reference observation; not predicted tract behavior</x:v>
      </x:c>
    </x:row>
    <x:row r="3423" ht="75.5999984741211" hidden="0" customHeight="1">
      <x:c r="A3423" s="36" t="str">
        <x:v>H3</x:v>
      </x:c>
      <x:c r="B3423" s="36" t="str">
        <x:v>48201232100</x:v>
      </x:c>
      <x:c r="C3423" s="66" t="n">
        <x:v>269.864614971433</x:v>
      </x:c>
      <x:c r="D3423" s="66" t="n">
        <x:v>240.33243217765667</x:v>
      </x:c>
      <x:c r="E3423" s="66" t="n">
        <x:v>29.532182793776343</x:v>
      </x:c>
      <x:c r="F3423" s="66" t="n">
        <x:v>29.532182793776343</x:v>
      </x:c>
      <x:c r="G3423" s="66" t="n">
        <x:v>269.864614971433</x:v>
      </x:c>
      <x:c r="H3423" s="45" t="n">
        <x:v>1</x:v>
      </x:c>
      <x:c r="I3423" s="36" t="str">
        <x:v>generated design-reference observation; not predicted tract behavior</x:v>
      </x:c>
    </x:row>
    <x:row r="3424" ht="75.5999984741211" hidden="0" customHeight="1">
      <x:c r="A3424" s="34" t="str">
        <x:v>H3</x:v>
      </x:c>
      <x:c r="B3424" s="34" t="str">
        <x:v>48201232201</x:v>
      </x:c>
      <x:c r="C3424" s="65" t="n">
        <x:v>961.983364290877</x:v>
      </x:c>
      <x:c r="D3424" s="65" t="n">
        <x:v>746.732680967261</x:v>
      </x:c>
      <x:c r="E3424" s="65" t="n">
        <x:v>215.25068332361604</x:v>
      </x:c>
      <x:c r="F3424" s="65" t="n">
        <x:v>215.25068332361604</x:v>
      </x:c>
      <x:c r="G3424" s="65" t="n">
        <x:v>961.983364290877</x:v>
      </x:c>
      <x:c r="H3424" s="43" t="n">
        <x:v>1</x:v>
      </x:c>
      <x:c r="I3424" s="34" t="str">
        <x:v>generated design-reference observation; not predicted tract behavior</x:v>
      </x:c>
    </x:row>
    <x:row r="3425" ht="75.5999984741211" hidden="0" customHeight="1">
      <x:c r="A3425" s="36" t="str">
        <x:v>H3</x:v>
      </x:c>
      <x:c r="B3425" s="36" t="str">
        <x:v>48201232202</x:v>
      </x:c>
      <x:c r="C3425" s="66" t="n">
        <x:v>994.8029226456969</x:v>
      </x:c>
      <x:c r="D3425" s="66" t="n">
        <x:v>425.2782494310353</x:v>
      </x:c>
      <x:c r="E3425" s="66" t="n">
        <x:v>569.5246732146616</x:v>
      </x:c>
      <x:c r="F3425" s="66" t="n">
        <x:v>569.5246732146616</x:v>
      </x:c>
      <x:c r="G3425" s="66" t="n">
        <x:v>994.8029226456969</x:v>
      </x:c>
      <x:c r="H3425" s="45" t="n">
        <x:v>1</x:v>
      </x:c>
      <x:c r="I3425" s="36" t="str">
        <x:v>generated design-reference observation; not predicted tract behavior</x:v>
      </x:c>
    </x:row>
    <x:row r="3426" ht="75.5999984741211" hidden="0" customHeight="1">
      <x:c r="A3426" s="34" t="str">
        <x:v>H3</x:v>
      </x:c>
      <x:c r="B3426" s="34" t="str">
        <x:v>48201232203</x:v>
      </x:c>
      <x:c r="C3426" s="65" t="n">
        <x:v>1010.8677896366571</x:v>
      </x:c>
      <x:c r="D3426" s="65" t="n">
        <x:v>430.52578732758434</x:v>
      </x:c>
      <x:c r="E3426" s="65" t="n">
        <x:v>580.3420023090728</x:v>
      </x:c>
      <x:c r="F3426" s="65" t="n">
        <x:v>580.3420023090728</x:v>
      </x:c>
      <x:c r="G3426" s="65" t="n">
        <x:v>1010.8677896366571</x:v>
      </x:c>
      <x:c r="H3426" s="43" t="n">
        <x:v>1</x:v>
      </x:c>
      <x:c r="I3426" s="34" t="str">
        <x:v>generated design-reference observation; not predicted tract behavior</x:v>
      </x:c>
    </x:row>
    <x:row r="3427" ht="75.5999984741211" hidden="0" customHeight="1">
      <x:c r="A3427" s="36" t="str">
        <x:v>H3</x:v>
      </x:c>
      <x:c r="B3427" s="36" t="str">
        <x:v>48201232303</x:v>
      </x:c>
      <x:c r="C3427" s="66" t="n">
        <x:v>443.48935895250025</x:v>
      </x:c>
      <x:c r="D3427" s="66" t="n">
        <x:v>394.3596967325083</x:v>
      </x:c>
      <x:c r="E3427" s="66" t="n">
        <x:v>49.12966221999193</x:v>
      </x:c>
      <x:c r="F3427" s="66" t="n">
        <x:v>49.12966221999193</x:v>
      </x:c>
      <x:c r="G3427" s="66" t="n">
        <x:v>443.48935895250025</x:v>
      </x:c>
      <x:c r="H3427" s="45" t="n">
        <x:v>1</x:v>
      </x:c>
      <x:c r="I3427" s="36" t="str">
        <x:v>generated design-reference observation; not predicted tract behavior</x:v>
      </x:c>
    </x:row>
    <x:row r="3428" ht="75.5999984741211" hidden="0" customHeight="1">
      <x:c r="A3428" s="34" t="str">
        <x:v>H3</x:v>
      </x:c>
      <x:c r="B3428" s="34" t="str">
        <x:v>48201232304</x:v>
      </x:c>
      <x:c r="C3428" s="65" t="n">
        <x:v>607.273978925406</x:v>
      </x:c>
      <x:c r="D3428" s="65" t="n">
        <x:v>540.6613474831316</x:v>
      </x:c>
      <x:c r="E3428" s="65" t="n">
        <x:v>66.61263144227439</x:v>
      </x:c>
      <x:c r="F3428" s="65" t="n">
        <x:v>66.61263144227439</x:v>
      </x:c>
      <x:c r="G3428" s="65" t="n">
        <x:v>607.273978925406</x:v>
      </x:c>
      <x:c r="H3428" s="43" t="n">
        <x:v>1</x:v>
      </x:c>
      <x:c r="I3428" s="34" t="str">
        <x:v>generated design-reference observation; not predicted tract behavior</x:v>
      </x:c>
    </x:row>
    <x:row r="3429" ht="75.5999984741211" hidden="0" customHeight="1">
      <x:c r="A3429" s="36" t="str">
        <x:v>H3</x:v>
      </x:c>
      <x:c r="B3429" s="36" t="str">
        <x:v>48201232305</x:v>
      </x:c>
      <x:c r="C3429" s="66" t="n">
        <x:v>973.1151708342707</x:v>
      </x:c>
      <x:c r="D3429" s="66" t="n">
        <x:v>868.4605017894057</x:v>
      </x:c>
      <x:c r="E3429" s="66" t="n">
        <x:v>104.65466904486493</x:v>
      </x:c>
      <x:c r="F3429" s="66" t="n">
        <x:v>104.65466904486493</x:v>
      </x:c>
      <x:c r="G3429" s="66" t="n">
        <x:v>973.1151708342707</x:v>
      </x:c>
      <x:c r="H3429" s="45" t="n">
        <x:v>1</x:v>
      </x:c>
      <x:c r="I3429" s="36" t="str">
        <x:v>generated design-reference observation; not predicted tract behavior</x:v>
      </x:c>
    </x:row>
    <x:row r="3430" ht="75.5999984741211" hidden="0" customHeight="1">
      <x:c r="A3430" s="34" t="str">
        <x:v>H3</x:v>
      </x:c>
      <x:c r="B3430" s="34" t="str">
        <x:v>48201232306</x:v>
      </x:c>
      <x:c r="C3430" s="65" t="n">
        <x:v>333.81756150051467</x:v>
      </x:c>
      <x:c r="D3430" s="65" t="n">
        <x:v>298.0990824199596</x:v>
      </x:c>
      <x:c r="E3430" s="65" t="n">
        <x:v>35.718479080555085</x:v>
      </x:c>
      <x:c r="F3430" s="65" t="n">
        <x:v>35.718479080555085</x:v>
      </x:c>
      <x:c r="G3430" s="65" t="n">
        <x:v>333.81756150051467</x:v>
      </x:c>
      <x:c r="H3430" s="43" t="n">
        <x:v>1</x:v>
      </x:c>
      <x:c r="I3430" s="34" t="str">
        <x:v>generated design-reference observation; not predicted tract behavior</x:v>
      </x:c>
    </x:row>
    <x:row r="3431" ht="75.5999984741211" hidden="0" customHeight="1">
      <x:c r="A3431" s="36" t="str">
        <x:v>H3</x:v>
      </x:c>
      <x:c r="B3431" s="36" t="str">
        <x:v>48201232402</x:v>
      </x:c>
      <x:c r="C3431" s="66" t="n">
        <x:v>377.9959457256552</x:v>
      </x:c>
      <x:c r="D3431" s="66" t="n">
        <x:v>337.27339104354627</x:v>
      </x:c>
      <x:c r="E3431" s="66" t="n">
        <x:v>40.72255468210892</x:v>
      </x:c>
      <x:c r="F3431" s="66" t="n">
        <x:v>40.72255468210892</x:v>
      </x:c>
      <x:c r="G3431" s="66" t="n">
        <x:v>377.9959457256552</x:v>
      </x:c>
      <x:c r="H3431" s="45" t="n">
        <x:v>1</x:v>
      </x:c>
      <x:c r="I3431" s="36" t="str">
        <x:v>generated design-reference observation; not predicted tract behavior</x:v>
      </x:c>
    </x:row>
    <x:row r="3432" ht="75.5999984741211" hidden="0" customHeight="1">
      <x:c r="A3432" s="34" t="str">
        <x:v>H3</x:v>
      </x:c>
      <x:c r="B3432" s="34" t="str">
        <x:v>48201232403</x:v>
      </x:c>
      <x:c r="C3432" s="65" t="n">
        <x:v>700.8700269686292</x:v>
      </x:c>
      <x:c r="D3432" s="65" t="n">
        <x:v>298.998856716907</x:v>
      </x:c>
      <x:c r="E3432" s="65" t="n">
        <x:v>401.87117025172216</x:v>
      </x:c>
      <x:c r="F3432" s="65" t="n">
        <x:v>401.87117025172216</x:v>
      </x:c>
      <x:c r="G3432" s="65" t="n">
        <x:v>700.8700269686292</x:v>
      </x:c>
      <x:c r="H3432" s="43" t="n">
        <x:v>1</x:v>
      </x:c>
      <x:c r="I3432" s="34" t="str">
        <x:v>generated design-reference observation; not predicted tract behavior</x:v>
      </x:c>
    </x:row>
    <x:row r="3433" ht="75.5999984741211" hidden="0" customHeight="1">
      <x:c r="A3433" s="36" t="str">
        <x:v>H3</x:v>
      </x:c>
      <x:c r="B3433" s="36" t="str">
        <x:v>48201232404</x:v>
      </x:c>
      <x:c r="C3433" s="66" t="n">
        <x:v>322.6570374656989</x:v>
      </x:c>
      <x:c r="D3433" s="66" t="n">
        <x:v>287.93638409899836</x:v>
      </x:c>
      <x:c r="E3433" s="66" t="n">
        <x:v>34.72065336670056</x:v>
      </x:c>
      <x:c r="F3433" s="66" t="n">
        <x:v>34.72065336670056</x:v>
      </x:c>
      <x:c r="G3433" s="66" t="n">
        <x:v>322.6570374656989</x:v>
      </x:c>
      <x:c r="H3433" s="45" t="n">
        <x:v>1</x:v>
      </x:c>
      <x:c r="I3433" s="36" t="str">
        <x:v>generated design-reference observation; not predicted tract behavior</x:v>
      </x:c>
    </x:row>
    <x:row r="3434" ht="75.5999984741211" hidden="0" customHeight="1">
      <x:c r="A3434" s="34" t="str">
        <x:v>H3</x:v>
      </x:c>
      <x:c r="B3434" s="34" t="str">
        <x:v>48201232405</x:v>
      </x:c>
      <x:c r="C3434" s="65" t="n">
        <x:v>511.52925794503574</x:v>
      </x:c>
      <x:c r="D3434" s="65" t="n">
        <x:v>454.5781312009045</x:v>
      </x:c>
      <x:c r="E3434" s="65" t="n">
        <x:v>56.951126744131216</x:v>
      </x:c>
      <x:c r="F3434" s="65" t="n">
        <x:v>56.951126744131216</x:v>
      </x:c>
      <x:c r="G3434" s="65" t="n">
        <x:v>511.52925794503574</x:v>
      </x:c>
      <x:c r="H3434" s="43" t="n">
        <x:v>1</x:v>
      </x:c>
      <x:c r="I3434" s="34" t="str">
        <x:v>generated design-reference observation; not predicted tract behavior</x:v>
      </x:c>
    </x:row>
    <x:row r="3435" ht="75.5999984741211" hidden="0" customHeight="1">
      <x:c r="A3435" s="36" t="str">
        <x:v>H3</x:v>
      </x:c>
      <x:c r="B3435" s="36" t="str">
        <x:v>48201232500</x:v>
      </x:c>
      <x:c r="C3435" s="66" t="n">
        <x:v>317.5955040301909</x:v>
      </x:c>
      <x:c r="D3435" s="66" t="n">
        <x:v>282.6402431730464</x:v>
      </x:c>
      <x:c r="E3435" s="66" t="n">
        <x:v>34.95526085714454</x:v>
      </x:c>
      <x:c r="F3435" s="66" t="n">
        <x:v>34.95526085714454</x:v>
      </x:c>
      <x:c r="G3435" s="66" t="n">
        <x:v>317.5955040301909</x:v>
      </x:c>
      <x:c r="H3435" s="45" t="n">
        <x:v>1</x:v>
      </x:c>
      <x:c r="I3435" s="36" t="str">
        <x:v>generated design-reference observation; not predicted tract behavior</x:v>
      </x:c>
    </x:row>
    <x:row r="3436" ht="75.5999984741211" hidden="0" customHeight="1">
      <x:c r="A3436" s="34" t="str">
        <x:v>H3</x:v>
      </x:c>
      <x:c r="B3436" s="34" t="str">
        <x:v>48201232600</x:v>
      </x:c>
      <x:c r="C3436" s="65" t="n">
        <x:v>206.04528034981033</x:v>
      </x:c>
      <x:c r="D3436" s="65" t="n">
        <x:v>183.9984353523806</x:v>
      </x:c>
      <x:c r="E3436" s="65" t="n">
        <x:v>22.04684499742973</x:v>
      </x:c>
      <x:c r="F3436" s="65" t="n">
        <x:v>22.04684499742973</x:v>
      </x:c>
      <x:c r="G3436" s="65" t="n">
        <x:v>206.04528034981033</x:v>
      </x:c>
      <x:c r="H3436" s="43" t="n">
        <x:v>1</x:v>
      </x:c>
      <x:c r="I3436" s="34" t="str">
        <x:v>generated design-reference observation; not predicted tract behavior</x:v>
      </x:c>
    </x:row>
    <x:row r="3437" ht="75.5999984741211" hidden="0" customHeight="1">
      <x:c r="A3437" s="36" t="str">
        <x:v>H3</x:v>
      </x:c>
      <x:c r="B3437" s="36" t="str">
        <x:v>48201232701</x:v>
      </x:c>
      <x:c r="C3437" s="66" t="n">
        <x:v>578.5631378696439</x:v>
      </x:c>
      <x:c r="D3437" s="66" t="n">
        <x:v>515.1461009086149</x:v>
      </x:c>
      <x:c r="E3437" s="66" t="n">
        <x:v>63.417036961029</x:v>
      </x:c>
      <x:c r="F3437" s="66" t="n">
        <x:v>63.417036961029</x:v>
      </x:c>
      <x:c r="G3437" s="66" t="n">
        <x:v>578.5631378696439</x:v>
      </x:c>
      <x:c r="H3437" s="45" t="n">
        <x:v>1</x:v>
      </x:c>
      <x:c r="I3437" s="36" t="str">
        <x:v>generated design-reference observation; not predicted tract behavior</x:v>
      </x:c>
    </x:row>
    <x:row r="3438" ht="75.5999984741211" hidden="0" customHeight="1">
      <x:c r="A3438" s="34" t="str">
        <x:v>H3</x:v>
      </x:c>
      <x:c r="B3438" s="34" t="str">
        <x:v>48201232703</x:v>
      </x:c>
      <x:c r="C3438" s="65" t="n">
        <x:v>384.8990260847845</x:v>
      </x:c>
      <x:c r="D3438" s="65" t="n">
        <x:v>299.1434055893801</x:v>
      </x:c>
      <x:c r="E3438" s="65" t="n">
        <x:v>85.7556204954044</x:v>
      </x:c>
      <x:c r="F3438" s="65" t="n">
        <x:v>85.7556204954044</x:v>
      </x:c>
      <x:c r="G3438" s="65" t="n">
        <x:v>384.8990260847845</x:v>
      </x:c>
      <x:c r="H3438" s="43" t="n">
        <x:v>1</x:v>
      </x:c>
      <x:c r="I3438" s="34" t="str">
        <x:v>generated design-reference observation; not predicted tract behavior</x:v>
      </x:c>
    </x:row>
    <x:row r="3439" ht="75.5999984741211" hidden="0" customHeight="1">
      <x:c r="A3439" s="36" t="str">
        <x:v>H3</x:v>
      </x:c>
      <x:c r="B3439" s="36" t="str">
        <x:v>48201232704</x:v>
      </x:c>
      <x:c r="C3439" s="66" t="n">
        <x:v>155.2727555153667</x:v>
      </x:c>
      <x:c r="D3439" s="66" t="n">
        <x:v>137.84205874940477</x:v>
      </x:c>
      <x:c r="E3439" s="66" t="n">
        <x:v>17.430696765961926</x:v>
      </x:c>
      <x:c r="F3439" s="66" t="n">
        <x:v>17.430696765961926</x:v>
      </x:c>
      <x:c r="G3439" s="66" t="n">
        <x:v>155.2727555153667</x:v>
      </x:c>
      <x:c r="H3439" s="45" t="n">
        <x:v>1</x:v>
      </x:c>
      <x:c r="I3439" s="36" t="str">
        <x:v>generated design-reference observation; not predicted tract behavior</x:v>
      </x:c>
    </x:row>
    <x:row r="3440" ht="75.5999984741211" hidden="0" customHeight="1">
      <x:c r="A3440" s="34" t="str">
        <x:v>H3</x:v>
      </x:c>
      <x:c r="B3440" s="34" t="str">
        <x:v>48201232801</x:v>
      </x:c>
      <x:c r="C3440" s="65" t="n">
        <x:v>223.705630706311</x:v>
      </x:c>
      <x:c r="D3440" s="65" t="n">
        <x:v>199.1479973178645</x:v>
      </x:c>
      <x:c r="E3440" s="65" t="n">
        <x:v>24.557633388446504</x:v>
      </x:c>
      <x:c r="F3440" s="65" t="n">
        <x:v>24.557633388446504</x:v>
      </x:c>
      <x:c r="G3440" s="65" t="n">
        <x:v>223.705630706311</x:v>
      </x:c>
      <x:c r="H3440" s="43" t="n">
        <x:v>1</x:v>
      </x:c>
      <x:c r="I3440" s="34" t="str">
        <x:v>generated design-reference observation; not predicted tract behavior</x:v>
      </x:c>
    </x:row>
    <x:row r="3441" ht="75.5999984741211" hidden="0" customHeight="1">
      <x:c r="A3441" s="36" t="str">
        <x:v>H3</x:v>
      </x:c>
      <x:c r="B3441" s="36" t="str">
        <x:v>48201232802</x:v>
      </x:c>
      <x:c r="C3441" s="66" t="n">
        <x:v>227.89868674333516</x:v>
      </x:c>
      <x:c r="D3441" s="66" t="n">
        <x:v>202.64021250879748</x:v>
      </x:c>
      <x:c r="E3441" s="66" t="n">
        <x:v>25.258474234537687</x:v>
      </x:c>
      <x:c r="F3441" s="66" t="n">
        <x:v>25.258474234537687</x:v>
      </x:c>
      <x:c r="G3441" s="66" t="n">
        <x:v>227.89868674333516</x:v>
      </x:c>
      <x:c r="H3441" s="45" t="n">
        <x:v>1</x:v>
      </x:c>
      <x:c r="I3441" s="36" t="str">
        <x:v>generated design-reference observation; not predicted tract behavior</x:v>
      </x:c>
    </x:row>
    <x:row r="3442" ht="75.5999984741211" hidden="0" customHeight="1">
      <x:c r="A3442" s="34" t="str">
        <x:v>H3</x:v>
      </x:c>
      <x:c r="B3442" s="34" t="str">
        <x:v>48201232901</x:v>
      </x:c>
      <x:c r="C3442" s="65" t="n">
        <x:v>747.0755637987935</x:v>
      </x:c>
      <x:c r="D3442" s="65" t="n">
        <x:v>318.2534660339592</x:v>
      </x:c>
      <x:c r="E3442" s="65" t="n">
        <x:v>428.82209776483427</x:v>
      </x:c>
      <x:c r="F3442" s="65" t="n">
        <x:v>428.82209776483427</x:v>
      </x:c>
      <x:c r="G3442" s="65" t="n">
        <x:v>747.0755637987935</x:v>
      </x:c>
      <x:c r="H3442" s="43" t="n">
        <x:v>1</x:v>
      </x:c>
      <x:c r="I3442" s="34" t="str">
        <x:v>generated design-reference observation; not predicted tract behavior</x:v>
      </x:c>
    </x:row>
    <x:row r="3443" ht="75.5999984741211" hidden="0" customHeight="1">
      <x:c r="A3443" s="36" t="str">
        <x:v>H3</x:v>
      </x:c>
      <x:c r="B3443" s="36" t="str">
        <x:v>48201232902</x:v>
      </x:c>
      <x:c r="C3443" s="66" t="n">
        <x:v>372.68290752316545</x:v>
      </x:c>
      <x:c r="D3443" s="66" t="n">
        <x:v>331.95596350625476</x:v>
      </x:c>
      <x:c r="E3443" s="66" t="n">
        <x:v>40.72694401691069</x:v>
      </x:c>
      <x:c r="F3443" s="66" t="n">
        <x:v>40.72694401691069</x:v>
      </x:c>
      <x:c r="G3443" s="66" t="n">
        <x:v>372.68290752316545</x:v>
      </x:c>
      <x:c r="H3443" s="45" t="n">
        <x:v>1</x:v>
      </x:c>
      <x:c r="I3443" s="36" t="str">
        <x:v>generated design-reference observation; not predicted tract behavior</x:v>
      </x:c>
    </x:row>
    <x:row r="3444" ht="75.5999984741211" hidden="0" customHeight="1">
      <x:c r="A3444" s="34" t="str">
        <x:v>H3</x:v>
      </x:c>
      <x:c r="B3444" s="34" t="str">
        <x:v>48201233001</x:v>
      </x:c>
      <x:c r="C3444" s="65" t="n">
        <x:v>333.786123404642</x:v>
      </x:c>
      <x:c r="D3444" s="65" t="n">
        <x:v>297.09372620624583</x:v>
      </x:c>
      <x:c r="E3444" s="65" t="n">
        <x:v>36.69239719839618</x:v>
      </x:c>
      <x:c r="F3444" s="65" t="n">
        <x:v>36.69239719839618</x:v>
      </x:c>
      <x:c r="G3444" s="65" t="n">
        <x:v>333.786123404642</x:v>
      </x:c>
      <x:c r="H3444" s="43" t="n">
        <x:v>1</x:v>
      </x:c>
      <x:c r="I3444" s="34" t="str">
        <x:v>generated design-reference observation; not predicted tract behavior</x:v>
      </x:c>
    </x:row>
    <x:row r="3445" ht="75.5999984741211" hidden="0" customHeight="1">
      <x:c r="A3445" s="36" t="str">
        <x:v>H3</x:v>
      </x:c>
      <x:c r="B3445" s="36" t="str">
        <x:v>48201233002</x:v>
      </x:c>
      <x:c r="C3445" s="66" t="n">
        <x:v>324.58262083790305</x:v>
      </x:c>
      <x:c r="D3445" s="66" t="n">
        <x:v>289.8522804082474</x:v>
      </x:c>
      <x:c r="E3445" s="66" t="n">
        <x:v>34.730340429655655</x:v>
      </x:c>
      <x:c r="F3445" s="66" t="n">
        <x:v>34.730340429655655</x:v>
      </x:c>
      <x:c r="G3445" s="66" t="n">
        <x:v>324.58262083790305</x:v>
      </x:c>
      <x:c r="H3445" s="45" t="n">
        <x:v>1</x:v>
      </x:c>
      <x:c r="I3445" s="36" t="str">
        <x:v>generated design-reference observation; not predicted tract behavior</x:v>
      </x:c>
    </x:row>
    <x:row r="3446" ht="75.5999984741211" hidden="0" customHeight="1">
      <x:c r="A3446" s="34" t="str">
        <x:v>H3</x:v>
      </x:c>
      <x:c r="B3446" s="34" t="str">
        <x:v>48201233003</x:v>
      </x:c>
      <x:c r="C3446" s="65" t="n">
        <x:v>224.64091405852452</x:v>
      </x:c>
      <x:c r="D3446" s="65" t="n">
        <x:v>200.60433625426236</x:v>
      </x:c>
      <x:c r="E3446" s="65" t="n">
        <x:v>24.03657780426215</x:v>
      </x:c>
      <x:c r="F3446" s="65" t="n">
        <x:v>24.03657780426215</x:v>
      </x:c>
      <x:c r="G3446" s="65" t="n">
        <x:v>224.64091405852452</x:v>
      </x:c>
      <x:c r="H3446" s="43" t="n">
        <x:v>1</x:v>
      </x:c>
      <x:c r="I3446" s="34" t="str">
        <x:v>generated design-reference observation; not predicted tract behavior</x:v>
      </x:c>
    </x:row>
    <x:row r="3447" ht="75.5999984741211" hidden="0" customHeight="1">
      <x:c r="A3447" s="36" t="str">
        <x:v>H3</x:v>
      </x:c>
      <x:c r="B3447" s="36" t="str">
        <x:v>48201233101</x:v>
      </x:c>
      <x:c r="C3447" s="66" t="n">
        <x:v>352.7590142638288</x:v>
      </x:c>
      <x:c r="D3447" s="66" t="n">
        <x:v>314.06444308085565</x:v>
      </x:c>
      <x:c r="E3447" s="66" t="n">
        <x:v>38.694571182973164</x:v>
      </x:c>
      <x:c r="F3447" s="66" t="n">
        <x:v>38.694571182973164</x:v>
      </x:c>
      <x:c r="G3447" s="66" t="n">
        <x:v>352.7590142638288</x:v>
      </x:c>
      <x:c r="H3447" s="45" t="n">
        <x:v>1</x:v>
      </x:c>
      <x:c r="I3447" s="36" t="str">
        <x:v>generated design-reference observation; not predicted tract behavior</x:v>
      </x:c>
    </x:row>
    <x:row r="3448" ht="75.5999984741211" hidden="0" customHeight="1">
      <x:c r="A3448" s="34" t="str">
        <x:v>H3</x:v>
      </x:c>
      <x:c r="B3448" s="34" t="str">
        <x:v>48201233103</x:v>
      </x:c>
      <x:c r="C3448" s="65" t="n">
        <x:v>405.26063437127203</x:v>
      </x:c>
      <x:c r="D3448" s="65" t="n">
        <x:v>361.5991861841228</x:v>
      </x:c>
      <x:c r="E3448" s="65" t="n">
        <x:v>43.66144818714923</x:v>
      </x:c>
      <x:c r="F3448" s="65" t="n">
        <x:v>43.66144818714923</x:v>
      </x:c>
      <x:c r="G3448" s="65" t="n">
        <x:v>405.26063437127203</x:v>
      </x:c>
      <x:c r="H3448" s="43" t="n">
        <x:v>1</x:v>
      </x:c>
      <x:c r="I3448" s="34" t="str">
        <x:v>generated design-reference observation; not predicted tract behavior</x:v>
      </x:c>
    </x:row>
    <x:row r="3449" ht="75.5999984741211" hidden="0" customHeight="1">
      <x:c r="A3449" s="36" t="str">
        <x:v>H3</x:v>
      </x:c>
      <x:c r="B3449" s="36" t="str">
        <x:v>48201233104</x:v>
      </x:c>
      <x:c r="C3449" s="66" t="n">
        <x:v>363.9715320725879</x:v>
      </x:c>
      <x:c r="D3449" s="66" t="n">
        <x:v>283.53382348454596</x:v>
      </x:c>
      <x:c r="E3449" s="66" t="n">
        <x:v>80.43770858804191</x:v>
      </x:c>
      <x:c r="F3449" s="66" t="n">
        <x:v>80.43770858804191</x:v>
      </x:c>
      <x:c r="G3449" s="66" t="n">
        <x:v>363.9715320725879</x:v>
      </x:c>
      <x:c r="H3449" s="45" t="n">
        <x:v>1</x:v>
      </x:c>
      <x:c r="I3449" s="36" t="str">
        <x:v>generated design-reference observation; not predicted tract behavior</x:v>
      </x:c>
    </x:row>
    <x:row r="3450" ht="75.5999984741211" hidden="0" customHeight="1">
      <x:c r="A3450" s="34" t="str">
        <x:v>H3</x:v>
      </x:c>
      <x:c r="B3450" s="34" t="str">
        <x:v>48201233105</x:v>
      </x:c>
      <x:c r="C3450" s="65" t="n">
        <x:v>368.128313383605</x:v>
      </x:c>
      <x:c r="D3450" s="65" t="n">
        <x:v>328.6362969974654</x:v>
      </x:c>
      <x:c r="E3450" s="65" t="n">
        <x:v>39.492016386139596</x:v>
      </x:c>
      <x:c r="F3450" s="65" t="n">
        <x:v>39.492016386139596</x:v>
      </x:c>
      <x:c r="G3450" s="65" t="n">
        <x:v>368.128313383605</x:v>
      </x:c>
      <x:c r="H3450" s="43" t="n">
        <x:v>1</x:v>
      </x:c>
      <x:c r="I3450" s="34" t="str">
        <x:v>generated design-reference observation; not predicted tract behavior</x:v>
      </x:c>
    </x:row>
    <x:row r="3451" ht="75.5999984741211" hidden="0" customHeight="1">
      <x:c r="A3451" s="36" t="str">
        <x:v>H3</x:v>
      </x:c>
      <x:c r="B3451" s="36" t="str">
        <x:v>48201233200</x:v>
      </x:c>
      <x:c r="C3451" s="66" t="n">
        <x:v>508.9120364636317</x:v>
      </x:c>
      <x:c r="D3451" s="66" t="n">
        <x:v>454.4584485620231</x:v>
      </x:c>
      <x:c r="E3451" s="66" t="n">
        <x:v>54.453587901608614</x:v>
      </x:c>
      <x:c r="F3451" s="66" t="n">
        <x:v>54.453587901608614</x:v>
      </x:c>
      <x:c r="G3451" s="66" t="n">
        <x:v>508.9120364636317</x:v>
      </x:c>
      <x:c r="H3451" s="45" t="n">
        <x:v>1</x:v>
      </x:c>
      <x:c r="I3451" s="36" t="str">
        <x:v>generated design-reference observation; not predicted tract behavior</x:v>
      </x:c>
    </x:row>
    <x:row r="3452" ht="75.5999984741211" hidden="0" customHeight="1">
      <x:c r="A3452" s="34" t="str">
        <x:v>H3</x:v>
      </x:c>
      <x:c r="B3452" s="34" t="str">
        <x:v>48201233300</x:v>
      </x:c>
      <x:c r="C3452" s="65" t="n">
        <x:v>358.2135238977458</x:v>
      </x:c>
      <x:c r="D3452" s="65" t="n">
        <x:v>319.78562739817477</x:v>
      </x:c>
      <x:c r="E3452" s="65" t="n">
        <x:v>38.427896499571034</x:v>
      </x:c>
      <x:c r="F3452" s="65" t="n">
        <x:v>38.427896499571034</x:v>
      </x:c>
      <x:c r="G3452" s="65" t="n">
        <x:v>358.2135238977458</x:v>
      </x:c>
      <x:c r="H3452" s="43" t="n">
        <x:v>1</x:v>
      </x:c>
      <x:c r="I3452" s="34" t="str">
        <x:v>generated design-reference observation; not predicted tract behavior</x:v>
      </x:c>
    </x:row>
    <x:row r="3453" ht="75.5999984741211" hidden="0" customHeight="1">
      <x:c r="A3453" s="36" t="str">
        <x:v>H3</x:v>
      </x:c>
      <x:c r="B3453" s="36" t="str">
        <x:v>48201233400</x:v>
      </x:c>
      <x:c r="C3453" s="66" t="n">
        <x:v>226.08313670668554</x:v>
      </x:c>
      <x:c r="D3453" s="66" t="n">
        <x:v>201.00644606123038</x:v>
      </x:c>
      <x:c r="E3453" s="66" t="n">
        <x:v>25.07669064545516</x:v>
      </x:c>
      <x:c r="F3453" s="66" t="n">
        <x:v>25.07669064545516</x:v>
      </x:c>
      <x:c r="G3453" s="66" t="n">
        <x:v>226.08313670668554</x:v>
      </x:c>
      <x:c r="H3453" s="45" t="n">
        <x:v>1</x:v>
      </x:c>
      <x:c r="I3453" s="36" t="str">
        <x:v>generated design-reference observation; not predicted tract behavior</x:v>
      </x:c>
    </x:row>
    <x:row r="3454" ht="75.5999984741211" hidden="0" customHeight="1">
      <x:c r="A3454" s="34" t="str">
        <x:v>H3</x:v>
      </x:c>
      <x:c r="B3454" s="34" t="str">
        <x:v>48201233501</x:v>
      </x:c>
      <x:c r="C3454" s="65" t="n">
        <x:v>292.41358923614183</x:v>
      </x:c>
      <x:c r="D3454" s="65" t="n">
        <x:v>260.9472031762736</x:v>
      </x:c>
      <x:c r="E3454" s="65" t="n">
        <x:v>31.466386059868228</x:v>
      </x:c>
      <x:c r="F3454" s="65" t="n">
        <x:v>31.466386059868228</x:v>
      </x:c>
      <x:c r="G3454" s="65" t="n">
        <x:v>292.41358923614183</x:v>
      </x:c>
      <x:c r="H3454" s="43" t="n">
        <x:v>1</x:v>
      </x:c>
      <x:c r="I3454" s="34" t="str">
        <x:v>generated design-reference observation; not predicted tract behavior</x:v>
      </x:c>
    </x:row>
    <x:row r="3455" ht="75.5999984741211" hidden="0" customHeight="1">
      <x:c r="A3455" s="36" t="str">
        <x:v>H3</x:v>
      </x:c>
      <x:c r="B3455" s="36" t="str">
        <x:v>48201233502</x:v>
      </x:c>
      <x:c r="C3455" s="66" t="n">
        <x:v>239.7626381733031</x:v>
      </x:c>
      <x:c r="D3455" s="66" t="n">
        <x:v>213.52820469828856</x:v>
      </x:c>
      <x:c r="E3455" s="66" t="n">
        <x:v>26.234433475014526</x:v>
      </x:c>
      <x:c r="F3455" s="66" t="n">
        <x:v>26.234433475014526</x:v>
      </x:c>
      <x:c r="G3455" s="66" t="n">
        <x:v>239.7626381733031</x:v>
      </x:c>
      <x:c r="H3455" s="45" t="n">
        <x:v>1</x:v>
      </x:c>
      <x:c r="I3455" s="36" t="str">
        <x:v>generated design-reference observation; not predicted tract behavior</x:v>
      </x:c>
    </x:row>
    <x:row r="3456" ht="75.5999984741211" hidden="0" customHeight="1">
      <x:c r="A3456" s="34" t="str">
        <x:v>H3</x:v>
      </x:c>
      <x:c r="B3456" s="34" t="str">
        <x:v>48201233600</x:v>
      </x:c>
      <x:c r="C3456" s="65" t="n">
        <x:v>173.88017851003312</x:v>
      </x:c>
      <x:c r="D3456" s="65" t="n">
        <x:v>155.27499940945958</x:v>
      </x:c>
      <x:c r="E3456" s="65" t="n">
        <x:v>18.605179100573537</x:v>
      </x:c>
      <x:c r="F3456" s="65" t="n">
        <x:v>18.605179100573537</x:v>
      </x:c>
      <x:c r="G3456" s="65" t="n">
        <x:v>173.88017851003312</x:v>
      </x:c>
      <x:c r="H3456" s="43" t="n">
        <x:v>1</x:v>
      </x:c>
      <x:c r="I3456" s="34" t="str">
        <x:v>generated design-reference observation; not predicted tract behavior</x:v>
      </x:c>
    </x:row>
    <x:row r="3457" ht="75.5999984741211" hidden="0" customHeight="1">
      <x:c r="A3457" s="36" t="str">
        <x:v>H3</x:v>
      </x:c>
      <x:c r="B3457" s="36" t="str">
        <x:v>48201233701</x:v>
      </x:c>
      <x:c r="C3457" s="66" t="n">
        <x:v>375.0407647136194</x:v>
      </x:c>
      <x:c r="D3457" s="66" t="n">
        <x:v>334.9114028892621</x:v>
      </x:c>
      <x:c r="E3457" s="66" t="n">
        <x:v>40.12936182435732</x:v>
      </x:c>
      <x:c r="F3457" s="66" t="n">
        <x:v>40.12936182435732</x:v>
      </x:c>
      <x:c r="G3457" s="66" t="n">
        <x:v>375.0407647136194</x:v>
      </x:c>
      <x:c r="H3457" s="45" t="n">
        <x:v>1</x:v>
      </x:c>
      <x:c r="I3457" s="36" t="str">
        <x:v>generated design-reference observation; not predicted tract behavior</x:v>
      </x:c>
    </x:row>
    <x:row r="3458" ht="75.5999984741211" hidden="0" customHeight="1">
      <x:c r="A3458" s="34" t="str">
        <x:v>H3</x:v>
      </x:c>
      <x:c r="B3458" s="34" t="str">
        <x:v>48201233702</x:v>
      </x:c>
      <x:c r="C3458" s="65" t="n">
        <x:v>244.65126208151113</x:v>
      </x:c>
      <x:c r="D3458" s="65" t="n">
        <x:v>218.3488720332349</x:v>
      </x:c>
      <x:c r="E3458" s="65" t="n">
        <x:v>26.302390048276237</x:v>
      </x:c>
      <x:c r="F3458" s="65" t="n">
        <x:v>26.302390048276237</x:v>
      </x:c>
      <x:c r="G3458" s="65" t="n">
        <x:v>244.65126208151113</x:v>
      </x:c>
      <x:c r="H3458" s="43" t="n">
        <x:v>1</x:v>
      </x:c>
      <x:c r="I3458" s="34" t="str">
        <x:v>generated design-reference observation; not predicted tract behavior</x:v>
      </x:c>
    </x:row>
    <x:row r="3459" ht="75.5999984741211" hidden="0" customHeight="1">
      <x:c r="A3459" s="36" t="str">
        <x:v>H3</x:v>
      </x:c>
      <x:c r="B3459" s="36" t="str">
        <x:v>48201233703</x:v>
      </x:c>
      <x:c r="C3459" s="66" t="n">
        <x:v>223.94141642535646</x:v>
      </x:c>
      <x:c r="D3459" s="66" t="n">
        <x:v>199.9173304004012</x:v>
      </x:c>
      <x:c r="E3459" s="66" t="n">
        <x:v>24.024086024955267</x:v>
      </x:c>
      <x:c r="F3459" s="66" t="n">
        <x:v>24.024086024955267</x:v>
      </x:c>
      <x:c r="G3459" s="66" t="n">
        <x:v>223.94141642535646</x:v>
      </x:c>
      <x:c r="H3459" s="45" t="n">
        <x:v>1</x:v>
      </x:c>
      <x:c r="I3459" s="36" t="str">
        <x:v>generated design-reference observation; not predicted tract behavior</x:v>
      </x:c>
    </x:row>
    <x:row r="3460" ht="75.5999984741211" hidden="0" customHeight="1">
      <x:c r="A3460" s="34" t="str">
        <x:v>H3</x:v>
      </x:c>
      <x:c r="B3460" s="34" t="str">
        <x:v>48201240101</x:v>
      </x:c>
      <x:c r="C3460" s="65" t="n">
        <x:v>385.23517187911585</x:v>
      </x:c>
      <x:c r="D3460" s="65" t="n">
        <x:v>163.4425949452398</x:v>
      </x:c>
      <x:c r="E3460" s="65" t="n">
        <x:v>221.79257693387606</x:v>
      </x:c>
      <x:c r="F3460" s="65" t="n">
        <x:v>221.79257693387606</x:v>
      </x:c>
      <x:c r="G3460" s="65" t="n">
        <x:v>385.23517187911585</x:v>
      </x:c>
      <x:c r="H3460" s="43" t="n">
        <x:v>1</x:v>
      </x:c>
      <x:c r="I3460" s="34" t="str">
        <x:v>generated design-reference observation; not predicted tract behavior</x:v>
      </x:c>
    </x:row>
    <x:row r="3461" ht="75.5999984741211" hidden="0" customHeight="1">
      <x:c r="A3461" s="36" t="str">
        <x:v>H3</x:v>
      </x:c>
      <x:c r="B3461" s="36" t="str">
        <x:v>48201240102</x:v>
      </x:c>
      <x:c r="C3461" s="66" t="n">
        <x:v>136.700700378557</x:v>
      </x:c>
      <x:c r="D3461" s="66" t="n">
        <x:v>121.51117370792213</x:v>
      </x:c>
      <x:c r="E3461" s="66" t="n">
        <x:v>15.189526670634876</x:v>
      </x:c>
      <x:c r="F3461" s="66" t="n">
        <x:v>15.189526670634876</x:v>
      </x:c>
      <x:c r="G3461" s="66" t="n">
        <x:v>136.700700378557</x:v>
      </x:c>
      <x:c r="H3461" s="45" t="n">
        <x:v>1</x:v>
      </x:c>
      <x:c r="I3461" s="36" t="str">
        <x:v>generated design-reference observation; not predicted tract behavior</x:v>
      </x:c>
    </x:row>
    <x:row r="3462" ht="75.5999984741211" hidden="0" customHeight="1">
      <x:c r="A3462" s="34" t="str">
        <x:v>H3</x:v>
      </x:c>
      <x:c r="B3462" s="34" t="str">
        <x:v>48201240400</x:v>
      </x:c>
      <x:c r="C3462" s="65" t="n">
        <x:v>612.1861814055186</x:v>
      </x:c>
      <x:c r="D3462" s="65" t="n">
        <x:v>545.6287200106341</x:v>
      </x:c>
      <x:c r="E3462" s="65" t="n">
        <x:v>66.55746139488451</x:v>
      </x:c>
      <x:c r="F3462" s="65" t="n">
        <x:v>66.55746139488451</x:v>
      </x:c>
      <x:c r="G3462" s="65" t="n">
        <x:v>612.1861814055186</x:v>
      </x:c>
      <x:c r="H3462" s="43" t="n">
        <x:v>1</x:v>
      </x:c>
      <x:c r="I3462" s="34" t="str">
        <x:v>generated design-reference observation; not predicted tract behavior</x:v>
      </x:c>
    </x:row>
    <x:row r="3463" ht="75.5999984741211" hidden="0" customHeight="1">
      <x:c r="A3463" s="36" t="str">
        <x:v>H3</x:v>
      </x:c>
      <x:c r="B3463" s="36" t="str">
        <x:v>48201240503</x:v>
      </x:c>
      <x:c r="C3463" s="66" t="n">
        <x:v>468.5050145856839</x:v>
      </x:c>
      <x:c r="D3463" s="66" t="n">
        <x:v>199.3272351865728</x:v>
      </x:c>
      <x:c r="E3463" s="66" t="n">
        <x:v>269.1777793991111</x:v>
      </x:c>
      <x:c r="F3463" s="66" t="n">
        <x:v>269.17777939911105</x:v>
      </x:c>
      <x:c r="G3463" s="66" t="n">
        <x:v>468.50501458568385</x:v>
      </x:c>
      <x:c r="H3463" s="45" t="n">
        <x:v>0.9999999999999999</x:v>
      </x:c>
      <x:c r="I3463" s="36" t="str">
        <x:v>generated design-reference observation; not predicted tract behavior</x:v>
      </x:c>
    </x:row>
    <x:row r="3464" ht="75.5999984741211" hidden="0" customHeight="1">
      <x:c r="A3464" s="34" t="str">
        <x:v>H3</x:v>
      </x:c>
      <x:c r="B3464" s="34" t="str">
        <x:v>48201240504</x:v>
      </x:c>
      <x:c r="C3464" s="65" t="n">
        <x:v>507.01668202976674</x:v>
      </x:c>
      <x:c r="D3464" s="65" t="n">
        <x:v>216.05027021873934</x:v>
      </x:c>
      <x:c r="E3464" s="65" t="n">
        <x:v>290.9664118110274</x:v>
      </x:c>
      <x:c r="F3464" s="65" t="n">
        <x:v>290.9664118110274</x:v>
      </x:c>
      <x:c r="G3464" s="65" t="n">
        <x:v>507.01668202976674</x:v>
      </x:c>
      <x:c r="H3464" s="43" t="n">
        <x:v>1</x:v>
      </x:c>
      <x:c r="I3464" s="34" t="str">
        <x:v>generated design-reference observation; not predicted tract behavior</x:v>
      </x:c>
    </x:row>
    <x:row r="3465" ht="75.5999984741211" hidden="0" customHeight="1">
      <x:c r="A3465" s="36" t="str">
        <x:v>H3</x:v>
      </x:c>
      <x:c r="B3465" s="36" t="str">
        <x:v>48201240505</x:v>
      </x:c>
      <x:c r="C3465" s="66" t="n">
        <x:v>264.72327713870953</x:v>
      </x:c>
      <x:c r="D3465" s="66" t="n">
        <x:v>112.68114856158722</x:v>
      </x:c>
      <x:c r="E3465" s="66" t="n">
        <x:v>152.0421285771223</x:v>
      </x:c>
      <x:c r="F3465" s="66" t="n">
        <x:v>152.0421285771223</x:v>
      </x:c>
      <x:c r="G3465" s="66" t="n">
        <x:v>264.72327713870953</x:v>
      </x:c>
      <x:c r="H3465" s="45" t="n">
        <x:v>1</x:v>
      </x:c>
      <x:c r="I3465" s="36" t="str">
        <x:v>generated design-reference observation; not predicted tract behavior</x:v>
      </x:c>
    </x:row>
    <x:row r="3466" ht="75.5999984741211" hidden="0" customHeight="1">
      <x:c r="A3466" s="34" t="str">
        <x:v>H3</x:v>
      </x:c>
      <x:c r="B3466" s="34" t="str">
        <x:v>48201240506</x:v>
      </x:c>
      <x:c r="C3466" s="65" t="n">
        <x:v>440.43200412887813</x:v>
      </x:c>
      <x:c r="D3466" s="65" t="n">
        <x:v>391.055145201914</x:v>
      </x:c>
      <x:c r="E3466" s="65" t="n">
        <x:v>49.37685892696413</x:v>
      </x:c>
      <x:c r="F3466" s="65" t="n">
        <x:v>49.37685892696413</x:v>
      </x:c>
      <x:c r="G3466" s="65" t="n">
        <x:v>440.43200412887813</x:v>
      </x:c>
      <x:c r="H3466" s="43" t="n">
        <x:v>1</x:v>
      </x:c>
      <x:c r="I3466" s="34" t="str">
        <x:v>generated design-reference observation; not predicted tract behavior</x:v>
      </x:c>
    </x:row>
    <x:row r="3467" ht="75.5999984741211" hidden="0" customHeight="1">
      <x:c r="A3467" s="36" t="str">
        <x:v>H3</x:v>
      </x:c>
      <x:c r="B3467" s="36" t="str">
        <x:v>48201240600</x:v>
      </x:c>
      <x:c r="C3467" s="66" t="n">
        <x:v>609.9740276978594</x:v>
      </x:c>
      <x:c r="D3467" s="66" t="n">
        <x:v>259.9191983192393</x:v>
      </x:c>
      <x:c r="E3467" s="66" t="n">
        <x:v>350.05482937862007</x:v>
      </x:c>
      <x:c r="F3467" s="66" t="n">
        <x:v>350.05482937862007</x:v>
      </x:c>
      <x:c r="G3467" s="66" t="n">
        <x:v>609.9740276978594</x:v>
      </x:c>
      <x:c r="H3467" s="45" t="n">
        <x:v>1</x:v>
      </x:c>
      <x:c r="I3467" s="36" t="str">
        <x:v>generated design-reference observation; not predicted tract behavior</x:v>
      </x:c>
    </x:row>
    <x:row r="3468" ht="75.5999984741211" hidden="0" customHeight="1">
      <x:c r="A3468" s="34" t="str">
        <x:v>H3</x:v>
      </x:c>
      <x:c r="B3468" s="34" t="str">
        <x:v>48201240703</x:v>
      </x:c>
      <x:c r="C3468" s="65" t="n">
        <x:v>501.2175624987833</x:v>
      </x:c>
      <x:c r="D3468" s="65" t="n">
        <x:v>446.6151907403839</x:v>
      </x:c>
      <x:c r="E3468" s="65" t="n">
        <x:v>54.602371758399386</x:v>
      </x:c>
      <x:c r="F3468" s="65" t="n">
        <x:v>54.602371758399386</x:v>
      </x:c>
      <x:c r="G3468" s="65" t="n">
        <x:v>501.2175624987833</x:v>
      </x:c>
      <x:c r="H3468" s="43" t="n">
        <x:v>1</x:v>
      </x:c>
      <x:c r="I3468" s="34" t="str">
        <x:v>generated design-reference observation; not predicted tract behavior</x:v>
      </x:c>
    </x:row>
    <x:row r="3469" ht="75.5999984741211" hidden="0" customHeight="1">
      <x:c r="A3469" s="36" t="str">
        <x:v>H3</x:v>
      </x:c>
      <x:c r="B3469" s="36" t="str">
        <x:v>48201240704</x:v>
      </x:c>
      <x:c r="C3469" s="66" t="n">
        <x:v>372.0777241776156</x:v>
      </x:c>
      <x:c r="D3469" s="66" t="n">
        <x:v>331.7914555324935</x:v>
      </x:c>
      <x:c r="E3469" s="66" t="n">
        <x:v>40.28626864512211</x:v>
      </x:c>
      <x:c r="F3469" s="66" t="n">
        <x:v>40.28626864512211</x:v>
      </x:c>
      <x:c r="G3469" s="66" t="n">
        <x:v>372.0777241776156</x:v>
      </x:c>
      <x:c r="H3469" s="45" t="n">
        <x:v>1</x:v>
      </x:c>
      <x:c r="I3469" s="36" t="str">
        <x:v>generated design-reference observation; not predicted tract behavior</x:v>
      </x:c>
    </x:row>
    <x:row r="3470" ht="75.5999984741211" hidden="0" customHeight="1">
      <x:c r="A3470" s="34" t="str">
        <x:v>H3</x:v>
      </x:c>
      <x:c r="B3470" s="34" t="str">
        <x:v>48201240705</x:v>
      </x:c>
      <x:c r="C3470" s="65" t="n">
        <x:v>438.59287552032407</x:v>
      </x:c>
      <x:c r="D3470" s="65" t="n">
        <x:v>391.03202890349576</x:v>
      </x:c>
      <x:c r="E3470" s="65" t="n">
        <x:v>47.560846616828314</x:v>
      </x:c>
      <x:c r="F3470" s="65" t="n">
        <x:v>47.560846616828314</x:v>
      </x:c>
      <x:c r="G3470" s="65" t="n">
        <x:v>438.59287552032407</x:v>
      </x:c>
      <x:c r="H3470" s="43" t="n">
        <x:v>1</x:v>
      </x:c>
      <x:c r="I3470" s="34" t="str">
        <x:v>generated design-reference observation; not predicted tract behavior</x:v>
      </x:c>
    </x:row>
    <x:row r="3471" ht="75.5999984741211" hidden="0" customHeight="1">
      <x:c r="A3471" s="36" t="str">
        <x:v>H3</x:v>
      </x:c>
      <x:c r="B3471" s="36" t="str">
        <x:v>48201240706</x:v>
      </x:c>
      <x:c r="C3471" s="66" t="n">
        <x:v>898.6658300456842</x:v>
      </x:c>
      <x:c r="D3471" s="66" t="n">
        <x:v>802.5085862307958</x:v>
      </x:c>
      <x:c r="E3471" s="66" t="n">
        <x:v>96.15724381488837</x:v>
      </x:c>
      <x:c r="F3471" s="66" t="n">
        <x:v>96.15724381488837</x:v>
      </x:c>
      <x:c r="G3471" s="66" t="n">
        <x:v>898.6658300456842</x:v>
      </x:c>
      <x:c r="H3471" s="45" t="n">
        <x:v>1</x:v>
      </x:c>
      <x:c r="I3471" s="36" t="str">
        <x:v>generated design-reference observation; not predicted tract behavior</x:v>
      </x:c>
    </x:row>
    <x:row r="3472" ht="75.5999984741211" hidden="0" customHeight="1">
      <x:c r="A3472" s="34" t="str">
        <x:v>H3</x:v>
      </x:c>
      <x:c r="B3472" s="34" t="str">
        <x:v>48201240707</x:v>
      </x:c>
      <x:c r="C3472" s="65" t="n">
        <x:v>422.44941328968207</x:v>
      </x:c>
      <x:c r="D3472" s="65" t="n">
        <x:v>377.24732606768606</x:v>
      </x:c>
      <x:c r="E3472" s="65" t="n">
        <x:v>45.20208722199601</x:v>
      </x:c>
      <x:c r="F3472" s="65" t="n">
        <x:v>45.20208722199601</x:v>
      </x:c>
      <x:c r="G3472" s="65" t="n">
        <x:v>422.44941328968207</x:v>
      </x:c>
      <x:c r="H3472" s="43" t="n">
        <x:v>1</x:v>
      </x:c>
      <x:c r="I3472" s="34" t="str">
        <x:v>generated design-reference observation; not predicted tract behavior</x:v>
      </x:c>
    </x:row>
    <x:row r="3473" ht="75.5999984741211" hidden="0" customHeight="1">
      <x:c r="A3473" s="36" t="str">
        <x:v>H3</x:v>
      </x:c>
      <x:c r="B3473" s="36" t="str">
        <x:v>48201240802</x:v>
      </x:c>
      <x:c r="C3473" s="66" t="n">
        <x:v>720.1131645365681</x:v>
      </x:c>
      <x:c r="D3473" s="66" t="n">
        <x:v>642.2287561993643</x:v>
      </x:c>
      <x:c r="E3473" s="66" t="n">
        <x:v>77.88440833720381</x:v>
      </x:c>
      <x:c r="F3473" s="66" t="n">
        <x:v>77.88440833720381</x:v>
      </x:c>
      <x:c r="G3473" s="66" t="n">
        <x:v>720.1131645365681</x:v>
      </x:c>
      <x:c r="H3473" s="45" t="n">
        <x:v>1</x:v>
      </x:c>
      <x:c r="I3473" s="36" t="str">
        <x:v>generated design-reference observation; not predicted tract behavior</x:v>
      </x:c>
    </x:row>
    <x:row r="3474" ht="75.5999984741211" hidden="0" customHeight="1">
      <x:c r="A3474" s="34" t="str">
        <x:v>H3</x:v>
      </x:c>
      <x:c r="B3474" s="34" t="str">
        <x:v>48201240803</x:v>
      </x:c>
      <x:c r="C3474" s="65" t="n">
        <x:v>189.11193596036622</x:v>
      </x:c>
      <x:c r="D3474" s="65" t="n">
        <x:v>168.48277078112167</x:v>
      </x:c>
      <x:c r="E3474" s="65" t="n">
        <x:v>20.629165179244552</x:v>
      </x:c>
      <x:c r="F3474" s="65" t="n">
        <x:v>20.629165179244552</x:v>
      </x:c>
      <x:c r="G3474" s="65" t="n">
        <x:v>189.11193596036622</x:v>
      </x:c>
      <x:c r="H3474" s="43" t="n">
        <x:v>1</x:v>
      </x:c>
      <x:c r="I3474" s="34" t="str">
        <x:v>generated design-reference observation; not predicted tract behavior</x:v>
      </x:c>
    </x:row>
    <x:row r="3475" ht="75.5999984741211" hidden="0" customHeight="1">
      <x:c r="A3475" s="36" t="str">
        <x:v>H3</x:v>
      </x:c>
      <x:c r="B3475" s="36" t="str">
        <x:v>48201240804</x:v>
      </x:c>
      <x:c r="C3475" s="66" t="n">
        <x:v>237.62484765395806</x:v>
      </x:c>
      <x:c r="D3475" s="66" t="n">
        <x:v>211.53390798767538</x:v>
      </x:c>
      <x:c r="E3475" s="66" t="n">
        <x:v>26.09093966628268</x:v>
      </x:c>
      <x:c r="F3475" s="66" t="n">
        <x:v>26.09093966628268</x:v>
      </x:c>
      <x:c r="G3475" s="66" t="n">
        <x:v>237.62484765395806</x:v>
      </x:c>
      <x:c r="H3475" s="45" t="n">
        <x:v>1</x:v>
      </x:c>
      <x:c r="I3475" s="36" t="str">
        <x:v>generated design-reference observation; not predicted tract behavior</x:v>
      </x:c>
    </x:row>
    <x:row r="3476" ht="75.5999984741211" hidden="0" customHeight="1">
      <x:c r="A3476" s="34" t="str">
        <x:v>H3</x:v>
      </x:c>
      <x:c r="B3476" s="34" t="str">
        <x:v>48201240903</x:v>
      </x:c>
      <x:c r="C3476" s="65" t="n">
        <x:v>904.7351962854198</x:v>
      </x:c>
      <x:c r="D3476" s="65" t="n">
        <x:v>704.7887179063421</x:v>
      </x:c>
      <x:c r="E3476" s="65" t="n">
        <x:v>199.9464783790777</x:v>
      </x:c>
      <x:c r="F3476" s="65" t="n">
        <x:v>199.9464783790777</x:v>
      </x:c>
      <x:c r="G3476" s="65" t="n">
        <x:v>904.7351962854198</x:v>
      </x:c>
      <x:c r="H3476" s="43" t="n">
        <x:v>1</x:v>
      </x:c>
      <x:c r="I3476" s="34" t="str">
        <x:v>generated design-reference observation; not predicted tract behavior</x:v>
      </x:c>
    </x:row>
    <x:row r="3477" ht="75.5999984741211" hidden="0" customHeight="1">
      <x:c r="A3477" s="36" t="str">
        <x:v>H3</x:v>
      </x:c>
      <x:c r="B3477" s="36" t="str">
        <x:v>48201240904</x:v>
      </x:c>
      <x:c r="C3477" s="66" t="n">
        <x:v>728.9551290007707</x:v>
      </x:c>
      <x:c r="D3477" s="66" t="n">
        <x:v>650.3829758397374</x:v>
      </x:c>
      <x:c r="E3477" s="66" t="n">
        <x:v>78.57215316103338</x:v>
      </x:c>
      <x:c r="F3477" s="66" t="n">
        <x:v>78.57215316103338</x:v>
      </x:c>
      <x:c r="G3477" s="66" t="n">
        <x:v>728.9551290007707</x:v>
      </x:c>
      <x:c r="H3477" s="45" t="n">
        <x:v>1</x:v>
      </x:c>
      <x:c r="I3477" s="36" t="str">
        <x:v>generated design-reference observation; not predicted tract behavior</x:v>
      </x:c>
    </x:row>
    <x:row r="3478" ht="75.5999984741211" hidden="0" customHeight="1">
      <x:c r="A3478" s="34" t="str">
        <x:v>H3</x:v>
      </x:c>
      <x:c r="B3478" s="34" t="str">
        <x:v>48201240905</x:v>
      </x:c>
      <x:c r="C3478" s="65" t="n">
        <x:v>435.92063737114273</x:v>
      </x:c>
      <x:c r="D3478" s="65" t="n">
        <x:v>388.2535640501758</x:v>
      </x:c>
      <x:c r="E3478" s="65" t="n">
        <x:v>47.66707332096695</x:v>
      </x:c>
      <x:c r="F3478" s="65" t="n">
        <x:v>47.66707332096695</x:v>
      </x:c>
      <x:c r="G3478" s="65" t="n">
        <x:v>435.92063737114273</x:v>
      </x:c>
      <x:c r="H3478" s="43" t="n">
        <x:v>1</x:v>
      </x:c>
      <x:c r="I3478" s="34" t="str">
        <x:v>generated design-reference observation; not predicted tract behavior</x:v>
      </x:c>
    </x:row>
    <x:row r="3479" ht="75.5999984741211" hidden="0" customHeight="1">
      <x:c r="A3479" s="36" t="str">
        <x:v>H3</x:v>
      </x:c>
      <x:c r="B3479" s="36" t="str">
        <x:v>48201240906</x:v>
      </x:c>
      <x:c r="C3479" s="66" t="n">
        <x:v>675.0623731509595</x:v>
      </x:c>
      <x:c r="D3479" s="66" t="n">
        <x:v>602.3897144739975</x:v>
      </x:c>
      <x:c r="E3479" s="66" t="n">
        <x:v>72.67265867696199</x:v>
      </x:c>
      <x:c r="F3479" s="66" t="n">
        <x:v>72.67265867696199</x:v>
      </x:c>
      <x:c r="G3479" s="66" t="n">
        <x:v>675.0623731509595</x:v>
      </x:c>
      <x:c r="H3479" s="45" t="n">
        <x:v>1</x:v>
      </x:c>
      <x:c r="I3479" s="36" t="str">
        <x:v>generated design-reference observation; not predicted tract behavior</x:v>
      </x:c>
    </x:row>
    <x:row r="3480" ht="75.5999984741211" hidden="0" customHeight="1">
      <x:c r="A3480" s="34" t="str">
        <x:v>H3</x:v>
      </x:c>
      <x:c r="B3480" s="34" t="str">
        <x:v>48201241001</x:v>
      </x:c>
      <x:c r="C3480" s="65" t="n">
        <x:v>288.6763855892722</x:v>
      </x:c>
      <x:c r="D3480" s="65" t="n">
        <x:v>257.71650386732784</x:v>
      </x:c>
      <x:c r="E3480" s="65" t="n">
        <x:v>30.959881721944328</x:v>
      </x:c>
      <x:c r="F3480" s="65" t="n">
        <x:v>30.959881721944328</x:v>
      </x:c>
      <x:c r="G3480" s="65" t="n">
        <x:v>288.6763855892722</x:v>
      </x:c>
      <x:c r="H3480" s="43" t="n">
        <x:v>1</x:v>
      </x:c>
      <x:c r="I3480" s="34" t="str">
        <x:v>generated design-reference observation; not predicted tract behavior</x:v>
      </x:c>
    </x:row>
    <x:row r="3481" ht="75.5999984741211" hidden="0" customHeight="1">
      <x:c r="A3481" s="36" t="str">
        <x:v>H3</x:v>
      </x:c>
      <x:c r="B3481" s="36" t="str">
        <x:v>48201241002</x:v>
      </x:c>
      <x:c r="C3481" s="66" t="n">
        <x:v>439.58317554031476</x:v>
      </x:c>
      <x:c r="D3481" s="66" t="n">
        <x:v>392.54777575750103</x:v>
      </x:c>
      <x:c r="E3481" s="66" t="n">
        <x:v>47.03539978281373</x:v>
      </x:c>
      <x:c r="F3481" s="66" t="n">
        <x:v>47.03539978281373</x:v>
      </x:c>
      <x:c r="G3481" s="66" t="n">
        <x:v>439.58317554031476</x:v>
      </x:c>
      <x:c r="H3481" s="45" t="n">
        <x:v>1</x:v>
      </x:c>
      <x:c r="I3481" s="36" t="str">
        <x:v>generated design-reference observation; not predicted tract behavior</x:v>
      </x:c>
    </x:row>
    <x:row r="3482" ht="75.5999984741211" hidden="0" customHeight="1">
      <x:c r="A3482" s="34" t="str">
        <x:v>H3</x:v>
      </x:c>
      <x:c r="B3482" s="34" t="str">
        <x:v>48201241101</x:v>
      </x:c>
      <x:c r="C3482" s="65" t="n">
        <x:v>358.73225247964575</x:v>
      </x:c>
      <x:c r="D3482" s="65" t="n">
        <x:v>320.3479014643236</x:v>
      </x:c>
      <x:c r="E3482" s="65" t="n">
        <x:v>38.384351015322125</x:v>
      </x:c>
      <x:c r="F3482" s="65" t="n">
        <x:v>38.384351015322125</x:v>
      </x:c>
      <x:c r="G3482" s="65" t="n">
        <x:v>358.73225247964575</x:v>
      </x:c>
      <x:c r="H3482" s="43" t="n">
        <x:v>1</x:v>
      </x:c>
      <x:c r="I3482" s="34" t="str">
        <x:v>generated design-reference observation; not predicted tract behavior</x:v>
      </x:c>
    </x:row>
    <x:row r="3483" ht="75.5999984741211" hidden="0" customHeight="1">
      <x:c r="A3483" s="36" t="str">
        <x:v>H3</x:v>
      </x:c>
      <x:c r="B3483" s="36" t="str">
        <x:v>48201241103</x:v>
      </x:c>
      <x:c r="C3483" s="66" t="n">
        <x:v>470.0349011550286</x:v>
      </x:c>
      <x:c r="D3483" s="66" t="n">
        <x:v>419.31260217681984</x:v>
      </x:c>
      <x:c r="E3483" s="66" t="n">
        <x:v>50.722298978208755</x:v>
      </x:c>
      <x:c r="F3483" s="66" t="n">
        <x:v>50.722298978208755</x:v>
      </x:c>
      <x:c r="G3483" s="66" t="n">
        <x:v>470.0349011550286</x:v>
      </x:c>
      <x:c r="H3483" s="45" t="n">
        <x:v>1</x:v>
      </x:c>
      <x:c r="I3483" s="36" t="str">
        <x:v>generated design-reference observation; not predicted tract behavior</x:v>
      </x:c>
    </x:row>
    <x:row r="3484" ht="75.5999984741211" hidden="0" customHeight="1">
      <x:c r="A3484" s="34" t="str">
        <x:v>H3</x:v>
      </x:c>
      <x:c r="B3484" s="34" t="str">
        <x:v>48201241104</x:v>
      </x:c>
      <x:c r="C3484" s="65" t="n">
        <x:v>2026.5008691130981</x:v>
      </x:c>
      <x:c r="D3484" s="65" t="n">
        <x:v>866.3291215458494</x:v>
      </x:c>
      <x:c r="E3484" s="65" t="n">
        <x:v>1160.1717475672488</x:v>
      </x:c>
      <x:c r="F3484" s="65" t="n">
        <x:v>1160.1717475672488</x:v>
      </x:c>
      <x:c r="G3484" s="65" t="n">
        <x:v>2026.5008691130981</x:v>
      </x:c>
      <x:c r="H3484" s="43" t="n">
        <x:v>1</x:v>
      </x:c>
      <x:c r="I3484" s="34" t="str">
        <x:v>generated design-reference observation; not predicted tract behavior</x:v>
      </x:c>
    </x:row>
    <x:row r="3485" ht="75.5999984741211" hidden="0" customHeight="1">
      <x:c r="A3485" s="36" t="str">
        <x:v>H3</x:v>
      </x:c>
      <x:c r="B3485" s="36" t="str">
        <x:v>48201241105</x:v>
      </x:c>
      <x:c r="C3485" s="66" t="n">
        <x:v>448.1343376176947</x:v>
      </x:c>
      <x:c r="D3485" s="66" t="n">
        <x:v>400.1839634926014</x:v>
      </x:c>
      <x:c r="E3485" s="66" t="n">
        <x:v>47.95037412509333</x:v>
      </x:c>
      <x:c r="F3485" s="66" t="n">
        <x:v>47.95037412509333</x:v>
      </x:c>
      <x:c r="G3485" s="66" t="n">
        <x:v>448.1343376176947</x:v>
      </x:c>
      <x:c r="H3485" s="45" t="n">
        <x:v>1</x:v>
      </x:c>
      <x:c r="I3485" s="36" t="str">
        <x:v>generated design-reference observation; not predicted tract behavior</x:v>
      </x:c>
    </x:row>
    <x:row r="3486" ht="75.5999984741211" hidden="0" customHeight="1">
      <x:c r="A3486" s="34" t="str">
        <x:v>H3</x:v>
      </x:c>
      <x:c r="B3486" s="34" t="str">
        <x:v>48201241201</x:v>
      </x:c>
      <x:c r="C3486" s="65" t="n">
        <x:v>532.2397081799571</x:v>
      </x:c>
      <x:c r="D3486" s="65" t="n">
        <x:v>227.0373268552026</x:v>
      </x:c>
      <x:c r="E3486" s="65" t="n">
        <x:v>305.2023813247545</x:v>
      </x:c>
      <x:c r="F3486" s="65" t="n">
        <x:v>305.2023813247545</x:v>
      </x:c>
      <x:c r="G3486" s="65" t="n">
        <x:v>532.2397081799571</x:v>
      </x:c>
      <x:c r="H3486" s="43" t="n">
        <x:v>1</x:v>
      </x:c>
      <x:c r="I3486" s="34" t="str">
        <x:v>generated design-reference observation; not predicted tract behavior</x:v>
      </x:c>
    </x:row>
    <x:row r="3487" ht="75.5999984741211" hidden="0" customHeight="1">
      <x:c r="A3487" s="36" t="str">
        <x:v>H3</x:v>
      </x:c>
      <x:c r="B3487" s="36" t="str">
        <x:v>48201241202</x:v>
      </x:c>
      <x:c r="C3487" s="66" t="n">
        <x:v>446.4956268703291</x:v>
      </x:c>
      <x:c r="D3487" s="66" t="n">
        <x:v>398.0223100407464</x:v>
      </x:c>
      <x:c r="E3487" s="66" t="n">
        <x:v>48.4733168295827</x:v>
      </x:c>
      <x:c r="F3487" s="66" t="n">
        <x:v>48.4733168295827</x:v>
      </x:c>
      <x:c r="G3487" s="66" t="n">
        <x:v>446.4956268703291</x:v>
      </x:c>
      <x:c r="H3487" s="45" t="n">
        <x:v>1</x:v>
      </x:c>
      <x:c r="I3487" s="36" t="str">
        <x:v>generated design-reference observation; not predicted tract behavior</x:v>
      </x:c>
    </x:row>
    <x:row r="3488" ht="75.5999984741211" hidden="0" customHeight="1">
      <x:c r="A3488" s="34" t="str">
        <x:v>H3</x:v>
      </x:c>
      <x:c r="B3488" s="34" t="str">
        <x:v>48201241301</x:v>
      </x:c>
      <x:c r="C3488" s="65" t="n">
        <x:v>411.6975845012116</x:v>
      </x:c>
      <x:c r="D3488" s="65" t="n">
        <x:v>367.64594295958193</x:v>
      </x:c>
      <x:c r="E3488" s="65" t="n">
        <x:v>44.05164154162969</x:v>
      </x:c>
      <x:c r="F3488" s="65" t="n">
        <x:v>44.05164154162969</x:v>
      </x:c>
      <x:c r="G3488" s="65" t="n">
        <x:v>411.6975845012116</x:v>
      </x:c>
      <x:c r="H3488" s="43" t="n">
        <x:v>1</x:v>
      </x:c>
      <x:c r="I3488" s="34" t="str">
        <x:v>generated design-reference observation; not predicted tract behavior</x:v>
      </x:c>
    </x:row>
    <x:row r="3489" ht="75.5999984741211" hidden="0" customHeight="1">
      <x:c r="A3489" s="36" t="str">
        <x:v>H3</x:v>
      </x:c>
      <x:c r="B3489" s="36" t="str">
        <x:v>48201241302</x:v>
      </x:c>
      <x:c r="C3489" s="66" t="n">
        <x:v>705.4079951921032</x:v>
      </x:c>
      <x:c r="D3489" s="66" t="n">
        <x:v>628.1077630866084</x:v>
      </x:c>
      <x:c r="E3489" s="66" t="n">
        <x:v>77.30023210549473</x:v>
      </x:c>
      <x:c r="F3489" s="66" t="n">
        <x:v>77.30023210549473</x:v>
      </x:c>
      <x:c r="G3489" s="66" t="n">
        <x:v>705.4079951921032</x:v>
      </x:c>
      <x:c r="H3489" s="45" t="n">
        <x:v>1</x:v>
      </x:c>
      <x:c r="I3489" s="36" t="str">
        <x:v>generated design-reference observation; not predicted tract behavior</x:v>
      </x:c>
    </x:row>
    <x:row r="3490" ht="75.5999984741211" hidden="0" customHeight="1">
      <x:c r="A3490" s="34" t="str">
        <x:v>H3</x:v>
      </x:c>
      <x:c r="B3490" s="34" t="str">
        <x:v>48201241400</x:v>
      </x:c>
      <x:c r="C3490" s="65" t="n">
        <x:v>821.3045356268874</x:v>
      </x:c>
      <x:c r="D3490" s="65" t="n">
        <x:v>730.9634063206233</x:v>
      </x:c>
      <x:c r="E3490" s="65" t="n">
        <x:v>90.34112930626407</x:v>
      </x:c>
      <x:c r="F3490" s="65" t="n">
        <x:v>90.34112930626407</x:v>
      </x:c>
      <x:c r="G3490" s="65" t="n">
        <x:v>821.3045356268874</x:v>
      </x:c>
      <x:c r="H3490" s="43" t="n">
        <x:v>1</x:v>
      </x:c>
      <x:c r="I3490" s="34" t="str">
        <x:v>generated design-reference observation; not predicted tract behavior</x:v>
      </x:c>
    </x:row>
    <x:row r="3491" ht="75.5999984741211" hidden="0" customHeight="1">
      <x:c r="A3491" s="36" t="str">
        <x:v>H3</x:v>
      </x:c>
      <x:c r="B3491" s="36" t="str">
        <x:v>48201241501</x:v>
      </x:c>
      <x:c r="C3491" s="66" t="n">
        <x:v>722.2842068880863</x:v>
      </x:c>
      <x:c r="D3491" s="66" t="n">
        <x:v>307.599297986908</x:v>
      </x:c>
      <x:c r="E3491" s="66" t="n">
        <x:v>414.68490890117823</x:v>
      </x:c>
      <x:c r="F3491" s="66" t="n">
        <x:v>414.68490890117823</x:v>
      </x:c>
      <x:c r="G3491" s="66" t="n">
        <x:v>722.2842068880863</x:v>
      </x:c>
      <x:c r="H3491" s="45" t="n">
        <x:v>1</x:v>
      </x:c>
      <x:c r="I3491" s="36" t="str">
        <x:v>generated design-reference observation; not predicted tract behavior</x:v>
      </x:c>
    </x:row>
    <x:row r="3492" ht="75.5999984741211" hidden="0" customHeight="1">
      <x:c r="A3492" s="34" t="str">
        <x:v>H3</x:v>
      </x:c>
      <x:c r="B3492" s="34" t="str">
        <x:v>48201241502</x:v>
      </x:c>
      <x:c r="C3492" s="65" t="n">
        <x:v>194.381746781031</x:v>
      </x:c>
      <x:c r="D3492" s="65" t="n">
        <x:v>172.7691706186513</x:v>
      </x:c>
      <x:c r="E3492" s="65" t="n">
        <x:v>21.612576162379725</x:v>
      </x:c>
      <x:c r="F3492" s="65" t="n">
        <x:v>21.612576162379725</x:v>
      </x:c>
      <x:c r="G3492" s="65" t="n">
        <x:v>194.381746781031</x:v>
      </x:c>
      <x:c r="H3492" s="43" t="n">
        <x:v>1</x:v>
      </x:c>
      <x:c r="I3492" s="34" t="str">
        <x:v>generated design-reference observation; not predicted tract behavior</x:v>
      </x:c>
    </x:row>
    <x:row r="3493" ht="75.5999984741211" hidden="0" customHeight="1">
      <x:c r="A3493" s="36" t="str">
        <x:v>H3</x:v>
      </x:c>
      <x:c r="B3493" s="36" t="str">
        <x:v>48201241503</x:v>
      </x:c>
      <x:c r="C3493" s="66" t="n">
        <x:v>211.83381975237498</x:v>
      </x:c>
      <x:c r="D3493" s="66" t="n">
        <x:v>188.65213148334075</x:v>
      </x:c>
      <x:c r="E3493" s="66" t="n">
        <x:v>23.181688269034225</x:v>
      </x:c>
      <x:c r="F3493" s="66" t="n">
        <x:v>23.181688269034225</x:v>
      </x:c>
      <x:c r="G3493" s="66" t="n">
        <x:v>211.83381975237498</x:v>
      </x:c>
      <x:c r="H3493" s="45" t="n">
        <x:v>1</x:v>
      </x:c>
      <x:c r="I3493" s="36" t="str">
        <x:v>generated design-reference observation; not predicted tract behavior</x:v>
      </x:c>
    </x:row>
    <x:row r="3494" ht="75.5999984741211" hidden="0" customHeight="1">
      <x:c r="A3494" s="34" t="str">
        <x:v>H3</x:v>
      </x:c>
      <x:c r="B3494" s="34" t="str">
        <x:v>48201250101</x:v>
      </x:c>
      <x:c r="C3494" s="65" t="n">
        <x:v>319.80010050326547</x:v>
      </x:c>
      <x:c r="D3494" s="65" t="n">
        <x:v>284.91358123334726</x:v>
      </x:c>
      <x:c r="E3494" s="65" t="n">
        <x:v>34.88651926991821</x:v>
      </x:c>
      <x:c r="F3494" s="65" t="n">
        <x:v>34.88651926991821</x:v>
      </x:c>
      <x:c r="G3494" s="65" t="n">
        <x:v>319.80010050326547</x:v>
      </x:c>
      <x:c r="H3494" s="43" t="n">
        <x:v>1</x:v>
      </x:c>
      <x:c r="I3494" s="34" t="str">
        <x:v>generated design-reference observation; not predicted tract behavior</x:v>
      </x:c>
    </x:row>
    <x:row r="3495" ht="75.5999984741211" hidden="0" customHeight="1">
      <x:c r="A3495" s="36" t="str">
        <x:v>H3</x:v>
      </x:c>
      <x:c r="B3495" s="36" t="str">
        <x:v>48201250102</x:v>
      </x:c>
      <x:c r="C3495" s="66" t="n">
        <x:v>435.6848516520974</x:v>
      </x:c>
      <x:c r="D3495" s="66" t="n">
        <x:v>389.06657252532295</x:v>
      </x:c>
      <x:c r="E3495" s="66" t="n">
        <x:v>46.61827912677444</x:v>
      </x:c>
      <x:c r="F3495" s="66" t="n">
        <x:v>46.61827912677444</x:v>
      </x:c>
      <x:c r="G3495" s="66" t="n">
        <x:v>435.6848516520974</x:v>
      </x:c>
      <x:c r="H3495" s="45" t="n">
        <x:v>1</x:v>
      </x:c>
      <x:c r="I3495" s="36" t="str">
        <x:v>generated design-reference observation; not predicted tract behavior</x:v>
      </x:c>
    </x:row>
    <x:row r="3496" ht="75.5999984741211" hidden="0" customHeight="1">
      <x:c r="A3496" s="34" t="str">
        <x:v>H3</x:v>
      </x:c>
      <x:c r="B3496" s="34" t="str">
        <x:v>48201250201</x:v>
      </x:c>
      <x:c r="C3496" s="65" t="n">
        <x:v>641.3371558034988</x:v>
      </x:c>
      <x:c r="D3496" s="65" t="n">
        <x:v>572.0040686515536</x:v>
      </x:c>
      <x:c r="E3496" s="65" t="n">
        <x:v>69.33308715194528</x:v>
      </x:c>
      <x:c r="F3496" s="65" t="n">
        <x:v>69.33308715194528</x:v>
      </x:c>
      <x:c r="G3496" s="65" t="n">
        <x:v>641.3371558034988</x:v>
      </x:c>
      <x:c r="H3496" s="43" t="n">
        <x:v>1</x:v>
      </x:c>
      <x:c r="I3496" s="34" t="str">
        <x:v>generated design-reference observation; not predicted tract behavior</x:v>
      </x:c>
    </x:row>
    <x:row r="3497" ht="75.5999984741211" hidden="0" customHeight="1">
      <x:c r="A3497" s="36" t="str">
        <x:v>H3</x:v>
      </x:c>
      <x:c r="B3497" s="36" t="str">
        <x:v>48201250202</x:v>
      </x:c>
      <x:c r="C3497" s="66" t="n">
        <x:v>184.46302753318764</x:v>
      </x:c>
      <x:c r="D3497" s="66" t="n">
        <x:v>163.81870147796695</x:v>
      </x:c>
      <x:c r="E3497" s="66" t="n">
        <x:v>20.644326055220688</x:v>
      </x:c>
      <x:c r="F3497" s="66" t="n">
        <x:v>20.644326055220688</x:v>
      </x:c>
      <x:c r="G3497" s="66" t="n">
        <x:v>184.46302753318764</x:v>
      </x:c>
      <x:c r="H3497" s="45" t="n">
        <x:v>1</x:v>
      </x:c>
      <x:c r="I3497" s="36" t="str">
        <x:v>generated design-reference observation; not predicted tract behavior</x:v>
      </x:c>
    </x:row>
    <x:row r="3498" ht="75.5999984741211" hidden="0" customHeight="1">
      <x:c r="A3498" s="34" t="str">
        <x:v>H3</x:v>
      </x:c>
      <x:c r="B3498" s="34" t="str">
        <x:v>48201250303</x:v>
      </x:c>
      <x:c r="C3498" s="65" t="n">
        <x:v>276.5334210584338</x:v>
      </x:c>
      <x:c r="D3498" s="65" t="n">
        <x:v>246.03415738915018</x:v>
      </x:c>
      <x:c r="E3498" s="65" t="n">
        <x:v>30.499263669283636</x:v>
      </x:c>
      <x:c r="F3498" s="65" t="n">
        <x:v>30.499263669283636</x:v>
      </x:c>
      <x:c r="G3498" s="65" t="n">
        <x:v>276.5334210584338</x:v>
      </x:c>
      <x:c r="H3498" s="43" t="n">
        <x:v>1</x:v>
      </x:c>
      <x:c r="I3498" s="34" t="str">
        <x:v>generated design-reference observation; not predicted tract behavior</x:v>
      </x:c>
    </x:row>
    <x:row r="3499" ht="75.5999984741211" hidden="0" customHeight="1">
      <x:c r="A3499" s="36" t="str">
        <x:v>H3</x:v>
      </x:c>
      <x:c r="B3499" s="36" t="str">
        <x:v>48201250304</x:v>
      </x:c>
      <x:c r="C3499" s="66" t="n">
        <x:v>1460.6502089726025</x:v>
      </x:c>
      <x:c r="D3499" s="66" t="n">
        <x:v>624.2147224177515</x:v>
      </x:c>
      <x:c r="E3499" s="66" t="n">
        <x:v>836.435486554851</x:v>
      </x:c>
      <x:c r="F3499" s="66" t="n">
        <x:v>836.435486554851</x:v>
      </x:c>
      <x:c r="G3499" s="66" t="n">
        <x:v>1460.6502089726025</x:v>
      </x:c>
      <x:c r="H3499" s="45" t="n">
        <x:v>1</x:v>
      </x:c>
      <x:c r="I3499" s="36" t="str">
        <x:v>generated design-reference observation; not predicted tract behavior</x:v>
      </x:c>
    </x:row>
    <x:row r="3500" ht="75.5999984741211" hidden="0" customHeight="1">
      <x:c r="A3500" s="34" t="str">
        <x:v>H3</x:v>
      </x:c>
      <x:c r="B3500" s="34" t="str">
        <x:v>48201250305</x:v>
      </x:c>
      <x:c r="C3500" s="65" t="n">
        <x:v>466.24268084038175</x:v>
      </x:c>
      <x:c r="D3500" s="65" t="n">
        <x:v>415.42201220937227</x:v>
      </x:c>
      <x:c r="E3500" s="65" t="n">
        <x:v>50.82066863100948</x:v>
      </x:c>
      <x:c r="F3500" s="65" t="n">
        <x:v>50.82066863100948</x:v>
      </x:c>
      <x:c r="G3500" s="65" t="n">
        <x:v>466.24268084038175</x:v>
      </x:c>
      <x:c r="H3500" s="43" t="n">
        <x:v>1</x:v>
      </x:c>
      <x:c r="I3500" s="34" t="str">
        <x:v>generated design-reference observation; not predicted tract behavior</x:v>
      </x:c>
    </x:row>
    <x:row r="3501" ht="75.5999984741211" hidden="0" customHeight="1">
      <x:c r="A3501" s="36" t="str">
        <x:v>H3</x:v>
      </x:c>
      <x:c r="B3501" s="36" t="str">
        <x:v>48201250306</x:v>
      </x:c>
      <x:c r="C3501" s="66" t="n">
        <x:v>315.63062303814587</x:v>
      </x:c>
      <x:c r="D3501" s="66" t="n">
        <x:v>281.85814637306424</x:v>
      </x:c>
      <x:c r="E3501" s="66" t="n">
        <x:v>33.772476665081626</x:v>
      </x:c>
      <x:c r="F3501" s="66" t="n">
        <x:v>33.772476665081626</x:v>
      </x:c>
      <x:c r="G3501" s="66" t="n">
        <x:v>315.63062303814587</x:v>
      </x:c>
      <x:c r="H3501" s="45" t="n">
        <x:v>1</x:v>
      </x:c>
      <x:c r="I3501" s="36" t="str">
        <x:v>generated design-reference observation; not predicted tract behavior</x:v>
      </x:c>
    </x:row>
    <x:row r="3502" ht="75.5999984741211" hidden="0" customHeight="1">
      <x:c r="A3502" s="34" t="str">
        <x:v>H3</x:v>
      </x:c>
      <x:c r="B3502" s="34" t="str">
        <x:v>48201250403</x:v>
      </x:c>
      <x:c r="C3502" s="65" t="n">
        <x:v>648.7801250013653</x:v>
      </x:c>
      <x:c r="D3502" s="65" t="n">
        <x:v>503.7071175899794</x:v>
      </x:c>
      <x:c r="E3502" s="65" t="n">
        <x:v>145.07300741138584</x:v>
      </x:c>
      <x:c r="F3502" s="65" t="n">
        <x:v>145.07300741138584</x:v>
      </x:c>
      <x:c r="G3502" s="65" t="n">
        <x:v>648.7801250013653</x:v>
      </x:c>
      <x:c r="H3502" s="43" t="n">
        <x:v>1</x:v>
      </x:c>
      <x:c r="I3502" s="34" t="str">
        <x:v>generated design-reference observation; not predicted tract behavior</x:v>
      </x:c>
    </x:row>
    <x:row r="3503" ht="75.5999984741211" hidden="0" customHeight="1">
      <x:c r="A3503" s="36" t="str">
        <x:v>H3</x:v>
      </x:c>
      <x:c r="B3503" s="36" t="str">
        <x:v>48201250404</x:v>
      </x:c>
      <x:c r="C3503" s="66" t="n">
        <x:v>406.0701653399947</x:v>
      </x:c>
      <x:c r="D3503" s="66" t="n">
        <x:v>362.1952717132482</x:v>
      </x:c>
      <x:c r="E3503" s="66" t="n">
        <x:v>43.874893626746484</x:v>
      </x:c>
      <x:c r="F3503" s="66" t="n">
        <x:v>43.874893626746484</x:v>
      </x:c>
      <x:c r="G3503" s="66" t="n">
        <x:v>406.0701653399947</x:v>
      </x:c>
      <x:c r="H3503" s="45" t="n">
        <x:v>1</x:v>
      </x:c>
      <x:c r="I3503" s="36" t="str">
        <x:v>generated design-reference observation; not predicted tract behavior</x:v>
      </x:c>
    </x:row>
    <x:row r="3504" ht="75.5999984741211" hidden="0" customHeight="1">
      <x:c r="A3504" s="34" t="str">
        <x:v>H3</x:v>
      </x:c>
      <x:c r="B3504" s="34" t="str">
        <x:v>48201250405</x:v>
      </x:c>
      <x:c r="C3504" s="65" t="n">
        <x:v>800.2410113921646</x:v>
      </x:c>
      <x:c r="D3504" s="65" t="n">
        <x:v>714.6152231732029</x:v>
      </x:c>
      <x:c r="E3504" s="65" t="n">
        <x:v>85.6257882189617</x:v>
      </x:c>
      <x:c r="F3504" s="65" t="n">
        <x:v>85.6257882189617</x:v>
      </x:c>
      <x:c r="G3504" s="65" t="n">
        <x:v>800.2410113921646</x:v>
      </x:c>
      <x:c r="H3504" s="43" t="n">
        <x:v>1</x:v>
      </x:c>
      <x:c r="I3504" s="34" t="str">
        <x:v>generated design-reference observation; not predicted tract behavior</x:v>
      </x:c>
    </x:row>
    <x:row r="3505" ht="75.5999984741211" hidden="0" customHeight="1">
      <x:c r="A3505" s="36" t="str">
        <x:v>H3</x:v>
      </x:c>
      <x:c r="B3505" s="36" t="str">
        <x:v>48201250406</x:v>
      </x:c>
      <x:c r="C3505" s="66" t="n">
        <x:v>384.49577204734015</x:v>
      </x:c>
      <x:c r="D3505" s="66" t="n">
        <x:v>342.5455979203677</x:v>
      </x:c>
      <x:c r="E3505" s="66" t="n">
        <x:v>41.950174126972456</x:v>
      </x:c>
      <x:c r="F3505" s="66" t="n">
        <x:v>41.950174126972456</x:v>
      </x:c>
      <x:c r="G3505" s="66" t="n">
        <x:v>384.49577204734015</x:v>
      </x:c>
      <x:c r="H3505" s="45" t="n">
        <x:v>1</x:v>
      </x:c>
      <x:c r="I3505" s="36" t="str">
        <x:v>generated design-reference observation; not predicted tract behavior</x:v>
      </x:c>
    </x:row>
    <x:row r="3506" ht="75.5999984741211" hidden="0" customHeight="1">
      <x:c r="A3506" s="34" t="str">
        <x:v>H3</x:v>
      </x:c>
      <x:c r="B3506" s="34" t="str">
        <x:v>48201250407</x:v>
      </x:c>
      <x:c r="C3506" s="65" t="n">
        <x:v>807.110235340354</x:v>
      </x:c>
      <x:c r="D3506" s="65" t="n">
        <x:v>720.7494401589361</x:v>
      </x:c>
      <x:c r="E3506" s="65" t="n">
        <x:v>86.36079518141798</x:v>
      </x:c>
      <x:c r="F3506" s="65" t="n">
        <x:v>86.36079518141798</x:v>
      </x:c>
      <x:c r="G3506" s="65" t="n">
        <x:v>807.110235340354</x:v>
      </x:c>
      <x:c r="H3506" s="43" t="n">
        <x:v>1</x:v>
      </x:c>
      <x:c r="I3506" s="34" t="str">
        <x:v>generated design-reference observation; not predicted tract behavior</x:v>
      </x:c>
    </x:row>
    <x:row r="3507" ht="75.5999984741211" hidden="0" customHeight="1">
      <x:c r="A3507" s="36" t="str">
        <x:v>H3</x:v>
      </x:c>
      <x:c r="B3507" s="36" t="str">
        <x:v>48201250408</x:v>
      </x:c>
      <x:c r="C3507" s="66" t="n">
        <x:v>1388.8486208931424</x:v>
      </x:c>
      <x:c r="D3507" s="66" t="n">
        <x:v>1235.1319790141772</x:v>
      </x:c>
      <x:c r="E3507" s="66" t="n">
        <x:v>153.71664187896522</x:v>
      </x:c>
      <x:c r="F3507" s="66" t="n">
        <x:v>153.71664187896522</x:v>
      </x:c>
      <x:c r="G3507" s="66" t="n">
        <x:v>1388.8486208931424</x:v>
      </x:c>
      <x:c r="H3507" s="45" t="n">
        <x:v>1</x:v>
      </x:c>
      <x:c r="I3507" s="36" t="str">
        <x:v>generated design-reference observation; not predicted tract behavior</x:v>
      </x:c>
    </x:row>
    <x:row r="3508" ht="75.5999984741211" hidden="0" customHeight="1">
      <x:c r="A3508" s="34" t="str">
        <x:v>H3</x:v>
      </x:c>
      <x:c r="B3508" s="34" t="str">
        <x:v>48201250500</x:v>
      </x:c>
      <x:c r="C3508" s="65" t="n">
        <x:v>440.1962184098328</x:v>
      </x:c>
      <x:c r="D3508" s="65" t="n">
        <x:v>390.91575324192775</x:v>
      </x:c>
      <x:c r="E3508" s="65" t="n">
        <x:v>49.28046516790505</x:v>
      </x:c>
      <x:c r="F3508" s="65" t="n">
        <x:v>49.28046516790505</x:v>
      </x:c>
      <x:c r="G3508" s="65" t="n">
        <x:v>440.1962184098328</x:v>
      </x:c>
      <x:c r="H3508" s="43" t="n">
        <x:v>1</x:v>
      </x:c>
      <x:c r="I3508" s="34" t="str">
        <x:v>generated design-reference observation; not predicted tract behavior</x:v>
      </x:c>
    </x:row>
    <x:row r="3509" ht="75.5999984741211" hidden="0" customHeight="1">
      <x:c r="A3509" s="36" t="str">
        <x:v>H3</x:v>
      </x:c>
      <x:c r="B3509" s="36" t="str">
        <x:v>48201250601</x:v>
      </x:c>
      <x:c r="C3509" s="66" t="n">
        <x:v>272.5840102644232</x:v>
      </x:c>
      <x:c r="D3509" s="66" t="n">
        <x:v>242.72488122252017</x:v>
      </x:c>
      <x:c r="E3509" s="66" t="n">
        <x:v>29.85912904190306</x:v>
      </x:c>
      <x:c r="F3509" s="66" t="n">
        <x:v>29.85912904190306</x:v>
      </x:c>
      <x:c r="G3509" s="66" t="n">
        <x:v>272.5840102644232</x:v>
      </x:c>
      <x:c r="H3509" s="45" t="n">
        <x:v>1</x:v>
      </x:c>
      <x:c r="I3509" s="36" t="str">
        <x:v>generated design-reference observation; not predicted tract behavior</x:v>
      </x:c>
    </x:row>
    <x:row r="3510" ht="75.5999984741211" hidden="0" customHeight="1">
      <x:c r="A3510" s="34" t="str">
        <x:v>H3</x:v>
      </x:c>
      <x:c r="B3510" s="34" t="str">
        <x:v>48201250602</x:v>
      </x:c>
      <x:c r="C3510" s="65" t="n">
        <x:v>373.49636825387205</x:v>
      </x:c>
      <x:c r="D3510" s="65" t="n">
        <x:v>332.7215881708622</x:v>
      </x:c>
      <x:c r="E3510" s="65" t="n">
        <x:v>40.77478008300983</x:v>
      </x:c>
      <x:c r="F3510" s="65" t="n">
        <x:v>40.77478008300983</x:v>
      </x:c>
      <x:c r="G3510" s="65" t="n">
        <x:v>373.49636825387205</x:v>
      </x:c>
      <x:c r="H3510" s="43" t="n">
        <x:v>1</x:v>
      </x:c>
      <x:c r="I3510" s="34" t="str">
        <x:v>generated design-reference observation; not predicted tract behavior</x:v>
      </x:c>
    </x:row>
    <x:row r="3511" ht="75.5999984741211" hidden="0" customHeight="1">
      <x:c r="A3511" s="36" t="str">
        <x:v>H3</x:v>
      </x:c>
      <x:c r="B3511" s="36" t="str">
        <x:v>48201250701</x:v>
      </x:c>
      <x:c r="C3511" s="66" t="n">
        <x:v>1242.0224353285025</x:v>
      </x:c>
      <x:c r="D3511" s="66" t="n">
        <x:v>530.8532972148433</x:v>
      </x:c>
      <x:c r="E3511" s="66" t="n">
        <x:v>711.1691381136592</x:v>
      </x:c>
      <x:c r="F3511" s="66" t="n">
        <x:v>711.1691381136592</x:v>
      </x:c>
      <x:c r="G3511" s="66" t="n">
        <x:v>1242.0224353285025</x:v>
      </x:c>
      <x:c r="H3511" s="45" t="n">
        <x:v>1</x:v>
      </x:c>
      <x:c r="I3511" s="36" t="str">
        <x:v>generated design-reference observation; not predicted tract behavior</x:v>
      </x:c>
    </x:row>
    <x:row r="3512" ht="75.5999984741211" hidden="0" customHeight="1">
      <x:c r="A3512" s="34" t="str">
        <x:v>H3</x:v>
      </x:c>
      <x:c r="B3512" s="34" t="str">
        <x:v>48201250702</x:v>
      </x:c>
      <x:c r="C3512" s="65" t="n">
        <x:v>328.6695733013567</x:v>
      </x:c>
      <x:c r="D3512" s="65" t="n">
        <x:v>293.432172112251</x:v>
      </x:c>
      <x:c r="E3512" s="65" t="n">
        <x:v>35.2374011891057</x:v>
      </x:c>
      <x:c r="F3512" s="65" t="n">
        <x:v>35.2374011891057</x:v>
      </x:c>
      <x:c r="G3512" s="65" t="n">
        <x:v>328.6695733013567</x:v>
      </x:c>
      <x:c r="H3512" s="43" t="n">
        <x:v>1</x:v>
      </x:c>
      <x:c r="I3512" s="34" t="str">
        <x:v>generated design-reference observation; not predicted tract behavior</x:v>
      </x:c>
    </x:row>
    <x:row r="3513" ht="75.5999984741211" hidden="0" customHeight="1">
      <x:c r="A3513" s="36" t="str">
        <x:v>H3</x:v>
      </x:c>
      <x:c r="B3513" s="36" t="str">
        <x:v>48201250801</x:v>
      </x:c>
      <x:c r="C3513" s="66" t="n">
        <x:v>287.4856677080929</x:v>
      </x:c>
      <x:c r="D3513" s="66" t="n">
        <x:v>256.64509670479566</x:v>
      </x:c>
      <x:c r="E3513" s="66" t="n">
        <x:v>30.840571003297214</x:v>
      </x:c>
      <x:c r="F3513" s="66" t="n">
        <x:v>30.840571003297214</x:v>
      </x:c>
      <x:c r="G3513" s="66" t="n">
        <x:v>287.4856677080929</x:v>
      </x:c>
      <x:c r="H3513" s="45" t="n">
        <x:v>1</x:v>
      </x:c>
      <x:c r="I3513" s="36" t="str">
        <x:v>generated design-reference observation; not predicted tract behavior</x:v>
      </x:c>
    </x:row>
    <x:row r="3514" ht="75.5999984741211" hidden="0" customHeight="1">
      <x:c r="A3514" s="34" t="str">
        <x:v>H3</x:v>
      </x:c>
      <x:c r="B3514" s="34" t="str">
        <x:v>48201250802</x:v>
      </x:c>
      <x:c r="C3514" s="65" t="n">
        <x:v>656.9703535549756</x:v>
      </x:c>
      <x:c r="D3514" s="65" t="n">
        <x:v>511.00535421787833</x:v>
      </x:c>
      <x:c r="E3514" s="65" t="n">
        <x:v>145.9649993370973</x:v>
      </x:c>
      <x:c r="F3514" s="65" t="n">
        <x:v>145.9649993370973</x:v>
      </x:c>
      <x:c r="G3514" s="65" t="n">
        <x:v>656.9703535549756</x:v>
      </x:c>
      <x:c r="H3514" s="43" t="n">
        <x:v>1</x:v>
      </x:c>
      <x:c r="I3514" s="34" t="str">
        <x:v>generated design-reference observation; not predicted tract behavior</x:v>
      </x:c>
    </x:row>
    <x:row r="3515" ht="75.5999984741211" hidden="0" customHeight="1">
      <x:c r="A3515" s="36" t="str">
        <x:v>H3</x:v>
      </x:c>
      <x:c r="B3515" s="36" t="str">
        <x:v>48201250901</x:v>
      </x:c>
      <x:c r="C3515" s="66" t="n">
        <x:v>703.4854347137327</x:v>
      </x:c>
      <x:c r="D3515" s="66" t="n">
        <x:v>298.438763203451</x:v>
      </x:c>
      <x:c r="E3515" s="66" t="n">
        <x:v>405.0466715102817</x:v>
      </x:c>
      <x:c r="F3515" s="66" t="n">
        <x:v>405.0466715102817</x:v>
      </x:c>
      <x:c r="G3515" s="66" t="n">
        <x:v>703.4854347137327</x:v>
      </x:c>
      <x:c r="H3515" s="45" t="n">
        <x:v>1</x:v>
      </x:c>
      <x:c r="I3515" s="36" t="str">
        <x:v>generated design-reference observation; not predicted tract behavior</x:v>
      </x:c>
    </x:row>
    <x:row r="3516" ht="75.5999984741211" hidden="0" customHeight="1">
      <x:c r="A3516" s="34" t="str">
        <x:v>H3</x:v>
      </x:c>
      <x:c r="B3516" s="34" t="str">
        <x:v>48201250902</x:v>
      </x:c>
      <x:c r="C3516" s="65" t="n">
        <x:v>451.3253043487758</x:v>
      </x:c>
      <x:c r="D3516" s="65" t="n">
        <x:v>403.0334967834567</x:v>
      </x:c>
      <x:c r="E3516" s="65" t="n">
        <x:v>48.29180756531906</x:v>
      </x:c>
      <x:c r="F3516" s="65" t="n">
        <x:v>48.29180756531906</x:v>
      </x:c>
      <x:c r="G3516" s="65" t="n">
        <x:v>451.3253043487758</x:v>
      </x:c>
      <x:c r="H3516" s="43" t="n">
        <x:v>1</x:v>
      </x:c>
      <x:c r="I3516" s="34" t="str">
        <x:v>generated design-reference observation; not predicted tract behavior</x:v>
      </x:c>
    </x:row>
    <x:row r="3517" ht="75.5999984741211" hidden="0" customHeight="1">
      <x:c r="A3517" s="36" t="str">
        <x:v>H3</x:v>
      </x:c>
      <x:c r="B3517" s="36" t="str">
        <x:v>48201251000</x:v>
      </x:c>
      <x:c r="C3517" s="66" t="n">
        <x:v>586.8247067177349</x:v>
      </x:c>
      <x:c r="D3517" s="66" t="n">
        <x:v>249.7475086510444</x:v>
      </x:c>
      <x:c r="E3517" s="66" t="n">
        <x:v>337.07719806669047</x:v>
      </x:c>
      <x:c r="F3517" s="66" t="n">
        <x:v>337.07719806669047</x:v>
      </x:c>
      <x:c r="G3517" s="66" t="n">
        <x:v>586.8247067177349</x:v>
      </x:c>
      <x:c r="H3517" s="45" t="n">
        <x:v>1</x:v>
      </x:c>
      <x:c r="I3517" s="36" t="str">
        <x:v>generated design-reference observation; not predicted tract behavior</x:v>
      </x:c>
    </x:row>
    <x:row r="3518" ht="75.5999984741211" hidden="0" customHeight="1">
      <x:c r="A3518" s="34" t="str">
        <x:v>H3</x:v>
      </x:c>
      <x:c r="B3518" s="34" t="str">
        <x:v>48201251100</x:v>
      </x:c>
      <x:c r="C3518" s="65" t="n">
        <x:v>594.439376285368</x:v>
      </x:c>
      <x:c r="D3518" s="65" t="n">
        <x:v>530.2609126565641</x:v>
      </x:c>
      <x:c r="E3518" s="65" t="n">
        <x:v>64.17846362880391</x:v>
      </x:c>
      <x:c r="F3518" s="65" t="n">
        <x:v>64.17846362880391</x:v>
      </x:c>
      <x:c r="G3518" s="65" t="n">
        <x:v>594.439376285368</x:v>
      </x:c>
      <x:c r="H3518" s="43" t="n">
        <x:v>1</x:v>
      </x:c>
      <x:c r="I3518" s="34" t="str">
        <x:v>generated design-reference observation; not predicted tract behavior</x:v>
      </x:c>
    </x:row>
    <x:row r="3519" ht="75.5999984741211" hidden="0" customHeight="1">
      <x:c r="A3519" s="36" t="str">
        <x:v>H3</x:v>
      </x:c>
      <x:c r="B3519" s="36" t="str">
        <x:v>48201251200</x:v>
      </x:c>
      <x:c r="C3519" s="66" t="n">
        <x:v>512.8182198758172</x:v>
      </x:c>
      <x:c r="D3519" s="66" t="n">
        <x:v>457.1533769044055</x:v>
      </x:c>
      <x:c r="E3519" s="66" t="n">
        <x:v>55.66484297141176</x:v>
      </x:c>
      <x:c r="F3519" s="66" t="n">
        <x:v>55.66484297141176</x:v>
      </x:c>
      <x:c r="G3519" s="66" t="n">
        <x:v>512.8182198758172</x:v>
      </x:c>
      <x:c r="H3519" s="45" t="n">
        <x:v>1</x:v>
      </x:c>
      <x:c r="I3519" s="36" t="str">
        <x:v>generated design-reference observation; not predicted tract behavior</x:v>
      </x:c>
    </x:row>
    <x:row r="3520" ht="75.5999984741211" hidden="0" customHeight="1">
      <x:c r="A3520" s="34" t="str">
        <x:v>H3</x:v>
      </x:c>
      <x:c r="B3520" s="34" t="str">
        <x:v>48201251300</x:v>
      </x:c>
      <x:c r="C3520" s="65" t="n">
        <x:v>1251.9931483502892</x:v>
      </x:c>
      <x:c r="D3520" s="65" t="n">
        <x:v>535.0689599287383</x:v>
      </x:c>
      <x:c r="E3520" s="65" t="n">
        <x:v>716.9241884215509</x:v>
      </x:c>
      <x:c r="F3520" s="65" t="n">
        <x:v>716.9241884215509</x:v>
      </x:c>
      <x:c r="G3520" s="65" t="n">
        <x:v>1251.9931483502892</x:v>
      </x:c>
      <x:c r="H3520" s="43" t="n">
        <x:v>1</x:v>
      </x:c>
      <x:c r="I3520" s="34" t="str">
        <x:v>generated design-reference observation; not predicted tract behavior</x:v>
      </x:c>
    </x:row>
    <x:row r="3521" ht="75.5999984741211" hidden="0" customHeight="1">
      <x:c r="A3521" s="36" t="str">
        <x:v>H3</x:v>
      </x:c>
      <x:c r="B3521" s="36" t="str">
        <x:v>48201251401</x:v>
      </x:c>
      <x:c r="C3521" s="66" t="n">
        <x:v>421.4560903758574</x:v>
      </x:c>
      <x:c r="D3521" s="66" t="n">
        <x:v>328.2339505265208</x:v>
      </x:c>
      <x:c r="E3521" s="66" t="n">
        <x:v>93.2221398493366</x:v>
      </x:c>
      <x:c r="F3521" s="66" t="n">
        <x:v>93.2221398493366</x:v>
      </x:c>
      <x:c r="G3521" s="66" t="n">
        <x:v>421.4560903758574</x:v>
      </x:c>
      <x:c r="H3521" s="45" t="n">
        <x:v>1</x:v>
      </x:c>
      <x:c r="I3521" s="36" t="str">
        <x:v>generated design-reference observation; not predicted tract behavior</x:v>
      </x:c>
    </x:row>
    <x:row r="3522" ht="75.5999984741211" hidden="0" customHeight="1">
      <x:c r="A3522" s="34" t="str">
        <x:v>H3</x:v>
      </x:c>
      <x:c r="B3522" s="34" t="str">
        <x:v>48201251402</x:v>
      </x:c>
      <x:c r="C3522" s="65" t="n">
        <x:v>545.5924348231284</x:v>
      </x:c>
      <x:c r="D3522" s="65" t="n">
        <x:v>486.5365780827213</x:v>
      </x:c>
      <x:c r="E3522" s="65" t="n">
        <x:v>59.05585674040714</x:v>
      </x:c>
      <x:c r="F3522" s="65" t="n">
        <x:v>59.05585674040714</x:v>
      </x:c>
      <x:c r="G3522" s="65" t="n">
        <x:v>545.5924348231284</x:v>
      </x:c>
      <x:c r="H3522" s="43" t="n">
        <x:v>1</x:v>
      </x:c>
      <x:c r="I3522" s="34" t="str">
        <x:v>generated design-reference observation; not predicted tract behavior</x:v>
      </x:c>
    </x:row>
    <x:row r="3523" ht="75.5999984741211" hidden="0" customHeight="1">
      <x:c r="A3523" s="36" t="str">
        <x:v>H3</x:v>
      </x:c>
      <x:c r="B3523" s="36" t="str">
        <x:v>48201251501</x:v>
      </x:c>
      <x:c r="C3523" s="66" t="n">
        <x:v>1180.5730494726695</x:v>
      </x:c>
      <x:c r="D3523" s="66" t="n">
        <x:v>504.6949786495661</x:v>
      </x:c>
      <x:c r="E3523" s="66" t="n">
        <x:v>675.8780708231034</x:v>
      </x:c>
      <x:c r="F3523" s="66" t="n">
        <x:v>0</x:v>
      </x:c>
      <x:c r="G3523" s="66" t="n">
        <x:v>504.6949786495661</x:v>
      </x:c>
      <x:c r="H3523" s="45" t="n">
        <x:v>0.42749999999999994</x:v>
      </x:c>
      <x:c r="I3523" s="36" t="str">
        <x:v>generated design-reference observation; not predicted tract behavior</x:v>
      </x:c>
    </x:row>
    <x:row r="3524" ht="75.5999984741211" hidden="0" customHeight="1">
      <x:c r="A3524" s="34" t="str">
        <x:v>H3</x:v>
      </x:c>
      <x:c r="B3524" s="34" t="str">
        <x:v>48201251503</x:v>
      </x:c>
      <x:c r="C3524" s="65" t="n">
        <x:v>222.0708497209296</x:v>
      </x:c>
      <x:c r="D3524" s="65" t="n">
        <x:v>198.3092688007901</x:v>
      </x:c>
      <x:c r="E3524" s="65" t="n">
        <x:v>23.761580920139494</x:v>
      </x:c>
      <x:c r="F3524" s="65" t="n">
        <x:v>23.761580920139494</x:v>
      </x:c>
      <x:c r="G3524" s="65" t="n">
        <x:v>222.0708497209296</x:v>
      </x:c>
      <x:c r="H3524" s="43" t="n">
        <x:v>1</x:v>
      </x:c>
      <x:c r="I3524" s="34" t="str">
        <x:v>generated design-reference observation; not predicted tract behavior</x:v>
      </x:c>
    </x:row>
    <x:row r="3525" ht="75.5999984741211" hidden="0" customHeight="1">
      <x:c r="A3525" s="36" t="str">
        <x:v>H3</x:v>
      </x:c>
      <x:c r="B3525" s="36" t="str">
        <x:v>48201251504</x:v>
      </x:c>
      <x:c r="C3525" s="66" t="n">
        <x:v>447.67848522754025</x:v>
      </x:c>
      <x:c r="D3525" s="66" t="n">
        <x:v>399.737905813223</x:v>
      </x:c>
      <x:c r="E3525" s="66" t="n">
        <x:v>47.940579414317256</x:v>
      </x:c>
      <x:c r="F3525" s="66" t="n">
        <x:v>47.940579414317256</x:v>
      </x:c>
      <x:c r="G3525" s="66" t="n">
        <x:v>447.67848522754025</x:v>
      </x:c>
      <x:c r="H3525" s="45" t="n">
        <x:v>1</x:v>
      </x:c>
      <x:c r="I3525" s="36" t="str">
        <x:v>generated design-reference observation; not predicted tract behavior</x:v>
      </x:c>
    </x:row>
    <x:row r="3526" ht="75.5999984741211" hidden="0" customHeight="1">
      <x:c r="A3526" s="34" t="str">
        <x:v>H3</x:v>
      </x:c>
      <x:c r="B3526" s="34" t="str">
        <x:v>48201251505</x:v>
      </x:c>
      <x:c r="C3526" s="65" t="n">
        <x:v>309.19367290820634</x:v>
      </x:c>
      <x:c r="D3526" s="65" t="n">
        <x:v>276.10994990702824</x:v>
      </x:c>
      <x:c r="E3526" s="65" t="n">
        <x:v>33.0837230011781</x:v>
      </x:c>
      <x:c r="F3526" s="65" t="n">
        <x:v>33.0837230011781</x:v>
      </x:c>
      <x:c r="G3526" s="65" t="n">
        <x:v>309.19367290820634</x:v>
      </x:c>
      <x:c r="H3526" s="43" t="n">
        <x:v>1</x:v>
      </x:c>
      <x:c r="I3526" s="34" t="str">
        <x:v>generated design-reference observation; not predicted tract behavior</x:v>
      </x:c>
    </x:row>
    <x:row r="3527" ht="75.5999984741211" hidden="0" customHeight="1">
      <x:c r="A3527" s="36" t="str">
        <x:v>H3</x:v>
      </x:c>
      <x:c r="B3527" s="36" t="str">
        <x:v>48201251600</x:v>
      </x:c>
      <x:c r="C3527" s="66" t="n">
        <x:v>605.1204693581246</x:v>
      </x:c>
      <x:c r="D3527" s="66" t="n">
        <x:v>540.3725791368053</x:v>
      </x:c>
      <x:c r="E3527" s="66" t="n">
        <x:v>64.74789022131938</x:v>
      </x:c>
      <x:c r="F3527" s="66" t="n">
        <x:v>64.74789022131938</x:v>
      </x:c>
      <x:c r="G3527" s="66" t="n">
        <x:v>605.1204693581246</x:v>
      </x:c>
      <x:c r="H3527" s="45" t="n">
        <x:v>1</x:v>
      </x:c>
      <x:c r="I3527" s="36" t="str">
        <x:v>generated design-reference observation; not predicted tract behavior</x:v>
      </x:c>
    </x:row>
    <x:row r="3528" ht="75.5999984741211" hidden="0" customHeight="1">
      <x:c r="A3528" s="34" t="str">
        <x:v>H3</x:v>
      </x:c>
      <x:c r="B3528" s="34" t="str">
        <x:v>48201251701</x:v>
      </x:c>
      <x:c r="C3528" s="65" t="n">
        <x:v>379.38708146802304</x:v>
      </x:c>
      <x:c r="D3528" s="65" t="n">
        <x:v>338.61372396375214</x:v>
      </x:c>
      <x:c r="E3528" s="65" t="n">
        <x:v>40.773357504270905</x:v>
      </x:c>
      <x:c r="F3528" s="65" t="n">
        <x:v>40.773357504270905</x:v>
      </x:c>
      <x:c r="G3528" s="65" t="n">
        <x:v>379.38708146802304</x:v>
      </x:c>
      <x:c r="H3528" s="43" t="n">
        <x:v>1</x:v>
      </x:c>
      <x:c r="I3528" s="34" t="str">
        <x:v>generated design-reference observation; not predicted tract behavior</x:v>
      </x:c>
    </x:row>
    <x:row r="3529" ht="75.5999984741211" hidden="0" customHeight="1">
      <x:c r="A3529" s="36" t="str">
        <x:v>H3</x:v>
      </x:c>
      <x:c r="B3529" s="36" t="str">
        <x:v>48201251702</x:v>
      </x:c>
      <x:c r="C3529" s="66" t="n">
        <x:v>320.786470761272</x:v>
      </x:c>
      <x:c r="D3529" s="66" t="n">
        <x:v>286.3097419219651</x:v>
      </x:c>
      <x:c r="E3529" s="66" t="n">
        <x:v>34.47672883930693</x:v>
      </x:c>
      <x:c r="F3529" s="66" t="n">
        <x:v>34.47672883930693</x:v>
      </x:c>
      <x:c r="G3529" s="66" t="n">
        <x:v>320.786470761272</x:v>
      </x:c>
      <x:c r="H3529" s="45" t="n">
        <x:v>1</x:v>
      </x:c>
      <x:c r="I3529" s="36" t="str">
        <x:v>generated design-reference observation; not predicted tract behavior</x:v>
      </x:c>
    </x:row>
    <x:row r="3530" ht="75.5999984741211" hidden="0" customHeight="1">
      <x:c r="A3530" s="34" t="str">
        <x:v>H3</x:v>
      </x:c>
      <x:c r="B3530" s="34" t="str">
        <x:v>48201251800</x:v>
      </x:c>
      <x:c r="C3530" s="65" t="n">
        <x:v>259.0281451556129</x:v>
      </x:c>
      <x:c r="D3530" s="65" t="n">
        <x:v>201.78292507622245</x:v>
      </x:c>
      <x:c r="E3530" s="65" t="n">
        <x:v>57.245220079390435</x:v>
      </x:c>
      <x:c r="F3530" s="65" t="n">
        <x:v>57.245220079390435</x:v>
      </x:c>
      <x:c r="G3530" s="65" t="n">
        <x:v>259.0281451556129</x:v>
      </x:c>
      <x:c r="H3530" s="43" t="n">
        <x:v>1</x:v>
      </x:c>
      <x:c r="I3530" s="34" t="str">
        <x:v>generated design-reference observation; not predicted tract behavior</x:v>
      </x:c>
    </x:row>
    <x:row r="3531" ht="75.5999984741211" hidden="0" customHeight="1">
      <x:c r="A3531" s="36" t="str">
        <x:v>H3</x:v>
      </x:c>
      <x:c r="B3531" s="36" t="str">
        <x:v>48201251902</x:v>
      </x:c>
      <x:c r="C3531" s="66" t="n">
        <x:v>631.7721151342237</x:v>
      </x:c>
      <x:c r="D3531" s="66" t="n">
        <x:v>564.1516575699849</x:v>
      </x:c>
      <x:c r="E3531" s="66" t="n">
        <x:v>67.62045756423879</x:v>
      </x:c>
      <x:c r="F3531" s="66" t="n">
        <x:v>67.62045756423879</x:v>
      </x:c>
      <x:c r="G3531" s="66" t="n">
        <x:v>631.7721151342237</x:v>
      </x:c>
      <x:c r="H3531" s="45" t="n">
        <x:v>1</x:v>
      </x:c>
      <x:c r="I3531" s="36" t="str">
        <x:v>generated design-reference observation; not predicted tract behavior</x:v>
      </x:c>
    </x:row>
    <x:row r="3532" ht="75.5999984741211" hidden="0" customHeight="1">
      <x:c r="A3532" s="34" t="str">
        <x:v>H3</x:v>
      </x:c>
      <x:c r="B3532" s="34" t="str">
        <x:v>48201251903</x:v>
      </x:c>
      <x:c r="C3532" s="65" t="n">
        <x:v>353.6157023763605</x:v>
      </x:c>
      <x:c r="D3532" s="65" t="n">
        <x:v>315.7788222220899</x:v>
      </x:c>
      <x:c r="E3532" s="65" t="n">
        <x:v>37.8368801542706</x:v>
      </x:c>
      <x:c r="F3532" s="65" t="n">
        <x:v>37.8368801542706</x:v>
      </x:c>
      <x:c r="G3532" s="65" t="n">
        <x:v>353.6157023763605</x:v>
      </x:c>
      <x:c r="H3532" s="43" t="n">
        <x:v>1</x:v>
      </x:c>
      <x:c r="I3532" s="34" t="str">
        <x:v>generated design-reference observation; not predicted tract behavior</x:v>
      </x:c>
    </x:row>
    <x:row r="3533" ht="75.5999984741211" hidden="0" customHeight="1">
      <x:c r="A3533" s="36" t="str">
        <x:v>H3</x:v>
      </x:c>
      <x:c r="B3533" s="36" t="str">
        <x:v>48201251904</x:v>
      </x:c>
      <x:c r="C3533" s="66" t="n">
        <x:v>598.9271644711989</x:v>
      </x:c>
      <x:c r="D3533" s="66" t="n">
        <x:v>534.6585834872243</x:v>
      </x:c>
      <x:c r="E3533" s="66" t="n">
        <x:v>64.26858098397463</x:v>
      </x:c>
      <x:c r="F3533" s="66" t="n">
        <x:v>64.26858098397463</x:v>
      </x:c>
      <x:c r="G3533" s="66" t="n">
        <x:v>598.9271644711989</x:v>
      </x:c>
      <x:c r="H3533" s="45" t="n">
        <x:v>1</x:v>
      </x:c>
      <x:c r="I3533" s="36" t="str">
        <x:v>generated design-reference observation; not predicted tract behavior</x:v>
      </x:c>
    </x:row>
    <x:row r="3534" ht="75.5999984741211" hidden="0" customHeight="1">
      <x:c r="A3534" s="34" t="str">
        <x:v>H3</x:v>
      </x:c>
      <x:c r="B3534" s="34" t="str">
        <x:v>48201252001</x:v>
      </x:c>
      <x:c r="C3534" s="65" t="n">
        <x:v>615.6836695713587</x:v>
      </x:c>
      <x:c r="D3534" s="65" t="n">
        <x:v>547.9108346210245</x:v>
      </x:c>
      <x:c r="E3534" s="65" t="n">
        <x:v>67.77283495033419</x:v>
      </x:c>
      <x:c r="F3534" s="65" t="n">
        <x:v>67.77283495033419</x:v>
      </x:c>
      <x:c r="G3534" s="65" t="n">
        <x:v>615.6836695713587</x:v>
      </x:c>
      <x:c r="H3534" s="43" t="n">
        <x:v>1</x:v>
      </x:c>
      <x:c r="I3534" s="34" t="str">
        <x:v>generated design-reference observation; not predicted tract behavior</x:v>
      </x:c>
    </x:row>
    <x:row r="3535" ht="75.5999984741211" hidden="0" customHeight="1">
      <x:c r="A3535" s="36" t="str">
        <x:v>H3</x:v>
      </x:c>
      <x:c r="B3535" s="36" t="str">
        <x:v>48201252002</x:v>
      </x:c>
      <x:c r="C3535" s="66" t="n">
        <x:v>525.5978058480781</x:v>
      </x:c>
      <x:c r="D3535" s="66" t="n">
        <x:v>469.1422134651234</x:v>
      </x:c>
      <x:c r="E3535" s="66" t="n">
        <x:v>56.455592382954705</x:v>
      </x:c>
      <x:c r="F3535" s="66" t="n">
        <x:v>56.455592382954705</x:v>
      </x:c>
      <x:c r="G3535" s="66" t="n">
        <x:v>525.5978058480781</x:v>
      </x:c>
      <x:c r="H3535" s="45" t="n">
        <x:v>1</x:v>
      </x:c>
      <x:c r="I3535" s="36" t="str">
        <x:v>generated design-reference observation; not predicted tract behavior</x:v>
      </x:c>
    </x:row>
    <x:row r="3536" ht="75.5999984741211" hidden="0" customHeight="1">
      <x:c r="A3536" s="34" t="str">
        <x:v>H3</x:v>
      </x:c>
      <x:c r="B3536" s="34" t="str">
        <x:v>48201252003</x:v>
      </x:c>
      <x:c r="C3536" s="65" t="n">
        <x:v>864.4847603080691</x:v>
      </x:c>
      <x:c r="D3536" s="65" t="n">
        <x:v>771.9848909551056</x:v>
      </x:c>
      <x:c r="E3536" s="65" t="n">
        <x:v>92.49986935296351</x:v>
      </x:c>
      <x:c r="F3536" s="65" t="n">
        <x:v>92.49986935296351</x:v>
      </x:c>
      <x:c r="G3536" s="65" t="n">
        <x:v>864.4847603080691</x:v>
      </x:c>
      <x:c r="H3536" s="43" t="n">
        <x:v>1</x:v>
      </x:c>
      <x:c r="I3536" s="34" t="str">
        <x:v>generated design-reference observation; not predicted tract behavior</x:v>
      </x:c>
    </x:row>
    <x:row r="3537" ht="75.5999984741211" hidden="0" customHeight="1">
      <x:c r="A3537" s="36" t="str">
        <x:v>H3</x:v>
      </x:c>
      <x:c r="B3537" s="36" t="str">
        <x:v>48201252100</x:v>
      </x:c>
      <x:c r="C3537" s="66" t="n">
        <x:v>692.4482447473408</x:v>
      </x:c>
      <x:c r="D3537" s="66" t="n">
        <x:v>296.02162462948814</x:v>
      </x:c>
      <x:c r="E3537" s="66" t="n">
        <x:v>396.4266201178527</x:v>
      </x:c>
      <x:c r="F3537" s="66" t="n">
        <x:v>396.4266201178527</x:v>
      </x:c>
      <x:c r="G3537" s="66" t="n">
        <x:v>692.4482447473408</x:v>
      </x:c>
      <x:c r="H3537" s="45" t="n">
        <x:v>1</x:v>
      </x:c>
      <x:c r="I3537" s="36" t="str">
        <x:v>generated design-reference observation; not predicted tract behavior</x:v>
      </x:c>
    </x:row>
    <x:row r="3538" ht="75.5999984741211" hidden="0" customHeight="1">
      <x:c r="A3538" s="34" t="str">
        <x:v>H3</x:v>
      </x:c>
      <x:c r="B3538" s="34" t="str">
        <x:v>48201252201</x:v>
      </x:c>
      <x:c r="C3538" s="65" t="n">
        <x:v>718.0702928836082</x:v>
      </x:c>
      <x:c r="D3538" s="65" t="n">
        <x:v>555.6679073019543</x:v>
      </x:c>
      <x:c r="E3538" s="65" t="n">
        <x:v>162.4023855816539</x:v>
      </x:c>
      <x:c r="F3538" s="65" t="n">
        <x:v>162.4023855816539</x:v>
      </x:c>
      <x:c r="G3538" s="65" t="n">
        <x:v>718.0702928836082</x:v>
      </x:c>
      <x:c r="H3538" s="43" t="n">
        <x:v>1</x:v>
      </x:c>
      <x:c r="I3538" s="34" t="str">
        <x:v>generated design-reference observation; not predicted tract behavior</x:v>
      </x:c>
    </x:row>
    <x:row r="3539" ht="75.5999984741211" hidden="0" customHeight="1">
      <x:c r="A3539" s="36" t="str">
        <x:v>H3</x:v>
      </x:c>
      <x:c r="B3539" s="36" t="str">
        <x:v>48201252202</x:v>
      </x:c>
      <x:c r="C3539" s="66" t="n">
        <x:v>977.348733648669</x:v>
      </x:c>
      <x:c r="D3539" s="66" t="n">
        <x:v>761.3546635123132</x:v>
      </x:c>
      <x:c r="E3539" s="66" t="n">
        <x:v>215.99407013635584</x:v>
      </x:c>
      <x:c r="F3539" s="66" t="n">
        <x:v>215.99407013635584</x:v>
      </x:c>
      <x:c r="G3539" s="66" t="n">
        <x:v>977.348733648669</x:v>
      </x:c>
      <x:c r="H3539" s="45" t="n">
        <x:v>1</x:v>
      </x:c>
      <x:c r="I3539" s="36" t="str">
        <x:v>generated design-reference observation; not predicted tract behavior</x:v>
      </x:c>
    </x:row>
    <x:row r="3540" ht="75.5999984741211" hidden="0" customHeight="1">
      <x:c r="A3540" s="34" t="str">
        <x:v>H3</x:v>
      </x:c>
      <x:c r="B3540" s="34" t="str">
        <x:v>48201252303</x:v>
      </x:c>
      <x:c r="C3540" s="65" t="n">
        <x:v>434.3958897213158</x:v>
      </x:c>
      <x:c r="D3540" s="65" t="n">
        <x:v>387.915529521135</x:v>
      </x:c>
      <x:c r="E3540" s="65" t="n">
        <x:v>46.480360200180826</x:v>
      </x:c>
      <x:c r="F3540" s="65" t="n">
        <x:v>46.480360200180826</x:v>
      </x:c>
      <x:c r="G3540" s="65" t="n">
        <x:v>434.3958897213158</x:v>
      </x:c>
      <x:c r="H3540" s="43" t="n">
        <x:v>1</x:v>
      </x:c>
      <x:c r="I3540" s="34" t="str">
        <x:v>generated design-reference observation; not predicted tract behavior</x:v>
      </x:c>
    </x:row>
    <x:row r="3541" ht="75.5999984741211" hidden="0" customHeight="1">
      <x:c r="A3541" s="36" t="str">
        <x:v>H3</x:v>
      </x:c>
      <x:c r="B3541" s="36" t="str">
        <x:v>48201252304</x:v>
      </x:c>
      <x:c r="C3541" s="66" t="n">
        <x:v>722.5973786892798</x:v>
      </x:c>
      <x:c r="D3541" s="66" t="n">
        <x:v>308.2930564719504</x:v>
      </x:c>
      <x:c r="E3541" s="66" t="n">
        <x:v>414.3043222173294</x:v>
      </x:c>
      <x:c r="F3541" s="66" t="n">
        <x:v>414.3043222173294</x:v>
      </x:c>
      <x:c r="G3541" s="66" t="n">
        <x:v>722.5973786892798</x:v>
      </x:c>
      <x:c r="H3541" s="45" t="n">
        <x:v>1</x:v>
      </x:c>
      <x:c r="I3541" s="36" t="str">
        <x:v>generated design-reference observation; not predicted tract behavior</x:v>
      </x:c>
    </x:row>
    <x:row r="3542" ht="75.5999984741211" hidden="0" customHeight="1">
      <x:c r="A3542" s="34" t="str">
        <x:v>H3</x:v>
      </x:c>
      <x:c r="B3542" s="34" t="str">
        <x:v>48201252305</x:v>
      </x:c>
      <x:c r="C3542" s="65" t="n">
        <x:v>477.599692974402</x:v>
      </x:c>
      <x:c r="D3542" s="65" t="n">
        <x:v>426.49652582614095</x:v>
      </x:c>
      <x:c r="E3542" s="65" t="n">
        <x:v>51.103167148261036</x:v>
      </x:c>
      <x:c r="F3542" s="65" t="n">
        <x:v>51.103167148261036</x:v>
      </x:c>
      <x:c r="G3542" s="65" t="n">
        <x:v>477.599692974402</x:v>
      </x:c>
      <x:c r="H3542" s="43" t="n">
        <x:v>1</x:v>
      </x:c>
      <x:c r="I3542" s="34" t="str">
        <x:v>generated design-reference observation; not predicted tract behavior</x:v>
      </x:c>
    </x:row>
    <x:row r="3543" ht="75.5999984741211" hidden="0" customHeight="1">
      <x:c r="A3543" s="36" t="str">
        <x:v>H3</x:v>
      </x:c>
      <x:c r="B3543" s="36" t="str">
        <x:v>48201252306</x:v>
      </x:c>
      <x:c r="C3543" s="66" t="n">
        <x:v>853.0177148384942</x:v>
      </x:c>
      <x:c r="D3543" s="66" t="n">
        <x:v>761.5736990033378</x:v>
      </x:c>
      <x:c r="E3543" s="66" t="n">
        <x:v>91.44401583515639</x:v>
      </x:c>
      <x:c r="F3543" s="66" t="n">
        <x:v>91.44401583515639</x:v>
      </x:c>
      <x:c r="G3543" s="66" t="n">
        <x:v>853.0177148384942</x:v>
      </x:c>
      <x:c r="H3543" s="45" t="n">
        <x:v>1</x:v>
      </x:c>
      <x:c r="I3543" s="36" t="str">
        <x:v>generated design-reference observation; not predicted tract behavior</x:v>
      </x:c>
    </x:row>
    <x:row r="3544" ht="75.5999984741211" hidden="0" customHeight="1">
      <x:c r="A3544" s="34" t="str">
        <x:v>H3</x:v>
      </x:c>
      <x:c r="B3544" s="34" t="str">
        <x:v>48201252400</x:v>
      </x:c>
      <x:c r="C3544" s="65" t="n">
        <x:v>520.8742319432018</x:v>
      </x:c>
      <x:c r="D3544" s="65" t="n">
        <x:v>465.1406891252792</x:v>
      </x:c>
      <x:c r="E3544" s="65" t="n">
        <x:v>55.733542817922626</x:v>
      </x:c>
      <x:c r="F3544" s="65" t="n">
        <x:v>55.733542817922626</x:v>
      </x:c>
      <x:c r="G3544" s="65" t="n">
        <x:v>520.8742319432018</x:v>
      </x:c>
      <x:c r="H3544" s="43" t="n">
        <x:v>1</x:v>
      </x:c>
      <x:c r="I3544" s="34" t="str">
        <x:v>generated design-reference observation; not predicted tract behavior</x:v>
      </x:c>
    </x:row>
    <x:row r="3545" ht="75.5999984741211" hidden="0" customHeight="1">
      <x:c r="A3545" s="36" t="str">
        <x:v>H3</x:v>
      </x:c>
      <x:c r="B3545" s="36" t="str">
        <x:v>48201252500</x:v>
      </x:c>
      <x:c r="C3545" s="66" t="n">
        <x:v>652.159115728916</x:v>
      </x:c>
      <x:c r="D3545" s="66" t="n">
        <x:v>507.81614997003504</x:v>
      </x:c>
      <x:c r="E3545" s="66" t="n">
        <x:v>144.342965758881</x:v>
      </x:c>
      <x:c r="F3545" s="66" t="n">
        <x:v>144.342965758881</x:v>
      </x:c>
      <x:c r="G3545" s="66" t="n">
        <x:v>652.159115728916</x:v>
      </x:c>
      <x:c r="H3545" s="45" t="n">
        <x:v>1</x:v>
      </x:c>
      <x:c r="I3545" s="36" t="str">
        <x:v>generated design-reference observation; not predicted tract behavior</x:v>
      </x:c>
    </x:row>
    <x:row r="3546" ht="75.5999984741211" hidden="0" customHeight="1">
      <x:c r="A3546" s="34" t="str">
        <x:v>H3</x:v>
      </x:c>
      <x:c r="B3546" s="34" t="str">
        <x:v>48201252601</x:v>
      </x:c>
      <x:c r="C3546" s="65" t="n">
        <x:v>294.8107440464367</x:v>
      </x:c>
      <x:c r="D3546" s="65" t="n">
        <x:v>263.26599443346794</x:v>
      </x:c>
      <x:c r="E3546" s="65" t="n">
        <x:v>31.544749612968758</x:v>
      </x:c>
      <x:c r="F3546" s="65" t="n">
        <x:v>31.544749612968758</x:v>
      </x:c>
      <x:c r="G3546" s="65" t="n">
        <x:v>294.8107440464367</x:v>
      </x:c>
      <x:c r="H3546" s="43" t="n">
        <x:v>1</x:v>
      </x:c>
      <x:c r="I3546" s="34" t="str">
        <x:v>generated design-reference observation; not predicted tract behavior</x:v>
      </x:c>
    </x:row>
    <x:row r="3547" ht="75.5999984741211" hidden="0" customHeight="1">
      <x:c r="A3547" s="36" t="str">
        <x:v>H3</x:v>
      </x:c>
      <x:c r="B3547" s="36" t="str">
        <x:v>48201252602</x:v>
      </x:c>
      <x:c r="C3547" s="66" t="n">
        <x:v>312.6518634542056</x:v>
      </x:c>
      <x:c r="D3547" s="66" t="n">
        <x:v>279.1431621269396</x:v>
      </x:c>
      <x:c r="E3547" s="66" t="n">
        <x:v>33.50870132726601</x:v>
      </x:c>
      <x:c r="F3547" s="66" t="n">
        <x:v>33.50870132726601</x:v>
      </x:c>
      <x:c r="G3547" s="66" t="n">
        <x:v>312.6518634542056</x:v>
      </x:c>
      <x:c r="H3547" s="45" t="n">
        <x:v>1</x:v>
      </x:c>
      <x:c r="I3547" s="36" t="str">
        <x:v>generated design-reference observation; not predicted tract behavior</x:v>
      </x:c>
    </x:row>
    <x:row r="3548" ht="75.5999984741211" hidden="0" customHeight="1">
      <x:c r="A3548" s="34" t="str">
        <x:v>H3</x:v>
      </x:c>
      <x:c r="B3548" s="34" t="str">
        <x:v>48201252700</x:v>
      </x:c>
      <x:c r="C3548" s="65" t="n">
        <x:v>450.6179471916397</x:v>
      </x:c>
      <x:c r="D3548" s="65" t="n">
        <x:v>402.286339322323</x:v>
      </x:c>
      <x:c r="E3548" s="65" t="n">
        <x:v>48.33160786931671</x:v>
      </x:c>
      <x:c r="F3548" s="65" t="n">
        <x:v>48.33160786931671</x:v>
      </x:c>
      <x:c r="G3548" s="65" t="n">
        <x:v>450.6179471916397</x:v>
      </x:c>
      <x:c r="H3548" s="43" t="n">
        <x:v>1</x:v>
      </x:c>
      <x:c r="I3548" s="34" t="str">
        <x:v>generated design-reference observation; not predicted tract behavior</x:v>
      </x:c>
    </x:row>
    <x:row r="3549" ht="75.5999984741211" hidden="0" customHeight="1">
      <x:c r="A3549" s="36" t="str">
        <x:v>H3</x:v>
      </x:c>
      <x:c r="B3549" s="36" t="str">
        <x:v>48201252800</x:v>
      </x:c>
      <x:c r="C3549" s="66" t="n">
        <x:v>545.3055621982897</x:v>
      </x:c>
      <x:c r="D3549" s="66" t="n">
        <x:v>486.9578670430727</x:v>
      </x:c>
      <x:c r="E3549" s="66" t="n">
        <x:v>58.347695155217025</x:v>
      </x:c>
      <x:c r="F3549" s="66" t="n">
        <x:v>58.347695155217025</x:v>
      </x:c>
      <x:c r="G3549" s="66" t="n">
        <x:v>545.3055621982897</x:v>
      </x:c>
      <x:c r="H3549" s="45" t="n">
        <x:v>1</x:v>
      </x:c>
      <x:c r="I3549" s="36" t="str">
        <x:v>generated design-reference observation; not predicted tract behavior</x:v>
      </x:c>
    </x:row>
    <x:row r="3550" ht="75.5999984741211" hidden="0" customHeight="1">
      <x:c r="A3550" s="34" t="str">
        <x:v>H3</x:v>
      </x:c>
      <x:c r="B3550" s="34" t="str">
        <x:v>48201252901</x:v>
      </x:c>
      <x:c r="C3550" s="65" t="n">
        <x:v>394.0716951344175</x:v>
      </x:c>
      <x:c r="D3550" s="65" t="n">
        <x:v>168.46564966996345</x:v>
      </x:c>
      <x:c r="E3550" s="65" t="n">
        <x:v>225.60604546445404</x:v>
      </x:c>
      <x:c r="F3550" s="65" t="n">
        <x:v>225.60604546445404</x:v>
      </x:c>
      <x:c r="G3550" s="65" t="n">
        <x:v>394.0716951344175</x:v>
      </x:c>
      <x:c r="H3550" s="43" t="n">
        <x:v>1</x:v>
      </x:c>
      <x:c r="I3550" s="34" t="str">
        <x:v>generated design-reference observation; not predicted tract behavior</x:v>
      </x:c>
    </x:row>
    <x:row r="3551" ht="75.5999984741211" hidden="0" customHeight="1">
      <x:c r="A3551" s="36" t="str">
        <x:v>H3</x:v>
      </x:c>
      <x:c r="B3551" s="36" t="str">
        <x:v>48201252902</x:v>
      </x:c>
      <x:c r="C3551" s="66" t="n">
        <x:v>516.3471461375302</x:v>
      </x:c>
      <x:c r="D3551" s="66" t="n">
        <x:v>461.0980015008144</x:v>
      </x:c>
      <x:c r="E3551" s="66" t="n">
        <x:v>55.24914463671581</x:v>
      </x:c>
      <x:c r="F3551" s="66" t="n">
        <x:v>55.24914463671581</x:v>
      </x:c>
      <x:c r="G3551" s="66" t="n">
        <x:v>516.3471461375302</x:v>
      </x:c>
      <x:c r="H3551" s="45" t="n">
        <x:v>1</x:v>
      </x:c>
      <x:c r="I3551" s="36" t="str">
        <x:v>generated design-reference observation; not predicted tract behavior</x:v>
      </x:c>
    </x:row>
    <x:row r="3552" ht="75.5999984741211" hidden="0" customHeight="1">
      <x:c r="A3552" s="34" t="str">
        <x:v>H3</x:v>
      </x:c>
      <x:c r="B3552" s="34" t="str">
        <x:v>48201253000</x:v>
      </x:c>
      <x:c r="C3552" s="65" t="n">
        <x:v>860.0713353105524</x:v>
      </x:c>
      <x:c r="D3552" s="65" t="n">
        <x:v>367.14326320366337</x:v>
      </x:c>
      <x:c r="E3552" s="65" t="n">
        <x:v>492.92807210688903</x:v>
      </x:c>
      <x:c r="F3552" s="65" t="n">
        <x:v>492.92807210688903</x:v>
      </x:c>
      <x:c r="G3552" s="65" t="n">
        <x:v>860.0713353105524</x:v>
      </x:c>
      <x:c r="H3552" s="43" t="n">
        <x:v>1</x:v>
      </x:c>
      <x:c r="I3552" s="34" t="str">
        <x:v>generated design-reference observation; not predicted tract behavior</x:v>
      </x:c>
    </x:row>
    <x:row r="3553" ht="75.5999984741211" hidden="0" customHeight="1">
      <x:c r="A3553" s="36" t="str">
        <x:v>H3</x:v>
      </x:c>
      <x:c r="B3553" s="36" t="str">
        <x:v>48201253101</x:v>
      </x:c>
      <x:c r="C3553" s="66" t="n">
        <x:v>508.3775888337954</x:v>
      </x:c>
      <x:c r="D3553" s="66" t="n">
        <x:v>453.43168714144866</x:v>
      </x:c>
      <x:c r="E3553" s="66" t="n">
        <x:v>54.94590169234675</x:v>
      </x:c>
      <x:c r="F3553" s="66" t="n">
        <x:v>54.94590169234675</x:v>
      </x:c>
      <x:c r="G3553" s="66" t="n">
        <x:v>508.3775888337954</x:v>
      </x:c>
      <x:c r="H3553" s="45" t="n">
        <x:v>1</x:v>
      </x:c>
      <x:c r="I3553" s="36" t="str">
        <x:v>generated design-reference observation; not predicted tract behavior</x:v>
      </x:c>
    </x:row>
    <x:row r="3554" ht="75.5999984741211" hidden="0" customHeight="1">
      <x:c r="A3554" s="34" t="str">
        <x:v>H3</x:v>
      </x:c>
      <x:c r="B3554" s="34" t="str">
        <x:v>48201253102</x:v>
      </x:c>
      <x:c r="C3554" s="65" t="n">
        <x:v>662.6246764713145</x:v>
      </x:c>
      <x:c r="D3554" s="65" t="n">
        <x:v>591.7238360888838</x:v>
      </x:c>
      <x:c r="E3554" s="65" t="n">
        <x:v>70.90084038243072</x:v>
      </x:c>
      <x:c r="F3554" s="65" t="n">
        <x:v>70.90084038243072</x:v>
      </x:c>
      <x:c r="G3554" s="65" t="n">
        <x:v>662.6246764713145</x:v>
      </x:c>
      <x:c r="H3554" s="43" t="n">
        <x:v>1</x:v>
      </x:c>
      <x:c r="I3554" s="34" t="str">
        <x:v>generated design-reference observation; not predicted tract behavior</x:v>
      </x:c>
    </x:row>
    <x:row r="3555" ht="75.5999984741211" hidden="0" customHeight="1">
      <x:c r="A3555" s="36" t="str">
        <x:v>H3</x:v>
      </x:c>
      <x:c r="B3555" s="36" t="str">
        <x:v>48201253201</x:v>
      </x:c>
      <x:c r="C3555" s="66" t="n">
        <x:v>513.0147079750217</x:v>
      </x:c>
      <x:c r="D3555" s="66" t="n">
        <x:v>458.1221342216943</x:v>
      </x:c>
      <x:c r="E3555" s="66" t="n">
        <x:v>54.89257375332738</x:v>
      </x:c>
      <x:c r="F3555" s="66" t="n">
        <x:v>54.89257375332738</x:v>
      </x:c>
      <x:c r="G3555" s="66" t="n">
        <x:v>513.0147079750217</x:v>
      </x:c>
      <x:c r="H3555" s="45" t="n">
        <x:v>1</x:v>
      </x:c>
      <x:c r="I3555" s="36" t="str">
        <x:v>generated design-reference observation; not predicted tract behavior</x:v>
      </x:c>
    </x:row>
    <x:row r="3556" ht="75.5999984741211" hidden="0" customHeight="1">
      <x:c r="A3556" s="34" t="str">
        <x:v>H3</x:v>
      </x:c>
      <x:c r="B3556" s="34" t="str">
        <x:v>48201253202</x:v>
      </x:c>
      <x:c r="C3556" s="65" t="n">
        <x:v>760.1477658941774</x:v>
      </x:c>
      <x:c r="D3556" s="65" t="n">
        <x:v>589.9322820418765</x:v>
      </x:c>
      <x:c r="E3556" s="65" t="n">
        <x:v>170.21548385230085</x:v>
      </x:c>
      <x:c r="F3556" s="65" t="n">
        <x:v>170.21548385230085</x:v>
      </x:c>
      <x:c r="G3556" s="65" t="n">
        <x:v>760.1477658941774</x:v>
      </x:c>
      <x:c r="H3556" s="43" t="n">
        <x:v>1</x:v>
      </x:c>
      <x:c r="I3556" s="34" t="str">
        <x:v>generated design-reference observation; not predicted tract behavior</x:v>
      </x:c>
    </x:row>
    <x:row r="3557" ht="75.5999984741211" hidden="0" customHeight="1">
      <x:c r="A3557" s="36" t="str">
        <x:v>H3</x:v>
      </x:c>
      <x:c r="B3557" s="36" t="str">
        <x:v>48201253300</x:v>
      </x:c>
      <x:c r="C3557" s="66" t="n">
        <x:v>639.8184539413395</x:v>
      </x:c>
      <x:c r="D3557" s="66" t="n">
        <x:v>273.48616092892127</x:v>
      </x:c>
      <x:c r="E3557" s="66" t="n">
        <x:v>366.33229301241823</x:v>
      </x:c>
      <x:c r="F3557" s="66" t="n">
        <x:v>366.33229301241823</x:v>
      </x:c>
      <x:c r="G3557" s="66" t="n">
        <x:v>639.8184539413395</x:v>
      </x:c>
      <x:c r="H3557" s="45" t="n">
        <x:v>1</x:v>
      </x:c>
      <x:c r="I3557" s="36" t="str">
        <x:v>generated design-reference observation; not predicted tract behavior</x:v>
      </x:c>
    </x:row>
    <x:row r="3558" ht="75.5999984741211" hidden="0" customHeight="1">
      <x:c r="A3558" s="34" t="str">
        <x:v>H3</x:v>
      </x:c>
      <x:c r="B3558" s="34" t="str">
        <x:v>48201253501</x:v>
      </x:c>
      <x:c r="C3558" s="65" t="n">
        <x:v>704.7163570829034</x:v>
      </x:c>
      <x:c r="D3558" s="65" t="n">
        <x:v>626.4254353609076</x:v>
      </x:c>
      <x:c r="E3558" s="65" t="n">
        <x:v>78.2909217219958</x:v>
      </x:c>
      <x:c r="F3558" s="65" t="n">
        <x:v>78.2909217219958</x:v>
      </x:c>
      <x:c r="G3558" s="65" t="n">
        <x:v>704.7163570829034</x:v>
      </x:c>
      <x:c r="H3558" s="43" t="n">
        <x:v>1</x:v>
      </x:c>
      <x:c r="I3558" s="34" t="str">
        <x:v>generated design-reference observation; not predicted tract behavior</x:v>
      </x:c>
    </x:row>
    <x:row r="3559" ht="75.5999984741211" hidden="0" customHeight="1">
      <x:c r="A3559" s="36" t="str">
        <x:v>H3</x:v>
      </x:c>
      <x:c r="B3559" s="36" t="str">
        <x:v>48201253502</x:v>
      </x:c>
      <x:c r="C3559" s="66" t="n">
        <x:v>297.1135845691134</x:v>
      </x:c>
      <x:c r="D3559" s="66" t="n">
        <x:v>264.55891323310976</x:v>
      </x:c>
      <x:c r="E3559" s="66" t="n">
        <x:v>32.55467133600365</x:v>
      </x:c>
      <x:c r="F3559" s="66" t="n">
        <x:v>32.55467133600365</x:v>
      </x:c>
      <x:c r="G3559" s="66" t="n">
        <x:v>297.1135845691134</x:v>
      </x:c>
      <x:c r="H3559" s="45" t="n">
        <x:v>1</x:v>
      </x:c>
      <x:c r="I3559" s="36" t="str">
        <x:v>generated design-reference observation; not predicted tract behavior</x:v>
      </x:c>
    </x:row>
    <x:row r="3560" ht="75.5999984741211" hidden="0" customHeight="1">
      <x:c r="A3560" s="34" t="str">
        <x:v>H3</x:v>
      </x:c>
      <x:c r="B3560" s="34" t="str">
        <x:v>48201253601</x:v>
      </x:c>
      <x:c r="C3560" s="65" t="n">
        <x:v>343.1153783548718</x:v>
      </x:c>
      <x:c r="D3560" s="65" t="n">
        <x:v>304.86415293580126</x:v>
      </x:c>
      <x:c r="E3560" s="65" t="n">
        <x:v>38.25122541907052</x:v>
      </x:c>
      <x:c r="F3560" s="65" t="n">
        <x:v>38.25122541907052</x:v>
      </x:c>
      <x:c r="G3560" s="65" t="n">
        <x:v>343.1153783548718</x:v>
      </x:c>
      <x:c r="H3560" s="43" t="n">
        <x:v>1</x:v>
      </x:c>
      <x:c r="I3560" s="34" t="str">
        <x:v>generated design-reference observation; not predicted tract behavior</x:v>
      </x:c>
    </x:row>
    <x:row r="3561" ht="75.5999984741211" hidden="0" customHeight="1">
      <x:c r="A3561" s="36" t="str">
        <x:v>H3</x:v>
      </x:c>
      <x:c r="B3561" s="36" t="str">
        <x:v>48201253602</x:v>
      </x:c>
      <x:c r="C3561" s="66" t="n">
        <x:v>607.9471773822188</x:v>
      </x:c>
      <x:c r="D3561" s="66" t="n">
        <x:v>472.0255509017667</x:v>
      </x:c>
      <x:c r="E3561" s="66" t="n">
        <x:v>135.92162648045212</x:v>
      </x:c>
      <x:c r="F3561" s="66" t="n">
        <x:v>135.92162648045212</x:v>
      </x:c>
      <x:c r="G3561" s="66" t="n">
        <x:v>607.9471773822188</x:v>
      </x:c>
      <x:c r="H3561" s="45" t="n">
        <x:v>1</x:v>
      </x:c>
      <x:c r="I3561" s="36" t="str">
        <x:v>generated design-reference observation; not predicted tract behavior</x:v>
      </x:c>
    </x:row>
    <x:row r="3562" ht="75.5999984741211" hidden="0" customHeight="1">
      <x:c r="A3562" s="34" t="str">
        <x:v>H3</x:v>
      </x:c>
      <x:c r="B3562" s="34" t="str">
        <x:v>48201253700</x:v>
      </x:c>
      <x:c r="C3562" s="65" t="n">
        <x:v>473.4420047952347</x:v>
      </x:c>
      <x:c r="D3562" s="65" t="n">
        <x:v>421.3270035880634</x:v>
      </x:c>
      <x:c r="E3562" s="65" t="n">
        <x:v>52.115001207171304</x:v>
      </x:c>
      <x:c r="F3562" s="65" t="n">
        <x:v>52.115001207171304</x:v>
      </x:c>
      <x:c r="G3562" s="65" t="n">
        <x:v>473.4420047952347</x:v>
      </x:c>
      <x:c r="H3562" s="43" t="n">
        <x:v>1</x:v>
      </x:c>
      <x:c r="I3562" s="34" t="str">
        <x:v>generated design-reference observation; not predicted tract behavior</x:v>
      </x:c>
    </x:row>
    <x:row r="3563" ht="75.5999984741211" hidden="0" customHeight="1">
      <x:c r="A3563" s="36" t="str">
        <x:v>H3</x:v>
      </x:c>
      <x:c r="B3563" s="36" t="str">
        <x:v>48201253800</x:v>
      </x:c>
      <x:c r="C3563" s="66" t="n">
        <x:v>634.5936842388002</x:v>
      </x:c>
      <x:c r="D3563" s="66" t="n">
        <x:v>566.073533812822</x:v>
      </x:c>
      <x:c r="E3563" s="66" t="n">
        <x:v>68.52015042597816</x:v>
      </x:c>
      <x:c r="F3563" s="66" t="n">
        <x:v>68.52015042597816</x:v>
      </x:c>
      <x:c r="G3563" s="66" t="n">
        <x:v>634.5936842388002</x:v>
      </x:c>
      <x:c r="H3563" s="45" t="n">
        <x:v>1</x:v>
      </x:c>
      <x:c r="I3563" s="36" t="str">
        <x:v>generated design-reference observation; not predicted tract behavior</x:v>
      </x:c>
    </x:row>
    <x:row r="3564" ht="75.5999984741211" hidden="0" customHeight="1">
      <x:c r="A3564" s="34" t="str">
        <x:v>H3</x:v>
      </x:c>
      <x:c r="B3564" s="34" t="str">
        <x:v>48201253900</x:v>
      </x:c>
      <x:c r="C3564" s="65" t="n">
        <x:v>324.22108273536685</x:v>
      </x:c>
      <x:c r="D3564" s="65" t="n">
        <x:v>289.0391198146497</x:v>
      </x:c>
      <x:c r="E3564" s="65" t="n">
        <x:v>35.181962920717126</x:v>
      </x:c>
      <x:c r="F3564" s="65" t="n">
        <x:v>35.181962920717126</x:v>
      </x:c>
      <x:c r="G3564" s="65" t="n">
        <x:v>324.22108273536685</x:v>
      </x:c>
      <x:c r="H3564" s="43" t="n">
        <x:v>1</x:v>
      </x:c>
      <x:c r="I3564" s="34" t="str">
        <x:v>generated design-reference observation; not predicted tract behavior</x:v>
      </x:c>
    </x:row>
    <x:row r="3565" ht="75.5999984741211" hidden="0" customHeight="1">
      <x:c r="A3565" s="36" t="str">
        <x:v>H3</x:v>
      </x:c>
      <x:c r="B3565" s="36" t="str">
        <x:v>48201254000</x:v>
      </x:c>
      <x:c r="C3565" s="66" t="n">
        <x:v>297.5537179113316</x:v>
      </x:c>
      <x:c r="D3565" s="66" t="n">
        <x:v>264.41621094371664</x:v>
      </x:c>
      <x:c r="E3565" s="66" t="n">
        <x:v>33.13750696761497</x:v>
      </x:c>
      <x:c r="F3565" s="66" t="n">
        <x:v>33.13750696761497</x:v>
      </x:c>
      <x:c r="G3565" s="66" t="n">
        <x:v>297.5537179113316</x:v>
      </x:c>
      <x:c r="H3565" s="45" t="n">
        <x:v>1</x:v>
      </x:c>
      <x:c r="I3565" s="36" t="str">
        <x:v>generated design-reference observation; not predicted tract behavior</x:v>
      </x:c>
    </x:row>
    <x:row r="3566" ht="75.5999984741211" hidden="0" customHeight="1">
      <x:c r="A3566" s="34" t="str">
        <x:v>H3</x:v>
      </x:c>
      <x:c r="B3566" s="34" t="str">
        <x:v>48201254100</x:v>
      </x:c>
      <x:c r="C3566" s="65" t="n">
        <x:v>496.52542668977975</x:v>
      </x:c>
      <x:c r="D3566" s="65" t="n">
        <x:v>443.1105654159311</x:v>
      </x:c>
      <x:c r="E3566" s="65" t="n">
        <x:v>53.41486127384866</x:v>
      </x:c>
      <x:c r="F3566" s="65" t="n">
        <x:v>53.41486127384866</x:v>
      </x:c>
      <x:c r="G3566" s="65" t="n">
        <x:v>496.52542668977975</x:v>
      </x:c>
      <x:c r="H3566" s="43" t="n">
        <x:v>1</x:v>
      </x:c>
      <x:c r="I3566" s="34" t="str">
        <x:v>generated design-reference observation; not predicted tract behavior</x:v>
      </x:c>
    </x:row>
    <x:row r="3567" ht="75.5999984741211" hidden="0" customHeight="1">
      <x:c r="A3567" s="36" t="str">
        <x:v>H3</x:v>
      </x:c>
      <x:c r="B3567" s="36" t="str">
        <x:v>48201254200</x:v>
      </x:c>
      <x:c r="C3567" s="66" t="n">
        <x:v>210.25012567278668</x:v>
      </x:c>
      <x:c r="D3567" s="66" t="n">
        <x:v>187.66245007145758</x:v>
      </x:c>
      <x:c r="E3567" s="66" t="n">
        <x:v>22.587675601329096</x:v>
      </x:c>
      <x:c r="F3567" s="66" t="n">
        <x:v>22.587675601329096</x:v>
      </x:c>
      <x:c r="G3567" s="66" t="n">
        <x:v>210.25012567278668</x:v>
      </x:c>
      <x:c r="H3567" s="45" t="n">
        <x:v>1</x:v>
      </x:c>
      <x:c r="I3567" s="36" t="str">
        <x:v>generated design-reference observation; not predicted tract behavior</x:v>
      </x:c>
    </x:row>
    <x:row r="3568" ht="75.5999984741211" hidden="0" customHeight="1">
      <x:c r="A3568" s="34" t="str">
        <x:v>H3</x:v>
      </x:c>
      <x:c r="B3568" s="34" t="str">
        <x:v>48201254300</x:v>
      </x:c>
      <x:c r="C3568" s="65" t="n">
        <x:v>426.67783718456303</x:v>
      </x:c>
      <x:c r="D3568" s="65" t="n">
        <x:v>380.5465409786362</x:v>
      </x:c>
      <x:c r="E3568" s="65" t="n">
        <x:v>46.131296205926844</x:v>
      </x:c>
      <x:c r="F3568" s="65" t="n">
        <x:v>46.131296205926844</x:v>
      </x:c>
      <x:c r="G3568" s="65" t="n">
        <x:v>426.67783718456303</x:v>
      </x:c>
      <x:c r="H3568" s="43" t="n">
        <x:v>1</x:v>
      </x:c>
      <x:c r="I3568" s="34" t="str">
        <x:v>generated design-reference observation; not predicted tract behavior</x:v>
      </x:c>
    </x:row>
    <x:row r="3569" ht="75.5999984741211" hidden="0" customHeight="1">
      <x:c r="A3569" s="36" t="str">
        <x:v>H3</x:v>
      </x:c>
      <x:c r="B3569" s="36" t="str">
        <x:v>48201254400</x:v>
      </x:c>
      <x:c r="C3569" s="66" t="n">
        <x:v>210.71383758690936</x:v>
      </x:c>
      <x:c r="D3569" s="66" t="n">
        <x:v>188.09909162607428</x:v>
      </x:c>
      <x:c r="E3569" s="66" t="n">
        <x:v>22.61474596083508</x:v>
      </x:c>
      <x:c r="F3569" s="66" t="n">
        <x:v>22.61474596083508</x:v>
      </x:c>
      <x:c r="G3569" s="66" t="n">
        <x:v>210.71383758690936</x:v>
      </x:c>
      <x:c r="H3569" s="45" t="n">
        <x:v>1</x:v>
      </x:c>
      <x:c r="I3569" s="36" t="str">
        <x:v>generated design-reference observation; not predicted tract behavior</x:v>
      </x:c>
    </x:row>
    <x:row r="3570" ht="75.5999984741211" hidden="0" customHeight="1">
      <x:c r="A3570" s="34" t="str">
        <x:v>H3</x:v>
      </x:c>
      <x:c r="B3570" s="34" t="str">
        <x:v>48201254600</x:v>
      </x:c>
      <x:c r="C3570" s="65" t="n">
        <x:v>591.9454888723875</x:v>
      </x:c>
      <x:c r="D3570" s="65" t="n">
        <x:v>252.90877191044453</x:v>
      </x:c>
      <x:c r="E3570" s="65" t="n">
        <x:v>339.03671696194294</x:v>
      </x:c>
      <x:c r="F3570" s="65" t="n">
        <x:v>339.03671696194294</x:v>
      </x:c>
      <x:c r="G3570" s="65" t="n">
        <x:v>591.9454888723875</x:v>
      </x:c>
      <x:c r="H3570" s="43" t="n">
        <x:v>1</x:v>
      </x:c>
      <x:c r="I3570" s="34" t="str">
        <x:v>generated design-reference observation; not predicted tract behavior</x:v>
      </x:c>
    </x:row>
    <x:row r="3571" ht="75.5999984741211" hidden="0" customHeight="1">
      <x:c r="A3571" s="36" t="str">
        <x:v>H3</x:v>
      </x:c>
      <x:c r="B3571" s="36" t="str">
        <x:v>48201254700</x:v>
      </x:c>
      <x:c r="C3571" s="66" t="n">
        <x:v>217.98782701946004</x:v>
      </x:c>
      <x:c r="D3571" s="66" t="n">
        <x:v>194.33513773473268</x:v>
      </x:c>
      <x:c r="E3571" s="66" t="n">
        <x:v>23.65268928472736</x:v>
      </x:c>
      <x:c r="F3571" s="66" t="n">
        <x:v>23.65268928472736</x:v>
      </x:c>
      <x:c r="G3571" s="66" t="n">
        <x:v>217.98782701946004</x:v>
      </x:c>
      <x:c r="H3571" s="45" t="n">
        <x:v>1</x:v>
      </x:c>
      <x:c r="I3571" s="36" t="str">
        <x:v>generated design-reference observation; not predicted tract behavior</x:v>
      </x:c>
    </x:row>
    <x:row r="3572" ht="75.5999984741211" hidden="0" customHeight="1">
      <x:c r="A3572" s="34" t="str">
        <x:v>H3</x:v>
      </x:c>
      <x:c r="B3572" s="34" t="str">
        <x:v>48201254800</x:v>
      </x:c>
      <x:c r="C3572" s="65" t="n">
        <x:v>193.29320271143806</x:v>
      </x:c>
      <x:c r="D3572" s="65" t="n">
        <x:v>172.38629560827832</x:v>
      </x:c>
      <x:c r="E3572" s="65" t="n">
        <x:v>20.90690710315974</x:v>
      </x:c>
      <x:c r="F3572" s="65" t="n">
        <x:v>20.90690710315974</x:v>
      </x:c>
      <x:c r="G3572" s="65" t="n">
        <x:v>193.29320271143806</x:v>
      </x:c>
      <x:c r="H3572" s="43" t="n">
        <x:v>1</x:v>
      </x:c>
      <x:c r="I3572" s="34" t="str">
        <x:v>generated design-reference observation; not predicted tract behavior</x:v>
      </x:c>
    </x:row>
    <x:row r="3573" ht="75.5999984741211" hidden="0" customHeight="1">
      <x:c r="A3573" s="36" t="str">
        <x:v>H3</x:v>
      </x:c>
      <x:c r="B3573" s="36" t="str">
        <x:v>48201310101</x:v>
      </x:c>
      <x:c r="C3573" s="66" t="n">
        <x:v>224.1457640485292</x:v>
      </x:c>
      <x:c r="D3573" s="66" t="n">
        <x:v>198.85213583496508</x:v>
      </x:c>
      <x:c r="E3573" s="66" t="n">
        <x:v>25.29362821356412</x:v>
      </x:c>
      <x:c r="F3573" s="66" t="n">
        <x:v>25.29362821356412</x:v>
      </x:c>
      <x:c r="G3573" s="66" t="n">
        <x:v>224.1457640485292</x:v>
      </x:c>
      <x:c r="H3573" s="45" t="n">
        <x:v>1</x:v>
      </x:c>
      <x:c r="I3573" s="36" t="str">
        <x:v>generated design-reference observation; not predicted tract behavior</x:v>
      </x:c>
    </x:row>
    <x:row r="3574" ht="75.5999984741211" hidden="0" customHeight="1">
      <x:c r="A3574" s="34" t="str">
        <x:v>H3</x:v>
      </x:c>
      <x:c r="B3574" s="34" t="str">
        <x:v>48201310102</x:v>
      </x:c>
      <x:c r="C3574" s="65" t="n">
        <x:v>194.31887058928558</x:v>
      </x:c>
      <x:c r="D3574" s="65" t="n">
        <x:v>171.75474724971008</x:v>
      </x:c>
      <x:c r="E3574" s="65" t="n">
        <x:v>22.564123339575502</x:v>
      </x:c>
      <x:c r="F3574" s="65" t="n">
        <x:v>22.564123339575502</x:v>
      </x:c>
      <x:c r="G3574" s="65" t="n">
        <x:v>194.31887058928558</x:v>
      </x:c>
      <x:c r="H3574" s="43" t="n">
        <x:v>1</x:v>
      </x:c>
      <x:c r="I3574" s="34" t="str">
        <x:v>generated design-reference observation; not predicted tract behavior</x:v>
      </x:c>
    </x:row>
    <x:row r="3575" ht="75.5999984741211" hidden="0" customHeight="1">
      <x:c r="A3575" s="36" t="str">
        <x:v>H3</x:v>
      </x:c>
      <x:c r="B3575" s="36" t="str">
        <x:v>48201310200</x:v>
      </x:c>
      <x:c r="C3575" s="66" t="n">
        <x:v>172.03712013949487</x:v>
      </x:c>
      <x:c r="D3575" s="66" t="n">
        <x:v>152.89269421420673</x:v>
      </x:c>
      <x:c r="E3575" s="66" t="n">
        <x:v>19.144425925288147</x:v>
      </x:c>
      <x:c r="F3575" s="66" t="n">
        <x:v>19.144425925288147</x:v>
      </x:c>
      <x:c r="G3575" s="66" t="n">
        <x:v>172.03712013949487</x:v>
      </x:c>
      <x:c r="H3575" s="45" t="n">
        <x:v>1</x:v>
      </x:c>
      <x:c r="I3575" s="36" t="str">
        <x:v>generated design-reference observation; not predicted tract behavior</x:v>
      </x:c>
    </x:row>
    <x:row r="3576" ht="75.5999984741211" hidden="0" customHeight="1">
      <x:c r="A3576" s="34" t="str">
        <x:v>H3</x:v>
      </x:c>
      <x:c r="B3576" s="34" t="str">
        <x:v>48201310300</x:v>
      </x:c>
      <x:c r="C3576" s="65" t="n">
        <x:v>337.5665544333366</x:v>
      </x:c>
      <x:c r="D3576" s="65" t="n">
        <x:v>300.1874123990866</x:v>
      </x:c>
      <x:c r="E3576" s="65" t="n">
        <x:v>37.37914203424998</x:v>
      </x:c>
      <x:c r="F3576" s="65" t="n">
        <x:v>37.37914203424998</x:v>
      </x:c>
      <x:c r="G3576" s="65" t="n">
        <x:v>337.5665544333366</x:v>
      </x:c>
      <x:c r="H3576" s="43" t="n">
        <x:v>1</x:v>
      </x:c>
      <x:c r="I3576" s="34" t="str">
        <x:v>generated design-reference observation; not predicted tract behavior</x:v>
      </x:c>
    </x:row>
    <x:row r="3577" ht="75.5999984741211" hidden="0" customHeight="1">
      <x:c r="A3577" s="36" t="str">
        <x:v>H3</x:v>
      </x:c>
      <x:c r="B3577" s="36" t="str">
        <x:v>48201310400</x:v>
      </x:c>
      <x:c r="C3577" s="66" t="n">
        <x:v>246.44323354625618</x:v>
      </x:c>
      <x:c r="D3577" s="66" t="n">
        <x:v>219.95428695293884</x:v>
      </x:c>
      <x:c r="E3577" s="66" t="n">
        <x:v>26.488946593317337</x:v>
      </x:c>
      <x:c r="F3577" s="66" t="n">
        <x:v>26.488946593317337</x:v>
      </x:c>
      <x:c r="G3577" s="66" t="n">
        <x:v>246.44323354625618</x:v>
      </x:c>
      <x:c r="H3577" s="45" t="n">
        <x:v>1</x:v>
      </x:c>
      <x:c r="I3577" s="36" t="str">
        <x:v>generated design-reference observation; not predicted tract behavior</x:v>
      </x:c>
    </x:row>
    <x:row r="3578" ht="75.5999984741211" hidden="0" customHeight="1">
      <x:c r="A3578" s="34" t="str">
        <x:v>H3</x:v>
      </x:c>
      <x:c r="B3578" s="34" t="str">
        <x:v>48201310500</x:v>
      </x:c>
      <x:c r="C3578" s="65" t="n">
        <x:v>281.1980485335487</x:v>
      </x:c>
      <x:c r="D3578" s="65" t="n">
        <x:v>250.8217623103319</x:v>
      </x:c>
      <x:c r="E3578" s="65" t="n">
        <x:v>30.376286223216766</x:v>
      </x:c>
      <x:c r="F3578" s="65" t="n">
        <x:v>30.376286223216766</x:v>
      </x:c>
      <x:c r="G3578" s="65" t="n">
        <x:v>281.1980485335487</x:v>
      </x:c>
      <x:c r="H3578" s="43" t="n">
        <x:v>1</x:v>
      </x:c>
      <x:c r="I3578" s="34" t="str">
        <x:v>generated design-reference observation; not predicted tract behavior</x:v>
      </x:c>
    </x:row>
    <x:row r="3579" ht="75.5999984741211" hidden="0" customHeight="1">
      <x:c r="A3579" s="36" t="str">
        <x:v>H3</x:v>
      </x:c>
      <x:c r="B3579" s="36" t="str">
        <x:v>48201310600</x:v>
      </x:c>
      <x:c r="C3579" s="66" t="n">
        <x:v>379.646445758973</x:v>
      </x:c>
      <x:c r="D3579" s="66" t="n">
        <x:v>339.02427606276285</x:v>
      </x:c>
      <x:c r="E3579" s="66" t="n">
        <x:v>40.622169696210165</x:v>
      </x:c>
      <x:c r="F3579" s="66" t="n">
        <x:v>40.622169696210165</x:v>
      </x:c>
      <x:c r="G3579" s="66" t="n">
        <x:v>379.646445758973</x:v>
      </x:c>
      <x:c r="H3579" s="45" t="n">
        <x:v>1</x:v>
      </x:c>
      <x:c r="I3579" s="36" t="str">
        <x:v>generated design-reference observation; not predicted tract behavior</x:v>
      </x:c>
    </x:row>
    <x:row r="3580" ht="75.5999984741211" hidden="0" customHeight="1">
      <x:c r="A3580" s="34" t="str">
        <x:v>H3</x:v>
      </x:c>
      <x:c r="B3580" s="34" t="str">
        <x:v>48201310700</x:v>
      </x:c>
      <x:c r="C3580" s="65" t="n">
        <x:v>272.3246459734733</x:v>
      </x:c>
      <x:c r="D3580" s="65" t="n">
        <x:v>242.63373379067772</x:v>
      </x:c>
      <x:c r="E3580" s="65" t="n">
        <x:v>29.690912182795586</x:v>
      </x:c>
      <x:c r="F3580" s="65" t="n">
        <x:v>29.690912182795586</x:v>
      </x:c>
      <x:c r="G3580" s="65" t="n">
        <x:v>272.3246459734733</x:v>
      </x:c>
      <x:c r="H3580" s="43" t="n">
        <x:v>1</x:v>
      </x:c>
      <x:c r="I3580" s="34" t="str">
        <x:v>generated design-reference observation; not predicted tract behavior</x:v>
      </x:c>
    </x:row>
    <x:row r="3581" ht="75.5999984741211" hidden="0" customHeight="1">
      <x:c r="A3581" s="36" t="str">
        <x:v>H3</x:v>
      </x:c>
      <x:c r="B3581" s="36" t="str">
        <x:v>48201310800</x:v>
      </x:c>
      <x:c r="C3581" s="66" t="n">
        <x:v>255.66638492291557</x:v>
      </x:c>
      <x:c r="D3581" s="66" t="n">
        <x:v>227.21587673613772</x:v>
      </x:c>
      <x:c r="E3581" s="66" t="n">
        <x:v>28.450508186777853</x:v>
      </x:c>
      <x:c r="F3581" s="66" t="n">
        <x:v>28.450508186777853</x:v>
      </x:c>
      <x:c r="G3581" s="66" t="n">
        <x:v>255.66638492291557</x:v>
      </x:c>
      <x:c r="H3581" s="45" t="n">
        <x:v>1</x:v>
      </x:c>
      <x:c r="I3581" s="36" t="str">
        <x:v>generated design-reference observation; not predicted tract behavior</x:v>
      </x:c>
    </x:row>
    <x:row r="3582" ht="75.5999984741211" hidden="0" customHeight="1">
      <x:c r="A3582" s="34" t="str">
        <x:v>H3</x:v>
      </x:c>
      <x:c r="B3582" s="34" t="str">
        <x:v>48201310900</x:v>
      </x:c>
      <x:c r="C3582" s="65" t="n">
        <x:v>349.1672118103705</x:v>
      </x:c>
      <x:c r="D3582" s="65" t="n">
        <x:v>310.6375719623808</x:v>
      </x:c>
      <x:c r="E3582" s="65" t="n">
        <x:v>38.5296398479897</x:v>
      </x:c>
      <x:c r="F3582" s="65" t="n">
        <x:v>38.5296398479897</x:v>
      </x:c>
      <x:c r="G3582" s="65" t="n">
        <x:v>349.1672118103705</x:v>
      </x:c>
      <x:c r="H3582" s="43" t="n">
        <x:v>1</x:v>
      </x:c>
      <x:c r="I3582" s="34" t="str">
        <x:v>generated design-reference observation; not predicted tract behavior</x:v>
      </x:c>
    </x:row>
    <x:row r="3583" ht="75.5999984741211" hidden="0" customHeight="1">
      <x:c r="A3583" s="36" t="str">
        <x:v>H3</x:v>
      </x:c>
      <x:c r="B3583" s="36" t="str">
        <x:v>48201311001</x:v>
      </x:c>
      <x:c r="C3583" s="66" t="n">
        <x:v>223.092587836793</x:v>
      </x:c>
      <x:c r="D3583" s="66" t="n">
        <x:v>199.22168093825613</x:v>
      </x:c>
      <x:c r="E3583" s="66" t="n">
        <x:v>23.870906898536873</x:v>
      </x:c>
      <x:c r="F3583" s="66" t="n">
        <x:v>23.870906898536873</x:v>
      </x:c>
      <x:c r="G3583" s="66" t="n">
        <x:v>223.092587836793</x:v>
      </x:c>
      <x:c r="H3583" s="45" t="n">
        <x:v>1</x:v>
      </x:c>
      <x:c r="I3583" s="36" t="str">
        <x:v>generated design-reference observation; not predicted tract behavior</x:v>
      </x:c>
    </x:row>
    <x:row r="3584" ht="75.5999984741211" hidden="0" customHeight="1">
      <x:c r="A3584" s="34" t="str">
        <x:v>H3</x:v>
      </x:c>
      <x:c r="B3584" s="34" t="str">
        <x:v>48201311002</x:v>
      </x:c>
      <x:c r="C3584" s="65" t="n">
        <x:v>294.8579011902458</x:v>
      </x:c>
      <x:c r="D3584" s="65" t="n">
        <x:v>263.3081057628895</x:v>
      </x:c>
      <x:c r="E3584" s="65" t="n">
        <x:v>31.549795427356287</x:v>
      </x:c>
      <x:c r="F3584" s="65" t="n">
        <x:v>31.549795427356287</x:v>
      </x:c>
      <x:c r="G3584" s="65" t="n">
        <x:v>294.8579011902458</x:v>
      </x:c>
      <x:c r="H3584" s="43" t="n">
        <x:v>1</x:v>
      </x:c>
      <x:c r="I3584" s="34" t="str">
        <x:v>generated design-reference observation; not predicted tract behavior</x:v>
      </x:c>
    </x:row>
    <x:row r="3585" ht="75.5999984741211" hidden="0" customHeight="1">
      <x:c r="A3585" s="36" t="str">
        <x:v>H3</x:v>
      </x:c>
      <x:c r="B3585" s="36" t="str">
        <x:v>48201311100</x:v>
      </x:c>
      <x:c r="C3585" s="66" t="n">
        <x:v>413.725341685002</x:v>
      </x:c>
      <x:c r="D3585" s="66" t="n">
        <x:v>369.1788037981335</x:v>
      </x:c>
      <x:c r="E3585" s="66" t="n">
        <x:v>44.546537886868464</x:v>
      </x:c>
      <x:c r="F3585" s="66" t="n">
        <x:v>44.546537886868464</x:v>
      </x:c>
      <x:c r="G3585" s="66" t="n">
        <x:v>413.725341685002</x:v>
      </x:c>
      <x:c r="H3585" s="45" t="n">
        <x:v>1</x:v>
      </x:c>
      <x:c r="I3585" s="36" t="str">
        <x:v>generated design-reference observation; not predicted tract behavior</x:v>
      </x:c>
    </x:row>
    <x:row r="3586" ht="75.5999984741211" hidden="0" customHeight="1">
      <x:c r="A3586" s="34" t="str">
        <x:v>H3</x:v>
      </x:c>
      <x:c r="B3586" s="34" t="str">
        <x:v>48201311200</x:v>
      </x:c>
      <x:c r="C3586" s="65" t="n">
        <x:v>371.40180511635214</x:v>
      </x:c>
      <x:c r="D3586" s="65" t="n">
        <x:v>330.5822355629305</x:v>
      </x:c>
      <x:c r="E3586" s="65" t="n">
        <x:v>40.819569553421616</x:v>
      </x:c>
      <x:c r="F3586" s="65" t="n">
        <x:v>40.819569553421616</x:v>
      </x:c>
      <x:c r="G3586" s="65" t="n">
        <x:v>371.40180511635214</x:v>
      </x:c>
      <x:c r="H3586" s="43" t="n">
        <x:v>1</x:v>
      </x:c>
      <x:c r="I3586" s="34" t="str">
        <x:v>generated design-reference observation; not predicted tract behavior</x:v>
      </x:c>
    </x:row>
    <x:row r="3587" ht="75.5999984741211" hidden="0" customHeight="1">
      <x:c r="A3587" s="36" t="str">
        <x:v>H3</x:v>
      </x:c>
      <x:c r="B3587" s="36" t="str">
        <x:v>48201311300</x:v>
      </x:c>
      <x:c r="C3587" s="66" t="n">
        <x:v>330.43010667022907</x:v>
      </x:c>
      <x:c r="D3587" s="66" t="n">
        <x:v>295.07408525651454</x:v>
      </x:c>
      <x:c r="E3587" s="66" t="n">
        <x:v>35.35602141371453</x:v>
      </x:c>
      <x:c r="F3587" s="66" t="n">
        <x:v>35.35602141371453</x:v>
      </x:c>
      <x:c r="G3587" s="66" t="n">
        <x:v>330.43010667022907</x:v>
      </x:c>
      <x:c r="H3587" s="45" t="n">
        <x:v>1</x:v>
      </x:c>
      <x:c r="I3587" s="36" t="str">
        <x:v>generated design-reference observation; not predicted tract behavior</x:v>
      </x:c>
    </x:row>
    <x:row r="3588" ht="75.5999984741211" hidden="0" customHeight="1">
      <x:c r="A3588" s="34" t="str">
        <x:v>H3</x:v>
      </x:c>
      <x:c r="B3588" s="34" t="str">
        <x:v>48201311400</x:v>
      </x:c>
      <x:c r="C3588" s="65" t="n">
        <x:v>135.79685512221633</x:v>
      </x:c>
      <x:c r="D3588" s="65" t="n">
        <x:v>121.20288684805143</x:v>
      </x:c>
      <x:c r="E3588" s="65" t="n">
        <x:v>14.593968274164894</x:v>
      </x:c>
      <x:c r="F3588" s="65" t="n">
        <x:v>14.593968274164894</x:v>
      </x:c>
      <x:c r="G3588" s="65" t="n">
        <x:v>135.79685512221633</x:v>
      </x:c>
      <x:c r="H3588" s="43" t="n">
        <x:v>1</x:v>
      </x:c>
      <x:c r="I3588" s="34" t="str">
        <x:v>generated design-reference observation; not predicted tract behavior</x:v>
      </x:c>
    </x:row>
    <x:row r="3589" ht="75.5999984741211" hidden="0" customHeight="1">
      <x:c r="A3589" s="36" t="str">
        <x:v>H3</x:v>
      </x:c>
      <x:c r="B3589" s="36" t="str">
        <x:v>48201311501</x:v>
      </x:c>
      <x:c r="C3589" s="66" t="n">
        <x:v>200.18993499351612</x:v>
      </x:c>
      <x:c r="D3589" s="66" t="n">
        <x:v>178.5582757800451</x:v>
      </x:c>
      <x:c r="E3589" s="66" t="n">
        <x:v>21.63165921347101</x:v>
      </x:c>
      <x:c r="F3589" s="66" t="n">
        <x:v>21.63165921347101</x:v>
      </x:c>
      <x:c r="G3589" s="66" t="n">
        <x:v>200.18993499351612</x:v>
      </x:c>
      <x:c r="H3589" s="45" t="n">
        <x:v>1</x:v>
      </x:c>
      <x:c r="I3589" s="36" t="str">
        <x:v>generated design-reference observation; not predicted tract behavior</x:v>
      </x:c>
    </x:row>
    <x:row r="3590" ht="75.5999984741211" hidden="0" customHeight="1">
      <x:c r="A3590" s="34" t="str">
        <x:v>H3</x:v>
      </x:c>
      <x:c r="B3590" s="34" t="str">
        <x:v>48201311502</x:v>
      </x:c>
      <x:c r="C3590" s="65" t="n">
        <x:v>211.84560903832727</x:v>
      </x:c>
      <x:c r="D3590" s="65" t="n">
        <x:v>188.9273542182072</x:v>
      </x:c>
      <x:c r="E3590" s="65" t="n">
        <x:v>22.91825482012007</x:v>
      </x:c>
      <x:c r="F3590" s="65" t="n">
        <x:v>22.91825482012007</x:v>
      </x:c>
      <x:c r="G3590" s="65" t="n">
        <x:v>211.84560903832727</x:v>
      </x:c>
      <x:c r="H3590" s="43" t="n">
        <x:v>1</x:v>
      </x:c>
      <x:c r="I3590" s="34" t="str">
        <x:v>generated design-reference observation; not predicted tract behavior</x:v>
      </x:c>
    </x:row>
    <x:row r="3591" ht="75.5999984741211" hidden="0" customHeight="1">
      <x:c r="A3591" s="36" t="str">
        <x:v>H3</x:v>
      </x:c>
      <x:c r="B3591" s="36" t="str">
        <x:v>48201311600</x:v>
      </x:c>
      <x:c r="C3591" s="66" t="n">
        <x:v>291.1796439731375</x:v>
      </x:c>
      <x:c r="D3591" s="66" t="n">
        <x:v>257.88774582224227</x:v>
      </x:c>
      <x:c r="E3591" s="66" t="n">
        <x:v>33.291898150895236</x:v>
      </x:c>
      <x:c r="F3591" s="66" t="n">
        <x:v>33.291898150895236</x:v>
      </x:c>
      <x:c r="G3591" s="66" t="n">
        <x:v>291.1796439731375</x:v>
      </x:c>
      <x:c r="H3591" s="45" t="n">
        <x:v>1</x:v>
      </x:c>
      <x:c r="I3591" s="36" t="str">
        <x:v>generated design-reference observation; not predicted tract behavior</x:v>
      </x:c>
    </x:row>
    <x:row r="3592" ht="75.5999984741211" hidden="0" customHeight="1">
      <x:c r="A3592" s="34" t="str">
        <x:v>H3</x:v>
      </x:c>
      <x:c r="B3592" s="34" t="str">
        <x:v>48201311701</x:v>
      </x:c>
      <x:c r="C3592" s="65" t="n">
        <x:v>290.7159320590149</x:v>
      </x:c>
      <x:c r="D3592" s="65" t="n">
        <x:v>259.0516636800853</x:v>
      </x:c>
      <x:c r="E3592" s="65" t="n">
        <x:v>31.66426837892959</x:v>
      </x:c>
      <x:c r="F3592" s="65" t="n">
        <x:v>31.66426837892959</x:v>
      </x:c>
      <x:c r="G3592" s="65" t="n">
        <x:v>290.7159320590149</x:v>
      </x:c>
      <x:c r="H3592" s="43" t="n">
        <x:v>1</x:v>
      </x:c>
      <x:c r="I3592" s="34" t="str">
        <x:v>generated design-reference observation; not predicted tract behavior</x:v>
      </x:c>
    </x:row>
    <x:row r="3593" ht="75.5999984741211" hidden="0" customHeight="1">
      <x:c r="A3593" s="36" t="str">
        <x:v>H3</x:v>
      </x:c>
      <x:c r="B3593" s="36" t="str">
        <x:v>48201311702</x:v>
      </x:c>
      <x:c r="C3593" s="66" t="n">
        <x:v>156.23947696345283</x:v>
      </x:c>
      <x:c r="D3593" s="66" t="n">
        <x:v>138.28878623326213</x:v>
      </x:c>
      <x:c r="E3593" s="66" t="n">
        <x:v>17.9506907301907</x:v>
      </x:c>
      <x:c r="F3593" s="66" t="n">
        <x:v>17.9506907301907</x:v>
      </x:c>
      <x:c r="G3593" s="66" t="n">
        <x:v>156.23947696345283</x:v>
      </x:c>
      <x:c r="H3593" s="45" t="n">
        <x:v>1</x:v>
      </x:c>
      <x:c r="I3593" s="36" t="str">
        <x:v>generated design-reference observation; not predicted tract behavior</x:v>
      </x:c>
    </x:row>
    <x:row r="3594" ht="75.5999984741211" hidden="0" customHeight="1">
      <x:c r="A3594" s="34" t="str">
        <x:v>H3</x:v>
      </x:c>
      <x:c r="B3594" s="34" t="str">
        <x:v>48201311800</x:v>
      </x:c>
      <x:c r="C3594" s="65" t="n">
        <x:v>292.68867257502814</x:v>
      </x:c>
      <x:c r="D3594" s="65" t="n">
        <x:v>260.7323405747077</x:v>
      </x:c>
      <x:c r="E3594" s="65" t="n">
        <x:v>31.956332000320458</x:v>
      </x:c>
      <x:c r="F3594" s="65" t="n">
        <x:v>31.956332000320458</x:v>
      </x:c>
      <x:c r="G3594" s="65" t="n">
        <x:v>292.68867257502814</x:v>
      </x:c>
      <x:c r="H3594" s="43" t="n">
        <x:v>1</x:v>
      </x:c>
      <x:c r="I3594" s="34" t="str">
        <x:v>generated design-reference observation; not predicted tract behavior</x:v>
      </x:c>
    </x:row>
    <x:row r="3595" ht="75.5999984741211" hidden="0" customHeight="1">
      <x:c r="A3595" s="36" t="str">
        <x:v>H3</x:v>
      </x:c>
      <x:c r="B3595" s="36" t="str">
        <x:v>48201311900</x:v>
      </x:c>
      <x:c r="C3595" s="66" t="n">
        <x:v>130.86893359416737</x:v>
      </x:c>
      <x:c r="D3595" s="66" t="n">
        <x:v>116.76463893207911</x:v>
      </x:c>
      <x:c r="E3595" s="66" t="n">
        <x:v>14.104294662088265</x:v>
      </x:c>
      <x:c r="F3595" s="66" t="n">
        <x:v>14.104294662088265</x:v>
      </x:c>
      <x:c r="G3595" s="66" t="n">
        <x:v>130.86893359416737</x:v>
      </x:c>
      <x:c r="H3595" s="45" t="n">
        <x:v>1</x:v>
      </x:c>
      <x:c r="I3595" s="36" t="str">
        <x:v>generated design-reference observation; not predicted tract behavior</x:v>
      </x:c>
    </x:row>
    <x:row r="3596" ht="75.5999984741211" hidden="0" customHeight="1">
      <x:c r="A3596" s="34" t="str">
        <x:v>H3</x:v>
      </x:c>
      <x:c r="B3596" s="34" t="str">
        <x:v>48201312000</x:v>
      </x:c>
      <x:c r="C3596" s="65" t="n">
        <x:v>238.62300719791696</x:v>
      </x:c>
      <x:c r="D3596" s="65" t="n">
        <x:v>212.4366624840364</x:v>
      </x:c>
      <x:c r="E3596" s="65" t="n">
        <x:v>26.186344713880572</x:v>
      </x:c>
      <x:c r="F3596" s="65" t="n">
        <x:v>26.186344713880572</x:v>
      </x:c>
      <x:c r="G3596" s="65" t="n">
        <x:v>238.62300719791696</x:v>
      </x:c>
      <x:c r="H3596" s="43" t="n">
        <x:v>1</x:v>
      </x:c>
      <x:c r="I3596" s="34" t="str">
        <x:v>generated design-reference observation; not predicted tract behavior</x:v>
      </x:c>
    </x:row>
    <x:row r="3597" ht="75.5999984741211" hidden="0" customHeight="1">
      <x:c r="A3597" s="36" t="str">
        <x:v>H3</x:v>
      </x:c>
      <x:c r="B3597" s="36" t="str">
        <x:v>48201312200</x:v>
      </x:c>
      <x:c r="C3597" s="66" t="n">
        <x:v>134.0638300872326</x:v>
      </x:c>
      <x:c r="D3597" s="66" t="n">
        <x:v>119.39162495778488</x:v>
      </x:c>
      <x:c r="E3597" s="66" t="n">
        <x:v>14.672205129447704</x:v>
      </x:c>
      <x:c r="F3597" s="66" t="n">
        <x:v>14.672205129447704</x:v>
      </x:c>
      <x:c r="G3597" s="66" t="n">
        <x:v>134.0638300872326</x:v>
      </x:c>
      <x:c r="H3597" s="45" t="n">
        <x:v>1</x:v>
      </x:c>
      <x:c r="I3597" s="36" t="str">
        <x:v>generated design-reference observation; not predicted tract behavior</x:v>
      </x:c>
    </x:row>
    <x:row r="3598" ht="75.5999984741211" hidden="0" customHeight="1">
      <x:c r="A3598" s="34" t="str">
        <x:v>H3</x:v>
      </x:c>
      <x:c r="B3598" s="34" t="str">
        <x:v>48201312300</x:v>
      </x:c>
      <x:c r="C3598" s="65" t="n">
        <x:v>227.9890712689692</x:v>
      </x:c>
      <x:c r="D3598" s="65" t="n">
        <x:v>203.40374310808474</x:v>
      </x:c>
      <x:c r="E3598" s="65" t="n">
        <x:v>24.585328160884472</x:v>
      </x:c>
      <x:c r="F3598" s="65" t="n">
        <x:v>24.585328160884472</x:v>
      </x:c>
      <x:c r="G3598" s="65" t="n">
        <x:v>227.9890712689692</x:v>
      </x:c>
      <x:c r="H3598" s="43" t="n">
        <x:v>1</x:v>
      </x:c>
      <x:c r="I3598" s="34" t="str">
        <x:v>generated design-reference observation; not predicted tract behavior</x:v>
      </x:c>
    </x:row>
    <x:row r="3599" ht="75.5999984741211" hidden="0" customHeight="1">
      <x:c r="A3599" s="36" t="str">
        <x:v>H3</x:v>
      </x:c>
      <x:c r="B3599" s="36" t="str">
        <x:v>48201312400</x:v>
      </x:c>
      <x:c r="C3599" s="66" t="n">
        <x:v>176.46203213358032</x:v>
      </x:c>
      <x:c r="D3599" s="66" t="n">
        <x:v>157.58059469528723</x:v>
      </x:c>
      <x:c r="E3599" s="66" t="n">
        <x:v>18.88143743829309</x:v>
      </x:c>
      <x:c r="F3599" s="66" t="n">
        <x:v>18.88143743829309</x:v>
      </x:c>
      <x:c r="G3599" s="66" t="n">
        <x:v>176.46203213358032</x:v>
      </x:c>
      <x:c r="H3599" s="45" t="n">
        <x:v>1</x:v>
      </x:c>
      <x:c r="I3599" s="36" t="str">
        <x:v>generated design-reference observation; not predicted tract behavior</x:v>
      </x:c>
    </x:row>
    <x:row r="3600" ht="75.5999984741211" hidden="0" customHeight="1">
      <x:c r="A3600" s="34" t="str">
        <x:v>H3</x:v>
      </x:c>
      <x:c r="B3600" s="34" t="str">
        <x:v>48201312501</x:v>
      </x:c>
      <x:c r="C3600" s="65" t="n">
        <x:v>268.48919827700155</x:v>
      </x:c>
      <x:c r="D3600" s="65" t="n">
        <x:v>237.7096576762185</x:v>
      </x:c>
      <x:c r="E3600" s="65" t="n">
        <x:v>30.779540600783037</x:v>
      </x:c>
      <x:c r="F3600" s="65" t="n">
        <x:v>30.779540600783037</x:v>
      </x:c>
      <x:c r="G3600" s="65" t="n">
        <x:v>268.48919827700155</x:v>
      </x:c>
      <x:c r="H3600" s="43" t="n">
        <x:v>1</x:v>
      </x:c>
      <x:c r="I3600" s="34" t="str">
        <x:v>generated design-reference observation; not predicted tract behavior</x:v>
      </x:c>
    </x:row>
    <x:row r="3601" ht="75.5999984741211" hidden="0" customHeight="1">
      <x:c r="A3601" s="36" t="str">
        <x:v>H3</x:v>
      </x:c>
      <x:c r="B3601" s="36" t="str">
        <x:v>48201312502</x:v>
      </x:c>
      <x:c r="C3601" s="66" t="n">
        <x:v>168.88545102825466</x:v>
      </x:c>
      <x:c r="D3601" s="66" t="n">
        <x:v>149.73975187243656</x:v>
      </x:c>
      <x:c r="E3601" s="66" t="n">
        <x:v>19.145699155818107</x:v>
      </x:c>
      <x:c r="F3601" s="66" t="n">
        <x:v>19.145699155818107</x:v>
      </x:c>
      <x:c r="G3601" s="66" t="n">
        <x:v>168.88545102825466</x:v>
      </x:c>
      <x:c r="H3601" s="45" t="n">
        <x:v>1</x:v>
      </x:c>
      <x:c r="I3601" s="36" t="str">
        <x:v>generated design-reference observation; not predicted tract behavior</x:v>
      </x:c>
    </x:row>
    <x:row r="3602" ht="75.5999984741211" hidden="0" customHeight="1">
      <x:c r="A3602" s="34" t="str">
        <x:v>H3</x:v>
      </x:c>
      <x:c r="B3602" s="34" t="str">
        <x:v>48201312601</x:v>
      </x:c>
      <x:c r="C3602" s="65" t="n">
        <x:v>268.0490649347834</x:v>
      </x:c>
      <x:c r="D3602" s="65" t="n">
        <x:v>234.8135941673895</x:v>
      </x:c>
      <x:c r="E3602" s="65" t="n">
        <x:v>33.235470767393906</x:v>
      </x:c>
      <x:c r="F3602" s="65" t="n">
        <x:v>33.235470767393906</x:v>
      </x:c>
      <x:c r="G3602" s="65" t="n">
        <x:v>268.0490649347834</x:v>
      </x:c>
      <x:c r="H3602" s="43" t="n">
        <x:v>1</x:v>
      </x:c>
      <x:c r="I3602" s="34" t="str">
        <x:v>generated design-reference observation; not predicted tract behavior</x:v>
      </x:c>
    </x:row>
    <x:row r="3603" ht="75.5999984741211" hidden="0" customHeight="1">
      <x:c r="A3603" s="36" t="str">
        <x:v>H3</x:v>
      </x:c>
      <x:c r="B3603" s="36" t="str">
        <x:v>48201312602</x:v>
      </x:c>
      <x:c r="C3603" s="66" t="n">
        <x:v>199.56903260002989</x:v>
      </x:c>
      <x:c r="D3603" s="66" t="n">
        <x:v>176.7317220446208</x:v>
      </x:c>
      <x:c r="E3603" s="66" t="n">
        <x:v>22.83731055540909</x:v>
      </x:c>
      <x:c r="F3603" s="66" t="n">
        <x:v>22.83731055540909</x:v>
      </x:c>
      <x:c r="G3603" s="66" t="n">
        <x:v>199.56903260002989</x:v>
      </x:c>
      <x:c r="H3603" s="45" t="n">
        <x:v>1</x:v>
      </x:c>
      <x:c r="I3603" s="36" t="str">
        <x:v>generated design-reference observation; not predicted tract behavior</x:v>
      </x:c>
    </x:row>
    <x:row r="3604" ht="75.5999984741211" hidden="0" customHeight="1">
      <x:c r="A3604" s="34" t="str">
        <x:v>H3</x:v>
      </x:c>
      <x:c r="B3604" s="34" t="str">
        <x:v>48201312603</x:v>
      </x:c>
      <x:c r="C3604" s="65" t="n">
        <x:v>338.82407826824544</x:v>
      </x:c>
      <x:c r="D3604" s="65" t="n">
        <x:v>300.7919262624561</x:v>
      </x:c>
      <x:c r="E3604" s="65" t="n">
        <x:v>38.03215200578933</x:v>
      </x:c>
      <x:c r="F3604" s="65" t="n">
        <x:v>38.03215200578933</x:v>
      </x:c>
      <x:c r="G3604" s="65" t="n">
        <x:v>338.82407826824544</x:v>
      </x:c>
      <x:c r="H3604" s="43" t="n">
        <x:v>1</x:v>
      </x:c>
      <x:c r="I3604" s="34" t="str">
        <x:v>generated design-reference observation; not predicted tract behavior</x:v>
      </x:c>
    </x:row>
    <x:row r="3605" ht="75.5999984741211" hidden="0" customHeight="1">
      <x:c r="A3605" s="36" t="str">
        <x:v>H3</x:v>
      </x:c>
      <x:c r="B3605" s="36" t="str">
        <x:v>48201312700</x:v>
      </x:c>
      <x:c r="C3605" s="66" t="n">
        <x:v>184.98961563905576</x:v>
      </x:c>
      <x:c r="D3605" s="66" t="n">
        <x:v>164.8940955023679</x:v>
      </x:c>
      <x:c r="E3605" s="66" t="n">
        <x:v>20.095520136687867</x:v>
      </x:c>
      <x:c r="F3605" s="66" t="n">
        <x:v>20.095520136687867</x:v>
      </x:c>
      <x:c r="G3605" s="66" t="n">
        <x:v>184.98961563905576</x:v>
      </x:c>
      <x:c r="H3605" s="45" t="n">
        <x:v>1</x:v>
      </x:c>
      <x:c r="I3605" s="36" t="str">
        <x:v>generated design-reference observation; not predicted tract behavior</x:v>
      </x:c>
    </x:row>
    <x:row r="3606" ht="75.5999984741211" hidden="0" customHeight="1">
      <x:c r="A3606" s="34" t="str">
        <x:v>H3</x:v>
      </x:c>
      <x:c r="B3606" s="34" t="str">
        <x:v>48201312800</x:v>
      </x:c>
      <x:c r="C3606" s="65" t="n">
        <x:v>308.5806300386883</x:v>
      </x:c>
      <x:c r="D3606" s="65" t="n">
        <x:v>273.5578741183314</x:v>
      </x:c>
      <x:c r="E3606" s="65" t="n">
        <x:v>35.02275592035687</x:v>
      </x:c>
      <x:c r="F3606" s="65" t="n">
        <x:v>35.02275592035687</x:v>
      </x:c>
      <x:c r="G3606" s="65" t="n">
        <x:v>308.5806300386883</x:v>
      </x:c>
      <x:c r="H3606" s="43" t="n">
        <x:v>1</x:v>
      </x:c>
      <x:c r="I3606" s="34" t="str">
        <x:v>generated design-reference observation; not predicted tract behavior</x:v>
      </x:c>
    </x:row>
    <x:row r="3607" ht="75.5999984741211" hidden="0" customHeight="1">
      <x:c r="A3607" s="36" t="str">
        <x:v>H3</x:v>
      </x:c>
      <x:c r="B3607" s="36" t="str">
        <x:v>48201312901</x:v>
      </x:c>
      <x:c r="C3607" s="66" t="n">
        <x:v>157.4812817504253</x:v>
      </x:c>
      <x:c r="D3607" s="66" t="n">
        <x:v>139.7185849192176</x:v>
      </x:c>
      <x:c r="E3607" s="66" t="n">
        <x:v>17.762696831207705</x:v>
      </x:c>
      <x:c r="F3607" s="66" t="n">
        <x:v>17.762696831207705</x:v>
      </x:c>
      <x:c r="G3607" s="66" t="n">
        <x:v>157.4812817504253</x:v>
      </x:c>
      <x:c r="H3607" s="45" t="n">
        <x:v>1</x:v>
      </x:c>
      <x:c r="I3607" s="36" t="str">
        <x:v>generated design-reference observation; not predicted tract behavior</x:v>
      </x:c>
    </x:row>
    <x:row r="3608" ht="75.5999984741211" hidden="0" customHeight="1">
      <x:c r="A3608" s="34" t="str">
        <x:v>H3</x:v>
      </x:c>
      <x:c r="B3608" s="34" t="str">
        <x:v>48201312902</x:v>
      </x:c>
      <x:c r="C3608" s="65" t="n">
        <x:v>192.589775316286</x:v>
      </x:c>
      <x:c r="D3608" s="65" t="n">
        <x:v>171.39821571784424</x:v>
      </x:c>
      <x:c r="E3608" s="65" t="n">
        <x:v>21.191559598441756</x:v>
      </x:c>
      <x:c r="F3608" s="65" t="n">
        <x:v>21.191559598441756</x:v>
      </x:c>
      <x:c r="G3608" s="65" t="n">
        <x:v>192.589775316286</x:v>
      </x:c>
      <x:c r="H3608" s="43" t="n">
        <x:v>1</x:v>
      </x:c>
      <x:c r="I3608" s="34" t="str">
        <x:v>generated design-reference observation; not predicted tract behavior</x:v>
      </x:c>
    </x:row>
    <x:row r="3609" ht="75.5999984741211" hidden="0" customHeight="1">
      <x:c r="A3609" s="36" t="str">
        <x:v>H3</x:v>
      </x:c>
      <x:c r="B3609" s="36" t="str">
        <x:v>48201313000</x:v>
      </x:c>
      <x:c r="C3609" s="66" t="n">
        <x:v>196.9518111186259</x:v>
      </x:c>
      <x:c r="D3609" s="66" t="n">
        <x:v>175.77162736054197</x:v>
      </x:c>
      <x:c r="E3609" s="66" t="n">
        <x:v>21.180183758083928</x:v>
      </x:c>
      <x:c r="F3609" s="66" t="n">
        <x:v>21.180183758083928</x:v>
      </x:c>
      <x:c r="G3609" s="66" t="n">
        <x:v>196.9518111186259</x:v>
      </x:c>
      <x:c r="H3609" s="45" t="n">
        <x:v>1</x:v>
      </x:c>
      <x:c r="I3609" s="36" t="str">
        <x:v>generated design-reference observation; not predicted tract behavior</x:v>
      </x:c>
    </x:row>
    <x:row r="3610" ht="75.5999984741211" hidden="0" customHeight="1">
      <x:c r="A3610" s="34" t="str">
        <x:v>H3</x:v>
      </x:c>
      <x:c r="B3610" s="34" t="str">
        <x:v>48201313101</x:v>
      </x:c>
      <x:c r="C3610" s="65" t="n">
        <x:v>330.1677194854451</x:v>
      </x:c>
      <x:c r="D3610" s="65" t="n">
        <x:v>253.50064733309864</x:v>
      </x:c>
      <x:c r="E3610" s="65" t="n">
        <x:v>76.66707215234646</x:v>
      </x:c>
      <x:c r="F3610" s="65" t="n">
        <x:v>76.66707215234646</x:v>
      </x:c>
      <x:c r="G3610" s="65" t="n">
        <x:v>330.1677194854451</x:v>
      </x:c>
      <x:c r="H3610" s="43" t="n">
        <x:v>1</x:v>
      </x:c>
      <x:c r="I3610" s="34" t="str">
        <x:v>generated design-reference observation; not predicted tract behavior</x:v>
      </x:c>
    </x:row>
    <x:row r="3611" ht="75.5999984741211" hidden="0" customHeight="1">
      <x:c r="A3611" s="36" t="str">
        <x:v>H3</x:v>
      </x:c>
      <x:c r="B3611" s="36" t="str">
        <x:v>48201313102</x:v>
      </x:c>
      <x:c r="C3611" s="66" t="n">
        <x:v>248.8564096938708</x:v>
      </x:c>
      <x:c r="D3611" s="66" t="n">
        <x:v>190.70472569767867</x:v>
      </x:c>
      <x:c r="E3611" s="66" t="n">
        <x:v>58.15168399619213</x:v>
      </x:c>
      <x:c r="F3611" s="66" t="n">
        <x:v>58.15168399619213</x:v>
      </x:c>
      <x:c r="G3611" s="66" t="n">
        <x:v>248.8564096938708</x:v>
      </x:c>
      <x:c r="H3611" s="45" t="n">
        <x:v>1</x:v>
      </x:c>
      <x:c r="I3611" s="36" t="str">
        <x:v>generated design-reference observation; not predicted tract behavior</x:v>
      </x:c>
    </x:row>
    <x:row r="3612" ht="75.5999984741211" hidden="0" customHeight="1">
      <x:c r="A3612" s="34" t="str">
        <x:v>H3</x:v>
      </x:c>
      <x:c r="B3612" s="34" t="str">
        <x:v>48201313201</x:v>
      </x:c>
      <x:c r="C3612" s="65" t="n">
        <x:v>137.83247182997496</x:v>
      </x:c>
      <x:c r="D3612" s="65" t="n">
        <x:v>122.6094299894768</x:v>
      </x:c>
      <x:c r="E3612" s="65" t="n">
        <x:v>15.223041840498169</x:v>
      </x:c>
      <x:c r="F3612" s="65" t="n">
        <x:v>15.223041840498169</x:v>
      </x:c>
      <x:c r="G3612" s="65" t="n">
        <x:v>137.83247182997496</x:v>
      </x:c>
      <x:c r="H3612" s="43" t="n">
        <x:v>1</x:v>
      </x:c>
      <x:c r="I3612" s="34" t="str">
        <x:v>generated design-reference observation; not predicted tract behavior</x:v>
      </x:c>
    </x:row>
    <x:row r="3613" ht="75.5999984741211" hidden="0" customHeight="1">
      <x:c r="A3613" s="36" t="str">
        <x:v>H3</x:v>
      </x:c>
      <x:c r="B3613" s="36" t="str">
        <x:v>48201313202</x:v>
      </x:c>
      <x:c r="C3613" s="66" t="n">
        <x:v>364.06886925403995</x:v>
      </x:c>
      <x:c r="D3613" s="66" t="n">
        <x:v>283.36526001411977</x:v>
      </x:c>
      <x:c r="E3613" s="66" t="n">
        <x:v>80.70360923992018</x:v>
      </x:c>
      <x:c r="F3613" s="66" t="n">
        <x:v>80.70360923992018</x:v>
      </x:c>
      <x:c r="G3613" s="66" t="n">
        <x:v>364.06886925403995</x:v>
      </x:c>
      <x:c r="H3613" s="45" t="n">
        <x:v>1</x:v>
      </x:c>
      <x:c r="I3613" s="36" t="str">
        <x:v>generated design-reference observation; not predicted tract behavior</x:v>
      </x:c>
    </x:row>
    <x:row r="3614" ht="75.5999984741211" hidden="0" customHeight="1">
      <x:c r="A3614" s="34" t="str">
        <x:v>H3</x:v>
      </x:c>
      <x:c r="B3614" s="34" t="str">
        <x:v>48201313300</x:v>
      </x:c>
      <x:c r="C3614" s="65" t="n">
        <x:v>227.69826888214658</x:v>
      </x:c>
      <x:c r="D3614" s="65" t="n">
        <x:v>202.64444895840788</x:v>
      </x:c>
      <x:c r="E3614" s="65" t="n">
        <x:v>25.0538199237387</x:v>
      </x:c>
      <x:c r="F3614" s="65" t="n">
        <x:v>25.0538199237387</x:v>
      </x:c>
      <x:c r="G3614" s="65" t="n">
        <x:v>227.69826888214658</x:v>
      </x:c>
      <x:c r="H3614" s="43" t="n">
        <x:v>1</x:v>
      </x:c>
      <x:c r="I3614" s="34" t="str">
        <x:v>generated design-reference observation; not predicted tract behavior</x:v>
      </x:c>
    </x:row>
    <x:row r="3615" ht="75.5999984741211" hidden="0" customHeight="1">
      <x:c r="A3615" s="36" t="str">
        <x:v>H3</x:v>
      </x:c>
      <x:c r="B3615" s="36" t="str">
        <x:v>48201313400</x:v>
      </x:c>
      <x:c r="C3615" s="66" t="n">
        <x:v>311.575108670565</x:v>
      </x:c>
      <x:c r="D3615" s="66" t="n">
        <x:v>276.2721914358237</x:v>
      </x:c>
      <x:c r="E3615" s="66" t="n">
        <x:v>35.3029172347413</x:v>
      </x:c>
      <x:c r="F3615" s="66" t="n">
        <x:v>35.3029172347413</x:v>
      </x:c>
      <x:c r="G3615" s="66" t="n">
        <x:v>311.575108670565</x:v>
      </x:c>
      <x:c r="H3615" s="45" t="n">
        <x:v>1</x:v>
      </x:c>
      <x:c r="I3615" s="36" t="str">
        <x:v>generated design-reference observation; not predicted tract behavior</x:v>
      </x:c>
    </x:row>
    <x:row r="3616" ht="75.5999984741211" hidden="0" customHeight="1">
      <x:c r="A3616" s="34" t="str">
        <x:v>H3</x:v>
      </x:c>
      <x:c r="B3616" s="34" t="str">
        <x:v>48201313500</x:v>
      </x:c>
      <x:c r="C3616" s="65" t="n">
        <x:v>150.3723423212064</x:v>
      </x:c>
      <x:c r="D3616" s="65" t="n">
        <x:v>134.0805731188631</x:v>
      </x:c>
      <x:c r="E3616" s="65" t="n">
        <x:v>16.29176920234329</x:v>
      </x:c>
      <x:c r="F3616" s="65" t="n">
        <x:v>16.29176920234329</x:v>
      </x:c>
      <x:c r="G3616" s="65" t="n">
        <x:v>150.3723423212064</x:v>
      </x:c>
      <x:c r="H3616" s="43" t="n">
        <x:v>1</x:v>
      </x:c>
      <x:c r="I3616" s="34" t="str">
        <x:v>generated design-reference observation; not predicted tract behavior</x:v>
      </x:c>
    </x:row>
    <x:row r="3617" ht="75.5999984741211" hidden="0" customHeight="1">
      <x:c r="A3617" s="36" t="str">
        <x:v>H3</x:v>
      </x:c>
      <x:c r="B3617" s="36" t="str">
        <x:v>48201313600</x:v>
      </x:c>
      <x:c r="C3617" s="66" t="n">
        <x:v>377.0763814213782</x:v>
      </x:c>
      <x:c r="D3617" s="66" t="n">
        <x:v>336.01845978278925</x:v>
      </x:c>
      <x:c r="E3617" s="66" t="n">
        <x:v>41.05792163858894</x:v>
      </x:c>
      <x:c r="F3617" s="66" t="n">
        <x:v>41.05792163858894</x:v>
      </x:c>
      <x:c r="G3617" s="66" t="n">
        <x:v>377.0763814213782</x:v>
      </x:c>
      <x:c r="H3617" s="45" t="n">
        <x:v>1</x:v>
      </x:c>
      <x:c r="I3617" s="36" t="str">
        <x:v>generated design-reference observation; not predicted tract behavior</x:v>
      </x:c>
    </x:row>
    <x:row r="3618" ht="75.5999984741211" hidden="0" customHeight="1">
      <x:c r="A3618" s="34" t="str">
        <x:v>H3</x:v>
      </x:c>
      <x:c r="B3618" s="34" t="str">
        <x:v>48201313700</x:v>
      </x:c>
      <x:c r="C3618" s="65" t="n">
        <x:v>194.03985748841518</x:v>
      </x:c>
      <x:c r="D3618" s="65" t="n">
        <x:v>173.1010041076137</x:v>
      </x:c>
      <x:c r="E3618" s="65" t="n">
        <x:v>20.938853380801476</x:v>
      </x:c>
      <x:c r="F3618" s="65" t="n">
        <x:v>20.938853380801476</x:v>
      </x:c>
      <x:c r="G3618" s="65" t="n">
        <x:v>194.03985748841518</x:v>
      </x:c>
      <x:c r="H3618" s="43" t="n">
        <x:v>1</x:v>
      </x:c>
      <x:c r="I3618" s="34" t="str">
        <x:v>generated design-reference observation; not predicted tract behavior</x:v>
      </x:c>
    </x:row>
    <x:row r="3619" ht="75.5999984741211" hidden="0" customHeight="1">
      <x:c r="A3619" s="36" t="str">
        <x:v>H3</x:v>
      </x:c>
      <x:c r="B3619" s="36" t="str">
        <x:v>48201313801</x:v>
      </x:c>
      <x:c r="C3619" s="66" t="n">
        <x:v>131.64702646701718</x:v>
      </x:c>
      <x:c r="D3619" s="66" t="n">
        <x:v>117.07360575637858</x:v>
      </x:c>
      <x:c r="E3619" s="66" t="n">
        <x:v>14.573420710638601</x:v>
      </x:c>
      <x:c r="F3619" s="66" t="n">
        <x:v>14.573420710638601</x:v>
      </x:c>
      <x:c r="G3619" s="66" t="n">
        <x:v>131.64702646701718</x:v>
      </x:c>
      <x:c r="H3619" s="45" t="n">
        <x:v>1</x:v>
      </x:c>
      <x:c r="I3619" s="36" t="str">
        <x:v>generated design-reference observation; not predicted tract behavior</x:v>
      </x:c>
    </x:row>
    <x:row r="3620" ht="75.5999984741211" hidden="0" customHeight="1">
      <x:c r="A3620" s="34" t="str">
        <x:v>H3</x:v>
      </x:c>
      <x:c r="B3620" s="34" t="str">
        <x:v>48201313802</x:v>
      </x:c>
      <x:c r="C3620" s="65" t="n">
        <x:v>220.6836437405458</x:v>
      </x:c>
      <x:c r="D3620" s="65" t="n">
        <x:v>196.77114627469678</x:v>
      </x:c>
      <x:c r="E3620" s="65" t="n">
        <x:v>23.912497465849015</x:v>
      </x:c>
      <x:c r="F3620" s="65" t="n">
        <x:v>23.912497465849015</x:v>
      </x:c>
      <x:c r="G3620" s="65" t="n">
        <x:v>220.6836437405458</x:v>
      </x:c>
      <x:c r="H3620" s="43" t="n">
        <x:v>1</x:v>
      </x:c>
      <x:c r="I3620" s="34" t="str">
        <x:v>generated design-reference observation; not predicted tract behavior</x:v>
      </x:c>
    </x:row>
    <x:row r="3621" ht="75.5999984741211" hidden="0" customHeight="1">
      <x:c r="A3621" s="36" t="str">
        <x:v>H3</x:v>
      </x:c>
      <x:c r="B3621" s="36" t="str">
        <x:v>48201313901</x:v>
      </x:c>
      <x:c r="C3621" s="66" t="n">
        <x:v>315.05687778846874</x:v>
      </x:c>
      <x:c r="D3621" s="66" t="n">
        <x:v>276.68405009828246</x:v>
      </x:c>
      <x:c r="E3621" s="66" t="n">
        <x:v>38.372827690186284</x:v>
      </x:c>
      <x:c r="F3621" s="66" t="n">
        <x:v>38.372827690186284</x:v>
      </x:c>
      <x:c r="G3621" s="66" t="n">
        <x:v>315.05687778846874</x:v>
      </x:c>
      <x:c r="H3621" s="45" t="n">
        <x:v>1</x:v>
      </x:c>
      <x:c r="I3621" s="36" t="str">
        <x:v>generated design-reference observation; not predicted tract behavior</x:v>
      </x:c>
    </x:row>
    <x:row r="3622" ht="75.5999984741211" hidden="0" customHeight="1">
      <x:c r="A3622" s="34" t="str">
        <x:v>H3</x:v>
      </x:c>
      <x:c r="B3622" s="34" t="str">
        <x:v>48201313902</x:v>
      </x:c>
      <x:c r="C3622" s="65" t="n">
        <x:v>215.46099006369016</x:v>
      </x:c>
      <x:c r="D3622" s="65" t="n">
        <x:v>190.55583185603547</x:v>
      </x:c>
      <x:c r="E3622" s="65" t="n">
        <x:v>24.905158207654694</x:v>
      </x:c>
      <x:c r="F3622" s="65" t="n">
        <x:v>24.905158207654694</x:v>
      </x:c>
      <x:c r="G3622" s="65" t="n">
        <x:v>215.46099006369016</x:v>
      </x:c>
      <x:c r="H3622" s="43" t="n">
        <x:v>1</x:v>
      </x:c>
      <x:c r="I3622" s="34" t="str">
        <x:v>generated design-reference observation; not predicted tract behavior</x:v>
      </x:c>
    </x:row>
    <x:row r="3623" ht="75.5999984741211" hidden="0" customHeight="1">
      <x:c r="A3623" s="36" t="str">
        <x:v>H3</x:v>
      </x:c>
      <x:c r="B3623" s="36" t="str">
        <x:v>48201314001</x:v>
      </x:c>
      <x:c r="C3623" s="66" t="n">
        <x:v>230.5905737024369</x:v>
      </x:c>
      <x:c r="D3623" s="66" t="n">
        <x:v>204.49796277132342</x:v>
      </x:c>
      <x:c r="E3623" s="66" t="n">
        <x:v>26.092610931113484</x:v>
      </x:c>
      <x:c r="F3623" s="66" t="n">
        <x:v>26.092610931113484</x:v>
      </x:c>
      <x:c r="G3623" s="66" t="n">
        <x:v>230.5905737024369</x:v>
      </x:c>
      <x:c r="H3623" s="45" t="n">
        <x:v>1</x:v>
      </x:c>
      <x:c r="I3623" s="36" t="str">
        <x:v>generated design-reference observation; not predicted tract behavior</x:v>
      </x:c>
    </x:row>
    <x:row r="3624" ht="75.5999984741211" hidden="0" customHeight="1">
      <x:c r="A3624" s="34" t="str">
        <x:v>H3</x:v>
      </x:c>
      <x:c r="B3624" s="34" t="str">
        <x:v>48201314003</x:v>
      </x:c>
      <x:c r="C3624" s="65" t="n">
        <x:v>211.80631141848636</x:v>
      </x:c>
      <x:c r="D3624" s="65" t="n">
        <x:v>187.55570903372862</x:v>
      </x:c>
      <x:c r="E3624" s="65" t="n">
        <x:v>24.25060238475774</x:v>
      </x:c>
      <x:c r="F3624" s="65" t="n">
        <x:v>24.25060238475774</x:v>
      </x:c>
      <x:c r="G3624" s="65" t="n">
        <x:v>211.80631141848636</x:v>
      </x:c>
      <x:c r="H3624" s="43" t="n">
        <x:v>1</x:v>
      </x:c>
      <x:c r="I3624" s="34" t="str">
        <x:v>generated design-reference observation; not predicted tract behavior</x:v>
      </x:c>
    </x:row>
    <x:row r="3625" ht="75.5999984741211" hidden="0" customHeight="1">
      <x:c r="A3625" s="36" t="str">
        <x:v>H3</x:v>
      </x:c>
      <x:c r="B3625" s="36" t="str">
        <x:v>48201314004</x:v>
      </x:c>
      <x:c r="C3625" s="66" t="n">
        <x:v>179.38577504974327</x:v>
      </x:c>
      <x:c r="D3625" s="66" t="n">
        <x:v>158.9311391562467</x:v>
      </x:c>
      <x:c r="E3625" s="66" t="n">
        <x:v>20.454635893496572</x:v>
      </x:c>
      <x:c r="F3625" s="66" t="n">
        <x:v>20.454635893496572</x:v>
      </x:c>
      <x:c r="G3625" s="66" t="n">
        <x:v>179.38577504974327</x:v>
      </x:c>
      <x:c r="H3625" s="45" t="n">
        <x:v>1</x:v>
      </x:c>
      <x:c r="I3625" s="36" t="str">
        <x:v>generated design-reference observation; not predicted tract behavior</x:v>
      </x:c>
    </x:row>
    <x:row r="3626" ht="75.5999984741211" hidden="0" customHeight="1">
      <x:c r="A3626" s="34" t="str">
        <x:v>H3</x:v>
      </x:c>
      <x:c r="B3626" s="34" t="str">
        <x:v>48201314005</x:v>
      </x:c>
      <x:c r="C3626" s="65" t="n">
        <x:v>218.97419727746657</x:v>
      </x:c>
      <x:c r="D3626" s="65" t="n">
        <x:v>194.37943825529283</x:v>
      </x:c>
      <x:c r="E3626" s="65" t="n">
        <x:v>24.594759022173747</x:v>
      </x:c>
      <x:c r="F3626" s="65" t="n">
        <x:v>24.594759022173747</x:v>
      </x:c>
      <x:c r="G3626" s="65" t="n">
        <x:v>218.97419727746657</x:v>
      </x:c>
      <x:c r="H3626" s="43" t="n">
        <x:v>1</x:v>
      </x:c>
      <x:c r="I3626" s="34" t="str">
        <x:v>generated design-reference observation; not predicted tract behavior</x:v>
      </x:c>
    </x:row>
    <x:row r="3627" ht="75.5999984741211" hidden="0" customHeight="1">
      <x:c r="A3627" s="36" t="str">
        <x:v>H3</x:v>
      </x:c>
      <x:c r="B3627" s="36" t="str">
        <x:v>48201314301</x:v>
      </x:c>
      <x:c r="C3627" s="66" t="n">
        <x:v>190.49128241678181</x:v>
      </x:c>
      <x:c r="D3627" s="66" t="n">
        <x:v>168.45308904529392</x:v>
      </x:c>
      <x:c r="E3627" s="66" t="n">
        <x:v>22.038193371487893</x:v>
      </x:c>
      <x:c r="F3627" s="66" t="n">
        <x:v>22.038193371487893</x:v>
      </x:c>
      <x:c r="G3627" s="66" t="n">
        <x:v>190.49128241678181</x:v>
      </x:c>
      <x:c r="H3627" s="45" t="n">
        <x:v>1</x:v>
      </x:c>
      <x:c r="I3627" s="36" t="str">
        <x:v>generated design-reference observation; not predicted tract behavior</x:v>
      </x:c>
    </x:row>
    <x:row r="3628" ht="75.5999984741211" hidden="0" customHeight="1">
      <x:c r="A3628" s="34" t="str">
        <x:v>H3</x:v>
      </x:c>
      <x:c r="B3628" s="34" t="str">
        <x:v>48201314302</x:v>
      </x:c>
      <x:c r="C3628" s="65" t="n">
        <x:v>138.23330755235213</x:v>
      </x:c>
      <x:c r="D3628" s="65" t="n">
        <x:v>122.76698007473479</x:v>
      </x:c>
      <x:c r="E3628" s="65" t="n">
        <x:v>15.466327477617341</x:v>
      </x:c>
      <x:c r="F3628" s="65" t="n">
        <x:v>15.466327477617341</x:v>
      </x:c>
      <x:c r="G3628" s="65" t="n">
        <x:v>138.23330755235213</x:v>
      </x:c>
      <x:c r="H3628" s="43" t="n">
        <x:v>1</x:v>
      </x:c>
      <x:c r="I3628" s="34" t="str">
        <x:v>generated design-reference observation; not predicted tract behavior</x:v>
      </x:c>
    </x:row>
    <x:row r="3629" ht="75.5999984741211" hidden="0" customHeight="1">
      <x:c r="A3629" s="36" t="str">
        <x:v>H3</x:v>
      </x:c>
      <x:c r="B3629" s="36" t="str">
        <x:v>48201314401</x:v>
      </x:c>
      <x:c r="C3629" s="66" t="n">
        <x:v>214.7327749390999</x:v>
      </x:c>
      <x:c r="D3629" s="66" t="n">
        <x:v>164.75449626469756</x:v>
      </x:c>
      <x:c r="E3629" s="66" t="n">
        <x:v>49.97827867440233</x:v>
      </x:c>
      <x:c r="F3629" s="66" t="n">
        <x:v>49.97827867440233</x:v>
      </x:c>
      <x:c r="G3629" s="66" t="n">
        <x:v>214.7327749390999</x:v>
      </x:c>
      <x:c r="H3629" s="45" t="n">
        <x:v>1</x:v>
      </x:c>
      <x:c r="I3629" s="36" t="str">
        <x:v>generated design-reference observation; not predicted tract behavior</x:v>
      </x:c>
    </x:row>
    <x:row r="3630" ht="75.5999984741211" hidden="0" customHeight="1">
      <x:c r="A3630" s="34" t="str">
        <x:v>H3</x:v>
      </x:c>
      <x:c r="B3630" s="34" t="str">
        <x:v>48201314402</x:v>
      </x:c>
      <x:c r="C3630" s="65" t="n">
        <x:v>164.33478665067832</x:v>
      </x:c>
      <x:c r="D3630" s="65" t="n">
        <x:v>145.56637025086036</x:v>
      </x:c>
      <x:c r="E3630" s="65" t="n">
        <x:v>18.768416399817966</x:v>
      </x:c>
      <x:c r="F3630" s="65" t="n">
        <x:v>18.768416399817966</x:v>
      </x:c>
      <x:c r="G3630" s="65" t="n">
        <x:v>164.33478665067832</x:v>
      </x:c>
      <x:c r="H3630" s="43" t="n">
        <x:v>1</x:v>
      </x:c>
      <x:c r="I3630" s="34" t="str">
        <x:v>generated design-reference observation; not predicted tract behavior</x:v>
      </x:c>
    </x:row>
    <x:row r="3631" ht="75.5999984741211" hidden="0" customHeight="1">
      <x:c r="A3631" s="36" t="str">
        <x:v>H3</x:v>
      </x:c>
      <x:c r="B3631" s="36" t="str">
        <x:v>48201320100</x:v>
      </x:c>
      <x:c r="C3631" s="66" t="n">
        <x:v>183.9600179992242</x:v>
      </x:c>
      <x:c r="D3631" s="66" t="n">
        <x:v>163.76552103509604</x:v>
      </x:c>
      <x:c r="E3631" s="66" t="n">
        <x:v>20.19449696412815</x:v>
      </x:c>
      <x:c r="F3631" s="66" t="n">
        <x:v>20.19449696412815</x:v>
      </x:c>
      <x:c r="G3631" s="66" t="n">
        <x:v>183.9600179992242</x:v>
      </x:c>
      <x:c r="H3631" s="45" t="n">
        <x:v>1</x:v>
      </x:c>
      <x:c r="I3631" s="36" t="str">
        <x:v>generated design-reference observation; not predicted tract behavior</x:v>
      </x:c>
    </x:row>
    <x:row r="3632" ht="75.5999984741211" hidden="0" customHeight="1">
      <x:c r="A3632" s="34" t="str">
        <x:v>H3</x:v>
      </x:c>
      <x:c r="B3632" s="34" t="str">
        <x:v>48201320201</x:v>
      </x:c>
      <x:c r="C3632" s="65" t="n">
        <x:v>241.92400726455259</x:v>
      </x:c>
      <x:c r="D3632" s="65" t="n">
        <x:v>214.8521491901087</x:v>
      </x:c>
      <x:c r="E3632" s="65" t="n">
        <x:v>27.071858074443895</x:v>
      </x:c>
      <x:c r="F3632" s="65" t="n">
        <x:v>27.071858074443895</x:v>
      </x:c>
      <x:c r="G3632" s="65" t="n">
        <x:v>241.92400726455259</x:v>
      </x:c>
      <x:c r="H3632" s="43" t="n">
        <x:v>1</x:v>
      </x:c>
      <x:c r="I3632" s="34" t="str">
        <x:v>generated design-reference observation; not predicted tract behavior</x:v>
      </x:c>
    </x:row>
    <x:row r="3633" ht="75.5999984741211" hidden="0" customHeight="1">
      <x:c r="A3633" s="36" t="str">
        <x:v>H3</x:v>
      </x:c>
      <x:c r="B3633" s="36" t="str">
        <x:v>48201320202</x:v>
      </x:c>
      <x:c r="C3633" s="66" t="n">
        <x:v>435.19453827223623</x:v>
      </x:c>
      <x:c r="D3633" s="66" t="n">
        <x:v>338.07821608685543</x:v>
      </x:c>
      <x:c r="E3633" s="66" t="n">
        <x:v>97.1163221853808</x:v>
      </x:c>
      <x:c r="F3633" s="66" t="n">
        <x:v>97.1163221853808</x:v>
      </x:c>
      <x:c r="G3633" s="66" t="n">
        <x:v>435.19453827223623</x:v>
      </x:c>
      <x:c r="H3633" s="45" t="n">
        <x:v>1</x:v>
      </x:c>
      <x:c r="I3633" s="36" t="str">
        <x:v>generated design-reference observation; not predicted tract behavior</x:v>
      </x:c>
    </x:row>
    <x:row r="3634" ht="75.5999984741211" hidden="0" customHeight="1">
      <x:c r="A3634" s="34" t="str">
        <x:v>H3</x:v>
      </x:c>
      <x:c r="B3634" s="34" t="str">
        <x:v>48201320500</x:v>
      </x:c>
      <x:c r="C3634" s="65" t="n">
        <x:v>332.2849543267195</x:v>
      </x:c>
      <x:c r="D3634" s="65" t="n">
        <x:v>296.73046421376046</x:v>
      </x:c>
      <x:c r="E3634" s="65" t="n">
        <x:v>35.55449011295906</x:v>
      </x:c>
      <x:c r="F3634" s="65" t="n">
        <x:v>35.55449011295906</x:v>
      </x:c>
      <x:c r="G3634" s="65" t="n">
        <x:v>332.2849543267195</x:v>
      </x:c>
      <x:c r="H3634" s="43" t="n">
        <x:v>1</x:v>
      </x:c>
      <x:c r="I3634" s="34" t="str">
        <x:v>generated design-reference observation; not predicted tract behavior</x:v>
      </x:c>
    </x:row>
    <x:row r="3635" ht="75.5999984741211" hidden="0" customHeight="1">
      <x:c r="A3635" s="36" t="str">
        <x:v>H3</x:v>
      </x:c>
      <x:c r="B3635" s="36" t="str">
        <x:v>48201320601</x:v>
      </x:c>
      <x:c r="C3635" s="66" t="n">
        <x:v>172.28862490647666</x:v>
      </x:c>
      <x:c r="D3635" s="66" t="n">
        <x:v>153.16610609078637</x:v>
      </x:c>
      <x:c r="E3635" s="66" t="n">
        <x:v>19.122518815690285</x:v>
      </x:c>
      <x:c r="F3635" s="66" t="n">
        <x:v>19.122518815690285</x:v>
      </x:c>
      <x:c r="G3635" s="66" t="n">
        <x:v>172.28862490647666</x:v>
      </x:c>
      <x:c r="H3635" s="45" t="n">
        <x:v>1</x:v>
      </x:c>
      <x:c r="I3635" s="36" t="str">
        <x:v>generated design-reference observation; not predicted tract behavior</x:v>
      </x:c>
    </x:row>
    <x:row r="3636" ht="75.5999984741211" hidden="0" customHeight="1">
      <x:c r="A3636" s="34" t="str">
        <x:v>H3</x:v>
      </x:c>
      <x:c r="B3636" s="34" t="str">
        <x:v>48201320602</x:v>
      </x:c>
      <x:c r="C3636" s="65" t="n">
        <x:v>354.14229048222853</x:v>
      </x:c>
      <x:c r="D3636" s="65" t="n">
        <x:v>315.0827296697087</x:v>
      </x:c>
      <x:c r="E3636" s="65" t="n">
        <x:v>39.059560812519805</x:v>
      </x:c>
      <x:c r="F3636" s="65" t="n">
        <x:v>39.059560812519805</x:v>
      </x:c>
      <x:c r="G3636" s="65" t="n">
        <x:v>354.14229048222853</x:v>
      </x:c>
      <x:c r="H3636" s="43" t="n">
        <x:v>1</x:v>
      </x:c>
      <x:c r="I3636" s="34" t="str">
        <x:v>generated design-reference observation; not predicted tract behavior</x:v>
      </x:c>
    </x:row>
    <x:row r="3637" ht="75.5999984741211" hidden="0" customHeight="1">
      <x:c r="A3637" s="36" t="str">
        <x:v>H3</x:v>
      </x:c>
      <x:c r="B3637" s="36" t="str">
        <x:v>48201320700</x:v>
      </x:c>
      <x:c r="C3637" s="66" t="n">
        <x:v>278.58868657611293</x:v>
      </x:c>
      <x:c r="D3637" s="66" t="n">
        <x:v>247.946332943119</x:v>
      </x:c>
      <x:c r="E3637" s="66" t="n">
        <x:v>30.642353632993945</x:v>
      </x:c>
      <x:c r="F3637" s="66" t="n">
        <x:v>30.642353632993945</x:v>
      </x:c>
      <x:c r="G3637" s="66" t="n">
        <x:v>278.58868657611293</x:v>
      </x:c>
      <x:c r="H3637" s="45" t="n">
        <x:v>1</x:v>
      </x:c>
      <x:c r="I3637" s="36" t="str">
        <x:v>generated design-reference observation; not predicted tract behavior</x:v>
      </x:c>
    </x:row>
    <x:row r="3638" ht="75.5999984741211" hidden="0" customHeight="1">
      <x:c r="A3638" s="34" t="str">
        <x:v>H3</x:v>
      </x:c>
      <x:c r="B3638" s="34" t="str">
        <x:v>48201320800</x:v>
      </x:c>
      <x:c r="C3638" s="65" t="n">
        <x:v>822.0251935168926</x:v>
      </x:c>
      <x:c r="D3638" s="65" t="n">
        <x:v>351.327464723674</x:v>
      </x:c>
      <x:c r="E3638" s="65" t="n">
        <x:v>470.69772879321863</x:v>
      </x:c>
      <x:c r="F3638" s="65" t="n">
        <x:v>470.69772879321863</x:v>
      </x:c>
      <x:c r="G3638" s="65" t="n">
        <x:v>822.0251935168926</x:v>
      </x:c>
      <x:c r="H3638" s="43" t="n">
        <x:v>1</x:v>
      </x:c>
      <x:c r="I3638" s="34" t="str">
        <x:v>generated design-reference observation; not predicted tract behavior</x:v>
      </x:c>
    </x:row>
    <x:row r="3639" ht="75.5999984741211" hidden="0" customHeight="1">
      <x:c r="A3639" s="36" t="str">
        <x:v>H3</x:v>
      </x:c>
      <x:c r="B3639" s="36" t="str">
        <x:v>48201320901</x:v>
      </x:c>
      <x:c r="C3639" s="66" t="n">
        <x:v>225.6980200322447</x:v>
      </x:c>
      <x:c r="D3639" s="66" t="n">
        <x:v>201.03146926764413</x:v>
      </x:c>
      <x:c r="E3639" s="66" t="n">
        <x:v>24.666550764600572</x:v>
      </x:c>
      <x:c r="F3639" s="66" t="n">
        <x:v>24.666550764600572</x:v>
      </x:c>
      <x:c r="G3639" s="66" t="n">
        <x:v>225.6980200322447</x:v>
      </x:c>
      <x:c r="H3639" s="45" t="n">
        <x:v>1</x:v>
      </x:c>
      <x:c r="I3639" s="36" t="str">
        <x:v>generated design-reference observation; not predicted tract behavior</x:v>
      </x:c>
    </x:row>
    <x:row r="3640" ht="75.5999984741211" hidden="0" customHeight="1">
      <x:c r="A3640" s="34" t="str">
        <x:v>H3</x:v>
      </x:c>
      <x:c r="B3640" s="34" t="str">
        <x:v>48201320902</x:v>
      </x:c>
      <x:c r="C3640" s="65" t="n">
        <x:v>521.5326182202286</x:v>
      </x:c>
      <x:c r="D3640" s="65" t="n">
        <x:v>406.27390959355813</x:v>
      </x:c>
      <x:c r="E3640" s="65" t="n">
        <x:v>115.25870862667051</x:v>
      </x:c>
      <x:c r="F3640" s="65" t="n">
        <x:v>115.25870862667051</x:v>
      </x:c>
      <x:c r="G3640" s="65" t="n">
        <x:v>521.5326182202286</x:v>
      </x:c>
      <x:c r="H3640" s="43" t="n">
        <x:v>1</x:v>
      </x:c>
      <x:c r="I3640" s="34" t="str">
        <x:v>generated design-reference observation; not predicted tract behavior</x:v>
      </x:c>
    </x:row>
    <x:row r="3641" ht="75.5999984741211" hidden="0" customHeight="1">
      <x:c r="A3641" s="36" t="str">
        <x:v>H3</x:v>
      </x:c>
      <x:c r="B3641" s="36" t="str">
        <x:v>48201321001</x:v>
      </x:c>
      <x:c r="C3641" s="66" t="n">
        <x:v>225.623354554547</x:v>
      </x:c>
      <x:c r="D3641" s="66" t="n">
        <x:v>200.33131590821648</x:v>
      </x:c>
      <x:c r="E3641" s="66" t="n">
        <x:v>25.292038646330525</x:v>
      </x:c>
      <x:c r="F3641" s="66" t="n">
        <x:v>25.292038646330525</x:v>
      </x:c>
      <x:c r="G3641" s="66" t="n">
        <x:v>225.623354554547</x:v>
      </x:c>
      <x:c r="H3641" s="45" t="n">
        <x:v>1</x:v>
      </x:c>
      <x:c r="I3641" s="36" t="str">
        <x:v>generated design-reference observation; not predicted tract behavior</x:v>
      </x:c>
    </x:row>
    <x:row r="3642" ht="75.5999984741211" hidden="0" customHeight="1">
      <x:c r="A3642" s="34" t="str">
        <x:v>H3</x:v>
      </x:c>
      <x:c r="B3642" s="34" t="str">
        <x:v>48201321002</x:v>
      </x:c>
      <x:c r="C3642" s="65" t="n">
        <x:v>739.1507453238007</x:v>
      </x:c>
      <x:c r="D3642" s="65" t="n">
        <x:v>573.8969420775154</x:v>
      </x:c>
      <x:c r="E3642" s="65" t="n">
        <x:v>165.25380324628532</x:v>
      </x:c>
      <x:c r="F3642" s="65" t="n">
        <x:v>165.25380324628532</x:v>
      </x:c>
      <x:c r="G3642" s="65" t="n">
        <x:v>739.1507453238007</x:v>
      </x:c>
      <x:c r="H3642" s="43" t="n">
        <x:v>1</x:v>
      </x:c>
      <x:c r="I3642" s="34" t="str">
        <x:v>generated design-reference observation; not predicted tract behavior</x:v>
      </x:c>
    </x:row>
    <x:row r="3643" ht="75.5999984741211" hidden="0" customHeight="1">
      <x:c r="A3643" s="36" t="str">
        <x:v>H3</x:v>
      </x:c>
      <x:c r="B3643" s="36" t="str">
        <x:v>48201321101</x:v>
      </x:c>
      <x:c r="C3643" s="66" t="n">
        <x:v>313.8386515734008</x:v>
      </x:c>
      <x:c r="D3643" s="66" t="n">
        <x:v>279.3556522229667</x:v>
      </x:c>
      <x:c r="E3643" s="66" t="n">
        <x:v>34.48299935043411</x:v>
      </x:c>
      <x:c r="F3643" s="66" t="n">
        <x:v>34.48299935043411</x:v>
      </x:c>
      <x:c r="G3643" s="66" t="n">
        <x:v>313.8386515734008</x:v>
      </x:c>
      <x:c r="H3643" s="45" t="n">
        <x:v>1</x:v>
      </x:c>
      <x:c r="I3643" s="36" t="str">
        <x:v>generated design-reference observation; not predicted tract behavior</x:v>
      </x:c>
    </x:row>
    <x:row r="3644" ht="75.5999984741211" hidden="0" customHeight="1">
      <x:c r="A3644" s="34" t="str">
        <x:v>H3</x:v>
      </x:c>
      <x:c r="B3644" s="34" t="str">
        <x:v>48201321102</x:v>
      </x:c>
      <x:c r="C3644" s="65" t="n">
        <x:v>348.70349989624793</x:v>
      </x:c>
      <x:c r="D3644" s="65" t="n">
        <x:v>311.3922254073494</x:v>
      </x:c>
      <x:c r="E3644" s="65" t="n">
        <x:v>37.31127448889856</x:v>
      </x:c>
      <x:c r="F3644" s="65" t="n">
        <x:v>37.31127448889856</x:v>
      </x:c>
      <x:c r="G3644" s="65" t="n">
        <x:v>348.70349989624793</x:v>
      </x:c>
      <x:c r="H3644" s="43" t="n">
        <x:v>1</x:v>
      </x:c>
      <x:c r="I3644" s="34" t="str">
        <x:v>generated design-reference observation; not predicted tract behavior</x:v>
      </x:c>
    </x:row>
    <x:row r="3645" ht="75.5999984741211" hidden="0" customHeight="1">
      <x:c r="A3645" s="36" t="str">
        <x:v>H3</x:v>
      </x:c>
      <x:c r="B3645" s="36" t="str">
        <x:v>48201321200</x:v>
      </x:c>
      <x:c r="C3645" s="66" t="n">
        <x:v>398.14383541808496</x:v>
      </x:c>
      <x:c r="D3645" s="66" t="n">
        <x:v>354.09631570922124</x:v>
      </x:c>
      <x:c r="E3645" s="66" t="n">
        <x:v>44.04751970886372</x:v>
      </x:c>
      <x:c r="F3645" s="66" t="n">
        <x:v>44.04751970886372</x:v>
      </x:c>
      <x:c r="G3645" s="66" t="n">
        <x:v>398.14383541808496</x:v>
      </x:c>
      <x:c r="H3645" s="45" t="n">
        <x:v>1</x:v>
      </x:c>
      <x:c r="I3645" s="36" t="str">
        <x:v>generated design-reference observation; not predicted tract behavior</x:v>
      </x:c>
    </x:row>
    <x:row r="3646" ht="75.5999984741211" hidden="0" customHeight="1">
      <x:c r="A3646" s="34" t="str">
        <x:v>H3</x:v>
      </x:c>
      <x:c r="B3646" s="34" t="str">
        <x:v>48201321301</x:v>
      </x:c>
      <x:c r="C3646" s="65" t="n">
        <x:v>641.1388539679939</x:v>
      </x:c>
      <x:c r="D3646" s="65" t="n">
        <x:v>272.85547863545446</x:v>
      </x:c>
      <x:c r="E3646" s="65" t="n">
        <x:v>368.28337533253944</x:v>
      </x:c>
      <x:c r="F3646" s="65" t="n">
        <x:v>368.28337533253944</x:v>
      </x:c>
      <x:c r="G3646" s="65" t="n">
        <x:v>641.1388539679939</x:v>
      </x:c>
      <x:c r="H3646" s="43" t="n">
        <x:v>1</x:v>
      </x:c>
      <x:c r="I3646" s="34" t="str">
        <x:v>generated design-reference observation; not predicted tract behavior</x:v>
      </x:c>
    </x:row>
    <x:row r="3647" ht="75.5999984741211" hidden="0" customHeight="1">
      <x:c r="A3647" s="36" t="str">
        <x:v>H3</x:v>
      </x:c>
      <x:c r="B3647" s="36" t="str">
        <x:v>48201321302</x:v>
      </x:c>
      <x:c r="C3647" s="66" t="n">
        <x:v>334.6198375240358</x:v>
      </x:c>
      <x:c r="D3647" s="66" t="n">
        <x:v>142.80490422476885</x:v>
      </x:c>
      <x:c r="E3647" s="66" t="n">
        <x:v>191.81493329926695</x:v>
      </x:c>
      <x:c r="F3647" s="66" t="n">
        <x:v>191.81493329926695</x:v>
      </x:c>
      <x:c r="G3647" s="66" t="n">
        <x:v>334.6198375240358</x:v>
      </x:c>
      <x:c r="H3647" s="45" t="n">
        <x:v>1</x:v>
      </x:c>
      <x:c r="I3647" s="36" t="str">
        <x:v>generated design-reference observation; not predicted tract behavior</x:v>
      </x:c>
    </x:row>
    <x:row r="3648" ht="75.5999984741211" hidden="0" customHeight="1">
      <x:c r="A3648" s="34" t="str">
        <x:v>H3</x:v>
      </x:c>
      <x:c r="B3648" s="34" t="str">
        <x:v>48201321401</x:v>
      </x:c>
      <x:c r="C3648" s="65" t="n">
        <x:v>528.0403040658816</x:v>
      </x:c>
      <x:c r="D3648" s="65" t="n">
        <x:v>411.0717221428878</x:v>
      </x:c>
      <x:c r="E3648" s="65" t="n">
        <x:v>116.96858192299385</x:v>
      </x:c>
      <x:c r="F3648" s="65" t="n">
        <x:v>116.96858192299385</x:v>
      </x:c>
      <x:c r="G3648" s="65" t="n">
        <x:v>528.0403040658816</x:v>
      </x:c>
      <x:c r="H3648" s="43" t="n">
        <x:v>1</x:v>
      </x:c>
      <x:c r="I3648" s="34" t="str">
        <x:v>generated design-reference observation; not predicted tract behavior</x:v>
      </x:c>
    </x:row>
    <x:row r="3649" ht="75.5999984741211" hidden="0" customHeight="1">
      <x:c r="A3649" s="36" t="str">
        <x:v>H3</x:v>
      </x:c>
      <x:c r="B3649" s="36" t="str">
        <x:v>48201321402</x:v>
      </x:c>
      <x:c r="C3649" s="66" t="n">
        <x:v>690.8158820770263</x:v>
      </x:c>
      <x:c r="D3649" s="66" t="n">
        <x:v>538.109333378937</x:v>
      </x:c>
      <x:c r="E3649" s="66" t="n">
        <x:v>152.70654869808936</x:v>
      </x:c>
      <x:c r="F3649" s="66" t="n">
        <x:v>152.70654869808936</x:v>
      </x:c>
      <x:c r="G3649" s="66" t="n">
        <x:v>690.8158820770263</x:v>
      </x:c>
      <x:c r="H3649" s="45" t="n">
        <x:v>1</x:v>
      </x:c>
      <x:c r="I3649" s="36" t="str">
        <x:v>generated design-reference observation; not predicted tract behavior</x:v>
      </x:c>
    </x:row>
    <x:row r="3650" ht="75.5999984741211" hidden="0" customHeight="1">
      <x:c r="A3650" s="34" t="str">
        <x:v>H3</x:v>
      </x:c>
      <x:c r="B3650" s="34" t="str">
        <x:v>48201321500</x:v>
      </x:c>
      <x:c r="C3650" s="65" t="n">
        <x:v>472.22921978906777</x:v>
      </x:c>
      <x:c r="D3650" s="65" t="n">
        <x:v>200.8969021555357</x:v>
      </x:c>
      <x:c r="E3650" s="65" t="n">
        <x:v>271.33231763353206</x:v>
      </x:c>
      <x:c r="F3650" s="65" t="n">
        <x:v>271.33231763353206</x:v>
      </x:c>
      <x:c r="G3650" s="65" t="n">
        <x:v>472.22921978906777</x:v>
      </x:c>
      <x:c r="H3650" s="43" t="n">
        <x:v>1</x:v>
      </x:c>
      <x:c r="I3650" s="34" t="str">
        <x:v>generated design-reference observation; not predicted tract behavior</x:v>
      </x:c>
    </x:row>
    <x:row r="3651" ht="75.5999984741211" hidden="0" customHeight="1">
      <x:c r="A3651" s="36" t="str">
        <x:v>H3</x:v>
      </x:c>
      <x:c r="B3651" s="36" t="str">
        <x:v>48201321600</x:v>
      </x:c>
      <x:c r="C3651" s="66" t="n">
        <x:v>562.2624851596383</x:v>
      </x:c>
      <x:c r="D3651" s="66" t="n">
        <x:v>501.7337862576302</x:v>
      </x:c>
      <x:c r="E3651" s="66" t="n">
        <x:v>60.52869890200816</x:v>
      </x:c>
      <x:c r="F3651" s="66" t="n">
        <x:v>60.52869890200816</x:v>
      </x:c>
      <x:c r="G3651" s="66" t="n">
        <x:v>562.2624851596383</x:v>
      </x:c>
      <x:c r="H3651" s="45" t="n">
        <x:v>1</x:v>
      </x:c>
      <x:c r="I3651" s="36" t="str">
        <x:v>generated design-reference observation; not predicted tract behavior</x:v>
      </x:c>
    </x:row>
    <x:row r="3652" ht="75.5999984741211" hidden="0" customHeight="1">
      <x:c r="A3652" s="34" t="str">
        <x:v>H3</x:v>
      </x:c>
      <x:c r="B3652" s="34" t="str">
        <x:v>48201321700</x:v>
      </x:c>
      <x:c r="C3652" s="65" t="n">
        <x:v>257.0575206652835</x:v>
      </x:c>
      <x:c r="D3652" s="65" t="n">
        <x:v>229.50172940278472</x:v>
      </x:c>
      <x:c r="E3652" s="65" t="n">
        <x:v>27.555791262498786</x:v>
      </x:c>
      <x:c r="F3652" s="65" t="n">
        <x:v>27.555791262498786</x:v>
      </x:c>
      <x:c r="G3652" s="65" t="n">
        <x:v>257.0575206652835</x:v>
      </x:c>
      <x:c r="H3652" s="43" t="n">
        <x:v>1</x:v>
      </x:c>
      <x:c r="I3652" s="34" t="str">
        <x:v>generated design-reference observation; not predicted tract behavior</x:v>
      </x:c>
    </x:row>
    <x:row r="3653" ht="75.5999984741211" hidden="0" customHeight="1">
      <x:c r="A3653" s="36" t="str">
        <x:v>H3</x:v>
      </x:c>
      <x:c r="B3653" s="36" t="str">
        <x:v>48201321800</x:v>
      </x:c>
      <x:c r="C3653" s="66" t="n">
        <x:v>334.4384638940009</x:v>
      </x:c>
      <x:c r="D3653" s="66" t="n">
        <x:v>298.34163854636904</x:v>
      </x:c>
      <x:c r="E3653" s="66" t="n">
        <x:v>36.096825347631864</x:v>
      </x:c>
      <x:c r="F3653" s="66" t="n">
        <x:v>36.096825347631864</x:v>
      </x:c>
      <x:c r="G3653" s="66" t="n">
        <x:v>334.4384638940009</x:v>
      </x:c>
      <x:c r="H3653" s="45" t="n">
        <x:v>1</x:v>
      </x:c>
      <x:c r="I3653" s="36" t="str">
        <x:v>generated design-reference observation; not predicted tract behavior</x:v>
      </x:c>
    </x:row>
    <x:row r="3654" ht="75.5999984741211" hidden="0" customHeight="1">
      <x:c r="A3654" s="34" t="str">
        <x:v>H3</x:v>
      </x:c>
      <x:c r="B3654" s="34" t="str">
        <x:v>48201321900</x:v>
      </x:c>
      <x:c r="C3654" s="65" t="n">
        <x:v>428.9806777072397</x:v>
      </x:c>
      <x:c r="D3654" s="65" t="n">
        <x:v>382.90561803565924</x:v>
      </x:c>
      <x:c r="E3654" s="65" t="n">
        <x:v>46.07505967158045</x:v>
      </x:c>
      <x:c r="F3654" s="65" t="n">
        <x:v>46.07505967158045</x:v>
      </x:c>
      <x:c r="G3654" s="65" t="n">
        <x:v>428.9806777072397</x:v>
      </x:c>
      <x:c r="H3654" s="43" t="n">
        <x:v>1</x:v>
      </x:c>
      <x:c r="I3654" s="34" t="str">
        <x:v>generated design-reference observation; not predicted tract behavior</x:v>
      </x:c>
    </x:row>
    <x:row r="3655" ht="75.5999984741211" hidden="0" customHeight="1">
      <x:c r="A3655" s="36" t="str">
        <x:v>H3</x:v>
      </x:c>
      <x:c r="B3655" s="36" t="str">
        <x:v>48201322000</x:v>
      </x:c>
      <x:c r="C3655" s="66" t="n">
        <x:v>733.5329994228522</x:v>
      </x:c>
      <x:c r="D3655" s="66" t="n">
        <x:v>309.01707674019696</x:v>
      </x:c>
      <x:c r="E3655" s="66" t="n">
        <x:v>424.51592268265523</x:v>
      </x:c>
      <x:c r="F3655" s="66" t="n">
        <x:v>424.51592268265523</x:v>
      </x:c>
      <x:c r="G3655" s="66" t="n">
        <x:v>733.5329994228522</x:v>
      </x:c>
      <x:c r="H3655" s="45" t="n">
        <x:v>1</x:v>
      </x:c>
      <x:c r="I3655" s="36" t="str">
        <x:v>generated design-reference observation; not predicted tract behavior</x:v>
      </x:c>
    </x:row>
    <x:row r="3656" ht="75.5999984741211" hidden="0" customHeight="1">
      <x:c r="A3656" s="34" t="str">
        <x:v>H3</x:v>
      </x:c>
      <x:c r="B3656" s="34" t="str">
        <x:v>48201322100</x:v>
      </x:c>
      <x:c r="C3656" s="65" t="n">
        <x:v>318.7940814353384</x:v>
      </x:c>
      <x:c r="D3656" s="65" t="n">
        <x:v>284.2480761818338</x:v>
      </x:c>
      <x:c r="E3656" s="65" t="n">
        <x:v>34.546005253504575</x:v>
      </x:c>
      <x:c r="F3656" s="65" t="n">
        <x:v>34.546005253504575</x:v>
      </x:c>
      <x:c r="G3656" s="65" t="n">
        <x:v>318.7940814353384</x:v>
      </x:c>
      <x:c r="H3656" s="43" t="n">
        <x:v>1</x:v>
      </x:c>
      <x:c r="I3656" s="34" t="str">
        <x:v>generated design-reference observation; not predicted tract behavior</x:v>
      </x:c>
    </x:row>
    <x:row r="3657" ht="75.5999984741211" hidden="0" customHeight="1">
      <x:c r="A3657" s="36" t="str">
        <x:v>H3</x:v>
      </x:c>
      <x:c r="B3657" s="36" t="str">
        <x:v>48201322200</x:v>
      </x:c>
      <x:c r="C3657" s="66" t="n">
        <x:v>239.6024248001055</x:v>
      </x:c>
      <x:c r="D3657" s="66" t="n">
        <x:v>186.51454325461364</x:v>
      </x:c>
      <x:c r="E3657" s="66" t="n">
        <x:v>53.087881545491854</x:v>
      </x:c>
      <x:c r="F3657" s="66" t="n">
        <x:v>53.087881545491854</x:v>
      </x:c>
      <x:c r="G3657" s="66" t="n">
        <x:v>239.6024248001055</x:v>
      </x:c>
      <x:c r="H3657" s="45" t="n">
        <x:v>1</x:v>
      </x:c>
      <x:c r="I3657" s="36" t="str">
        <x:v>generated design-reference observation; not predicted tract behavior</x:v>
      </x:c>
    </x:row>
    <x:row r="3658" ht="75.5999984741211" hidden="0" customHeight="1">
      <x:c r="A3658" s="34" t="str">
        <x:v>H3</x:v>
      </x:c>
      <x:c r="B3658" s="34" t="str">
        <x:v>48201322600</x:v>
      </x:c>
      <x:c r="C3658" s="65" t="n">
        <x:v>400.45846522671405</x:v>
      </x:c>
      <x:c r="D3658" s="65" t="n">
        <x:v>357.19134457910445</x:v>
      </x:c>
      <x:c r="E3658" s="65" t="n">
        <x:v>43.2671206476096</x:v>
      </x:c>
      <x:c r="F3658" s="65" t="n">
        <x:v>43.2671206476096</x:v>
      </x:c>
      <x:c r="G3658" s="65" t="n">
        <x:v>400.45846522671405</x:v>
      </x:c>
      <x:c r="H3658" s="43" t="n">
        <x:v>1</x:v>
      </x:c>
      <x:c r="I3658" s="34" t="str">
        <x:v>generated design-reference observation; not predicted tract behavior</x:v>
      </x:c>
    </x:row>
    <x:row r="3659" ht="75.5999984741211" hidden="0" customHeight="1">
      <x:c r="A3659" s="36" t="str">
        <x:v>H3</x:v>
      </x:c>
      <x:c r="B3659" s="36" t="str">
        <x:v>48201322701</x:v>
      </x:c>
      <x:c r="C3659" s="66" t="n">
        <x:v>233.54575471447254</x:v>
      </x:c>
      <x:c r="D3659" s="66" t="n">
        <x:v>207.11574649111836</x:v>
      </x:c>
      <x:c r="E3659" s="66" t="n">
        <x:v>26.43000822335418</x:v>
      </x:c>
      <x:c r="F3659" s="66" t="n">
        <x:v>26.43000822335418</x:v>
      </x:c>
      <x:c r="G3659" s="66" t="n">
        <x:v>233.54575471447254</x:v>
      </x:c>
      <x:c r="H3659" s="45" t="n">
        <x:v>1</x:v>
      </x:c>
      <x:c r="I3659" s="36" t="str">
        <x:v>generated design-reference observation; not predicted tract behavior</x:v>
      </x:c>
    </x:row>
    <x:row r="3660" ht="75.5999984741211" hidden="0" customHeight="1">
      <x:c r="A3660" s="34" t="str">
        <x:v>H3</x:v>
      </x:c>
      <x:c r="B3660" s="34" t="str">
        <x:v>48201322702</x:v>
      </x:c>
      <x:c r="C3660" s="65" t="n">
        <x:v>349.0807570467204</x:v>
      </x:c>
      <x:c r="D3660" s="65" t="n">
        <x:v>311.6798308069833</x:v>
      </x:c>
      <x:c r="E3660" s="65" t="n">
        <x:v>37.40092623973709</x:v>
      </x:c>
      <x:c r="F3660" s="65" t="n">
        <x:v>37.40092623973709</x:v>
      </x:c>
      <x:c r="G3660" s="65" t="n">
        <x:v>349.0807570467204</x:v>
      </x:c>
      <x:c r="H3660" s="43" t="n">
        <x:v>1</x:v>
      </x:c>
      <x:c r="I3660" s="34" t="str">
        <x:v>generated design-reference observation; not predicted tract behavior</x:v>
      </x:c>
    </x:row>
    <x:row r="3661" ht="75.5999984741211" hidden="0" customHeight="1">
      <x:c r="A3661" s="36" t="str">
        <x:v>H3</x:v>
      </x:c>
      <x:c r="B3661" s="36" t="str">
        <x:v>48201322800</x:v>
      </x:c>
      <x:c r="C3661" s="66" t="n">
        <x:v>443.4343422847229</x:v>
      </x:c>
      <x:c r="D3661" s="66" t="n">
        <x:v>395.9868676602575</x:v>
      </x:c>
      <x:c r="E3661" s="66" t="n">
        <x:v>47.44747462446543</x:v>
      </x:c>
      <x:c r="F3661" s="66" t="n">
        <x:v>47.44747462446543</x:v>
      </x:c>
      <x:c r="G3661" s="66" t="n">
        <x:v>443.4343422847229</x:v>
      </x:c>
      <x:c r="H3661" s="45" t="n">
        <x:v>1</x:v>
      </x:c>
      <x:c r="I3661" s="36" t="str">
        <x:v>generated design-reference observation; not predicted tract behavior</x:v>
      </x:c>
    </x:row>
    <x:row r="3662" ht="75.5999984741211" hidden="0" customHeight="1">
      <x:c r="A3662" s="34" t="str">
        <x:v>H3</x:v>
      </x:c>
      <x:c r="B3662" s="34" t="str">
        <x:v>48201322900</x:v>
      </x:c>
      <x:c r="C3662" s="65" t="n">
        <x:v>303.9042132776211</x:v>
      </x:c>
      <x:c r="D3662" s="65" t="n">
        <x:v>271.1822418747992</x:v>
      </x:c>
      <x:c r="E3662" s="65" t="n">
        <x:v>32.72197140282191</x:v>
      </x:c>
      <x:c r="F3662" s="65" t="n">
        <x:v>32.72197140282191</x:v>
      </x:c>
      <x:c r="G3662" s="65" t="n">
        <x:v>303.9042132776211</x:v>
      </x:c>
      <x:c r="H3662" s="43" t="n">
        <x:v>1</x:v>
      </x:c>
      <x:c r="I3662" s="34" t="str">
        <x:v>generated design-reference observation; not predicted tract behavior</x:v>
      </x:c>
    </x:row>
    <x:row r="3663" ht="75.5999984741211" hidden="0" customHeight="1">
      <x:c r="A3663" s="36" t="str">
        <x:v>H3</x:v>
      </x:c>
      <x:c r="B3663" s="36" t="str">
        <x:v>48201323000</x:v>
      </x:c>
      <x:c r="C3663" s="66" t="n">
        <x:v>529.3467987809</x:v>
      </x:c>
      <x:c r="D3663" s="66" t="n">
        <x:v>467.7932525844516</x:v>
      </x:c>
      <x:c r="E3663" s="66" t="n">
        <x:v>61.55354619644845</x:v>
      </x:c>
      <x:c r="F3663" s="66" t="n">
        <x:v>61.55354619644845</x:v>
      </x:c>
      <x:c r="G3663" s="66" t="n">
        <x:v>529.3467987809</x:v>
      </x:c>
      <x:c r="H3663" s="45" t="n">
        <x:v>1</x:v>
      </x:c>
      <x:c r="I3663" s="36" t="str">
        <x:v>generated design-reference observation; not predicted tract behavior</x:v>
      </x:c>
    </x:row>
    <x:row r="3664" ht="75.5999984741211" hidden="0" customHeight="1">
      <x:c r="A3664" s="34" t="str">
        <x:v>H3</x:v>
      </x:c>
      <x:c r="B3664" s="34" t="str">
        <x:v>48201323100</x:v>
      </x:c>
      <x:c r="C3664" s="65" t="n">
        <x:v>279.1781508737264</x:v>
      </x:c>
      <x:c r="D3664" s="65" t="n">
        <x:v>247.80857900262984</x:v>
      </x:c>
      <x:c r="E3664" s="65" t="n">
        <x:v>31.369571871096554</x:v>
      </x:c>
      <x:c r="F3664" s="65" t="n">
        <x:v>31.369571871096554</x:v>
      </x:c>
      <x:c r="G3664" s="65" t="n">
        <x:v>279.1781508737264</x:v>
      </x:c>
      <x:c r="H3664" s="43" t="n">
        <x:v>1</x:v>
      </x:c>
      <x:c r="I3664" s="34" t="str">
        <x:v>generated design-reference observation; not predicted tract behavior</x:v>
      </x:c>
    </x:row>
    <x:row r="3665" ht="75.5999984741211" hidden="0" customHeight="1">
      <x:c r="A3665" s="36" t="str">
        <x:v>H3</x:v>
      </x:c>
      <x:c r="B3665" s="36" t="str">
        <x:v>48201323200</x:v>
      </x:c>
      <x:c r="C3665" s="66" t="n">
        <x:v>487.7070407974817</x:v>
      </x:c>
      <x:c r="D3665" s="66" t="n">
        <x:v>434.8983553546364</x:v>
      </x:c>
      <x:c r="E3665" s="66" t="n">
        <x:v>52.808685442845274</x:v>
      </x:c>
      <x:c r="F3665" s="66" t="n">
        <x:v>52.808685442845274</x:v>
      </x:c>
      <x:c r="G3665" s="66" t="n">
        <x:v>487.7070407974817</x:v>
      </x:c>
      <x:c r="H3665" s="45" t="n">
        <x:v>1</x:v>
      </x:c>
      <x:c r="I3665" s="36" t="str">
        <x:v>generated design-reference observation; not predicted tract behavior</x:v>
      </x:c>
    </x:row>
    <x:row r="3666" ht="75.5999984741211" hidden="0" customHeight="1">
      <x:c r="A3666" s="34" t="str">
        <x:v>H3</x:v>
      </x:c>
      <x:c r="B3666" s="34" t="str">
        <x:v>48201323300</x:v>
      </x:c>
      <x:c r="C3666" s="65" t="n">
        <x:v>268.11194112652885</x:v>
      </x:c>
      <x:c r="D3666" s="65" t="n">
        <x:v>238.4534876442969</x:v>
      </x:c>
      <x:c r="E3666" s="65" t="n">
        <x:v>29.65845348223195</x:v>
      </x:c>
      <x:c r="F3666" s="65" t="n">
        <x:v>29.65845348223195</x:v>
      </x:c>
      <x:c r="G3666" s="65" t="n">
        <x:v>268.11194112652885</x:v>
      </x:c>
      <x:c r="H3666" s="43" t="n">
        <x:v>1</x:v>
      </x:c>
      <x:c r="I3666" s="34" t="str">
        <x:v>generated design-reference observation; not predicted tract behavior</x:v>
      </x:c>
    </x:row>
    <x:row r="3667" ht="75.5999984741211" hidden="0" customHeight="1">
      <x:c r="A3667" s="36" t="str">
        <x:v>H3</x:v>
      </x:c>
      <x:c r="B3667" s="36" t="str">
        <x:v>48201323400</x:v>
      </x:c>
      <x:c r="C3667" s="66" t="n">
        <x:v>564.0465971004153</x:v>
      </x:c>
      <x:c r="D3667" s="66" t="n">
        <x:v>502.403384184689</x:v>
      </x:c>
      <x:c r="E3667" s="66" t="n">
        <x:v>61.64321291572628</x:v>
      </x:c>
      <x:c r="F3667" s="66" t="n">
        <x:v>61.64321291572628</x:v>
      </x:c>
      <x:c r="G3667" s="66" t="n">
        <x:v>564.0465971004153</x:v>
      </x:c>
      <x:c r="H3667" s="45" t="n">
        <x:v>1</x:v>
      </x:c>
      <x:c r="I3667" s="36" t="str">
        <x:v>generated design-reference observation; not predicted tract behavior</x:v>
      </x:c>
    </x:row>
    <x:row r="3668" ht="75.5999984741211" hidden="0" customHeight="1">
      <x:c r="A3668" s="34" t="str">
        <x:v>H3</x:v>
      </x:c>
      <x:c r="B3668" s="34" t="str">
        <x:v>48201323500</x:v>
      </x:c>
      <x:c r="C3668" s="65" t="n">
        <x:v>970.8325837002809</x:v>
      </x:c>
      <x:c r="D3668" s="65" t="n">
        <x:v>412.4704983591947</x:v>
      </x:c>
      <x:c r="E3668" s="65" t="n">
        <x:v>558.3620853410862</x:v>
      </x:c>
      <x:c r="F3668" s="65" t="n">
        <x:v>558.3620853410862</x:v>
      </x:c>
      <x:c r="G3668" s="65" t="n">
        <x:v>970.8325837002809</x:v>
      </x:c>
      <x:c r="H3668" s="43" t="n">
        <x:v>1</x:v>
      </x:c>
      <x:c r="I3668" s="34" t="str">
        <x:v>generated design-reference observation; not predicted tract behavior</x:v>
      </x:c>
    </x:row>
    <x:row r="3669" ht="75.5999984741211" hidden="0" customHeight="1">
      <x:c r="A3669" s="36" t="str">
        <x:v>H3</x:v>
      </x:c>
      <x:c r="B3669" s="36" t="str">
        <x:v>48201323601</x:v>
      </x:c>
      <x:c r="C3669" s="66" t="n">
        <x:v>601.4464441923839</x:v>
      </x:c>
      <x:c r="D3669" s="66" t="n">
        <x:v>465.8048385388959</x:v>
      </x:c>
      <x:c r="E3669" s="66" t="n">
        <x:v>135.64160565348794</x:v>
      </x:c>
      <x:c r="F3669" s="66" t="n">
        <x:v>135.64160565348794</x:v>
      </x:c>
      <x:c r="G3669" s="66" t="n">
        <x:v>601.4464441923839</x:v>
      </x:c>
      <x:c r="H3669" s="45" t="n">
        <x:v>1</x:v>
      </x:c>
      <x:c r="I3669" s="36" t="str">
        <x:v>generated design-reference observation; not predicted tract behavior</x:v>
      </x:c>
    </x:row>
    <x:row r="3670" ht="75.5999984741211" hidden="0" customHeight="1">
      <x:c r="A3670" s="34" t="str">
        <x:v>H3</x:v>
      </x:c>
      <x:c r="B3670" s="34" t="str">
        <x:v>48201323602</x:v>
      </x:c>
      <x:c r="C3670" s="65" t="n">
        <x:v>350.06712730472714</x:v>
      </x:c>
      <x:c r="D3670" s="65" t="n">
        <x:v>312.57893563715146</x:v>
      </x:c>
      <x:c r="E3670" s="65" t="n">
        <x:v>37.48819166757568</x:v>
      </x:c>
      <x:c r="F3670" s="65" t="n">
        <x:v>37.48819166757568</x:v>
      </x:c>
      <x:c r="G3670" s="65" t="n">
        <x:v>350.06712730472714</x:v>
      </x:c>
      <x:c r="H3670" s="43" t="n">
        <x:v>1</x:v>
      </x:c>
      <x:c r="I3670" s="34" t="str">
        <x:v>generated design-reference observation; not predicted tract behavior</x:v>
      </x:c>
    </x:row>
    <x:row r="3671" ht="75.5999984741211" hidden="0" customHeight="1">
      <x:c r="A3671" s="36" t="str">
        <x:v>H3</x:v>
      </x:c>
      <x:c r="B3671" s="36" t="str">
        <x:v>48201323701</x:v>
      </x:c>
      <x:c r="C3671" s="66" t="n">
        <x:v>317.57192545828644</x:v>
      </x:c>
      <x:c r="D3671" s="66" t="n">
        <x:v>281.1802965756847</x:v>
      </x:c>
      <x:c r="E3671" s="66" t="n">
        <x:v>36.391628882601765</x:v>
      </x:c>
      <x:c r="F3671" s="66" t="n">
        <x:v>36.391628882601765</x:v>
      </x:c>
      <x:c r="G3671" s="66" t="n">
        <x:v>317.57192545828644</x:v>
      </x:c>
      <x:c r="H3671" s="45" t="n">
        <x:v>1</x:v>
      </x:c>
      <x:c r="I3671" s="36" t="str">
        <x:v>generated design-reference observation; not predicted tract behavior</x:v>
      </x:c>
    </x:row>
    <x:row r="3672" ht="75.5999984741211" hidden="0" customHeight="1">
      <x:c r="A3672" s="34" t="str">
        <x:v>H3</x:v>
      </x:c>
      <x:c r="B3672" s="34" t="str">
        <x:v>48201323702</x:v>
      </x:c>
      <x:c r="C3672" s="65" t="n">
        <x:v>290.44084872012854</x:v>
      </x:c>
      <x:c r="D3672" s="65" t="n">
        <x:v>258.1801932205692</x:v>
      </x:c>
      <x:c r="E3672" s="65" t="n">
        <x:v>32.260655499559334</x:v>
      </x:c>
      <x:c r="F3672" s="65" t="n">
        <x:v>32.260655499559334</x:v>
      </x:c>
      <x:c r="G3672" s="65" t="n">
        <x:v>290.44084872012854</x:v>
      </x:c>
      <x:c r="H3672" s="43" t="n">
        <x:v>1</x:v>
      </x:c>
      <x:c r="I3672" s="34" t="str">
        <x:v>generated design-reference observation; not predicted tract behavior</x:v>
      </x:c>
    </x:row>
    <x:row r="3673" ht="75.5999984741211" hidden="0" customHeight="1">
      <x:c r="A3673" s="36" t="str">
        <x:v>H3</x:v>
      </x:c>
      <x:c r="B3673" s="36" t="str">
        <x:v>48201323801</x:v>
      </x:c>
      <x:c r="C3673" s="66" t="n">
        <x:v>329.69917094118836</x:v>
      </x:c>
      <x:c r="D3673" s="66" t="n">
        <x:v>294.4213596504812</x:v>
      </x:c>
      <x:c r="E3673" s="66" t="n">
        <x:v>35.27781129070718</x:v>
      </x:c>
      <x:c r="F3673" s="66" t="n">
        <x:v>35.27781129070718</x:v>
      </x:c>
      <x:c r="G3673" s="66" t="n">
        <x:v>329.69917094118836</x:v>
      </x:c>
      <x:c r="H3673" s="45" t="n">
        <x:v>1</x:v>
      </x:c>
      <x:c r="I3673" s="36" t="str">
        <x:v>generated design-reference observation; not predicted tract behavior</x:v>
      </x:c>
    </x:row>
    <x:row r="3674" ht="75.5999984741211" hidden="0" customHeight="1">
      <x:c r="A3674" s="34" t="str">
        <x:v>H3</x:v>
      </x:c>
      <x:c r="B3674" s="34" t="str">
        <x:v>48201323802</x:v>
      </x:c>
      <x:c r="C3674" s="65" t="n">
        <x:v>404.2153176835042</x:v>
      </x:c>
      <x:c r="D3674" s="65" t="n">
        <x:v>359.7183767312439</x:v>
      </x:c>
      <x:c r="E3674" s="65" t="n">
        <x:v>44.49694095226033</x:v>
      </x:c>
      <x:c r="F3674" s="65" t="n">
        <x:v>44.49694095226033</x:v>
      </x:c>
      <x:c r="G3674" s="65" t="n">
        <x:v>404.2153176835042</x:v>
      </x:c>
      <x:c r="H3674" s="43" t="n">
        <x:v>1</x:v>
      </x:c>
      <x:c r="I3674" s="34" t="str">
        <x:v>generated design-reference observation; not predicted tract behavior</x:v>
      </x:c>
    </x:row>
    <x:row r="3675" ht="75.5999984741211" hidden="0" customHeight="1">
      <x:c r="A3675" s="36" t="str">
        <x:v>H3</x:v>
      </x:c>
      <x:c r="B3675" s="36" t="str">
        <x:v>48201323900</x:v>
      </x:c>
      <x:c r="C3675" s="66" t="n">
        <x:v>267.46746016113804</x:v>
      </x:c>
      <x:c r="D3675" s="66" t="n">
        <x:v>237.1025616286314</x:v>
      </x:c>
      <x:c r="E3675" s="66" t="n">
        <x:v>30.36489853250663</x:v>
      </x:c>
      <x:c r="F3675" s="66" t="n">
        <x:v>30.36489853250663</x:v>
      </x:c>
      <x:c r="G3675" s="66" t="n">
        <x:v>267.46746016113804</x:v>
      </x:c>
      <x:c r="H3675" s="45" t="n">
        <x:v>1</x:v>
      </x:c>
      <x:c r="I3675" s="36" t="str">
        <x:v>generated design-reference observation; not predicted tract behavior</x:v>
      </x:c>
    </x:row>
    <x:row r="3676" ht="75.5999984741211" hidden="0" customHeight="1">
      <x:c r="A3676" s="34" t="str">
        <x:v>H3</x:v>
      </x:c>
      <x:c r="B3676" s="34" t="str">
        <x:v>48201324000</x:v>
      </x:c>
      <x:c r="C3676" s="65" t="n">
        <x:v>491.89616707252173</x:v>
      </x:c>
      <x:c r="D3676" s="65" t="n">
        <x:v>438.3625350273512</x:v>
      </x:c>
      <x:c r="E3676" s="65" t="n">
        <x:v>53.53363204517052</x:v>
      </x:c>
      <x:c r="F3676" s="65" t="n">
        <x:v>53.53363204517052</x:v>
      </x:c>
      <x:c r="G3676" s="65" t="n">
        <x:v>491.89616707252173</x:v>
      </x:c>
      <x:c r="H3676" s="43" t="n">
        <x:v>1</x:v>
      </x:c>
      <x:c r="I3676" s="34" t="str">
        <x:v>generated design-reference observation; not predicted tract behavior</x:v>
      </x:c>
    </x:row>
    <x:row r="3677" ht="75.5999984741211" hidden="0" customHeight="1">
      <x:c r="A3677" s="36" t="str">
        <x:v>H3</x:v>
      </x:c>
      <x:c r="B3677" s="36" t="str">
        <x:v>48201324101</x:v>
      </x:c>
      <x:c r="C3677" s="66" t="n">
        <x:v>731.9477938963472</x:v>
      </x:c>
      <x:c r="D3677" s="66" t="n">
        <x:v>569.8808842802696</x:v>
      </x:c>
      <x:c r="E3677" s="66" t="n">
        <x:v>162.06690961607762</x:v>
      </x:c>
      <x:c r="F3677" s="66" t="n">
        <x:v>162.06690961607762</x:v>
      </x:c>
      <x:c r="G3677" s="66" t="n">
        <x:v>731.9477938963472</x:v>
      </x:c>
      <x:c r="H3677" s="45" t="n">
        <x:v>1</x:v>
      </x:c>
      <x:c r="I3677" s="36" t="str">
        <x:v>generated design-reference observation; not predicted tract behavior</x:v>
      </x:c>
    </x:row>
    <x:row r="3678" ht="75.5999984741211" hidden="0" customHeight="1">
      <x:c r="A3678" s="34" t="str">
        <x:v>H3</x:v>
      </x:c>
      <x:c r="B3678" s="34" t="str">
        <x:v>48201324200</x:v>
      </x:c>
      <x:c r="C3678" s="65" t="n">
        <x:v>105.70817905695563</x:v>
      </x:c>
      <x:c r="D3678" s="65" t="n">
        <x:v>82.34667148536845</x:v>
      </x:c>
      <x:c r="E3678" s="65" t="n">
        <x:v>23.361507571587182</x:v>
      </x:c>
      <x:c r="F3678" s="65" t="n">
        <x:v>23.361507571587182</x:v>
      </x:c>
      <x:c r="G3678" s="65" t="n">
        <x:v>105.70817905695563</x:v>
      </x:c>
      <x:c r="H3678" s="43" t="n">
        <x:v>1</x:v>
      </x:c>
      <x:c r="I3678" s="34" t="str">
        <x:v>generated design-reference observation; not predicted tract behavior</x:v>
      </x:c>
    </x:row>
    <x:row r="3679" ht="75.5999984741211" hidden="0" customHeight="1">
      <x:c r="A3679" s="36" t="str">
        <x:v>H3</x:v>
      </x:c>
      <x:c r="B3679" s="36" t="str">
        <x:v>48201330101</x:v>
      </x:c>
      <x:c r="C3679" s="66" t="n">
        <x:v>422.52014900539564</x:v>
      </x:c>
      <x:c r="D3679" s="66" t="n">
        <x:v>377.31049306181825</x:v>
      </x:c>
      <x:c r="E3679" s="66" t="n">
        <x:v>45.20965594357739</x:v>
      </x:c>
      <x:c r="F3679" s="66" t="n">
        <x:v>45.20965594357739</x:v>
      </x:c>
      <x:c r="G3679" s="66" t="n">
        <x:v>422.52014900539564</x:v>
      </x:c>
      <x:c r="H3679" s="45" t="n">
        <x:v>1</x:v>
      </x:c>
      <x:c r="I3679" s="36" t="str">
        <x:v>generated design-reference observation; not predicted tract behavior</x:v>
      </x:c>
    </x:row>
    <x:row r="3680" ht="75.5999984741211" hidden="0" customHeight="1">
      <x:c r="A3680" s="34" t="str">
        <x:v>H3</x:v>
      </x:c>
      <x:c r="B3680" s="34" t="str">
        <x:v>48201330102</x:v>
      </x:c>
      <x:c r="C3680" s="65" t="n">
        <x:v>295.50177757686976</x:v>
      </x:c>
      <x:c r="D3680" s="65" t="n">
        <x:v>230.19588473238153</x:v>
      </x:c>
      <x:c r="E3680" s="65" t="n">
        <x:v>65.30589284448823</x:v>
      </x:c>
      <x:c r="F3680" s="65" t="n">
        <x:v>65.30589284448823</x:v>
      </x:c>
      <x:c r="G3680" s="65" t="n">
        <x:v>295.50177757686976</x:v>
      </x:c>
      <x:c r="H3680" s="43" t="n">
        <x:v>1</x:v>
      </x:c>
      <x:c r="I3680" s="34" t="str">
        <x:v>generated design-reference observation; not predicted tract behavior</x:v>
      </x:c>
    </x:row>
    <x:row r="3681" ht="75.5999984741211" hidden="0" customHeight="1">
      <x:c r="A3681" s="36" t="str">
        <x:v>H3</x:v>
      </x:c>
      <x:c r="B3681" s="36" t="str">
        <x:v>48201330200</x:v>
      </x:c>
      <x:c r="C3681" s="66" t="n">
        <x:v>492.91004566441694</x:v>
      </x:c>
      <x:c r="D3681" s="66" t="n">
        <x:v>438.8583500322925</x:v>
      </x:c>
      <x:c r="E3681" s="66" t="n">
        <x:v>54.05169563212445</x:v>
      </x:c>
      <x:c r="F3681" s="66" t="n">
        <x:v>54.05169563212445</x:v>
      </x:c>
      <x:c r="G3681" s="66" t="n">
        <x:v>492.91004566441694</x:v>
      </x:c>
      <x:c r="H3681" s="45" t="n">
        <x:v>1</x:v>
      </x:c>
      <x:c r="I3681" s="36" t="str">
        <x:v>generated design-reference observation; not predicted tract behavior</x:v>
      </x:c>
    </x:row>
    <x:row r="3682" ht="75.5999984741211" hidden="0" customHeight="1">
      <x:c r="A3682" s="34" t="str">
        <x:v>H3</x:v>
      </x:c>
      <x:c r="B3682" s="34" t="str">
        <x:v>48201330301</x:v>
      </x:c>
      <x:c r="C3682" s="65" t="n">
        <x:v>641.3214367555624</x:v>
      </x:c>
      <x:c r="D3682" s="65" t="n">
        <x:v>572.7000430227172</x:v>
      </x:c>
      <x:c r="E3682" s="65" t="n">
        <x:v>68.62139373284526</x:v>
      </x:c>
      <x:c r="F3682" s="65" t="n">
        <x:v>68.62139373284526</x:v>
      </x:c>
      <x:c r="G3682" s="65" t="n">
        <x:v>641.3214367555624</x:v>
      </x:c>
      <x:c r="H3682" s="43" t="n">
        <x:v>1</x:v>
      </x:c>
      <x:c r="I3682" s="34" t="str">
        <x:v>generated design-reference observation; not predicted tract behavior</x:v>
      </x:c>
    </x:row>
    <x:row r="3683" ht="75.5999984741211" hidden="0" customHeight="1">
      <x:c r="A3683" s="36" t="str">
        <x:v>H3</x:v>
      </x:c>
      <x:c r="B3683" s="36" t="str">
        <x:v>48201330302</x:v>
      </x:c>
      <x:c r="C3683" s="66" t="n">
        <x:v>419.2741656065372</x:v>
      </x:c>
      <x:c r="D3683" s="66" t="n">
        <x:v>374.3474742621022</x:v>
      </x:c>
      <x:c r="E3683" s="66" t="n">
        <x:v>44.92669134443503</x:v>
      </x:c>
      <x:c r="F3683" s="66" t="n">
        <x:v>44.92669134443503</x:v>
      </x:c>
      <x:c r="G3683" s="66" t="n">
        <x:v>419.2741656065372</x:v>
      </x:c>
      <x:c r="H3683" s="45" t="n">
        <x:v>1</x:v>
      </x:c>
      <x:c r="I3683" s="36" t="str">
        <x:v>generated design-reference observation; not predicted tract behavior</x:v>
      </x:c>
    </x:row>
    <x:row r="3684" ht="75.5999984741211" hidden="0" customHeight="1">
      <x:c r="A3684" s="34" t="str">
        <x:v>H3</x:v>
      </x:c>
      <x:c r="B3684" s="34" t="str">
        <x:v>48201330303</x:v>
      </x:c>
      <x:c r="C3684" s="65" t="n">
        <x:v>823.1509191806429</x:v>
      </x:c>
      <x:c r="D3684" s="65" t="n">
        <x:v>349.54666100147847</x:v>
      </x:c>
      <x:c r="E3684" s="65" t="n">
        <x:v>473.6042581791644</x:v>
      </x:c>
      <x:c r="F3684" s="65" t="n">
        <x:v>473.6042581791644</x:v>
      </x:c>
      <x:c r="G3684" s="65" t="n">
        <x:v>823.1509191806429</x:v>
      </x:c>
      <x:c r="H3684" s="43" t="n">
        <x:v>1</x:v>
      </x:c>
      <x:c r="I3684" s="34" t="str">
        <x:v>generated design-reference observation; not predicted tract behavior</x:v>
      </x:c>
    </x:row>
    <x:row r="3685" ht="75.5999984741211" hidden="0" customHeight="1">
      <x:c r="A3685" s="36" t="str">
        <x:v>H3</x:v>
      </x:c>
      <x:c r="B3685" s="36" t="str">
        <x:v>48201330400</x:v>
      </x:c>
      <x:c r="C3685" s="66" t="n">
        <x:v>878.8531792794357</x:v>
      </x:c>
      <x:c r="D3685" s="66" t="n">
        <x:v>375.3530042665713</x:v>
      </x:c>
      <x:c r="E3685" s="66" t="n">
        <x:v>503.5001750128644</x:v>
      </x:c>
      <x:c r="F3685" s="66" t="n">
        <x:v>503.5001750128644</x:v>
      </x:c>
      <x:c r="G3685" s="66" t="n">
        <x:v>878.8531792794357</x:v>
      </x:c>
      <x:c r="H3685" s="45" t="n">
        <x:v>1</x:v>
      </x:c>
      <x:c r="I3685" s="36" t="str">
        <x:v>generated design-reference observation; not predicted tract behavior</x:v>
      </x:c>
    </x:row>
    <x:row r="3686" ht="75.5999984741211" hidden="0" customHeight="1">
      <x:c r="A3686" s="34" t="str">
        <x:v>H3</x:v>
      </x:c>
      <x:c r="B3686" s="34" t="str">
        <x:v>48201330500</x:v>
      </x:c>
      <x:c r="C3686" s="65" t="n">
        <x:v>438.7893636195286</x:v>
      </x:c>
      <x:c r="D3686" s="65" t="n">
        <x:v>391.804810236288</x:v>
      </x:c>
      <x:c r="E3686" s="65" t="n">
        <x:v>46.98455338324061</x:v>
      </x:c>
      <x:c r="F3686" s="65" t="n">
        <x:v>46.98455338324061</x:v>
      </x:c>
      <x:c r="G3686" s="65" t="n">
        <x:v>438.7893636195286</x:v>
      </x:c>
      <x:c r="H3686" s="43" t="n">
        <x:v>1</x:v>
      </x:c>
      <x:c r="I3686" s="34" t="str">
        <x:v>generated design-reference observation; not predicted tract behavior</x:v>
      </x:c>
    </x:row>
    <x:row r="3687" ht="75.5999984741211" hidden="0" customHeight="1">
      <x:c r="A3687" s="36" t="str">
        <x:v>H3</x:v>
      </x:c>
      <x:c r="B3687" s="36" t="str">
        <x:v>48201330600</x:v>
      </x:c>
      <x:c r="C3687" s="66" t="n">
        <x:v>582.9801903397613</x:v>
      </x:c>
      <x:c r="D3687" s="66" t="n">
        <x:v>520.1547821965157</x:v>
      </x:c>
      <x:c r="E3687" s="66" t="n">
        <x:v>62.82540814324557</x:v>
      </x:c>
      <x:c r="F3687" s="66" t="n">
        <x:v>62.82540814324557</x:v>
      </x:c>
      <x:c r="G3687" s="66" t="n">
        <x:v>582.9801903397613</x:v>
      </x:c>
      <x:c r="H3687" s="45" t="n">
        <x:v>1</x:v>
      </x:c>
      <x:c r="I3687" s="36" t="str">
        <x:v>generated design-reference observation; not predicted tract behavior</x:v>
      </x:c>
    </x:row>
    <x:row r="3688" ht="75.5999984741211" hidden="0" customHeight="1">
      <x:c r="A3688" s="34" t="str">
        <x:v>H3</x:v>
      </x:c>
      <x:c r="B3688" s="34" t="str">
        <x:v>48201330700</x:v>
      </x:c>
      <x:c r="C3688" s="65" t="n">
        <x:v>718.0303906850006</x:v>
      </x:c>
      <x:c r="D3688" s="65" t="n">
        <x:v>641.2011388817056</x:v>
      </x:c>
      <x:c r="E3688" s="65" t="n">
        <x:v>76.82925180329505</x:v>
      </x:c>
      <x:c r="F3688" s="65" t="n">
        <x:v>76.82925180329505</x:v>
      </x:c>
      <x:c r="G3688" s="65" t="n">
        <x:v>718.0303906850006</x:v>
      </x:c>
      <x:c r="H3688" s="43" t="n">
        <x:v>1</x:v>
      </x:c>
      <x:c r="I3688" s="34" t="str">
        <x:v>generated design-reference observation; not predicted tract behavior</x:v>
      </x:c>
    </x:row>
    <x:row r="3689" ht="75.5999984741211" hidden="0" customHeight="1">
      <x:c r="A3689" s="36" t="str">
        <x:v>H3</x:v>
      </x:c>
      <x:c r="B3689" s="36" t="str">
        <x:v>48201330801</x:v>
      </x:c>
      <x:c r="C3689" s="66" t="n">
        <x:v>545.9382538777284</x:v>
      </x:c>
      <x:c r="D3689" s="66" t="n">
        <x:v>485.9231169531847</x:v>
      </x:c>
      <x:c r="E3689" s="66" t="n">
        <x:v>60.01513692454364</x:v>
      </x:c>
      <x:c r="F3689" s="66" t="n">
        <x:v>60.01513692454364</x:v>
      </x:c>
      <x:c r="G3689" s="66" t="n">
        <x:v>545.9382538777284</x:v>
      </x:c>
      <x:c r="H3689" s="45" t="n">
        <x:v>1</x:v>
      </x:c>
      <x:c r="I3689" s="36" t="str">
        <x:v>generated design-reference observation; not predicted tract behavior</x:v>
      </x:c>
    </x:row>
    <x:row r="3690" ht="75.5999984741211" hidden="0" customHeight="1">
      <x:c r="A3690" s="34" t="str">
        <x:v>H3</x:v>
      </x:c>
      <x:c r="B3690" s="34" t="str">
        <x:v>48201330802</x:v>
      </x:c>
      <x:c r="C3690" s="65" t="n">
        <x:v>1455.7053592390837</x:v>
      </x:c>
      <x:c r="D3690" s="65" t="n">
        <x:v>1133.2518536965674</x:v>
      </x:c>
      <x:c r="E3690" s="65" t="n">
        <x:v>322.45350554251627</x:v>
      </x:c>
      <x:c r="F3690" s="65" t="n">
        <x:v>322.45350554251627</x:v>
      </x:c>
      <x:c r="G3690" s="65" t="n">
        <x:v>1455.7053592390837</x:v>
      </x:c>
      <x:c r="H3690" s="43" t="n">
        <x:v>1</x:v>
      </x:c>
      <x:c r="I3690" s="34" t="str">
        <x:v>generated design-reference observation; not predicted tract behavior</x:v>
      </x:c>
    </x:row>
    <x:row r="3691" ht="75.5999984741211" hidden="0" customHeight="1">
      <x:c r="A3691" s="36" t="str">
        <x:v>H3</x:v>
      </x:c>
      <x:c r="B3691" s="36" t="str">
        <x:v>48201330901</x:v>
      </x:c>
      <x:c r="C3691" s="66" t="n">
        <x:v>834.1862954107347</x:v>
      </x:c>
      <x:c r="D3691" s="66" t="n">
        <x:v>744.6243783397041</x:v>
      </x:c>
      <x:c r="E3691" s="66" t="n">
        <x:v>89.56191707103062</x:v>
      </x:c>
      <x:c r="F3691" s="66" t="n">
        <x:v>89.56191707103062</x:v>
      </x:c>
      <x:c r="G3691" s="66" t="n">
        <x:v>834.1862954107347</x:v>
      </x:c>
      <x:c r="H3691" s="45" t="n">
        <x:v>1</x:v>
      </x:c>
      <x:c r="I3691" s="36" t="str">
        <x:v>generated design-reference observation; not predicted tract behavior</x:v>
      </x:c>
    </x:row>
    <x:row r="3692" ht="75.5999984741211" hidden="0" customHeight="1">
      <x:c r="A3692" s="34" t="str">
        <x:v>H3</x:v>
      </x:c>
      <x:c r="B3692" s="34" t="str">
        <x:v>48201330902</x:v>
      </x:c>
      <x:c r="C3692" s="65" t="n">
        <x:v>289.4741272720423</x:v>
      </x:c>
      <x:c r="D3692" s="65" t="n">
        <x:v>258.3963622488587</x:v>
      </x:c>
      <x:c r="E3692" s="65" t="n">
        <x:v>31.077765023183645</x:v>
      </x:c>
      <x:c r="F3692" s="65" t="n">
        <x:v>31.077765023183645</x:v>
      </x:c>
      <x:c r="G3692" s="65" t="n">
        <x:v>289.4741272720423</x:v>
      </x:c>
      <x:c r="H3692" s="43" t="n">
        <x:v>1</x:v>
      </x:c>
      <x:c r="I3692" s="34" t="str">
        <x:v>generated design-reference observation; not predicted tract behavior</x:v>
      </x:c>
    </x:row>
    <x:row r="3693" ht="75.5999984741211" hidden="0" customHeight="1">
      <x:c r="A3693" s="36" t="str">
        <x:v>H3</x:v>
      </x:c>
      <x:c r="B3693" s="36" t="str">
        <x:v>48201331100</x:v>
      </x:c>
      <x:c r="C3693" s="66" t="n">
        <x:v>342.2429711944038</x:v>
      </x:c>
      <x:c r="D3693" s="66" t="n">
        <x:v>305.13955689636674</x:v>
      </x:c>
      <x:c r="E3693" s="66" t="n">
        <x:v>37.10341429803708</x:v>
      </x:c>
      <x:c r="F3693" s="66" t="n">
        <x:v>37.10341429803708</x:v>
      </x:c>
      <x:c r="G3693" s="66" t="n">
        <x:v>342.2429711944038</x:v>
      </x:c>
      <x:c r="H3693" s="45" t="n">
        <x:v>1</x:v>
      </x:c>
      <x:c r="I3693" s="36" t="str">
        <x:v>generated design-reference observation; not predicted tract behavior</x:v>
      </x:c>
    </x:row>
    <x:row r="3694" ht="75.5999984741211" hidden="0" customHeight="1">
      <x:c r="A3694" s="34" t="str">
        <x:v>H3</x:v>
      </x:c>
      <x:c r="B3694" s="34" t="str">
        <x:v>48201331200</x:v>
      </x:c>
      <x:c r="C3694" s="65" t="n">
        <x:v>425.7386240703654</x:v>
      </x:c>
      <x:c r="D3694" s="65" t="n">
        <x:v>378.83440302668635</x:v>
      </x:c>
      <x:c r="E3694" s="65" t="n">
        <x:v>46.90422104367906</x:v>
      </x:c>
      <x:c r="F3694" s="65" t="n">
        <x:v>46.90422104367906</x:v>
      </x:c>
      <x:c r="G3694" s="65" t="n">
        <x:v>425.7386240703654</x:v>
      </x:c>
      <x:c r="H3694" s="43" t="n">
        <x:v>1</x:v>
      </x:c>
      <x:c r="I3694" s="34" t="str">
        <x:v>generated design-reference observation; not predicted tract behavior</x:v>
      </x:c>
    </x:row>
    <x:row r="3695" ht="75.5999984741211" hidden="0" customHeight="1">
      <x:c r="A3695" s="36" t="str">
        <x:v>H3</x:v>
      </x:c>
      <x:c r="B3695" s="36" t="str">
        <x:v>48201331300</x:v>
      </x:c>
      <x:c r="C3695" s="66" t="n">
        <x:v>859.6194126823821</x:v>
      </x:c>
      <x:c r="D3695" s="66" t="n">
        <x:v>668.9027232407336</x:v>
      </x:c>
      <x:c r="E3695" s="66" t="n">
        <x:v>190.71668944164844</x:v>
      </x:c>
      <x:c r="F3695" s="66" t="n">
        <x:v>190.71668944164844</x:v>
      </x:c>
      <x:c r="G3695" s="66" t="n">
        <x:v>859.6194126823821</x:v>
      </x:c>
      <x:c r="H3695" s="45" t="n">
        <x:v>1</x:v>
      </x:c>
      <x:c r="I3695" s="36" t="str">
        <x:v>generated design-reference observation; not predicted tract behavior</x:v>
      </x:c>
    </x:row>
    <x:row r="3696" ht="75.5999984741211" hidden="0" customHeight="1">
      <x:c r="A3696" s="34" t="str">
        <x:v>H3</x:v>
      </x:c>
      <x:c r="B3696" s="34" t="str">
        <x:v>48201331400</x:v>
      </x:c>
      <x:c r="C3696" s="65" t="n">
        <x:v>283.7248854893187</x:v>
      </x:c>
      <x:c r="D3696" s="65" t="n">
        <x:v>250.832659514542</x:v>
      </x:c>
      <x:c r="E3696" s="65" t="n">
        <x:v>32.89222597477669</x:v>
      </x:c>
      <x:c r="F3696" s="65" t="n">
        <x:v>32.89222597477669</x:v>
      </x:c>
      <x:c r="G3696" s="65" t="n">
        <x:v>283.7248854893187</x:v>
      </x:c>
      <x:c r="H3696" s="43" t="n">
        <x:v>1</x:v>
      </x:c>
      <x:c r="I3696" s="34" t="str">
        <x:v>generated design-reference observation; not predicted tract behavior</x:v>
      </x:c>
    </x:row>
    <x:row r="3697" ht="75.5999984741211" hidden="0" customHeight="1">
      <x:c r="A3697" s="36" t="str">
        <x:v>H3</x:v>
      </x:c>
      <x:c r="B3697" s="36" t="str">
        <x:v>48201331501</x:v>
      </x:c>
      <x:c r="C3697" s="66" t="n">
        <x:v>657.5265660204161</x:v>
      </x:c>
      <x:c r="D3697" s="66" t="n">
        <x:v>512.2131949299041</x:v>
      </x:c>
      <x:c r="E3697" s="66" t="n">
        <x:v>145.31337109051196</x:v>
      </x:c>
      <x:c r="F3697" s="66" t="n">
        <x:v>145.31337109051196</x:v>
      </x:c>
      <x:c r="G3697" s="66" t="n">
        <x:v>657.5265660204161</x:v>
      </x:c>
      <x:c r="H3697" s="45" t="n">
        <x:v>1</x:v>
      </x:c>
      <x:c r="I3697" s="36" t="str">
        <x:v>generated design-reference observation; not predicted tract behavior</x:v>
      </x:c>
    </x:row>
    <x:row r="3698" ht="75.5999984741211" hidden="0" customHeight="1">
      <x:c r="A3698" s="34" t="str">
        <x:v>H3</x:v>
      </x:c>
      <x:c r="B3698" s="34" t="str">
        <x:v>48201331502</x:v>
      </x:c>
      <x:c r="C3698" s="65" t="n">
        <x:v>500.5730815333925</x:v>
      </x:c>
      <x:c r="D3698" s="65" t="n">
        <x:v>447.01176180931947</x:v>
      </x:c>
      <x:c r="E3698" s="65" t="n">
        <x:v>53.56131972407303</x:v>
      </x:c>
      <x:c r="F3698" s="65" t="n">
        <x:v>53.56131972407303</x:v>
      </x:c>
      <x:c r="G3698" s="65" t="n">
        <x:v>500.5730815333925</x:v>
      </x:c>
      <x:c r="H3698" s="43" t="n">
        <x:v>1</x:v>
      </x:c>
      <x:c r="I3698" s="34" t="str">
        <x:v>generated design-reference observation; not predicted tract behavior</x:v>
      </x:c>
    </x:row>
    <x:row r="3699" ht="75.5999984741211" hidden="0" customHeight="1">
      <x:c r="A3699" s="36" t="str">
        <x:v>H3</x:v>
      </x:c>
      <x:c r="B3699" s="36" t="str">
        <x:v>48201331602</x:v>
      </x:c>
      <x:c r="C3699" s="66" t="n">
        <x:v>271.2793292857054</x:v>
      </x:c>
      <x:c r="D3699" s="66" t="n">
        <x:v>241.99177938052532</x:v>
      </x:c>
      <x:c r="E3699" s="66" t="n">
        <x:v>29.28754990518007</x:v>
      </x:c>
      <x:c r="F3699" s="66" t="n">
        <x:v>29.28754990518007</x:v>
      </x:c>
      <x:c r="G3699" s="66" t="n">
        <x:v>271.2793292857054</x:v>
      </x:c>
      <x:c r="H3699" s="45" t="n">
        <x:v>1</x:v>
      </x:c>
      <x:c r="I3699" s="36" t="str">
        <x:v>generated design-reference observation; not predicted tract behavior</x:v>
      </x:c>
    </x:row>
    <x:row r="3700" ht="75.5999984741211" hidden="0" customHeight="1">
      <x:c r="A3700" s="34" t="str">
        <x:v>H3</x:v>
      </x:c>
      <x:c r="B3700" s="34" t="str">
        <x:v>48201331603</x:v>
      </x:c>
      <x:c r="C3700" s="65" t="n">
        <x:v>369.3347503127207</x:v>
      </x:c>
      <x:c r="D3700" s="65" t="n">
        <x:v>329.81593202925956</x:v>
      </x:c>
      <x:c r="E3700" s="65" t="n">
        <x:v>39.518818283461144</x:v>
      </x:c>
      <x:c r="F3700" s="65" t="n">
        <x:v>39.518818283461144</x:v>
      </x:c>
      <x:c r="G3700" s="65" t="n">
        <x:v>369.3347503127207</x:v>
      </x:c>
      <x:c r="H3700" s="43" t="n">
        <x:v>1</x:v>
      </x:c>
      <x:c r="I3700" s="34" t="str">
        <x:v>generated design-reference observation; not predicted tract behavior</x:v>
      </x:c>
    </x:row>
    <x:row r="3701" ht="75.5999984741211" hidden="0" customHeight="1">
      <x:c r="A3701" s="36" t="str">
        <x:v>H3</x:v>
      </x:c>
      <x:c r="B3701" s="36" t="str">
        <x:v>48201331604</x:v>
      </x:c>
      <x:c r="C3701" s="66" t="n">
        <x:v>225.80412360581514</x:v>
      </x:c>
      <x:c r="D3701" s="66" t="n">
        <x:v>201.1782898330858</x:v>
      </x:c>
      <x:c r="E3701" s="66" t="n">
        <x:v>24.625833772729322</x:v>
      </x:c>
      <x:c r="F3701" s="66" t="n">
        <x:v>24.625833772729322</x:v>
      </x:c>
      <x:c r="G3701" s="66" t="n">
        <x:v>225.80412360581514</x:v>
      </x:c>
      <x:c r="H3701" s="45" t="n">
        <x:v>1</x:v>
      </x:c>
      <x:c r="I3701" s="36" t="str">
        <x:v>generated design-reference observation; not predicted tract behavior</x:v>
      </x:c>
    </x:row>
    <x:row r="3702" ht="75.5999984741211" hidden="0" customHeight="1">
      <x:c r="A3702" s="34" t="str">
        <x:v>H3</x:v>
      </x:c>
      <x:c r="B3702" s="34" t="str">
        <x:v>48201331700</x:v>
      </x:c>
      <x:c r="C3702" s="65" t="n">
        <x:v>317.4108052169387</x:v>
      </x:c>
      <x:c r="D3702" s="65" t="n">
        <x:v>283.0612447793543</x:v>
      </x:c>
      <x:c r="E3702" s="65" t="n">
        <x:v>34.34956043758439</x:v>
      </x:c>
      <x:c r="F3702" s="65" t="n">
        <x:v>34.34956043758439</x:v>
      </x:c>
      <x:c r="G3702" s="65" t="n">
        <x:v>317.4108052169387</x:v>
      </x:c>
      <x:c r="H3702" s="43" t="n">
        <x:v>1</x:v>
      </x:c>
      <x:c r="I3702" s="34" t="str">
        <x:v>generated design-reference observation; not predicted tract behavior</x:v>
      </x:c>
    </x:row>
    <x:row r="3703" ht="75.5999984741211" hidden="0" customHeight="1">
      <x:c r="A3703" s="36" t="str">
        <x:v>H3</x:v>
      </x:c>
      <x:c r="B3703" s="36" t="str">
        <x:v>48201331800</x:v>
      </x:c>
      <x:c r="C3703" s="66" t="n">
        <x:v>346.1688034165098</x:v>
      </x:c>
      <x:c r="D3703" s="66" t="n">
        <x:v>309.01610344798536</x:v>
      </x:c>
      <x:c r="E3703" s="66" t="n">
        <x:v>37.152699968524416</x:v>
      </x:c>
      <x:c r="F3703" s="66" t="n">
        <x:v>37.152699968524416</x:v>
      </x:c>
      <x:c r="G3703" s="66" t="n">
        <x:v>346.1688034165098</x:v>
      </x:c>
      <x:c r="H3703" s="45" t="n">
        <x:v>1</x:v>
      </x:c>
      <x:c r="I3703" s="36" t="str">
        <x:v>generated design-reference observation; not predicted tract behavior</x:v>
      </x:c>
    </x:row>
    <x:row r="3704" ht="75.5999984741211" hidden="0" customHeight="1">
      <x:c r="A3704" s="34" t="str">
        <x:v>H3</x:v>
      </x:c>
      <x:c r="B3704" s="34" t="str">
        <x:v>48201331900</x:v>
      </x:c>
      <x:c r="C3704" s="65" t="n">
        <x:v>276.364441293118</x:v>
      </x:c>
      <x:c r="D3704" s="65" t="n">
        <x:v>246.79344607475434</x:v>
      </x:c>
      <x:c r="E3704" s="65" t="n">
        <x:v>29.570995218363635</x:v>
      </x:c>
      <x:c r="F3704" s="65" t="n">
        <x:v>29.570995218363635</x:v>
      </x:c>
      <x:c r="G3704" s="65" t="n">
        <x:v>276.364441293118</x:v>
      </x:c>
      <x:c r="H3704" s="43" t="n">
        <x:v>1</x:v>
      </x:c>
      <x:c r="I3704" s="34" t="str">
        <x:v>generated design-reference observation; not predicted tract behavior</x:v>
      </x:c>
    </x:row>
    <x:row r="3705" ht="75.5999984741211" hidden="0" customHeight="1">
      <x:c r="A3705" s="36" t="str">
        <x:v>H3</x:v>
      </x:c>
      <x:c r="B3705" s="36" t="str">
        <x:v>48201332000</x:v>
      </x:c>
      <x:c r="C3705" s="66" t="n">
        <x:v>489.22392892334045</x:v>
      </x:c>
      <x:c r="D3705" s="66" t="n">
        <x:v>435.23351830666815</x:v>
      </x:c>
      <x:c r="E3705" s="66" t="n">
        <x:v>53.99041061667231</x:v>
      </x:c>
      <x:c r="F3705" s="66" t="n">
        <x:v>53.99041061667231</x:v>
      </x:c>
      <x:c r="G3705" s="66" t="n">
        <x:v>489.22392892334045</x:v>
      </x:c>
      <x:c r="H3705" s="45" t="n">
        <x:v>1</x:v>
      </x:c>
      <x:c r="I3705" s="36" t="str">
        <x:v>generated design-reference observation; not predicted tract behavior</x:v>
      </x:c>
    </x:row>
    <x:row r="3706" ht="75.5999984741211" hidden="0" customHeight="1">
      <x:c r="A3706" s="34" t="str">
        <x:v>H3</x:v>
      </x:c>
      <x:c r="B3706" s="34" t="str">
        <x:v>48201332100</x:v>
      </x:c>
      <x:c r="C3706" s="65" t="n">
        <x:v>255.01011467157255</x:v>
      </x:c>
      <x:c r="D3706" s="65" t="n">
        <x:v>227.72403240171425</x:v>
      </x:c>
      <x:c r="E3706" s="65" t="n">
        <x:v>27.286082269858298</x:v>
      </x:c>
      <x:c r="F3706" s="65" t="n">
        <x:v>27.286082269858298</x:v>
      </x:c>
      <x:c r="G3706" s="65" t="n">
        <x:v>255.01011467157255</x:v>
      </x:c>
      <x:c r="H3706" s="43" t="n">
        <x:v>1</x:v>
      </x:c>
      <x:c r="I3706" s="34" t="str">
        <x:v>generated design-reference observation; not predicted tract behavior</x:v>
      </x:c>
    </x:row>
    <x:row r="3707" ht="75.5999984741211" hidden="0" customHeight="1">
      <x:c r="A3707" s="36" t="str">
        <x:v>H3</x:v>
      </x:c>
      <x:c r="B3707" s="36" t="str">
        <x:v>48201332200</x:v>
      </x:c>
      <x:c r="C3707" s="66" t="n">
        <x:v>398.8787009091098</x:v>
      </x:c>
      <x:c r="D3707" s="66" t="n">
        <x:v>356.19867991183503</x:v>
      </x:c>
      <x:c r="E3707" s="66" t="n">
        <x:v>42.68002099727477</x:v>
      </x:c>
      <x:c r="F3707" s="66" t="n">
        <x:v>42.68002099727477</x:v>
      </x:c>
      <x:c r="G3707" s="66" t="n">
        <x:v>398.8787009091098</x:v>
      </x:c>
      <x:c r="H3707" s="45" t="n">
        <x:v>1</x:v>
      </x:c>
      <x:c r="I3707" s="36" t="str">
        <x:v>generated design-reference observation; not predicted tract behavior</x:v>
      </x:c>
    </x:row>
    <x:row r="3708" ht="75.5999984741211" hidden="0" customHeight="1">
      <x:c r="A3708" s="34" t="str">
        <x:v>H3</x:v>
      </x:c>
      <x:c r="B3708" s="34" t="str">
        <x:v>48201332300</x:v>
      </x:c>
      <x:c r="C3708" s="65" t="n">
        <x:v>517.1397489007827</x:v>
      </x:c>
      <x:c r="D3708" s="65" t="n">
        <x:v>220.78273478298632</x:v>
      </x:c>
      <x:c r="E3708" s="65" t="n">
        <x:v>296.3570141177964</x:v>
      </x:c>
      <x:c r="F3708" s="65" t="n">
        <x:v>296.3570141177964</x:v>
      </x:c>
      <x:c r="G3708" s="65" t="n">
        <x:v>517.1397489007827</x:v>
      </x:c>
      <x:c r="H3708" s="43" t="n">
        <x:v>1</x:v>
      </x:c>
      <x:c r="I3708" s="34" t="str">
        <x:v>generated design-reference observation; not predicted tract behavior</x:v>
      </x:c>
    </x:row>
    <x:row r="3709" ht="75.5999984741211" hidden="0" customHeight="1">
      <x:c r="A3709" s="36" t="str">
        <x:v>H3</x:v>
      </x:c>
      <x:c r="B3709" s="36" t="str">
        <x:v>48201332400</x:v>
      </x:c>
      <x:c r="C3709" s="66" t="n">
        <x:v>330.82308286863815</x:v>
      </x:c>
      <x:c r="D3709" s="66" t="n">
        <x:v>295.42501300169386</x:v>
      </x:c>
      <x:c r="E3709" s="66" t="n">
        <x:v>35.3980698669443</x:v>
      </x:c>
      <x:c r="F3709" s="66" t="n">
        <x:v>35.3980698669443</x:v>
      </x:c>
      <x:c r="G3709" s="66" t="n">
        <x:v>330.82308286863815</x:v>
      </x:c>
      <x:c r="H3709" s="45" t="n">
        <x:v>1</x:v>
      </x:c>
      <x:c r="I3709" s="36" t="str">
        <x:v>generated design-reference observation; not predicted tract behavior</x:v>
      </x:c>
    </x:row>
    <x:row r="3710" ht="75.5999984741211" hidden="0" customHeight="1">
      <x:c r="A3710" s="34" t="str">
        <x:v>H3</x:v>
      </x:c>
      <x:c r="B3710" s="34" t="str">
        <x:v>48201332500</x:v>
      </x:c>
      <x:c r="C3710" s="65" t="n">
        <x:v>484.5444892684393</x:v>
      </x:c>
      <x:c r="D3710" s="65" t="n">
        <x:v>377.46015714011423</x:v>
      </x:c>
      <x:c r="E3710" s="65" t="n">
        <x:v>107.08433212832506</x:v>
      </x:c>
      <x:c r="F3710" s="65" t="n">
        <x:v>107.08433212832506</x:v>
      </x:c>
      <x:c r="G3710" s="65" t="n">
        <x:v>484.5444892684393</x:v>
      </x:c>
      <x:c r="H3710" s="43" t="n">
        <x:v>1</x:v>
      </x:c>
      <x:c r="I3710" s="34" t="str">
        <x:v>generated design-reference observation; not predicted tract behavior</x:v>
      </x:c>
    </x:row>
    <x:row r="3711" ht="75.5999984741211" hidden="0" customHeight="1">
      <x:c r="A3711" s="36" t="str">
        <x:v>H3</x:v>
      </x:c>
      <x:c r="B3711" s="36" t="str">
        <x:v>48201332600</x:v>
      </x:c>
      <x:c r="C3711" s="66" t="n">
        <x:v>514.0128675189806</x:v>
      </x:c>
      <x:c r="D3711" s="66" t="n">
        <x:v>456.73717379206784</x:v>
      </x:c>
      <x:c r="E3711" s="66" t="n">
        <x:v>57.27569372691272</x:v>
      </x:c>
      <x:c r="F3711" s="66" t="n">
        <x:v>57.27569372691272</x:v>
      </x:c>
      <x:c r="G3711" s="66" t="n">
        <x:v>514.0128675189806</x:v>
      </x:c>
      <x:c r="H3711" s="45" t="n">
        <x:v>1</x:v>
      </x:c>
      <x:c r="I3711" s="36" t="str">
        <x:v>generated design-reference observation; not predicted tract behavior</x:v>
      </x:c>
    </x:row>
    <x:row r="3712" ht="75.5999984741211" hidden="0" customHeight="1">
      <x:c r="A3712" s="34" t="str">
        <x:v>H3</x:v>
      </x:c>
      <x:c r="B3712" s="34" t="str">
        <x:v>48201332700</x:v>
      </x:c>
      <x:c r="C3712" s="65" t="n">
        <x:v>188.34956213545277</x:v>
      </x:c>
      <x:c r="D3712" s="65" t="n">
        <x:v>168.1961589869593</x:v>
      </x:c>
      <x:c r="E3712" s="65" t="n">
        <x:v>20.15340314849348</x:v>
      </x:c>
      <x:c r="F3712" s="65" t="n">
        <x:v>20.15340314849348</x:v>
      </x:c>
      <x:c r="G3712" s="65" t="n">
        <x:v>188.34956213545277</x:v>
      </x:c>
      <x:c r="H3712" s="43" t="n">
        <x:v>1</x:v>
      </x:c>
      <x:c r="I3712" s="34" t="str">
        <x:v>generated design-reference observation; not predicted tract behavior</x:v>
      </x:c>
    </x:row>
    <x:row r="3713" ht="75.5999984741211" hidden="0" customHeight="1">
      <x:c r="A3713" s="36" t="str">
        <x:v>H3</x:v>
      </x:c>
      <x:c r="B3713" s="36" t="str">
        <x:v>48201332800</x:v>
      </x:c>
      <x:c r="C3713" s="66" t="n">
        <x:v>357.01101673061424</x:v>
      </x:c>
      <x:c r="D3713" s="66" t="n">
        <x:v>318.12320672135127</x:v>
      </x:c>
      <x:c r="E3713" s="66" t="n">
        <x:v>38.88781000926298</x:v>
      </x:c>
      <x:c r="F3713" s="66" t="n">
        <x:v>38.88781000926298</x:v>
      </x:c>
      <x:c r="G3713" s="66" t="n">
        <x:v>357.01101673061424</x:v>
      </x:c>
      <x:c r="H3713" s="45" t="n">
        <x:v>1</x:v>
      </x:c>
      <x:c r="I3713" s="36" t="str">
        <x:v>generated design-reference observation; not predicted tract behavior</x:v>
      </x:c>
    </x:row>
    <x:row r="3714" ht="75.5999984741211" hidden="0" customHeight="1">
      <x:c r="A3714" s="34" t="str">
        <x:v>H3</x:v>
      </x:c>
      <x:c r="B3714" s="34" t="str">
        <x:v>48201332900</x:v>
      </x:c>
      <x:c r="C3714" s="65" t="n">
        <x:v>787.3477646117485</x:v>
      </x:c>
      <x:c r="D3714" s="65" t="n">
        <x:v>336.0791828037321</x:v>
      </x:c>
      <x:c r="E3714" s="65" t="n">
        <x:v>451.2685818080164</x:v>
      </x:c>
      <x:c r="F3714" s="65" t="n">
        <x:v>451.2685818080164</x:v>
      </x:c>
      <x:c r="G3714" s="65" t="n">
        <x:v>787.3477646117485</x:v>
      </x:c>
      <x:c r="H3714" s="43" t="n">
        <x:v>1</x:v>
      </x:c>
      <x:c r="I3714" s="34" t="str">
        <x:v>generated design-reference observation; not predicted tract behavior</x:v>
      </x:c>
    </x:row>
    <x:row r="3715" ht="75.5999984741211" hidden="0" customHeight="1">
      <x:c r="A3715" s="36" t="str">
        <x:v>H3</x:v>
      </x:c>
      <x:c r="B3715" s="36" t="str">
        <x:v>48201333000</x:v>
      </x:c>
      <x:c r="C3715" s="66" t="n">
        <x:v>283.54018667606647</x:v>
      </x:c>
      <x:c r="D3715" s="66" t="n">
        <x:v>253.06402609411336</x:v>
      </x:c>
      <x:c r="E3715" s="66" t="n">
        <x:v>30.47616058195311</x:v>
      </x:c>
      <x:c r="F3715" s="66" t="n">
        <x:v>30.47616058195311</x:v>
      </x:c>
      <x:c r="G3715" s="66" t="n">
        <x:v>283.54018667606647</x:v>
      </x:c>
      <x:c r="H3715" s="45" t="n">
        <x:v>1</x:v>
      </x:c>
      <x:c r="I3715" s="36" t="str">
        <x:v>generated design-reference observation; not predicted tract behavior</x:v>
      </x:c>
    </x:row>
    <x:row r="3716" ht="75.5999984741211" hidden="0" customHeight="1">
      <x:c r="A3716" s="34" t="str">
        <x:v>H3</x:v>
      </x:c>
      <x:c r="B3716" s="34" t="str">
        <x:v>48201333100</x:v>
      </x:c>
      <x:c r="C3716" s="65" t="n">
        <x:v>500.3061600078578</x:v>
      </x:c>
      <x:c r="D3716" s="65" t="n">
        <x:v>387.7205632724205</x:v>
      </x:c>
      <x:c r="E3716" s="65" t="n">
        <x:v>112.58559673543726</x:v>
      </x:c>
      <x:c r="F3716" s="65" t="n">
        <x:v>112.58559673543726</x:v>
      </x:c>
      <x:c r="G3716" s="65" t="n">
        <x:v>500.3061600078578</x:v>
      </x:c>
      <x:c r="H3716" s="43" t="n">
        <x:v>1</x:v>
      </x:c>
      <x:c r="I3716" s="34" t="str">
        <x:v>generated design-reference observation; not predicted tract behavior</x:v>
      </x:c>
    </x:row>
    <x:row r="3717" ht="75.5999984741211" hidden="0" customHeight="1">
      <x:c r="A3717" s="36" t="str">
        <x:v>H3</x:v>
      </x:c>
      <x:c r="B3717" s="36" t="str">
        <x:v>48201333201</x:v>
      </x:c>
      <x:c r="C3717" s="66" t="n">
        <x:v>422.9249144897569</x:v>
      </x:c>
      <x:c r="D3717" s="66" t="n">
        <x:v>376.6954307210186</x:v>
      </x:c>
      <x:c r="E3717" s="66" t="n">
        <x:v>46.22948376873825</x:v>
      </x:c>
      <x:c r="F3717" s="66" t="n">
        <x:v>46.22948376873825</x:v>
      </x:c>
      <x:c r="G3717" s="66" t="n">
        <x:v>422.9249144897569</x:v>
      </x:c>
      <x:c r="H3717" s="45" t="n">
        <x:v>1</x:v>
      </x:c>
      <x:c r="I3717" s="36" t="str">
        <x:v>generated design-reference observation; not predicted tract behavior</x:v>
      </x:c>
    </x:row>
    <x:row r="3718" ht="75.5999984741211" hidden="0" customHeight="1">
      <x:c r="A3718" s="34" t="str">
        <x:v>H3</x:v>
      </x:c>
      <x:c r="B3718" s="34" t="str">
        <x:v>48201333203</x:v>
      </x:c>
      <x:c r="C3718" s="65" t="n">
        <x:v>382.4420179765779</x:v>
      </x:c>
      <x:c r="D3718" s="65" t="n">
        <x:v>163.00833705324945</x:v>
      </x:c>
      <x:c r="E3718" s="65" t="n">
        <x:v>219.43368092332847</x:v>
      </x:c>
      <x:c r="F3718" s="65" t="n">
        <x:v>219.43368092332847</x:v>
      </x:c>
      <x:c r="G3718" s="65" t="n">
        <x:v>382.4420179765779</x:v>
      </x:c>
      <x:c r="H3718" s="43" t="n">
        <x:v>1</x:v>
      </x:c>
      <x:c r="I3718" s="34" t="str">
        <x:v>generated design-reference observation; not predicted tract behavior</x:v>
      </x:c>
    </x:row>
    <x:row r="3719" ht="75.5999984741211" hidden="0" customHeight="1">
      <x:c r="A3719" s="36" t="str">
        <x:v>H3</x:v>
      </x:c>
      <x:c r="B3719" s="36" t="str">
        <x:v>48201333204</x:v>
      </x:c>
      <x:c r="C3719" s="66" t="n">
        <x:v>187.74044902791883</x:v>
      </x:c>
      <x:c r="D3719" s="66" t="n">
        <x:v>167.0542491653001</x:v>
      </x:c>
      <x:c r="E3719" s="66" t="n">
        <x:v>20.686199862618736</x:v>
      </x:c>
      <x:c r="F3719" s="66" t="n">
        <x:v>20.686199862618736</x:v>
      </x:c>
      <x:c r="G3719" s="66" t="n">
        <x:v>187.74044902791883</x:v>
      </x:c>
      <x:c r="H3719" s="45" t="n">
        <x:v>1</x:v>
      </x:c>
      <x:c r="I3719" s="36" t="str">
        <x:v>generated design-reference observation; not predicted tract behavior</x:v>
      </x:c>
    </x:row>
    <x:row r="3720" ht="75.5999984741211" hidden="0" customHeight="1">
      <x:c r="A3720" s="34" t="str">
        <x:v>H3</x:v>
      </x:c>
      <x:c r="B3720" s="34" t="str">
        <x:v>48201333205</x:v>
      </x:c>
      <x:c r="C3720" s="65" t="n">
        <x:v>112.82346656322578</x:v>
      </x:c>
      <x:c r="D3720" s="65" t="n">
        <x:v>99.90828082562304</x:v>
      </x:c>
      <x:c r="E3720" s="65" t="n">
        <x:v>12.91518573760274</x:v>
      </x:c>
      <x:c r="F3720" s="65" t="n">
        <x:v>12.91518573760274</x:v>
      </x:c>
      <x:c r="G3720" s="65" t="n">
        <x:v>112.82346656322578</x:v>
      </x:c>
      <x:c r="H3720" s="43" t="n">
        <x:v>1</x:v>
      </x:c>
      <x:c r="I3720" s="34" t="str">
        <x:v>generated design-reference observation; not predicted tract behavior</x:v>
      </x:c>
    </x:row>
    <x:row r="3721" ht="75.5999984741211" hidden="0" customHeight="1">
      <x:c r="A3721" s="36" t="str">
        <x:v>H3</x:v>
      </x:c>
      <x:c r="B3721" s="36" t="str">
        <x:v>48201333301</x:v>
      </x:c>
      <x:c r="C3721" s="66" t="n">
        <x:v>376.2747099766238</x:v>
      </x:c>
      <x:c r="D3721" s="66" t="n">
        <x:v>333.65285119026265</x:v>
      </x:c>
      <x:c r="E3721" s="66" t="n">
        <x:v>42.621858786361145</x:v>
      </x:c>
      <x:c r="F3721" s="66" t="n">
        <x:v>42.621858786361145</x:v>
      </x:c>
      <x:c r="G3721" s="66" t="n">
        <x:v>376.2747099766238</x:v>
      </x:c>
      <x:c r="H3721" s="45" t="n">
        <x:v>1</x:v>
      </x:c>
      <x:c r="I3721" s="36" t="str">
        <x:v>generated design-reference observation; not predicted tract behavior</x:v>
      </x:c>
    </x:row>
    <x:row r="3722" ht="75.5999984741211" hidden="0" customHeight="1">
      <x:c r="A3722" s="34" t="str">
        <x:v>H3</x:v>
      </x:c>
      <x:c r="B3722" s="34" t="str">
        <x:v>48201333302</x:v>
      </x:c>
      <x:c r="C3722" s="65" t="n">
        <x:v>290.0007153779104</x:v>
      </x:c>
      <x:c r="D3722" s="65" t="n">
        <x:v>258.5268159724355</x:v>
      </x:c>
      <x:c r="E3722" s="65" t="n">
        <x:v>31.473899405474924</x:v>
      </x:c>
      <x:c r="F3722" s="65" t="n">
        <x:v>31.473899405474924</x:v>
      </x:c>
      <x:c r="G3722" s="65" t="n">
        <x:v>290.0007153779104</x:v>
      </x:c>
      <x:c r="H3722" s="43" t="n">
        <x:v>1</x:v>
      </x:c>
      <x:c r="I3722" s="34" t="str">
        <x:v>generated design-reference observation; not predicted tract behavior</x:v>
      </x:c>
    </x:row>
    <x:row r="3723" ht="75.5999984741211" hidden="0" customHeight="1">
      <x:c r="A3723" s="36" t="str">
        <x:v>H3</x:v>
      </x:c>
      <x:c r="B3723" s="36" t="str">
        <x:v>48201333501</x:v>
      </x:c>
      <x:c r="C3723" s="66" t="n">
        <x:v>267.39672444542447</x:v>
      </x:c>
      <x:c r="D3723" s="66" t="n">
        <x:v>237.79108945503754</x:v>
      </x:c>
      <x:c r="E3723" s="66" t="n">
        <x:v>29.605634990386932</x:v>
      </x:c>
      <x:c r="F3723" s="66" t="n">
        <x:v>29.605634990386932</x:v>
      </x:c>
      <x:c r="G3723" s="66" t="n">
        <x:v>267.39672444542447</x:v>
      </x:c>
      <x:c r="H3723" s="45" t="n">
        <x:v>1</x:v>
      </x:c>
      <x:c r="I3723" s="36" t="str">
        <x:v>generated design-reference observation; not predicted tract behavior</x:v>
      </x:c>
    </x:row>
    <x:row r="3724" ht="75.5999984741211" hidden="0" customHeight="1">
      <x:c r="A3724" s="34" t="str">
        <x:v>H3</x:v>
      </x:c>
      <x:c r="B3724" s="34" t="str">
        <x:v>48201333502</x:v>
      </x:c>
      <x:c r="C3724" s="65" t="n">
        <x:v>200.8344159589069</x:v>
      </x:c>
      <x:c r="D3724" s="65" t="n">
        <x:v>178.945664012526</x:v>
      </x:c>
      <x:c r="E3724" s="65" t="n">
        <x:v>21.888751946380893</x:v>
      </x:c>
      <x:c r="F3724" s="65" t="n">
        <x:v>21.888751946380893</x:v>
      </x:c>
      <x:c r="G3724" s="65" t="n">
        <x:v>200.8344159589069</x:v>
      </x:c>
      <x:c r="H3724" s="43" t="n">
        <x:v>1</x:v>
      </x:c>
      <x:c r="I3724" s="34" t="str">
        <x:v>generated design-reference observation; not predicted tract behavior</x:v>
      </x:c>
    </x:row>
    <x:row r="3725" ht="75.5999984741211" hidden="0" customHeight="1">
      <x:c r="A3725" s="36" t="str">
        <x:v>H3</x:v>
      </x:c>
      <x:c r="B3725" s="36" t="str">
        <x:v>48201333600</x:v>
      </x:c>
      <x:c r="C3725" s="66" t="n">
        <x:v>257.6273361529765</x:v>
      </x:c>
      <x:c r="D3725" s="66" t="n">
        <x:v>230.061211184608</x:v>
      </x:c>
      <x:c r="E3725" s="66" t="n">
        <x:v>27.566124968368513</x:v>
      </x:c>
      <x:c r="F3725" s="66" t="n">
        <x:v>27.566124968368513</x:v>
      </x:c>
      <x:c r="G3725" s="66" t="n">
        <x:v>257.6273361529765</x:v>
      </x:c>
      <x:c r="H3725" s="45" t="n">
        <x:v>1</x:v>
      </x:c>
      <x:c r="I3725" s="36" t="str">
        <x:v>generated design-reference observation; not predicted tract behavior</x:v>
      </x:c>
    </x:row>
    <x:row r="3726" ht="75.5999984741211" hidden="0" customHeight="1">
      <x:c r="A3726" s="34" t="str">
        <x:v>H3</x:v>
      </x:c>
      <x:c r="B3726" s="34" t="str">
        <x:v>48201333700</x:v>
      </x:c>
      <x:c r="C3726" s="65" t="n">
        <x:v>332.76438528877856</x:v>
      </x:c>
      <x:c r="D3726" s="65" t="n">
        <x:v>297.15859606287927</x:v>
      </x:c>
      <x:c r="E3726" s="65" t="n">
        <x:v>35.60578922589929</x:v>
      </x:c>
      <x:c r="F3726" s="65" t="n">
        <x:v>35.60578922589929</x:v>
      </x:c>
      <x:c r="G3726" s="65" t="n">
        <x:v>332.76438528877856</x:v>
      </x:c>
      <x:c r="H3726" s="43" t="n">
        <x:v>1</x:v>
      </x:c>
      <x:c r="I3726" s="34" t="str">
        <x:v>generated design-reference observation; not predicted tract behavior</x:v>
      </x:c>
    </x:row>
    <x:row r="3727" ht="75.5999984741211" hidden="0" customHeight="1">
      <x:c r="A3727" s="36" t="str">
        <x:v>H3</x:v>
      </x:c>
      <x:c r="B3727" s="36" t="str">
        <x:v>48201333801</x:v>
      </x:c>
      <x:c r="C3727" s="66" t="n">
        <x:v>325.368573234721</x:v>
      </x:c>
      <x:c r="D3727" s="66" t="n">
        <x:v>289.0010237007093</x:v>
      </x:c>
      <x:c r="E3727" s="66" t="n">
        <x:v>36.36754953401169</x:v>
      </x:c>
      <x:c r="F3727" s="66" t="n">
        <x:v>36.36754953401169</x:v>
      </x:c>
      <x:c r="G3727" s="66" t="n">
        <x:v>325.368573234721</x:v>
      </x:c>
      <x:c r="H3727" s="45" t="n">
        <x:v>1</x:v>
      </x:c>
      <x:c r="I3727" s="36" t="str">
        <x:v>generated design-reference observation; not predicted tract behavior</x:v>
      </x:c>
    </x:row>
    <x:row r="3728" ht="75.5999984741211" hidden="0" customHeight="1">
      <x:c r="A3728" s="34" t="str">
        <x:v>H3</x:v>
      </x:c>
      <x:c r="B3728" s="34" t="str">
        <x:v>48201333802</x:v>
      </x:c>
      <x:c r="C3728" s="65" t="n">
        <x:v>488.42225747858595</x:v>
      </x:c>
      <x:c r="D3728" s="65" t="n">
        <x:v>436.1086317108307</x:v>
      </x:c>
      <x:c r="E3728" s="65" t="n">
        <x:v>52.31362576775524</x:v>
      </x:c>
      <x:c r="F3728" s="65" t="n">
        <x:v>52.31362576775524</x:v>
      </x:c>
      <x:c r="G3728" s="65" t="n">
        <x:v>488.42225747858595</x:v>
      </x:c>
      <x:c r="H3728" s="43" t="n">
        <x:v>1</x:v>
      </x:c>
      <x:c r="I3728" s="34" t="str">
        <x:v>generated design-reference observation; not predicted tract behavior</x:v>
      </x:c>
    </x:row>
    <x:row r="3729" ht="75.5999984741211" hidden="0" customHeight="1">
      <x:c r="A3729" s="36" t="str">
        <x:v>H3</x:v>
      </x:c>
      <x:c r="B3729" s="36" t="str">
        <x:v>48201333903</x:v>
      </x:c>
      <x:c r="C3729" s="66" t="n">
        <x:v>297.3022131443498</x:v>
      </x:c>
      <x:c r="D3729" s="66" t="n">
        <x:v>264.7816629479667</x:v>
      </x:c>
      <x:c r="E3729" s="66" t="n">
        <x:v>32.52055019638311</x:v>
      </x:c>
      <x:c r="F3729" s="66" t="n">
        <x:v>32.52055019638311</x:v>
      </x:c>
      <x:c r="G3729" s="66" t="n">
        <x:v>297.3022131443498</x:v>
      </x:c>
      <x:c r="H3729" s="45" t="n">
        <x:v>1</x:v>
      </x:c>
      <x:c r="I3729" s="36" t="str">
        <x:v>generated design-reference observation; not predicted tract behavior</x:v>
      </x:c>
    </x:row>
    <x:row r="3730" ht="75.5999984741211" hidden="0" customHeight="1">
      <x:c r="A3730" s="34" t="str">
        <x:v>H3</x:v>
      </x:c>
      <x:c r="B3730" s="34" t="str">
        <x:v>48201333904</x:v>
      </x:c>
      <x:c r="C3730" s="65" t="n">
        <x:v>898.1927471606766</x:v>
      </x:c>
      <x:c r="D3730" s="65" t="n">
        <x:v>696.4628016533755</x:v>
      </x:c>
      <x:c r="E3730" s="65" t="n">
        <x:v>201.72994550730107</x:v>
      </x:c>
      <x:c r="F3730" s="65" t="n">
        <x:v>201.72994550730107</x:v>
      </x:c>
      <x:c r="G3730" s="65" t="n">
        <x:v>898.1927471606766</x:v>
      </x:c>
      <x:c r="H3730" s="43" t="n">
        <x:v>1</x:v>
      </x:c>
      <x:c r="I3730" s="34" t="str">
        <x:v>generated design-reference observation; not predicted tract behavior</x:v>
      </x:c>
    </x:row>
    <x:row r="3731" ht="75.5999984741211" hidden="0" customHeight="1">
      <x:c r="A3731" s="36" t="str">
        <x:v>H3</x:v>
      </x:c>
      <x:c r="B3731" s="36" t="str">
        <x:v>48201333905</x:v>
      </x:c>
      <x:c r="C3731" s="66" t="n">
        <x:v>278.80482348523793</x:v>
      </x:c>
      <x:c r="D3731" s="66" t="n">
        <x:v>248.97270737231747</x:v>
      </x:c>
      <x:c r="E3731" s="66" t="n">
        <x:v>29.83211611292046</x:v>
      </x:c>
      <x:c r="F3731" s="66" t="n">
        <x:v>29.83211611292046</x:v>
      </x:c>
      <x:c r="G3731" s="66" t="n">
        <x:v>278.80482348523793</x:v>
      </x:c>
      <x:c r="H3731" s="45" t="n">
        <x:v>1</x:v>
      </x:c>
      <x:c r="I3731" s="36" t="str">
        <x:v>generated design-reference observation; not predicted tract behavior</x:v>
      </x:c>
    </x:row>
    <x:row r="3732" ht="75.5999984741211" hidden="0" customHeight="1">
      <x:c r="A3732" s="34" t="str">
        <x:v>H3</x:v>
      </x:c>
      <x:c r="B3732" s="34" t="str">
        <x:v>48201333906</x:v>
      </x:c>
      <x:c r="C3732" s="65" t="n">
        <x:v>456.2610854007929</x:v>
      </x:c>
      <x:c r="D3732" s="65" t="n">
        <x:v>407.441149262908</x:v>
      </x:c>
      <x:c r="E3732" s="65" t="n">
        <x:v>48.819936137884895</x:v>
      </x:c>
      <x:c r="F3732" s="65" t="n">
        <x:v>48.819936137884895</x:v>
      </x:c>
      <x:c r="G3732" s="65" t="n">
        <x:v>456.2610854007929</x:v>
      </x:c>
      <x:c r="H3732" s="43" t="n">
        <x:v>1</x:v>
      </x:c>
      <x:c r="I3732" s="34" t="str">
        <x:v>generated design-reference observation; not predicted tract behavior</x:v>
      </x:c>
    </x:row>
    <x:row r="3733" ht="75.5999984741211" hidden="0" customHeight="1">
      <x:c r="A3733" s="36" t="str">
        <x:v>H3</x:v>
      </x:c>
      <x:c r="B3733" s="36" t="str">
        <x:v>48201334001</x:v>
      </x:c>
      <x:c r="C3733" s="66" t="n">
        <x:v>236.77601906539465</x:v>
      </x:c>
      <x:c r="D3733" s="66" t="n">
        <x:v>210.7789653278738</x:v>
      </x:c>
      <x:c r="E3733" s="66" t="n">
        <x:v>25.997053737520844</x:v>
      </x:c>
      <x:c r="F3733" s="66" t="n">
        <x:v>25.997053737520844</x:v>
      </x:c>
      <x:c r="G3733" s="66" t="n">
        <x:v>236.77601906539465</x:v>
      </x:c>
      <x:c r="H3733" s="45" t="n">
        <x:v>1</x:v>
      </x:c>
      <x:c r="I3733" s="36" t="str">
        <x:v>generated design-reference observation; not predicted tract behavior</x:v>
      </x:c>
    </x:row>
    <x:row r="3734" ht="75.5999984741211" hidden="0" customHeight="1">
      <x:c r="A3734" s="34" t="str">
        <x:v>H3</x:v>
      </x:c>
      <x:c r="B3734" s="34" t="str">
        <x:v>48201334002</x:v>
      </x:c>
      <x:c r="C3734" s="65" t="n">
        <x:v>324.99494355684914</x:v>
      </x:c>
      <x:c r="D3734" s="65" t="n">
        <x:v>250.513394668721</x:v>
      </x:c>
      <x:c r="E3734" s="65" t="n">
        <x:v>74.48154888812815</x:v>
      </x:c>
      <x:c r="F3734" s="65" t="n">
        <x:v>74.48154888812815</x:v>
      </x:c>
      <x:c r="G3734" s="65" t="n">
        <x:v>324.99494355684914</x:v>
      </x:c>
      <x:c r="H3734" s="43" t="n">
        <x:v>1</x:v>
      </x:c>
      <x:c r="I3734" s="34" t="str">
        <x:v>generated design-reference observation; not predicted tract behavior</x:v>
      </x:c>
    </x:row>
    <x:row r="3735" ht="75.5999984741211" hidden="0" customHeight="1">
      <x:c r="A3735" s="36" t="str">
        <x:v>H3</x:v>
      </x:c>
      <x:c r="B3735" s="36" t="str">
        <x:v>48201334003</x:v>
      </x:c>
      <x:c r="C3735" s="66" t="n">
        <x:v>843.9967950593237</x:v>
      </x:c>
      <x:c r="D3735" s="66" t="n">
        <x:v>655.1102345373241</x:v>
      </x:c>
      <x:c r="E3735" s="66" t="n">
        <x:v>188.88656052199963</x:v>
      </x:c>
      <x:c r="F3735" s="66" t="n">
        <x:v>188.88656052199963</x:v>
      </x:c>
      <x:c r="G3735" s="66" t="n">
        <x:v>843.9967950593237</x:v>
      </x:c>
      <x:c r="H3735" s="45" t="n">
        <x:v>1</x:v>
      </x:c>
      <x:c r="I3735" s="36" t="str">
        <x:v>generated design-reference observation; not predicted tract behavior</x:v>
      </x:c>
    </x:row>
    <x:row r="3736" ht="75.5999984741211" hidden="0" customHeight="1">
      <x:c r="A3736" s="34" t="str">
        <x:v>H3</x:v>
      </x:c>
      <x:c r="B3736" s="34" t="str">
        <x:v>48201334101</x:v>
      </x:c>
      <x:c r="C3736" s="65" t="n">
        <x:v>765.2504106858264</x:v>
      </x:c>
      <x:c r="D3736" s="65" t="n">
        <x:v>676.2255460147403</x:v>
      </x:c>
      <x:c r="E3736" s="65" t="n">
        <x:v>89.0248646710861</x:v>
      </x:c>
      <x:c r="F3736" s="65" t="n">
        <x:v>89.0248646710861</x:v>
      </x:c>
      <x:c r="G3736" s="65" t="n">
        <x:v>765.2504106858264</x:v>
      </x:c>
      <x:c r="H3736" s="43" t="n">
        <x:v>1</x:v>
      </x:c>
      <x:c r="I3736" s="34" t="str">
        <x:v>generated design-reference observation; not predicted tract behavior</x:v>
      </x:c>
    </x:row>
    <x:row r="3737" ht="75.5999984741211" hidden="0" customHeight="1">
      <x:c r="A3737" s="36" t="str">
        <x:v>H3</x:v>
      </x:c>
      <x:c r="B3737" s="36" t="str">
        <x:v>48201334102</x:v>
      </x:c>
      <x:c r="C3737" s="66" t="n">
        <x:v>546.9442729456553</x:v>
      </x:c>
      <x:c r="D3737" s="66" t="n">
        <x:v>487.7000768689069</x:v>
      </x:c>
      <x:c r="E3737" s="66" t="n">
        <x:v>59.24419607674838</x:v>
      </x:c>
      <x:c r="F3737" s="66" t="n">
        <x:v>59.24419607674838</x:v>
      </x:c>
      <x:c r="G3737" s="66" t="n">
        <x:v>546.9442729456553</x:v>
      </x:c>
      <x:c r="H3737" s="45" t="n">
        <x:v>1</x:v>
      </x:c>
      <x:c r="I3737" s="36" t="str">
        <x:v>generated design-reference observation; not predicted tract behavior</x:v>
      </x:c>
    </x:row>
    <x:row r="3738" ht="75.5999984741211" hidden="0" customHeight="1">
      <x:c r="A3738" s="34" t="str">
        <x:v>H3</x:v>
      </x:c>
      <x:c r="B3738" s="34" t="str">
        <x:v>48201340101</x:v>
      </x:c>
      <x:c r="C3738" s="65" t="n">
        <x:v>127.31642876054995</x:v>
      </x:c>
      <x:c r="D3738" s="65" t="n">
        <x:v>112.51621079358091</x:v>
      </x:c>
      <x:c r="E3738" s="65" t="n">
        <x:v>14.800217966969043</x:v>
      </x:c>
      <x:c r="F3738" s="65" t="n">
        <x:v>14.800217966969043</x:v>
      </x:c>
      <x:c r="G3738" s="65" t="n">
        <x:v>127.31642876054995</x:v>
      </x:c>
      <x:c r="H3738" s="43" t="n">
        <x:v>1</x:v>
      </x:c>
      <x:c r="I3738" s="34" t="str">
        <x:v>generated design-reference observation; not predicted tract behavior</x:v>
      </x:c>
    </x:row>
    <x:row r="3739" ht="75.5999984741211" hidden="0" customHeight="1">
      <x:c r="A3739" s="36" t="str">
        <x:v>H3</x:v>
      </x:c>
      <x:c r="B3739" s="36" t="str">
        <x:v>48201340102</x:v>
      </x:c>
      <x:c r="C3739" s="66" t="n">
        <x:v>779.948929663857</x:v>
      </x:c>
      <x:c r="D3739" s="66" t="n">
        <x:v>605.7995977173666</x:v>
      </x:c>
      <x:c r="E3739" s="66" t="n">
        <x:v>174.1493319464904</x:v>
      </x:c>
      <x:c r="F3739" s="66" t="n">
        <x:v>174.1493319464904</x:v>
      </x:c>
      <x:c r="G3739" s="66" t="n">
        <x:v>779.948929663857</x:v>
      </x:c>
      <x:c r="H3739" s="45" t="n">
        <x:v>1</x:v>
      </x:c>
      <x:c r="I3739" s="36" t="str">
        <x:v>generated design-reference observation; not predicted tract behavior</x:v>
      </x:c>
    </x:row>
    <x:row r="3740" ht="75.5999984741211" hidden="0" customHeight="1">
      <x:c r="A3740" s="34" t="str">
        <x:v>H3</x:v>
      </x:c>
      <x:c r="B3740" s="34" t="str">
        <x:v>48201340202</x:v>
      </x:c>
      <x:c r="C3740" s="65" t="n">
        <x:v>674.4886279012825</x:v>
      </x:c>
      <x:c r="D3740" s="65" t="n">
        <x:v>601.9567634030617</x:v>
      </x:c>
      <x:c r="E3740" s="65" t="n">
        <x:v>72.53186449822078</x:v>
      </x:c>
      <x:c r="F3740" s="65" t="n">
        <x:v>72.53186449822078</x:v>
      </x:c>
      <x:c r="G3740" s="65" t="n">
        <x:v>674.4886279012825</x:v>
      </x:c>
      <x:c r="H3740" s="43" t="n">
        <x:v>1</x:v>
      </x:c>
      <x:c r="I3740" s="34" t="str">
        <x:v>generated design-reference observation; not predicted tract behavior</x:v>
      </x:c>
    </x:row>
    <x:row r="3741" ht="75.5999984741211" hidden="0" customHeight="1">
      <x:c r="A3741" s="36" t="str">
        <x:v>H3</x:v>
      </x:c>
      <x:c r="B3741" s="36" t="str">
        <x:v>48201340203</x:v>
      </x:c>
      <x:c r="C3741" s="66" t="n">
        <x:v>799.7222828102646</x:v>
      </x:c>
      <x:c r="D3741" s="66" t="n">
        <x:v>340.43582197754023</x:v>
      </x:c>
      <x:c r="E3741" s="66" t="n">
        <x:v>459.28646083272434</x:v>
      </x:c>
      <x:c r="F3741" s="66" t="n">
        <x:v>459.28646083272434</x:v>
      </x:c>
      <x:c r="G3741" s="66" t="n">
        <x:v>799.7222828102646</x:v>
      </x:c>
      <x:c r="H3741" s="45" t="n">
        <x:v>1</x:v>
      </x:c>
      <x:c r="I3741" s="36" t="str">
        <x:v>generated design-reference observation; not predicted tract behavior</x:v>
      </x:c>
    </x:row>
    <x:row r="3742" ht="75.5999984741211" hidden="0" customHeight="1">
      <x:c r="A3742" s="34" t="str">
        <x:v>H3</x:v>
      </x:c>
      <x:c r="B3742" s="34" t="str">
        <x:v>48201340301</x:v>
      </x:c>
      <x:c r="C3742" s="65" t="n">
        <x:v>281.6067437798941</x:v>
      </x:c>
      <x:c r="D3742" s="65" t="n">
        <x:v>251.47482219544543</x:v>
      </x:c>
      <x:c r="E3742" s="65" t="n">
        <x:v>30.131921584448662</x:v>
      </x:c>
      <x:c r="F3742" s="65" t="n">
        <x:v>30.131921584448662</x:v>
      </x:c>
      <x:c r="G3742" s="65" t="n">
        <x:v>281.6067437798941</x:v>
      </x:c>
      <x:c r="H3742" s="43" t="n">
        <x:v>1</x:v>
      </x:c>
      <x:c r="I3742" s="34" t="str">
        <x:v>generated design-reference observation; not predicted tract behavior</x:v>
      </x:c>
    </x:row>
    <x:row r="3743" ht="75.5999984741211" hidden="0" customHeight="1">
      <x:c r="A3743" s="36" t="str">
        <x:v>H3</x:v>
      </x:c>
      <x:c r="B3743" s="36" t="str">
        <x:v>48201340302</x:v>
      </x:c>
      <x:c r="C3743" s="66" t="n">
        <x:v>550.4653396834001</x:v>
      </x:c>
      <x:c r="D3743" s="66" t="n">
        <x:v>491.5655483372762</x:v>
      </x:c>
      <x:c r="E3743" s="66" t="n">
        <x:v>58.89979134612389</x:v>
      </x:c>
      <x:c r="F3743" s="66" t="n">
        <x:v>58.89979134612389</x:v>
      </x:c>
      <x:c r="G3743" s="66" t="n">
        <x:v>550.4653396834001</x:v>
      </x:c>
      <x:c r="H3743" s="45" t="n">
        <x:v>1</x:v>
      </x:c>
      <x:c r="I3743" s="36" t="str">
        <x:v>generated design-reference observation; not predicted tract behavior</x:v>
      </x:c>
    </x:row>
    <x:row r="3744" ht="75.5999984741211" hidden="0" customHeight="1">
      <x:c r="A3744" s="34" t="str">
        <x:v>H3</x:v>
      </x:c>
      <x:c r="B3744" s="34" t="str">
        <x:v>48201340400</x:v>
      </x:c>
      <x:c r="C3744" s="65" t="n">
        <x:v>85.49590172586346</x:v>
      </x:c>
      <x:c r="D3744" s="65" t="n">
        <x:v>76.34784024119605</x:v>
      </x:c>
      <x:c r="E3744" s="65" t="n">
        <x:v>9.148061484667409</x:v>
      </x:c>
      <x:c r="F3744" s="65" t="n">
        <x:v>9.148061484667409</x:v>
      </x:c>
      <x:c r="G3744" s="65" t="n">
        <x:v>85.49590172586346</x:v>
      </x:c>
      <x:c r="H3744" s="43" t="n">
        <x:v>1</x:v>
      </x:c>
      <x:c r="I3744" s="34" t="str">
        <x:v>generated design-reference observation; not predicted tract behavior</x:v>
      </x:c>
    </x:row>
    <x:row r="3745" ht="75.5999984741211" hidden="0" customHeight="1">
      <x:c r="A3745" s="36" t="str">
        <x:v>H3</x:v>
      </x:c>
      <x:c r="B3745" s="36" t="str">
        <x:v>48201340501</x:v>
      </x:c>
      <x:c r="C3745" s="66" t="n">
        <x:v>302.3951846757305</x:v>
      </x:c>
      <x:c r="D3745" s="66" t="n">
        <x:v>269.42677269110715</x:v>
      </x:c>
      <x:c r="E3745" s="66" t="n">
        <x:v>32.968411984623344</x:v>
      </x:c>
      <x:c r="F3745" s="66" t="n">
        <x:v>32.968411984623344</x:v>
      </x:c>
      <x:c r="G3745" s="66" t="n">
        <x:v>302.3951846757305</x:v>
      </x:c>
      <x:c r="H3745" s="45" t="n">
        <x:v>1</x:v>
      </x:c>
      <x:c r="I3745" s="36" t="str">
        <x:v>generated design-reference observation; not predicted tract behavior</x:v>
      </x:c>
    </x:row>
    <x:row r="3746" ht="75.5999984741211" hidden="0" customHeight="1">
      <x:c r="A3746" s="34" t="str">
        <x:v>H3</x:v>
      </x:c>
      <x:c r="B3746" s="34" t="str">
        <x:v>48201340502</x:v>
      </x:c>
      <x:c r="C3746" s="65" t="n">
        <x:v>177.8217297800755</x:v>
      </x:c>
      <x:c r="D3746" s="65" t="n">
        <x:v>158.07264404335245</x:v>
      </x:c>
      <x:c r="E3746" s="65" t="n">
        <x:v>19.749085736723032</x:v>
      </x:c>
      <x:c r="F3746" s="65" t="n">
        <x:v>19.749085736723032</x:v>
      </x:c>
      <x:c r="G3746" s="65" t="n">
        <x:v>177.8217297800755</x:v>
      </x:c>
      <x:c r="H3746" s="43" t="n">
        <x:v>1</x:v>
      </x:c>
      <x:c r="I3746" s="34" t="str">
        <x:v>generated design-reference observation; not predicted tract behavior</x:v>
      </x:c>
    </x:row>
    <x:row r="3747" ht="75.5999984741211" hidden="0" customHeight="1">
      <x:c r="A3747" s="36" t="str">
        <x:v>H3</x:v>
      </x:c>
      <x:c r="B3747" s="36" t="str">
        <x:v>48201340600</x:v>
      </x:c>
      <x:c r="C3747" s="66" t="n">
        <x:v>350.4555691623853</x:v>
      </x:c>
      <x:c r="D3747" s="66" t="n">
        <x:v>273.00488837749816</x:v>
      </x:c>
      <x:c r="E3747" s="66" t="n">
        <x:v>77.45068078488714</x:v>
      </x:c>
      <x:c r="F3747" s="66" t="n">
        <x:v>77.45068078488714</x:v>
      </x:c>
      <x:c r="G3747" s="66" t="n">
        <x:v>350.4555691623853</x:v>
      </x:c>
      <x:c r="H3747" s="45" t="n">
        <x:v>1</x:v>
      </x:c>
      <x:c r="I3747" s="36" t="str">
        <x:v>generated design-reference observation; not predicted tract behavior</x:v>
      </x:c>
    </x:row>
    <x:row r="3748" ht="75.5999984741211" hidden="0" customHeight="1">
      <x:c r="A3748" s="34" t="str">
        <x:v>H3</x:v>
      </x:c>
      <x:c r="B3748" s="34" t="str">
        <x:v>48201340701</x:v>
      </x:c>
      <x:c r="C3748" s="65" t="n">
        <x:v>315.1354730281506</x:v>
      </x:c>
      <x:c r="D3748" s="65" t="n">
        <x:v>281.2054693995374</x:v>
      </x:c>
      <x:c r="E3748" s="65" t="n">
        <x:v>33.930003628613235</x:v>
      </x:c>
      <x:c r="F3748" s="65" t="n">
        <x:v>33.930003628613235</x:v>
      </x:c>
      <x:c r="G3748" s="65" t="n">
        <x:v>315.1354730281506</x:v>
      </x:c>
      <x:c r="H3748" s="43" t="n">
        <x:v>1</x:v>
      </x:c>
      <x:c r="I3748" s="34" t="str">
        <x:v>generated design-reference observation; not predicted tract behavior</x:v>
      </x:c>
    </x:row>
    <x:row r="3749" ht="75.5999984741211" hidden="0" customHeight="1">
      <x:c r="A3749" s="36" t="str">
        <x:v>H3</x:v>
      </x:c>
      <x:c r="B3749" s="36" t="str">
        <x:v>48201340702</x:v>
      </x:c>
      <x:c r="C3749" s="66" t="n">
        <x:v>311.0524503266809</x:v>
      </x:c>
      <x:c r="D3749" s="66" t="n">
        <x:v>277.769838141726</x:v>
      </x:c>
      <x:c r="E3749" s="66" t="n">
        <x:v>33.28261218495493</x:v>
      </x:c>
      <x:c r="F3749" s="66" t="n">
        <x:v>33.28261218495493</x:v>
      </x:c>
      <x:c r="G3749" s="66" t="n">
        <x:v>311.0524503266809</x:v>
      </x:c>
      <x:c r="H3749" s="45" t="n">
        <x:v>1</x:v>
      </x:c>
      <x:c r="I3749" s="36" t="str">
        <x:v>generated design-reference observation; not predicted tract behavior</x:v>
      </x:c>
    </x:row>
    <x:row r="3750" ht="75.5999984741211" hidden="0" customHeight="1">
      <x:c r="A3750" s="34" t="str">
        <x:v>H3</x:v>
      </x:c>
      <x:c r="B3750" s="34" t="str">
        <x:v>48201340800</x:v>
      </x:c>
      <x:c r="C3750" s="65" t="n">
        <x:v>492.7764337569579</x:v>
      </x:c>
      <x:c r="D3750" s="65" t="n">
        <x:v>440.0493553449633</x:v>
      </x:c>
      <x:c r="E3750" s="65" t="n">
        <x:v>52.72707841199457</x:v>
      </x:c>
      <x:c r="F3750" s="65" t="n">
        <x:v>52.72707841199457</x:v>
      </x:c>
      <x:c r="G3750" s="65" t="n">
        <x:v>492.7764337569579</x:v>
      </x:c>
      <x:c r="H3750" s="43" t="n">
        <x:v>1</x:v>
      </x:c>
      <x:c r="I3750" s="34" t="str">
        <x:v>generated design-reference observation; not predicted tract behavior</x:v>
      </x:c>
    </x:row>
    <x:row r="3751" ht="75.5999984741211" hidden="0" customHeight="1">
      <x:c r="A3751" s="36" t="str">
        <x:v>H3</x:v>
      </x:c>
      <x:c r="B3751" s="36" t="str">
        <x:v>48201340900</x:v>
      </x:c>
      <x:c r="C3751" s="66" t="n">
        <x:v>376.502636171701</x:v>
      </x:c>
      <x:c r="D3751" s="66" t="n">
        <x:v>334.9436394571092</x:v>
      </x:c>
      <x:c r="E3751" s="66" t="n">
        <x:v>41.558996714591785</x:v>
      </x:c>
      <x:c r="F3751" s="66" t="n">
        <x:v>41.558996714591785</x:v>
      </x:c>
      <x:c r="G3751" s="66" t="n">
        <x:v>376.502636171701</x:v>
      </x:c>
      <x:c r="H3751" s="45" t="n">
        <x:v>1</x:v>
      </x:c>
      <x:c r="I3751" s="36" t="str">
        <x:v>generated design-reference observation; not predicted tract behavior</x:v>
      </x:c>
    </x:row>
    <x:row r="3752" ht="75.5999984741211" hidden="0" customHeight="1">
      <x:c r="A3752" s="34" t="str">
        <x:v>H3</x:v>
      </x:c>
      <x:c r="B3752" s="34" t="str">
        <x:v>48201341001</x:v>
      </x:c>
      <x:c r="C3752" s="65" t="n">
        <x:v>323.2307827153761</x:v>
      </x:c>
      <x:c r="D3752" s="65" t="n">
        <x:v>286.18500577033495</x:v>
      </x:c>
      <x:c r="E3752" s="65" t="n">
        <x:v>37.045776945041155</x:v>
      </x:c>
      <x:c r="F3752" s="65" t="n">
        <x:v>37.045776945041155</x:v>
      </x:c>
      <x:c r="G3752" s="65" t="n">
        <x:v>323.2307827153761</x:v>
      </x:c>
      <x:c r="H3752" s="43" t="n">
        <x:v>1</x:v>
      </x:c>
      <x:c r="I3752" s="34" t="str">
        <x:v>generated design-reference observation; not predicted tract behavior</x:v>
      </x:c>
    </x:row>
    <x:row r="3753" ht="75.5999984741211" hidden="0" customHeight="1">
      <x:c r="A3753" s="36" t="str">
        <x:v>H3</x:v>
      </x:c>
      <x:c r="B3753" s="36" t="str">
        <x:v>48201341002</x:v>
      </x:c>
      <x:c r="C3753" s="66" t="n">
        <x:v>287.08483198571565</x:v>
      </x:c>
      <x:c r="D3753" s="66" t="n">
        <x:v>254.7849478592463</x:v>
      </x:c>
      <x:c r="E3753" s="66" t="n">
        <x:v>32.29988412646935</x:v>
      </x:c>
      <x:c r="F3753" s="66" t="n">
        <x:v>32.29988412646935</x:v>
      </x:c>
      <x:c r="G3753" s="66" t="n">
        <x:v>287.08483198571565</x:v>
      </x:c>
      <x:c r="H3753" s="45" t="n">
        <x:v>1</x:v>
      </x:c>
      <x:c r="I3753" s="36" t="str">
        <x:v>generated design-reference observation; not predicted tract behavior</x:v>
      </x:c>
    </x:row>
    <x:row r="3754" ht="75.5999984741211" hidden="0" customHeight="1">
      <x:c r="A3754" s="34" t="str">
        <x:v>H3</x:v>
      </x:c>
      <x:c r="B3754" s="34" t="str">
        <x:v>48201341101</x:v>
      </x:c>
      <x:c r="C3754" s="65" t="n">
        <x:v>158.0628865240706</x:v>
      </x:c>
      <x:c r="D3754" s="65" t="n">
        <x:v>140.40438504872793</x:v>
      </x:c>
      <x:c r="E3754" s="65" t="n">
        <x:v>17.65850147534266</x:v>
      </x:c>
      <x:c r="F3754" s="65" t="n">
        <x:v>17.65850147534266</x:v>
      </x:c>
      <x:c r="G3754" s="65" t="n">
        <x:v>158.0628865240706</x:v>
      </x:c>
      <x:c r="H3754" s="43" t="n">
        <x:v>1</x:v>
      </x:c>
      <x:c r="I3754" s="34" t="str">
        <x:v>generated design-reference observation; not predicted tract behavior</x:v>
      </x:c>
    </x:row>
    <x:row r="3755" ht="75.5999984741211" hidden="0" customHeight="1">
      <x:c r="A3755" s="36" t="str">
        <x:v>H3</x:v>
      </x:c>
      <x:c r="B3755" s="36" t="str">
        <x:v>48201341102</x:v>
      </x:c>
      <x:c r="C3755" s="66" t="n">
        <x:v>164.0046866440148</x:v>
      </x:c>
      <x:c r="D3755" s="66" t="n">
        <x:v>145.58087710398684</x:v>
      </x:c>
      <x:c r="E3755" s="66" t="n">
        <x:v>18.423809540027975</x:v>
      </x:c>
      <x:c r="F3755" s="66" t="n">
        <x:v>18.423809540027975</x:v>
      </x:c>
      <x:c r="G3755" s="66" t="n">
        <x:v>164.0046866440148</x:v>
      </x:c>
      <x:c r="H3755" s="45" t="n">
        <x:v>1</x:v>
      </x:c>
      <x:c r="I3755" s="36" t="str">
        <x:v>generated design-reference observation; not predicted tract behavior</x:v>
      </x:c>
    </x:row>
    <x:row r="3756" ht="75.5999984741211" hidden="0" customHeight="1">
      <x:c r="A3756" s="34" t="str">
        <x:v>H3</x:v>
      </x:c>
      <x:c r="B3756" s="34" t="str">
        <x:v>48201341201</x:v>
      </x:c>
      <x:c r="C3756" s="65" t="n">
        <x:v>741.3060686273824</x:v>
      </x:c>
      <x:c r="D3756" s="65" t="n">
        <x:v>573.3610377688765</x:v>
      </x:c>
      <x:c r="E3756" s="65" t="n">
        <x:v>167.9450308585059</x:v>
      </x:c>
      <x:c r="F3756" s="65" t="n">
        <x:v>167.9450308585059</x:v>
      </x:c>
      <x:c r="G3756" s="65" t="n">
        <x:v>741.3060686273824</x:v>
      </x:c>
      <x:c r="H3756" s="43" t="n">
        <x:v>1</x:v>
      </x:c>
      <x:c r="I3756" s="34" t="str">
        <x:v>generated design-reference observation; not predicted tract behavior</x:v>
      </x:c>
    </x:row>
    <x:row r="3757" ht="75.5999984741211" hidden="0" customHeight="1">
      <x:c r="A3757" s="36" t="str">
        <x:v>H3</x:v>
      </x:c>
      <x:c r="B3757" s="36" t="str">
        <x:v>48201341203</x:v>
      </x:c>
      <x:c r="C3757" s="66" t="n">
        <x:v>468.57272740756366</x:v>
      </x:c>
      <x:c r="D3757" s="66" t="n">
        <x:v>199.23236763027273</x:v>
      </x:c>
      <x:c r="E3757" s="66" t="n">
        <x:v>269.3403597772909</x:v>
      </x:c>
      <x:c r="F3757" s="66" t="n">
        <x:v>269.3403597772909</x:v>
      </x:c>
      <x:c r="G3757" s="66" t="n">
        <x:v>468.57272740756366</x:v>
      </x:c>
      <x:c r="H3757" s="45" t="n">
        <x:v>1</x:v>
      </x:c>
      <x:c r="I3757" s="36" t="str">
        <x:v>generated design-reference observation; not predicted tract behavior</x:v>
      </x:c>
    </x:row>
    <x:row r="3758" ht="75.5999984741211" hidden="0" customHeight="1">
      <x:c r="A3758" s="34" t="str">
        <x:v>H3</x:v>
      </x:c>
      <x:c r="B3758" s="34" t="str">
        <x:v>48201341204</x:v>
      </x:c>
      <x:c r="C3758" s="65" t="n">
        <x:v>612.7333251894572</x:v>
      </x:c>
      <x:c r="D3758" s="65" t="n">
        <x:v>260.0722942790335</x:v>
      </x:c>
      <x:c r="E3758" s="65" t="n">
        <x:v>352.66103091042373</x:v>
      </x:c>
      <x:c r="F3758" s="65" t="n">
        <x:v>352.66103091042373</x:v>
      </x:c>
      <x:c r="G3758" s="65" t="n">
        <x:v>612.7333251894572</x:v>
      </x:c>
      <x:c r="H3758" s="43" t="n">
        <x:v>1</x:v>
      </x:c>
      <x:c r="I3758" s="34" t="str">
        <x:v>generated design-reference observation; not predicted tract behavior</x:v>
      </x:c>
    </x:row>
    <x:row r="3759" ht="75.5999984741211" hidden="0" customHeight="1">
      <x:c r="A3759" s="36" t="str">
        <x:v>H3</x:v>
      </x:c>
      <x:c r="B3759" s="36" t="str">
        <x:v>48201341302</x:v>
      </x:c>
      <x:c r="C3759" s="66" t="n">
        <x:v>478.3427202787783</x:v>
      </x:c>
      <x:c r="D3759" s="66" t="n">
        <x:v>369.9631558593885</x:v>
      </x:c>
      <x:c r="E3759" s="66" t="n">
        <x:v>108.3795644193898</x:v>
      </x:c>
      <x:c r="F3759" s="66" t="n">
        <x:v>108.3795644193898</x:v>
      </x:c>
      <x:c r="G3759" s="66" t="n">
        <x:v>478.3427202787783</x:v>
      </x:c>
      <x:c r="H3759" s="45" t="n">
        <x:v>1</x:v>
      </x:c>
      <x:c r="I3759" s="36" t="str">
        <x:v>generated design-reference observation; not predicted tract behavior</x:v>
      </x:c>
    </x:row>
    <x:row r="3760" ht="75.5999984741211" hidden="0" customHeight="1">
      <x:c r="A3760" s="34" t="str">
        <x:v>H3</x:v>
      </x:c>
      <x:c r="B3760" s="34" t="str">
        <x:v>48201341303</x:v>
      </x:c>
      <x:c r="C3760" s="65" t="n">
        <x:v>241.24022867932092</x:v>
      </x:c>
      <x:c r="D3760" s="65" t="n">
        <x:v>214.86947637176928</x:v>
      </x:c>
      <x:c r="E3760" s="65" t="n">
        <x:v>26.37075230755164</x:v>
      </x:c>
      <x:c r="F3760" s="65" t="n">
        <x:v>26.37075230755164</x:v>
      </x:c>
      <x:c r="G3760" s="65" t="n">
        <x:v>241.24022867932092</x:v>
      </x:c>
      <x:c r="H3760" s="43" t="n">
        <x:v>1</x:v>
      </x:c>
      <x:c r="I3760" s="34" t="str">
        <x:v>generated design-reference observation; not predicted tract behavior</x:v>
      </x:c>
    </x:row>
    <x:row r="3761" ht="75.5999984741211" hidden="0" customHeight="1">
      <x:c r="A3761" s="36" t="str">
        <x:v>H3</x:v>
      </x:c>
      <x:c r="B3761" s="36" t="str">
        <x:v>48201341304</x:v>
      </x:c>
      <x:c r="C3761" s="66" t="n">
        <x:v>223.87551733977708</x:v>
      </x:c>
      <x:c r="D3761" s="66" t="n">
        <x:v>172.85202730328658</x:v>
      </x:c>
      <x:c r="E3761" s="66" t="n">
        <x:v>51.0234900364905</x:v>
      </x:c>
      <x:c r="F3761" s="66" t="n">
        <x:v>51.0234900364905</x:v>
      </x:c>
      <x:c r="G3761" s="66" t="n">
        <x:v>223.87551733977708</x:v>
      </x:c>
      <x:c r="H3761" s="45" t="n">
        <x:v>1</x:v>
      </x:c>
      <x:c r="I3761" s="36" t="str">
        <x:v>generated design-reference observation; not predicted tract behavior</x:v>
      </x:c>
    </x:row>
    <x:row r="3762" ht="75.5999984741211" hidden="0" customHeight="1">
      <x:c r="A3762" s="34" t="str">
        <x:v>H3</x:v>
      </x:c>
      <x:c r="B3762" s="34" t="str">
        <x:v>48201341400</x:v>
      </x:c>
      <x:c r="C3762" s="65" t="n">
        <x:v>976.8590248475748</x:v>
      </x:c>
      <x:c r="D3762" s="65" t="n">
        <x:v>416.4740639505368</x:v>
      </x:c>
      <x:c r="E3762" s="65" t="n">
        <x:v>560.384960897038</x:v>
      </x:c>
      <x:c r="F3762" s="65" t="n">
        <x:v>560.384960897038</x:v>
      </x:c>
      <x:c r="G3762" s="65" t="n">
        <x:v>976.8590248475748</x:v>
      </x:c>
      <x:c r="H3762" s="43" t="n">
        <x:v>1</x:v>
      </x:c>
      <x:c r="I3762" s="34" t="str">
        <x:v>generated design-reference observation; not predicted tract behavior</x:v>
      </x:c>
    </x:row>
    <x:row r="3763" ht="75.5999984741211" hidden="0" customHeight="1">
      <x:c r="A3763" s="36" t="str">
        <x:v>H3</x:v>
      </x:c>
      <x:c r="B3763" s="36" t="str">
        <x:v>48201341501</x:v>
      </x:c>
      <x:c r="C3763" s="66" t="n">
        <x:v>886.1437946280731</x:v>
      </x:c>
      <x:c r="D3763" s="66" t="n">
        <x:v>688.5034365075734</x:v>
      </x:c>
      <x:c r="E3763" s="66" t="n">
        <x:v>197.64035812049974</x:v>
      </x:c>
      <x:c r="F3763" s="66" t="n">
        <x:v>197.64035812049974</x:v>
      </x:c>
      <x:c r="G3763" s="66" t="n">
        <x:v>886.1437946280731</x:v>
      </x:c>
      <x:c r="H3763" s="45" t="n">
        <x:v>1</x:v>
      </x:c>
      <x:c r="I3763" s="36" t="str">
        <x:v>generated design-reference observation; not predicted tract behavior</x:v>
      </x:c>
    </x:row>
    <x:row r="3764" ht="75.5999984741211" hidden="0" customHeight="1">
      <x:c r="A3764" s="34" t="str">
        <x:v>H3</x:v>
      </x:c>
      <x:c r="B3764" s="34" t="str">
        <x:v>48201341502</x:v>
      </x:c>
      <x:c r="C3764" s="65" t="n">
        <x:v>869.2633508807223</x:v>
      </x:c>
      <x:c r="D3764" s="65" t="n">
        <x:v>369.20881955705454</x:v>
      </x:c>
      <x:c r="E3764" s="65" t="n">
        <x:v>500.0545313236678</x:v>
      </x:c>
      <x:c r="F3764" s="65" t="n">
        <x:v>500.0545313236678</x:v>
      </x:c>
      <x:c r="G3764" s="65" t="n">
        <x:v>869.2633508807223</x:v>
      </x:c>
      <x:c r="H3764" s="43" t="n">
        <x:v>1</x:v>
      </x:c>
      <x:c r="I3764" s="34" t="str">
        <x:v>generated design-reference observation; not predicted tract behavior</x:v>
      </x:c>
    </x:row>
    <x:row r="3765" ht="75.5999984741211" hidden="0" customHeight="1">
      <x:c r="A3765" s="36" t="str">
        <x:v>H3</x:v>
      </x:c>
      <x:c r="B3765" s="36" t="str">
        <x:v>48201341600</x:v>
      </x:c>
      <x:c r="C3765" s="66" t="n">
        <x:v>1179.2526494460153</x:v>
      </x:c>
      <x:c r="D3765" s="66" t="n">
        <x:v>503.13630603944284</x:v>
      </x:c>
      <x:c r="E3765" s="66" t="n">
        <x:v>676.1163434065725</x:v>
      </x:c>
      <x:c r="F3765" s="66" t="n">
        <x:v>676.1163434065725</x:v>
      </x:c>
      <x:c r="G3765" s="66" t="n">
        <x:v>1179.2526494460153</x:v>
      </x:c>
      <x:c r="H3765" s="45" t="n">
        <x:v>1</x:v>
      </x:c>
      <x:c r="I3765" s="36" t="str">
        <x:v>generated design-reference observation; not predicted tract behavior</x:v>
      </x:c>
    </x:row>
    <x:row r="3766" ht="75.5999984741211" hidden="0" customHeight="1">
      <x:c r="A3766" s="34" t="str">
        <x:v>H3</x:v>
      </x:c>
      <x:c r="B3766" s="34" t="str">
        <x:v>48201341700</x:v>
      </x:c>
      <x:c r="C3766" s="65" t="n">
        <x:v>535.6422774794123</x:v>
      </x:c>
      <x:c r="D3766" s="65" t="n">
        <x:v>228.47821345884327</x:v>
      </x:c>
      <x:c r="E3766" s="65" t="n">
        <x:v>307.16406402056907</x:v>
      </x:c>
      <x:c r="F3766" s="65" t="n">
        <x:v>307.16406402056907</x:v>
      </x:c>
      <x:c r="G3766" s="65" t="n">
        <x:v>535.6422774794123</x:v>
      </x:c>
      <x:c r="H3766" s="43" t="n">
        <x:v>1</x:v>
      </x:c>
      <x:c r="I3766" s="34" t="str">
        <x:v>generated design-reference observation; not predicted tract behavior</x:v>
      </x:c>
    </x:row>
    <x:row r="3767" ht="75.5999984741211" hidden="0" customHeight="1">
      <x:c r="A3767" s="36" t="str">
        <x:v>H3</x:v>
      </x:c>
      <x:c r="B3767" s="36" t="str">
        <x:v>48201341800</x:v>
      </x:c>
      <x:c r="C3767" s="66" t="n">
        <x:v>456.071247668023</x:v>
      </x:c>
      <x:c r="D3767" s="66" t="n">
        <x:v>194.71518396388458</x:v>
      </x:c>
      <x:c r="E3767" s="66" t="n">
        <x:v>261.35606370413836</x:v>
      </x:c>
      <x:c r="F3767" s="66" t="n">
        <x:v>261.35606370413836</x:v>
      </x:c>
      <x:c r="G3767" s="66" t="n">
        <x:v>456.0712476680229</x:v>
      </x:c>
      <x:c r="H3767" s="45" t="n">
        <x:v>0.9999999999999999</x:v>
      </x:c>
      <x:c r="I3767" s="36" t="str">
        <x:v>generated design-reference observation; not predicted tract behavior</x:v>
      </x:c>
    </x:row>
    <x:row r="3768" ht="75.5999984741211" hidden="0" customHeight="1">
      <x:c r="A3768" s="34" t="str">
        <x:v>H3</x:v>
      </x:c>
      <x:c r="B3768" s="34" t="str">
        <x:v>48201342001</x:v>
      </x:c>
      <x:c r="C3768" s="65" t="n">
        <x:v>1111.6752532100686</x:v>
      </x:c>
      <x:c r="D3768" s="65" t="n">
        <x:v>474.6877359476691</x:v>
      </x:c>
      <x:c r="E3768" s="65" t="n">
        <x:v>636.9875172623995</x:v>
      </x:c>
      <x:c r="F3768" s="65" t="n">
        <x:v>636.9875172623995</x:v>
      </x:c>
      <x:c r="G3768" s="65" t="n">
        <x:v>1111.6752532100686</x:v>
      </x:c>
      <x:c r="H3768" s="43" t="n">
        <x:v>1</x:v>
      </x:c>
      <x:c r="I3768" s="34" t="str">
        <x:v>generated design-reference observation; not predicted tract behavior</x:v>
      </x:c>
    </x:row>
    <x:row r="3769" ht="75.5999984741211" hidden="0" customHeight="1">
      <x:c r="A3769" s="36" t="str">
        <x:v>H3</x:v>
      </x:c>
      <x:c r="B3769" s="36" t="str">
        <x:v>48201342002</x:v>
      </x:c>
      <x:c r="C3769" s="66" t="n">
        <x:v>714.5395528855947</x:v>
      </x:c>
      <x:c r="D3769" s="66" t="n">
        <x:v>304.2306875895756</x:v>
      </x:c>
      <x:c r="E3769" s="66" t="n">
        <x:v>410.3088652960191</x:v>
      </x:c>
      <x:c r="F3769" s="66" t="n">
        <x:v>410.3088652960191</x:v>
      </x:c>
      <x:c r="G3769" s="66" t="n">
        <x:v>714.5395528855947</x:v>
      </x:c>
      <x:c r="H3769" s="45" t="n">
        <x:v>1</x:v>
      </x:c>
      <x:c r="I3769" s="36" t="str">
        <x:v>generated design-reference observation; not predicted tract behavior</x:v>
      </x:c>
    </x:row>
    <x:row r="3770" ht="75.5999984741211" hidden="0" customHeight="1">
      <x:c r="A3770" s="34" t="str">
        <x:v>H3</x:v>
      </x:c>
      <x:c r="B3770" s="34" t="str">
        <x:v>48201342100</x:v>
      </x:c>
      <x:c r="C3770" s="65" t="n">
        <x:v>560.7734076570516</x:v>
      </x:c>
      <x:c r="D3770" s="65" t="n">
        <x:v>436.5193491610479</x:v>
      </x:c>
      <x:c r="E3770" s="65" t="n">
        <x:v>124.25405849600372</x:v>
      </x:c>
      <x:c r="F3770" s="65" t="n">
        <x:v>124.25405849600372</x:v>
      </x:c>
      <x:c r="G3770" s="65" t="n">
        <x:v>560.7734076570516</x:v>
      </x:c>
      <x:c r="H3770" s="43" t="n">
        <x:v>1</x:v>
      </x:c>
      <x:c r="I3770" s="34" t="str">
        <x:v>generated design-reference observation; not predicted tract behavior</x:v>
      </x:c>
    </x:row>
    <x:row r="3771" ht="75.5999984741211" hidden="0" customHeight="1">
      <x:c r="A3771" s="36" t="str">
        <x:v>H3</x:v>
      </x:c>
      <x:c r="B3771" s="36" t="str">
        <x:v>48201342200</x:v>
      </x:c>
      <x:c r="C3771" s="66" t="n">
        <x:v>315.58346589433677</x:v>
      </x:c>
      <x:c r="D3771" s="66" t="n">
        <x:v>281.43235085706186</x:v>
      </x:c>
      <x:c r="E3771" s="66" t="n">
        <x:v>34.151115037274906</x:v>
      </x:c>
      <x:c r="F3771" s="66" t="n">
        <x:v>34.151115037274906</x:v>
      </x:c>
      <x:c r="G3771" s="66" t="n">
        <x:v>315.58346589433677</x:v>
      </x:c>
      <x:c r="H3771" s="45" t="n">
        <x:v>1</x:v>
      </x:c>
      <x:c r="I3771" s="36" t="str">
        <x:v>generated design-reference observation; not predicted tract behavior</x:v>
      </x:c>
    </x:row>
    <x:row r="3772" ht="75.5999984741211" hidden="0" customHeight="1">
      <x:c r="A3772" s="34" t="str">
        <x:v>H3</x:v>
      </x:c>
      <x:c r="B3772" s="34" t="str">
        <x:v>48201342300</x:v>
      </x:c>
      <x:c r="C3772" s="65" t="n">
        <x:v>577.957954524094</x:v>
      </x:c>
      <x:c r="D3772" s="65" t="n">
        <x:v>514.7772081213955</x:v>
      </x:c>
      <x:c r="E3772" s="65" t="n">
        <x:v>63.18074640269856</x:v>
      </x:c>
      <x:c r="F3772" s="65" t="n">
        <x:v>63.18074640269856</x:v>
      </x:c>
      <x:c r="G3772" s="65" t="n">
        <x:v>577.957954524094</x:v>
      </x:c>
      <x:c r="H3772" s="43" t="n">
        <x:v>1</x:v>
      </x:c>
      <x:c r="I3772" s="34" t="str">
        <x:v>generated design-reference observation; not predicted tract behavior</x:v>
      </x:c>
    </x:row>
    <x:row r="3773" ht="75.5999984741211" hidden="0" customHeight="1">
      <x:c r="A3773" s="36" t="str">
        <x:v>H3</x:v>
      </x:c>
      <x:c r="B3773" s="36" t="str">
        <x:v>48201342400</x:v>
      </x:c>
      <x:c r="C3773" s="66" t="n">
        <x:v>610.752725149476</x:v>
      </x:c>
      <x:c r="D3773" s="66" t="n">
        <x:v>260.521620261108</x:v>
      </x:c>
      <x:c r="E3773" s="66" t="n">
        <x:v>350.23110488836795</x:v>
      </x:c>
      <x:c r="F3773" s="66" t="n">
        <x:v>350.23110488836795</x:v>
      </x:c>
      <x:c r="G3773" s="66" t="n">
        <x:v>610.752725149476</x:v>
      </x:c>
      <x:c r="H3773" s="45" t="n">
        <x:v>1</x:v>
      </x:c>
      <x:c r="I3773" s="36" t="str">
        <x:v>generated design-reference observation; not predicted tract behavior</x:v>
      </x:c>
    </x:row>
    <x:row r="3774" ht="75.5999984741211" hidden="0" customHeight="1">
      <x:c r="A3774" s="34" t="str">
        <x:v>H3</x:v>
      </x:c>
      <x:c r="B3774" s="34" t="str">
        <x:v>48201342500</x:v>
      </x:c>
      <x:c r="C3774" s="65" t="n">
        <x:v>1096.177481102351</x:v>
      </x:c>
      <x:c r="D3774" s="65" t="n">
        <x:v>467.20867618476797</x:v>
      </x:c>
      <x:c r="E3774" s="65" t="n">
        <x:v>628.9688049175832</x:v>
      </x:c>
      <x:c r="F3774" s="65" t="n">
        <x:v>628.9688049175832</x:v>
      </x:c>
      <x:c r="G3774" s="65" t="n">
        <x:v>1096.177481102351</x:v>
      </x:c>
      <x:c r="H3774" s="43" t="n">
        <x:v>1</x:v>
      </x:c>
      <x:c r="I3774" s="34" t="str">
        <x:v>generated design-reference observation; not predicted tract behavior</x:v>
      </x:c>
    </x:row>
    <x:row r="3775" ht="75.5999984741211" hidden="0" customHeight="1">
      <x:c r="A3775" s="36" t="str">
        <x:v>H3</x:v>
      </x:c>
      <x:c r="B3775" s="36" t="str">
        <x:v>48201342700</x:v>
      </x:c>
      <x:c r="C3775" s="66" t="n">
        <x:v>380.33022434420474</x:v>
      </x:c>
      <x:c r="D3775" s="66" t="n">
        <x:v>339.43542510746164</x:v>
      </x:c>
      <x:c r="E3775" s="66" t="n">
        <x:v>40.8947992367431</x:v>
      </x:c>
      <x:c r="F3775" s="66" t="n">
        <x:v>40.8947992367431</x:v>
      </x:c>
      <x:c r="G3775" s="66" t="n">
        <x:v>380.33022434420474</x:v>
      </x:c>
      <x:c r="H3775" s="45" t="n">
        <x:v>1</x:v>
      </x:c>
      <x:c r="I3775" s="36" t="str">
        <x:v>generated design-reference observation; not predicted tract behavior</x:v>
      </x:c>
    </x:row>
    <x:row r="3776" ht="75.5999984741211" hidden="0" customHeight="1">
      <x:c r="A3776" s="34" t="str">
        <x:v>H3</x:v>
      </x:c>
      <x:c r="B3776" s="34" t="str">
        <x:v>48201342801</x:v>
      </x:c>
      <x:c r="C3776" s="65" t="n">
        <x:v>428.1397086426444</x:v>
      </x:c>
      <x:c r="D3776" s="65" t="n">
        <x:v>382.3287598178814</x:v>
      </x:c>
      <x:c r="E3776" s="65" t="n">
        <x:v>45.81094882476299</x:v>
      </x:c>
      <x:c r="F3776" s="65" t="n">
        <x:v>45.81094882476299</x:v>
      </x:c>
      <x:c r="G3776" s="65" t="n">
        <x:v>428.1397086426444</x:v>
      </x:c>
      <x:c r="H3776" s="43" t="n">
        <x:v>1</x:v>
      </x:c>
      <x:c r="I3776" s="34" t="str">
        <x:v>generated design-reference observation; not predicted tract behavior</x:v>
      </x:c>
    </x:row>
    <x:row r="3777" ht="75.5999984741211" hidden="0" customHeight="1">
      <x:c r="A3777" s="36" t="str">
        <x:v>H3</x:v>
      </x:c>
      <x:c r="B3777" s="36" t="str">
        <x:v>48201342802</x:v>
      </x:c>
      <x:c r="C3777" s="66" t="n">
        <x:v>294.07194879342774</x:v>
      </x:c>
      <x:c r="D3777" s="66" t="n">
        <x:v>262.60625027253093</x:v>
      </x:c>
      <x:c r="E3777" s="66" t="n">
        <x:v>31.465698520896808</x:v>
      </x:c>
      <x:c r="F3777" s="66" t="n">
        <x:v>31.465698520896808</x:v>
      </x:c>
      <x:c r="G3777" s="66" t="n">
        <x:v>294.07194879342774</x:v>
      </x:c>
      <x:c r="H3777" s="45" t="n">
        <x:v>1</x:v>
      </x:c>
      <x:c r="I3777" s="36" t="str">
        <x:v>generated design-reference observation; not predicted tract behavior</x:v>
      </x:c>
    </x:row>
    <x:row r="3778" ht="75.5999984741211" hidden="0" customHeight="1">
      <x:c r="A3778" s="34" t="str">
        <x:v>H3</x:v>
      </x:c>
      <x:c r="B3778" s="34" t="str">
        <x:v>48201342900</x:v>
      </x:c>
      <x:c r="C3778" s="65" t="n">
        <x:v>982.1947347538189</x:v>
      </x:c>
      <x:c r="D3778" s="65" t="n">
        <x:v>764.1458755232641</x:v>
      </x:c>
      <x:c r="E3778" s="65" t="n">
        <x:v>218.04885923055485</x:v>
      </x:c>
      <x:c r="F3778" s="65" t="n">
        <x:v>218.04885923055485</x:v>
      </x:c>
      <x:c r="G3778" s="65" t="n">
        <x:v>982.1947347538189</x:v>
      </x:c>
      <x:c r="H3778" s="43" t="n">
        <x:v>1</x:v>
      </x:c>
      <x:c r="I3778" s="34" t="str">
        <x:v>generated design-reference observation; not predicted tract behavior</x:v>
      </x:c>
    </x:row>
    <x:row r="3779" ht="75.5999984741211" hidden="0" customHeight="1">
      <x:c r="A3779" s="36" t="str">
        <x:v>H3</x:v>
      </x:c>
      <x:c r="B3779" s="36" t="str">
        <x:v>48201343000</x:v>
      </x:c>
      <x:c r="C3779" s="66" t="n">
        <x:v>1255.9555575877853</x:v>
      </x:c>
      <x:c r="D3779" s="66" t="n">
        <x:v>974.8059262780429</x:v>
      </x:c>
      <x:c r="E3779" s="66" t="n">
        <x:v>281.1496313097424</x:v>
      </x:c>
      <x:c r="F3779" s="66" t="n">
        <x:v>281.1496313097424</x:v>
      </x:c>
      <x:c r="G3779" s="66" t="n">
        <x:v>1255.9555575877853</x:v>
      </x:c>
      <x:c r="H3779" s="45" t="n">
        <x:v>1</x:v>
      </x:c>
      <x:c r="I3779" s="36" t="str">
        <x:v>generated design-reference observation; not predicted tract behavior</x:v>
      </x:c>
    </x:row>
    <x:row r="3780" ht="75.5999984741211" hidden="0" customHeight="1">
      <x:c r="A3780" s="34" t="str">
        <x:v>H3</x:v>
      </x:c>
      <x:c r="B3780" s="34" t="str">
        <x:v>48201343100</x:v>
      </x:c>
      <x:c r="C3780" s="65" t="n">
        <x:v>321.69817554158084</x:v>
      </x:c>
      <x:c r="D3780" s="65" t="n">
        <x:v>287.2565762661968</x:v>
      </x:c>
      <x:c r="E3780" s="65" t="n">
        <x:v>34.44159927538402</x:v>
      </x:c>
      <x:c r="F3780" s="65" t="n">
        <x:v>34.44159927538402</x:v>
      </x:c>
      <x:c r="G3780" s="65" t="n">
        <x:v>321.69817554158084</x:v>
      </x:c>
      <x:c r="H3780" s="43" t="n">
        <x:v>1</x:v>
      </x:c>
      <x:c r="I3780" s="34" t="str">
        <x:v>generated design-reference observation; not predicted tract behavior</x:v>
      </x:c>
    </x:row>
    <x:row r="3781" ht="75.5999984741211" hidden="0" customHeight="1">
      <x:c r="A3781" s="36" t="str">
        <x:v>H3</x:v>
      </x:c>
      <x:c r="B3781" s="36" t="str">
        <x:v>48201343200</x:v>
      </x:c>
      <x:c r="C3781" s="66" t="n">
        <x:v>441.3437089091871</x:v>
      </x:c>
      <x:c r="D3781" s="66" t="n">
        <x:v>393.9813496610416</x:v>
      </x:c>
      <x:c r="E3781" s="66" t="n">
        <x:v>47.36235924814554</x:v>
      </x:c>
      <x:c r="F3781" s="66" t="n">
        <x:v>47.36235924814554</x:v>
      </x:c>
      <x:c r="G3781" s="66" t="n">
        <x:v>441.3437089091871</x:v>
      </x:c>
      <x:c r="H3781" s="45" t="n">
        <x:v>1</x:v>
      </x:c>
      <x:c r="I3781" s="36" t="str">
        <x:v>generated design-reference observation; not predicted tract behavior</x:v>
      </x:c>
    </x:row>
    <x:row r="3782" ht="75.5999984741211" hidden="0" customHeight="1">
      <x:c r="A3782" s="34" t="str">
        <x:v>H3</x:v>
      </x:c>
      <x:c r="B3782" s="34" t="str">
        <x:v>48201343301</x:v>
      </x:c>
      <x:c r="C3782" s="65" t="n">
        <x:v>367.7156883752756</x:v>
      </x:c>
      <x:c r="D3782" s="65" t="n">
        <x:v>328.37010971912105</x:v>
      </x:c>
      <x:c r="E3782" s="65" t="n">
        <x:v>39.345578656154544</x:v>
      </x:c>
      <x:c r="F3782" s="65" t="n">
        <x:v>39.345578656154544</x:v>
      </x:c>
      <x:c r="G3782" s="65" t="n">
        <x:v>367.7156883752756</x:v>
      </x:c>
      <x:c r="H3782" s="43" t="n">
        <x:v>1</x:v>
      </x:c>
      <x:c r="I3782" s="34" t="str">
        <x:v>generated design-reference observation; not predicted tract behavior</x:v>
      </x:c>
    </x:row>
    <x:row r="3783" ht="75.5999984741211" hidden="0" customHeight="1">
      <x:c r="A3783" s="36" t="str">
        <x:v>H3</x:v>
      </x:c>
      <x:c r="B3783" s="36" t="str">
        <x:v>48201343302</x:v>
      </x:c>
      <x:c r="C3783" s="66" t="n">
        <x:v>396.53656276659217</x:v>
      </x:c>
      <x:c r="D3783" s="66" t="n">
        <x:v>353.7388207647212</x:v>
      </x:c>
      <x:c r="E3783" s="66" t="n">
        <x:v>42.79774200187097</x:v>
      </x:c>
      <x:c r="F3783" s="66" t="n">
        <x:v>42.79774200187097</x:v>
      </x:c>
      <x:c r="G3783" s="66" t="n">
        <x:v>396.53656276659217</x:v>
      </x:c>
      <x:c r="H3783" s="45" t="n">
        <x:v>1</x:v>
      </x:c>
      <x:c r="I3783" s="36" t="str">
        <x:v>generated design-reference observation; not predicted tract behavior</x:v>
      </x:c>
    </x:row>
    <x:row r="3784" ht="75.5999984741211" hidden="0" customHeight="1">
      <x:c r="A3784" s="34" t="str">
        <x:v>H3</x:v>
      </x:c>
      <x:c r="B3784" s="34" t="str">
        <x:v>48201343602</x:v>
      </x:c>
      <x:c r="C3784" s="65" t="n">
        <x:v>409.3028480059838</x:v>
      </x:c>
      <x:c r="D3784" s="65" t="n">
        <x:v>318.125778554601</x:v>
      </x:c>
      <x:c r="E3784" s="65" t="n">
        <x:v>91.17706945138275</x:v>
      </x:c>
      <x:c r="F3784" s="65" t="n">
        <x:v>91.17706945138275</x:v>
      </x:c>
      <x:c r="G3784" s="65" t="n">
        <x:v>409.3028480059838</x:v>
      </x:c>
      <x:c r="H3784" s="43" t="n">
        <x:v>1</x:v>
      </x:c>
      <x:c r="I3784" s="34" t="str">
        <x:v>generated design-reference observation; not predicted tract behavior</x:v>
      </x:c>
    </x:row>
    <x:row r="3785" ht="75.5999984741211" hidden="0" customHeight="1">
      <x:c r="A3785" s="36" t="str">
        <x:v>H3</x:v>
      </x:c>
      <x:c r="B3785" s="36" t="str">
        <x:v>48201343700</x:v>
      </x:c>
      <x:c r="C3785" s="66" t="n">
        <x:v>548.0500475101015</x:v>
      </x:c>
      <x:c r="D3785" s="66" t="n">
        <x:v>426.51253809594834</x:v>
      </x:c>
      <x:c r="E3785" s="66" t="n">
        <x:v>121.53750941415319</x:v>
      </x:c>
      <x:c r="F3785" s="66" t="n">
        <x:v>121.53750941415319</x:v>
      </x:c>
      <x:c r="G3785" s="66" t="n">
        <x:v>548.0500475101015</x:v>
      </x:c>
      <x:c r="H3785" s="45" t="n">
        <x:v>1</x:v>
      </x:c>
      <x:c r="I3785" s="36" t="str">
        <x:v>generated design-reference observation; not predicted tract behavior</x:v>
      </x:c>
    </x:row>
    <x:row r="3786" ht="75.5999984741211" hidden="0" customHeight="1">
      <x:c r="A3786" s="34" t="str">
        <x:v>H3</x:v>
      </x:c>
      <x:c r="B3786" s="34" t="str">
        <x:v>48201350101</x:v>
      </x:c>
      <x:c r="C3786" s="65" t="n">
        <x:v>611.1662570259556</x:v>
      </x:c>
      <x:c r="D3786" s="65" t="n">
        <x:v>476.0985142232194</x:v>
      </x:c>
      <x:c r="E3786" s="65" t="n">
        <x:v>135.06774280273618</x:v>
      </x:c>
      <x:c r="F3786" s="65" t="n">
        <x:v>135.06774280273618</x:v>
      </x:c>
      <x:c r="G3786" s="65" t="n">
        <x:v>611.1662570259556</x:v>
      </x:c>
      <x:c r="H3786" s="43" t="n">
        <x:v>1</x:v>
      </x:c>
      <x:c r="I3786" s="34" t="str">
        <x:v>generated design-reference observation; not predicted tract behavior</x:v>
      </x:c>
    </x:row>
    <x:row r="3787" ht="75.5999984741211" hidden="0" customHeight="1">
      <x:c r="A3787" s="36" t="str">
        <x:v>H3</x:v>
      </x:c>
      <x:c r="B3787" s="36" t="str">
        <x:v>48201350102</x:v>
      </x:c>
      <x:c r="C3787" s="66" t="n">
        <x:v>749.3572440646328</x:v>
      </x:c>
      <x:c r="D3787" s="66" t="n">
        <x:v>583.7492931263489</x:v>
      </x:c>
      <x:c r="E3787" s="66" t="n">
        <x:v>165.60795093828392</x:v>
      </x:c>
      <x:c r="F3787" s="66" t="n">
        <x:v>165.60795093828392</x:v>
      </x:c>
      <x:c r="G3787" s="66" t="n">
        <x:v>749.3572440646328</x:v>
      </x:c>
      <x:c r="H3787" s="45" t="n">
        <x:v>1</x:v>
      </x:c>
      <x:c r="I3787" s="36" t="str">
        <x:v>generated design-reference observation; not predicted tract behavior</x:v>
      </x:c>
    </x:row>
    <x:row r="3788" ht="75.5999984741211" hidden="0" customHeight="1">
      <x:c r="A3788" s="34" t="str">
        <x:v>H3</x:v>
      </x:c>
      <x:c r="B3788" s="34" t="str">
        <x:v>48201350103</x:v>
      </x:c>
      <x:c r="C3788" s="65" t="n">
        <x:v>1205.9172936655998</x:v>
      </x:c>
      <x:c r="D3788" s="65" t="n">
        <x:v>939.1783845359562</x:v>
      </x:c>
      <x:c r="E3788" s="65" t="n">
        <x:v>266.7389091296436</x:v>
      </x:c>
      <x:c r="F3788" s="65" t="n">
        <x:v>266.7389091296436</x:v>
      </x:c>
      <x:c r="G3788" s="65" t="n">
        <x:v>1205.9172936655998</x:v>
      </x:c>
      <x:c r="H3788" s="43" t="n">
        <x:v>1</x:v>
      </x:c>
      <x:c r="I3788" s="34" t="str">
        <x:v>generated design-reference observation; not predicted tract behavior</x:v>
      </x:c>
    </x:row>
    <x:row r="3789" ht="75.5999984741211" hidden="0" customHeight="1">
      <x:c r="A3789" s="36" t="str">
        <x:v>H3</x:v>
      </x:c>
      <x:c r="B3789" s="36" t="str">
        <x:v>48201350104</x:v>
      </x:c>
      <x:c r="C3789" s="66" t="n">
        <x:v>962.1314860887389</x:v>
      </x:c>
      <x:c r="D3789" s="66" t="n">
        <x:v>409.24318840420034</x:v>
      </x:c>
      <x:c r="E3789" s="66" t="n">
        <x:v>552.8882976845387</x:v>
      </x:c>
      <x:c r="F3789" s="66" t="n">
        <x:v>552.8882976845387</x:v>
      </x:c>
      <x:c r="G3789" s="66" t="n">
        <x:v>962.1314860887389</x:v>
      </x:c>
      <x:c r="H3789" s="45" t="n">
        <x:v>1</x:v>
      </x:c>
      <x:c r="I3789" s="36" t="str">
        <x:v>generated design-reference observation; not predicted tract behavior</x:v>
      </x:c>
    </x:row>
    <x:row r="3790" ht="75.5999984741211" hidden="0" customHeight="1">
      <x:c r="A3790" s="34" t="str">
        <x:v>H3</x:v>
      </x:c>
      <x:c r="B3790" s="34" t="str">
        <x:v>48201350201</x:v>
      </x:c>
      <x:c r="C3790" s="65" t="n">
        <x:v>304.5879918628528</x:v>
      </x:c>
      <x:c r="D3790" s="65" t="n">
        <x:v>271.71957751715905</x:v>
      </x:c>
      <x:c r="E3790" s="65" t="n">
        <x:v>32.868414345693736</x:v>
      </x:c>
      <x:c r="F3790" s="65" t="n">
        <x:v>32.868414345693736</x:v>
      </x:c>
      <x:c r="G3790" s="65" t="n">
        <x:v>304.5879918628528</x:v>
      </x:c>
      <x:c r="H3790" s="43" t="n">
        <x:v>1</x:v>
      </x:c>
      <x:c r="I3790" s="34" t="str">
        <x:v>generated design-reference observation; not predicted tract behavior</x:v>
      </x:c>
    </x:row>
    <x:row r="3791" ht="75.5999984741211" hidden="0" customHeight="1">
      <x:c r="A3791" s="36" t="str">
        <x:v>H3</x:v>
      </x:c>
      <x:c r="B3791" s="36" t="str">
        <x:v>48201350202</x:v>
      </x:c>
      <x:c r="C3791" s="66" t="n">
        <x:v>645.5679980134466</x:v>
      </x:c>
      <x:c r="D3791" s="66" t="n">
        <x:v>502.8974704524749</x:v>
      </x:c>
      <x:c r="E3791" s="66" t="n">
        <x:v>142.67052756097172</x:v>
      </x:c>
      <x:c r="F3791" s="66" t="n">
        <x:v>142.67052756097172</x:v>
      </x:c>
      <x:c r="G3791" s="66" t="n">
        <x:v>645.5679980134466</x:v>
      </x:c>
      <x:c r="H3791" s="45" t="n">
        <x:v>1</x:v>
      </x:c>
      <x:c r="I3791" s="36" t="str">
        <x:v>generated design-reference observation; not predicted tract behavior</x:v>
      </x:c>
    </x:row>
    <x:row r="3792" ht="75.5999984741211" hidden="0" customHeight="1">
      <x:c r="A3792" s="34" t="str">
        <x:v>H3</x:v>
      </x:c>
      <x:c r="B3792" s="34" t="str">
        <x:v>48201350300</x:v>
      </x:c>
      <x:c r="C3792" s="65" t="n">
        <x:v>913.7597435371908</x:v>
      </x:c>
      <x:c r="D3792" s="65" t="n">
        <x:v>711.8188402154716</x:v>
      </x:c>
      <x:c r="E3792" s="65" t="n">
        <x:v>201.94090332171925</x:v>
      </x:c>
      <x:c r="F3792" s="65" t="n">
        <x:v>201.94090332171925</x:v>
      </x:c>
      <x:c r="G3792" s="65" t="n">
        <x:v>913.7597435371908</x:v>
      </x:c>
      <x:c r="H3792" s="43" t="n">
        <x:v>1</x:v>
      </x:c>
      <x:c r="I3792" s="34" t="str">
        <x:v>generated design-reference observation; not predicted tract behavior</x:v>
      </x:c>
    </x:row>
    <x:row r="3793" ht="75.5999984741211" hidden="0" customHeight="1">
      <x:c r="A3793" s="36" t="str">
        <x:v>H3</x:v>
      </x:c>
      <x:c r="B3793" s="36" t="str">
        <x:v>48201350400</x:v>
      </x:c>
      <x:c r="C3793" s="66" t="n">
        <x:v>1013.3562358407363</x:v>
      </x:c>
      <x:c r="D3793" s="66" t="n">
        <x:v>432.49820073229745</x:v>
      </x:c>
      <x:c r="E3793" s="66" t="n">
        <x:v>580.8580351084388</x:v>
      </x:c>
      <x:c r="F3793" s="66" t="n">
        <x:v>580.8580351084388</x:v>
      </x:c>
      <x:c r="G3793" s="66" t="n">
        <x:v>1013.3562358407362</x:v>
      </x:c>
      <x:c r="H3793" s="45" t="n">
        <x:v>0.9999999999999999</x:v>
      </x:c>
      <x:c r="I3793" s="36" t="str">
        <x:v>generated design-reference observation; not predicted tract behavior</x:v>
      </x:c>
    </x:row>
    <x:row r="3794" ht="75.5999984741211" hidden="0" customHeight="1">
      <x:c r="A3794" s="34" t="str">
        <x:v>H3</x:v>
      </x:c>
      <x:c r="B3794" s="34" t="str">
        <x:v>48201350500</x:v>
      </x:c>
      <x:c r="C3794" s="65" t="n">
        <x:v>1196.7902703128593</x:v>
      </x:c>
      <x:c r="D3794" s="65" t="n">
        <x:v>511.02371973724064</x:v>
      </x:c>
      <x:c r="E3794" s="65" t="n">
        <x:v>685.7665505756187</x:v>
      </x:c>
      <x:c r="F3794" s="65" t="n">
        <x:v>685.7665505756187</x:v>
      </x:c>
      <x:c r="G3794" s="65" t="n">
        <x:v>1196.7902703128593</x:v>
      </x:c>
      <x:c r="H3794" s="43" t="n">
        <x:v>1</x:v>
      </x:c>
      <x:c r="I3794" s="34" t="str">
        <x:v>generated design-reference observation; not predicted tract behavior</x:v>
      </x:c>
    </x:row>
    <x:row r="3795" ht="75.5999984741211" hidden="0" customHeight="1">
      <x:c r="A3795" s="36" t="str">
        <x:v>H3</x:v>
      </x:c>
      <x:c r="B3795" s="36" t="str">
        <x:v>48201350601</x:v>
      </x:c>
      <x:c r="C3795" s="66" t="n">
        <x:v>310.52979198279695</x:v>
      </x:c>
      <x:c r="D3795" s="66" t="n">
        <x:v>276.69509627426316</x:v>
      </x:c>
      <x:c r="E3795" s="66" t="n">
        <x:v>33.834695708533786</x:v>
      </x:c>
      <x:c r="F3795" s="66" t="n">
        <x:v>33.834695708533786</x:v>
      </x:c>
      <x:c r="G3795" s="66" t="n">
        <x:v>310.52979198279695</x:v>
      </x:c>
      <x:c r="H3795" s="45" t="n">
        <x:v>1</x:v>
      </x:c>
      <x:c r="I3795" s="36" t="str">
        <x:v>generated design-reference observation; not predicted tract behavior</x:v>
      </x:c>
    </x:row>
    <x:row r="3796" ht="75.5999984741211" hidden="0" customHeight="1">
      <x:c r="A3796" s="34" t="str">
        <x:v>H3</x:v>
      </x:c>
      <x:c r="B3796" s="34" t="str">
        <x:v>48201350603</x:v>
      </x:c>
      <x:c r="C3796" s="65" t="n">
        <x:v>357.3804143571187</x:v>
      </x:c>
      <x:c r="D3796" s="65" t="n">
        <x:v>319.14071002090697</x:v>
      </x:c>
      <x:c r="E3796" s="65" t="n">
        <x:v>38.23970433621173</x:v>
      </x:c>
      <x:c r="F3796" s="65" t="n">
        <x:v>38.23970433621173</x:v>
      </x:c>
      <x:c r="G3796" s="65" t="n">
        <x:v>357.3804143571187</x:v>
      </x:c>
      <x:c r="H3796" s="43" t="n">
        <x:v>1</x:v>
      </x:c>
      <x:c r="I3796" s="34" t="str">
        <x:v>generated design-reference observation; not predicted tract behavior</x:v>
      </x:c>
    </x:row>
    <x:row r="3797" ht="75.5999984741211" hidden="0" customHeight="1">
      <x:c r="A3797" s="36" t="str">
        <x:v>H3</x:v>
      </x:c>
      <x:c r="B3797" s="36" t="str">
        <x:v>48201350604</x:v>
      </x:c>
      <x:c r="C3797" s="66" t="n">
        <x:v>294.32345356040946</x:v>
      </x:c>
      <x:c r="D3797" s="66" t="n">
        <x:v>262.46662806969795</x:v>
      </x:c>
      <x:c r="E3797" s="66" t="n">
        <x:v>31.856825490711515</x:v>
      </x:c>
      <x:c r="F3797" s="66" t="n">
        <x:v>31.856825490711515</x:v>
      </x:c>
      <x:c r="G3797" s="66" t="n">
        <x:v>294.32345356040946</x:v>
      </x:c>
      <x:c r="H3797" s="45" t="n">
        <x:v>1</x:v>
      </x:c>
      <x:c r="I3797" s="36" t="str">
        <x:v>generated design-reference observation; not predicted tract behavior</x:v>
      </x:c>
    </x:row>
    <x:row r="3798" ht="75.5999984741211" hidden="0" customHeight="1">
      <x:c r="A3798" s="34" t="str">
        <x:v>H3</x:v>
      </x:c>
      <x:c r="B3798" s="34" t="str">
        <x:v>48201350700</x:v>
      </x:c>
      <x:c r="C3798" s="65" t="n">
        <x:v>188.72681928592542</x:v>
      </x:c>
      <x:c r="D3798" s="65" t="n">
        <x:v>168.53304962233136</x:v>
      </x:c>
      <x:c r="E3798" s="65" t="n">
        <x:v>20.193769663594054</x:v>
      </x:c>
      <x:c r="F3798" s="65" t="n">
        <x:v>20.193769663594054</x:v>
      </x:c>
      <x:c r="G3798" s="65" t="n">
        <x:v>188.72681928592542</x:v>
      </x:c>
      <x:c r="H3798" s="43" t="n">
        <x:v>1</x:v>
      </x:c>
      <x:c r="I3798" s="34" t="str">
        <x:v>generated design-reference observation; not predicted tract behavior</x:v>
      </x:c>
    </x:row>
    <x:row r="3799" ht="75.5999984741211" hidden="0" customHeight="1">
      <x:c r="A3799" s="36" t="str">
        <x:v>H3</x:v>
      </x:c>
      <x:c r="B3799" s="36" t="str">
        <x:v>48201350801</x:v>
      </x:c>
      <x:c r="C3799" s="66" t="n">
        <x:v>382.51517200735873</x:v>
      </x:c>
      <x:c r="D3799" s="66" t="n">
        <x:v>341.4310338641455</x:v>
      </x:c>
      <x:c r="E3799" s="66" t="n">
        <x:v>41.08413814321324</x:v>
      </x:c>
      <x:c r="F3799" s="66" t="n">
        <x:v>41.08413814321324</x:v>
      </x:c>
      <x:c r="G3799" s="66" t="n">
        <x:v>382.51517200735873</x:v>
      </x:c>
      <x:c r="H3799" s="45" t="n">
        <x:v>1</x:v>
      </x:c>
      <x:c r="I3799" s="36" t="str">
        <x:v>generated design-reference observation; not predicted tract behavior</x:v>
      </x:c>
    </x:row>
    <x:row r="3800" ht="75.5999984741211" hidden="0" customHeight="1">
      <x:c r="A3800" s="34" t="str">
        <x:v>H3</x:v>
      </x:c>
      <x:c r="B3800" s="34" t="str">
        <x:v>48201350803</x:v>
      </x:c>
      <x:c r="C3800" s="65" t="n">
        <x:v>245.59440495769277</x:v>
      </x:c>
      <x:c r="D3800" s="65" t="n">
        <x:v>218.84160729505268</x:v>
      </x:c>
      <x:c r="E3800" s="65" t="n">
        <x:v>26.75279766264009</x:v>
      </x:c>
      <x:c r="F3800" s="65" t="n">
        <x:v>26.75279766264009</x:v>
      </x:c>
      <x:c r="G3800" s="65" t="n">
        <x:v>245.59440495769277</x:v>
      </x:c>
      <x:c r="H3800" s="43" t="n">
        <x:v>1</x:v>
      </x:c>
      <x:c r="I3800" s="34" t="str">
        <x:v>generated design-reference observation; not predicted tract behavior</x:v>
      </x:c>
    </x:row>
    <x:row r="3801" ht="75.5999984741211" hidden="0" customHeight="1">
      <x:c r="A3801" s="36" t="str">
        <x:v>H3</x:v>
      </x:c>
      <x:c r="B3801" s="36" t="str">
        <x:v>48201350804</x:v>
      </x:c>
      <x:c r="C3801" s="66" t="n">
        <x:v>521.3851010011334</x:v>
      </x:c>
      <x:c r="D3801" s="66" t="n">
        <x:v>463.9510233716817</x:v>
      </x:c>
      <x:c r="E3801" s="66" t="n">
        <x:v>57.434077629451735</x:v>
      </x:c>
      <x:c r="F3801" s="66" t="n">
        <x:v>57.434077629451735</x:v>
      </x:c>
      <x:c r="G3801" s="66" t="n">
        <x:v>521.3851010011334</x:v>
      </x:c>
      <x:c r="H3801" s="45" t="n">
        <x:v>1</x:v>
      </x:c>
      <x:c r="I3801" s="36" t="str">
        <x:v>generated design-reference observation; not predicted tract behavior</x:v>
      </x:c>
    </x:row>
    <x:row r="3802" ht="75.5999984741211" hidden="0" customHeight="1">
      <x:c r="A3802" s="34" t="str">
        <x:v>H3</x:v>
      </x:c>
      <x:c r="B3802" s="34" t="str">
        <x:v>48201410101</x:v>
      </x:c>
      <x:c r="C3802" s="65" t="n">
        <x:v>176.100494031044</x:v>
      </x:c>
      <x:c r="D3802" s="65" t="n">
        <x:v>156.0480662376475</x:v>
      </x:c>
      <x:c r="E3802" s="65" t="n">
        <x:v>20.052427793396504</x:v>
      </x:c>
      <x:c r="F3802" s="65" t="n">
        <x:v>20.052427793396504</x:v>
      </x:c>
      <x:c r="G3802" s="65" t="n">
        <x:v>176.100494031044</x:v>
      </x:c>
      <x:c r="H3802" s="43" t="n">
        <x:v>1</x:v>
      </x:c>
      <x:c r="I3802" s="34" t="str">
        <x:v>generated design-reference observation; not predicted tract behavior</x:v>
      </x:c>
    </x:row>
    <x:row r="3803" ht="75.5999984741211" hidden="0" customHeight="1">
      <x:c r="A3803" s="36" t="str">
        <x:v>H3</x:v>
      </x:c>
      <x:c r="B3803" s="36" t="str">
        <x:v>48201410102</x:v>
      </x:c>
      <x:c r="C3803" s="66" t="n">
        <x:v>321.7060350655491</x:v>
      </x:c>
      <x:c r="D3803" s="66" t="n">
        <x:v>282.59015471356514</x:v>
      </x:c>
      <x:c r="E3803" s="66" t="n">
        <x:v>39.11588035198395</x:v>
      </x:c>
      <x:c r="F3803" s="66" t="n">
        <x:v>39.11588035198395</x:v>
      </x:c>
      <x:c r="G3803" s="66" t="n">
        <x:v>321.7060350655491</x:v>
      </x:c>
      <x:c r="H3803" s="45" t="n">
        <x:v>1</x:v>
      </x:c>
      <x:c r="I3803" s="36" t="str">
        <x:v>generated design-reference observation; not predicted tract behavior</x:v>
      </x:c>
    </x:row>
    <x:row r="3804" ht="75.5999984741211" hidden="0" customHeight="1">
      <x:c r="A3804" s="34" t="str">
        <x:v>H3</x:v>
      </x:c>
      <x:c r="B3804" s="34" t="str">
        <x:v>48201410201</x:v>
      </x:c>
      <x:c r="C3804" s="65" t="n">
        <x:v>139.5065504351973</x:v>
      </x:c>
      <x:c r="D3804" s="65" t="n">
        <x:v>122.73984455146773</x:v>
      </x:c>
      <x:c r="E3804" s="65" t="n">
        <x:v>16.766705883729585</x:v>
      </x:c>
      <x:c r="F3804" s="65" t="n">
        <x:v>16.766705883729585</x:v>
      </x:c>
      <x:c r="G3804" s="65" t="n">
        <x:v>139.5065504351973</x:v>
      </x:c>
      <x:c r="H3804" s="43" t="n">
        <x:v>1</x:v>
      </x:c>
      <x:c r="I3804" s="34" t="str">
        <x:v>generated design-reference observation; not predicted tract behavior</x:v>
      </x:c>
    </x:row>
    <x:row r="3805" ht="75.5999984741211" hidden="0" customHeight="1">
      <x:c r="A3805" s="36" t="str">
        <x:v>H3</x:v>
      </x:c>
      <x:c r="B3805" s="36" t="str">
        <x:v>48201410202</x:v>
      </x:c>
      <x:c r="C3805" s="66" t="n">
        <x:v>311.59082771850126</x:v>
      </x:c>
      <x:c r="D3805" s="66" t="n">
        <x:v>275.85326539759023</x:v>
      </x:c>
      <x:c r="E3805" s="66" t="n">
        <x:v>35.737562320911024</x:v>
      </x:c>
      <x:c r="F3805" s="66" t="n">
        <x:v>35.737562320911024</x:v>
      </x:c>
      <x:c r="G3805" s="66" t="n">
        <x:v>311.59082771850126</x:v>
      </x:c>
      <x:c r="H3805" s="45" t="n">
        <x:v>1</x:v>
      </x:c>
      <x:c r="I3805" s="36" t="str">
        <x:v>generated design-reference observation; not predicted tract behavior</x:v>
      </x:c>
    </x:row>
    <x:row r="3806" ht="75.5999984741211" hidden="0" customHeight="1">
      <x:c r="A3806" s="34" t="str">
        <x:v>H3</x:v>
      </x:c>
      <x:c r="B3806" s="34" t="str">
        <x:v>48201410300</x:v>
      </x:c>
      <x:c r="C3806" s="65" t="n">
        <x:v>300.2966917762264</x:v>
      </x:c>
      <x:c r="D3806" s="65" t="n">
        <x:v>264.29522375411904</x:v>
      </x:c>
      <x:c r="E3806" s="65" t="n">
        <x:v>36.00146802210736</x:v>
      </x:c>
      <x:c r="F3806" s="65" t="n">
        <x:v>36.00146802210736</x:v>
      </x:c>
      <x:c r="G3806" s="65" t="n">
        <x:v>300.2966917762264</x:v>
      </x:c>
      <x:c r="H3806" s="43" t="n">
        <x:v>1</x:v>
      </x:c>
      <x:c r="I3806" s="34" t="str">
        <x:v>generated design-reference observation; not predicted tract behavior</x:v>
      </x:c>
    </x:row>
    <x:row r="3807" ht="75.5999984741211" hidden="0" customHeight="1">
      <x:c r="A3807" s="36" t="str">
        <x:v>H3</x:v>
      </x:c>
      <x:c r="B3807" s="36" t="str">
        <x:v>48201410401</x:v>
      </x:c>
      <x:c r="C3807" s="66" t="n">
        <x:v>311.58296819453307</x:v>
      </x:c>
      <x:c r="D3807" s="66" t="n">
        <x:v>277.51433703658137</x:v>
      </x:c>
      <x:c r="E3807" s="66" t="n">
        <x:v>34.0686311579517</x:v>
      </x:c>
      <x:c r="F3807" s="66" t="n">
        <x:v>34.0686311579517</x:v>
      </x:c>
      <x:c r="G3807" s="66" t="n">
        <x:v>311.58296819453307</x:v>
      </x:c>
      <x:c r="H3807" s="45" t="n">
        <x:v>1</x:v>
      </x:c>
      <x:c r="I3807" s="36" t="str">
        <x:v>generated design-reference observation; not predicted tract behavior</x:v>
      </x:c>
    </x:row>
    <x:row r="3808" ht="75.5999984741211" hidden="0" customHeight="1">
      <x:c r="A3808" s="34" t="str">
        <x:v>H3</x:v>
      </x:c>
      <x:c r="B3808" s="34" t="str">
        <x:v>48201410402</x:v>
      </x:c>
      <x:c r="C3808" s="65" t="n">
        <x:v>243.57450729787044</x:v>
      </x:c>
      <x:c r="D3808" s="65" t="n">
        <x:v>217.16368134144255</x:v>
      </x:c>
      <x:c r="E3808" s="65" t="n">
        <x:v>26.410825956427885</x:v>
      </x:c>
      <x:c r="F3808" s="65" t="n">
        <x:v>26.410825956427885</x:v>
      </x:c>
      <x:c r="G3808" s="65" t="n">
        <x:v>243.57450729787044</x:v>
      </x:c>
      <x:c r="H3808" s="43" t="n">
        <x:v>1</x:v>
      </x:c>
      <x:c r="I3808" s="34" t="str">
        <x:v>generated design-reference observation; not predicted tract behavior</x:v>
      </x:c>
    </x:row>
    <x:row r="3809" ht="75.5999984741211" hidden="0" customHeight="1">
      <x:c r="A3809" s="36" t="str">
        <x:v>H3</x:v>
      </x:c>
      <x:c r="B3809" s="36" t="str">
        <x:v>48201410501</x:v>
      </x:c>
      <x:c r="C3809" s="66" t="n">
        <x:v>145.85704580148686</x:v>
      </x:c>
      <x:c r="D3809" s="66" t="n">
        <x:v>129.91547843307515</x:v>
      </x:c>
      <x:c r="E3809" s="66" t="n">
        <x:v>15.941567368411711</x:v>
      </x:c>
      <x:c r="F3809" s="66" t="n">
        <x:v>15.941567368411711</x:v>
      </x:c>
      <x:c r="G3809" s="66" t="n">
        <x:v>145.85704580148686</x:v>
      </x:c>
      <x:c r="H3809" s="45" t="n">
        <x:v>1</x:v>
      </x:c>
      <x:c r="I3809" s="36" t="str">
        <x:v>generated design-reference observation; not predicted tract behavior</x:v>
      </x:c>
    </x:row>
    <x:row r="3810" ht="75.5999984741211" hidden="0" customHeight="1">
      <x:c r="A3810" s="34" t="str">
        <x:v>H3</x:v>
      </x:c>
      <x:c r="B3810" s="34" t="str">
        <x:v>48201410502</x:v>
      </x:c>
      <x:c r="C3810" s="65" t="n">
        <x:v>241.70394059344352</x:v>
      </x:c>
      <x:c r="D3810" s="65" t="n">
        <x:v>214.9387370313998</x:v>
      </x:c>
      <x:c r="E3810" s="65" t="n">
        <x:v>26.765203562043723</x:v>
      </x:c>
      <x:c r="F3810" s="65" t="n">
        <x:v>26.765203562043723</x:v>
      </x:c>
      <x:c r="G3810" s="65" t="n">
        <x:v>241.70394059344352</x:v>
      </x:c>
      <x:c r="H3810" s="43" t="n">
        <x:v>1</x:v>
      </x:c>
      <x:c r="I3810" s="34" t="str">
        <x:v>generated design-reference observation; not predicted tract behavior</x:v>
      </x:c>
    </x:row>
    <x:row r="3811" ht="75.5999984741211" hidden="0" customHeight="1">
      <x:c r="A3811" s="36" t="str">
        <x:v>H3</x:v>
      </x:c>
      <x:c r="B3811" s="36" t="str">
        <x:v>48201410601</x:v>
      </x:c>
      <x:c r="C3811" s="66" t="n">
        <x:v>294.8421821423094</x:v>
      </x:c>
      <x:c r="D3811" s="66" t="n">
        <x:v>258.20404231659785</x:v>
      </x:c>
      <x:c r="E3811" s="66" t="n">
        <x:v>36.63813982571156</x:v>
      </x:c>
      <x:c r="F3811" s="66" t="n">
        <x:v>36.63813982571156</x:v>
      </x:c>
      <x:c r="G3811" s="66" t="n">
        <x:v>294.8421821423094</x:v>
      </x:c>
      <x:c r="H3811" s="45" t="n">
        <x:v>1</x:v>
      </x:c>
      <x:c r="I3811" s="36" t="str">
        <x:v>generated design-reference observation; not predicted tract behavior</x:v>
      </x:c>
    </x:row>
    <x:row r="3812" ht="75.5999984741211" hidden="0" customHeight="1">
      <x:c r="A3812" s="34" t="str">
        <x:v>H3</x:v>
      </x:c>
      <x:c r="B3812" s="34" t="str">
        <x:v>48201410602</x:v>
      </x:c>
      <x:c r="C3812" s="65" t="n">
        <x:v>213.18958763688605</x:v>
      </x:c>
      <x:c r="D3812" s="65" t="n">
        <x:v>187.30635512856196</x:v>
      </x:c>
      <x:c r="E3812" s="65" t="n">
        <x:v>25.883232508324085</x:v>
      </x:c>
      <x:c r="F3812" s="65" t="n">
        <x:v>25.883232508324085</x:v>
      </x:c>
      <x:c r="G3812" s="65" t="n">
        <x:v>213.18958763688605</x:v>
      </x:c>
      <x:c r="H3812" s="43" t="n">
        <x:v>1</x:v>
      </x:c>
      <x:c r="I3812" s="34" t="str">
        <x:v>generated design-reference observation; not predicted tract behavior</x:v>
      </x:c>
    </x:row>
    <x:row r="3813" ht="75.5999984741211" hidden="0" customHeight="1">
      <x:c r="A3813" s="36" t="str">
        <x:v>H3</x:v>
      </x:c>
      <x:c r="B3813" s="36" t="str">
        <x:v>48201410703</x:v>
      </x:c>
      <x:c r="C3813" s="66" t="n">
        <x:v>184.9188799233421</x:v>
      </x:c>
      <x:c r="D3813" s="66" t="n">
        <x:v>163.29507010583552</x:v>
      </x:c>
      <x:c r="E3813" s="66" t="n">
        <x:v>21.623809817506583</x:v>
      </x:c>
      <x:c r="F3813" s="66" t="n">
        <x:v>21.623809817506583</x:v>
      </x:c>
      <x:c r="G3813" s="66" t="n">
        <x:v>184.9188799233421</x:v>
      </x:c>
      <x:c r="H3813" s="45" t="n">
        <x:v>1</x:v>
      </x:c>
      <x:c r="I3813" s="36" t="str">
        <x:v>generated design-reference observation; not predicted tract behavior</x:v>
      </x:c>
    </x:row>
    <x:row r="3814" ht="75.5999984741211" hidden="0" customHeight="1">
      <x:c r="A3814" s="34" t="str">
        <x:v>H3</x:v>
      </x:c>
      <x:c r="B3814" s="34" t="str">
        <x:v>48201410704</x:v>
      </x:c>
      <x:c r="C3814" s="65" t="n">
        <x:v>171.75417727664038</x:v>
      </x:c>
      <x:c r="D3814" s="65" t="n">
        <x:v>152.312938743143</x:v>
      </x:c>
      <x:c r="E3814" s="65" t="n">
        <x:v>19.44123853349737</x:v>
      </x:c>
      <x:c r="F3814" s="65" t="n">
        <x:v>19.44123853349737</x:v>
      </x:c>
      <x:c r="G3814" s="65" t="n">
        <x:v>171.75417727664038</x:v>
      </x:c>
      <x:c r="H3814" s="43" t="n">
        <x:v>1</x:v>
      </x:c>
      <x:c r="I3814" s="34" t="str">
        <x:v>generated design-reference observation; not predicted tract behavior</x:v>
      </x:c>
    </x:row>
    <x:row r="3815" ht="75.5999984741211" hidden="0" customHeight="1">
      <x:c r="A3815" s="36" t="str">
        <x:v>H3</x:v>
      </x:c>
      <x:c r="B3815" s="36" t="str">
        <x:v>48201410705</x:v>
      </x:c>
      <x:c r="C3815" s="66" t="n">
        <x:v>89.37850656614447</x:v>
      </x:c>
      <x:c r="D3815" s="66" t="n">
        <x:v>79.65283244625458</x:v>
      </x:c>
      <x:c r="E3815" s="66" t="n">
        <x:v>9.725674119889888</x:v>
      </x:c>
      <x:c r="F3815" s="66" t="n">
        <x:v>9.725674119889888</x:v>
      </x:c>
      <x:c r="G3815" s="66" t="n">
        <x:v>89.37850656614447</x:v>
      </x:c>
      <x:c r="H3815" s="45" t="n">
        <x:v>1</x:v>
      </x:c>
      <x:c r="I3815" s="36" t="str">
        <x:v>generated design-reference observation; not predicted tract behavior</x:v>
      </x:c>
    </x:row>
    <x:row r="3816" ht="75.5999984741211" hidden="0" customHeight="1">
      <x:c r="A3816" s="34" t="str">
        <x:v>H3</x:v>
      </x:c>
      <x:c r="B3816" s="34" t="str">
        <x:v>48201410706</x:v>
      </x:c>
      <x:c r="C3816" s="65" t="n">
        <x:v>150.08546969636777</x:v>
      </x:c>
      <x:c r="D3816" s="65" t="n">
        <x:v>132.1614352362962</x:v>
      </x:c>
      <x:c r="E3816" s="65" t="n">
        <x:v>17.924034460071567</x:v>
      </x:c>
      <x:c r="F3816" s="65" t="n">
        <x:v>17.924034460071567</x:v>
      </x:c>
      <x:c r="G3816" s="65" t="n">
        <x:v>150.08546969636777</x:v>
      </x:c>
      <x:c r="H3816" s="43" t="n">
        <x:v>1</x:v>
      </x:c>
      <x:c r="I3816" s="34" t="str">
        <x:v>generated design-reference observation; not predicted tract behavior</x:v>
      </x:c>
    </x:row>
    <x:row r="3817" ht="75.5999984741211" hidden="0" customHeight="1">
      <x:c r="A3817" s="36" t="str">
        <x:v>H3</x:v>
      </x:c>
      <x:c r="B3817" s="36" t="str">
        <x:v>48201410801</x:v>
      </x:c>
      <x:c r="C3817" s="66" t="n">
        <x:v>217.41801153176698</x:v>
      </x:c>
      <x:c r="D3817" s="66" t="n">
        <x:v>192.88764741254641</x:v>
      </x:c>
      <x:c r="E3817" s="66" t="n">
        <x:v>24.530364119220565</x:v>
      </x:c>
      <x:c r="F3817" s="66" t="n">
        <x:v>24.530364119220565</x:v>
      </x:c>
      <x:c r="G3817" s="66" t="n">
        <x:v>217.41801153176698</x:v>
      </x:c>
      <x:c r="H3817" s="45" t="n">
        <x:v>1</x:v>
      </x:c>
      <x:c r="I3817" s="36" t="str">
        <x:v>generated design-reference observation; not predicted tract behavior</x:v>
      </x:c>
    </x:row>
    <x:row r="3818" ht="75.5999984741211" hidden="0" customHeight="1">
      <x:c r="A3818" s="34" t="str">
        <x:v>H3</x:v>
      </x:c>
      <x:c r="B3818" s="34" t="str">
        <x:v>48201410802</x:v>
      </x:c>
      <x:c r="C3818" s="65" t="n">
        <x:v>114.89052136685714</x:v>
      </x:c>
      <x:c r="D3818" s="65" t="n">
        <x:v>101.98102337915914</x:v>
      </x:c>
      <x:c r="E3818" s="65" t="n">
        <x:v>12.909497987698003</x:v>
      </x:c>
      <x:c r="F3818" s="65" t="n">
        <x:v>12.909497987698003</x:v>
      </x:c>
      <x:c r="G3818" s="65" t="n">
        <x:v>114.89052136685714</x:v>
      </x:c>
      <x:c r="H3818" s="43" t="n">
        <x:v>1</x:v>
      </x:c>
      <x:c r="I3818" s="34" t="str">
        <x:v>generated design-reference observation; not predicted tract behavior</x:v>
      </x:c>
    </x:row>
    <x:row r="3819" ht="75.5999984741211" hidden="0" customHeight="1">
      <x:c r="A3819" s="36" t="str">
        <x:v>H3</x:v>
      </x:c>
      <x:c r="B3819" s="36" t="str">
        <x:v>48201410900</x:v>
      </x:c>
      <x:c r="C3819" s="66" t="n">
        <x:v>282.4870104643303</x:v>
      </x:c>
      <x:c r="D3819" s="66" t="n">
        <x:v>249.82159511015422</x:v>
      </x:c>
      <x:c r="E3819" s="66" t="n">
        <x:v>32.665415354176076</x:v>
      </x:c>
      <x:c r="F3819" s="66" t="n">
        <x:v>32.665415354176076</x:v>
      </x:c>
      <x:c r="G3819" s="66" t="n">
        <x:v>282.4870104643303</x:v>
      </x:c>
      <x:c r="H3819" s="45" t="n">
        <x:v>1</x:v>
      </x:c>
      <x:c r="I3819" s="36" t="str">
        <x:v>generated design-reference observation; not predicted tract behavior</x:v>
      </x:c>
    </x:row>
    <x:row r="3820" ht="75.5999984741211" hidden="0" customHeight="1">
      <x:c r="A3820" s="34" t="str">
        <x:v>H3</x:v>
      </x:c>
      <x:c r="B3820" s="34" t="str">
        <x:v>48201411001</x:v>
      </x:c>
      <x:c r="C3820" s="65" t="n">
        <x:v>215.90112340590824</x:v>
      </x:c>
      <x:c r="D3820" s="65" t="n">
        <x:v>189.63921474714556</x:v>
      </x:c>
      <x:c r="E3820" s="65" t="n">
        <x:v>26.261908658762678</x:v>
      </x:c>
      <x:c r="F3820" s="65" t="n">
        <x:v>26.261908658762678</x:v>
      </x:c>
      <x:c r="G3820" s="65" t="n">
        <x:v>215.90112340590824</x:v>
      </x:c>
      <x:c r="H3820" s="43" t="n">
        <x:v>1</x:v>
      </x:c>
      <x:c r="I3820" s="34" t="str">
        <x:v>generated design-reference observation; not predicted tract behavior</x:v>
      </x:c>
    </x:row>
    <x:row r="3821" ht="75.5999984741211" hidden="0" customHeight="1">
      <x:c r="A3821" s="36" t="str">
        <x:v>H3</x:v>
      </x:c>
      <x:c r="B3821" s="36" t="str">
        <x:v>48201411002</x:v>
      </x:c>
      <x:c r="C3821" s="66" t="n">
        <x:v>173.54614874138545</x:v>
      </x:c>
      <x:c r="D3821" s="66" t="n">
        <x:v>153.62245959674325</x:v>
      </x:c>
      <x:c r="E3821" s="66" t="n">
        <x:v>19.923689144642196</x:v>
      </x:c>
      <x:c r="F3821" s="66" t="n">
        <x:v>19.923689144642196</x:v>
      </x:c>
      <x:c r="G3821" s="66" t="n">
        <x:v>173.54614874138545</x:v>
      </x:c>
      <x:c r="H3821" s="45" t="n">
        <x:v>1</x:v>
      </x:c>
      <x:c r="I3821" s="36" t="str">
        <x:v>generated design-reference observation; not predicted tract behavior</x:v>
      </x:c>
    </x:row>
    <x:row r="3822" ht="75.5999984741211" hidden="0" customHeight="1">
      <x:c r="A3822" s="34" t="str">
        <x:v>H3</x:v>
      </x:c>
      <x:c r="B3822" s="34" t="str">
        <x:v>48201411003</x:v>
      </x:c>
      <x:c r="C3822" s="65" t="n">
        <x:v>136.70070037855703</x:v>
      </x:c>
      <x:c r="D3822" s="65" t="n">
        <x:v>120.72617266040643</x:v>
      </x:c>
      <x:c r="E3822" s="65" t="n">
        <x:v>15.974527718150597</x:v>
      </x:c>
      <x:c r="F3822" s="65" t="n">
        <x:v>15.974527718150597</x:v>
      </x:c>
      <x:c r="G3822" s="65" t="n">
        <x:v>136.70070037855703</x:v>
      </x:c>
      <x:c r="H3822" s="43" t="n">
        <x:v>1</x:v>
      </x:c>
      <x:c r="I3822" s="34" t="str">
        <x:v>generated design-reference observation; not predicted tract behavior</x:v>
      </x:c>
    </x:row>
    <x:row r="3823" ht="75.5999984741211" hidden="0" customHeight="1">
      <x:c r="A3823" s="36" t="str">
        <x:v>H3</x:v>
      </x:c>
      <x:c r="B3823" s="36" t="str">
        <x:v>48201411100</x:v>
      </x:c>
      <x:c r="C3823" s="66" t="n">
        <x:v>290.99887492186934</x:v>
      </x:c>
      <x:c r="D3823" s="66" t="n">
        <x:v>258.04236668821784</x:v>
      </x:c>
      <x:c r="E3823" s="66" t="n">
        <x:v>32.956508233651505</x:v>
      </x:c>
      <x:c r="F3823" s="66" t="n">
        <x:v>32.956508233651505</x:v>
      </x:c>
      <x:c r="G3823" s="66" t="n">
        <x:v>290.99887492186934</x:v>
      </x:c>
      <x:c r="H3823" s="45" t="n">
        <x:v>1</x:v>
      </x:c>
      <x:c r="I3823" s="36" t="str">
        <x:v>generated design-reference observation; not predicted tract behavior</x:v>
      </x:c>
    </x:row>
    <x:row r="3824" ht="75.5999984741211" hidden="0" customHeight="1">
      <x:c r="A3824" s="34" t="str">
        <x:v>H3</x:v>
      </x:c>
      <x:c r="B3824" s="34" t="str">
        <x:v>48201411200</x:v>
      </x:c>
      <x:c r="C3824" s="65" t="n">
        <x:v>135.85187178999357</x:v>
      </x:c>
      <x:c r="D3824" s="65" t="n">
        <x:v>120.50174892899695</x:v>
      </x:c>
      <x:c r="E3824" s="65" t="n">
        <x:v>15.35012286099662</x:v>
      </x:c>
      <x:c r="F3824" s="65" t="n">
        <x:v>15.35012286099662</x:v>
      </x:c>
      <x:c r="G3824" s="65" t="n">
        <x:v>135.85187178999357</x:v>
      </x:c>
      <x:c r="H3824" s="43" t="n">
        <x:v>1</x:v>
      </x:c>
      <x:c r="I3824" s="34" t="str">
        <x:v>generated design-reference observation; not predicted tract behavior</x:v>
      </x:c>
    </x:row>
    <x:row r="3825" ht="75.5999984741211" hidden="0" customHeight="1">
      <x:c r="A3825" s="36" t="str">
        <x:v>H3</x:v>
      </x:c>
      <x:c r="B3825" s="36" t="str">
        <x:v>48201411301</x:v>
      </x:c>
      <x:c r="C3825" s="66" t="n">
        <x:v>154.39248883093052</x:v>
      </x:c>
      <x:c r="D3825" s="66" t="n">
        <x:v>135.79609002514084</x:v>
      </x:c>
      <x:c r="E3825" s="66" t="n">
        <x:v>18.596398805789676</x:v>
      </x:c>
      <x:c r="F3825" s="66" t="n">
        <x:v>18.596398805789676</x:v>
      </x:c>
      <x:c r="G3825" s="66" t="n">
        <x:v>154.39248883093052</x:v>
      </x:c>
      <x:c r="H3825" s="45" t="n">
        <x:v>1</x:v>
      </x:c>
      <x:c r="I3825" s="36" t="str">
        <x:v>generated design-reference observation; not predicted tract behavior</x:v>
      </x:c>
    </x:row>
    <x:row r="3826" ht="75.5999984741211" hidden="0" customHeight="1">
      <x:c r="A3826" s="34" t="str">
        <x:v>H3</x:v>
      </x:c>
      <x:c r="B3826" s="34" t="str">
        <x:v>48201411302</x:v>
      </x:c>
      <x:c r="C3826" s="65" t="n">
        <x:v>244.72985732119292</x:v>
      </x:c>
      <x:c r="D3826" s="65" t="n">
        <x:v>214.475631942251</x:v>
      </x:c>
      <x:c r="E3826" s="65" t="n">
        <x:v>30.254225378941925</x:v>
      </x:c>
      <x:c r="F3826" s="65" t="n">
        <x:v>30.254225378941925</x:v>
      </x:c>
      <x:c r="G3826" s="65" t="n">
        <x:v>244.72985732119292</x:v>
      </x:c>
      <x:c r="H3826" s="43" t="n">
        <x:v>1</x:v>
      </x:c>
      <x:c r="I3826" s="34" t="str">
        <x:v>generated design-reference observation; not predicted tract behavior</x:v>
      </x:c>
    </x:row>
    <x:row r="3827" ht="75.5999984741211" hidden="0" customHeight="1">
      <x:c r="A3827" s="36" t="str">
        <x:v>H3</x:v>
      </x:c>
      <x:c r="B3827" s="36" t="str">
        <x:v>48201411400</x:v>
      </x:c>
      <x:c r="C3827" s="66" t="n">
        <x:v>231.32150943147764</x:v>
      </x:c>
      <x:c r="D3827" s="66" t="n">
        <x:v>205.22399040221518</x:v>
      </x:c>
      <x:c r="E3827" s="66" t="n">
        <x:v>26.097519029262457</x:v>
      </x:c>
      <x:c r="F3827" s="66" t="n">
        <x:v>26.097519029262457</x:v>
      </x:c>
      <x:c r="G3827" s="66" t="n">
        <x:v>231.32150943147764</x:v>
      </x:c>
      <x:c r="H3827" s="45" t="n">
        <x:v>1</x:v>
      </x:c>
      <x:c r="I3827" s="36" t="str">
        <x:v>generated design-reference observation; not predicted tract behavior</x:v>
      </x:c>
    </x:row>
    <x:row r="3828" ht="75.5999984741211" hidden="0" customHeight="1">
      <x:c r="A3828" s="34" t="str">
        <x:v>H3</x:v>
      </x:c>
      <x:c r="B3828" s="34" t="str">
        <x:v>48201411503</x:v>
      </x:c>
      <x:c r="C3828" s="65" t="n">
        <x:v>283.39871524463916</x:v>
      </x:c>
      <x:c r="D3828" s="65" t="n">
        <x:v>249.80896091275346</x:v>
      </x:c>
      <x:c r="E3828" s="65" t="n">
        <x:v>33.5897543318857</x:v>
      </x:c>
      <x:c r="F3828" s="65" t="n">
        <x:v>33.5897543318857</x:v>
      </x:c>
      <x:c r="G3828" s="65" t="n">
        <x:v>283.39871524463916</x:v>
      </x:c>
      <x:c r="H3828" s="43" t="n">
        <x:v>1</x:v>
      </x:c>
      <x:c r="I3828" s="34" t="str">
        <x:v>generated design-reference observation; not predicted tract behavior</x:v>
      </x:c>
    </x:row>
    <x:row r="3829" ht="75.5999984741211" hidden="0" customHeight="1">
      <x:c r="A3829" s="36" t="str">
        <x:v>H3</x:v>
      </x:c>
      <x:c r="B3829" s="36" t="str">
        <x:v>48201411504</x:v>
      </x:c>
      <x:c r="C3829" s="66" t="n">
        <x:v>212.45079238387711</x:v>
      </x:c>
      <x:c r="D3829" s="66" t="n">
        <x:v>186.71962355659463</x:v>
      </x:c>
      <x:c r="E3829" s="66" t="n">
        <x:v>25.731168827282488</x:v>
      </x:c>
      <x:c r="F3829" s="66" t="n">
        <x:v>25.731168827282488</x:v>
      </x:c>
      <x:c r="G3829" s="66" t="n">
        <x:v>212.45079238387711</x:v>
      </x:c>
      <x:c r="H3829" s="45" t="n">
        <x:v>1</x:v>
      </x:c>
      <x:c r="I3829" s="36" t="str">
        <x:v>generated design-reference observation; not predicted tract behavior</x:v>
      </x:c>
    </x:row>
    <x:row r="3830" ht="75.5999984741211" hidden="0" customHeight="1">
      <x:c r="A3830" s="34" t="str">
        <x:v>H3</x:v>
      </x:c>
      <x:c r="B3830" s="34" t="str">
        <x:v>48201411505</x:v>
      </x:c>
      <x:c r="C3830" s="65" t="n">
        <x:v>265.99379941710436</x:v>
      </x:c>
      <x:c r="D3830" s="65" t="n">
        <x:v>234.5402032524541</x:v>
      </x:c>
      <x:c r="E3830" s="65" t="n">
        <x:v>31.453596164650264</x:v>
      </x:c>
      <x:c r="F3830" s="65" t="n">
        <x:v>31.453596164650264</x:v>
      </x:c>
      <x:c r="G3830" s="65" t="n">
        <x:v>265.99379941710436</x:v>
      </x:c>
      <x:c r="H3830" s="43" t="n">
        <x:v>1</x:v>
      </x:c>
      <x:c r="I3830" s="34" t="str">
        <x:v>generated design-reference observation; not predicted tract behavior</x:v>
      </x:c>
    </x:row>
    <x:row r="3831" ht="75.5999984741211" hidden="0" customHeight="1">
      <x:c r="A3831" s="36" t="str">
        <x:v>H3</x:v>
      </x:c>
      <x:c r="B3831" s="36" t="str">
        <x:v>48201411506</x:v>
      </x:c>
      <x:c r="C3831" s="66" t="n">
        <x:v>237.97066670855799</x:v>
      </x:c>
      <x:c r="D3831" s="66" t="n">
        <x:v>208.60611899484277</x:v>
      </x:c>
      <x:c r="E3831" s="66" t="n">
        <x:v>29.36454771371521</x:v>
      </x:c>
      <x:c r="F3831" s="66" t="n">
        <x:v>29.36454771371521</x:v>
      </x:c>
      <x:c r="G3831" s="66" t="n">
        <x:v>237.97066670855799</x:v>
      </x:c>
      <x:c r="H3831" s="45" t="n">
        <x:v>1</x:v>
      </x:c>
      <x:c r="I3831" s="36" t="str">
        <x:v>generated design-reference observation; not predicted tract behavior</x:v>
      </x:c>
    </x:row>
    <x:row r="3832" ht="75.5999984741211" hidden="0" customHeight="1">
      <x:c r="A3832" s="34" t="str">
        <x:v>H3</x:v>
      </x:c>
      <x:c r="B3832" s="34" t="str">
        <x:v>48201411507</x:v>
      </x:c>
      <x:c r="C3832" s="65" t="n">
        <x:v>181.17774651448835</x:v>
      </x:c>
      <x:c r="D3832" s="65" t="n">
        <x:v>159.1859947420197</x:v>
      </x:c>
      <x:c r="E3832" s="65" t="n">
        <x:v>21.99175177246866</x:v>
      </x:c>
      <x:c r="F3832" s="65" t="n">
        <x:v>21.99175177246866</x:v>
      </x:c>
      <x:c r="G3832" s="65" t="n">
        <x:v>181.17774651448835</x:v>
      </x:c>
      <x:c r="H3832" s="43" t="n">
        <x:v>1</x:v>
      </x:c>
      <x:c r="I3832" s="34" t="str">
        <x:v>generated design-reference observation; not predicted tract behavior</x:v>
      </x:c>
    </x:row>
    <x:row r="3833" ht="75.5999984741211" hidden="0" customHeight="1">
      <x:c r="A3833" s="36" t="str">
        <x:v>H3</x:v>
      </x:c>
      <x:c r="B3833" s="36" t="str">
        <x:v>48201411600</x:v>
      </x:c>
      <x:c r="C3833" s="66" t="n">
        <x:v>224.0042926171019</x:v>
      </x:c>
      <x:c r="D3833" s="66" t="n">
        <x:v>199.07941594300394</x:v>
      </x:c>
      <x:c r="E3833" s="66" t="n">
        <x:v>24.92487667409796</x:v>
      </x:c>
      <x:c r="F3833" s="66" t="n">
        <x:v>24.92487667409796</x:v>
      </x:c>
      <x:c r="G3833" s="66" t="n">
        <x:v>224.0042926171019</x:v>
      </x:c>
      <x:c r="H3833" s="45" t="n">
        <x:v>1</x:v>
      </x:c>
      <x:c r="I3833" s="36" t="str">
        <x:v>generated design-reference observation; not predicted tract behavior</x:v>
      </x:c>
    </x:row>
    <x:row r="3834" ht="75.5999984741211" hidden="0" customHeight="1">
      <x:c r="A3834" s="34" t="str">
        <x:v>H3</x:v>
      </x:c>
      <x:c r="B3834" s="34" t="str">
        <x:v>48201411700</x:v>
      </x:c>
      <x:c r="C3834" s="65" t="n">
        <x:v>284.91560337049793</x:v>
      </x:c>
      <x:c r="D3834" s="65" t="n">
        <x:v>251.88748637069025</x:v>
      </x:c>
      <x:c r="E3834" s="65" t="n">
        <x:v>33.02811699980768</x:v>
      </x:c>
      <x:c r="F3834" s="65" t="n">
        <x:v>33.02811699980768</x:v>
      </x:c>
      <x:c r="G3834" s="65" t="n">
        <x:v>284.91560337049793</x:v>
      </x:c>
      <x:c r="H3834" s="43" t="n">
        <x:v>1</x:v>
      </x:c>
      <x:c r="I3834" s="34" t="str">
        <x:v>generated design-reference observation; not predicted tract behavior</x:v>
      </x:c>
    </x:row>
    <x:row r="3835" ht="75.5999984741211" hidden="0" customHeight="1">
      <x:c r="A3835" s="36" t="str">
        <x:v>H3</x:v>
      </x:c>
      <x:c r="B3835" s="36" t="str">
        <x:v>48201411801</x:v>
      </x:c>
      <x:c r="C3835" s="66" t="n">
        <x:v>306.0891609407751</x:v>
      </x:c>
      <x:c r="D3835" s="66" t="n">
        <x:v>270.16010813900374</x:v>
      </x:c>
      <x:c r="E3835" s="66" t="n">
        <x:v>35.92905280177138</x:v>
      </x:c>
      <x:c r="F3835" s="66" t="n">
        <x:v>35.92905280177138</x:v>
      </x:c>
      <x:c r="G3835" s="66" t="n">
        <x:v>306.0891609407751</x:v>
      </x:c>
      <x:c r="H3835" s="45" t="n">
        <x:v>1</x:v>
      </x:c>
      <x:c r="I3835" s="36" t="str">
        <x:v>generated design-reference observation; not predicted tract behavior</x:v>
      </x:c>
    </x:row>
    <x:row r="3836" ht="75.5999984741211" hidden="0" customHeight="1">
      <x:c r="A3836" s="34" t="str">
        <x:v>H3</x:v>
      </x:c>
      <x:c r="B3836" s="34" t="str">
        <x:v>48201411802</x:v>
      </x:c>
      <x:c r="C3836" s="65" t="n">
        <x:v>181.6571774765474</x:v>
      </x:c>
      <x:c r="D3836" s="65" t="n">
        <x:v>160.12146395636904</x:v>
      </x:c>
      <x:c r="E3836" s="65" t="n">
        <x:v>21.535713520178348</x:v>
      </x:c>
      <x:c r="F3836" s="65" t="n">
        <x:v>21.535713520178348</x:v>
      </x:c>
      <x:c r="G3836" s="65" t="n">
        <x:v>181.6571774765474</x:v>
      </x:c>
      <x:c r="H3836" s="43" t="n">
        <x:v>1</x:v>
      </x:c>
      <x:c r="I3836" s="34" t="str">
        <x:v>generated design-reference observation; not predicted tract behavior</x:v>
      </x:c>
    </x:row>
    <x:row r="3837" ht="75.5999984741211" hidden="0" customHeight="1">
      <x:c r="A3837" s="36" t="str">
        <x:v>H3</x:v>
      </x:c>
      <x:c r="B3837" s="36" t="str">
        <x:v>48201411901</x:v>
      </x:c>
      <x:c r="C3837" s="66" t="n">
        <x:v>173.71119874471728</x:v>
      </x:c>
      <x:c r="D3837" s="66" t="n">
        <x:v>154.97324584920887</x:v>
      </x:c>
      <x:c r="E3837" s="66" t="n">
        <x:v>18.737952895508414</x:v>
      </x:c>
      <x:c r="F3837" s="66" t="n">
        <x:v>18.737952895508414</x:v>
      </x:c>
      <x:c r="G3837" s="66" t="n">
        <x:v>173.71119874471728</x:v>
      </x:c>
      <x:c r="H3837" s="45" t="n">
        <x:v>1</x:v>
      </x:c>
      <x:c r="I3837" s="36" t="str">
        <x:v>generated design-reference observation; not predicted tract behavior</x:v>
      </x:c>
    </x:row>
    <x:row r="3838" ht="75.5999984741211" hidden="0" customHeight="1">
      <x:c r="A3838" s="34" t="str">
        <x:v>H3</x:v>
      </x:c>
      <x:c r="B3838" s="34" t="str">
        <x:v>48201411902</x:v>
      </x:c>
      <x:c r="C3838" s="65" t="n">
        <x:v>192.81377174937907</x:v>
      </x:c>
      <x:c r="D3838" s="65" t="n">
        <x:v>170.08114795878504</x:v>
      </x:c>
      <x:c r="E3838" s="65" t="n">
        <x:v>22.732623790594033</x:v>
      </x:c>
      <x:c r="F3838" s="65" t="n">
        <x:v>22.732623790594033</x:v>
      </x:c>
      <x:c r="G3838" s="65" t="n">
        <x:v>192.81377174937907</x:v>
      </x:c>
      <x:c r="H3838" s="43" t="n">
        <x:v>1</x:v>
      </x:c>
      <x:c r="I3838" s="34" t="str">
        <x:v>generated design-reference observation; not predicted tract behavior</x:v>
      </x:c>
    </x:row>
    <x:row r="3839" ht="75.5999984741211" hidden="0" customHeight="1">
      <x:c r="A3839" s="36" t="str">
        <x:v>H3</x:v>
      </x:c>
      <x:c r="B3839" s="36" t="str">
        <x:v>48201412000</x:v>
      </x:c>
      <x:c r="C3839" s="66" t="n">
        <x:v>543.4891052934898</x:v>
      </x:c>
      <x:c r="D3839" s="66" t="n">
        <x:v>421.10038639277195</x:v>
      </x:c>
      <x:c r="E3839" s="66" t="n">
        <x:v>122.38871890071789</x:v>
      </x:c>
      <x:c r="F3839" s="66" t="n">
        <x:v>122.38871890071789</x:v>
      </x:c>
      <x:c r="G3839" s="66" t="n">
        <x:v>543.4891052934898</x:v>
      </x:c>
      <x:c r="H3839" s="45" t="n">
        <x:v>1</x:v>
      </x:c>
      <x:c r="I3839" s="36" t="str">
        <x:v>generated design-reference observation; not predicted tract behavior</x:v>
      </x:c>
    </x:row>
    <x:row r="3840" ht="75.5999984741211" hidden="0" customHeight="1">
      <x:c r="A3840" s="34" t="str">
        <x:v>H3</x:v>
      </x:c>
      <x:c r="B3840" s="34" t="str">
        <x:v>48201412201</x:v>
      </x:c>
      <x:c r="C3840" s="65" t="n">
        <x:v>329.33340078728446</x:v>
      </x:c>
      <x:c r="D3840" s="65" t="n">
        <x:v>254.0072335421242</x:v>
      </x:c>
      <x:c r="E3840" s="65" t="n">
        <x:v>75.32616724516026</x:v>
      </x:c>
      <x:c r="F3840" s="65" t="n">
        <x:v>75.32616724516026</x:v>
      </x:c>
      <x:c r="G3840" s="65" t="n">
        <x:v>329.33340078728446</x:v>
      </x:c>
      <x:c r="H3840" s="43" t="n">
        <x:v>1</x:v>
      </x:c>
      <x:c r="I3840" s="34" t="str">
        <x:v>generated design-reference observation; not predicted tract behavior</x:v>
      </x:c>
    </x:row>
    <x:row r="3841" ht="75.5999984741211" hidden="0" customHeight="1">
      <x:c r="A3841" s="36" t="str">
        <x:v>H3</x:v>
      </x:c>
      <x:c r="B3841" s="36" t="str">
        <x:v>48201412202</x:v>
      </x:c>
      <x:c r="C3841" s="66" t="n">
        <x:v>493.54122589693844</x:v>
      </x:c>
      <x:c r="D3841" s="66" t="n">
        <x:v>382.6539597707402</x:v>
      </x:c>
      <x:c r="E3841" s="66" t="n">
        <x:v>110.88726612619826</x:v>
      </x:c>
      <x:c r="F3841" s="66" t="n">
        <x:v>110.88726612619826</x:v>
      </x:c>
      <x:c r="G3841" s="66" t="n">
        <x:v>493.54122589693844</x:v>
      </x:c>
      <x:c r="H3841" s="45" t="n">
        <x:v>1</x:v>
      </x:c>
      <x:c r="I3841" s="36" t="str">
        <x:v>generated design-reference observation; not predicted tract behavior</x:v>
      </x:c>
    </x:row>
    <x:row r="3842" ht="75.5999984741211" hidden="0" customHeight="1">
      <x:c r="A3842" s="34" t="str">
        <x:v>H3</x:v>
      </x:c>
      <x:c r="B3842" s="34" t="str">
        <x:v>48201412300</x:v>
      </x:c>
      <x:c r="C3842" s="65" t="n">
        <x:v>976.3475512108762</x:v>
      </x:c>
      <x:c r="D3842" s="65" t="n">
        <x:v>760.5747423932726</x:v>
      </x:c>
      <x:c r="E3842" s="65" t="n">
        <x:v>215.77280881760362</x:v>
      </x:c>
      <x:c r="F3842" s="65" t="n">
        <x:v>215.77280881760362</x:v>
      </x:c>
      <x:c r="G3842" s="65" t="n">
        <x:v>976.3475512108762</x:v>
      </x:c>
      <x:c r="H3842" s="43" t="n">
        <x:v>1</x:v>
      </x:c>
      <x:c r="I3842" s="34" t="str">
        <x:v>generated design-reference observation; not predicted tract behavior</x:v>
      </x:c>
    </x:row>
    <x:row r="3843" ht="75.5999984741211" hidden="0" customHeight="1">
      <x:c r="A3843" s="36" t="str">
        <x:v>H3</x:v>
      </x:c>
      <x:c r="B3843" s="36" t="str">
        <x:v>48201412400</x:v>
      </x:c>
      <x:c r="C3843" s="66" t="n">
        <x:v>633.331323773757</x:v>
      </x:c>
      <x:c r="D3843" s="66" t="n">
        <x:v>493.3651012197567</x:v>
      </x:c>
      <x:c r="E3843" s="66" t="n">
        <x:v>139.96622255400035</x:v>
      </x:c>
      <x:c r="F3843" s="66" t="n">
        <x:v>139.96622255400035</x:v>
      </x:c>
      <x:c r="G3843" s="66" t="n">
        <x:v>633.331323773757</x:v>
      </x:c>
      <x:c r="H3843" s="45" t="n">
        <x:v>1</x:v>
      </x:c>
      <x:c r="I3843" s="36" t="str">
        <x:v>generated design-reference observation; not predicted tract behavior</x:v>
      </x:c>
    </x:row>
    <x:row r="3844" ht="75.5999984741211" hidden="0" customHeight="1">
      <x:c r="A3844" s="34" t="str">
        <x:v>H3</x:v>
      </x:c>
      <x:c r="B3844" s="34" t="str">
        <x:v>48201412500</x:v>
      </x:c>
      <x:c r="C3844" s="65" t="n">
        <x:v>293.5350828485244</x:v>
      </x:c>
      <x:c r="D3844" s="65" t="n">
        <x:v>124.30500840018729</x:v>
      </x:c>
      <x:c r="E3844" s="65" t="n">
        <x:v>169.2300744483371</x:v>
      </x:c>
      <x:c r="F3844" s="65" t="n">
        <x:v>169.2300744483371</x:v>
      </x:c>
      <x:c r="G3844" s="65" t="n">
        <x:v>293.5350828485244</x:v>
      </x:c>
      <x:c r="H3844" s="43" t="n">
        <x:v>1</x:v>
      </x:c>
      <x:c r="I3844" s="34" t="str">
        <x:v>generated design-reference observation; not predicted tract behavior</x:v>
      </x:c>
    </x:row>
    <x:row r="3845" ht="75.5999984741211" hidden="0" customHeight="1">
      <x:c r="A3845" s="36" t="str">
        <x:v>H3</x:v>
      </x:c>
      <x:c r="B3845" s="36" t="str">
        <x:v>48201412600</x:v>
      </x:c>
      <x:c r="C3845" s="66" t="n">
        <x:v>542.7938397116894</x:v>
      </x:c>
      <x:c r="D3845" s="66" t="n">
        <x:v>422.77198007706136</x:v>
      </x:c>
      <x:c r="E3845" s="66" t="n">
        <x:v>120.02185963462807</x:v>
      </x:c>
      <x:c r="F3845" s="66" t="n">
        <x:v>120.02185963462807</x:v>
      </x:c>
      <x:c r="G3845" s="66" t="n">
        <x:v>542.7938397116894</x:v>
      </x:c>
      <x:c r="H3845" s="45" t="n">
        <x:v>1</x:v>
      </x:c>
      <x:c r="I3845" s="36" t="str">
        <x:v>generated design-reference observation; not predicted tract behavior</x:v>
      </x:c>
    </x:row>
    <x:row r="3846" ht="75.5999984741211" hidden="0" customHeight="1">
      <x:c r="A3846" s="34" t="str">
        <x:v>H3</x:v>
      </x:c>
      <x:c r="B3846" s="34" t="str">
        <x:v>48201412700</x:v>
      </x:c>
      <x:c r="C3846" s="65" t="n">
        <x:v>539.9928262851835</x:v>
      </x:c>
      <x:c r="D3846" s="65" t="n">
        <x:v>230.47894107766</x:v>
      </x:c>
      <x:c r="E3846" s="65" t="n">
        <x:v>309.51388520752346</x:v>
      </x:c>
      <x:c r="F3846" s="65" t="n">
        <x:v>309.51388520752346</x:v>
      </x:c>
      <x:c r="G3846" s="65" t="n">
        <x:v>539.9928262851835</x:v>
      </x:c>
      <x:c r="H3846" s="43" t="n">
        <x:v>1</x:v>
      </x:c>
      <x:c r="I3846" s="34" t="str">
        <x:v>generated design-reference observation; not predicted tract behavior</x:v>
      </x:c>
    </x:row>
    <x:row r="3847" ht="75.5999984741211" hidden="0" customHeight="1">
      <x:c r="A3847" s="36" t="str">
        <x:v>H3</x:v>
      </x:c>
      <x:c r="B3847" s="36" t="str">
        <x:v>48201412800</x:v>
      </x:c>
      <x:c r="C3847" s="66" t="n">
        <x:v>858.1245916815108</x:v>
      </x:c>
      <x:c r="D3847" s="66" t="n">
        <x:v>366.84826294384584</x:v>
      </x:c>
      <x:c r="E3847" s="66" t="n">
        <x:v>491.2763287376649</x:v>
      </x:c>
      <x:c r="F3847" s="66" t="n">
        <x:v>491.2763287376649</x:v>
      </x:c>
      <x:c r="G3847" s="66" t="n">
        <x:v>858.1245916815108</x:v>
      </x:c>
      <x:c r="H3847" s="45" t="n">
        <x:v>1</x:v>
      </x:c>
      <x:c r="I3847" s="36" t="str">
        <x:v>generated design-reference observation; not predicted tract behavior</x:v>
      </x:c>
    </x:row>
    <x:row r="3848" ht="75.5999984741211" hidden="0" customHeight="1">
      <x:c r="A3848" s="34" t="str">
        <x:v>H3</x:v>
      </x:c>
      <x:c r="B3848" s="34" t="str">
        <x:v>48201412901</x:v>
      </x:c>
      <x:c r="C3848" s="65" t="n">
        <x:v>336.4988683311976</x:v>
      </x:c>
      <x:c r="D3848" s="65" t="n">
        <x:v>141.3425687563585</x:v>
      </x:c>
      <x:c r="E3848" s="65" t="n">
        <x:v>195.15629957483912</x:v>
      </x:c>
      <x:c r="F3848" s="65" t="n">
        <x:v>195.15629957483912</x:v>
      </x:c>
      <x:c r="G3848" s="65" t="n">
        <x:v>336.4988683311976</x:v>
      </x:c>
      <x:c r="H3848" s="43" t="n">
        <x:v>1</x:v>
      </x:c>
      <x:c r="I3848" s="34" t="str">
        <x:v>generated design-reference observation; not predicted tract behavior</x:v>
      </x:c>
    </x:row>
    <x:row r="3849" ht="75.5999984741211" hidden="0" customHeight="1">
      <x:c r="A3849" s="36" t="str">
        <x:v>H3</x:v>
      </x:c>
      <x:c r="B3849" s="36" t="str">
        <x:v>48201412902</x:v>
      </x:c>
      <x:c r="C3849" s="66" t="n">
        <x:v>532.6375210085004</x:v>
      </x:c>
      <x:c r="D3849" s="66" t="n">
        <x:v>225.87514157360886</x:v>
      </x:c>
      <x:c r="E3849" s="66" t="n">
        <x:v>306.7623794348915</x:v>
      </x:c>
      <x:c r="F3849" s="66" t="n">
        <x:v>306.7623794348915</x:v>
      </x:c>
      <x:c r="G3849" s="66" t="n">
        <x:v>532.6375210085004</x:v>
      </x:c>
      <x:c r="H3849" s="45" t="n">
        <x:v>1</x:v>
      </x:c>
      <x:c r="I3849" s="36" t="str">
        <x:v>generated design-reference observation; not predicted tract behavior</x:v>
      </x:c>
    </x:row>
    <x:row r="3850" ht="75.5999984741211" hidden="0" customHeight="1">
      <x:c r="A3850" s="34" t="str">
        <x:v>H3</x:v>
      </x:c>
      <x:c r="B3850" s="34" t="str">
        <x:v>48201413000</x:v>
      </x:c>
      <x:c r="C3850" s="65" t="n">
        <x:v>544.2418058581349</x:v>
      </x:c>
      <x:c r="D3850" s="65" t="n">
        <x:v>231.00016832384406</x:v>
      </x:c>
      <x:c r="E3850" s="65" t="n">
        <x:v>313.2416375342908</x:v>
      </x:c>
      <x:c r="F3850" s="65" t="n">
        <x:v>313.2416375342908</x:v>
      </x:c>
      <x:c r="G3850" s="65" t="n">
        <x:v>544.2418058581349</x:v>
      </x:c>
      <x:c r="H3850" s="43" t="n">
        <x:v>1</x:v>
      </x:c>
      <x:c r="I3850" s="34" t="str">
        <x:v>generated design-reference observation; not predicted tract behavior</x:v>
      </x:c>
    </x:row>
    <x:row r="3851" ht="75.5999984741211" hidden="0" customHeight="1">
      <x:c r="A3851" s="36" t="str">
        <x:v>H3</x:v>
      </x:c>
      <x:c r="B3851" s="36" t="str">
        <x:v>48201413100</x:v>
      </x:c>
      <x:c r="C3851" s="66" t="n">
        <x:v>470.9172838651485</x:v>
      </x:c>
      <x:c r="D3851" s="66" t="n">
        <x:v>366.7108345466776</x:v>
      </x:c>
      <x:c r="E3851" s="66" t="n">
        <x:v>104.2064493184709</x:v>
      </x:c>
      <x:c r="F3851" s="66" t="n">
        <x:v>104.2064493184709</x:v>
      </x:c>
      <x:c r="G3851" s="66" t="n">
        <x:v>470.9172838651485</x:v>
      </x:c>
      <x:c r="H3851" s="45" t="n">
        <x:v>1</x:v>
      </x:c>
      <x:c r="I3851" s="36" t="str">
        <x:v>generated design-reference observation; not predicted tract behavior</x:v>
      </x:c>
    </x:row>
    <x:row r="3852" ht="75.5999984741211" hidden="0" customHeight="1">
      <x:c r="A3852" s="34" t="str">
        <x:v>H3</x:v>
      </x:c>
      <x:c r="B3852" s="34" t="str">
        <x:v>48201413203</x:v>
      </x:c>
      <x:c r="C3852" s="65" t="n">
        <x:v>333.7226426341297</x:v>
      </x:c>
      <x:c r="D3852" s="65" t="n">
        <x:v>141.16285338243202</x:v>
      </x:c>
      <x:c r="E3852" s="65" t="n">
        <x:v>192.5597892516977</x:v>
      </x:c>
      <x:c r="F3852" s="65" t="n">
        <x:v>192.5597892516977</x:v>
      </x:c>
      <x:c r="G3852" s="65" t="n">
        <x:v>333.7226426341297</x:v>
      </x:c>
      <x:c r="H3852" s="43" t="n">
        <x:v>1</x:v>
      </x:c>
      <x:c r="I3852" s="34" t="str">
        <x:v>generated design-reference observation; not predicted tract behavior</x:v>
      </x:c>
    </x:row>
    <x:row r="3853" ht="75.5999984741211" hidden="0" customHeight="1">
      <x:c r="A3853" s="36" t="str">
        <x:v>H3</x:v>
      </x:c>
      <x:c r="B3853" s="36" t="str">
        <x:v>48201413204</x:v>
      </x:c>
      <x:c r="C3853" s="66" t="n">
        <x:v>191.0855833445296</x:v>
      </x:c>
      <x:c r="D3853" s="66" t="n">
        <x:v>80.4402165886921</x:v>
      </x:c>
      <x:c r="E3853" s="66" t="n">
        <x:v>110.6453667558375</x:v>
      </x:c>
      <x:c r="F3853" s="66" t="n">
        <x:v>110.6453667558375</x:v>
      </x:c>
      <x:c r="G3853" s="66" t="n">
        <x:v>191.0855833445296</x:v>
      </x:c>
      <x:c r="H3853" s="45" t="n">
        <x:v>1</x:v>
      </x:c>
      <x:c r="I3853" s="36" t="str">
        <x:v>generated design-reference observation; not predicted tract behavior</x:v>
      </x:c>
    </x:row>
    <x:row r="3854" ht="75.5999984741211" hidden="0" customHeight="1">
      <x:c r="A3854" s="34" t="str">
        <x:v>H3</x:v>
      </x:c>
      <x:c r="B3854" s="34" t="str">
        <x:v>48201413205</x:v>
      </x:c>
      <x:c r="C3854" s="65" t="n">
        <x:v>258.866118046115</x:v>
      </x:c>
      <x:c r="D3854" s="65" t="n">
        <x:v>108.69711204965725</x:v>
      </x:c>
      <x:c r="E3854" s="65" t="n">
        <x:v>150.16900599645774</x:v>
      </x:c>
      <x:c r="F3854" s="65" t="n">
        <x:v>150.16900599645774</x:v>
      </x:c>
      <x:c r="G3854" s="65" t="n">
        <x:v>258.866118046115</x:v>
      </x:c>
      <x:c r="H3854" s="43" t="n">
        <x:v>1</x:v>
      </x:c>
      <x:c r="I3854" s="34" t="str">
        <x:v>generated design-reference observation; not predicted tract behavior</x:v>
      </x:c>
    </x:row>
    <x:row r="3855" ht="75.5999984741211" hidden="0" customHeight="1">
      <x:c r="A3855" s="36" t="str">
        <x:v>H3</x:v>
      </x:c>
      <x:c r="B3855" s="36" t="str">
        <x:v>48201413206</x:v>
      </x:c>
      <x:c r="C3855" s="66" t="n">
        <x:v>375.0818760697607</x:v>
      </x:c>
      <x:c r="D3855" s="66" t="n">
        <x:v>287.4646375135859</x:v>
      </x:c>
      <x:c r="E3855" s="66" t="n">
        <x:v>87.61723855617481</x:v>
      </x:c>
      <x:c r="F3855" s="66" t="n">
        <x:v>87.61723855617481</x:v>
      </x:c>
      <x:c r="G3855" s="66" t="n">
        <x:v>375.0818760697607</x:v>
      </x:c>
      <x:c r="H3855" s="45" t="n">
        <x:v>1</x:v>
      </x:c>
      <x:c r="I3855" s="36" t="str">
        <x:v>generated design-reference observation; not predicted tract behavior</x:v>
      </x:c>
    </x:row>
    <x:row r="3856" ht="75.5999984741211" hidden="0" customHeight="1">
      <x:c r="A3856" s="34" t="str">
        <x:v>H3</x:v>
      </x:c>
      <x:c r="B3856" s="34" t="str">
        <x:v>48201413301</x:v>
      </x:c>
      <x:c r="C3856" s="65" t="n">
        <x:v>747.215826072687</x:v>
      </x:c>
      <x:c r="D3856" s="65" t="n">
        <x:v>575.5119798658739</x:v>
      </x:c>
      <x:c r="E3856" s="65" t="n">
        <x:v>171.70384620681318</x:v>
      </x:c>
      <x:c r="F3856" s="65" t="n">
        <x:v>171.70384620681318</x:v>
      </x:c>
      <x:c r="G3856" s="65" t="n">
        <x:v>747.215826072687</x:v>
      </x:c>
      <x:c r="H3856" s="43" t="n">
        <x:v>1</x:v>
      </x:c>
      <x:c r="I3856" s="34" t="str">
        <x:v>generated design-reference observation; not predicted tract behavior</x:v>
      </x:c>
    </x:row>
    <x:row r="3857" ht="75.5999984741211" hidden="0" customHeight="1">
      <x:c r="A3857" s="36" t="str">
        <x:v>H3</x:v>
      </x:c>
      <x:c r="B3857" s="36" t="str">
        <x:v>48201413302</x:v>
      </x:c>
      <x:c r="C3857" s="66" t="n">
        <x:v>535.2710661166074</x:v>
      </x:c>
      <x:c r="D3857" s="66" t="n">
        <x:v>416.97616050483714</x:v>
      </x:c>
      <x:c r="E3857" s="66" t="n">
        <x:v>118.29490561177022</x:v>
      </x:c>
      <x:c r="F3857" s="66" t="n">
        <x:v>118.29490561177022</x:v>
      </x:c>
      <x:c r="G3857" s="66" t="n">
        <x:v>535.2710661166074</x:v>
      </x:c>
      <x:c r="H3857" s="45" t="n">
        <x:v>1</x:v>
      </x:c>
      <x:c r="I3857" s="36" t="str">
        <x:v>generated design-reference observation; not predicted tract behavior</x:v>
      </x:c>
    </x:row>
    <x:row r="3858" ht="75.5999984741211" hidden="0" customHeight="1">
      <x:c r="A3858" s="34" t="str">
        <x:v>H3</x:v>
      </x:c>
      <x:c r="B3858" s="34" t="str">
        <x:v>48201420100</x:v>
      </x:c>
      <x:c r="C3858" s="65" t="n">
        <x:v>225.23823788010625</x:v>
      </x:c>
      <x:c r="D3858" s="65" t="n">
        <x:v>200.2352775702801</x:v>
      </x:c>
      <x:c r="E3858" s="65" t="n">
        <x:v>25.002960309826165</x:v>
      </x:c>
      <x:c r="F3858" s="65" t="n">
        <x:v>25.002960309826165</x:v>
      </x:c>
      <x:c r="G3858" s="65" t="n">
        <x:v>225.23823788010625</x:v>
      </x:c>
      <x:c r="H3858" s="43" t="n">
        <x:v>1</x:v>
      </x:c>
      <x:c r="I3858" s="34" t="str">
        <x:v>generated design-reference observation; not predicted tract behavior</x:v>
      </x:c>
    </x:row>
    <x:row r="3859" ht="75.5999984741211" hidden="0" customHeight="1">
      <x:c r="A3859" s="36" t="str">
        <x:v>H3</x:v>
      </x:c>
      <x:c r="B3859" s="36" t="str">
        <x:v>48201420200</x:v>
      </x:c>
      <x:c r="C3859" s="66" t="n">
        <x:v>204.1511350734789</x:v>
      </x:c>
      <x:c r="D3859" s="66" t="n">
        <x:v>181.5814563164122</x:v>
      </x:c>
      <x:c r="E3859" s="66" t="n">
        <x:v>22.569678757066725</x:v>
      </x:c>
      <x:c r="F3859" s="66" t="n">
        <x:v>22.569678757066725</x:v>
      </x:c>
      <x:c r="G3859" s="66" t="n">
        <x:v>204.1511350734789</x:v>
      </x:c>
      <x:c r="H3859" s="45" t="n">
        <x:v>1</x:v>
      </x:c>
      <x:c r="I3859" s="36" t="str">
        <x:v>generated design-reference observation; not predicted tract behavior</x:v>
      </x:c>
    </x:row>
    <x:row r="3860" ht="75.5999984741211" hidden="0" customHeight="1">
      <x:c r="A3860" s="34" t="str">
        <x:v>H3</x:v>
      </x:c>
      <x:c r="B3860" s="34" t="str">
        <x:v>48201420300</x:v>
      </x:c>
      <x:c r="C3860" s="65" t="n">
        <x:v>693.4470088700665</x:v>
      </x:c>
      <x:c r="D3860" s="65" t="n">
        <x:v>294.78315473975135</x:v>
      </x:c>
      <x:c r="E3860" s="65" t="n">
        <x:v>398.66385413031514</x:v>
      </x:c>
      <x:c r="F3860" s="65" t="n">
        <x:v>398.66385413031514</x:v>
      </x:c>
      <x:c r="G3860" s="65" t="n">
        <x:v>693.4470088700665</x:v>
      </x:c>
      <x:c r="H3860" s="43" t="n">
        <x:v>1</x:v>
      </x:c>
      <x:c r="I3860" s="34" t="str">
        <x:v>generated design-reference observation; not predicted tract behavior</x:v>
      </x:c>
    </x:row>
    <x:row r="3861" ht="75.5999984741211" hidden="0" customHeight="1">
      <x:c r="A3861" s="36" t="str">
        <x:v>H3</x:v>
      </x:c>
      <x:c r="B3861" s="36" t="str">
        <x:v>48201420400</x:v>
      </x:c>
      <x:c r="C3861" s="66" t="n">
        <x:v>300.1552203447992</x:v>
      </x:c>
      <x:c r="D3861" s="66" t="n">
        <x:v>267.50681338195795</x:v>
      </x:c>
      <x:c r="E3861" s="66" t="n">
        <x:v>32.64840696284125</x:v>
      </x:c>
      <x:c r="F3861" s="66" t="n">
        <x:v>32.64840696284125</x:v>
      </x:c>
      <x:c r="G3861" s="66" t="n">
        <x:v>300.1552203447992</x:v>
      </x:c>
      <x:c r="H3861" s="45" t="n">
        <x:v>1</x:v>
      </x:c>
      <x:c r="I3861" s="36" t="str">
        <x:v>generated design-reference observation; not predicted tract behavior</x:v>
      </x:c>
    </x:row>
    <x:row r="3862" ht="75.5999984741211" hidden="0" customHeight="1">
      <x:c r="A3862" s="34" t="str">
        <x:v>H3</x:v>
      </x:c>
      <x:c r="B3862" s="34" t="str">
        <x:v>48201420500</x:v>
      </x:c>
      <x:c r="C3862" s="65" t="n">
        <x:v>283.2965414330528</x:v>
      </x:c>
      <x:c r="D3862" s="65" t="n">
        <x:v>251.72344578655697</x:v>
      </x:c>
      <x:c r="E3862" s="65" t="n">
        <x:v>31.573095646495858</x:v>
      </x:c>
      <x:c r="F3862" s="65" t="n">
        <x:v>31.573095646495858</x:v>
      </x:c>
      <x:c r="G3862" s="65" t="n">
        <x:v>283.2965414330528</x:v>
      </x:c>
      <x:c r="H3862" s="43" t="n">
        <x:v>1</x:v>
      </x:c>
      <x:c r="I3862" s="34" t="str">
        <x:v>generated design-reference observation; not predicted tract behavior</x:v>
      </x:c>
    </x:row>
    <x:row r="3863" ht="75.5999984741211" hidden="0" customHeight="1">
      <x:c r="A3863" s="36" t="str">
        <x:v>H3</x:v>
      </x:c>
      <x:c r="B3863" s="36" t="str">
        <x:v>48201420600</x:v>
      </x:c>
      <x:c r="C3863" s="66" t="n">
        <x:v>188.927237147114</x:v>
      </x:c>
      <x:c r="D3863" s="66" t="n">
        <x:v>168.44871499116735</x:v>
      </x:c>
      <x:c r="E3863" s="66" t="n">
        <x:v>20.47852215594665</x:v>
      </x:c>
      <x:c r="F3863" s="66" t="n">
        <x:v>20.47852215594665</x:v>
      </x:c>
      <x:c r="G3863" s="66" t="n">
        <x:v>188.927237147114</x:v>
      </x:c>
      <x:c r="H3863" s="45" t="n">
        <x:v>1</x:v>
      </x:c>
      <x:c r="I3863" s="36" t="str">
        <x:v>generated design-reference observation; not predicted tract behavior</x:v>
      </x:c>
    </x:row>
    <x:row r="3864" ht="75.5999984741211" hidden="0" customHeight="1">
      <x:c r="A3864" s="34" t="str">
        <x:v>H3</x:v>
      </x:c>
      <x:c r="B3864" s="34" t="str">
        <x:v>48201420700</x:v>
      </x:c>
      <x:c r="C3864" s="65" t="n">
        <x:v>494.03274843433314</x:v>
      </x:c>
      <x:c r="D3864" s="65" t="n">
        <x:v>211.1989999556774</x:v>
      </x:c>
      <x:c r="E3864" s="65" t="n">
        <x:v>282.8337484786557</x:v>
      </x:c>
      <x:c r="F3864" s="65" t="n">
        <x:v>282.8337484786557</x:v>
      </x:c>
      <x:c r="G3864" s="65" t="n">
        <x:v>494.03274843433314</x:v>
      </x:c>
      <x:c r="H3864" s="43" t="n">
        <x:v>1</x:v>
      </x:c>
      <x:c r="I3864" s="34" t="str">
        <x:v>generated design-reference observation; not predicted tract behavior</x:v>
      </x:c>
    </x:row>
    <x:row r="3865" ht="75.5999984741211" hidden="0" customHeight="1">
      <x:c r="A3865" s="36" t="str">
        <x:v>H3</x:v>
      </x:c>
      <x:c r="B3865" s="36" t="str">
        <x:v>48201420800</x:v>
      </x:c>
      <x:c r="C3865" s="66" t="n">
        <x:v>484.1466764398961</x:v>
      </x:c>
      <x:c r="D3865" s="66" t="n">
        <x:v>206.97270417805555</x:v>
      </x:c>
      <x:c r="E3865" s="66" t="n">
        <x:v>277.17397226184056</x:v>
      </x:c>
      <x:c r="F3865" s="66" t="n">
        <x:v>277.17397226184056</x:v>
      </x:c>
      <x:c r="G3865" s="66" t="n">
        <x:v>484.1466764398961</x:v>
      </x:c>
      <x:c r="H3865" s="45" t="n">
        <x:v>1</x:v>
      </x:c>
      <x:c r="I3865" s="36" t="str">
        <x:v>generated design-reference observation; not predicted tract behavior</x:v>
      </x:c>
    </x:row>
    <x:row r="3866" ht="75.5999984741211" hidden="0" customHeight="1">
      <x:c r="A3866" s="34" t="str">
        <x:v>H3</x:v>
      </x:c>
      <x:c r="B3866" s="34" t="str">
        <x:v>48201420900</x:v>
      </x:c>
      <x:c r="C3866" s="65" t="n">
        <x:v>1050.056585299537</x:v>
      </x:c>
      <x:c r="D3866" s="65" t="n">
        <x:v>448.899190215552</x:v>
      </x:c>
      <x:c r="E3866" s="65" t="n">
        <x:v>601.157395083985</x:v>
      </x:c>
      <x:c r="F3866" s="65" t="n">
        <x:v>601.157395083985</x:v>
      </x:c>
      <x:c r="G3866" s="65" t="n">
        <x:v>1050.056585299537</x:v>
      </x:c>
      <x:c r="H3866" s="43" t="n">
        <x:v>1</x:v>
      </x:c>
      <x:c r="I3866" s="34" t="str">
        <x:v>generated design-reference observation; not predicted tract behavior</x:v>
      </x:c>
    </x:row>
    <x:row r="3867" ht="75.5999984741211" hidden="0" customHeight="1">
      <x:c r="A3867" s="36" t="str">
        <x:v>H3</x:v>
      </x:c>
      <x:c r="B3867" s="36" t="str">
        <x:v>48201421000</x:v>
      </x:c>
      <x:c r="C3867" s="66" t="n">
        <x:v>499.3989895682997</x:v>
      </x:c>
      <x:c r="D3867" s="66" t="n">
        <x:v>213.4930680404481</x:v>
      </x:c>
      <x:c r="E3867" s="66" t="n">
        <x:v>285.90592152785166</x:v>
      </x:c>
      <x:c r="F3867" s="66" t="n">
        <x:v>285.90592152785166</x:v>
      </x:c>
      <x:c r="G3867" s="66" t="n">
        <x:v>499.3989895682997</x:v>
      </x:c>
      <x:c r="H3867" s="45" t="n">
        <x:v>1</x:v>
      </x:c>
      <x:c r="I3867" s="36" t="str">
        <x:v>generated design-reference observation; not predicted tract behavior</x:v>
      </x:c>
    </x:row>
    <x:row r="3868" ht="75.5999984741211" hidden="0" customHeight="1">
      <x:c r="A3868" s="34" t="str">
        <x:v>H3</x:v>
      </x:c>
      <x:c r="B3868" s="34" t="str">
        <x:v>48201421101</x:v>
      </x:c>
      <x:c r="C3868" s="65" t="n">
        <x:v>225.33255216772437</x:v>
      </x:c>
      <x:c r="D3868" s="65" t="n">
        <x:v>200.0561011921657</x:v>
      </x:c>
      <x:c r="E3868" s="65" t="n">
        <x:v>25.276450975558674</x:v>
      </x:c>
      <x:c r="F3868" s="65" t="n">
        <x:v>25.276450975558674</x:v>
      </x:c>
      <x:c r="G3868" s="65" t="n">
        <x:v>225.33255216772437</x:v>
      </x:c>
      <x:c r="H3868" s="43" t="n">
        <x:v>1</x:v>
      </x:c>
      <x:c r="I3868" s="34" t="str">
        <x:v>generated design-reference observation; not predicted tract behavior</x:v>
      </x:c>
    </x:row>
    <x:row r="3869" ht="75.5999984741211" hidden="0" customHeight="1">
      <x:c r="A3869" s="36" t="str">
        <x:v>H3</x:v>
      </x:c>
      <x:c r="B3869" s="36" t="str">
        <x:v>48201421103</x:v>
      </x:c>
      <x:c r="C3869" s="66" t="n">
        <x:v>123.64996082939392</x:v>
      </x:c>
      <x:c r="D3869" s="66" t="n">
        <x:v>109.06493686306214</x:v>
      </x:c>
      <x:c r="E3869" s="66" t="n">
        <x:v>14.585023966331775</x:v>
      </x:c>
      <x:c r="F3869" s="66" t="n">
        <x:v>14.585023966331775</x:v>
      </x:c>
      <x:c r="G3869" s="66" t="n">
        <x:v>123.64996082939392</x:v>
      </x:c>
      <x:c r="H3869" s="45" t="n">
        <x:v>1</x:v>
      </x:c>
      <x:c r="I3869" s="36" t="str">
        <x:v>generated design-reference observation; not predicted tract behavior</x:v>
      </x:c>
    </x:row>
    <x:row r="3870" ht="75.5999984741211" hidden="0" customHeight="1">
      <x:c r="A3870" s="34" t="str">
        <x:v>H3</x:v>
      </x:c>
      <x:c r="B3870" s="34" t="str">
        <x:v>48201421104</x:v>
      </x:c>
      <x:c r="C3870" s="65" t="n">
        <x:v>393.98221747693356</x:v>
      </x:c>
      <x:c r="D3870" s="65" t="n">
        <x:v>347.51560166097477</x:v>
      </x:c>
      <x:c r="E3870" s="65" t="n">
        <x:v>46.46661581595879</x:v>
      </x:c>
      <x:c r="F3870" s="65" t="n">
        <x:v>46.46661581595879</x:v>
      </x:c>
      <x:c r="G3870" s="65" t="n">
        <x:v>393.98221747693356</x:v>
      </x:c>
      <x:c r="H3870" s="43" t="n">
        <x:v>1</x:v>
      </x:c>
      <x:c r="I3870" s="34" t="str">
        <x:v>generated design-reference observation; not predicted tract behavior</x:v>
      </x:c>
    </x:row>
    <x:row r="3871" ht="75.5999984741211" hidden="0" customHeight="1">
      <x:c r="A3871" s="36" t="str">
        <x:v>H3</x:v>
      </x:c>
      <x:c r="B3871" s="36" t="str">
        <x:v>48201421203</x:v>
      </x:c>
      <x:c r="C3871" s="66" t="n">
        <x:v>191.04537885653855</x:v>
      </x:c>
      <x:c r="D3871" s="66" t="n">
        <x:v>169.23045673282138</x:v>
      </x:c>
      <x:c r="E3871" s="66" t="n">
        <x:v>21.814922123717167</x:v>
      </x:c>
      <x:c r="F3871" s="66" t="n">
        <x:v>21.814922123717167</x:v>
      </x:c>
      <x:c r="G3871" s="66" t="n">
        <x:v>191.04537885653855</x:v>
      </x:c>
      <x:c r="H3871" s="45" t="n">
        <x:v>1</x:v>
      </x:c>
      <x:c r="I3871" s="36" t="str">
        <x:v>generated design-reference observation; not predicted tract behavior</x:v>
      </x:c>
    </x:row>
    <x:row r="3872" ht="75.5999984741211" hidden="0" customHeight="1">
      <x:c r="A3872" s="34" t="str">
        <x:v>H3</x:v>
      </x:c>
      <x:c r="B3872" s="34" t="str">
        <x:v>48201421204</x:v>
      </x:c>
      <x:c r="C3872" s="65" t="n">
        <x:v>263.8520791357752</x:v>
      </x:c>
      <x:c r="D3872" s="65" t="n">
        <x:v>232.82346606846176</x:v>
      </x:c>
      <x:c r="E3872" s="65" t="n">
        <x:v>31.028613067313472</x:v>
      </x:c>
      <x:c r="F3872" s="65" t="n">
        <x:v>31.028613067313472</x:v>
      </x:c>
      <x:c r="G3872" s="65" t="n">
        <x:v>263.8520791357752</x:v>
      </x:c>
      <x:c r="H3872" s="43" t="n">
        <x:v>1</x:v>
      </x:c>
      <x:c r="I3872" s="34" t="str">
        <x:v>generated design-reference observation; not predicted tract behavior</x:v>
      </x:c>
    </x:row>
    <x:row r="3873" ht="75.5999984741211" hidden="0" customHeight="1">
      <x:c r="A3873" s="36" t="str">
        <x:v>H3</x:v>
      </x:c>
      <x:c r="B3873" s="36" t="str">
        <x:v>48201421205</x:v>
      </x:c>
      <x:c r="C3873" s="66" t="n">
        <x:v>195.63927061593978</x:v>
      </x:c>
      <x:c r="D3873" s="66" t="n">
        <x:v>173.11165342442104</x:v>
      </x:c>
      <x:c r="E3873" s="66" t="n">
        <x:v>22.527617191518743</x:v>
      </x:c>
      <x:c r="F3873" s="66" t="n">
        <x:v>22.527617191518743</x:v>
      </x:c>
      <x:c r="G3873" s="66" t="n">
        <x:v>195.63927061593978</x:v>
      </x:c>
      <x:c r="H3873" s="45" t="n">
        <x:v>1</x:v>
      </x:c>
      <x:c r="I3873" s="36" t="str">
        <x:v>generated design-reference observation; not predicted tract behavior</x:v>
      </x:c>
    </x:row>
    <x:row r="3874" ht="75.5999984741211" hidden="0" customHeight="1">
      <x:c r="A3874" s="34" t="str">
        <x:v>H3</x:v>
      </x:c>
      <x:c r="B3874" s="34" t="str">
        <x:v>48201421206</x:v>
      </x:c>
      <x:c r="C3874" s="65" t="n">
        <x:v>164.0361247398875</x:v>
      </x:c>
      <x:c r="D3874" s="65" t="n">
        <x:v>144.36747242569044</x:v>
      </x:c>
      <x:c r="E3874" s="65" t="n">
        <x:v>19.66865231419706</x:v>
      </x:c>
      <x:c r="F3874" s="65" t="n">
        <x:v>19.66865231419706</x:v>
      </x:c>
      <x:c r="G3874" s="65" t="n">
        <x:v>164.0361247398875</x:v>
      </x:c>
      <x:c r="H3874" s="43" t="n">
        <x:v>1</x:v>
      </x:c>
      <x:c r="I3874" s="34" t="str">
        <x:v>generated design-reference observation; not predicted tract behavior</x:v>
      </x:c>
    </x:row>
    <x:row r="3875" ht="75.5999984741211" hidden="0" customHeight="1">
      <x:c r="A3875" s="36" t="str">
        <x:v>H3</x:v>
      </x:c>
      <x:c r="B3875" s="36" t="str">
        <x:v>48201421301</x:v>
      </x:c>
      <x:c r="C3875" s="66" t="n">
        <x:v>293.6553940231142</x:v>
      </x:c>
      <x:c r="D3875" s="66" t="n">
        <x:v>258.93558935086037</x:v>
      </x:c>
      <x:c r="E3875" s="66" t="n">
        <x:v>34.719804672253815</x:v>
      </x:c>
      <x:c r="F3875" s="66" t="n">
        <x:v>34.719804672253815</x:v>
      </x:c>
      <x:c r="G3875" s="66" t="n">
        <x:v>293.6553940231142</x:v>
      </x:c>
      <x:c r="H3875" s="45" t="n">
        <x:v>1</x:v>
      </x:c>
      <x:c r="I3875" s="36" t="str">
        <x:v>generated design-reference observation; not predicted tract behavior</x:v>
      </x:c>
    </x:row>
    <x:row r="3876" ht="75.5999984741211" hidden="0" customHeight="1">
      <x:c r="A3876" s="34" t="str">
        <x:v>H3</x:v>
      </x:c>
      <x:c r="B3876" s="34" t="str">
        <x:v>48201421302</x:v>
      </x:c>
      <x:c r="C3876" s="65" t="n">
        <x:v>935.7065573501837</x:v>
      </x:c>
      <x:c r="D3876" s="65" t="n">
        <x:v>396.47780121701766</x:v>
      </x:c>
      <x:c r="E3876" s="65" t="n">
        <x:v>539.2287561331661</x:v>
      </x:c>
      <x:c r="F3876" s="65" t="n">
        <x:v>539.2287561331661</x:v>
      </x:c>
      <x:c r="G3876" s="65" t="n">
        <x:v>935.7065573501837</x:v>
      </x:c>
      <x:c r="H3876" s="43" t="n">
        <x:v>1</x:v>
      </x:c>
      <x:c r="I3876" s="34" t="str">
        <x:v>generated design-reference observation; not predicted tract behavior</x:v>
      </x:c>
    </x:row>
    <x:row r="3877" ht="75.5999984741211" hidden="0" customHeight="1">
      <x:c r="A3877" s="36" t="str">
        <x:v>H3</x:v>
      </x:c>
      <x:c r="B3877" s="36" t="str">
        <x:v>48201421401</x:v>
      </x:c>
      <x:c r="C3877" s="66" t="n">
        <x:v>271.87272334530303</x:v>
      </x:c>
      <x:c r="D3877" s="66" t="n">
        <x:v>240.20508696332354</x:v>
      </x:c>
      <x:c r="E3877" s="66" t="n">
        <x:v>31.66763638197949</x:v>
      </x:c>
      <x:c r="F3877" s="66" t="n">
        <x:v>31.66763638197949</x:v>
      </x:c>
      <x:c r="G3877" s="66" t="n">
        <x:v>271.87272334530303</x:v>
      </x:c>
      <x:c r="H3877" s="45" t="n">
        <x:v>1</x:v>
      </x:c>
      <x:c r="I3877" s="36" t="str">
        <x:v>generated design-reference observation; not predicted tract behavior</x:v>
      </x:c>
    </x:row>
    <x:row r="3878" ht="75.5999984741211" hidden="0" customHeight="1">
      <x:c r="A3878" s="34" t="str">
        <x:v>H3</x:v>
      </x:c>
      <x:c r="B3878" s="34" t="str">
        <x:v>48201421402</x:v>
      </x:c>
      <x:c r="C3878" s="65" t="n">
        <x:v>292.64937495518717</x:v>
      </x:c>
      <x:c r="D3878" s="65" t="n">
        <x:v>259.1389472497759</x:v>
      </x:c>
      <x:c r="E3878" s="65" t="n">
        <x:v>33.510427705411246</x:v>
      </x:c>
      <x:c r="F3878" s="65" t="n">
        <x:v>33.510427705411246</x:v>
      </x:c>
      <x:c r="G3878" s="65" t="n">
        <x:v>292.64937495518717</x:v>
      </x:c>
      <x:c r="H3878" s="43" t="n">
        <x:v>1</x:v>
      </x:c>
      <x:c r="I3878" s="34" t="str">
        <x:v>generated design-reference observation; not predicted tract behavior</x:v>
      </x:c>
    </x:row>
    <x:row r="3879" ht="75.5999984741211" hidden="0" customHeight="1">
      <x:c r="A3879" s="36" t="str">
        <x:v>H3</x:v>
      </x:c>
      <x:c r="B3879" s="36" t="str">
        <x:v>48201421403</x:v>
      </x:c>
      <x:c r="C3879" s="66" t="n">
        <x:v>362.60699779595853</x:v>
      </x:c>
      <x:c r="D3879" s="66" t="n">
        <x:v>321.91157733797303</x:v>
      </x:c>
      <x:c r="E3879" s="66" t="n">
        <x:v>40.695420457985506</x:v>
      </x:c>
      <x:c r="F3879" s="66" t="n">
        <x:v>40.695420457985506</x:v>
      </x:c>
      <x:c r="G3879" s="66" t="n">
        <x:v>362.60699779595853</x:v>
      </x:c>
      <x:c r="H3879" s="45" t="n">
        <x:v>1</x:v>
      </x:c>
      <x:c r="I3879" s="36" t="str">
        <x:v>generated design-reference observation; not predicted tract behavior</x:v>
      </x:c>
    </x:row>
    <x:row r="3880" ht="75.5999984741211" hidden="0" customHeight="1">
      <x:c r="A3880" s="34" t="str">
        <x:v>H3</x:v>
      </x:c>
      <x:c r="B3880" s="34" t="str">
        <x:v>48201421501</x:v>
      </x:c>
      <x:c r="C3880" s="65" t="n">
        <x:v>698.9656038532625</x:v>
      </x:c>
      <x:c r="D3880" s="65" t="n">
        <x:v>296.5702443136669</x:v>
      </x:c>
      <x:c r="E3880" s="65" t="n">
        <x:v>402.3953595395956</x:v>
      </x:c>
      <x:c r="F3880" s="65" t="n">
        <x:v>402.3953595395956</x:v>
      </x:c>
      <x:c r="G3880" s="65" t="n">
        <x:v>698.9656038532625</x:v>
      </x:c>
      <x:c r="H3880" s="43" t="n">
        <x:v>1</x:v>
      </x:c>
      <x:c r="I3880" s="34" t="str">
        <x:v>generated design-reference observation; not predicted tract behavior</x:v>
      </x:c>
    </x:row>
    <x:row r="3881" ht="75.5999984741211" hidden="0" customHeight="1">
      <x:c r="A3881" s="36" t="str">
        <x:v>H3</x:v>
      </x:c>
      <x:c r="B3881" s="36" t="str">
        <x:v>48201421502</x:v>
      </x:c>
      <x:c r="C3881" s="66" t="n">
        <x:v>442.487874225324</x:v>
      </x:c>
      <x:c r="D3881" s="66" t="n">
        <x:v>341.593488766764</x:v>
      </x:c>
      <x:c r="E3881" s="66" t="n">
        <x:v>100.89438545856001</x:v>
      </x:c>
      <x:c r="F3881" s="66" t="n">
        <x:v>100.89438545856001</x:v>
      </x:c>
      <x:c r="G3881" s="66" t="n">
        <x:v>442.487874225324</x:v>
      </x:c>
      <x:c r="H3881" s="45" t="n">
        <x:v>1</x:v>
      </x:c>
      <x:c r="I3881" s="36" t="str">
        <x:v>generated design-reference observation; not predicted tract behavior</x:v>
      </x:c>
    </x:row>
    <x:row r="3882" ht="75.5999984741211" hidden="0" customHeight="1">
      <x:c r="A3882" s="34" t="str">
        <x:v>H3</x:v>
      </x:c>
      <x:c r="B3882" s="34" t="str">
        <x:v>48201421601</x:v>
      </x:c>
      <x:c r="C3882" s="65" t="n">
        <x:v>267.36528634955175</x:v>
      </x:c>
      <x:c r="D3882" s="65" t="n">
        <x:v>237.2829329465414</x:v>
      </x:c>
      <x:c r="E3882" s="65" t="n">
        <x:v>30.08235340301036</x:v>
      </x:c>
      <x:c r="F3882" s="65" t="n">
        <x:v>30.08235340301036</x:v>
      </x:c>
      <x:c r="G3882" s="65" t="n">
        <x:v>267.36528634955175</x:v>
      </x:c>
      <x:c r="H3882" s="43" t="n">
        <x:v>1</x:v>
      </x:c>
      <x:c r="I3882" s="34" t="str">
        <x:v>generated design-reference observation; not predicted tract behavior</x:v>
      </x:c>
    </x:row>
    <x:row r="3883" ht="75.5999984741211" hidden="0" customHeight="1">
      <x:c r="A3883" s="36" t="str">
        <x:v>H3</x:v>
      </x:c>
      <x:c r="B3883" s="36" t="str">
        <x:v>48201421602</x:v>
      </x:c>
      <x:c r="C3883" s="66" t="n">
        <x:v>501.33726909460637</x:v>
      </x:c>
      <x:c r="D3883" s="66" t="n">
        <x:v>213.10521354217886</x:v>
      </x:c>
      <x:c r="E3883" s="66" t="n">
        <x:v>288.2320555524275</x:v>
      </x:c>
      <x:c r="F3883" s="66" t="n">
        <x:v>288.2320555524275</x:v>
      </x:c>
      <x:c r="G3883" s="66" t="n">
        <x:v>501.3372690946063</x:v>
      </x:c>
      <x:c r="H3883" s="45" t="n">
        <x:v>0.9999999999999999</x:v>
      </x:c>
      <x:c r="I3883" s="36" t="str">
        <x:v>generated design-reference observation; not predicted tract behavior</x:v>
      </x:c>
    </x:row>
    <x:row r="3884" ht="75.5999984741211" hidden="0" customHeight="1">
      <x:c r="A3884" s="34" t="str">
        <x:v>H3</x:v>
      </x:c>
      <x:c r="B3884" s="34" t="str">
        <x:v>48201421700</x:v>
      </x:c>
      <x:c r="C3884" s="65" t="n">
        <x:v>646.054683920707</x:v>
      </x:c>
      <x:c r="D3884" s="65" t="n">
        <x:v>501.48058111768245</x:v>
      </x:c>
      <x:c r="E3884" s="65" t="n">
        <x:v>144.57410280302457</x:v>
      </x:c>
      <x:c r="F3884" s="65" t="n">
        <x:v>144.57410280302457</x:v>
      </x:c>
      <x:c r="G3884" s="65" t="n">
        <x:v>646.054683920707</x:v>
      </x:c>
      <x:c r="H3884" s="43" t="n">
        <x:v>1</x:v>
      </x:c>
      <x:c r="I3884" s="34" t="str">
        <x:v>generated design-reference observation; not predicted tract behavior</x:v>
      </x:c>
    </x:row>
    <x:row r="3885" ht="75.5999984741211" hidden="0" customHeight="1">
      <x:c r="A3885" s="36" t="str">
        <x:v>H3</x:v>
      </x:c>
      <x:c r="B3885" s="36" t="str">
        <x:v>48201421801</x:v>
      </x:c>
      <x:c r="C3885" s="66" t="n">
        <x:v>409.7048928858945</x:v>
      </x:c>
      <x:c r="D3885" s="66" t="n">
        <x:v>172.66146405265084</x:v>
      </x:c>
      <x:c r="E3885" s="66" t="n">
        <x:v>237.04342883324364</x:v>
      </x:c>
      <x:c r="F3885" s="66" t="n">
        <x:v>237.04342883324364</x:v>
      </x:c>
      <x:c r="G3885" s="66" t="n">
        <x:v>409.7048928858945</x:v>
      </x:c>
      <x:c r="H3885" s="45" t="n">
        <x:v>1</x:v>
      </x:c>
      <x:c r="I3885" s="36" t="str">
        <x:v>generated design-reference observation; not predicted tract behavior</x:v>
      </x:c>
    </x:row>
    <x:row r="3886" ht="75.5999984741211" hidden="0" customHeight="1">
      <x:c r="A3886" s="34" t="str">
        <x:v>H3</x:v>
      </x:c>
      <x:c r="B3886" s="34" t="str">
        <x:v>48201421802</x:v>
      </x:c>
      <x:c r="C3886" s="65" t="n">
        <x:v>424.5255367748152</x:v>
      </x:c>
      <x:c r="D3886" s="65" t="n">
        <x:v>180.68532576452213</x:v>
      </x:c>
      <x:c r="E3886" s="65" t="n">
        <x:v>243.84021101029305</x:v>
      </x:c>
      <x:c r="F3886" s="65" t="n">
        <x:v>243.84021101029305</x:v>
      </x:c>
      <x:c r="G3886" s="65" t="n">
        <x:v>424.5255367748152</x:v>
      </x:c>
      <x:c r="H3886" s="43" t="n">
        <x:v>1</x:v>
      </x:c>
      <x:c r="I3886" s="34" t="str">
        <x:v>generated design-reference observation; not predicted tract behavior</x:v>
      </x:c>
    </x:row>
    <x:row r="3887" ht="75.5999984741211" hidden="0" customHeight="1">
      <x:c r="A3887" s="36" t="str">
        <x:v>H3</x:v>
      </x:c>
      <x:c r="B3887" s="36" t="str">
        <x:v>48201421900</x:v>
      </x:c>
      <x:c r="C3887" s="66" t="n">
        <x:v>525.7223490740353</x:v>
      </x:c>
      <x:c r="D3887" s="66" t="n">
        <x:v>224.74630422915004</x:v>
      </x:c>
      <x:c r="E3887" s="66" t="n">
        <x:v>300.9760448448852</x:v>
      </x:c>
      <x:c r="F3887" s="66" t="n">
        <x:v>300.9760448448852</x:v>
      </x:c>
      <x:c r="G3887" s="66" t="n">
        <x:v>525.7223490740353</x:v>
      </x:c>
      <x:c r="H3887" s="45" t="n">
        <x:v>1</x:v>
      </x:c>
      <x:c r="I3887" s="36" t="str">
        <x:v>generated design-reference observation; not predicted tract behavior</x:v>
      </x:c>
    </x:row>
    <x:row r="3888" ht="75.5999984741211" hidden="0" customHeight="1">
      <x:c r="A3888" s="34" t="str">
        <x:v>H3</x:v>
      </x:c>
      <x:c r="B3888" s="34" t="str">
        <x:v>48201422000</x:v>
      </x:c>
      <x:c r="C3888" s="65" t="n">
        <x:v>181.5314250930565</x:v>
      </x:c>
      <x:c r="D3888" s="65" t="n">
        <x:v>161.98475384854785</x:v>
      </x:c>
      <x:c r="E3888" s="65" t="n">
        <x:v>19.546671244508644</x:v>
      </x:c>
      <x:c r="F3888" s="65" t="n">
        <x:v>19.546671244508644</x:v>
      </x:c>
      <x:c r="G3888" s="65" t="n">
        <x:v>181.5314250930565</x:v>
      </x:c>
      <x:c r="H3888" s="43" t="n">
        <x:v>1</x:v>
      </x:c>
      <x:c r="I3888" s="34" t="str">
        <x:v>generated design-reference observation; not predicted tract behavior</x:v>
      </x:c>
    </x:row>
    <x:row r="3889" ht="75.5999984741211" hidden="0" customHeight="1">
      <x:c r="A3889" s="36" t="str">
        <x:v>H3</x:v>
      </x:c>
      <x:c r="B3889" s="36" t="str">
        <x:v>48201422100</x:v>
      </x:c>
      <x:c r="C3889" s="66" t="n">
        <x:v>723.3265006820201</x:v>
      </x:c>
      <x:c r="D3889" s="66" t="n">
        <x:v>562.4236608532242</x:v>
      </x:c>
      <x:c r="E3889" s="66" t="n">
        <x:v>160.9028398287959</x:v>
      </x:c>
      <x:c r="F3889" s="66" t="n">
        <x:v>160.9028398287959</x:v>
      </x:c>
      <x:c r="G3889" s="66" t="n">
        <x:v>723.3265006820201</x:v>
      </x:c>
      <x:c r="H3889" s="45" t="n">
        <x:v>1</x:v>
      </x:c>
      <x:c r="I3889" s="36" t="str">
        <x:v>generated design-reference observation; not predicted tract behavior</x:v>
      </x:c>
    </x:row>
    <x:row r="3890" ht="75.5999984741211" hidden="0" customHeight="1">
      <x:c r="A3890" s="34" t="str">
        <x:v>H3</x:v>
      </x:c>
      <x:c r="B3890" s="34" t="str">
        <x:v>48201422200</x:v>
      </x:c>
      <x:c r="C3890" s="65" t="n">
        <x:v>819.6346890730323</x:v>
      </x:c>
      <x:c r="D3890" s="65" t="n">
        <x:v>633.2671324645992</x:v>
      </x:c>
      <x:c r="E3890" s="65" t="n">
        <x:v>186.36755660843312</x:v>
      </x:c>
      <x:c r="F3890" s="65" t="n">
        <x:v>186.36755660843312</x:v>
      </x:c>
      <x:c r="G3890" s="65" t="n">
        <x:v>819.6346890730323</x:v>
      </x:c>
      <x:c r="H3890" s="43" t="n">
        <x:v>1</x:v>
      </x:c>
      <x:c r="I3890" s="34" t="str">
        <x:v>generated design-reference observation; not predicted tract behavior</x:v>
      </x:c>
    </x:row>
    <x:row r="3891" ht="75.5999984741211" hidden="0" customHeight="1">
      <x:c r="A3891" s="36" t="str">
        <x:v>H3</x:v>
      </x:c>
      <x:c r="B3891" s="36" t="str">
        <x:v>48201422302</x:v>
      </x:c>
      <x:c r="C3891" s="66" t="n">
        <x:v>300.2712994680214</x:v>
      </x:c>
      <x:c r="D3891" s="66" t="n">
        <x:v>233.876167647651</x:v>
      </x:c>
      <x:c r="E3891" s="66" t="n">
        <x:v>66.39513182037044</x:v>
      </x:c>
      <x:c r="F3891" s="66" t="n">
        <x:v>66.39513182037044</x:v>
      </x:c>
      <x:c r="G3891" s="66" t="n">
        <x:v>300.2712994680214</x:v>
      </x:c>
      <x:c r="H3891" s="45" t="n">
        <x:v>1</x:v>
      </x:c>
      <x:c r="I3891" s="36" t="str">
        <x:v>generated design-reference observation; not predicted tract behavior</x:v>
      </x:c>
    </x:row>
    <x:row r="3892" ht="75.5999984741211" hidden="0" customHeight="1">
      <x:c r="A3892" s="34" t="str">
        <x:v>H3</x:v>
      </x:c>
      <x:c r="B3892" s="34" t="str">
        <x:v>48201422303</x:v>
      </x:c>
      <x:c r="C3892" s="65" t="n">
        <x:v>544.7835084331724</x:v>
      </x:c>
      <x:c r="D3892" s="65" t="n">
        <x:v>231.23620165117666</x:v>
      </x:c>
      <x:c r="E3892" s="65" t="n">
        <x:v>313.54730678199576</x:v>
      </x:c>
      <x:c r="F3892" s="65" t="n">
        <x:v>313.54730678199576</x:v>
      </x:c>
      <x:c r="G3892" s="65" t="n">
        <x:v>544.7835084331724</x:v>
      </x:c>
      <x:c r="H3892" s="43" t="n">
        <x:v>1</x:v>
      </x:c>
      <x:c r="I3892" s="34" t="str">
        <x:v>generated design-reference observation; not predicted tract behavior</x:v>
      </x:c>
    </x:row>
    <x:row r="3893" ht="75.5999984741211" hidden="0" customHeight="1">
      <x:c r="A3893" s="36" t="str">
        <x:v>H3</x:v>
      </x:c>
      <x:c r="B3893" s="36" t="str">
        <x:v>48201422304</x:v>
      </x:c>
      <x:c r="C3893" s="66" t="n">
        <x:v>631.3915328005332</x:v>
      </x:c>
      <x:c r="D3893" s="66" t="n">
        <x:v>491.3050400866973</x:v>
      </x:c>
      <x:c r="E3893" s="66" t="n">
        <x:v>140.08649271383592</x:v>
      </x:c>
      <x:c r="F3893" s="66" t="n">
        <x:v>140.08649271383592</x:v>
      </x:c>
      <x:c r="G3893" s="66" t="n">
        <x:v>631.3915328005332</x:v>
      </x:c>
      <x:c r="H3893" s="45" t="n">
        <x:v>1</x:v>
      </x:c>
      <x:c r="I3893" s="36" t="str">
        <x:v>generated design-reference observation; not predicted tract behavior</x:v>
      </x:c>
    </x:row>
    <x:row r="3894" ht="75.5999984741211" hidden="0" customHeight="1">
      <x:c r="A3894" s="34" t="str">
        <x:v>H3</x:v>
      </x:c>
      <x:c r="B3894" s="34" t="str">
        <x:v>48201422403</x:v>
      </x:c>
      <x:c r="C3894" s="65" t="n">
        <x:v>206.02956130187397</x:v>
      </x:c>
      <x:c r="D3894" s="65" t="n">
        <x:v>183.5248895193324</x:v>
      </x:c>
      <x:c r="E3894" s="65" t="n">
        <x:v>22.50467178254158</x:v>
      </x:c>
      <x:c r="F3894" s="65" t="n">
        <x:v>22.50467178254158</x:v>
      </x:c>
      <x:c r="G3894" s="65" t="n">
        <x:v>206.02956130187397</x:v>
      </x:c>
      <x:c r="H3894" s="43" t="n">
        <x:v>1</x:v>
      </x:c>
      <x:c r="I3894" s="34" t="str">
        <x:v>generated design-reference observation; not predicted tract behavior</x:v>
      </x:c>
    </x:row>
    <x:row r="3895" ht="75.5999984741211" hidden="0" customHeight="1">
      <x:c r="A3895" s="36" t="str">
        <x:v>H3</x:v>
      </x:c>
      <x:c r="B3895" s="36" t="str">
        <x:v>48201422404</x:v>
      </x:c>
      <x:c r="C3895" s="66" t="n">
        <x:v>463.6550837185501</x:v>
      </x:c>
      <x:c r="D3895" s="66" t="n">
        <x:v>197.1109124324503</x:v>
      </x:c>
      <x:c r="E3895" s="66" t="n">
        <x:v>266.54417128609975</x:v>
      </x:c>
      <x:c r="F3895" s="66" t="n">
        <x:v>266.54417128609975</x:v>
      </x:c>
      <x:c r="G3895" s="66" t="n">
        <x:v>463.65508371855003</x:v>
      </x:c>
      <x:c r="H3895" s="45" t="n">
        <x:v>0.9999999999999999</x:v>
      </x:c>
      <x:c r="I3895" s="36" t="str">
        <x:v>generated design-reference observation; not predicted tract behavior</x:v>
      </x:c>
    </x:row>
    <x:row r="3896" ht="75.5999984741211" hidden="0" customHeight="1">
      <x:c r="A3896" s="34" t="str">
        <x:v>H3</x:v>
      </x:c>
      <x:c r="B3896" s="34" t="str">
        <x:v>48201422405</x:v>
      </x:c>
      <x:c r="C3896" s="65" t="n">
        <x:v>259.9319904119536</x:v>
      </x:c>
      <x:c r="D3896" s="65" t="n">
        <x:v>199.46242361335808</x:v>
      </x:c>
      <x:c r="E3896" s="65" t="n">
        <x:v>60.46956679859554</x:v>
      </x:c>
      <x:c r="F3896" s="65" t="n">
        <x:v>60.46956679859554</x:v>
      </x:c>
      <x:c r="G3896" s="65" t="n">
        <x:v>259.9319904119536</x:v>
      </x:c>
      <x:c r="H3896" s="43" t="n">
        <x:v>1</x:v>
      </x:c>
      <x:c r="I3896" s="34" t="str">
        <x:v>generated design-reference observation; not predicted tract behavior</x:v>
      </x:c>
    </x:row>
    <x:row r="3897" ht="75.5999984741211" hidden="0" customHeight="1">
      <x:c r="A3897" s="36" t="str">
        <x:v>H3</x:v>
      </x:c>
      <x:c r="B3897" s="36" t="str">
        <x:v>48201422406</x:v>
      </x:c>
      <x:c r="C3897" s="66" t="n">
        <x:v>226.6372331464422</x:v>
      </x:c>
      <x:c r="D3897" s="66" t="n">
        <x:v>201.64048158821427</x:v>
      </x:c>
      <x:c r="E3897" s="66" t="n">
        <x:v>24.996751558227942</x:v>
      </x:c>
      <x:c r="F3897" s="66" t="n">
        <x:v>24.996751558227942</x:v>
      </x:c>
      <x:c r="G3897" s="66" t="n">
        <x:v>226.6372331464422</x:v>
      </x:c>
      <x:c r="H3897" s="45" t="n">
        <x:v>1</x:v>
      </x:c>
      <x:c r="I3897" s="36" t="str">
        <x:v>generated design-reference observation; not predicted tract behavior</x:v>
      </x:c>
    </x:row>
    <x:row r="3898" ht="75.5999984741211" hidden="0" customHeight="1">
      <x:c r="A3898" s="34" t="str">
        <x:v>H3</x:v>
      </x:c>
      <x:c r="B3898" s="34" t="str">
        <x:v>48201422501</x:v>
      </x:c>
      <x:c r="C3898" s="65" t="n">
        <x:v>656.7297312057959</x:v>
      </x:c>
      <x:c r="D3898" s="65" t="n">
        <x:v>279.6664379082086</x:v>
      </x:c>
      <x:c r="E3898" s="65" t="n">
        <x:v>377.06329329758734</x:v>
      </x:c>
      <x:c r="F3898" s="65" t="n">
        <x:v>377.06329329758734</x:v>
      </x:c>
      <x:c r="G3898" s="65" t="n">
        <x:v>656.7297312057959</x:v>
      </x:c>
      <x:c r="H3898" s="43" t="n">
        <x:v>1</x:v>
      </x:c>
      <x:c r="I3898" s="34" t="str">
        <x:v>generated design-reference observation; not predicted tract behavior</x:v>
      </x:c>
    </x:row>
    <x:row r="3899" ht="75.5999984741211" hidden="0" customHeight="1">
      <x:c r="A3899" s="36" t="str">
        <x:v>H3</x:v>
      </x:c>
      <x:c r="B3899" s="36" t="str">
        <x:v>48201422502</x:v>
      </x:c>
      <x:c r="C3899" s="66" t="n">
        <x:v>527.2120311553889</x:v>
      </x:c>
      <x:c r="D3899" s="66" t="n">
        <x:v>224.19470490675437</x:v>
      </x:c>
      <x:c r="E3899" s="66" t="n">
        <x:v>303.0173262486345</x:v>
      </x:c>
      <x:c r="F3899" s="66" t="n">
        <x:v>303.01732624863445</x:v>
      </x:c>
      <x:c r="G3899" s="66" t="n">
        <x:v>527.2120311553888</x:v>
      </x:c>
      <x:c r="H3899" s="45" t="n">
        <x:v>0.9999999999999998</x:v>
      </x:c>
      <x:c r="I3899" s="36" t="str">
        <x:v>generated design-reference observation; not predicted tract behavior</x:v>
      </x:c>
    </x:row>
    <x:row r="3900" ht="75.5999984741211" hidden="0" customHeight="1">
      <x:c r="A3900" s="34" t="str">
        <x:v>H3</x:v>
      </x:c>
      <x:c r="B3900" s="34" t="str">
        <x:v>48201422601</x:v>
      </x:c>
      <x:c r="C3900" s="65" t="n">
        <x:v>550.6068111148272</x:v>
      </x:c>
      <x:c r="D3900" s="65" t="n">
        <x:v>234.13133129409846</x:v>
      </x:c>
      <x:c r="E3900" s="65" t="n">
        <x:v>316.47547982072876</x:v>
      </x:c>
      <x:c r="F3900" s="65" t="n">
        <x:v>316.47547982072876</x:v>
      </x:c>
      <x:c r="G3900" s="65" t="n">
        <x:v>550.6068111148272</x:v>
      </x:c>
      <x:c r="H3900" s="43" t="n">
        <x:v>1</x:v>
      </x:c>
      <x:c r="I3900" s="34" t="str">
        <x:v>generated design-reference observation; not predicted tract behavior</x:v>
      </x:c>
    </x:row>
    <x:row r="3901" ht="75.5999984741211" hidden="0" customHeight="1">
      <x:c r="A3901" s="36" t="str">
        <x:v>H3</x:v>
      </x:c>
      <x:c r="B3901" s="36" t="str">
        <x:v>48201422602</x:v>
      </x:c>
      <x:c r="C3901" s="66" t="n">
        <x:v>335.78546538639364</x:v>
      </x:c>
      <x:c r="D3901" s="66" t="n">
        <x:v>261.57687753600067</x:v>
      </x:c>
      <x:c r="E3901" s="66" t="n">
        <x:v>74.20858785039297</x:v>
      </x:c>
      <x:c r="F3901" s="66" t="n">
        <x:v>74.20858785039297</x:v>
      </x:c>
      <x:c r="G3901" s="66" t="n">
        <x:v>335.78546538639364</x:v>
      </x:c>
      <x:c r="H3901" s="45" t="n">
        <x:v>1</x:v>
      </x:c>
      <x:c r="I3901" s="36" t="str">
        <x:v>generated design-reference observation; not predicted tract behavior</x:v>
      </x:c>
    </x:row>
    <x:row r="3902" ht="75.5999984741211" hidden="0" customHeight="1">
      <x:c r="A3902" s="34" t="str">
        <x:v>H3</x:v>
      </x:c>
      <x:c r="B3902" s="34" t="str">
        <x:v>48201422701</x:v>
      </x:c>
      <x:c r="C3902" s="65" t="n">
        <x:v>380.9039695938819</x:v>
      </x:c>
      <x:c r="D3902" s="65" t="n">
        <x:v>339.2484007693169</x:v>
      </x:c>
      <x:c r="E3902" s="65" t="n">
        <x:v>41.65556882456502</x:v>
      </x:c>
      <x:c r="F3902" s="65" t="n">
        <x:v>41.65556882456502</x:v>
      </x:c>
      <x:c r="G3902" s="65" t="n">
        <x:v>380.9039695938819</x:v>
      </x:c>
      <x:c r="H3902" s="43" t="n">
        <x:v>1</x:v>
      </x:c>
      <x:c r="I3902" s="34" t="str">
        <x:v>generated design-reference observation; not predicted tract behavior</x:v>
      </x:c>
    </x:row>
    <x:row r="3903" ht="75.5999984741211" hidden="0" customHeight="1">
      <x:c r="A3903" s="36" t="str">
        <x:v>H3</x:v>
      </x:c>
      <x:c r="B3903" s="36" t="str">
        <x:v>48201422702</x:v>
      </x:c>
      <x:c r="C3903" s="66" t="n">
        <x:v>277.4804936965996</x:v>
      </x:c>
      <x:c r="D3903" s="66" t="n">
        <x:v>247.7900808710634</x:v>
      </x:c>
      <x:c r="E3903" s="66" t="n">
        <x:v>29.690412825536185</x:v>
      </x:c>
      <x:c r="F3903" s="66" t="n">
        <x:v>29.690412825536185</x:v>
      </x:c>
      <x:c r="G3903" s="66" t="n">
        <x:v>277.4804936965996</x:v>
      </x:c>
      <x:c r="H3903" s="45" t="n">
        <x:v>1</x:v>
      </x:c>
      <x:c r="I3903" s="36" t="str">
        <x:v>generated design-reference observation; not predicted tract behavior</x:v>
      </x:c>
    </x:row>
    <x:row r="3904" ht="75.5999984741211" hidden="0" customHeight="1">
      <x:c r="A3904" s="34" t="str">
        <x:v>H3</x:v>
      </x:c>
      <x:c r="B3904" s="34" t="str">
        <x:v>48201422800</x:v>
      </x:c>
      <x:c r="C3904" s="65" t="n">
        <x:v>753.7706690621493</x:v>
      </x:c>
      <x:c r="D3904" s="65" t="n">
        <x:v>320.0113110604546</x:v>
      </x:c>
      <x:c r="E3904" s="65" t="n">
        <x:v>433.7593580016947</x:v>
      </x:c>
      <x:c r="F3904" s="65" t="n">
        <x:v>433.7593580016947</x:v>
      </x:c>
      <x:c r="G3904" s="65" t="n">
        <x:v>753.7706690621493</x:v>
      </x:c>
      <x:c r="H3904" s="43" t="n">
        <x:v>1</x:v>
      </x:c>
      <x:c r="I3904" s="34" t="str">
        <x:v>generated design-reference observation; not predicted tract behavior</x:v>
      </x:c>
    </x:row>
    <x:row r="3905" ht="75.5999984741211" hidden="0" customHeight="1">
      <x:c r="A3905" s="36" t="str">
        <x:v>H3</x:v>
      </x:c>
      <x:c r="B3905" s="36" t="str">
        <x:v>48201422900</x:v>
      </x:c>
      <x:c r="C3905" s="66" t="n">
        <x:v>708.4877194300963</x:v>
      </x:c>
      <x:c r="D3905" s="66" t="n">
        <x:v>301.3925547080233</x:v>
      </x:c>
      <x:c r="E3905" s="66" t="n">
        <x:v>407.095164722073</x:v>
      </x:c>
      <x:c r="F3905" s="66" t="n">
        <x:v>407.095164722073</x:v>
      </x:c>
      <x:c r="G3905" s="66" t="n">
        <x:v>708.4877194300963</x:v>
      </x:c>
      <x:c r="H3905" s="45" t="n">
        <x:v>1</x:v>
      </x:c>
      <x:c r="I3905" s="36" t="str">
        <x:v>generated design-reference observation; not predicted tract behavior</x:v>
      </x:c>
    </x:row>
    <x:row r="3906" ht="75.5999984741211" hidden="0" customHeight="1">
      <x:c r="A3906" s="34" t="str">
        <x:v>H3</x:v>
      </x:c>
      <x:c r="B3906" s="34" t="str">
        <x:v>48201423001</x:v>
      </x:c>
      <x:c r="C3906" s="65" t="n">
        <x:v>468.10145825885627</x:v>
      </x:c>
      <x:c r="D3906" s="65" t="n">
        <x:v>361.0366251868393</x:v>
      </x:c>
      <x:c r="E3906" s="65" t="n">
        <x:v>107.064833072017</x:v>
      </x:c>
      <x:c r="F3906" s="65" t="n">
        <x:v>107.064833072017</x:v>
      </x:c>
      <x:c r="G3906" s="65" t="n">
        <x:v>468.10145825885627</x:v>
      </x:c>
      <x:c r="H3906" s="43" t="n">
        <x:v>1</x:v>
      </x:c>
      <x:c r="I3906" s="34" t="str">
        <x:v>generated design-reference observation; not predicted tract behavior</x:v>
      </x:c>
    </x:row>
    <x:row r="3907" ht="75.5999984741211" hidden="0" customHeight="1">
      <x:c r="A3907" s="36" t="str">
        <x:v>H3</x:v>
      </x:c>
      <x:c r="B3907" s="36" t="str">
        <x:v>48201423002</x:v>
      </x:c>
      <x:c r="C3907" s="66" t="n">
        <x:v>540.9323416887642</x:v>
      </x:c>
      <x:c r="D3907" s="66" t="n">
        <x:v>229.49296047566148</x:v>
      </x:c>
      <x:c r="E3907" s="66" t="n">
        <x:v>311.4393812131027</x:v>
      </x:c>
      <x:c r="F3907" s="66" t="n">
        <x:v>311.4393812131027</x:v>
      </x:c>
      <x:c r="G3907" s="66" t="n">
        <x:v>540.9323416887642</x:v>
      </x:c>
      <x:c r="H3907" s="45" t="n">
        <x:v>1</x:v>
      </x:c>
      <x:c r="I3907" s="36" t="str">
        <x:v>generated design-reference observation; not predicted tract behavior</x:v>
      </x:c>
    </x:row>
    <x:row r="3908" ht="75.5999984741211" hidden="0" customHeight="1">
      <x:c r="A3908" s="34" t="str">
        <x:v>H3</x:v>
      </x:c>
      <x:c r="B3908" s="34" t="str">
        <x:v>48201423100</x:v>
      </x:c>
      <x:c r="C3908" s="65" t="n">
        <x:v>231.35687728933442</x:v>
      </x:c>
      <x:c r="D3908" s="65" t="n">
        <x:v>205.56868296227873</x:v>
      </x:c>
      <x:c r="E3908" s="65" t="n">
        <x:v>25.78819432705569</x:v>
      </x:c>
      <x:c r="F3908" s="65" t="n">
        <x:v>25.78819432705569</x:v>
      </x:c>
      <x:c r="G3908" s="65" t="n">
        <x:v>231.35687728933442</x:v>
      </x:c>
      <x:c r="H3908" s="43" t="n">
        <x:v>1</x:v>
      </x:c>
      <x:c r="I3908" s="34" t="str">
        <x:v>generated design-reference observation; not predicted tract behavior</x:v>
      </x:c>
    </x:row>
    <x:row r="3909" ht="75.5999984741211" hidden="0" customHeight="1">
      <x:c r="A3909" s="36" t="str">
        <x:v>H3</x:v>
      </x:c>
      <x:c r="B3909" s="36" t="str">
        <x:v>48201423201</x:v>
      </x:c>
      <x:c r="C3909" s="66" t="n">
        <x:v>373.8582086457917</x:v>
      </x:c>
      <x:c r="D3909" s="66" t="n">
        <x:v>291.0662579968059</x:v>
      </x:c>
      <x:c r="E3909" s="66" t="n">
        <x:v>82.79195064898579</x:v>
      </x:c>
      <x:c r="F3909" s="66" t="n">
        <x:v>82.79195064898579</x:v>
      </x:c>
      <x:c r="G3909" s="66" t="n">
        <x:v>373.8582086457917</x:v>
      </x:c>
      <x:c r="H3909" s="45" t="n">
        <x:v>1</x:v>
      </x:c>
      <x:c r="I3909" s="36" t="str">
        <x:v>generated design-reference observation; not predicted tract behavior</x:v>
      </x:c>
    </x:row>
    <x:row r="3910" ht="75.5999984741211" hidden="0" customHeight="1">
      <x:c r="A3910" s="34" t="str">
        <x:v>H3</x:v>
      </x:c>
      <x:c r="B3910" s="34" t="str">
        <x:v>48201423203</x:v>
      </x:c>
      <x:c r="C3910" s="65" t="n">
        <x:v>186.51436328888266</x:v>
      </x:c>
      <x:c r="D3910" s="65" t="n">
        <x:v>165.78211862454245</x:v>
      </x:c>
      <x:c r="E3910" s="65" t="n">
        <x:v>20.732244664340215</x:v>
      </x:c>
      <x:c r="F3910" s="65" t="n">
        <x:v>20.732244664340215</x:v>
      </x:c>
      <x:c r="G3910" s="65" t="n">
        <x:v>186.51436328888266</x:v>
      </x:c>
      <x:c r="H3910" s="43" t="n">
        <x:v>1</x:v>
      </x:c>
      <x:c r="I3910" s="34" t="str">
        <x:v>generated design-reference observation; not predicted tract behavior</x:v>
      </x:c>
    </x:row>
    <x:row r="3911" ht="75.5999984741211" hidden="0" customHeight="1">
      <x:c r="A3911" s="36" t="str">
        <x:v>H3</x:v>
      </x:c>
      <x:c r="B3911" s="36" t="str">
        <x:v>48201423204</x:v>
      </x:c>
      <x:c r="C3911" s="66" t="n">
        <x:v>594.1809188625682</x:v>
      </x:c>
      <x:c r="D3911" s="66" t="n">
        <x:v>459.0348713480801</x:v>
      </x:c>
      <x:c r="E3911" s="66" t="n">
        <x:v>135.1460475144881</x:v>
      </x:c>
      <x:c r="F3911" s="66" t="n">
        <x:v>135.1460475144881</x:v>
      </x:c>
      <x:c r="G3911" s="66" t="n">
        <x:v>594.1809188625682</x:v>
      </x:c>
      <x:c r="H3911" s="45" t="n">
        <x:v>1</x:v>
      </x:c>
      <x:c r="I3911" s="36" t="str">
        <x:v>generated design-reference observation; not predicted tract behavior</x:v>
      </x:c>
    </x:row>
    <x:row r="3912" ht="75.5999984741211" hidden="0" customHeight="1">
      <x:c r="A3912" s="34" t="str">
        <x:v>H3</x:v>
      </x:c>
      <x:c r="B3912" s="34" t="str">
        <x:v>48201423301</x:v>
      </x:c>
      <x:c r="C3912" s="65" t="n">
        <x:v>376.5419337915419</x:v>
      </x:c>
      <x:c r="D3912" s="65" t="n">
        <x:v>334.811086546155</x:v>
      </x:c>
      <x:c r="E3912" s="65" t="n">
        <x:v>41.73084724538688</x:v>
      </x:c>
      <x:c r="F3912" s="65" t="n">
        <x:v>41.73084724538688</x:v>
      </x:c>
      <x:c r="G3912" s="65" t="n">
        <x:v>376.5419337915419</x:v>
      </x:c>
      <x:c r="H3912" s="43" t="n">
        <x:v>1</x:v>
      </x:c>
      <x:c r="I3912" s="34" t="str">
        <x:v>generated design-reference observation; not predicted tract behavior</x:v>
      </x:c>
    </x:row>
    <x:row r="3913" ht="75.5999984741211" hidden="0" customHeight="1">
      <x:c r="A3913" s="36" t="str">
        <x:v>H3</x:v>
      </x:c>
      <x:c r="B3913" s="36" t="str">
        <x:v>48201423303</x:v>
      </x:c>
      <x:c r="C3913" s="66" t="n">
        <x:v>204.3246491795456</x:v>
      </x:c>
      <x:c r="D3913" s="66" t="n">
        <x:v>157.66684178404117</x:v>
      </x:c>
      <x:c r="E3913" s="66" t="n">
        <x:v>46.65780739550442</x:v>
      </x:c>
      <x:c r="F3913" s="66" t="n">
        <x:v>46.65780739550442</x:v>
      </x:c>
      <x:c r="G3913" s="66" t="n">
        <x:v>204.3246491795456</x:v>
      </x:c>
      <x:c r="H3913" s="45" t="n">
        <x:v>1</x:v>
      </x:c>
      <x:c r="I3913" s="36" t="str">
        <x:v>generated design-reference observation; not predicted tract behavior</x:v>
      </x:c>
    </x:row>
    <x:row r="3914" ht="75.5999984741211" hidden="0" customHeight="1">
      <x:c r="A3914" s="34" t="str">
        <x:v>H3</x:v>
      </x:c>
      <x:c r="B3914" s="34" t="str">
        <x:v>48201423304</x:v>
      </x:c>
      <x:c r="C3914" s="65" t="n">
        <x:v>285.02170694406834</x:v>
      </x:c>
      <x:c r="D3914" s="65" t="n">
        <x:v>253.46044500646124</x:v>
      </x:c>
      <x:c r="E3914" s="65" t="n">
        <x:v>31.5612619376071</x:v>
      </x:c>
      <x:c r="F3914" s="65" t="n">
        <x:v>31.5612619376071</x:v>
      </x:c>
      <x:c r="G3914" s="65" t="n">
        <x:v>285.02170694406834</x:v>
      </x:c>
      <x:c r="H3914" s="43" t="n">
        <x:v>1</x:v>
      </x:c>
      <x:c r="I3914" s="34" t="str">
        <x:v>generated design-reference observation; not predicted tract behavior</x:v>
      </x:c>
    </x:row>
    <x:row r="3915" ht="75.5999984741211" hidden="0" customHeight="1">
      <x:c r="A3915" s="36" t="str">
        <x:v>H3</x:v>
      </x:c>
      <x:c r="B3915" s="36" t="str">
        <x:v>48201423401</x:v>
      </x:c>
      <x:c r="C3915" s="66" t="n">
        <x:v>689.8077469834157</x:v>
      </x:c>
      <x:c r="D3915" s="66" t="n">
        <x:v>535.5001417792728</x:v>
      </x:c>
      <x:c r="E3915" s="66" t="n">
        <x:v>154.30760520414287</x:v>
      </x:c>
      <x:c r="F3915" s="66" t="n">
        <x:v>154.30760520414287</x:v>
      </x:c>
      <x:c r="G3915" s="66" t="n">
        <x:v>689.8077469834157</x:v>
      </x:c>
      <x:c r="H3915" s="45" t="n">
        <x:v>1</x:v>
      </x:c>
      <x:c r="I3915" s="36" t="str">
        <x:v>generated design-reference observation; not predicted tract behavior</x:v>
      </x:c>
    </x:row>
    <x:row r="3916" ht="75.5999984741211" hidden="0" customHeight="1">
      <x:c r="A3916" s="34" t="str">
        <x:v>H3</x:v>
      </x:c>
      <x:c r="B3916" s="34" t="str">
        <x:v>48201423402</x:v>
      </x:c>
      <x:c r="C3916" s="65" t="n">
        <x:v>367.2755550330575</x:v>
      </x:c>
      <x:c r="D3916" s="65" t="n">
        <x:v>327.82282930496183</x:v>
      </x:c>
      <x:c r="E3916" s="65" t="n">
        <x:v>39.452725728095686</x:v>
      </x:c>
      <x:c r="F3916" s="65" t="n">
        <x:v>39.452725728095686</x:v>
      </x:c>
      <x:c r="G3916" s="65" t="n">
        <x:v>367.2755550330575</x:v>
      </x:c>
      <x:c r="H3916" s="43" t="n">
        <x:v>1</x:v>
      </x:c>
      <x:c r="I3916" s="34" t="str">
        <x:v>generated design-reference observation; not predicted tract behavior</x:v>
      </x:c>
    </x:row>
    <x:row r="3917" ht="75.5999984741211" hidden="0" customHeight="1">
      <x:c r="A3917" s="36" t="str">
        <x:v>H3</x:v>
      </x:c>
      <x:c r="B3917" s="36" t="str">
        <x:v>48201423500</x:v>
      </x:c>
      <x:c r="C3917" s="66" t="n">
        <x:v>180.15600839862498</x:v>
      </x:c>
      <x:c r="D3917" s="66" t="n">
        <x:v>160.85398017469652</x:v>
      </x:c>
      <x:c r="E3917" s="66" t="n">
        <x:v>19.30202822392846</x:v>
      </x:c>
      <x:c r="F3917" s="66" t="n">
        <x:v>19.30202822392846</x:v>
      </x:c>
      <x:c r="G3917" s="66" t="n">
        <x:v>180.15600839862498</x:v>
      </x:c>
      <x:c r="H3917" s="45" t="n">
        <x:v>1</x:v>
      </x:c>
      <x:c r="I3917" s="36" t="str">
        <x:v>generated design-reference observation; not predicted tract behavior</x:v>
      </x:c>
    </x:row>
    <x:row r="3918" ht="75.5999984741211" hidden="0" customHeight="1">
      <x:c r="A3918" s="34" t="str">
        <x:v>H3</x:v>
      </x:c>
      <x:c r="B3918" s="34" t="str">
        <x:v>48201423600</x:v>
      </x:c>
      <x:c r="C3918" s="65" t="n">
        <x:v>1019.4679225941463</x:v>
      </x:c>
      <x:c r="D3918" s="65" t="n">
        <x:v>794.1655117008399</x:v>
      </x:c>
      <x:c r="E3918" s="65" t="n">
        <x:v>225.3024108933064</x:v>
      </x:c>
      <x:c r="F3918" s="65" t="n">
        <x:v>225.3024108933064</x:v>
      </x:c>
      <x:c r="G3918" s="65" t="n">
        <x:v>1019.4679225941463</x:v>
      </x:c>
      <x:c r="H3918" s="43" t="n">
        <x:v>1</x:v>
      </x:c>
      <x:c r="I3918" s="34" t="str">
        <x:v>generated design-reference observation; not predicted tract behavior</x:v>
      </x:c>
    </x:row>
    <x:row r="3919" ht="75.5999984741211" hidden="0" customHeight="1">
      <x:c r="A3919" s="36" t="str">
        <x:v>H3</x:v>
      </x:c>
      <x:c r="B3919" s="36" t="str">
        <x:v>48201430101</x:v>
      </x:c>
      <x:c r="C3919" s="66" t="n">
        <x:v>220.59325921491174</x:v>
      </x:c>
      <x:c r="D3919" s="66" t="n">
        <x:v>194.99264906392253</x:v>
      </x:c>
      <x:c r="E3919" s="66" t="n">
        <x:v>25.600610150989212</x:v>
      </x:c>
      <x:c r="F3919" s="66" t="n">
        <x:v>25.600610150989212</x:v>
      </x:c>
      <x:c r="G3919" s="66" t="n">
        <x:v>220.59325921491174</x:v>
      </x:c>
      <x:c r="H3919" s="45" t="n">
        <x:v>1</x:v>
      </x:c>
      <x:c r="I3919" s="36" t="str">
        <x:v>generated design-reference observation; not predicted tract behavior</x:v>
      </x:c>
    </x:row>
    <x:row r="3920" ht="75.5999984741211" hidden="0" customHeight="1">
      <x:c r="A3920" s="34" t="str">
        <x:v>H3</x:v>
      </x:c>
      <x:c r="B3920" s="34" t="str">
        <x:v>48201430102</x:v>
      </x:c>
      <x:c r="C3920" s="65" t="n">
        <x:v>241.0516001040846</x:v>
      </x:c>
      <x:c r="D3920" s="65" t="n">
        <x:v>213.18602664929816</x:v>
      </x:c>
      <x:c r="E3920" s="65" t="n">
        <x:v>27.865573454786443</x:v>
      </x:c>
      <x:c r="F3920" s="65" t="n">
        <x:v>27.865573454786443</x:v>
      </x:c>
      <x:c r="G3920" s="65" t="n">
        <x:v>241.0516001040846</x:v>
      </x:c>
      <x:c r="H3920" s="43" t="n">
        <x:v>1</x:v>
      </x:c>
      <x:c r="I3920" s="34" t="str">
        <x:v>generated design-reference observation; not predicted tract behavior</x:v>
      </x:c>
    </x:row>
    <x:row r="3921" ht="75.5999984741211" hidden="0" customHeight="1">
      <x:c r="A3921" s="36" t="str">
        <x:v>H3</x:v>
      </x:c>
      <x:c r="B3921" s="36" t="str">
        <x:v>48201430200</x:v>
      </x:c>
      <x:c r="C3921" s="66" t="n">
        <x:v>129.62712880719494</x:v>
      </x:c>
      <x:c r="D3921" s="66" t="n">
        <x:v>115.23826854584057</x:v>
      </x:c>
      <x:c r="E3921" s="66" t="n">
        <x:v>14.388860261354367</x:v>
      </x:c>
      <x:c r="F3921" s="66" t="n">
        <x:v>14.388860261354367</x:v>
      </x:c>
      <x:c r="G3921" s="66" t="n">
        <x:v>129.62712880719494</x:v>
      </x:c>
      <x:c r="H3921" s="45" t="n">
        <x:v>1</x:v>
      </x:c>
      <x:c r="I3921" s="36" t="str">
        <x:v>generated design-reference observation; not predicted tract behavior</x:v>
      </x:c>
    </x:row>
    <x:row r="3922" ht="75.5999984741211" hidden="0" customHeight="1">
      <x:c r="A3922" s="34" t="str">
        <x:v>H3</x:v>
      </x:c>
      <x:c r="B3922" s="34" t="str">
        <x:v>48201430300</x:v>
      </x:c>
      <x:c r="C3922" s="65" t="n">
        <x:v>347.31236415387997</x:v>
      </x:c>
      <x:c r="D3922" s="65" t="n">
        <x:v>310.1499411894148</x:v>
      </x:c>
      <x:c r="E3922" s="65" t="n">
        <x:v>37.16242296446518</x:v>
      </x:c>
      <x:c r="F3922" s="65" t="n">
        <x:v>37.16242296446518</x:v>
      </x:c>
      <x:c r="G3922" s="65" t="n">
        <x:v>347.31236415387997</x:v>
      </x:c>
      <x:c r="H3922" s="43" t="n">
        <x:v>1</x:v>
      </x:c>
      <x:c r="I3922" s="34" t="str">
        <x:v>generated design-reference observation; not predicted tract behavior</x:v>
      </x:c>
    </x:row>
    <x:row r="3923" ht="75.5999984741211" hidden="0" customHeight="1">
      <x:c r="A3923" s="36" t="str">
        <x:v>H3</x:v>
      </x:c>
      <x:c r="B3923" s="36" t="str">
        <x:v>48201430400</x:v>
      </x:c>
      <x:c r="C3923" s="66" t="n">
        <x:v>246.5689859297471</x:v>
      </x:c>
      <x:c r="D3923" s="66" t="n">
        <x:v>220.18610443526413</x:v>
      </x:c>
      <x:c r="E3923" s="66" t="n">
        <x:v>26.382881494482973</x:v>
      </x:c>
      <x:c r="F3923" s="66" t="n">
        <x:v>26.382881494482973</x:v>
      </x:c>
      <x:c r="G3923" s="66" t="n">
        <x:v>246.5689859297471</x:v>
      </x:c>
      <x:c r="H3923" s="45" t="n">
        <x:v>1</x:v>
      </x:c>
      <x:c r="I3923" s="36" t="str">
        <x:v>generated design-reference observation; not predicted tract behavior</x:v>
      </x:c>
    </x:row>
    <x:row r="3924" ht="75.5999984741211" hidden="0" customHeight="1">
      <x:c r="A3924" s="34" t="str">
        <x:v>H3</x:v>
      </x:c>
      <x:c r="B3924" s="34" t="str">
        <x:v>48201430500</x:v>
      </x:c>
      <x:c r="C3924" s="65" t="n">
        <x:v>183.56704180081513</x:v>
      </x:c>
      <x:c r="D3924" s="65" t="n">
        <x:v>163.34483114299564</x:v>
      </x:c>
      <x:c r="E3924" s="65" t="n">
        <x:v>20.22221065781949</x:v>
      </x:c>
      <x:c r="F3924" s="65" t="n">
        <x:v>20.22221065781949</x:v>
      </x:c>
      <x:c r="G3924" s="65" t="n">
        <x:v>183.56704180081513</x:v>
      </x:c>
      <x:c r="H3924" s="43" t="n">
        <x:v>1</x:v>
      </x:c>
      <x:c r="I3924" s="34" t="str">
        <x:v>generated design-reference observation; not predicted tract behavior</x:v>
      </x:c>
    </x:row>
    <x:row r="3925" ht="75.5999984741211" hidden="0" customHeight="1">
      <x:c r="A3925" s="36" t="str">
        <x:v>H3</x:v>
      </x:c>
      <x:c r="B3925" s="36" t="str">
        <x:v>48201430600</x:v>
      </x:c>
      <x:c r="C3925" s="66" t="n">
        <x:v>303.94351089746203</x:v>
      </x:c>
      <x:c r="D3925" s="66" t="n">
        <x:v>271.42155523143356</x:v>
      </x:c>
      <x:c r="E3925" s="66" t="n">
        <x:v>32.521955666028475</x:v>
      </x:c>
      <x:c r="F3925" s="66" t="n">
        <x:v>32.521955666028475</x:v>
      </x:c>
      <x:c r="G3925" s="66" t="n">
        <x:v>303.94351089746203</x:v>
      </x:c>
      <x:c r="H3925" s="45" t="n">
        <x:v>1</x:v>
      </x:c>
      <x:c r="I3925" s="36" t="str">
        <x:v>generated design-reference observation; not predicted tract behavior</x:v>
      </x:c>
    </x:row>
    <x:row r="3926" ht="75.5999984741211" hidden="0" customHeight="1">
      <x:c r="A3926" s="34" t="str">
        <x:v>H3</x:v>
      </x:c>
      <x:c r="B3926" s="34" t="str">
        <x:v>48201430700</x:v>
      </x:c>
      <x:c r="C3926" s="65" t="n">
        <x:v>312.75796702777603</x:v>
      </x:c>
      <x:c r="D3926" s="65" t="n">
        <x:v>275.7272698499081</x:v>
      </x:c>
      <x:c r="E3926" s="65" t="n">
        <x:v>37.03069717786792</x:v>
      </x:c>
      <x:c r="F3926" s="65" t="n">
        <x:v>37.03069717786792</x:v>
      </x:c>
      <x:c r="G3926" s="65" t="n">
        <x:v>312.75796702777603</x:v>
      </x:c>
      <x:c r="H3926" s="43" t="n">
        <x:v>1</x:v>
      </x:c>
      <x:c r="I3926" s="34" t="str">
        <x:v>generated design-reference observation; not predicted tract behavior</x:v>
      </x:c>
    </x:row>
    <x:row r="3927" ht="75.5999984741211" hidden="0" customHeight="1">
      <x:c r="A3927" s="36" t="str">
        <x:v>H3</x:v>
      </x:c>
      <x:c r="B3927" s="36" t="str">
        <x:v>48201430800</x:v>
      </x:c>
      <x:c r="C3927" s="66" t="n">
        <x:v>517.9426295030706</x:v>
      </x:c>
      <x:c r="D3927" s="66" t="n">
        <x:v>458.1071866085158</x:v>
      </x:c>
      <x:c r="E3927" s="66" t="n">
        <x:v>59.83544289455483</x:v>
      </x:c>
      <x:c r="F3927" s="66" t="n">
        <x:v>59.83544289455483</x:v>
      </x:c>
      <x:c r="G3927" s="66" t="n">
        <x:v>517.9426295030706</x:v>
      </x:c>
      <x:c r="H3927" s="45" t="n">
        <x:v>1</x:v>
      </x:c>
      <x:c r="I3927" s="36" t="str">
        <x:v>generated design-reference observation; not predicted tract behavior</x:v>
      </x:c>
    </x:row>
    <x:row r="3928" ht="75.5999984741211" hidden="0" customHeight="1">
      <x:c r="A3928" s="34" t="str">
        <x:v>H3</x:v>
      </x:c>
      <x:c r="B3928" s="34" t="str">
        <x:v>48201430900</x:v>
      </x:c>
      <x:c r="C3928" s="65" t="n">
        <x:v>444.71937445352046</x:v>
      </x:c>
      <x:c r="D3928" s="65" t="n">
        <x:v>395.05059832565297</x:v>
      </x:c>
      <x:c r="E3928" s="65" t="n">
        <x:v>49.66877612786749</x:v>
      </x:c>
      <x:c r="F3928" s="65" t="n">
        <x:v>49.66877612786749</x:v>
      </x:c>
      <x:c r="G3928" s="65" t="n">
        <x:v>444.71937445352046</x:v>
      </x:c>
      <x:c r="H3928" s="43" t="n">
        <x:v>1</x:v>
      </x:c>
      <x:c r="I3928" s="34" t="str">
        <x:v>generated design-reference observation; not predicted tract behavior</x:v>
      </x:c>
    </x:row>
    <x:row r="3929" ht="75.5999984741211" hidden="0" customHeight="1">
      <x:c r="A3929" s="36" t="str">
        <x:v>H3</x:v>
      </x:c>
      <x:c r="B3929" s="36" t="str">
        <x:v>48201431001</x:v>
      </x:c>
      <x:c r="C3929" s="66" t="n">
        <x:v>207.57002799963723</x:v>
      </x:c>
      <x:c r="D3929" s="66" t="n">
        <x:v>184.90855773145438</x:v>
      </x:c>
      <x:c r="E3929" s="66" t="n">
        <x:v>22.661470268182853</x:v>
      </x:c>
      <x:c r="F3929" s="66" t="n">
        <x:v>22.661470268182853</x:v>
      </x:c>
      <x:c r="G3929" s="66" t="n">
        <x:v>207.57002799963723</x:v>
      </x:c>
      <x:c r="H3929" s="45" t="n">
        <x:v>1</x:v>
      </x:c>
      <x:c r="I3929" s="36" t="str">
        <x:v>generated design-reference observation; not predicted tract behavior</x:v>
      </x:c>
    </x:row>
    <x:row r="3930" ht="75.5999984741211" hidden="0" customHeight="1">
      <x:c r="A3930" s="34" t="str">
        <x:v>H3</x:v>
      </x:c>
      <x:c r="B3930" s="34" t="str">
        <x:v>48201431002</x:v>
      </x:c>
      <x:c r="C3930" s="65" t="n">
        <x:v>241.95544536042536</x:v>
      </x:c>
      <x:c r="D3930" s="65" t="n">
        <x:v>215.61593475191862</x:v>
      </x:c>
      <x:c r="E3930" s="65" t="n">
        <x:v>26.339510608506743</x:v>
      </x:c>
      <x:c r="F3930" s="65" t="n">
        <x:v>26.339510608506743</x:v>
      </x:c>
      <x:c r="G3930" s="65" t="n">
        <x:v>241.95544536042536</x:v>
      </x:c>
      <x:c r="H3930" s="43" t="n">
        <x:v>1</x:v>
      </x:c>
      <x:c r="I3930" s="34" t="str">
        <x:v>generated design-reference observation; not predicted tract behavior</x:v>
      </x:c>
    </x:row>
    <x:row r="3931" ht="75.5999984741211" hidden="0" customHeight="1">
      <x:c r="A3931" s="36" t="str">
        <x:v>H3</x:v>
      </x:c>
      <x:c r="B3931" s="36" t="str">
        <x:v>48201431101</x:v>
      </x:c>
      <x:c r="C3931" s="66" t="n">
        <x:v>454.43767584017513</x:v>
      </x:c>
      <x:c r="D3931" s="66" t="n">
        <x:v>402.7682798183384</x:v>
      </x:c>
      <x:c r="E3931" s="66" t="n">
        <x:v>51.66939602183675</x:v>
      </x:c>
      <x:c r="F3931" s="66" t="n">
        <x:v>51.66939602183675</x:v>
      </x:c>
      <x:c r="G3931" s="66" t="n">
        <x:v>454.43767584017513</x:v>
      </x:c>
      <x:c r="H3931" s="45" t="n">
        <x:v>1</x:v>
      </x:c>
      <x:c r="I3931" s="36" t="str">
        <x:v>generated design-reference observation; not predicted tract behavior</x:v>
      </x:c>
    </x:row>
    <x:row r="3932" ht="75.5999984741211" hidden="0" customHeight="1">
      <x:c r="A3932" s="34" t="str">
        <x:v>H3</x:v>
      </x:c>
      <x:c r="B3932" s="34" t="str">
        <x:v>48201431102</x:v>
      </x:c>
      <x:c r="C3932" s="65" t="n">
        <x:v>331.46756383402885</x:v>
      </x:c>
      <x:c r="D3932" s="65" t="n">
        <x:v>292.7113784452429</x:v>
      </x:c>
      <x:c r="E3932" s="65" t="n">
        <x:v>38.75618538878598</x:v>
      </x:c>
      <x:c r="F3932" s="65" t="n">
        <x:v>38.75618538878598</x:v>
      </x:c>
      <x:c r="G3932" s="65" t="n">
        <x:v>331.46756383402885</x:v>
      </x:c>
      <x:c r="H3932" s="43" t="n">
        <x:v>1</x:v>
      </x:c>
      <x:c r="I3932" s="34" t="str">
        <x:v>generated design-reference observation; not predicted tract behavior</x:v>
      </x:c>
    </x:row>
    <x:row r="3933" ht="75.5999984741211" hidden="0" customHeight="1">
      <x:c r="A3933" s="36" t="str">
        <x:v>H3</x:v>
      </x:c>
      <x:c r="B3933" s="36" t="str">
        <x:v>48201431203</x:v>
      </x:c>
      <x:c r="C3933" s="66" t="n">
        <x:v>158.69950796549324</x:v>
      </x:c>
      <x:c r="D3933" s="66" t="n">
        <x:v>140.4311908307115</x:v>
      </x:c>
      <x:c r="E3933" s="66" t="n">
        <x:v>18.26831713478174</x:v>
      </x:c>
      <x:c r="F3933" s="66" t="n">
        <x:v>18.26831713478174</x:v>
      </x:c>
      <x:c r="G3933" s="66" t="n">
        <x:v>158.69950796549324</x:v>
      </x:c>
      <x:c r="H3933" s="45" t="n">
        <x:v>1</x:v>
      </x:c>
      <x:c r="I3933" s="36" t="str">
        <x:v>generated design-reference observation; not predicted tract behavior</x:v>
      </x:c>
    </x:row>
    <x:row r="3934" ht="75.5999984741211" hidden="0" customHeight="1">
      <x:c r="A3934" s="34" t="str">
        <x:v>H3</x:v>
      </x:c>
      <x:c r="B3934" s="34" t="str">
        <x:v>48201431204</x:v>
      </x:c>
      <x:c r="C3934" s="65" t="n">
        <x:v>254.78611823847942</x:v>
      </x:c>
      <x:c r="D3934" s="65" t="n">
        <x:v>224.5869633708077</x:v>
      </x:c>
      <x:c r="E3934" s="65" t="n">
        <x:v>30.199154867671723</x:v>
      </x:c>
      <x:c r="F3934" s="65" t="n">
        <x:v>30.199154867671723</x:v>
      </x:c>
      <x:c r="G3934" s="65" t="n">
        <x:v>254.78611823847942</x:v>
      </x:c>
      <x:c r="H3934" s="43" t="n">
        <x:v>1</x:v>
      </x:c>
      <x:c r="I3934" s="34" t="str">
        <x:v>generated design-reference observation; not predicted tract behavior</x:v>
      </x:c>
    </x:row>
    <x:row r="3935" ht="75.5999984741211" hidden="0" customHeight="1">
      <x:c r="A3935" s="36" t="str">
        <x:v>H3</x:v>
      </x:c>
      <x:c r="B3935" s="36" t="str">
        <x:v>48201431205</x:v>
      </x:c>
      <x:c r="C3935" s="66" t="n">
        <x:v>283.41836405455956</x:v>
      </x:c>
      <x:c r="D3935" s="66" t="n">
        <x:v>250.7189345305149</x:v>
      </x:c>
      <x:c r="E3935" s="66" t="n">
        <x:v>32.69942952404466</x:v>
      </x:c>
      <x:c r="F3935" s="66" t="n">
        <x:v>32.69942952404466</x:v>
      </x:c>
      <x:c r="G3935" s="66" t="n">
        <x:v>283.41836405455956</x:v>
      </x:c>
      <x:c r="H3935" s="45" t="n">
        <x:v>1</x:v>
      </x:c>
      <x:c r="I3935" s="36" t="str">
        <x:v>generated design-reference observation; not predicted tract behavior</x:v>
      </x:c>
    </x:row>
    <x:row r="3936" ht="75.5999984741211" hidden="0" customHeight="1">
      <x:c r="A3936" s="34" t="str">
        <x:v>H3</x:v>
      </x:c>
      <x:c r="B3936" s="34" t="str">
        <x:v>48201431206</x:v>
      </x:c>
      <x:c r="C3936" s="65" t="n">
        <x:v>141.66791952644687</x:v>
      </x:c>
      <x:c r="D3936" s="65" t="n">
        <x:v>124.48919017728436</x:v>
      </x:c>
      <x:c r="E3936" s="65" t="n">
        <x:v>17.17872934916251</x:v>
      </x:c>
      <x:c r="F3936" s="65" t="n">
        <x:v>17.17872934916251</x:v>
      </x:c>
      <x:c r="G3936" s="65" t="n">
        <x:v>141.66791952644687</x:v>
      </x:c>
      <x:c r="H3936" s="43" t="n">
        <x:v>1</x:v>
      </x:c>
      <x:c r="I3936" s="34" t="str">
        <x:v>generated design-reference observation; not predicted tract behavior</x:v>
      </x:c>
    </x:row>
    <x:row r="3937" ht="75.5999984741211" hidden="0" customHeight="1">
      <x:c r="A3937" s="36" t="str">
        <x:v>H3</x:v>
      </x:c>
      <x:c r="B3937" s="36" t="str">
        <x:v>48201431302</x:v>
      </x:c>
      <x:c r="C3937" s="66" t="n">
        <x:v>346.2906260380165</x:v>
      </x:c>
      <x:c r="D3937" s="66" t="n">
        <x:v>307.47126360316656</x:v>
      </x:c>
      <x:c r="E3937" s="66" t="n">
        <x:v>38.81936243484995</x:v>
      </x:c>
      <x:c r="F3937" s="66" t="n">
        <x:v>38.81936243484995</x:v>
      </x:c>
      <x:c r="G3937" s="66" t="n">
        <x:v>346.2906260380165</x:v>
      </x:c>
      <x:c r="H3937" s="45" t="n">
        <x:v>1</x:v>
      </x:c>
      <x:c r="I3937" s="36" t="str">
        <x:v>generated design-reference observation; not predicted tract behavior</x:v>
      </x:c>
    </x:row>
    <x:row r="3938" ht="75.5999984741211" hidden="0" customHeight="1">
      <x:c r="A3938" s="34" t="str">
        <x:v>H3</x:v>
      </x:c>
      <x:c r="B3938" s="34" t="str">
        <x:v>48201431303</x:v>
      </x:c>
      <x:c r="C3938" s="65" t="n">
        <x:v>130.85321454623096</x:v>
      </x:c>
      <x:c r="D3938" s="65" t="n">
        <x:v>115.66114387520263</x:v>
      </x:c>
      <x:c r="E3938" s="65" t="n">
        <x:v>15.192070671028333</x:v>
      </x:c>
      <x:c r="F3938" s="65" t="n">
        <x:v>15.192070671028333</x:v>
      </x:c>
      <x:c r="G3938" s="65" t="n">
        <x:v>130.85321454623096</x:v>
      </x:c>
      <x:c r="H3938" s="43" t="n">
        <x:v>1</x:v>
      </x:c>
      <x:c r="I3938" s="34" t="str">
        <x:v>generated design-reference observation; not predicted tract behavior</x:v>
      </x:c>
    </x:row>
    <x:row r="3939" ht="75.5999984741211" hidden="0" customHeight="1">
      <x:c r="A3939" s="36" t="str">
        <x:v>H3</x:v>
      </x:c>
      <x:c r="B3939" s="36" t="str">
        <x:v>48201431304</x:v>
      </x:c>
      <x:c r="C3939" s="66" t="n">
        <x:v>250.76990149073936</x:v>
      </x:c>
      <x:c r="D3939" s="66" t="n">
        <x:v>221.50441257638258</x:v>
      </x:c>
      <x:c r="E3939" s="66" t="n">
        <x:v>29.26548891435678</x:v>
      </x:c>
      <x:c r="F3939" s="66" t="n">
        <x:v>29.26548891435678</x:v>
      </x:c>
      <x:c r="G3939" s="66" t="n">
        <x:v>250.76990149073936</x:v>
      </x:c>
      <x:c r="H3939" s="45" t="n">
        <x:v>1</x:v>
      </x:c>
      <x:c r="I3939" s="36" t="str">
        <x:v>generated design-reference observation; not predicted tract behavior</x:v>
      </x:c>
    </x:row>
    <x:row r="3940" ht="75.5999984741211" hidden="0" customHeight="1">
      <x:c r="A3940" s="34" t="str">
        <x:v>H3</x:v>
      </x:c>
      <x:c r="B3940" s="34" t="str">
        <x:v>48201431401</x:v>
      </x:c>
      <x:c r="C3940" s="65" t="n">
        <x:v>216.97787818954893</x:v>
      </x:c>
      <x:c r="D3940" s="65" t="n">
        <x:v>191.23794793544408</x:v>
      </x:c>
      <x:c r="E3940" s="65" t="n">
        <x:v>25.73993025410485</x:v>
      </x:c>
      <x:c r="F3940" s="65" t="n">
        <x:v>25.73993025410485</x:v>
      </x:c>
      <x:c r="G3940" s="65" t="n">
        <x:v>216.97787818954893</x:v>
      </x:c>
      <x:c r="H3940" s="43" t="n">
        <x:v>1</x:v>
      </x:c>
      <x:c r="I3940" s="34" t="str">
        <x:v>generated design-reference observation; not predicted tract behavior</x:v>
      </x:c>
    </x:row>
    <x:row r="3941" ht="75.5999984741211" hidden="0" customHeight="1">
      <x:c r="A3941" s="36" t="str">
        <x:v>H3</x:v>
      </x:c>
      <x:c r="B3941" s="36" t="str">
        <x:v>48201431403</x:v>
      </x:c>
      <x:c r="C3941" s="66" t="n">
        <x:v>142.3124004918376</x:v>
      </x:c>
      <x:c r="D3941" s="66" t="n">
        <x:v>126.21815127566028</x:v>
      </x:c>
      <x:c r="E3941" s="66" t="n">
        <x:v>16.094249216177317</x:v>
      </x:c>
      <x:c r="F3941" s="66" t="n">
        <x:v>16.094249216177317</x:v>
      </x:c>
      <x:c r="G3941" s="66" t="n">
        <x:v>142.3124004918376</x:v>
      </x:c>
      <x:c r="H3941" s="45" t="n">
        <x:v>1</x:v>
      </x:c>
      <x:c r="I3941" s="36" t="str">
        <x:v>generated design-reference observation; not predicted tract behavior</x:v>
      </x:c>
    </x:row>
    <x:row r="3942" ht="75.5999984741211" hidden="0" customHeight="1">
      <x:c r="A3942" s="34" t="str">
        <x:v>H3</x:v>
      </x:c>
      <x:c r="B3942" s="34" t="str">
        <x:v>48201431404</x:v>
      </x:c>
      <x:c r="C3942" s="65" t="n">
        <x:v>165.17575571527365</x:v>
      </x:c>
      <x:c r="D3942" s="65" t="n">
        <x:v>146.4652118052447</x:v>
      </x:c>
      <x:c r="E3942" s="65" t="n">
        <x:v>18.710543910028946</x:v>
      </x:c>
      <x:c r="F3942" s="65" t="n">
        <x:v>18.710543910028946</x:v>
      </x:c>
      <x:c r="G3942" s="65" t="n">
        <x:v>165.17575571527365</x:v>
      </x:c>
      <x:c r="H3942" s="43" t="n">
        <x:v>1</x:v>
      </x:c>
      <x:c r="I3942" s="34" t="str">
        <x:v>generated design-reference observation; not predicted tract behavior</x:v>
      </x:c>
    </x:row>
    <x:row r="3943" ht="75.5999984741211" hidden="0" customHeight="1">
      <x:c r="A3943" s="36" t="str">
        <x:v>H3</x:v>
      </x:c>
      <x:c r="B3943" s="36" t="str">
        <x:v>48201431503</x:v>
      </x:c>
      <x:c r="C3943" s="66" t="n">
        <x:v>182.75751083209258</x:v>
      </x:c>
      <x:c r="D3943" s="66" t="n">
        <x:v>160.5467884190593</x:v>
      </x:c>
      <x:c r="E3943" s="66" t="n">
        <x:v>22.210722413033267</x:v>
      </x:c>
      <x:c r="F3943" s="66" t="n">
        <x:v>22.210722413033267</x:v>
      </x:c>
      <x:c r="G3943" s="66" t="n">
        <x:v>182.75751083209258</x:v>
      </x:c>
      <x:c r="H3943" s="45" t="n">
        <x:v>1</x:v>
      </x:c>
      <x:c r="I3943" s="36" t="str">
        <x:v>generated design-reference observation; not predicted tract behavior</x:v>
      </x:c>
    </x:row>
    <x:row r="3944" ht="75.5999984741211" hidden="0" customHeight="1">
      <x:c r="A3944" s="34" t="str">
        <x:v>H3</x:v>
      </x:c>
      <x:c r="B3944" s="34" t="str">
        <x:v>48201431504</x:v>
      </x:c>
      <x:c r="C3944" s="65" t="n">
        <x:v>198.07572304607567</x:v>
      </x:c>
      <x:c r="D3944" s="65" t="n">
        <x:v>176.48113399181315</x:v>
      </x:c>
      <x:c r="E3944" s="65" t="n">
        <x:v>21.594589054262514</x:v>
      </x:c>
      <x:c r="F3944" s="65" t="n">
        <x:v>21.594589054262514</x:v>
      </x:c>
      <x:c r="G3944" s="65" t="n">
        <x:v>198.07572304607567</x:v>
      </x:c>
      <x:c r="H3944" s="43" t="n">
        <x:v>1</x:v>
      </x:c>
      <x:c r="I3944" s="34" t="str">
        <x:v>generated design-reference observation; not predicted tract behavior</x:v>
      </x:c>
    </x:row>
    <x:row r="3945" ht="75.5999984741211" hidden="0" customHeight="1">
      <x:c r="A3945" s="36" t="str">
        <x:v>H3</x:v>
      </x:c>
      <x:c r="B3945" s="36" t="str">
        <x:v>48201431505</x:v>
      </x:c>
      <x:c r="C3945" s="66" t="n">
        <x:v>121.80690245885566</x:v>
      </x:c>
      <x:c r="D3945" s="66" t="n">
        <x:v>108.34483687318358</x:v>
      </x:c>
      <x:c r="E3945" s="66" t="n">
        <x:v>13.462065585672079</x:v>
      </x:c>
      <x:c r="F3945" s="66" t="n">
        <x:v>13.462065585672079</x:v>
      </x:c>
      <x:c r="G3945" s="66" t="n">
        <x:v>121.80690245885566</x:v>
      </x:c>
      <x:c r="H3945" s="45" t="n">
        <x:v>1</x:v>
      </x:c>
      <x:c r="I3945" s="36" t="str">
        <x:v>generated design-reference observation; not predicted tract behavior</x:v>
      </x:c>
    </x:row>
    <x:row r="3946" ht="75.5999984741211" hidden="0" customHeight="1">
      <x:c r="A3946" s="34" t="str">
        <x:v>H3</x:v>
      </x:c>
      <x:c r="B3946" s="34" t="str">
        <x:v>48201431506</x:v>
      </x:c>
      <x:c r="C3946" s="65" t="n">
        <x:v>227.28171411183305</x:v>
      </x:c>
      <x:c r="D3946" s="65" t="n">
        <x:v>201.00727991874925</x:v>
      </x:c>
      <x:c r="E3946" s="65" t="n">
        <x:v>26.274434193083806</x:v>
      </x:c>
      <x:c r="F3946" s="65" t="n">
        <x:v>26.274434193083806</x:v>
      </x:c>
      <x:c r="G3946" s="65" t="n">
        <x:v>227.28171411183305</x:v>
      </x:c>
      <x:c r="H3946" s="43" t="n">
        <x:v>1</x:v>
      </x:c>
      <x:c r="I3946" s="34" t="str">
        <x:v>generated design-reference observation; not predicted tract behavior</x:v>
      </x:c>
    </x:row>
    <x:row r="3947" ht="75.5999984741211" hidden="0" customHeight="1">
      <x:c r="A3947" s="36" t="str">
        <x:v>H3</x:v>
      </x:c>
      <x:c r="B3947" s="36" t="str">
        <x:v>48201431600</x:v>
      </x:c>
      <x:c r="C3947" s="66" t="n">
        <x:v>288.7903486868107</x:v>
      </x:c>
      <x:c r="D3947" s="66" t="n">
        <x:v>256.2985465560576</x:v>
      </x:c>
      <x:c r="E3947" s="66" t="n">
        <x:v>32.491802130753115</x:v>
      </x:c>
      <x:c r="F3947" s="66" t="n">
        <x:v>32.491802130753115</x:v>
      </x:c>
      <x:c r="G3947" s="66" t="n">
        <x:v>288.7903486868107</x:v>
      </x:c>
      <x:c r="H3947" s="45" t="n">
        <x:v>1</x:v>
      </x:c>
      <x:c r="I3947" s="36" t="str">
        <x:v>generated design-reference observation; not predicted tract behavior</x:v>
      </x:c>
    </x:row>
    <x:row r="3948" ht="75.5999984741211" hidden="0" customHeight="1">
      <x:c r="A3948" s="34" t="str">
        <x:v>H3</x:v>
      </x:c>
      <x:c r="B3948" s="34" t="str">
        <x:v>48201431701</x:v>
      </x:c>
      <x:c r="C3948" s="65" t="n">
        <x:v>162.42492232641055</x:v>
      </x:c>
      <x:c r="D3948" s="65" t="n">
        <x:v>143.37885107641736</x:v>
      </x:c>
      <x:c r="E3948" s="65" t="n">
        <x:v>19.04607124999319</x:v>
      </x:c>
      <x:c r="F3948" s="65" t="n">
        <x:v>19.04607124999319</x:v>
      </x:c>
      <x:c r="G3948" s="65" t="n">
        <x:v>162.42492232641055</x:v>
      </x:c>
      <x:c r="H3948" s="43" t="n">
        <x:v>1</x:v>
      </x:c>
      <x:c r="I3948" s="34" t="str">
        <x:v>generated design-reference observation; not predicted tract behavior</x:v>
      </x:c>
    </x:row>
    <x:row r="3949" ht="75.5999984741211" hidden="0" customHeight="1">
      <x:c r="A3949" s="36" t="str">
        <x:v>H3</x:v>
      </x:c>
      <x:c r="B3949" s="36" t="str">
        <x:v>48201431702</x:v>
      </x:c>
      <x:c r="C3949" s="66" t="n">
        <x:v>229.16014034022808</x:v>
      </x:c>
      <x:c r="D3949" s="66" t="n">
        <x:v>203.44927186930073</x:v>
      </x:c>
      <x:c r="E3949" s="66" t="n">
        <x:v>25.710868470927352</x:v>
      </x:c>
      <x:c r="F3949" s="66" t="n">
        <x:v>25.710868470927352</x:v>
      </x:c>
      <x:c r="G3949" s="66" t="n">
        <x:v>229.16014034022808</x:v>
      </x:c>
      <x:c r="H3949" s="45" t="n">
        <x:v>1</x:v>
      </x:c>
      <x:c r="I3949" s="36" t="str">
        <x:v>generated design-reference observation; not predicted tract behavior</x:v>
      </x:c>
    </x:row>
    <x:row r="3950" ht="75.5999984741211" hidden="0" customHeight="1">
      <x:c r="A3950" s="34" t="str">
        <x:v>H3</x:v>
      </x:c>
      <x:c r="B3950" s="34" t="str">
        <x:v>48201431801</x:v>
      </x:c>
      <x:c r="C3950" s="65" t="n">
        <x:v>295.8089035903956</x:v>
      </x:c>
      <x:c r="D3950" s="65" t="n">
        <x:v>260.77562117603696</x:v>
      </x:c>
      <x:c r="E3950" s="65" t="n">
        <x:v>35.03328241435861</x:v>
      </x:c>
      <x:c r="F3950" s="65" t="n">
        <x:v>35.03328241435861</x:v>
      </x:c>
      <x:c r="G3950" s="65" t="n">
        <x:v>295.8089035903956</x:v>
      </x:c>
      <x:c r="H3950" s="43" t="n">
        <x:v>1</x:v>
      </x:c>
      <x:c r="I3950" s="34" t="str">
        <x:v>generated design-reference observation; not predicted tract behavior</x:v>
      </x:c>
    </x:row>
    <x:row r="3951" ht="75.5999984741211" hidden="0" customHeight="1">
      <x:c r="A3951" s="36" t="str">
        <x:v>H3</x:v>
      </x:c>
      <x:c r="B3951" s="36" t="str">
        <x:v>48201431803</x:v>
      </x:c>
      <x:c r="C3951" s="66" t="n">
        <x:v>188.927237147114</x:v>
      </x:c>
      <x:c r="D3951" s="66" t="n">
        <x:v>166.00995509348127</x:v>
      </x:c>
      <x:c r="E3951" s="66" t="n">
        <x:v>22.917282053632732</x:v>
      </x:c>
      <x:c r="F3951" s="66" t="n">
        <x:v>22.917282053632732</x:v>
      </x:c>
      <x:c r="G3951" s="66" t="n">
        <x:v>188.927237147114</x:v>
      </x:c>
      <x:c r="H3951" s="45" t="n">
        <x:v>1</x:v>
      </x:c>
      <x:c r="I3951" s="36" t="str">
        <x:v>generated design-reference observation; not predicted tract behavior</x:v>
      </x:c>
    </x:row>
    <x:row r="3952" ht="75.5999984741211" hidden="0" customHeight="1">
      <x:c r="A3952" s="34" t="str">
        <x:v>H3</x:v>
      </x:c>
      <x:c r="B3952" s="34" t="str">
        <x:v>48201431804</x:v>
      </x:c>
      <x:c r="C3952" s="65" t="n">
        <x:v>202.74428028317465</x:v>
      </x:c>
      <x:c r="D3952" s="65" t="n">
        <x:v>177.5543672834449</x:v>
      </x:c>
      <x:c r="E3952" s="65" t="n">
        <x:v>25.189912999729756</x:v>
      </x:c>
      <x:c r="F3952" s="65" t="n">
        <x:v>25.189912999729756</x:v>
      </x:c>
      <x:c r="G3952" s="65" t="n">
        <x:v>202.74428028317465</x:v>
      </x:c>
      <x:c r="H3952" s="43" t="n">
        <x:v>1</x:v>
      </x:c>
      <x:c r="I3952" s="34" t="str">
        <x:v>generated design-reference observation; not predicted tract behavior</x:v>
      </x:c>
    </x:row>
    <x:row r="3953" ht="75.5999984741211" hidden="0" customHeight="1">
      <x:c r="A3953" s="36" t="str">
        <x:v>H3</x:v>
      </x:c>
      <x:c r="B3953" s="36" t="str">
        <x:v>48201431901</x:v>
      </x:c>
      <x:c r="C3953" s="66" t="n">
        <x:v>199.21535402146174</x:v>
      </x:c>
      <x:c r="D3953" s="66" t="n">
        <x:v>174.49358976753106</x:v>
      </x:c>
      <x:c r="E3953" s="66" t="n">
        <x:v>24.721764253930672</x:v>
      </x:c>
      <x:c r="F3953" s="66" t="n">
        <x:v>24.721764253930672</x:v>
      </x:c>
      <x:c r="G3953" s="66" t="n">
        <x:v>199.21535402146174</x:v>
      </x:c>
      <x:c r="H3953" s="45" t="n">
        <x:v>1</x:v>
      </x:c>
      <x:c r="I3953" s="36" t="str">
        <x:v>generated design-reference observation; not predicted tract behavior</x:v>
      </x:c>
    </x:row>
    <x:row r="3954" ht="75.5999984741211" hidden="0" customHeight="1">
      <x:c r="A3954" s="34" t="str">
        <x:v>H3</x:v>
      </x:c>
      <x:c r="B3954" s="34" t="str">
        <x:v>48201431902</x:v>
      </x:c>
      <x:c r="C3954" s="65" t="n">
        <x:v>195.00264917451725</x:v>
      </x:c>
      <x:c r="D3954" s="65" t="n">
        <x:v>170.753254393584</x:v>
      </x:c>
      <x:c r="E3954" s="65" t="n">
        <x:v>24.249394780933244</x:v>
      </x:c>
      <x:c r="F3954" s="65" t="n">
        <x:v>24.249394780933244</x:v>
      </x:c>
      <x:c r="G3954" s="65" t="n">
        <x:v>195.00264917451725</x:v>
      </x:c>
      <x:c r="H3954" s="43" t="n">
        <x:v>1</x:v>
      </x:c>
      <x:c r="I3954" s="34" t="str">
        <x:v>generated design-reference observation; not predicted tract behavior</x:v>
      </x:c>
    </x:row>
    <x:row r="3955" ht="75.5999984741211" hidden="0" customHeight="1">
      <x:c r="A3955" s="36" t="str">
        <x:v>H3</x:v>
      </x:c>
      <x:c r="B3955" s="36" t="str">
        <x:v>48201432003</x:v>
      </x:c>
      <x:c r="C3955" s="66" t="n">
        <x:v>142.65821954643755</x:v>
      </x:c>
      <x:c r="D3955" s="66" t="n">
        <x:v>126.01307395694558</x:v>
      </x:c>
      <x:c r="E3955" s="66" t="n">
        <x:v>16.645145589491975</x:v>
      </x:c>
      <x:c r="F3955" s="66" t="n">
        <x:v>16.645145589491975</x:v>
      </x:c>
      <x:c r="G3955" s="66" t="n">
        <x:v>142.65821954643755</x:v>
      </x:c>
      <x:c r="H3955" s="45" t="n">
        <x:v>1</x:v>
      </x:c>
      <x:c r="I3955" s="36" t="str">
        <x:v>generated design-reference observation; not predicted tract behavior</x:v>
      </x:c>
    </x:row>
    <x:row r="3956" ht="75.5999984741211" hidden="0" customHeight="1">
      <x:c r="A3956" s="34" t="str">
        <x:v>H3</x:v>
      </x:c>
      <x:c r="B3956" s="34" t="str">
        <x:v>48201432004</x:v>
      </x:c>
      <x:c r="C3956" s="65" t="n">
        <x:v>160.98662944023366</x:v>
      </x:c>
      <x:c r="D3956" s="65" t="n">
        <x:v>143.74000721522003</x:v>
      </x:c>
      <x:c r="E3956" s="65" t="n">
        <x:v>17.246622225013624</x:v>
      </x:c>
      <x:c r="F3956" s="65" t="n">
        <x:v>17.246622225013624</x:v>
      </x:c>
      <x:c r="G3956" s="65" t="n">
        <x:v>160.98662944023366</x:v>
      </x:c>
      <x:c r="H3956" s="43" t="n">
        <x:v>1</x:v>
      </x:c>
      <x:c r="I3956" s="34" t="str">
        <x:v>generated design-reference observation; not predicted tract behavior</x:v>
      </x:c>
    </x:row>
    <x:row r="3957" ht="75.5999984741211" hidden="0" customHeight="1">
      <x:c r="A3957" s="36" t="str">
        <x:v>H3</x:v>
      </x:c>
      <x:c r="B3957" s="36" t="str">
        <x:v>48201432005</x:v>
      </x:c>
      <x:c r="C3957" s="66" t="n">
        <x:v>292.8930201982008</x:v>
      </x:c>
      <x:c r="D3957" s="66" t="n">
        <x:v>257.4921308295745</x:v>
      </x:c>
      <x:c r="E3957" s="66" t="n">
        <x:v>35.40088936862634</x:v>
      </x:c>
      <x:c r="F3957" s="66" t="n">
        <x:v>35.40088936862634</x:v>
      </x:c>
      <x:c r="G3957" s="66" t="n">
        <x:v>292.8930201982008</x:v>
      </x:c>
      <x:c r="H3957" s="45" t="n">
        <x:v>1</x:v>
      </x:c>
      <x:c r="I3957" s="36" t="str">
        <x:v>generated design-reference observation; not predicted tract behavior</x:v>
      </x:c>
    </x:row>
    <x:row r="3958" ht="75.5999984741211" hidden="0" customHeight="1">
      <x:c r="A3958" s="34" t="str">
        <x:v>H3</x:v>
      </x:c>
      <x:c r="B3958" s="34" t="str">
        <x:v>48201432006</x:v>
      </x:c>
      <x:c r="C3958" s="65" t="n">
        <x:v>182.78894892796535</x:v>
      </x:c>
      <x:c r="D3958" s="65" t="n">
        <x:v>160.9627882786805</x:v>
      </x:c>
      <x:c r="E3958" s="65" t="n">
        <x:v>21.826160649284844</x:v>
      </x:c>
      <x:c r="F3958" s="65" t="n">
        <x:v>21.826160649284844</x:v>
      </x:c>
      <x:c r="G3958" s="65" t="n">
        <x:v>182.78894892796535</x:v>
      </x:c>
      <x:c r="H3958" s="43" t="n">
        <x:v>1</x:v>
      </x:c>
      <x:c r="I3958" s="34" t="str">
        <x:v>generated design-reference observation; not predicted tract behavior</x:v>
      </x:c>
    </x:row>
    <x:row r="3959" ht="75.5999984741211" hidden="0" customHeight="1">
      <x:c r="A3959" s="36" t="str">
        <x:v>H3</x:v>
      </x:c>
      <x:c r="B3959" s="36" t="str">
        <x:v>48201432101</x:v>
      </x:c>
      <x:c r="C3959" s="66" t="n">
        <x:v>253.3674741622229</x:v>
      </x:c>
      <x:c r="D3959" s="66" t="n">
        <x:v>224.133163674574</x:v>
      </x:c>
      <x:c r="E3959" s="66" t="n">
        <x:v>29.234310487648884</x:v>
      </x:c>
      <x:c r="F3959" s="66" t="n">
        <x:v>29.234310487648884</x:v>
      </x:c>
      <x:c r="G3959" s="66" t="n">
        <x:v>253.3674741622229</x:v>
      </x:c>
      <x:c r="H3959" s="45" t="n">
        <x:v>1</x:v>
      </x:c>
      <x:c r="I3959" s="36" t="str">
        <x:v>generated design-reference observation; not predicted tract behavior</x:v>
      </x:c>
    </x:row>
    <x:row r="3960" ht="75.5999984741211" hidden="0" customHeight="1">
      <x:c r="A3960" s="34" t="str">
        <x:v>H3</x:v>
      </x:c>
      <x:c r="B3960" s="34" t="str">
        <x:v>48201432102</x:v>
      </x:c>
      <x:c r="C3960" s="65" t="n">
        <x:v>386.32311136994207</x:v>
      </x:c>
      <x:c r="D3960" s="65" t="n">
        <x:v>340.9114044103114</x:v>
      </x:c>
      <x:c r="E3960" s="65" t="n">
        <x:v>45.41170695963069</x:v>
      </x:c>
      <x:c r="F3960" s="65" t="n">
        <x:v>45.41170695963069</x:v>
      </x:c>
      <x:c r="G3960" s="65" t="n">
        <x:v>386.32311136994207</x:v>
      </x:c>
      <x:c r="H3960" s="43" t="n">
        <x:v>1</x:v>
      </x:c>
      <x:c r="I3960" s="34" t="str">
        <x:v>generated design-reference observation; not predicted tract behavior</x:v>
      </x:c>
    </x:row>
    <x:row r="3961" ht="75.5999984741211" hidden="0" customHeight="1">
      <x:c r="A3961" s="36" t="str">
        <x:v>H3</x:v>
      </x:c>
      <x:c r="B3961" s="36" t="str">
        <x:v>48201432200</x:v>
      </x:c>
      <x:c r="C3961" s="66" t="n">
        <x:v>309.20153243217453</x:v>
      </x:c>
      <x:c r="D3961" s="66" t="n">
        <x:v>274.1484291683647</x:v>
      </x:c>
      <x:c r="E3961" s="66" t="n">
        <x:v>35.05310326380982</x:v>
      </x:c>
      <x:c r="F3961" s="66" t="n">
        <x:v>35.05310326380982</x:v>
      </x:c>
      <x:c r="G3961" s="66" t="n">
        <x:v>309.20153243217453</x:v>
      </x:c>
      <x:c r="H3961" s="45" t="n">
        <x:v>1</x:v>
      </x:c>
      <x:c r="I3961" s="36" t="str">
        <x:v>generated design-reference observation; not predicted tract behavior</x:v>
      </x:c>
    </x:row>
    <x:row r="3962" ht="75.5999984741211" hidden="0" customHeight="1">
      <x:c r="A3962" s="34" t="str">
        <x:v>H3</x:v>
      </x:c>
      <x:c r="B3962" s="34" t="str">
        <x:v>48201432301</x:v>
      </x:c>
      <x:c r="C3962" s="65" t="n">
        <x:v>282.8328295189302</x:v>
      </x:c>
      <x:c r="D3962" s="65" t="n">
        <x:v>251.6701877096409</x:v>
      </x:c>
      <x:c r="E3962" s="65" t="n">
        <x:v>31.162641809289312</x:v>
      </x:c>
      <x:c r="F3962" s="65" t="n">
        <x:v>31.162641809289312</x:v>
      </x:c>
      <x:c r="G3962" s="65" t="n">
        <x:v>282.8328295189302</x:v>
      </x:c>
      <x:c r="H3962" s="43" t="n">
        <x:v>1</x:v>
      </x:c>
      <x:c r="I3962" s="34" t="str">
        <x:v>generated design-reference observation; not predicted tract behavior</x:v>
      </x:c>
    </x:row>
    <x:row r="3963" ht="75.5999984741211" hidden="0" customHeight="1">
      <x:c r="A3963" s="36" t="str">
        <x:v>H3</x:v>
      </x:c>
      <x:c r="B3963" s="36" t="str">
        <x:v>48201432302</x:v>
      </x:c>
      <x:c r="C3963" s="66" t="n">
        <x:v>170.0290117656249</x:v>
      </x:c>
      <x:c r="D3963" s="66" t="n">
        <x:v>150.51129379777575</x:v>
      </x:c>
      <x:c r="E3963" s="66" t="n">
        <x:v>19.517717967849137</x:v>
      </x:c>
      <x:c r="F3963" s="66" t="n">
        <x:v>19.517717967849137</x:v>
      </x:c>
      <x:c r="G3963" s="66" t="n">
        <x:v>170.0290117656249</x:v>
      </x:c>
      <x:c r="H3963" s="45" t="n">
        <x:v>1</x:v>
      </x:c>
      <x:c r="I3963" s="36" t="str">
        <x:v>generated design-reference observation; not predicted tract behavior</x:v>
      </x:c>
    </x:row>
    <x:row r="3964" ht="75.5999984741211" hidden="0" customHeight="1">
      <x:c r="A3964" s="34" t="str">
        <x:v>H3</x:v>
      </x:c>
      <x:c r="B3964" s="34" t="str">
        <x:v>48201432303</x:v>
      </x:c>
      <x:c r="C3964" s="65" t="n">
        <x:v>221.4027901836343</x:v>
      </x:c>
      <x:c r="D3964" s="65" t="n">
        <x:v>194.99530085546604</x:v>
      </x:c>
      <x:c r="E3964" s="65" t="n">
        <x:v>26.407489328168253</x:v>
      </x:c>
      <x:c r="F3964" s="65" t="n">
        <x:v>26.407489328168253</x:v>
      </x:c>
      <x:c r="G3964" s="65" t="n">
        <x:v>221.4027901836343</x:v>
      </x:c>
      <x:c r="H3964" s="43" t="n">
        <x:v>1</x:v>
      </x:c>
      <x:c r="I3964" s="34" t="str">
        <x:v>generated design-reference observation; not predicted tract behavior</x:v>
      </x:c>
    </x:row>
    <x:row r="3965" ht="75.5999984741211" hidden="0" customHeight="1">
      <x:c r="A3965" s="36" t="str">
        <x:v>H3</x:v>
      </x:c>
      <x:c r="B3965" s="36" t="str">
        <x:v>48201432401</x:v>
      </x:c>
      <x:c r="C3965" s="66" t="n">
        <x:v>302.1043822889079</x:v>
      </x:c>
      <x:c r="D3965" s="66" t="n">
        <x:v>268.55140819573353</x:v>
      </x:c>
      <x:c r="E3965" s="66" t="n">
        <x:v>33.552974093174385</x:v>
      </x:c>
      <x:c r="F3965" s="66" t="n">
        <x:v>33.552974093174385</x:v>
      </x:c>
      <x:c r="G3965" s="66" t="n">
        <x:v>302.1043822889079</x:v>
      </x:c>
      <x:c r="H3965" s="45" t="n">
        <x:v>1</x:v>
      </x:c>
      <x:c r="I3965" s="36" t="str">
        <x:v>generated design-reference observation; not predicted tract behavior</x:v>
      </x:c>
    </x:row>
    <x:row r="3966" ht="75.5999984741211" hidden="0" customHeight="1">
      <x:c r="A3966" s="34" t="str">
        <x:v>H3</x:v>
      </x:c>
      <x:c r="B3966" s="34" t="str">
        <x:v>48201432402</x:v>
      </x:c>
      <x:c r="C3966" s="65" t="n">
        <x:v>240.21063103948936</x:v>
      </x:c>
      <x:c r="D3966" s="65" t="n">
        <x:v>211.13067608015913</x:v>
      </x:c>
      <x:c r="E3966" s="65" t="n">
        <x:v>29.079954959330223</x:v>
      </x:c>
      <x:c r="F3966" s="65" t="n">
        <x:v>29.079954959330223</x:v>
      </x:c>
      <x:c r="G3966" s="65" t="n">
        <x:v>240.21063103948936</x:v>
      </x:c>
      <x:c r="H3966" s="43" t="n">
        <x:v>1</x:v>
      </x:c>
      <x:c r="I3966" s="34" t="str">
        <x:v>generated design-reference observation; not predicted tract behavior</x:v>
      </x:c>
    </x:row>
    <x:row r="3967" ht="75.5999984741211" hidden="0" customHeight="1">
      <x:c r="A3967" s="36" t="str">
        <x:v>H3</x:v>
      </x:c>
      <x:c r="B3967" s="36" t="str">
        <x:v>48201432501</x:v>
      </x:c>
      <x:c r="C3967" s="66" t="n">
        <x:v>285.11995099367067</x:v>
      </x:c>
      <x:c r="D3967" s="66" t="n">
        <x:v>253.94442712134082</x:v>
      </x:c>
      <x:c r="E3967" s="66" t="n">
        <x:v>31.175523872329848</x:v>
      </x:c>
      <x:c r="F3967" s="66" t="n">
        <x:v>31.175523872329848</x:v>
      </x:c>
      <x:c r="G3967" s="66" t="n">
        <x:v>285.11995099367067</x:v>
      </x:c>
      <x:c r="H3967" s="45" t="n">
        <x:v>1</x:v>
      </x:c>
      <x:c r="I3967" s="36" t="str">
        <x:v>generated design-reference observation; not predicted tract behavior</x:v>
      </x:c>
    </x:row>
    <x:row r="3968" ht="75.5999984741211" hidden="0" customHeight="1">
      <x:c r="A3968" s="34" t="str">
        <x:v>H3</x:v>
      </x:c>
      <x:c r="B3968" s="34" t="str">
        <x:v>48201432502</x:v>
      </x:c>
      <x:c r="C3968" s="65" t="n">
        <x:v>154.79332455330768</x:v>
      </x:c>
      <x:c r="D3968" s="65" t="n">
        <x:v>137.2352974347678</x:v>
      </x:c>
      <x:c r="E3968" s="65" t="n">
        <x:v>17.558027118539883</x:v>
      </x:c>
      <x:c r="F3968" s="65" t="n">
        <x:v>17.558027118539883</x:v>
      </x:c>
      <x:c r="G3968" s="65" t="n">
        <x:v>154.79332455330768</x:v>
      </x:c>
      <x:c r="H3968" s="43" t="n">
        <x:v>1</x:v>
      </x:c>
      <x:c r="I3968" s="34" t="str">
        <x:v>generated design-reference observation; not predicted tract behavior</x:v>
      </x:c>
    </x:row>
    <x:row r="3969" ht="75.5999984741211" hidden="0" customHeight="1">
      <x:c r="A3969" s="36" t="str">
        <x:v>H3</x:v>
      </x:c>
      <x:c r="B3969" s="36" t="str">
        <x:v>48201432600</x:v>
      </x:c>
      <x:c r="C3969" s="66" t="n">
        <x:v>178.8120298000662</x:v>
      </x:c>
      <x:c r="D3969" s="66" t="n">
        <x:v>159.34552996782642</x:v>
      </x:c>
      <x:c r="E3969" s="66" t="n">
        <x:v>19.466499832239776</x:v>
      </x:c>
      <x:c r="F3969" s="66" t="n">
        <x:v>19.466499832239776</x:v>
      </x:c>
      <x:c r="G3969" s="66" t="n">
        <x:v>178.8120298000662</x:v>
      </x:c>
      <x:c r="H3969" s="45" t="n">
        <x:v>1</x:v>
      </x:c>
      <x:c r="I3969" s="36" t="str">
        <x:v>generated design-reference observation; not predicted tract behavior</x:v>
      </x:c>
    </x:row>
    <x:row r="3970" ht="75.5999984741211" hidden="0" customHeight="1">
      <x:c r="A3970" s="34" t="str">
        <x:v>H3</x:v>
      </x:c>
      <x:c r="B3970" s="34" t="str">
        <x:v>48201432703</x:v>
      </x:c>
      <x:c r="C3970" s="65" t="n">
        <x:v>162.83361757275597</x:v>
      </x:c>
      <x:c r="D3970" s="65" t="n">
        <x:v>143.60805993780392</x:v>
      </x:c>
      <x:c r="E3970" s="65" t="n">
        <x:v>19.225557634952054</x:v>
      </x:c>
      <x:c r="F3970" s="65" t="n">
        <x:v>19.225557634952054</x:v>
      </x:c>
      <x:c r="G3970" s="65" t="n">
        <x:v>162.83361757275597</x:v>
      </x:c>
      <x:c r="H3970" s="43" t="n">
        <x:v>1</x:v>
      </x:c>
      <x:c r="I3970" s="34" t="str">
        <x:v>generated design-reference observation; not predicted tract behavior</x:v>
      </x:c>
    </x:row>
    <x:row r="3971" ht="75.5999984741211" hidden="0" customHeight="1">
      <x:c r="A3971" s="36" t="str">
        <x:v>H3</x:v>
      </x:c>
      <x:c r="B3971" s="36" t="str">
        <x:v>48201432704</x:v>
      </x:c>
      <x:c r="C3971" s="66" t="n">
        <x:v>140.34751949979258</x:v>
      </x:c>
      <x:c r="D3971" s="66" t="n">
        <x:v>123.71471968154135</x:v>
      </x:c>
      <x:c r="E3971" s="66" t="n">
        <x:v>16.63279981825123</x:v>
      </x:c>
      <x:c r="F3971" s="66" t="n">
        <x:v>16.63279981825123</x:v>
      </x:c>
      <x:c r="G3971" s="66" t="n">
        <x:v>140.34751949979258</x:v>
      </x:c>
      <x:c r="H3971" s="45" t="n">
        <x:v>1</x:v>
      </x:c>
      <x:c r="I3971" s="36" t="str">
        <x:v>generated design-reference observation; not predicted tract behavior</x:v>
      </x:c>
    </x:row>
    <x:row r="3972" ht="75.5999984741211" hidden="0" customHeight="1">
      <x:c r="A3972" s="34" t="str">
        <x:v>H3</x:v>
      </x:c>
      <x:c r="B3972" s="34" t="str">
        <x:v>48201432705</x:v>
      </x:c>
      <x:c r="C3972" s="65" t="n">
        <x:v>426.6267502787698</x:v>
      </x:c>
      <x:c r="D3972" s="65" t="n">
        <x:v>375.76992576523037</x:v>
      </x:c>
      <x:c r="E3972" s="65" t="n">
        <x:v>50.856824513539436</x:v>
      </x:c>
      <x:c r="F3972" s="65" t="n">
        <x:v>50.856824513539436</x:v>
      </x:c>
      <x:c r="G3972" s="65" t="n">
        <x:v>426.6267502787698</x:v>
      </x:c>
      <x:c r="H3972" s="43" t="n">
        <x:v>1</x:v>
      </x:c>
      <x:c r="I3972" s="34" t="str">
        <x:v>generated design-reference observation; not predicted tract behavior</x:v>
      </x:c>
    </x:row>
    <x:row r="3973" ht="75.5999984741211" hidden="0" customHeight="1">
      <x:c r="A3973" s="36" t="str">
        <x:v>H3</x:v>
      </x:c>
      <x:c r="B3973" s="36" t="str">
        <x:v>48201432706</x:v>
      </x:c>
      <x:c r="C3973" s="66" t="n">
        <x:v>182.22306320225636</x:v>
      </x:c>
      <x:c r="D3973" s="66" t="n">
        <x:v>161.42041151283678</x:v>
      </x:c>
      <x:c r="E3973" s="66" t="n">
        <x:v>20.802651689419577</x:v>
      </x:c>
      <x:c r="F3973" s="66" t="n">
        <x:v>20.802651689419577</x:v>
      </x:c>
      <x:c r="G3973" s="66" t="n">
        <x:v>182.22306320225636</x:v>
      </x:c>
      <x:c r="H3973" s="45" t="n">
        <x:v>1</x:v>
      </x:c>
      <x:c r="I3973" s="36" t="str">
        <x:v>generated design-reference observation; not predicted tract behavior</x:v>
      </x:c>
    </x:row>
    <x:row r="3974" ht="75.5999984741211" hidden="0" customHeight="1">
      <x:c r="A3974" s="34" t="str">
        <x:v>H3</x:v>
      </x:c>
      <x:c r="B3974" s="34" t="str">
        <x:v>48201432803</x:v>
      </x:c>
      <x:c r="C3974" s="65" t="n">
        <x:v>206.61902559948746</x:v>
      </x:c>
      <x:c r="D3974" s="65" t="n">
        <x:v>183.18154792747265</x:v>
      </x:c>
      <x:c r="E3974" s="65" t="n">
        <x:v>23.437477672014808</x:v>
      </x:c>
      <x:c r="F3974" s="65" t="n">
        <x:v>23.437477672014808</x:v>
      </x:c>
      <x:c r="G3974" s="65" t="n">
        <x:v>206.61902559948746</x:v>
      </x:c>
      <x:c r="H3974" s="43" t="n">
        <x:v>1</x:v>
      </x:c>
      <x:c r="I3974" s="34" t="str">
        <x:v>generated design-reference observation; not predicted tract behavior</x:v>
      </x:c>
    </x:row>
    <x:row r="3975" ht="75.5999984741211" hidden="0" customHeight="1">
      <x:c r="A3975" s="36" t="str">
        <x:v>H3</x:v>
      </x:c>
      <x:c r="B3975" s="36" t="str">
        <x:v>48201432804</x:v>
      </x:c>
      <x:c r="C3975" s="66" t="n">
        <x:v>161.97299969824024</x:v>
      </x:c>
      <x:c r="D3975" s="66" t="n">
        <x:v>144.09073014319281</x:v>
      </x:c>
      <x:c r="E3975" s="66" t="n">
        <x:v>17.88226955504743</x:v>
      </x:c>
      <x:c r="F3975" s="66" t="n">
        <x:v>17.88226955504743</x:v>
      </x:c>
      <x:c r="G3975" s="66" t="n">
        <x:v>161.97299969824024</x:v>
      </x:c>
      <x:c r="H3975" s="45" t="n">
        <x:v>1</x:v>
      </x:c>
      <x:c r="I3975" s="36" t="str">
        <x:v>generated design-reference observation; not predicted tract behavior</x:v>
      </x:c>
    </x:row>
    <x:row r="3976" ht="75.5999984741211" hidden="0" customHeight="1">
      <x:c r="A3976" s="34" t="str">
        <x:v>H3</x:v>
      </x:c>
      <x:c r="B3976" s="34" t="str">
        <x:v>48201432805</x:v>
      </x:c>
      <x:c r="C3976" s="65" t="n">
        <x:v>201.35314454080677</x:v>
      </x:c>
      <x:c r="D3976" s="65" t="n">
        <x:v>178.71548617379688</x:v>
      </x:c>
      <x:c r="E3976" s="65" t="n">
        <x:v>22.63765836700989</x:v>
      </x:c>
      <x:c r="F3976" s="65" t="n">
        <x:v>22.63765836700989</x:v>
      </x:c>
      <x:c r="G3976" s="65" t="n">
        <x:v>201.35314454080677</x:v>
      </x:c>
      <x:c r="H3976" s="43" t="n">
        <x:v>1</x:v>
      </x:c>
      <x:c r="I3976" s="34" t="str">
        <x:v>generated design-reference observation; not predicted tract behavior</x:v>
      </x:c>
    </x:row>
    <x:row r="3977" ht="75.5999984741211" hidden="0" customHeight="1">
      <x:c r="A3977" s="36" t="str">
        <x:v>H3</x:v>
      </x:c>
      <x:c r="B3977" s="36" t="str">
        <x:v>48201432806</x:v>
      </x:c>
      <x:c r="C3977" s="66" t="n">
        <x:v>348.21620941022076</x:v>
      </x:c>
      <x:c r="D3977" s="66" t="n">
        <x:v>307.6527981658148</x:v>
      </x:c>
      <x:c r="E3977" s="66" t="n">
        <x:v>40.563411244405984</x:v>
      </x:c>
      <x:c r="F3977" s="66" t="n">
        <x:v>40.563411244405984</x:v>
      </x:c>
      <x:c r="G3977" s="66" t="n">
        <x:v>348.21620941022076</x:v>
      </x:c>
      <x:c r="H3977" s="45" t="n">
        <x:v>1</x:v>
      </x:c>
      <x:c r="I3977" s="36" t="str">
        <x:v>generated design-reference observation; not predicted tract behavior</x:v>
      </x:c>
    </x:row>
    <x:row r="3978" ht="75.5999984741211" hidden="0" customHeight="1">
      <x:c r="A3978" s="34" t="str">
        <x:v>H3</x:v>
      </x:c>
      <x:c r="B3978" s="34" t="str">
        <x:v>48201432901</x:v>
      </x:c>
      <x:c r="C3978" s="65" t="n">
        <x:v>297.39652743196797</x:v>
      </x:c>
      <x:c r="D3978" s="65" t="n">
        <x:v>264.36952782367007</x:v>
      </x:c>
      <x:c r="E3978" s="65" t="n">
        <x:v>33.0269996082979</x:v>
      </x:c>
      <x:c r="F3978" s="65" t="n">
        <x:v>33.0269996082979</x:v>
      </x:c>
      <x:c r="G3978" s="65" t="n">
        <x:v>297.39652743196797</x:v>
      </x:c>
      <x:c r="H3978" s="43" t="n">
        <x:v>1</x:v>
      </x:c>
      <x:c r="I3978" s="34" t="str">
        <x:v>generated design-reference observation; not predicted tract behavior</x:v>
      </x:c>
    </x:row>
    <x:row r="3979" ht="75.5999984741211" hidden="0" customHeight="1">
      <x:c r="A3979" s="36" t="str">
        <x:v>H3</x:v>
      </x:c>
      <x:c r="B3979" s="36" t="str">
        <x:v>48201432903</x:v>
      </x:c>
      <x:c r="C3979" s="66" t="n">
        <x:v>171.21579988482006</x:v>
      </x:c>
      <x:c r="D3979" s="66" t="n">
        <x:v>151.47275510486062</x:v>
      </x:c>
      <x:c r="E3979" s="66" t="n">
        <x:v>19.743044779959433</x:v>
      </x:c>
      <x:c r="F3979" s="66" t="n">
        <x:v>19.743044779959433</x:v>
      </x:c>
      <x:c r="G3979" s="66" t="n">
        <x:v>171.21579988482006</x:v>
      </x:c>
      <x:c r="H3979" s="45" t="n">
        <x:v>1</x:v>
      </x:c>
      <x:c r="I3979" s="36" t="str">
        <x:v>generated design-reference observation; not predicted tract behavior</x:v>
      </x:c>
    </x:row>
    <x:row r="3980" ht="75.5999984741211" hidden="0" customHeight="1">
      <x:c r="A3980" s="34" t="str">
        <x:v>H3</x:v>
      </x:c>
      <x:c r="B3980" s="34" t="str">
        <x:v>48201432904</x:v>
      </x:c>
      <x:c r="C3980" s="65" t="n">
        <x:v>311.4532860490581</x:v>
      </x:c>
      <x:c r="D3980" s="65" t="n">
        <x:v>276.9825523882249</x:v>
      </x:c>
      <x:c r="E3980" s="65" t="n">
        <x:v>34.47073366083316</x:v>
      </x:c>
      <x:c r="F3980" s="65" t="n">
        <x:v>34.47073366083316</x:v>
      </x:c>
      <x:c r="G3980" s="65" t="n">
        <x:v>311.4532860490581</x:v>
      </x:c>
      <x:c r="H3980" s="43" t="n">
        <x:v>1</x:v>
      </x:c>
      <x:c r="I3980" s="34" t="str">
        <x:v>generated design-reference observation; not predicted tract behavior</x:v>
      </x:c>
    </x:row>
    <x:row r="3981" ht="75.5999984741211" hidden="0" customHeight="1">
      <x:c r="A3981" s="36" t="str">
        <x:v>H3</x:v>
      </x:c>
      <x:c r="B3981" s="36" t="str">
        <x:v>48201433003</x:v>
      </x:c>
      <x:c r="C3981" s="66" t="n">
        <x:v>450.633666239576</x:v>
      </x:c>
      <x:c r="D3981" s="66" t="n">
        <x:v>400.06635518104173</x:v>
      </x:c>
      <x:c r="E3981" s="66" t="n">
        <x:v>50.567311058534244</x:v>
      </x:c>
      <x:c r="F3981" s="66" t="n">
        <x:v>50.567311058534244</x:v>
      </x:c>
      <x:c r="G3981" s="66" t="n">
        <x:v>450.633666239576</x:v>
      </x:c>
      <x:c r="H3981" s="45" t="n">
        <x:v>1</x:v>
      </x:c>
      <x:c r="I3981" s="36" t="str">
        <x:v>generated design-reference observation; not predicted tract behavior</x:v>
      </x:c>
    </x:row>
    <x:row r="3982" ht="75.5999984741211" hidden="0" customHeight="1">
      <x:c r="A3982" s="34" t="str">
        <x:v>H3</x:v>
      </x:c>
      <x:c r="B3982" s="34" t="str">
        <x:v>48201433004</x:v>
      </x:c>
      <x:c r="C3982" s="65" t="n">
        <x:v>180.1088512548159</x:v>
      </x:c>
      <x:c r="D3982" s="65" t="n">
        <x:v>159.80302412006537</x:v>
      </x:c>
      <x:c r="E3982" s="65" t="n">
        <x:v>20.30582713475053</x:v>
      </x:c>
      <x:c r="F3982" s="65" t="n">
        <x:v>20.30582713475053</x:v>
      </x:c>
      <x:c r="G3982" s="65" t="n">
        <x:v>180.1088512548159</x:v>
      </x:c>
      <x:c r="H3982" s="43" t="n">
        <x:v>1</x:v>
      </x:c>
      <x:c r="I3982" s="34" t="str">
        <x:v>generated design-reference observation; not predicted tract behavior</x:v>
      </x:c>
    </x:row>
    <x:row r="3983" ht="75.5999984741211" hidden="0" customHeight="1">
      <x:c r="A3983" s="36" t="str">
        <x:v>H3</x:v>
      </x:c>
      <x:c r="B3983" s="36" t="str">
        <x:v>48201433005</x:v>
      </x:c>
      <x:c r="C3983" s="66" t="n">
        <x:v>173.7033392207491</x:v>
      </x:c>
      <x:c r="D3983" s="66" t="n">
        <x:v>153.7462798047994</x:v>
      </x:c>
      <x:c r="E3983" s="66" t="n">
        <x:v>19.957059415949686</x:v>
      </x:c>
      <x:c r="F3983" s="66" t="n">
        <x:v>19.957059415949686</x:v>
      </x:c>
      <x:c r="G3983" s="66" t="n">
        <x:v>173.7033392207491</x:v>
      </x:c>
      <x:c r="H3983" s="45" t="n">
        <x:v>1</x:v>
      </x:c>
      <x:c r="I3983" s="36" t="str">
        <x:v>generated design-reference observation; not predicted tract behavior</x:v>
      </x:c>
    </x:row>
    <x:row r="3984" ht="75.5999984741211" hidden="0" customHeight="1">
      <x:c r="A3984" s="34" t="str">
        <x:v>H3</x:v>
      </x:c>
      <x:c r="B3984" s="34" t="str">
        <x:v>48201433006</x:v>
      </x:c>
      <x:c r="C3984" s="65" t="n">
        <x:v>183.3233965578016</x:v>
      </x:c>
      <x:c r="D3984" s="65" t="n">
        <x:v>162.95127628978096</x:v>
      </x:c>
      <x:c r="E3984" s="65" t="n">
        <x:v>20.372120268020637</x:v>
      </x:c>
      <x:c r="F3984" s="65" t="n">
        <x:v>20.372120268020637</x:v>
      </x:c>
      <x:c r="G3984" s="65" t="n">
        <x:v>183.3233965578016</x:v>
      </x:c>
      <x:c r="H3984" s="43" t="n">
        <x:v>1</x:v>
      </x:c>
      <x:c r="I3984" s="34" t="str">
        <x:v>generated design-reference observation; not predicted tract behavior</x:v>
      </x:c>
    </x:row>
    <x:row r="3985" ht="75.5999984741211" hidden="0" customHeight="1">
      <x:c r="A3985" s="36" t="str">
        <x:v>H3</x:v>
      </x:c>
      <x:c r="B3985" s="36" t="str">
        <x:v>48201433007</x:v>
      </x:c>
      <x:c r="C3985" s="66" t="n">
        <x:v>140.09208497082676</x:v>
      </x:c>
      <x:c r="D3985" s="66" t="n">
        <x:v>123.94619833072923</x:v>
      </x:c>
      <x:c r="E3985" s="66" t="n">
        <x:v>16.14588664009753</x:v>
      </x:c>
      <x:c r="F3985" s="66" t="n">
        <x:v>16.14588664009753</x:v>
      </x:c>
      <x:c r="G3985" s="66" t="n">
        <x:v>140.09208497082676</x:v>
      </x:c>
      <x:c r="H3985" s="45" t="n">
        <x:v>1</x:v>
      </x:c>
      <x:c r="I3985" s="36" t="str">
        <x:v>generated design-reference observation; not predicted tract behavior</x:v>
      </x:c>
    </x:row>
    <x:row r="3986" ht="75.5999984741211" hidden="0" customHeight="1">
      <x:c r="A3986" s="34" t="str">
        <x:v>H3</x:v>
      </x:c>
      <x:c r="B3986" s="34" t="str">
        <x:v>48201433100</x:v>
      </x:c>
      <x:c r="C3986" s="65" t="n">
        <x:v>474.2267480345191</x:v>
      </x:c>
      <x:c r="D3986" s="65" t="n">
        <x:v>367.50217247024347</x:v>
      </x:c>
      <x:c r="E3986" s="65" t="n">
        <x:v>106.72457556427565</x:v>
      </x:c>
      <x:c r="F3986" s="65" t="n">
        <x:v>106.72457556427565</x:v>
      </x:c>
      <x:c r="G3986" s="65" t="n">
        <x:v>474.2267480345191</x:v>
      </x:c>
      <x:c r="H3986" s="43" t="n">
        <x:v>1</x:v>
      </x:c>
      <x:c r="I3986" s="34" t="str">
        <x:v>generated design-reference observation; not predicted tract behavior</x:v>
      </x:c>
    </x:row>
    <x:row r="3987" ht="75.5999984741211" hidden="0" customHeight="1">
      <x:c r="A3987" s="36" t="str">
        <x:v>H3</x:v>
      </x:c>
      <x:c r="B3987" s="36" t="str">
        <x:v>48201433201</x:v>
      </x:c>
      <x:c r="C3987" s="66" t="n">
        <x:v>557.2275531898688</x:v>
      </x:c>
      <x:c r="D3987" s="66" t="n">
        <x:v>432.8857310266701</x:v>
      </x:c>
      <x:c r="E3987" s="66" t="n">
        <x:v>124.34182216319869</x:v>
      </x:c>
      <x:c r="F3987" s="66" t="n">
        <x:v>124.34182216319869</x:v>
      </x:c>
      <x:c r="G3987" s="66" t="n">
        <x:v>557.2275531898688</x:v>
      </x:c>
      <x:c r="H3987" s="45" t="n">
        <x:v>1</x:v>
      </x:c>
      <x:c r="I3987" s="36" t="str">
        <x:v>generated design-reference observation; not predicted tract behavior</x:v>
      </x:c>
    </x:row>
    <x:row r="3988" ht="75.5999984741211" hidden="0" customHeight="1">
      <x:c r="A3988" s="34" t="str">
        <x:v>H3</x:v>
      </x:c>
      <x:c r="B3988" s="34" t="str">
        <x:v>48201433202</x:v>
      </x:c>
      <x:c r="C3988" s="65" t="n">
        <x:v>520.5175304707997</x:v>
      </x:c>
      <x:c r="D3988" s="65" t="n">
        <x:v>403.98910912582755</x:v>
      </x:c>
      <x:c r="E3988" s="65" t="n">
        <x:v>116.52842134497212</x:v>
      </x:c>
      <x:c r="F3988" s="65" t="n">
        <x:v>116.52842134497212</x:v>
      </x:c>
      <x:c r="G3988" s="65" t="n">
        <x:v>520.5175304707997</x:v>
      </x:c>
      <x:c r="H3988" s="43" t="n">
        <x:v>1</x:v>
      </x:c>
      <x:c r="I3988" s="34" t="str">
        <x:v>generated design-reference observation; not predicted tract behavior</x:v>
      </x:c>
    </x:row>
    <x:row r="3989" ht="75.5999984741211" hidden="0" customHeight="1">
      <x:c r="A3989" s="36" t="str">
        <x:v>H3</x:v>
      </x:c>
      <x:c r="B3989" s="36" t="str">
        <x:v>48201433300</x:v>
      </x:c>
      <x:c r="C3989" s="66" t="n">
        <x:v>662.449046339564</x:v>
      </x:c>
      <x:c r="D3989" s="66" t="n">
        <x:v>515.9231316829398</x:v>
      </x:c>
      <x:c r="E3989" s="66" t="n">
        <x:v>146.5259146566242</x:v>
      </x:c>
      <x:c r="F3989" s="66" t="n">
        <x:v>146.5259146566242</x:v>
      </x:c>
      <x:c r="G3989" s="66" t="n">
        <x:v>662.449046339564</x:v>
      </x:c>
      <x:c r="H3989" s="45" t="n">
        <x:v>1</x:v>
      </x:c>
      <x:c r="I3989" s="36" t="str">
        <x:v>generated design-reference observation; not predicted tract behavior</x:v>
      </x:c>
    </x:row>
    <x:row r="3990" ht="75.5999984741211" hidden="0" customHeight="1">
      <x:c r="A3990" s="34" t="str">
        <x:v>H3</x:v>
      </x:c>
      <x:c r="B3990" s="34" t="str">
        <x:v>48201433400</x:v>
      </x:c>
      <x:c r="C3990" s="65" t="n">
        <x:v>762.5818000092462</x:v>
      </x:c>
      <x:c r="D3990" s="65" t="n">
        <x:v>324.4270348482741</x:v>
      </x:c>
      <x:c r="E3990" s="65" t="n">
        <x:v>438.1547651609721</x:v>
      </x:c>
      <x:c r="F3990" s="65" t="n">
        <x:v>438.1547651609721</x:v>
      </x:c>
      <x:c r="G3990" s="65" t="n">
        <x:v>762.5818000092462</x:v>
      </x:c>
      <x:c r="H3990" s="43" t="n">
        <x:v>1</x:v>
      </x:c>
      <x:c r="I3990" s="34" t="str">
        <x:v>generated design-reference observation; not predicted tract behavior</x:v>
      </x:c>
    </x:row>
    <x:row r="3991" ht="75.5999984741211" hidden="0" customHeight="1">
      <x:c r="A3991" s="36" t="str">
        <x:v>H3</x:v>
      </x:c>
      <x:c r="B3991" s="36" t="str">
        <x:v>48201433503</x:v>
      </x:c>
      <x:c r="C3991" s="66" t="n">
        <x:v>405.81140562781144</x:v>
      </x:c>
      <x:c r="D3991" s="66" t="n">
        <x:v>172.48643648656386</x:v>
      </x:c>
      <x:c r="E3991" s="66" t="n">
        <x:v>233.32496914124758</x:v>
      </x:c>
      <x:c r="F3991" s="66" t="n">
        <x:v>233.32496914124758</x:v>
      </x:c>
      <x:c r="G3991" s="66" t="n">
        <x:v>405.81140562781144</x:v>
      </x:c>
      <x:c r="H3991" s="45" t="n">
        <x:v>1</x:v>
      </x:c>
      <x:c r="I3991" s="36" t="str">
        <x:v>generated design-reference observation; not predicted tract behavior</x:v>
      </x:c>
    </x:row>
    <x:row r="3992" ht="75.5999984741211" hidden="0" customHeight="1">
      <x:c r="A3992" s="34" t="str">
        <x:v>H3</x:v>
      </x:c>
      <x:c r="B3992" s="34" t="str">
        <x:v>48201433504</x:v>
      </x:c>
      <x:c r="C3992" s="65" t="n">
        <x:v>588.0012169978946</x:v>
      </x:c>
      <x:c r="D3992" s="65" t="n">
        <x:v>249.95511087556028</x:v>
      </x:c>
      <x:c r="E3992" s="65" t="n">
        <x:v>338.0461061223343</x:v>
      </x:c>
      <x:c r="F3992" s="65" t="n">
        <x:v>338.0461061223343</x:v>
      </x:c>
      <x:c r="G3992" s="65" t="n">
        <x:v>588.0012169978946</x:v>
      </x:c>
      <x:c r="H3992" s="43" t="n">
        <x:v>1</x:v>
      </x:c>
      <x:c r="I3992" s="34" t="str">
        <x:v>generated design-reference observation; not predicted tract behavior</x:v>
      </x:c>
    </x:row>
    <x:row r="3993" ht="75.5999984741211" hidden="0" customHeight="1">
      <x:c r="A3993" s="36" t="str">
        <x:v>H3</x:v>
      </x:c>
      <x:c r="B3993" s="36" t="str">
        <x:v>48201433505</x:v>
      </x:c>
      <x:c r="C3993" s="66" t="n">
        <x:v>313.8776469038583</x:v>
      </x:c>
      <x:c r="D3993" s="66" t="n">
        <x:v>242.95952359931357</x:v>
      </x:c>
      <x:c r="E3993" s="66" t="n">
        <x:v>70.91812330454474</x:v>
      </x:c>
      <x:c r="F3993" s="66" t="n">
        <x:v>70.91812330454474</x:v>
      </x:c>
      <x:c r="G3993" s="66" t="n">
        <x:v>313.8776469038583</x:v>
      </x:c>
      <x:c r="H3993" s="45" t="n">
        <x:v>1</x:v>
      </x:c>
      <x:c r="I3993" s="36" t="str">
        <x:v>generated design-reference observation; not predicted tract behavior</x:v>
      </x:c>
    </x:row>
    <x:row r="3994" ht="75.5999984741211" hidden="0" customHeight="1">
      <x:c r="A3994" s="34" t="str">
        <x:v>H3</x:v>
      </x:c>
      <x:c r="B3994" s="34" t="str">
        <x:v>48201433506</x:v>
      </x:c>
      <x:c r="C3994" s="65" t="n">
        <x:v>226.38542609007712</x:v>
      </x:c>
      <x:c r="D3994" s="65" t="n">
        <x:v>175.62604258996072</x:v>
      </x:c>
      <x:c r="E3994" s="65" t="n">
        <x:v>50.7593835001164</x:v>
      </x:c>
      <x:c r="F3994" s="65" t="n">
        <x:v>50.7593835001164</x:v>
      </x:c>
      <x:c r="G3994" s="65" t="n">
        <x:v>226.38542609007712</x:v>
      </x:c>
      <x:c r="H3994" s="43" t="n">
        <x:v>1</x:v>
      </x:c>
      <x:c r="I3994" s="34" t="str">
        <x:v>generated design-reference observation; not predicted tract behavior</x:v>
      </x:c>
    </x:row>
    <x:row r="3995" ht="75.5999984741211" hidden="0" customHeight="1">
      <x:c r="A3995" s="36" t="str">
        <x:v>H3</x:v>
      </x:c>
      <x:c r="B3995" s="36" t="str">
        <x:v>48201433507</x:v>
      </x:c>
      <x:c r="C3995" s="66" t="n">
        <x:v>433.49113759682484</x:v>
      </x:c>
      <x:c r="D3995" s="66" t="n">
        <x:v>335.9311543634134</x:v>
      </x:c>
      <x:c r="E3995" s="66" t="n">
        <x:v>97.55998323341146</x:v>
      </x:c>
      <x:c r="F3995" s="66" t="n">
        <x:v>97.55998323341146</x:v>
      </x:c>
      <x:c r="G3995" s="66" t="n">
        <x:v>433.49113759682484</x:v>
      </x:c>
      <x:c r="H3995" s="45" t="n">
        <x:v>1</x:v>
      </x:c>
      <x:c r="I3995" s="36" t="str">
        <x:v>generated design-reference observation; not predicted tract behavior</x:v>
      </x:c>
    </x:row>
    <x:row r="3996" ht="75.5999984741211" hidden="0" customHeight="1">
      <x:c r="A3996" s="34" t="str">
        <x:v>H3</x:v>
      </x:c>
      <x:c r="B3996" s="34" t="str">
        <x:v>48201433601</x:v>
      </x:c>
      <x:c r="C3996" s="65" t="n">
        <x:v>414.29485488331176</x:v>
      </x:c>
      <x:c r="D3996" s="65" t="n">
        <x:v>319.97384421151116</x:v>
      </x:c>
      <x:c r="E3996" s="65" t="n">
        <x:v>94.3210106718006</x:v>
      </x:c>
      <x:c r="F3996" s="65" t="n">
        <x:v>94.3210106718006</x:v>
      </x:c>
      <x:c r="G3996" s="65" t="n">
        <x:v>414.29485488331176</x:v>
      </x:c>
      <x:c r="H3996" s="43" t="n">
        <x:v>1</x:v>
      </x:c>
      <x:c r="I3996" s="34" t="str">
        <x:v>generated design-reference observation; not predicted tract behavior</x:v>
      </x:c>
    </x:row>
    <x:row r="3997" ht="75.5999984741211" hidden="0" customHeight="1">
      <x:c r="A3997" s="36" t="str">
        <x:v>H3</x:v>
      </x:c>
      <x:c r="B3997" s="36" t="str">
        <x:v>48201433602</x:v>
      </x:c>
      <x:c r="C3997" s="66" t="n">
        <x:v>577.5849294249888</x:v>
      </x:c>
      <x:c r="D3997" s="66" t="n">
        <x:v>447.25413157948736</x:v>
      </x:c>
      <x:c r="E3997" s="66" t="n">
        <x:v>130.33079784550142</x:v>
      </x:c>
      <x:c r="F3997" s="66" t="n">
        <x:v>130.33079784550142</x:v>
      </x:c>
      <x:c r="G3997" s="66" t="n">
        <x:v>577.5849294249888</x:v>
      </x:c>
      <x:c r="H3997" s="45" t="n">
        <x:v>1</x:v>
      </x:c>
      <x:c r="I3997" s="36" t="str">
        <x:v>generated design-reference observation; not predicted tract behavior</x:v>
      </x:c>
    </x:row>
    <x:row r="3998" ht="75.5999984741211" hidden="0" customHeight="1">
      <x:c r="A3998" s="34" t="str">
        <x:v>H3</x:v>
      </x:c>
      <x:c r="B3998" s="34" t="str">
        <x:v>48201440101</x:v>
      </x:c>
      <x:c r="C3998" s="65" t="n">
        <x:v>260.390865695942</x:v>
      </x:c>
      <x:c r="D3998" s="65" t="n">
        <x:v>201.27286260754394</x:v>
      </x:c>
      <x:c r="E3998" s="65" t="n">
        <x:v>59.11800308839807</x:v>
      </x:c>
      <x:c r="F3998" s="65" t="n">
        <x:v>59.118003088398076</x:v>
      </x:c>
      <x:c r="G3998" s="65" t="n">
        <x:v>260.390865695942</x:v>
      </x:c>
      <x:c r="H3998" s="43" t="n">
        <x:v>1</x:v>
      </x:c>
      <x:c r="I3998" s="34" t="str">
        <x:v>generated design-reference observation; not predicted tract behavior</x:v>
      </x:c>
    </x:row>
    <x:row r="3999" ht="75.5999984741211" hidden="0" customHeight="1">
      <x:c r="A3999" s="36" t="str">
        <x:v>H3</x:v>
      </x:c>
      <x:c r="B3999" s="36" t="str">
        <x:v>48201440102</x:v>
      </x:c>
      <x:c r="C3999" s="66" t="n">
        <x:v>358.4335905688548</x:v>
      </x:c>
      <x:c r="D3999" s="66" t="n">
        <x:v>319.354168291819</x:v>
      </x:c>
      <x:c r="E3999" s="66" t="n">
        <x:v>39.0794222770358</x:v>
      </x:c>
      <x:c r="F3999" s="66" t="n">
        <x:v>39.0794222770358</x:v>
      </x:c>
      <x:c r="G3999" s="66" t="n">
        <x:v>358.4335905688548</x:v>
      </x:c>
      <x:c r="H3999" s="45" t="n">
        <x:v>1</x:v>
      </x:c>
      <x:c r="I3999" s="36" t="str">
        <x:v>generated design-reference observation; not predicted tract behavior</x:v>
      </x:c>
    </x:row>
    <x:row r="4000" ht="75.5999984741211" hidden="0" customHeight="1">
      <x:c r="A4000" s="34" t="str">
        <x:v>H3</x:v>
      </x:c>
      <x:c r="B4000" s="34" t="str">
        <x:v>48201450100</x:v>
      </x:c>
      <x:c r="C4000" s="65" t="n">
        <x:v>148.7807887176499</x:v>
      </x:c>
      <x:c r="D4000" s="65" t="n">
        <x:v>132.8114213582395</x:v>
      </x:c>
      <x:c r="E4000" s="65" t="n">
        <x:v>15.969367359410398</x:v>
      </x:c>
      <x:c r="F4000" s="65" t="n">
        <x:v>15.969367359410398</x:v>
      </x:c>
      <x:c r="G4000" s="65" t="n">
        <x:v>148.7807887176499</x:v>
      </x:c>
      <x:c r="H4000" s="43" t="n">
        <x:v>1</x:v>
      </x:c>
      <x:c r="I4000" s="34" t="str">
        <x:v>generated design-reference observation; not predicted tract behavior</x:v>
      </x:c>
    </x:row>
    <x:row r="4001" ht="75.5999984741211" hidden="0" customHeight="1">
      <x:c r="A4001" s="36" t="str">
        <x:v>H3</x:v>
      </x:c>
      <x:c r="B4001" s="36" t="str">
        <x:v>48201450200</x:v>
      </x:c>
      <x:c r="C4001" s="66" t="n">
        <x:v>473.3476905076165</x:v>
      </x:c>
      <x:c r="D4001" s="66" t="n">
        <x:v>419.3847676515693</x:v>
      </x:c>
      <x:c r="E4001" s="66" t="n">
        <x:v>53.962922856047214</x:v>
      </x:c>
      <x:c r="F4001" s="66" t="n">
        <x:v>53.962922856047214</x:v>
      </x:c>
      <x:c r="G4001" s="66" t="n">
        <x:v>473.3476905076165</x:v>
      </x:c>
      <x:c r="H4001" s="45" t="n">
        <x:v>1</x:v>
      </x:c>
      <x:c r="I4001" s="36" t="str">
        <x:v>generated design-reference observation; not predicted tract behavior</x:v>
      </x:c>
    </x:row>
    <x:row r="4002" ht="75.5999984741211" hidden="0" customHeight="1">
      <x:c r="A4002" s="34" t="str">
        <x:v>H3</x:v>
      </x:c>
      <x:c r="B4002" s="34" t="str">
        <x:v>48201450301</x:v>
      </x:c>
      <x:c r="C4002" s="65" t="n">
        <x:v>217.14292819288065</x:v>
      </x:c>
      <x:c r="D4002" s="65" t="n">
        <x:v>193.11844419256443</x:v>
      </x:c>
      <x:c r="E4002" s="65" t="n">
        <x:v>24.02448400031622</x:v>
      </x:c>
      <x:c r="F4002" s="65" t="n">
        <x:v>24.02448400031622</x:v>
      </x:c>
      <x:c r="G4002" s="65" t="n">
        <x:v>217.14292819288065</x:v>
      </x:c>
      <x:c r="H4002" s="43" t="n">
        <x:v>1</x:v>
      </x:c>
      <x:c r="I4002" s="34" t="str">
        <x:v>generated design-reference observation; not predicted tract behavior</x:v>
      </x:c>
    </x:row>
    <x:row r="4003" ht="75.5999984741211" hidden="0" customHeight="1">
      <x:c r="A4003" s="36" t="str">
        <x:v>H3</x:v>
      </x:c>
      <x:c r="B4003" s="36" t="str">
        <x:v>48201450302</x:v>
      </x:c>
      <x:c r="C4003" s="66" t="n">
        <x:v>462.8002093423188</x:v>
      </x:c>
      <x:c r="D4003" s="66" t="n">
        <x:v>410.2230774773704</x:v>
      </x:c>
      <x:c r="E4003" s="66" t="n">
        <x:v>52.5771318649484</x:v>
      </x:c>
      <x:c r="F4003" s="66" t="n">
        <x:v>52.5771318649484</x:v>
      </x:c>
      <x:c r="G4003" s="66" t="n">
        <x:v>462.8002093423188</x:v>
      </x:c>
      <x:c r="H4003" s="45" t="n">
        <x:v>1</x:v>
      </x:c>
      <x:c r="I4003" s="36" t="str">
        <x:v>generated design-reference observation; not predicted tract behavior</x:v>
      </x:c>
    </x:row>
    <x:row r="4004" ht="75.5999984741211" hidden="0" customHeight="1">
      <x:c r="A4004" s="34" t="str">
        <x:v>H3</x:v>
      </x:c>
      <x:c r="B4004" s="34" t="str">
        <x:v>48201450401</x:v>
      </x:c>
      <x:c r="C4004" s="65" t="n">
        <x:v>162.32274851482424</x:v>
      </x:c>
      <x:c r="D4004" s="65" t="n">
        <x:v>144.00115154602844</x:v>
      </x:c>
      <x:c r="E4004" s="65" t="n">
        <x:v>18.321596968795802</x:v>
      </x:c>
      <x:c r="F4004" s="65" t="n">
        <x:v>18.321596968795802</x:v>
      </x:c>
      <x:c r="G4004" s="65" t="n">
        <x:v>162.32274851482424</x:v>
      </x:c>
      <x:c r="H4004" s="43" t="n">
        <x:v>1</x:v>
      </x:c>
      <x:c r="I4004" s="34" t="str">
        <x:v>generated design-reference observation; not predicted tract behavior</x:v>
      </x:c>
    </x:row>
    <x:row r="4005" ht="75.5999984741211" hidden="0" customHeight="1">
      <x:c r="A4005" s="36" t="str">
        <x:v>H3</x:v>
      </x:c>
      <x:c r="B4005" s="36" t="str">
        <x:v>48201450402</x:v>
      </x:c>
      <x:c r="C4005" s="66" t="n">
        <x:v>311.79185015845667</x:v>
      </x:c>
      <x:c r="D4005" s="66" t="n">
        <x:v>241.14374946258602</x:v>
      </x:c>
      <x:c r="E4005" s="66" t="n">
        <x:v>70.64810069587065</x:v>
      </x:c>
      <x:c r="F4005" s="66" t="n">
        <x:v>70.64810069587065</x:v>
      </x:c>
      <x:c r="G4005" s="66" t="n">
        <x:v>311.79185015845667</x:v>
      </x:c>
      <x:c r="H4005" s="45" t="n">
        <x:v>1</x:v>
      </x:c>
      <x:c r="I4005" s="36" t="str">
        <x:v>generated design-reference observation; not predicted tract behavior</x:v>
      </x:c>
    </x:row>
    <x:row r="4006" ht="75.5999984741211" hidden="0" customHeight="1">
      <x:c r="A4006" s="34" t="str">
        <x:v>H3</x:v>
      </x:c>
      <x:c r="B4006" s="34" t="str">
        <x:v>48201450500</x:v>
      </x:c>
      <x:c r="C4006" s="65" t="n">
        <x:v>273.7118519538572</x:v>
      </x:c>
      <x:c r="D4006" s="65" t="n">
        <x:v>243.40051532611082</x:v>
      </x:c>
      <x:c r="E4006" s="65" t="n">
        <x:v>30.311336627746385</x:v>
      </x:c>
      <x:c r="F4006" s="65" t="n">
        <x:v>30.311336627746385</x:v>
      </x:c>
      <x:c r="G4006" s="65" t="n">
        <x:v>273.7118519538572</x:v>
      </x:c>
      <x:c r="H4006" s="43" t="n">
        <x:v>1</x:v>
      </x:c>
      <x:c r="I4006" s="34" t="str">
        <x:v>generated design-reference observation; not predicted tract behavior</x:v>
      </x:c>
    </x:row>
    <x:row r="4007" ht="75.5999984741211" hidden="0" customHeight="1">
      <x:c r="A4007" s="36" t="str">
        <x:v>H3</x:v>
      </x:c>
      <x:c r="B4007" s="36" t="str">
        <x:v>48201450600</x:v>
      </x:c>
      <x:c r="C4007" s="66" t="n">
        <x:v>456.4457842140452</x:v>
      </x:c>
      <x:c r="D4007" s="66" t="n">
        <x:v>403.8872654156783</x:v>
      </x:c>
      <x:c r="E4007" s="66" t="n">
        <x:v>52.55851879836689</x:v>
      </x:c>
      <x:c r="F4007" s="66" t="n">
        <x:v>52.55851879836689</x:v>
      </x:c>
      <x:c r="G4007" s="66" t="n">
        <x:v>456.4457842140452</x:v>
      </x:c>
      <x:c r="H4007" s="45" t="n">
        <x:v>1</x:v>
      </x:c>
      <x:c r="I4007" s="36" t="str">
        <x:v>generated design-reference observation; not predicted tract behavior</x:v>
      </x:c>
    </x:row>
    <x:row r="4008" ht="75.5999984741211" hidden="0" customHeight="1">
      <x:c r="A4008" s="34" t="str">
        <x:v>H3</x:v>
      </x:c>
      <x:c r="B4008" s="34" t="str">
        <x:v>48201450700</x:v>
      </x:c>
      <x:c r="C4008" s="65" t="n">
        <x:v>1178.7786596928574</x:v>
      </x:c>
      <x:c r="D4008" s="65" t="n">
        <x:v>503.8669793900537</x:v>
      </x:c>
      <x:c r="E4008" s="65" t="n">
        <x:v>674.9116803028037</x:v>
      </x:c>
      <x:c r="F4008" s="65" t="n">
        <x:v>674.9116803028037</x:v>
      </x:c>
      <x:c r="G4008" s="65" t="n">
        <x:v>1178.7786596928574</x:v>
      </x:c>
      <x:c r="H4008" s="43" t="n">
        <x:v>1</x:v>
      </x:c>
      <x:c r="I4008" s="34" t="str">
        <x:v>generated design-reference observation; not predicted tract behavior</x:v>
      </x:c>
    </x:row>
    <x:row r="4009" ht="75.5999984741211" hidden="0" customHeight="1">
      <x:c r="A4009" s="36" t="str">
        <x:v>H3</x:v>
      </x:c>
      <x:c r="B4009" s="36" t="str">
        <x:v>48201450801</x:v>
      </x:c>
      <x:c r="C4009" s="66" t="n">
        <x:v>318.23696210174774</x:v>
      </x:c>
      <x:c r="D4009" s="66" t="n">
        <x:v>245.8978722807349</x:v>
      </x:c>
      <x:c r="E4009" s="66" t="n">
        <x:v>72.33908982101283</x:v>
      </x:c>
      <x:c r="F4009" s="66" t="n">
        <x:v>72.33908982101283</x:v>
      </x:c>
      <x:c r="G4009" s="66" t="n">
        <x:v>318.23696210174774</x:v>
      </x:c>
      <x:c r="H4009" s="45" t="n">
        <x:v>1</x:v>
      </x:c>
      <x:c r="I4009" s="36" t="str">
        <x:v>generated design-reference observation; not predicted tract behavior</x:v>
      </x:c>
    </x:row>
    <x:row r="4010" ht="75.5999984741211" hidden="0" customHeight="1">
      <x:c r="A4010" s="34" t="str">
        <x:v>H3</x:v>
      </x:c>
      <x:c r="B4010" s="34" t="str">
        <x:v>48201450803</x:v>
      </x:c>
      <x:c r="C4010" s="65" t="n">
        <x:v>341.4805973694904</x:v>
      </x:c>
      <x:c r="D4010" s="65" t="n">
        <x:v>304.152838805824</x:v>
      </x:c>
      <x:c r="E4010" s="65" t="n">
        <x:v>37.32775856366641</x:v>
      </x:c>
      <x:c r="F4010" s="65" t="n">
        <x:v>37.32775856366641</x:v>
      </x:c>
      <x:c r="G4010" s="65" t="n">
        <x:v>341.4805973694904</x:v>
      </x:c>
      <x:c r="H4010" s="43" t="n">
        <x:v>1</x:v>
      </x:c>
      <x:c r="I4010" s="34" t="str">
        <x:v>generated design-reference observation; not predicted tract behavior</x:v>
      </x:c>
    </x:row>
    <x:row r="4011" ht="75.5999984741211" hidden="0" customHeight="1">
      <x:c r="A4011" s="36" t="str">
        <x:v>H3</x:v>
      </x:c>
      <x:c r="B4011" s="36" t="str">
        <x:v>48201450804</x:v>
      </x:c>
      <x:c r="C4011" s="66" t="n">
        <x:v>183.2212227462152</x:v>
      </x:c>
      <x:c r="D4011" s="66" t="n">
        <x:v>162.59472729265846</x:v>
      </x:c>
      <x:c r="E4011" s="66" t="n">
        <x:v>20.626495453556743</x:v>
      </x:c>
      <x:c r="F4011" s="66" t="n">
        <x:v>20.626495453556743</x:v>
      </x:c>
      <x:c r="G4011" s="66" t="n">
        <x:v>183.2212227462152</x:v>
      </x:c>
      <x:c r="H4011" s="45" t="n">
        <x:v>1</x:v>
      </x:c>
      <x:c r="I4011" s="36" t="str">
        <x:v>generated design-reference observation; not predicted tract behavior</x:v>
      </x:c>
    </x:row>
    <x:row r="4012" ht="75.5999984741211" hidden="0" customHeight="1">
      <x:c r="A4012" s="34" t="str">
        <x:v>H3</x:v>
      </x:c>
      <x:c r="B4012" s="34" t="str">
        <x:v>48201450900</x:v>
      </x:c>
      <x:c r="C4012" s="65" t="n">
        <x:v>222.1887425804523</x:v>
      </x:c>
      <x:c r="D4012" s="65" t="n">
        <x:v>197.00690024813196</x:v>
      </x:c>
      <x:c r="E4012" s="65" t="n">
        <x:v>25.181842332320343</x:v>
      </x:c>
      <x:c r="F4012" s="65" t="n">
        <x:v>25.181842332320343</x:v>
      </x:c>
      <x:c r="G4012" s="65" t="n">
        <x:v>222.1887425804523</x:v>
      </x:c>
      <x:c r="H4012" s="43" t="n">
        <x:v>1</x:v>
      </x:c>
      <x:c r="I4012" s="34" t="str">
        <x:v>generated design-reference observation; not predicted tract behavior</x:v>
      </x:c>
    </x:row>
    <x:row r="4013" ht="75.5999984741211" hidden="0" customHeight="1">
      <x:c r="A4013" s="36" t="str">
        <x:v>H3</x:v>
      </x:c>
      <x:c r="B4013" s="36" t="str">
        <x:v>48201451003</x:v>
      </x:c>
      <x:c r="C4013" s="66" t="n">
        <x:v>308.96181695114507</x:v>
      </x:c>
      <x:c r="D4013" s="66" t="n">
        <x:v>274.52270745511845</x:v>
      </x:c>
      <x:c r="E4013" s="66" t="n">
        <x:v>34.43910949602662</x:v>
      </x:c>
      <x:c r="F4013" s="66" t="n">
        <x:v>34.43910949602662</x:v>
      </x:c>
      <x:c r="G4013" s="66" t="n">
        <x:v>308.96181695114507</x:v>
      </x:c>
      <x:c r="H4013" s="45" t="n">
        <x:v>1</x:v>
      </x:c>
      <x:c r="I4013" s="36" t="str">
        <x:v>generated design-reference observation; not predicted tract behavior</x:v>
      </x:c>
    </x:row>
    <x:row r="4014" ht="75.5999984741211" hidden="0" customHeight="1">
      <x:c r="A4014" s="34" t="str">
        <x:v>H3</x:v>
      </x:c>
      <x:c r="B4014" s="34" t="str">
        <x:v>48201451004</x:v>
      </x:c>
      <x:c r="C4014" s="65" t="n">
        <x:v>136.37845989586162</x:v>
      </x:c>
      <x:c r="D4014" s="65" t="n">
        <x:v>121.12167760689348</x:v>
      </x:c>
      <x:c r="E4014" s="65" t="n">
        <x:v>15.25678228896814</x:v>
      </x:c>
      <x:c r="F4014" s="65" t="n">
        <x:v>15.25678228896814</x:v>
      </x:c>
      <x:c r="G4014" s="65" t="n">
        <x:v>136.37845989586162</x:v>
      </x:c>
      <x:c r="H4014" s="43" t="n">
        <x:v>1</x:v>
      </x:c>
      <x:c r="I4014" s="34" t="str">
        <x:v>generated design-reference observation; not predicted tract behavior</x:v>
      </x:c>
    </x:row>
    <x:row r="4015" ht="75.5999984741211" hidden="0" customHeight="1">
      <x:c r="A4015" s="36" t="str">
        <x:v>H3</x:v>
      </x:c>
      <x:c r="B4015" s="36" t="str">
        <x:v>48201451005</x:v>
      </x:c>
      <x:c r="C4015" s="66" t="n">
        <x:v>163.94966997623752</x:v>
      </x:c>
      <x:c r="D4015" s="66" t="n">
        <x:v>145.60236019759125</x:v>
      </x:c>
      <x:c r="E4015" s="66" t="n">
        <x:v>18.347309778646263</x:v>
      </x:c>
      <x:c r="F4015" s="66" t="n">
        <x:v>18.347309778646263</x:v>
      </x:c>
      <x:c r="G4015" s="66" t="n">
        <x:v>163.94966997623752</x:v>
      </x:c>
      <x:c r="H4015" s="45" t="n">
        <x:v>1</x:v>
      </x:c>
      <x:c r="I4015" s="36" t="str">
        <x:v>generated design-reference observation; not predicted tract behavior</x:v>
      </x:c>
    </x:row>
    <x:row r="4016" ht="75.5999984741211" hidden="0" customHeight="1">
      <x:c r="A4016" s="34" t="str">
        <x:v>H3</x:v>
      </x:c>
      <x:c r="B4016" s="34" t="str">
        <x:v>48201451006</x:v>
      </x:c>
      <x:c r="C4016" s="65" t="n">
        <x:v>203.8210350668153</x:v>
      </x:c>
      <x:c r="D4016" s="65" t="n">
        <x:v>181.56532022970111</x:v>
      </x:c>
      <x:c r="E4016" s="65" t="n">
        <x:v>22.255714837114198</x:v>
      </x:c>
      <x:c r="F4016" s="65" t="n">
        <x:v>22.255714837114198</x:v>
      </x:c>
      <x:c r="G4016" s="65" t="n">
        <x:v>203.8210350668153</x:v>
      </x:c>
      <x:c r="H4016" s="43" t="n">
        <x:v>1</x:v>
      </x:c>
      <x:c r="I4016" s="34" t="str">
        <x:v>generated design-reference observation; not predicted tract behavior</x:v>
      </x:c>
    </x:row>
    <x:row r="4017" ht="75.5999984741211" hidden="0" customHeight="1">
      <x:c r="A4017" s="36" t="str">
        <x:v>H3</x:v>
      </x:c>
      <x:c r="B4017" s="36" t="str">
        <x:v>48201451100</x:v>
      </x:c>
      <x:c r="C4017" s="66" t="n">
        <x:v>318.0985135641544</x:v>
      </x:c>
      <x:c r="D4017" s="66" t="n">
        <x:v>283.1051867241532</x:v>
      </x:c>
      <x:c r="E4017" s="66" t="n">
        <x:v>34.9933268400012</x:v>
      </x:c>
      <x:c r="F4017" s="66" t="n">
        <x:v>34.9933268400012</x:v>
      </x:c>
      <x:c r="G4017" s="66" t="n">
        <x:v>318.0985135641544</x:v>
      </x:c>
      <x:c r="H4017" s="45" t="n">
        <x:v>1</x:v>
      </x:c>
      <x:c r="I4017" s="36" t="str">
        <x:v>generated design-reference observation; not predicted tract behavior</x:v>
      </x:c>
    </x:row>
    <x:row r="4018" ht="75.5999984741211" hidden="0" customHeight="1">
      <x:c r="A4018" s="34" t="str">
        <x:v>H3</x:v>
      </x:c>
      <x:c r="B4018" s="34" t="str">
        <x:v>48201451200</x:v>
      </x:c>
      <x:c r="C4018" s="65" t="n">
        <x:v>221.55998066299787</x:v>
      </x:c>
      <x:c r="D4018" s="65" t="n">
        <x:v>197.71735124498454</x:v>
      </x:c>
      <x:c r="E4018" s="65" t="n">
        <x:v>23.84262941801333</x:v>
      </x:c>
      <x:c r="F4018" s="65" t="n">
        <x:v>23.84262941801333</x:v>
      </x:c>
      <x:c r="G4018" s="65" t="n">
        <x:v>221.55998066299787</x:v>
      </x:c>
      <x:c r="H4018" s="43" t="n">
        <x:v>1</x:v>
      </x:c>
      <x:c r="I4018" s="34" t="str">
        <x:v>generated design-reference observation; not predicted tract behavior</x:v>
      </x:c>
    </x:row>
    <x:row r="4019" ht="75.5999984741211" hidden="0" customHeight="1">
      <x:c r="A4019" s="36" t="str">
        <x:v>H3</x:v>
      </x:c>
      <x:c r="B4019" s="36" t="str">
        <x:v>48201451301</x:v>
      </x:c>
      <x:c r="C4019" s="66" t="n">
        <x:v>326.59858873574126</x:v>
      </x:c>
      <x:c r="D4019" s="66" t="n">
        <x:v>290.86372860150385</x:v>
      </x:c>
      <x:c r="E4019" s="66" t="n">
        <x:v>35.73486013423741</x:v>
      </x:c>
      <x:c r="F4019" s="66" t="n">
        <x:v>35.73486013423741</x:v>
      </x:c>
      <x:c r="G4019" s="66" t="n">
        <x:v>326.59858873574126</x:v>
      </x:c>
      <x:c r="H4019" s="45" t="n">
        <x:v>1</x:v>
      </x:c>
      <x:c r="I4019" s="36" t="str">
        <x:v>generated design-reference observation; not predicted tract behavior</x:v>
      </x:c>
    </x:row>
    <x:row r="4020" ht="75.5999984741211" hidden="0" customHeight="1">
      <x:c r="A4020" s="34" t="str">
        <x:v>H3</x:v>
      </x:c>
      <x:c r="B4020" s="34" t="str">
        <x:v>48201451302</x:v>
      </x:c>
      <x:c r="C4020" s="65" t="n">
        <x:v>260.9833528873894</x:v>
      </x:c>
      <x:c r="D4020" s="65" t="n">
        <x:v>233.00410210352484</x:v>
      </x:c>
      <x:c r="E4020" s="65" t="n">
        <x:v>27.979250783864558</x:v>
      </x:c>
      <x:c r="F4020" s="65" t="n">
        <x:v>27.979250783864558</x:v>
      </x:c>
      <x:c r="G4020" s="65" t="n">
        <x:v>260.9833528873894</x:v>
      </x:c>
      <x:c r="H4020" s="43" t="n">
        <x:v>1</x:v>
      </x:c>
      <x:c r="I4020" s="34" t="str">
        <x:v>generated design-reference observation; not predicted tract behavior</x:v>
      </x:c>
    </x:row>
    <x:row r="4021" ht="75.5999984741211" hidden="0" customHeight="1">
      <x:c r="A4021" s="36" t="str">
        <x:v>H3</x:v>
      </x:c>
      <x:c r="B4021" s="36" t="str">
        <x:v>48201451401</x:v>
      </x:c>
      <x:c r="C4021" s="66" t="n">
        <x:v>283.01359857019827</x:v>
      </x:c>
      <x:c r="D4021" s="66" t="n">
        <x:v>250.99451269765436</x:v>
      </x:c>
      <x:c r="E4021" s="66" t="n">
        <x:v>32.01908587254391</x:v>
      </x:c>
      <x:c r="F4021" s="66" t="n">
        <x:v>32.01908587254391</x:v>
      </x:c>
      <x:c r="G4021" s="66" t="n">
        <x:v>283.01359857019827</x:v>
      </x:c>
      <x:c r="H4021" s="45" t="n">
        <x:v>1</x:v>
      </x:c>
      <x:c r="I4021" s="36" t="str">
        <x:v>generated design-reference observation; not predicted tract behavior</x:v>
      </x:c>
    </x:row>
    <x:row r="4022" ht="75.5999984741211" hidden="0" customHeight="1">
      <x:c r="A4022" s="34" t="str">
        <x:v>H3</x:v>
      </x:c>
      <x:c r="B4022" s="34" t="str">
        <x:v>48201451404</x:v>
      </x:c>
      <x:c r="C4022" s="65" t="n">
        <x:v>290.4408487201286</x:v>
      </x:c>
      <x:c r="D4022" s="65" t="n">
        <x:v>256.767026439768</x:v>
      </x:c>
      <x:c r="E4022" s="65" t="n">
        <x:v>33.67382228036058</x:v>
      </x:c>
      <x:c r="F4022" s="65" t="n">
        <x:v>33.67382228036058</x:v>
      </x:c>
      <x:c r="G4022" s="65" t="n">
        <x:v>290.4408487201286</x:v>
      </x:c>
      <x:c r="H4022" s="43" t="n">
        <x:v>1</x:v>
      </x:c>
      <x:c r="I4022" s="34" t="str">
        <x:v>generated design-reference observation; not predicted tract behavior</x:v>
      </x:c>
    </x:row>
    <x:row r="4023" ht="75.5999984741211" hidden="0" customHeight="1">
      <x:c r="A4023" s="36" t="str">
        <x:v>H3</x:v>
      </x:c>
      <x:c r="B4023" s="36" t="str">
        <x:v>48201451405</x:v>
      </x:c>
      <x:c r="C4023" s="66" t="n">
        <x:v>228.6492712822964</x:v>
      </x:c>
      <x:c r="D4023" s="66" t="n">
        <x:v>201.88638426211162</x:v>
      </x:c>
      <x:c r="E4023" s="66" t="n">
        <x:v>26.76288702018479</x:v>
      </x:c>
      <x:c r="F4023" s="66" t="n">
        <x:v>26.76288702018479</x:v>
      </x:c>
      <x:c r="G4023" s="66" t="n">
        <x:v>228.6492712822964</x:v>
      </x:c>
      <x:c r="H4023" s="45" t="n">
        <x:v>1</x:v>
      </x:c>
      <x:c r="I4023" s="36" t="str">
        <x:v>generated design-reference observation; not predicted tract behavior</x:v>
      </x:c>
    </x:row>
    <x:row r="4024" ht="75.5999984741211" hidden="0" customHeight="1">
      <x:c r="A4024" s="34" t="str">
        <x:v>H3</x:v>
      </x:c>
      <x:c r="B4024" s="34" t="str">
        <x:v>48201451406</x:v>
      </x:c>
      <x:c r="C4024" s="65" t="n">
        <x:v>198.5787325800392</x:v>
      </x:c>
      <x:c r="D4024" s="65" t="n">
        <x:v>176.359393455211</x:v>
      </x:c>
      <x:c r="E4024" s="65" t="n">
        <x:v>22.219339124828196</x:v>
      </x:c>
      <x:c r="F4024" s="65" t="n">
        <x:v>22.219339124828196</x:v>
      </x:c>
      <x:c r="G4024" s="65" t="n">
        <x:v>198.5787325800392</x:v>
      </x:c>
      <x:c r="H4024" s="43" t="n">
        <x:v>1</x:v>
      </x:c>
      <x:c r="I4024" s="34" t="str">
        <x:v>generated design-reference observation; not predicted tract behavior</x:v>
      </x:c>
    </x:row>
    <x:row r="4025" ht="75.5999984741211" hidden="0" customHeight="1">
      <x:c r="A4025" s="36" t="str">
        <x:v>H3</x:v>
      </x:c>
      <x:c r="B4025" s="36" t="str">
        <x:v>48201451407</x:v>
      </x:c>
      <x:c r="C4025" s="66" t="n">
        <x:v>257.17873870802345</x:v>
      </x:c>
      <x:c r="D4025" s="66" t="n">
        <x:v>199.61829849653037</x:v>
      </x:c>
      <x:c r="E4025" s="66" t="n">
        <x:v>57.56044021149307</x:v>
      </x:c>
      <x:c r="F4025" s="66" t="n">
        <x:v>57.56044021149307</x:v>
      </x:c>
      <x:c r="G4025" s="66" t="n">
        <x:v>257.17873870802345</x:v>
      </x:c>
      <x:c r="H4025" s="45" t="n">
        <x:v>1</x:v>
      </x:c>
      <x:c r="I4025" s="36" t="str">
        <x:v>generated design-reference observation; not predicted tract behavior</x:v>
      </x:c>
    </x:row>
    <x:row r="4026" ht="75.5999984741211" hidden="0" customHeight="1">
      <x:c r="A4026" s="34" t="str">
        <x:v>H3</x:v>
      </x:c>
      <x:c r="B4026" s="34" t="str">
        <x:v>48201451501</x:v>
      </x:c>
      <x:c r="C4026" s="65" t="n">
        <x:v>237.6327071779263</x:v>
      </x:c>
      <x:c r="D4026" s="65" t="n">
        <x:v>210.1638915196404</x:v>
      </x:c>
      <x:c r="E4026" s="65" t="n">
        <x:v>27.468815658285905</x:v>
      </x:c>
      <x:c r="F4026" s="65" t="n">
        <x:v>27.468815658285905</x:v>
      </x:c>
      <x:c r="G4026" s="65" t="n">
        <x:v>237.6327071779263</x:v>
      </x:c>
      <x:c r="H4026" s="43" t="n">
        <x:v>1</x:v>
      </x:c>
      <x:c r="I4026" s="34" t="str">
        <x:v>generated design-reference observation; not predicted tract behavior</x:v>
      </x:c>
    </x:row>
    <x:row r="4027" ht="75.5999984741211" hidden="0" customHeight="1">
      <x:c r="A4027" s="36" t="str">
        <x:v>H3</x:v>
      </x:c>
      <x:c r="B4027" s="36" t="str">
        <x:v>48201451502</x:v>
      </x:c>
      <x:c r="C4027" s="66" t="n">
        <x:v>393.8123308434674</x:v>
      </x:c>
      <x:c r="D4027" s="66" t="n">
        <x:v>305.5377980844624</x:v>
      </x:c>
      <x:c r="E4027" s="66" t="n">
        <x:v>88.27453275900501</x:v>
      </x:c>
      <x:c r="F4027" s="66" t="n">
        <x:v>88.27453275900501</x:v>
      </x:c>
      <x:c r="G4027" s="66" t="n">
        <x:v>393.8123308434674</x:v>
      </x:c>
      <x:c r="H4027" s="45" t="n">
        <x:v>1</x:v>
      </x:c>
      <x:c r="I4027" s="36" t="str">
        <x:v>generated design-reference observation; not predicted tract behavior</x:v>
      </x:c>
    </x:row>
    <x:row r="4028" ht="75.5999984741211" hidden="0" customHeight="1">
      <x:c r="A4028" s="34" t="str">
        <x:v>H3</x:v>
      </x:c>
      <x:c r="B4028" s="34" t="str">
        <x:v>48201451603</x:v>
      </x:c>
      <x:c r="C4028" s="65" t="n">
        <x:v>263.9699719952979</x:v>
      </x:c>
      <x:c r="D4028" s="65" t="n">
        <x:v>234.17167082083094</x:v>
      </x:c>
      <x:c r="E4028" s="65" t="n">
        <x:v>29.798301174466957</x:v>
      </x:c>
      <x:c r="F4028" s="65" t="n">
        <x:v>29.798301174466957</x:v>
      </x:c>
      <x:c r="G4028" s="65" t="n">
        <x:v>263.9699719952979</x:v>
      </x:c>
      <x:c r="H4028" s="43" t="n">
        <x:v>1</x:v>
      </x:c>
      <x:c r="I4028" s="34" t="str">
        <x:v>generated design-reference observation; not predicted tract behavior</x:v>
      </x:c>
    </x:row>
    <x:row r="4029" ht="75.5999984741211" hidden="0" customHeight="1">
      <x:c r="A4029" s="36" t="str">
        <x:v>H3</x:v>
      </x:c>
      <x:c r="B4029" s="36" t="str">
        <x:v>48201451604</x:v>
      </x:c>
      <x:c r="C4029" s="66" t="n">
        <x:v>284.3025605009799</x:v>
      </x:c>
      <x:c r="D4029" s="66" t="n">
        <x:v>252.45276581331333</x:v>
      </x:c>
      <x:c r="E4029" s="66" t="n">
        <x:v>31.84979468766656</x:v>
      </x:c>
      <x:c r="F4029" s="66" t="n">
        <x:v>31.84979468766656</x:v>
      </x:c>
      <x:c r="G4029" s="66" t="n">
        <x:v>284.3025605009799</x:v>
      </x:c>
      <x:c r="H4029" s="45" t="n">
        <x:v>1</x:v>
      </x:c>
      <x:c r="I4029" s="36" t="str">
        <x:v>generated design-reference observation; not predicted tract behavior</x:v>
      </x:c>
    </x:row>
    <x:row r="4030" ht="75.5999984741211" hidden="0" customHeight="1">
      <x:c r="A4030" s="34" t="str">
        <x:v>H3</x:v>
      </x:c>
      <x:c r="B4030" s="34" t="str">
        <x:v>48201451605</x:v>
      </x:c>
      <x:c r="C4030" s="65" t="n">
        <x:v>252.369314618264</x:v>
      </x:c>
      <x:c r="D4030" s="65" t="n">
        <x:v>222.99444410329667</x:v>
      </x:c>
      <x:c r="E4030" s="65" t="n">
        <x:v>29.37487051496734</x:v>
      </x:c>
      <x:c r="F4030" s="65" t="n">
        <x:v>29.37487051496734</x:v>
      </x:c>
      <x:c r="G4030" s="65" t="n">
        <x:v>252.369314618264</x:v>
      </x:c>
      <x:c r="H4030" s="43" t="n">
        <x:v>1</x:v>
      </x:c>
      <x:c r="I4030" s="34" t="str">
        <x:v>generated design-reference observation; not predicted tract behavior</x:v>
      </x:c>
    </x:row>
    <x:row r="4031" ht="75.5999984741211" hidden="0" customHeight="1">
      <x:c r="A4031" s="36" t="str">
        <x:v>H3</x:v>
      </x:c>
      <x:c r="B4031" s="36" t="str">
        <x:v>48201451606</x:v>
      </x:c>
      <x:c r="C4031" s="66" t="n">
        <x:v>509.86303886378147</x:v>
      </x:c>
      <x:c r="D4031" s="66" t="n">
        <x:v>454.47841174134004</x:v>
      </x:c>
      <x:c r="E4031" s="66" t="n">
        <x:v>55.38462712244143</x:v>
      </x:c>
      <x:c r="F4031" s="66" t="n">
        <x:v>55.38462712244143</x:v>
      </x:c>
      <x:c r="G4031" s="66" t="n">
        <x:v>509.86303886378147</x:v>
      </x:c>
      <x:c r="H4031" s="45" t="n">
        <x:v>1</x:v>
      </x:c>
      <x:c r="I4031" s="36" t="str">
        <x:v>generated design-reference observation; not predicted tract behavior</x:v>
      </x:c>
    </x:row>
    <x:row r="4032" ht="75.5999984741211" hidden="0" customHeight="1">
      <x:c r="A4032" s="34" t="str">
        <x:v>H3</x:v>
      </x:c>
      <x:c r="B4032" s="34" t="str">
        <x:v>48201451700</x:v>
      </x:c>
      <x:c r="C4032" s="65" t="n">
        <x:v>697.7407272717599</x:v>
      </x:c>
      <x:c r="D4032" s="65" t="n">
        <x:v>542.1342320782875</x:v>
      </x:c>
      <x:c r="E4032" s="65" t="n">
        <x:v>155.60649519347237</x:v>
      </x:c>
      <x:c r="F4032" s="65" t="n">
        <x:v>155.60649519347237</x:v>
      </x:c>
      <x:c r="G4032" s="65" t="n">
        <x:v>697.7407272717599</x:v>
      </x:c>
      <x:c r="H4032" s="43" t="n">
        <x:v>1</x:v>
      </x:c>
      <x:c r="I4032" s="34" t="str">
        <x:v>generated design-reference observation; not predicted tract behavior</x:v>
      </x:c>
    </x:row>
    <x:row r="4033" ht="75.5999984741211" hidden="0" customHeight="1">
      <x:c r="A4033" s="36" t="str">
        <x:v>H3</x:v>
      </x:c>
      <x:c r="B4033" s="36" t="str">
        <x:v>48201451800</x:v>
      </x:c>
      <x:c r="C4033" s="66" t="n">
        <x:v>828.0265446453651</x:v>
      </x:c>
      <x:c r="D4033" s="66" t="n">
        <x:v>644.4510378697546</x:v>
      </x:c>
      <x:c r="E4033" s="66" t="n">
        <x:v>183.5755067756105</x:v>
      </x:c>
      <x:c r="F4033" s="66" t="n">
        <x:v>183.5755067756105</x:v>
      </x:c>
      <x:c r="G4033" s="66" t="n">
        <x:v>828.0265446453651</x:v>
      </x:c>
      <x:c r="H4033" s="45" t="n">
        <x:v>1</x:v>
      </x:c>
      <x:c r="I4033" s="36" t="str">
        <x:v>generated design-reference observation; not predicted tract behavior</x:v>
      </x:c>
    </x:row>
    <x:row r="4034" ht="75.5999984741211" hidden="0" customHeight="1">
      <x:c r="A4034" s="34" t="str">
        <x:v>H3</x:v>
      </x:c>
      <x:c r="B4034" s="34" t="str">
        <x:v>48201451902</x:v>
      </x:c>
      <x:c r="C4034" s="65" t="n">
        <x:v>358.24254367855144</x:v>
      </x:c>
      <x:c r="D4034" s="65" t="n">
        <x:v>279.0709415255916</x:v>
      </x:c>
      <x:c r="E4034" s="65" t="n">
        <x:v>79.17160215295985</x:v>
      </x:c>
      <x:c r="F4034" s="65" t="n">
        <x:v>79.17160215295985</x:v>
      </x:c>
      <x:c r="G4034" s="65" t="n">
        <x:v>358.24254367855144</x:v>
      </x:c>
      <x:c r="H4034" s="43" t="n">
        <x:v>1</x:v>
      </x:c>
      <x:c r="I4034" s="34" t="str">
        <x:v>generated design-reference observation; not predicted tract behavior</x:v>
      </x:c>
    </x:row>
    <x:row r="4035" ht="75.5999984741211" hidden="0" customHeight="1">
      <x:c r="A4035" s="36" t="str">
        <x:v>H3</x:v>
      </x:c>
      <x:c r="B4035" s="36" t="str">
        <x:v>48201451903</x:v>
      </x:c>
      <x:c r="C4035" s="66" t="n">
        <x:v>680.5392521992475</x:v>
      </x:c>
      <x:c r="D4035" s="66" t="n">
        <x:v>289.33781572005523</x:v>
      </x:c>
      <x:c r="E4035" s="66" t="n">
        <x:v>391.20143647919224</x:v>
      </x:c>
      <x:c r="F4035" s="66" t="n">
        <x:v>391.20143647919224</x:v>
      </x:c>
      <x:c r="G4035" s="66" t="n">
        <x:v>680.5392521992475</x:v>
      </x:c>
      <x:c r="H4035" s="45" t="n">
        <x:v>1</x:v>
      </x:c>
      <x:c r="I4035" s="36" t="str">
        <x:v>generated design-reference observation; not predicted tract behavior</x:v>
      </x:c>
    </x:row>
    <x:row r="4036" ht="75.5999984741211" hidden="0" customHeight="1">
      <x:c r="A4036" s="34" t="str">
        <x:v>H3</x:v>
      </x:c>
      <x:c r="B4036" s="34" t="str">
        <x:v>48201451904</x:v>
      </x:c>
      <x:c r="C4036" s="65" t="n">
        <x:v>619.7754586649467</x:v>
      </x:c>
      <x:c r="D4036" s="65" t="n">
        <x:v>263.7672549759897</x:v>
      </x:c>
      <x:c r="E4036" s="65" t="n">
        <x:v>356.00820368895694</x:v>
      </x:c>
      <x:c r="F4036" s="65" t="n">
        <x:v>356.00820368895694</x:v>
      </x:c>
      <x:c r="G4036" s="65" t="n">
        <x:v>619.7754586649467</x:v>
      </x:c>
      <x:c r="H4036" s="43" t="n">
        <x:v>1</x:v>
      </x:c>
      <x:c r="I4036" s="34" t="str">
        <x:v>generated design-reference observation; not predicted tract behavior</x:v>
      </x:c>
    </x:row>
    <x:row r="4037" ht="75.5999984741211" hidden="0" customHeight="1">
      <x:c r="A4037" s="36" t="str">
        <x:v>H3</x:v>
      </x:c>
      <x:c r="B4037" s="36" t="str">
        <x:v>48201452001</x:v>
      </x:c>
      <x:c r="C4037" s="66" t="n">
        <x:v>1105.6657402682451</x:v>
      </x:c>
      <x:c r="D4037" s="66" t="n">
        <x:v>471.9318254220118</x:v>
      </x:c>
      <x:c r="E4037" s="66" t="n">
        <x:v>633.7339148462333</x:v>
      </x:c>
      <x:c r="F4037" s="66" t="n">
        <x:v>633.7339148462333</x:v>
      </x:c>
      <x:c r="G4037" s="66" t="n">
        <x:v>1105.6657402682451</x:v>
      </x:c>
      <x:c r="H4037" s="45" t="n">
        <x:v>1</x:v>
      </x:c>
      <x:c r="I4037" s="36" t="str">
        <x:v>generated design-reference observation; not predicted tract behavior</x:v>
      </x:c>
    </x:row>
    <x:row r="4038" ht="75.5999984741211" hidden="0" customHeight="1">
      <x:c r="A4038" s="34" t="str">
        <x:v>H3</x:v>
      </x:c>
      <x:c r="B4038" s="34" t="str">
        <x:v>48201452002</x:v>
      </x:c>
      <x:c r="C4038" s="65" t="n">
        <x:v>518.6403133999381</x:v>
      </x:c>
      <x:c r="D4038" s="65" t="n">
        <x:v>399.0780553332387</x:v>
      </x:c>
      <x:c r="E4038" s="65" t="n">
        <x:v>119.56225806669943</x:v>
      </x:c>
      <x:c r="F4038" s="65" t="n">
        <x:v>119.56225806669943</x:v>
      </x:c>
      <x:c r="G4038" s="65" t="n">
        <x:v>518.6403133999381</x:v>
      </x:c>
      <x:c r="H4038" s="43" t="n">
        <x:v>1</x:v>
      </x:c>
      <x:c r="I4038" s="34" t="str">
        <x:v>generated design-reference observation; not predicted tract behavior</x:v>
      </x:c>
    </x:row>
    <x:row r="4039" ht="75.5999984741211" hidden="0" customHeight="1">
      <x:c r="A4039" s="36" t="str">
        <x:v>H3</x:v>
      </x:c>
      <x:c r="B4039" s="36" t="str">
        <x:v>48201452101</x:v>
      </x:c>
      <x:c r="C4039" s="66" t="n">
        <x:v>1006.5637933959282</x:v>
      </x:c>
      <x:c r="D4039" s="66" t="n">
        <x:v>776.9759898607783</x:v>
      </x:c>
      <x:c r="E4039" s="66" t="n">
        <x:v>229.58780353514987</x:v>
      </x:c>
      <x:c r="F4039" s="66" t="n">
        <x:v>229.58780353514987</x:v>
      </x:c>
      <x:c r="G4039" s="66" t="n">
        <x:v>1006.5637933959282</x:v>
      </x:c>
      <x:c r="H4039" s="45" t="n">
        <x:v>1</x:v>
      </x:c>
      <x:c r="I4039" s="36" t="str">
        <x:v>generated design-reference observation; not predicted tract behavior</x:v>
      </x:c>
    </x:row>
    <x:row r="4040" ht="75.5999984741211" hidden="0" customHeight="1">
      <x:c r="A4040" s="34" t="str">
        <x:v>H3</x:v>
      </x:c>
      <x:c r="B4040" s="34" t="str">
        <x:v>48201452102</x:v>
      </x:c>
      <x:c r="C4040" s="65" t="n">
        <x:v>144.85888625752796</x:v>
      </x:c>
      <x:c r="D4040" s="65" t="n">
        <x:v>128.0048767501007</x:v>
      </x:c>
      <x:c r="E4040" s="65" t="n">
        <x:v>16.854009507427264</x:v>
      </x:c>
      <x:c r="F4040" s="65" t="n">
        <x:v>16.854009507427264</x:v>
      </x:c>
      <x:c r="G4040" s="65" t="n">
        <x:v>144.85888625752796</x:v>
      </x:c>
      <x:c r="H4040" s="43" t="n">
        <x:v>1</x:v>
      </x:c>
      <x:c r="I4040" s="34" t="str">
        <x:v>generated design-reference observation; not predicted tract behavior</x:v>
      </x:c>
    </x:row>
    <x:row r="4041" ht="75.5999984741211" hidden="0" customHeight="1">
      <x:c r="A4041" s="36" t="str">
        <x:v>H3</x:v>
      </x:c>
      <x:c r="B4041" s="36" t="str">
        <x:v>48201452103</x:v>
      </x:c>
      <x:c r="C4041" s="66" t="n">
        <x:v>200.55147309605238</x:v>
      </x:c>
      <x:c r="D4041" s="66" t="n">
        <x:v>177.63859174691237</x:v>
      </x:c>
      <x:c r="E4041" s="66" t="n">
        <x:v>22.912881349140008</x:v>
      </x:c>
      <x:c r="F4041" s="66" t="n">
        <x:v>22.912881349140008</x:v>
      </x:c>
      <x:c r="G4041" s="66" t="n">
        <x:v>200.55147309605238</x:v>
      </x:c>
      <x:c r="H4041" s="45" t="n">
        <x:v>1</x:v>
      </x:c>
      <x:c r="I4041" s="36" t="str">
        <x:v>generated design-reference observation; not predicted tract behavior</x:v>
      </x:c>
    </x:row>
    <x:row r="4042" ht="75.5999984741211" hidden="0" customHeight="1">
      <x:c r="A4042" s="34" t="str">
        <x:v>H3</x:v>
      </x:c>
      <x:c r="B4042" s="34" t="str">
        <x:v>48201452202</x:v>
      </x:c>
      <x:c r="C4042" s="65" t="n">
        <x:v>252.34573604635946</x:v>
      </x:c>
      <x:c r="D4042" s="65" t="n">
        <x:v>223.42419050852342</x:v>
      </x:c>
      <x:c r="E4042" s="65" t="n">
        <x:v>28.92154553783604</x:v>
      </x:c>
      <x:c r="F4042" s="65" t="n">
        <x:v>28.92154553783604</x:v>
      </x:c>
      <x:c r="G4042" s="65" t="n">
        <x:v>252.34573604635946</x:v>
      </x:c>
      <x:c r="H4042" s="43" t="n">
        <x:v>1</x:v>
      </x:c>
      <x:c r="I4042" s="34" t="str">
        <x:v>generated design-reference observation; not predicted tract behavior</x:v>
      </x:c>
    </x:row>
    <x:row r="4043" ht="75.5999984741211" hidden="0" customHeight="1">
      <x:c r="A4043" s="36" t="str">
        <x:v>H3</x:v>
      </x:c>
      <x:c r="B4043" s="36" t="str">
        <x:v>48201452203</x:v>
      </x:c>
      <x:c r="C4043" s="66" t="n">
        <x:v>182.73393226018806</x:v>
      </x:c>
      <x:c r="D4043" s="66" t="n">
        <x:v>162.15614665257596</x:v>
      </x:c>
      <x:c r="E4043" s="66" t="n">
        <x:v>20.5777856076121</x:v>
      </x:c>
      <x:c r="F4043" s="66" t="n">
        <x:v>20.5777856076121</x:v>
      </x:c>
      <x:c r="G4043" s="66" t="n">
        <x:v>182.73393226018806</x:v>
      </x:c>
      <x:c r="H4043" s="45" t="n">
        <x:v>1</x:v>
      </x:c>
      <x:c r="I4043" s="36" t="str">
        <x:v>generated design-reference observation; not predicted tract behavior</x:v>
      </x:c>
    </x:row>
    <x:row r="4044" ht="75.5999984741211" hidden="0" customHeight="1">
      <x:c r="A4044" s="34" t="str">
        <x:v>H3</x:v>
      </x:c>
      <x:c r="B4044" s="34" t="str">
        <x:v>48201452204</x:v>
      </x:c>
      <x:c r="C4044" s="65" t="n">
        <x:v>196.6335003979146</x:v>
      </x:c>
      <x:c r="D4044" s="65" t="n">
        <x:v>173.65812836043065</x:v>
      </x:c>
      <x:c r="E4044" s="65" t="n">
        <x:v>22.975372037483936</x:v>
      </x:c>
      <x:c r="F4044" s="65" t="n">
        <x:v>22.975372037483936</x:v>
      </x:c>
      <x:c r="G4044" s="65" t="n">
        <x:v>196.6335003979146</x:v>
      </x:c>
      <x:c r="H4044" s="43" t="n">
        <x:v>1</x:v>
      </x:c>
      <x:c r="I4044" s="34" t="str">
        <x:v>generated design-reference observation; not predicted tract behavior</x:v>
      </x:c>
    </x:row>
    <x:row r="4045" ht="75.5999984741211" hidden="0" customHeight="1">
      <x:c r="A4045" s="36" t="str">
        <x:v>H3</x:v>
      </x:c>
      <x:c r="B4045" s="36" t="str">
        <x:v>48201452300</x:v>
      </x:c>
      <x:c r="C4045" s="66" t="n">
        <x:v>388.24839245276274</x:v>
      </x:c>
      <x:c r="D4045" s="66" t="n">
        <x:v>165.62795951186465</x:v>
      </x:c>
      <x:c r="E4045" s="66" t="n">
        <x:v>222.6204329408981</x:v>
      </x:c>
      <x:c r="F4045" s="66" t="n">
        <x:v>222.6204329408981</x:v>
      </x:c>
      <x:c r="G4045" s="66" t="n">
        <x:v>388.24839245276274</x:v>
      </x:c>
      <x:c r="H4045" s="45" t="n">
        <x:v>1</x:v>
      </x:c>
      <x:c r="I4045" s="36" t="str">
        <x:v>generated design-reference observation; not predicted tract behavior</x:v>
      </x:c>
    </x:row>
    <x:row r="4046" ht="75.5999984741211" hidden="0" customHeight="1">
      <x:c r="A4046" s="34" t="str">
        <x:v>H3</x:v>
      </x:c>
      <x:c r="B4046" s="34" t="str">
        <x:v>48201452401</x:v>
      </x:c>
      <x:c r="C4046" s="65" t="n">
        <x:v>556.1254060980232</x:v>
      </x:c>
      <x:c r="D4046" s="65" t="n">
        <x:v>237.35294432921626</x:v>
      </x:c>
      <x:c r="E4046" s="65" t="n">
        <x:v>318.7724617688069</x:v>
      </x:c>
      <x:c r="F4046" s="65" t="n">
        <x:v>318.7724617688069</x:v>
      </x:c>
      <x:c r="G4046" s="65" t="n">
        <x:v>556.1254060980232</x:v>
      </x:c>
      <x:c r="H4046" s="43" t="n">
        <x:v>1</x:v>
      </x:c>
      <x:c r="I4046" s="34" t="str">
        <x:v>generated design-reference observation; not predicted tract behavior</x:v>
      </x:c>
    </x:row>
    <x:row r="4047" ht="75.5999984741211" hidden="0" customHeight="1">
      <x:c r="A4047" s="36" t="str">
        <x:v>H3</x:v>
      </x:c>
      <x:c r="B4047" s="36" t="str">
        <x:v>48201452402</x:v>
      </x:c>
      <x:c r="C4047" s="66" t="n">
        <x:v>559.0978176049123</x:v>
      </x:c>
      <x:c r="D4047" s="66" t="n">
        <x:v>434.3505008388541</x:v>
      </x:c>
      <x:c r="E4047" s="66" t="n">
        <x:v>124.74731676605819</x:v>
      </x:c>
      <x:c r="F4047" s="66" t="n">
        <x:v>124.74731676605819</x:v>
      </x:c>
      <x:c r="G4047" s="66" t="n">
        <x:v>559.0978176049123</x:v>
      </x:c>
      <x:c r="H4047" s="45" t="n">
        <x:v>1</x:v>
      </x:c>
      <x:c r="I4047" s="36" t="str">
        <x:v>generated design-reference observation; not predicted tract behavior</x:v>
      </x:c>
    </x:row>
    <x:row r="4048" ht="75.5999984741211" hidden="0" customHeight="1">
      <x:c r="A4048" s="34" t="str">
        <x:v>H3</x:v>
      </x:c>
      <x:c r="B4048" s="34" t="str">
        <x:v>48201452501</x:v>
      </x:c>
      <x:c r="C4048" s="65" t="n">
        <x:v>201.49461597223404</x:v>
      </x:c>
      <x:c r="D4048" s="65" t="n">
        <x:v>178.8806484025943</x:v>
      </x:c>
      <x:c r="E4048" s="65" t="n">
        <x:v>22.613967569639755</x:v>
      </x:c>
      <x:c r="F4048" s="65" t="n">
        <x:v>22.613967569639755</x:v>
      </x:c>
      <x:c r="G4048" s="65" t="n">
        <x:v>201.49461597223404</x:v>
      </x:c>
      <x:c r="H4048" s="43" t="n">
        <x:v>1</x:v>
      </x:c>
      <x:c r="I4048" s="34" t="str">
        <x:v>generated design-reference observation; not predicted tract behavior</x:v>
      </x:c>
    </x:row>
    <x:row r="4049" ht="75.5999984741211" hidden="0" customHeight="1">
      <x:c r="A4049" s="36" t="str">
        <x:v>H3</x:v>
      </x:c>
      <x:c r="B4049" s="36" t="str">
        <x:v>48201452502</x:v>
      </x:c>
      <x:c r="C4049" s="66" t="n">
        <x:v>367.43274551242115</x:v>
      </x:c>
      <x:c r="D4049" s="66" t="n">
        <x:v>327.55244807285345</x:v>
      </x:c>
      <x:c r="E4049" s="66" t="n">
        <x:v>39.8802974395677</x:v>
      </x:c>
      <x:c r="F4049" s="66" t="n">
        <x:v>39.8802974395677</x:v>
      </x:c>
      <x:c r="G4049" s="66" t="n">
        <x:v>367.43274551242115</x:v>
      </x:c>
      <x:c r="H4049" s="45" t="n">
        <x:v>1</x:v>
      </x:c>
      <x:c r="I4049" s="36" t="str">
        <x:v>generated design-reference observation; not predicted tract behavior</x:v>
      </x:c>
    </x:row>
    <x:row r="4050" ht="75.5999984741211" hidden="0" customHeight="1">
      <x:c r="A4050" s="34" t="str">
        <x:v>H3</x:v>
      </x:c>
      <x:c r="B4050" s="34" t="str">
        <x:v>48201452601</x:v>
      </x:c>
      <x:c r="C4050" s="65" t="n">
        <x:v>772.0089967196949</x:v>
      </x:c>
      <x:c r="D4050" s="65" t="n">
        <x:v>596.4968721246745</x:v>
      </x:c>
      <x:c r="E4050" s="65" t="n">
        <x:v>175.5121245950204</x:v>
      </x:c>
      <x:c r="F4050" s="65" t="n">
        <x:v>175.5121245950204</x:v>
      </x:c>
      <x:c r="G4050" s="65" t="n">
        <x:v>772.0089967196949</x:v>
      </x:c>
      <x:c r="H4050" s="43" t="n">
        <x:v>1</x:v>
      </x:c>
      <x:c r="I4050" s="34" t="str">
        <x:v>generated design-reference observation; not predicted tract behavior</x:v>
      </x:c>
    </x:row>
    <x:row r="4051" ht="75.5999984741211" hidden="0" customHeight="1">
      <x:c r="A4051" s="36" t="str">
        <x:v>H3</x:v>
      </x:c>
      <x:c r="B4051" s="36" t="str">
        <x:v>48201452602</x:v>
      </x:c>
      <x:c r="C4051" s="66" t="n">
        <x:v>241.71180011741174</x:v>
      </x:c>
      <x:c r="D4051" s="66" t="n">
        <x:v>215.05520180176757</x:v>
      </x:c>
      <x:c r="E4051" s="66" t="n">
        <x:v>26.656598315644175</x:v>
      </x:c>
      <x:c r="F4051" s="66" t="n">
        <x:v>26.656598315644175</x:v>
      </x:c>
      <x:c r="G4051" s="66" t="n">
        <x:v>241.71180011741174</x:v>
      </x:c>
      <x:c r="H4051" s="45" t="n">
        <x:v>1</x:v>
      </x:c>
      <x:c r="I4051" s="36" t="str">
        <x:v>generated design-reference observation; not predicted tract behavior</x:v>
      </x:c>
    </x:row>
    <x:row r="4052" ht="75.5999984741211" hidden="0" customHeight="1">
      <x:c r="A4052" s="34" t="str">
        <x:v>H3</x:v>
      </x:c>
      <x:c r="B4052" s="34" t="str">
        <x:v>48201452701</x:v>
      </x:c>
      <x:c r="C4052" s="65" t="n">
        <x:v>323.11288985585344</x:v>
      </x:c>
      <x:c r="D4052" s="65" t="n">
        <x:v>288.27770365393553</x:v>
      </x:c>
      <x:c r="E4052" s="65" t="n">
        <x:v>34.83518620191791</x:v>
      </x:c>
      <x:c r="F4052" s="65" t="n">
        <x:v>34.83518620191791</x:v>
      </x:c>
      <x:c r="G4052" s="65" t="n">
        <x:v>323.11288985585344</x:v>
      </x:c>
      <x:c r="H4052" s="43" t="n">
        <x:v>1</x:v>
      </x:c>
      <x:c r="I4052" s="34" t="str">
        <x:v>generated design-reference observation; not predicted tract behavior</x:v>
      </x:c>
    </x:row>
    <x:row r="4053" ht="75.5999984741211" hidden="0" customHeight="1">
      <x:c r="A4053" s="36" t="str">
        <x:v>H3</x:v>
      </x:c>
      <x:c r="B4053" s="36" t="str">
        <x:v>48201452702</x:v>
      </x:c>
      <x:c r="C4053" s="66" t="n">
        <x:v>348.15333321847527</x:v>
      </x:c>
      <x:c r="D4053" s="66" t="n">
        <x:v>308.54749325544583</x:v>
      </x:c>
      <x:c r="E4053" s="66" t="n">
        <x:v>39.60583996302944</x:v>
      </x:c>
      <x:c r="F4053" s="66" t="n">
        <x:v>39.60583996302944</x:v>
      </x:c>
      <x:c r="G4053" s="66" t="n">
        <x:v>348.15333321847527</x:v>
      </x:c>
      <x:c r="H4053" s="45" t="n">
        <x:v>1</x:v>
      </x:c>
      <x:c r="I4053" s="36" t="str">
        <x:v>generated design-reference observation; not predicted tract behavior</x:v>
      </x:c>
    </x:row>
    <x:row r="4054" ht="75.5999984741211" hidden="0" customHeight="1">
      <x:c r="A4054" s="34" t="str">
        <x:v>H3</x:v>
      </x:c>
      <x:c r="B4054" s="34" t="str">
        <x:v>48201452703</x:v>
      </x:c>
      <x:c r="C4054" s="65" t="n">
        <x:v>322.5037767483194</x:v>
      </x:c>
      <x:c r="D4054" s="65" t="n">
        <x:v>286.82045897301515</x:v>
      </x:c>
      <x:c r="E4054" s="65" t="n">
        <x:v>35.68331777530426</x:v>
      </x:c>
      <x:c r="F4054" s="65" t="n">
        <x:v>35.68331777530426</x:v>
      </x:c>
      <x:c r="G4054" s="65" t="n">
        <x:v>322.5037767483194</x:v>
      </x:c>
      <x:c r="H4054" s="43" t="n">
        <x:v>1</x:v>
      </x:c>
      <x:c r="I4054" s="34" t="str">
        <x:v>generated design-reference observation; not predicted tract behavior</x:v>
      </x:c>
    </x:row>
    <x:row r="4055" ht="75.5999984741211" hidden="0" customHeight="1">
      <x:c r="A4055" s="36" t="str">
        <x:v>H3</x:v>
      </x:c>
      <x:c r="B4055" s="36" t="str">
        <x:v>48201452801</x:v>
      </x:c>
      <x:c r="C4055" s="66" t="n">
        <x:v>940.5480241145826</x:v>
      </x:c>
      <x:c r="D4055" s="66" t="n">
        <x:v>401.78777570766</x:v>
      </x:c>
      <x:c r="E4055" s="66" t="n">
        <x:v>538.7602484069226</x:v>
      </x:c>
      <x:c r="F4055" s="66" t="n">
        <x:v>538.7602484069226</x:v>
      </x:c>
      <x:c r="G4055" s="66" t="n">
        <x:v>940.5480241145826</x:v>
      </x:c>
      <x:c r="H4055" s="45" t="n">
        <x:v>1</x:v>
      </x:c>
      <x:c r="I4055" s="36" t="str">
        <x:v>generated design-reference observation; not predicted tract behavior</x:v>
      </x:c>
    </x:row>
    <x:row r="4056" ht="75.5999984741211" hidden="0" customHeight="1">
      <x:c r="A4056" s="34" t="str">
        <x:v>H3</x:v>
      </x:c>
      <x:c r="B4056" s="34" t="str">
        <x:v>48201452802</x:v>
      </x:c>
      <x:c r="C4056" s="65" t="n">
        <x:v>900.8973302738808</x:v>
      </x:c>
      <x:c r="D4056" s="65" t="n">
        <x:v>699.858562162754</x:v>
      </x:c>
      <x:c r="E4056" s="65" t="n">
        <x:v>201.03876811112684</x:v>
      </x:c>
      <x:c r="F4056" s="65" t="n">
        <x:v>201.03876811112684</x:v>
      </x:c>
      <x:c r="G4056" s="65" t="n">
        <x:v>900.8973302738808</x:v>
      </x:c>
      <x:c r="H4056" s="43" t="n">
        <x:v>1</x:v>
      </x:c>
      <x:c r="I4056" s="34" t="str">
        <x:v>generated design-reference observation; not predicted tract behavior</x:v>
      </x:c>
    </x:row>
    <x:row r="4057" ht="75.5999984741211" hidden="0" customHeight="1">
      <x:c r="A4057" s="36" t="str">
        <x:v>H3</x:v>
      </x:c>
      <x:c r="B4057" s="36" t="str">
        <x:v>48201452900</x:v>
      </x:c>
      <x:c r="C4057" s="66" t="n">
        <x:v>743.4783201364339</x:v>
      </x:c>
      <x:c r="D4057" s="66" t="n">
        <x:v>317.83698185832543</x:v>
      </x:c>
      <x:c r="E4057" s="66" t="n">
        <x:v>425.6413382781085</x:v>
      </x:c>
      <x:c r="F4057" s="66" t="n">
        <x:v>425.6413382781085</x:v>
      </x:c>
      <x:c r="G4057" s="66" t="n">
        <x:v>743.4783201364339</x:v>
      </x:c>
      <x:c r="H4057" s="45" t="n">
        <x:v>1</x:v>
      </x:c>
      <x:c r="I4057" s="36" t="str">
        <x:v>generated design-reference observation; not predicted tract behavior</x:v>
      </x:c>
    </x:row>
    <x:row r="4058" ht="75.5999984741211" hidden="0" customHeight="1">
      <x:c r="A4058" s="34" t="str">
        <x:v>H3</x:v>
      </x:c>
      <x:c r="B4058" s="34" t="str">
        <x:v>48201453001</x:v>
      </x:c>
      <x:c r="C4058" s="65" t="n">
        <x:v>546.1716212817065</x:v>
      </x:c>
      <x:c r="D4058" s="65" t="n">
        <x:v>233.4249996472975</x:v>
      </x:c>
      <x:c r="E4058" s="65" t="n">
        <x:v>312.746621634409</x:v>
      </x:c>
      <x:c r="F4058" s="65" t="n">
        <x:v>312.746621634409</x:v>
      </x:c>
      <x:c r="G4058" s="65" t="n">
        <x:v>546.1716212817065</x:v>
      </x:c>
      <x:c r="H4058" s="43" t="n">
        <x:v>1</x:v>
      </x:c>
      <x:c r="I4058" s="34" t="str">
        <x:v>generated design-reference observation; not predicted tract behavior</x:v>
      </x:c>
    </x:row>
    <x:row r="4059" ht="75.5999984741211" hidden="0" customHeight="1">
      <x:c r="A4059" s="36" t="str">
        <x:v>H3</x:v>
      </x:c>
      <x:c r="B4059" s="36" t="str">
        <x:v>48201453002</x:v>
      </x:c>
      <x:c r="C4059" s="66" t="n">
        <x:v>883.6269332219549</x:v>
      </x:c>
      <x:c r="D4059" s="66" t="n">
        <x:v>377.5191283099362</x:v>
      </x:c>
      <x:c r="E4059" s="66" t="n">
        <x:v>506.1078049120187</x:v>
      </x:c>
      <x:c r="F4059" s="66" t="n">
        <x:v>506.1078049120187</x:v>
      </x:c>
      <x:c r="G4059" s="66" t="n">
        <x:v>883.6269332219549</x:v>
      </x:c>
      <x:c r="H4059" s="45" t="n">
        <x:v>1</x:v>
      </x:c>
      <x:c r="I4059" s="36" t="str">
        <x:v>generated design-reference observation; not predicted tract behavior</x:v>
      </x:c>
    </x:row>
    <x:row r="4060" ht="75.5999984741211" hidden="0" customHeight="1">
      <x:c r="A4060" s="34" t="str">
        <x:v>H3</x:v>
      </x:c>
      <x:c r="B4060" s="34" t="str">
        <x:v>48201453100</x:v>
      </x:c>
      <x:c r="C4060" s="65" t="n">
        <x:v>650.0938746615848</x:v>
      </x:c>
      <x:c r="D4060" s="65" t="n">
        <x:v>276.7429059074535</x:v>
      </x:c>
      <x:c r="E4060" s="65" t="n">
        <x:v>373.35096875413126</x:v>
      </x:c>
      <x:c r="F4060" s="65" t="n">
        <x:v>373.35096875413126</x:v>
      </x:c>
      <x:c r="G4060" s="65" t="n">
        <x:v>650.0938746615848</x:v>
      </x:c>
      <x:c r="H4060" s="43" t="n">
        <x:v>1</x:v>
      </x:c>
      <x:c r="I4060" s="34" t="str">
        <x:v>generated design-reference observation; not predicted tract behavior</x:v>
      </x:c>
    </x:row>
    <x:row r="4061" ht="75.5999984741211" hidden="0" customHeight="1">
      <x:c r="A4061" s="36" t="str">
        <x:v>H3</x:v>
      </x:c>
      <x:c r="B4061" s="36" t="str">
        <x:v>48201453201</x:v>
      </x:c>
      <x:c r="C4061" s="66" t="n">
        <x:v>704.5095911446632</x:v>
      </x:c>
      <x:c r="D4061" s="66" t="n">
        <x:v>298.80388054675666</x:v>
      </x:c>
      <x:c r="E4061" s="66" t="n">
        <x:v>405.70571059790655</x:v>
      </x:c>
      <x:c r="F4061" s="66" t="n">
        <x:v>405.70571059790655</x:v>
      </x:c>
      <x:c r="G4061" s="66" t="n">
        <x:v>704.5095911446632</x:v>
      </x:c>
      <x:c r="H4061" s="45" t="n">
        <x:v>1</x:v>
      </x:c>
      <x:c r="I4061" s="36" t="str">
        <x:v>generated design-reference observation; not predicted tract behavior</x:v>
      </x:c>
    </x:row>
    <x:row r="4062" ht="75.5999984741211" hidden="0" customHeight="1">
      <x:c r="A4062" s="34" t="str">
        <x:v>H3</x:v>
      </x:c>
      <x:c r="B4062" s="34" t="str">
        <x:v>48201453202</x:v>
      </x:c>
      <x:c r="C4062" s="65" t="n">
        <x:v>729.1111103226008</x:v>
      </x:c>
      <x:c r="D4062" s="65" t="n">
        <x:v>564.6459038522573</x:v>
      </x:c>
      <x:c r="E4062" s="65" t="n">
        <x:v>164.46520647034345</x:v>
      </x:c>
      <x:c r="F4062" s="65" t="n">
        <x:v>164.46520647034345</x:v>
      </x:c>
      <x:c r="G4062" s="65" t="n">
        <x:v>729.1111103226008</x:v>
      </x:c>
      <x:c r="H4062" s="43" t="n">
        <x:v>1</x:v>
      </x:c>
      <x:c r="I4062" s="34" t="str">
        <x:v>generated design-reference observation; not predicted tract behavior</x:v>
      </x:c>
    </x:row>
    <x:row r="4063" ht="75.5999984741211" hidden="0" customHeight="1">
      <x:c r="A4063" s="36" t="str">
        <x:v>H3</x:v>
      </x:c>
      <x:c r="B4063" s="36" t="str">
        <x:v>48201453300</x:v>
      </x:c>
      <x:c r="C4063" s="66" t="n">
        <x:v>673.5593903367368</x:v>
      </x:c>
      <x:c r="D4063" s="66" t="n">
        <x:v>520.0298104687198</x:v>
      </x:c>
      <x:c r="E4063" s="66" t="n">
        <x:v>153.52957986801698</x:v>
      </x:c>
      <x:c r="F4063" s="66" t="n">
        <x:v>153.52957986801698</x:v>
      </x:c>
      <x:c r="G4063" s="66" t="n">
        <x:v>673.5593903367368</x:v>
      </x:c>
      <x:c r="H4063" s="45" t="n">
        <x:v>1</x:v>
      </x:c>
      <x:c r="I4063" s="36" t="str">
        <x:v>generated design-reference observation; not predicted tract behavior</x:v>
      </x:c>
    </x:row>
    <x:row r="4064" ht="75.5999984741211" hidden="0" customHeight="1">
      <x:c r="A4064" s="34" t="str">
        <x:v>H3</x:v>
      </x:c>
      <x:c r="B4064" s="34" t="str">
        <x:v>48201453401</x:v>
      </x:c>
      <x:c r="C4064" s="65" t="n">
        <x:v>297.6401726749816</x:v>
      </x:c>
      <x:c r="D4064" s="65" t="n">
        <x:v>264.7295035019635</x:v>
      </x:c>
      <x:c r="E4064" s="65" t="n">
        <x:v>32.91066917301811</x:v>
      </x:c>
      <x:c r="F4064" s="65" t="n">
        <x:v>32.91066917301811</x:v>
      </x:c>
      <x:c r="G4064" s="65" t="n">
        <x:v>297.6401726749816</x:v>
      </x:c>
      <x:c r="H4064" s="43" t="n">
        <x:v>1</x:v>
      </x:c>
      <x:c r="I4064" s="34" t="str">
        <x:v>generated design-reference observation; not predicted tract behavior</x:v>
      </x:c>
    </x:row>
    <x:row r="4065" ht="75.5999984741211" hidden="0" customHeight="1">
      <x:c r="A4065" s="36" t="str">
        <x:v>H3</x:v>
      </x:c>
      <x:c r="B4065" s="36" t="str">
        <x:v>48201453403</x:v>
      </x:c>
      <x:c r="C4065" s="66" t="n">
        <x:v>322.72777318141254</x:v>
      </x:c>
      <x:c r="D4065" s="66" t="n">
        <x:v>286.4542859314414</x:v>
      </x:c>
      <x:c r="E4065" s="66" t="n">
        <x:v>36.27348724997114</x:v>
      </x:c>
      <x:c r="F4065" s="66" t="n">
        <x:v>36.27348724997114</x:v>
      </x:c>
      <x:c r="G4065" s="66" t="n">
        <x:v>322.72777318141254</x:v>
      </x:c>
      <x:c r="H4065" s="45" t="n">
        <x:v>1</x:v>
      </x:c>
      <x:c r="I4065" s="36" t="str">
        <x:v>generated design-reference observation; not predicted tract behavior</x:v>
      </x:c>
    </x:row>
    <x:row r="4066" ht="75.5999984741211" hidden="0" customHeight="1">
      <x:c r="A4066" s="34" t="str">
        <x:v>H3</x:v>
      </x:c>
      <x:c r="B4066" s="34" t="str">
        <x:v>48201453404</x:v>
      </x:c>
      <x:c r="C4066" s="65" t="n">
        <x:v>369.0242991159776</x:v>
      </x:c>
      <x:c r="D4066" s="65" t="n">
        <x:v>328.3761728320556</x:v>
      </x:c>
      <x:c r="E4066" s="65" t="n">
        <x:v>40.64812628392201</x:v>
      </x:c>
      <x:c r="F4066" s="65" t="n">
        <x:v>40.64812628392201</x:v>
      </x:c>
      <x:c r="G4066" s="65" t="n">
        <x:v>369.0242991159776</x:v>
      </x:c>
      <x:c r="H4066" s="43" t="n">
        <x:v>1</x:v>
      </x:c>
      <x:c r="I4066" s="34" t="str">
        <x:v>generated design-reference observation; not predicted tract behavior</x:v>
      </x:c>
    </x:row>
    <x:row r="4067" ht="75.5999984741211" hidden="0" customHeight="1">
      <x:c r="A4067" s="36" t="str">
        <x:v>H3</x:v>
      </x:c>
      <x:c r="B4067" s="36" t="str">
        <x:v>48201453405</x:v>
      </x:c>
      <x:c r="C4067" s="66" t="n">
        <x:v>331.9469947960878</x:v>
      </x:c>
      <x:c r="D4067" s="66" t="n">
        <x:v>294.7959588424012</x:v>
      </x:c>
      <x:c r="E4067" s="66" t="n">
        <x:v>37.15103595368657</x:v>
      </x:c>
      <x:c r="F4067" s="66" t="n">
        <x:v>37.15103595368657</x:v>
      </x:c>
      <x:c r="G4067" s="66" t="n">
        <x:v>331.9469947960878</x:v>
      </x:c>
      <x:c r="H4067" s="45" t="n">
        <x:v>1</x:v>
      </x:c>
      <x:c r="I4067" s="36" t="str">
        <x:v>generated design-reference observation; not predicted tract behavior</x:v>
      </x:c>
    </x:row>
    <x:row r="4068" ht="75.5999984741211" hidden="0" customHeight="1">
      <x:c r="A4068" s="34" t="str">
        <x:v>H3</x:v>
      </x:c>
      <x:c r="B4068" s="34" t="str">
        <x:v>48201453501</x:v>
      </x:c>
      <x:c r="C4068" s="65" t="n">
        <x:v>483.40002166291896</x:v>
      </x:c>
      <x:c r="D4068" s="65" t="n">
        <x:v>430.8206081504378</x:v>
      </x:c>
      <x:c r="E4068" s="65" t="n">
        <x:v>52.57941351248115</x:v>
      </x:c>
      <x:c r="F4068" s="65" t="n">
        <x:v>52.57941351248115</x:v>
      </x:c>
      <x:c r="G4068" s="65" t="n">
        <x:v>483.40002166291896</x:v>
      </x:c>
      <x:c r="H4068" s="43" t="n">
        <x:v>1</x:v>
      </x:c>
      <x:c r="I4068" s="34" t="str">
        <x:v>generated design-reference observation; not predicted tract behavior</x:v>
      </x:c>
    </x:row>
    <x:row r="4069" ht="75.5999984741211" hidden="0" customHeight="1">
      <x:c r="A4069" s="36" t="str">
        <x:v>H3</x:v>
      </x:c>
      <x:c r="B4069" s="36" t="str">
        <x:v>48201453502</x:v>
      </x:c>
      <x:c r="C4069" s="66" t="n">
        <x:v>521.1015535595122</x:v>
      </x:c>
      <x:c r="D4069" s="66" t="n">
        <x:v>405.7952801470409</x:v>
      </x:c>
      <x:c r="E4069" s="66" t="n">
        <x:v>115.30627341247134</x:v>
      </x:c>
      <x:c r="F4069" s="66" t="n">
        <x:v>115.30627341247134</x:v>
      </x:c>
      <x:c r="G4069" s="66" t="n">
        <x:v>521.1015535595122</x:v>
      </x:c>
      <x:c r="H4069" s="45" t="n">
        <x:v>1</x:v>
      </x:c>
      <x:c r="I4069" s="36" t="str">
        <x:v>generated design-reference observation; not predicted tract behavior</x:v>
      </x:c>
    </x:row>
    <x:row r="4070" ht="75.5999984741211" hidden="0" customHeight="1">
      <x:c r="A4070" s="34" t="str">
        <x:v>H3</x:v>
      </x:c>
      <x:c r="B4070" s="34" t="str">
        <x:v>48201453601</x:v>
      </x:c>
      <x:c r="C4070" s="65" t="n">
        <x:v>131.26190979257638</x:v>
      </x:c>
      <x:c r="D4070" s="65" t="n">
        <x:v>116.69143044105276</x:v>
      </x:c>
      <x:c r="E4070" s="65" t="n">
        <x:v>14.570479351523616</x:v>
      </x:c>
      <x:c r="F4070" s="65" t="n">
        <x:v>14.570479351523616</x:v>
      </x:c>
      <x:c r="G4070" s="65" t="n">
        <x:v>131.26190979257638</x:v>
      </x:c>
      <x:c r="H4070" s="43" t="n">
        <x:v>1</x:v>
      </x:c>
      <x:c r="I4070" s="34" t="str">
        <x:v>generated design-reference observation; not predicted tract behavior</x:v>
      </x:c>
    </x:row>
    <x:row r="4071" ht="75.5999984741211" hidden="0" customHeight="1">
      <x:c r="A4071" s="36" t="str">
        <x:v>H3</x:v>
      </x:c>
      <x:c r="B4071" s="36" t="str">
        <x:v>48201453603</x:v>
      </x:c>
      <x:c r="C4071" s="66" t="n">
        <x:v>602.3055506199826</x:v>
      </x:c>
      <x:c r="D4071" s="66" t="n">
        <x:v>256.44490000203285</x:v>
      </x:c>
      <x:c r="E4071" s="66" t="n">
        <x:v>345.8606506179497</x:v>
      </x:c>
      <x:c r="F4071" s="66" t="n">
        <x:v>345.8606506179497</x:v>
      </x:c>
      <x:c r="G4071" s="66" t="n">
        <x:v>602.3055506199826</x:v>
      </x:c>
      <x:c r="H4071" s="45" t="n">
        <x:v>1</x:v>
      </x:c>
      <x:c r="I4071" s="36" t="str">
        <x:v>generated design-reference observation; not predicted tract behavior</x:v>
      </x:c>
    </x:row>
    <x:row r="4072" ht="75.5999984741211" hidden="0" customHeight="1">
      <x:c r="A4072" s="34" t="str">
        <x:v>H3</x:v>
      </x:c>
      <x:c r="B4072" s="34" t="str">
        <x:v>48201453604</x:v>
      </x:c>
      <x:c r="C4072" s="65" t="n">
        <x:v>291.26216897480344</x:v>
      </x:c>
      <x:c r="D4072" s="65" t="n">
        <x:v>260.09711689449944</x:v>
      </x:c>
      <x:c r="E4072" s="65" t="n">
        <x:v>31.165052080304008</x:v>
      </x:c>
      <x:c r="F4072" s="65" t="n">
        <x:v>31.165052080304008</x:v>
      </x:c>
      <x:c r="G4072" s="65" t="n">
        <x:v>291.26216897480344</x:v>
      </x:c>
      <x:c r="H4072" s="43" t="n">
        <x:v>1</x:v>
      </x:c>
      <x:c r="I4072" s="34" t="str">
        <x:v>generated design-reference observation; not predicted tract behavior</x:v>
      </x:c>
    </x:row>
    <x:row r="4073" ht="75.5999984741211" hidden="0" customHeight="1">
      <x:c r="A4073" s="36" t="str">
        <x:v>H3</x:v>
      </x:c>
      <x:c r="B4073" s="36" t="str">
        <x:v>48201453701</x:v>
      </x:c>
      <x:c r="C4073" s="66" t="n">
        <x:v>366.81970264290305</x:v>
      </x:c>
      <x:c r="D4073" s="66" t="n">
        <x:v>326.81348177082805</x:v>
      </x:c>
      <x:c r="E4073" s="66" t="n">
        <x:v>40.006220872075005</x:v>
      </x:c>
      <x:c r="F4073" s="66" t="n">
        <x:v>40.006220872075005</x:v>
      </x:c>
      <x:c r="G4073" s="66" t="n">
        <x:v>366.81970264290305</x:v>
      </x:c>
      <x:c r="H4073" s="45" t="n">
        <x:v>1</x:v>
      </x:c>
      <x:c r="I4073" s="36" t="str">
        <x:v>generated design-reference observation; not predicted tract behavior</x:v>
      </x:c>
    </x:row>
    <x:row r="4074" ht="75.5999984741211" hidden="0" customHeight="1">
      <x:c r="A4074" s="34" t="str">
        <x:v>H3</x:v>
      </x:c>
      <x:c r="B4074" s="34" t="str">
        <x:v>48201453702</x:v>
      </x:c>
      <x:c r="C4074" s="65" t="n">
        <x:v>780.9996875605259</x:v>
      </x:c>
      <x:c r="D4074" s="65" t="n">
        <x:v>332.43235955052336</x:v>
      </x:c>
      <x:c r="E4074" s="65" t="n">
        <x:v>448.56732801000254</x:v>
      </x:c>
      <x:c r="F4074" s="65" t="n">
        <x:v>448.56732801000254</x:v>
      </x:c>
      <x:c r="G4074" s="65" t="n">
        <x:v>780.9996875605259</x:v>
      </x:c>
      <x:c r="H4074" s="43" t="n">
        <x:v>1</x:v>
      </x:c>
      <x:c r="I4074" s="34" t="str">
        <x:v>generated design-reference observation; not predicted tract behavior</x:v>
      </x:c>
    </x:row>
    <x:row r="4075" ht="75.5999984741211" hidden="0" customHeight="1">
      <x:c r="A4075" s="36" t="str">
        <x:v>H3</x:v>
      </x:c>
      <x:c r="B4075" s="36" t="str">
        <x:v>48201453800</x:v>
      </x:c>
      <x:c r="C4075" s="66" t="n">
        <x:v>628.9928665433214</x:v>
      </x:c>
      <x:c r="D4075" s="66" t="n">
        <x:v>268.37400957543645</x:v>
      </x:c>
      <x:c r="E4075" s="66" t="n">
        <x:v>360.61885696788494</x:v>
      </x:c>
      <x:c r="F4075" s="66" t="n">
        <x:v>360.61885696788494</x:v>
      </x:c>
      <x:c r="G4075" s="66" t="n">
        <x:v>628.9928665433214</x:v>
      </x:c>
      <x:c r="H4075" s="45" t="n">
        <x:v>1</x:v>
      </x:c>
      <x:c r="I4075" s="36" t="str">
        <x:v>generated design-reference observation; not predicted tract behavior</x:v>
      </x:c>
    </x:row>
    <x:row r="4076" ht="75.5999984741211" hidden="0" customHeight="1">
      <x:c r="A4076" s="34" t="str">
        <x:v>H3</x:v>
      </x:c>
      <x:c r="B4076" s="34" t="str">
        <x:v>48201453901</x:v>
      </x:c>
      <x:c r="C4076" s="65" t="n">
        <x:v>492.32451112878744</x:v>
      </x:c>
      <x:c r="D4076" s="65" t="n">
        <x:v>439.47240700031324</x:v>
      </x:c>
      <x:c r="E4076" s="65" t="n">
        <x:v>52.852104128474195</x:v>
      </x:c>
      <x:c r="F4076" s="65" t="n">
        <x:v>52.852104128474195</x:v>
      </x:c>
      <x:c r="G4076" s="65" t="n">
        <x:v>492.32451112878744</x:v>
      </x:c>
      <x:c r="H4076" s="43" t="n">
        <x:v>1</x:v>
      </x:c>
      <x:c r="I4076" s="34" t="str">
        <x:v>generated design-reference observation; not predicted tract behavior</x:v>
      </x:c>
    </x:row>
    <x:row r="4077" ht="75.5999984741211" hidden="0" customHeight="1">
      <x:c r="A4077" s="36" t="str">
        <x:v>H3</x:v>
      </x:c>
      <x:c r="B4077" s="36" t="str">
        <x:v>48201453902</x:v>
      </x:c>
      <x:c r="C4077" s="66" t="n">
        <x:v>533.0462162548457</x:v>
      </x:c>
      <x:c r="D4077" s="66" t="n">
        <x:v>414.8029636205545</x:v>
      </x:c>
      <x:c r="E4077" s="66" t="n">
        <x:v>118.2432526342912</x:v>
      </x:c>
      <x:c r="F4077" s="66" t="n">
        <x:v>118.2432526342912</x:v>
      </x:c>
      <x:c r="G4077" s="66" t="n">
        <x:v>533.0462162548457</x:v>
      </x:c>
      <x:c r="H4077" s="45" t="n">
        <x:v>1</x:v>
      </x:c>
      <x:c r="I4077" s="36" t="str">
        <x:v>generated design-reference observation; not predicted tract behavior</x:v>
      </x:c>
    </x:row>
    <x:row r="4078" ht="75.5999984741211" hidden="0" customHeight="1">
      <x:c r="A4078" s="34" t="str">
        <x:v>H3</x:v>
      </x:c>
      <x:c r="B4078" s="34" t="str">
        <x:v>48201454000</x:v>
      </x:c>
      <x:c r="C4078" s="65" t="n">
        <x:v>346.003753413178</x:v>
      </x:c>
      <x:c r="D4078" s="65" t="n">
        <x:v>308.98135179796793</x:v>
      </x:c>
      <x:c r="E4078" s="65" t="n">
        <x:v>37.02240161521007</x:v>
      </x:c>
      <x:c r="F4078" s="65" t="n">
        <x:v>37.02240161521007</x:v>
      </x:c>
      <x:c r="G4078" s="65" t="n">
        <x:v>346.003753413178</x:v>
      </x:c>
      <x:c r="H4078" s="43" t="n">
        <x:v>1</x:v>
      </x:c>
      <x:c r="I4078" s="34" t="str">
        <x:v>generated design-reference observation; not predicted tract behavior</x:v>
      </x:c>
    </x:row>
    <x:row r="4079" ht="75.5999984741211" hidden="0" customHeight="1">
      <x:c r="A4079" s="36" t="str">
        <x:v>H3</x:v>
      </x:c>
      <x:c r="B4079" s="36" t="str">
        <x:v>48201454100</x:v>
      </x:c>
      <x:c r="C4079" s="66" t="n">
        <x:v>668.5879391374795</x:v>
      </x:c>
      <x:c r="D4079" s="66" t="n">
        <x:v>285.3182589582165</x:v>
      </x:c>
      <x:c r="E4079" s="66" t="n">
        <x:v>383.26968017926293</x:v>
      </x:c>
      <x:c r="F4079" s="66" t="n">
        <x:v>383.26968017926293</x:v>
      </x:c>
      <x:c r="G4079" s="66" t="n">
        <x:v>668.5879391374795</x:v>
      </x:c>
      <x:c r="H4079" s="45" t="n">
        <x:v>1</x:v>
      </x:c>
      <x:c r="I4079" s="36" t="str">
        <x:v>generated design-reference observation; not predicted tract behavior</x:v>
      </x:c>
    </x:row>
    <x:row r="4080" ht="75.5999984741211" hidden="0" customHeight="1">
      <x:c r="A4080" s="34" t="str">
        <x:v>H3</x:v>
      </x:c>
      <x:c r="B4080" s="34" t="str">
        <x:v>48201454200</x:v>
      </x:c>
      <x:c r="C4080" s="65" t="n">
        <x:v>344.0192236112125</x:v>
      </x:c>
      <x:c r="D4080" s="65" t="n">
        <x:v>307.20916668481277</x:v>
      </x:c>
      <x:c r="E4080" s="65" t="n">
        <x:v>36.81005692639974</x:v>
      </x:c>
      <x:c r="F4080" s="65" t="n">
        <x:v>36.81005692639974</x:v>
      </x:c>
      <x:c r="G4080" s="65" t="n">
        <x:v>344.0192236112125</x:v>
      </x:c>
      <x:c r="H4080" s="43" t="n">
        <x:v>1</x:v>
      </x:c>
      <x:c r="I4080" s="34" t="str">
        <x:v>generated design-reference observation; not predicted tract behavior</x:v>
      </x:c>
    </x:row>
    <x:row r="4081" ht="75.5999984741211" hidden="0" customHeight="1">
      <x:c r="A4081" s="36" t="str">
        <x:v>H3</x:v>
      </x:c>
      <x:c r="B4081" s="36" t="str">
        <x:v>48201454302</x:v>
      </x:c>
      <x:c r="C4081" s="66" t="n">
        <x:v>471.9251166693759</x:v>
      </x:c>
      <x:c r="D4081" s="66" t="n">
        <x:v>421.3145889350836</x:v>
      </x:c>
      <x:c r="E4081" s="66" t="n">
        <x:v>50.610527734292305</x:v>
      </x:c>
      <x:c r="F4081" s="66" t="n">
        <x:v>50.610527734292305</x:v>
      </x:c>
      <x:c r="G4081" s="66" t="n">
        <x:v>471.9251166693759</x:v>
      </x:c>
      <x:c r="H4081" s="45" t="n">
        <x:v>1</x:v>
      </x:c>
      <x:c r="I4081" s="36" t="str">
        <x:v>generated design-reference observation; not predicted tract behavior</x:v>
      </x:c>
    </x:row>
    <x:row r="4082" ht="75.5999984741211" hidden="0" customHeight="1">
      <x:c r="A4082" s="34" t="str">
        <x:v>H3</x:v>
      </x:c>
      <x:c r="B4082" s="34" t="str">
        <x:v>48201454303</x:v>
      </x:c>
      <x:c r="C4082" s="65" t="n">
        <x:v>661.4865569428454</x:v>
      </x:c>
      <x:c r="D4082" s="65" t="n">
        <x:v>282.4352249774526</x:v>
      </x:c>
      <x:c r="E4082" s="65" t="n">
        <x:v>379.05133196539276</x:v>
      </x:c>
      <x:c r="F4082" s="65" t="n">
        <x:v>379.05133196539276</x:v>
      </x:c>
      <x:c r="G4082" s="65" t="n">
        <x:v>661.4865569428454</x:v>
      </x:c>
      <x:c r="H4082" s="43" t="n">
        <x:v>1</x:v>
      </x:c>
      <x:c r="I4082" s="34" t="str">
        <x:v>generated design-reference observation; not predicted tract behavior</x:v>
      </x:c>
    </x:row>
    <x:row r="4083" ht="75.5999984741211" hidden="0" customHeight="1">
      <x:c r="A4083" s="36" t="str">
        <x:v>H3</x:v>
      </x:c>
      <x:c r="B4083" s="36" t="str">
        <x:v>48201454304</x:v>
      </x:c>
      <x:c r="C4083" s="66" t="n">
        <x:v>477.5289572586883</x:v>
      </x:c>
      <x:c r="D4083" s="66" t="n">
        <x:v>424.0901858989355</x:v>
      </x:c>
      <x:c r="E4083" s="66" t="n">
        <x:v>53.43877135975282</x:v>
      </x:c>
      <x:c r="F4083" s="66" t="n">
        <x:v>53.43877135975282</x:v>
      </x:c>
      <x:c r="G4083" s="66" t="n">
        <x:v>477.5289572586883</x:v>
      </x:c>
      <x:c r="H4083" s="45" t="n">
        <x:v>1</x:v>
      </x:c>
      <x:c r="I4083" s="36" t="str">
        <x:v>generated design-reference observation; not predicted tract behavior</x:v>
      </x:c>
    </x:row>
    <x:row r="4084" ht="75.5999984741211" hidden="0" customHeight="1">
      <x:c r="A4084" s="34" t="str">
        <x:v>H3</x:v>
      </x:c>
      <x:c r="B4084" s="34" t="str">
        <x:v>48201454305</x:v>
      </x:c>
      <x:c r="C4084" s="65" t="n">
        <x:v>282.03115807417583</x:v>
      </x:c>
      <x:c r="D4084" s="65" t="n">
        <x:v>250.8863630113402</x:v>
      </x:c>
      <x:c r="E4084" s="65" t="n">
        <x:v>31.14479506283564</x:v>
      </x:c>
      <x:c r="F4084" s="65" t="n">
        <x:v>31.14479506283564</x:v>
      </x:c>
      <x:c r="G4084" s="65" t="n">
        <x:v>282.03115807417583</x:v>
      </x:c>
      <x:c r="H4084" s="43" t="n">
        <x:v>1</x:v>
      </x:c>
      <x:c r="I4084" s="34" t="str">
        <x:v>generated design-reference observation; not predicted tract behavior</x:v>
      </x:c>
    </x:row>
    <x:row r="4085" ht="75.5999984741211" hidden="0" customHeight="1">
      <x:c r="A4085" s="36" t="str">
        <x:v>H3</x:v>
      </x:c>
      <x:c r="B4085" s="36" t="str">
        <x:v>48201454400</x:v>
      </x:c>
      <x:c r="C4085" s="66" t="n">
        <x:v>172.2614188619714</x:v>
      </x:c>
      <x:c r="D4085" s="66" t="n">
        <x:v>72.21567810305687</x:v>
      </x:c>
      <x:c r="E4085" s="66" t="n">
        <x:v>100.04574075891453</x:v>
      </x:c>
      <x:c r="F4085" s="66" t="n">
        <x:v>100.04574075891453</x:v>
      </x:c>
      <x:c r="G4085" s="66" t="n">
        <x:v>172.2614188619714</x:v>
      </x:c>
      <x:c r="H4085" s="45" t="n">
        <x:v>1</x:v>
      </x:c>
      <x:c r="I4085" s="36" t="str">
        <x:v>generated design-reference observation; not predicted tract behavior</x:v>
      </x:c>
    </x:row>
    <x:row r="4086" ht="75.5999984741211" hidden="0" customHeight="1">
      <x:c r="A4086" s="34" t="str">
        <x:v>H3</x:v>
      </x:c>
      <x:c r="B4086" s="34" t="str">
        <x:v>48201454502</x:v>
      </x:c>
      <x:c r="C4086" s="65" t="n">
        <x:v>377.7867614723483</x:v>
      </x:c>
      <x:c r="D4086" s="65" t="n">
        <x:v>161.50384052942886</x:v>
      </x:c>
      <x:c r="E4086" s="65" t="n">
        <x:v>216.28292094291945</x:v>
      </x:c>
      <x:c r="F4086" s="65" t="n">
        <x:v>216.28292094291945</x:v>
      </x:c>
      <x:c r="G4086" s="65" t="n">
        <x:v>377.7867614723483</x:v>
      </x:c>
      <x:c r="H4086" s="43" t="n">
        <x:v>1</x:v>
      </x:c>
      <x:c r="I4086" s="34" t="str">
        <x:v>generated design-reference observation; not predicted tract behavior</x:v>
      </x:c>
    </x:row>
    <x:row r="4087" ht="75.5999984741211" hidden="0" customHeight="1">
      <x:c r="A4087" s="36" t="str">
        <x:v>H3</x:v>
      </x:c>
      <x:c r="B4087" s="36" t="str">
        <x:v>48201454503</x:v>
      </x:c>
      <x:c r="C4087" s="66" t="n">
        <x:v>217.57913177311465</x:v>
      </x:c>
      <x:c r="D4087" s="66" t="n">
        <x:v>194.29816467339137</x:v>
      </x:c>
      <x:c r="E4087" s="66" t="n">
        <x:v>23.280967099723284</x:v>
      </x:c>
      <x:c r="F4087" s="66" t="n">
        <x:v>23.280967099723284</x:v>
      </x:c>
      <x:c r="G4087" s="66" t="n">
        <x:v>217.57913177311465</x:v>
      </x:c>
      <x:c r="H4087" s="45" t="n">
        <x:v>1</x:v>
      </x:c>
      <x:c r="I4087" s="36" t="str">
        <x:v>generated design-reference observation; not predicted tract behavior</x:v>
      </x:c>
    </x:row>
    <x:row r="4088" ht="75.5999984741211" hidden="0" customHeight="1">
      <x:c r="A4088" s="34" t="str">
        <x:v>H3</x:v>
      </x:c>
      <x:c r="B4088" s="34" t="str">
        <x:v>48201454504</x:v>
      </x:c>
      <x:c r="C4088" s="65" t="n">
        <x:v>904.1608464569757</x:v>
      </x:c>
      <x:c r="D4088" s="65" t="n">
        <x:v>385.35473315820184</x:v>
      </x:c>
      <x:c r="E4088" s="65" t="n">
        <x:v>518.8061132987739</x:v>
      </x:c>
      <x:c r="F4088" s="65" t="n">
        <x:v>518.8061132987739</x:v>
      </x:c>
      <x:c r="G4088" s="65" t="n">
        <x:v>904.1608464569757</x:v>
      </x:c>
      <x:c r="H4088" s="43" t="n">
        <x:v>1</x:v>
      </x:c>
      <x:c r="I4088" s="34" t="str">
        <x:v>generated design-reference observation; not predicted tract behavior</x:v>
      </x:c>
    </x:row>
    <x:row r="4089" ht="75.5999984741211" hidden="0" customHeight="1">
      <x:c r="A4089" s="36" t="str">
        <x:v>H3</x:v>
      </x:c>
      <x:c r="B4089" s="36" t="str">
        <x:v>48201454505</x:v>
      </x:c>
      <x:c r="C4089" s="66" t="n">
        <x:v>196.02438729038064</x:v>
      </x:c>
      <x:c r="D4089" s="66" t="n">
        <x:v>175.0497778503099</x:v>
      </x:c>
      <x:c r="E4089" s="66" t="n">
        <x:v>20.974609440070736</x:v>
      </x:c>
      <x:c r="F4089" s="66" t="n">
        <x:v>20.974609440070736</x:v>
      </x:c>
      <x:c r="G4089" s="66" t="n">
        <x:v>196.02438729038064</x:v>
      </x:c>
      <x:c r="H4089" s="45" t="n">
        <x:v>1</x:v>
      </x:c>
      <x:c r="I4089" s="36" t="str">
        <x:v>generated design-reference observation; not predicted tract behavior</x:v>
      </x:c>
    </x:row>
    <x:row r="4090" ht="75.5999984741211" hidden="0" customHeight="1">
      <x:c r="A4090" s="34" t="str">
        <x:v>H3</x:v>
      </x:c>
      <x:c r="B4090" s="34" t="str">
        <x:v>48201454600</x:v>
      </x:c>
      <x:c r="C4090" s="65" t="n">
        <x:v>425.01161810330876</x:v>
      </x:c>
      <x:c r="D4090" s="65" t="n">
        <x:v>377.21565475446096</x:v>
      </x:c>
      <x:c r="E4090" s="65" t="n">
        <x:v>47.795963348847806</x:v>
      </x:c>
      <x:c r="F4090" s="65" t="n">
        <x:v>47.795963348847806</x:v>
      </x:c>
      <x:c r="G4090" s="65" t="n">
        <x:v>425.01161810330876</x:v>
      </x:c>
      <x:c r="H4090" s="43" t="n">
        <x:v>1</x:v>
      </x:c>
      <x:c r="I4090" s="34" t="str">
        <x:v>generated design-reference observation; not predicted tract behavior</x:v>
      </x:c>
    </x:row>
    <x:row r="4091" ht="75.5999984741211" hidden="0" customHeight="1">
      <x:c r="A4091" s="36" t="str">
        <x:v>H3</x:v>
      </x:c>
      <x:c r="B4091" s="36" t="str">
        <x:v>48201454700</x:v>
      </x:c>
      <x:c r="C4091" s="66" t="n">
        <x:v>606.0793312822426</x:v>
      </x:c>
      <x:c r="D4091" s="66" t="n">
        <x:v>541.0342538698092</x:v>
      </x:c>
      <x:c r="E4091" s="66" t="n">
        <x:v>65.04507741243344</x:v>
      </x:c>
      <x:c r="F4091" s="66" t="n">
        <x:v>65.04507741243344</x:v>
      </x:c>
      <x:c r="G4091" s="66" t="n">
        <x:v>606.0793312822426</x:v>
      </x:c>
      <x:c r="H4091" s="45" t="n">
        <x:v>1</x:v>
      </x:c>
      <x:c r="I4091" s="36" t="str">
        <x:v>generated design-reference observation; not predicted tract behavior</x:v>
      </x:c>
    </x:row>
    <x:row r="4092" ht="75.5999984741211" hidden="0" customHeight="1">
      <x:c r="A4092" s="34" t="str">
        <x:v>H3</x:v>
      </x:c>
      <x:c r="B4092" s="34" t="str">
        <x:v>48201454801</x:v>
      </x:c>
      <x:c r="C4092" s="65" t="n">
        <x:v>330.3357923826109</x:v>
      </x:c>
      <x:c r="D4092" s="65" t="n">
        <x:v>292.3372644598481</x:v>
      </x:c>
      <x:c r="E4092" s="65" t="n">
        <x:v>37.99852792276283</x:v>
      </x:c>
      <x:c r="F4092" s="65" t="n">
        <x:v>37.99852792276283</x:v>
      </x:c>
      <x:c r="G4092" s="65" t="n">
        <x:v>330.3357923826109</x:v>
      </x:c>
      <x:c r="H4092" s="43" t="n">
        <x:v>1</x:v>
      </x:c>
      <x:c r="I4092" s="34" t="str">
        <x:v>generated design-reference observation; not predicted tract behavior</x:v>
      </x:c>
    </x:row>
    <x:row r="4093" ht="75.5999984741211" hidden="0" customHeight="1">
      <x:c r="A4093" s="36" t="str">
        <x:v>H3</x:v>
      </x:c>
      <x:c r="B4093" s="36" t="str">
        <x:v>48201454802</x:v>
      </x:c>
      <x:c r="C4093" s="66" t="n">
        <x:v>348.34982131767975</x:v>
      </x:c>
      <x:c r="D4093" s="66" t="n">
        <x:v>310.7042438346318</x:v>
      </x:c>
      <x:c r="E4093" s="66" t="n">
        <x:v>37.64557748304793</x:v>
      </x:c>
      <x:c r="F4093" s="66" t="n">
        <x:v>37.64557748304793</x:v>
      </x:c>
      <x:c r="G4093" s="66" t="n">
        <x:v>348.34982131767975</x:v>
      </x:c>
      <x:c r="H4093" s="45" t="n">
        <x:v>1</x:v>
      </x:c>
      <x:c r="I4093" s="36" t="str">
        <x:v>generated design-reference observation; not predicted tract behavior</x:v>
      </x:c>
    </x:row>
    <x:row r="4094" ht="75.5999984741211" hidden="0" customHeight="1">
      <x:c r="A4094" s="34" t="str">
        <x:v>H3</x:v>
      </x:c>
      <x:c r="B4094" s="34" t="str">
        <x:v>48201454901</x:v>
      </x:c>
      <x:c r="C4094" s="65" t="n">
        <x:v>192.34613007327235</x:v>
      </x:c>
      <x:c r="D4094" s="65" t="n">
        <x:v>171.4684636544403</x:v>
      </x:c>
      <x:c r="E4094" s="65" t="n">
        <x:v>20.877666418832035</x:v>
      </x:c>
      <x:c r="F4094" s="65" t="n">
        <x:v>20.877666418832035</x:v>
      </x:c>
      <x:c r="G4094" s="65" t="n">
        <x:v>192.34613007327235</x:v>
      </x:c>
      <x:c r="H4094" s="43" t="n">
        <x:v>1</x:v>
      </x:c>
      <x:c r="I4094" s="34" t="str">
        <x:v>generated design-reference observation; not predicted tract behavior</x:v>
      </x:c>
    </x:row>
    <x:row r="4095" ht="75.5999984741211" hidden="0" customHeight="1">
      <x:c r="A4095" s="36" t="str">
        <x:v>H3</x:v>
      </x:c>
      <x:c r="B4095" s="36" t="str">
        <x:v>48201454902</x:v>
      </x:c>
      <x:c r="C4095" s="66" t="n">
        <x:v>683.8336018994487</x:v>
      </x:c>
      <x:c r="D4095" s="66" t="n">
        <x:v>607.9292898744762</x:v>
      </x:c>
      <x:c r="E4095" s="66" t="n">
        <x:v>75.90431202497246</x:v>
      </x:c>
      <x:c r="F4095" s="66" t="n">
        <x:v>75.90431202497246</x:v>
      </x:c>
      <x:c r="G4095" s="66" t="n">
        <x:v>683.8336018994487</x:v>
      </x:c>
      <x:c r="H4095" s="45" t="n">
        <x:v>1</x:v>
      </x:c>
      <x:c r="I4095" s="36" t="str">
        <x:v>generated design-reference observation; not predicted tract behavior</x:v>
      </x:c>
    </x:row>
    <x:row r="4096" ht="75.5999984741211" hidden="0" customHeight="1">
      <x:c r="A4096" s="34" t="str">
        <x:v>H3</x:v>
      </x:c>
      <x:c r="B4096" s="34" t="str">
        <x:v>48201455000</x:v>
      </x:c>
      <x:c r="C4096" s="65" t="n">
        <x:v>289.23048202902885</x:v>
      </x:c>
      <x:c r="D4096" s="65" t="n">
        <x:v>256.98471508488456</x:v>
      </x:c>
      <x:c r="E4096" s="65" t="n">
        <x:v>32.24576694414429</x:v>
      </x:c>
      <x:c r="F4096" s="65" t="n">
        <x:v>32.24576694414429</x:v>
      </x:c>
      <x:c r="G4096" s="65" t="n">
        <x:v>289.23048202902885</x:v>
      </x:c>
      <x:c r="H4096" s="43" t="n">
        <x:v>1</x:v>
      </x:c>
      <x:c r="I4096" s="34" t="str">
        <x:v>generated design-reference observation; not predicted tract behavior</x:v>
      </x:c>
    </x:row>
    <x:row r="4097" ht="75.5999984741211" hidden="0" customHeight="1">
      <x:c r="A4097" s="36" t="str">
        <x:v>H3</x:v>
      </x:c>
      <x:c r="B4097" s="36" t="str">
        <x:v>48201455102</x:v>
      </x:c>
      <x:c r="C4097" s="66" t="n">
        <x:v>230.88137608925956</x:v>
      </x:c>
      <x:c r="D4097" s="66" t="n">
        <x:v>206.17706884770877</x:v>
      </x:c>
      <x:c r="E4097" s="66" t="n">
        <x:v>24.704307241550794</x:v>
      </x:c>
      <x:c r="F4097" s="66" t="n">
        <x:v>24.704307241550794</x:v>
      </x:c>
      <x:c r="G4097" s="66" t="n">
        <x:v>230.88137608925956</x:v>
      </x:c>
      <x:c r="H4097" s="45" t="n">
        <x:v>1</x:v>
      </x:c>
      <x:c r="I4097" s="36" t="str">
        <x:v>generated design-reference observation; not predicted tract behavior</x:v>
      </x:c>
    </x:row>
    <x:row r="4098" ht="75.5999984741211" hidden="0" customHeight="1">
      <x:c r="A4098" s="34" t="str">
        <x:v>H3</x:v>
      </x:c>
      <x:c r="B4098" s="34" t="str">
        <x:v>48201455103</x:v>
      </x:c>
      <x:c r="C4098" s="65" t="n">
        <x:v>303.6291299387348</x:v>
      </x:c>
      <x:c r="D4098" s="65" t="n">
        <x:v>271.1408130352902</x:v>
      </x:c>
      <x:c r="E4098" s="65" t="n">
        <x:v>32.48831690344463</x:v>
      </x:c>
      <x:c r="F4098" s="65" t="n">
        <x:v>32.48831690344463</x:v>
      </x:c>
      <x:c r="G4098" s="65" t="n">
        <x:v>303.6291299387348</x:v>
      </x:c>
      <x:c r="H4098" s="43" t="n">
        <x:v>1</x:v>
      </x:c>
      <x:c r="I4098" s="34" t="str">
        <x:v>generated design-reference observation; not predicted tract behavior</x:v>
      </x:c>
    </x:row>
    <x:row r="4099" ht="75.5999984741211" hidden="0" customHeight="1">
      <x:c r="A4099" s="36" t="str">
        <x:v>H3</x:v>
      </x:c>
      <x:c r="B4099" s="36" t="str">
        <x:v>48201455104</x:v>
      </x:c>
      <x:c r="C4099" s="66" t="n">
        <x:v>274.2580888696457</x:v>
      </x:c>
      <x:c r="D4099" s="66" t="n">
        <x:v>244.59319802403442</x:v>
      </x:c>
      <x:c r="E4099" s="66" t="n">
        <x:v>29.664890845611268</x:v>
      </x:c>
      <x:c r="F4099" s="66" t="n">
        <x:v>29.664890845611268</x:v>
      </x:c>
      <x:c r="G4099" s="66" t="n">
        <x:v>274.2580888696457</x:v>
      </x:c>
      <x:c r="H4099" s="45" t="n">
        <x:v>1</x:v>
      </x:c>
      <x:c r="I4099" s="36" t="str">
        <x:v>generated design-reference observation; not predicted tract behavior</x:v>
      </x:c>
    </x:row>
    <x:row r="4100" ht="75.5999984741211" hidden="0" customHeight="1">
      <x:c r="A4100" s="34" t="str">
        <x:v>H3</x:v>
      </x:c>
      <x:c r="B4100" s="34" t="str">
        <x:v>48201455200</x:v>
      </x:c>
      <x:c r="C4100" s="65" t="n">
        <x:v>337.9438115838092</x:v>
      </x:c>
      <x:c r="D4100" s="65" t="n">
        <x:v>301.74593500313074</x:v>
      </x:c>
      <x:c r="E4100" s="65" t="n">
        <x:v>36.19787658067844</x:v>
      </x:c>
      <x:c r="F4100" s="65" t="n">
        <x:v>36.19787658067844</x:v>
      </x:c>
      <x:c r="G4100" s="65" t="n">
        <x:v>337.9438115838092</x:v>
      </x:c>
      <x:c r="H4100" s="43" t="n">
        <x:v>1</x:v>
      </x:c>
      <x:c r="I4100" s="34" t="str">
        <x:v>generated design-reference observation; not predicted tract behavior</x:v>
      </x:c>
    </x:row>
    <x:row r="4101" ht="75.5999984741211" hidden="0" customHeight="1">
      <x:c r="A4101" s="36" t="str">
        <x:v>H3</x:v>
      </x:c>
      <x:c r="B4101" s="36" t="str">
        <x:v>48201455300</x:v>
      </x:c>
      <x:c r="C4101" s="66" t="n">
        <x:v>1065.7396607992735</x:v>
      </x:c>
      <x:c r="D4101" s="66" t="n">
        <x:v>943.7062548382436</x:v>
      </x:c>
      <x:c r="E4101" s="66" t="n">
        <x:v>122.03340596102987</x:v>
      </x:c>
      <x:c r="F4101" s="66" t="n">
        <x:v>122.03340596102987</x:v>
      </x:c>
      <x:c r="G4101" s="66" t="n">
        <x:v>1065.7396607992735</x:v>
      </x:c>
      <x:c r="H4101" s="45" t="n">
        <x:v>1</x:v>
      </x:c>
      <x:c r="I4101" s="36" t="str">
        <x:v>generated design-reference observation; not predicted tract behavior</x:v>
      </x:c>
    </x:row>
    <x:row r="4102" ht="75.5999984741211" hidden="0" customHeight="1">
      <x:c r="A4102" s="34" t="str">
        <x:v>H3</x:v>
      </x:c>
      <x:c r="B4102" s="34" t="str">
        <x:v>48201510100</x:v>
      </x:c>
      <x:c r="C4102" s="65" t="n">
        <x:v>246.78119307688792</x:v>
      </x:c>
      <x:c r="D4102" s="65" t="n">
        <x:v>219.30148250460505</x:v>
      </x:c>
      <x:c r="E4102" s="65" t="n">
        <x:v>27.47971057228287</x:v>
      </x:c>
      <x:c r="F4102" s="65" t="n">
        <x:v>27.47971057228287</x:v>
      </x:c>
      <x:c r="G4102" s="65" t="n">
        <x:v>246.78119307688792</x:v>
      </x:c>
      <x:c r="H4102" s="43" t="n">
        <x:v>1</x:v>
      </x:c>
      <x:c r="I4102" s="34" t="str">
        <x:v>generated design-reference observation; not predicted tract behavior</x:v>
      </x:c>
    </x:row>
    <x:row r="4103" ht="75.5999984741211" hidden="0" customHeight="1">
      <x:c r="A4103" s="36" t="str">
        <x:v>H3</x:v>
      </x:c>
      <x:c r="B4103" s="36" t="str">
        <x:v>48201510201</x:v>
      </x:c>
      <x:c r="C4103" s="66" t="n">
        <x:v>194.72756583563088</x:v>
      </x:c>
      <x:c r="D4103" s="66" t="n">
        <x:v>170.91071544051178</x:v>
      </x:c>
      <x:c r="E4103" s="66" t="n">
        <x:v>23.816850395119104</x:v>
      </x:c>
      <x:c r="F4103" s="66" t="n">
        <x:v>23.816850395119104</x:v>
      </x:c>
      <x:c r="G4103" s="66" t="n">
        <x:v>194.72756583563088</x:v>
      </x:c>
      <x:c r="H4103" s="45" t="n">
        <x:v>1</x:v>
      </x:c>
      <x:c r="I4103" s="36" t="str">
        <x:v>generated design-reference observation; not predicted tract behavior</x:v>
      </x:c>
    </x:row>
    <x:row r="4104" ht="75.5999984741211" hidden="0" customHeight="1">
      <x:c r="A4104" s="34" t="str">
        <x:v>H3</x:v>
      </x:c>
      <x:c r="B4104" s="34" t="str">
        <x:v>48201510202</x:v>
      </x:c>
      <x:c r="C4104" s="65" t="n">
        <x:v>528.5844249559865</x:v>
      </x:c>
      <x:c r="D4104" s="65" t="n">
        <x:v>466.30565804168754</x:v>
      </x:c>
      <x:c r="E4104" s="65" t="n">
        <x:v>62.278766914298956</x:v>
      </x:c>
      <x:c r="F4104" s="65" t="n">
        <x:v>62.278766914298956</x:v>
      </x:c>
      <x:c r="G4104" s="65" t="n">
        <x:v>528.5844249559865</x:v>
      </x:c>
      <x:c r="H4104" s="43" t="n">
        <x:v>1</x:v>
      </x:c>
      <x:c r="I4104" s="34" t="str">
        <x:v>generated design-reference observation; not predicted tract behavior</x:v>
      </x:c>
    </x:row>
    <x:row r="4105" ht="75.5999984741211" hidden="0" customHeight="1">
      <x:c r="A4105" s="36" t="str">
        <x:v>H3</x:v>
      </x:c>
      <x:c r="B4105" s="36" t="str">
        <x:v>48201510301</x:v>
      </x:c>
      <x:c r="C4105" s="66" t="n">
        <x:v>504.98529737337554</x:v>
      </x:c>
      <x:c r="D4105" s="66" t="n">
        <x:v>391.35378510174</x:v>
      </x:c>
      <x:c r="E4105" s="66" t="n">
        <x:v>113.63151227163553</x:v>
      </x:c>
      <x:c r="F4105" s="66" t="n">
        <x:v>113.63151227163553</x:v>
      </x:c>
      <x:c r="G4105" s="66" t="n">
        <x:v>504.98529737337554</x:v>
      </x:c>
      <x:c r="H4105" s="45" t="n">
        <x:v>1</x:v>
      </x:c>
      <x:c r="I4105" s="36" t="str">
        <x:v>generated design-reference observation; not predicted tract behavior</x:v>
      </x:c>
    </x:row>
    <x:row r="4106" ht="75.5999984741211" hidden="0" customHeight="1">
      <x:c r="A4106" s="34" t="str">
        <x:v>H3</x:v>
      </x:c>
      <x:c r="B4106" s="34" t="str">
        <x:v>48201510302</x:v>
      </x:c>
      <x:c r="C4106" s="65" t="n">
        <x:v>275.76711747153627</x:v>
      </x:c>
      <x:c r="D4106" s="65" t="n">
        <x:v>246.1486780047101</x:v>
      </x:c>
      <x:c r="E4106" s="65" t="n">
        <x:v>29.618439466826175</x:v>
      </x:c>
      <x:c r="F4106" s="65" t="n">
        <x:v>29.618439466826175</x:v>
      </x:c>
      <x:c r="G4106" s="65" t="n">
        <x:v>275.76711747153627</x:v>
      </x:c>
      <x:c r="H4106" s="43" t="n">
        <x:v>1</x:v>
      </x:c>
      <x:c r="I4106" s="34" t="str">
        <x:v>generated design-reference observation; not predicted tract behavior</x:v>
      </x:c>
    </x:row>
    <x:row r="4107" ht="75.5999984741211" hidden="0" customHeight="1">
      <x:c r="A4107" s="36" t="str">
        <x:v>H3</x:v>
      </x:c>
      <x:c r="B4107" s="36" t="str">
        <x:v>48201510400</x:v>
      </x:c>
      <x:c r="C4107" s="66" t="n">
        <x:v>306.71006333426146</x:v>
      </x:c>
      <x:c r="D4107" s="66" t="n">
        <x:v>272.9795696508057</x:v>
      </x:c>
      <x:c r="E4107" s="66" t="n">
        <x:v>33.73049368345579</x:v>
      </x:c>
      <x:c r="F4107" s="66" t="n">
        <x:v>33.73049368345579</x:v>
      </x:c>
      <x:c r="G4107" s="66" t="n">
        <x:v>306.71006333426146</x:v>
      </x:c>
      <x:c r="H4107" s="45" t="n">
        <x:v>1</x:v>
      </x:c>
      <x:c r="I4107" s="36" t="str">
        <x:v>generated design-reference observation; not predicted tract behavior</x:v>
      </x:c>
    </x:row>
    <x:row r="4108" ht="75.5999984741211" hidden="0" customHeight="1">
      <x:c r="A4108" s="34" t="str">
        <x:v>H3</x:v>
      </x:c>
      <x:c r="B4108" s="34" t="str">
        <x:v>48201510500</x:v>
      </x:c>
      <x:c r="C4108" s="65" t="n">
        <x:v>404.60829388191314</x:v>
      </x:c>
      <x:c r="D4108" s="65" t="n">
        <x:v>358.1716477124495</x:v>
      </x:c>
      <x:c r="E4108" s="65" t="n">
        <x:v>46.43664616946364</x:v>
      </x:c>
      <x:c r="F4108" s="65" t="n">
        <x:v>46.43664616946364</x:v>
      </x:c>
      <x:c r="G4108" s="65" t="n">
        <x:v>404.60829388191314</x:v>
      </x:c>
      <x:c r="H4108" s="43" t="n">
        <x:v>1</x:v>
      </x:c>
      <x:c r="I4108" s="34" t="str">
        <x:v>generated design-reference observation; not predicted tract behavior</x:v>
      </x:c>
    </x:row>
    <x:row r="4109" ht="75.5999984741211" hidden="0" customHeight="1">
      <x:c r="A4109" s="36" t="str">
        <x:v>H3</x:v>
      </x:c>
      <x:c r="B4109" s="36" t="str">
        <x:v>48201510601</x:v>
      </x:c>
      <x:c r="C4109" s="66" t="n">
        <x:v>272.80407693553235</x:v>
      </x:c>
      <x:c r="D4109" s="66" t="n">
        <x:v>241.67393649725744</x:v>
      </x:c>
      <x:c r="E4109" s="66" t="n">
        <x:v>31.130140438274907</x:v>
      </x:c>
      <x:c r="F4109" s="66" t="n">
        <x:v>31.130140438274907</x:v>
      </x:c>
      <x:c r="G4109" s="66" t="n">
        <x:v>272.80407693553235</x:v>
      </x:c>
      <x:c r="H4109" s="45" t="n">
        <x:v>1</x:v>
      </x:c>
      <x:c r="I4109" s="36" t="str">
        <x:v>generated design-reference observation; not predicted tract behavior</x:v>
      </x:c>
    </x:row>
    <x:row r="4110" ht="75.5999984741211" hidden="0" customHeight="1">
      <x:c r="A4110" s="34" t="str">
        <x:v>H3</x:v>
      </x:c>
      <x:c r="B4110" s="34" t="str">
        <x:v>48201510602</x:v>
      </x:c>
      <x:c r="C4110" s="65" t="n">
        <x:v>363.4086692407129</x:v>
      </x:c>
      <x:c r="D4110" s="65" t="n">
        <x:v>322.07866129894035</x:v>
      </x:c>
      <x:c r="E4110" s="65" t="n">
        <x:v>41.33000794177258</x:v>
      </x:c>
      <x:c r="F4110" s="65" t="n">
        <x:v>41.33000794177258</x:v>
      </x:c>
      <x:c r="G4110" s="65" t="n">
        <x:v>363.4086692407129</x:v>
      </x:c>
      <x:c r="H4110" s="43" t="n">
        <x:v>1</x:v>
      </x:c>
      <x:c r="I4110" s="34" t="str">
        <x:v>generated design-reference observation; not predicted tract behavior</x:v>
      </x:c>
    </x:row>
    <x:row r="4111" ht="75.5999984741211" hidden="0" customHeight="1">
      <x:c r="A4111" s="36" t="str">
        <x:v>H3</x:v>
      </x:c>
      <x:c r="B4111" s="36" t="str">
        <x:v>48201510701</x:v>
      </x:c>
      <x:c r="C4111" s="66" t="n">
        <x:v>173.1610320669446</x:v>
      </x:c>
      <x:c r="D4111" s="66" t="n">
        <x:v>152.42033231354122</x:v>
      </x:c>
      <x:c r="E4111" s="66" t="n">
        <x:v>20.74069975340339</x:v>
      </x:c>
      <x:c r="F4111" s="66" t="n">
        <x:v>20.74069975340339</x:v>
      </x:c>
      <x:c r="G4111" s="66" t="n">
        <x:v>173.1610320669446</x:v>
      </x:c>
      <x:c r="H4111" s="45" t="n">
        <x:v>1</x:v>
      </x:c>
      <x:c r="I4111" s="36" t="str">
        <x:v>generated design-reference observation; not predicted tract behavior</x:v>
      </x:c>
    </x:row>
    <x:row r="4112" ht="75.5999984741211" hidden="0" customHeight="1">
      <x:c r="A4112" s="34" t="str">
        <x:v>H3</x:v>
      </x:c>
      <x:c r="B4112" s="34" t="str">
        <x:v>48201510702</x:v>
      </x:c>
      <x:c r="C4112" s="65" t="n">
        <x:v>163.28161043894224</x:v>
      </x:c>
      <x:c r="D4112" s="65" t="n">
        <x:v>145.8104781219754</x:v>
      </x:c>
      <x:c r="E4112" s="65" t="n">
        <x:v>17.471132316966845</x:v>
      </x:c>
      <x:c r="F4112" s="65" t="n">
        <x:v>17.471132316966845</x:v>
      </x:c>
      <x:c r="G4112" s="65" t="n">
        <x:v>163.28161043894224</x:v>
      </x:c>
      <x:c r="H4112" s="43" t="n">
        <x:v>1</x:v>
      </x:c>
      <x:c r="I4112" s="34" t="str">
        <x:v>generated design-reference observation; not predicted tract behavior</x:v>
      </x:c>
    </x:row>
    <x:row r="4113" ht="75.5999984741211" hidden="0" customHeight="1">
      <x:c r="A4113" s="36" t="str">
        <x:v>H3</x:v>
      </x:c>
      <x:c r="B4113" s="36" t="str">
        <x:v>48201510801</x:v>
      </x:c>
      <x:c r="C4113" s="66" t="n">
        <x:v>360.95649776264077</x:v>
      </x:c>
      <x:c r="D4113" s="66" t="n">
        <x:v>320.25062375962955</x:v>
      </x:c>
      <x:c r="E4113" s="66" t="n">
        <x:v>40.70587400301122</x:v>
      </x:c>
      <x:c r="F4113" s="66" t="n">
        <x:v>40.70587400301122</x:v>
      </x:c>
      <x:c r="G4113" s="66" t="n">
        <x:v>360.95649776264077</x:v>
      </x:c>
      <x:c r="H4113" s="45" t="n">
        <x:v>1</x:v>
      </x:c>
      <x:c r="I4113" s="36" t="str">
        <x:v>generated design-reference observation; not predicted tract behavior</x:v>
      </x:c>
    </x:row>
    <x:row r="4114" ht="75.5999984741211" hidden="0" customHeight="1">
      <x:c r="A4114" s="34" t="str">
        <x:v>H3</x:v>
      </x:c>
      <x:c r="B4114" s="34" t="str">
        <x:v>48201510802</x:v>
      </x:c>
      <x:c r="C4114" s="65" t="n">
        <x:v>223.97285452122915</x:v>
      </x:c>
      <x:c r="D4114" s="65" t="n">
        <x:v>199.24155383483557</x:v>
      </x:c>
      <x:c r="E4114" s="65" t="n">
        <x:v>24.73130068639358</x:v>
      </x:c>
      <x:c r="F4114" s="65" t="n">
        <x:v>24.73130068639358</x:v>
      </x:c>
      <x:c r="G4114" s="65" t="n">
        <x:v>223.97285452122915</x:v>
      </x:c>
      <x:c r="H4114" s="43" t="n">
        <x:v>1</x:v>
      </x:c>
      <x:c r="I4114" s="34" t="str">
        <x:v>generated design-reference observation; not predicted tract behavior</x:v>
      </x:c>
    </x:row>
    <x:row r="4115" ht="75.5999984741211" hidden="0" customHeight="1">
      <x:c r="A4115" s="36" t="str">
        <x:v>H3</x:v>
      </x:c>
      <x:c r="B4115" s="36" t="str">
        <x:v>48201510803</x:v>
      </x:c>
      <x:c r="C4115" s="66" t="n">
        <x:v>352.4440287263348</x:v>
      </x:c>
      <x:c r="D4115" s="66" t="n">
        <x:v>271.1466304153277</x:v>
      </x:c>
      <x:c r="E4115" s="66" t="n">
        <x:v>81.2973983110071</x:v>
      </x:c>
      <x:c r="F4115" s="66" t="n">
        <x:v>81.2973983110071</x:v>
      </x:c>
      <x:c r="G4115" s="66" t="n">
        <x:v>352.4440287263348</x:v>
      </x:c>
      <x:c r="H4115" s="45" t="n">
        <x:v>1</x:v>
      </x:c>
      <x:c r="I4115" s="36" t="str">
        <x:v>generated design-reference observation; not predicted tract behavior</x:v>
      </x:c>
    </x:row>
    <x:row r="4116" ht="75.5999984741211" hidden="0" customHeight="1">
      <x:c r="A4116" s="34" t="str">
        <x:v>H3</x:v>
      </x:c>
      <x:c r="B4116" s="34" t="str">
        <x:v>48201510901</x:v>
      </x:c>
      <x:c r="C4116" s="65" t="n">
        <x:v>907.1825311333577</x:v>
      </x:c>
      <x:c r="D4116" s="65" t="n">
        <x:v>706.6951917528856</x:v>
      </x:c>
      <x:c r="E4116" s="65" t="n">
        <x:v>200.487339380472</x:v>
      </x:c>
      <x:c r="F4116" s="65" t="n">
        <x:v>200.487339380472</x:v>
      </x:c>
      <x:c r="G4116" s="65" t="n">
        <x:v>907.1825311333577</x:v>
      </x:c>
      <x:c r="H4116" s="43" t="n">
        <x:v>1</x:v>
      </x:c>
      <x:c r="I4116" s="34" t="str">
        <x:v>generated design-reference observation; not predicted tract behavior</x:v>
      </x:c>
    </x:row>
    <x:row r="4117" ht="75.5999984741211" hidden="0" customHeight="1">
      <x:c r="A4117" s="36" t="str">
        <x:v>H3</x:v>
      </x:c>
      <x:c r="B4117" s="36" t="str">
        <x:v>48201510902</x:v>
      </x:c>
      <x:c r="C4117" s="66" t="n">
        <x:v>456.4182758801566</x:v>
      </x:c>
      <x:c r="D4117" s="66" t="n">
        <x:v>404.20530651615496</x:v>
      </x:c>
      <x:c r="E4117" s="66" t="n">
        <x:v>52.21296936400165</x:v>
      </x:c>
      <x:c r="F4117" s="66" t="n">
        <x:v>52.21296936400165</x:v>
      </x:c>
      <x:c r="G4117" s="66" t="n">
        <x:v>456.4182758801566</x:v>
      </x:c>
      <x:c r="H4117" s="45" t="n">
        <x:v>1</x:v>
      </x:c>
      <x:c r="I4117" s="36" t="str">
        <x:v>generated design-reference observation; not predicted tract behavior</x:v>
      </x:c>
    </x:row>
    <x:row r="4118" ht="75.5999984741211" hidden="0" customHeight="1">
      <x:c r="A4118" s="34" t="str">
        <x:v>H3</x:v>
      </x:c>
      <x:c r="B4118" s="34" t="str">
        <x:v>48201511001</x:v>
      </x:c>
      <x:c r="C4118" s="65" t="n">
        <x:v>288.6410177314153</x:v>
      </x:c>
      <x:c r="D4118" s="65" t="n">
        <x:v>256.0222877227314</x:v>
      </x:c>
      <x:c r="E4118" s="65" t="n">
        <x:v>32.61873000868388</x:v>
      </x:c>
      <x:c r="F4118" s="65" t="n">
        <x:v>32.61873000868388</x:v>
      </x:c>
      <x:c r="G4118" s="65" t="n">
        <x:v>288.6410177314153</x:v>
      </x:c>
      <x:c r="H4118" s="43" t="n">
        <x:v>1</x:v>
      </x:c>
      <x:c r="I4118" s="34" t="str">
        <x:v>generated design-reference observation; not predicted tract behavior</x:v>
      </x:c>
    </x:row>
    <x:row r="4119" ht="75.5999984741211" hidden="0" customHeight="1">
      <x:c r="A4119" s="36" t="str">
        <x:v>H3</x:v>
      </x:c>
      <x:c r="B4119" s="36" t="str">
        <x:v>48201511003</x:v>
      </x:c>
      <x:c r="C4119" s="66" t="n">
        <x:v>151.6337959180993</x:v>
      </x:c>
      <x:c r="D4119" s="66" t="n">
        <x:v>134.424004805831</x:v>
      </x:c>
      <x:c r="E4119" s="66" t="n">
        <x:v>17.209791112268306</x:v>
      </x:c>
      <x:c r="F4119" s="66" t="n">
        <x:v>17.209791112268306</x:v>
      </x:c>
      <x:c r="G4119" s="66" t="n">
        <x:v>151.6337959180993</x:v>
      </x:c>
      <x:c r="H4119" s="45" t="n">
        <x:v>1</x:v>
      </x:c>
      <x:c r="I4119" s="36" t="str">
        <x:v>generated design-reference observation; not predicted tract behavior</x:v>
      </x:c>
    </x:row>
    <x:row r="4120" ht="75.5999984741211" hidden="0" customHeight="1">
      <x:c r="A4120" s="34" t="str">
        <x:v>H3</x:v>
      </x:c>
      <x:c r="B4120" s="34" t="str">
        <x:v>48201511004</x:v>
      </x:c>
      <x:c r="C4120" s="65" t="n">
        <x:v>263.08154349751015</x:v>
      </x:c>
      <x:c r="D4120" s="65" t="n">
        <x:v>203.34988310073163</x:v>
      </x:c>
      <x:c r="E4120" s="65" t="n">
        <x:v>59.73166039677852</x:v>
      </x:c>
      <x:c r="F4120" s="65" t="n">
        <x:v>59.73166039677852</x:v>
      </x:c>
      <x:c r="G4120" s="65" t="n">
        <x:v>263.08154349751015</x:v>
      </x:c>
      <x:c r="H4120" s="43" t="n">
        <x:v>1</x:v>
      </x:c>
      <x:c r="I4120" s="34" t="str">
        <x:v>generated design-reference observation; not predicted tract behavior</x:v>
      </x:c>
    </x:row>
    <x:row r="4121" ht="75.5999984741211" hidden="0" customHeight="1">
      <x:c r="A4121" s="36" t="str">
        <x:v>H3</x:v>
      </x:c>
      <x:c r="B4121" s="36" t="str">
        <x:v>48201511100</x:v>
      </x:c>
      <x:c r="C4121" s="66" t="n">
        <x:v>620.4689105104468</x:v>
      </x:c>
      <x:c r="D4121" s="66" t="n">
        <x:v>480.80715748045435</x:v>
      </x:c>
      <x:c r="E4121" s="66" t="n">
        <x:v>139.66175302999244</x:v>
      </x:c>
      <x:c r="F4121" s="66" t="n">
        <x:v>139.66175302999244</x:v>
      </x:c>
      <x:c r="G4121" s="66" t="n">
        <x:v>620.4689105104468</x:v>
      </x:c>
      <x:c r="H4121" s="45" t="n">
        <x:v>1</x:v>
      </x:c>
      <x:c r="I4121" s="36" t="str">
        <x:v>generated design-reference observation; not predicted tract behavior</x:v>
      </x:c>
    </x:row>
    <x:row r="4122" ht="75.5999984741211" hidden="0" customHeight="1">
      <x:c r="A4122" s="34" t="str">
        <x:v>H3</x:v>
      </x:c>
      <x:c r="B4122" s="34" t="str">
        <x:v>48201511201</x:v>
      </x:c>
      <x:c r="C4122" s="65" t="n">
        <x:v>496.4534818165324</x:v>
      </x:c>
      <x:c r="D4122" s="65" t="n">
        <x:v>211.71716846862725</x:v>
      </x:c>
      <x:c r="E4122" s="65" t="n">
        <x:v>284.73631334790514</x:v>
      </x:c>
      <x:c r="F4122" s="65" t="n">
        <x:v>284.73631334790514</x:v>
      </x:c>
      <x:c r="G4122" s="65" t="n">
        <x:v>496.4534818165324</x:v>
      </x:c>
      <x:c r="H4122" s="43" t="n">
        <x:v>1</x:v>
      </x:c>
      <x:c r="I4122" s="34" t="str">
        <x:v>generated design-reference observation; not predicted tract behavior</x:v>
      </x:c>
    </x:row>
    <x:row r="4123" ht="75.5999984741211" hidden="0" customHeight="1">
      <x:c r="A4123" s="36" t="str">
        <x:v>H3</x:v>
      </x:c>
      <x:c r="B4123" s="36" t="str">
        <x:v>48201511202</x:v>
      </x:c>
      <x:c r="C4123" s="66" t="n">
        <x:v>606.7068840421636</x:v>
      </x:c>
      <x:c r="D4123" s="66" t="n">
        <x:v>259.2033820693335</x:v>
      </x:c>
      <x:c r="E4123" s="66" t="n">
        <x:v>347.50350197283007</x:v>
      </x:c>
      <x:c r="F4123" s="66" t="n">
        <x:v>347.50350197283007</x:v>
      </x:c>
      <x:c r="G4123" s="66" t="n">
        <x:v>606.7068840421636</x:v>
      </x:c>
      <x:c r="H4123" s="45" t="n">
        <x:v>1</x:v>
      </x:c>
      <x:c r="I4123" s="36" t="str">
        <x:v>generated design-reference observation; not predicted tract behavior</x:v>
      </x:c>
    </x:row>
    <x:row r="4124" ht="75.5999984741211" hidden="0" customHeight="1">
      <x:c r="A4124" s="34" t="str">
        <x:v>H3</x:v>
      </x:c>
      <x:c r="B4124" s="34" t="str">
        <x:v>48201511301</x:v>
      </x:c>
      <x:c r="C4124" s="65" t="n">
        <x:v>408.3808653866395</x:v>
      </x:c>
      <x:c r="D4124" s="65" t="n">
        <x:v>362.9501730609718</x:v>
      </x:c>
      <x:c r="E4124" s="65" t="n">
        <x:v>45.430692325667735</x:v>
      </x:c>
      <x:c r="F4124" s="65" t="n">
        <x:v>45.430692325667735</x:v>
      </x:c>
      <x:c r="G4124" s="65" t="n">
        <x:v>408.3808653866395</x:v>
      </x:c>
      <x:c r="H4124" s="43" t="n">
        <x:v>1</x:v>
      </x:c>
      <x:c r="I4124" s="34" t="str">
        <x:v>generated design-reference observation; not predicted tract behavior</x:v>
      </x:c>
    </x:row>
    <x:row r="4125" ht="75.5999984741211" hidden="0" customHeight="1">
      <x:c r="A4125" s="36" t="str">
        <x:v>H3</x:v>
      </x:c>
      <x:c r="B4125" s="36" t="str">
        <x:v>48201511302</x:v>
      </x:c>
      <x:c r="C4125" s="66" t="n">
        <x:v>396.35579371532395</x:v>
      </x:c>
      <x:c r="D4125" s="66" t="n">
        <x:v>353.5025722311719</x:v>
      </x:c>
      <x:c r="E4125" s="66" t="n">
        <x:v>42.85322148415207</x:v>
      </x:c>
      <x:c r="F4125" s="66" t="n">
        <x:v>42.85322148415207</x:v>
      </x:c>
      <x:c r="G4125" s="66" t="n">
        <x:v>396.35579371532395</x:v>
      </x:c>
      <x:c r="H4125" s="45" t="n">
        <x:v>1</x:v>
      </x:c>
      <x:c r="I4125" s="36" t="str">
        <x:v>generated design-reference observation; not predicted tract behavior</x:v>
      </x:c>
    </x:row>
    <x:row r="4126" ht="75.5999984741211" hidden="0" customHeight="1">
      <x:c r="A4126" s="34" t="str">
        <x:v>H3</x:v>
      </x:c>
      <x:c r="B4126" s="34" t="str">
        <x:v>48201511400</x:v>
      </x:c>
      <x:c r="C4126" s="65" t="n">
        <x:v>216.8246174721694</x:v>
      </x:c>
      <x:c r="D4126" s="65" t="n">
        <x:v>193.38341779665276</x:v>
      </x:c>
      <x:c r="E4126" s="65" t="n">
        <x:v>23.44119967551663</x:v>
      </x:c>
      <x:c r="F4126" s="65" t="n">
        <x:v>23.44119967551663</x:v>
      </x:c>
      <x:c r="G4126" s="65" t="n">
        <x:v>216.8246174721694</x:v>
      </x:c>
      <x:c r="H4126" s="43" t="n">
        <x:v>1</x:v>
      </x:c>
      <x:c r="I4126" s="34" t="str">
        <x:v>generated design-reference observation; not predicted tract behavior</x:v>
      </x:c>
    </x:row>
    <x:row r="4127" ht="75.5999984741211" hidden="0" customHeight="1">
      <x:c r="A4127" s="36" t="str">
        <x:v>H3</x:v>
      </x:c>
      <x:c r="B4127" s="36" t="str">
        <x:v>48201511501</x:v>
      </x:c>
      <x:c r="C4127" s="66" t="n">
        <x:v>298.1117441130724</x:v>
      </x:c>
      <x:c r="D4127" s="66" t="n">
        <x:v>263.7679717657014</x:v>
      </x:c>
      <x:c r="E4127" s="66" t="n">
        <x:v>34.34377234737099</x:v>
      </x:c>
      <x:c r="F4127" s="66" t="n">
        <x:v>34.34377234737099</x:v>
      </x:c>
      <x:c r="G4127" s="66" t="n">
        <x:v>298.1117441130724</x:v>
      </x:c>
      <x:c r="H4127" s="45" t="n">
        <x:v>1</x:v>
      </x:c>
      <x:c r="I4127" s="36" t="str">
        <x:v>generated design-reference observation; not predicted tract behavior</x:v>
      </x:c>
    </x:row>
    <x:row r="4128" ht="75.5999984741211" hidden="0" customHeight="1">
      <x:c r="A4128" s="34" t="str">
        <x:v>H3</x:v>
      </x:c>
      <x:c r="B4128" s="34" t="str">
        <x:v>48201511502</x:v>
      </x:c>
      <x:c r="C4128" s="65" t="n">
        <x:v>433.07548969466154</x:v>
      </x:c>
      <x:c r="D4128" s="65" t="n">
        <x:v>386.54633970468564</x:v>
      </x:c>
      <x:c r="E4128" s="65" t="n">
        <x:v>46.529149989975906</x:v>
      </x:c>
      <x:c r="F4128" s="65" t="n">
        <x:v>46.529149989975906</x:v>
      </x:c>
      <x:c r="G4128" s="65" t="n">
        <x:v>433.07548969466154</x:v>
      </x:c>
      <x:c r="H4128" s="43" t="n">
        <x:v>1</x:v>
      </x:c>
      <x:c r="I4128" s="34" t="str">
        <x:v>generated design-reference observation; not predicted tract behavior</x:v>
      </x:c>
    </x:row>
    <x:row r="4129" ht="75.5999984741211" hidden="0" customHeight="1">
      <x:c r="A4129" s="36" t="str">
        <x:v>H3</x:v>
      </x:c>
      <x:c r="B4129" s="36" t="str">
        <x:v>48201511600</x:v>
      </x:c>
      <x:c r="C4129" s="66" t="n">
        <x:v>284.263262881139</x:v>
      </x:c>
      <x:c r="D4129" s="66" t="n">
        <x:v>252.73585440053648</x:v>
      </x:c>
      <x:c r="E4129" s="66" t="n">
        <x:v>31.527408480602503</x:v>
      </x:c>
      <x:c r="F4129" s="66" t="n">
        <x:v>31.527408480602503</x:v>
      </x:c>
      <x:c r="G4129" s="66" t="n">
        <x:v>284.263262881139</x:v>
      </x:c>
      <x:c r="H4129" s="45" t="n">
        <x:v>1</x:v>
      </x:c>
      <x:c r="I4129" s="36" t="str">
        <x:v>generated design-reference observation; not predicted tract behavior</x:v>
      </x:c>
    </x:row>
    <x:row r="4130" ht="75.5999984741211" hidden="0" customHeight="1">
      <x:c r="A4130" s="34" t="str">
        <x:v>H3</x:v>
      </x:c>
      <x:c r="B4130" s="34" t="str">
        <x:v>48201520100</x:v>
      </x:c>
      <x:c r="C4130" s="65" t="n">
        <x:v>271.60942929236893</x:v>
      </x:c>
      <x:c r="D4130" s="65" t="n">
        <x:v>240.94202017478054</x:v>
      </x:c>
      <x:c r="E4130" s="65" t="n">
        <x:v>30.66740911758839</x:v>
      </x:c>
      <x:c r="F4130" s="65" t="n">
        <x:v>30.66740911758839</x:v>
      </x:c>
      <x:c r="G4130" s="65" t="n">
        <x:v>271.60942929236893</x:v>
      </x:c>
      <x:c r="H4130" s="43" t="n">
        <x:v>1</x:v>
      </x:c>
      <x:c r="I4130" s="34" t="str">
        <x:v>generated design-reference observation; not predicted tract behavior</x:v>
      </x:c>
    </x:row>
    <x:row r="4131" ht="75.5999984741211" hidden="0" customHeight="1">
      <x:c r="A4131" s="36" t="str">
        <x:v>H3</x:v>
      </x:c>
      <x:c r="B4131" s="36" t="str">
        <x:v>48201520200</x:v>
      </x:c>
      <x:c r="C4131" s="66" t="n">
        <x:v>257.5605301992469</x:v>
      </x:c>
      <x:c r="D4131" s="66" t="n">
        <x:v>229.63504187698598</x:v>
      </x:c>
      <x:c r="E4131" s="66" t="n">
        <x:v>27.925488322260918</x:v>
      </x:c>
      <x:c r="F4131" s="66" t="n">
        <x:v>27.925488322260918</x:v>
      </x:c>
      <x:c r="G4131" s="66" t="n">
        <x:v>257.5605301992469</x:v>
      </x:c>
      <x:c r="H4131" s="45" t="n">
        <x:v>1</x:v>
      </x:c>
      <x:c r="I4131" s="36" t="str">
        <x:v>generated design-reference observation; not predicted tract behavior</x:v>
      </x:c>
    </x:row>
    <x:row r="4132" ht="75.5999984741211" hidden="0" customHeight="1">
      <x:c r="A4132" s="34" t="str">
        <x:v>H3</x:v>
      </x:c>
      <x:c r="B4132" s="34" t="str">
        <x:v>48201520301</x:v>
      </x:c>
      <x:c r="C4132" s="65" t="n">
        <x:v>200.88943262668414</x:v>
      </x:c>
      <x:c r="D4132" s="65" t="n">
        <x:v>178.46134302189915</x:v>
      </x:c>
      <x:c r="E4132" s="65" t="n">
        <x:v>22.428089604784986</x:v>
      </x:c>
      <x:c r="F4132" s="65" t="n">
        <x:v>22.428089604784986</x:v>
      </x:c>
      <x:c r="G4132" s="65" t="n">
        <x:v>200.88943262668414</x:v>
      </x:c>
      <x:c r="H4132" s="43" t="n">
        <x:v>1</x:v>
      </x:c>
      <x:c r="I4132" s="34" t="str">
        <x:v>generated design-reference observation; not predicted tract behavior</x:v>
      </x:c>
    </x:row>
    <x:row r="4133" ht="75.5999984741211" hidden="0" customHeight="1">
      <x:c r="A4133" s="36" t="str">
        <x:v>H3</x:v>
      </x:c>
      <x:c r="B4133" s="36" t="str">
        <x:v>48201520302</x:v>
      </x:c>
      <x:c r="C4133" s="66" t="n">
        <x:v>210.39159710421393</x:v>
      </x:c>
      <x:c r="D4133" s="66" t="n">
        <x:v>187.18009363843862</x:v>
      </x:c>
      <x:c r="E4133" s="66" t="n">
        <x:v>23.21150346577531</x:v>
      </x:c>
      <x:c r="F4133" s="66" t="n">
        <x:v>23.21150346577531</x:v>
      </x:c>
      <x:c r="G4133" s="66" t="n">
        <x:v>210.39159710421393</x:v>
      </x:c>
      <x:c r="H4133" s="45" t="n">
        <x:v>1</x:v>
      </x:c>
      <x:c r="I4133" s="36" t="str">
        <x:v>generated design-reference observation; not predicted tract behavior</x:v>
      </x:c>
    </x:row>
    <x:row r="4134" ht="75.5999984741211" hidden="0" customHeight="1">
      <x:c r="A4134" s="34" t="str">
        <x:v>H3</x:v>
      </x:c>
      <x:c r="B4134" s="34" t="str">
        <x:v>48201520400</x:v>
      </x:c>
      <x:c r="C4134" s="65" t="n">
        <x:v>312.62828488230116</x:v>
      </x:c>
      <x:c r="D4134" s="65" t="n">
        <x:v>276.82685256288096</x:v>
      </x:c>
      <x:c r="E4134" s="65" t="n">
        <x:v>35.8014323194202</x:v>
      </x:c>
      <x:c r="F4134" s="65" t="n">
        <x:v>35.8014323194202</x:v>
      </x:c>
      <x:c r="G4134" s="65" t="n">
        <x:v>312.62828488230116</x:v>
      </x:c>
      <x:c r="H4134" s="43" t="n">
        <x:v>1</x:v>
      </x:c>
      <x:c r="I4134" s="34" t="str">
        <x:v>generated design-reference observation; not predicted tract behavior</x:v>
      </x:c>
    </x:row>
    <x:row r="4135" ht="75.5999984741211" hidden="0" customHeight="1">
      <x:c r="A4135" s="36" t="str">
        <x:v>H3</x:v>
      </x:c>
      <x:c r="B4135" s="36" t="str">
        <x:v>48201520501</x:v>
      </x:c>
      <x:c r="C4135" s="66" t="n">
        <x:v>325.4668172843233</x:v>
      </x:c>
      <x:c r="D4135" s="66" t="n">
        <x:v>290.51604884449597</x:v>
      </x:c>
      <x:c r="E4135" s="66" t="n">
        <x:v>34.95076843982736</x:v>
      </x:c>
      <x:c r="F4135" s="66" t="n">
        <x:v>34.95076843982736</x:v>
      </x:c>
      <x:c r="G4135" s="66" t="n">
        <x:v>325.4668172843233</x:v>
      </x:c>
      <x:c r="H4135" s="45" t="n">
        <x:v>1</x:v>
      </x:c>
      <x:c r="I4135" s="36" t="str">
        <x:v>generated design-reference observation; not predicted tract behavior</x:v>
      </x:c>
    </x:row>
    <x:row r="4136" ht="75.5999984741211" hidden="0" customHeight="1">
      <x:c r="A4136" s="34" t="str">
        <x:v>H3</x:v>
      </x:c>
      <x:c r="B4136" s="34" t="str">
        <x:v>48201520502</x:v>
      </x:c>
      <x:c r="C4136" s="65" t="n">
        <x:v>652.2147369754598</x:v>
      </x:c>
      <x:c r="D4136" s="65" t="n">
        <x:v>505.9807896304757</x:v>
      </x:c>
      <x:c r="E4136" s="65" t="n">
        <x:v>146.23394734498407</x:v>
      </x:c>
      <x:c r="F4136" s="65" t="n">
        <x:v>146.23394734498407</x:v>
      </x:c>
      <x:c r="G4136" s="65" t="n">
        <x:v>652.2147369754598</x:v>
      </x:c>
      <x:c r="H4136" s="43" t="n">
        <x:v>1</x:v>
      </x:c>
      <x:c r="I4136" s="34" t="str">
        <x:v>generated design-reference observation; not predicted tract behavior</x:v>
      </x:c>
    </x:row>
    <x:row r="4137" ht="75.5999984741211" hidden="0" customHeight="1">
      <x:c r="A4137" s="36" t="str">
        <x:v>H3</x:v>
      </x:c>
      <x:c r="B4137" s="36" t="str">
        <x:v>48201520601</x:v>
      </x:c>
      <x:c r="C4137" s="66" t="n">
        <x:v>384.335860963526</x:v>
      </x:c>
      <x:c r="D4137" s="66" t="n">
        <x:v>297.483160769139</x:v>
      </x:c>
      <x:c r="E4137" s="66" t="n">
        <x:v>86.85270019438701</x:v>
      </x:c>
      <x:c r="F4137" s="66" t="n">
        <x:v>86.85270019438701</x:v>
      </x:c>
      <x:c r="G4137" s="66" t="n">
        <x:v>384.335860963526</x:v>
      </x:c>
      <x:c r="H4137" s="45" t="n">
        <x:v>1</x:v>
      </x:c>
      <x:c r="I4137" s="36" t="str">
        <x:v>generated design-reference observation; not predicted tract behavior</x:v>
      </x:c>
    </x:row>
    <x:row r="4138" ht="75.5999984741211" hidden="0" customHeight="1">
      <x:c r="A4138" s="34" t="str">
        <x:v>H3</x:v>
      </x:c>
      <x:c r="B4138" s="34" t="str">
        <x:v>48201520603</x:v>
      </x:c>
      <x:c r="C4138" s="65" t="n">
        <x:v>170.00150343173624</x:v>
      </x:c>
      <x:c r="D4138" s="65" t="n">
        <x:v>151.49081281573825</x:v>
      </x:c>
      <x:c r="E4138" s="65" t="n">
        <x:v>18.510690615997987</x:v>
      </x:c>
      <x:c r="F4138" s="65" t="n">
        <x:v>18.510690615997987</x:v>
      </x:c>
      <x:c r="G4138" s="65" t="n">
        <x:v>170.00150343173624</x:v>
      </x:c>
      <x:c r="H4138" s="43" t="n">
        <x:v>1</x:v>
      </x:c>
      <x:c r="I4138" s="34" t="str">
        <x:v>generated design-reference observation; not predicted tract behavior</x:v>
      </x:c>
    </x:row>
    <x:row r="4139" ht="75.5999984741211" hidden="0" customHeight="1">
      <x:c r="A4139" s="36" t="str">
        <x:v>H3</x:v>
      </x:c>
      <x:c r="B4139" s="36" t="str">
        <x:v>48201520604</x:v>
      </x:c>
      <x:c r="C4139" s="66" t="n">
        <x:v>276.450896056768</x:v>
      </x:c>
      <x:c r="D4139" s="66" t="n">
        <x:v>246.7698866480086</x:v>
      </x:c>
      <x:c r="E4139" s="66" t="n">
        <x:v>29.681009408759394</x:v>
      </x:c>
      <x:c r="F4139" s="66" t="n">
        <x:v>29.681009408759394</x:v>
      </x:c>
      <x:c r="G4139" s="66" t="n">
        <x:v>276.450896056768</x:v>
      </x:c>
      <x:c r="H4139" s="45" t="n">
        <x:v>1</x:v>
      </x:c>
      <x:c r="I4139" s="36" t="str">
        <x:v>generated design-reference observation; not predicted tract behavior</x:v>
      </x:c>
    </x:row>
    <x:row r="4140" ht="75.5999984741211" hidden="0" customHeight="1">
      <x:c r="A4140" s="34" t="str">
        <x:v>H3</x:v>
      </x:c>
      <x:c r="B4140" s="34" t="str">
        <x:v>48201520700</x:v>
      </x:c>
      <x:c r="C4140" s="65" t="n">
        <x:v>354.81035001952387</x:v>
      </x:c>
      <x:c r="D4140" s="65" t="n">
        <x:v>316.30053178452306</x:v>
      </x:c>
      <x:c r="E4140" s="65" t="n">
        <x:v>38.50981823500081</x:v>
      </x:c>
      <x:c r="F4140" s="65" t="n">
        <x:v>38.50981823500081</x:v>
      </x:c>
      <x:c r="G4140" s="65" t="n">
        <x:v>354.81035001952387</x:v>
      </x:c>
      <x:c r="H4140" s="43" t="n">
        <x:v>1</x:v>
      </x:c>
      <x:c r="I4140" s="34" t="str">
        <x:v>generated design-reference observation; not predicted tract behavior</x:v>
      </x:c>
    </x:row>
    <x:row r="4141" ht="75.5999984741211" hidden="0" customHeight="1">
      <x:c r="A4141" s="36" t="str">
        <x:v>H3</x:v>
      </x:c>
      <x:c r="B4141" s="36" t="str">
        <x:v>48201521000</x:v>
      </x:c>
      <x:c r="C4141" s="66" t="n">
        <x:v>174.48143209359893</x:v>
      </x:c>
      <x:c r="D4141" s="66" t="n">
        <x:v>155.0911318471379</x:v>
      </x:c>
      <x:c r="E4141" s="66" t="n">
        <x:v>19.390300246461038</x:v>
      </x:c>
      <x:c r="F4141" s="66" t="n">
        <x:v>19.390300246461038</x:v>
      </x:c>
      <x:c r="G4141" s="66" t="n">
        <x:v>174.48143209359893</x:v>
      </x:c>
      <x:c r="H4141" s="45" t="n">
        <x:v>1</x:v>
      </x:c>
      <x:c r="I4141" s="36" t="str">
        <x:v>generated design-reference observation; not predicted tract behavior</x:v>
      </x:c>
    </x:row>
    <x:row r="4142" ht="75.5999984741211" hidden="0" customHeight="1">
      <x:c r="A4142" s="34" t="str">
        <x:v>H3</x:v>
      </x:c>
      <x:c r="B4142" s="34" t="str">
        <x:v>48201521100</x:v>
      </x:c>
      <x:c r="C4142" s="65" t="n">
        <x:v>202.31986598889296</x:v>
      </x:c>
      <x:c r="D4142" s="65" t="n">
        <x:v>179.58062800725963</x:v>
      </x:c>
      <x:c r="E4142" s="65" t="n">
        <x:v>22.739237981633323</x:v>
      </x:c>
      <x:c r="F4142" s="65" t="n">
        <x:v>22.739237981633323</x:v>
      </x:c>
      <x:c r="G4142" s="65" t="n">
        <x:v>202.31986598889296</x:v>
      </x:c>
      <x:c r="H4142" s="43" t="n">
        <x:v>1</x:v>
      </x:c>
      <x:c r="I4142" s="34" t="str">
        <x:v>generated design-reference observation; not predicted tract behavior</x:v>
      </x:c>
    </x:row>
    <x:row r="4143" ht="75.5999984741211" hidden="0" customHeight="1">
      <x:c r="A4143" s="36" t="str">
        <x:v>H3</x:v>
      </x:c>
      <x:c r="B4143" s="36" t="str">
        <x:v>48201521201</x:v>
      </x:c>
      <x:c r="C4143" s="66" t="n">
        <x:v>166.40184145430973</x:v>
      </x:c>
      <x:c r="D4143" s="66" t="n">
        <x:v>147.7859998109806</x:v>
      </x:c>
      <x:c r="E4143" s="66" t="n">
        <x:v>18.615841643329134</x:v>
      </x:c>
      <x:c r="F4143" s="66" t="n">
        <x:v>18.615841643329134</x:v>
      </x:c>
      <x:c r="G4143" s="66" t="n">
        <x:v>166.40184145430973</x:v>
      </x:c>
      <x:c r="H4143" s="45" t="n">
        <x:v>1</x:v>
      </x:c>
      <x:c r="I4143" s="36" t="str">
        <x:v>generated design-reference observation; not predicted tract behavior</x:v>
      </x:c>
    </x:row>
    <x:row r="4144" ht="75.5999984741211" hidden="0" customHeight="1">
      <x:c r="A4144" s="34" t="str">
        <x:v>H3</x:v>
      </x:c>
      <x:c r="B4144" s="34" t="str">
        <x:v>48201521202</x:v>
      </x:c>
      <x:c r="C4144" s="65" t="n">
        <x:v>268.5756530406515</x:v>
      </x:c>
      <x:c r="D4144" s="65" t="n">
        <x:v>238.95893645743607</x:v>
      </x:c>
      <x:c r="E4144" s="65" t="n">
        <x:v>29.616716583215435</x:v>
      </x:c>
      <x:c r="F4144" s="65" t="n">
        <x:v>29.616716583215435</x:v>
      </x:c>
      <x:c r="G4144" s="65" t="n">
        <x:v>268.5756530406515</x:v>
      </x:c>
      <x:c r="H4144" s="43" t="n">
        <x:v>1</x:v>
      </x:c>
      <x:c r="I4144" s="34" t="str">
        <x:v>generated design-reference observation; not predicted tract behavior</x:v>
      </x:c>
    </x:row>
    <x:row r="4145" ht="75.5999984741211" hidden="0" customHeight="1">
      <x:c r="A4145" s="36" t="str">
        <x:v>H3</x:v>
      </x:c>
      <x:c r="B4145" s="36" t="str">
        <x:v>48201521300</x:v>
      </x:c>
      <x:c r="C4145" s="66" t="n">
        <x:v>579.4591236020167</x:v>
      </x:c>
      <x:c r="D4145" s="66" t="n">
        <x:v>516.4331944216686</x:v>
      </x:c>
      <x:c r="E4145" s="66" t="n">
        <x:v>63.025929180348044</x:v>
      </x:c>
      <x:c r="F4145" s="66" t="n">
        <x:v>63.025929180348044</x:v>
      </x:c>
      <x:c r="G4145" s="66" t="n">
        <x:v>579.4591236020167</x:v>
      </x:c>
      <x:c r="H4145" s="45" t="n">
        <x:v>1</x:v>
      </x:c>
      <x:c r="I4145" s="36" t="str">
        <x:v>generated design-reference observation; not predicted tract behavior</x:v>
      </x:c>
    </x:row>
    <x:row r="4146" ht="75.5999984741211" hidden="0" customHeight="1">
      <x:c r="A4146" s="34" t="str">
        <x:v>H3</x:v>
      </x:c>
      <x:c r="B4146" s="34" t="str">
        <x:v>48201521401</x:v>
      </x:c>
      <x:c r="C4146" s="65" t="n">
        <x:v>261.74572671230294</x:v>
      </x:c>
      <x:c r="D4146" s="65" t="n">
        <x:v>232.92909603442894</x:v>
      </x:c>
      <x:c r="E4146" s="65" t="n">
        <x:v>28.816630677874002</x:v>
      </x:c>
      <x:c r="F4146" s="65" t="n">
        <x:v>28.816630677874002</x:v>
      </x:c>
      <x:c r="G4146" s="65" t="n">
        <x:v>261.74572671230294</x:v>
      </x:c>
      <x:c r="H4146" s="43" t="n">
        <x:v>1</x:v>
      </x:c>
      <x:c r="I4146" s="34" t="str">
        <x:v>generated design-reference observation; not predicted tract behavior</x:v>
      </x:c>
    </x:row>
    <x:row r="4147" ht="75.5999984741211" hidden="0" customHeight="1">
      <x:c r="A4147" s="36" t="str">
        <x:v>H3</x:v>
      </x:c>
      <x:c r="B4147" s="36" t="str">
        <x:v>48201521402</x:v>
      </x:c>
      <x:c r="C4147" s="66" t="n">
        <x:v>591.852383742303</x:v>
      </x:c>
      <x:c r="D4147" s="66" t="n">
        <x:v>251.7425074878923</x:v>
      </x:c>
      <x:c r="E4147" s="66" t="n">
        <x:v>340.10987625441066</x:v>
      </x:c>
      <x:c r="F4147" s="66" t="n">
        <x:v>340.10987625441066</x:v>
      </x:c>
      <x:c r="G4147" s="66" t="n">
        <x:v>591.852383742303</x:v>
      </x:c>
      <x:c r="H4147" s="45" t="n">
        <x:v>1</x:v>
      </x:c>
      <x:c r="I4147" s="36" t="str">
        <x:v>generated design-reference observation; not predicted tract behavior</x:v>
      </x:c>
    </x:row>
    <x:row r="4148" ht="75.5999984741211" hidden="0" customHeight="1">
      <x:c r="A4148" s="34" t="str">
        <x:v>H3</x:v>
      </x:c>
      <x:c r="B4148" s="34" t="str">
        <x:v>48201521501</x:v>
      </x:c>
      <x:c r="C4148" s="65" t="n">
        <x:v>497.0628972134499</x:v>
      </x:c>
      <x:c r="D4148" s="65" t="n">
        <x:v>211.77261990934355</x:v>
      </x:c>
      <x:c r="E4148" s="65" t="n">
        <x:v>285.2902773041063</x:v>
      </x:c>
      <x:c r="F4148" s="65" t="n">
        <x:v>285.2902773041063</x:v>
      </x:c>
      <x:c r="G4148" s="65" t="n">
        <x:v>497.0628972134499</x:v>
      </x:c>
      <x:c r="H4148" s="43" t="n">
        <x:v>1</x:v>
      </x:c>
      <x:c r="I4148" s="34" t="str">
        <x:v>generated design-reference observation; not predicted tract behavior</x:v>
      </x:c>
    </x:row>
    <x:row r="4149" ht="75.5999984741211" hidden="0" customHeight="1">
      <x:c r="A4149" s="36" t="str">
        <x:v>H3</x:v>
      </x:c>
      <x:c r="B4149" s="36" t="str">
        <x:v>48201521502</x:v>
      </x:c>
      <x:c r="C4149" s="66" t="n">
        <x:v>507.7276666595036</x:v>
      </x:c>
      <x:c r="D4149" s="66" t="n">
        <x:v>217.0010319381396</x:v>
      </x:c>
      <x:c r="E4149" s="66" t="n">
        <x:v>290.726634721364</x:v>
      </x:c>
      <x:c r="F4149" s="66" t="n">
        <x:v>290.726634721364</x:v>
      </x:c>
      <x:c r="G4149" s="66" t="n">
        <x:v>507.7276666595036</x:v>
      </x:c>
      <x:c r="H4149" s="45" t="n">
        <x:v>1</x:v>
      </x:c>
      <x:c r="I4149" s="36" t="str">
        <x:v>generated design-reference observation; not predicted tract behavior</x:v>
      </x:c>
    </x:row>
    <x:row r="4150" ht="75.5999984741211" hidden="0" customHeight="1">
      <x:c r="A4150" s="34" t="str">
        <x:v>H3</x:v>
      </x:c>
      <x:c r="B4150" s="34" t="str">
        <x:v>48201521600</x:v>
      </x:c>
      <x:c r="C4150" s="65" t="n">
        <x:v>236.51665477444467</x:v>
      </x:c>
      <x:c r="D4150" s="65" t="n">
        <x:v>211.15917670178243</x:v>
      </x:c>
      <x:c r="E4150" s="65" t="n">
        <x:v>25.357478072662246</x:v>
      </x:c>
      <x:c r="F4150" s="65" t="n">
        <x:v>25.357478072662246</x:v>
      </x:c>
      <x:c r="G4150" s="65" t="n">
        <x:v>236.51665477444467</x:v>
      </x:c>
      <x:c r="H4150" s="43" t="n">
        <x:v>1</x:v>
      </x:c>
      <x:c r="I4150" s="34" t="str">
        <x:v>generated design-reference observation; not predicted tract behavior</x:v>
      </x:c>
    </x:row>
    <x:row r="4151" ht="75.5999984741211" hidden="0" customHeight="1">
      <x:c r="A4151" s="36" t="str">
        <x:v>H3</x:v>
      </x:c>
      <x:c r="B4151" s="36" t="str">
        <x:v>48201521701</x:v>
      </x:c>
      <x:c r="C4151" s="66" t="n">
        <x:v>663.3250809726328</x:v>
      </x:c>
      <x:c r="D4151" s="66" t="n">
        <x:v>512.4298272772576</x:v>
      </x:c>
      <x:c r="E4151" s="66" t="n">
        <x:v>150.89525369537523</x:v>
      </x:c>
      <x:c r="F4151" s="66" t="n">
        <x:v>150.89525369537523</x:v>
      </x:c>
      <x:c r="G4151" s="66" t="n">
        <x:v>663.3250809726328</x:v>
      </x:c>
      <x:c r="H4151" s="45" t="n">
        <x:v>1</x:v>
      </x:c>
      <x:c r="I4151" s="36" t="str">
        <x:v>generated design-reference observation; not predicted tract behavior</x:v>
      </x:c>
    </x:row>
    <x:row r="4152" ht="75.5999984741211" hidden="0" customHeight="1">
      <x:c r="A4152" s="34" t="str">
        <x:v>H3</x:v>
      </x:c>
      <x:c r="B4152" s="34" t="str">
        <x:v>48201521702</x:v>
      </x:c>
      <x:c r="C4152" s="65" t="n">
        <x:v>450.20532218331016</x:v>
      </x:c>
      <x:c r="D4152" s="65" t="n">
        <x:v>349.3329253340029</x:v>
      </x:c>
      <x:c r="E4152" s="65" t="n">
        <x:v>100.87239684930728</x:v>
      </x:c>
      <x:c r="F4152" s="65" t="n">
        <x:v>100.87239684930728</x:v>
      </x:c>
      <x:c r="G4152" s="65" t="n">
        <x:v>450.20532218331016</x:v>
      </x:c>
      <x:c r="H4152" s="43" t="n">
        <x:v>1</x:v>
      </x:c>
      <x:c r="I4152" s="34" t="str">
        <x:v>generated design-reference observation; not predicted tract behavior</x:v>
      </x:c>
    </x:row>
    <x:row r="4153" ht="75.5999984741211" hidden="0" customHeight="1">
      <x:c r="A4153" s="36" t="str">
        <x:v>H3</x:v>
      </x:c>
      <x:c r="B4153" s="36" t="str">
        <x:v>48201521800</x:v>
      </x:c>
      <x:c r="C4153" s="66" t="n">
        <x:v>375.48875757980574</x:v>
      </x:c>
      <x:c r="D4153" s="66" t="n">
        <x:v>334.60554165451646</x:v>
      </x:c>
      <x:c r="E4153" s="66" t="n">
        <x:v>40.88321592528928</x:v>
      </x:c>
      <x:c r="F4153" s="66" t="n">
        <x:v>40.88321592528928</x:v>
      </x:c>
      <x:c r="G4153" s="66" t="n">
        <x:v>375.48875757980574</x:v>
      </x:c>
      <x:c r="H4153" s="45" t="n">
        <x:v>1</x:v>
      </x:c>
      <x:c r="I4153" s="36" t="str">
        <x:v>generated design-reference observation; not predicted tract behavior</x:v>
      </x:c>
    </x:row>
    <x:row r="4154" ht="75.5999984741211" hidden="0" customHeight="1">
      <x:c r="A4154" s="34" t="str">
        <x:v>H3</x:v>
      </x:c>
      <x:c r="B4154" s="34" t="str">
        <x:v>48201521900</x:v>
      </x:c>
      <x:c r="C4154" s="65" t="n">
        <x:v>583.7386344026906</x:v>
      </x:c>
      <x:c r="D4154" s="65" t="n">
        <x:v>518.4969801119204</x:v>
      </x:c>
      <x:c r="E4154" s="65" t="n">
        <x:v>65.24165429077027</x:v>
      </x:c>
      <x:c r="F4154" s="65" t="n">
        <x:v>65.24165429077027</x:v>
      </x:c>
      <x:c r="G4154" s="65" t="n">
        <x:v>583.7386344026906</x:v>
      </x:c>
      <x:c r="H4154" s="43" t="n">
        <x:v>1</x:v>
      </x:c>
      <x:c r="I4154" s="34" t="str">
        <x:v>generated design-reference observation; not predicted tract behavior</x:v>
      </x:c>
    </x:row>
    <x:row r="4155" ht="75.5999984741211" hidden="0" customHeight="1">
      <x:c r="A4155" s="36" t="str">
        <x:v>H3</x:v>
      </x:c>
      <x:c r="B4155" s="36" t="str">
        <x:v>48201522001</x:v>
      </x:c>
      <x:c r="C4155" s="66" t="n">
        <x:v>390.6352694240224</x:v>
      </x:c>
      <x:c r="D4155" s="66" t="n">
        <x:v>165.83978487834182</x:v>
      </x:c>
      <x:c r="E4155" s="66" t="n">
        <x:v>224.79548454568058</x:v>
      </x:c>
      <x:c r="F4155" s="66" t="n">
        <x:v>224.79548454568058</x:v>
      </x:c>
      <x:c r="G4155" s="66" t="n">
        <x:v>390.6352694240224</x:v>
      </x:c>
      <x:c r="H4155" s="45" t="n">
        <x:v>1</x:v>
      </x:c>
      <x:c r="I4155" s="36" t="str">
        <x:v>generated design-reference observation; not predicted tract behavior</x:v>
      </x:c>
    </x:row>
    <x:row r="4156" ht="75.5999984741211" hidden="0" customHeight="1">
      <x:c r="A4156" s="34" t="str">
        <x:v>H3</x:v>
      </x:c>
      <x:c r="B4156" s="34" t="str">
        <x:v>48201522002</x:v>
      </x:c>
      <x:c r="C4156" s="65" t="n">
        <x:v>439.06021490704734</x:v>
      </x:c>
      <x:c r="D4156" s="65" t="n">
        <x:v>340.6663106002236</x:v>
      </x:c>
      <x:c r="E4156" s="65" t="n">
        <x:v>98.39390430682374</x:v>
      </x:c>
      <x:c r="F4156" s="65" t="n">
        <x:v>98.39390430682374</x:v>
      </x:c>
      <x:c r="G4156" s="65" t="n">
        <x:v>439.06021490704734</x:v>
      </x:c>
      <x:c r="H4156" s="43" t="n">
        <x:v>1</x:v>
      </x:c>
      <x:c r="I4156" s="34" t="str">
        <x:v>generated design-reference observation; not predicted tract behavior</x:v>
      </x:c>
    </x:row>
    <x:row r="4157" ht="75.5999984741211" hidden="0" customHeight="1">
      <x:c r="A4157" s="36" t="str">
        <x:v>H3</x:v>
      </x:c>
      <x:c r="B4157" s="36" t="str">
        <x:v>48201522101</x:v>
      </x:c>
      <x:c r="C4157" s="66" t="n">
        <x:v>273.40926028108225</x:v>
      </x:c>
      <x:c r="D4157" s="66" t="n">
        <x:v>241.8759053611383</x:v>
      </x:c>
      <x:c r="E4157" s="66" t="n">
        <x:v>31.533354919943946</x:v>
      </x:c>
      <x:c r="F4157" s="66" t="n">
        <x:v>31.533354919943946</x:v>
      </x:c>
      <x:c r="G4157" s="66" t="n">
        <x:v>273.40926028108225</x:v>
      </x:c>
      <x:c r="H4157" s="45" t="n">
        <x:v>1</x:v>
      </x:c>
      <x:c r="I4157" s="36" t="str">
        <x:v>generated design-reference observation; not predicted tract behavior</x:v>
      </x:c>
    </x:row>
    <x:row r="4158" ht="75.5999984741211" hidden="0" customHeight="1">
      <x:c r="A4158" s="34" t="str">
        <x:v>H3</x:v>
      </x:c>
      <x:c r="B4158" s="34" t="str">
        <x:v>48201522102</x:v>
      </x:c>
      <x:c r="C4158" s="65" t="n">
        <x:v>364.80373474506484</x:v>
      </x:c>
      <x:c r="D4158" s="65" t="n">
        <x:v>325.76973512734287</x:v>
      </x:c>
      <x:c r="E4158" s="65" t="n">
        <x:v>39.033999617721975</x:v>
      </x:c>
      <x:c r="F4158" s="65" t="n">
        <x:v>39.033999617721975</x:v>
      </x:c>
      <x:c r="G4158" s="65" t="n">
        <x:v>364.80373474506484</x:v>
      </x:c>
      <x:c r="H4158" s="43" t="n">
        <x:v>1</x:v>
      </x:c>
      <x:c r="I4158" s="34" t="str">
        <x:v>generated design-reference observation; not predicted tract behavior</x:v>
      </x:c>
    </x:row>
    <x:row r="4159" ht="75.5999984741211" hidden="0" customHeight="1">
      <x:c r="A4159" s="36" t="str">
        <x:v>H3</x:v>
      </x:c>
      <x:c r="B4159" s="36" t="str">
        <x:v>48201522201</x:v>
      </x:c>
      <x:c r="C4159" s="66" t="n">
        <x:v>416.5351215036265</x:v>
      </x:c>
      <x:c r="D4159" s="66" t="n">
        <x:v>370.4145124133877</x:v>
      </x:c>
      <x:c r="E4159" s="66" t="n">
        <x:v>46.120609090238815</x:v>
      </x:c>
      <x:c r="F4159" s="66" t="n">
        <x:v>46.120609090238815</x:v>
      </x:c>
      <x:c r="G4159" s="66" t="n">
        <x:v>416.5351215036265</x:v>
      </x:c>
      <x:c r="H4159" s="45" t="n">
        <x:v>1</x:v>
      </x:c>
      <x:c r="I4159" s="36" t="str">
        <x:v>generated design-reference observation; not predicted tract behavior</x:v>
      </x:c>
    </x:row>
    <x:row r="4160" ht="75.5999984741211" hidden="0" customHeight="1">
      <x:c r="A4160" s="34" t="str">
        <x:v>H3</x:v>
      </x:c>
      <x:c r="B4160" s="34" t="str">
        <x:v>48201522202</x:v>
      </x:c>
      <x:c r="C4160" s="65" t="n">
        <x:v>328.5988375856431</x:v>
      </x:c>
      <x:c r="D4160" s="65" t="n">
        <x:v>293.1821345162401</x:v>
      </x:c>
      <x:c r="E4160" s="65" t="n">
        <x:v>35.416703069402956</x:v>
      </x:c>
      <x:c r="F4160" s="65" t="n">
        <x:v>35.416703069402956</x:v>
      </x:c>
      <x:c r="G4160" s="65" t="n">
        <x:v>328.5988375856431</x:v>
      </x:c>
      <x:c r="H4160" s="43" t="n">
        <x:v>1</x:v>
      </x:c>
      <x:c r="I4160" s="34" t="str">
        <x:v>generated design-reference observation; not predicted tract behavior</x:v>
      </x:c>
    </x:row>
    <x:row r="4161" ht="75.5999984741211" hidden="0" customHeight="1">
      <x:c r="A4161" s="36" t="str">
        <x:v>H3</x:v>
      </x:c>
      <x:c r="B4161" s="36" t="str">
        <x:v>48201522301</x:v>
      </x:c>
      <x:c r="C4161" s="66" t="n">
        <x:v>318.6526100039111</x:v>
      </x:c>
      <x:c r="D4161" s="66" t="n">
        <x:v>283.303226633345</x:v>
      </x:c>
      <x:c r="E4161" s="66" t="n">
        <x:v>35.3493833705661</x:v>
      </x:c>
      <x:c r="F4161" s="66" t="n">
        <x:v>35.3493833705661</x:v>
      </x:c>
      <x:c r="G4161" s="66" t="n">
        <x:v>318.6526100039111</x:v>
      </x:c>
      <x:c r="H4161" s="45" t="n">
        <x:v>1</x:v>
      </x:c>
      <x:c r="I4161" s="36" t="str">
        <x:v>generated design-reference observation; not predicted tract behavior</x:v>
      </x:c>
    </x:row>
    <x:row r="4162" ht="75.5999984741211" hidden="0" customHeight="1">
      <x:c r="A4162" s="34" t="str">
        <x:v>H3</x:v>
      </x:c>
      <x:c r="B4162" s="34" t="str">
        <x:v>48201522302</x:v>
      </x:c>
      <x:c r="C4162" s="65" t="n">
        <x:v>253.0766717754002</x:v>
      </x:c>
      <x:c r="D4162" s="65" t="n">
        <x:v>223.88089262504113</x:v>
      </x:c>
      <x:c r="E4162" s="65" t="n">
        <x:v>29.195779150359073</x:v>
      </x:c>
      <x:c r="F4162" s="65" t="n">
        <x:v>29.195779150359073</x:v>
      </x:c>
      <x:c r="G4162" s="65" t="n">
        <x:v>253.0766717754002</x:v>
      </x:c>
      <x:c r="H4162" s="43" t="n">
        <x:v>1</x:v>
      </x:c>
      <x:c r="I4162" s="34" t="str">
        <x:v>generated design-reference observation; not predicted tract behavior</x:v>
      </x:c>
    </x:row>
    <x:row r="4163" ht="75.5999984741211" hidden="0" customHeight="1">
      <x:c r="A4163" s="36" t="str">
        <x:v>H3</x:v>
      </x:c>
      <x:c r="B4163" s="36" t="str">
        <x:v>48201522401</x:v>
      </x:c>
      <x:c r="C4163" s="66" t="n">
        <x:v>486.48881458241385</x:v>
      </x:c>
      <x:c r="D4163" s="66" t="n">
        <x:v>432.2164016809978</x:v>
      </x:c>
      <x:c r="E4163" s="66" t="n">
        <x:v>54.27241290141603</x:v>
      </x:c>
      <x:c r="F4163" s="66" t="n">
        <x:v>54.27241290141603</x:v>
      </x:c>
      <x:c r="G4163" s="66" t="n">
        <x:v>486.48881458241385</x:v>
      </x:c>
      <x:c r="H4163" s="45" t="n">
        <x:v>1</x:v>
      </x:c>
      <x:c r="I4163" s="36" t="str">
        <x:v>generated design-reference observation; not predicted tract behavior</x:v>
      </x:c>
    </x:row>
    <x:row r="4164" ht="75.5999984741211" hidden="0" customHeight="1">
      <x:c r="A4164" s="34" t="str">
        <x:v>H3</x:v>
      </x:c>
      <x:c r="B4164" s="34" t="str">
        <x:v>48201522402</x:v>
      </x:c>
      <x:c r="C4164" s="65" t="n">
        <x:v>309.31549552971313</x:v>
      </x:c>
      <x:c r="D4164" s="65" t="n">
        <x:v>275.4230456715909</x:v>
      </x:c>
      <x:c r="E4164" s="65" t="n">
        <x:v>33.892449858122234</x:v>
      </x:c>
      <x:c r="F4164" s="65" t="n">
        <x:v>33.892449858122234</x:v>
      </x:c>
      <x:c r="G4164" s="65" t="n">
        <x:v>309.31549552971313</x:v>
      </x:c>
      <x:c r="H4164" s="43" t="n">
        <x:v>1</x:v>
      </x:c>
      <x:c r="I4164" s="34" t="str">
        <x:v>generated design-reference observation; not predicted tract behavior</x:v>
      </x:c>
    </x:row>
    <x:row r="4165" ht="75.5999984741211" hidden="0" customHeight="1">
      <x:c r="A4165" s="36" t="str">
        <x:v>H3</x:v>
      </x:c>
      <x:c r="B4165" s="36" t="str">
        <x:v>48201522500</x:v>
      </x:c>
      <x:c r="C4165" s="66" t="n">
        <x:v>437.0759873944652</x:v>
      </x:c>
      <x:c r="D4165" s="66" t="n">
        <x:v>390.30885674325737</x:v>
      </x:c>
      <x:c r="E4165" s="66" t="n">
        <x:v>46.76713065120782</x:v>
      </x:c>
      <x:c r="F4165" s="66" t="n">
        <x:v>46.76713065120782</x:v>
      </x:c>
      <x:c r="G4165" s="66" t="n">
        <x:v>437.0759873944652</x:v>
      </x:c>
      <x:c r="H4165" s="45" t="n">
        <x:v>1</x:v>
      </x:c>
      <x:c r="I4165" s="36" t="str">
        <x:v>generated design-reference observation; not predicted tract behavior</x:v>
      </x:c>
    </x:row>
    <x:row r="4166" ht="75.5999984741211" hidden="0" customHeight="1">
      <x:c r="A4166" s="34" t="str">
        <x:v>H3</x:v>
      </x:c>
      <x:c r="B4166" s="34" t="str">
        <x:v>48201530101</x:v>
      </x:c>
      <x:c r="C4166" s="65" t="n">
        <x:v>271.18501499808724</x:v>
      </x:c>
      <x:c r="D4166" s="65" t="n">
        <x:v>240.67938145610134</x:v>
      </x:c>
      <x:c r="E4166" s="65" t="n">
        <x:v>30.5056335419859</x:v>
      </x:c>
      <x:c r="F4166" s="65" t="n">
        <x:v>30.5056335419859</x:v>
      </x:c>
      <x:c r="G4166" s="65" t="n">
        <x:v>271.18501499808724</x:v>
      </x:c>
      <x:c r="H4166" s="43" t="n">
        <x:v>1</x:v>
      </x:c>
      <x:c r="I4166" s="34" t="str">
        <x:v>generated design-reference observation; not predicted tract behavior</x:v>
      </x:c>
    </x:row>
    <x:row r="4167" ht="75.5999984741211" hidden="0" customHeight="1">
      <x:c r="A4167" s="36" t="str">
        <x:v>H3</x:v>
      </x:c>
      <x:c r="B4167" s="36" t="str">
        <x:v>48201530102</x:v>
      </x:c>
      <x:c r="C4167" s="66" t="n">
        <x:v>508.9634256588082</x:v>
      </x:c>
      <x:c r="D4167" s="66" t="n">
        <x:v>215.1616105020233</x:v>
      </x:c>
      <x:c r="E4167" s="66" t="n">
        <x:v>293.80181515678487</x:v>
      </x:c>
      <x:c r="F4167" s="66" t="n">
        <x:v>293.80181515678487</x:v>
      </x:c>
      <x:c r="G4167" s="66" t="n">
        <x:v>508.9634256588082</x:v>
      </x:c>
      <x:c r="H4167" s="45" t="n">
        <x:v>1</x:v>
      </x:c>
      <x:c r="I4167" s="36" t="str">
        <x:v>generated design-reference observation; not predicted tract behavior</x:v>
      </x:c>
    </x:row>
    <x:row r="4168" ht="75.5999984741211" hidden="0" customHeight="1">
      <x:c r="A4168" s="34" t="str">
        <x:v>H3</x:v>
      </x:c>
      <x:c r="B4168" s="34" t="str">
        <x:v>48201530200</x:v>
      </x:c>
      <x:c r="C4168" s="65" t="n">
        <x:v>336.80418060842317</x:v>
      </x:c>
      <x:c r="D4168" s="65" t="n">
        <x:v>299.6454195391267</x:v>
      </x:c>
      <x:c r="E4168" s="65" t="n">
        <x:v>37.158761069296474</x:v>
      </x:c>
      <x:c r="F4168" s="65" t="n">
        <x:v>37.158761069296474</x:v>
      </x:c>
      <x:c r="G4168" s="65" t="n">
        <x:v>336.80418060842317</x:v>
      </x:c>
      <x:c r="H4168" s="43" t="n">
        <x:v>1</x:v>
      </x:c>
      <x:c r="I4168" s="34" t="str">
        <x:v>generated design-reference observation; not predicted tract behavior</x:v>
      </x:c>
    </x:row>
    <x:row r="4169" ht="75.5999984741211" hidden="0" customHeight="1">
      <x:c r="A4169" s="36" t="str">
        <x:v>H3</x:v>
      </x:c>
      <x:c r="B4169" s="36" t="str">
        <x:v>48201530300</x:v>
      </x:c>
      <x:c r="C4169" s="66" t="n">
        <x:v>342.7242158927631</x:v>
      </x:c>
      <x:c r="D4169" s="66" t="n">
        <x:v>266.9821641804624</x:v>
      </x:c>
      <x:c r="E4169" s="66" t="n">
        <x:v>75.74205171230068</x:v>
      </x:c>
      <x:c r="F4169" s="66" t="n">
        <x:v>75.74205171230068</x:v>
      </x:c>
      <x:c r="G4169" s="66" t="n">
        <x:v>342.7242158927631</x:v>
      </x:c>
      <x:c r="H4169" s="45" t="n">
        <x:v>1</x:v>
      </x:c>
      <x:c r="I4169" s="36" t="str">
        <x:v>generated design-reference observation; not predicted tract behavior</x:v>
      </x:c>
    </x:row>
    <x:row r="4170" ht="75.5999984741211" hidden="0" customHeight="1">
      <x:c r="A4170" s="34" t="str">
        <x:v>H3</x:v>
      </x:c>
      <x:c r="B4170" s="34" t="str">
        <x:v>48201530400</x:v>
      </x:c>
      <x:c r="C4170" s="65" t="n">
        <x:v>616.4575303928411</x:v>
      </x:c>
      <x:c r="D4170" s="65" t="n">
        <x:v>262.83162929941386</x:v>
      </x:c>
      <x:c r="E4170" s="65" t="n">
        <x:v>353.6259010934273</x:v>
      </x:c>
      <x:c r="F4170" s="65" t="n">
        <x:v>353.6259010934273</x:v>
      </x:c>
      <x:c r="G4170" s="65" t="n">
        <x:v>616.4575303928411</x:v>
      </x:c>
      <x:c r="H4170" s="43" t="n">
        <x:v>1</x:v>
      </x:c>
      <x:c r="I4170" s="34" t="str">
        <x:v>generated design-reference observation; not predicted tract behavior</x:v>
      </x:c>
    </x:row>
    <x:row r="4171" ht="75.5999984741211" hidden="0" customHeight="1">
      <x:c r="A4171" s="36" t="str">
        <x:v>H3</x:v>
      </x:c>
      <x:c r="B4171" s="36" t="str">
        <x:v>48201530501</x:v>
      </x:c>
      <x:c r="C4171" s="66" t="n">
        <x:v>284.8339852369822</x:v>
      </x:c>
      <x:c r="D4171" s="66" t="n">
        <x:v>120.55988299727821</x:v>
      </x:c>
      <x:c r="E4171" s="66" t="n">
        <x:v>164.27410223970398</x:v>
      </x:c>
      <x:c r="F4171" s="66" t="n">
        <x:v>164.27410223970398</x:v>
      </x:c>
      <x:c r="G4171" s="66" t="n">
        <x:v>284.8339852369822</x:v>
      </x:c>
      <x:c r="H4171" s="45" t="n">
        <x:v>1</x:v>
      </x:c>
      <x:c r="I4171" s="36" t="str">
        <x:v>generated design-reference observation; not predicted tract behavior</x:v>
      </x:c>
    </x:row>
    <x:row r="4172" ht="75.5999984741211" hidden="0" customHeight="1">
      <x:c r="A4172" s="34" t="str">
        <x:v>H3</x:v>
      </x:c>
      <x:c r="B4172" s="34" t="str">
        <x:v>48201530502</x:v>
      </x:c>
      <x:c r="C4172" s="65" t="n">
        <x:v>446.9892654334075</x:v>
      </x:c>
      <x:c r="D4172" s="65" t="n">
        <x:v>189.8764194698302</x:v>
      </x:c>
      <x:c r="E4172" s="65" t="n">
        <x:v>257.11284596357734</x:v>
      </x:c>
      <x:c r="F4172" s="65" t="n">
        <x:v>257.11284596357734</x:v>
      </x:c>
      <x:c r="G4172" s="65" t="n">
        <x:v>446.9892654334075</x:v>
      </x:c>
      <x:c r="H4172" s="43" t="n">
        <x:v>1</x:v>
      </x:c>
      <x:c r="I4172" s="34" t="str">
        <x:v>generated design-reference observation; not predicted tract behavior</x:v>
      </x:c>
    </x:row>
    <x:row r="4173" ht="75.5999984741211" hidden="0" customHeight="1">
      <x:c r="A4173" s="36" t="str">
        <x:v>H3</x:v>
      </x:c>
      <x:c r="B4173" s="36" t="str">
        <x:v>48201530600</x:v>
      </x:c>
      <x:c r="C4173" s="66" t="n">
        <x:v>290.15790585727416</x:v>
      </x:c>
      <x:c r="D4173" s="66" t="n">
        <x:v>258.0752473135979</x:v>
      </x:c>
      <x:c r="E4173" s="66" t="n">
        <x:v>32.082658543676246</x:v>
      </x:c>
      <x:c r="F4173" s="66" t="n">
        <x:v>32.082658543676246</x:v>
      </x:c>
      <x:c r="G4173" s="66" t="n">
        <x:v>290.15790585727416</x:v>
      </x:c>
      <x:c r="H4173" s="45" t="n">
        <x:v>1</x:v>
      </x:c>
      <x:c r="I4173" s="36" t="str">
        <x:v>generated design-reference observation; not predicted tract behavior</x:v>
      </x:c>
    </x:row>
    <x:row r="4174" ht="75.5999984741211" hidden="0" customHeight="1">
      <x:c r="A4174" s="34" t="str">
        <x:v>H3</x:v>
      </x:c>
      <x:c r="B4174" s="34" t="str">
        <x:v>48201530701</x:v>
      </x:c>
      <x:c r="C4174" s="65" t="n">
        <x:v>209.66428884777386</x:v>
      </x:c>
      <x:c r="D4174" s="65" t="n">
        <x:v>161.39844126452988</x:v>
      </x:c>
      <x:c r="E4174" s="65" t="n">
        <x:v>48.26584758324398</x:v>
      </x:c>
      <x:c r="F4174" s="65" t="n">
        <x:v>48.26584758324398</x:v>
      </x:c>
      <x:c r="G4174" s="65" t="n">
        <x:v>209.66428884777386</x:v>
      </x:c>
      <x:c r="H4174" s="43" t="n">
        <x:v>1</x:v>
      </x:c>
      <x:c r="I4174" s="34" t="str">
        <x:v>generated design-reference observation; not predicted tract behavior</x:v>
      </x:c>
    </x:row>
    <x:row r="4175" ht="75.5999984741211" hidden="0" customHeight="1">
      <x:c r="A4175" s="36" t="str">
        <x:v>H3</x:v>
      </x:c>
      <x:c r="B4175" s="36" t="str">
        <x:v>48201530702</x:v>
      </x:c>
      <x:c r="C4175" s="66" t="n">
        <x:v>748.8022407567258</x:v>
      </x:c>
      <x:c r="D4175" s="66" t="n">
        <x:v>319.9210645972246</x:v>
      </x:c>
      <x:c r="E4175" s="66" t="n">
        <x:v>428.88117615950125</x:v>
      </x:c>
      <x:c r="F4175" s="66" t="n">
        <x:v>428.88117615950125</x:v>
      </x:c>
      <x:c r="G4175" s="66" t="n">
        <x:v>748.8022407567258</x:v>
      </x:c>
      <x:c r="H4175" s="45" t="n">
        <x:v>1</x:v>
      </x:c>
      <x:c r="I4175" s="36" t="str">
        <x:v>generated design-reference observation; not predicted tract behavior</x:v>
      </x:c>
    </x:row>
    <x:row r="4176" ht="75.5999984741211" hidden="0" customHeight="1">
      <x:c r="A4176" s="34" t="str">
        <x:v>H3</x:v>
      </x:c>
      <x:c r="B4176" s="34" t="str">
        <x:v>48201530800</x:v>
      </x:c>
      <x:c r="C4176" s="65" t="n">
        <x:v>316.59734448623203</x:v>
      </x:c>
      <x:c r="D4176" s="65" t="n">
        <x:v>281.43572246096994</x:v>
      </x:c>
      <x:c r="E4176" s="65" t="n">
        <x:v>35.16162202526209</x:v>
      </x:c>
      <x:c r="F4176" s="65" t="n">
        <x:v>35.16162202526209</x:v>
      </x:c>
      <x:c r="G4176" s="65" t="n">
        <x:v>316.59734448623203</x:v>
      </x:c>
      <x:c r="H4176" s="43" t="n">
        <x:v>1</x:v>
      </x:c>
      <x:c r="I4176" s="34" t="str">
        <x:v>generated design-reference observation; not predicted tract behavior</x:v>
      </x:c>
    </x:row>
    <x:row r="4177" ht="75.5999984741211" hidden="0" customHeight="1">
      <x:c r="A4177" s="36" t="str">
        <x:v>H3</x:v>
      </x:c>
      <x:c r="B4177" s="36" t="str">
        <x:v>48201530900</x:v>
      </x:c>
      <x:c r="C4177" s="66" t="n">
        <x:v>373.5946123034743</x:v>
      </x:c>
      <x:c r="D4177" s="66" t="n">
        <x:v>333.0487570372486</x:v>
      </x:c>
      <x:c r="E4177" s="66" t="n">
        <x:v>40.545855266225715</x:v>
      </x:c>
      <x:c r="F4177" s="66" t="n">
        <x:v>40.545855266225715</x:v>
      </x:c>
      <x:c r="G4177" s="66" t="n">
        <x:v>373.5946123034743</x:v>
      </x:c>
      <x:c r="H4177" s="45" t="n">
        <x:v>1</x:v>
      </x:c>
      <x:c r="I4177" s="36" t="str">
        <x:v>generated design-reference observation; not predicted tract behavior</x:v>
      </x:c>
    </x:row>
    <x:row r="4178" ht="75.5999984741211" hidden="0" customHeight="1">
      <x:c r="A4178" s="34" t="str">
        <x:v>H3</x:v>
      </x:c>
      <x:c r="B4178" s="34" t="str">
        <x:v>48201531000</x:v>
      </x:c>
      <x:c r="C4178" s="65" t="n">
        <x:v>401.3858890549593</x:v>
      </x:c>
      <x:c r="D4178" s="65" t="n">
        <x:v>358.1375988432809</x:v>
      </x:c>
      <x:c r="E4178" s="65" t="n">
        <x:v>43.24829021167841</x:v>
      </x:c>
      <x:c r="F4178" s="65" t="n">
        <x:v>43.24829021167841</x:v>
      </x:c>
      <x:c r="G4178" s="65" t="n">
        <x:v>401.3858890549593</x:v>
      </x:c>
      <x:c r="H4178" s="43" t="n">
        <x:v>1</x:v>
      </x:c>
      <x:c r="I4178" s="34" t="str">
        <x:v>generated design-reference observation; not predicted tract behavior</x:v>
      </x:c>
    </x:row>
    <x:row r="4179" ht="75.5999984741211" hidden="0" customHeight="1">
      <x:c r="A4179" s="36" t="str">
        <x:v>H3</x:v>
      </x:c>
      <x:c r="B4179" s="36" t="str">
        <x:v>48201531100</x:v>
      </x:c>
      <x:c r="C4179" s="66" t="n">
        <x:v>283.4694509603528</x:v>
      </x:c>
      <x:c r="D4179" s="66" t="n">
        <x:v>252.902496834483</x:v>
      </x:c>
      <x:c r="E4179" s="66" t="n">
        <x:v>30.566954125869785</x:v>
      </x:c>
      <x:c r="F4179" s="66" t="n">
        <x:v>30.566954125869785</x:v>
      </x:c>
      <x:c r="G4179" s="66" t="n">
        <x:v>283.4694509603528</x:v>
      </x:c>
      <x:c r="H4179" s="45" t="n">
        <x:v>1</x:v>
      </x:c>
      <x:c r="I4179" s="36" t="str">
        <x:v>generated design-reference observation; not predicted tract behavior</x:v>
      </x:c>
    </x:row>
    <x:row r="4180" ht="75.5999984741211" hidden="0" customHeight="1">
      <x:c r="A4180" s="34" t="str">
        <x:v>H3</x:v>
      </x:c>
      <x:c r="B4180" s="34" t="str">
        <x:v>48201531200</x:v>
      </x:c>
      <x:c r="C4180" s="65" t="n">
        <x:v>658.0924517461251</x:v>
      </x:c>
      <x:c r="D4180" s="65" t="n">
        <x:v>281.04040862312115</x:v>
      </x:c>
      <x:c r="E4180" s="65" t="n">
        <x:v>377.05204312300395</x:v>
      </x:c>
      <x:c r="F4180" s="65" t="n">
        <x:v>377.05204312300395</x:v>
      </x:c>
      <x:c r="G4180" s="65" t="n">
        <x:v>658.0924517461251</x:v>
      </x:c>
      <x:c r="H4180" s="43" t="n">
        <x:v>1</x:v>
      </x:c>
      <x:c r="I4180" s="34" t="str">
        <x:v>generated design-reference observation; not predicted tract behavior</x:v>
      </x:c>
    </x:row>
    <x:row r="4181" ht="75.5999984741211" hidden="0" customHeight="1">
      <x:c r="A4181" s="36" t="str">
        <x:v>H3</x:v>
      </x:c>
      <x:c r="B4181" s="36" t="str">
        <x:v>48201531300</x:v>
      </x:c>
      <x:c r="C4181" s="66" t="n">
        <x:v>408.8602963486985</x:v>
      </x:c>
      <x:c r="D4181" s="66" t="n">
        <x:v>362.6914205336814</x:v>
      </x:c>
      <x:c r="E4181" s="66" t="n">
        <x:v>46.16887581501709</x:v>
      </x:c>
      <x:c r="F4181" s="66" t="n">
        <x:v>46.16887581501709</x:v>
      </x:c>
      <x:c r="G4181" s="66" t="n">
        <x:v>408.8602963486985</x:v>
      </x:c>
      <x:c r="H4181" s="45" t="n">
        <x:v>1</x:v>
      </x:c>
      <x:c r="I4181" s="36" t="str">
        <x:v>generated design-reference observation; not predicted tract behavior</x:v>
      </x:c>
    </x:row>
    <x:row r="4182" ht="75.5999984741211" hidden="0" customHeight="1">
      <x:c r="A4182" s="34" t="str">
        <x:v>H3</x:v>
      </x:c>
      <x:c r="B4182" s="34" t="str">
        <x:v>48201531400</x:v>
      </x:c>
      <x:c r="C4182" s="65" t="n">
        <x:v>309.1289829801605</x:v>
      </x:c>
      <x:c r="D4182" s="65" t="n">
        <x:v>240.23541891243784</x:v>
      </x:c>
      <x:c r="E4182" s="65" t="n">
        <x:v>68.89356406772268</x:v>
      </x:c>
      <x:c r="F4182" s="65" t="n">
        <x:v>68.89356406772268</x:v>
      </x:c>
      <x:c r="G4182" s="65" t="n">
        <x:v>309.1289829801605</x:v>
      </x:c>
      <x:c r="H4182" s="43" t="n">
        <x:v>1</x:v>
      </x:c>
      <x:c r="I4182" s="34" t="str">
        <x:v>generated design-reference observation; not predicted tract behavior</x:v>
      </x:c>
    </x:row>
    <x:row r="4183" ht="75.5999984741211" hidden="0" customHeight="1">
      <x:c r="A4183" s="36" t="str">
        <x:v>H3</x:v>
      </x:c>
      <x:c r="B4183" s="36" t="str">
        <x:v>48201531500</x:v>
      </x:c>
      <x:c r="C4183" s="66" t="n">
        <x:v>211.1461114051592</x:v>
      </x:c>
      <x:c r="D4183" s="66" t="n">
        <x:v>187.96042493926254</x:v>
      </x:c>
      <x:c r="E4183" s="66" t="n">
        <x:v>23.18568646589665</x:v>
      </x:c>
      <x:c r="F4183" s="66" t="n">
        <x:v>23.18568646589665</x:v>
      </x:c>
      <x:c r="G4183" s="66" t="n">
        <x:v>211.1461114051592</x:v>
      </x:c>
      <x:c r="H4183" s="45" t="n">
        <x:v>1</x:v>
      </x:c>
      <x:c r="I4183" s="36" t="str">
        <x:v>generated design-reference observation; not predicted tract behavior</x:v>
      </x:c>
    </x:row>
    <x:row r="4184" ht="75.5999984741211" hidden="0" customHeight="1">
      <x:c r="A4184" s="34" t="str">
        <x:v>H3</x:v>
      </x:c>
      <x:c r="B4184" s="34" t="str">
        <x:v>48201531600</x:v>
      </x:c>
      <x:c r="C4184" s="65" t="n">
        <x:v>514.8882975732824</x:v>
      </x:c>
      <x:c r="D4184" s="65" t="n">
        <x:v>219.87268554042362</x:v>
      </x:c>
      <x:c r="E4184" s="65" t="n">
        <x:v>295.0156120328588</x:v>
      </x:c>
      <x:c r="F4184" s="65" t="n">
        <x:v>295.0156120328588</x:v>
      </x:c>
      <x:c r="G4184" s="65" t="n">
        <x:v>514.8882975732824</x:v>
      </x:c>
      <x:c r="H4184" s="43" t="n">
        <x:v>1</x:v>
      </x:c>
      <x:c r="I4184" s="34" t="str">
        <x:v>generated design-reference observation; not predicted tract behavior</x:v>
      </x:c>
    </x:row>
    <x:row r="4185" ht="75.5999984741211" hidden="0" customHeight="1">
      <x:c r="A4185" s="36" t="str">
        <x:v>H3</x:v>
      </x:c>
      <x:c r="B4185" s="36" t="str">
        <x:v>48201531700</x:v>
      </x:c>
      <x:c r="C4185" s="66" t="n">
        <x:v>309.90103006534264</x:v>
      </x:c>
      <x:c r="D4185" s="66" t="n">
        <x:v>276.741619848351</x:v>
      </x:c>
      <x:c r="E4185" s="66" t="n">
        <x:v>33.15941021699166</x:v>
      </x:c>
      <x:c r="F4185" s="66" t="n">
        <x:v>33.15941021699166</x:v>
      </x:c>
      <x:c r="G4185" s="66" t="n">
        <x:v>309.90103006534264</x:v>
      </x:c>
      <x:c r="H4185" s="45" t="n">
        <x:v>1</x:v>
      </x:c>
      <x:c r="I4185" s="36" t="str">
        <x:v>generated design-reference observation; not predicted tract behavior</x:v>
      </x:c>
    </x:row>
    <x:row r="4186" ht="75.5999984741211" hidden="0" customHeight="1">
      <x:c r="A4186" s="34" t="str">
        <x:v>H3</x:v>
      </x:c>
      <x:c r="B4186" s="34" t="str">
        <x:v>48201531800</x:v>
      </x:c>
      <x:c r="C4186" s="65" t="n">
        <x:v>238.23789052347612</x:v>
      </x:c>
      <x:c r="D4186" s="65" t="n">
        <x:v>212.7076079905463</x:v>
      </x:c>
      <x:c r="E4186" s="65" t="n">
        <x:v>25.530282532929817</x:v>
      </x:c>
      <x:c r="F4186" s="65" t="n">
        <x:v>25.530282532929817</x:v>
      </x:c>
      <x:c r="G4186" s="65" t="n">
        <x:v>238.23789052347612</x:v>
      </x:c>
      <x:c r="H4186" s="43" t="n">
        <x:v>1</x:v>
      </x:c>
      <x:c r="I4186" s="34" t="str">
        <x:v>generated design-reference observation; not predicted tract behavior</x:v>
      </x:c>
    </x:row>
    <x:row r="4187" ht="75.5999984741211" hidden="0" customHeight="1">
      <x:c r="A4187" s="36" t="str">
        <x:v>H3</x:v>
      </x:c>
      <x:c r="B4187" s="36" t="str">
        <x:v>48201531900</x:v>
      </x:c>
      <x:c r="C4187" s="66" t="n">
        <x:v>501.44548869386057</x:v>
      </x:c>
      <x:c r="D4187" s="66" t="n">
        <x:v>447.15470733956744</x:v>
      </x:c>
      <x:c r="E4187" s="66" t="n">
        <x:v>54.29078135429313</x:v>
      </x:c>
      <x:c r="F4187" s="66" t="n">
        <x:v>54.29078135429313</x:v>
      </x:c>
      <x:c r="G4187" s="66" t="n">
        <x:v>501.44548869386057</x:v>
      </x:c>
      <x:c r="H4187" s="45" t="n">
        <x:v>1</x:v>
      </x:c>
      <x:c r="I4187" s="36" t="str">
        <x:v>generated design-reference observation; not predicted tract behavior</x:v>
      </x:c>
    </x:row>
    <x:row r="4188" ht="75.5999984741211" hidden="0" customHeight="1">
      <x:c r="A4188" s="34" t="str">
        <x:v>H3</x:v>
      </x:c>
      <x:c r="B4188" s="34" t="str">
        <x:v>48201532003</x:v>
      </x:c>
      <x:c r="C4188" s="65" t="n">
        <x:v>563.902102775154</x:v>
      </x:c>
      <x:c r="D4188" s="65" t="n">
        <x:v>437.7952056137236</x:v>
      </x:c>
      <x:c r="E4188" s="65" t="n">
        <x:v>126.10689716143042</x:v>
      </x:c>
      <x:c r="F4188" s="65" t="n">
        <x:v>126.10689716143042</x:v>
      </x:c>
      <x:c r="G4188" s="65" t="n">
        <x:v>563.902102775154</x:v>
      </x:c>
      <x:c r="H4188" s="43" t="n">
        <x:v>1</x:v>
      </x:c>
      <x:c r="I4188" s="34" t="str">
        <x:v>generated design-reference observation; not predicted tract behavior</x:v>
      </x:c>
    </x:row>
    <x:row r="4189" ht="75.5999984741211" hidden="0" customHeight="1">
      <x:c r="A4189" s="36" t="str">
        <x:v>H3</x:v>
      </x:c>
      <x:c r="B4189" s="36" t="str">
        <x:v>48201532004</x:v>
      </x:c>
      <x:c r="C4189" s="66" t="n">
        <x:v>775.0403546563451</x:v>
      </x:c>
      <x:c r="D4189" s="66" t="n">
        <x:v>601.4745920990096</x:v>
      </x:c>
      <x:c r="E4189" s="66" t="n">
        <x:v>173.56576255733557</x:v>
      </x:c>
      <x:c r="F4189" s="66" t="n">
        <x:v>173.56576255733557</x:v>
      </x:c>
      <x:c r="G4189" s="66" t="n">
        <x:v>775.0403546563451</x:v>
      </x:c>
      <x:c r="H4189" s="45" t="n">
        <x:v>1</x:v>
      </x:c>
      <x:c r="I4189" s="36" t="str">
        <x:v>generated design-reference observation; not predicted tract behavior</x:v>
      </x:c>
    </x:row>
    <x:row r="4190" ht="75.5999984741211" hidden="0" customHeight="1">
      <x:c r="A4190" s="34" t="str">
        <x:v>H3</x:v>
      </x:c>
      <x:c r="B4190" s="34" t="str">
        <x:v>48201532101</x:v>
      </x:c>
      <x:c r="C4190" s="65" t="n">
        <x:v>304.54083471904374</x:v>
      </x:c>
      <x:c r="D4190" s="65" t="n">
        <x:v>270.75020330101637</x:v>
      </x:c>
      <x:c r="E4190" s="65" t="n">
        <x:v>33.790631418027374</x:v>
      </x:c>
      <x:c r="F4190" s="65" t="n">
        <x:v>33.790631418027374</x:v>
      </x:c>
      <x:c r="G4190" s="65" t="n">
        <x:v>304.54083471904374</x:v>
      </x:c>
      <x:c r="H4190" s="43" t="n">
        <x:v>1</x:v>
      </x:c>
      <x:c r="I4190" s="34" t="str">
        <x:v>generated design-reference observation; not predicted tract behavior</x:v>
      </x:c>
    </x:row>
    <x:row r="4191" ht="75.5999984741211" hidden="0" customHeight="1">
      <x:c r="A4191" s="36" t="str">
        <x:v>H3</x:v>
      </x:c>
      <x:c r="B4191" s="36" t="str">
        <x:v>48201532102</x:v>
      </x:c>
      <x:c r="C4191" s="66" t="n">
        <x:v>265.63619107655217</x:v>
      </x:c>
      <x:c r="D4191" s="66" t="n">
        <x:v>235.423968838294</x:v>
      </x:c>
      <x:c r="E4191" s="66" t="n">
        <x:v>30.212222238258164</x:v>
      </x:c>
      <x:c r="F4191" s="66" t="n">
        <x:v>30.212222238258164</x:v>
      </x:c>
      <x:c r="G4191" s="66" t="n">
        <x:v>265.63619107655217</x:v>
      </x:c>
      <x:c r="H4191" s="45" t="n">
        <x:v>1</x:v>
      </x:c>
      <x:c r="I4191" s="36" t="str">
        <x:v>generated design-reference observation; not predicted tract behavior</x:v>
      </x:c>
    </x:row>
    <x:row r="4192" ht="75.5999984741211" hidden="0" customHeight="1">
      <x:c r="A4192" s="34" t="str">
        <x:v>H3</x:v>
      </x:c>
      <x:c r="B4192" s="34" t="str">
        <x:v>48201532200</x:v>
      </x:c>
      <x:c r="C4192" s="65" t="n">
        <x:v>288.77855940085846</x:v>
      </x:c>
      <x:c r="D4192" s="65" t="n">
        <x:v>256.8316190774401</x:v>
      </x:c>
      <x:c r="E4192" s="65" t="n">
        <x:v>31.946940323418346</x:v>
      </x:c>
      <x:c r="F4192" s="65" t="n">
        <x:v>31.946940323418346</x:v>
      </x:c>
      <x:c r="G4192" s="65" t="n">
        <x:v>288.77855940085846</x:v>
      </x:c>
      <x:c r="H4192" s="43" t="n">
        <x:v>1</x:v>
      </x:c>
      <x:c r="I4192" s="34" t="str">
        <x:v>generated design-reference observation; not predicted tract behavior</x:v>
      </x:c>
    </x:row>
    <x:row r="4193" ht="75.5999984741211" hidden="0" customHeight="1">
      <x:c r="A4193" s="36" t="str">
        <x:v>H3</x:v>
      </x:c>
      <x:c r="B4193" s="36" t="str">
        <x:v>48201532301</x:v>
      </x:c>
      <x:c r="C4193" s="66" t="n">
        <x:v>819.2066473061499</x:v>
      </x:c>
      <x:c r="D4193" s="66" t="n">
        <x:v>348.9467968470773</x:v>
      </x:c>
      <x:c r="E4193" s="66" t="n">
        <x:v>470.2598504590726</x:v>
      </x:c>
      <x:c r="F4193" s="66" t="n">
        <x:v>470.2598504590726</x:v>
      </x:c>
      <x:c r="G4193" s="66" t="n">
        <x:v>819.2066473061499</x:v>
      </x:c>
      <x:c r="H4193" s="45" t="n">
        <x:v>1</x:v>
      </x:c>
      <x:c r="I4193" s="36" t="str">
        <x:v>generated design-reference observation; not predicted tract behavior</x:v>
      </x:c>
    </x:row>
    <x:row r="4194" ht="75.5999984741211" hidden="0" customHeight="1">
      <x:c r="A4194" s="34" t="str">
        <x:v>H3</x:v>
      </x:c>
      <x:c r="B4194" s="34" t="str">
        <x:v>48201532302</x:v>
      </x:c>
      <x:c r="C4194" s="65" t="n">
        <x:v>758.7475614703077</x:v>
      </x:c>
      <x:c r="D4194" s="65" t="n">
        <x:v>324.05172023618854</x:v>
      </x:c>
      <x:c r="E4194" s="65" t="n">
        <x:v>434.69584123411914</x:v>
      </x:c>
      <x:c r="F4194" s="65" t="n">
        <x:v>434.69584123411914</x:v>
      </x:c>
      <x:c r="G4194" s="65" t="n">
        <x:v>758.7475614703077</x:v>
      </x:c>
      <x:c r="H4194" s="43" t="n">
        <x:v>1</x:v>
      </x:c>
      <x:c r="I4194" s="34" t="str">
        <x:v>generated design-reference observation; not predicted tract behavior</x:v>
      </x:c>
    </x:row>
    <x:row r="4195" ht="75.5999984741211" hidden="0" customHeight="1">
      <x:c r="A4195" s="36" t="str">
        <x:v>H3</x:v>
      </x:c>
      <x:c r="B4195" s="36" t="str">
        <x:v>48201532400</x:v>
      </x:c>
      <x:c r="C4195" s="66" t="n">
        <x:v>1268.4473640670576</x:v>
      </x:c>
      <x:c r="D4195" s="66" t="n">
        <x:v>541.5592335767614</x:v>
      </x:c>
      <x:c r="E4195" s="66" t="n">
        <x:v>726.8881304902962</x:v>
      </x:c>
      <x:c r="F4195" s="66" t="n">
        <x:v>726.8881304902962</x:v>
      </x:c>
      <x:c r="G4195" s="66" t="n">
        <x:v>1268.4473640670576</x:v>
      </x:c>
      <x:c r="H4195" s="45" t="n">
        <x:v>1</x:v>
      </x:c>
      <x:c r="I4195" s="36" t="str">
        <x:v>generated design-reference observation; not predicted tract behavior</x:v>
      </x:c>
    </x:row>
    <x:row r="4196" ht="75.5999984741211" hidden="0" customHeight="1">
      <x:c r="A4196" s="34" t="str">
        <x:v>H3</x:v>
      </x:c>
      <x:c r="B4196" s="34" t="str">
        <x:v>48201532502</x:v>
      </x:c>
      <x:c r="C4196" s="65" t="n">
        <x:v>460.62312120313294</x:v>
      </x:c>
      <x:c r="D4196" s="65" t="n">
        <x:v>411.33644723439767</x:v>
      </x:c>
      <x:c r="E4196" s="65" t="n">
        <x:v>49.28667396873527</x:v>
      </x:c>
      <x:c r="F4196" s="65" t="n">
        <x:v>49.28667396873527</x:v>
      </x:c>
      <x:c r="G4196" s="65" t="n">
        <x:v>460.62312120313294</x:v>
      </x:c>
      <x:c r="H4196" s="43" t="n">
        <x:v>1</x:v>
      </x:c>
      <x:c r="I4196" s="34" t="str">
        <x:v>generated design-reference observation; not predicted tract behavior</x:v>
      </x:c>
    </x:row>
    <x:row r="4197" ht="75.5999984741211" hidden="0" customHeight="1">
      <x:c r="A4197" s="36" t="str">
        <x:v>H3</x:v>
      </x:c>
      <x:c r="B4197" s="36" t="str">
        <x:v>48201532503</x:v>
      </x:c>
      <x:c r="C4197" s="66" t="n">
        <x:v>450.1935328973579</x:v>
      </x:c>
      <x:c r="D4197" s="66" t="n">
        <x:v>402.02282487734055</x:v>
      </x:c>
      <x:c r="E4197" s="66" t="n">
        <x:v>48.170708020017344</x:v>
      </x:c>
      <x:c r="F4197" s="66" t="n">
        <x:v>48.170708020017344</x:v>
      </x:c>
      <x:c r="G4197" s="66" t="n">
        <x:v>450.1935328973579</x:v>
      </x:c>
      <x:c r="H4197" s="45" t="n">
        <x:v>1</x:v>
      </x:c>
      <x:c r="I4197" s="36" t="str">
        <x:v>generated design-reference observation; not predicted tract behavior</x:v>
      </x:c>
    </x:row>
    <x:row r="4198" ht="75.5999984741211" hidden="0" customHeight="1">
      <x:c r="A4198" s="34" t="str">
        <x:v>H3</x:v>
      </x:c>
      <x:c r="B4198" s="34" t="str">
        <x:v>48201532504</x:v>
      </x:c>
      <x:c r="C4198" s="65" t="n">
        <x:v>376.3375861683692</x:v>
      </x:c>
      <x:c r="D4198" s="65" t="n">
        <x:v>336.06946444835364</x:v>
      </x:c>
      <x:c r="E4198" s="65" t="n">
        <x:v>40.268121720015586</x:v>
      </x:c>
      <x:c r="F4198" s="65" t="n">
        <x:v>40.268121720015586</x:v>
      </x:c>
      <x:c r="G4198" s="65" t="n">
        <x:v>376.3375861683692</x:v>
      </x:c>
      <x:c r="H4198" s="43" t="n">
        <x:v>1</x:v>
      </x:c>
      <x:c r="I4198" s="34" t="str">
        <x:v>generated design-reference observation; not predicted tract behavior</x:v>
      </x:c>
    </x:row>
    <x:row r="4199" ht="75.5999984741211" hidden="0" customHeight="1">
      <x:c r="A4199" s="36" t="str">
        <x:v>H3</x:v>
      </x:c>
      <x:c r="B4199" s="36" t="str">
        <x:v>48201532600</x:v>
      </x:c>
      <x:c r="C4199" s="66" t="n">
        <x:v>517.1566771062525</x:v>
      </x:c>
      <x:c r="D4199" s="66" t="n">
        <x:v>459.9398773877574</x:v>
      </x:c>
      <x:c r="E4199" s="66" t="n">
        <x:v>57.216799718495054</x:v>
      </x:c>
      <x:c r="F4199" s="66" t="n">
        <x:v>57.216799718495054</x:v>
      </x:c>
      <x:c r="G4199" s="66" t="n">
        <x:v>517.1566771062525</x:v>
      </x:c>
      <x:c r="H4199" s="45" t="n">
        <x:v>1</x:v>
      </x:c>
      <x:c r="I4199" s="36" t="str">
        <x:v>generated design-reference observation; not predicted tract behavior</x:v>
      </x:c>
    </x:row>
    <x:row r="4200" ht="75.5999984741211" hidden="0" customHeight="1">
      <x:c r="A4200" s="34" t="str">
        <x:v>H3</x:v>
      </x:c>
      <x:c r="B4200" s="34" t="str">
        <x:v>48201532700</x:v>
      </x:c>
      <x:c r="C4200" s="65" t="n">
        <x:v>446.271630437236</x:v>
      </x:c>
      <x:c r="D4200" s="65" t="n">
        <x:v>397.7565087402797</x:v>
      </x:c>
      <x:c r="E4200" s="65" t="n">
        <x:v>48.51512169695633</x:v>
      </x:c>
      <x:c r="F4200" s="65" t="n">
        <x:v>48.51512169695633</x:v>
      </x:c>
      <x:c r="G4200" s="65" t="n">
        <x:v>446.271630437236</x:v>
      </x:c>
      <x:c r="H4200" s="43" t="n">
        <x:v>1</x:v>
      </x:c>
      <x:c r="I4200" s="34" t="str">
        <x:v>generated design-reference observation; not predicted tract behavior</x:v>
      </x:c>
    </x:row>
    <x:row r="4201" ht="75.5999984741211" hidden="0" customHeight="1">
      <x:c r="A4201" s="36" t="str">
        <x:v>H3</x:v>
      </x:c>
      <x:c r="B4201" s="36" t="str">
        <x:v>48201532800</x:v>
      </x:c>
      <x:c r="C4201" s="66" t="n">
        <x:v>330.37629915998525</x:v>
      </x:c>
      <x:c r="D4201" s="66" t="n">
        <x:v>257.02400553268404</x:v>
      </x:c>
      <x:c r="E4201" s="66" t="n">
        <x:v>73.35229362730121</x:v>
      </x:c>
      <x:c r="F4201" s="66" t="n">
        <x:v>73.35229362730121</x:v>
      </x:c>
      <x:c r="G4201" s="66" t="n">
        <x:v>330.37629915998525</x:v>
      </x:c>
      <x:c r="H4201" s="45" t="n">
        <x:v>1</x:v>
      </x:c>
      <x:c r="I4201" s="36" t="str">
        <x:v>generated design-reference observation; not predicted tract behavior</x:v>
      </x:c>
    </x:row>
    <x:row r="4202" ht="75.5999984741211" hidden="0" customHeight="1">
      <x:c r="A4202" s="34" t="str">
        <x:v>H3</x:v>
      </x:c>
      <x:c r="B4202" s="34" t="str">
        <x:v>48201532900</x:v>
      </x:c>
      <x:c r="C4202" s="65" t="n">
        <x:v>417.58829771536256</x:v>
      </x:c>
      <x:c r="D4202" s="65" t="n">
        <x:v>372.4801711742647</x:v>
      </x:c>
      <x:c r="E4202" s="65" t="n">
        <x:v>45.108126541097874</x:v>
      </x:c>
      <x:c r="F4202" s="65" t="n">
        <x:v>45.108126541097874</x:v>
      </x:c>
      <x:c r="G4202" s="65" t="n">
        <x:v>417.58829771536256</x:v>
      </x:c>
      <x:c r="H4202" s="43" t="n">
        <x:v>1</x:v>
      </x:c>
      <x:c r="I4202" s="34" t="str">
        <x:v>generated design-reference observation; not predicted tract behavior</x:v>
      </x:c>
    </x:row>
    <x:row r="4203" ht="75.5999984741211" hidden="0" customHeight="1">
      <x:c r="A4203" s="36" t="str">
        <x:v>H3</x:v>
      </x:c>
      <x:c r="B4203" s="36" t="str">
        <x:v>48201533000</x:v>
      </x:c>
      <x:c r="C4203" s="66" t="n">
        <x:v>208.6310637353416</x:v>
      </x:c>
      <x:c r="D4203" s="66" t="n">
        <x:v>185.5725799390763</x:v>
      </x:c>
      <x:c r="E4203" s="66" t="n">
        <x:v>23.058483796265307</x:v>
      </x:c>
      <x:c r="F4203" s="66" t="n">
        <x:v>23.058483796265307</x:v>
      </x:c>
      <x:c r="G4203" s="66" t="n">
        <x:v>208.6310637353416</x:v>
      </x:c>
      <x:c r="H4203" s="45" t="n">
        <x:v>1</x:v>
      </x:c>
      <x:c r="I4203" s="36" t="str">
        <x:v>generated design-reference observation; not predicted tract behavior</x:v>
      </x:c>
    </x:row>
    <x:row r="4204" ht="75.5999984741211" hidden="0" customHeight="1">
      <x:c r="A4204" s="34" t="str">
        <x:v>H3</x:v>
      </x:c>
      <x:c r="B4204" s="34" t="str">
        <x:v>48201533100</x:v>
      </x:c>
      <x:c r="C4204" s="65" t="n">
        <x:v>712.7527203403674</x:v>
      </x:c>
      <x:c r="D4204" s="65" t="n">
        <x:v>635.5408975255787</x:v>
      </x:c>
      <x:c r="E4204" s="65" t="n">
        <x:v>77.21182281478877</x:v>
      </x:c>
      <x:c r="F4204" s="65" t="n">
        <x:v>77.21182281478877</x:v>
      </x:c>
      <x:c r="G4204" s="65" t="n">
        <x:v>712.7527203403674</x:v>
      </x:c>
      <x:c r="H4204" s="43" t="n">
        <x:v>1</x:v>
      </x:c>
      <x:c r="I4204" s="34" t="str">
        <x:v>generated design-reference observation; not predicted tract behavior</x:v>
      </x:c>
    </x:row>
    <x:row r="4205" ht="75.5999984741211" hidden="0" customHeight="1">
      <x:c r="A4205" s="36" t="str">
        <x:v>H3</x:v>
      </x:c>
      <x:c r="B4205" s="36" t="str">
        <x:v>48201533200</x:v>
      </x:c>
      <x:c r="C4205" s="66" t="n">
        <x:v>305.7079740283186</x:v>
      </x:c>
      <x:c r="D4205" s="66" t="n">
        <x:v>272.1861056760992</x:v>
      </x:c>
      <x:c r="E4205" s="66" t="n">
        <x:v>33.52186835221937</x:v>
      </x:c>
      <x:c r="F4205" s="66" t="n">
        <x:v>33.52186835221937</x:v>
      </x:c>
      <x:c r="G4205" s="66" t="n">
        <x:v>305.7079740283186</x:v>
      </x:c>
      <x:c r="H4205" s="45" t="n">
        <x:v>1</x:v>
      </x:c>
      <x:c r="I4205" s="36" t="str">
        <x:v>generated design-reference observation; not predicted tract behavior</x:v>
      </x:c>
    </x:row>
    <x:row r="4206" ht="75.5999984741211" hidden="0" customHeight="1">
      <x:c r="A4206" s="34" t="str">
        <x:v>H3</x:v>
      </x:c>
      <x:c r="B4206" s="34" t="str">
        <x:v>48201533301</x:v>
      </x:c>
      <x:c r="C4206" s="65" t="n">
        <x:v>258.4840242655081</x:v>
      </x:c>
      <x:c r="D4206" s="65" t="n">
        <x:v>230.02387535685853</x:v>
      </x:c>
      <x:c r="E4206" s="65" t="n">
        <x:v>28.460148908649558</x:v>
      </x:c>
      <x:c r="F4206" s="65" t="n">
        <x:v>28.460148908649558</x:v>
      </x:c>
      <x:c r="G4206" s="65" t="n">
        <x:v>258.4840242655081</x:v>
      </x:c>
      <x:c r="H4206" s="43" t="n">
        <x:v>1</x:v>
      </x:c>
      <x:c r="I4206" s="34" t="str">
        <x:v>generated design-reference observation; not predicted tract behavior</x:v>
      </x:c>
    </x:row>
    <x:row r="4207" ht="75.5999984741211" hidden="0" customHeight="1">
      <x:c r="A4207" s="36" t="str">
        <x:v>H3</x:v>
      </x:c>
      <x:c r="B4207" s="36" t="str">
        <x:v>48201533302</x:v>
      </x:c>
      <x:c r="C4207" s="66" t="n">
        <x:v>320.2991802752449</x:v>
      </x:c>
      <x:c r="D4207" s="66" t="n">
        <x:v>285.47539926457284</x:v>
      </x:c>
      <x:c r="E4207" s="66" t="n">
        <x:v>34.823781010672064</x:v>
      </x:c>
      <x:c r="F4207" s="66" t="n">
        <x:v>34.823781010672064</x:v>
      </x:c>
      <x:c r="G4207" s="66" t="n">
        <x:v>320.2991802752449</x:v>
      </x:c>
      <x:c r="H4207" s="45" t="n">
        <x:v>1</x:v>
      </x:c>
      <x:c r="I4207" s="36" t="str">
        <x:v>generated design-reference observation; not predicted tract behavior</x:v>
      </x:c>
    </x:row>
    <x:row r="4208" ht="75.5999984741211" hidden="0" customHeight="1">
      <x:c r="A4208" s="34" t="str">
        <x:v>H3</x:v>
      </x:c>
      <x:c r="B4208" s="34" t="str">
        <x:v>48201533401</x:v>
      </x:c>
      <x:c r="C4208" s="65" t="n">
        <x:v>343.50442479129674</x:v>
      </x:c>
      <x:c r="D4208" s="65" t="n">
        <x:v>306.58283255586747</x:v>
      </x:c>
      <x:c r="E4208" s="65" t="n">
        <x:v>36.92159223542927</x:v>
      </x:c>
      <x:c r="F4208" s="65" t="n">
        <x:v>36.92159223542927</x:v>
      </x:c>
      <x:c r="G4208" s="65" t="n">
        <x:v>343.50442479129674</x:v>
      </x:c>
      <x:c r="H4208" s="43" t="n">
        <x:v>1</x:v>
      </x:c>
      <x:c r="I4208" s="34" t="str">
        <x:v>generated design-reference observation; not predicted tract behavior</x:v>
      </x:c>
    </x:row>
    <x:row r="4209" ht="75.5999984741211" hidden="0" customHeight="1">
      <x:c r="A4209" s="36" t="str">
        <x:v>H3</x:v>
      </x:c>
      <x:c r="B4209" s="36" t="str">
        <x:v>48201533402</x:v>
      </x:c>
      <x:c r="C4209" s="66" t="n">
        <x:v>520.9056700390745</x:v>
      </x:c>
      <x:c r="D4209" s="66" t="n">
        <x:v>465.1687633448935</x:v>
      </x:c>
      <x:c r="E4209" s="66" t="n">
        <x:v>55.736906694181016</x:v>
      </x:c>
      <x:c r="F4209" s="66" t="n">
        <x:v>55.736906694181016</x:v>
      </x:c>
      <x:c r="G4209" s="66" t="n">
        <x:v>520.9056700390745</x:v>
      </x:c>
      <x:c r="H4209" s="45" t="n">
        <x:v>1</x:v>
      </x:c>
      <x:c r="I4209" s="36" t="str">
        <x:v>generated design-reference observation; not predicted tract behavior</x:v>
      </x:c>
    </x:row>
    <x:row r="4210" ht="75.5999984741211" hidden="0" customHeight="1">
      <x:c r="A4210" s="34" t="str">
        <x:v>H3</x:v>
      </x:c>
      <x:c r="B4210" s="34" t="str">
        <x:v>48201533500</x:v>
      </x:c>
      <x:c r="C4210" s="65" t="n">
        <x:v>337.2993306184185</x:v>
      </x:c>
      <x:c r="D4210" s="65" t="n">
        <x:v>301.20830224224767</x:v>
      </x:c>
      <x:c r="E4210" s="65" t="n">
        <x:v>36.09102837617081</x:v>
      </x:c>
      <x:c r="F4210" s="65" t="n">
        <x:v>36.09102837617081</x:v>
      </x:c>
      <x:c r="G4210" s="65" t="n">
        <x:v>337.2993306184185</x:v>
      </x:c>
      <x:c r="H4210" s="43" t="n">
        <x:v>1</x:v>
      </x:c>
      <x:c r="I4210" s="34" t="str">
        <x:v>generated design-reference observation; not predicted tract behavior</x:v>
      </x:c>
    </x:row>
    <x:row r="4211" ht="75.5999984741211" hidden="0" customHeight="1">
      <x:c r="A4211" s="36" t="str">
        <x:v>H3</x:v>
      </x:c>
      <x:c r="B4211" s="36" t="str">
        <x:v>48201533600</x:v>
      </x:c>
      <x:c r="C4211" s="66" t="n">
        <x:v>436.6594326241517</x:v>
      </x:c>
      <x:c r="D4211" s="66" t="n">
        <x:v>389.3931899214055</x:v>
      </x:c>
      <x:c r="E4211" s="66" t="n">
        <x:v>47.26624270274618</x:v>
      </x:c>
      <x:c r="F4211" s="66" t="n">
        <x:v>47.26624270274618</x:v>
      </x:c>
      <x:c r="G4211" s="66" t="n">
        <x:v>436.6594326241517</x:v>
      </x:c>
      <x:c r="H4211" s="45" t="n">
        <x:v>1</x:v>
      </x:c>
      <x:c r="I4211" s="36" t="str">
        <x:v>generated design-reference observation; not predicted tract behavior</x:v>
      </x:c>
    </x:row>
    <x:row r="4212" ht="75.5999984741211" hidden="0" customHeight="1">
      <x:c r="A4212" s="34" t="str">
        <x:v>H3</x:v>
      </x:c>
      <x:c r="B4212" s="34" t="str">
        <x:v>48201533701</x:v>
      </x:c>
      <x:c r="C4212" s="65" t="n">
        <x:v>579.3097926466212</x:v>
      </x:c>
      <x:c r="D4212" s="65" t="n">
        <x:v>515.2380111886793</x:v>
      </x:c>
      <x:c r="E4212" s="65" t="n">
        <x:v>64.07178145794194</x:v>
      </x:c>
      <x:c r="F4212" s="65" t="n">
        <x:v>64.07178145794194</x:v>
      </x:c>
      <x:c r="G4212" s="65" t="n">
        <x:v>579.3097926466212</x:v>
      </x:c>
      <x:c r="H4212" s="43" t="n">
        <x:v>1</x:v>
      </x:c>
      <x:c r="I4212" s="34" t="str">
        <x:v>generated design-reference observation; not predicted tract behavior</x:v>
      </x:c>
    </x:row>
    <x:row r="4213" ht="75.5999984741211" hidden="0" customHeight="1">
      <x:c r="A4213" s="36" t="str">
        <x:v>H3</x:v>
      </x:c>
      <x:c r="B4213" s="36" t="str">
        <x:v>48201533702</x:v>
      </x:c>
      <x:c r="C4213" s="66" t="n">
        <x:v>261.75358623627113</x:v>
      </x:c>
      <x:c r="D4213" s="66" t="n">
        <x:v>233.7459525089901</x:v>
      </x:c>
      <x:c r="E4213" s="66" t="n">
        <x:v>28.007633727281046</x:v>
      </x:c>
      <x:c r="F4213" s="66" t="n">
        <x:v>28.007633727281046</x:v>
      </x:c>
      <x:c r="G4213" s="66" t="n">
        <x:v>261.75358623627113</x:v>
      </x:c>
      <x:c r="H4213" s="45" t="n">
        <x:v>1</x:v>
      </x:c>
      <x:c r="I4213" s="36" t="str">
        <x:v>generated design-reference observation; not predicted tract behavior</x:v>
      </x:c>
    </x:row>
    <x:row r="4214" ht="75.5999984741211" hidden="0" customHeight="1">
      <x:c r="A4214" s="34" t="str">
        <x:v>H3</x:v>
      </x:c>
      <x:c r="B4214" s="34" t="str">
        <x:v>48201533802</x:v>
      </x:c>
      <x:c r="C4214" s="65" t="n">
        <x:v>984.551685076123</x:v>
      </x:c>
      <x:c r="D4214" s="65" t="n">
        <x:v>766.9657626742999</x:v>
      </x:c>
      <x:c r="E4214" s="65" t="n">
        <x:v>217.58592240182315</x:v>
      </x:c>
      <x:c r="F4214" s="65" t="n">
        <x:v>217.58592240182315</x:v>
      </x:c>
      <x:c r="G4214" s="65" t="n">
        <x:v>984.551685076123</x:v>
      </x:c>
      <x:c r="H4214" s="43" t="n">
        <x:v>1</x:v>
      </x:c>
      <x:c r="I4214" s="34" t="str">
        <x:v>generated design-reference observation; not predicted tract behavior</x:v>
      </x:c>
    </x:row>
    <x:row r="4215" ht="75.5999984741211" hidden="0" customHeight="1">
      <x:c r="A4215" s="36" t="str">
        <x:v>H3</x:v>
      </x:c>
      <x:c r="B4215" s="36" t="str">
        <x:v>48201533803</x:v>
      </x:c>
      <x:c r="C4215" s="66" t="n">
        <x:v>1199.9389165302655</x:v>
      </x:c>
      <x:c r="D4215" s="66" t="n">
        <x:v>512.9738868166885</x:v>
      </x:c>
      <x:c r="E4215" s="66" t="n">
        <x:v>686.965029713577</x:v>
      </x:c>
      <x:c r="F4215" s="66" t="n">
        <x:v>686.965029713577</x:v>
      </x:c>
      <x:c r="G4215" s="66" t="n">
        <x:v>1199.9389165302655</x:v>
      </x:c>
      <x:c r="H4215" s="45" t="n">
        <x:v>1</x:v>
      </x:c>
      <x:c r="I4215" s="36" t="str">
        <x:v>generated design-reference observation; not predicted tract behavior</x:v>
      </x:c>
    </x:row>
    <x:row r="4216" ht="75.5999984741211" hidden="0" customHeight="1">
      <x:c r="A4216" s="34" t="str">
        <x:v>H3</x:v>
      </x:c>
      <x:c r="B4216" s="34" t="str">
        <x:v>48201533804</x:v>
      </x:c>
      <x:c r="C4216" s="65" t="n">
        <x:v>514.7045056281804</x:v>
      </x:c>
      <x:c r="D4216" s="65" t="n">
        <x:v>459.63112352596505</x:v>
      </x:c>
      <x:c r="E4216" s="65" t="n">
        <x:v>55.07338210221536</x:v>
      </x:c>
      <x:c r="F4216" s="65" t="n">
        <x:v>55.07338210221536</x:v>
      </x:c>
      <x:c r="G4216" s="65" t="n">
        <x:v>514.7045056281804</x:v>
      </x:c>
      <x:c r="H4216" s="43" t="n">
        <x:v>1</x:v>
      </x:c>
      <x:c r="I4216" s="34" t="str">
        <x:v>generated design-reference observation; not predicted tract behavior</x:v>
      </x:c>
    </x:row>
    <x:row r="4217" ht="75.5999984741211" hidden="0" customHeight="1">
      <x:c r="A4217" s="36" t="str">
        <x:v>H3</x:v>
      </x:c>
      <x:c r="B4217" s="36" t="str">
        <x:v>48201533902</x:v>
      </x:c>
      <x:c r="C4217" s="66" t="n">
        <x:v>455.9781425379384</x:v>
      </x:c>
      <x:c r="D4217" s="66" t="n">
        <x:v>405.33392107623234</x:v>
      </x:c>
      <x:c r="E4217" s="66" t="n">
        <x:v>50.64422146170608</x:v>
      </x:c>
      <x:c r="F4217" s="66" t="n">
        <x:v>50.64422146170608</x:v>
      </x:c>
      <x:c r="G4217" s="66" t="n">
        <x:v>455.9781425379384</x:v>
      </x:c>
      <x:c r="H4217" s="45" t="n">
        <x:v>1</x:v>
      </x:c>
      <x:c r="I4217" s="36" t="str">
        <x:v>generated design-reference observation; not predicted tract behavior</x:v>
      </x:c>
    </x:row>
    <x:row r="4218" ht="75.5999984741211" hidden="0" customHeight="1">
      <x:c r="A4218" s="34" t="str">
        <x:v>H3</x:v>
      </x:c>
      <x:c r="B4218" s="34" t="str">
        <x:v>48201533903</x:v>
      </x:c>
      <x:c r="C4218" s="65" t="n">
        <x:v>330.54799952975173</x:v>
      </x:c>
      <x:c r="D4218" s="65" t="n">
        <x:v>295.17936358006824</x:v>
      </x:c>
      <x:c r="E4218" s="65" t="n">
        <x:v>35.368635949683494</x:v>
      </x:c>
      <x:c r="F4218" s="65" t="n">
        <x:v>35.368635949683494</x:v>
      </x:c>
      <x:c r="G4218" s="65" t="n">
        <x:v>330.54799952975173</x:v>
      </x:c>
      <x:c r="H4218" s="43" t="n">
        <x:v>1</x:v>
      </x:c>
      <x:c r="I4218" s="34" t="str">
        <x:v>generated design-reference observation; not predicted tract behavior</x:v>
      </x:c>
    </x:row>
    <x:row r="4219" ht="75.5999984741211" hidden="0" customHeight="1">
      <x:c r="A4219" s="36" t="str">
        <x:v>H3</x:v>
      </x:c>
      <x:c r="B4219" s="36" t="str">
        <x:v>48201533904</x:v>
      </x:c>
      <x:c r="C4219" s="66" t="n">
        <x:v>354.0008190508013</x:v>
      </x:c>
      <x:c r="D4219" s="66" t="n">
        <x:v>315.77377694326935</x:v>
      </x:c>
      <x:c r="E4219" s="66" t="n">
        <x:v>38.22704210753193</x:v>
      </x:c>
      <x:c r="F4219" s="66" t="n">
        <x:v>38.22704210753193</x:v>
      </x:c>
      <x:c r="G4219" s="66" t="n">
        <x:v>354.0008190508013</x:v>
      </x:c>
      <x:c r="H4219" s="45" t="n">
        <x:v>1</x:v>
      </x:c>
      <x:c r="I4219" s="36" t="str">
        <x:v>generated design-reference observation; not predicted tract behavior</x:v>
      </x:c>
    </x:row>
    <x:row r="4220" ht="75.5999984741211" hidden="0" customHeight="1">
      <x:c r="A4220" s="34" t="str">
        <x:v>H3</x:v>
      </x:c>
      <x:c r="B4220" s="34" t="str">
        <x:v>48201534001</x:v>
      </x:c>
      <x:c r="C4220" s="65" t="n">
        <x:v>476.0344385472005</x:v>
      </x:c>
      <x:c r="D4220" s="65" t="n">
        <x:v>369.71316677148013</x:v>
      </x:c>
      <x:c r="E4220" s="65" t="n">
        <x:v>106.32127177572039</x:v>
      </x:c>
      <x:c r="F4220" s="65" t="n">
        <x:v>106.32127177572039</x:v>
      </x:c>
      <x:c r="G4220" s="65" t="n">
        <x:v>476.0344385472005</x:v>
      </x:c>
      <x:c r="H4220" s="43" t="n">
        <x:v>1</x:v>
      </x:c>
      <x:c r="I4220" s="34" t="str">
        <x:v>generated design-reference observation; not predicted tract behavior</x:v>
      </x:c>
    </x:row>
    <x:row r="4221" ht="75.5999984741211" hidden="0" customHeight="1">
      <x:c r="A4221" s="36" t="str">
        <x:v>H3</x:v>
      </x:c>
      <x:c r="B4221" s="36" t="str">
        <x:v>48201534002</x:v>
      </x:c>
      <x:c r="C4221" s="66" t="n">
        <x:v>419.0698179833646</x:v>
      </x:c>
      <x:c r="D4221" s="66" t="n">
        <x:v>374.22934745914455</x:v>
      </x:c>
      <x:c r="E4221" s="66" t="n">
        <x:v>44.84047052422005</x:v>
      </x:c>
      <x:c r="F4221" s="66" t="n">
        <x:v>44.84047052422005</x:v>
      </x:c>
      <x:c r="G4221" s="66" t="n">
        <x:v>419.0698179833646</x:v>
      </x:c>
      <x:c r="H4221" s="45" t="n">
        <x:v>1</x:v>
      </x:c>
      <x:c r="I4221" s="36" t="str">
        <x:v>generated design-reference observation; not predicted tract behavior</x:v>
      </x:c>
    </x:row>
    <x:row r="4222" ht="75.5999984741211" hidden="0" customHeight="1">
      <x:c r="A4222" s="34" t="str">
        <x:v>H3</x:v>
      </x:c>
      <x:c r="B4222" s="34" t="str">
        <x:v>48201534003</x:v>
      </x:c>
      <x:c r="C4222" s="65" t="n">
        <x:v>184.22724181414225</x:v>
      </x:c>
      <x:c r="D4222" s="65" t="n">
        <x:v>164.43840836935922</x:v>
      </x:c>
      <x:c r="E4222" s="65" t="n">
        <x:v>19.788833444783023</x:v>
      </x:c>
      <x:c r="F4222" s="65" t="n">
        <x:v>19.788833444783023</x:v>
      </x:c>
      <x:c r="G4222" s="65" t="n">
        <x:v>184.22724181414225</x:v>
      </x:c>
      <x:c r="H4222" s="43" t="n">
        <x:v>1</x:v>
      </x:c>
      <x:c r="I4222" s="34" t="str">
        <x:v>generated design-reference observation; not predicted tract behavior</x:v>
      </x:c>
    </x:row>
    <x:row r="4223" ht="75.5999984741211" hidden="0" customHeight="1">
      <x:c r="A4223" s="36" t="str">
        <x:v>H3</x:v>
      </x:c>
      <x:c r="B4223" s="36" t="str">
        <x:v>48201534101</x:v>
      </x:c>
      <x:c r="C4223" s="66" t="n">
        <x:v>236.88605240094915</x:v>
      </x:c>
      <x:c r="D4223" s="66" t="n">
        <x:v>211.5392447940476</x:v>
      </x:c>
      <x:c r="E4223" s="66" t="n">
        <x:v>25.346807606901564</x:v>
      </x:c>
      <x:c r="F4223" s="66" t="n">
        <x:v>25.346807606901564</x:v>
      </x:c>
      <x:c r="G4223" s="66" t="n">
        <x:v>236.88605240094915</x:v>
      </x:c>
      <x:c r="H4223" s="45" t="n">
        <x:v>1</x:v>
      </x:c>
      <x:c r="I4223" s="36" t="str">
        <x:v>generated design-reference observation; not predicted tract behavior</x:v>
      </x:c>
    </x:row>
    <x:row r="4224" ht="75.5999984741211" hidden="0" customHeight="1">
      <x:c r="A4224" s="34" t="str">
        <x:v>H3</x:v>
      </x:c>
      <x:c r="B4224" s="34" t="str">
        <x:v>48201534102</x:v>
      </x:c>
      <x:c r="C4224" s="65" t="n">
        <x:v>434.0815087625885</x:v>
      </x:c>
      <x:c r="D4224" s="65" t="n">
        <x:v>387.6347873249915</x:v>
      </x:c>
      <x:c r="E4224" s="65" t="n">
        <x:v>46.44672143759698</x:v>
      </x:c>
      <x:c r="F4224" s="65" t="n">
        <x:v>46.44672143759698</x:v>
      </x:c>
      <x:c r="G4224" s="65" t="n">
        <x:v>434.0815087625885</x:v>
      </x:c>
      <x:c r="H4224" s="43" t="n">
        <x:v>1</x:v>
      </x:c>
      <x:c r="I4224" s="34" t="str">
        <x:v>generated design-reference observation; not predicted tract behavior</x:v>
      </x:c>
    </x:row>
    <x:row r="4225" ht="75.5999984741211" hidden="0" customHeight="1">
      <x:c r="A4225" s="36" t="str">
        <x:v>H3</x:v>
      </x:c>
      <x:c r="B4225" s="36" t="str">
        <x:v>48201534201</x:v>
      </x:c>
      <x:c r="C4225" s="66" t="n">
        <x:v>263.451243413398</x:v>
      </x:c>
      <x:c r="D4225" s="66" t="n">
        <x:v>235.1279666996086</x:v>
      </x:c>
      <x:c r="E4225" s="66" t="n">
        <x:v>28.323276713789397</x:v>
      </x:c>
      <x:c r="F4225" s="66" t="n">
        <x:v>28.323276713789397</x:v>
      </x:c>
      <x:c r="G4225" s="66" t="n">
        <x:v>263.451243413398</x:v>
      </x:c>
      <x:c r="H4225" s="45" t="n">
        <x:v>1</x:v>
      </x:c>
      <x:c r="I4225" s="36" t="str">
        <x:v>generated design-reference observation; not predicted tract behavior</x:v>
      </x:c>
    </x:row>
    <x:row r="4226" ht="75.5999984741211" hidden="0" customHeight="1">
      <x:c r="A4226" s="34" t="str">
        <x:v>H3</x:v>
      </x:c>
      <x:c r="B4226" s="34" t="str">
        <x:v>48201534203</x:v>
      </x:c>
      <x:c r="C4226" s="65" t="n">
        <x:v>377.0673127398764</x:v>
      </x:c>
      <x:c r="D4226" s="65" t="n">
        <x:v>160.95943609034154</x:v>
      </x:c>
      <x:c r="E4226" s="65" t="n">
        <x:v>216.10787664953486</x:v>
      </x:c>
      <x:c r="F4226" s="65" t="n">
        <x:v>216.10787664953486</x:v>
      </x:c>
      <x:c r="G4226" s="65" t="n">
        <x:v>377.0673127398764</x:v>
      </x:c>
      <x:c r="H4226" s="43" t="n">
        <x:v>1</x:v>
      </x:c>
      <x:c r="I4226" s="34" t="str">
        <x:v>generated design-reference observation; not predicted tract behavior</x:v>
      </x:c>
    </x:row>
    <x:row r="4227" ht="75.5999984741211" hidden="0" customHeight="1">
      <x:c r="A4227" s="36" t="str">
        <x:v>H3</x:v>
      </x:c>
      <x:c r="B4227" s="36" t="str">
        <x:v>48201534204</x:v>
      </x:c>
      <x:c r="C4227" s="66" t="n">
        <x:v>823.0493499478233</x:v>
      </x:c>
      <x:c r="D4227" s="66" t="n">
        <x:v>350.1151015820417</x:v>
      </x:c>
      <x:c r="E4227" s="66" t="n">
        <x:v>472.9342483657816</x:v>
      </x:c>
      <x:c r="F4227" s="66" t="n">
        <x:v>472.9342483657816</x:v>
      </x:c>
      <x:c r="G4227" s="66" t="n">
        <x:v>823.0493499478233</x:v>
      </x:c>
      <x:c r="H4227" s="45" t="n">
        <x:v>1</x:v>
      </x:c>
      <x:c r="I4227" s="36" t="str">
        <x:v>generated design-reference observation; not predicted tract behavior</x:v>
      </x:c>
    </x:row>
    <x:row r="4228" ht="75.5999984741211" hidden="0" customHeight="1">
      <x:c r="A4228" s="34" t="str">
        <x:v>H3</x:v>
      </x:c>
      <x:c r="B4228" s="34" t="str">
        <x:v>48201534205</x:v>
      </x:c>
      <x:c r="C4228" s="65" t="n">
        <x:v>303.8256180379393</x:v>
      </x:c>
      <x:c r="D4228" s="65" t="n">
        <x:v>270.98494986567454</x:v>
      </x:c>
      <x:c r="E4228" s="65" t="n">
        <x:v>32.84066817226477</x:v>
      </x:c>
      <x:c r="F4228" s="65" t="n">
        <x:v>32.84066817226477</x:v>
      </x:c>
      <x:c r="G4228" s="65" t="n">
        <x:v>303.8256180379393</x:v>
      </x:c>
      <x:c r="H4228" s="43" t="n">
        <x:v>1</x:v>
      </x:c>
      <x:c r="I4228" s="34" t="str">
        <x:v>generated design-reference observation; not predicted tract behavior</x:v>
      </x:c>
    </x:row>
    <x:row r="4229" ht="75.5999984741211" hidden="0" customHeight="1">
      <x:c r="A4229" s="36" t="str">
        <x:v>H3</x:v>
      </x:c>
      <x:c r="B4229" s="36" t="str">
        <x:v>48201540101</x:v>
      </x:c>
      <x:c r="C4229" s="66" t="n">
        <x:v>1217.747388684628</x:v>
      </x:c>
      <x:c r="D4229" s="66" t="n">
        <x:v>520.5870086626784</x:v>
      </x:c>
      <x:c r="E4229" s="66" t="n">
        <x:v>697.1603800219497</x:v>
      </x:c>
      <x:c r="F4229" s="66" t="n">
        <x:v>697.1603800219497</x:v>
      </x:c>
      <x:c r="G4229" s="66" t="n">
        <x:v>1217.747388684628</x:v>
      </x:c>
      <x:c r="H4229" s="45" t="n">
        <x:v>1</x:v>
      </x:c>
      <x:c r="I4229" s="36" t="str">
        <x:v>generated design-reference observation; not predicted tract behavior</x:v>
      </x:c>
    </x:row>
    <x:row r="4230" ht="75.5999984741211" hidden="0" customHeight="1">
      <x:c r="A4230" s="34" t="str">
        <x:v>H3</x:v>
      </x:c>
      <x:c r="B4230" s="34" t="str">
        <x:v>48201540102</x:v>
      </x:c>
      <x:c r="C4230" s="65" t="n">
        <x:v>512.2366151021719</x:v>
      </x:c>
      <x:c r="D4230" s="65" t="n">
        <x:v>456.4685601980795</x:v>
      </x:c>
      <x:c r="E4230" s="65" t="n">
        <x:v>55.76805490409237</x:v>
      </x:c>
      <x:c r="F4230" s="65" t="n">
        <x:v>55.76805490409237</x:v>
      </x:c>
      <x:c r="G4230" s="65" t="n">
        <x:v>512.2366151021719</x:v>
      </x:c>
      <x:c r="H4230" s="43" t="n">
        <x:v>1</x:v>
      </x:c>
      <x:c r="I4230" s="34" t="str">
        <x:v>generated design-reference observation; not predicted tract behavior</x:v>
      </x:c>
    </x:row>
    <x:row r="4231" ht="75.5999984741211" hidden="0" customHeight="1">
      <x:c r="A4231" s="36" t="str">
        <x:v>H3</x:v>
      </x:c>
      <x:c r="B4231" s="36" t="str">
        <x:v>48201540200</x:v>
      </x:c>
      <x:c r="C4231" s="66" t="n">
        <x:v>196.18157776974425</x:v>
      </x:c>
      <x:c r="D4231" s="66" t="n">
        <x:v>174.72539580712993</x:v>
      </x:c>
      <x:c r="E4231" s="66" t="n">
        <x:v>21.456181962614323</x:v>
      </x:c>
      <x:c r="F4231" s="66" t="n">
        <x:v>21.456181962614323</x:v>
      </x:c>
      <x:c r="G4231" s="66" t="n">
        <x:v>196.18157776974425</x:v>
      </x:c>
      <x:c r="H4231" s="45" t="n">
        <x:v>1</x:v>
      </x:c>
      <x:c r="I4231" s="36" t="str">
        <x:v>generated design-reference observation; not predicted tract behavior</x:v>
      </x:c>
    </x:row>
    <x:row r="4232" ht="75.5999984741211" hidden="0" customHeight="1">
      <x:c r="A4232" s="34" t="str">
        <x:v>H3</x:v>
      </x:c>
      <x:c r="B4232" s="34" t="str">
        <x:v>48201540502</x:v>
      </x:c>
      <x:c r="C4232" s="65" t="n">
        <x:v>412.9708273840568</x:v>
      </x:c>
      <x:c r="D4232" s="65" t="n">
        <x:v>368.7829488539627</x:v>
      </x:c>
      <x:c r="E4232" s="65" t="n">
        <x:v>44.18787853009411</x:v>
      </x:c>
      <x:c r="F4232" s="65" t="n">
        <x:v>44.18787853009411</x:v>
      </x:c>
      <x:c r="G4232" s="65" t="n">
        <x:v>412.9708273840568</x:v>
      </x:c>
      <x:c r="H4232" s="43" t="n">
        <x:v>1</x:v>
      </x:c>
      <x:c r="I4232" s="34" t="str">
        <x:v>generated design-reference observation; not predicted tract behavior</x:v>
      </x:c>
    </x:row>
    <x:row r="4233" ht="75.5999984741211" hidden="0" customHeight="1">
      <x:c r="A4233" s="36" t="str">
        <x:v>H3</x:v>
      </x:c>
      <x:c r="B4233" s="36" t="str">
        <x:v>48201540503</x:v>
      </x:c>
      <x:c r="C4233" s="66" t="n">
        <x:v>890.1442923278767</x:v>
      </x:c>
      <x:c r="D4233" s="66" t="n">
        <x:v>378.9307098591047</x:v>
      </x:c>
      <x:c r="E4233" s="66" t="n">
        <x:v>511.21358246877196</x:v>
      </x:c>
      <x:c r="F4233" s="66" t="n">
        <x:v>511.21358246877196</x:v>
      </x:c>
      <x:c r="G4233" s="66" t="n">
        <x:v>890.1442923278767</x:v>
      </x:c>
      <x:c r="H4233" s="45" t="n">
        <x:v>1</x:v>
      </x:c>
      <x:c r="I4233" s="36" t="str">
        <x:v>generated design-reference observation; not predicted tract behavior</x:v>
      </x:c>
    </x:row>
    <x:row r="4234" ht="75.5999984741211" hidden="0" customHeight="1">
      <x:c r="A4234" s="34" t="str">
        <x:v>H3</x:v>
      </x:c>
      <x:c r="B4234" s="34" t="str">
        <x:v>48201540504</x:v>
      </x:c>
      <x:c r="C4234" s="65" t="n">
        <x:v>274.04195196052075</x:v>
      </x:c>
      <x:c r="D4234" s="65" t="n">
        <x:v>243.6754201515106</x:v>
      </x:c>
      <x:c r="E4234" s="65" t="n">
        <x:v>30.366531809010155</x:v>
      </x:c>
      <x:c r="F4234" s="65" t="n">
        <x:v>30.366531809010155</x:v>
      </x:c>
      <x:c r="G4234" s="65" t="n">
        <x:v>274.04195196052075</x:v>
      </x:c>
      <x:c r="H4234" s="43" t="n">
        <x:v>1</x:v>
      </x:c>
      <x:c r="I4234" s="34" t="str">
        <x:v>generated design-reference observation; not predicted tract behavior</x:v>
      </x:c>
    </x:row>
    <x:row r="4235" ht="75.5999984741211" hidden="0" customHeight="1">
      <x:c r="A4235" s="36" t="str">
        <x:v>H3</x:v>
      </x:c>
      <x:c r="B4235" s="36" t="str">
        <x:v>48201540601</x:v>
      </x:c>
      <x:c r="C4235" s="66" t="n">
        <x:v>331.7505066968834</x:v>
      </x:c>
      <x:c r="D4235" s="66" t="n">
        <x:v>296.0098821266947</x:v>
      </x:c>
      <x:c r="E4235" s="66" t="n">
        <x:v>35.740624570188686</x:v>
      </x:c>
      <x:c r="F4235" s="66" t="n">
        <x:v>35.740624570188686</x:v>
      </x:c>
      <x:c r="G4235" s="66" t="n">
        <x:v>331.7505066968834</x:v>
      </x:c>
      <x:c r="H4235" s="45" t="n">
        <x:v>1</x:v>
      </x:c>
      <x:c r="I4235" s="36" t="str">
        <x:v>generated design-reference observation; not predicted tract behavior</x:v>
      </x:c>
    </x:row>
    <x:row r="4236" ht="75.5999984741211" hidden="0" customHeight="1">
      <x:c r="A4236" s="34" t="str">
        <x:v>H3</x:v>
      </x:c>
      <x:c r="B4236" s="34" t="str">
        <x:v>48201540602</x:v>
      </x:c>
      <x:c r="C4236" s="65" t="n">
        <x:v>599.6109430564303</x:v>
      </x:c>
      <x:c r="D4236" s="65" t="n">
        <x:v>533.9434375287001</x:v>
      </x:c>
      <x:c r="E4236" s="65" t="n">
        <x:v>65.66750552773021</x:v>
      </x:c>
      <x:c r="F4236" s="65" t="n">
        <x:v>65.66750552773021</x:v>
      </x:c>
      <x:c r="G4236" s="65" t="n">
        <x:v>599.6109430564303</x:v>
      </x:c>
      <x:c r="H4236" s="43" t="n">
        <x:v>1</x:v>
      </x:c>
      <x:c r="I4236" s="34" t="str">
        <x:v>generated design-reference observation; not predicted tract behavior</x:v>
      </x:c>
    </x:row>
    <x:row r="4237" ht="75.5999984741211" hidden="0" customHeight="1">
      <x:c r="A4237" s="36" t="str">
        <x:v>H3</x:v>
      </x:c>
      <x:c r="B4237" s="36" t="str">
        <x:v>48201540700</x:v>
      </x:c>
      <x:c r="C4237" s="66" t="n">
        <x:v>432.525323016889</x:v>
      </x:c>
      <x:c r="D4237" s="66" t="n">
        <x:v>386.24511345408183</x:v>
      </x:c>
      <x:c r="E4237" s="66" t="n">
        <x:v>46.28020956280716</x:v>
      </x:c>
      <x:c r="F4237" s="66" t="n">
        <x:v>46.28020956280716</x:v>
      </x:c>
      <x:c r="G4237" s="66" t="n">
        <x:v>432.525323016889</x:v>
      </x:c>
      <x:c r="H4237" s="45" t="n">
        <x:v>1</x:v>
      </x:c>
      <x:c r="I4237" s="36" t="str">
        <x:v>generated design-reference observation; not predicted tract behavior</x:v>
      </x:c>
    </x:row>
    <x:row r="4238" ht="75.5999984741211" hidden="0" customHeight="1">
      <x:c r="A4238" s="34" t="str">
        <x:v>H3</x:v>
      </x:c>
      <x:c r="B4238" s="34" t="str">
        <x:v>48201540800</x:v>
      </x:c>
      <x:c r="C4238" s="65" t="n">
        <x:v>549.6715277626139</x:v>
      </x:c>
      <x:c r="D4238" s="65" t="n">
        <x:v>489.41667109884725</x:v>
      </x:c>
      <x:c r="E4238" s="65" t="n">
        <x:v>60.254856663766645</x:v>
      </x:c>
      <x:c r="F4238" s="65" t="n">
        <x:v>60.254856663766645</x:v>
      </x:c>
      <x:c r="G4238" s="65" t="n">
        <x:v>549.6715277626139</x:v>
      </x:c>
      <x:c r="H4238" s="43" t="n">
        <x:v>1</x:v>
      </x:c>
      <x:c r="I4238" s="34" t="str">
        <x:v>generated design-reference observation; not predicted tract behavior</x:v>
      </x:c>
    </x:row>
    <x:row r="4239" ht="75.5999984741211" hidden="0" customHeight="1">
      <x:c r="A4239" s="36" t="str">
        <x:v>H3</x:v>
      </x:c>
      <x:c r="B4239" s="36" t="str">
        <x:v>48201540901</x:v>
      </x:c>
      <x:c r="C4239" s="66" t="n">
        <x:v>248.63604073337845</x:v>
      </x:c>
      <x:c r="D4239" s="66" t="n">
        <x:v>221.5879204061571</x:v>
      </x:c>
      <x:c r="E4239" s="66" t="n">
        <x:v>27.04812032722134</x:v>
      </x:c>
      <x:c r="F4239" s="66" t="n">
        <x:v>27.04812032722134</x:v>
      </x:c>
      <x:c r="G4239" s="66" t="n">
        <x:v>248.63604073337845</x:v>
      </x:c>
      <x:c r="H4239" s="45" t="n">
        <x:v>1</x:v>
      </x:c>
      <x:c r="I4239" s="36" t="str">
        <x:v>generated design-reference observation; not predicted tract behavior</x:v>
      </x:c>
    </x:row>
    <x:row r="4240" ht="75.5999984741211" hidden="0" customHeight="1">
      <x:c r="A4240" s="34" t="str">
        <x:v>H3</x:v>
      </x:c>
      <x:c r="B4240" s="34" t="str">
        <x:v>48201540903</x:v>
      </x:c>
      <x:c r="C4240" s="65" t="n">
        <x:v>284.5344164580412</x:v>
      </x:c>
      <x:c r="D4240" s="65" t="n">
        <x:v>252.07845578705428</x:v>
      </x:c>
      <x:c r="E4240" s="65" t="n">
        <x:v>32.45596067098694</x:v>
      </x:c>
      <x:c r="F4240" s="65" t="n">
        <x:v>32.45596067098694</x:v>
      </x:c>
      <x:c r="G4240" s="65" t="n">
        <x:v>284.5344164580412</x:v>
      </x:c>
      <x:c r="H4240" s="43" t="n">
        <x:v>1</x:v>
      </x:c>
      <x:c r="I4240" s="34" t="str">
        <x:v>generated design-reference observation; not predicted tract behavior</x:v>
      </x:c>
    </x:row>
    <x:row r="4241" ht="75.5999984741211" hidden="0" customHeight="1">
      <x:c r="A4241" s="36" t="str">
        <x:v>H3</x:v>
      </x:c>
      <x:c r="B4241" s="36" t="str">
        <x:v>48201540904</x:v>
      </x:c>
      <x:c r="C4241" s="66" t="n">
        <x:v>302.10438228890786</x:v>
      </x:c>
      <x:c r="D4241" s="66" t="n">
        <x:v>268.5574319510113</x:v>
      </x:c>
      <x:c r="E4241" s="66" t="n">
        <x:v>33.54695033789653</x:v>
      </x:c>
      <x:c r="F4241" s="66" t="n">
        <x:v>33.54695033789653</x:v>
      </x:c>
      <x:c r="G4241" s="66" t="n">
        <x:v>302.10438228890786</x:v>
      </x:c>
      <x:c r="H4241" s="45" t="n">
        <x:v>1</x:v>
      </x:c>
      <x:c r="I4241" s="36" t="str">
        <x:v>generated design-reference observation; not predicted tract behavior</x:v>
      </x:c>
    </x:row>
    <x:row r="4242" ht="75.5999984741211" hidden="0" customHeight="1">
      <x:c r="A4242" s="34" t="str">
        <x:v>H3</x:v>
      </x:c>
      <x:c r="B4242" s="34" t="str">
        <x:v>48201541004</x:v>
      </x:c>
      <x:c r="C4242" s="65" t="n">
        <x:v>459.15339022108327</x:v>
      </x:c>
      <x:c r="D4242" s="65" t="n">
        <x:v>409.18831357099344</x:v>
      </x:c>
      <x:c r="E4242" s="65" t="n">
        <x:v>49.96507665008983</x:v>
      </x:c>
      <x:c r="F4242" s="65" t="n">
        <x:v>49.96507665008983</x:v>
      </x:c>
      <x:c r="G4242" s="65" t="n">
        <x:v>459.15339022108327</x:v>
      </x:c>
      <x:c r="H4242" s="43" t="n">
        <x:v>1</x:v>
      </x:c>
      <x:c r="I4242" s="34" t="str">
        <x:v>generated design-reference observation; not predicted tract behavior</x:v>
      </x:c>
    </x:row>
    <x:row r="4243" ht="75.5999984741211" hidden="0" customHeight="1">
      <x:c r="A4243" s="36" t="str">
        <x:v>H3</x:v>
      </x:c>
      <x:c r="B4243" s="36" t="str">
        <x:v>48201541005</x:v>
      </x:c>
      <x:c r="C4243" s="66" t="n">
        <x:v>365.8529811948169</x:v>
      </x:c>
      <x:c r="D4243" s="66" t="n">
        <x:v>324.9797245680052</x:v>
      </x:c>
      <x:c r="E4243" s="66" t="n">
        <x:v>40.87325662681167</x:v>
      </x:c>
      <x:c r="F4243" s="66" t="n">
        <x:v>40.87325662681167</x:v>
      </x:c>
      <x:c r="G4243" s="66" t="n">
        <x:v>365.8529811948169</x:v>
      </x:c>
      <x:c r="H4243" s="45" t="n">
        <x:v>1</x:v>
      </x:c>
      <x:c r="I4243" s="36" t="str">
        <x:v>generated design-reference observation; not predicted tract behavior</x:v>
      </x:c>
    </x:row>
    <x:row r="4244" ht="75.5999984741211" hidden="0" customHeight="1">
      <x:c r="A4244" s="34" t="str">
        <x:v>H3</x:v>
      </x:c>
      <x:c r="B4244" s="34" t="str">
        <x:v>48201541006</x:v>
      </x:c>
      <x:c r="C4244" s="65" t="n">
        <x:v>501.31187678640157</x:v>
      </x:c>
      <x:c r="D4244" s="65" t="n">
        <x:v>446.5965568813835</x:v>
      </x:c>
      <x:c r="E4244" s="65" t="n">
        <x:v>54.71531990501808</x:v>
      </x:c>
      <x:c r="F4244" s="65" t="n">
        <x:v>54.71531990501808</x:v>
      </x:c>
      <x:c r="G4244" s="65" t="n">
        <x:v>501.31187678640157</x:v>
      </x:c>
      <x:c r="H4244" s="43" t="n">
        <x:v>1</x:v>
      </x:c>
      <x:c r="I4244" s="34" t="str">
        <x:v>generated design-reference observation; not predicted tract behavior</x:v>
      </x:c>
    </x:row>
    <x:row r="4245" ht="75.5999984741211" hidden="0" customHeight="1">
      <x:c r="A4245" s="36" t="str">
        <x:v>H3</x:v>
      </x:c>
      <x:c r="B4245" s="36" t="str">
        <x:v>48201541007</x:v>
      </x:c>
      <x:c r="C4245" s="66" t="n">
        <x:v>592.9775048272865</x:v>
      </x:c>
      <x:c r="D4245" s="66" t="n">
        <x:v>529.5289118107667</x:v>
      </x:c>
      <x:c r="E4245" s="66" t="n">
        <x:v>63.448593016519794</x:v>
      </x:c>
      <x:c r="F4245" s="66" t="n">
        <x:v>63.448593016519794</x:v>
      </x:c>
      <x:c r="G4245" s="66" t="n">
        <x:v>592.9775048272865</x:v>
      </x:c>
      <x:c r="H4245" s="45" t="n">
        <x:v>1</x:v>
      </x:c>
      <x:c r="I4245" s="36" t="str">
        <x:v>generated design-reference observation; not predicted tract behavior</x:v>
      </x:c>
    </x:row>
    <x:row r="4246" ht="75.5999984741211" hidden="0" customHeight="1">
      <x:c r="A4246" s="34" t="str">
        <x:v>H3</x:v>
      </x:c>
      <x:c r="B4246" s="34" t="str">
        <x:v>48201541008</x:v>
      </x:c>
      <x:c r="C4246" s="65" t="n">
        <x:v>266.374986329561</x:v>
      </x:c>
      <x:c r="D4246" s="65" t="n">
        <x:v>237.87286279229795</x:v>
      </x:c>
      <x:c r="E4246" s="65" t="n">
        <x:v>28.50212353726306</x:v>
      </x:c>
      <x:c r="F4246" s="65" t="n">
        <x:v>28.50212353726306</x:v>
      </x:c>
      <x:c r="G4246" s="65" t="n">
        <x:v>266.374986329561</x:v>
      </x:c>
      <x:c r="H4246" s="43" t="n">
        <x:v>1</x:v>
      </x:c>
      <x:c r="I4246" s="34" t="str">
        <x:v>generated design-reference observation; not predicted tract behavior</x:v>
      </x:c>
    </x:row>
    <x:row r="4247" ht="75.5999984741211" hidden="0" customHeight="1">
      <x:c r="A4247" s="36" t="str">
        <x:v>H3</x:v>
      </x:c>
      <x:c r="B4247" s="36" t="str">
        <x:v>48201541009</x:v>
      </x:c>
      <x:c r="C4247" s="66" t="n">
        <x:v>393.31808770162235</x:v>
      </x:c>
      <x:c r="D4247" s="66" t="n">
        <x:v>351.0547403783556</x:v>
      </x:c>
      <x:c r="E4247" s="66" t="n">
        <x:v>42.26334732326677</x:v>
      </x:c>
      <x:c r="F4247" s="66" t="n">
        <x:v>42.26334732326677</x:v>
      </x:c>
      <x:c r="G4247" s="66" t="n">
        <x:v>393.31808770162235</x:v>
      </x:c>
      <x:c r="H4247" s="45" t="n">
        <x:v>1</x:v>
      </x:c>
      <x:c r="I4247" s="36" t="str">
        <x:v>generated design-reference observation; not predicted tract behavior</x:v>
      </x:c>
    </x:row>
    <x:row r="4248" ht="75.5999984741211" hidden="0" customHeight="1">
      <x:c r="A4248" s="34" t="str">
        <x:v>H3</x:v>
      </x:c>
      <x:c r="B4248" s="34" t="str">
        <x:v>48201541100</x:v>
      </x:c>
      <x:c r="C4248" s="65" t="n">
        <x:v>647.93915593677</x:v>
      </x:c>
      <x:c r="D4248" s="65" t="n">
        <x:v>578.1975444334041</x:v>
      </x:c>
      <x:c r="E4248" s="65" t="n">
        <x:v>69.7416115033659</x:v>
      </x:c>
      <x:c r="F4248" s="65" t="n">
        <x:v>69.7416115033659</x:v>
      </x:c>
      <x:c r="G4248" s="65" t="n">
        <x:v>647.93915593677</x:v>
      </x:c>
      <x:c r="H4248" s="43" t="n">
        <x:v>1</x:v>
      </x:c>
      <x:c r="I4248" s="34" t="str">
        <x:v>generated design-reference observation; not predicted tract behavior</x:v>
      </x:c>
    </x:row>
    <x:row r="4249" ht="75.5999984741211" hidden="0" customHeight="1">
      <x:c r="A4249" s="36" t="str">
        <x:v>H3</x:v>
      </x:c>
      <x:c r="B4249" s="36" t="str">
        <x:v>48201541203</x:v>
      </x:c>
      <x:c r="C4249" s="66" t="n">
        <x:v>200.52789452414783</x:v>
      </x:c>
      <x:c r="D4249" s="66" t="n">
        <x:v>179.07140981006398</x:v>
      </x:c>
      <x:c r="E4249" s="66" t="n">
        <x:v>21.456484714083842</x:v>
      </x:c>
      <x:c r="F4249" s="66" t="n">
        <x:v>21.456484714083842</x:v>
      </x:c>
      <x:c r="G4249" s="66" t="n">
        <x:v>200.52789452414783</x:v>
      </x:c>
      <x:c r="H4249" s="45" t="n">
        <x:v>1</x:v>
      </x:c>
      <x:c r="I4249" s="36" t="str">
        <x:v>generated design-reference observation; not predicted tract behavior</x:v>
      </x:c>
    </x:row>
    <x:row r="4250" ht="75.5999984741211" hidden="0" customHeight="1">
      <x:c r="A4250" s="34" t="str">
        <x:v>H3</x:v>
      </x:c>
      <x:c r="B4250" s="34" t="str">
        <x:v>48201541204</x:v>
      </x:c>
      <x:c r="C4250" s="65" t="n">
        <x:v>469.6537142425719</x:v>
      </x:c>
      <x:c r="D4250" s="65" t="n">
        <x:v>419.0109391827917</x:v>
      </x:c>
      <x:c r="E4250" s="65" t="n">
        <x:v>50.642775059780206</x:v>
      </x:c>
      <x:c r="F4250" s="65" t="n">
        <x:v>50.642775059780206</x:v>
      </x:c>
      <x:c r="G4250" s="65" t="n">
        <x:v>469.6537142425719</x:v>
      </x:c>
      <x:c r="H4250" s="43" t="n">
        <x:v>1</x:v>
      </x:c>
      <x:c r="I4250" s="34" t="str">
        <x:v>generated design-reference observation; not predicted tract behavior</x:v>
      </x:c>
    </x:row>
    <x:row r="4251" ht="75.5999984741211" hidden="0" customHeight="1">
      <x:c r="A4251" s="36" t="str">
        <x:v>H3</x:v>
      </x:c>
      <x:c r="B4251" s="36" t="str">
        <x:v>48201541205</x:v>
      </x:c>
      <x:c r="C4251" s="66" t="n">
        <x:v>261.42348622960753</x:v>
      </x:c>
      <x:c r="D4251" s="66" t="n">
        <x:v>233.4511732030395</x:v>
      </x:c>
      <x:c r="E4251" s="66" t="n">
        <x:v>27.97231302656803</x:v>
      </x:c>
      <x:c r="F4251" s="66" t="n">
        <x:v>27.97231302656803</x:v>
      </x:c>
      <x:c r="G4251" s="66" t="n">
        <x:v>261.42348622960753</x:v>
      </x:c>
      <x:c r="H4251" s="45" t="n">
        <x:v>1</x:v>
      </x:c>
      <x:c r="I4251" s="36" t="str">
        <x:v>generated design-reference observation; not predicted tract behavior</x:v>
      </x:c>
    </x:row>
    <x:row r="4252" ht="75.5999984741211" hidden="0" customHeight="1">
      <x:c r="A4252" s="34" t="str">
        <x:v>H3</x:v>
      </x:c>
      <x:c r="B4252" s="34" t="str">
        <x:v>48201541206</x:v>
      </x:c>
      <x:c r="C4252" s="65" t="n">
        <x:v>387.38021734366225</x:v>
      </x:c>
      <x:c r="D4252" s="65" t="n">
        <x:v>345.1746118096983</x:v>
      </x:c>
      <x:c r="E4252" s="65" t="n">
        <x:v>42.20560553396393</x:v>
      </x:c>
      <x:c r="F4252" s="65" t="n">
        <x:v>42.20560553396393</x:v>
      </x:c>
      <x:c r="G4252" s="65" t="n">
        <x:v>387.38021734366225</x:v>
      </x:c>
      <x:c r="H4252" s="43" t="n">
        <x:v>1</x:v>
      </x:c>
      <x:c r="I4252" s="34" t="str">
        <x:v>generated design-reference observation; not predicted tract behavior</x:v>
      </x:c>
    </x:row>
    <x:row r="4253" ht="75.5999984741211" hidden="0" customHeight="1">
      <x:c r="A4253" s="36" t="str">
        <x:v>H3</x:v>
      </x:c>
      <x:c r="B4253" s="36" t="str">
        <x:v>48201541207</x:v>
      </x:c>
      <x:c r="C4253" s="66" t="n">
        <x:v>339.9872878155361</x:v>
      </x:c>
      <x:c r="D4253" s="66" t="n">
        <x:v>303.6086480192737</x:v>
      </x:c>
      <x:c r="E4253" s="66" t="n">
        <x:v>36.378639796262405</x:v>
      </x:c>
      <x:c r="F4253" s="66" t="n">
        <x:v>36.378639796262405</x:v>
      </x:c>
      <x:c r="G4253" s="66" t="n">
        <x:v>339.9872878155361</x:v>
      </x:c>
      <x:c r="H4253" s="45" t="n">
        <x:v>1</x:v>
      </x:c>
      <x:c r="I4253" s="36" t="str">
        <x:v>generated design-reference observation; not predicted tract behavior</x:v>
      </x:c>
    </x:row>
    <x:row r="4254" ht="75.5999984741211" hidden="0" customHeight="1">
      <x:c r="A4254" s="34" t="str">
        <x:v>H3</x:v>
      </x:c>
      <x:c r="B4254" s="34" t="str">
        <x:v>48201541301</x:v>
      </x:c>
      <x:c r="C4254" s="65" t="n">
        <x:v>884.1136191292153</x:v>
      </x:c>
      <x:c r="D4254" s="65" t="n">
        <x:v>687.8632049129998</x:v>
      </x:c>
      <x:c r="E4254" s="65" t="n">
        <x:v>196.25041421621552</x:v>
      </x:c>
      <x:c r="F4254" s="65" t="n">
        <x:v>196.25041421621552</x:v>
      </x:c>
      <x:c r="G4254" s="65" t="n">
        <x:v>884.1136191292153</x:v>
      </x:c>
      <x:c r="H4254" s="43" t="n">
        <x:v>1</x:v>
      </x:c>
      <x:c r="I4254" s="34" t="str">
        <x:v>generated design-reference observation; not predicted tract behavior</x:v>
      </x:c>
    </x:row>
    <x:row r="4255" ht="75.5999984741211" hidden="0" customHeight="1">
      <x:c r="A4255" s="36" t="str">
        <x:v>H3</x:v>
      </x:c>
      <x:c r="B4255" s="36" t="str">
        <x:v>48201541302</x:v>
      </x:c>
      <x:c r="C4255" s="66" t="n">
        <x:v>596.498571565031</x:v>
      </x:c>
      <x:c r="D4255" s="66" t="n">
        <x:v>532.4401957026488</x:v>
      </x:c>
      <x:c r="E4255" s="66" t="n">
        <x:v>64.05837586238226</x:v>
      </x:c>
      <x:c r="F4255" s="66" t="n">
        <x:v>64.05837586238226</x:v>
      </x:c>
      <x:c r="G4255" s="66" t="n">
        <x:v>596.498571565031</x:v>
      </x:c>
      <x:c r="H4255" s="45" t="n">
        <x:v>1</x:v>
      </x:c>
      <x:c r="I4255" s="36" t="str">
        <x:v>generated design-reference observation; not predicted tract behavior</x:v>
      </x:c>
    </x:row>
    <x:row r="4256" ht="75.5999984741211" hidden="0" customHeight="1">
      <x:c r="A4256" s="34" t="str">
        <x:v>H3</x:v>
      </x:c>
      <x:c r="B4256" s="34" t="str">
        <x:v>48201541401</x:v>
      </x:c>
      <x:c r="C4256" s="65" t="n">
        <x:v>364.87054069879446</x:v>
      </x:c>
      <x:c r="D4256" s="65" t="n">
        <x:v>324.62377927215215</x:v>
      </x:c>
      <x:c r="E4256" s="65" t="n">
        <x:v>40.24676142664231</x:v>
      </x:c>
      <x:c r="F4256" s="65" t="n">
        <x:v>40.24676142664231</x:v>
      </x:c>
      <x:c r="G4256" s="65" t="n">
        <x:v>364.87054069879446</x:v>
      </x:c>
      <x:c r="H4256" s="43" t="n">
        <x:v>1</x:v>
      </x:c>
      <x:c r="I4256" s="34" t="str">
        <x:v>generated design-reference observation; not predicted tract behavior</x:v>
      </x:c>
    </x:row>
    <x:row r="4257" ht="75.5999984741211" hidden="0" customHeight="1">
      <x:c r="A4257" s="36" t="str">
        <x:v>H3</x:v>
      </x:c>
      <x:c r="B4257" s="36" t="str">
        <x:v>48201541402</x:v>
      </x:c>
      <x:c r="C4257" s="66" t="n">
        <x:v>190.21619907789557</x:v>
      </x:c>
      <x:c r="D4257" s="66" t="n">
        <x:v>169.84260034694907</x:v>
      </x:c>
      <x:c r="E4257" s="66" t="n">
        <x:v>20.373598730946497</x:v>
      </x:c>
      <x:c r="F4257" s="66" t="n">
        <x:v>20.373598730946497</x:v>
      </x:c>
      <x:c r="G4257" s="66" t="n">
        <x:v>190.21619907789557</x:v>
      </x:c>
      <x:c r="H4257" s="45" t="n">
        <x:v>1</x:v>
      </x:c>
      <x:c r="I4257" s="36" t="str">
        <x:v>generated design-reference observation; not predicted tract behavior</x:v>
      </x:c>
    </x:row>
    <x:row r="4258" ht="75.5999984741211" hidden="0" customHeight="1">
      <x:c r="A4258" s="34" t="str">
        <x:v>H3</x:v>
      </x:c>
      <x:c r="B4258" s="34" t="str">
        <x:v>48201541403</x:v>
      </x:c>
      <x:c r="C4258" s="65" t="n">
        <x:v>264.6773291524341</x:v>
      </x:c>
      <x:c r="D4258" s="65" t="n">
        <x:v>236.18962130935014</x:v>
      </x:c>
      <x:c r="E4258" s="65" t="n">
        <x:v>28.48770784308394</x:v>
      </x:c>
      <x:c r="F4258" s="65" t="n">
        <x:v>28.48770784308394</x:v>
      </x:c>
      <x:c r="G4258" s="65" t="n">
        <x:v>264.6773291524341</x:v>
      </x:c>
      <x:c r="H4258" s="43" t="n">
        <x:v>1</x:v>
      </x:c>
      <x:c r="I4258" s="34" t="str">
        <x:v>generated design-reference observation; not predicted tract behavior</x:v>
      </x:c>
    </x:row>
    <x:row r="4259" ht="75.5999984741211" hidden="0" customHeight="1">
      <x:c r="A4259" s="36" t="str">
        <x:v>H3</x:v>
      </x:c>
      <x:c r="B4259" s="36" t="str">
        <x:v>48201541404</x:v>
      </x:c>
      <x:c r="C4259" s="66" t="n">
        <x:v>270.79203879967827</x:v>
      </x:c>
      <x:c r="D4259" s="66" t="n">
        <x:v>241.81729064811267</x:v>
      </x:c>
      <x:c r="E4259" s="66" t="n">
        <x:v>28.974748151565592</x:v>
      </x:c>
      <x:c r="F4259" s="66" t="n">
        <x:v>28.974748151565592</x:v>
      </x:c>
      <x:c r="G4259" s="66" t="n">
        <x:v>270.79203879967827</x:v>
      </x:c>
      <x:c r="H4259" s="45" t="n">
        <x:v>1</x:v>
      </x:c>
      <x:c r="I4259" s="36" t="str">
        <x:v>generated design-reference observation; not predicted tract behavior</x:v>
      </x:c>
    </x:row>
    <x:row r="4260" ht="75.5999984741211" hidden="0" customHeight="1">
      <x:c r="A4260" s="34" t="str">
        <x:v>H3</x:v>
      </x:c>
      <x:c r="B4260" s="34" t="str">
        <x:v>48201541500</x:v>
      </x:c>
      <x:c r="C4260" s="65" t="n">
        <x:v>411.32032735073903</x:v>
      </x:c>
      <x:c r="D4260" s="65" t="n">
        <x:v>366.9066343574377</x:v>
      </x:c>
      <x:c r="E4260" s="65" t="n">
        <x:v>44.41369299330131</x:v>
      </x:c>
      <x:c r="F4260" s="65" t="n">
        <x:v>44.41369299330131</x:v>
      </x:c>
      <x:c r="G4260" s="65" t="n">
        <x:v>411.32032735073903</x:v>
      </x:c>
      <x:c r="H4260" s="43" t="n">
        <x:v>1</x:v>
      </x:c>
      <x:c r="I4260" s="34" t="str">
        <x:v>generated design-reference observation; not predicted tract behavior</x:v>
      </x:c>
    </x:row>
    <x:row r="4261" ht="75.5999984741211" hidden="0" customHeight="1">
      <x:c r="A4261" s="36" t="str">
        <x:v>H3</x:v>
      </x:c>
      <x:c r="B4261" s="36" t="str">
        <x:v>48201541603</x:v>
      </x:c>
      <x:c r="C4261" s="66" t="n">
        <x:v>544.9558133817058</x:v>
      </x:c>
      <x:c r="D4261" s="66" t="n">
        <x:v>485.8785221083768</x:v>
      </x:c>
      <x:c r="E4261" s="66" t="n">
        <x:v>59.07729127332897</x:v>
      </x:c>
      <x:c r="F4261" s="66" t="n">
        <x:v>59.07729127332897</x:v>
      </x:c>
      <x:c r="G4261" s="66" t="n">
        <x:v>544.9558133817058</x:v>
      </x:c>
      <x:c r="H4261" s="45" t="n">
        <x:v>1</x:v>
      </x:c>
      <x:c r="I4261" s="36" t="str">
        <x:v>generated design-reference observation; not predicted tract behavior</x:v>
      </x:c>
    </x:row>
    <x:row r="4262" ht="75.5999984741211" hidden="0" customHeight="1">
      <x:c r="A4262" s="34" t="str">
        <x:v>H3</x:v>
      </x:c>
      <x:c r="B4262" s="34" t="str">
        <x:v>48201541604</x:v>
      </x:c>
      <x:c r="C4262" s="65" t="n">
        <x:v>815.8853938508272</x:v>
      </x:c>
      <x:c r="D4262" s="65" t="n">
        <x:v>728.5856567087885</x:v>
      </x:c>
      <x:c r="E4262" s="65" t="n">
        <x:v>87.29973714203868</x:v>
      </x:c>
      <x:c r="F4262" s="65" t="n">
        <x:v>87.29973714203868</x:v>
      </x:c>
      <x:c r="G4262" s="65" t="n">
        <x:v>815.8853938508272</x:v>
      </x:c>
      <x:c r="H4262" s="43" t="n">
        <x:v>1</x:v>
      </x:c>
      <x:c r="I4262" s="34" t="str">
        <x:v>generated design-reference observation; not predicted tract behavior</x:v>
      </x:c>
    </x:row>
    <x:row r="4263" ht="75.5999984741211" hidden="0" customHeight="1">
      <x:c r="A4263" s="36" t="str">
        <x:v>H3</x:v>
      </x:c>
      <x:c r="B4263" s="36" t="str">
        <x:v>48201541701</x:v>
      </x:c>
      <x:c r="C4263" s="66" t="n">
        <x:v>974.3451863352907</x:v>
      </x:c>
      <x:c r="D4263" s="66" t="n">
        <x:v>757.6845837172851</x:v>
      </x:c>
      <x:c r="E4263" s="66" t="n">
        <x:v>216.66060261800556</x:v>
      </x:c>
      <x:c r="F4263" s="66" t="n">
        <x:v>216.66060261800556</x:v>
      </x:c>
      <x:c r="G4263" s="66" t="n">
        <x:v>974.3451863352907</x:v>
      </x:c>
      <x:c r="H4263" s="45" t="n">
        <x:v>1</x:v>
      </x:c>
      <x:c r="I4263" s="36" t="str">
        <x:v>generated design-reference observation; not predicted tract behavior</x:v>
      </x:c>
    </x:row>
    <x:row r="4264" ht="75.5999984741211" hidden="0" customHeight="1">
      <x:c r="A4264" s="34" t="str">
        <x:v>H3</x:v>
      </x:c>
      <x:c r="B4264" s="34" t="str">
        <x:v>48201541702</x:v>
      </x:c>
      <x:c r="C4264" s="65" t="n">
        <x:v>211.94778284991358</x:v>
      </x:c>
      <x:c r="D4264" s="65" t="n">
        <x:v>188.19831085891053</x:v>
      </x:c>
      <x:c r="E4264" s="65" t="n">
        <x:v>23.74947199100305</x:v>
      </x:c>
      <x:c r="F4264" s="65" t="n">
        <x:v>23.74947199100305</x:v>
      </x:c>
      <x:c r="G4264" s="65" t="n">
        <x:v>211.94778284991358</x:v>
      </x:c>
      <x:c r="H4264" s="43" t="n">
        <x:v>1</x:v>
      </x:c>
      <x:c r="I4264" s="34" t="str">
        <x:v>generated design-reference observation; not predicted tract behavior</x:v>
      </x:c>
    </x:row>
    <x:row r="4265" ht="75.5999984741211" hidden="0" customHeight="1">
      <x:c r="A4265" s="36" t="str">
        <x:v>H3</x:v>
      </x:c>
      <x:c r="B4265" s="36" t="str">
        <x:v>48201541703</x:v>
      </x:c>
      <x:c r="C4265" s="66" t="n">
        <x:v>640.7664334476553</x:v>
      </x:c>
      <x:c r="D4265" s="66" t="n">
        <x:v>271.16021676868723</x:v>
      </x:c>
      <x:c r="E4265" s="66" t="n">
        <x:v>369.6062166789681</x:v>
      </x:c>
      <x:c r="F4265" s="66" t="n">
        <x:v>369.6062166789681</x:v>
      </x:c>
      <x:c r="G4265" s="66" t="n">
        <x:v>640.7664334476553</x:v>
      </x:c>
      <x:c r="H4265" s="45" t="n">
        <x:v>1</x:v>
      </x:c>
      <x:c r="I4265" s="36" t="str">
        <x:v>generated design-reference observation; not predicted tract behavior</x:v>
      </x:c>
    </x:row>
    <x:row r="4266" ht="75.5999984741211" hidden="0" customHeight="1">
      <x:c r="A4266" s="34" t="str">
        <x:v>H3</x:v>
      </x:c>
      <x:c r="B4266" s="34" t="str">
        <x:v>48201541801</x:v>
      </x:c>
      <x:c r="C4266" s="65" t="n">
        <x:v>321.3248481530923</x:v>
      </x:c>
      <x:c r="D4266" s="65" t="n">
        <x:v>284.91702740322074</x:v>
      </x:c>
      <x:c r="E4266" s="65" t="n">
        <x:v>36.407820749871576</x:v>
      </x:c>
      <x:c r="F4266" s="65" t="n">
        <x:v>36.407820749871576</x:v>
      </x:c>
      <x:c r="G4266" s="65" t="n">
        <x:v>321.3248481530923</x:v>
      </x:c>
      <x:c r="H4266" s="43" t="n">
        <x:v>1</x:v>
      </x:c>
      <x:c r="I4266" s="34" t="str">
        <x:v>generated design-reference observation; not predicted tract behavior</x:v>
      </x:c>
    </x:row>
    <x:row r="4267" ht="75.5999984741211" hidden="0" customHeight="1">
      <x:c r="A4267" s="36" t="str">
        <x:v>H3</x:v>
      </x:c>
      <x:c r="B4267" s="36" t="str">
        <x:v>48201541802</x:v>
      </x:c>
      <x:c r="C4267" s="66" t="n">
        <x:v>716.4185836927568</x:v>
      </x:c>
      <x:c r="D4267" s="66" t="n">
        <x:v>302.74929176197946</x:v>
      </x:c>
      <x:c r="E4267" s="66" t="n">
        <x:v>413.6692919307773</x:v>
      </x:c>
      <x:c r="F4267" s="66" t="n">
        <x:v>413.6692919307773</x:v>
      </x:c>
      <x:c r="G4267" s="66" t="n">
        <x:v>716.4185836927568</x:v>
      </x:c>
      <x:c r="H4267" s="45" t="n">
        <x:v>1</x:v>
      </x:c>
      <x:c r="I4267" s="36" t="str">
        <x:v>generated design-reference observation; not predicted tract behavior</x:v>
      </x:c>
    </x:row>
    <x:row r="4268" ht="75.5999984741211" hidden="0" customHeight="1">
      <x:c r="A4268" s="34" t="str">
        <x:v>H3</x:v>
      </x:c>
      <x:c r="B4268" s="34" t="str">
        <x:v>48201541901</x:v>
      </x:c>
      <x:c r="C4268" s="65" t="n">
        <x:v>219.9644972974573</x:v>
      </x:c>
      <x:c r="D4268" s="65" t="n">
        <x:v>195.53138175945693</x:v>
      </x:c>
      <x:c r="E4268" s="65" t="n">
        <x:v>24.43311553800038</x:v>
      </x:c>
      <x:c r="F4268" s="65" t="n">
        <x:v>24.43311553800038</x:v>
      </x:c>
      <x:c r="G4268" s="65" t="n">
        <x:v>219.9644972974573</x:v>
      </x:c>
      <x:c r="H4268" s="43" t="n">
        <x:v>1</x:v>
      </x:c>
      <x:c r="I4268" s="34" t="str">
        <x:v>generated design-reference observation; not predicted tract behavior</x:v>
      </x:c>
    </x:row>
    <x:row r="4269" ht="75.5999984741211" hidden="0" customHeight="1">
      <x:c r="A4269" s="36" t="str">
        <x:v>H3</x:v>
      </x:c>
      <x:c r="B4269" s="36" t="str">
        <x:v>48201541902</x:v>
      </x:c>
      <x:c r="C4269" s="66" t="n">
        <x:v>379.6975326647663</x:v>
      </x:c>
      <x:c r="D4269" s="66" t="n">
        <x:v>339.06989666963625</x:v>
      </x:c>
      <x:c r="E4269" s="66" t="n">
        <x:v>40.62763599513005</x:v>
      </x:c>
      <x:c r="F4269" s="66" t="n">
        <x:v>40.62763599513005</x:v>
      </x:c>
      <x:c r="G4269" s="66" t="n">
        <x:v>379.6975326647663</x:v>
      </x:c>
      <x:c r="H4269" s="45" t="n">
        <x:v>1</x:v>
      </x:c>
      <x:c r="I4269" s="36" t="str">
        <x:v>generated design-reference observation; not predicted tract behavior</x:v>
      </x:c>
    </x:row>
    <x:row r="4270" ht="75.5999984741211" hidden="0" customHeight="1">
      <x:c r="A4270" s="34" t="str">
        <x:v>H3</x:v>
      </x:c>
      <x:c r="B4270" s="34" t="str">
        <x:v>48201542001</x:v>
      </x:c>
      <x:c r="C4270" s="65" t="n">
        <x:v>348.12189512260255</x:v>
      </x:c>
      <x:c r="D4270" s="65" t="n">
        <x:v>310.87285234448404</x:v>
      </x:c>
      <x:c r="E4270" s="65" t="n">
        <x:v>37.24904277811851</x:v>
      </x:c>
      <x:c r="F4270" s="65" t="n">
        <x:v>37.24904277811851</x:v>
      </x:c>
      <x:c r="G4270" s="65" t="n">
        <x:v>348.12189512260255</x:v>
      </x:c>
      <x:c r="H4270" s="43" t="n">
        <x:v>1</x:v>
      </x:c>
      <x:c r="I4270" s="34" t="str">
        <x:v>generated design-reference observation; not predicted tract behavior</x:v>
      </x:c>
    </x:row>
    <x:row r="4271" ht="75.5999984741211" hidden="0" customHeight="1">
      <x:c r="A4271" s="36" t="str">
        <x:v>H3</x:v>
      </x:c>
      <x:c r="B4271" s="36" t="str">
        <x:v>48201542002</x:v>
      </x:c>
      <x:c r="C4271" s="66" t="n">
        <x:v>198.3901040048029</x:v>
      </x:c>
      <x:c r="D4271" s="66" t="n">
        <x:v>177.162362876289</x:v>
      </x:c>
      <x:c r="E4271" s="66" t="n">
        <x:v>21.227741128513912</x:v>
      </x:c>
      <x:c r="F4271" s="66" t="n">
        <x:v>21.227741128513912</x:v>
      </x:c>
      <x:c r="G4271" s="66" t="n">
        <x:v>198.3901040048029</x:v>
      </x:c>
      <x:c r="H4271" s="45" t="n">
        <x:v>1</x:v>
      </x:c>
      <x:c r="I4271" s="36" t="str">
        <x:v>generated design-reference observation; not predicted tract behavior</x:v>
      </x:c>
    </x:row>
    <x:row r="4272" ht="75.5999984741211" hidden="0" customHeight="1">
      <x:c r="A4272" s="34" t="str">
        <x:v>H3</x:v>
      </x:c>
      <x:c r="B4272" s="34" t="str">
        <x:v>48201542003</x:v>
      </x:c>
      <x:c r="C4272" s="65" t="n">
        <x:v>306.71006333426146</x:v>
      </x:c>
      <x:c r="D4272" s="65" t="n">
        <x:v>273.8920865574955</x:v>
      </x:c>
      <x:c r="E4272" s="65" t="n">
        <x:v>32.81797677676599</x:v>
      </x:c>
      <x:c r="F4272" s="65" t="n">
        <x:v>32.81797677676599</x:v>
      </x:c>
      <x:c r="G4272" s="65" t="n">
        <x:v>306.71006333426146</x:v>
      </x:c>
      <x:c r="H4272" s="43" t="n">
        <x:v>1</x:v>
      </x:c>
      <x:c r="I4272" s="34" t="str">
        <x:v>generated design-reference observation; not predicted tract behavior</x:v>
      </x:c>
    </x:row>
    <x:row r="4273" ht="75.5999984741211" hidden="0" customHeight="1">
      <x:c r="A4273" s="36" t="str">
        <x:v>H3</x:v>
      </x:c>
      <x:c r="B4273" s="36" t="str">
        <x:v>48201542004</x:v>
      </x:c>
      <x:c r="C4273" s="66" t="n">
        <x:v>519.6281951048618</x:v>
      </x:c>
      <x:c r="D4273" s="66" t="n">
        <x:v>222.1410534073284</x:v>
      </x:c>
      <x:c r="E4273" s="66" t="n">
        <x:v>297.4871416975334</x:v>
      </x:c>
      <x:c r="F4273" s="66" t="n">
        <x:v>297.4871416975334</x:v>
      </x:c>
      <x:c r="G4273" s="66" t="n">
        <x:v>519.6281951048618</x:v>
      </x:c>
      <x:c r="H4273" s="45" t="n">
        <x:v>1</x:v>
      </x:c>
      <x:c r="I4273" s="36" t="str">
        <x:v>generated design-reference observation; not predicted tract behavior</x:v>
      </x:c>
    </x:row>
    <x:row r="4274" ht="75.5999984741211" hidden="0" customHeight="1">
      <x:c r="A4274" s="34" t="str">
        <x:v>H3</x:v>
      </x:c>
      <x:c r="B4274" s="34" t="str">
        <x:v>48201542103</x:v>
      </x:c>
      <x:c r="C4274" s="65" t="n">
        <x:v>763.5684725566359</x:v>
      </x:c>
      <x:c r="D4274" s="65" t="n">
        <x:v>681.8666459930758</x:v>
      </x:c>
      <x:c r="E4274" s="65" t="n">
        <x:v>81.70182656356008</x:v>
      </x:c>
      <x:c r="F4274" s="65" t="n">
        <x:v>81.70182656356008</x:v>
      </x:c>
      <x:c r="G4274" s="65" t="n">
        <x:v>763.5684725566359</x:v>
      </x:c>
      <x:c r="H4274" s="43" t="n">
        <x:v>1</x:v>
      </x:c>
      <x:c r="I4274" s="34" t="str">
        <x:v>generated design-reference observation; not predicted tract behavior</x:v>
      </x:c>
    </x:row>
    <x:row r="4275" ht="75.5999984741211" hidden="0" customHeight="1">
      <x:c r="A4275" s="36" t="str">
        <x:v>H3</x:v>
      </x:c>
      <x:c r="B4275" s="36" t="str">
        <x:v>48201542104</x:v>
      </x:c>
      <x:c r="C4275" s="66" t="n">
        <x:v>640.001036728908</x:v>
      </x:c>
      <x:c r="D4275" s="66" t="n">
        <x:v>571.1053591126722</x:v>
      </x:c>
      <x:c r="E4275" s="66" t="n">
        <x:v>68.89567761623584</x:v>
      </x:c>
      <x:c r="F4275" s="66" t="n">
        <x:v>68.89567761623584</x:v>
      </x:c>
      <x:c r="G4275" s="66" t="n">
        <x:v>640.001036728908</x:v>
      </x:c>
      <x:c r="H4275" s="45" t="n">
        <x:v>1</x:v>
      </x:c>
      <x:c r="I4275" s="36" t="str">
        <x:v>generated design-reference observation; not predicted tract behavior</x:v>
      </x:c>
    </x:row>
    <x:row r="4276" ht="75.5999984741211" hidden="0" customHeight="1">
      <x:c r="A4276" s="34" t="str">
        <x:v>H3</x:v>
      </x:c>
      <x:c r="B4276" s="34" t="str">
        <x:v>48201542105</x:v>
      </x:c>
      <x:c r="C4276" s="65" t="n">
        <x:v>803.4869947910229</x:v>
      </x:c>
      <x:c r="D4276" s="65" t="n">
        <x:v>715.3182399752648</x:v>
      </x:c>
      <x:c r="E4276" s="65" t="n">
        <x:v>88.16875481575812</x:v>
      </x:c>
      <x:c r="F4276" s="65" t="n">
        <x:v>88.16875481575812</x:v>
      </x:c>
      <x:c r="G4276" s="65" t="n">
        <x:v>803.4869947910229</x:v>
      </x:c>
      <x:c r="H4276" s="43" t="n">
        <x:v>1</x:v>
      </x:c>
      <x:c r="I4276" s="34" t="str">
        <x:v>generated design-reference observation; not predicted tract behavior</x:v>
      </x:c>
    </x:row>
    <x:row r="4277" ht="75.5999984741211" hidden="0" customHeight="1">
      <x:c r="A4277" s="36" t="str">
        <x:v>H3</x:v>
      </x:c>
      <x:c r="B4277" s="36" t="str">
        <x:v>48201542106</x:v>
      </x:c>
      <x:c r="C4277" s="66" t="n">
        <x:v>676.7521708041185</x:v>
      </x:c>
      <x:c r="D4277" s="66" t="n">
        <x:v>604.122134607666</x:v>
      </x:c>
      <x:c r="E4277" s="66" t="n">
        <x:v>72.63003619645247</x:v>
      </x:c>
      <x:c r="F4277" s="66" t="n">
        <x:v>72.63003619645247</x:v>
      </x:c>
      <x:c r="G4277" s="66" t="n">
        <x:v>676.7521708041185</x:v>
      </x:c>
      <x:c r="H4277" s="45" t="n">
        <x:v>1</x:v>
      </x:c>
      <x:c r="I4277" s="36" t="str">
        <x:v>generated design-reference observation; not predicted tract behavior</x:v>
      </x:c>
    </x:row>
    <x:row r="4278" ht="75.5999984741211" hidden="0" customHeight="1">
      <x:c r="A4278" s="34" t="str">
        <x:v>H3</x:v>
      </x:c>
      <x:c r="B4278" s="34" t="str">
        <x:v>48201542107</x:v>
      </x:c>
      <x:c r="C4278" s="65" t="n">
        <x:v>305.2324728282436</x:v>
      </x:c>
      <x:c r="D4278" s="65" t="n">
        <x:v>272.5725982356215</x:v>
      </x:c>
      <x:c r="E4278" s="65" t="n">
        <x:v>32.65987459262209</x:v>
      </x:c>
      <x:c r="F4278" s="65" t="n">
        <x:v>32.65987459262209</x:v>
      </x:c>
      <x:c r="G4278" s="65" t="n">
        <x:v>305.2324728282436</x:v>
      </x:c>
      <x:c r="H4278" s="43" t="n">
        <x:v>1</x:v>
      </x:c>
      <x:c r="I4278" s="34" t="str">
        <x:v>generated design-reference observation; not predicted tract behavior</x:v>
      </x:c>
    </x:row>
    <x:row r="4279" ht="75.5999984741211" hidden="0" customHeight="1">
      <x:c r="A4279" s="36" t="str">
        <x:v>H3</x:v>
      </x:c>
      <x:c r="B4279" s="36" t="str">
        <x:v>48201542108</x:v>
      </x:c>
      <x:c r="C4279" s="66" t="n">
        <x:v>416.6648036491015</x:v>
      </x:c>
      <x:c r="D4279" s="66" t="n">
        <x:v>372.08166965864757</x:v>
      </x:c>
      <x:c r="E4279" s="66" t="n">
        <x:v>44.583133990453916</x:v>
      </x:c>
      <x:c r="F4279" s="66" t="n">
        <x:v>44.583133990453916</x:v>
      </x:c>
      <x:c r="G4279" s="66" t="n">
        <x:v>416.6648036491015</x:v>
      </x:c>
      <x:c r="H4279" s="45" t="n">
        <x:v>1</x:v>
      </x:c>
      <x:c r="I4279" s="36" t="str">
        <x:v>generated design-reference observation; not predicted tract behavior</x:v>
      </x:c>
    </x:row>
    <x:row r="4280" ht="75.5999984741211" hidden="0" customHeight="1">
      <x:c r="A4280" s="34" t="str">
        <x:v>H3</x:v>
      </x:c>
      <x:c r="B4280" s="34" t="str">
        <x:v>48201542201</x:v>
      </x:c>
      <x:c r="C4280" s="65" t="n">
        <x:v>603.2970597975068</x:v>
      </x:c>
      <x:c r="D4280" s="65" t="n">
        <x:v>538.7442743991736</x:v>
      </x:c>
      <x:c r="E4280" s="65" t="n">
        <x:v>64.55278539833319</x:v>
      </x:c>
      <x:c r="F4280" s="65" t="n">
        <x:v>64.55278539833319</x:v>
      </x:c>
      <x:c r="G4280" s="65" t="n">
        <x:v>603.2970597975068</x:v>
      </x:c>
      <x:c r="H4280" s="43" t="n">
        <x:v>1</x:v>
      </x:c>
      <x:c r="I4280" s="34" t="str">
        <x:v>generated design-reference observation; not predicted tract behavior</x:v>
      </x:c>
    </x:row>
    <x:row r="4281" ht="75.5999984741211" hidden="0" customHeight="1">
      <x:c r="A4281" s="36" t="str">
        <x:v>H3</x:v>
      </x:c>
      <x:c r="B4281" s="36" t="str">
        <x:v>48201542202</x:v>
      </x:c>
      <x:c r="C4281" s="66" t="n">
        <x:v>955.28191095047</x:v>
      </x:c>
      <x:c r="D4281" s="66" t="n">
        <x:v>851.4716968025489</x:v>
      </x:c>
      <x:c r="E4281" s="66" t="n">
        <x:v>103.8102141479211</x:v>
      </x:c>
      <x:c r="F4281" s="66" t="n">
        <x:v>103.8102141479211</x:v>
      </x:c>
      <x:c r="G4281" s="66" t="n">
        <x:v>955.28191095047</x:v>
      </x:c>
      <x:c r="H4281" s="45" t="n">
        <x:v>1</x:v>
      </x:c>
      <x:c r="I4281" s="36" t="str">
        <x:v>generated design-reference observation; not predicted tract behavior</x:v>
      </x:c>
    </x:row>
    <x:row r="4282" ht="75.5999984741211" hidden="0" customHeight="1">
      <x:c r="A4282" s="34" t="str">
        <x:v>H3</x:v>
      </x:c>
      <x:c r="B4282" s="34" t="str">
        <x:v>48201542203</x:v>
      </x:c>
      <x:c r="C4282" s="65" t="n">
        <x:v>1000.3444916220307</x:v>
      </x:c>
      <x:c r="D4282" s="65" t="n">
        <x:v>893.3076310184732</x:v>
      </x:c>
      <x:c r="E4282" s="65" t="n">
        <x:v>107.03686060355744</x:v>
      </x:c>
      <x:c r="F4282" s="65" t="n">
        <x:v>107.03686060355744</x:v>
      </x:c>
      <x:c r="G4282" s="65" t="n">
        <x:v>1000.3444916220307</x:v>
      </x:c>
      <x:c r="H4282" s="43" t="n">
        <x:v>1</x:v>
      </x:c>
      <x:c r="I4282" s="34" t="str">
        <x:v>generated design-reference observation; not predicted tract behavior</x:v>
      </x:c>
    </x:row>
    <x:row r="4283" ht="75.5999984741211" hidden="0" customHeight="1">
      <x:c r="A4283" s="36" t="str">
        <x:v>H3</x:v>
      </x:c>
      <x:c r="B4283" s="36" t="str">
        <x:v>48201542302</x:v>
      </x:c>
      <x:c r="C4283" s="66" t="n">
        <x:v>627.7676876724357</x:v>
      </x:c>
      <x:c r="D4283" s="66" t="n">
        <x:v>559.6618552334419</x:v>
      </x:c>
      <x:c r="E4283" s="66" t="n">
        <x:v>68.10583243899384</x:v>
      </x:c>
      <x:c r="F4283" s="66" t="n">
        <x:v>68.10583243899384</x:v>
      </x:c>
      <x:c r="G4283" s="66" t="n">
        <x:v>627.7676876724357</x:v>
      </x:c>
      <x:c r="H4283" s="45" t="n">
        <x:v>1</x:v>
      </x:c>
      <x:c r="I4283" s="36" t="str">
        <x:v>generated design-reference observation; not predicted tract behavior</x:v>
      </x:c>
    </x:row>
    <x:row r="4284" ht="75.5999984741211" hidden="0" customHeight="1">
      <x:c r="A4284" s="34" t="str">
        <x:v>H3</x:v>
      </x:c>
      <x:c r="B4284" s="34" t="str">
        <x:v>48201542303</x:v>
      </x:c>
      <x:c r="C4284" s="65" t="n">
        <x:v>292.0441916096373</x:v>
      </x:c>
      <x:c r="D4284" s="65" t="n">
        <x:v>260.69387985585865</x:v>
      </x:c>
      <x:c r="E4284" s="65" t="n">
        <x:v>31.35031175377867</x:v>
      </x:c>
      <x:c r="F4284" s="65" t="n">
        <x:v>31.35031175377867</x:v>
      </x:c>
      <x:c r="G4284" s="65" t="n">
        <x:v>292.0441916096373</x:v>
      </x:c>
      <x:c r="H4284" s="43" t="n">
        <x:v>1</x:v>
      </x:c>
      <x:c r="I4284" s="34" t="str">
        <x:v>generated design-reference observation; not predicted tract behavior</x:v>
      </x:c>
    </x:row>
    <x:row r="4285" ht="75.5999984741211" hidden="0" customHeight="1">
      <x:c r="A4285" s="36" t="str">
        <x:v>H3</x:v>
      </x:c>
      <x:c r="B4285" s="36" t="str">
        <x:v>48201542304</x:v>
      </x:c>
      <x:c r="C4285" s="66" t="n">
        <x:v>440.1019041222147</x:v>
      </x:c>
      <x:c r="D4285" s="66" t="n">
        <x:v>393.0110003811377</x:v>
      </x:c>
      <x:c r="E4285" s="66" t="n">
        <x:v>47.090903741077</x:v>
      </x:c>
      <x:c r="F4285" s="66" t="n">
        <x:v>47.090903741077</x:v>
      </x:c>
      <x:c r="G4285" s="66" t="n">
        <x:v>440.1019041222147</x:v>
      </x:c>
      <x:c r="H4285" s="45" t="n">
        <x:v>1</x:v>
      </x:c>
      <x:c r="I4285" s="36" t="str">
        <x:v>generated design-reference observation; not predicted tract behavior</x:v>
      </x:c>
    </x:row>
    <x:row r="4286" ht="75.5999984741211" hidden="0" customHeight="1">
      <x:c r="A4286" s="34" t="str">
        <x:v>H3</x:v>
      </x:c>
      <x:c r="B4286" s="34" t="str">
        <x:v>48201542305</x:v>
      </x:c>
      <x:c r="C4286" s="65" t="n">
        <x:v>381.8156743741908</x:v>
      </x:c>
      <x:c r="D4286" s="65" t="n">
        <x:v>340.90431417476395</x:v>
      </x:c>
      <x:c r="E4286" s="65" t="n">
        <x:v>40.91136019942684</x:v>
      </x:c>
      <x:c r="F4286" s="65" t="n">
        <x:v>40.91136019942684</x:v>
      </x:c>
      <x:c r="G4286" s="65" t="n">
        <x:v>381.8156743741908</x:v>
      </x:c>
      <x:c r="H4286" s="43" t="n">
        <x:v>1</x:v>
      </x:c>
      <x:c r="I4286" s="34" t="str">
        <x:v>generated design-reference observation; not predicted tract behavior</x:v>
      </x:c>
    </x:row>
    <x:row r="4287" ht="75.5999984741211" hidden="0" customHeight="1">
      <x:c r="A4287" s="36" t="str">
        <x:v>H3</x:v>
      </x:c>
      <x:c r="B4287" s="36" t="str">
        <x:v>48201542401</x:v>
      </x:c>
      <x:c r="C4287" s="66" t="n">
        <x:v>401.3230128632139</x:v>
      </x:c>
      <x:c r="D4287" s="66" t="n">
        <x:v>356.17210425978226</x:v>
      </x:c>
      <x:c r="E4287" s="66" t="n">
        <x:v>45.15090860343162</x:v>
      </x:c>
      <x:c r="F4287" s="66" t="n">
        <x:v>45.15090860343162</x:v>
      </x:c>
      <x:c r="G4287" s="66" t="n">
        <x:v>401.3230128632139</x:v>
      </x:c>
      <x:c r="H4287" s="45" t="n">
        <x:v>1</x:v>
      </x:c>
      <x:c r="I4287" s="36" t="str">
        <x:v>generated design-reference observation; not predicted tract behavior</x:v>
      </x:c>
    </x:row>
    <x:row r="4288" ht="75.5999984741211" hidden="0" customHeight="1">
      <x:c r="A4288" s="34" t="str">
        <x:v>H3</x:v>
      </x:c>
      <x:c r="B4288" s="34" t="str">
        <x:v>48201542402</x:v>
      </x:c>
      <x:c r="C4288" s="65" t="n">
        <x:v>411.42250116232526</x:v>
      </x:c>
      <x:c r="D4288" s="65" t="n">
        <x:v>366.8453190876882</x:v>
      </x:c>
      <x:c r="E4288" s="65" t="n">
        <x:v>44.57718207463705</x:v>
      </x:c>
      <x:c r="F4288" s="65" t="n">
        <x:v>44.57718207463705</x:v>
      </x:c>
      <x:c r="G4288" s="65" t="n">
        <x:v>411.42250116232526</x:v>
      </x:c>
      <x:c r="H4288" s="43" t="n">
        <x:v>1</x:v>
      </x:c>
      <x:c r="I4288" s="34" t="str">
        <x:v>generated design-reference observation; not predicted tract behavior</x:v>
      </x:c>
    </x:row>
    <x:row r="4289" ht="75.5999984741211" hidden="0" customHeight="1">
      <x:c r="A4289" s="36" t="str">
        <x:v>H3</x:v>
      </x:c>
      <x:c r="B4289" s="36" t="str">
        <x:v>48201542500</x:v>
      </x:c>
      <x:c r="C4289" s="66" t="n">
        <x:v>314.42811587101426</x:v>
      </x:c>
      <x:c r="D4289" s="66" t="n">
        <x:v>278.8631516848438</x:v>
      </x:c>
      <x:c r="E4289" s="66" t="n">
        <x:v>35.56496418617047</x:v>
      </x:c>
      <x:c r="F4289" s="66" t="n">
        <x:v>35.56496418617047</x:v>
      </x:c>
      <x:c r="G4289" s="66" t="n">
        <x:v>314.42811587101426</x:v>
      </x:c>
      <x:c r="H4289" s="45" t="n">
        <x:v>1</x:v>
      </x:c>
      <x:c r="I4289" s="36" t="str">
        <x:v>generated design-reference observation; not predicted tract behavior</x:v>
      </x:c>
    </x:row>
    <x:row r="4290" ht="75.5999984741211" hidden="0" customHeight="1">
      <x:c r="A4290" s="34" t="str">
        <x:v>H3</x:v>
      </x:c>
      <x:c r="B4290" s="34" t="str">
        <x:v>48201542600</x:v>
      </x:c>
      <x:c r="C4290" s="65" t="n">
        <x:v>492.8078718528306</x:v>
      </x:c>
      <x:c r="D4290" s="65" t="n">
        <x:v>438.57534709837796</x:v>
      </x:c>
      <x:c r="E4290" s="65" t="n">
        <x:v>54.23252475445264</x:v>
      </x:c>
      <x:c r="F4290" s="65" t="n">
        <x:v>54.23252475445264</x:v>
      </x:c>
      <x:c r="G4290" s="65" t="n">
        <x:v>492.8078718528306</x:v>
      </x:c>
      <x:c r="H4290" s="43" t="n">
        <x:v>1</x:v>
      </x:c>
      <x:c r="I4290" s="34" t="str">
        <x:v>generated design-reference observation; not predicted tract behavior</x:v>
      </x:c>
    </x:row>
    <x:row r="4291" ht="75.5999984741211" hidden="0" customHeight="1">
      <x:c r="A4291" s="36" t="str">
        <x:v>H3</x:v>
      </x:c>
      <x:c r="B4291" s="36" t="str">
        <x:v>48201542700</x:v>
      </x:c>
      <x:c r="C4291" s="66" t="n">
        <x:v>392.8740245974202</x:v>
      </x:c>
      <x:c r="D4291" s="66" t="n">
        <x:v>350.40742334913557</x:v>
      </x:c>
      <x:c r="E4291" s="66" t="n">
        <x:v>42.46660124828463</x:v>
      </x:c>
      <x:c r="F4291" s="66" t="n">
        <x:v>42.46660124828463</x:v>
      </x:c>
      <x:c r="G4291" s="66" t="n">
        <x:v>392.8740245974202</x:v>
      </x:c>
      <x:c r="H4291" s="45" t="n">
        <x:v>1</x:v>
      </x:c>
      <x:c r="I4291" s="36" t="str">
        <x:v>generated design-reference observation; not predicted tract behavior</x:v>
      </x:c>
    </x:row>
    <x:row r="4292" ht="75.5999984741211" hidden="0" customHeight="1">
      <x:c r="A4292" s="34" t="str">
        <x:v>H3</x:v>
      </x:c>
      <x:c r="B4292" s="34" t="str">
        <x:v>48201542800</x:v>
      </x:c>
      <x:c r="C4292" s="65" t="n">
        <x:v>711.5069857914111</x:v>
      </x:c>
      <x:c r="D4292" s="65" t="n">
        <x:v>635.3757383117301</x:v>
      </x:c>
      <x:c r="E4292" s="65" t="n">
        <x:v>76.13124747968106</x:v>
      </x:c>
      <x:c r="F4292" s="65" t="n">
        <x:v>76.13124747968106</x:v>
      </x:c>
      <x:c r="G4292" s="65" t="n">
        <x:v>711.5069857914111</x:v>
      </x:c>
      <x:c r="H4292" s="43" t="n">
        <x:v>1</x:v>
      </x:c>
      <x:c r="I4292" s="34" t="str">
        <x:v>generated design-reference observation; not predicted tract behavior</x:v>
      </x:c>
    </x:row>
    <x:row r="4293" ht="75.5999984741211" hidden="0" customHeight="1">
      <x:c r="A4293" s="36" t="str">
        <x:v>H3</x:v>
      </x:c>
      <x:c r="B4293" s="36" t="str">
        <x:v>48201542901</x:v>
      </x:c>
      <x:c r="C4293" s="66" t="n">
        <x:v>765.7219821239173</x:v>
      </x:c>
      <x:c r="D4293" s="66" t="n">
        <x:v>682.6060677266522</x:v>
      </x:c>
      <x:c r="E4293" s="66" t="n">
        <x:v>83.1159143972651</x:v>
      </x:c>
      <x:c r="F4293" s="66" t="n">
        <x:v>83.1159143972651</x:v>
      </x:c>
      <x:c r="G4293" s="66" t="n">
        <x:v>765.7219821239173</x:v>
      </x:c>
      <x:c r="H4293" s="45" t="n">
        <x:v>1</x:v>
      </x:c>
      <x:c r="I4293" s="36" t="str">
        <x:v>generated design-reference observation; not predicted tract behavior</x:v>
      </x:c>
    </x:row>
    <x:row r="4294" ht="75.5999984741211" hidden="0" customHeight="1">
      <x:c r="A4294" s="34" t="str">
        <x:v>H3</x:v>
      </x:c>
      <x:c r="B4294" s="34" t="str">
        <x:v>48201542902</x:v>
      </x:c>
      <x:c r="C4294" s="65" t="n">
        <x:v>3386.421302883821</x:v>
      </x:c>
      <x:c r="D4294" s="65" t="n">
        <x:v>3020.364937380644</x:v>
      </x:c>
      <x:c r="E4294" s="65" t="n">
        <x:v>366.0563655031774</x:v>
      </x:c>
      <x:c r="F4294" s="65" t="n">
        <x:v>366.0563655031774</x:v>
      </x:c>
      <x:c r="G4294" s="65" t="n">
        <x:v>3386.421302883821</x:v>
      </x:c>
      <x:c r="H4294" s="43" t="n">
        <x:v>1</x:v>
      </x:c>
      <x:c r="I4294" s="34" t="str">
        <x:v>generated design-reference observation; not predicted tract behavior</x:v>
      </x:c>
    </x:row>
    <x:row r="4295" ht="75.5999984741211" hidden="0" customHeight="1">
      <x:c r="A4295" s="36" t="str">
        <x:v>H3</x:v>
      </x:c>
      <x:c r="B4295" s="36" t="str">
        <x:v>48201543004</x:v>
      </x:c>
      <x:c r="C4295" s="66" t="n">
        <x:v>2565.8915349465665</x:v>
      </x:c>
      <x:c r="D4295" s="66" t="n">
        <x:v>1996.898303166398</x:v>
      </x:c>
      <x:c r="E4295" s="66" t="n">
        <x:v>568.9932317801686</x:v>
      </x:c>
      <x:c r="F4295" s="66" t="n">
        <x:v>568.9932317801686</x:v>
      </x:c>
      <x:c r="G4295" s="66" t="n">
        <x:v>2565.8915349465665</x:v>
      </x:c>
      <x:c r="H4295" s="45" t="n">
        <x:v>1</x:v>
      </x:c>
      <x:c r="I4295" s="36" t="str">
        <x:v>generated design-reference observation; not predicted tract behavior</x:v>
      </x:c>
    </x:row>
    <x:row r="4296" ht="75.5999984741211" hidden="0" customHeight="1">
      <x:c r="A4296" s="34" t="str">
        <x:v>H3</x:v>
      </x:c>
      <x:c r="B4296" s="34" t="str">
        <x:v>48201543005</x:v>
      </x:c>
      <x:c r="C4296" s="65" t="n">
        <x:v>960.4259693876437</x:v>
      </x:c>
      <x:c r="D4296" s="65" t="n">
        <x:v>857.3184378535317</x:v>
      </x:c>
      <x:c r="E4296" s="65" t="n">
        <x:v>103.10753153411201</x:v>
      </x:c>
      <x:c r="F4296" s="65" t="n">
        <x:v>103.10753153411201</x:v>
      </x:c>
      <x:c r="G4296" s="65" t="n">
        <x:v>960.4259693876437</x:v>
      </x:c>
      <x:c r="H4296" s="43" t="n">
        <x:v>1</x:v>
      </x:c>
      <x:c r="I4296" s="34" t="str">
        <x:v>generated design-reference observation; not predicted tract behavior</x:v>
      </x:c>
    </x:row>
    <x:row r="4297" ht="75.5999984741211" hidden="0" customHeight="1">
      <x:c r="A4297" s="36" t="str">
        <x:v>H3</x:v>
      </x:c>
      <x:c r="B4297" s="36" t="str">
        <x:v>48201543006</x:v>
      </x:c>
      <x:c r="C4297" s="66" t="n">
        <x:v>1416.4669881173277</x:v>
      </x:c>
      <x:c r="D4297" s="66" t="n">
        <x:v>1262.0921940799424</x:v>
      </x:c>
      <x:c r="E4297" s="66" t="n">
        <x:v>154.3747940373853</x:v>
      </x:c>
      <x:c r="F4297" s="66" t="n">
        <x:v>154.3747940373853</x:v>
      </x:c>
      <x:c r="G4297" s="66" t="n">
        <x:v>1416.4669881173277</x:v>
      </x:c>
      <x:c r="H4297" s="45" t="n">
        <x:v>1</x:v>
      </x:c>
      <x:c r="I4297" s="36" t="str">
        <x:v>generated design-reference observation; not predicted tract behavior</x:v>
      </x:c>
    </x:row>
    <x:row r="4298" ht="75.5999984741211" hidden="0" customHeight="1">
      <x:c r="A4298" s="34" t="str">
        <x:v>H3</x:v>
      </x:c>
      <x:c r="B4298" s="34" t="str">
        <x:v>48201543007</x:v>
      </x:c>
      <x:c r="C4298" s="65" t="n">
        <x:v>1876.1076688244377</x:v>
      </x:c>
      <x:c r="D4298" s="65" t="n">
        <x:v>1674.287684893157</x:v>
      </x:c>
      <x:c r="E4298" s="65" t="n">
        <x:v>201.81998393128083</x:v>
      </x:c>
      <x:c r="F4298" s="65" t="n">
        <x:v>201.81998393128083</x:v>
      </x:c>
      <x:c r="G4298" s="65" t="n">
        <x:v>1876.1076688244377</x:v>
      </x:c>
      <x:c r="H4298" s="43" t="n">
        <x:v>1</x:v>
      </x:c>
      <x:c r="I4298" s="34" t="str">
        <x:v>generated design-reference observation; not predicted tract behavior</x:v>
      </x:c>
    </x:row>
    <x:row r="4299" ht="75.5999984741211" hidden="0" customHeight="1">
      <x:c r="A4299" s="36" t="str">
        <x:v>H3</x:v>
      </x:c>
      <x:c r="B4299" s="36" t="str">
        <x:v>48201543008</x:v>
      </x:c>
      <x:c r="C4299" s="66" t="n">
        <x:v>419.50602156359855</x:v>
      </x:c>
      <x:c r="D4299" s="66" t="n">
        <x:v>374.2217232351403</x:v>
      </x:c>
      <x:c r="E4299" s="66" t="n">
        <x:v>45.28429832845825</x:v>
      </x:c>
      <x:c r="F4299" s="66" t="n">
        <x:v>45.28429832845825</x:v>
      </x:c>
      <x:c r="G4299" s="66" t="n">
        <x:v>419.50602156359855</x:v>
      </x:c>
      <x:c r="H4299" s="45" t="n">
        <x:v>1</x:v>
      </x:c>
      <x:c r="I4299" s="36" t="str">
        <x:v>generated design-reference observation; not predicted tract behavior</x:v>
      </x:c>
    </x:row>
    <x:row r="4300" ht="75.5999984741211" hidden="0" customHeight="1">
      <x:c r="A4300" s="34" t="str">
        <x:v>H3</x:v>
      </x:c>
      <x:c r="B4300" s="34" t="str">
        <x:v>48201543009</x:v>
      </x:c>
      <x:c r="C4300" s="65" t="n">
        <x:v>422.4729918615867</x:v>
      </x:c>
      <x:c r="D4300" s="65" t="n">
        <x:v>377.2683817323969</x:v>
      </x:c>
      <x:c r="E4300" s="65" t="n">
        <x:v>45.2046101291898</x:v>
      </x:c>
      <x:c r="F4300" s="65" t="n">
        <x:v>45.2046101291898</x:v>
      </x:c>
      <x:c r="G4300" s="65" t="n">
        <x:v>422.4729918615867</x:v>
      </x:c>
      <x:c r="H4300" s="43" t="n">
        <x:v>1</x:v>
      </x:c>
      <x:c r="I4300" s="34" t="str">
        <x:v>generated design-reference observation; not predicted tract behavior</x:v>
      </x:c>
    </x:row>
    <x:row r="4301" ht="75.5999984741211" hidden="0" customHeight="1">
      <x:c r="A4301" s="36" t="str">
        <x:v>H3</x:v>
      </x:c>
      <x:c r="B4301" s="36" t="str">
        <x:v>48201543010</x:v>
      </x:c>
      <x:c r="C4301" s="66" t="n">
        <x:v>444.75474231137724</x:v>
      </x:c>
      <x:c r="D4301" s="66" t="n">
        <x:v>397.16598488405987</x:v>
      </x:c>
      <x:c r="E4301" s="66" t="n">
        <x:v>47.588757427317375</x:v>
      </x:c>
      <x:c r="F4301" s="66" t="n">
        <x:v>47.588757427317375</x:v>
      </x:c>
      <x:c r="G4301" s="66" t="n">
        <x:v>444.75474231137724</x:v>
      </x:c>
      <x:c r="H4301" s="45" t="n">
        <x:v>1</x:v>
      </x:c>
      <x:c r="I4301" s="36" t="str">
        <x:v>generated design-reference observation; not predicted tract behavior</x:v>
      </x:c>
    </x:row>
    <x:row r="4302" ht="75.5999984741211" hidden="0" customHeight="1">
      <x:c r="A4302" s="34" t="str">
        <x:v>H3</x:v>
      </x:c>
      <x:c r="B4302" s="34" t="str">
        <x:v>48201543011</x:v>
      </x:c>
      <x:c r="C4302" s="65" t="n">
        <x:v>331.27893525879256</x:v>
      </x:c>
      <x:c r="D4302" s="65" t="n">
        <x:v>295.8320891861017</x:v>
      </x:c>
      <x:c r="E4302" s="65" t="n">
        <x:v>35.446846072690846</x:v>
      </x:c>
      <x:c r="F4302" s="65" t="n">
        <x:v>35.446846072690846</x:v>
      </x:c>
      <x:c r="G4302" s="65" t="n">
        <x:v>331.27893525879256</x:v>
      </x:c>
      <x:c r="H4302" s="43" t="n">
        <x:v>1</x:v>
      </x:c>
      <x:c r="I4302" s="34" t="str">
        <x:v>generated design-reference observation; not predicted tract behavior</x:v>
      </x:c>
    </x:row>
    <x:row r="4303" ht="75.5999984741211" hidden="0" customHeight="1">
      <x:c r="A4303" s="36" t="str">
        <x:v>H3</x:v>
      </x:c>
      <x:c r="B4303" s="36" t="str">
        <x:v>48201543100</x:v>
      </x:c>
      <x:c r="C4303" s="66" t="n">
        <x:v>796.5990289010631</x:v>
      </x:c>
      <x:c r="D4303" s="66" t="n">
        <x:v>340.5460848552044</x:v>
      </x:c>
      <x:c r="E4303" s="66" t="n">
        <x:v>456.0529440458587</x:v>
      </x:c>
      <x:c r="F4303" s="66" t="n">
        <x:v>456.0529440458587</x:v>
      </x:c>
      <x:c r="G4303" s="66" t="n">
        <x:v>796.5990289010631</x:v>
      </x:c>
      <x:c r="H4303" s="45" t="n">
        <x:v>1</x:v>
      </x:c>
      <x:c r="I4303" s="36" t="str">
        <x:v>generated design-reference observation; not predicted tract behavior</x:v>
      </x:c>
    </x:row>
    <x:row r="4304" ht="75.5999984741211" hidden="0" customHeight="1">
      <x:c r="A4304" s="34" t="str">
        <x:v>H3</x:v>
      </x:c>
      <x:c r="B4304" s="34" t="str">
        <x:v>48201543201</x:v>
      </x:c>
      <x:c r="C4304" s="65" t="n">
        <x:v>533.1822464773719</x:v>
      </x:c>
      <x:c r="D4304" s="65" t="n">
        <x:v>473.03014714818886</x:v>
      </x:c>
      <x:c r="E4304" s="65" t="n">
        <x:v>60.152099329183045</x:v>
      </x:c>
      <x:c r="F4304" s="65" t="n">
        <x:v>60.152099329183045</x:v>
      </x:c>
      <x:c r="G4304" s="65" t="n">
        <x:v>533.1822464773719</x:v>
      </x:c>
      <x:c r="H4304" s="43" t="n">
        <x:v>1</x:v>
      </x:c>
      <x:c r="I4304" s="34" t="str">
        <x:v>generated design-reference observation; not predicted tract behavior</x:v>
      </x:c>
    </x:row>
    <x:row r="4305" ht="75.5999984741211" hidden="0" customHeight="1">
      <x:c r="A4305" s="36" t="str">
        <x:v>H3</x:v>
      </x:c>
      <x:c r="B4305" s="36" t="str">
        <x:v>48201543202</x:v>
      </x:c>
      <x:c r="C4305" s="66" t="n">
        <x:v>673.8272187304217</x:v>
      </x:c>
      <x:c r="D4305" s="66" t="n">
        <x:v>285.8164245609732</x:v>
      </x:c>
      <x:c r="E4305" s="66" t="n">
        <x:v>388.0107941694485</x:v>
      </x:c>
      <x:c r="F4305" s="66" t="n">
        <x:v>388.0107941694485</x:v>
      </x:c>
      <x:c r="G4305" s="66" t="n">
        <x:v>673.8272187304217</x:v>
      </x:c>
      <x:c r="H4305" s="45" t="n">
        <x:v>1</x:v>
      </x:c>
      <x:c r="I4305" s="36" t="str">
        <x:v>generated design-reference observation; not predicted tract behavior</x:v>
      </x:c>
    </x:row>
    <x:row r="4306" ht="75.5999984741211" hidden="0" customHeight="1">
      <x:c r="A4306" s="34" t="str">
        <x:v>H3</x:v>
      </x:c>
      <x:c r="B4306" s="34" t="str">
        <x:v>48201550101</x:v>
      </x:c>
      <x:c r="C4306" s="65" t="n">
        <x:v>348.8286477009719</x:v>
      </x:c>
      <x:c r="D4306" s="65" t="n">
        <x:v>268.8254717299846</x:v>
      </x:c>
      <x:c r="E4306" s="65" t="n">
        <x:v>80.00317597098729</x:v>
      </x:c>
      <x:c r="F4306" s="65" t="n">
        <x:v>80.00317597098729</x:v>
      </x:c>
      <x:c r="G4306" s="65" t="n">
        <x:v>348.8286477009719</x:v>
      </x:c>
      <x:c r="H4306" s="43" t="n">
        <x:v>1</x:v>
      </x:c>
      <x:c r="I4306" s="34" t="str">
        <x:v>generated design-reference observation; not predicted tract behavior</x:v>
      </x:c>
    </x:row>
    <x:row r="4307" ht="75.5999984741211" hidden="0" customHeight="1">
      <x:c r="A4307" s="36" t="str">
        <x:v>H3</x:v>
      </x:c>
      <x:c r="B4307" s="36" t="str">
        <x:v>48201550102</x:v>
      </x:c>
      <x:c r="C4307" s="66" t="n">
        <x:v>332.1422737377587</x:v>
      </x:c>
      <x:c r="D4307" s="66" t="n">
        <x:v>256.9569919131967</x:v>
      </x:c>
      <x:c r="E4307" s="66" t="n">
        <x:v>75.18528182456203</x:v>
      </x:c>
      <x:c r="F4307" s="66" t="n">
        <x:v>75.18528182456203</x:v>
      </x:c>
      <x:c r="G4307" s="66" t="n">
        <x:v>332.1422737377587</x:v>
      </x:c>
      <x:c r="H4307" s="45" t="n">
        <x:v>1</x:v>
      </x:c>
      <x:c r="I4307" s="36" t="str">
        <x:v>generated design-reference observation; not predicted tract behavior</x:v>
      </x:c>
    </x:row>
    <x:row r="4308" ht="75.5999984741211" hidden="0" customHeight="1">
      <x:c r="A4308" s="34" t="str">
        <x:v>H3</x:v>
      </x:c>
      <x:c r="B4308" s="34" t="str">
        <x:v>48201550201</x:v>
      </x:c>
      <x:c r="C4308" s="65" t="n">
        <x:v>337.4468478375135</x:v>
      </x:c>
      <x:c r="D4308" s="65" t="n">
        <x:v>143.85249086297597</x:v>
      </x:c>
      <x:c r="E4308" s="65" t="n">
        <x:v>193.5943569745375</x:v>
      </x:c>
      <x:c r="F4308" s="65" t="n">
        <x:v>193.5943569745375</x:v>
      </x:c>
      <x:c r="G4308" s="65" t="n">
        <x:v>337.4468478375135</x:v>
      </x:c>
      <x:c r="H4308" s="43" t="n">
        <x:v>1</x:v>
      </x:c>
      <x:c r="I4308" s="34" t="str">
        <x:v>generated design-reference observation; not predicted tract behavior</x:v>
      </x:c>
    </x:row>
    <x:row r="4309" ht="75.5999984741211" hidden="0" customHeight="1">
      <x:c r="A4309" s="36" t="str">
        <x:v>H3</x:v>
      </x:c>
      <x:c r="B4309" s="36" t="str">
        <x:v>48201550202</x:v>
      </x:c>
      <x:c r="C4309" s="66" t="n">
        <x:v>325.12009136157326</x:v>
      </x:c>
      <x:c r="D4309" s="66" t="n">
        <x:v>251.82588220830104</x:v>
      </x:c>
      <x:c r="E4309" s="66" t="n">
        <x:v>73.29420915327222</x:v>
      </x:c>
      <x:c r="F4309" s="66" t="n">
        <x:v>73.29420915327222</x:v>
      </x:c>
      <x:c r="G4309" s="66" t="n">
        <x:v>325.12009136157326</x:v>
      </x:c>
      <x:c r="H4309" s="45" t="n">
        <x:v>1</x:v>
      </x:c>
      <x:c r="I4309" s="36" t="str">
        <x:v>generated design-reference observation; not predicted tract behavior</x:v>
      </x:c>
    </x:row>
    <x:row r="4310" ht="75.5999984741211" hidden="0" customHeight="1">
      <x:c r="A4310" s="34" t="str">
        <x:v>H3</x:v>
      </x:c>
      <x:c r="B4310" s="34" t="str">
        <x:v>48201550303</x:v>
      </x:c>
      <x:c r="C4310" s="65" t="n">
        <x:v>277.20148059572904</x:v>
      </x:c>
      <x:c r="D4310" s="65" t="n">
        <x:v>245.9706724826021</x:v>
      </x:c>
      <x:c r="E4310" s="65" t="n">
        <x:v>31.230808113126926</x:v>
      </x:c>
      <x:c r="F4310" s="65" t="n">
        <x:v>31.230808113126926</x:v>
      </x:c>
      <x:c r="G4310" s="65" t="n">
        <x:v>277.20148059572904</x:v>
      </x:c>
      <x:c r="H4310" s="43" t="n">
        <x:v>1</x:v>
      </x:c>
      <x:c r="I4310" s="34" t="str">
        <x:v>generated design-reference observation; not predicted tract behavior</x:v>
      </x:c>
    </x:row>
    <x:row r="4311" ht="75.5999984741211" hidden="0" customHeight="1">
      <x:c r="A4311" s="36" t="str">
        <x:v>H3</x:v>
      </x:c>
      <x:c r="B4311" s="36" t="str">
        <x:v>48201550304</x:v>
      </x:c>
      <x:c r="C4311" s="66" t="n">
        <x:v>130.067262149413</x:v>
      </x:c>
      <x:c r="D4311" s="66" t="n">
        <x:v>115.58667940160134</x:v>
      </x:c>
      <x:c r="E4311" s="66" t="n">
        <x:v>14.480582747811667</x:v>
      </x:c>
      <x:c r="F4311" s="66" t="n">
        <x:v>14.480582747811667</x:v>
      </x:c>
      <x:c r="G4311" s="66" t="n">
        <x:v>130.067262149413</x:v>
      </x:c>
      <x:c r="H4311" s="45" t="n">
        <x:v>1</x:v>
      </x:c>
      <x:c r="I4311" s="36" t="str">
        <x:v>generated design-reference observation; not predicted tract behavior</x:v>
      </x:c>
    </x:row>
    <x:row r="4312" ht="75.5999984741211" hidden="0" customHeight="1">
      <x:c r="A4312" s="34" t="str">
        <x:v>H3</x:v>
      </x:c>
      <x:c r="B4312" s="34" t="str">
        <x:v>48201550305</x:v>
      </x:c>
      <x:c r="C4312" s="65" t="n">
        <x:v>261.6042552808757</x:v>
      </x:c>
      <x:c r="D4312" s="65" t="n">
        <x:v>232.74765414115512</x:v>
      </x:c>
      <x:c r="E4312" s="65" t="n">
        <x:v>28.856601139720567</x:v>
      </x:c>
      <x:c r="F4312" s="65" t="n">
        <x:v>28.856601139720567</x:v>
      </x:c>
      <x:c r="G4312" s="65" t="n">
        <x:v>261.6042552808757</x:v>
      </x:c>
      <x:c r="H4312" s="43" t="n">
        <x:v>1</x:v>
      </x:c>
      <x:c r="I4312" s="34" t="str">
        <x:v>generated design-reference observation; not predicted tract behavior</x:v>
      </x:c>
    </x:row>
    <x:row r="4313" ht="75.5999984741211" hidden="0" customHeight="1">
      <x:c r="A4313" s="36" t="str">
        <x:v>H3</x:v>
      </x:c>
      <x:c r="B4313" s="36" t="str">
        <x:v>48201550306</x:v>
      </x:c>
      <x:c r="C4313" s="66" t="n">
        <x:v>410.28679994892326</x:v>
      </x:c>
      <x:c r="D4313" s="66" t="n">
        <x:v>365.5219941648734</x:v>
      </x:c>
      <x:c r="E4313" s="66" t="n">
        <x:v>44.764805784049884</x:v>
      </x:c>
      <x:c r="F4313" s="66" t="n">
        <x:v>44.764805784049884</x:v>
      </x:c>
      <x:c r="G4313" s="66" t="n">
        <x:v>410.28679994892326</x:v>
      </x:c>
      <x:c r="H4313" s="45" t="n">
        <x:v>1</x:v>
      </x:c>
      <x:c r="I4313" s="36" t="str">
        <x:v>generated design-reference observation; not predicted tract behavior</x:v>
      </x:c>
    </x:row>
    <x:row r="4314" ht="75.5999984741211" hidden="0" customHeight="1">
      <x:c r="A4314" s="34" t="str">
        <x:v>H3</x:v>
      </x:c>
      <x:c r="B4314" s="34" t="str">
        <x:v>48201550307</x:v>
      </x:c>
      <x:c r="C4314" s="65" t="n">
        <x:v>228.9479331930872</x:v>
      </x:c>
      <x:c r="D4314" s="65" t="n">
        <x:v>202.94853968191214</x:v>
      </x:c>
      <x:c r="E4314" s="65" t="n">
        <x:v>25.99939351117507</x:v>
      </x:c>
      <x:c r="F4314" s="65" t="n">
        <x:v>25.99939351117507</x:v>
      </x:c>
      <x:c r="G4314" s="65" t="n">
        <x:v>228.9479331930872</x:v>
      </x:c>
      <x:c r="H4314" s="43" t="n">
        <x:v>1</x:v>
      </x:c>
      <x:c r="I4314" s="34" t="str">
        <x:v>generated design-reference observation; not predicted tract behavior</x:v>
      </x:c>
    </x:row>
    <x:row r="4315" ht="75.5999984741211" hidden="0" customHeight="1">
      <x:c r="A4315" s="36" t="str">
        <x:v>H3</x:v>
      </x:c>
      <x:c r="B4315" s="36" t="str">
        <x:v>48201550308</x:v>
      </x:c>
      <x:c r="C4315" s="66" t="n">
        <x:v>247.01697879593337</x:v>
      </x:c>
      <x:c r="D4315" s="66" t="n">
        <x:v>218.8807175523251</x:v>
      </x:c>
      <x:c r="E4315" s="66" t="n">
        <x:v>28.13626124360826</x:v>
      </x:c>
      <x:c r="F4315" s="66" t="n">
        <x:v>28.13626124360826</x:v>
      </x:c>
      <x:c r="G4315" s="66" t="n">
        <x:v>247.01697879593337</x:v>
      </x:c>
      <x:c r="H4315" s="45" t="n">
        <x:v>1</x:v>
      </x:c>
      <x:c r="I4315" s="36" t="str">
        <x:v>generated design-reference observation; not predicted tract behavior</x:v>
      </x:c>
    </x:row>
    <x:row r="4316" ht="75.5999984741211" hidden="0" customHeight="1">
      <x:c r="A4316" s="34" t="str">
        <x:v>H3</x:v>
      </x:c>
      <x:c r="B4316" s="34" t="str">
        <x:v>48201550403</x:v>
      </x:c>
      <x:c r="C4316" s="65" t="n">
        <x:v>243.3623001507296</x:v>
      </x:c>
      <x:c r="D4316" s="65" t="n">
        <x:v>216.53653248384185</x:v>
      </x:c>
      <x:c r="E4316" s="65" t="n">
        <x:v>26.825767666887742</x:v>
      </x:c>
      <x:c r="F4316" s="65" t="n">
        <x:v>26.825767666887742</x:v>
      </x:c>
      <x:c r="G4316" s="65" t="n">
        <x:v>243.3623001507296</x:v>
      </x:c>
      <x:c r="H4316" s="43" t="n">
        <x:v>1</x:v>
      </x:c>
      <x:c r="I4316" s="34" t="str">
        <x:v>generated design-reference observation; not predicted tract behavior</x:v>
      </x:c>
    </x:row>
    <x:row r="4317" ht="75.5999984741211" hidden="0" customHeight="1">
      <x:c r="A4317" s="36" t="str">
        <x:v>H3</x:v>
      </x:c>
      <x:c r="B4317" s="36" t="str">
        <x:v>48201550404</x:v>
      </x:c>
      <x:c r="C4317" s="66" t="n">
        <x:v>503.88194112399634</x:v>
      </x:c>
      <x:c r="D4317" s="66" t="n">
        <x:v>449.7908542597697</x:v>
      </x:c>
      <x:c r="E4317" s="66" t="n">
        <x:v>54.09108686422667</x:v>
      </x:c>
      <x:c r="F4317" s="66" t="n">
        <x:v>54.09108686422667</x:v>
      </x:c>
      <x:c r="G4317" s="66" t="n">
        <x:v>503.88194112399634</x:v>
      </x:c>
      <x:c r="H4317" s="45" t="n">
        <x:v>1</x:v>
      </x:c>
      <x:c r="I4317" s="36" t="str">
        <x:v>generated design-reference observation; not predicted tract behavior</x:v>
      </x:c>
    </x:row>
    <x:row r="4318" ht="75.5999984741211" hidden="0" customHeight="1">
      <x:c r="A4318" s="34" t="str">
        <x:v>H3</x:v>
      </x:c>
      <x:c r="B4318" s="34" t="str">
        <x:v>48201550405</x:v>
      </x:c>
      <x:c r="C4318" s="65" t="n">
        <x:v>575.3407330426901</x:v>
      </x:c>
      <x:c r="D4318" s="65" t="n">
        <x:v>511.5058801174879</x:v>
      </x:c>
      <x:c r="E4318" s="65" t="n">
        <x:v>63.8348529252022</x:v>
      </x:c>
      <x:c r="F4318" s="65" t="n">
        <x:v>63.8348529252022</x:v>
      </x:c>
      <x:c r="G4318" s="65" t="n">
        <x:v>575.3407330426901</x:v>
      </x:c>
      <x:c r="H4318" s="43" t="n">
        <x:v>1</x:v>
      </x:c>
      <x:c r="I4318" s="34" t="str">
        <x:v>generated design-reference observation; not predicted tract behavior</x:v>
      </x:c>
    </x:row>
    <x:row r="4319" ht="75.5999984741211" hidden="0" customHeight="1">
      <x:c r="A4319" s="36" t="str">
        <x:v>H3</x:v>
      </x:c>
      <x:c r="B4319" s="36" t="str">
        <x:v>48201550406</x:v>
      </x:c>
      <x:c r="C4319" s="66" t="n">
        <x:v>344.76194862620554</x:v>
      </x:c>
      <x:c r="D4319" s="66" t="n">
        <x:v>306.0488387499811</x:v>
      </x:c>
      <x:c r="E4319" s="66" t="n">
        <x:v>38.71310987622445</x:v>
      </x:c>
      <x:c r="F4319" s="66" t="n">
        <x:v>38.71310987622445</x:v>
      </x:c>
      <x:c r="G4319" s="66" t="n">
        <x:v>344.76194862620554</x:v>
      </x:c>
      <x:c r="H4319" s="45" t="n">
        <x:v>1</x:v>
      </x:c>
      <x:c r="I4319" s="36" t="str">
        <x:v>generated design-reference observation; not predicted tract behavior</x:v>
      </x:c>
    </x:row>
    <x:row r="4320" ht="75.5999984741211" hidden="0" customHeight="1">
      <x:c r="A4320" s="34" t="str">
        <x:v>H3</x:v>
      </x:c>
      <x:c r="B4320" s="34" t="str">
        <x:v>48201550407</x:v>
      </x:c>
      <x:c r="C4320" s="65" t="n">
        <x:v>503.19030301479654</x:v>
      </x:c>
      <x:c r="D4320" s="65" t="n">
        <x:v>449.2964158767729</x:v>
      </x:c>
      <x:c r="E4320" s="65" t="n">
        <x:v>53.893887138023615</x:v>
      </x:c>
      <x:c r="F4320" s="65" t="n">
        <x:v>53.893887138023615</x:v>
      </x:c>
      <x:c r="G4320" s="65" t="n">
        <x:v>503.19030301479654</x:v>
      </x:c>
      <x:c r="H4320" s="43" t="n">
        <x:v>1</x:v>
      </x:c>
      <x:c r="I4320" s="34" t="str">
        <x:v>generated design-reference observation; not predicted tract behavior</x:v>
      </x:c>
    </x:row>
    <x:row r="4321" ht="75.5999984741211" hidden="0" customHeight="1">
      <x:c r="A4321" s="36" t="str">
        <x:v>H3</x:v>
      </x:c>
      <x:c r="B4321" s="36" t="str">
        <x:v>48201550500</x:v>
      </x:c>
      <x:c r="C4321" s="66" t="n">
        <x:v>521.8055855334312</x:v>
      </x:c>
      <x:c r="D4321" s="66" t="n">
        <x:v>464.7995933467636</x:v>
      </x:c>
      <x:c r="E4321" s="66" t="n">
        <x:v>57.00599218666764</x:v>
      </x:c>
      <x:c r="F4321" s="66" t="n">
        <x:v>57.00599218666764</x:v>
      </x:c>
      <x:c r="G4321" s="66" t="n">
        <x:v>521.8055855334312</x:v>
      </x:c>
      <x:c r="H4321" s="45" t="n">
        <x:v>1</x:v>
      </x:c>
      <x:c r="I4321" s="36" t="str">
        <x:v>generated design-reference observation; not predicted tract behavior</x:v>
      </x:c>
    </x:row>
    <x:row r="4322" ht="75.5999984741211" hidden="0" customHeight="1">
      <x:c r="A4322" s="34" t="str">
        <x:v>H3</x:v>
      </x:c>
      <x:c r="B4322" s="34" t="str">
        <x:v>48201550601</x:v>
      </x:c>
      <x:c r="C4322" s="65" t="n">
        <x:v>573.5094639581043</x:v>
      </x:c>
      <x:c r="D4322" s="65" t="n">
        <x:v>511.49800398860475</x:v>
      </x:c>
      <x:c r="E4322" s="65" t="n">
        <x:v>62.01145996949958</x:v>
      </x:c>
      <x:c r="F4322" s="65" t="n">
        <x:v>62.01145996949958</x:v>
      </x:c>
      <x:c r="G4322" s="65" t="n">
        <x:v>573.5094639581043</x:v>
      </x:c>
      <x:c r="H4322" s="43" t="n">
        <x:v>1</x:v>
      </x:c>
      <x:c r="I4322" s="34" t="str">
        <x:v>generated design-reference observation; not predicted tract behavior</x:v>
      </x:c>
    </x:row>
    <x:row r="4323" ht="75.5999984741211" hidden="0" customHeight="1">
      <x:c r="A4323" s="36" t="str">
        <x:v>H3</x:v>
      </x:c>
      <x:c r="B4323" s="36" t="str">
        <x:v>48201550602</x:v>
      </x:c>
      <x:c r="C4323" s="66" t="n">
        <x:v>375.38779292575293</x:v>
      </x:c>
      <x:c r="D4323" s="66" t="n">
        <x:v>292.42709068916156</x:v>
      </x:c>
      <x:c r="E4323" s="66" t="n">
        <x:v>82.96070223659137</x:v>
      </x:c>
      <x:c r="F4323" s="66" t="n">
        <x:v>82.96070223659137</x:v>
      </x:c>
      <x:c r="G4323" s="66" t="n">
        <x:v>375.38779292575293</x:v>
      </x:c>
      <x:c r="H4323" s="45" t="n">
        <x:v>1</x:v>
      </x:c>
      <x:c r="I4323" s="36" t="str">
        <x:v>generated design-reference observation; not predicted tract behavior</x:v>
      </x:c>
    </x:row>
    <x:row r="4324" ht="75.5999984741211" hidden="0" customHeight="1">
      <x:c r="A4324" s="34" t="str">
        <x:v>H3</x:v>
      </x:c>
      <x:c r="B4324" s="34" t="str">
        <x:v>48201550603</x:v>
      </x:c>
      <x:c r="C4324" s="65" t="n">
        <x:v>401.55093905829114</x:v>
      </x:c>
      <x:c r="D4324" s="65" t="n">
        <x:v>357.77225547916123</x:v>
      </x:c>
      <x:c r="E4324" s="65" t="n">
        <x:v>43.778683579129904</x:v>
      </x:c>
      <x:c r="F4324" s="65" t="n">
        <x:v>43.778683579129904</x:v>
      </x:c>
      <x:c r="G4324" s="65" t="n">
        <x:v>401.55093905829114</x:v>
      </x:c>
      <x:c r="H4324" s="43" t="n">
        <x:v>1</x:v>
      </x:c>
      <x:c r="I4324" s="34" t="str">
        <x:v>generated design-reference observation; not predicted tract behavior</x:v>
      </x:c>
    </x:row>
    <x:row r="4325" ht="75.5999984741211" hidden="0" customHeight="1">
      <x:c r="A4325" s="36" t="str">
        <x:v>H3</x:v>
      </x:c>
      <x:c r="B4325" s="36" t="str">
        <x:v>48201550700</x:v>
      </x:c>
      <x:c r="C4325" s="66" t="n">
        <x:v>407.5634748939488</x:v>
      </x:c>
      <x:c r="D4325" s="66" t="n">
        <x:v>363.9541830802963</x:v>
      </x:c>
      <x:c r="E4325" s="66" t="n">
        <x:v>43.60929181365253</x:v>
      </x:c>
      <x:c r="F4325" s="66" t="n">
        <x:v>43.60929181365253</x:v>
      </x:c>
      <x:c r="G4325" s="66" t="n">
        <x:v>407.5634748939488</x:v>
      </x:c>
      <x:c r="H4325" s="45" t="n">
        <x:v>1</x:v>
      </x:c>
      <x:c r="I4325" s="36" t="str">
        <x:v>generated design-reference observation; not predicted tract behavior</x:v>
      </x:c>
    </x:row>
    <x:row r="4326" ht="75.5999984741211" hidden="0" customHeight="1">
      <x:c r="A4326" s="34" t="str">
        <x:v>H3</x:v>
      </x:c>
      <x:c r="B4326" s="34" t="str">
        <x:v>48201550800</x:v>
      </x:c>
      <x:c r="C4326" s="65" t="n">
        <x:v>627.9009972905112</x:v>
      </x:c>
      <x:c r="D4326" s="65" t="n">
        <x:v>268.0598211347903</x:v>
      </x:c>
      <x:c r="E4326" s="65" t="n">
        <x:v>359.8411761557209</x:v>
      </x:c>
      <x:c r="F4326" s="65" t="n">
        <x:v>359.8411761557209</x:v>
      </x:c>
      <x:c r="G4326" s="65" t="n">
        <x:v>627.9009972905112</x:v>
      </x:c>
      <x:c r="H4326" s="43" t="n">
        <x:v>1</x:v>
      </x:c>
      <x:c r="I4326" s="34" t="str">
        <x:v>generated design-reference observation; not predicted tract behavior</x:v>
      </x:c>
    </x:row>
    <x:row r="4327" ht="75.5999984741211" hidden="0" customHeight="1">
      <x:c r="A4327" s="36" t="str">
        <x:v>H3</x:v>
      </x:c>
      <x:c r="B4327" s="36" t="str">
        <x:v>48201550901</x:v>
      </x:c>
      <x:c r="C4327" s="66" t="n">
        <x:v>973.7865555547831</x:v>
      </x:c>
      <x:c r="D4327" s="66" t="n">
        <x:v>416.2937524996697</x:v>
      </x:c>
      <x:c r="E4327" s="66" t="n">
        <x:v>557.4928030551134</x:v>
      </x:c>
      <x:c r="F4327" s="66" t="n">
        <x:v>557.4928030551134</x:v>
      </x:c>
      <x:c r="G4327" s="66" t="n">
        <x:v>973.7865555547831</x:v>
      </x:c>
      <x:c r="H4327" s="45" t="n">
        <x:v>1</x:v>
      </x:c>
      <x:c r="I4327" s="36" t="str">
        <x:v>generated design-reference observation; not predicted tract behavior</x:v>
      </x:c>
    </x:row>
    <x:row r="4328" ht="75.5999984741211" hidden="0" customHeight="1">
      <x:c r="A4328" s="34" t="str">
        <x:v>H3</x:v>
      </x:c>
      <x:c r="B4328" s="34" t="str">
        <x:v>48201550902</x:v>
      </x:c>
      <x:c r="C4328" s="65" t="n">
        <x:v>361.49094539247693</x:v>
      </x:c>
      <x:c r="D4328" s="65" t="n">
        <x:v>322.35090642703864</x:v>
      </x:c>
      <x:c r="E4328" s="65" t="n">
        <x:v>39.14003896543829</x:v>
      </x:c>
      <x:c r="F4328" s="65" t="n">
        <x:v>39.14003896543829</x:v>
      </x:c>
      <x:c r="G4328" s="65" t="n">
        <x:v>361.49094539247693</x:v>
      </x:c>
      <x:c r="H4328" s="43" t="n">
        <x:v>1</x:v>
      </x:c>
      <x:c r="I4328" s="34" t="str">
        <x:v>generated design-reference observation; not predicted tract behavior</x:v>
      </x:c>
    </x:row>
    <x:row r="4329" ht="75.5999984741211" hidden="0" customHeight="1">
      <x:c r="A4329" s="36" t="str">
        <x:v>H3</x:v>
      </x:c>
      <x:c r="B4329" s="36" t="str">
        <x:v>48201551000</x:v>
      </x:c>
      <x:c r="C4329" s="66" t="n">
        <x:v>295.3766297721457</x:v>
      </x:c>
      <x:c r="D4329" s="66" t="n">
        <x:v>263.43333768611734</x:v>
      </x:c>
      <x:c r="E4329" s="66" t="n">
        <x:v>31.94329208602835</x:v>
      </x:c>
      <x:c r="F4329" s="66" t="n">
        <x:v>31.94329208602835</x:v>
      </x:c>
      <x:c r="G4329" s="66" t="n">
        <x:v>295.3766297721457</x:v>
      </x:c>
      <x:c r="H4329" s="45" t="n">
        <x:v>1</x:v>
      </x:c>
      <x:c r="I4329" s="36" t="str">
        <x:v>generated design-reference observation; not predicted tract behavior</x:v>
      </x:c>
    </x:row>
    <x:row r="4330" ht="75.5999984741211" hidden="0" customHeight="1">
      <x:c r="A4330" s="34" t="str">
        <x:v>H3</x:v>
      </x:c>
      <x:c r="B4330" s="34" t="str">
        <x:v>48201551101</x:v>
      </x:c>
      <x:c r="C4330" s="65" t="n">
        <x:v>301.7035465665307</x:v>
      </x:c>
      <x:c r="D4330" s="65" t="n">
        <x:v>267.7373841646375</x:v>
      </x:c>
      <x:c r="E4330" s="65" t="n">
        <x:v>33.9661624018932</x:v>
      </x:c>
      <x:c r="F4330" s="65" t="n">
        <x:v>33.9661624018932</x:v>
      </x:c>
      <x:c r="G4330" s="65" t="n">
        <x:v>301.7035465665307</x:v>
      </x:c>
      <x:c r="H4330" s="43" t="n">
        <x:v>1</x:v>
      </x:c>
      <x:c r="I4330" s="34" t="str">
        <x:v>generated design-reference observation; not predicted tract behavior</x:v>
      </x:c>
    </x:row>
    <x:row r="4331" ht="75.5999984741211" hidden="0" customHeight="1">
      <x:c r="A4331" s="36" t="str">
        <x:v>H3</x:v>
      </x:c>
      <x:c r="B4331" s="36" t="str">
        <x:v>48201551102</x:v>
      </x:c>
      <x:c r="C4331" s="66" t="n">
        <x:v>525.2244784595895</x:v>
      </x:c>
      <x:c r="D4331" s="66" t="n">
        <x:v>469.02545926441337</x:v>
      </x:c>
      <x:c r="E4331" s="66" t="n">
        <x:v>56.199019195176106</x:v>
      </x:c>
      <x:c r="F4331" s="66" t="n">
        <x:v>56.199019195176106</x:v>
      </x:c>
      <x:c r="G4331" s="66" t="n">
        <x:v>525.2244784595895</x:v>
      </x:c>
      <x:c r="H4331" s="45" t="n">
        <x:v>1</x:v>
      </x:c>
      <x:c r="I4331" s="36" t="str">
        <x:v>generated design-reference observation; not predicted tract behavior</x:v>
      </x:c>
    </x:row>
    <x:row r="4332" ht="75.5999984741211" hidden="0" customHeight="1">
      <x:c r="A4332" s="34" t="str">
        <x:v>H3</x:v>
      </x:c>
      <x:c r="B4332" s="34" t="str">
        <x:v>48201551201</x:v>
      </x:c>
      <x:c r="C4332" s="65" t="n">
        <x:v>395.77418894167863</x:v>
      </x:c>
      <x:c r="D4332" s="65" t="n">
        <x:v>352.03406510085114</x:v>
      </x:c>
      <x:c r="E4332" s="65" t="n">
        <x:v>43.74012384082749</x:v>
      </x:c>
      <x:c r="F4332" s="65" t="n">
        <x:v>43.74012384082749</x:v>
      </x:c>
      <x:c r="G4332" s="65" t="n">
        <x:v>395.77418894167863</x:v>
      </x:c>
      <x:c r="H4332" s="43" t="n">
        <x:v>1</x:v>
      </x:c>
      <x:c r="I4332" s="34" t="str">
        <x:v>generated design-reference observation; not predicted tract behavior</x:v>
      </x:c>
    </x:row>
    <x:row r="4333" ht="75.5999984741211" hidden="0" customHeight="1">
      <x:c r="A4333" s="36" t="str">
        <x:v>H3</x:v>
      </x:c>
      <x:c r="B4333" s="36" t="str">
        <x:v>48201551202</x:v>
      </x:c>
      <x:c r="C4333" s="66" t="n">
        <x:v>296.03290002348876</x:v>
      </x:c>
      <x:c r="D4333" s="66" t="n">
        <x:v>263.69858434611524</x:v>
      </x:c>
      <x:c r="E4333" s="66" t="n">
        <x:v>32.334315677373525</x:v>
      </x:c>
      <x:c r="F4333" s="66" t="n">
        <x:v>32.334315677373525</x:v>
      </x:c>
      <x:c r="G4333" s="66" t="n">
        <x:v>296.03290002348876</x:v>
      </x:c>
      <x:c r="H4333" s="45" t="n">
        <x:v>1</x:v>
      </x:c>
      <x:c r="I4333" s="36" t="str">
        <x:v>generated design-reference observation; not predicted tract behavior</x:v>
      </x:c>
    </x:row>
    <x:row r="4334" ht="75.5999984741211" hidden="0" customHeight="1">
      <x:c r="A4334" s="34" t="str">
        <x:v>H3</x:v>
      </x:c>
      <x:c r="B4334" s="34" t="str">
        <x:v>48201551300</x:v>
      </x:c>
      <x:c r="C4334" s="65" t="n">
        <x:v>292.8301440064553</x:v>
      </x:c>
      <x:c r="D4334" s="65" t="n">
        <x:v>261.49731859776455</x:v>
      </x:c>
      <x:c r="E4334" s="65" t="n">
        <x:v>31.33282540869078</x:v>
      </x:c>
      <x:c r="F4334" s="65" t="n">
        <x:v>31.33282540869078</x:v>
      </x:c>
      <x:c r="G4334" s="65" t="n">
        <x:v>292.8301440064553</x:v>
      </x:c>
      <x:c r="H4334" s="43" t="n">
        <x:v>1</x:v>
      </x:c>
      <x:c r="I4334" s="34" t="str">
        <x:v>generated design-reference observation; not predicted tract behavior</x:v>
      </x:c>
    </x:row>
    <x:row r="4335" ht="75.5999984741211" hidden="0" customHeight="1">
      <x:c r="A4335" s="36" t="str">
        <x:v>H3</x:v>
      </x:c>
      <x:c r="B4335" s="36" t="str">
        <x:v>48201551400</x:v>
      </x:c>
      <x:c r="C4335" s="66" t="n">
        <x:v>513.6041722726353</x:v>
      </x:c>
      <x:c r="D4335" s="66" t="n">
        <x:v>457.5154793628433</x:v>
      </x:c>
      <x:c r="E4335" s="66" t="n">
        <x:v>56.08869290979203</x:v>
      </x:c>
      <x:c r="F4335" s="66" t="n">
        <x:v>56.08869290979203</x:v>
      </x:c>
      <x:c r="G4335" s="66" t="n">
        <x:v>513.6041722726353</x:v>
      </x:c>
      <x:c r="H4335" s="45" t="n">
        <x:v>1</x:v>
      </x:c>
      <x:c r="I4335" s="36" t="str">
        <x:v>generated design-reference observation; not predicted tract behavior</x:v>
      </x:c>
    </x:row>
    <x:row r="4336" ht="75.5999984741211" hidden="0" customHeight="1">
      <x:c r="A4336" s="34" t="str">
        <x:v>H3</x:v>
      </x:c>
      <x:c r="B4336" s="34" t="str">
        <x:v>48201551501</x:v>
      </x:c>
      <x:c r="C4336" s="65" t="n">
        <x:v>753.9907357332584</x:v>
      </x:c>
      <x:c r="D4336" s="65" t="n">
        <x:v>320.6853226500789</x:v>
      </x:c>
      <x:c r="E4336" s="65" t="n">
        <x:v>433.3054130831795</x:v>
      </x:c>
      <x:c r="F4336" s="65" t="n">
        <x:v>433.3054130831795</x:v>
      </x:c>
      <x:c r="G4336" s="65" t="n">
        <x:v>753.9907357332584</x:v>
      </x:c>
      <x:c r="H4336" s="43" t="n">
        <x:v>1</x:v>
      </x:c>
      <x:c r="I4336" s="34" t="str">
        <x:v>generated design-reference observation; not predicted tract behavior</x:v>
      </x:c>
    </x:row>
    <x:row r="4337" ht="75.5999984741211" hidden="0" customHeight="1">
      <x:c r="A4337" s="36" t="str">
        <x:v>H3</x:v>
      </x:c>
      <x:c r="B4337" s="36" t="str">
        <x:v>48201551502</x:v>
      </x:c>
      <x:c r="C4337" s="66" t="n">
        <x:v>398.9572961487916</x:v>
      </x:c>
      <x:c r="D4337" s="66" t="n">
        <x:v>356.0582631758694</x:v>
      </x:c>
      <x:c r="E4337" s="66" t="n">
        <x:v>42.899032972922214</x:v>
      </x:c>
      <x:c r="F4337" s="66" t="n">
        <x:v>42.899032972922214</x:v>
      </x:c>
      <x:c r="G4337" s="66" t="n">
        <x:v>398.9572961487916</x:v>
      </x:c>
      <x:c r="H4337" s="45" t="n">
        <x:v>1</x:v>
      </x:c>
      <x:c r="I4337" s="36" t="str">
        <x:v>generated design-reference observation; not predicted tract behavior</x:v>
      </x:c>
    </x:row>
    <x:row r="4338" ht="75.5999984741211" hidden="0" customHeight="1">
      <x:c r="A4338" s="34" t="str">
        <x:v>H3</x:v>
      </x:c>
      <x:c r="B4338" s="34" t="str">
        <x:v>48201551601</x:v>
      </x:c>
      <x:c r="C4338" s="65" t="n">
        <x:v>242.02618107613895</x:v>
      </x:c>
      <x:c r="D4338" s="65" t="n">
        <x:v>216.12937970099205</x:v>
      </x:c>
      <x:c r="E4338" s="65" t="n">
        <x:v>25.896801375146907</x:v>
      </x:c>
      <x:c r="F4338" s="65" t="n">
        <x:v>25.896801375146907</x:v>
      </x:c>
      <x:c r="G4338" s="65" t="n">
        <x:v>242.02618107613895</x:v>
      </x:c>
      <x:c r="H4338" s="43" t="n">
        <x:v>1</x:v>
      </x:c>
      <x:c r="I4338" s="34" t="str">
        <x:v>generated design-reference observation; not predicted tract behavior</x:v>
      </x:c>
    </x:row>
    <x:row r="4339" ht="75.5999984741211" hidden="0" customHeight="1">
      <x:c r="A4339" s="36" t="str">
        <x:v>H3</x:v>
      </x:c>
      <x:c r="B4339" s="36" t="str">
        <x:v>48201551602</x:v>
      </x:c>
      <x:c r="C4339" s="66" t="n">
        <x:v>358.3156977093322</x:v>
      </x:c>
      <x:c r="D4339" s="66" t="n">
        <x:v>319.0751290562388</x:v>
      </x:c>
      <x:c r="E4339" s="66" t="n">
        <x:v>39.24056865309342</x:v>
      </x:c>
      <x:c r="F4339" s="66" t="n">
        <x:v>39.24056865309342</x:v>
      </x:c>
      <x:c r="G4339" s="66" t="n">
        <x:v>358.3156977093322</x:v>
      </x:c>
      <x:c r="H4339" s="45" t="n">
        <x:v>1</x:v>
      </x:c>
      <x:c r="I4339" s="36" t="str">
        <x:v>generated design-reference observation; not predicted tract behavior</x:v>
      </x:c>
    </x:row>
    <x:row r="4340" ht="75.5999984741211" hidden="0" customHeight="1">
      <x:c r="A4340" s="34" t="str">
        <x:v>H3</x:v>
      </x:c>
      <x:c r="B4340" s="34" t="str">
        <x:v>48201551702</x:v>
      </x:c>
      <x:c r="C4340" s="65" t="n">
        <x:v>329.2590375989703</x:v>
      </x:c>
      <x:c r="D4340" s="65" t="n">
        <x:v>294.02832057588046</x:v>
      </x:c>
      <x:c r="E4340" s="65" t="n">
        <x:v>35.230717023089824</x:v>
      </x:c>
      <x:c r="F4340" s="65" t="n">
        <x:v>35.230717023089824</x:v>
      </x:c>
      <x:c r="G4340" s="65" t="n">
        <x:v>329.2590375989703</x:v>
      </x:c>
      <x:c r="H4340" s="43" t="n">
        <x:v>1</x:v>
      </x:c>
      <x:c r="I4340" s="34" t="str">
        <x:v>generated design-reference observation; not predicted tract behavior</x:v>
      </x:c>
    </x:row>
    <x:row r="4341" ht="75.5999984741211" hidden="0" customHeight="1">
      <x:c r="A4341" s="36" t="str">
        <x:v>H3</x:v>
      </x:c>
      <x:c r="B4341" s="36" t="str">
        <x:v>48201551703</x:v>
      </x:c>
      <x:c r="C4341" s="66" t="n">
        <x:v>650.5878155140467</x:v>
      </x:c>
      <x:c r="D4341" s="66" t="n">
        <x:v>579.4066206526113</x:v>
      </x:c>
      <x:c r="E4341" s="66" t="n">
        <x:v>71.18119486143542</x:v>
      </x:c>
      <x:c r="F4341" s="66" t="n">
        <x:v>71.18119486143542</x:v>
      </x:c>
      <x:c r="G4341" s="66" t="n">
        <x:v>650.5878155140467</x:v>
      </x:c>
      <x:c r="H4341" s="45" t="n">
        <x:v>1</x:v>
      </x:c>
      <x:c r="I4341" s="36" t="str">
        <x:v>generated design-reference observation; not predicted tract behavior</x:v>
      </x:c>
    </x:row>
    <x:row r="4342" ht="75.5999984741211" hidden="0" customHeight="1">
      <x:c r="A4342" s="34" t="str">
        <x:v>H3</x:v>
      </x:c>
      <x:c r="B4342" s="34" t="str">
        <x:v>48201551704</x:v>
      </x:c>
      <x:c r="C4342" s="65" t="n">
        <x:v>321.26983148531514</x:v>
      </x:c>
      <x:c r="D4342" s="65" t="n">
        <x:v>286.36892481923223</x:v>
      </x:c>
      <x:c r="E4342" s="65" t="n">
        <x:v>34.9009066660829</x:v>
      </x:c>
      <x:c r="F4342" s="65" t="n">
        <x:v>34.9009066660829</x:v>
      </x:c>
      <x:c r="G4342" s="65" t="n">
        <x:v>321.26983148531514</x:v>
      </x:c>
      <x:c r="H4342" s="43" t="n">
        <x:v>1</x:v>
      </x:c>
      <x:c r="I4342" s="34" t="str">
        <x:v>generated design-reference observation; not predicted tract behavior</x:v>
      </x:c>
    </x:row>
    <x:row r="4343" ht="75.5999984741211" hidden="0" customHeight="1">
      <x:c r="A4343" s="36" t="str">
        <x:v>H3</x:v>
      </x:c>
      <x:c r="B4343" s="36" t="str">
        <x:v>48201551705</x:v>
      </x:c>
      <x:c r="C4343" s="66" t="n">
        <x:v>377.1942742809008</x:v>
      </x:c>
      <x:c r="D4343" s="66" t="n">
        <x:v>336.48200663685486</x:v>
      </x:c>
      <x:c r="E4343" s="66" t="n">
        <x:v>40.71226764404594</x:v>
      </x:c>
      <x:c r="F4343" s="66" t="n">
        <x:v>40.71226764404594</x:v>
      </x:c>
      <x:c r="G4343" s="66" t="n">
        <x:v>377.1942742809008</x:v>
      </x:c>
      <x:c r="H4343" s="45" t="n">
        <x:v>1</x:v>
      </x:c>
      <x:c r="I4343" s="36" t="str">
        <x:v>generated design-reference observation; not predicted tract behavior</x:v>
      </x:c>
    </x:row>
    <x:row r="4344" ht="75.5999984741211" hidden="0" customHeight="1">
      <x:c r="A4344" s="34" t="str">
        <x:v>H3</x:v>
      </x:c>
      <x:c r="B4344" s="34" t="str">
        <x:v>48201551800</x:v>
      </x:c>
      <x:c r="C4344" s="65" t="n">
        <x:v>311.9130682011967</x:v>
      </x:c>
      <x:c r="D4344" s="65" t="n">
        <x:v>278.5383699036687</x:v>
      </x:c>
      <x:c r="E4344" s="65" t="n">
        <x:v>33.37469829752803</x:v>
      </x:c>
      <x:c r="F4344" s="65" t="n">
        <x:v>33.37469829752803</x:v>
      </x:c>
      <x:c r="G4344" s="65" t="n">
        <x:v>311.9130682011967</x:v>
      </x:c>
      <x:c r="H4344" s="43" t="n">
        <x:v>1</x:v>
      </x:c>
      <x:c r="I4344" s="34" t="str">
        <x:v>generated design-reference observation; not predicted tract behavior</x:v>
      </x:c>
    </x:row>
    <x:row r="4345" ht="75.5999984741211" hidden="0" customHeight="1">
      <x:c r="A4345" s="36" t="str">
        <x:v>H3</x:v>
      </x:c>
      <x:c r="B4345" s="36" t="str">
        <x:v>48201551901</x:v>
      </x:c>
      <x:c r="C4345" s="66" t="n">
        <x:v>190.29479431757736</x:v>
      </x:c>
      <x:c r="D4345" s="66" t="n">
        <x:v>169.13460283530426</x:v>
      </x:c>
      <x:c r="E4345" s="66" t="n">
        <x:v>21.160191482273092</x:v>
      </x:c>
      <x:c r="F4345" s="66" t="n">
        <x:v>21.160191482273092</x:v>
      </x:c>
      <x:c r="G4345" s="66" t="n">
        <x:v>190.29479431757736</x:v>
      </x:c>
      <x:c r="H4345" s="45" t="n">
        <x:v>1</x:v>
      </x:c>
      <x:c r="I4345" s="36" t="str">
        <x:v>generated design-reference observation; not predicted tract behavior</x:v>
      </x:c>
    </x:row>
    <x:row r="4346" ht="75.5999984741211" hidden="0" customHeight="1">
      <x:c r="A4346" s="34" t="str">
        <x:v>H3</x:v>
      </x:c>
      <x:c r="B4346" s="34" t="str">
        <x:v>48201551902</x:v>
      </x:c>
      <x:c r="C4346" s="65" t="n">
        <x:v>383.7569767943313</x:v>
      </x:c>
      <x:c r="D4346" s="65" t="n">
        <x:v>340.24901106123474</x:v>
      </x:c>
      <x:c r="E4346" s="65" t="n">
        <x:v>43.50796573309657</x:v>
      </x:c>
      <x:c r="F4346" s="65" t="n">
        <x:v>43.50796573309657</x:v>
      </x:c>
      <x:c r="G4346" s="65" t="n">
        <x:v>383.7569767943313</x:v>
      </x:c>
      <x:c r="H4346" s="43" t="n">
        <x:v>1</x:v>
      </x:c>
      <x:c r="I4346" s="34" t="str">
        <x:v>generated design-reference observation; not predicted tract behavior</x:v>
      </x:c>
    </x:row>
    <x:row r="4347" ht="75.5999984741211" hidden="0" customHeight="1">
      <x:c r="A4347" s="36" t="str">
        <x:v>H3</x:v>
      </x:c>
      <x:c r="B4347" s="36" t="str">
        <x:v>48201552002</x:v>
      </x:c>
      <x:c r="C4347" s="66" t="n">
        <x:v>119.35473098078349</x:v>
      </x:c>
      <x:c r="D4347" s="66" t="n">
        <x:v>105.66352825690778</x:v>
      </x:c>
      <x:c r="E4347" s="66" t="n">
        <x:v>13.691202723875705</x:v>
      </x:c>
      <x:c r="F4347" s="66" t="n">
        <x:v>13.691202723875705</x:v>
      </x:c>
      <x:c r="G4347" s="66" t="n">
        <x:v>119.35473098078349</x:v>
      </x:c>
      <x:c r="H4347" s="45" t="n">
        <x:v>1</x:v>
      </x:c>
      <x:c r="I4347" s="36" t="str">
        <x:v>generated design-reference observation; not predicted tract behavior</x:v>
      </x:c>
    </x:row>
    <x:row r="4348" ht="75.5999984741211" hidden="0" customHeight="1">
      <x:c r="A4348" s="34" t="str">
        <x:v>H3</x:v>
      </x:c>
      <x:c r="B4348" s="34" t="str">
        <x:v>48201552003</x:v>
      </x:c>
      <x:c r="C4348" s="65" t="n">
        <x:v>359.67539535582733</x:v>
      </x:c>
      <x:c r="D4348" s="65" t="n">
        <x:v>320.5060517151161</x:v>
      </x:c>
      <x:c r="E4348" s="65" t="n">
        <x:v>39.16934364071125</x:v>
      </x:c>
      <x:c r="F4348" s="65" t="n">
        <x:v>39.16934364071125</x:v>
      </x:c>
      <x:c r="G4348" s="65" t="n">
        <x:v>359.67539535582733</x:v>
      </x:c>
      <x:c r="H4348" s="43" t="n">
        <x:v>1</x:v>
      </x:c>
      <x:c r="I4348" s="34" t="str">
        <x:v>generated design-reference observation; not predicted tract behavior</x:v>
      </x:c>
    </x:row>
    <x:row r="4349" ht="75.5999984741211" hidden="0" customHeight="1">
      <x:c r="A4349" s="36" t="str">
        <x:v>H3</x:v>
      </x:c>
      <x:c r="B4349" s="36" t="str">
        <x:v>48201552004</x:v>
      </x:c>
      <x:c r="C4349" s="66" t="n">
        <x:v>264.87381725163857</x:v>
      </x:c>
      <x:c r="D4349" s="66" t="n">
        <x:v>235.09428164735564</x:v>
      </x:c>
      <x:c r="E4349" s="66" t="n">
        <x:v>29.779535604282927</x:v>
      </x:c>
      <x:c r="F4349" s="66" t="n">
        <x:v>29.779535604282927</x:v>
      </x:c>
      <x:c r="G4349" s="66" t="n">
        <x:v>264.87381725163857</x:v>
      </x:c>
      <x:c r="H4349" s="45" t="n">
        <x:v>1</x:v>
      </x:c>
      <x:c r="I4349" s="36" t="str">
        <x:v>generated design-reference observation; not predicted tract behavior</x:v>
      </x:c>
    </x:row>
    <x:row r="4350" ht="75.5999984741211" hidden="0" customHeight="1">
      <x:c r="A4350" s="34" t="str">
        <x:v>H3</x:v>
      </x:c>
      <x:c r="B4350" s="34" t="str">
        <x:v>48201552101</x:v>
      </x:c>
      <x:c r="C4350" s="65" t="n">
        <x:v>351.6822594801882</x:v>
      </x:c>
      <x:c r="D4350" s="65" t="n">
        <x:v>312.85862108929746</x:v>
      </x:c>
      <x:c r="E4350" s="65" t="n">
        <x:v>38.82363839089072</x:v>
      </x:c>
      <x:c r="F4350" s="65" t="n">
        <x:v>38.82363839089072</x:v>
      </x:c>
      <x:c r="G4350" s="65" t="n">
        <x:v>351.6822594801882</x:v>
      </x:c>
      <x:c r="H4350" s="43" t="n">
        <x:v>1</x:v>
      </x:c>
      <x:c r="I4350" s="34" t="str">
        <x:v>generated design-reference observation; not predicted tract behavior</x:v>
      </x:c>
    </x:row>
    <x:row r="4351" ht="75.5999984741211" hidden="0" customHeight="1">
      <x:c r="A4351" s="36" t="str">
        <x:v>H3</x:v>
      </x:c>
      <x:c r="B4351" s="36" t="str">
        <x:v>48201552102</x:v>
      </x:c>
      <x:c r="C4351" s="66" t="n">
        <x:v>478.73146442582</x:v>
      </x:c>
      <x:c r="D4351" s="66" t="n">
        <x:v>426.92447416657507</x:v>
      </x:c>
      <x:c r="E4351" s="66" t="n">
        <x:v>51.80699025924491</x:v>
      </x:c>
      <x:c r="F4351" s="66" t="n">
        <x:v>51.80699025924491</x:v>
      </x:c>
      <x:c r="G4351" s="66" t="n">
        <x:v>478.73146442582</x:v>
      </x:c>
      <x:c r="H4351" s="45" t="n">
        <x:v>1</x:v>
      </x:c>
      <x:c r="I4351" s="36" t="str">
        <x:v>generated design-reference observation; not predicted tract behavior</x:v>
      </x:c>
    </x:row>
    <x:row r="4352" ht="75.5999984741211" hidden="0" customHeight="1">
      <x:c r="A4352" s="34" t="str">
        <x:v>H3</x:v>
      </x:c>
      <x:c r="B4352" s="34" t="str">
        <x:v>48201552103</x:v>
      </x:c>
      <x:c r="C4352" s="65" t="n">
        <x:v>320.24416360746767</x:v>
      </x:c>
      <x:c r="D4352" s="65" t="n">
        <x:v>285.19052973533553</x:v>
      </x:c>
      <x:c r="E4352" s="65" t="n">
        <x:v>35.05363387213214</x:v>
      </x:c>
      <x:c r="F4352" s="65" t="n">
        <x:v>35.05363387213214</x:v>
      </x:c>
      <x:c r="G4352" s="65" t="n">
        <x:v>320.24416360746767</x:v>
      </x:c>
      <x:c r="H4352" s="43" t="n">
        <x:v>1</x:v>
      </x:c>
      <x:c r="I4352" s="34" t="str">
        <x:v>generated design-reference observation; not predicted tract behavior</x:v>
      </x:c>
    </x:row>
    <x:row r="4353" ht="75.5999984741211" hidden="0" customHeight="1">
      <x:c r="A4353" s="36" t="str">
        <x:v>H3</x:v>
      </x:c>
      <x:c r="B4353" s="36" t="str">
        <x:v>48201552200</x:v>
      </x:c>
      <x:c r="C4353" s="66" t="n">
        <x:v>588.9141309357373</x:v>
      </x:c>
      <x:c r="D4353" s="66" t="n">
        <x:v>523.3671514129802</x:v>
      </x:c>
      <x:c r="E4353" s="66" t="n">
        <x:v>65.54697952275706</x:v>
      </x:c>
      <x:c r="F4353" s="66" t="n">
        <x:v>65.54697952275706</x:v>
      </x:c>
      <x:c r="G4353" s="66" t="n">
        <x:v>588.9141309357373</x:v>
      </x:c>
      <x:c r="H4353" s="45" t="n">
        <x:v>1</x:v>
      </x:c>
      <x:c r="I4353" s="36" t="str">
        <x:v>generated design-reference observation; not predicted tract behavior</x:v>
      </x:c>
    </x:row>
    <x:row r="4354" ht="75.5999984741211" hidden="0" customHeight="1">
      <x:c r="A4354" s="34" t="str">
        <x:v>H3</x:v>
      </x:c>
      <x:c r="B4354" s="34" t="str">
        <x:v>48201552301</x:v>
      </x:c>
      <x:c r="C4354" s="65" t="n">
        <x:v>389.8638269176072</x:v>
      </x:c>
      <x:c r="D4354" s="65" t="n">
        <x:v>346.8378157103493</x:v>
      </x:c>
      <x:c r="E4354" s="65" t="n">
        <x:v>43.02601120725791</x:v>
      </x:c>
      <x:c r="F4354" s="65" t="n">
        <x:v>43.02601120725791</x:v>
      </x:c>
      <x:c r="G4354" s="65" t="n">
        <x:v>389.8638269176072</x:v>
      </x:c>
      <x:c r="H4354" s="43" t="n">
        <x:v>1</x:v>
      </x:c>
      <x:c r="I4354" s="34" t="str">
        <x:v>generated design-reference observation; not predicted tract behavior</x:v>
      </x:c>
    </x:row>
    <x:row r="4355" ht="75.5999984741211" hidden="0" customHeight="1">
      <x:c r="A4355" s="36" t="str">
        <x:v>H3</x:v>
      </x:c>
      <x:c r="B4355" s="36" t="str">
        <x:v>48201552303</x:v>
      </x:c>
      <x:c r="C4355" s="66" t="n">
        <x:v>268.8743149514423</x:v>
      </x:c>
      <x:c r="D4355" s="66" t="n">
        <x:v>238.75032612560304</x:v>
      </x:c>
      <x:c r="E4355" s="66" t="n">
        <x:v>30.123988825839234</x:v>
      </x:c>
      <x:c r="F4355" s="66" t="n">
        <x:v>30.123988825839234</x:v>
      </x:c>
      <x:c r="G4355" s="66" t="n">
        <x:v>268.8743149514423</x:v>
      </x:c>
      <x:c r="H4355" s="45" t="n">
        <x:v>1</x:v>
      </x:c>
      <x:c r="I4355" s="36" t="str">
        <x:v>generated design-reference observation; not predicted tract behavior</x:v>
      </x:c>
    </x:row>
    <x:row r="4356" ht="75.5999984741211" hidden="0" customHeight="1">
      <x:c r="A4356" s="34" t="str">
        <x:v>H3</x:v>
      </x:c>
      <x:c r="B4356" s="34" t="str">
        <x:v>48201552304</x:v>
      </x:c>
      <x:c r="C4356" s="65" t="n">
        <x:v>168.16237482318212</x:v>
      </x:c>
      <x:c r="D4356" s="65" t="n">
        <x:v>150.02656399555423</x:v>
      </x:c>
      <x:c r="E4356" s="65" t="n">
        <x:v>18.135810827627893</x:v>
      </x:c>
      <x:c r="F4356" s="65" t="n">
        <x:v>18.135810827627893</x:v>
      </x:c>
      <x:c r="G4356" s="65" t="n">
        <x:v>168.16237482318212</x:v>
      </x:c>
      <x:c r="H4356" s="43" t="n">
        <x:v>1</x:v>
      </x:c>
      <x:c r="I4356" s="34" t="str">
        <x:v>generated design-reference observation; not predicted tract behavior</x:v>
      </x:c>
    </x:row>
    <x:row r="4357" ht="75.5999984741211" hidden="0" customHeight="1">
      <x:c r="A4357" s="36" t="str">
        <x:v>H3</x:v>
      </x:c>
      <x:c r="B4357" s="36" t="str">
        <x:v>48201552401</x:v>
      </x:c>
      <x:c r="C4357" s="66" t="n">
        <x:v>427.47950862931737</x:v>
      </x:c>
      <x:c r="D4357" s="66" t="n">
        <x:v>380.1651780216242</x:v>
      </x:c>
      <x:c r="E4357" s="66" t="n">
        <x:v>47.31433060769319</x:v>
      </x:c>
      <x:c r="F4357" s="66" t="n">
        <x:v>47.31433060769319</x:v>
      </x:c>
      <x:c r="G4357" s="66" t="n">
        <x:v>427.47950862931737</x:v>
      </x:c>
      <x:c r="H4357" s="45" t="n">
        <x:v>1</x:v>
      </x:c>
      <x:c r="I4357" s="36" t="str">
        <x:v>generated design-reference observation; not predicted tract behavior</x:v>
      </x:c>
    </x:row>
    <x:row r="4358" ht="75.5999984741211" hidden="0" customHeight="1">
      <x:c r="A4358" s="34" t="str">
        <x:v>H3</x:v>
      </x:c>
      <x:c r="B4358" s="34" t="str">
        <x:v>48201552402</x:v>
      </x:c>
      <x:c r="C4358" s="65" t="n">
        <x:v>255.71747182870877</x:v>
      </x:c>
      <x:c r="D4358" s="65" t="n">
        <x:v>228.1539746907904</x:v>
      </x:c>
      <x:c r="E4358" s="65" t="n">
        <x:v>27.563497137918375</x:v>
      </x:c>
      <x:c r="F4358" s="65" t="n">
        <x:v>27.563497137918375</x:v>
      </x:c>
      <x:c r="G4358" s="65" t="n">
        <x:v>255.71747182870877</x:v>
      </x:c>
      <x:c r="H4358" s="43" t="n">
        <x:v>1</x:v>
      </x:c>
      <x:c r="I4358" s="34" t="str">
        <x:v>generated design-reference observation; not predicted tract behavior</x:v>
      </x:c>
    </x:row>
    <x:row r="4359" ht="75.5999984741211" hidden="0" customHeight="1">
      <x:c r="A4359" s="36" t="str">
        <x:v>H3</x:v>
      </x:c>
      <x:c r="B4359" s="36" t="str">
        <x:v>48201552501</x:v>
      </x:c>
      <x:c r="C4359" s="66" t="n">
        <x:v>417.24640842274675</x:v>
      </x:c>
      <x:c r="D4359" s="66" t="n">
        <x:v>371.74702986035936</x:v>
      </x:c>
      <x:c r="E4359" s="66" t="n">
        <x:v>45.49937856238739</x:v>
      </x:c>
      <x:c r="F4359" s="66" t="n">
        <x:v>45.49937856238739</x:v>
      </x:c>
      <x:c r="G4359" s="66" t="n">
        <x:v>417.24640842274675</x:v>
      </x:c>
      <x:c r="H4359" s="45" t="n">
        <x:v>1</x:v>
      </x:c>
      <x:c r="I4359" s="36" t="str">
        <x:v>generated design-reference observation; not predicted tract behavior</x:v>
      </x:c>
    </x:row>
    <x:row r="4360" ht="75.5999984741211" hidden="0" customHeight="1">
      <x:c r="A4360" s="34" t="str">
        <x:v>H3</x:v>
      </x:c>
      <x:c r="B4360" s="34" t="str">
        <x:v>48201552502</x:v>
      </x:c>
      <x:c r="C4360" s="65" t="n">
        <x:v>516.8815937673664</x:v>
      </x:c>
      <x:c r="D4360" s="65" t="n">
        <x:v>460.9416887418293</x:v>
      </x:c>
      <x:c r="E4360" s="65" t="n">
        <x:v>55.93990502553714</x:v>
      </x:c>
      <x:c r="F4360" s="65" t="n">
        <x:v>55.93990502553714</x:v>
      </x:c>
      <x:c r="G4360" s="65" t="n">
        <x:v>516.8815937673664</x:v>
      </x:c>
      <x:c r="H4360" s="43" t="n">
        <x:v>1</x:v>
      </x:c>
      <x:c r="I4360" s="34" t="str">
        <x:v>generated design-reference observation; not predicted tract behavior</x:v>
      </x:c>
    </x:row>
    <x:row r="4361" ht="75.5999984741211" hidden="0" customHeight="1">
      <x:c r="A4361" s="36" t="str">
        <x:v>H3</x:v>
      </x:c>
      <x:c r="B4361" s="36" t="str">
        <x:v>48201552602</x:v>
      </x:c>
      <x:c r="C4361" s="66" t="n">
        <x:v>637.340587865679</x:v>
      </x:c>
      <x:c r="D4361" s="66" t="n">
        <x:v>564.675130876528</x:v>
      </x:c>
      <x:c r="E4361" s="66" t="n">
        <x:v>72.66545698915104</x:v>
      </x:c>
      <x:c r="F4361" s="66" t="n">
        <x:v>72.66545698915104</x:v>
      </x:c>
      <x:c r="G4361" s="66" t="n">
        <x:v>637.340587865679</x:v>
      </x:c>
      <x:c r="H4361" s="45" t="n">
        <x:v>1</x:v>
      </x:c>
      <x:c r="I4361" s="36" t="str">
        <x:v>generated design-reference observation; not predicted tract behavior</x:v>
      </x:c>
    </x:row>
    <x:row r="4362" ht="75.5999984741211" hidden="0" customHeight="1">
      <x:c r="A4362" s="34" t="str">
        <x:v>H3</x:v>
      </x:c>
      <x:c r="B4362" s="34" t="str">
        <x:v>48201552603</x:v>
      </x:c>
      <x:c r="C4362" s="65" t="n">
        <x:v>445.2852601792294</x:v>
      </x:c>
      <x:c r="D4362" s="65" t="n">
        <x:v>393.9574143704719</x:v>
      </x:c>
      <x:c r="E4362" s="65" t="n">
        <x:v>51.3278458087575</x:v>
      </x:c>
      <x:c r="F4362" s="65" t="n">
        <x:v>51.3278458087575</x:v>
      </x:c>
      <x:c r="G4362" s="65" t="n">
        <x:v>445.2852601792294</x:v>
      </x:c>
      <x:c r="H4362" s="43" t="n">
        <x:v>1</x:v>
      </x:c>
      <x:c r="I4362" s="34" t="str">
        <x:v>generated design-reference observation; not predicted tract behavior</x:v>
      </x:c>
    </x:row>
    <x:row r="4363" ht="75.5999984741211" hidden="0" customHeight="1">
      <x:c r="A4363" s="36" t="str">
        <x:v>H3</x:v>
      </x:c>
      <x:c r="B4363" s="36" t="str">
        <x:v>48201552604</x:v>
      </x:c>
      <x:c r="C4363" s="66" t="n">
        <x:v>242.63922394565702</x:v>
      </x:c>
      <x:c r="D4363" s="66" t="n">
        <x:v>216.53872116782333</x:v>
      </x:c>
      <x:c r="E4363" s="66" t="n">
        <x:v>26.100502777833697</x:v>
      </x:c>
      <x:c r="F4363" s="66" t="n">
        <x:v>26.100502777833697</x:v>
      </x:c>
      <x:c r="G4363" s="66" t="n">
        <x:v>242.63922394565702</x:v>
      </x:c>
      <x:c r="H4363" s="45" t="n">
        <x:v>1</x:v>
      </x:c>
      <x:c r="I4363" s="36" t="str">
        <x:v>generated design-reference observation; not predicted tract behavior</x:v>
      </x:c>
    </x:row>
    <x:row r="4364" ht="75.5999984741211" hidden="0" customHeight="1">
      <x:c r="A4364" s="34" t="str">
        <x:v>H3</x:v>
      </x:c>
      <x:c r="B4364" s="34" t="str">
        <x:v>48201552701</x:v>
      </x:c>
      <x:c r="C4364" s="65" t="n">
        <x:v>255.16730515093616</x:v>
      </x:c>
      <x:c r="D4364" s="65" t="n">
        <x:v>225.73718450698627</x:v>
      </x:c>
      <x:c r="E4364" s="65" t="n">
        <x:v>29.43012064394989</x:v>
      </x:c>
      <x:c r="F4364" s="65" t="n">
        <x:v>29.43012064394989</x:v>
      </x:c>
      <x:c r="G4364" s="65" t="n">
        <x:v>255.16730515093616</x:v>
      </x:c>
      <x:c r="H4364" s="43" t="n">
        <x:v>1</x:v>
      </x:c>
      <x:c r="I4364" s="34" t="str">
        <x:v>generated design-reference observation; not predicted tract behavior</x:v>
      </x:c>
    </x:row>
    <x:row r="4365" ht="75.5999984741211" hidden="0" customHeight="1">
      <x:c r="A4365" s="36" t="str">
        <x:v>H3</x:v>
      </x:c>
      <x:c r="B4365" s="36" t="str">
        <x:v>48201552702</x:v>
      </x:c>
      <x:c r="C4365" s="66" t="n">
        <x:v>486.3316241030501</x:v>
      </x:c>
      <x:c r="D4365" s="66" t="n">
        <x:v>432.5247938264073</x:v>
      </x:c>
      <x:c r="E4365" s="66" t="n">
        <x:v>53.80683027664281</x:v>
      </x:c>
      <x:c r="F4365" s="66" t="n">
        <x:v>53.80683027664281</x:v>
      </x:c>
      <x:c r="G4365" s="66" t="n">
        <x:v>486.3316241030501</x:v>
      </x:c>
      <x:c r="H4365" s="45" t="n">
        <x:v>1</x:v>
      </x:c>
      <x:c r="I4365" s="36" t="str">
        <x:v>generated design-reference observation; not predicted tract behavior</x:v>
      </x:c>
    </x:row>
    <x:row r="4366" ht="75.5999984741211" hidden="0" customHeight="1">
      <x:c r="A4366" s="34" t="str">
        <x:v>H3</x:v>
      </x:c>
      <x:c r="B4366" s="34" t="str">
        <x:v>48201552801</x:v>
      </x:c>
      <x:c r="C4366" s="65" t="n">
        <x:v>428.69773484438525</x:v>
      </x:c>
      <x:c r="D4366" s="65" t="n">
        <x:v>381.86184214935474</x:v>
      </x:c>
      <x:c r="E4366" s="65" t="n">
        <x:v>46.83589269503051</x:v>
      </x:c>
      <x:c r="F4366" s="65" t="n">
        <x:v>46.83589269503051</x:v>
      </x:c>
      <x:c r="G4366" s="65" t="n">
        <x:v>428.69773484438525</x:v>
      </x:c>
      <x:c r="H4366" s="43" t="n">
        <x:v>1</x:v>
      </x:c>
      <x:c r="I4366" s="34" t="str">
        <x:v>generated design-reference observation; not predicted tract behavior</x:v>
      </x:c>
    </x:row>
    <x:row r="4367" ht="75.5999984741211" hidden="0" customHeight="1">
      <x:c r="A4367" s="36" t="str">
        <x:v>H3</x:v>
      </x:c>
      <x:c r="B4367" s="36" t="str">
        <x:v>48201552802</x:v>
      </x:c>
      <x:c r="C4367" s="66" t="n">
        <x:v>323.84382558489415</x:v>
      </x:c>
      <x:c r="D4367" s="66" t="n">
        <x:v>288.3155730795828</x:v>
      </x:c>
      <x:c r="E4367" s="66" t="n">
        <x:v>35.52825250531134</x:v>
      </x:c>
      <x:c r="F4367" s="66" t="n">
        <x:v>35.52825250531134</x:v>
      </x:c>
      <x:c r="G4367" s="66" t="n">
        <x:v>323.84382558489415</x:v>
      </x:c>
      <x:c r="H4367" s="45" t="n">
        <x:v>1</x:v>
      </x:c>
      <x:c r="I4367" s="36" t="str">
        <x:v>generated design-reference observation; not predicted tract behavior</x:v>
      </x:c>
    </x:row>
    <x:row r="4368" ht="75.5999984741211" hidden="0" customHeight="1">
      <x:c r="A4368" s="34" t="str">
        <x:v>H3</x:v>
      </x:c>
      <x:c r="B4368" s="34" t="str">
        <x:v>48201552901</x:v>
      </x:c>
      <x:c r="C4368" s="65" t="n">
        <x:v>406.87183678474906</x:v>
      </x:c>
      <x:c r="D4368" s="65" t="n">
        <x:v>362.61363630081274</x:v>
      </x:c>
      <x:c r="E4368" s="65" t="n">
        <x:v>44.25820048393632</x:v>
      </x:c>
      <x:c r="F4368" s="65" t="n">
        <x:v>44.25820048393632</x:v>
      </x:c>
      <x:c r="G4368" s="65" t="n">
        <x:v>406.87183678474906</x:v>
      </x:c>
      <x:c r="H4368" s="43" t="n">
        <x:v>1</x:v>
      </x:c>
      <x:c r="I4368" s="34" t="str">
        <x:v>generated design-reference observation; not predicted tract behavior</x:v>
      </x:c>
    </x:row>
    <x:row r="4369" ht="75.5999984741211" hidden="0" customHeight="1">
      <x:c r="A4369" s="36" t="str">
        <x:v>H3</x:v>
      </x:c>
      <x:c r="B4369" s="36" t="str">
        <x:v>48201552902</x:v>
      </x:c>
      <x:c r="C4369" s="66" t="n">
        <x:v>426.418472893613</x:v>
      </x:c>
      <x:c r="D4369" s="66" t="n">
        <x:v>380.2221360644968</x:v>
      </x:c>
      <x:c r="E4369" s="66" t="n">
        <x:v>46.196336829116206</x:v>
      </x:c>
      <x:c r="F4369" s="66" t="n">
        <x:v>46.196336829116206</x:v>
      </x:c>
      <x:c r="G4369" s="66" t="n">
        <x:v>426.418472893613</x:v>
      </x:c>
      <x:c r="H4369" s="45" t="n">
        <x:v>1</x:v>
      </x:c>
      <x:c r="I4369" s="36" t="str">
        <x:v>generated design-reference observation; not predicted tract behavior</x:v>
      </x:c>
    </x:row>
    <x:row r="4370" ht="75.5999984741211" hidden="0" customHeight="1">
      <x:c r="A4370" s="34" t="str">
        <x:v>H3</x:v>
      </x:c>
      <x:c r="B4370" s="34" t="str">
        <x:v>48201553001</x:v>
      </x:c>
      <x:c r="C4370" s="65" t="n">
        <x:v>579.1683212151938</x:v>
      </x:c>
      <x:c r="D4370" s="65" t="n">
        <x:v>517.0041826484371</x:v>
      </x:c>
      <x:c r="E4370" s="65" t="n">
        <x:v>62.16413856675672</x:v>
      </x:c>
      <x:c r="F4370" s="65" t="n">
        <x:v>62.16413856675672</x:v>
      </x:c>
      <x:c r="G4370" s="65" t="n">
        <x:v>579.1683212151938</x:v>
      </x:c>
      <x:c r="H4370" s="43" t="n">
        <x:v>1</x:v>
      </x:c>
      <x:c r="I4370" s="34" t="str">
        <x:v>generated design-reference observation; not predicted tract behavior</x:v>
      </x:c>
    </x:row>
    <x:row r="4371" ht="75.5999984741211" hidden="0" customHeight="1">
      <x:c r="A4371" s="36" t="str">
        <x:v>H3</x:v>
      </x:c>
      <x:c r="B4371" s="36" t="str">
        <x:v>48201553002</x:v>
      </x:c>
      <x:c r="C4371" s="66" t="n">
        <x:v>385.5017911152672</x:v>
      </x:c>
      <x:c r="D4371" s="66" t="n">
        <x:v>343.91784110303325</x:v>
      </x:c>
      <x:c r="E4371" s="66" t="n">
        <x:v>41.58395001223397</x:v>
      </x:c>
      <x:c r="F4371" s="66" t="n">
        <x:v>41.58395001223397</x:v>
      </x:c>
      <x:c r="G4371" s="66" t="n">
        <x:v>385.5017911152672</x:v>
      </x:c>
      <x:c r="H4371" s="45" t="n">
        <x:v>1</x:v>
      </x:c>
      <x:c r="I4371" s="36" t="str">
        <x:v>generated design-reference observation; not predicted tract behavior</x:v>
      </x:c>
    </x:row>
    <x:row r="4372" ht="75.5999984741211" hidden="0" customHeight="1">
      <x:c r="A4372" s="34" t="str">
        <x:v>H3</x:v>
      </x:c>
      <x:c r="B4372" s="34" t="str">
        <x:v>48201553101</x:v>
      </x:c>
      <x:c r="C4372" s="65" t="n">
        <x:v>496.40572009395663</x:v>
      </x:c>
      <x:c r="D4372" s="65" t="n">
        <x:v>386.0487716484289</x:v>
      </x:c>
      <x:c r="E4372" s="65" t="n">
        <x:v>110.35694844552773</x:v>
      </x:c>
      <x:c r="F4372" s="65" t="n">
        <x:v>110.35694844552773</x:v>
      </x:c>
      <x:c r="G4372" s="65" t="n">
        <x:v>496.40572009395663</x:v>
      </x:c>
      <x:c r="H4372" s="43" t="n">
        <x:v>1</x:v>
      </x:c>
      <x:c r="I4372" s="34" t="str">
        <x:v>generated design-reference observation; not predicted tract behavior</x:v>
      </x:c>
    </x:row>
    <x:row r="4373" ht="75.5999984741211" hidden="0" customHeight="1">
      <x:c r="A4373" s="36" t="str">
        <x:v>H3</x:v>
      </x:c>
      <x:c r="B4373" s="36" t="str">
        <x:v>48201553102</x:v>
      </x:c>
      <x:c r="C4373" s="66" t="n">
        <x:v>406.9897296442717</x:v>
      </x:c>
      <x:c r="D4373" s="66" t="n">
        <x:v>362.7347433027386</x:v>
      </x:c>
      <x:c r="E4373" s="66" t="n">
        <x:v>44.25498634153308</x:v>
      </x:c>
      <x:c r="F4373" s="66" t="n">
        <x:v>44.25498634153308</x:v>
      </x:c>
      <x:c r="G4373" s="66" t="n">
        <x:v>406.9897296442717</x:v>
      </x:c>
      <x:c r="H4373" s="45" t="n">
        <x:v>1</x:v>
      </x:c>
      <x:c r="I4373" s="36" t="str">
        <x:v>generated design-reference observation; not predicted tract behavior</x:v>
      </x:c>
    </x:row>
    <x:row r="4374" ht="75.5999984741211" hidden="0" customHeight="1">
      <x:c r="A4374" s="34" t="str">
        <x:v>H3</x:v>
      </x:c>
      <x:c r="B4374" s="34" t="str">
        <x:v>48201553201</x:v>
      </x:c>
      <x:c r="C4374" s="65" t="n">
        <x:v>205.03140175791503</x:v>
      </x:c>
      <x:c r="D4374" s="65" t="n">
        <x:v>182.47101742445807</x:v>
      </x:c>
      <x:c r="E4374" s="65" t="n">
        <x:v>22.560384333456966</x:v>
      </x:c>
      <x:c r="F4374" s="65" t="n">
        <x:v>22.560384333456966</x:v>
      </x:c>
      <x:c r="G4374" s="65" t="n">
        <x:v>205.03140175791503</x:v>
      </x:c>
      <x:c r="H4374" s="43" t="n">
        <x:v>1</x:v>
      </x:c>
      <x:c r="I4374" s="34" t="str">
        <x:v>generated design-reference observation; not predicted tract behavior</x:v>
      </x:c>
    </x:row>
    <x:row r="4375" ht="75.5999984741211" hidden="0" customHeight="1">
      <x:c r="A4375" s="36" t="str">
        <x:v>H3</x:v>
      </x:c>
      <x:c r="B4375" s="36" t="str">
        <x:v>48201553202</x:v>
      </x:c>
      <x:c r="C4375" s="66" t="n">
        <x:v>381.3834005559409</x:v>
      </x:c>
      <x:c r="D4375" s="66" t="n">
        <x:v>339.8135436213262</x:v>
      </x:c>
      <x:c r="E4375" s="66" t="n">
        <x:v>41.569856934614734</x:v>
      </x:c>
      <x:c r="F4375" s="66" t="n">
        <x:v>41.569856934614734</x:v>
      </x:c>
      <x:c r="G4375" s="66" t="n">
        <x:v>381.3834005559409</x:v>
      </x:c>
      <x:c r="H4375" s="45" t="n">
        <x:v>1</x:v>
      </x:c>
      <x:c r="I4375" s="36" t="str">
        <x:v>generated design-reference observation; not predicted tract behavior</x:v>
      </x:c>
    </x:row>
    <x:row r="4376" ht="75.5999984741211" hidden="0" customHeight="1">
      <x:c r="A4376" s="34" t="str">
        <x:v>H3</x:v>
      </x:c>
      <x:c r="B4376" s="34" t="str">
        <x:v>48201553300</x:v>
      </x:c>
      <x:c r="C4376" s="65" t="n">
        <x:v>304.1714370925392</x:v>
      </x:c>
      <x:c r="D4376" s="65" t="n">
        <x:v>269.82784547499375</x:v>
      </x:c>
      <x:c r="E4376" s="65" t="n">
        <x:v>34.34359161754543</x:v>
      </x:c>
      <x:c r="F4376" s="65" t="n">
        <x:v>34.34359161754543</x:v>
      </x:c>
      <x:c r="G4376" s="65" t="n">
        <x:v>304.1714370925392</x:v>
      </x:c>
      <x:c r="H4376" s="43" t="n">
        <x:v>1</x:v>
      </x:c>
      <x:c r="I4376" s="34" t="str">
        <x:v>generated design-reference observation; not predicted tract behavior</x:v>
      </x:c>
    </x:row>
    <x:row r="4377" ht="75.5999984741211" hidden="0" customHeight="1">
      <x:c r="A4377" s="36" t="str">
        <x:v>H3</x:v>
      </x:c>
      <x:c r="B4377" s="36" t="str">
        <x:v>48201553401</x:v>
      </x:c>
      <x:c r="C4377" s="66" t="n">
        <x:v>361.6206275379519</x:v>
      </x:c>
      <x:c r="D4377" s="66" t="n">
        <x:v>322.90295535291455</x:v>
      </x:c>
      <x:c r="E4377" s="66" t="n">
        <x:v>38.71767218503737</x:v>
      </x:c>
      <x:c r="F4377" s="66" t="n">
        <x:v>38.71767218503737</x:v>
      </x:c>
      <x:c r="G4377" s="66" t="n">
        <x:v>361.6206275379519</x:v>
      </x:c>
      <x:c r="H4377" s="45" t="n">
        <x:v>1</x:v>
      </x:c>
      <x:c r="I4377" s="36" t="str">
        <x:v>generated design-reference observation; not predicted tract behavior</x:v>
      </x:c>
    </x:row>
    <x:row r="4378" ht="75.5999984741211" hidden="0" customHeight="1">
      <x:c r="A4378" s="34" t="str">
        <x:v>H3</x:v>
      </x:c>
      <x:c r="B4378" s="34" t="str">
        <x:v>48201553403</x:v>
      </x:c>
      <x:c r="C4378" s="65" t="n">
        <x:v>681.3342732775675</x:v>
      </x:c>
      <x:c r="D4378" s="65" t="n">
        <x:v>605.2644951946337</x:v>
      </x:c>
      <x:c r="E4378" s="65" t="n">
        <x:v>76.0697780829338</x:v>
      </x:c>
      <x:c r="F4378" s="65" t="n">
        <x:v>76.0697780829338</x:v>
      </x:c>
      <x:c r="G4378" s="65" t="n">
        <x:v>681.3342732775675</x:v>
      </x:c>
      <x:c r="H4378" s="43" t="n">
        <x:v>1</x:v>
      </x:c>
      <x:c r="I4378" s="34" t="str">
        <x:v>generated design-reference observation; not predicted tract behavior</x:v>
      </x:c>
    </x:row>
    <x:row r="4379" ht="75.5999984741211" hidden="0" customHeight="1">
      <x:c r="A4379" s="36" t="str">
        <x:v>H3</x:v>
      </x:c>
      <x:c r="B4379" s="36" t="str">
        <x:v>48201553404</x:v>
      </x:c>
      <x:c r="C4379" s="66" t="n">
        <x:v>281.3316604410077</x:v>
      </x:c>
      <x:c r="D4379" s="66" t="n">
        <x:v>251.22917277381987</x:v>
      </x:c>
      <x:c r="E4379" s="66" t="n">
        <x:v>30.10248766718786</x:v>
      </x:c>
      <x:c r="F4379" s="66" t="n">
        <x:v>30.10248766718786</x:v>
      </x:c>
      <x:c r="G4379" s="66" t="n">
        <x:v>281.3316604410077</x:v>
      </x:c>
      <x:c r="H4379" s="45" t="n">
        <x:v>1</x:v>
      </x:c>
      <x:c r="I4379" s="36" t="str">
        <x:v>generated design-reference observation; not predicted tract behavior</x:v>
      </x:c>
    </x:row>
    <x:row r="4380" ht="75.5999984741211" hidden="0" customHeight="1">
      <x:c r="A4380" s="34" t="str">
        <x:v>H3</x:v>
      </x:c>
      <x:c r="B4380" s="34" t="str">
        <x:v>48201553405</x:v>
      </x:c>
      <x:c r="C4380" s="65" t="n">
        <x:v>1134.3082639233605</x:v>
      </x:c>
      <x:c r="D4380" s="65" t="n">
        <x:v>484.20035870739895</x:v>
      </x:c>
      <x:c r="E4380" s="65" t="n">
        <x:v>650.1079052159616</x:v>
      </x:c>
      <x:c r="F4380" s="65" t="n">
        <x:v>650.1079052159616</x:v>
      </x:c>
      <x:c r="G4380" s="65" t="n">
        <x:v>1134.3082639233605</x:v>
      </x:c>
      <x:c r="H4380" s="43" t="n">
        <x:v>1</x:v>
      </x:c>
      <x:c r="I4380" s="34" t="str">
        <x:v>generated design-reference observation; not predicted tract behavior</x:v>
      </x:c>
    </x:row>
    <x:row r="4381" ht="75.5999984741211" hidden="0" customHeight="1">
      <x:c r="A4381" s="36" t="str">
        <x:v>H3</x:v>
      </x:c>
      <x:c r="B4381" s="36" t="str">
        <x:v>48201553500</x:v>
      </x:c>
      <x:c r="C4381" s="66" t="n">
        <x:v>592.7652976801455</x:v>
      </x:c>
      <x:c r="D4381" s="66" t="n">
        <x:v>529.1723138328434</x:v>
      </x:c>
      <x:c r="E4381" s="66" t="n">
        <x:v>63.592983847302094</x:v>
      </x:c>
      <x:c r="F4381" s="66" t="n">
        <x:v>63.592983847302094</x:v>
      </x:c>
      <x:c r="G4381" s="66" t="n">
        <x:v>592.7652976801455</x:v>
      </x:c>
      <x:c r="H4381" s="45" t="n">
        <x:v>1</x:v>
      </x:c>
      <x:c r="I4381" s="36" t="str">
        <x:v>generated design-reference observation; not predicted tract behavior</x:v>
      </x:c>
    </x:row>
    <x:row r="4382" ht="75.5999984741211" hidden="0" customHeight="1">
      <x:c r="A4382" s="34" t="str">
        <x:v>H3</x:v>
      </x:c>
      <x:c r="B4382" s="34" t="str">
        <x:v>48201553601</x:v>
      </x:c>
      <x:c r="C4382" s="65" t="n">
        <x:v>411.3439059226435</x:v>
      </x:c>
      <x:c r="D4382" s="65" t="n">
        <x:v>366.46412776754113</x:v>
      </x:c>
      <x:c r="E4382" s="65" t="n">
        <x:v>44.87977815510237</x:v>
      </x:c>
      <x:c r="F4382" s="65" t="n">
        <x:v>44.87977815510237</x:v>
      </x:c>
      <x:c r="G4382" s="65" t="n">
        <x:v>411.3439059226435</x:v>
      </x:c>
      <x:c r="H4382" s="43" t="n">
        <x:v>1</x:v>
      </x:c>
      <x:c r="I4382" s="34" t="str">
        <x:v>generated design-reference observation; not predicted tract behavior</x:v>
      </x:c>
    </x:row>
    <x:row r="4383" ht="75.5999984741211" hidden="0" customHeight="1">
      <x:c r="A4383" s="36" t="str">
        <x:v>H3</x:v>
      </x:c>
      <x:c r="B4383" s="36" t="str">
        <x:v>48201553602</x:v>
      </x:c>
      <x:c r="C4383" s="66" t="n">
        <x:v>196.3309087251397</x:v>
      </x:c>
      <x:c r="D4383" s="66" t="n">
        <x:v>174.2524252457261</x:v>
      </x:c>
      <x:c r="E4383" s="66" t="n">
        <x:v>22.078483479413592</x:v>
      </x:c>
      <x:c r="F4383" s="66" t="n">
        <x:v>22.078483479413592</x:v>
      </x:c>
      <x:c r="G4383" s="66" t="n">
        <x:v>196.3309087251397</x:v>
      </x:c>
      <x:c r="H4383" s="45" t="n">
        <x:v>1</x:v>
      </x:c>
      <x:c r="I4383" s="36" t="str">
        <x:v>generated design-reference observation; not predicted tract behavior</x:v>
      </x:c>
    </x:row>
    <x:row r="4384" ht="75.5999984741211" hidden="0" customHeight="1">
      <x:c r="A4384" s="34" t="str">
        <x:v>H3</x:v>
      </x:c>
      <x:c r="B4384" s="34" t="str">
        <x:v>48201553700</x:v>
      </x:c>
      <x:c r="C4384" s="65" t="n">
        <x:v>629.8271852414822</x:v>
      </x:c>
      <x:c r="D4384" s="65" t="n">
        <x:v>490.4340366515216</x:v>
      </x:c>
      <x:c r="E4384" s="65" t="n">
        <x:v>139.39314858996062</x:v>
      </x:c>
      <x:c r="F4384" s="65" t="n">
        <x:v>139.39314858996062</x:v>
      </x:c>
      <x:c r="G4384" s="65" t="n">
        <x:v>629.8271852414822</x:v>
      </x:c>
      <x:c r="H4384" s="43" t="n">
        <x:v>1</x:v>
      </x:c>
      <x:c r="I4384" s="34" t="str">
        <x:v>generated design-reference observation; not predicted tract behavior</x:v>
      </x:c>
    </x:row>
    <x:row r="4385" ht="75.5999984741211" hidden="0" customHeight="1">
      <x:c r="A4385" s="36" t="str">
        <x:v>H3</x:v>
      </x:c>
      <x:c r="B4385" s="36" t="str">
        <x:v>48201553801</x:v>
      </x:c>
      <x:c r="C4385" s="66" t="n">
        <x:v>209.30305303462097</x:v>
      </x:c>
      <x:c r="D4385" s="66" t="n">
        <x:v>186.482657441035</x:v>
      </x:c>
      <x:c r="E4385" s="66" t="n">
        <x:v>22.82039559358597</x:v>
      </x:c>
      <x:c r="F4385" s="66" t="n">
        <x:v>22.82039559358597</x:v>
      </x:c>
      <x:c r="G4385" s="66" t="n">
        <x:v>209.30305303462097</x:v>
      </x:c>
      <x:c r="H4385" s="45" t="n">
        <x:v>1</x:v>
      </x:c>
      <x:c r="I4385" s="36" t="str">
        <x:v>generated design-reference observation; not predicted tract behavior</x:v>
      </x:c>
    </x:row>
    <x:row r="4386" ht="75.5999984741211" hidden="0" customHeight="1">
      <x:c r="A4386" s="34" t="str">
        <x:v>H3</x:v>
      </x:c>
      <x:c r="B4386" s="34" t="str">
        <x:v>48201553803</x:v>
      </x:c>
      <x:c r="C4386" s="65" t="n">
        <x:v>390.0367364449072</x:v>
      </x:c>
      <x:c r="D4386" s="65" t="n">
        <x:v>348.2061188122743</x:v>
      </x:c>
      <x:c r="E4386" s="65" t="n">
        <x:v>41.83061763263288</x:v>
      </x:c>
      <x:c r="F4386" s="65" t="n">
        <x:v>41.83061763263288</x:v>
      </x:c>
      <x:c r="G4386" s="65" t="n">
        <x:v>390.0367364449072</x:v>
      </x:c>
      <x:c r="H4386" s="43" t="n">
        <x:v>1</x:v>
      </x:c>
      <x:c r="I4386" s="34" t="str">
        <x:v>generated design-reference observation; not predicted tract behavior</x:v>
      </x:c>
    </x:row>
    <x:row r="4387" ht="75.5999984741211" hidden="0" customHeight="1">
      <x:c r="A4387" s="36" t="str">
        <x:v>H3</x:v>
      </x:c>
      <x:c r="B4387" s="36" t="str">
        <x:v>48201553804</x:v>
      </x:c>
      <x:c r="C4387" s="66" t="n">
        <x:v>470.28640592201054</x:v>
      </x:c>
      <x:c r="D4387" s="66" t="n">
        <x:v>418.09615866236277</x:v>
      </x:c>
      <x:c r="E4387" s="66" t="n">
        <x:v>52.190247259647776</x:v>
      </x:c>
      <x:c r="F4387" s="66" t="n">
        <x:v>52.190247259647776</x:v>
      </x:c>
      <x:c r="G4387" s="66" t="n">
        <x:v>470.28640592201054</x:v>
      </x:c>
      <x:c r="H4387" s="45" t="n">
        <x:v>1</x:v>
      </x:c>
      <x:c r="I4387" s="36" t="str">
        <x:v>generated design-reference observation; not predicted tract behavior</x:v>
      </x:c>
    </x:row>
    <x:row r="4388" ht="75.5999984741211" hidden="0" customHeight="1">
      <x:c r="A4388" s="34" t="str">
        <x:v>H3</x:v>
      </x:c>
      <x:c r="B4388" s="34" t="str">
        <x:v>48201553901</x:v>
      </x:c>
      <x:c r="C4388" s="65" t="n">
        <x:v>888.7093246249171</x:v>
      </x:c>
      <x:c r="D4388" s="65" t="n">
        <x:v>692.2764499918914</x:v>
      </x:c>
      <x:c r="E4388" s="65" t="n">
        <x:v>196.4328746330258</x:v>
      </x:c>
      <x:c r="F4388" s="65" t="n">
        <x:v>196.4328746330258</x:v>
      </x:c>
      <x:c r="G4388" s="65" t="n">
        <x:v>888.7093246249171</x:v>
      </x:c>
      <x:c r="H4388" s="43" t="n">
        <x:v>1</x:v>
      </x:c>
      <x:c r="I4388" s="34" t="str">
        <x:v>generated design-reference observation; not predicted tract behavior</x:v>
      </x:c>
    </x:row>
    <x:row r="4389" ht="75.5999984741211" hidden="0" customHeight="1">
      <x:c r="A4389" s="36" t="str">
        <x:v>H3</x:v>
      </x:c>
      <x:c r="B4389" s="36" t="str">
        <x:v>48201554001</x:v>
      </x:c>
      <x:c r="C4389" s="66" t="n">
        <x:v>286.8962034104793</x:v>
      </x:c>
      <x:c r="D4389" s="66" t="n">
        <x:v>254.33634134799527</x:v>
      </x:c>
      <x:c r="E4389" s="66" t="n">
        <x:v>32.55986206248403</x:v>
      </x:c>
      <x:c r="F4389" s="66" t="n">
        <x:v>32.55986206248403</x:v>
      </x:c>
      <x:c r="G4389" s="66" t="n">
        <x:v>286.8962034104793</x:v>
      </x:c>
      <x:c r="H4389" s="45" t="n">
        <x:v>1</x:v>
      </x:c>
      <x:c r="I4389" s="36" t="str">
        <x:v>generated design-reference observation; not predicted tract behavior</x:v>
      </x:c>
    </x:row>
    <x:row r="4390" ht="75.5999984741211" hidden="0" customHeight="1">
      <x:c r="A4390" s="34" t="str">
        <x:v>H3</x:v>
      </x:c>
      <x:c r="B4390" s="34" t="str">
        <x:v>48201554002</x:v>
      </x:c>
      <x:c r="C4390" s="65" t="n">
        <x:v>369.35439912264115</x:v>
      </x:c>
      <x:c r="D4390" s="65" t="n">
        <x:v>329.8334784165185</x:v>
      </x:c>
      <x:c r="E4390" s="65" t="n">
        <x:v>39.52092070612264</x:v>
      </x:c>
      <x:c r="F4390" s="65" t="n">
        <x:v>39.52092070612264</x:v>
      </x:c>
      <x:c r="G4390" s="65" t="n">
        <x:v>369.35439912264115</x:v>
      </x:c>
      <x:c r="H4390" s="43" t="n">
        <x:v>1</x:v>
      </x:c>
      <x:c r="I4390" s="34" t="str">
        <x:v>generated design-reference observation; not predicted tract behavior</x:v>
      </x:c>
    </x:row>
    <x:row r="4391" ht="75.5999984741211" hidden="0" customHeight="1">
      <x:c r="A4391" s="36" t="str">
        <x:v>H3</x:v>
      </x:c>
      <x:c r="B4391" s="36" t="str">
        <x:v>48201554103</x:v>
      </x:c>
      <x:c r="C4391" s="66" t="n">
        <x:v>411.3910630664526</x:v>
      </x:c>
      <x:c r="D4391" s="66" t="n">
        <x:v>367.37221931834216</x:v>
      </x:c>
      <x:c r="E4391" s="66" t="n">
        <x:v>44.01884374811044</x:v>
      </x:c>
      <x:c r="F4391" s="66" t="n">
        <x:v>44.01884374811044</x:v>
      </x:c>
      <x:c r="G4391" s="66" t="n">
        <x:v>411.3910630664526</x:v>
      </x:c>
      <x:c r="H4391" s="45" t="n">
        <x:v>1</x:v>
      </x:c>
      <x:c r="I4391" s="36" t="str">
        <x:v>generated design-reference observation; not predicted tract behavior</x:v>
      </x:c>
    </x:row>
    <x:row r="4392" ht="75.5999984741211" hidden="0" customHeight="1">
      <x:c r="A4392" s="34" t="str">
        <x:v>H3</x:v>
      </x:c>
      <x:c r="B4392" s="34" t="str">
        <x:v>48201554104</x:v>
      </x:c>
      <x:c r="C4392" s="65" t="n">
        <x:v>325.58863990583006</x:v>
      </x:c>
      <x:c r="D4392" s="65" t="n">
        <x:v>290.7506554359062</x:v>
      </x:c>
      <x:c r="E4392" s="65" t="n">
        <x:v>34.83798446992387</x:v>
      </x:c>
      <x:c r="F4392" s="65" t="n">
        <x:v>34.83798446992387</x:v>
      </x:c>
      <x:c r="G4392" s="65" t="n">
        <x:v>325.58863990583006</x:v>
      </x:c>
      <x:c r="H4392" s="43" t="n">
        <x:v>1</x:v>
      </x:c>
      <x:c r="I4392" s="34" t="str">
        <x:v>generated design-reference observation; not predicted tract behavior</x:v>
      </x:c>
    </x:row>
    <x:row r="4393" ht="75.5999984741211" hidden="0" customHeight="1">
      <x:c r="A4393" s="36" t="str">
        <x:v>H3</x:v>
      </x:c>
      <x:c r="B4393" s="36" t="str">
        <x:v>48201554201</x:v>
      </x:c>
      <x:c r="C4393" s="66" t="n">
        <x:v>522.9255676988969</x:v>
      </x:c>
      <x:c r="D4393" s="66" t="n">
        <x:v>464.0898652302199</x:v>
      </x:c>
      <x:c r="E4393" s="66" t="n">
        <x:v>58.83570246867697</x:v>
      </x:c>
      <x:c r="F4393" s="66" t="n">
        <x:v>58.83570246867697</x:v>
      </x:c>
      <x:c r="G4393" s="66" t="n">
        <x:v>522.9255676988969</x:v>
      </x:c>
      <x:c r="H4393" s="45" t="n">
        <x:v>1</x:v>
      </x:c>
      <x:c r="I4393" s="36" t="str">
        <x:v>generated design-reference observation; not predicted tract behavior</x:v>
      </x:c>
    </x:row>
    <x:row r="4394" ht="75.5999984741211" hidden="0" customHeight="1">
      <x:c r="A4394" s="34" t="str">
        <x:v>H3</x:v>
      </x:c>
      <x:c r="B4394" s="34" t="str">
        <x:v>48201554202</x:v>
      </x:c>
      <x:c r="C4394" s="65" t="n">
        <x:v>256.9749956636176</x:v>
      </x:c>
      <x:c r="D4394" s="65" t="n">
        <x:v>227.69637590092952</x:v>
      </x:c>
      <x:c r="E4394" s="65" t="n">
        <x:v>29.278619762688095</x:v>
      </x:c>
      <x:c r="F4394" s="65" t="n">
        <x:v>29.278619762688095</x:v>
      </x:c>
      <x:c r="G4394" s="65" t="n">
        <x:v>256.9749956636176</x:v>
      </x:c>
      <x:c r="H4394" s="43" t="n">
        <x:v>1</x:v>
      </x:c>
      <x:c r="I4394" s="34" t="str">
        <x:v>generated design-reference observation; not predicted tract behavior</x:v>
      </x:c>
    </x:row>
    <x:row r="4395" ht="75.5999984741211" hidden="0" customHeight="1">
      <x:c r="A4395" s="36" t="str">
        <x:v>H3</x:v>
      </x:c>
      <x:c r="B4395" s="36" t="str">
        <x:v>48201554301</x:v>
      </x:c>
      <x:c r="C4395" s="66" t="n">
        <x:v>638.0361557368631</x:v>
      </x:c>
      <x:c r="D4395" s="66" t="n">
        <x:v>568.8419270919712</x:v>
      </x:c>
      <x:c r="E4395" s="66" t="n">
        <x:v>69.19422864489184</x:v>
      </x:c>
      <x:c r="F4395" s="66" t="n">
        <x:v>69.19422864489184</x:v>
      </x:c>
      <x:c r="G4395" s="66" t="n">
        <x:v>638.0361557368631</x:v>
      </x:c>
      <x:c r="H4395" s="45" t="n">
        <x:v>1</x:v>
      </x:c>
      <x:c r="I4395" s="36" t="str">
        <x:v>generated design-reference observation; not predicted tract behavior</x:v>
      </x:c>
    </x:row>
    <x:row r="4396" ht="75.5999984741211" hidden="0" customHeight="1">
      <x:c r="A4396" s="34" t="str">
        <x:v>H3</x:v>
      </x:c>
      <x:c r="B4396" s="34" t="str">
        <x:v>48201554302</x:v>
      </x:c>
      <x:c r="C4396" s="65" t="n">
        <x:v>690.3222435139481</x:v>
      </x:c>
      <x:c r="D4396" s="65" t="n">
        <x:v>537.2265258274118</x:v>
      </x:c>
      <x:c r="E4396" s="65" t="n">
        <x:v>153.09571768653632</x:v>
      </x:c>
      <x:c r="F4396" s="65" t="n">
        <x:v>153.09571768653632</x:v>
      </x:c>
      <x:c r="G4396" s="65" t="n">
        <x:v>690.3222435139481</x:v>
      </x:c>
      <x:c r="H4396" s="43" t="n">
        <x:v>1</x:v>
      </x:c>
      <x:c r="I4396" s="34" t="str">
        <x:v>generated design-reference observation; not predicted tract behavior</x:v>
      </x:c>
    </x:row>
    <x:row r="4397" ht="75.5999984741211" hidden="0" customHeight="1">
      <x:c r="A4397" s="36" t="str">
        <x:v>H3</x:v>
      </x:c>
      <x:c r="B4397" s="36" t="str">
        <x:v>48201554404</x:v>
      </x:c>
      <x:c r="C4397" s="66" t="n">
        <x:v>381.6663434187953</x:v>
      </x:c>
      <x:c r="D4397" s="66" t="n">
        <x:v>340.82804467298416</x:v>
      </x:c>
      <x:c r="E4397" s="66" t="n">
        <x:v>40.83829874581113</x:v>
      </x:c>
      <x:c r="F4397" s="66" t="n">
        <x:v>40.83829874581113</x:v>
      </x:c>
      <x:c r="G4397" s="66" t="n">
        <x:v>381.6663434187953</x:v>
      </x:c>
      <x:c r="H4397" s="45" t="n">
        <x:v>1</x:v>
      </x:c>
      <x:c r="I4397" s="36" t="str">
        <x:v>generated design-reference observation; not predicted tract behavior</x:v>
      </x:c>
    </x:row>
    <x:row r="4398" ht="75.5999984741211" hidden="0" customHeight="1">
      <x:c r="A4398" s="34" t="str">
        <x:v>H3</x:v>
      </x:c>
      <x:c r="B4398" s="34" t="str">
        <x:v>48201554405</x:v>
      </x:c>
      <x:c r="C4398" s="65" t="n">
        <x:v>713.1103286809196</x:v>
      </x:c>
      <x:c r="D4398" s="65" t="n">
        <x:v>636.6457799465827</x:v>
      </x:c>
      <x:c r="E4398" s="65" t="n">
        <x:v>76.46454873433686</x:v>
      </x:c>
      <x:c r="F4398" s="65" t="n">
        <x:v>76.46454873433686</x:v>
      </x:c>
      <x:c r="G4398" s="65" t="n">
        <x:v>713.1103286809196</x:v>
      </x:c>
      <x:c r="H4398" s="43" t="n">
        <x:v>1</x:v>
      </x:c>
      <x:c r="I4398" s="34" t="str">
        <x:v>generated design-reference observation; not predicted tract behavior</x:v>
      </x:c>
    </x:row>
    <x:row r="4399" ht="75.5999984741211" hidden="0" customHeight="1">
      <x:c r="A4399" s="36" t="str">
        <x:v>H3</x:v>
      </x:c>
      <x:c r="B4399" s="36" t="str">
        <x:v>48201554406</x:v>
      </x:c>
      <x:c r="C4399" s="66" t="n">
        <x:v>710.422371483802</x:v>
      </x:c>
      <x:c r="D4399" s="66" t="n">
        <x:v>553.4190273858817</x:v>
      </x:c>
      <x:c r="E4399" s="66" t="n">
        <x:v>157.00334409792026</x:v>
      </x:c>
      <x:c r="F4399" s="66" t="n">
        <x:v>157.00334409792026</x:v>
      </x:c>
      <x:c r="G4399" s="66" t="n">
        <x:v>710.422371483802</x:v>
      </x:c>
      <x:c r="H4399" s="45" t="n">
        <x:v>1</x:v>
      </x:c>
      <x:c r="I4399" s="36" t="str">
        <x:v>generated design-reference observation; not predicted tract behavior</x:v>
      </x:c>
    </x:row>
    <x:row r="4400" ht="75.5999984741211" hidden="0" customHeight="1">
      <x:c r="A4400" s="34" t="str">
        <x:v>H3</x:v>
      </x:c>
      <x:c r="B4400" s="34" t="str">
        <x:v>48201554407</x:v>
      </x:c>
      <x:c r="C4400" s="65" t="n">
        <x:v>506.1061864069913</x:v>
      </x:c>
      <x:c r="D4400" s="65" t="n">
        <x:v>451.812519257236</x:v>
      </x:c>
      <x:c r="E4400" s="65" t="n">
        <x:v>54.29366714975532</x:v>
      </x:c>
      <x:c r="F4400" s="65" t="n">
        <x:v>54.29366714975532</x:v>
      </x:c>
      <x:c r="G4400" s="65" t="n">
        <x:v>506.1061864069913</x:v>
      </x:c>
      <x:c r="H4400" s="43" t="n">
        <x:v>1</x:v>
      </x:c>
      <x:c r="I4400" s="34" t="str">
        <x:v>generated design-reference observation; not predicted tract behavior</x:v>
      </x:c>
    </x:row>
    <x:row r="4401" ht="75.5999984741211" hidden="0" customHeight="1">
      <x:c r="A4401" s="36" t="str">
        <x:v>H3</x:v>
      </x:c>
      <x:c r="B4401" s="36" t="str">
        <x:v>48201554408</x:v>
      </x:c>
      <x:c r="C4401" s="66" t="n">
        <x:v>1574.3738933195682</x:v>
      </x:c>
      <x:c r="D4401" s="66" t="n">
        <x:v>672.2879129387625</x:v>
      </x:c>
      <x:c r="E4401" s="66" t="n">
        <x:v>902.0859803808057</x:v>
      </x:c>
      <x:c r="F4401" s="66" t="n">
        <x:v>902.0859803808057</x:v>
      </x:c>
      <x:c r="G4401" s="66" t="n">
        <x:v>1574.3738933195682</x:v>
      </x:c>
      <x:c r="H4401" s="45" t="n">
        <x:v>1</x:v>
      </x:c>
      <x:c r="I4401" s="36" t="str">
        <x:v>generated design-reference observation; not predicted tract behavior</x:v>
      </x:c>
    </x:row>
    <x:row r="4402" ht="75.5999984741211" hidden="0" customHeight="1">
      <x:c r="A4402" s="34" t="str">
        <x:v>H3</x:v>
      </x:c>
      <x:c r="B4402" s="34" t="str">
        <x:v>48201554409</x:v>
      </x:c>
      <x:c r="C4402" s="65" t="n">
        <x:v>572.9435782323953</x:v>
      </x:c>
      <x:c r="D4402" s="65" t="n">
        <x:v>510.43663277234816</x:v>
      </x:c>
      <x:c r="E4402" s="65" t="n">
        <x:v>62.50694546004718</x:v>
      </x:c>
      <x:c r="F4402" s="65" t="n">
        <x:v>62.50694546004718</x:v>
      </x:c>
      <x:c r="G4402" s="65" t="n">
        <x:v>572.9435782323953</x:v>
      </x:c>
      <x:c r="H4402" s="43" t="n">
        <x:v>1</x:v>
      </x:c>
      <x:c r="I4402" s="34" t="str">
        <x:v>generated design-reference observation; not predicted tract behavior</x:v>
      </x:c>
    </x:row>
    <x:row r="4403" ht="75.5999984741211" hidden="0" customHeight="1">
      <x:c r="A4403" s="36" t="str">
        <x:v>H3</x:v>
      </x:c>
      <x:c r="B4403" s="36" t="str">
        <x:v>48201554410</x:v>
      </x:c>
      <x:c r="C4403" s="66" t="n">
        <x:v>364.54044069213086</x:v>
      </x:c>
      <x:c r="D4403" s="66" t="n">
        <x:v>324.9063199534396</x:v>
      </x:c>
      <x:c r="E4403" s="66" t="n">
        <x:v>39.63412073869125</x:v>
      </x:c>
      <x:c r="F4403" s="66" t="n">
        <x:v>39.63412073869125</x:v>
      </x:c>
      <x:c r="G4403" s="66" t="n">
        <x:v>364.54044069213086</x:v>
      </x:c>
      <x:c r="H4403" s="45" t="n">
        <x:v>1</x:v>
      </x:c>
      <x:c r="I4403" s="36" t="str">
        <x:v>generated design-reference observation; not predicted tract behavior</x:v>
      </x:c>
    </x:row>
    <x:row r="4404" ht="75.5999984741211" hidden="0" customHeight="1">
      <x:c r="A4404" s="34" t="str">
        <x:v>H3</x:v>
      </x:c>
      <x:c r="B4404" s="34" t="str">
        <x:v>48201554501</x:v>
      </x:c>
      <x:c r="C4404" s="65" t="n">
        <x:v>921.5328127417208</x:v>
      </x:c>
      <x:c r="D4404" s="65" t="n">
        <x:v>717.8740611258005</x:v>
      </x:c>
      <x:c r="E4404" s="65" t="n">
        <x:v>203.65875161592032</x:v>
      </x:c>
      <x:c r="F4404" s="65" t="n">
        <x:v>203.65875161592032</x:v>
      </x:c>
      <x:c r="G4404" s="65" t="n">
        <x:v>921.5328127417208</x:v>
      </x:c>
      <x:c r="H4404" s="43" t="n">
        <x:v>1</x:v>
      </x:c>
      <x:c r="I4404" s="34" t="str">
        <x:v>generated design-reference observation; not predicted tract behavior</x:v>
      </x:c>
    </x:row>
    <x:row r="4405" ht="75.5999984741211" hidden="0" customHeight="1">
      <x:c r="A4405" s="36" t="str">
        <x:v>H3</x:v>
      </x:c>
      <x:c r="B4405" s="36" t="str">
        <x:v>48201554502</x:v>
      </x:c>
      <x:c r="C4405" s="66" t="n">
        <x:v>846.750046763254</x:v>
      </x:c>
      <x:c r="D4405" s="66" t="n">
        <x:v>659.6182864285748</x:v>
      </x:c>
      <x:c r="E4405" s="66" t="n">
        <x:v>187.13176033467914</x:v>
      </x:c>
      <x:c r="F4405" s="66" t="n">
        <x:v>187.13176033467914</x:v>
      </x:c>
      <x:c r="G4405" s="66" t="n">
        <x:v>846.750046763254</x:v>
      </x:c>
      <x:c r="H4405" s="45" t="n">
        <x:v>1</x:v>
      </x:c>
      <x:c r="I4405" s="36" t="str">
        <x:v>generated design-reference observation; not predicted tract behavior</x:v>
      </x:c>
    </x:row>
    <x:row r="4406" ht="75.5999984741211" hidden="0" customHeight="1">
      <x:c r="A4406" s="34" t="str">
        <x:v>H3</x:v>
      </x:c>
      <x:c r="B4406" s="34" t="str">
        <x:v>48201554600</x:v>
      </x:c>
      <x:c r="C4406" s="65" t="n">
        <x:v>373.02086705379713</x:v>
      </x:c>
      <x:c r="D4406" s="65" t="n">
        <x:v>332.96089082781657</x:v>
      </x:c>
      <x:c r="E4406" s="65" t="n">
        <x:v>40.05997622598056</x:v>
      </x:c>
      <x:c r="F4406" s="65" t="n">
        <x:v>40.05997622598056</x:v>
      </x:c>
      <x:c r="G4406" s="65" t="n">
        <x:v>373.02086705379713</x:v>
      </x:c>
      <x:c r="H4406" s="43" t="n">
        <x:v>1</x:v>
      </x:c>
      <x:c r="I4406" s="34" t="str">
        <x:v>generated design-reference observation; not predicted tract behavior</x:v>
      </x:c>
    </x:row>
    <x:row r="4407" ht="75.5999984741211" hidden="0" customHeight="1">
      <x:c r="A4407" s="36" t="str">
        <x:v>H3</x:v>
      </x:c>
      <x:c r="B4407" s="36" t="str">
        <x:v>48201554701</x:v>
      </x:c>
      <x:c r="C4407" s="66" t="n">
        <x:v>269.15725781429677</x:v>
      </x:c>
      <x:c r="D4407" s="66" t="n">
        <x:v>239.1391012528728</x:v>
      </x:c>
      <x:c r="E4407" s="66" t="n">
        <x:v>30.01815656142398</x:v>
      </x:c>
      <x:c r="F4407" s="66" t="n">
        <x:v>30.01815656142398</x:v>
      </x:c>
      <x:c r="G4407" s="66" t="n">
        <x:v>269.15725781429677</x:v>
      </x:c>
      <x:c r="H4407" s="45" t="n">
        <x:v>1</x:v>
      </x:c>
      <x:c r="I4407" s="36" t="str">
        <x:v>generated design-reference observation; not predicted tract behavior</x:v>
      </x:c>
    </x:row>
    <x:row r="4408" ht="75.5999984741211" hidden="0" customHeight="1">
      <x:c r="A4408" s="34" t="str">
        <x:v>H3</x:v>
      </x:c>
      <x:c r="B4408" s="34" t="str">
        <x:v>48201554702</x:v>
      </x:c>
      <x:c r="C4408" s="65" t="n">
        <x:v>350.9906213709883</x:v>
      </x:c>
      <x:c r="D4408" s="65" t="n">
        <x:v>313.43462488429253</x:v>
      </x:c>
      <x:c r="E4408" s="65" t="n">
        <x:v>37.55599648669579</x:v>
      </x:c>
      <x:c r="F4408" s="65" t="n">
        <x:v>37.55599648669579</x:v>
      </x:c>
      <x:c r="G4408" s="65" t="n">
        <x:v>350.9906213709883</x:v>
      </x:c>
      <x:c r="H4408" s="43" t="n">
        <x:v>1</x:v>
      </x:c>
      <x:c r="I4408" s="34" t="str">
        <x:v>generated design-reference observation; not predicted tract behavior</x:v>
      </x:c>
    </x:row>
    <x:row r="4409" ht="75.5999984741211" hidden="0" customHeight="1">
      <x:c r="A4409" s="36" t="str">
        <x:v>H3</x:v>
      </x:c>
      <x:c r="B4409" s="36" t="str">
        <x:v>48201554803</x:v>
      </x:c>
      <x:c r="C4409" s="66" t="n">
        <x:v>642.6103986863438</x:v>
      </x:c>
      <x:c r="D4409" s="66" t="n">
        <x:v>573.5308697012554</x:v>
      </x:c>
      <x:c r="E4409" s="66" t="n">
        <x:v>69.07952898508847</x:v>
      </x:c>
      <x:c r="F4409" s="66" t="n">
        <x:v>69.07952898508847</x:v>
      </x:c>
      <x:c r="G4409" s="66" t="n">
        <x:v>642.6103986863438</x:v>
      </x:c>
      <x:c r="H4409" s="45" t="n">
        <x:v>1</x:v>
      </x:c>
      <x:c r="I4409" s="36" t="str">
        <x:v>generated design-reference observation; not predicted tract behavior</x:v>
      </x:c>
    </x:row>
    <x:row r="4410" ht="75.5999984741211" hidden="0" customHeight="1">
      <x:c r="A4410" s="34" t="str">
        <x:v>H3</x:v>
      </x:c>
      <x:c r="B4410" s="34" t="str">
        <x:v>48201554804</x:v>
      </x:c>
      <x:c r="C4410" s="65" t="n">
        <x:v>373.405983728238</x:v>
      </x:c>
      <x:c r="D4410" s="65" t="n">
        <x:v>332.54247308497145</x:v>
      </x:c>
      <x:c r="E4410" s="65" t="n">
        <x:v>40.86351064326658</x:v>
      </x:c>
      <x:c r="F4410" s="65" t="n">
        <x:v>40.86351064326658</x:v>
      </x:c>
      <x:c r="G4410" s="65" t="n">
        <x:v>373.405983728238</x:v>
      </x:c>
      <x:c r="H4410" s="43" t="n">
        <x:v>1</x:v>
      </x:c>
      <x:c r="I4410" s="34" t="str">
        <x:v>generated design-reference observation; not predicted tract behavior</x:v>
      </x:c>
    </x:row>
    <x:row r="4411" ht="75.5999984741211" hidden="0" customHeight="1">
      <x:c r="A4411" s="36" t="str">
        <x:v>H3</x:v>
      </x:c>
      <x:c r="B4411" s="36" t="str">
        <x:v>48201554805</x:v>
      </x:c>
      <x:c r="C4411" s="66" t="n">
        <x:v>714.6193572828101</x:v>
      </x:c>
      <x:c r="D4411" s="66" t="n">
        <x:v>638.1550860535493</x:v>
      </x:c>
      <x:c r="E4411" s="66" t="n">
        <x:v>76.46427122926082</x:v>
      </x:c>
      <x:c r="F4411" s="66" t="n">
        <x:v>76.46427122926082</x:v>
      </x:c>
      <x:c r="G4411" s="66" t="n">
        <x:v>714.6193572828101</x:v>
      </x:c>
      <x:c r="H4411" s="45" t="n">
        <x:v>1</x:v>
      </x:c>
      <x:c r="I4411" s="36" t="str">
        <x:v>generated design-reference observation; not predicted tract behavior</x:v>
      </x:c>
    </x:row>
    <x:row r="4412" ht="75.5999984741211" hidden="0" customHeight="1">
      <x:c r="A4412" s="34" t="str">
        <x:v>H3</x:v>
      </x:c>
      <x:c r="B4412" s="34" t="str">
        <x:v>48201554806</x:v>
      </x:c>
      <x:c r="C4412" s="65" t="n">
        <x:v>165.58445096161898</x:v>
      </x:c>
      <x:c r="D4412" s="65" t="n">
        <x:v>147.86691470872574</x:v>
      </x:c>
      <x:c r="E4412" s="65" t="n">
        <x:v>17.71753625289324</x:v>
      </x:c>
      <x:c r="F4412" s="65" t="n">
        <x:v>17.71753625289324</x:v>
      </x:c>
      <x:c r="G4412" s="65" t="n">
        <x:v>165.58445096161898</x:v>
      </x:c>
      <x:c r="H4412" s="43" t="n">
        <x:v>1</x:v>
      </x:c>
      <x:c r="I4412" s="34" t="str">
        <x:v>generated design-reference observation; not predicted tract behavior</x:v>
      </x:c>
    </x:row>
    <x:row r="4413" ht="75.5999984741211" hidden="0" customHeight="1">
      <x:c r="A4413" s="36" t="str">
        <x:v>H3</x:v>
      </x:c>
      <x:c r="B4413" s="36" t="str">
        <x:v>48201554807</x:v>
      </x:c>
      <x:c r="C4413" s="66" t="n">
        <x:v>532.8285678988038</x:v>
      </x:c>
      <x:c r="D4413" s="66" t="n">
        <x:v>475.8159111336318</x:v>
      </x:c>
      <x:c r="E4413" s="66" t="n">
        <x:v>57.01265676517204</x:v>
      </x:c>
      <x:c r="F4413" s="66" t="n">
        <x:v>57.01265676517204</x:v>
      </x:c>
      <x:c r="G4413" s="66" t="n">
        <x:v>532.8285678988038</x:v>
      </x:c>
      <x:c r="H4413" s="45" t="n">
        <x:v>1</x:v>
      </x:c>
      <x:c r="I4413" s="36" t="str">
        <x:v>generated design-reference observation; not predicted tract behavior</x:v>
      </x:c>
    </x:row>
    <x:row r="4414" ht="75.5999984741211" hidden="0" customHeight="1">
      <x:c r="A4414" s="34" t="str">
        <x:v>H3</x:v>
      </x:c>
      <x:c r="B4414" s="34" t="str">
        <x:v>48201554808</x:v>
      </x:c>
      <x:c r="C4414" s="65" t="n">
        <x:v>255.87466230807235</x:v>
      </x:c>
      <x:c r="D4414" s="65" t="n">
        <x:v>228.49607344110856</x:v>
      </x:c>
      <x:c r="E4414" s="65" t="n">
        <x:v>27.37858886696378</x:v>
      </x:c>
      <x:c r="F4414" s="65" t="n">
        <x:v>27.37858886696378</x:v>
      </x:c>
      <x:c r="G4414" s="65" t="n">
        <x:v>255.87466230807235</x:v>
      </x:c>
      <x:c r="H4414" s="43" t="n">
        <x:v>1</x:v>
      </x:c>
      <x:c r="I4414" s="34" t="str">
        <x:v>generated design-reference observation; not predicted tract behavior</x:v>
      </x:c>
    </x:row>
    <x:row r="4415" ht="75.5999984741211" hidden="0" customHeight="1">
      <x:c r="A4415" s="36" t="str">
        <x:v>H3</x:v>
      </x:c>
      <x:c r="B4415" s="36" t="str">
        <x:v>48201554809</x:v>
      </x:c>
      <x:c r="C4415" s="66" t="n">
        <x:v>873.0123438135446</x:v>
      </x:c>
      <x:c r="D4415" s="66" t="n">
        <x:v>778.2542848905107</x:v>
      </x:c>
      <x:c r="E4415" s="66" t="n">
        <x:v>94.7580589230339</x:v>
      </x:c>
      <x:c r="F4415" s="66" t="n">
        <x:v>94.7580589230339</x:v>
      </x:c>
      <x:c r="G4415" s="66" t="n">
        <x:v>873.0123438135446</x:v>
      </x:c>
      <x:c r="H4415" s="45" t="n">
        <x:v>1</x:v>
      </x:c>
      <x:c r="I4415" s="36" t="str">
        <x:v>generated design-reference observation; not predicted tract behavior</x:v>
      </x:c>
    </x:row>
    <x:row r="4416" ht="75.5999984741211" hidden="0" customHeight="1">
      <x:c r="A4416" s="34" t="str">
        <x:v>H3</x:v>
      </x:c>
      <x:c r="B4416" s="34" t="str">
        <x:v>48201554902</x:v>
      </x:c>
      <x:c r="C4416" s="65" t="n">
        <x:v>897.2432562074438</x:v>
      </x:c>
      <x:c r="D4416" s="65" t="n">
        <x:v>799.4328378529138</x:v>
      </x:c>
      <x:c r="E4416" s="65" t="n">
        <x:v>97.81041835452993</x:v>
      </x:c>
      <x:c r="F4416" s="65" t="n">
        <x:v>97.81041835452993</x:v>
      </x:c>
      <x:c r="G4416" s="65" t="n">
        <x:v>897.2432562074438</x:v>
      </x:c>
      <x:c r="H4416" s="43" t="n">
        <x:v>1</x:v>
      </x:c>
      <x:c r="I4416" s="34" t="str">
        <x:v>generated design-reference observation; not predicted tract behavior</x:v>
      </x:c>
    </x:row>
    <x:row r="4417" ht="75.5999984741211" hidden="0" customHeight="1">
      <x:c r="A4417" s="36" t="str">
        <x:v>H3</x:v>
      </x:c>
      <x:c r="B4417" s="36" t="str">
        <x:v>48201554904</x:v>
      </x:c>
      <x:c r="C4417" s="66" t="n">
        <x:v>313.02912060467827</x:v>
      </x:c>
      <x:c r="D4417" s="66" t="n">
        <x:v>279.2578889596772</x:v>
      </x:c>
      <x:c r="E4417" s="66" t="n">
        <x:v>33.77123164500108</x:v>
      </x:c>
      <x:c r="F4417" s="66" t="n">
        <x:v>33.77123164500108</x:v>
      </x:c>
      <x:c r="G4417" s="66" t="n">
        <x:v>313.02912060467827</x:v>
      </x:c>
      <x:c r="H4417" s="45" t="n">
        <x:v>1</x:v>
      </x:c>
      <x:c r="I4417" s="36" t="str">
        <x:v>generated design-reference observation; not predicted tract behavior</x:v>
      </x:c>
    </x:row>
    <x:row r="4418" ht="75.5999984741211" hidden="0" customHeight="1">
      <x:c r="A4418" s="34" t="str">
        <x:v>H3</x:v>
      </x:c>
      <x:c r="B4418" s="34" t="str">
        <x:v>48201554905</x:v>
      </x:c>
      <x:c r="C4418" s="65" t="n">
        <x:v>659.5830406956288</x:v>
      </x:c>
      <x:c r="D4418" s="65" t="n">
        <x:v>588.8870394390788</x:v>
      </x:c>
      <x:c r="E4418" s="65" t="n">
        <x:v>70.69600125655006</x:v>
      </x:c>
      <x:c r="F4418" s="65" t="n">
        <x:v>70.69600125655006</x:v>
      </x:c>
      <x:c r="G4418" s="65" t="n">
        <x:v>659.5830406956288</x:v>
      </x:c>
      <x:c r="H4418" s="43" t="n">
        <x:v>1</x:v>
      </x:c>
      <x:c r="I4418" s="34" t="str">
        <x:v>generated design-reference observation; not predicted tract behavior</x:v>
      </x:c>
    </x:row>
    <x:row r="4419" ht="75.5999984741211" hidden="0" customHeight="1">
      <x:c r="A4419" s="36" t="str">
        <x:v>H3</x:v>
      </x:c>
      <x:c r="B4419" s="36" t="str">
        <x:v>48201554906</x:v>
      </x:c>
      <x:c r="C4419" s="66" t="n">
        <x:v>672.9336513131165</x:v>
      </x:c>
      <x:c r="D4419" s="66" t="n">
        <x:v>522.1659386504587</x:v>
      </x:c>
      <x:c r="E4419" s="66" t="n">
        <x:v>150.7677126626578</x:v>
      </x:c>
      <x:c r="F4419" s="66" t="n">
        <x:v>150.7677126626578</x:v>
      </x:c>
      <x:c r="G4419" s="66" t="n">
        <x:v>672.9336513131165</x:v>
      </x:c>
      <x:c r="H4419" s="45" t="n">
        <x:v>1</x:v>
      </x:c>
      <x:c r="I4419" s="36" t="str">
        <x:v>generated design-reference observation; not predicted tract behavior</x:v>
      </x:c>
    </x:row>
    <x:row r="4420" ht="75.5999984741211" hidden="0" customHeight="1">
      <x:c r="A4420" s="34" t="str">
        <x:v>H3</x:v>
      </x:c>
      <x:c r="B4420" s="34" t="str">
        <x:v>48201554907</x:v>
      </x:c>
      <x:c r="C4420" s="65" t="n">
        <x:v>350.2518261179793</x:v>
      </x:c>
      <x:c r="D4420" s="65" t="n">
        <x:v>311.8833967638058</x:v>
      </x:c>
      <x:c r="E4420" s="65" t="n">
        <x:v>38.368429354173486</x:v>
      </x:c>
      <x:c r="F4420" s="65" t="n">
        <x:v>38.368429354173486</x:v>
      </x:c>
      <x:c r="G4420" s="65" t="n">
        <x:v>350.2518261179793</x:v>
      </x:c>
      <x:c r="H4420" s="43" t="n">
        <x:v>1</x:v>
      </x:c>
      <x:c r="I4420" s="34" t="str">
        <x:v>generated design-reference observation; not predicted tract behavior</x:v>
      </x:c>
    </x:row>
    <x:row r="4421" ht="75.5999984741211" hidden="0" customHeight="1">
      <x:c r="A4421" s="36" t="str">
        <x:v>H3</x:v>
      </x:c>
      <x:c r="B4421" s="36" t="str">
        <x:v>48201554908</x:v>
      </x:c>
      <x:c r="C4421" s="66" t="n">
        <x:v>614.4733028802591</x:v>
      </x:c>
      <x:c r="D4421" s="66" t="n">
        <x:v>548.7246594720714</x:v>
      </x:c>
      <x:c r="E4421" s="66" t="n">
        <x:v>65.74864340818772</x:v>
      </x:c>
      <x:c r="F4421" s="66" t="n">
        <x:v>65.74864340818772</x:v>
      </x:c>
      <x:c r="G4421" s="66" t="n">
        <x:v>614.4733028802591</x:v>
      </x:c>
      <x:c r="H4421" s="45" t="n">
        <x:v>1</x:v>
      </x:c>
      <x:c r="I4421" s="36" t="str">
        <x:v>generated design-reference observation; not predicted tract behavior</x:v>
      </x:c>
    </x:row>
    <x:row r="4422" ht="75.5999984741211" hidden="0" customHeight="1">
      <x:c r="A4422" s="34" t="str">
        <x:v>H3</x:v>
      </x:c>
      <x:c r="B4422" s="34" t="str">
        <x:v>48201555001</x:v>
      </x:c>
      <x:c r="C4422" s="65" t="n">
        <x:v>197.55699446417577</x:v>
      </x:c>
      <x:c r="D4422" s="65" t="n">
        <x:v>176.41839605650895</x:v>
      </x:c>
      <x:c r="E4422" s="65" t="n">
        <x:v>21.13859840766682</x:v>
      </x:c>
      <x:c r="F4422" s="65" t="n">
        <x:v>21.13859840766682</x:v>
      </x:c>
      <x:c r="G4422" s="65" t="n">
        <x:v>197.55699446417577</x:v>
      </x:c>
      <x:c r="H4422" s="43" t="n">
        <x:v>1</x:v>
      </x:c>
      <x:c r="I4422" s="34" t="str">
        <x:v>generated design-reference observation; not predicted tract behavior</x:v>
      </x:c>
    </x:row>
    <x:row r="4423" ht="75.5999984741211" hidden="0" customHeight="1">
      <x:c r="A4423" s="36" t="str">
        <x:v>H3</x:v>
      </x:c>
      <x:c r="B4423" s="36" t="str">
        <x:v>48201555002</x:v>
      </x:c>
      <x:c r="C4423" s="66" t="n">
        <x:v>388.9206840414256</x:v>
      </x:c>
      <x:c r="D4423" s="66" t="n">
        <x:v>347.306170848993</x:v>
      </x:c>
      <x:c r="E4423" s="66" t="n">
        <x:v>41.61451319243258</x:v>
      </x:c>
      <x:c r="F4423" s="66" t="n">
        <x:v>41.61451319243258</x:v>
      </x:c>
      <x:c r="G4423" s="66" t="n">
        <x:v>388.9206840414256</x:v>
      </x:c>
      <x:c r="H4423" s="45" t="n">
        <x:v>1</x:v>
      </x:c>
      <x:c r="I4423" s="36" t="str">
        <x:v>generated design-reference observation; not predicted tract behavior</x:v>
      </x:c>
    </x:row>
    <x:row r="4424" ht="75.5999984741211" hidden="0" customHeight="1">
      <x:c r="A4424" s="34" t="str">
        <x:v>H3</x:v>
      </x:c>
      <x:c r="B4424" s="34" t="str">
        <x:v>48201555101</x:v>
      </x:c>
      <x:c r="C4424" s="65" t="n">
        <x:v>419.3920584660599</x:v>
      </x:c>
      <x:c r="D4424" s="65" t="n">
        <x:v>373.47747284585625</x:v>
      </x:c>
      <x:c r="E4424" s="65" t="n">
        <x:v>45.91458562020364</x:v>
      </x:c>
      <x:c r="F4424" s="65" t="n">
        <x:v>45.91458562020364</x:v>
      </x:c>
      <x:c r="G4424" s="65" t="n">
        <x:v>419.3920584660599</x:v>
      </x:c>
      <x:c r="H4424" s="43" t="n">
        <x:v>1</x:v>
      </x:c>
      <x:c r="I4424" s="34" t="str">
        <x:v>generated design-reference observation; not predicted tract behavior</x:v>
      </x:c>
    </x:row>
    <x:row r="4425" ht="75.5999984741211" hidden="0" customHeight="1">
      <x:c r="A4425" s="36" t="str">
        <x:v>H3</x:v>
      </x:c>
      <x:c r="B4425" s="36" t="str">
        <x:v>48201555102</x:v>
      </x:c>
      <x:c r="C4425" s="66" t="n">
        <x:v>486.76389792130004</x:v>
      </x:c>
      <x:c r="D4425" s="66" t="n">
        <x:v>431.20204615625727</x:v>
      </x:c>
      <x:c r="E4425" s="66" t="n">
        <x:v>55.561851765042775</x:v>
      </x:c>
      <x:c r="F4425" s="66" t="n">
        <x:v>55.561851765042775</x:v>
      </x:c>
      <x:c r="G4425" s="66" t="n">
        <x:v>486.76389792130004</x:v>
      </x:c>
      <x:c r="H4425" s="45" t="n">
        <x:v>1</x:v>
      </x:c>
      <x:c r="I4425" s="36" t="str">
        <x:v>generated design-reference observation; not predicted tract behavior</x:v>
      </x:c>
    </x:row>
    <x:row r="4426" ht="75.5999984741211" hidden="0" customHeight="1">
      <x:c r="A4426" s="34" t="str">
        <x:v>H3</x:v>
      </x:c>
      <x:c r="B4426" s="34" t="str">
        <x:v>48201555200</x:v>
      </x:c>
      <x:c r="C4426" s="65" t="n">
        <x:v>1021.1958087096126</x:v>
      </x:c>
      <x:c r="D4426" s="65" t="n">
        <x:v>909.2990743156122</x:v>
      </x:c>
      <x:c r="E4426" s="65" t="n">
        <x:v>111.89673439400042</x:v>
      </x:c>
      <x:c r="F4426" s="65" t="n">
        <x:v>111.89673439400042</x:v>
      </x:c>
      <x:c r="G4426" s="65" t="n">
        <x:v>1021.1958087096126</x:v>
      </x:c>
      <x:c r="H4426" s="43" t="n">
        <x:v>1</x:v>
      </x:c>
      <x:c r="I4426" s="34" t="str">
        <x:v>generated design-reference observation; not predicted tract behavior</x:v>
      </x:c>
    </x:row>
    <x:row r="4427" ht="75.5999984741211" hidden="0" customHeight="1">
      <x:c r="A4427" s="36" t="str">
        <x:v>H3</x:v>
      </x:c>
      <x:c r="B4427" s="36" t="str">
        <x:v>48201555301</x:v>
      </x:c>
      <x:c r="C4427" s="66" t="n">
        <x:v>710.1303599394458</x:v>
      </x:c>
      <x:c r="D4427" s="66" t="n">
        <x:v>550.0499687486222</x:v>
      </x:c>
      <x:c r="E4427" s="66" t="n">
        <x:v>160.08039119082366</x:v>
      </x:c>
      <x:c r="F4427" s="66" t="n">
        <x:v>160.08039119082366</x:v>
      </x:c>
      <x:c r="G4427" s="66" t="n">
        <x:v>710.1303599394458</x:v>
      </x:c>
      <x:c r="H4427" s="45" t="n">
        <x:v>1</x:v>
      </x:c>
      <x:c r="I4427" s="36" t="str">
        <x:v>generated design-reference observation; not predicted tract behavior</x:v>
      </x:c>
    </x:row>
    <x:row r="4428" ht="75.5999984741211" hidden="0" customHeight="1">
      <x:c r="A4428" s="34" t="str">
        <x:v>H3</x:v>
      </x:c>
      <x:c r="B4428" s="34" t="str">
        <x:v>48201555303</x:v>
      </x:c>
      <x:c r="C4428" s="65" t="n">
        <x:v>1303.6120834582293</x:v>
      </x:c>
      <x:c r="D4428" s="65" t="n">
        <x:v>1163.896085043004</x:v>
      </x:c>
      <x:c r="E4428" s="65" t="n">
        <x:v>139.71599841522539</x:v>
      </x:c>
      <x:c r="F4428" s="65" t="n">
        <x:v>139.71599841522539</x:v>
      </x:c>
      <x:c r="G4428" s="65" t="n">
        <x:v>1303.6120834582293</x:v>
      </x:c>
      <x:c r="H4428" s="43" t="n">
        <x:v>1</x:v>
      </x:c>
      <x:c r="I4428" s="34" t="str">
        <x:v>generated design-reference observation; not predicted tract behavior</x:v>
      </x:c>
    </x:row>
    <x:row r="4429" ht="75.5999984741211" hidden="0" customHeight="1">
      <x:c r="A4429" s="36" t="str">
        <x:v>H3</x:v>
      </x:c>
      <x:c r="B4429" s="36" t="str">
        <x:v>48201555304</x:v>
      </x:c>
      <x:c r="C4429" s="66" t="n">
        <x:v>752.3450723300748</x:v>
      </x:c>
      <x:c r="D4429" s="66" t="n">
        <x:v>670.2739698986468</x:v>
      </x:c>
      <x:c r="E4429" s="66" t="n">
        <x:v>82.07110243142802</x:v>
      </x:c>
      <x:c r="F4429" s="66" t="n">
        <x:v>82.07110243142802</x:v>
      </x:c>
      <x:c r="G4429" s="66" t="n">
        <x:v>752.3450723300748</x:v>
      </x:c>
      <x:c r="H4429" s="45" t="n">
        <x:v>1</x:v>
      </x:c>
      <x:c r="I4429" s="36" t="str">
        <x:v>generated design-reference observation; not predicted tract behavior</x:v>
      </x:c>
    </x:row>
    <x:row r="4430" ht="75.5999984741211" hidden="0" customHeight="1">
      <x:c r="A4430" s="34" t="str">
        <x:v>H3</x:v>
      </x:c>
      <x:c r="B4430" s="34" t="str">
        <x:v>48201555305</x:v>
      </x:c>
      <x:c r="C4430" s="65" t="n">
        <x:v>997.7076213307064</x:v>
      </x:c>
      <x:c r="D4430" s="65" t="n">
        <x:v>888.3474864433482</x:v>
      </x:c>
      <x:c r="E4430" s="65" t="n">
        <x:v>109.36013488735819</x:v>
      </x:c>
      <x:c r="F4430" s="65" t="n">
        <x:v>109.36013488735819</x:v>
      </x:c>
      <x:c r="G4430" s="65" t="n">
        <x:v>997.7076213307064</x:v>
      </x:c>
      <x:c r="H4430" s="43" t="n">
        <x:v>1</x:v>
      </x:c>
      <x:c r="I4430" s="34" t="str">
        <x:v>generated design-reference observation; not predicted tract behavior</x:v>
      </x:c>
    </x:row>
    <x:row r="4431" ht="75.5999984741211" hidden="0" customHeight="1">
      <x:c r="A4431" s="36" t="str">
        <x:v>H3</x:v>
      </x:c>
      <x:c r="B4431" s="36" t="str">
        <x:v>48201555401</x:v>
      </x:c>
      <x:c r="C4431" s="66" t="n">
        <x:v>307.88899192948844</x:v>
      </x:c>
      <x:c r="D4431" s="66" t="n">
        <x:v>274.6145928043582</x:v>
      </x:c>
      <x:c r="E4431" s="66" t="n">
        <x:v>33.27439912513023</x:v>
      </x:c>
      <x:c r="F4431" s="66" t="n">
        <x:v>33.27439912513023</x:v>
      </x:c>
      <x:c r="G4431" s="66" t="n">
        <x:v>307.88899192948844</x:v>
      </x:c>
      <x:c r="H4431" s="45" t="n">
        <x:v>1</x:v>
      </x:c>
      <x:c r="I4431" s="36" t="str">
        <x:v>generated design-reference observation; not predicted tract behavior</x:v>
      </x:c>
    </x:row>
    <x:row r="4432" ht="75.5999984741211" hidden="0" customHeight="1">
      <x:c r="A4432" s="34" t="str">
        <x:v>H3</x:v>
      </x:c>
      <x:c r="B4432" s="34" t="str">
        <x:v>48201555403</x:v>
      </x:c>
      <x:c r="C4432" s="65" t="n">
        <x:v>360.665695375818</x:v>
      </x:c>
      <x:c r="D4432" s="65" t="n">
        <x:v>321.4653751718485</x:v>
      </x:c>
      <x:c r="E4432" s="65" t="n">
        <x:v>39.20032020396951</x:v>
      </x:c>
      <x:c r="F4432" s="65" t="n">
        <x:v>39.20032020396951</x:v>
      </x:c>
      <x:c r="G4432" s="65" t="n">
        <x:v>360.665695375818</x:v>
      </x:c>
      <x:c r="H4432" s="43" t="n">
        <x:v>1</x:v>
      </x:c>
      <x:c r="I4432" s="34" t="str">
        <x:v>generated design-reference observation; not predicted tract behavior</x:v>
      </x:c>
    </x:row>
    <x:row r="4433" ht="75.5999984741211" hidden="0" customHeight="1">
      <x:c r="A4433" s="36" t="str">
        <x:v>H3</x:v>
      </x:c>
      <x:c r="B4433" s="36" t="str">
        <x:v>48201555404</x:v>
      </x:c>
      <x:c r="C4433" s="66" t="n">
        <x:v>303.21257516842127</x:v>
      </x:c>
      <x:c r="D4433" s="66" t="n">
        <x:v>268.63912602322347</x:v>
      </x:c>
      <x:c r="E4433" s="66" t="n">
        <x:v>34.5734491451978</x:v>
      </x:c>
      <x:c r="F4433" s="66" t="n">
        <x:v>34.5734491451978</x:v>
      </x:c>
      <x:c r="G4433" s="66" t="n">
        <x:v>303.21257516842127</x:v>
      </x:c>
      <x:c r="H4433" s="45" t="n">
        <x:v>1</x:v>
      </x:c>
      <x:c r="I4433" s="36" t="str">
        <x:v>generated design-reference observation; not predicted tract behavior</x:v>
      </x:c>
    </x:row>
    <x:row r="4434" ht="75.5999984741211" hidden="0" customHeight="1">
      <x:c r="A4434" s="34" t="str">
        <x:v>H3</x:v>
      </x:c>
      <x:c r="B4434" s="34" t="str">
        <x:v>48201555501</x:v>
      </x:c>
      <x:c r="C4434" s="65" t="n">
        <x:v>1030.5891490091212</x:v>
      </x:c>
      <x:c r="D4434" s="65" t="n">
        <x:v>440.2440712936517</x:v>
      </x:c>
      <x:c r="E4434" s="65" t="n">
        <x:v>590.3450777154695</x:v>
      </x:c>
      <x:c r="F4434" s="65" t="n">
        <x:v>0</x:v>
      </x:c>
      <x:c r="G4434" s="65" t="n">
        <x:v>440.2440712936517</x:v>
      </x:c>
      <x:c r="H4434" s="43" t="n">
        <x:v>0.427177087704574</x:v>
      </x:c>
      <x:c r="I4434" s="34" t="str">
        <x:v>generated design-reference observation; not predicted tract behavior</x:v>
      </x:c>
    </x:row>
    <x:row r="4435" ht="75.5999984741211" hidden="0" customHeight="1">
      <x:c r="A4435" s="36" t="str">
        <x:v>H3</x:v>
      </x:c>
      <x:c r="B4435" s="36" t="str">
        <x:v>48201555503</x:v>
      </x:c>
      <x:c r="C4435" s="66" t="n">
        <x:v>1104.813284207081</x:v>
      </x:c>
      <x:c r="D4435" s="66" t="n">
        <x:v>985.8289935932937</x:v>
      </x:c>
      <x:c r="E4435" s="66" t="n">
        <x:v>118.98429061378738</x:v>
      </x:c>
      <x:c r="F4435" s="66" t="n">
        <x:v>118.98429061378738</x:v>
      </x:c>
      <x:c r="G4435" s="66" t="n">
        <x:v>1104.813284207081</x:v>
      </x:c>
      <x:c r="H4435" s="45" t="n">
        <x:v>1</x:v>
      </x:c>
      <x:c r="I4435" s="36" t="str">
        <x:v>generated design-reference observation; not predicted tract behavior</x:v>
      </x:c>
    </x:row>
    <x:row r="4436" ht="75.5999984741211" hidden="0" customHeight="1">
      <x:c r="A4436" s="34" t="str">
        <x:v>H3</x:v>
      </x:c>
      <x:c r="B4436" s="34" t="str">
        <x:v>48201555504</x:v>
      </x:c>
      <x:c r="C4436" s="65" t="n">
        <x:v>644.5477713445002</x:v>
      </x:c>
      <x:c r="D4436" s="65" t="n">
        <x:v>574.0592293177497</x:v>
      </x:c>
      <x:c r="E4436" s="65" t="n">
        <x:v>70.48854202675057</x:v>
      </x:c>
      <x:c r="F4436" s="65" t="n">
        <x:v>70.48854202675057</x:v>
      </x:c>
      <x:c r="G4436" s="65" t="n">
        <x:v>644.5477713445002</x:v>
      </x:c>
      <x:c r="H4436" s="43" t="n">
        <x:v>1</x:v>
      </x:c>
      <x:c r="I4436" s="34" t="str">
        <x:v>generated design-reference observation; not predicted tract behavior</x:v>
      </x:c>
    </x:row>
    <x:row r="4437" ht="75.5999984741211" hidden="0" customHeight="1">
      <x:c r="A4437" s="36" t="str">
        <x:v>H3</x:v>
      </x:c>
      <x:c r="B4437" s="36" t="str">
        <x:v>48201555505</x:v>
      </x:c>
      <x:c r="C4437" s="66" t="n">
        <x:v>923.0696519668836</x:v>
      </x:c>
      <x:c r="D4437" s="66" t="n">
        <x:v>822.0706291462136</x:v>
      </x:c>
      <x:c r="E4437" s="66" t="n">
        <x:v>100.99902282067</x:v>
      </x:c>
      <x:c r="F4437" s="66" t="n">
        <x:v>100.99902282067</x:v>
      </x:c>
      <x:c r="G4437" s="66" t="n">
        <x:v>923.0696519668836</x:v>
      </x:c>
      <x:c r="H4437" s="45" t="n">
        <x:v>1</x:v>
      </x:c>
      <x:c r="I4437" s="36" t="str">
        <x:v>generated design-reference observation; not predicted tract behavior</x:v>
      </x:c>
    </x:row>
    <x:row r="4438" ht="75.5999984741211" hidden="0" customHeight="1">
      <x:c r="A4438" s="34" t="str">
        <x:v>H3</x:v>
      </x:c>
      <x:c r="B4438" s="34" t="str">
        <x:v>48201555600</x:v>
      </x:c>
      <x:c r="C4438" s="65" t="n">
        <x:v>795.1873374806247</x:v>
      </x:c>
      <x:c r="D4438" s="65" t="n">
        <x:v>710.1022923701978</x:v>
      </x:c>
      <x:c r="E4438" s="65" t="n">
        <x:v>85.0850451104269</x:v>
      </x:c>
      <x:c r="F4438" s="65" t="n">
        <x:v>85.0850451104269</x:v>
      </x:c>
      <x:c r="G4438" s="65" t="n">
        <x:v>795.1873374806247</x:v>
      </x:c>
      <x:c r="H4438" s="43" t="n">
        <x:v>1</x:v>
      </x:c>
      <x:c r="I4438" s="34" t="str">
        <x:v>generated design-reference observation; not predicted tract behavior</x:v>
      </x:c>
    </x:row>
    <x:row r="4439" ht="75.5999984741211" hidden="0" customHeight="1">
      <x:c r="A4439" s="36" t="str">
        <x:v>H3</x:v>
      </x:c>
      <x:c r="B4439" s="36" t="str">
        <x:v>48201555701</x:v>
      </x:c>
      <x:c r="C4439" s="66" t="n">
        <x:v>979.2023721476261</x:v>
      </x:c>
      <x:c r="D4439" s="66" t="n">
        <x:v>874.1313794243299</x:v>
      </x:c>
      <x:c r="E4439" s="66" t="n">
        <x:v>105.07099272329617</x:v>
      </x:c>
      <x:c r="F4439" s="66" t="n">
        <x:v>105.07099272329617</x:v>
      </x:c>
      <x:c r="G4439" s="66" t="n">
        <x:v>979.2023721476261</x:v>
      </x:c>
      <x:c r="H4439" s="45" t="n">
        <x:v>1</x:v>
      </x:c>
      <x:c r="I4439" s="36" t="str">
        <x:v>generated design-reference observation; not predicted tract behavior</x:v>
      </x:c>
    </x:row>
    <x:row r="4440" ht="75.5999984741211" hidden="0" customHeight="1">
      <x:c r="A4440" s="34" t="str">
        <x:v>H3</x:v>
      </x:c>
      <x:c r="B4440" s="34" t="str">
        <x:v>48201555703</x:v>
      </x:c>
      <x:c r="C4440" s="65" t="n">
        <x:v>502.25501966258315</x:v>
      </x:c>
      <x:c r="D4440" s="65" t="n">
        <x:v>448.28393595280124</x:v>
      </x:c>
      <x:c r="E4440" s="65" t="n">
        <x:v>53.97108370978191</x:v>
      </x:c>
      <x:c r="F4440" s="65" t="n">
        <x:v>53.97108370978191</x:v>
      </x:c>
      <x:c r="G4440" s="65" t="n">
        <x:v>502.25501966258315</x:v>
      </x:c>
      <x:c r="H4440" s="43" t="n">
        <x:v>1</x:v>
      </x:c>
      <x:c r="I4440" s="34" t="str">
        <x:v>generated design-reference observation; not predicted tract behavior</x:v>
      </x:c>
    </x:row>
    <x:row r="4441" ht="75.5999984741211" hidden="0" customHeight="1">
      <x:c r="A4441" s="36" t="str">
        <x:v>H3</x:v>
      </x:c>
      <x:c r="B4441" s="36" t="str">
        <x:v>48201555704</x:v>
      </x:c>
      <x:c r="C4441" s="66" t="n">
        <x:v>655.9715894322501</x:v>
      </x:c>
      <x:c r="D4441" s="66" t="n">
        <x:v>585.7826293629993</x:v>
      </x:c>
      <x:c r="E4441" s="66" t="n">
        <x:v>70.18896006925081</x:v>
      </x:c>
      <x:c r="F4441" s="66" t="n">
        <x:v>70.18896006925081</x:v>
      </x:c>
      <x:c r="G4441" s="66" t="n">
        <x:v>655.9715894322501</x:v>
      </x:c>
      <x:c r="H4441" s="45" t="n">
        <x:v>1</x:v>
      </x:c>
      <x:c r="I4441" s="36" t="str">
        <x:v>generated design-reference observation; not predicted tract behavior</x:v>
      </x:c>
    </x:row>
    <x:row r="4442" ht="75.5999984741211" hidden="0" customHeight="1">
      <x:c r="A4442" s="34" t="str">
        <x:v>H3</x:v>
      </x:c>
      <x:c r="B4442" s="34" t="str">
        <x:v>48201556000</x:v>
      </x:c>
      <x:c r="C4442" s="65" t="n">
        <x:v>1262.6482445360746</x:v>
      </x:c>
      <x:c r="D4442" s="65" t="n">
        <x:v>1125.9403800817233</x:v>
      </x:c>
      <x:c r="E4442" s="65" t="n">
        <x:v>136.70786445435124</x:v>
      </x:c>
      <x:c r="F4442" s="65" t="n">
        <x:v>136.70786445435124</x:v>
      </x:c>
      <x:c r="G4442" s="65" t="n">
        <x:v>1262.6482445360746</x:v>
      </x:c>
      <x:c r="H4442" s="43" t="n">
        <x:v>1</x:v>
      </x:c>
      <x:c r="I4442" s="34" t="str">
        <x:v>generated design-reference observation; not predicted tract behavior</x:v>
      </x:c>
    </x:row>
    <x:row r="4443" ht="75.5999984741211" hidden="0" customHeight="1">
      <x:c r="A4443" s="36" t="str">
        <x:v>H3</x:v>
      </x:c>
      <x:c r="B4443" s="36" t="str">
        <x:v>48201556100</x:v>
      </x:c>
      <x:c r="C4443" s="66" t="n">
        <x:v>303.330468027944</x:v>
      </x:c>
      <x:c r="D4443" s="66" t="n">
        <x:v>270.87410794895396</x:v>
      </x:c>
      <x:c r="E4443" s="66" t="n">
        <x:v>32.45636007899003</x:v>
      </x:c>
      <x:c r="F4443" s="66" t="n">
        <x:v>32.45636007899003</x:v>
      </x:c>
      <x:c r="G4443" s="66" t="n">
        <x:v>303.330468027944</x:v>
      </x:c>
      <x:c r="H4443" s="45" t="n">
        <x:v>1</x:v>
      </x:c>
      <x:c r="I4443" s="36" t="str">
        <x:v>generated design-reference observation; not predicted tract behavior</x:v>
      </x:c>
    </x:row>
    <x:row r="4444" ht="75.5999984741211" hidden="0" customHeight="1">
      <x:c r="A4444" s="34" t="str">
        <x:v>H3</x:v>
      </x:c>
      <x:c r="B4444" s="34" t="str">
        <x:v>48201980000</x:v>
      </x:c>
      <x:c r="C4444" s="65" t="n">
        <x:v>2.845147676481207</x:v>
      </x:c>
      <x:c r="D4444" s="65" t="n">
        <x:v>2.5407168750977176</x:v>
      </x:c>
      <x:c r="E4444" s="65" t="n">
        <x:v>0.3044308013834893</x:v>
      </x:c>
      <x:c r="F4444" s="65" t="n">
        <x:v>0.3044308013834893</x:v>
      </x:c>
      <x:c r="G4444" s="65" t="n">
        <x:v>2.845147676481207</x:v>
      </x:c>
      <x:c r="H4444" s="43" t="n">
        <x:v>1</x:v>
      </x:c>
      <x:c r="I4444" s="34" t="str">
        <x:v>generated design-reference observation; not predicted tract behavior</x:v>
      </x:c>
    </x:row>
    <x:row r="4445" ht="75.5999984741211" hidden="0" customHeight="1">
      <x:c r="A4445" s="36" t="str">
        <x:v>H3</x:v>
      </x:c>
      <x:c r="B4445" s="36" t="str">
        <x:v>48201980200</x:v>
      </x:c>
      <x:c r="C4445" s="66" t="n">
        <x:v>13.211859790510799</x:v>
      </x:c>
      <x:c r="D4445" s="66" t="n">
        <x:v>11.713569286549292</x:v>
      </x:c>
      <x:c r="E4445" s="66" t="n">
        <x:v>1.4982905039615062</x:v>
      </x:c>
      <x:c r="F4445" s="66" t="n">
        <x:v>1.4982905039615062</x:v>
      </x:c>
      <x:c r="G4445" s="66" t="n">
        <x:v>13.211859790510799</x:v>
      </x:c>
      <x:c r="H4445" s="45" t="n">
        <x:v>1</x:v>
      </x:c>
      <x:c r="I4445" s="36" t="str">
        <x:v>generated design-reference observation; not predicted tract behavior</x:v>
      </x:c>
    </x:row>
    <x:row r="4446" ht="75.5999984741211" hidden="0" customHeight="1">
      <x:c r="A4446" s="34" t="str">
        <x:v>H3</x:v>
      </x:c>
      <x:c r="B4446" s="34" t="str">
        <x:v>48201980300</x:v>
      </x:c>
      <x:c r="C4446" s="65" t="n">
        <x:v>410.1232613925085</x:v>
      </x:c>
      <x:c r="D4446" s="65" t="n">
        <x:v>319.48602062476414</x:v>
      </x:c>
      <x:c r="E4446" s="65" t="n">
        <x:v>90.63724076774434</x:v>
      </x:c>
      <x:c r="F4446" s="65" t="n">
        <x:v>90.63724076774434</x:v>
      </x:c>
      <x:c r="G4446" s="65" t="n">
        <x:v>410.1232613925085</x:v>
      </x:c>
      <x:c r="H4446" s="43" t="n">
        <x:v>1</x:v>
      </x:c>
      <x:c r="I4446" s="34" t="str">
        <x:v>generated design-reference observation; not predicted tract behavior</x:v>
      </x:c>
    </x:row>
    <x:row r="4447" ht="75.5999984741211" hidden="0" customHeight="1">
      <x:c r="A4447" s="36" t="str">
        <x:v>H3</x:v>
      </x:c>
      <x:c r="B4447" s="36" t="str">
        <x:v>48201980400</x:v>
      </x:c>
      <x:c r="C4447" s="66" t="n">
        <x:v>339.9558497196634</x:v>
      </x:c>
      <x:c r="D4447" s="66" t="n">
        <x:v>303.58057379965936</x:v>
      </x:c>
      <x:c r="E4447" s="66" t="n">
        <x:v>36.375275920004015</x:v>
      </x:c>
      <x:c r="F4447" s="66" t="n">
        <x:v>36.375275920004015</x:v>
      </x:c>
      <x:c r="G4447" s="66" t="n">
        <x:v>339.9558497196634</x:v>
      </x:c>
      <x:c r="H4447" s="45" t="n">
        <x:v>1</x:v>
      </x:c>
      <x:c r="I4447" s="36" t="str">
        <x:v>generated design-reference observation; not predicted tract behavior</x:v>
      </x:c>
    </x:row>
    <x:row r="4448" ht="75.5999984741211" hidden="0" customHeight="1">
      <x:c r="A4448" s="34" t="str">
        <x:v>H3</x:v>
      </x:c>
      <x:c r="B4448" s="34" t="str">
        <x:v>48201980700</x:v>
      </x:c>
      <x:c r="C4448" s="65" t="n">
        <x:v>284.8503088636853</x:v>
      </x:c>
      <x:c r="D4448" s="65" t="n">
        <x:v>217.87905198554571</x:v>
      </x:c>
      <x:c r="E4448" s="65" t="n">
        <x:v>66.9712568781396</x:v>
      </x:c>
      <x:c r="F4448" s="65" t="n">
        <x:v>66.9712568781396</x:v>
      </x:c>
      <x:c r="G4448" s="65" t="n">
        <x:v>284.8503088636853</x:v>
      </x:c>
      <x:c r="H4448" s="43" t="n">
        <x:v>1</x:v>
      </x:c>
      <x:c r="I4448" s="34" t="str">
        <x:v>generated design-reference observation; not predicted tract behavior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</x:cols>
  <x:sheetData>
    <x:row r="1" ht="29" customHeight="1">
      <x:c r="A1" s="2" t="str">
        <x:v>Broad-world architecture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6" t="str">
        <x:v>Success and means calculate from the Trials sheet. P05 and P95 values are generated order statistics from the same 300 rows.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25" t="str">
        <x:v>Architecture</x:v>
      </x:c>
      <x:c r="B4" s="26" t="str">
        <x:v>Name</x:v>
      </x:c>
      <x:c r="C4" s="26" t="str">
        <x:v>Success rate</x:v>
      </x:c>
      <x:c r="D4" s="26" t="str">
        <x:v>Mean closure</x:v>
      </x:c>
      <x:c r="E4" s="26" t="str">
        <x:v>P05 closure</x:v>
      </x:c>
      <x:c r="F4" s="26" t="str">
        <x:v>Mean priority</x:v>
      </x:c>
      <x:c r="G4" s="26" t="str">
        <x:v>P05 priority</x:v>
      </x:c>
      <x:c r="H4" s="26" t="str">
        <x:v>Mean bottom decile</x:v>
      </x:c>
      <x:c r="I4" s="26" t="str">
        <x:v>P05 bottom decile</x:v>
      </x:c>
      <x:c r="J4" s="26" t="str">
        <x:v>Mean unprotected h/person</x:v>
      </x:c>
      <x:c r="K4" s="26" t="str">
        <x:v>P95 unprotected h/person</x:v>
      </x:c>
      <x:c r="L4" s="27" t="str">
        <x:v>Disposition</x:v>
      </x:c>
    </x:row>
    <x:row r="5" ht="21.600000381469727" hidden="0" customHeight="1">
      <x:c r="A5" s="35" t="str">
        <x:v>M0</x:v>
      </x:c>
      <x:c r="B5" s="35" t="str">
        <x:v>Movement-led surge</x:v>
      </x:c>
      <x:c r="C5" s="41" t="n">
        <x:f>SUMIF(Trials!$B$5:$B$1204,A5,Trials!$AH$5:$AH$1204)/COUNTIF(Trials!$B$5:$B$1204,A5)</x:f>
        <x:v>0</x:v>
      </x:c>
      <x:c r="D5" s="41" t="n">
        <x:f>SUMIF(Trials!$B$5:$B$1204,A5,Trials!$U$5:$U$1204)/COUNTIF(Trials!$B$5:$B$1204,A5)</x:f>
        <x:v>0.6611361718579173</x:v>
      </x:c>
      <x:c r="E5" s="41" t="n">
        <x:v>0.5609882605945458</x:v>
      </x:c>
      <x:c r="F5" s="41" t="n">
        <x:f>SUMIF(Trials!$B$5:$B$1204,A5,Trials!$V$5:$V$1204)/COUNTIF(Trials!$B$5:$B$1204,A5)</x:f>
        <x:v>0.676587372880934</x:v>
      </x:c>
      <x:c r="G5" s="41" t="n">
        <x:v>0.5893905452983909</x:v>
      </x:c>
      <x:c r="H5" s="41" t="n">
        <x:f>SUMIF(Trials!$B$5:$B$1204,A5,Trials!$W$5:$W$1204)/COUNTIF(Trials!$B$5:$B$1204,A5)</x:f>
        <x:v>0.11546657045907262</x:v>
      </x:c>
      <x:c r="I5" s="41" t="n">
        <x:v>0.058568873404685355</x:v>
      </x:c>
      <x:c r="J5" s="46" t="n">
        <x:f>SUMIF(Trials!$B$5:$B$1204,A5,Trials!$Y$5:$Y$1204)/COUNTIF(Trials!$B$5:$B$1204,A5)</x:f>
        <x:v>113.08892621208625</x:v>
      </x:c>
      <x:c r="K5" s="46" t="n">
        <x:v>120.64294044961757</x:v>
      </x:c>
      <x:c r="L5" s="35" t="str">
        <x:f>IF(C5&gt;=0.95,"ADMIT",IF(A5="H3","TEST / REDESIGN","RETAIN / REDESIGN"))</x:f>
        <x:v>RETAIN / REDESIGN</x:v>
      </x:c>
    </x:row>
    <x:row r="6" ht="43.20000076293945" hidden="0" customHeight="1">
      <x:c r="A6" s="34" t="str">
        <x:v>B1</x:v>
      </x:c>
      <x:c r="B6" s="34" t="str">
        <x:v>Balanced continuity and movement</x:v>
      </x:c>
      <x:c r="C6" s="43" t="n">
        <x:f>SUMIF(Trials!$B$5:$B$1204,A6,Trials!$AH$5:$AH$1204)/COUNTIF(Trials!$B$5:$B$1204,A6)</x:f>
        <x:v>0.006666666666666667</x:v>
      </x:c>
      <x:c r="D6" s="43" t="n">
        <x:f>SUMIF(Trials!$B$5:$B$1204,A6,Trials!$U$5:$U$1204)/COUNTIF(Trials!$B$5:$B$1204,A6)</x:f>
        <x:v>0.8067857538054065</x:v>
      </x:c>
      <x:c r="E6" s="43" t="n">
        <x:v>0.7185755535951646</x:v>
      </x:c>
      <x:c r="F6" s="43" t="n">
        <x:f>SUMIF(Trials!$B$5:$B$1204,A6,Trials!$V$5:$V$1204)/COUNTIF(Trials!$B$5:$B$1204,A6)</x:f>
        <x:v>0.8215546303903422</x:v>
      </x:c>
      <x:c r="G6" s="43" t="n">
        <x:v>0.7360593962985968</x:v>
      </x:c>
      <x:c r="H6" s="43" t="n">
        <x:f>SUMIF(Trials!$B$5:$B$1204,A6,Trials!$W$5:$W$1204)/COUNTIF(Trials!$B$5:$B$1204,A6)</x:f>
        <x:v>0.4221575184379843</x:v>
      </x:c>
      <x:c r="I6" s="43" t="n">
        <x:v>0.20328539299866094</x:v>
      </x:c>
      <x:c r="J6" s="47" t="n">
        <x:f>SUMIF(Trials!$B$5:$B$1204,A6,Trials!$Y$5:$Y$1204)/COUNTIF(Trials!$B$5:$B$1204,A6)</x:f>
        <x:v>74.11374249679176</x:v>
      </x:c>
      <x:c r="K6" s="47" t="n">
        <x:v>86.72400267745655</x:v>
      </x:c>
      <x:c r="L6" s="34" t="str">
        <x:f>IF(C6&gt;=0.95,"ADMIT",IF(A6="H3","TEST / REDESIGN","RETAIN / REDESIGN"))</x:f>
        <x:v>RETAIN / REDESIGN</x:v>
      </x:c>
    </x:row>
    <x:row r="7" ht="32.400001525878906" hidden="0" customHeight="1">
      <x:c r="A7" s="36" t="str">
        <x:v>P2</x:v>
      </x:c>
      <x:c r="B7" s="36" t="str">
        <x:v>Protected-local selective movement</x:v>
      </x:c>
      <x:c r="C7" s="45" t="n">
        <x:f>SUMIF(Trials!$B$5:$B$1204,A7,Trials!$AH$5:$AH$1204)/COUNTIF(Trials!$B$5:$B$1204,A7)</x:f>
        <x:v>0.11666666666666667</x:v>
      </x:c>
      <x:c r="D7" s="45" t="n">
        <x:f>SUMIF(Trials!$B$5:$B$1204,A7,Trials!$U$5:$U$1204)/COUNTIF(Trials!$B$5:$B$1204,A7)</x:f>
        <x:v>0.8624861316728095</x:v>
      </x:c>
      <x:c r="E7" s="45" t="n">
        <x:v>0.7552610337106909</x:v>
      </x:c>
      <x:c r="F7" s="45" t="n">
        <x:f>SUMIF(Trials!$B$5:$B$1204,A7,Trials!$V$5:$V$1204)/COUNTIF(Trials!$B$5:$B$1204,A7)</x:f>
        <x:v>0.8742008527055875</x:v>
      </x:c>
      <x:c r="G7" s="45" t="n">
        <x:v>0.7780711195096207</x:v>
      </x:c>
      <x:c r="H7" s="45" t="n">
        <x:f>SUMIF(Trials!$B$5:$B$1204,A7,Trials!$W$5:$W$1204)/COUNTIF(Trials!$B$5:$B$1204,A7)</x:f>
        <x:v>0.5500159225311824</x:v>
      </x:c>
      <x:c r="I7" s="45" t="n">
        <x:v>0.2945144293078776</x:v>
      </x:c>
      <x:c r="J7" s="48" t="n">
        <x:f>SUMIF(Trials!$B$5:$B$1204,A7,Trials!$Y$5:$Y$1204)/COUNTIF(Trials!$B$5:$B$1204,A7)</x:f>
        <x:v>46.8821057375606</x:v>
      </x:c>
      <x:c r="K7" s="48" t="n">
        <x:v>65.00034359826783</x:v>
      </x:c>
      <x:c r="L7" s="36" t="str">
        <x:f>IF(C7&gt;=0.95,"ADMIT",IF(A7="H3","TEST / REDESIGN","RETAIN / REDESIGN"))</x:f>
        <x:v>RETAIN / REDESIGN</x:v>
      </x:c>
    </x:row>
    <x:row r="8" ht="43.20000076293945" hidden="0" customHeight="1">
      <x:c r="A8" s="34" t="str">
        <x:v>H3</x:v>
      </x:c>
      <x:c r="B8" s="34" t="str">
        <x:v>Protected-local assured neighborhood mesh</x:v>
      </x:c>
      <x:c r="C8" s="43" t="n">
        <x:f>SUMIF(Trials!$B$5:$B$1204,A8,Trials!$AH$5:$AH$1204)/COUNTIF(Trials!$B$5:$B$1204,A8)</x:f>
        <x:v>0.5533333333333333</x:v>
      </x:c>
      <x:c r="D8" s="43" t="n">
        <x:f>SUMIF(Trials!$B$5:$B$1204,A8,Trials!$U$5:$U$1204)/COUNTIF(Trials!$B$5:$B$1204,A8)</x:f>
        <x:v>0.944437241311757</x:v>
      </x:c>
      <x:c r="E8" s="43" t="n">
        <x:v>0.8174033242334197</x:v>
      </x:c>
      <x:c r="F8" s="43" t="n">
        <x:f>SUMIF(Trials!$B$5:$B$1204,A8,Trials!$V$5:$V$1204)/COUNTIF(Trials!$B$5:$B$1204,A8)</x:f>
        <x:v>0.9454461706457332</x:v>
      </x:c>
      <x:c r="G8" s="43" t="n">
        <x:v>0.8108842249803735</x:v>
      </x:c>
      <x:c r="H8" s="43" t="n">
        <x:f>SUMIF(Trials!$B$5:$B$1204,A8,Trials!$W$5:$W$1204)/COUNTIF(Trials!$B$5:$B$1204,A8)</x:f>
        <x:v>0.749626474024282</x:v>
      </x:c>
      <x:c r="I8" s="43" t="n">
        <x:v>0.310722656278764</x:v>
      </x:c>
      <x:c r="J8" s="47" t="n">
        <x:f>SUMIF(Trials!$B$5:$B$1204,A8,Trials!$Y$5:$Y$1204)/COUNTIF(Trials!$B$5:$B$1204,A8)</x:f>
        <x:v>36.85230046205723</x:v>
      </x:c>
      <x:c r="K8" s="47" t="n">
        <x:v>52.45637452031404</x:v>
      </x:c>
      <x:c r="L8" s="34" t="str">
        <x:f>IF(C8&gt;=0.95,"ADMIT",IF(A8="H3","TEST / REDESIGN","RETAIN / REDESIGN"))</x:f>
        <x:v>TEST / REDESIGN</x:v>
      </x:c>
    </x:row>
    <x:row r="10" ht="42" customHeight="1">
      <x:c r="A10" s="13" t="str">
        <x:v>H3 is best in all 300 paired worlds but passes the joint admission rule in only 166. Winning a weak field is not architecture admission. Its 55.3% result is a hypothesis for the next independent campaign.</x:v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</x:sheetData>
  <x:mergeCells>
    <x:mergeCell ref="A1:L1"/>
    <x:mergeCell ref="A2:L2"/>
    <x:mergeCell ref="A10:L1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2" hidden="0" customWidth="1"/>
  </x:cols>
  <x:sheetData>
    <x:row r="1" ht="29" customHeight="1">
      <x:c r="A1" s="2" t="str">
        <x:v>Paired broad worlds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34" customHeight="1">
      <x:c r="A2" s="6" t="str">
        <x:v>All four architectures face the same 300 stratified parameter worlds. H3 was introduced after the initial reference run and must be replicated independently.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4" ht="34" customHeight="1">
      <x:c r="A4" s="25" t="str">
        <x:v>World</x:v>
      </x:c>
      <x:c r="B4" s="26" t="str">
        <x:v>Architecture</x:v>
      </x:c>
      <x:c r="C4" s="26" t="str">
        <x:v>Network</x:v>
      </x:c>
      <x:c r="D4" s="26" t="str">
        <x:v>Demand mult.</x:v>
      </x:c>
      <x:c r="E4" s="26" t="str">
        <x:v>Mandatory shift</x:v>
      </x:c>
      <x:c r="F4" s="26" t="str">
        <x:v>Local realization</x:v>
      </x:c>
      <x:c r="G4" s="26" t="str">
        <x:v>Road time</x:v>
      </x:c>
      <x:c r="H4" s="26" t="str">
        <x:v>Collection</x:v>
      </x:c>
      <x:c r="I4" s="26" t="str">
        <x:v>CTN</x:v>
      </x:c>
      <x:c r="J4" s="26" t="str">
        <x:v>Line-haul</x:v>
      </x:c>
      <x:c r="K4" s="26" t="str">
        <x:v>Destination</x:v>
      </x:c>
      <x:c r="L4" s="26" t="str">
        <x:v>UCM</x:v>
      </x:c>
      <x:c r="M4" s="26" t="str">
        <x:v>Restoration</x:v>
      </x:c>
      <x:c r="N4" s="26" t="str">
        <x:v>Return</x:v>
      </x:c>
      <x:c r="O4" s="26" t="str">
        <x:v>Demand people</x:v>
      </x:c>
      <x:c r="P4" s="26" t="str">
        <x:v>Local people</x:v>
      </x:c>
      <x:c r="Q4" s="26" t="str">
        <x:v>Movement demand</x:v>
      </x:c>
      <x:c r="R4" s="26" t="str">
        <x:v>Mandatory movement</x:v>
      </x:c>
      <x:c r="S4" s="26" t="str">
        <x:v>Protection-shortfall move</x:v>
      </x:c>
      <x:c r="T4" s="26" t="str">
        <x:v>Arrived 168h</x:v>
      </x:c>
      <x:c r="U4" s="26" t="str">
        <x:v>Closure 168h</x:v>
      </x:c>
      <x:c r="V4" s="26" t="str">
        <x:v>Priority closure</x:v>
      </x:c>
      <x:c r="W4" s="26" t="str">
        <x:v>Bottom decile</x:v>
      </x:c>
      <x:c r="X4" s="26" t="str">
        <x:v>Unprotected person-hours</x:v>
      </x:c>
      <x:c r="Y4" s="26" t="str">
        <x:v>Unprotected h/person</x:v>
      </x:c>
      <x:c r="Z4" s="26" t="str">
        <x:v>Movement exposure p-h</x:v>
      </x:c>
      <x:c r="AA4" s="26" t="str">
        <x:v>Peak collection queue</x:v>
      </x:c>
      <x:c r="AB4" s="26" t="str">
        <x:v>Peak CTN queue</x:v>
      </x:c>
      <x:c r="AC4" s="26" t="str">
        <x:v>Peak line-haul queue</x:v>
      </x:c>
      <x:c r="AD4" s="26" t="str">
        <x:v>Network stranded</x:v>
      </x:c>
      <x:c r="AE4" s="26" t="str">
        <x:v>Displaced day 7</x:v>
      </x:c>
      <x:c r="AF4" s="26" t="str">
        <x:v>Returned day 30</x:v>
      </x:c>
      <x:c r="AG4" s="26" t="str">
        <x:v>Unresolved return 30d</x:v>
      </x:c>
      <x:c r="AH4" s="27" t="str">
        <x:v>Success</x:v>
      </x:c>
    </x:row>
    <x:row r="5" ht="21.600000381469727" hidden="0" customHeight="1">
      <x:c r="A5" s="35" t="n">
        <x:v>1</x:v>
      </x:c>
      <x:c r="B5" s="35" t="str">
        <x:v>M0</x:v>
      </x:c>
      <x:c r="C5" s="35" t="str">
        <x:v>slow</x:v>
      </x:c>
      <x:c r="D5" s="73" t="n">
        <x:v>1.0562034198052115</x:v>
      </x:c>
      <x:c r="E5" s="73" t="n">
        <x:v>-0.016900371159218507</x:v>
      </x:c>
      <x:c r="F5" s="73" t="n">
        <x:v>0.9695802018957259</x:v>
      </x:c>
      <x:c r="G5" s="73" t="n">
        <x:v>1.2457752330591627</x:v>
      </x:c>
      <x:c r="H5" s="73" t="n">
        <x:v>1.0252001849783619</x:v>
      </x:c>
      <x:c r="I5" s="73" t="n">
        <x:v>1.0138585161101956</x:v>
      </x:c>
      <x:c r="J5" s="73" t="n">
        <x:v>0.9343790310988584</x:v>
      </x:c>
      <x:c r="K5" s="73" t="n">
        <x:v>0.8058412967551711</x:v>
      </x:c>
      <x:c r="L5" s="73" t="n">
        <x:v>0.8500682311486317</x:v>
      </x:c>
      <x:c r="M5" s="73" t="n">
        <x:v>0.8501344123048005</x:v>
      </x:c>
      <x:c r="N5" s="73" t="n">
        <x:v>0.8793265963932122</x:v>
      </x:c>
      <x:c r="O5" s="64" t="n">
        <x:v>508086.443856613</x:v>
      </x:c>
      <x:c r="P5" s="64" t="n">
        <x:v>76211.10497706784</x:v>
      </x:c>
      <x:c r="Q5" s="64" t="n">
        <x:v>431875.3388795452</x:v>
      </x:c>
      <x:c r="R5" s="64" t="n">
        <x:v>86201.12160144972</x:v>
      </x:c>
      <x:c r="S5" s="64" t="n">
        <x:v>345674.2172780954</x:v>
      </x:c>
      <x:c r="T5" s="64" t="n">
        <x:v>275431.84448517795</x:v>
      </x:c>
      <x:c r="U5" s="41" t="n">
        <x:v>0.6920927604230332</x:v>
      </x:c>
      <x:c r="V5" s="41" t="n">
        <x:v>0.676529861170119</x:v>
      </x:c>
      <x:c r="W5" s="41" t="n">
        <x:v>0.08067082880850353</x:v>
      </x:c>
      <x:c r="X5" s="64" t="n">
        <x:v>54474246.05064301</x:v>
      </x:c>
      <x:c r="Y5" s="64" t="n">
        <x:v>107.2145236490824</x:v>
      </x:c>
      <x:c r="Z5" s="64" t="n">
        <x:v>2622195.8538916274</x:v>
      </x:c>
      <x:c r="AA5" s="64" t="n">
        <x:v>301623.2891202043</x:v>
      </x:c>
      <x:c r="AB5" s="64" t="n">
        <x:v>15484.769470359512</x:v>
      </x:c>
      <x:c r="AC5" s="64" t="n">
        <x:v>0</x:v>
      </x:c>
      <x:c r="AD5" s="64" t="n">
        <x:v>2762.8334202856186</x:v>
      </x:c>
      <x:c r="AE5" s="64" t="n">
        <x:v>224782.63253292892</x:v>
      </x:c>
      <x:c r="AF5" s="64" t="n">
        <x:v>275431.8444851777</x:v>
      </x:c>
      <x:c r="AG5" s="64" t="n">
        <x:v>2.3283064365386963e-10</x:v>
      </x:c>
      <x:c r="AH5" s="35" t="n">
        <x:v>0</x:v>
      </x:c>
    </x:row>
    <x:row r="6" ht="21.600000381469727" hidden="0" customHeight="1">
      <x:c r="A6" s="34" t="n">
        <x:v>1</x:v>
      </x:c>
      <x:c r="B6" s="34" t="str">
        <x:v>B1</x:v>
      </x:c>
      <x:c r="C6" s="34" t="str">
        <x:v>slow</x:v>
      </x:c>
      <x:c r="D6" s="74" t="n">
        <x:v>1.0562034198052115</x:v>
      </x:c>
      <x:c r="E6" s="74" t="n">
        <x:v>-0.016900371159218507</x:v>
      </x:c>
      <x:c r="F6" s="74" t="n">
        <x:v>0.9695802018957259</x:v>
      </x:c>
      <x:c r="G6" s="74" t="n">
        <x:v>1.2457752330591627</x:v>
      </x:c>
      <x:c r="H6" s="74" t="n">
        <x:v>1.0252001849783619</x:v>
      </x:c>
      <x:c r="I6" s="74" t="n">
        <x:v>1.0138585161101956</x:v>
      </x:c>
      <x:c r="J6" s="74" t="n">
        <x:v>0.9343790310988584</x:v>
      </x:c>
      <x:c r="K6" s="74" t="n">
        <x:v>0.8058412967551711</x:v>
      </x:c>
      <x:c r="L6" s="74" t="n">
        <x:v>0.8500682311486317</x:v>
      </x:c>
      <x:c r="M6" s="74" t="n">
        <x:v>0.8501344123048005</x:v>
      </x:c>
      <x:c r="N6" s="74" t="n">
        <x:v>0.8793265963932122</x:v>
      </x:c>
      <x:c r="O6" s="65" t="n">
        <x:v>508086.443856613</x:v>
      </x:c>
      <x:c r="P6" s="65" t="n">
        <x:v>257795.80516346073</x:v>
      </x:c>
      <x:c r="Q6" s="65" t="n">
        <x:v>250290.63869315226</x:v>
      </x:c>
      <x:c r="R6" s="65" t="n">
        <x:v>86201.12160144972</x:v>
      </x:c>
      <x:c r="S6" s="65" t="n">
        <x:v>164089.51709170255</x:v>
      </x:c>
      <x:c r="T6" s="65" t="n">
        <x:v>145980.80524273915</x:v>
      </x:c>
      <x:c r="U6" s="43" t="n">
        <x:v>0.7947006169685363</x:v>
      </x:c>
      <x:c r="V6" s="43" t="n">
        <x:v>0.785787656650828</x:v>
      </x:c>
      <x:c r="W6" s="43" t="n">
        <x:v>0.27999857577169057</x:v>
      </x:c>
      <x:c r="X6" s="65" t="n">
        <x:v>32721828.891282618</x:v>
      </x:c>
      <x:c r="Y6" s="65" t="n">
        <x:v>64.40209001229924</x:v>
      </x:c>
      <x:c r="Z6" s="65" t="n">
        <x:v>954108.6262461189</x:v>
      </x:c>
      <x:c r="AA6" s="65" t="n">
        <x:v>164896.7046759498</x:v>
      </x:c>
      <x:c r="AB6" s="65" t="n">
        <x:v>2101.2888175535704</x:v>
      </x:c>
      <x:c r="AC6" s="65" t="n">
        <x:v>257.7730186754029</x:v>
      </x:c>
      <x:c r="AD6" s="65" t="n">
        <x:v>2146.2730201879185</x:v>
      </x:c>
      <x:c r="AE6" s="65" t="n">
        <x:v>70006.98731436572</x:v>
      </x:c>
      <x:c r="AF6" s="65" t="n">
        <x:v>145980.80524273912</x:v>
      </x:c>
      <x:c r="AG6" s="65" t="n">
        <x:v>2.9103830456733704e-11</x:v>
      </x:c>
      <x:c r="AH6" s="34" t="n">
        <x:v>0</x:v>
      </x:c>
    </x:row>
    <x:row r="7" ht="21.600000381469727" hidden="0" customHeight="1">
      <x:c r="A7" s="36" t="n">
        <x:v>1</x:v>
      </x:c>
      <x:c r="B7" s="36" t="str">
        <x:v>P2</x:v>
      </x:c>
      <x:c r="C7" s="36" t="str">
        <x:v>slow</x:v>
      </x:c>
      <x:c r="D7" s="75" t="n">
        <x:v>1.0562034198052115</x:v>
      </x:c>
      <x:c r="E7" s="75" t="n">
        <x:v>-0.016900371159218507</x:v>
      </x:c>
      <x:c r="F7" s="75" t="n">
        <x:v>0.9695802018957259</x:v>
      </x:c>
      <x:c r="G7" s="75" t="n">
        <x:v>1.2457752330591627</x:v>
      </x:c>
      <x:c r="H7" s="75" t="n">
        <x:v>1.0252001849783619</x:v>
      </x:c>
      <x:c r="I7" s="75" t="n">
        <x:v>1.0138585161101956</x:v>
      </x:c>
      <x:c r="J7" s="75" t="n">
        <x:v>0.9343790310988584</x:v>
      </x:c>
      <x:c r="K7" s="75" t="n">
        <x:v>0.8058412967551711</x:v>
      </x:c>
      <x:c r="L7" s="75" t="n">
        <x:v>0.8500682311486317</x:v>
      </x:c>
      <x:c r="M7" s="75" t="n">
        <x:v>0.8501344123048005</x:v>
      </x:c>
      <x:c r="N7" s="75" t="n">
        <x:v>0.8793265963932122</x:v>
      </x:c>
      <x:c r="O7" s="66" t="n">
        <x:v>508086.443856613</x:v>
      </x:c>
      <x:c r="P7" s="66" t="n">
        <x:v>373465.69672577624</x:v>
      </x:c>
      <x:c r="Q7" s="66" t="n">
        <x:v>134620.74713083677</x:v>
      </x:c>
      <x:c r="R7" s="66" t="n">
        <x:v>86201.12160144972</x:v>
      </x:c>
      <x:c r="S7" s="66" t="n">
        <x:v>48419.62552938706</x:v>
      </x:c>
      <x:c r="T7" s="66" t="n">
        <x:v>64587.06315454269</x:v>
      </x:c>
      <x:c r="U7" s="45" t="n">
        <x:v>0.8621618726043825</x:v>
      </x:c>
      <x:c r="V7" s="45" t="n">
        <x:v>0.8577331163698991</x:v>
      </x:c>
      <x:c r="W7" s="45" t="n">
        <x:v>0.4114375948514974</x:v>
      </x:c>
      <x:c r="X7" s="66" t="n">
        <x:v>18490887.851949573</x:v>
      </x:c>
      <x:c r="Y7" s="66" t="n">
        <x:v>36.39319268507759</x:v>
      </x:c>
      <x:c r="Z7" s="66" t="n">
        <x:v>416944.7897555931</x:v>
      </x:c>
      <x:c r="AA7" s="66" t="n">
        <x:v>95567.82088633813</x:v>
      </x:c>
      <x:c r="AB7" s="66" t="n">
        <x:v>0</x:v>
      </x:c>
      <x:c r="AC7" s="66" t="n">
        <x:v>0</x:v>
      </x:c>
      <x:c r="AD7" s="66" t="n">
        <x:v>1772.2112750773813</x:v>
      </x:c>
      <x:c r="AE7" s="66" t="n">
        <x:v>12767.903865732464</x:v>
      </x:c>
      <x:c r="AF7" s="66" t="n">
        <x:v>64587.063154542666</x:v>
      </x:c>
      <x:c r="AG7" s="66" t="n">
        <x:v>2.1827872842550278e-11</x:v>
      </x:c>
      <x:c r="AH7" s="36" t="n">
        <x:v>0</x:v>
      </x:c>
    </x:row>
    <x:row r="8" ht="21.600000381469727" hidden="0" customHeight="1">
      <x:c r="A8" s="34" t="n">
        <x:v>1</x:v>
      </x:c>
      <x:c r="B8" s="34" t="str">
        <x:v>H3</x:v>
      </x:c>
      <x:c r="C8" s="34" t="str">
        <x:v>slow</x:v>
      </x:c>
      <x:c r="D8" s="74" t="n">
        <x:v>1.0562034198052115</x:v>
      </x:c>
      <x:c r="E8" s="74" t="n">
        <x:v>-0.016900371159218507</x:v>
      </x:c>
      <x:c r="F8" s="74" t="n">
        <x:v>0.9695802018957259</x:v>
      </x:c>
      <x:c r="G8" s="74" t="n">
        <x:v>1.2457752330591627</x:v>
      </x:c>
      <x:c r="H8" s="74" t="n">
        <x:v>1.0252001849783619</x:v>
      </x:c>
      <x:c r="I8" s="74" t="n">
        <x:v>1.0138585161101956</x:v>
      </x:c>
      <x:c r="J8" s="74" t="n">
        <x:v>0.9343790310988584</x:v>
      </x:c>
      <x:c r="K8" s="74" t="n">
        <x:v>0.8058412967551711</x:v>
      </x:c>
      <x:c r="L8" s="74" t="n">
        <x:v>0.8500682311486317</x:v>
      </x:c>
      <x:c r="M8" s="74" t="n">
        <x:v>0.8501344123048005</x:v>
      </x:c>
      <x:c r="N8" s="74" t="n">
        <x:v>0.8793265963932122</x:v>
      </x:c>
      <x:c r="O8" s="65" t="n">
        <x:v>508086.443856613</x:v>
      </x:c>
      <x:c r="P8" s="65" t="n">
        <x:v>387417.01426626625</x:v>
      </x:c>
      <x:c r="Q8" s="65" t="n">
        <x:v>120669.42959034676</x:v>
      </x:c>
      <x:c r="R8" s="65" t="n">
        <x:v>86201.12160144972</x:v>
      </x:c>
      <x:c r="S8" s="65" t="n">
        <x:v>34468.307988897046</x:v>
      </x:c>
      <x:c r="T8" s="65" t="n">
        <x:v>54775.36648773824</x:v>
      </x:c>
      <x:c r="U8" s="43" t="n">
        <x:v>0.8703093461765249</x:v>
      </x:c>
      <x:c r="V8" s="43" t="n">
        <x:v>0.866586589496804</x:v>
      </x:c>
      <x:c r="W8" s="43" t="n">
        <x:v>0.4279791082609832</x:v>
      </x:c>
      <x:c r="X8" s="65" t="n">
        <x:v>15965376.124782963</x:v>
      </x:c>
      <x:c r="Y8" s="65" t="n">
        <x:v>31.42255873547484</x:v>
      </x:c>
      <x:c r="Z8" s="65" t="n">
        <x:v>389881.71245540155</x:v>
      </x:c>
      <x:c r="AA8" s="65" t="n">
        <x:v>88979.00653782295</x:v>
      </x:c>
      <x:c r="AB8" s="65" t="n">
        <x:v>1197.1593495951784</x:v>
      </x:c>
      <x:c r="AC8" s="65" t="n">
        <x:v>0</x:v>
      </x:c>
      <x:c r="AD8" s="65" t="n">
        <x:v>1729.9740078189527</x:v>
      </x:c>
      <x:c r="AE8" s="65" t="n">
        <x:v>12432.574029561743</x:v>
      </x:c>
      <x:c r="AF8" s="65" t="n">
        <x:v>54775.36648773824</x:v>
      </x:c>
      <x:c r="AG8" s="65" t="n">
        <x:v>0</x:v>
      </x:c>
      <x:c r="AH8" s="34" t="n">
        <x:v>0</x:v>
      </x:c>
    </x:row>
    <x:row r="9" ht="15" hidden="0" customHeight="1">
      <x:c r="A9" s="36" t="n">
        <x:v>2</x:v>
      </x:c>
      <x:c r="B9" s="36" t="str">
        <x:v>M0</x:v>
      </x:c>
      <x:c r="C9" s="36" t="str">
        <x:v>reference</x:v>
      </x:c>
      <x:c r="D9" s="75" t="n">
        <x:v>0.983415362124031</x:v>
      </x:c>
      <x:c r="E9" s="75" t="n">
        <x:v>0.07737027458683352</x:v>
      </x:c>
      <x:c r="F9" s="75" t="n">
        <x:v>0.8609542931273803</x:v>
      </x:c>
      <x:c r="G9" s="75" t="n">
        <x:v>1.338747550372211</x:v>
      </x:c>
      <x:c r="H9" s="75" t="n">
        <x:v>0.9758381787985535</x:v>
      </x:c>
      <x:c r="I9" s="75" t="n">
        <x:v>1.0073677785370978</x:v>
      </x:c>
      <x:c r="J9" s="75" t="n">
        <x:v>0.7726707473239611</x:v>
      </x:c>
      <x:c r="K9" s="75" t="n">
        <x:v>0.7847713019994996</x:v>
      </x:c>
      <x:c r="L9" s="75" t="n">
        <x:v>1.0347527318642165</x:v>
      </x:c>
      <x:c r="M9" s="75" t="n">
        <x:v>0.8777052258292015</x:v>
      </x:c>
      <x:c r="N9" s="75" t="n">
        <x:v>0.7562930916832925</x:v>
      </x:c>
      <x:c r="O9" s="66" t="n">
        <x:v>473071.7632666927</x:v>
      </x:c>
      <x:c r="P9" s="66" t="n">
        <x:v>55854.32169262759</x:v>
      </x:c>
      <x:c r="Q9" s="66" t="n">
        <x:v>417217.44157406513</x:v>
      </x:c>
      <x:c r="R9" s="66" t="n">
        <x:v>124857.3683176673</x:v>
      </x:c>
      <x:c r="S9" s="66" t="n">
        <x:v>292360.0732563978</x:v>
      </x:c>
      <x:c r="T9" s="66" t="n">
        <x:v>302405.9455931033</x:v>
      </x:c>
      <x:c r="U9" s="45" t="n">
        <x:v>0.7573063858469246</x:v>
      </x:c>
      <x:c r="V9" s="45" t="n">
        <x:v>0.7619643649651394</x:v>
      </x:c>
      <x:c r="W9" s="45" t="n">
        <x:v>0.12763116485716466</x:v>
      </x:c>
      <x:c r="X9" s="66" t="n">
        <x:v>50846110.00412329</x:v>
      </x:c>
      <x:c r="Y9" s="66" t="n">
        <x:v>107.48075440608989</x:v>
      </x:c>
      <x:c r="Z9" s="66" t="n">
        <x:v>5744844.104840469</x:v>
      </x:c>
      <x:c r="AA9" s="66" t="n">
        <x:v>275692.8728563547</x:v>
      </x:c>
      <x:c r="AB9" s="66" t="n">
        <x:v>43354.741445831976</x:v>
      </x:c>
      <x:c r="AC9" s="66" t="n">
        <x:v>9796.895097775687</x:v>
      </x:c>
      <x:c r="AD9" s="66" t="n">
        <x:v>2036.0732766241065</x:v>
      </x:c>
      <x:c r="AE9" s="66" t="n">
        <x:v>258843.46351214562</x:v>
      </x:c>
      <x:c r="AF9" s="66" t="n">
        <x:v>302405.9455931034</x:v>
      </x:c>
      <x:c r="AG9" s="66" t="n">
        <x:v>0</x:v>
      </x:c>
      <x:c r="AH9" s="36" t="n">
        <x:v>0</x:v>
      </x:c>
    </x:row>
    <x:row r="10" ht="15" hidden="0" customHeight="1">
      <x:c r="A10" s="34" t="n">
        <x:v>2</x:v>
      </x:c>
      <x:c r="B10" s="34" t="str">
        <x:v>B1</x:v>
      </x:c>
      <x:c r="C10" s="34" t="str">
        <x:v>reference</x:v>
      </x:c>
      <x:c r="D10" s="74" t="n">
        <x:v>0.983415362124031</x:v>
      </x:c>
      <x:c r="E10" s="74" t="n">
        <x:v>0.07737027458683352</x:v>
      </x:c>
      <x:c r="F10" s="74" t="n">
        <x:v>0.8609542931273803</x:v>
      </x:c>
      <x:c r="G10" s="74" t="n">
        <x:v>1.338747550372211</x:v>
      </x:c>
      <x:c r="H10" s="74" t="n">
        <x:v>0.9758381787985535</x:v>
      </x:c>
      <x:c r="I10" s="74" t="n">
        <x:v>1.0073677785370978</x:v>
      </x:c>
      <x:c r="J10" s="74" t="n">
        <x:v>0.7726707473239611</x:v>
      </x:c>
      <x:c r="K10" s="74" t="n">
        <x:v>0.7847713019994996</x:v>
      </x:c>
      <x:c r="L10" s="74" t="n">
        <x:v>1.0347527318642165</x:v>
      </x:c>
      <x:c r="M10" s="74" t="n">
        <x:v>0.8777052258292015</x:v>
      </x:c>
      <x:c r="N10" s="74" t="n">
        <x:v>0.7562930916832925</x:v>
      </x:c>
      <x:c r="O10" s="65" t="n">
        <x:v>473071.7632666927</x:v>
      </x:c>
      <x:c r="P10" s="65" t="n">
        <x:v>188938.37626105972</x:v>
      </x:c>
      <x:c r="Q10" s="65" t="n">
        <x:v>284133.387005633</x:v>
      </x:c>
      <x:c r="R10" s="65" t="n">
        <x:v>124857.3683176673</x:v>
      </x:c>
      <x:c r="S10" s="65" t="n">
        <x:v>159276.0186879657</x:v>
      </x:c>
      <x:c r="T10" s="65" t="n">
        <x:v>196183.38940801064</x:v>
      </x:c>
      <x:c r="U10" s="43" t="n">
        <x:v>0.8140874082394962</x:v>
      </x:c>
      <x:c r="V10" s="43" t="n">
        <x:v>0.8326076310664245</x:v>
      </x:c>
      <x:c r="W10" s="43" t="n">
        <x:v>0.419497328814158</x:v>
      </x:c>
      <x:c r="X10" s="65" t="n">
        <x:v>35599797.176852174</x:v>
      </x:c>
      <x:c r="Y10" s="65" t="n">
        <x:v>75.25242456033654</x:v>
      </x:c>
      <x:c r="Z10" s="65" t="n">
        <x:v>2705458.9167305552</x:v>
      </x:c>
      <x:c r="AA10" s="65" t="n">
        <x:v>192538.65787770046</x:v>
      </x:c>
      <x:c r="AB10" s="65" t="n">
        <x:v>4614.377488966257</x:v>
      </x:c>
      <x:c r="AC10" s="65" t="n">
        <x:v>43289.858049694725</x:v>
      </x:c>
      <x:c r="AD10" s="65" t="n">
        <x:v>1722.6381810923945</x:v>
      </x:c>
      <x:c r="AE10" s="65" t="n">
        <x:v>130839.66628657421</x:v>
      </x:c>
      <x:c r="AF10" s="65" t="n">
        <x:v>196183.3894080107</x:v>
      </x:c>
      <x:c r="AG10" s="65" t="n">
        <x:v>0</x:v>
      </x:c>
      <x:c r="AH10" s="34" t="n">
        <x:v>0</x:v>
      </x:c>
    </x:row>
    <x:row r="11" ht="15" hidden="0" customHeight="1">
      <x:c r="A11" s="36" t="n">
        <x:v>2</x:v>
      </x:c>
      <x:c r="B11" s="36" t="str">
        <x:v>P2</x:v>
      </x:c>
      <x:c r="C11" s="36" t="str">
        <x:v>reference</x:v>
      </x:c>
      <x:c r="D11" s="75" t="n">
        <x:v>0.983415362124031</x:v>
      </x:c>
      <x:c r="E11" s="75" t="n">
        <x:v>0.07737027458683352</x:v>
      </x:c>
      <x:c r="F11" s="75" t="n">
        <x:v>0.8609542931273803</x:v>
      </x:c>
      <x:c r="G11" s="75" t="n">
        <x:v>1.338747550372211</x:v>
      </x:c>
      <x:c r="H11" s="75" t="n">
        <x:v>0.9758381787985535</x:v>
      </x:c>
      <x:c r="I11" s="75" t="n">
        <x:v>1.0073677785370978</x:v>
      </x:c>
      <x:c r="J11" s="75" t="n">
        <x:v>0.7726707473239611</x:v>
      </x:c>
      <x:c r="K11" s="75" t="n">
        <x:v>0.7847713019994996</x:v>
      </x:c>
      <x:c r="L11" s="75" t="n">
        <x:v>1.0347527318642165</x:v>
      </x:c>
      <x:c r="M11" s="75" t="n">
        <x:v>0.8777052258292015</x:v>
      </x:c>
      <x:c r="N11" s="75" t="n">
        <x:v>0.7562930916832925</x:v>
      </x:c>
      <x:c r="O11" s="66" t="n">
        <x:v>473071.7632666927</x:v>
      </x:c>
      <x:c r="P11" s="66" t="n">
        <x:v>273714.8257533939</x:v>
      </x:c>
      <x:c r="Q11" s="66" t="n">
        <x:v>199356.93751329876</x:v>
      </x:c>
      <x:c r="R11" s="66" t="n">
        <x:v>124857.3683176673</x:v>
      </x:c>
      <x:c r="S11" s="66" t="n">
        <x:v>74499.56919563148</x:v>
      </x:c>
      <x:c r="T11" s="66" t="n">
        <x:v>117715.69445812341</x:v>
      </x:c>
      <x:c r="U11" s="45" t="n">
        <x:v>0.82742313239873</x:v>
      </x:c>
      <x:c r="V11" s="45" t="n">
        <x:v>0.8561054198109177</x:v>
      </x:c>
      <x:c r="W11" s="45" t="n">
        <x:v>0.37420623474632325</x:v>
      </x:c>
      <x:c r="X11" s="66" t="n">
        <x:v>24824686.884298205</x:v>
      </x:c>
      <x:c r="Y11" s="66" t="n">
        <x:v>52.47552023159617</x:v>
      </x:c>
      <x:c r="Z11" s="66" t="n">
        <x:v>1704665.7002491967</x:v>
      </x:c>
      <x:c r="AA11" s="66" t="n">
        <x:v>140732.86723407637</x:v>
      </x:c>
      <x:c r="AB11" s="66" t="n">
        <x:v>0</x:v>
      </x:c>
      <x:c r="AC11" s="66" t="n">
        <x:v>37850.74880947202</x:v>
      </x:c>
      <x:c r="AD11" s="66" t="n">
        <x:v>1533.2508830207967</x:v>
      </x:c>
      <x:c r="AE11" s="66" t="n">
        <x:v>58724.83330682658</x:v>
      </x:c>
      <x:c r="AF11" s="66" t="n">
        <x:v>117715.6944581235</x:v>
      </x:c>
      <x:c r="AG11" s="66" t="n">
        <x:v>0</x:v>
      </x:c>
      <x:c r="AH11" s="36" t="n">
        <x:v>0</x:v>
      </x:c>
    </x:row>
    <x:row r="12" ht="15" hidden="0" customHeight="1">
      <x:c r="A12" s="34" t="n">
        <x:v>2</x:v>
      </x:c>
      <x:c r="B12" s="34" t="str">
        <x:v>H3</x:v>
      </x:c>
      <x:c r="C12" s="34" t="str">
        <x:v>reference</x:v>
      </x:c>
      <x:c r="D12" s="74" t="n">
        <x:v>0.983415362124031</x:v>
      </x:c>
      <x:c r="E12" s="74" t="n">
        <x:v>0.07737027458683352</x:v>
      </x:c>
      <x:c r="F12" s="74" t="n">
        <x:v>0.8609542931273803</x:v>
      </x:c>
      <x:c r="G12" s="74" t="n">
        <x:v>1.338747550372211</x:v>
      </x:c>
      <x:c r="H12" s="74" t="n">
        <x:v>0.9758381787985535</x:v>
      </x:c>
      <x:c r="I12" s="74" t="n">
        <x:v>1.0073677785370978</x:v>
      </x:c>
      <x:c r="J12" s="74" t="n">
        <x:v>0.7726707473239611</x:v>
      </x:c>
      <x:c r="K12" s="74" t="n">
        <x:v>0.7847713019994996</x:v>
      </x:c>
      <x:c r="L12" s="74" t="n">
        <x:v>1.0347527318642165</x:v>
      </x:c>
      <x:c r="M12" s="74" t="n">
        <x:v>0.8777052258292015</x:v>
      </x:c>
      <x:c r="N12" s="74" t="n">
        <x:v>0.7562930916832925</x:v>
      </x:c>
      <x:c r="O12" s="65" t="n">
        <x:v>473071.7632666927</x:v>
      </x:c>
      <x:c r="P12" s="65" t="n">
        <x:v>283940.2302890161</x:v>
      </x:c>
      <x:c r="Q12" s="65" t="n">
        <x:v>189131.5329776766</x:v>
      </x:c>
      <x:c r="R12" s="65" t="n">
        <x:v>124857.3683176673</x:v>
      </x:c>
      <x:c r="S12" s="65" t="n">
        <x:v>64274.16466000931</x:v>
      </x:c>
      <x:c r="T12" s="65" t="n">
        <x:v>187619.54207456467</x:v>
      </x:c>
      <x:c r="U12" s="43" t="n">
        <x:v>0.9968038868084808</x:v>
      </x:c>
      <x:c r="V12" s="43" t="n">
        <x:v>0.9979869734971016</x:v>
      </x:c>
      <x:c r="W12" s="43" t="n">
        <x:v>0.9680388680848074</x:v>
      </x:c>
      <x:c r="X12" s="65" t="n">
        <x:v>18712446.284018572</x:v>
      </x:c>
      <x:c r="Y12" s="65" t="n">
        <x:v>39.55519592800023</x:v>
      </x:c>
      <x:c r="Z12" s="65" t="n">
        <x:v>1648986.9875087144</x:v>
      </x:c>
      <x:c r="AA12" s="65" t="n">
        <x:v>111951.71674439262</x:v>
      </x:c>
      <x:c r="AB12" s="65" t="n">
        <x:v>3377.601395790367</x:v>
      </x:c>
      <x:c r="AC12" s="65" t="n">
        <x:v>8820.618481801186</x:v>
      </x:c>
      <x:c r="AD12" s="65" t="n">
        <x:v>1511.990903111958</x:v>
      </x:c>
      <x:c r="AE12" s="65" t="n">
        <x:v>89603.9573924099</x:v>
      </x:c>
      <x:c r="AF12" s="65" t="n">
        <x:v>187619.54207456473</x:v>
      </x:c>
      <x:c r="AG12" s="65" t="n">
        <x:v>0</x:v>
      </x:c>
      <x:c r="AH12" s="34" t="n">
        <x:v>1</x:v>
      </x:c>
    </x:row>
    <x:row r="13" ht="15" hidden="0" customHeight="1">
      <x:c r="A13" s="36" t="n">
        <x:v>3</x:v>
      </x:c>
      <x:c r="B13" s="36" t="str">
        <x:v>M0</x:v>
      </x:c>
      <x:c r="C13" s="36" t="str">
        <x:v>reference</x:v>
      </x:c>
      <x:c r="D13" s="75" t="n">
        <x:v>1.1766845120721294</x:v>
      </x:c>
      <x:c r="E13" s="75" t="n">
        <x:v>0.07161971552989163</x:v>
      </x:c>
      <x:c r="F13" s="75" t="n">
        <x:v>0.7265918122153112</x:v>
      </x:c>
      <x:c r="G13" s="75" t="n">
        <x:v>0.9516448687780518</x:v>
      </x:c>
      <x:c r="H13" s="75" t="n">
        <x:v>0.8158277078521122</x:v>
      </x:c>
      <x:c r="I13" s="75" t="n">
        <x:v>1.0361870432585174</x:v>
      </x:c>
      <x:c r="J13" s="75" t="n">
        <x:v>0.7332805577156487</x:v>
      </x:c>
      <x:c r="K13" s="75" t="n">
        <x:v>0.7867735208131734</x:v>
      </x:c>
      <x:c r="L13" s="75" t="n">
        <x:v>0.9287270705180527</x:v>
      </x:c>
      <x:c r="M13" s="75" t="n">
        <x:v>0.798250379486277</x:v>
      </x:c>
      <x:c r="N13" s="75" t="n">
        <x:v>0.9043549452594832</x:v>
      </x:c>
      <x:c r="O13" s="66" t="n">
        <x:v>566043.8491953955</x:v>
      </x:c>
      <x:c r="P13" s="66" t="n">
        <x:v>56842.17274510924</x:v>
      </x:c>
      <x:c r="Q13" s="66" t="n">
        <x:v>509201.67645028624</x:v>
      </x:c>
      <x:c r="R13" s="66" t="n">
        <x:v>146140.33154534193</x:v>
      </x:c>
      <x:c r="S13" s="66" t="n">
        <x:v>363061.3449049443</x:v>
      </x:c>
      <x:c r="T13" s="66" t="n">
        <x:v>271752.2760032194</x:v>
      </x:c>
      <x:c r="U13" s="45" t="n">
        <x:v>0.5805105897986704</x:v>
      </x:c>
      <x:c r="V13" s="45" t="n">
        <x:v>0.61331476734944</x:v>
      </x:c>
      <x:c r="W13" s="45" t="n">
        <x:v>0.0991917122097624</x:v>
      </x:c>
      <x:c r="X13" s="66" t="n">
        <x:v>68324608.02177745</x:v>
      </x:c>
      <x:c r="Y13" s="66" t="n">
        <x:v>120.70550385610169</x:v>
      </x:c>
      <x:c r="Z13" s="66" t="n">
        <x:v>4108868.8231660444</x:v>
      </x:c>
      <x:c r="AA13" s="66" t="n">
        <x:v>383060.1004587928</x:v>
      </x:c>
      <x:c r="AB13" s="66" t="n">
        <x:v>28811.96817973217</x:v>
      </x:c>
      <x:c r="AC13" s="66" t="n">
        <x:v>2867.1771923010883</x:v>
      </x:c>
      <x:c r="AD13" s="66" t="n">
        <x:v>2459.909802910341</x:v>
      </x:c>
      <x:c r="AE13" s="66" t="n">
        <x:v>245706.8535797463</x:v>
      </x:c>
      <x:c r="AF13" s="66" t="n">
        <x:v>263369.99671552004</x:v>
      </x:c>
      <x:c r="AG13" s="66" t="n">
        <x:v>8382.279287699377</x:v>
      </x:c>
      <x:c r="AH13" s="36" t="n">
        <x:v>0</x:v>
      </x:c>
    </x:row>
    <x:row r="14" ht="15" hidden="0" customHeight="1">
      <x:c r="A14" s="34" t="n">
        <x:v>3</x:v>
      </x:c>
      <x:c r="B14" s="34" t="str">
        <x:v>B1</x:v>
      </x:c>
      <x:c r="C14" s="34" t="str">
        <x:v>reference</x:v>
      </x:c>
      <x:c r="D14" s="74" t="n">
        <x:v>1.1766845120721294</x:v>
      </x:c>
      <x:c r="E14" s="74" t="n">
        <x:v>0.07161971552989163</x:v>
      </x:c>
      <x:c r="F14" s="74" t="n">
        <x:v>0.7265918122153112</x:v>
      </x:c>
      <x:c r="G14" s="74" t="n">
        <x:v>0.9516448687780518</x:v>
      </x:c>
      <x:c r="H14" s="74" t="n">
        <x:v>0.8158277078521122</x:v>
      </x:c>
      <x:c r="I14" s="74" t="n">
        <x:v>1.0361870432585174</x:v>
      </x:c>
      <x:c r="J14" s="74" t="n">
        <x:v>0.7332805577156487</x:v>
      </x:c>
      <x:c r="K14" s="74" t="n">
        <x:v>0.7867735208131734</x:v>
      </x:c>
      <x:c r="L14" s="74" t="n">
        <x:v>0.9287270705180527</x:v>
      </x:c>
      <x:c r="M14" s="74" t="n">
        <x:v>0.798250379486277</x:v>
      </x:c>
      <x:c r="N14" s="74" t="n">
        <x:v>0.9043549452594832</x:v>
      </x:c>
      <x:c r="O14" s="65" t="n">
        <x:v>566043.8491953955</x:v>
      </x:c>
      <x:c r="P14" s="65" t="n">
        <x:v>192279.8037424959</x:v>
      </x:c>
      <x:c r="Q14" s="65" t="n">
        <x:v>373764.04545289953</x:v>
      </x:c>
      <x:c r="R14" s="65" t="n">
        <x:v>146140.33154534193</x:v>
      </x:c>
      <x:c r="S14" s="65" t="n">
        <x:v>227623.7139075576</x:v>
      </x:c>
      <x:c r="T14" s="65" t="n">
        <x:v>195795.30785149807</x:v>
      </x:c>
      <x:c r="U14" s="43" t="n">
        <x:v>0.6855919592547898</x:v>
      </x:c>
      <x:c r="V14" s="43" t="n">
        <x:v>0.7268991701159365</x:v>
      </x:c>
      <x:c r="W14" s="43" t="n">
        <x:v>0.3458155245089963</x:v>
      </x:c>
      <x:c r="X14" s="65" t="n">
        <x:v>51736888.71308311</x:v>
      </x:c>
      <x:c r="Y14" s="65" t="n">
        <x:v>91.40084957486005</x:v>
      </x:c>
      <x:c r="Z14" s="65" t="n">
        <x:v>1341395.9282759107</x:v>
      </x:c>
      <x:c r="AA14" s="65" t="n">
        <x:v>292064.0100863972</x:v>
      </x:c>
      <x:c r="AB14" s="65" t="n">
        <x:v>2971.4988076162986</x:v>
      </x:c>
      <x:c r="AC14" s="65" t="n">
        <x:v>7499.72433745506</x:v>
      </x:c>
      <x:c r="AD14" s="65" t="n">
        <x:v>2138.520010905981</x:v>
      </x:c>
      <x:c r="AE14" s="65" t="n">
        <x:v>145221.69890355392</x:v>
      </x:c>
      <x:c r="AF14" s="65" t="n">
        <x:v>195795.30785149804</x:v>
      </x:c>
      <x:c r="AG14" s="65" t="n">
        <x:v>2.9103830456733704e-11</x:v>
      </x:c>
      <x:c r="AH14" s="34" t="n">
        <x:v>0</x:v>
      </x:c>
    </x:row>
    <x:row r="15" ht="15" hidden="0" customHeight="1">
      <x:c r="A15" s="36" t="n">
        <x:v>3</x:v>
      </x:c>
      <x:c r="B15" s="36" t="str">
        <x:v>P2</x:v>
      </x:c>
      <x:c r="C15" s="36" t="str">
        <x:v>reference</x:v>
      </x:c>
      <x:c r="D15" s="75" t="n">
        <x:v>1.1766845120721294</x:v>
      </x:c>
      <x:c r="E15" s="75" t="n">
        <x:v>0.07161971552989163</x:v>
      </x:c>
      <x:c r="F15" s="75" t="n">
        <x:v>0.7265918122153112</x:v>
      </x:c>
      <x:c r="G15" s="75" t="n">
        <x:v>0.9516448687780518</x:v>
      </x:c>
      <x:c r="H15" s="75" t="n">
        <x:v>0.8158277078521122</x:v>
      </x:c>
      <x:c r="I15" s="75" t="n">
        <x:v>1.0361870432585174</x:v>
      </x:c>
      <x:c r="J15" s="75" t="n">
        <x:v>0.7332805577156487</x:v>
      </x:c>
      <x:c r="K15" s="75" t="n">
        <x:v>0.7867735208131734</x:v>
      </x:c>
      <x:c r="L15" s="75" t="n">
        <x:v>0.9287270705180527</x:v>
      </x:c>
      <x:c r="M15" s="75" t="n">
        <x:v>0.798250379486277</x:v>
      </x:c>
      <x:c r="N15" s="75" t="n">
        <x:v>0.9043549452594832</x:v>
      </x:c>
      <x:c r="O15" s="66" t="n">
        <x:v>566043.8491953955</x:v>
      </x:c>
      <x:c r="P15" s="66" t="n">
        <x:v>278555.40492958156</x:v>
      </x:c>
      <x:c r="Q15" s="66" t="n">
        <x:v>287488.4442658139</x:v>
      </x:c>
      <x:c r="R15" s="66" t="n">
        <x:v>146140.33154534193</x:v>
      </x:c>
      <x:c r="S15" s="66" t="n">
        <x:v>141348.11272047195</x:v>
      </x:c>
      <x:c r="T15" s="66" t="n">
        <x:v>118013.23571381651</x:v>
      </x:c>
      <x:c r="U15" s="45" t="n">
        <x:v>0.7005970318502738</x:v>
      </x:c>
      <x:c r="V15" s="45" t="n">
        <x:v>0.7397694479154505</x:v>
      </x:c>
      <x:c r="W15" s="45" t="n">
        <x:v>0.3424668849174231</x:v>
      </x:c>
      <x:c r="X15" s="66" t="n">
        <x:v>40396437.45641708</x:v>
      </x:c>
      <x:c r="Y15" s="66" t="n">
        <x:v>71.3662687331356</x:v>
      </x:c>
      <x:c r="Z15" s="66" t="n">
        <x:v>870416.4541515579</x:v>
      </x:c>
      <x:c r="AA15" s="66" t="n">
        <x:v>233835.37634194718</x:v>
      </x:c>
      <x:c r="AB15" s="66" t="n">
        <x:v>0</x:v>
      </x:c>
      <x:c r="AC15" s="66" t="n">
        <x:v>14373.757871367052</x:v>
      </x:c>
      <x:c r="AD15" s="66" t="n">
        <x:v>1944.326236171715</x:v>
      </x:c>
      <x:c r="AE15" s="66" t="n">
        <x:v>82460.86577329517</x:v>
      </x:c>
      <x:c r="AF15" s="66" t="n">
        <x:v>118013.23571381642</x:v>
      </x:c>
      <x:c r="AG15" s="66" t="n">
        <x:v>8.731149137020111e-11</x:v>
      </x:c>
      <x:c r="AH15" s="36" t="n">
        <x:v>0</x:v>
      </x:c>
    </x:row>
    <x:row r="16" ht="15" hidden="0" customHeight="1">
      <x:c r="A16" s="34" t="n">
        <x:v>3</x:v>
      </x:c>
      <x:c r="B16" s="34" t="str">
        <x:v>H3</x:v>
      </x:c>
      <x:c r="C16" s="34" t="str">
        <x:v>reference</x:v>
      </x:c>
      <x:c r="D16" s="74" t="n">
        <x:v>1.1766845120721294</x:v>
      </x:c>
      <x:c r="E16" s="74" t="n">
        <x:v>0.07161971552989163</x:v>
      </x:c>
      <x:c r="F16" s="74" t="n">
        <x:v>0.7265918122153112</x:v>
      </x:c>
      <x:c r="G16" s="74" t="n">
        <x:v>0.9516448687780518</x:v>
      </x:c>
      <x:c r="H16" s="74" t="n">
        <x:v>0.8158277078521122</x:v>
      </x:c>
      <x:c r="I16" s="74" t="n">
        <x:v>1.0361870432585174</x:v>
      </x:c>
      <x:c r="J16" s="74" t="n">
        <x:v>0.7332805577156487</x:v>
      </x:c>
      <x:c r="K16" s="74" t="n">
        <x:v>0.7867735208131734</x:v>
      </x:c>
      <x:c r="L16" s="74" t="n">
        <x:v>0.9287270705180527</x:v>
      </x:c>
      <x:c r="M16" s="74" t="n">
        <x:v>0.798250379486277</x:v>
      </x:c>
      <x:c r="N16" s="74" t="n">
        <x:v>0.9043549452594832</x:v>
      </x:c>
      <x:c r="O16" s="65" t="n">
        <x:v>566043.8491953955</x:v>
      </x:c>
      <x:c r="P16" s="65" t="n">
        <x:v>288961.614312093</x:v>
      </x:c>
      <x:c r="Q16" s="65" t="n">
        <x:v>277082.2348833024</x:v>
      </x:c>
      <x:c r="R16" s="65" t="n">
        <x:v>146140.33154534193</x:v>
      </x:c>
      <x:c r="S16" s="65" t="n">
        <x:v>130941.9033379605</x:v>
      </x:c>
      <x:c r="T16" s="65" t="n">
        <x:v>194727.3142644717</x:v>
      </x:c>
      <x:c r="U16" s="43" t="n">
        <x:v>0.8545078782573216</x:v>
      </x:c>
      <x:c r="V16" s="43" t="n">
        <x:v>0.8764315969804866</x:v>
      </x:c>
      <x:c r="W16" s="43" t="n">
        <x:v>0.5582607676748121</x:v>
      </x:c>
      <x:c r="X16" s="65" t="n">
        <x:v>32901353.504682243</x:v>
      </x:c>
      <x:c r="Y16" s="65" t="n">
        <x:v>58.12509675964143</x:v>
      </x:c>
      <x:c r="Z16" s="65" t="n">
        <x:v>1336010.0985990756</x:v>
      </x:c>
      <x:c r="AA16" s="65" t="n">
        <x:v>200751.6872964361</x:v>
      </x:c>
      <x:c r="AB16" s="65" t="n">
        <x:v>1235.6338226821572</x:v>
      </x:c>
      <x:c r="AC16" s="65" t="n">
        <x:v>7799.471798478261</x:v>
      </x:c>
      <x:c r="AD16" s="65" t="n">
        <x:v>1922.526697388965</x:v>
      </x:c>
      <x:c r="AE16" s="65" t="n">
        <x:v>87751.20955829346</x:v>
      </x:c>
      <x:c r="AF16" s="65" t="n">
        <x:v>194727.31426447164</x:v>
      </x:c>
      <x:c r="AG16" s="65" t="n">
        <x:v>5.820766091346741e-11</x:v>
      </x:c>
      <x:c r="AH16" s="34" t="n">
        <x:v>0</x:v>
      </x:c>
    </x:row>
    <x:row r="17" ht="15" hidden="0" customHeight="1">
      <x:c r="A17" s="36" t="n">
        <x:v>4</x:v>
      </x:c>
      <x:c r="B17" s="36" t="str">
        <x:v>M0</x:v>
      </x:c>
      <x:c r="C17" s="36" t="str">
        <x:v>slow</x:v>
      </x:c>
      <x:c r="D17" s="75" t="n">
        <x:v>0.9661954396407832</x:v>
      </x:c>
      <x:c r="E17" s="75" t="n">
        <x:v>0.05900370664760662</x:v>
      </x:c>
      <x:c r="F17" s="75" t="n">
        <x:v>0.7677719642808364</x:v>
      </x:c>
      <x:c r="G17" s="75" t="n">
        <x:v>1.3019591624665776</x:v>
      </x:c>
      <x:c r="H17" s="75" t="n">
        <x:v>0.9321910147834667</x:v>
      </x:c>
      <x:c r="I17" s="75" t="n">
        <x:v>0.9042724098663814</x:v>
      </x:c>
      <x:c r="J17" s="75" t="n">
        <x:v>0.9167527674342912</x:v>
      </x:c>
      <x:c r="K17" s="75" t="n">
        <x:v>0.8961548122302263</x:v>
      </x:c>
      <x:c r="L17" s="75" t="n">
        <x:v>0.8301023606185846</x:v>
      </x:c>
      <x:c r="M17" s="75" t="n">
        <x:v>0.9379152431044535</x:v>
      </x:c>
      <x:c r="N17" s="75" t="n">
        <x:v>0.8446408975163241</x:v>
      </x:c>
      <x:c r="O17" s="66" t="n">
        <x:v>464788.12300011085</x:v>
      </x:c>
      <x:c r="P17" s="66" t="n">
        <x:v>50158.28787626255</x:v>
      </x:c>
      <x:c r="Q17" s="66" t="n">
        <x:v>414629.8351238483</x:v>
      </x:c>
      <x:c r="R17" s="66" t="n">
        <x:v>114134.51259627577</x:v>
      </x:c>
      <x:c r="S17" s="66" t="n">
        <x:v>300495.3225275725</x:v>
      </x:c>
      <x:c r="T17" s="66" t="n">
        <x:v>265524.465560894</x:v>
      </x:c>
      <x:c r="U17" s="45" t="n">
        <x:v>0.6791971176016502</x:v>
      </x:c>
      <x:c r="V17" s="45" t="n">
        <x:v>0.66313745508748</x:v>
      </x:c>
      <x:c r="W17" s="45" t="n">
        <x:v>0.05349503186956586</x:v>
      </x:c>
      <x:c r="X17" s="66" t="n">
        <x:v>51388657.61373115</x:v>
      </x:c>
      <x:c r="Y17" s="66" t="n">
        <x:v>110.5636204342487</x:v>
      </x:c>
      <x:c r="Z17" s="66" t="n">
        <x:v>2901576.9386296896</x:v>
      </x:c>
      <x:c r="AA17" s="66" t="n">
        <x:v>287667.37851064204</x:v>
      </x:c>
      <x:c r="AB17" s="66" t="n">
        <x:v>19270.448655134547</x:v>
      </x:c>
      <x:c r="AC17" s="66" t="n">
        <x:v>0</x:v>
      </x:c>
      <x:c r="AD17" s="66" t="n">
        <x:v>2610.9844228596385</x:v>
      </x:c>
      <x:c r="AE17" s="66" t="n">
        <x:v>216873.1498639537</x:v>
      </x:c>
      <x:c r="AF17" s="66" t="n">
        <x:v>265524.4655608943</x:v>
      </x:c>
      <x:c r="AG17" s="66" t="n">
        <x:v>0</x:v>
      </x:c>
      <x:c r="AH17" s="36" t="n">
        <x:v>0</x:v>
      </x:c>
    </x:row>
    <x:row r="18" ht="15" hidden="0" customHeight="1">
      <x:c r="A18" s="34" t="n">
        <x:v>4</x:v>
      </x:c>
      <x:c r="B18" s="34" t="str">
        <x:v>B1</x:v>
      </x:c>
      <x:c r="C18" s="34" t="str">
        <x:v>slow</x:v>
      </x:c>
      <x:c r="D18" s="74" t="n">
        <x:v>0.9661954396407832</x:v>
      </x:c>
      <x:c r="E18" s="74" t="n">
        <x:v>0.05900370664760662</x:v>
      </x:c>
      <x:c r="F18" s="74" t="n">
        <x:v>0.7677719642808364</x:v>
      </x:c>
      <x:c r="G18" s="74" t="n">
        <x:v>1.3019591624665776</x:v>
      </x:c>
      <x:c r="H18" s="74" t="n">
        <x:v>0.9321910147834667</x:v>
      </x:c>
      <x:c r="I18" s="74" t="n">
        <x:v>0.9042724098663814</x:v>
      </x:c>
      <x:c r="J18" s="74" t="n">
        <x:v>0.9167527674342912</x:v>
      </x:c>
      <x:c r="K18" s="74" t="n">
        <x:v>0.8961548122302263</x:v>
      </x:c>
      <x:c r="L18" s="74" t="n">
        <x:v>0.8301023606185846</x:v>
      </x:c>
      <x:c r="M18" s="74" t="n">
        <x:v>0.9379152431044535</x:v>
      </x:c>
      <x:c r="N18" s="74" t="n">
        <x:v>0.8446408975163241</x:v>
      </x:c>
      <x:c r="O18" s="65" t="n">
        <x:v>464788.12300011085</x:v>
      </x:c>
      <x:c r="P18" s="65" t="n">
        <x:v>169669.91988085018</x:v>
      </x:c>
      <x:c r="Q18" s="65" t="n">
        <x:v>295118.2031192606</x:v>
      </x:c>
      <x:c r="R18" s="65" t="n">
        <x:v>114134.51259627577</x:v>
      </x:c>
      <x:c r="S18" s="65" t="n">
        <x:v>180983.6905229849</x:v>
      </x:c>
      <x:c r="T18" s="65" t="n">
        <x:v>179105.82001912646</x:v>
      </x:c>
      <x:c r="U18" s="43" t="n">
        <x:v>0.7503972727373102</x:v>
      </x:c>
      <x:c r="V18" s="43" t="n">
        <x:v>0.7395741773607428</x:v>
      </x:c>
      <x:c r="W18" s="43" t="n">
        <x:v>0.18567470987431764</x:v>
      </x:c>
      <x:c r="X18" s="65" t="n">
        <x:v>37686179.79628208</x:v>
      </x:c>
      <x:c r="Y18" s="65" t="n">
        <x:v>81.08249314338244</x:v>
      </x:c>
      <x:c r="Z18" s="65" t="n">
        <x:v>1248301.0056809215</x:v>
      </x:c>
      <x:c r="AA18" s="65" t="n">
        <x:v>208241.7918073828</x:v>
      </x:c>
      <x:c r="AB18" s="65" t="n">
        <x:v>3566.994857311599</x:v>
      </x:c>
      <x:c r="AC18" s="65" t="n">
        <x:v>0</x:v>
      </x:c>
      <x:c r="AD18" s="65" t="n">
        <x:v>2236.968601776197</x:v>
      </x:c>
      <x:c r="AE18" s="65" t="n">
        <x:v>106128.8464737161</x:v>
      </x:c>
      <x:c r="AF18" s="65" t="n">
        <x:v>179105.8200191264</x:v>
      </x:c>
      <x:c r="AG18" s="65" t="n">
        <x:v>5.820766091346741e-11</x:v>
      </x:c>
      <x:c r="AH18" s="34" t="n">
        <x:v>0</x:v>
      </x:c>
    </x:row>
    <x:row r="19" ht="15" hidden="0" customHeight="1">
      <x:c r="A19" s="36" t="n">
        <x:v>4</x:v>
      </x:c>
      <x:c r="B19" s="36" t="str">
        <x:v>P2</x:v>
      </x:c>
      <x:c r="C19" s="36" t="str">
        <x:v>slow</x:v>
      </x:c>
      <x:c r="D19" s="75" t="n">
        <x:v>0.9661954396407832</x:v>
      </x:c>
      <x:c r="E19" s="75" t="n">
        <x:v>0.05900370664760662</x:v>
      </x:c>
      <x:c r="F19" s="75" t="n">
        <x:v>0.7677719642808364</x:v>
      </x:c>
      <x:c r="G19" s="75" t="n">
        <x:v>1.3019591624665776</x:v>
      </x:c>
      <x:c r="H19" s="75" t="n">
        <x:v>0.9321910147834667</x:v>
      </x:c>
      <x:c r="I19" s="75" t="n">
        <x:v>0.9042724098663814</x:v>
      </x:c>
      <x:c r="J19" s="75" t="n">
        <x:v>0.9167527674342912</x:v>
      </x:c>
      <x:c r="K19" s="75" t="n">
        <x:v>0.8961548122302263</x:v>
      </x:c>
      <x:c r="L19" s="75" t="n">
        <x:v>0.8301023606185846</x:v>
      </x:c>
      <x:c r="M19" s="75" t="n">
        <x:v>0.9379152431044535</x:v>
      </x:c>
      <x:c r="N19" s="75" t="n">
        <x:v>0.8446408975163241</x:v>
      </x:c>
      <x:c r="O19" s="66" t="n">
        <x:v>464788.12300011085</x:v>
      </x:c>
      <x:c r="P19" s="66" t="n">
        <x:v>245800.23633014844</x:v>
      </x:c>
      <x:c r="Q19" s="66" t="n">
        <x:v>218987.8866699624</x:v>
      </x:c>
      <x:c r="R19" s="66" t="n">
        <x:v>114134.51259627577</x:v>
      </x:c>
      <x:c r="S19" s="66" t="n">
        <x:v>104853.37407368663</x:v>
      </x:c>
      <x:c r="T19" s="66" t="n">
        <x:v>125080.78296360237</x:v>
      </x:c>
      <x:c r="U19" s="45" t="n">
        <x:v>0.797957178638281</x:v>
      </x:c>
      <x:c r="V19" s="45" t="n">
        <x:v>0.7903573602321718</x:v>
      </x:c>
      <x:c r="W19" s="45" t="n">
        <x:v>0.27283551655537613</x:v>
      </x:c>
      <x:c r="X19" s="66" t="n">
        <x:v>27839115.33493576</x:v>
      </x:c>
      <x:c r="Y19" s="66" t="n">
        <x:v>59.89635697926197</x:v>
      </x:c>
      <x:c r="Z19" s="66" t="n">
        <x:v>779077.6993886125</x:v>
      </x:c>
      <x:c r="AA19" s="66" t="n">
        <x:v>161491.25288850206</x:v>
      </x:c>
      <x:c r="AB19" s="66" t="n">
        <x:v>0</x:v>
      </x:c>
      <x:c r="AC19" s="66" t="n">
        <x:v>0</x:v>
      </x:c>
      <x:c r="AD19" s="66" t="n">
        <x:v>2010.0565089605493</x:v>
      </x:c>
      <x:c r="AE19" s="66" t="n">
        <x:v>59198.792957329104</x:v>
      </x:c>
      <x:c r="AF19" s="66" t="n">
        <x:v>125080.78296360234</x:v>
      </x:c>
      <x:c r="AG19" s="66" t="n">
        <x:v>2.9103830456733704e-11</x:v>
      </x:c>
      <x:c r="AH19" s="36" t="n">
        <x:v>0</x:v>
      </x:c>
    </x:row>
    <x:row r="20" ht="15" hidden="0" customHeight="1">
      <x:c r="A20" s="34" t="n">
        <x:v>4</x:v>
      </x:c>
      <x:c r="B20" s="34" t="str">
        <x:v>H3</x:v>
      </x:c>
      <x:c r="C20" s="34" t="str">
        <x:v>slow</x:v>
      </x:c>
      <x:c r="D20" s="74" t="n">
        <x:v>0.9661954396407832</x:v>
      </x:c>
      <x:c r="E20" s="74" t="n">
        <x:v>0.05900370664760662</x:v>
      </x:c>
      <x:c r="F20" s="74" t="n">
        <x:v>0.7677719642808364</x:v>
      </x:c>
      <x:c r="G20" s="74" t="n">
        <x:v>1.3019591624665776</x:v>
      </x:c>
      <x:c r="H20" s="74" t="n">
        <x:v>0.9321910147834667</x:v>
      </x:c>
      <x:c r="I20" s="74" t="n">
        <x:v>0.9042724098663814</x:v>
      </x:c>
      <x:c r="J20" s="74" t="n">
        <x:v>0.9167527674342912</x:v>
      </x:c>
      <x:c r="K20" s="74" t="n">
        <x:v>0.8961548122302263</x:v>
      </x:c>
      <x:c r="L20" s="74" t="n">
        <x:v>0.8301023606185846</x:v>
      </x:c>
      <x:c r="M20" s="74" t="n">
        <x:v>0.9379152431044535</x:v>
      </x:c>
      <x:c r="N20" s="74" t="n">
        <x:v>0.8446408975163241</x:v>
      </x:c>
      <x:c r="O20" s="65" t="n">
        <x:v>464788.12300011085</x:v>
      </x:c>
      <x:c r="P20" s="65" t="n">
        <x:v>254982.73097904242</x:v>
      </x:c>
      <x:c r="Q20" s="65" t="n">
        <x:v>209805.39202106843</x:v>
      </x:c>
      <x:c r="R20" s="65" t="n">
        <x:v>114134.51259627577</x:v>
      </x:c>
      <x:c r="S20" s="65" t="n">
        <x:v>95670.87942479266</x:v>
      </x:c>
      <x:c r="T20" s="65" t="n">
        <x:v>118568.21047029144</x:v>
      </x:c>
      <x:c r="U20" s="43" t="n">
        <x:v>0.8037015641409683</x:v>
      </x:c>
      <x:c r="V20" s="43" t="n">
        <x:v>0.796607794984849</x:v>
      </x:c>
      <x:c r="W20" s="43" t="n">
        <x:v>0.2838046462901388</x:v>
      </x:c>
      <x:c r="X20" s="65" t="n">
        <x:v>24218617.98935292</x:v>
      </x:c>
      <x:c r="Y20" s="65" t="n">
        <x:v>52.10679187115791</x:v>
      </x:c>
      <x:c r="Z20" s="65" t="n">
        <x:v>800011.6630254044</x:v>
      </x:c>
      <x:c r="AA20" s="65" t="n">
        <x:v>134946.60750050063</x:v>
      </x:c>
      <x:c r="AB20" s="65" t="n">
        <x:v>2274.3240987669483</x:v>
      </x:c>
      <x:c r="AC20" s="65" t="n">
        <x:v>248.7049521965498</x:v>
      </x:c>
      <x:c r="AD20" s="65" t="n">
        <x:v>1984.4346782502432</x:v>
      </x:c>
      <x:c r="AE20" s="65" t="n">
        <x:v>14248.970969661823</x:v>
      </x:c>
      <x:c r="AF20" s="65" t="n">
        <x:v>118568.21047029145</x:v>
      </x:c>
      <x:c r="AG20" s="65" t="n">
        <x:v>0</x:v>
      </x:c>
      <x:c r="AH20" s="34" t="n">
        <x:v>0</x:v>
      </x:c>
    </x:row>
    <x:row r="21" ht="21.600000381469727" hidden="0" customHeight="1">
      <x:c r="A21" s="36" t="n">
        <x:v>5</x:v>
      </x:c>
      <x:c r="B21" s="36" t="str">
        <x:v>M0</x:v>
      </x:c>
      <x:c r="C21" s="36" t="str">
        <x:v>slow</x:v>
      </x:c>
      <x:c r="D21" s="75" t="n">
        <x:v>1.0212970755167117</x:v>
      </x:c>
      <x:c r="E21" s="75" t="n">
        <x:v>-0.03132323632735131</x:v>
      </x:c>
      <x:c r="F21" s="75" t="n">
        <x:v>0.8308378735948555</x:v>
      </x:c>
      <x:c r="G21" s="75" t="n">
        <x:v>1.0357312102421896</x:v>
      </x:c>
      <x:c r="H21" s="75" t="n">
        <x:v>0.7232744674658873</x:v>
      </x:c>
      <x:c r="I21" s="75" t="n">
        <x:v>0.8068892414435289</x:v>
      </x:c>
      <x:c r="J21" s="75" t="n">
        <x:v>0.7520601647453113</x:v>
      </x:c>
      <x:c r="K21" s="75" t="n">
        <x:v>0.7540398945833573</x:v>
      </x:c>
      <x:c r="L21" s="75" t="n">
        <x:v>0.8854236686958071</x:v>
      </x:c>
      <x:c r="M21" s="75" t="n">
        <x:v>1.0681825920608234</x:v>
      </x:c>
      <x:c r="N21" s="75" t="n">
        <x:v>1.0457282222237225</x:v>
      </x:c>
      <x:c r="O21" s="66" t="n">
        <x:v>491294.7539178991</x:v>
      </x:c>
      <x:c r="P21" s="66" t="n">
        <x:v>64244.435260866056</x:v>
      </x:c>
      <x:c r="Q21" s="66" t="n">
        <x:v>427050.318657033</x:v>
      </x:c>
      <x:c r="R21" s="66" t="n">
        <x:v>76266.3927404694</x:v>
      </x:c>
      <x:c r="S21" s="66" t="n">
        <x:v>350783.9259165636</x:v>
      </x:c>
      <x:c r="T21" s="66" t="n">
        <x:v>249367.0286061511</x:v>
      </x:c>
      <x:c r="U21" s="45" t="n">
        <x:v>0.6383366835613009</x:v>
      </x:c>
      <x:c r="V21" s="45" t="n">
        <x:v>0.6289137884864326</x:v>
      </x:c>
      <x:c r="W21" s="45" t="n">
        <x:v>0.07126260181108078</x:v>
      </x:c>
      <x:c r="X21" s="66" t="n">
        <x:v>56458550.4322915</x:v>
      </x:c>
      <x:c r="Y21" s="66" t="n">
        <x:v>114.91787767334141</x:v>
      </x:c>
      <x:c r="Z21" s="66" t="n">
        <x:v>2870891.813390639</x:v>
      </x:c>
      <x:c r="AA21" s="66" t="n">
        <x:v>316747.78422926256</x:v>
      </x:c>
      <x:c r="AB21" s="66" t="n">
        <x:v>17405.30224037471</x:v>
      </x:c>
      <x:c r="AC21" s="66" t="n">
        <x:v>0</x:v>
      </x:c>
      <x:c r="AD21" s="66" t="n">
        <x:v>2702.1159090703886</x:v>
      </x:c>
      <x:c r="AE21" s="66" t="n">
        <x:v>159016.11020602146</x:v>
      </x:c>
      <x:c r="AF21" s="66" t="n">
        <x:v>249367.0286061515</x:v>
      </x:c>
      <x:c r="AG21" s="66" t="n">
        <x:v>0</x:v>
      </x:c>
      <x:c r="AH21" s="36" t="n">
        <x:v>0</x:v>
      </x:c>
    </x:row>
    <x:row r="22" ht="21.600000381469727" hidden="0" customHeight="1">
      <x:c r="A22" s="34" t="n">
        <x:v>5</x:v>
      </x:c>
      <x:c r="B22" s="34" t="str">
        <x:v>B1</x:v>
      </x:c>
      <x:c r="C22" s="34" t="str">
        <x:v>slow</x:v>
      </x:c>
      <x:c r="D22" s="74" t="n">
        <x:v>1.0212970755167117</x:v>
      </x:c>
      <x:c r="E22" s="74" t="n">
        <x:v>-0.03132323632735131</x:v>
      </x:c>
      <x:c r="F22" s="74" t="n">
        <x:v>0.8308378735948555</x:v>
      </x:c>
      <x:c r="G22" s="74" t="n">
        <x:v>1.0357312102421896</x:v>
      </x:c>
      <x:c r="H22" s="74" t="n">
        <x:v>0.7232744674658873</x:v>
      </x:c>
      <x:c r="I22" s="74" t="n">
        <x:v>0.8068892414435289</x:v>
      </x:c>
      <x:c r="J22" s="74" t="n">
        <x:v>0.7520601647453113</x:v>
      </x:c>
      <x:c r="K22" s="74" t="n">
        <x:v>0.7540398945833573</x:v>
      </x:c>
      <x:c r="L22" s="74" t="n">
        <x:v>0.8854236686958071</x:v>
      </x:c>
      <x:c r="M22" s="74" t="n">
        <x:v>1.0681825920608234</x:v>
      </x:c>
      <x:c r="N22" s="74" t="n">
        <x:v>1.0457282222237225</x:v>
      </x:c>
      <x:c r="O22" s="65" t="n">
        <x:v>491294.7539178991</x:v>
      </x:c>
      <x:c r="P22" s="65" t="n">
        <x:v>217316.31354538357</x:v>
      </x:c>
      <x:c r="Q22" s="65" t="n">
        <x:v>273978.44037251547</x:v>
      </x:c>
      <x:c r="R22" s="65" t="n">
        <x:v>76266.3927404694</x:v>
      </x:c>
      <x:c r="S22" s="65" t="n">
        <x:v>197712.04763204607</x:v>
      </x:c>
      <x:c r="T22" s="65" t="n">
        <x:v>163878.53507167054</x:v>
      </x:c>
      <x:c r="U22" s="43" t="n">
        <x:v>0.77589847149224</x:v>
      </x:c>
      <x:c r="V22" s="43" t="n">
        <x:v>0.7660977555808336</x:v>
      </x:c>
      <x:c r="W22" s="43" t="n">
        <x:v>0.24734377107062053</x:v>
      </x:c>
      <x:c r="X22" s="65" t="n">
        <x:v>37248226.120731324</x:v>
      </x:c>
      <x:c r="Y22" s="65" t="n">
        <x:v>75.81645402009711</x:v>
      </x:c>
      <x:c r="Z22" s="65" t="n">
        <x:v>1068290.3792048008</x:v>
      </x:c>
      <x:c r="AA22" s="65" t="n">
        <x:v>202964.60963664454</x:v>
      </x:c>
      <x:c r="AB22" s="65" t="n">
        <x:v>1659.1669900815411</x:v>
      </x:c>
      <x:c r="AC22" s="65" t="n">
        <x:v>26.70785847044614</x:v>
      </x:c>
      <x:c r="AD22" s="65" t="n">
        <x:v>2175.4620117588584</x:v>
      </x:c>
      <x:c r="AE22" s="65" t="n">
        <x:v>50939.88707150851</x:v>
      </x:c>
      <x:c r="AF22" s="65" t="n">
        <x:v>163878.53507167054</x:v>
      </x:c>
      <x:c r="AG22" s="65" t="n">
        <x:v>0</x:v>
      </x:c>
      <x:c r="AH22" s="34" t="n">
        <x:v>0</x:v>
      </x:c>
    </x:row>
    <x:row r="23" ht="21.600000381469727" hidden="0" customHeight="1">
      <x:c r="A23" s="36" t="n">
        <x:v>5</x:v>
      </x:c>
      <x:c r="B23" s="36" t="str">
        <x:v>P2</x:v>
      </x:c>
      <x:c r="C23" s="36" t="str">
        <x:v>slow</x:v>
      </x:c>
      <x:c r="D23" s="75" t="n">
        <x:v>1.0212970755167117</x:v>
      </x:c>
      <x:c r="E23" s="75" t="n">
        <x:v>-0.03132323632735131</x:v>
      </x:c>
      <x:c r="F23" s="75" t="n">
        <x:v>0.8308378735948555</x:v>
      </x:c>
      <x:c r="G23" s="75" t="n">
        <x:v>1.0357312102421896</x:v>
      </x:c>
      <x:c r="H23" s="75" t="n">
        <x:v>0.7232744674658873</x:v>
      </x:c>
      <x:c r="I23" s="75" t="n">
        <x:v>0.8068892414435289</x:v>
      </x:c>
      <x:c r="J23" s="75" t="n">
        <x:v>0.7520601647453113</x:v>
      </x:c>
      <x:c r="K23" s="75" t="n">
        <x:v>0.7540398945833573</x:v>
      </x:c>
      <x:c r="L23" s="75" t="n">
        <x:v>0.8854236686958071</x:v>
      </x:c>
      <x:c r="M23" s="75" t="n">
        <x:v>1.0681825920608234</x:v>
      </x:c>
      <x:c r="N23" s="75" t="n">
        <x:v>1.0457282222237225</x:v>
      </x:c>
      <x:c r="O23" s="66" t="n">
        <x:v>491294.7539178991</x:v>
      </x:c>
      <x:c r="P23" s="66" t="n">
        <x:v>314823.22566278593</x:v>
      </x:c>
      <x:c r="Q23" s="66" t="n">
        <x:v>176471.52825511305</x:v>
      </x:c>
      <x:c r="R23" s="66" t="n">
        <x:v>76266.3927404694</x:v>
      </x:c>
      <x:c r="S23" s="66" t="n">
        <x:v>100205.13551464367</x:v>
      </x:c>
      <x:c r="T23" s="66" t="n">
        <x:v>95364.3081790808</x:v>
      </x:c>
      <x:c r="U23" s="45" t="n">
        <x:v>0.8349112840525338</x:v>
      </x:c>
      <x:c r="V23" s="45" t="n">
        <x:v>0.8290204628600844</x:v>
      </x:c>
      <x:c r="W23" s="45" t="n">
        <x:v>0.3634537282567303</x:v>
      </x:c>
      <x:c r="X23" s="66" t="n">
        <x:v>23389077.69710977</x:v>
      </x:c>
      <x:c r="Y23" s="66" t="n">
        <x:v>47.60701699049355</x:v>
      </x:c>
      <x:c r="Z23" s="66" t="n">
        <x:v>599113.8124547855</x:v>
      </x:c>
      <x:c r="AA23" s="66" t="n">
        <x:v>131520.8574123981</x:v>
      </x:c>
      <x:c r="AB23" s="66" t="n">
        <x:v>0</x:v>
      </x:c>
      <x:c r="AC23" s="66" t="n">
        <x:v>0</x:v>
      </x:c>
      <x:c r="AD23" s="66" t="n">
        <x:v>1855.945747226788</x:v>
      </x:c>
      <x:c r="AE23" s="66" t="n">
        <x:v>13360.530103789977</x:v>
      </x:c>
      <x:c r="AF23" s="66" t="n">
        <x:v>95364.30817908082</x:v>
      </x:c>
      <x:c r="AG23" s="66" t="n">
        <x:v>0</x:v>
      </x:c>
      <x:c r="AH23" s="36" t="n">
        <x:v>0</x:v>
      </x:c>
    </x:row>
    <x:row r="24" ht="21.600000381469727" hidden="0" customHeight="1">
      <x:c r="A24" s="34" t="n">
        <x:v>5</x:v>
      </x:c>
      <x:c r="B24" s="34" t="str">
        <x:v>H3</x:v>
      </x:c>
      <x:c r="C24" s="34" t="str">
        <x:v>slow</x:v>
      </x:c>
      <x:c r="D24" s="74" t="n">
        <x:v>1.0212970755167117</x:v>
      </x:c>
      <x:c r="E24" s="74" t="n">
        <x:v>-0.03132323632735131</x:v>
      </x:c>
      <x:c r="F24" s="74" t="n">
        <x:v>0.8308378735948555</x:v>
      </x:c>
      <x:c r="G24" s="74" t="n">
        <x:v>1.0357312102421896</x:v>
      </x:c>
      <x:c r="H24" s="74" t="n">
        <x:v>0.7232744674658873</x:v>
      </x:c>
      <x:c r="I24" s="74" t="n">
        <x:v>0.8068892414435289</x:v>
      </x:c>
      <x:c r="J24" s="74" t="n">
        <x:v>0.7520601647453113</x:v>
      </x:c>
      <x:c r="K24" s="74" t="n">
        <x:v>0.7540398945833573</x:v>
      </x:c>
      <x:c r="L24" s="74" t="n">
        <x:v>0.8854236686958071</x:v>
      </x:c>
      <x:c r="M24" s="74" t="n">
        <x:v>1.0681825920608234</x:v>
      </x:c>
      <x:c r="N24" s="74" t="n">
        <x:v>1.0457282222237225</x:v>
      </x:c>
      <x:c r="O24" s="65" t="n">
        <x:v>491294.7539178991</x:v>
      </x:c>
      <x:c r="P24" s="65" t="n">
        <x:v>326583.8103819253</x:v>
      </x:c>
      <x:c r="Q24" s="65" t="n">
        <x:v>164710.94353597367</x:v>
      </x:c>
      <x:c r="R24" s="65" t="n">
        <x:v>76266.3927404694</x:v>
      </x:c>
      <x:c r="S24" s="65" t="n">
        <x:v>88444.5507955043</x:v>
      </x:c>
      <x:c r="T24" s="65" t="n">
        <x:v>87105.20093996357</x:v>
      </x:c>
      <x:c r="U24" s="43" t="n">
        <x:v>0.8420383242908005</x:v>
      </x:c>
      <x:c r="V24" s="43" t="n">
        <x:v>0.8367633762129616</x:v>
      </x:c>
      <x:c r="W24" s="43" t="n">
        <x:v>0.3780660893897868</x:v>
      </x:c>
      <x:c r="X24" s="65" t="n">
        <x:v>20006686.718853947</x:v>
      </x:c>
      <x:c r="Y24" s="65" t="n">
        <x:v>40.72236994046407</x:v>
      </x:c>
      <x:c r="Z24" s="65" t="n">
        <x:v>573957.1894092035</x:v>
      </x:c>
      <x:c r="AA24" s="65" t="n">
        <x:v>110743.25402956759</x:v>
      </x:c>
      <x:c r="AB24" s="65" t="n">
        <x:v>1532.5051694625997</x:v>
      </x:c>
      <x:c r="AC24" s="65" t="n">
        <x:v>88.51514404722197</x:v>
      </x:c>
      <x:c r="AD24" s="65" t="n">
        <x:v>1819.8674953476284</x:v>
      </x:c>
      <x:c r="AE24" s="65" t="n">
        <x:v>5.820766091346741e-11</x:v>
      </x:c>
      <x:c r="AF24" s="65" t="n">
        <x:v>87105.20093996351</x:v>
      </x:c>
      <x:c r="AG24" s="65" t="n">
        <x:v>5.820766091346741e-11</x:v>
      </x:c>
      <x:c r="AH24" s="34" t="n">
        <x:v>0</x:v>
      </x:c>
    </x:row>
    <x:row r="25" ht="15" hidden="0" customHeight="1">
      <x:c r="A25" s="36" t="n">
        <x:v>6</x:v>
      </x:c>
      <x:c r="B25" s="36" t="str">
        <x:v>M0</x:v>
      </x:c>
      <x:c r="C25" s="36" t="str">
        <x:v>reference</x:v>
      </x:c>
      <x:c r="D25" s="75" t="n">
        <x:v>0.9142780587568907</x:v>
      </x:c>
      <x:c r="E25" s="75" t="n">
        <x:v>0.08250031420893794</x:v>
      </x:c>
      <x:c r="F25" s="75" t="n">
        <x:v>0.9427760943706103</x:v>
      </x:c>
      <x:c r="G25" s="75" t="n">
        <x:v>0.9443040008087891</x:v>
      </x:c>
      <x:c r="H25" s="75" t="n">
        <x:v>1.0497357468867174</x:v>
      </x:c>
      <x:c r="I25" s="75" t="n">
        <x:v>0.7550000610380436</x:v>
      </x:c>
      <x:c r="J25" s="75" t="n">
        <x:v>1.0446154514246366</x:v>
      </x:c>
      <x:c r="K25" s="75" t="n">
        <x:v>0.8493795060601844</x:v>
      </x:c>
      <x:c r="L25" s="75" t="n">
        <x:v>0.9026114532356727</x:v>
      </x:c>
      <x:c r="M25" s="75" t="n">
        <x:v>0.8863169339199279</x:v>
      </x:c>
      <x:c r="N25" s="75" t="n">
        <x:v>0.7770570992028392</x:v>
      </x:c>
      <x:c r="O25" s="66" t="n">
        <x:v>439813.2773093905</x:v>
      </x:c>
      <x:c r="P25" s="66" t="n">
        <x:v>56466.19481908738</x:v>
      </x:c>
      <x:c r="Q25" s="66" t="n">
        <x:v>383347.0824903031</x:v>
      </x:c>
      <x:c r="R25" s="66" t="n">
        <x:v>118335.74814932693</x:v>
      </x:c>
      <x:c r="S25" s="66" t="n">
        <x:v>265011.3343409762</x:v>
      </x:c>
      <x:c r="T25" s="66" t="n">
        <x:v>272989.18975534954</x:v>
      </x:c>
      <x:c r="U25" s="45" t="n">
        <x:v>0.7490801246154255</x:v>
      </x:c>
      <x:c r="V25" s="45" t="n">
        <x:v>0.7488710446812399</x:v>
      </x:c>
      <x:c r="W25" s="45" t="n">
        <x:v>0.13118968463147437</x:v>
      </x:c>
      <x:c r="X25" s="66" t="n">
        <x:v>47906256.94442969</x:v>
      </x:c>
      <x:c r="Y25" s="66" t="n">
        <x:v>108.92408077696484</x:v>
      </x:c>
      <x:c r="Z25" s="66" t="n">
        <x:v>6965717.247302363</x:v>
      </x:c>
      <x:c r="AA25" s="66" t="n">
        <x:v>252420.4919570809</x:v>
      </x:c>
      <x:c r="AB25" s="66" t="n">
        <x:v>64654.75365902531</x:v>
      </x:c>
      <x:c r="AC25" s="66" t="n">
        <x:v>0</x:v>
      </x:c>
      <x:c r="AD25" s="66" t="n">
        <x:v>1882.6408424162114</x:v>
      </x:c>
      <x:c r="AE25" s="66" t="n">
        <x:v>228230.70084126602</x:v>
      </x:c>
      <x:c r="AF25" s="66" t="n">
        <x:v>272989.1897553499</x:v>
      </x:c>
      <x:c r="AG25" s="66" t="n">
        <x:v>0</x:v>
      </x:c>
      <x:c r="AH25" s="36" t="n">
        <x:v>0</x:v>
      </x:c>
    </x:row>
    <x:row r="26" ht="15" hidden="0" customHeight="1">
      <x:c r="A26" s="34" t="n">
        <x:v>6</x:v>
      </x:c>
      <x:c r="B26" s="34" t="str">
        <x:v>B1</x:v>
      </x:c>
      <x:c r="C26" s="34" t="str">
        <x:v>reference</x:v>
      </x:c>
      <x:c r="D26" s="74" t="n">
        <x:v>0.9142780587568907</x:v>
      </x:c>
      <x:c r="E26" s="74" t="n">
        <x:v>0.08250031420893794</x:v>
      </x:c>
      <x:c r="F26" s="74" t="n">
        <x:v>0.9427760943706103</x:v>
      </x:c>
      <x:c r="G26" s="74" t="n">
        <x:v>0.9443040008087891</x:v>
      </x:c>
      <x:c r="H26" s="74" t="n">
        <x:v>1.0497357468867174</x:v>
      </x:c>
      <x:c r="I26" s="74" t="n">
        <x:v>0.7550000610380436</x:v>
      </x:c>
      <x:c r="J26" s="74" t="n">
        <x:v>1.0446154514246366</x:v>
      </x:c>
      <x:c r="K26" s="74" t="n">
        <x:v>0.8493795060601844</x:v>
      </x:c>
      <x:c r="L26" s="74" t="n">
        <x:v>0.9026114532356727</x:v>
      </x:c>
      <x:c r="M26" s="74" t="n">
        <x:v>0.8863169339199279</x:v>
      </x:c>
      <x:c r="N26" s="74" t="n">
        <x:v>0.7770570992028392</x:v>
      </x:c>
      <x:c r="O26" s="65" t="n">
        <x:v>439813.2773093905</x:v>
      </x:c>
      <x:c r="P26" s="65" t="n">
        <x:v>191008.3170109791</x:v>
      </x:c>
      <x:c r="Q26" s="65" t="n">
        <x:v>248804.96029841143</x:v>
      </x:c>
      <x:c r="R26" s="65" t="n">
        <x:v>118335.74814932693</x:v>
      </x:c>
      <x:c r="S26" s="65" t="n">
        <x:v>130469.21214908449</x:v>
      </x:c>
      <x:c r="T26" s="65" t="n">
        <x:v>202479.58295314066</x:v>
      </x:c>
      <x:c r="U26" s="43" t="n">
        <x:v>0.8946703527718134</x:v>
      </x:c>
      <x:c r="V26" s="43" t="n">
        <x:v>0.8922312811002753</x:v>
      </x:c>
      <x:c r="W26" s="43" t="n">
        <x:v>0.48429756347880815</x:v>
      </x:c>
      <x:c r="X26" s="65" t="n">
        <x:v>30656925.352883033</x:v>
      </x:c>
      <x:c r="Y26" s="65" t="n">
        <x:v>69.70441079093925</x:v>
      </x:c>
      <x:c r="Z26" s="65" t="n">
        <x:v>3465513.401674408</x:v>
      </x:c>
      <x:c r="AA26" s="65" t="n">
        <x:v>161824.84086454965</x:v>
      </x:c>
      <x:c r="AB26" s="65" t="n">
        <x:v>27892.265319358878</x:v>
      </x:c>
      <x:c r="AC26" s="65" t="n">
        <x:v>1248.185739470508</x:v>
      </x:c>
      <x:c r="AD26" s="65" t="n">
        <x:v>1567.940747580055</x:v>
      </x:c>
      <x:c r="AE26" s="65" t="n">
        <x:v>135341.84958201536</x:v>
      </x:c>
      <x:c r="AF26" s="65" t="n">
        <x:v>202479.58295314075</x:v>
      </x:c>
      <x:c r="AG26" s="65" t="n">
        <x:v>0</x:v>
      </x:c>
      <x:c r="AH26" s="34" t="n">
        <x:v>0</x:v>
      </x:c>
    </x:row>
    <x:row r="27" ht="15" hidden="0" customHeight="1">
      <x:c r="A27" s="36" t="n">
        <x:v>6</x:v>
      </x:c>
      <x:c r="B27" s="36" t="str">
        <x:v>P2</x:v>
      </x:c>
      <x:c r="C27" s="36" t="str">
        <x:v>reference</x:v>
      </x:c>
      <x:c r="D27" s="75" t="n">
        <x:v>0.9142780587568907</x:v>
      </x:c>
      <x:c r="E27" s="75" t="n">
        <x:v>0.08250031420893794</x:v>
      </x:c>
      <x:c r="F27" s="75" t="n">
        <x:v>0.9427760943706103</x:v>
      </x:c>
      <x:c r="G27" s="75" t="n">
        <x:v>0.9443040008087891</x:v>
      </x:c>
      <x:c r="H27" s="75" t="n">
        <x:v>1.0497357468867174</x:v>
      </x:c>
      <x:c r="I27" s="75" t="n">
        <x:v>0.7550000610380436</x:v>
      </x:c>
      <x:c r="J27" s="75" t="n">
        <x:v>1.0446154514246366</x:v>
      </x:c>
      <x:c r="K27" s="75" t="n">
        <x:v>0.8493795060601844</x:v>
      </x:c>
      <x:c r="L27" s="75" t="n">
        <x:v>0.9026114532356727</x:v>
      </x:c>
      <x:c r="M27" s="75" t="n">
        <x:v>0.8863169339199279</x:v>
      </x:c>
      <x:c r="N27" s="75" t="n">
        <x:v>0.7770570992028392</x:v>
      </x:c>
      <x:c r="O27" s="66" t="n">
        <x:v>439813.2773093905</x:v>
      </x:c>
      <x:c r="P27" s="66" t="n">
        <x:v>276713.6755918746</x:v>
      </x:c>
      <x:c r="Q27" s="66" t="n">
        <x:v>163099.60171751594</x:v>
      </x:c>
      <x:c r="R27" s="66" t="n">
        <x:v>118335.74814932693</x:v>
      </x:c>
      <x:c r="S27" s="66" t="n">
        <x:v>44763.85356818901</x:v>
      </x:c>
      <x:c r="T27" s="66" t="n">
        <x:v>127406.92120169802</x:v>
      </x:c>
      <x:c r="U27" s="45" t="n">
        <x:v>0.918845832180938</x:v>
      </x:c>
      <x:c r="V27" s="45" t="n">
        <x:v>0.9336067384657111</x:v>
      </x:c>
      <x:c r="W27" s="45" t="n">
        <x:v>0.47392980579353194</x:v>
      </x:c>
      <x:c r="X27" s="66" t="n">
        <x:v>18330020.117781807</x:v>
      </x:c>
      <x:c r="Y27" s="66" t="n">
        <x:v>41.67682301434341</x:v>
      </x:c>
      <x:c r="Z27" s="66" t="n">
        <x:v>1365812.0187982428</x:v>
      </x:c>
      <x:c r="AA27" s="66" t="n">
        <x:v>106309.44222036179</x:v>
      </x:c>
      <x:c r="AB27" s="66" t="n">
        <x:v>1018.7326998853603</x:v>
      </x:c>
      <x:c r="AC27" s="66" t="n">
        <x:v>32658.79121686448</x:v>
      </x:c>
      <x:c r="AD27" s="66" t="n">
        <x:v>1377.7890973228002</x:v>
      </x:c>
      <x:c r="AE27" s="66" t="n">
        <x:v>66796.46746387656</x:v>
      </x:c>
      <x:c r="AF27" s="66" t="n">
        <x:v>127406.92120169802</x:v>
      </x:c>
      <x:c r="AG27" s="66" t="n">
        <x:v>0</x:v>
      </x:c>
      <x:c r="AH27" s="36" t="n">
        <x:v>0</x:v>
      </x:c>
    </x:row>
    <x:row r="28" ht="15" hidden="0" customHeight="1">
      <x:c r="A28" s="34" t="n">
        <x:v>6</x:v>
      </x:c>
      <x:c r="B28" s="34" t="str">
        <x:v>H3</x:v>
      </x:c>
      <x:c r="C28" s="34" t="str">
        <x:v>reference</x:v>
      </x:c>
      <x:c r="D28" s="74" t="n">
        <x:v>0.9142780587568907</x:v>
      </x:c>
      <x:c r="E28" s="74" t="n">
        <x:v>0.08250031420893794</x:v>
      </x:c>
      <x:c r="F28" s="74" t="n">
        <x:v>0.9427760943706103</x:v>
      </x:c>
      <x:c r="G28" s="74" t="n">
        <x:v>0.9443040008087891</x:v>
      </x:c>
      <x:c r="H28" s="74" t="n">
        <x:v>1.0497357468867174</x:v>
      </x:c>
      <x:c r="I28" s="74" t="n">
        <x:v>0.7550000610380436</x:v>
      </x:c>
      <x:c r="J28" s="74" t="n">
        <x:v>1.0446154514246366</x:v>
      </x:c>
      <x:c r="K28" s="74" t="n">
        <x:v>0.8493795060601844</x:v>
      </x:c>
      <x:c r="L28" s="74" t="n">
        <x:v>0.9026114532356727</x:v>
      </x:c>
      <x:c r="M28" s="74" t="n">
        <x:v>0.8863169339199279</x:v>
      </x:c>
      <x:c r="N28" s="74" t="n">
        <x:v>0.7770570992028392</x:v>
      </x:c>
      <x:c r="O28" s="65" t="n">
        <x:v>439813.2773093905</x:v>
      </x:c>
      <x:c r="P28" s="65" t="n">
        <x:v>287051.1367893978</x:v>
      </x:c>
      <x:c r="Q28" s="65" t="n">
        <x:v>152762.14051999274</x:v>
      </x:c>
      <x:c r="R28" s="65" t="n">
        <x:v>118335.74814932693</x:v>
      </x:c>
      <x:c r="S28" s="65" t="n">
        <x:v>34426.392370665795</x:v>
      </x:c>
      <x:c r="T28" s="65" t="n">
        <x:v>151405.6972061795</x:v>
      </x:c>
      <x:c r="U28" s="43" t="n">
        <x:v>0.996915865473386</x:v>
      </x:c>
      <x:c r="V28" s="43" t="n">
        <x:v>0.9980574938976413</x:v>
      </x:c>
      <x:c r="W28" s="43" t="n">
        <x:v>0.9691586547338585</x:v>
      </x:c>
      <x:c r="X28" s="65" t="n">
        <x:v>15073133.17320065</x:v>
      </x:c>
      <x:c r="Y28" s="65" t="n">
        <x:v>34.27166470601414</x:v>
      </x:c>
      <x:c r="Z28" s="65" t="n">
        <x:v>1294118.4220504255</x:v>
      </x:c>
      <x:c r="AA28" s="65" t="n">
        <x:v>90164.42244075748</x:v>
      </x:c>
      <x:c r="AB28" s="65" t="n">
        <x:v>9889.922730644366</x:v>
      </x:c>
      <x:c r="AC28" s="65" t="n">
        <x:v>0</x:v>
      </x:c>
      <x:c r="AD28" s="65" t="n">
        <x:v>1356.4433138132142</x:v>
      </x:c>
      <x:c r="AE28" s="65" t="n">
        <x:v>61935.60186252976</x:v>
      </x:c>
      <x:c r="AF28" s="65" t="n">
        <x:v>151405.6972061794</x:v>
      </x:c>
      <x:c r="AG28" s="65" t="n">
        <x:v>8.731149137020111e-11</x:v>
      </x:c>
      <x:c r="AH28" s="34" t="n">
        <x:v>1</x:v>
      </x:c>
    </x:row>
    <x:row r="29" ht="21.600000381469727" hidden="0" customHeight="1">
      <x:c r="A29" s="36" t="n">
        <x:v>7</x:v>
      </x:c>
      <x:c r="B29" s="36" t="str">
        <x:v>M0</x:v>
      </x:c>
      <x:c r="C29" s="36" t="str">
        <x:v>reference</x:v>
      </x:c>
      <x:c r="D29" s="75" t="n">
        <x:v>1.061115085705533</x:v>
      </x:c>
      <x:c r="E29" s="75" t="n">
        <x:v>-0.00980769156406034</x:v>
      </x:c>
      <x:c r="F29" s="75" t="n">
        <x:v>0.8533810112941851</x:v>
      </x:c>
      <x:c r="G29" s="75" t="n">
        <x:v>0.9212222079988317</x:v>
      </x:c>
      <x:c r="H29" s="75" t="n">
        <x:v>0.8638141605780855</x:v>
      </x:c>
      <x:c r="I29" s="75" t="n">
        <x:v>0.8739738191114714</x:v>
      </x:c>
      <x:c r="J29" s="75" t="n">
        <x:v>0.9222114527932146</x:v>
      </x:c>
      <x:c r="K29" s="75" t="n">
        <x:v>0.8624843322412705</x:v>
      </x:c>
      <x:c r="L29" s="75" t="n">
        <x:v>0.9760635522699331</x:v>
      </x:c>
      <x:c r="M29" s="75" t="n">
        <x:v>1.0575835752536442</x:v>
      </x:c>
      <x:c r="N29" s="75" t="n">
        <x:v>0.9256364594370446</x:v>
      </x:c>
      <x:c r="O29" s="66" t="n">
        <x:v>510449.1997556294</x:v>
      </x:c>
      <x:c r="P29" s="66" t="n">
        <x:v>66813.7896691488</x:v>
      </x:c>
      <x:c r="Q29" s="66" t="n">
        <x:v>443635.41008648067</x:v>
      </x:c>
      <x:c r="R29" s="66" t="n">
        <x:v>90222.43555674444</x:v>
      </x:c>
      <x:c r="S29" s="66" t="n">
        <x:v>353412.9745297362</x:v>
      </x:c>
      <x:c r="T29" s="66" t="n">
        <x:v>267623.2581076428</x:v>
      </x:c>
      <x:c r="U29" s="45" t="n">
        <x:v>0.6551818436328214</x:v>
      </x:c>
      <x:c r="V29" s="45" t="n">
        <x:v>0.6839399712144988</x:v>
      </x:c>
      <x:c r="W29" s="45" t="n">
        <x:v>0.12990083111640813</x:v>
      </x:c>
      <x:c r="X29" s="66" t="n">
        <x:v>58267008.02586742</x:v>
      </x:c>
      <x:c r="Y29" s="66" t="n">
        <x:v>114.14849519552965</x:v>
      </x:c>
      <x:c r="Z29" s="66" t="n">
        <x:v>5600119.87994159</x:v>
      </x:c>
      <x:c r="AA29" s="66" t="n">
        <x:v>314049.3099992754</x:v>
      </x:c>
      <x:c r="AB29" s="66" t="n">
        <x:v>47422.8899350608</x:v>
      </x:c>
      <x:c r="AC29" s="66" t="n">
        <x:v>0</x:v>
      </x:c>
      <x:c r="AD29" s="66" t="n">
        <x:v>2163.6228576381222</x:v>
      </x:c>
      <x:c r="AE29" s="66" t="n">
        <x:v>187648.26801228215</x:v>
      </x:c>
      <x:c r="AF29" s="66" t="n">
        <x:v>267623.25810764293</x:v>
      </x:c>
      <x:c r="AG29" s="66" t="n">
        <x:v>0</x:v>
      </x:c>
      <x:c r="AH29" s="36" t="n">
        <x:v>0</x:v>
      </x:c>
    </x:row>
    <x:row r="30" ht="21.600000381469727" hidden="0" customHeight="1">
      <x:c r="A30" s="34" t="n">
        <x:v>7</x:v>
      </x:c>
      <x:c r="B30" s="34" t="str">
        <x:v>B1</x:v>
      </x:c>
      <x:c r="C30" s="34" t="str">
        <x:v>reference</x:v>
      </x:c>
      <x:c r="D30" s="74" t="n">
        <x:v>1.061115085705533</x:v>
      </x:c>
      <x:c r="E30" s="74" t="n">
        <x:v>-0.00980769156406034</x:v>
      </x:c>
      <x:c r="F30" s="74" t="n">
        <x:v>0.8533810112941851</x:v>
      </x:c>
      <x:c r="G30" s="74" t="n">
        <x:v>0.9212222079988317</x:v>
      </x:c>
      <x:c r="H30" s="74" t="n">
        <x:v>0.8638141605780855</x:v>
      </x:c>
      <x:c r="I30" s="74" t="n">
        <x:v>0.8739738191114714</x:v>
      </x:c>
      <x:c r="J30" s="74" t="n">
        <x:v>0.9222114527932146</x:v>
      </x:c>
      <x:c r="K30" s="74" t="n">
        <x:v>0.8624843322412705</x:v>
      </x:c>
      <x:c r="L30" s="74" t="n">
        <x:v>0.9760635522699331</x:v>
      </x:c>
      <x:c r="M30" s="74" t="n">
        <x:v>1.0575835752536442</x:v>
      </x:c>
      <x:c r="N30" s="74" t="n">
        <x:v>0.9256364594370446</x:v>
      </x:c>
      <x:c r="O30" s="65" t="n">
        <x:v>510449.1997556294</x:v>
      </x:c>
      <x:c r="P30" s="65" t="n">
        <x:v>226008.14155166096</x:v>
      </x:c>
      <x:c r="Q30" s="65" t="n">
        <x:v>284441.05820396845</x:v>
      </x:c>
      <x:c r="R30" s="65" t="n">
        <x:v>90222.43555674444</x:v>
      </x:c>
      <x:c r="S30" s="65" t="n">
        <x:v>194218.62264722402</x:v>
      </x:c>
      <x:c r="T30" s="65" t="n">
        <x:v>198557.05837559246</x:v>
      </x:c>
      <x:c r="U30" s="43" t="n">
        <x:v>0.8317481938075487</x:v>
      </x:c>
      <x:c r="V30" s="43" t="n">
        <x:v>0.8506176049921953</x:v>
      </x:c>
      <x:c r="W30" s="43" t="n">
        <x:v>0.48907487704569685</x:v>
      </x:c>
      <x:c r="X30" s="65" t="n">
        <x:v>37398698.47392528</x:v>
      </x:c>
      <x:c r="Y30" s="65" t="n">
        <x:v>73.26624959316108</x:v>
      </x:c>
      <x:c r="Z30" s="65" t="n">
        <x:v>1928920.5985759252</x:v>
      </x:c>
      <x:c r="AA30" s="65" t="n">
        <x:v>200871.8303805705</x:v>
      </x:c>
      <x:c r="AB30" s="65" t="n">
        <x:v>8341.66103980978</x:v>
      </x:c>
      <x:c r="AC30" s="65" t="n">
        <x:v>0</x:v>
      </x:c>
      <x:c r="AD30" s="65" t="n">
        <x:v>1749.9712293900839</x:v>
      </x:c>
      <x:c r="AE30" s="65" t="n">
        <x:v>110712.35125676326</x:v>
      </x:c>
      <x:c r="AF30" s="65" t="n">
        <x:v>198557.05837559237</x:v>
      </x:c>
      <x:c r="AG30" s="65" t="n">
        <x:v>8.731149137020111e-11</x:v>
      </x:c>
      <x:c r="AH30" s="34" t="n">
        <x:v>0</x:v>
      </x:c>
    </x:row>
    <x:row r="31" ht="21.600000381469727" hidden="0" customHeight="1">
      <x:c r="A31" s="36" t="n">
        <x:v>7</x:v>
      </x:c>
      <x:c r="B31" s="36" t="str">
        <x:v>P2</x:v>
      </x:c>
      <x:c r="C31" s="36" t="str">
        <x:v>reference</x:v>
      </x:c>
      <x:c r="D31" s="75" t="n">
        <x:v>1.061115085705533</x:v>
      </x:c>
      <x:c r="E31" s="75" t="n">
        <x:v>-0.00980769156406034</x:v>
      </x:c>
      <x:c r="F31" s="75" t="n">
        <x:v>0.8533810112941851</x:v>
      </x:c>
      <x:c r="G31" s="75" t="n">
        <x:v>0.9212222079988317</x:v>
      </x:c>
      <x:c r="H31" s="75" t="n">
        <x:v>0.8638141605780855</x:v>
      </x:c>
      <x:c r="I31" s="75" t="n">
        <x:v>0.8739738191114714</x:v>
      </x:c>
      <x:c r="J31" s="75" t="n">
        <x:v>0.9222114527932146</x:v>
      </x:c>
      <x:c r="K31" s="75" t="n">
        <x:v>0.8624843322412705</x:v>
      </x:c>
      <x:c r="L31" s="75" t="n">
        <x:v>0.9760635522699331</x:v>
      </x:c>
      <x:c r="M31" s="75" t="n">
        <x:v>1.0575835752536442</x:v>
      </x:c>
      <x:c r="N31" s="75" t="n">
        <x:v>0.9256364594370446</x:v>
      </x:c>
      <x:c r="O31" s="66" t="n">
        <x:v>510449.1997556294</x:v>
      </x:c>
      <x:c r="P31" s="66" t="n">
        <x:v>327415.45491937234</x:v>
      </x:c>
      <x:c r="Q31" s="66" t="n">
        <x:v>183033.74483625713</x:v>
      </x:c>
      <x:c r="R31" s="66" t="n">
        <x:v>90222.43555674444</x:v>
      </x:c>
      <x:c r="S31" s="66" t="n">
        <x:v>92811.30927951267</x:v>
      </x:c>
      <x:c r="T31" s="66" t="n">
        <x:v>129270.86272032028</x:v>
      </x:c>
      <x:c r="U31" s="45" t="n">
        <x:v>0.8946753523334445</x:v>
      </x:c>
      <x:c r="V31" s="45" t="n">
        <x:v>0.9096224304630693</x:v>
      </x:c>
      <x:c r="W31" s="45" t="n">
        <x:v>0.6297043083278732</x:v>
      </x:c>
      <x:c r="X31" s="66" t="n">
        <x:v>22866297.617989875</x:v>
      </x:c>
      <x:c r="Y31" s="66" t="n">
        <x:v>44.7964217182372</x:v>
      </x:c>
      <x:c r="Z31" s="66" t="n">
        <x:v>847581.3129829008</x:v>
      </x:c>
      <x:c r="AA31" s="66" t="n">
        <x:v>130757.52371317934</x:v>
      </x:c>
      <x:c r="AB31" s="66" t="n">
        <x:v>61.480203756483</x:v>
      </x:c>
      <x:c r="AC31" s="66" t="n">
        <x:v>8604.148681786148</x:v>
      </x:c>
      <x:c r="AD31" s="66" t="n">
        <x:v>1500.029964568044</x:v>
      </x:c>
      <x:c r="AE31" s="66" t="n">
        <x:v>65532.47101810122</x:v>
      </x:c>
      <x:c r="AF31" s="66" t="n">
        <x:v>129270.86272032032</x:v>
      </x:c>
      <x:c r="AG31" s="66" t="n">
        <x:v>0</x:v>
      </x:c>
      <x:c r="AH31" s="36" t="n">
        <x:v>0</x:v>
      </x:c>
    </x:row>
    <x:row r="32" ht="21.600000381469727" hidden="0" customHeight="1">
      <x:c r="A32" s="34" t="n">
        <x:v>7</x:v>
      </x:c>
      <x:c r="B32" s="34" t="str">
        <x:v>H3</x:v>
      </x:c>
      <x:c r="C32" s="34" t="str">
        <x:v>reference</x:v>
      </x:c>
      <x:c r="D32" s="74" t="n">
        <x:v>1.061115085705533</x:v>
      </x:c>
      <x:c r="E32" s="74" t="n">
        <x:v>-0.00980769156406034</x:v>
      </x:c>
      <x:c r="F32" s="74" t="n">
        <x:v>0.8533810112941851</x:v>
      </x:c>
      <x:c r="G32" s="74" t="n">
        <x:v>0.9212222079988317</x:v>
      </x:c>
      <x:c r="H32" s="74" t="n">
        <x:v>0.8638141605780855</x:v>
      </x:c>
      <x:c r="I32" s="74" t="n">
        <x:v>0.8739738191114714</x:v>
      </x:c>
      <x:c r="J32" s="74" t="n">
        <x:v>0.9222114527932146</x:v>
      </x:c>
      <x:c r="K32" s="74" t="n">
        <x:v>0.8624843322412705</x:v>
      </x:c>
      <x:c r="L32" s="74" t="n">
        <x:v>0.9760635522699331</x:v>
      </x:c>
      <x:c r="M32" s="74" t="n">
        <x:v>1.0575835752536442</x:v>
      </x:c>
      <x:c r="N32" s="74" t="n">
        <x:v>0.9256364594370446</x:v>
      </x:c>
      <x:c r="O32" s="65" t="n">
        <x:v>510449.1997556294</x:v>
      </x:c>
      <x:c r="P32" s="65" t="n">
        <x:v>339646.5367090712</x:v>
      </x:c>
      <x:c r="Q32" s="65" t="n">
        <x:v>170802.66304655827</x:v>
      </x:c>
      <x:c r="R32" s="65" t="n">
        <x:v>90222.43555674444</x:v>
      </x:c>
      <x:c r="S32" s="65" t="n">
        <x:v>80580.22748981384</x:v>
      </x:c>
      <x:c r="T32" s="65" t="n">
        <x:v>169330.69064615958</x:v>
      </x:c>
      <x:c r="U32" s="43" t="n">
        <x:v>0.9971163195062244</x:v>
      </x:c>
      <x:c r="V32" s="43" t="n">
        <x:v>0.998183733112027</x:v>
      </x:c>
      <x:c r="W32" s="43" t="n">
        <x:v>0.9711631950622438</x:v>
      </x:c>
      <x:c r="X32" s="65" t="n">
        <x:v>17063645.66463789</x:v>
      </x:c>
      <x:c r="Y32" s="65" t="n">
        <x:v>33.42868530856132</x:v>
      </x:c>
      <x:c r="Z32" s="65" t="n">
        <x:v>1122349.6334038363</x:v>
      </x:c>
      <x:c r="AA32" s="65" t="n">
        <x:v>102895.50832715112</x:v>
      </x:c>
      <x:c r="AB32" s="65" t="n">
        <x:v>3202.9109220512246</x:v>
      </x:c>
      <x:c r="AC32" s="65" t="n">
        <x:v>20.826537020787846</x:v>
      </x:c>
      <x:c r="AD32" s="65" t="n">
        <x:v>1471.97240039868</x:v>
      </x:c>
      <x:c r="AE32" s="65" t="n">
        <x:v>47235.42677517589</x:v>
      </x:c>
      <x:c r="AF32" s="65" t="n">
        <x:v>169330.69064615978</x:v>
      </x:c>
      <x:c r="AG32" s="65" t="n">
        <x:v>0</x:v>
      </x:c>
      <x:c r="AH32" s="34" t="n">
        <x:v>1</x:v>
      </x:c>
    </x:row>
    <x:row r="33" ht="15" hidden="0" customHeight="1">
      <x:c r="A33" s="36" t="n">
        <x:v>8</x:v>
      </x:c>
      <x:c r="B33" s="36" t="str">
        <x:v>M0</x:v>
      </x:c>
      <x:c r="C33" s="36" t="str">
        <x:v>reference</x:v>
      </x:c>
      <x:c r="D33" s="75" t="n">
        <x:v>1.1154429476086083</x:v>
      </x:c>
      <x:c r="E33" s="75" t="n">
        <x:v>0.09735200184290047</x:v>
      </x:c>
      <x:c r="F33" s="75" t="n">
        <x:v>0.9275913234861807</x:v>
      </x:c>
      <x:c r="G33" s="75" t="n">
        <x:v>1.0632376055937298</x:v>
      </x:c>
      <x:c r="H33" s="75" t="n">
        <x:v>0.732041538068542</x:v>
      </x:c>
      <x:c r="I33" s="75" t="n">
        <x:v>0.7952880005770572</x:v>
      </x:c>
      <x:c r="J33" s="75" t="n">
        <x:v>0.9140654151084927</x:v>
      </x:c>
      <x:c r="K33" s="75" t="n">
        <x:v>0.9493107027693023</x:v>
      </x:c>
      <x:c r="L33" s="75" t="n">
        <x:v>0.9960050049779903</x:v>
      </x:c>
      <x:c r="M33" s="75" t="n">
        <x:v>0.7508713762161849</x:v>
      </x:c>
      <x:c r="N33" s="75" t="n">
        <x:v>0.8622880322778567</x:v>
      </x:c>
      <x:c r="O33" s="66" t="n">
        <x:v>536583.6068585315</x:v>
      </x:c>
      <x:c r="P33" s="66" t="n">
        <x:v>66403.15367381093</x:v>
      </x:c>
      <x:c r="Q33" s="66" t="n">
        <x:v>470180.45318472054</x:v>
      </x:c>
      <x:c r="R33" s="66" t="n">
        <x:v>152341.85443211495</x:v>
      </x:c>
      <x:c r="S33" s="66" t="n">
        <x:v>317838.5987526056</x:v>
      </x:c>
      <x:c r="T33" s="66" t="n">
        <x:v>229473.66760460264</x:v>
      </x:c>
      <x:c r="U33" s="45" t="n">
        <x:v>0.5514086108791999</x:v>
      </x:c>
      <x:c r="V33" s="45" t="n">
        <x:v>0.5797852619291072</x:v>
      </x:c>
      <x:c r="W33" s="45" t="n">
        <x:v>0.11808367760283618</x:v>
      </x:c>
      <x:c r="X33" s="66" t="n">
        <x:v>65164638.920398235</x:v>
      </x:c>
      <x:c r="Y33" s="66" t="n">
        <x:v>121.4435888228294</x:v>
      </x:c>
      <x:c r="Z33" s="66" t="n">
        <x:v>4753572.203294181</x:v>
      </x:c>
      <x:c r="AA33" s="66" t="n">
        <x:v>356188.66031637014</x:v>
      </x:c>
      <x:c r="AB33" s="66" t="n">
        <x:v>42236.151643704914</x:v>
      </x:c>
      <x:c r="AC33" s="66" t="n">
        <x:v>0</x:v>
      </x:c>
      <x:c r="AD33" s="66" t="n">
        <x:v>2306.3433955645764</x:v>
      </x:c>
      <x:c r="AE33" s="66" t="n">
        <x:v>204639.77227500037</x:v>
      </x:c>
      <x:c r="AF33" s="66" t="n">
        <x:v>198364.27655088084</x:v>
      </x:c>
      <x:c r="AG33" s="66" t="n">
        <x:v>31109.391053721803</x:v>
      </x:c>
      <x:c r="AH33" s="36" t="n">
        <x:v>0</x:v>
      </x:c>
    </x:row>
    <x:row r="34" ht="15" hidden="0" customHeight="1">
      <x:c r="A34" s="34" t="n">
        <x:v>8</x:v>
      </x:c>
      <x:c r="B34" s="34" t="str">
        <x:v>B1</x:v>
      </x:c>
      <x:c r="C34" s="34" t="str">
        <x:v>reference</x:v>
      </x:c>
      <x:c r="D34" s="74" t="n">
        <x:v>1.1154429476086083</x:v>
      </x:c>
      <x:c r="E34" s="74" t="n">
        <x:v>0.09735200184290047</x:v>
      </x:c>
      <x:c r="F34" s="74" t="n">
        <x:v>0.9275913234861807</x:v>
      </x:c>
      <x:c r="G34" s="74" t="n">
        <x:v>1.0632376055937298</x:v>
      </x:c>
      <x:c r="H34" s="74" t="n">
        <x:v>0.732041538068542</x:v>
      </x:c>
      <x:c r="I34" s="74" t="n">
        <x:v>0.7952880005770572</x:v>
      </x:c>
      <x:c r="J34" s="74" t="n">
        <x:v>0.9140654151084927</x:v>
      </x:c>
      <x:c r="K34" s="74" t="n">
        <x:v>0.9493107027693023</x:v>
      </x:c>
      <x:c r="L34" s="74" t="n">
        <x:v>0.9960050049779903</x:v>
      </x:c>
      <x:c r="M34" s="74" t="n">
        <x:v>0.7508713762161849</x:v>
      </x:c>
      <x:c r="N34" s="74" t="n">
        <x:v>0.8622880322778567</x:v>
      </x:c>
      <x:c r="O34" s="65" t="n">
        <x:v>536583.6068585315</x:v>
      </x:c>
      <x:c r="P34" s="65" t="n">
        <x:v>224622.64152145738</x:v>
      </x:c>
      <x:c r="Q34" s="65" t="n">
        <x:v>311960.9653370741</x:v>
      </x:c>
      <x:c r="R34" s="65" t="n">
        <x:v>152341.85443211495</x:v>
      </x:c>
      <x:c r="S34" s="65" t="n">
        <x:v>159619.11090495915</x:v>
      </x:c>
      <x:c r="T34" s="65" t="n">
        <x:v>170292.2632744116</x:v>
      </x:c>
      <x:c r="U34" s="43" t="n">
        <x:v>0.7359801897563132</x:v>
      </x:c>
      <x:c r="V34" s="43" t="n">
        <x:v>0.763606243459126</x:v>
      </x:c>
      <x:c r="W34" s="43" t="n">
        <x:v>0.42531646113065613</x:v>
      </x:c>
      <x:c r="X34" s="65" t="n">
        <x:v>43833060.52016442</x:v>
      </x:c>
      <x:c r="Y34" s="65" t="n">
        <x:v>81.68915330229399</x:v>
      </x:c>
      <x:c r="Z34" s="65" t="n">
        <x:v>1620178.7404401067</x:v>
      </x:c>
      <x:c r="AA34" s="65" t="n">
        <x:v>238632.37315577734</x:v>
      </x:c>
      <x:c r="AB34" s="65" t="n">
        <x:v>7671.218638154958</x:v>
      </x:c>
      <x:c r="AC34" s="65" t="n">
        <x:v>0</x:v>
      </x:c>
      <x:c r="AD34" s="65" t="n">
        <x:v>1943.8513299455335</x:v>
      </x:c>
      <x:c r="AE34" s="65" t="n">
        <x:v>127804.95777543122</x:v>
      </x:c>
      <x:c r="AF34" s="65" t="n">
        <x:v>170292.26327441158</x:v>
      </x:c>
      <x:c r="AG34" s="65" t="n">
        <x:v>2.9103830456733704e-11</x:v>
      </x:c>
      <x:c r="AH34" s="34" t="n">
        <x:v>0</x:v>
      </x:c>
    </x:row>
    <x:row r="35" ht="15" hidden="0" customHeight="1">
      <x:c r="A35" s="36" t="n">
        <x:v>8</x:v>
      </x:c>
      <x:c r="B35" s="36" t="str">
        <x:v>P2</x:v>
      </x:c>
      <x:c r="C35" s="36" t="str">
        <x:v>reference</x:v>
      </x:c>
      <x:c r="D35" s="75" t="n">
        <x:v>1.1154429476086083</x:v>
      </x:c>
      <x:c r="E35" s="75" t="n">
        <x:v>0.09735200184290047</x:v>
      </x:c>
      <x:c r="F35" s="75" t="n">
        <x:v>0.9275913234861807</x:v>
      </x:c>
      <x:c r="G35" s="75" t="n">
        <x:v>1.0632376055937298</x:v>
      </x:c>
      <x:c r="H35" s="75" t="n">
        <x:v>0.732041538068542</x:v>
      </x:c>
      <x:c r="I35" s="75" t="n">
        <x:v>0.7952880005770572</x:v>
      </x:c>
      <x:c r="J35" s="75" t="n">
        <x:v>0.9140654151084927</x:v>
      </x:c>
      <x:c r="K35" s="75" t="n">
        <x:v>0.9493107027693023</x:v>
      </x:c>
      <x:c r="L35" s="75" t="n">
        <x:v>0.9960050049779903</x:v>
      </x:c>
      <x:c r="M35" s="75" t="n">
        <x:v>0.7508713762161849</x:v>
      </x:c>
      <x:c r="N35" s="75" t="n">
        <x:v>0.8622880322778567</x:v>
      </x:c>
      <x:c r="O35" s="66" t="n">
        <x:v>536583.6068585315</x:v>
      </x:c>
      <x:c r="P35" s="66" t="n">
        <x:v>325411.1855827208</x:v>
      </x:c>
      <x:c r="Q35" s="66" t="n">
        <x:v>211172.42127581075</x:v>
      </x:c>
      <x:c r="R35" s="66" t="n">
        <x:v>152341.85443211495</x:v>
      </x:c>
      <x:c r="S35" s="66" t="n">
        <x:v>58830.56684369578</x:v>
      </x:c>
      <x:c r="T35" s="66" t="n">
        <x:v>113888.6780031171</x:v>
      </x:c>
      <x:c r="U35" s="45" t="n">
        <x:v>0.8186978841149314</x:v>
      </x:c>
      <x:c r="V35" s="45" t="n">
        <x:v>0.8453803901167944</x:v>
      </x:c>
      <x:c r="W35" s="45" t="n">
        <x:v>0.48425481907705326</x:v>
      </x:c>
      <x:c r="X35" s="66" t="n">
        <x:v>28784649.275508117</x:v>
      </x:c>
      <x:c r="Y35" s="66" t="n">
        <x:v>53.64429495718287</x:v>
      </x:c>
      <x:c r="Z35" s="66" t="n">
        <x:v>712505.4481023327</x:v>
      </x:c>
      <x:c r="AA35" s="66" t="n">
        <x:v>163809.37170827325</x:v>
      </x:c>
      <x:c r="AB35" s="66" t="n">
        <x:v>0</x:v>
      </x:c>
      <x:c r="AC35" s="66" t="n">
        <x:v>0</x:v>
      </x:c>
      <x:c r="AD35" s="66" t="n">
        <x:v>1724.8222746206268</x:v>
      </x:c>
      <x:c r="AE35" s="66" t="n">
        <x:v>76769.48273786671</x:v>
      </x:c>
      <x:c r="AF35" s="66" t="n">
        <x:v>113888.67800311715</x:v>
      </x:c>
      <x:c r="AG35" s="66" t="n">
        <x:v>0</x:v>
      </x:c>
      <x:c r="AH35" s="36" t="n">
        <x:v>0</x:v>
      </x:c>
    </x:row>
    <x:row r="36" ht="15" hidden="0" customHeight="1">
      <x:c r="A36" s="34" t="n">
        <x:v>8</x:v>
      </x:c>
      <x:c r="B36" s="34" t="str">
        <x:v>H3</x:v>
      </x:c>
      <x:c r="C36" s="34" t="str">
        <x:v>reference</x:v>
      </x:c>
      <x:c r="D36" s="74" t="n">
        <x:v>1.1154429476086083</x:v>
      </x:c>
      <x:c r="E36" s="74" t="n">
        <x:v>0.09735200184290047</x:v>
      </x:c>
      <x:c r="F36" s="74" t="n">
        <x:v>0.9275913234861807</x:v>
      </x:c>
      <x:c r="G36" s="74" t="n">
        <x:v>1.0632376055937298</x:v>
      </x:c>
      <x:c r="H36" s="74" t="n">
        <x:v>0.732041538068542</x:v>
      </x:c>
      <x:c r="I36" s="74" t="n">
        <x:v>0.7952880005770572</x:v>
      </x:c>
      <x:c r="J36" s="74" t="n">
        <x:v>0.9140654151084927</x:v>
      </x:c>
      <x:c r="K36" s="74" t="n">
        <x:v>0.9493107027693023</x:v>
      </x:c>
      <x:c r="L36" s="74" t="n">
        <x:v>0.9960050049779903</x:v>
      </x:c>
      <x:c r="M36" s="74" t="n">
        <x:v>0.7508713762161849</x:v>
      </x:c>
      <x:c r="N36" s="74" t="n">
        <x:v>0.8622880322778567</x:v>
      </x:c>
      <x:c r="O36" s="65" t="n">
        <x:v>536583.6068585315</x:v>
      </x:c>
      <x:c r="P36" s="65" t="n">
        <x:v>337567.9778910456</x:v>
      </x:c>
      <x:c r="Q36" s="65" t="n">
        <x:v>199015.6289674858</x:v>
      </x:c>
      <x:c r="R36" s="65" t="n">
        <x:v>152341.85443211495</x:v>
      </x:c>
      <x:c r="S36" s="65" t="n">
        <x:v>46673.774535370845</x:v>
      </x:c>
      <x:c r="T36" s="65" t="n">
        <x:v>173950.84684946988</x:v>
      </x:c>
      <x:c r="U36" s="43" t="n">
        <x:v>0.9532882074710416</x:v>
      </x:c>
      <x:c r="V36" s="43" t="n">
        <x:v>0.9613487966916284</x:v>
      </x:c>
      <x:c r="W36" s="43" t="n">
        <x:v>0.7150524875700365</x:v>
      </x:c>
      <x:c r="X36" s="65" t="n">
        <x:v>21721588.20285429</x:v>
      </x:c>
      <x:c r="Y36" s="65" t="n">
        <x:v>40.48127435354378</x:v>
      </x:c>
      <x:c r="Z36" s="65" t="n">
        <x:v>1195511.9465283062</x:v>
      </x:c>
      <x:c r="AA36" s="65" t="n">
        <x:v>133834.66625229814</x:v>
      </x:c>
      <x:c r="AB36" s="65" t="n">
        <x:v>2810.12285435653</x:v>
      </x:c>
      <x:c r="AC36" s="65" t="n">
        <x:v>0</x:v>
      </x:c>
      <x:c r="AD36" s="65" t="n">
        <x:v>1700.234810925469</x:v>
      </x:c>
      <x:c r="AE36" s="65" t="n">
        <x:v>77625.0344213061</x:v>
      </x:c>
      <x:c r="AF36" s="65" t="n">
        <x:v>173950.8468494697</x:v>
      </x:c>
      <x:c r="AG36" s="65" t="n">
        <x:v>1.7462298274040222e-10</x:v>
      </x:c>
      <x:c r="AH36" s="34" t="n">
        <x:v>0</x:v>
      </x:c>
    </x:row>
    <x:row r="37" ht="15" hidden="0" customHeight="1">
      <x:c r="A37" s="36" t="n">
        <x:v>9</x:v>
      </x:c>
      <x:c r="B37" s="36" t="str">
        <x:v>M0</x:v>
      </x:c>
      <x:c r="C37" s="36" t="str">
        <x:v>reference</x:v>
      </x:c>
      <x:c r="D37" s="75" t="n">
        <x:v>1.089851737424547</x:v>
      </x:c>
      <x:c r="E37" s="75" t="n">
        <x:v>0.09259205554785929</x:v>
      </x:c>
      <x:c r="F37" s="75" t="n">
        <x:v>0.9145212942496079</x:v>
      </x:c>
      <x:c r="G37" s="75" t="n">
        <x:v>1.1008792382319563</x:v>
      </x:c>
      <x:c r="H37" s="75" t="n">
        <x:v>1.0602004166534695</x:v>
      </x:c>
      <x:c r="I37" s="75" t="n">
        <x:v>0.9771403642741556</x:v>
      </x:c>
      <x:c r="J37" s="75" t="n">
        <x:v>0.7778157948469853</x:v>
      </x:c>
      <x:c r="K37" s="75" t="n">
        <x:v>0.803093573342696</x:v>
      </x:c>
      <x:c r="L37" s="75" t="n">
        <x:v>0.9447832347834881</x:v>
      </x:c>
      <x:c r="M37" s="75" t="n">
        <x:v>0.9092569872412952</x:v>
      </x:c>
      <x:c r="N37" s="75" t="n">
        <x:v>0.9102754163027906</x:v>
      </x:c>
      <x:c r="O37" s="66" t="n">
        <x:v>524272.9603177309</x:v>
      </x:c>
      <x:c r="P37" s="66" t="n">
        <x:v>64390.793913056106</x:v>
      </x:c>
      <x:c r="Q37" s="66" t="n">
        <x:v>459882.16640467476</x:v>
      </x:c>
      <x:c r="R37" s="66" t="n">
        <x:v>146351.21840074885</x:v>
      </x:c>
      <x:c r="S37" s="66" t="n">
        <x:v>313530.94800392597</x:v>
      </x:c>
      <x:c r="T37" s="66" t="n">
        <x:v>294410.7028441044</x:v>
      </x:c>
      <x:c r="U37" s="45" t="n">
        <x:v>0.6843791763353809</x:v>
      </x:c>
      <x:c r="V37" s="45" t="n">
        <x:v>0.7076758641007169</x:v>
      </x:c>
      <x:c r="W37" s="45" t="n">
        <x:v>0.1271104095866</x:v>
      </x:c>
      <x:c r="X37" s="66" t="n">
        <x:v>58962152.772836804</x:v>
      </x:c>
      <x:c r="Y37" s="66" t="n">
        <x:v>112.46460762939847</x:v>
      </x:c>
      <x:c r="Z37" s="66" t="n">
        <x:v>5757657.789267097</x:v>
      </x:c>
      <x:c r="AA37" s="66" t="n">
        <x:v>320586.242769671</x:v>
      </x:c>
      <x:c r="AB37" s="66" t="n">
        <x:v>45185.96318305998</x:v>
      </x:c>
      <x:c r="AC37" s="66" t="n">
        <x:v>8424.029201351896</x:v>
      </x:c>
      <x:c r="AD37" s="66" t="n">
        <x:v>2253.5522097073936</x:v>
      </x:c>
      <x:c r="AE37" s="66" t="n">
        <x:v>241978.83886506365</x:v>
      </x:c>
      <x:c r="AF37" s="66" t="n">
        <x:v>294410.7028441041</x:v>
      </x:c>
      <x:c r="AG37" s="66" t="n">
        <x:v>2.9103830456733704e-10</x:v>
      </x:c>
      <x:c r="AH37" s="36" t="n">
        <x:v>0</x:v>
      </x:c>
    </x:row>
    <x:row r="38" ht="15" hidden="0" customHeight="1">
      <x:c r="A38" s="34" t="n">
        <x:v>9</x:v>
      </x:c>
      <x:c r="B38" s="34" t="str">
        <x:v>B1</x:v>
      </x:c>
      <x:c r="C38" s="34" t="str">
        <x:v>reference</x:v>
      </x:c>
      <x:c r="D38" s="74" t="n">
        <x:v>1.089851737424547</x:v>
      </x:c>
      <x:c r="E38" s="74" t="n">
        <x:v>0.09259205554785929</x:v>
      </x:c>
      <x:c r="F38" s="74" t="n">
        <x:v>0.9145212942496079</x:v>
      </x:c>
      <x:c r="G38" s="74" t="n">
        <x:v>1.1008792382319563</x:v>
      </x:c>
      <x:c r="H38" s="74" t="n">
        <x:v>1.0602004166534695</x:v>
      </x:c>
      <x:c r="I38" s="74" t="n">
        <x:v>0.9771403642741556</x:v>
      </x:c>
      <x:c r="J38" s="74" t="n">
        <x:v>0.7778157948469853</x:v>
      </x:c>
      <x:c r="K38" s="74" t="n">
        <x:v>0.803093573342696</x:v>
      </x:c>
      <x:c r="L38" s="74" t="n">
        <x:v>0.9447832347834881</x:v>
      </x:c>
      <x:c r="M38" s="74" t="n">
        <x:v>0.9092569872412952</x:v>
      </x:c>
      <x:c r="N38" s="74" t="n">
        <x:v>0.9102754163027906</x:v>
      </x:c>
      <x:c r="O38" s="65" t="n">
        <x:v>524272.9603177309</x:v>
      </x:c>
      <x:c r="P38" s="65" t="n">
        <x:v>217815.2369593811</x:v>
      </x:c>
      <x:c r="Q38" s="65" t="n">
        <x:v>306457.72335834976</x:v>
      </x:c>
      <x:c r="R38" s="65" t="n">
        <x:v>146351.21840074885</x:v>
      </x:c>
      <x:c r="S38" s="65" t="n">
        <x:v>160106.50495760096</x:v>
      </x:c>
      <x:c r="T38" s="65" t="n">
        <x:v>200767.31501198234</x:v>
      </x:c>
      <x:c r="U38" s="43" t="n">
        <x:v>0.7984057612234766</x:v>
      </x:c>
      <x:c r="V38" s="43" t="n">
        <x:v>0.8147974820063553</x:v>
      </x:c>
      <x:c r="W38" s="43" t="n">
        <x:v>0.4216264711434279</x:v>
      </x:c>
      <x:c r="X38" s="65" t="n">
        <x:v>39646941.012293905</x:v>
      </x:c>
      <x:c r="Y38" s="65" t="n">
        <x:v>75.62270804175411</x:v>
      </x:c>
      <x:c r="Z38" s="65" t="n">
        <x:v>2917545.756424133</x:v>
      </x:c>
      <x:c r="AA38" s="65" t="n">
        <x:v>212685.32953089997</x:v>
      </x:c>
      <x:c r="AB38" s="65" t="n">
        <x:v>10808.552280362366</x:v>
      </x:c>
      <x:c r="AC38" s="65" t="n">
        <x:v>37781.103960294015</x:v>
      </x:c>
      <x:c r="AD38" s="65" t="n">
        <x:v>1899.6539008047675</x:v>
      </x:c>
      <x:c r="AE38" s="65" t="n">
        <x:v>123691.3637485333</x:v>
      </x:c>
      <x:c r="AF38" s="65" t="n">
        <x:v>200767.31501198225</x:v>
      </x:c>
      <x:c r="AG38" s="65" t="n">
        <x:v>8.731149137020111e-11</x:v>
      </x:c>
      <x:c r="AH38" s="34" t="n">
        <x:v>0</x:v>
      </x:c>
    </x:row>
    <x:row r="39" ht="15" hidden="0" customHeight="1">
      <x:c r="A39" s="36" t="n">
        <x:v>9</x:v>
      </x:c>
      <x:c r="B39" s="36" t="str">
        <x:v>P2</x:v>
      </x:c>
      <x:c r="C39" s="36" t="str">
        <x:v>reference</x:v>
      </x:c>
      <x:c r="D39" s="75" t="n">
        <x:v>1.089851737424547</x:v>
      </x:c>
      <x:c r="E39" s="75" t="n">
        <x:v>0.09259205554785929</x:v>
      </x:c>
      <x:c r="F39" s="75" t="n">
        <x:v>0.9145212942496079</x:v>
      </x:c>
      <x:c r="G39" s="75" t="n">
        <x:v>1.1008792382319563</x:v>
      </x:c>
      <x:c r="H39" s="75" t="n">
        <x:v>1.0602004166534695</x:v>
      </x:c>
      <x:c r="I39" s="75" t="n">
        <x:v>0.9771403642741556</x:v>
      </x:c>
      <x:c r="J39" s="75" t="n">
        <x:v>0.7778157948469853</x:v>
      </x:c>
      <x:c r="K39" s="75" t="n">
        <x:v>0.803093573342696</x:v>
      </x:c>
      <x:c r="L39" s="75" t="n">
        <x:v>0.9447832347834881</x:v>
      </x:c>
      <x:c r="M39" s="75" t="n">
        <x:v>0.9092569872412952</x:v>
      </x:c>
      <x:c r="N39" s="75" t="n">
        <x:v>0.9102754163027906</x:v>
      </x:c>
      <x:c r="O39" s="66" t="n">
        <x:v>524272.9603177309</x:v>
      </x:c>
      <x:c r="P39" s="66" t="n">
        <x:v>315549.1454218251</x:v>
      </x:c>
      <x:c r="Q39" s="66" t="n">
        <x:v>208723.8148959058</x:v>
      </x:c>
      <x:c r="R39" s="66" t="n">
        <x:v>146351.21840074885</x:v>
      </x:c>
      <x:c r="S39" s="66" t="n">
        <x:v>62372.59649515698</x:v>
      </x:c>
      <x:c r="T39" s="66" t="n">
        <x:v>120464.0355048103</x:v>
      </x:c>
      <x:c r="U39" s="45" t="n">
        <x:v>0.8316530012579583</x:v>
      </x:c>
      <x:c r="V39" s="45" t="n">
        <x:v>0.8583764913446126</x:v>
      </x:c>
      <x:c r="W39" s="45" t="n">
        <x:v>0.3737722208633605</x:v>
      </x:c>
      <x:c r="X39" s="66" t="n">
        <x:v>26462804.23676667</x:v>
      </x:c>
      <x:c r="Y39" s="66" t="n">
        <x:v>50.47524140998827</x:v>
      </x:c>
      <x:c r="Z39" s="66" t="n">
        <x:v>2347450.5751579683</x:v>
      </x:c>
      <x:c r="AA39" s="66" t="n">
        <x:v>145895.44789530724</x:v>
      </x:c>
      <x:c r="AB39" s="66" t="n">
        <x:v>544.5180974693666</x:v>
      </x:c>
      <x:c r="AC39" s="66" t="n">
        <x:v>45744.38946253299</x:v>
      </x:c>
      <x:c r="AD39" s="66" t="n">
        <x:v>1685.8174623501761</x:v>
      </x:c>
      <x:c r="AE39" s="66" t="n">
        <x:v>50576.19357198475</x:v>
      </x:c>
      <x:c r="AF39" s="66" t="n">
        <x:v>120464.03550481042</x:v>
      </x:c>
      <x:c r="AG39" s="66" t="n">
        <x:v>0</x:v>
      </x:c>
      <x:c r="AH39" s="36" t="n">
        <x:v>0</x:v>
      </x:c>
    </x:row>
    <x:row r="40" ht="15" hidden="0" customHeight="1">
      <x:c r="A40" s="34" t="n">
        <x:v>9</x:v>
      </x:c>
      <x:c r="B40" s="34" t="str">
        <x:v>H3</x:v>
      </x:c>
      <x:c r="C40" s="34" t="str">
        <x:v>reference</x:v>
      </x:c>
      <x:c r="D40" s="74" t="n">
        <x:v>1.089851737424547</x:v>
      </x:c>
      <x:c r="E40" s="74" t="n">
        <x:v>0.09259205554785929</x:v>
      </x:c>
      <x:c r="F40" s="74" t="n">
        <x:v>0.9145212942496079</x:v>
      </x:c>
      <x:c r="G40" s="74" t="n">
        <x:v>1.1008792382319563</x:v>
      </x:c>
      <x:c r="H40" s="74" t="n">
        <x:v>1.0602004166534695</x:v>
      </x:c>
      <x:c r="I40" s="74" t="n">
        <x:v>0.9771403642741556</x:v>
      </x:c>
      <x:c r="J40" s="74" t="n">
        <x:v>0.7778157948469853</x:v>
      </x:c>
      <x:c r="K40" s="74" t="n">
        <x:v>0.803093573342696</x:v>
      </x:c>
      <x:c r="L40" s="74" t="n">
        <x:v>0.9447832347834881</x:v>
      </x:c>
      <x:c r="M40" s="74" t="n">
        <x:v>0.9092569872412952</x:v>
      </x:c>
      <x:c r="N40" s="74" t="n">
        <x:v>0.9102754163027906</x:v>
      </x:c>
      <x:c r="O40" s="65" t="n">
        <x:v>524272.9603177309</x:v>
      </x:c>
      <x:c r="P40" s="65" t="n">
        <x:v>327337.4804967769</x:v>
      </x:c>
      <x:c r="Q40" s="65" t="n">
        <x:v>196935.47982095403</x:v>
      </x:c>
      <x:c r="R40" s="65" t="n">
        <x:v>146351.21840074885</x:v>
      </x:c>
      <x:c r="S40" s="65" t="n">
        <x:v>50584.26142020518</x:v>
      </x:c>
      <x:c r="T40" s="65" t="n">
        <x:v>194355.69959073042</x:v>
      </x:c>
      <x:c r="U40" s="43" t="n">
        <x:v>0.9950793185506646</x:v>
      </x:c>
      <x:c r="V40" s="43" t="n">
        <x:v>0.9973764259990205</x:v>
      </x:c>
      <x:c r="W40" s="43" t="n">
        <x:v>0.9507931855066465</x:v>
      </x:c>
      <x:c r="X40" s="65" t="n">
        <x:v>19921358.964969743</x:v>
      </x:c>
      <x:c r="Y40" s="65" t="n">
        <x:v>37.99806679500805</x:v>
      </x:c>
      <x:c r="Z40" s="65" t="n">
        <x:v>1999778.2728511116</x:v>
      </x:c>
      <x:c r="AA40" s="65" t="n">
        <x:v>115611.88748207677</x:v>
      </x:c>
      <x:c r="AB40" s="65" t="n">
        <x:v>5442.153869041278</x:v>
      </x:c>
      <x:c r="AC40" s="65" t="n">
        <x:v>14523.585732923932</x:v>
      </x:c>
      <x:c r="AD40" s="65" t="n">
        <x:v>1661.812904327475</x:v>
      </x:c>
      <x:c r="AE40" s="65" t="n">
        <x:v>76384.00563788875</x:v>
      </x:c>
      <x:c r="AF40" s="65" t="n">
        <x:v>194355.69959073048</x:v>
      </x:c>
      <x:c r="AG40" s="65" t="n">
        <x:v>0</x:v>
      </x:c>
      <x:c r="AH40" s="34" t="n">
        <x:v>1</x:v>
      </x:c>
    </x:row>
    <x:row r="41" ht="21.600000381469727" hidden="0" customHeight="1">
      <x:c r="A41" s="36" t="n">
        <x:v>10</x:v>
      </x:c>
      <x:c r="B41" s="36" t="str">
        <x:v>M0</x:v>
      </x:c>
      <x:c r="C41" s="36" t="str">
        <x:v>slow</x:v>
      </x:c>
      <x:c r="D41" s="75" t="n">
        <x:v>1.1398841451589157</x:v>
      </x:c>
      <x:c r="E41" s="75" t="n">
        <x:v>-0.03604874624476528</x:v>
      </x:c>
      <x:c r="F41" s="75" t="n">
        <x:v>0.8161055590661037</x:v>
      </x:c>
      <x:c r="G41" s="75" t="n">
        <x:v>1.2275246037747463</x:v>
      </x:c>
      <x:c r="H41" s="75" t="n">
        <x:v>1.072183155442349</x:v>
      </x:c>
      <x:c r="I41" s="75" t="n">
        <x:v>1.0003807641003335</x:v>
      </x:c>
      <x:c r="J41" s="75" t="n">
        <x:v>0.9769372183797429</x:v>
      </x:c>
      <x:c r="K41" s="75" t="n">
        <x:v>0.9885767286076639</x:v>
      </x:c>
      <x:c r="L41" s="75" t="n">
        <x:v>0.9410479987369077</x:v>
      </x:c>
      <x:c r="M41" s="75" t="n">
        <x:v>1.098010433223583</x:v>
      </x:c>
      <x:c r="N41" s="75" t="n">
        <x:v>0.836910399439539</x:v>
      </x:c>
      <x:c r="O41" s="66" t="n">
        <x:v>548341.0400518674</x:v>
      </x:c>
      <x:c r="P41" s="66" t="n">
        <x:v>70826.73873673155</x:v>
      </x:c>
      <x:c r="Q41" s="66" t="n">
        <x:v>477514.3013151358</x:v>
      </x:c>
      <x:c r="R41" s="66" t="n">
        <x:v>82530.81116177342</x:v>
      </x:c>
      <x:c r="S41" s="66" t="n">
        <x:v>394983.4901533624</x:v>
      </x:c>
      <x:c r="T41" s="66" t="n">
        <x:v>300809.8441472056</x:v>
      </x:c>
      <x:c r="U41" s="45" t="n">
        <x:v>0.6777471605057761</x:v>
      </x:c>
      <x:c r="V41" s="45" t="n">
        <x:v>0.6663681681062604</x:v>
      </x:c>
      <x:c r="W41" s="45" t="n">
        <x:v>0.07068621447997336</x:v>
      </x:c>
      <x:c r="X41" s="66" t="n">
        <x:v>60295775.15845821</x:v>
      </x:c>
      <x:c r="Y41" s="66" t="n">
        <x:v>109.9603545135977</x:v>
      </x:c>
      <x:c r="Z41" s="66" t="n">
        <x:v>3613575.964525014</x:v>
      </x:c>
      <x:c r="AA41" s="66" t="n">
        <x:v>333311.01788181823</x:v>
      </x:c>
      <x:c r="AB41" s="66" t="n">
        <x:v>25801.033484592663</x:v>
      </x:c>
      <x:c r="AC41" s="66" t="n">
        <x:v>0</x:v>
      </x:c>
      <x:c r="AD41" s="66" t="n">
        <x:v>3017.9616240341466</x:v>
      </x:c>
      <x:c r="AE41" s="66" t="n">
        <x:v>228500.78563562944</x:v>
      </x:c>
      <x:c r="AF41" s="66" t="n">
        <x:v>300809.84414720605</x:v>
      </x:c>
      <x:c r="AG41" s="66" t="n">
        <x:v>0</x:v>
      </x:c>
      <x:c r="AH41" s="36" t="n">
        <x:v>0</x:v>
      </x:c>
    </x:row>
    <x:row r="42" ht="21.600000381469727" hidden="0" customHeight="1">
      <x:c r="A42" s="34" t="n">
        <x:v>10</x:v>
      </x:c>
      <x:c r="B42" s="34" t="str">
        <x:v>B1</x:v>
      </x:c>
      <x:c r="C42" s="34" t="str">
        <x:v>slow</x:v>
      </x:c>
      <x:c r="D42" s="74" t="n">
        <x:v>1.1398841451589157</x:v>
      </x:c>
      <x:c r="E42" s="74" t="n">
        <x:v>-0.03604874624476528</x:v>
      </x:c>
      <x:c r="F42" s="74" t="n">
        <x:v>0.8161055590661037</x:v>
      </x:c>
      <x:c r="G42" s="74" t="n">
        <x:v>1.2275246037747463</x:v>
      </x:c>
      <x:c r="H42" s="74" t="n">
        <x:v>1.072183155442349</x:v>
      </x:c>
      <x:c r="I42" s="74" t="n">
        <x:v>1.0003807641003335</x:v>
      </x:c>
      <x:c r="J42" s="74" t="n">
        <x:v>0.9769372183797429</x:v>
      </x:c>
      <x:c r="K42" s="74" t="n">
        <x:v>0.9885767286076639</x:v>
      </x:c>
      <x:c r="L42" s="74" t="n">
        <x:v>0.9410479987369077</x:v>
      </x:c>
      <x:c r="M42" s="74" t="n">
        <x:v>1.098010433223583</x:v>
      </x:c>
      <x:c r="N42" s="74" t="n">
        <x:v>0.836910399439539</x:v>
      </x:c>
      <x:c r="O42" s="65" t="n">
        <x:v>548341.0400518674</x:v>
      </x:c>
      <x:c r="P42" s="65" t="n">
        <x:v>239581.79274393944</x:v>
      </x:c>
      <x:c r="Q42" s="65" t="n">
        <x:v>308759.24730792793</x:v>
      </x:c>
      <x:c r="R42" s="65" t="n">
        <x:v>82530.81116177342</x:v>
      </x:c>
      <x:c r="S42" s="65" t="n">
        <x:v>226228.43614615448</x:v>
      </x:c>
      <x:c r="T42" s="65" t="n">
        <x:v>185071.6557784803</x:v>
      </x:c>
      <x:c r="U42" s="43" t="n">
        <x:v>0.7744330945614646</x:v>
      </x:c>
      <x:c r="V42" s="43" t="n">
        <x:v>0.7645574986895683</x:v>
      </x:c>
      <x:c r="W42" s="43" t="n">
        <x:v>0.24534320117210098</x:v>
      </x:c>
      <x:c r="X42" s="65" t="n">
        <x:v>39838109.89186167</x:v>
      </x:c>
      <x:c r="Y42" s="65" t="n">
        <x:v>72.65206683799082</x:v>
      </x:c>
      <x:c r="Z42" s="65" t="n">
        <x:v>1373719.1836403583</x:v>
      </x:c>
      <x:c r="AA42" s="65" t="n">
        <x:v>212236.0037536339</x:v>
      </x:c>
      <x:c r="AB42" s="65" t="n">
        <x:v>4443.642096446879</x:v>
      </x:c>
      <x:c r="AC42" s="65" t="n">
        <x:v>1736.4995915036304</x:v>
      </x:c>
      <x:c r="AD42" s="65" t="n">
        <x:v>2434.910043802695</x:v>
      </x:c>
      <x:c r="AE42" s="65" t="n">
        <x:v>94685.33263901004</x:v>
      </x:c>
      <x:c r="AF42" s="65" t="n">
        <x:v>185071.65577848037</x:v>
      </x:c>
      <x:c r="AG42" s="65" t="n">
        <x:v>0</x:v>
      </x:c>
      <x:c r="AH42" s="34" t="n">
        <x:v>0</x:v>
      </x:c>
    </x:row>
    <x:row r="43" ht="21.600000381469727" hidden="0" customHeight="1">
      <x:c r="A43" s="36" t="n">
        <x:v>10</x:v>
      </x:c>
      <x:c r="B43" s="36" t="str">
        <x:v>P2</x:v>
      </x:c>
      <x:c r="C43" s="36" t="str">
        <x:v>slow</x:v>
      </x:c>
      <x:c r="D43" s="75" t="n">
        <x:v>1.1398841451589157</x:v>
      </x:c>
      <x:c r="E43" s="75" t="n">
        <x:v>-0.03604874624476528</x:v>
      </x:c>
      <x:c r="F43" s="75" t="n">
        <x:v>0.8161055590661037</x:v>
      </x:c>
      <x:c r="G43" s="75" t="n">
        <x:v>1.2275246037747463</x:v>
      </x:c>
      <x:c r="H43" s="75" t="n">
        <x:v>1.072183155442349</x:v>
      </x:c>
      <x:c r="I43" s="75" t="n">
        <x:v>1.0003807641003335</x:v>
      </x:c>
      <x:c r="J43" s="75" t="n">
        <x:v>0.9769372183797429</x:v>
      </x:c>
      <x:c r="K43" s="75" t="n">
        <x:v>0.9885767286076639</x:v>
      </x:c>
      <x:c r="L43" s="75" t="n">
        <x:v>0.9410479987369077</x:v>
      </x:c>
      <x:c r="M43" s="75" t="n">
        <x:v>1.098010433223583</x:v>
      </x:c>
      <x:c r="N43" s="75" t="n">
        <x:v>0.836910399439539</x:v>
      </x:c>
      <x:c r="O43" s="66" t="n">
        <x:v>548341.0400518674</x:v>
      </x:c>
      <x:c r="P43" s="66" t="n">
        <x:v>347078.8148082806</x:v>
      </x:c>
      <x:c r="Q43" s="66" t="n">
        <x:v>201262.22524358673</x:v>
      </x:c>
      <x:c r="R43" s="66" t="n">
        <x:v>82530.81116177342</x:v>
      </x:c>
      <x:c r="S43" s="66" t="n">
        <x:v>118731.41408181332</x:v>
      </x:c>
      <x:c r="T43" s="66" t="n">
        <x:v>109572.63201419628</x:v>
      </x:c>
      <x:c r="U43" s="45" t="n">
        <x:v>0.832787286501996</x:v>
      </x:c>
      <x:c r="V43" s="45" t="n">
        <x:v>0.8267739337499074</x:v>
      </x:c>
      <x:c r="W43" s="45" t="n">
        <x:v>0.3605140359204006</x:v>
      </x:c>
      <x:c r="X43" s="66" t="n">
        <x:v>25343843.789988507</x:v>
      </x:c>
      <x:c r="Y43" s="66" t="n">
        <x:v>46.219126307947406</x:v>
      </x:c>
      <x:c r="Z43" s="66" t="n">
        <x:v>691069.7521696303</x:v>
      </x:c>
      <x:c r="AA43" s="66" t="n">
        <x:v>138667.13153796011</x:v>
      </x:c>
      <x:c r="AB43" s="66" t="n">
        <x:v>125.8298011695838</x:v>
      </x:c>
      <x:c r="AC43" s="66" t="n">
        <x:v>0</x:v>
      </x:c>
      <x:c r="AD43" s="66" t="n">
        <x:v>2081.1778035286306</x:v>
      </x:c>
      <x:c r="AE43" s="66" t="n">
        <x:v>31237.818626655513</x:v>
      </x:c>
      <x:c r="AF43" s="66" t="n">
        <x:v>109572.63201419624</x:v>
      </x:c>
      <x:c r="AG43" s="66" t="n">
        <x:v>4.3655745685100555e-11</x:v>
      </x:c>
      <x:c r="AH43" s="36" t="n">
        <x:v>0</x:v>
      </x:c>
    </x:row>
    <x:row r="44" ht="21.600000381469727" hidden="0" customHeight="1">
      <x:c r="A44" s="34" t="n">
        <x:v>10</x:v>
      </x:c>
      <x:c r="B44" s="34" t="str">
        <x:v>H3</x:v>
      </x:c>
      <x:c r="C44" s="34" t="str">
        <x:v>slow</x:v>
      </x:c>
      <x:c r="D44" s="74" t="n">
        <x:v>1.1398841451589157</x:v>
      </x:c>
      <x:c r="E44" s="74" t="n">
        <x:v>-0.03604874624476528</x:v>
      </x:c>
      <x:c r="F44" s="74" t="n">
        <x:v>0.8161055590661037</x:v>
      </x:c>
      <x:c r="G44" s="74" t="n">
        <x:v>1.2275246037747463</x:v>
      </x:c>
      <x:c r="H44" s="74" t="n">
        <x:v>1.072183155442349</x:v>
      </x:c>
      <x:c r="I44" s="74" t="n">
        <x:v>1.0003807641003335</x:v>
      </x:c>
      <x:c r="J44" s="74" t="n">
        <x:v>0.9769372183797429</x:v>
      </x:c>
      <x:c r="K44" s="74" t="n">
        <x:v>0.9885767286076639</x:v>
      </x:c>
      <x:c r="L44" s="74" t="n">
        <x:v>0.9410479987369077</x:v>
      </x:c>
      <x:c r="M44" s="74" t="n">
        <x:v>1.098010433223583</x:v>
      </x:c>
      <x:c r="N44" s="74" t="n">
        <x:v>0.836910399439539</x:v>
      </x:c>
      <x:c r="O44" s="65" t="n">
        <x:v>548341.0400518674</x:v>
      </x:c>
      <x:c r="P44" s="65" t="n">
        <x:v>360044.3217412965</x:v>
      </x:c>
      <x:c r="Q44" s="65" t="n">
        <x:v>188296.71831057084</x:v>
      </x:c>
      <x:c r="R44" s="65" t="n">
        <x:v>82530.81116177342</x:v>
      </x:c>
      <x:c r="S44" s="65" t="n">
        <x:v>105765.90714879743</x:v>
      </x:c>
      <x:c r="T44" s="65" t="n">
        <x:v>100471.54141406121</x:v>
      </x:c>
      <x:c r="U44" s="43" t="n">
        <x:v>0.8398347552315211</x:v>
      </x:c>
      <x:c r="V44" s="43" t="n">
        <x:v>0.8344298625573627</x:v>
      </x:c>
      <x:c r="W44" s="43" t="n">
        <x:v>0.37500820911728017</x:v>
      </x:c>
      <x:c r="X44" s="65" t="n">
        <x:v>22669815.725915726</x:v>
      </x:c>
      <x:c r="Y44" s="65" t="n">
        <x:v>41.34254792194908</x:v>
      </x:c>
      <x:c r="Z44" s="65" t="n">
        <x:v>688634.7114606049</x:v>
      </x:c>
      <x:c r="AA44" s="65" t="n">
        <x:v>124057.08063138029</x:v>
      </x:c>
      <x:c r="AB44" s="65" t="n">
        <x:v>2297.514755748992</x:v>
      </x:c>
      <x:c r="AC44" s="65" t="n">
        <x:v>0</x:v>
      </x:c>
      <x:c r="AD44" s="65" t="n">
        <x:v>2041.2360469452</x:v>
      </x:c>
      <x:c r="AE44" s="65" t="n">
        <x:v>7.275957614183426e-11</x:v>
      </x:c>
      <x:c r="AF44" s="65" t="n">
        <x:v>100471.54141406114</x:v>
      </x:c>
      <x:c r="AG44" s="65" t="n">
        <x:v>7.275957614183426e-11</x:v>
      </x:c>
      <x:c r="AH44" s="34" t="n">
        <x:v>0</x:v>
      </x:c>
    </x:row>
    <x:row r="45" ht="21.600000381469727" hidden="0" customHeight="1">
      <x:c r="A45" s="36" t="n">
        <x:v>11</x:v>
      </x:c>
      <x:c r="B45" s="36" t="str">
        <x:v>M0</x:v>
      </x:c>
      <x:c r="C45" s="36" t="str">
        <x:v>reference</x:v>
      </x:c>
      <x:c r="D45" s="75" t="n">
        <x:v>1.1281551132137626</x:v>
      </x:c>
      <x:c r="E45" s="75" t="n">
        <x:v>-0.0020089083780024386</x:v>
      </x:c>
      <x:c r="F45" s="75" t="n">
        <x:v>0.8459730676953805</x:v>
      </x:c>
      <x:c r="G45" s="75" t="n">
        <x:v>1.1375768417759662</x:v>
      </x:c>
      <x:c r="H45" s="75" t="n">
        <x:v>0.9771123128462076</x:v>
      </x:c>
      <x:c r="I45" s="75" t="n">
        <x:v>0.9203802879832451</x:v>
      </x:c>
      <x:c r="J45" s="75" t="n">
        <x:v>0.8094657324002339</x:v>
      </x:c>
      <x:c r="K45" s="75" t="n">
        <x:v>0.8061019497009314</x:v>
      </x:c>
      <x:c r="L45" s="75" t="n">
        <x:v>1.0478392344195364</x:v>
      </x:c>
      <x:c r="M45" s="75" t="n">
        <x:v>1.029817049951336</x:v>
      </x:c>
      <x:c r="N45" s="75" t="n">
        <x:v>0.919563693287623</x:v>
      </x:c>
      <x:c r="O45" s="66" t="n">
        <x:v>542698.7915804579</x:v>
      </x:c>
      <x:c r="P45" s="66" t="n">
        <x:v>69751.16596348684</x:v>
      </x:c>
      <x:c r="Q45" s="66" t="n">
        <x:v>472947.625616971</x:v>
      </x:c>
      <x:c r="R45" s="66" t="n">
        <x:v>100154.9752076384</x:v>
      </x:c>
      <x:c r="S45" s="66" t="n">
        <x:v>372792.6504093326</x:v>
      </x:c>
      <x:c r="T45" s="66" t="n">
        <x:v>297395.253723536</x:v>
      </x:c>
      <x:c r="U45" s="45" t="n">
        <x:v>0.676519692660107</x:v>
      </x:c>
      <x:c r="V45" s="45" t="n">
        <x:v>0.6986915296171974</x:v>
      </x:c>
      <x:c r="W45" s="45" t="n">
        <x:v>0.12873985763908607</x:v>
      </x:c>
      <x:c r="X45" s="66" t="n">
        <x:v>61189500.102505304</x:v>
      </x:c>
      <x:c r="Y45" s="66" t="n">
        <x:v>112.75038944588039</x:v>
      </x:c>
      <x:c r="Z45" s="66" t="n">
        <x:v>6522608.495290146</x:v>
      </x:c>
      <x:c r="AA45" s="66" t="n">
        <x:v>328041.55687903037</x:v>
      </x:c>
      <x:c r="AB45" s="66" t="n">
        <x:v>55611.128338698545</x:v>
      </x:c>
      <x:c r="AC45" s="66" t="n">
        <x:v>4360.512335438638</x:v>
      </x:c>
      <x:c r="AD45" s="66" t="n">
        <x:v>2305.2694787330356</x:v>
      </x:c>
      <x:c r="AE45" s="66" t="n">
        <x:v>217944.95062348532</x:v>
      </x:c>
      <x:c r="AF45" s="66" t="n">
        <x:v>297395.25372353615</x:v>
      </x:c>
      <x:c r="AG45" s="66" t="n">
        <x:v>0</x:v>
      </x:c>
      <x:c r="AH45" s="36" t="n">
        <x:v>0</x:v>
      </x:c>
    </x:row>
    <x:row r="46" ht="21.600000381469727" hidden="0" customHeight="1">
      <x:c r="A46" s="34" t="n">
        <x:v>11</x:v>
      </x:c>
      <x:c r="B46" s="34" t="str">
        <x:v>B1</x:v>
      </x:c>
      <x:c r="C46" s="34" t="str">
        <x:v>reference</x:v>
      </x:c>
      <x:c r="D46" s="74" t="n">
        <x:v>1.1281551132137626</x:v>
      </x:c>
      <x:c r="E46" s="74" t="n">
        <x:v>-0.0020089083780024386</x:v>
      </x:c>
      <x:c r="F46" s="74" t="n">
        <x:v>0.8459730676953805</x:v>
      </x:c>
      <x:c r="G46" s="74" t="n">
        <x:v>1.1375768417759662</x:v>
      </x:c>
      <x:c r="H46" s="74" t="n">
        <x:v>0.9771123128462076</x:v>
      </x:c>
      <x:c r="I46" s="74" t="n">
        <x:v>0.9203802879832451</x:v>
      </x:c>
      <x:c r="J46" s="74" t="n">
        <x:v>0.8094657324002339</x:v>
      </x:c>
      <x:c r="K46" s="74" t="n">
        <x:v>0.8061019497009314</x:v>
      </x:c>
      <x:c r="L46" s="74" t="n">
        <x:v>1.0478392344195364</x:v>
      </x:c>
      <x:c r="M46" s="74" t="n">
        <x:v>1.029817049951336</x:v>
      </x:c>
      <x:c r="N46" s="74" t="n">
        <x:v>0.919563693287623</x:v>
      </x:c>
      <x:c r="O46" s="65" t="n">
        <x:v>542698.7915804579</x:v>
      </x:c>
      <x:c r="P46" s="65" t="n">
        <x:v>235944.51608739648</x:v>
      </x:c>
      <x:c r="Q46" s="65" t="n">
        <x:v>306754.27549306134</x:v>
      </x:c>
      <x:c r="R46" s="65" t="n">
        <x:v>100154.9752076384</x:v>
      </x:c>
      <x:c r="S46" s="65" t="n">
        <x:v>206599.30028542297</x:v>
      </x:c>
      <x:c r="T46" s="65" t="n">
        <x:v>201494.5034591795</x:v>
      </x:c>
      <x:c r="U46" s="43" t="n">
        <x:v>0.8060438429808505</x:v>
      </x:c>
      <x:c r="V46" s="43" t="n">
        <x:v>0.8228310210084849</x:v>
      </x:c>
      <x:c r="W46" s="43" t="n">
        <x:v>0.44886936262483895</x:v>
      </x:c>
      <x:c r="X46" s="65" t="n">
        <x:v>40151859.47472523</x:v>
      </x:c>
      <x:c r="Y46" s="65" t="n">
        <x:v>73.9855332233083</x:v>
      </x:c>
      <x:c r="Z46" s="65" t="n">
        <x:v>2779522.2916094568</x:v>
      </x:c>
      <x:c r="AA46" s="65" t="n">
        <x:v>213337.39841723835</x:v>
      </x:c>
      <x:c r="AB46" s="65" t="n">
        <x:v>14803.39408071882</x:v>
      </x:c>
      <x:c r="AC46" s="65" t="n">
        <x:v>26235.44823006468</x:v>
      </x:c>
      <x:c r="AD46" s="65" t="n">
        <x:v>1876.695903708673</x:v>
      </x:c>
      <x:c r="AE46" s="65" t="n">
        <x:v>106452.58660224725</x:v>
      </x:c>
      <x:c r="AF46" s="65" t="n">
        <x:v>201494.50345917966</x:v>
      </x:c>
      <x:c r="AG46" s="65" t="n">
        <x:v>0</x:v>
      </x:c>
      <x:c r="AH46" s="34" t="n">
        <x:v>0</x:v>
      </x:c>
    </x:row>
    <x:row r="47" ht="21.600000381469727" hidden="0" customHeight="1">
      <x:c r="A47" s="36" t="n">
        <x:v>11</x:v>
      </x:c>
      <x:c r="B47" s="36" t="str">
        <x:v>P2</x:v>
      </x:c>
      <x:c r="C47" s="36" t="str">
        <x:v>reference</x:v>
      </x:c>
      <x:c r="D47" s="75" t="n">
        <x:v>1.1281551132137626</x:v>
      </x:c>
      <x:c r="E47" s="75" t="n">
        <x:v>-0.0020089083780024386</x:v>
      </x:c>
      <x:c r="F47" s="75" t="n">
        <x:v>0.8459730676953805</x:v>
      </x:c>
      <x:c r="G47" s="75" t="n">
        <x:v>1.1375768417759662</x:v>
      </x:c>
      <x:c r="H47" s="75" t="n">
        <x:v>0.9771123128462076</x:v>
      </x:c>
      <x:c r="I47" s="75" t="n">
        <x:v>0.9203802879832451</x:v>
      </x:c>
      <x:c r="J47" s="75" t="n">
        <x:v>0.8094657324002339</x:v>
      </x:c>
      <x:c r="K47" s="75" t="n">
        <x:v>0.8061019497009314</x:v>
      </x:c>
      <x:c r="L47" s="75" t="n">
        <x:v>1.0478392344195364</x:v>
      </x:c>
      <x:c r="M47" s="75" t="n">
        <x:v>1.029817049951336</x:v>
      </x:c>
      <x:c r="N47" s="75" t="n">
        <x:v>0.919563693287623</x:v>
      </x:c>
      <x:c r="O47" s="66" t="n">
        <x:v>542698.7915804579</x:v>
      </x:c>
      <x:c r="P47" s="66" t="n">
        <x:v>341810.3629879266</x:v>
      </x:c>
      <x:c r="Q47" s="66" t="n">
        <x:v>200888.4285925313</x:v>
      </x:c>
      <x:c r="R47" s="66" t="n">
        <x:v>100154.9752076384</x:v>
      </x:c>
      <x:c r="S47" s="66" t="n">
        <x:v>100733.4533848929</x:v>
      </x:c>
      <x:c r="T47" s="66" t="n">
        <x:v>120915.29211975618</x:v>
      </x:c>
      <x:c r="U47" s="45" t="n">
        <x:v>0.8526380789611198</x:v>
      </x:c>
      <x:c r="V47" s="45" t="n">
        <x:v>0.8792788001886652</x:v>
      </x:c>
      <x:c r="W47" s="45" t="n">
        <x:v>0.41274294220463287</x:v>
      </x:c>
      <x:c r="X47" s="66" t="n">
        <x:v>25170472.163281765</x:v>
      </x:c>
      <x:c r="Y47" s="66" t="n">
        <x:v>46.38018833611151</x:v>
      </x:c>
      <x:c r="Z47" s="66" t="n">
        <x:v>1416990.276849993</x:v>
      </x:c>
      <x:c r="AA47" s="66" t="n">
        <x:v>142179.58789216436</x:v>
      </x:c>
      <x:c r="AB47" s="66" t="n">
        <x:v>359.2191777873353</x:v>
      </x:c>
      <x:c r="AC47" s="66" t="n">
        <x:v>34866.75624585871</x:v>
      </x:c>
      <x:c r="AD47" s="66" t="n">
        <x:v>1617.7383314525787</x:v>
      </x:c>
      <x:c r="AE47" s="66" t="n">
        <x:v>48016.44114565605</x:v>
      </x:c>
      <x:c r="AF47" s="66" t="n">
        <x:v>120915.2921197561</x:v>
      </x:c>
      <x:c r="AG47" s="66" t="n">
        <x:v>8.731149137020111e-11</x:v>
      </x:c>
      <x:c r="AH47" s="36" t="n">
        <x:v>0</x:v>
      </x:c>
    </x:row>
    <x:row r="48" ht="21.600000381469727" hidden="0" customHeight="1">
      <x:c r="A48" s="34" t="n">
        <x:v>11</x:v>
      </x:c>
      <x:c r="B48" s="34" t="str">
        <x:v>H3</x:v>
      </x:c>
      <x:c r="C48" s="34" t="str">
        <x:v>reference</x:v>
      </x:c>
      <x:c r="D48" s="74" t="n">
        <x:v>1.1281551132137626</x:v>
      </x:c>
      <x:c r="E48" s="74" t="n">
        <x:v>-0.0020089083780024386</x:v>
      </x:c>
      <x:c r="F48" s="74" t="n">
        <x:v>0.8459730676953805</x:v>
      </x:c>
      <x:c r="G48" s="74" t="n">
        <x:v>1.1375768417759662</x:v>
      </x:c>
      <x:c r="H48" s="74" t="n">
        <x:v>0.9771123128462076</x:v>
      </x:c>
      <x:c r="I48" s="74" t="n">
        <x:v>0.9203802879832451</x:v>
      </x:c>
      <x:c r="J48" s="74" t="n">
        <x:v>0.8094657324002339</x:v>
      </x:c>
      <x:c r="K48" s="74" t="n">
        <x:v>0.8061019497009314</x:v>
      </x:c>
      <x:c r="L48" s="74" t="n">
        <x:v>1.0478392344195364</x:v>
      </x:c>
      <x:c r="M48" s="74" t="n">
        <x:v>1.029817049951336</x:v>
      </x:c>
      <x:c r="N48" s="74" t="n">
        <x:v>0.919563693287623</x:v>
      </x:c>
      <x:c r="O48" s="65" t="n">
        <x:v>542698.7915804579</x:v>
      </x:c>
      <x:c r="P48" s="65" t="n">
        <x:v>354579.2266922686</x:v>
      </x:c>
      <x:c r="Q48" s="65" t="n">
        <x:v>188119.5648881892</x:v>
      </x:c>
      <x:c r="R48" s="65" t="n">
        <x:v>100154.9752076384</x:v>
      </x:c>
      <x:c r="S48" s="65" t="n">
        <x:v>87964.5896805508</x:v>
      </x:c>
      <x:c r="T48" s="65" t="n">
        <x:v>186530.89626119658</x:v>
      </x:c>
      <x:c r="U48" s="43" t="n">
        <x:v>0.9970726512539927</x:v>
      </x:c>
      <x:c r="V48" s="43" t="n">
        <x:v>0.9981562323140772</x:v>
      </x:c>
      <x:c r="W48" s="43" t="n">
        <x:v>0.9707265125399286</x:v>
      </x:c>
      <x:c r="X48" s="65" t="n">
        <x:v>18890659.848682992</x:v>
      </x:c>
      <x:c r="Y48" s="65" t="n">
        <x:v>34.808737630812196</x:v>
      </x:c>
      <x:c r="Z48" s="65" t="n">
        <x:v>1545213.4199220405</x:v>
      </x:c>
      <x:c r="AA48" s="65" t="n">
        <x:v>111736.88633440765</x:v>
      </x:c>
      <x:c r="AB48" s="65" t="n">
        <x:v>4443.196139418829</x:v>
      </x:c>
      <x:c r="AC48" s="65" t="n">
        <x:v>6931.061508655112</x:v>
      </x:c>
      <x:c r="AD48" s="65" t="n">
        <x:v>1588.6686269926477</x:v>
      </x:c>
      <x:c r="AE48" s="65" t="n">
        <x:v>52691.87000382872</x:v>
      </x:c>
      <x:c r="AF48" s="65" t="n">
        <x:v>186530.89626119638</x:v>
      </x:c>
      <x:c r="AG48" s="65" t="n">
        <x:v>2.0372681319713593e-10</x:v>
      </x:c>
      <x:c r="AH48" s="34" t="n">
        <x:v>1</x:v>
      </x:c>
    </x:row>
    <x:row r="49" ht="15" hidden="0" customHeight="1">
      <x:c r="A49" s="36" t="n">
        <x:v>12</x:v>
      </x:c>
      <x:c r="B49" s="36" t="str">
        <x:v>M0</x:v>
      </x:c>
      <x:c r="C49" s="36" t="str">
        <x:v>reference</x:v>
      </x:c>
      <x:c r="D49" s="75" t="n">
        <x:v>1.0279515775074102</x:v>
      </x:c>
      <x:c r="E49" s="75" t="n">
        <x:v>0.04778796505813473</x:v>
      </x:c>
      <x:c r="F49" s="75" t="n">
        <x:v>0.8330354131486689</x:v>
      </x:c>
      <x:c r="G49" s="75" t="n">
        <x:v>1.3453784042476842</x:v>
      </x:c>
      <x:c r="H49" s="75" t="n">
        <x:v>0.8600938364109252</x:v>
      </x:c>
      <x:c r="I49" s="75" t="n">
        <x:v>0.7708141346086683</x:v>
      </x:c>
      <x:c r="J49" s="75" t="n">
        <x:v>1.048849779457694</x:v>
      </x:c>
      <x:c r="K49" s="75" t="n">
        <x:v>0.7902792497332306</x:v>
      </x:c>
      <x:c r="L49" s="75" t="n">
        <x:v>0.9136731216772239</x:v>
      </x:c>
      <x:c r="M49" s="75" t="n">
        <x:v>0.9497109122149456</x:v>
      </x:c>
      <x:c r="N49" s="75" t="n">
        <x:v>0.8630915116308825</x:v>
      </x:c>
      <x:c r="O49" s="66" t="n">
        <x:v>494495.90076962416</x:v>
      </x:c>
      <x:c r="P49" s="66" t="n">
        <x:v>58761.34480048875</x:v>
      </x:c>
      <x:c r="Q49" s="66" t="n">
        <x:v>435734.55596913537</x:v>
      </x:c>
      <x:c r="R49" s="66" t="n">
        <x:v>115883.48920154356</x:v>
      </x:c>
      <x:c r="S49" s="66" t="n">
        <x:v>319851.06676759187</x:v>
      </x:c>
      <x:c r="T49" s="66" t="n">
        <x:v>254597.14546239906</x:v>
      </x:c>
      <x:c r="U49" s="45" t="n">
        <x:v>0.6336927965938292</x:v>
      </x:c>
      <x:c r="V49" s="45" t="n">
        <x:v>0.6582409936006023</x:v>
      </x:c>
      <x:c r="W49" s="45" t="n">
        <x:v>0.1162092272013174</x:v>
      </x:c>
      <x:c r="X49" s="66" t="n">
        <x:v>57495416.51412428</x:v>
      </x:c>
      <x:c r="Y49" s="66" t="n">
        <x:v>116.27076468104082</x:v>
      </x:c>
      <x:c r="Z49" s="66" t="n">
        <x:v>6223275.686345365</x:v>
      </x:c>
      <x:c r="AA49" s="66" t="n">
        <x:v>307394.62439625256</x:v>
      </x:c>
      <x:c r="AB49" s="66" t="n">
        <x:v>56586.19365243958</x:v>
      </x:c>
      <x:c r="AC49" s="66" t="n">
        <x:v>0</x:v>
      </x:c>
      <x:c r="AD49" s="66" t="n">
        <x:v>2121.8595129049595</x:v>
      </x:c>
      <x:c r="AE49" s="66" t="n">
        <x:v>204883.0743924603</x:v>
      </x:c>
      <x:c r="AF49" s="66" t="n">
        <x:v>254597.14546239897</x:v>
      </x:c>
      <x:c r="AG49" s="66" t="n">
        <x:v>8.731149137020111e-11</x:v>
      </x:c>
      <x:c r="AH49" s="36" t="n">
        <x:v>0</x:v>
      </x:c>
    </x:row>
    <x:row r="50" ht="15" hidden="0" customHeight="1">
      <x:c r="A50" s="34" t="n">
        <x:v>12</x:v>
      </x:c>
      <x:c r="B50" s="34" t="str">
        <x:v>B1</x:v>
      </x:c>
      <x:c r="C50" s="34" t="str">
        <x:v>reference</x:v>
      </x:c>
      <x:c r="D50" s="74" t="n">
        <x:v>1.0279515775074102</x:v>
      </x:c>
      <x:c r="E50" s="74" t="n">
        <x:v>0.04778796505813473</x:v>
      </x:c>
      <x:c r="F50" s="74" t="n">
        <x:v>0.8330354131486689</x:v>
      </x:c>
      <x:c r="G50" s="74" t="n">
        <x:v>1.3453784042476842</x:v>
      </x:c>
      <x:c r="H50" s="74" t="n">
        <x:v>0.8600938364109252</x:v>
      </x:c>
      <x:c r="I50" s="74" t="n">
        <x:v>0.7708141346086683</x:v>
      </x:c>
      <x:c r="J50" s="74" t="n">
        <x:v>1.048849779457694</x:v>
      </x:c>
      <x:c r="K50" s="74" t="n">
        <x:v>0.7902792497332306</x:v>
      </x:c>
      <x:c r="L50" s="74" t="n">
        <x:v>0.9136731216772239</x:v>
      </x:c>
      <x:c r="M50" s="74" t="n">
        <x:v>0.9497109122149456</x:v>
      </x:c>
      <x:c r="N50" s="74" t="n">
        <x:v>0.8630915116308825</x:v>
      </x:c>
      <x:c r="O50" s="65" t="n">
        <x:v>494495.90076962416</x:v>
      </x:c>
      <x:c r="P50" s="65" t="n">
        <x:v>198771.05657347786</x:v>
      </x:c>
      <x:c r="Q50" s="65" t="n">
        <x:v>295724.8441961463</x:v>
      </x:c>
      <x:c r="R50" s="65" t="n">
        <x:v>115883.48920154356</x:v>
      </x:c>
      <x:c r="S50" s="65" t="n">
        <x:v>179841.35499460273</x:v>
      </x:c>
      <x:c r="T50" s="65" t="n">
        <x:v>182593.67345920086</x:v>
      </x:c>
      <x:c r="U50" s="43" t="n">
        <x:v>0.7712191940097578</x:v>
      </x:c>
      <x:c r="V50" s="43" t="n">
        <x:v>0.7901125516392067</x:v>
      </x:c>
      <x:c r="W50" s="43" t="n">
        <x:v>0.42531026276347084</x:v>
      </x:c>
      <x:c r="X50" s="65" t="n">
        <x:v>39765369.45704927</x:v>
      </x:c>
      <x:c r="Y50" s="65" t="n">
        <x:v>80.41597391436248</x:v>
      </x:c>
      <x:c r="Z50" s="65" t="n">
        <x:v>2862571.988054021</x:v>
      </x:c>
      <x:c r="AA50" s="65" t="n">
        <x:v>211953.27349546878</x:v>
      </x:c>
      <x:c r="AB50" s="65" t="n">
        <x:v>22374.912479202587</x:v>
      </x:c>
      <x:c r="AC50" s="65" t="n">
        <x:v>0</x:v>
      </x:c>
      <x:c r="AD50" s="65" t="n">
        <x:v>1779.6877043821423</x:v>
      </x:c>
      <x:c r="AE50" s="65" t="n">
        <x:v>126816.89993189895</x:v>
      </x:c>
      <x:c r="AF50" s="65" t="n">
        <x:v>182593.67345920097</x:v>
      </x:c>
      <x:c r="AG50" s="65" t="n">
        <x:v>0</x:v>
      </x:c>
      <x:c r="AH50" s="34" t="n">
        <x:v>0</x:v>
      </x:c>
    </x:row>
    <x:row r="51" ht="15" hidden="0" customHeight="1">
      <x:c r="A51" s="36" t="n">
        <x:v>12</x:v>
      </x:c>
      <x:c r="B51" s="36" t="str">
        <x:v>P2</x:v>
      </x:c>
      <x:c r="C51" s="36" t="str">
        <x:v>reference</x:v>
      </x:c>
      <x:c r="D51" s="75" t="n">
        <x:v>1.0279515775074102</x:v>
      </x:c>
      <x:c r="E51" s="75" t="n">
        <x:v>0.04778796505813473</x:v>
      </x:c>
      <x:c r="F51" s="75" t="n">
        <x:v>0.8330354131486689</x:v>
      </x:c>
      <x:c r="G51" s="75" t="n">
        <x:v>1.3453784042476842</x:v>
      </x:c>
      <x:c r="H51" s="75" t="n">
        <x:v>0.8600938364109252</x:v>
      </x:c>
      <x:c r="I51" s="75" t="n">
        <x:v>0.7708141346086683</x:v>
      </x:c>
      <x:c r="J51" s="75" t="n">
        <x:v>1.048849779457694</x:v>
      </x:c>
      <x:c r="K51" s="75" t="n">
        <x:v>0.7902792497332306</x:v>
      </x:c>
      <x:c r="L51" s="75" t="n">
        <x:v>0.9136731216772239</x:v>
      </x:c>
      <x:c r="M51" s="75" t="n">
        <x:v>0.9497109122149456</x:v>
      </x:c>
      <x:c r="N51" s="75" t="n">
        <x:v>0.8630915116308825</x:v>
      </x:c>
      <x:c r="O51" s="66" t="n">
        <x:v>494495.90076962416</x:v>
      </x:c>
      <x:c r="P51" s="66" t="n">
        <x:v>287958.68108320405</x:v>
      </x:c>
      <x:c r="Q51" s="66" t="n">
        <x:v>206537.2196864201</x:v>
      </x:c>
      <x:c r="R51" s="66" t="n">
        <x:v>115883.48920154356</x:v>
      </x:c>
      <x:c r="S51" s="66" t="n">
        <x:v>90653.73048487655</x:v>
      </x:c>
      <x:c r="T51" s="66" t="n">
        <x:v>118541.53993596189</x:v>
      </x:c>
      <x:c r="U51" s="45" t="n">
        <x:v>0.8220497285953162</x:v>
      </x:c>
      <x:c r="V51" s="45" t="n">
        <x:v>0.8546659276855378</x:v>
      </x:c>
      <x:c r="W51" s="45" t="n">
        <x:v>0.4412986216264604</x:v>
      </x:c>
      <x:c r="X51" s="66" t="n">
        <x:v>26635483.639856666</x:v>
      </x:c>
      <x:c r="Y51" s="66" t="n">
        <x:v>53.863911911912105</x:v>
      </x:c>
      <x:c r="Z51" s="66" t="n">
        <x:v>991679.1098385575</x:v>
      </x:c>
      <x:c r="AA51" s="66" t="n">
        <x:v>152896.437857988</x:v>
      </x:c>
      <x:c r="AB51" s="66" t="n">
        <x:v>597.5442914033789</x:v>
      </x:c>
      <x:c r="AC51" s="66" t="n">
        <x:v>19691.047489692017</x:v>
      </x:c>
      <x:c r="AD51" s="66" t="n">
        <x:v>1572.936784602478</x:v>
      </x:c>
      <x:c r="AE51" s="66" t="n">
        <x:v>55453.897900735006</x:v>
      </x:c>
      <x:c r="AF51" s="66" t="n">
        <x:v>118541.53993596183</x:v>
      </x:c>
      <x:c r="AG51" s="66" t="n">
        <x:v>5.820766091346741e-11</x:v>
      </x:c>
      <x:c r="AH51" s="36" t="n">
        <x:v>0</x:v>
      </x:c>
    </x:row>
    <x:row r="52" ht="15" hidden="0" customHeight="1">
      <x:c r="A52" s="34" t="n">
        <x:v>12</x:v>
      </x:c>
      <x:c r="B52" s="34" t="str">
        <x:v>H3</x:v>
      </x:c>
      <x:c r="C52" s="34" t="str">
        <x:v>reference</x:v>
      </x:c>
      <x:c r="D52" s="74" t="n">
        <x:v>1.0279515775074102</x:v>
      </x:c>
      <x:c r="E52" s="74" t="n">
        <x:v>0.04778796505813473</x:v>
      </x:c>
      <x:c r="F52" s="74" t="n">
        <x:v>0.8330354131486689</x:v>
      </x:c>
      <x:c r="G52" s="74" t="n">
        <x:v>1.3453784042476842</x:v>
      </x:c>
      <x:c r="H52" s="74" t="n">
        <x:v>0.8600938364109252</x:v>
      </x:c>
      <x:c r="I52" s="74" t="n">
        <x:v>0.7708141346086683</x:v>
      </x:c>
      <x:c r="J52" s="74" t="n">
        <x:v>1.048849779457694</x:v>
      </x:c>
      <x:c r="K52" s="74" t="n">
        <x:v>0.7902792497332306</x:v>
      </x:c>
      <x:c r="L52" s="74" t="n">
        <x:v>0.9136731216772239</x:v>
      </x:c>
      <x:c r="M52" s="74" t="n">
        <x:v>0.9497109122149456</x:v>
      </x:c>
      <x:c r="N52" s="74" t="n">
        <x:v>0.8630915116308825</x:v>
      </x:c>
      <x:c r="O52" s="65" t="n">
        <x:v>494495.90076962416</x:v>
      </x:c>
      <x:c r="P52" s="65" t="n">
        <x:v>298716.05684550205</x:v>
      </x:c>
      <x:c r="Q52" s="65" t="n">
        <x:v>195779.84392412208</x:v>
      </x:c>
      <x:c r="R52" s="65" t="n">
        <x:v>115883.48920154356</x:v>
      </x:c>
      <x:c r="S52" s="65" t="n">
        <x:v>79896.35472257852</x:v>
      </x:c>
      <x:c r="T52" s="65" t="n">
        <x:v>187968.3867815803</x:v>
      </x:c>
      <x:c r="U52" s="43" t="n">
        <x:v>0.9842031913098082</x:v>
      </x:c>
      <x:c r="V52" s="43" t="n">
        <x:v>0.9843953159298758</x:v>
      </x:c>
      <x:c r="W52" s="43" t="n">
        <x:v>0.8420319130980826</x:v>
      </x:c>
      <x:c r="X52" s="65" t="n">
        <x:v>20066429.865982298</x:v>
      </x:c>
      <x:c r="Y52" s="65" t="n">
        <x:v>40.57956766628658</x:v>
      </x:c>
      <x:c r="Z52" s="65" t="n">
        <x:v>1733793.3563732682</x:v>
      </x:c>
      <x:c r="AA52" s="65" t="n">
        <x:v>123477.83271763133</x:v>
      </x:c>
      <x:c r="AB52" s="65" t="n">
        <x:v>8880.90137623399</x:v>
      </x:c>
      <x:c r="AC52" s="65" t="n">
        <x:v>0</x:v>
      </x:c>
      <x:c r="AD52" s="65" t="n">
        <x:v>1549.727623030365</x:v>
      </x:c>
      <x:c r="AE52" s="65" t="n">
        <x:v>76111.72687421796</x:v>
      </x:c>
      <x:c r="AF52" s="65" t="n">
        <x:v>187968.38678158016</x:v>
      </x:c>
      <x:c r="AG52" s="65" t="n">
        <x:v>1.4551915228366852e-10</x:v>
      </x:c>
      <x:c r="AH52" s="34" t="n">
        <x:v>1</x:v>
      </x:c>
    </x:row>
    <x:row r="53" ht="15" hidden="0" customHeight="1">
      <x:c r="A53" s="36" t="n">
        <x:v>13</x:v>
      </x:c>
      <x:c r="B53" s="36" t="str">
        <x:v>M0</x:v>
      </x:c>
      <x:c r="C53" s="36" t="str">
        <x:v>reference</x:v>
      </x:c>
      <x:c r="D53" s="75" t="n">
        <x:v>1.0231289264164898</x:v>
      </x:c>
      <x:c r="E53" s="75" t="n">
        <x:v>0.014173482852311063</x:v>
      </x:c>
      <x:c r="F53" s="75" t="n">
        <x:v>1.0259862235678059</x:v>
      </x:c>
      <x:c r="G53" s="75" t="n">
        <x:v>1.0002527277104163</x:v>
      </x:c>
      <x:c r="H53" s="75" t="n">
        <x:v>0.9459565955004894</x:v>
      </x:c>
      <x:c r="I53" s="75" t="n">
        <x:v>1.01652084294264</x:v>
      </x:c>
      <x:c r="J53" s="75" t="n">
        <x:v>0.7585693014911649</x:v>
      </x:c>
      <x:c r="K53" s="75" t="n">
        <x:v>0.8079983012589731</x:v>
      </x:c>
      <x:c r="L53" s="75" t="n">
        <x:v>0.9182090170995584</x:v>
      </x:c>
      <x:c r="M53" s="75" t="n">
        <x:v>0.9639855299725595</x:v>
      </x:c>
      <x:c r="N53" s="75" t="n">
        <x:v>0.855565968053665</x:v>
      </x:c>
      <x:c r="O53" s="66" t="n">
        <x:v>492175.96542686713</x:v>
      </x:c>
      <x:c r="P53" s="66" t="n">
        <x:v>75195.3970770568</x:v>
      </x:c>
      <x:c r="Q53" s="66" t="n">
        <x:v>416980.5683498103</x:v>
      </x:c>
      <x:c r="R53" s="66" t="n">
        <x:v>98795.57974638088</x:v>
      </x:c>
      <x:c r="S53" s="66" t="n">
        <x:v>318184.98860342946</x:v>
      </x:c>
      <x:c r="T53" s="66" t="n">
        <x:v>292158.8533091001</x:v>
      </x:c>
      <x:c r="U53" s="45" t="n">
        <x:v>0.7463880323118751</x:v>
      </x:c>
      <x:c r="V53" s="45" t="n">
        <x:v>0.7603998910011273</x:v>
      </x:c>
      <x:c r="W53" s="45" t="n">
        <x:v>0.16502919862781862</x:v>
      </x:c>
      <x:c r="X53" s="66" t="n">
        <x:v>52403363.89554518</x:v>
      </x:c>
      <x:c r="Y53" s="66" t="n">
        <x:v>106.47282186990873</x:v>
      </x:c>
      <x:c r="Z53" s="66" t="n">
        <x:v>4768270.626342835</x:v>
      </x:c>
      <x:c r="AA53" s="66" t="n">
        <x:v>284380.18924970145</x:v>
      </x:c>
      <x:c r="AB53" s="66" t="n">
        <x:v>33999.28534305708</x:v>
      </x:c>
      <x:c r="AC53" s="66" t="n">
        <x:v>6964.2120314428885</x:v>
      </x:c>
      <x:c r="AD53" s="66" t="n">
        <x:v>2061.587878586446</x:v>
      </x:c>
      <x:c r="AE53" s="66" t="n">
        <x:v>242878.25354920904</x:v>
      </x:c>
      <x:c r="AF53" s="66" t="n">
        <x:v>292158.8533091002</x:v>
      </x:c>
      <x:c r="AG53" s="66" t="n">
        <x:v>0</x:v>
      </x:c>
      <x:c r="AH53" s="36" t="n">
        <x:v>0</x:v>
      </x:c>
    </x:row>
    <x:row r="54" ht="15" hidden="0" customHeight="1">
      <x:c r="A54" s="34" t="n">
        <x:v>13</x:v>
      </x:c>
      <x:c r="B54" s="34" t="str">
        <x:v>B1</x:v>
      </x:c>
      <x:c r="C54" s="34" t="str">
        <x:v>reference</x:v>
      </x:c>
      <x:c r="D54" s="74" t="n">
        <x:v>1.0231289264164898</x:v>
      </x:c>
      <x:c r="E54" s="74" t="n">
        <x:v>0.014173482852311063</x:v>
      </x:c>
      <x:c r="F54" s="74" t="n">
        <x:v>1.0259862235678059</x:v>
      </x:c>
      <x:c r="G54" s="74" t="n">
        <x:v>1.0002527277104163</x:v>
      </x:c>
      <x:c r="H54" s="74" t="n">
        <x:v>0.9459565955004894</x:v>
      </x:c>
      <x:c r="I54" s="74" t="n">
        <x:v>1.01652084294264</x:v>
      </x:c>
      <x:c r="J54" s="74" t="n">
        <x:v>0.7585693014911649</x:v>
      </x:c>
      <x:c r="K54" s="74" t="n">
        <x:v>0.8079983012589731</x:v>
      </x:c>
      <x:c r="L54" s="74" t="n">
        <x:v>0.9182090170995584</x:v>
      </x:c>
      <x:c r="M54" s="74" t="n">
        <x:v>0.9639855299725595</x:v>
      </x:c>
      <x:c r="N54" s="74" t="n">
        <x:v>0.855565968053665</x:v>
      </x:c>
      <x:c r="O54" s="65" t="n">
        <x:v>492175.96542686713</x:v>
      </x:c>
      <x:c r="P54" s="65" t="n">
        <x:v>254361.04945268197</x:v>
      </x:c>
      <x:c r="Q54" s="65" t="n">
        <x:v>237814.91597418513</x:v>
      </x:c>
      <x:c r="R54" s="65" t="n">
        <x:v>98795.57974638088</x:v>
      </x:c>
      <x:c r="S54" s="65" t="n">
        <x:v>139019.33622780425</x:v>
      </x:c>
      <x:c r="T54" s="65" t="n">
        <x:v>201797.07517941017</x:v>
      </x:c>
      <x:c r="U54" s="43" t="n">
        <x:v>0.9268191798769845</x:v>
      </x:c>
      <x:c r="V54" s="43" t="n">
        <x:v>0.934513023013478</x:v>
      </x:c>
      <x:c r="W54" s="43" t="n">
        <x:v>0.6039216014929101</x:v>
      </x:c>
      <x:c r="X54" s="65" t="n">
        <x:v>29402051.48036096</x:v>
      </x:c>
      <x:c r="Y54" s="65" t="n">
        <x:v>59.73890142087777</x:v>
      </x:c>
      <x:c r="Z54" s="65" t="n">
        <x:v>2170328.908885829</x:v>
      </x:c>
      <x:c r="AA54" s="65" t="n">
        <x:v>152782.48600214988</x:v>
      </x:c>
      <x:c r="AB54" s="65" t="n">
        <x:v>2950.804105707029</x:v>
      </x:c>
      <x:c r="AC54" s="65" t="n">
        <x:v>26053.12386941567</x:v>
      </x:c>
      <x:c r="AD54" s="65" t="n">
        <x:v>1607.082961688976</x:v>
      </x:c>
      <x:c r="AE54" s="65" t="n">
        <x:v>127876.17553957361</x:v>
      </x:c>
      <x:c r="AF54" s="65" t="n">
        <x:v>201797.07517940993</x:v>
      </x:c>
      <x:c r="AG54" s="65" t="n">
        <x:v>2.3283064365386963e-10</x:v>
      </x:c>
      <x:c r="AH54" s="34" t="n">
        <x:v>0</x:v>
      </x:c>
    </x:row>
    <x:row r="55" ht="15" hidden="0" customHeight="1">
      <x:c r="A55" s="36" t="n">
        <x:v>13</x:v>
      </x:c>
      <x:c r="B55" s="36" t="str">
        <x:v>P2</x:v>
      </x:c>
      <x:c r="C55" s="36" t="str">
        <x:v>reference</x:v>
      </x:c>
      <x:c r="D55" s="75" t="n">
        <x:v>1.0231289264164898</x:v>
      </x:c>
      <x:c r="E55" s="75" t="n">
        <x:v>0.014173482852311063</x:v>
      </x:c>
      <x:c r="F55" s="75" t="n">
        <x:v>1.0259862235678059</x:v>
      </x:c>
      <x:c r="G55" s="75" t="n">
        <x:v>1.0002527277104163</x:v>
      </x:c>
      <x:c r="H55" s="75" t="n">
        <x:v>0.9459565955004894</x:v>
      </x:c>
      <x:c r="I55" s="75" t="n">
        <x:v>1.01652084294264</x:v>
      </x:c>
      <x:c r="J55" s="75" t="n">
        <x:v>0.7585693014911649</x:v>
      </x:c>
      <x:c r="K55" s="75" t="n">
        <x:v>0.8079983012589731</x:v>
      </x:c>
      <x:c r="L55" s="75" t="n">
        <x:v>0.9182090170995584</x:v>
      </x:c>
      <x:c r="M55" s="75" t="n">
        <x:v>0.9639855299725595</x:v>
      </x:c>
      <x:c r="N55" s="75" t="n">
        <x:v>0.855565968053665</x:v>
      </x:c>
      <x:c r="O55" s="66" t="n">
        <x:v>492175.96542686713</x:v>
      </x:c>
      <x:c r="P55" s="66" t="n">
        <x:v>368490.6499047815</x:v>
      </x:c>
      <x:c r="Q55" s="66" t="n">
        <x:v>123685.31552208561</x:v>
      </x:c>
      <x:c r="R55" s="66" t="n">
        <x:v>98795.57974638088</x:v>
      </x:c>
      <x:c r="S55" s="66" t="n">
        <x:v>24889.735775704725</x:v>
      </x:c>
      <x:c r="T55" s="66" t="n">
        <x:v>118706.03463721415</x:v>
      </x:c>
      <x:c r="U55" s="45" t="n">
        <x:v>0.9898831287290657</x:v>
      </x:c>
      <x:c r="V55" s="45" t="n">
        <x:v>0.9921308173456642</x:v>
      </x:c>
      <x:c r="W55" s="45" t="n">
        <x:v>0.8988312872906569</x:v>
      </x:c>
      <x:c r="X55" s="66" t="n">
        <x:v>14550062.486740062</x:v>
      </x:c>
      <x:c r="Y55" s="66" t="n">
        <x:v>29.5627245310947</x:v>
      </x:c>
      <x:c r="Z55" s="66" t="n">
        <x:v>770109.8046937701</x:v>
      </x:c>
      <x:c r="AA55" s="66" t="n">
        <x:v>81161.5734734565</x:v>
      </x:c>
      <x:c r="AB55" s="66" t="n">
        <x:v>0</x:v>
      </x:c>
      <x:c r="AC55" s="66" t="n">
        <x:v>1273.7833225271675</x:v>
      </x:c>
      <x:c r="AD55" s="66" t="n">
        <x:v>1332.45686078778</x:v>
      </x:c>
      <x:c r="AE55" s="66" t="n">
        <x:v>61043.044924111295</x:v>
      </x:c>
      <x:c r="AF55" s="66" t="n">
        <x:v>118706.0346372141</x:v>
      </x:c>
      <x:c r="AG55" s="66" t="n">
        <x:v>4.3655745685100555e-11</x:v>
      </x:c>
      <x:c r="AH55" s="36" t="n">
        <x:v>1</x:v>
      </x:c>
    </x:row>
    <x:row r="56" ht="15" hidden="0" customHeight="1">
      <x:c r="A56" s="34" t="n">
        <x:v>13</x:v>
      </x:c>
      <x:c r="B56" s="34" t="str">
        <x:v>H3</x:v>
      </x:c>
      <x:c r="C56" s="34" t="str">
        <x:v>reference</x:v>
      </x:c>
      <x:c r="D56" s="74" t="n">
        <x:v>1.0231289264164898</x:v>
      </x:c>
      <x:c r="E56" s="74" t="n">
        <x:v>0.014173482852311063</x:v>
      </x:c>
      <x:c r="F56" s="74" t="n">
        <x:v>1.0259862235678059</x:v>
      </x:c>
      <x:c r="G56" s="74" t="n">
        <x:v>1.0002527277104163</x:v>
      </x:c>
      <x:c r="H56" s="74" t="n">
        <x:v>0.9459565955004894</x:v>
      </x:c>
      <x:c r="I56" s="74" t="n">
        <x:v>1.01652084294264</x:v>
      </x:c>
      <x:c r="J56" s="74" t="n">
        <x:v>0.7585693014911649</x:v>
      </x:c>
      <x:c r="K56" s="74" t="n">
        <x:v>0.8079983012589731</x:v>
      </x:c>
      <x:c r="L56" s="74" t="n">
        <x:v>0.9182090170995584</x:v>
      </x:c>
      <x:c r="M56" s="74" t="n">
        <x:v>0.9639855299725595</x:v>
      </x:c>
      <x:c r="N56" s="74" t="n">
        <x:v>0.855565968053665</x:v>
      </x:c>
      <x:c r="O56" s="65" t="n">
        <x:v>492175.96542686713</x:v>
      </x:c>
      <x:c r="P56" s="65" t="n">
        <x:v>382256.2878513617</x:v>
      </x:c>
      <x:c r="Q56" s="65" t="n">
        <x:v>109919.67757550546</x:v>
      </x:c>
      <x:c r="R56" s="65" t="n">
        <x:v>98795.57974638088</x:v>
      </x:c>
      <x:c r="S56" s="65" t="n">
        <x:v>11124.09782912459</x:v>
      </x:c>
      <x:c r="T56" s="65" t="n">
        <x:v>108618.04931540554</x:v>
      </x:c>
      <x:c r="U56" s="43" t="n">
        <x:v>0.9973553599697397</x:v>
      </x:c>
      <x:c r="V56" s="43" t="n">
        <x:v>0.998334272763902</x:v>
      </x:c>
      <x:c r="W56" s="43" t="n">
        <x:v>0.9735535996973969</x:v>
      </x:c>
      <x:c r="X56" s="65" t="n">
        <x:v>11782615.13540526</x:v>
      </x:c>
      <x:c r="Y56" s="65" t="n">
        <x:v>23.93984258289843</x:v>
      </x:c>
      <x:c r="Z56" s="65" t="n">
        <x:v>765629.478837915</x:v>
      </x:c>
      <x:c r="AA56" s="65" t="n">
        <x:v>74653.96896886395</x:v>
      </x:c>
      <x:c r="AB56" s="65" t="n">
        <x:v>1386.2803125459911</x:v>
      </x:c>
      <x:c r="AC56" s="65" t="n">
        <x:v>5251.217684570342</x:v>
      </x:c>
      <x:c r="AD56" s="65" t="n">
        <x:v>1301.6282600999193</x:v>
      </x:c>
      <x:c r="AE56" s="65" t="n">
        <x:v>59471.79775058882</x:v>
      </x:c>
      <x:c r="AF56" s="65" t="n">
        <x:v>108618.04931540559</x:v>
      </x:c>
      <x:c r="AG56" s="65" t="n">
        <x:v>0</x:v>
      </x:c>
      <x:c r="AH56" s="34" t="n">
        <x:v>1</x:v>
      </x:c>
    </x:row>
    <x:row r="57" ht="15" hidden="0" customHeight="1">
      <x:c r="A57" s="36" t="n">
        <x:v>14</x:v>
      </x:c>
      <x:c r="B57" s="36" t="str">
        <x:v>M0</x:v>
      </x:c>
      <x:c r="C57" s="36" t="str">
        <x:v>reference</x:v>
      </x:c>
      <x:c r="D57" s="75" t="n">
        <x:v>1.1880291027126706</x:v>
      </x:c>
      <x:c r="E57" s="75" t="n">
        <x:v>0.09671804479896773</x:v>
      </x:c>
      <x:c r="F57" s="75" t="n">
        <x:v>0.8649066059294466</x:v>
      </x:c>
      <x:c r="G57" s="75" t="n">
        <x:v>1.0957225289660948</x:v>
      </x:c>
      <x:c r="H57" s="75" t="n">
        <x:v>0.9911144295481445</x:v>
      </x:c>
      <x:c r="I57" s="75" t="n">
        <x:v>0.8506835083356544</x:v>
      </x:c>
      <x:c r="J57" s="75" t="n">
        <x:v>0.7788180786596509</x:v>
      </x:c>
      <x:c r="K57" s="75" t="n">
        <x:v>0.8552653595483815</x:v>
      </x:c>
      <x:c r="L57" s="75" t="n">
        <x:v>0.7982664289925431</x:v>
      </x:c>
      <x:c r="M57" s="75" t="n">
        <x:v>1.0380833753832017</x:v>
      </x:c>
      <x:c r="N57" s="75" t="n">
        <x:v>0.7623855760771424</x:v>
      </x:c>
      <x:c r="O57" s="66" t="n">
        <x:v>571501.1622541097</x:v>
      </x:c>
      <x:c r="P57" s="66" t="n">
        <x:v>66003.25500925194</x:v>
      </x:c>
      <x:c r="Q57" s="66" t="n">
        <x:v>505497.90724485763</x:v>
      </x:c>
      <x:c r="R57" s="66" t="n">
        <x:v>161893.01659635425</x:v>
      </x:c>
      <x:c r="S57" s="66" t="n">
        <x:v>343604.89064850344</x:v>
      </x:c>
      <x:c r="T57" s="66" t="n">
        <x:v>244909.3878648306</x:v>
      </x:c>
      <x:c r="U57" s="45" t="n">
        <x:v>0.5440280150048754</x:v>
      </x:c>
      <x:c r="V57" s="45" t="n">
        <x:v>0.5708760348675741</x:v>
      </x:c>
      <x:c r="W57" s="45" t="n">
        <x:v>0.10982812504141752</x:v>
      </x:c>
      <x:c r="X57" s="66" t="n">
        <x:v>70049951.91379692</x:v>
      </x:c>
      <x:c r="Y57" s="66" t="n">
        <x:v>122.57184506415793</x:v>
      </x:c>
      <x:c r="Z57" s="66" t="n">
        <x:v>5061400.330025147</x:v>
      </x:c>
      <x:c r="AA57" s="66" t="n">
        <x:v>385671.32333859045</x:v>
      </x:c>
      <x:c r="AB57" s="66" t="n">
        <x:v>45491.813942069304</x:v>
      </x:c>
      <x:c r="AC57" s="66" t="n">
        <x:v>2966.177530313349</x:v>
      </x:c>
      <x:c r="AD57" s="66" t="n">
        <x:v>2467.6621954890934</x:v>
      </x:c>
      <x:c r="AE57" s="66" t="n">
        <x:v>183943.57797375292</x:v>
      </x:c>
      <x:c r="AF57" s="66" t="n">
        <x:v>244909.38786483047</x:v>
      </x:c>
      <x:c r="AG57" s="66" t="n">
        <x:v>1.4551915228366852e-10</x:v>
      </x:c>
      <x:c r="AH57" s="36" t="n">
        <x:v>0</x:v>
      </x:c>
    </x:row>
    <x:row r="58" ht="15" hidden="0" customHeight="1">
      <x:c r="A58" s="34" t="n">
        <x:v>14</x:v>
      </x:c>
      <x:c r="B58" s="34" t="str">
        <x:v>B1</x:v>
      </x:c>
      <x:c r="C58" s="34" t="str">
        <x:v>reference</x:v>
      </x:c>
      <x:c r="D58" s="74" t="n">
        <x:v>1.1880291027126706</x:v>
      </x:c>
      <x:c r="E58" s="74" t="n">
        <x:v>0.09671804479896773</x:v>
      </x:c>
      <x:c r="F58" s="74" t="n">
        <x:v>0.8649066059294466</x:v>
      </x:c>
      <x:c r="G58" s="74" t="n">
        <x:v>1.0957225289660948</x:v>
      </x:c>
      <x:c r="H58" s="74" t="n">
        <x:v>0.9911144295481445</x:v>
      </x:c>
      <x:c r="I58" s="74" t="n">
        <x:v>0.8506835083356544</x:v>
      </x:c>
      <x:c r="J58" s="74" t="n">
        <x:v>0.7788180786596509</x:v>
      </x:c>
      <x:c r="K58" s="74" t="n">
        <x:v>0.8552653595483815</x:v>
      </x:c>
      <x:c r="L58" s="74" t="n">
        <x:v>0.7982664289925431</x:v>
      </x:c>
      <x:c r="M58" s="74" t="n">
        <x:v>1.0380833753832017</x:v>
      </x:c>
      <x:c r="N58" s="74" t="n">
        <x:v>0.7623855760771424</x:v>
      </x:c>
      <x:c r="O58" s="65" t="n">
        <x:v>571501.1622541097</x:v>
      </x:c>
      <x:c r="P58" s="65" t="n">
        <x:v>223269.876215718</x:v>
      </x:c>
      <x:c r="Q58" s="65" t="n">
        <x:v>348231.28603839164</x:v>
      </x:c>
      <x:c r="R58" s="65" t="n">
        <x:v>161893.01659635425</x:v>
      </x:c>
      <x:c r="S58" s="65" t="n">
        <x:v>186338.26944203736</x:v>
      </x:c>
      <x:c r="T58" s="65" t="n">
        <x:v>187704.19650534604</x:v>
      </x:c>
      <x:c r="U58" s="43" t="n">
        <x:v>0.7191132754657992</x:v>
      </x:c>
      <x:c r="V58" s="43" t="n">
        <x:v>0.7494727990717565</x:v>
      </x:c>
      <x:c r="W58" s="43" t="n">
        <x:v>0.39543247846850843</x:v>
      </x:c>
      <x:c r="X58" s="65" t="n">
        <x:v>48588167.31688199</x:v>
      </x:c>
      <x:c r="Y58" s="65" t="n">
        <x:v>85.01849257006054</x:v>
      </x:c>
      <x:c r="Z58" s="65" t="n">
        <x:v>2255663.985265881</x:v>
      </x:c>
      <x:c r="AA58" s="65" t="n">
        <x:v>265577.41486398503</x:v>
      </x:c>
      <x:c r="AB58" s="65" t="n">
        <x:v>13874.912034936362</x:v>
      </x:c>
      <x:c r="AC58" s="65" t="n">
        <x:v>1746.696203273047</x:v>
      </x:c>
      <x:c r="AD58" s="65" t="n">
        <x:v>2107.024772205561</x:v>
      </x:c>
      <x:c r="AE58" s="65" t="n">
        <x:v>123305.95877888768</x:v>
      </x:c>
      <x:c r="AF58" s="65" t="n">
        <x:v>187704.19650534616</x:v>
      </x:c>
      <x:c r="AG58" s="65" t="n">
        <x:v>0</x:v>
      </x:c>
      <x:c r="AH58" s="34" t="n">
        <x:v>0</x:v>
      </x:c>
    </x:row>
    <x:row r="59" ht="15" hidden="0" customHeight="1">
      <x:c r="A59" s="36" t="n">
        <x:v>14</x:v>
      </x:c>
      <x:c r="B59" s="36" t="str">
        <x:v>P2</x:v>
      </x:c>
      <x:c r="C59" s="36" t="str">
        <x:v>reference</x:v>
      </x:c>
      <x:c r="D59" s="75" t="n">
        <x:v>1.1880291027126706</x:v>
      </x:c>
      <x:c r="E59" s="75" t="n">
        <x:v>0.09671804479896773</x:v>
      </x:c>
      <x:c r="F59" s="75" t="n">
        <x:v>0.8649066059294466</x:v>
      </x:c>
      <x:c r="G59" s="75" t="n">
        <x:v>1.0957225289660948</x:v>
      </x:c>
      <x:c r="H59" s="75" t="n">
        <x:v>0.9911144295481445</x:v>
      </x:c>
      <x:c r="I59" s="75" t="n">
        <x:v>0.8506835083356544</x:v>
      </x:c>
      <x:c r="J59" s="75" t="n">
        <x:v>0.7788180786596509</x:v>
      </x:c>
      <x:c r="K59" s="75" t="n">
        <x:v>0.8552653595483815</x:v>
      </x:c>
      <x:c r="L59" s="75" t="n">
        <x:v>0.7982664289925431</x:v>
      </x:c>
      <x:c r="M59" s="75" t="n">
        <x:v>1.0380833753832017</x:v>
      </x:c>
      <x:c r="N59" s="75" t="n">
        <x:v>0.7623855760771424</x:v>
      </x:c>
      <x:c r="O59" s="66" t="n">
        <x:v>571501.1622541097</x:v>
      </x:c>
      <x:c r="P59" s="66" t="n">
        <x:v>323451.4127737521</x:v>
      </x:c>
      <x:c r="Q59" s="66" t="n">
        <x:v>248049.74948035748</x:v>
      </x:c>
      <x:c r="R59" s="66" t="n">
        <x:v>161893.01659635425</x:v>
      </x:c>
      <x:c r="S59" s="66" t="n">
        <x:v>86156.7328840032</x:v>
      </x:c>
      <x:c r="T59" s="66" t="n">
        <x:v>128289.13617727201</x:v>
      </x:c>
      <x:c r="U59" s="45" t="n">
        <x:v>0.7904455472483611</x:v>
      </x:c>
      <x:c r="V59" s="45" t="n">
        <x:v>0.8264540895054817</x:v>
      </x:c>
      <x:c r="W59" s="45" t="n">
        <x:v>0.39605982165534726</x:v>
      </x:c>
      <x:c r="X59" s="66" t="n">
        <x:v>33038686.23889111</x:v>
      </x:c>
      <x:c r="Y59" s="66" t="n">
        <x:v>57.81035704036055</x:v>
      </x:c>
      <x:c r="Z59" s="66" t="n">
        <x:v>1070081.286767592</x:v>
      </x:c>
      <x:c r="AA59" s="66" t="n">
        <x:v>189030.79053536526</x:v>
      </x:c>
      <x:c r="AB59" s="66" t="n">
        <x:v>1451.9993445902128</x:v>
      </x:c>
      <x:c r="AC59" s="66" t="n">
        <x:v>20924.307785914472</x:v>
      </x:c>
      <x:c r="AD59" s="66" t="n">
        <x:v>1889.1163498468366</x:v>
      </x:c>
      <x:c r="AE59" s="66" t="n">
        <x:v>62930.33513600181</x:v>
      </x:c>
      <x:c r="AF59" s="66" t="n">
        <x:v>128289.13617727198</x:v>
      </x:c>
      <x:c r="AG59" s="66" t="n">
        <x:v>2.9103830456733704e-11</x:v>
      </x:c>
      <x:c r="AH59" s="36" t="n">
        <x:v>0</x:v>
      </x:c>
    </x:row>
    <x:row r="60" ht="15" hidden="0" customHeight="1">
      <x:c r="A60" s="34" t="n">
        <x:v>14</x:v>
      </x:c>
      <x:c r="B60" s="34" t="str">
        <x:v>H3</x:v>
      </x:c>
      <x:c r="C60" s="34" t="str">
        <x:v>reference</x:v>
      </x:c>
      <x:c r="D60" s="74" t="n">
        <x:v>1.1880291027126706</x:v>
      </x:c>
      <x:c r="E60" s="74" t="n">
        <x:v>0.09671804479896773</x:v>
      </x:c>
      <x:c r="F60" s="74" t="n">
        <x:v>0.8649066059294466</x:v>
      </x:c>
      <x:c r="G60" s="74" t="n">
        <x:v>1.0957225289660948</x:v>
      </x:c>
      <x:c r="H60" s="74" t="n">
        <x:v>0.9911144295481445</x:v>
      </x:c>
      <x:c r="I60" s="74" t="n">
        <x:v>0.8506835083356544</x:v>
      </x:c>
      <x:c r="J60" s="74" t="n">
        <x:v>0.7788180786596509</x:v>
      </x:c>
      <x:c r="K60" s="74" t="n">
        <x:v>0.8552653595483815</x:v>
      </x:c>
      <x:c r="L60" s="74" t="n">
        <x:v>0.7982664289925431</x:v>
      </x:c>
      <x:c r="M60" s="74" t="n">
        <x:v>1.0380833753832017</x:v>
      </x:c>
      <x:c r="N60" s="74" t="n">
        <x:v>0.7623855760771424</x:v>
      </x:c>
      <x:c r="O60" s="65" t="n">
        <x:v>571501.1622541097</x:v>
      </x:c>
      <x:c r="P60" s="65" t="n">
        <x:v>335534.98746294784</x:v>
      </x:c>
      <x:c r="Q60" s="65" t="n">
        <x:v>235966.17479116181</x:v>
      </x:c>
      <x:c r="R60" s="65" t="n">
        <x:v>161893.01659635425</x:v>
      </x:c>
      <x:c r="S60" s="65" t="n">
        <x:v>74073.15819480752</x:v>
      </x:c>
      <x:c r="T60" s="65" t="n">
        <x:v>205022.9260503254</x:v>
      </x:c>
      <x:c r="U60" s="43" t="n">
        <x:v>0.9458561928049447</x:v>
      </x:c>
      <x:c r="V60" s="43" t="n">
        <x:v>0.9495908704090428</x:v>
      </x:c>
      <x:c r="W60" s="43" t="n">
        <x:v>0.6616331151614592</x:v>
      </x:c>
      <x:c r="X60" s="65" t="n">
        <x:v>25549366.800697558</x:v>
      </x:c>
      <x:c r="Y60" s="65" t="n">
        <x:v>44.705712758178784</x:v>
      </x:c>
      <x:c r="Z60" s="65" t="n">
        <x:v>3058783.627567544</x:v>
      </x:c>
      <x:c r="AA60" s="65" t="n">
        <x:v>151613.06878480146</x:v>
      </x:c>
      <x:c r="AB60" s="65" t="n">
        <x:v>16013.873440101615</x:v>
      </x:c>
      <x:c r="AC60" s="65" t="n">
        <x:v>9116.783885421984</x:v>
      </x:c>
      <x:c r="AD60" s="65" t="n">
        <x:v>1864.6546846322994</x:v>
      </x:c>
      <x:c r="AE60" s="65" t="n">
        <x:v>89750.22694746137</x:v>
      </x:c>
      <x:c r="AF60" s="65" t="n">
        <x:v>205022.9260503255</x:v>
      </x:c>
      <x:c r="AG60" s="65" t="n">
        <x:v>0</x:v>
      </x:c>
      <x:c r="AH60" s="34" t="n">
        <x:v>0</x:v>
      </x:c>
    </x:row>
    <x:row r="61" ht="15" hidden="0" customHeight="1">
      <x:c r="A61" s="36" t="n">
        <x:v>15</x:v>
      </x:c>
      <x:c r="B61" s="36" t="str">
        <x:v>M0</x:v>
      </x:c>
      <x:c r="C61" s="36" t="str">
        <x:v>reference</x:v>
      </x:c>
      <x:c r="D61" s="75" t="n">
        <x:v>1.0874106739911056</x:v>
      </x:c>
      <x:c r="E61" s="75" t="n">
        <x:v>0.05611035328864319</x:v>
      </x:c>
      <x:c r="F61" s="75" t="n">
        <x:v>0.8708965207155782</x:v>
      </x:c>
      <x:c r="G61" s="75" t="n">
        <x:v>1.183162481442836</x:v>
      </x:c>
      <x:c r="H61" s="75" t="n">
        <x:v>0.775176012174748</x:v>
      </x:c>
      <x:c r="I61" s="75" t="n">
        <x:v>0.9495584059612956</x:v>
      </x:c>
      <x:c r="J61" s="75" t="n">
        <x:v>0.7460381074023761</x:v>
      </x:c>
      <x:c r="K61" s="75" t="n">
        <x:v>0.9377243333654257</x:v>
      </x:c>
      <x:c r="L61" s="75" t="n">
        <x:v>0.9630692738210411</x:v>
      </x:c>
      <x:c r="M61" s="75" t="n">
        <x:v>0.8363916615483342</x:v>
      </x:c>
      <x:c r="N61" s="75" t="n">
        <x:v>0.8039524363890429</x:v>
      </x:c>
      <x:c r="O61" s="66" t="n">
        <x:v>523098.6872412865</x:v>
      </x:c>
      <x:c r="P61" s="66" t="n">
        <x:v>64278.88484848129</x:v>
      </x:c>
      <x:c r="Q61" s="66" t="n">
        <x:v>458819.8023928052</x:v>
      </x:c>
      <x:c r="R61" s="66" t="n">
        <x:v>126939.88856719222</x:v>
      </x:c>
      <x:c r="S61" s="66" t="n">
        <x:v>331879.91382561304</x:v>
      </x:c>
      <x:c r="T61" s="66" t="n">
        <x:v>258982.4583943989</x:v>
      </x:c>
      <x:c r="U61" s="45" t="n">
        <x:v>0.6179739141531652</x:v>
      </x:c>
      <x:c r="V61" s="45" t="n">
        <x:v>0.6495908852408279</x:v>
      </x:c>
      <x:c r="W61" s="45" t="n">
        <x:v>0.12561345550545863</x:v>
      </x:c>
      <x:c r="X61" s="66" t="n">
        <x:v>61202851.763553806</x:v>
      </x:c>
      <x:c r="Y61" s="66" t="n">
        <x:v>117.00058374515312</x:v>
      </x:c>
      <x:c r="Z61" s="66" t="n">
        <x:v>3872653.696304773</x:v>
      </x:c>
      <x:c r="AA61" s="66" t="n">
        <x:v>339851.5223704042</x:v>
      </x:c>
      <x:c r="AB61" s="66" t="n">
        <x:v>27034.925336850283</x:v>
      </x:c>
      <x:c r="AC61" s="66" t="n">
        <x:v>926.8339245049731</x:v>
      </x:c>
      <x:c r="AD61" s="66" t="n">
        <x:v>2240.7855623103233</x:v>
      </x:c>
      <x:c r="AE61" s="66" t="n">
        <x:v>212674.79805839004</x:v>
      </x:c>
      <x:c r="AF61" s="66" t="n">
        <x:v>258982.45839439897</x:v>
      </x:c>
      <x:c r="AG61" s="66" t="n">
        <x:v>0</x:v>
      </x:c>
      <x:c r="AH61" s="36" t="n">
        <x:v>0</x:v>
      </x:c>
    </x:row>
    <x:row r="62" ht="15" hidden="0" customHeight="1">
      <x:c r="A62" s="34" t="n">
        <x:v>15</x:v>
      </x:c>
      <x:c r="B62" s="34" t="str">
        <x:v>B1</x:v>
      </x:c>
      <x:c r="C62" s="34" t="str">
        <x:v>reference</x:v>
      </x:c>
      <x:c r="D62" s="74" t="n">
        <x:v>1.0874106739911056</x:v>
      </x:c>
      <x:c r="E62" s="74" t="n">
        <x:v>0.05611035328864319</x:v>
      </x:c>
      <x:c r="F62" s="74" t="n">
        <x:v>0.8708965207155782</x:v>
      </x:c>
      <x:c r="G62" s="74" t="n">
        <x:v>1.183162481442836</x:v>
      </x:c>
      <x:c r="H62" s="74" t="n">
        <x:v>0.775176012174748</x:v>
      </x:c>
      <x:c r="I62" s="74" t="n">
        <x:v>0.9495584059612956</x:v>
      </x:c>
      <x:c r="J62" s="74" t="n">
        <x:v>0.7460381074023761</x:v>
      </x:c>
      <x:c r="K62" s="74" t="n">
        <x:v>0.9377243333654257</x:v>
      </x:c>
      <x:c r="L62" s="74" t="n">
        <x:v>0.9630692738210411</x:v>
      </x:c>
      <x:c r="M62" s="74" t="n">
        <x:v>0.8363916615483342</x:v>
      </x:c>
      <x:c r="N62" s="74" t="n">
        <x:v>0.8039524363890429</x:v>
      </x:c>
      <x:c r="O62" s="65" t="n">
        <x:v>523098.6872412865</x:v>
      </x:c>
      <x:c r="P62" s="65" t="n">
        <x:v>217435.42123696508</x:v>
      </x:c>
      <x:c r="Q62" s="65" t="n">
        <x:v>305663.2660043214</x:v>
      </x:c>
      <x:c r="R62" s="65" t="n">
        <x:v>126939.88856719222</x:v>
      </x:c>
      <x:c r="S62" s="65" t="n">
        <x:v>178723.3774371292</x:v>
      </x:c>
      <x:c r="T62" s="65" t="n">
        <x:v>185452.01093926508</x:v>
      </x:c>
      <x:c r="U62" s="43" t="n">
        <x:v>0.7701939270789887</x:v>
      </x:c>
      <x:c r="V62" s="43" t="n">
        <x:v>0.807716891229818</x:v>
      </x:c>
      <x:c r="W62" s="43" t="n">
        <x:v>0.43524974139016726</x:v>
      </x:c>
      <x:c r="X62" s="65" t="n">
        <x:v>41492952.05263933</x:v>
      </x:c>
      <x:c r="Y62" s="65" t="n">
        <x:v>79.3214608728317</x:v>
      </x:c>
      <x:c r="Z62" s="65" t="n">
        <x:v>1225845.8192285993</x:v>
      </x:c>
      <x:c r="AA62" s="65" t="n">
        <x:v>228603.77444209481</x:v>
      </x:c>
      <x:c r="AB62" s="65" t="n">
        <x:v>1973.9778954533488</x:v>
      </x:c>
      <x:c r="AC62" s="65" t="n">
        <x:v>0</x:v>
      </x:c>
      <x:c r="AD62" s="65" t="n">
        <x:v>1870.2006316767443</x:v>
      </x:c>
      <x:c r="AE62" s="65" t="n">
        <x:v>129023.51966987216</x:v>
      </x:c>
      <x:c r="AF62" s="65" t="n">
        <x:v>185452.01093926508</x:v>
      </x:c>
      <x:c r="AG62" s="65" t="n">
        <x:v>0</x:v>
      </x:c>
      <x:c r="AH62" s="34" t="n">
        <x:v>0</x:v>
      </x:c>
    </x:row>
    <x:row r="63" ht="15" hidden="0" customHeight="1">
      <x:c r="A63" s="36" t="n">
        <x:v>15</x:v>
      </x:c>
      <x:c r="B63" s="36" t="str">
        <x:v>P2</x:v>
      </x:c>
      <x:c r="C63" s="36" t="str">
        <x:v>reference</x:v>
      </x:c>
      <x:c r="D63" s="75" t="n">
        <x:v>1.0874106739911056</x:v>
      </x:c>
      <x:c r="E63" s="75" t="n">
        <x:v>0.05611035328864319</x:v>
      </x:c>
      <x:c r="F63" s="75" t="n">
        <x:v>0.8708965207155782</x:v>
      </x:c>
      <x:c r="G63" s="75" t="n">
        <x:v>1.183162481442836</x:v>
      </x:c>
      <x:c r="H63" s="75" t="n">
        <x:v>0.775176012174748</x:v>
      </x:c>
      <x:c r="I63" s="75" t="n">
        <x:v>0.9495584059612956</x:v>
      </x:c>
      <x:c r="J63" s="75" t="n">
        <x:v>0.7460381074023761</x:v>
      </x:c>
      <x:c r="K63" s="75" t="n">
        <x:v>0.9377243333654257</x:v>
      </x:c>
      <x:c r="L63" s="75" t="n">
        <x:v>0.9630692738210411</x:v>
      </x:c>
      <x:c r="M63" s="75" t="n">
        <x:v>0.8363916615483342</x:v>
      </x:c>
      <x:c r="N63" s="75" t="n">
        <x:v>0.8039524363890429</x:v>
      </x:c>
      <x:c r="O63" s="66" t="n">
        <x:v>523098.6872412865</x:v>
      </x:c>
      <x:c r="P63" s="66" t="n">
        <x:v>314997.87791174947</x:v>
      </x:c>
      <x:c r="Q63" s="66" t="n">
        <x:v>208100.80932953703</x:v>
      </x:c>
      <x:c r="R63" s="66" t="n">
        <x:v>126939.88856719222</x:v>
      </x:c>
      <x:c r="S63" s="66" t="n">
        <x:v>81160.92076234483</x:v>
      </x:c>
      <x:c r="T63" s="66" t="n">
        <x:v>120167.53220988566</x:v>
      </x:c>
      <x:c r="U63" s="45" t="n">
        <x:v>0.8318992586592158</x:v>
      </x:c>
      <x:c r="V63" s="45" t="n">
        <x:v>0.8579738851234827</x:v>
      </x:c>
      <x:c r="W63" s="45" t="n">
        <x:v>0.5309908413801644</x:v>
      </x:c>
      <x:c r="X63" s="66" t="n">
        <x:v>27778768.088955663</x:v>
      </x:c>
      <x:c r="Y63" s="66" t="n">
        <x:v>53.10425884541041</x:v>
      </x:c>
      <x:c r="Z63" s="66" t="n">
        <x:v>751937.8968710864</x:v>
      </x:c>
      <x:c r="AA63" s="66" t="n">
        <x:v>158688.79366513074</x:v>
      </x:c>
      <x:c r="AB63" s="66" t="n">
        <x:v>0</x:v>
      </x:c>
      <x:c r="AC63" s="66" t="n">
        <x:v>0</x:v>
      </x:c>
      <x:c r="AD63" s="66" t="n">
        <x:v>1646.2816139302356</x:v>
      </x:c>
      <x:c r="AE63" s="66" t="n">
        <x:v>66300.79259571755</x:v>
      </x:c>
      <x:c r="AF63" s="66" t="n">
        <x:v>120167.53220988571</x:v>
      </x:c>
      <x:c r="AG63" s="66" t="n">
        <x:v>0</x:v>
      </x:c>
      <x:c r="AH63" s="36" t="n">
        <x:v>0</x:v>
      </x:c>
    </x:row>
    <x:row r="64" ht="15" hidden="0" customHeight="1">
      <x:c r="A64" s="34" t="n">
        <x:v>15</x:v>
      </x:c>
      <x:c r="B64" s="34" t="str">
        <x:v>H3</x:v>
      </x:c>
      <x:c r="C64" s="34" t="str">
        <x:v>reference</x:v>
      </x:c>
      <x:c r="D64" s="74" t="n">
        <x:v>1.0874106739911056</x:v>
      </x:c>
      <x:c r="E64" s="74" t="n">
        <x:v>0.05611035328864319</x:v>
      </x:c>
      <x:c r="F64" s="74" t="n">
        <x:v>0.8708965207155782</x:v>
      </x:c>
      <x:c r="G64" s="74" t="n">
        <x:v>1.183162481442836</x:v>
      </x:c>
      <x:c r="H64" s="74" t="n">
        <x:v>0.775176012174748</x:v>
      </x:c>
      <x:c r="I64" s="74" t="n">
        <x:v>0.9495584059612956</x:v>
      </x:c>
      <x:c r="J64" s="74" t="n">
        <x:v>0.7460381074023761</x:v>
      </x:c>
      <x:c r="K64" s="74" t="n">
        <x:v>0.9377243333654257</x:v>
      </x:c>
      <x:c r="L64" s="74" t="n">
        <x:v>0.9630692738210411</x:v>
      </x:c>
      <x:c r="M64" s="74" t="n">
        <x:v>0.8363916615483342</x:v>
      </x:c>
      <x:c r="N64" s="74" t="n">
        <x:v>0.8039524363890429</x:v>
      </x:c>
      <x:c r="O64" s="65" t="n">
        <x:v>523098.6872412865</x:v>
      </x:c>
      <x:c r="P64" s="65" t="n">
        <x:v>326765.411204657</x:v>
      </x:c>
      <x:c r="Q64" s="65" t="n">
        <x:v>196333.27603662957</x:v>
      </x:c>
      <x:c r="R64" s="65" t="n">
        <x:v>126939.88856719222</x:v>
      </x:c>
      <x:c r="S64" s="65" t="n">
        <x:v>69393.38746943735</x:v>
      </x:c>
      <x:c r="T64" s="65" t="n">
        <x:v>182780.8882136069</x:v>
      </x:c>
      <x:c r="U64" s="43" t="n">
        <x:v>0.9740921012543634</x:v>
      </x:c>
      <x:c r="V64" s="43" t="n">
        <x:v>0.9799845404582914</x:v>
      </x:c>
      <x:c r="W64" s="43" t="n">
        <x:v>0.7979134235256817</x:v>
      </x:c>
      <x:c r="X64" s="65" t="n">
        <x:v>20588369.454763144</x:v>
      </x:c>
      <x:c r="Y64" s="65" t="n">
        <x:v>39.35848044915179</x:v>
      </x:c>
      <x:c r="Z64" s="65" t="n">
        <x:v>1160064.4535791287</x:v>
      </x:c>
      <x:c r="AA64" s="65" t="n">
        <x:v>128859.64009415495</x:v>
      </x:c>
      <x:c r="AB64" s="65" t="n">
        <x:v>534.8432998917125</x:v>
      </x:c>
      <x:c r="AC64" s="65" t="n">
        <x:v>0</x:v>
      </x:c>
      <x:c r="AD64" s="65" t="n">
        <x:v>1621.145219531188</x:v>
      </x:c>
      <x:c r="AE64" s="65" t="n">
        <x:v>78588.65245758691</x:v>
      </x:c>
      <x:c r="AF64" s="65" t="n">
        <x:v>182780.88821360705</x:v>
      </x:c>
      <x:c r="AG64" s="65" t="n">
        <x:v>0</x:v>
      </x:c>
      <x:c r="AH64" s="34" t="n">
        <x:v>0</x:v>
      </x:c>
    </x:row>
    <x:row r="65" ht="15" hidden="0" customHeight="1">
      <x:c r="A65" s="36" t="n">
        <x:v>16</x:v>
      </x:c>
      <x:c r="B65" s="36" t="str">
        <x:v>M0</x:v>
      </x:c>
      <x:c r="C65" s="36" t="str">
        <x:v>slow</x:v>
      </x:c>
      <x:c r="D65" s="75" t="n">
        <x:v>0.9242946540422808</x:v>
      </x:c>
      <x:c r="E65" s="75" t="n">
        <x:v>0.03756327361371856</x:v>
      </x:c>
      <x:c r="F65" s="75" t="n">
        <x:v>0.8147054203945513</x:v>
      </x:c>
      <x:c r="G65" s="75" t="n">
        <x:v>1.0543989728956322</x:v>
      </x:c>
      <x:c r="H65" s="75" t="n">
        <x:v>0.9142872241462979</x:v>
      </x:c>
      <x:c r="I65" s="75" t="n">
        <x:v>1.0311357500641827</x:v>
      </x:c>
      <x:c r="J65" s="75" t="n">
        <x:v>1.0516800534057138</x:v>
      </x:c>
      <x:c r="K65" s="75" t="n">
        <x:v>0.9125722432417545</x:v>
      </x:c>
      <x:c r="L65" s="75" t="n">
        <x:v>1.037310134588911</x:v>
      </x:c>
      <x:c r="M65" s="75" t="n">
        <x:v>0.930558003930825</x:v>
      </x:c>
      <x:c r="N65" s="75" t="n">
        <x:v>1.044673232539097</x:v>
      </x:c>
      <x:c r="O65" s="66" t="n">
        <x:v>444631.75846810837</x:v>
      </x:c>
      <x:c r="P65" s="66" t="n">
        <x:v>52363.54704280302</x:v>
      </x:c>
      <x:c r="Q65" s="66" t="n">
        <x:v>392268.21142530534</x:v>
      </x:c>
      <x:c r="R65" s="66" t="n">
        <x:v>99651.76879325221</x:v>
      </x:c>
      <x:c r="S65" s="66" t="n">
        <x:v>292616.44263205316</x:v>
      </x:c>
      <x:c r="T65" s="66" t="n">
        <x:v>250972.78180561267</x:v>
      </x:c>
      <x:c r="U65" s="45" t="n">
        <x:v>0.6822192141503828</x:v>
      </x:c>
      <x:c r="V65" s="45" t="n">
        <x:v>0.6662757925007609</x:v>
      </x:c>
      <x:c r="W65" s="45" t="n">
        <x:v>0.05987789131386486</x:v>
      </x:c>
      <x:c r="X65" s="66" t="n">
        <x:v>46620471.199477196</x:v>
      </x:c>
      <x:c r="Y65" s="66" t="n">
        <x:v>104.85186969122246</x:v>
      </x:c>
      <x:c r="Z65" s="66" t="n">
        <x:v>2177391.2373994254</x:v>
      </x:c>
      <x:c r="AA65" s="66" t="n">
        <x:v>259540.5315367422</x:v>
      </x:c>
      <x:c r="AB65" s="66" t="n">
        <x:v>11663.26138896749</x:v>
      </x:c>
      <x:c r="AC65" s="66" t="n">
        <x:v>0</x:v>
      </x:c>
      <x:c r="AD65" s="66" t="n">
        <x:v>2478.9716388812994</x:v>
      </x:c>
      <x:c r="AE65" s="66" t="n">
        <x:v>190799.60361136065</x:v>
      </x:c>
      <x:c r="AF65" s="66" t="n">
        <x:v>250972.7818056128</x:v>
      </x:c>
      <x:c r="AG65" s="66" t="n">
        <x:v>0</x:v>
      </x:c>
      <x:c r="AH65" s="36" t="n">
        <x:v>0</x:v>
      </x:c>
    </x:row>
    <x:row r="66" ht="15" hidden="0" customHeight="1">
      <x:c r="A66" s="34" t="n">
        <x:v>16</x:v>
      </x:c>
      <x:c r="B66" s="34" t="str">
        <x:v>B1</x:v>
      </x:c>
      <x:c r="C66" s="34" t="str">
        <x:v>slow</x:v>
      </x:c>
      <x:c r="D66" s="74" t="n">
        <x:v>0.9242946540422808</x:v>
      </x:c>
      <x:c r="E66" s="74" t="n">
        <x:v>0.03756327361371856</x:v>
      </x:c>
      <x:c r="F66" s="74" t="n">
        <x:v>0.8147054203945513</x:v>
      </x:c>
      <x:c r="G66" s="74" t="n">
        <x:v>1.0543989728956322</x:v>
      </x:c>
      <x:c r="H66" s="74" t="n">
        <x:v>0.9142872241462979</x:v>
      </x:c>
      <x:c r="I66" s="74" t="n">
        <x:v>1.0311357500641827</x:v>
      </x:c>
      <x:c r="J66" s="74" t="n">
        <x:v>1.0516800534057138</x:v>
      </x:c>
      <x:c r="K66" s="74" t="n">
        <x:v>0.9125722432417545</x:v>
      </x:c>
      <x:c r="L66" s="74" t="n">
        <x:v>1.037310134588911</x:v>
      </x:c>
      <x:c r="M66" s="74" t="n">
        <x:v>0.930558003930825</x:v>
      </x:c>
      <x:c r="N66" s="74" t="n">
        <x:v>1.044673232539097</x:v>
      </x:c>
      <x:c r="O66" s="65" t="n">
        <x:v>444631.75846810837</x:v>
      </x:c>
      <x:c r="P66" s="65" t="n">
        <x:v>177129.06455362943</x:v>
      </x:c>
      <x:c r="Q66" s="65" t="n">
        <x:v>267502.693914479</x:v>
      </x:c>
      <x:c r="R66" s="65" t="n">
        <x:v>99651.76879325221</x:v>
      </x:c>
      <x:c r="S66" s="65" t="n">
        <x:v>167850.92512122676</x:v>
      </x:c>
      <x:c r="T66" s="65" t="n">
        <x:v>161137.66175241256</x:v>
      </x:c>
      <x:c r="U66" s="43" t="n">
        <x:v>0.7607794986833007</x:v>
      </x:c>
      <x:c r="V66" s="43" t="n">
        <x:v>0.7504035106533624</x:v>
      </x:c>
      <x:c r="W66" s="43" t="n">
        <x:v>0.2078288339877198</x:v>
      </x:c>
      <x:c r="X66" s="65" t="n">
        <x:v>33572287.47627597</x:v>
      </x:c>
      <x:c r="Y66" s="65" t="n">
        <x:v>75.50582439712069</x:v>
      </x:c>
      <x:c r="Z66" s="65" t="n">
        <x:v>1048451.4423686069</x:v>
      </x:c>
      <x:c r="AA66" s="65" t="n">
        <x:v>182101.00177800795</x:v>
      </x:c>
      <x:c r="AB66" s="65" t="n">
        <x:v>1785.8770491342843</x:v>
      </x:c>
      <x:c r="AC66" s="65" t="n">
        <x:v>0</x:v>
      </x:c>
      <x:c r="AD66" s="65" t="n">
        <x:v>2078.484588033487</x:v>
      </x:c>
      <x:c r="AE66" s="65" t="n">
        <x:v>70877.89446103458</x:v>
      </x:c>
      <x:c r="AF66" s="65" t="n">
        <x:v>161137.66175241268</x:v>
      </x:c>
      <x:c r="AG66" s="65" t="n">
        <x:v>0</x:v>
      </x:c>
      <x:c r="AH66" s="34" t="n">
        <x:v>0</x:v>
      </x:c>
    </x:row>
    <x:row r="67" ht="15" hidden="0" customHeight="1">
      <x:c r="A67" s="36" t="n">
        <x:v>16</x:v>
      </x:c>
      <x:c r="B67" s="36" t="str">
        <x:v>P2</x:v>
      </x:c>
      <x:c r="C67" s="36" t="str">
        <x:v>slow</x:v>
      </x:c>
      <x:c r="D67" s="75" t="n">
        <x:v>0.9242946540422808</x:v>
      </x:c>
      <x:c r="E67" s="75" t="n">
        <x:v>0.03756327361371856</x:v>
      </x:c>
      <x:c r="F67" s="75" t="n">
        <x:v>0.8147054203945513</x:v>
      </x:c>
      <x:c r="G67" s="75" t="n">
        <x:v>1.0543989728956322</x:v>
      </x:c>
      <x:c r="H67" s="75" t="n">
        <x:v>0.9142872241462979</x:v>
      </x:c>
      <x:c r="I67" s="75" t="n">
        <x:v>1.0311357500641827</x:v>
      </x:c>
      <x:c r="J67" s="75" t="n">
        <x:v>1.0516800534057138</x:v>
      </x:c>
      <x:c r="K67" s="75" t="n">
        <x:v>0.9125722432417545</x:v>
      </x:c>
      <x:c r="L67" s="75" t="n">
        <x:v>1.037310134588911</x:v>
      </x:c>
      <x:c r="M67" s="75" t="n">
        <x:v>0.930558003930825</x:v>
      </x:c>
      <x:c r="N67" s="75" t="n">
        <x:v>1.044673232539097</x:v>
      </x:c>
      <x:c r="O67" s="66" t="n">
        <x:v>444631.75846810837</x:v>
      </x:c>
      <x:c r="P67" s="66" t="n">
        <x:v>256605.81481254438</x:v>
      </x:c>
      <x:c r="Q67" s="66" t="n">
        <x:v>188025.94365556398</x:v>
      </x:c>
      <x:c r="R67" s="66" t="n">
        <x:v>99651.76879325221</x:v>
      </x:c>
      <x:c r="S67" s="66" t="n">
        <x:v>88374.17486231175</x:v>
      </x:c>
      <x:c r="T67" s="66" t="n">
        <x:v>104881.20614154864</x:v>
      </x:c>
      <x:c r="U67" s="45" t="n">
        <x:v>0.8130031516406426</x:v>
      </x:c>
      <x:c r="V67" s="45" t="n">
        <x:v>0.8061456663991546</x:v>
      </x:c>
      <x:c r="W67" s="45" t="n">
        <x:v>0.30538939478900007</x:v>
      </x:c>
      <x:c r="X67" s="66" t="n">
        <x:v>23515925.27949104</x:v>
      </x:c>
      <x:c r="Y67" s="66" t="n">
        <x:v>52.88854165638225</x:v>
      </x:c>
      <x:c r="Z67" s="66" t="n">
        <x:v>663318.048572095</x:v>
      </x:c>
      <x:c r="AA67" s="66" t="n">
        <x:v>133416.89343587303</x:v>
      </x:c>
      <x:c r="AB67" s="66" t="n">
        <x:v>0</x:v>
      </x:c>
      <x:c r="AC67" s="66" t="n">
        <x:v>0</x:v>
      </x:c>
      <x:c r="AD67" s="66" t="n">
        <x:v>1835.512634092613</x:v>
      </x:c>
      <x:c r="AE67" s="66" t="n">
        <x:v>23396.6940034991</x:v>
      </x:c>
      <x:c r="AF67" s="66" t="n">
        <x:v>104881.20614154857</x:v>
      </x:c>
      <x:c r="AG67" s="66" t="n">
        <x:v>7.275957614183426e-11</x:v>
      </x:c>
      <x:c r="AH67" s="36" t="n">
        <x:v>0</x:v>
      </x:c>
    </x:row>
    <x:row r="68" ht="15" hidden="0" customHeight="1">
      <x:c r="A68" s="34" t="n">
        <x:v>16</x:v>
      </x:c>
      <x:c r="B68" s="34" t="str">
        <x:v>H3</x:v>
      </x:c>
      <x:c r="C68" s="34" t="str">
        <x:v>slow</x:v>
      </x:c>
      <x:c r="D68" s="74" t="n">
        <x:v>0.9242946540422808</x:v>
      </x:c>
      <x:c r="E68" s="74" t="n">
        <x:v>0.03756327361371856</x:v>
      </x:c>
      <x:c r="F68" s="74" t="n">
        <x:v>0.8147054203945513</x:v>
      </x:c>
      <x:c r="G68" s="74" t="n">
        <x:v>1.0543989728956322</x:v>
      </x:c>
      <x:c r="H68" s="74" t="n">
        <x:v>0.9142872241462979</x:v>
      </x:c>
      <x:c r="I68" s="74" t="n">
        <x:v>1.0311357500641827</x:v>
      </x:c>
      <x:c r="J68" s="74" t="n">
        <x:v>1.0516800534057138</x:v>
      </x:c>
      <x:c r="K68" s="74" t="n">
        <x:v>0.9125722432417545</x:v>
      </x:c>
      <x:c r="L68" s="74" t="n">
        <x:v>1.037310134588911</x:v>
      </x:c>
      <x:c r="M68" s="74" t="n">
        <x:v>0.930558003930825</x:v>
      </x:c>
      <x:c r="N68" s="74" t="n">
        <x:v>1.044673232539097</x:v>
      </x:c>
      <x:c r="O68" s="65" t="n">
        <x:v>444631.75846810837</x:v>
      </x:c>
      <x:c r="P68" s="65" t="n">
        <x:v>266191.88677612203</x:v>
      </x:c>
      <x:c r="Q68" s="65" t="n">
        <x:v>178439.87169198634</x:v>
      </x:c>
      <x:c r="R68" s="65" t="n">
        <x:v>99651.76879325221</x:v>
      </x:c>
      <x:c r="S68" s="65" t="n">
        <x:v>78788.10289873413</x:v>
      </x:c>
      <x:c r="T68" s="65" t="n">
        <x:v>98099.66280529561</x:v>
      </x:c>
      <x:c r="U68" s="43" t="n">
        <x:v>0.8193106827018223</x:v>
      </x:c>
      <x:c r="V68" s="43" t="n">
        <x:v>0.8130060682460267</x:v>
      </x:c>
      <x:c r="W68" s="43" t="n">
        <x:v>0.3176673266849424</x:v>
      </x:c>
      <x:c r="X68" s="65" t="n">
        <x:v>20958242.979467325</x:v>
      </x:c>
      <x:c r="Y68" s="65" t="n">
        <x:v>47.136180851486735</x:v>
      </x:c>
      <x:c r="Z68" s="65" t="n">
        <x:v>649244.2329618373</x:v>
      </x:c>
      <x:c r="AA68" s="65" t="n">
        <x:v>115696.07047002157</x:v>
      </x:c>
      <x:c r="AB68" s="65" t="n">
        <x:v>1374.4504925926044</x:v>
      </x:c>
      <x:c r="AC68" s="65" t="n">
        <x:v>0</x:v>
      </x:c>
      <x:c r="AD68" s="65" t="n">
        <x:v>1808.0774005007077</x:v>
      </x:c>
      <x:c r="AE68" s="65" t="n">
        <x:v>12984.865107457692</x:v>
      </x:c>
      <x:c r="AF68" s="65" t="n">
        <x:v>98099.66280529565</x:v>
      </x:c>
      <x:c r="AG68" s="65" t="n">
        <x:v>0</x:v>
      </x:c>
      <x:c r="AH68" s="34" t="n">
        <x:v>0</x:v>
      </x:c>
    </x:row>
    <x:row r="69" ht="15" hidden="0" customHeight="1">
      <x:c r="A69" s="36" t="n">
        <x:v>17</x:v>
      </x:c>
      <x:c r="B69" s="36" t="str">
        <x:v>M0</x:v>
      </x:c>
      <x:c r="C69" s="36" t="str">
        <x:v>slow</x:v>
      </x:c>
      <x:c r="D69" s="75" t="n">
        <x:v>1.0357049635717441</x:v>
      </x:c>
      <x:c r="E69" s="75" t="n">
        <x:v>0.05892869579541405</x:v>
      </x:c>
      <x:c r="F69" s="75" t="n">
        <x:v>1.0451392205316123</x:v>
      </x:c>
      <x:c r="G69" s="75" t="n">
        <x:v>1.0248357433714548</x:v>
      </x:c>
      <x:c r="H69" s="75" t="n">
        <x:v>0.8267853091408197</x:v>
      </x:c>
      <x:c r="I69" s="75" t="n">
        <x:v>0.8206750827928947</x:v>
      </x:c>
      <x:c r="J69" s="75" t="n">
        <x:v>1.0479632406932105</x:v>
      </x:c>
      <x:c r="K69" s="75" t="n">
        <x:v>0.9102911766913891</x:v>
      </x:c>
      <x:c r="L69" s="75" t="n">
        <x:v>0.9116717292182159</x:v>
      </x:c>
      <x:c r="M69" s="75" t="n">
        <x:v>0.979775485031196</x:v>
      </x:c>
      <x:c r="N69" s="75" t="n">
        <x:v>0.7804761885778457</x:v>
      </x:c>
      <x:c r="O69" s="66" t="n">
        <x:v>498225.6655851948</x:v>
      </x:c>
      <x:c r="P69" s="66" t="n">
        <x:v>73197.94032235129</x:v>
      </x:c>
      <x:c r="Q69" s="66" t="n">
        <x:v>425027.7252628435</x:v>
      </x:c>
      <x:c r="R69" s="66" t="n">
        <x:v>122308.14531501482</x:v>
      </x:c>
      <x:c r="S69" s="66" t="n">
        <x:v>302719.57994782866</x:v>
      </x:c>
      <x:c r="T69" s="66" t="n">
        <x:v>258623.20393154828</x:v>
      </x:c>
      <x:c r="U69" s="45" t="n">
        <x:v>0.6660057222547066</x:v>
      </x:c>
      <x:c r="V69" s="45" t="n">
        <x:v>0.6556194382228339</x:v>
      </x:c>
      <x:c r="W69" s="45" t="n">
        <x:v>0.07283475373321233</x:v>
      </x:c>
      <x:c r="X69" s="66" t="n">
        <x:v>55015399.91720628</x:v>
      </x:c>
      <x:c r="Y69" s="66" t="n">
        <x:v>110.42265326212676</x:v>
      </x:c>
      <x:c r="Z69" s="66" t="n">
        <x:v>3543554.4446078753</x:v>
      </x:c>
      <x:c r="AA69" s="66" t="n">
        <x:v>301526.23315676</x:v>
      </x:c>
      <x:c r="AB69" s="66" t="n">
        <x:v>25140.171219826203</x:v>
      </x:c>
      <x:c r="AC69" s="66" t="n">
        <x:v>0</x:v>
      </x:c>
      <x:c r="AD69" s="66" t="n">
        <x:v>2735.051848355964</x:v>
      </x:c>
      <x:c r="AE69" s="66" t="n">
        <x:v>213667.77546946437</x:v>
      </x:c>
      <x:c r="AF69" s="66" t="n">
        <x:v>258623.2039315483</x:v>
      </x:c>
      <x:c r="AG69" s="66" t="n">
        <x:v>0</x:v>
      </x:c>
      <x:c r="AH69" s="36" t="n">
        <x:v>0</x:v>
      </x:c>
    </x:row>
    <x:row r="70" ht="15" hidden="0" customHeight="1">
      <x:c r="A70" s="34" t="n">
        <x:v>17</x:v>
      </x:c>
      <x:c r="B70" s="34" t="str">
        <x:v>B1</x:v>
      </x:c>
      <x:c r="C70" s="34" t="str">
        <x:v>slow</x:v>
      </x:c>
      <x:c r="D70" s="74" t="n">
        <x:v>1.0357049635717441</x:v>
      </x:c>
      <x:c r="E70" s="74" t="n">
        <x:v>0.05892869579541405</x:v>
      </x:c>
      <x:c r="F70" s="74" t="n">
        <x:v>1.0451392205316123</x:v>
      </x:c>
      <x:c r="G70" s="74" t="n">
        <x:v>1.0248357433714548</x:v>
      </x:c>
      <x:c r="H70" s="74" t="n">
        <x:v>0.8267853091408197</x:v>
      </x:c>
      <x:c r="I70" s="74" t="n">
        <x:v>0.8206750827928947</x:v>
      </x:c>
      <x:c r="J70" s="74" t="n">
        <x:v>1.0479632406932105</x:v>
      </x:c>
      <x:c r="K70" s="74" t="n">
        <x:v>0.9102911766913891</x:v>
      </x:c>
      <x:c r="L70" s="74" t="n">
        <x:v>0.9116717292182159</x:v>
      </x:c>
      <x:c r="M70" s="74" t="n">
        <x:v>0.979775485031196</x:v>
      </x:c>
      <x:c r="N70" s="74" t="n">
        <x:v>0.7804761885778457</x:v>
      </x:c>
      <x:c r="O70" s="65" t="n">
        <x:v>498225.6655851948</x:v>
      </x:c>
      <x:c r="P70" s="65" t="n">
        <x:v>247605.9102864958</x:v>
      </x:c>
      <x:c r="Q70" s="65" t="n">
        <x:v>250619.75529869896</x:v>
      </x:c>
      <x:c r="R70" s="65" t="n">
        <x:v>122308.14531501482</x:v>
      </x:c>
      <x:c r="S70" s="65" t="n">
        <x:v>128311.60998368416</x:v>
      </x:c>
      <x:c r="T70" s="65" t="n">
        <x:v>145321.38827134104</x:v>
      </x:c>
      <x:c r="U70" s="43" t="n">
        <x:v>0.7886532663794449</x:v>
      </x:c>
      <x:c r="V70" s="43" t="n">
        <x:v>0.7796292989857436</x:v>
      </x:c>
      <x:c r="W70" s="43" t="n">
        <x:v>0.25280051802110126</x:v>
      </x:c>
      <x:c r="X70" s="65" t="n">
        <x:v>33424851.987858016</x:v>
      </x:c>
      <x:c r="Y70" s="65" t="n">
        <x:v>67.08777627623539</x:v>
      </x:c>
      <x:c r="Z70" s="65" t="n">
        <x:v>1013605.4887088193</x:v>
      </x:c>
      <x:c r="AA70" s="65" t="n">
        <x:v>173018.16106844152</x:v>
      </x:c>
      <x:c r="AB70" s="65" t="n">
        <x:v>2942.6906695060725</x:v>
      </x:c>
      <x:c r="AC70" s="65" t="n">
        <x:v>0</x:v>
      </x:c>
      <x:c r="AD70" s="65" t="n">
        <x:v>2189.1855859333086</x:v>
      </x:c>
      <x:c r="AE70" s="65" t="n">
        <x:v>77888.2455782152</x:v>
      </x:c>
      <x:c r="AF70" s="65" t="n">
        <x:v>145321.3882713411</x:v>
      </x:c>
      <x:c r="AG70" s="65" t="n">
        <x:v>0</x:v>
      </x:c>
      <x:c r="AH70" s="34" t="n">
        <x:v>0</x:v>
      </x:c>
    </x:row>
    <x:row r="71" ht="15" hidden="0" customHeight="1">
      <x:c r="A71" s="36" t="n">
        <x:v>17</x:v>
      </x:c>
      <x:c r="B71" s="36" t="str">
        <x:v>P2</x:v>
      </x:c>
      <x:c r="C71" s="36" t="str">
        <x:v>slow</x:v>
      </x:c>
      <x:c r="D71" s="75" t="n">
        <x:v>1.0357049635717441</x:v>
      </x:c>
      <x:c r="E71" s="75" t="n">
        <x:v>0.05892869579541405</x:v>
      </x:c>
      <x:c r="F71" s="75" t="n">
        <x:v>1.0451392205316123</x:v>
      </x:c>
      <x:c r="G71" s="75" t="n">
        <x:v>1.0248357433714548</x:v>
      </x:c>
      <x:c r="H71" s="75" t="n">
        <x:v>0.8267853091408197</x:v>
      </x:c>
      <x:c r="I71" s="75" t="n">
        <x:v>0.8206750827928947</x:v>
      </x:c>
      <x:c r="J71" s="75" t="n">
        <x:v>1.0479632406932105</x:v>
      </x:c>
      <x:c r="K71" s="75" t="n">
        <x:v>0.9102911766913891</x:v>
      </x:c>
      <x:c r="L71" s="75" t="n">
        <x:v>0.9116717292182159</x:v>
      </x:c>
      <x:c r="M71" s="75" t="n">
        <x:v>0.979775485031196</x:v>
      </x:c>
      <x:c r="N71" s="75" t="n">
        <x:v>0.7804761885778457</x:v>
      </x:c>
      <x:c r="O71" s="66" t="n">
        <x:v>498225.6655851948</x:v>
      </x:c>
      <x:c r="P71" s="66" t="n">
        <x:v>358705.8384668055</x:v>
      </x:c>
      <x:c r="Q71" s="66" t="n">
        <x:v>139519.8271183892</x:v>
      </x:c>
      <x:c r="R71" s="66" t="n">
        <x:v>122308.14531501482</x:v>
      </x:c>
      <x:c r="S71" s="66" t="n">
        <x:v>17211.68180337438</x:v>
      </x:c>
      <x:c r="T71" s="66" t="n">
        <x:v>66481.2738962697</x:v>
      </x:c>
      <x:c r="U71" s="45" t="n">
        <x:v>0.8534026681738053</x:v>
      </x:c>
      <x:c r="V71" s="45" t="n">
        <x:v>0.8487668676850197</x:v>
      </x:c>
      <x:c r="W71" s="45" t="n">
        <x:v>0.3714720220456589</x:v>
      </x:c>
      <x:c r="X71" s="66" t="n">
        <x:v>19106421.623208463</x:v>
      </x:c>
      <x:c r="Y71" s="66" t="n">
        <x:v>38.3489309021583</x:v>
      </x:c>
      <x:c r="Z71" s="66" t="n">
        <x:v>429644.1757856674</x:v>
      </x:c>
      <x:c r="AA71" s="66" t="n">
        <x:v>100141.85068326954</x:v>
      </x:c>
      <x:c r="AB71" s="66" t="n">
        <x:v>0</x:v>
      </x:c>
      <x:c r="AC71" s="66" t="n">
        <x:v>0</x:v>
      </x:c>
      <x:c r="AD71" s="66" t="n">
        <x:v>1858.013349301781</x:v>
      </x:c>
      <x:c r="AE71" s="66" t="n">
        <x:v>13377.078982836094</x:v>
      </x:c>
      <x:c r="AF71" s="66" t="n">
        <x:v>66481.27389626967</x:v>
      </x:c>
      <x:c r="AG71" s="66" t="n">
        <x:v>2.9103830456733704e-11</x:v>
      </x:c>
      <x:c r="AH71" s="36" t="n">
        <x:v>0</x:v>
      </x:c>
    </x:row>
    <x:row r="72" ht="15" hidden="0" customHeight="1">
      <x:c r="A72" s="34" t="n">
        <x:v>17</x:v>
      </x:c>
      <x:c r="B72" s="34" t="str">
        <x:v>H3</x:v>
      </x:c>
      <x:c r="C72" s="34" t="str">
        <x:v>slow</x:v>
      </x:c>
      <x:c r="D72" s="74" t="n">
        <x:v>1.0357049635717441</x:v>
      </x:c>
      <x:c r="E72" s="74" t="n">
        <x:v>0.05892869579541405</x:v>
      </x:c>
      <x:c r="F72" s="74" t="n">
        <x:v>1.0451392205316123</x:v>
      </x:c>
      <x:c r="G72" s="74" t="n">
        <x:v>1.0248357433714548</x:v>
      </x:c>
      <x:c r="H72" s="74" t="n">
        <x:v>0.8267853091408197</x:v>
      </x:c>
      <x:c r="I72" s="74" t="n">
        <x:v>0.8206750827928947</x:v>
      </x:c>
      <x:c r="J72" s="74" t="n">
        <x:v>1.0479632406932105</x:v>
      </x:c>
      <x:c r="K72" s="74" t="n">
        <x:v>0.9102911766913891</x:v>
      </x:c>
      <x:c r="L72" s="74" t="n">
        <x:v>0.9116717292182159</x:v>
      </x:c>
      <x:c r="M72" s="74" t="n">
        <x:v>0.979775485031196</x:v>
      </x:c>
      <x:c r="N72" s="74" t="n">
        <x:v>0.7804761885778457</x:v>
      </x:c>
      <x:c r="O72" s="65" t="n">
        <x:v>498225.6655851948</x:v>
      </x:c>
      <x:c r="P72" s="65" t="n">
        <x:v>368372.0815468213</x:v>
      </x:c>
      <x:c r="Q72" s="65" t="n">
        <x:v>129853.58403837355</x:v>
      </x:c>
      <x:c r="R72" s="65" t="n">
        <x:v>122308.14531501482</x:v>
      </x:c>
      <x:c r="S72" s="65" t="n">
        <x:v>7545.438723358719</x:v>
      </x:c>
      <x:c r="T72" s="65" t="n">
        <x:v>59635.28715016578</x:v>
      </x:c>
      <x:c r="U72" s="43" t="n">
        <x:v>0.8590632684373409</x:v>
      </x:c>
      <x:c r="V72" s="43" t="n">
        <x:v>0.85517524426217</x:v>
      </x:c>
      <x:c r="W72" s="43" t="n">
        <x:v>0.38320171831831584</x:v>
      </x:c>
      <x:c r="X72" s="65" t="n">
        <x:v>16997834.36595274</x:v>
      </x:c>
      <x:c r="Y72" s="65" t="n">
        <x:v>34.11673773567607</x:v>
      </x:c>
      <x:c r="Z72" s="65" t="n">
        <x:v>416982.25096221117</x:v>
      </x:c>
      <x:c r="AA72" s="65" t="n">
        <x:v>95088.21284178057</x:v>
      </x:c>
      <x:c r="AB72" s="65" t="n">
        <x:v>2132.661363519889</x:v>
      </x:c>
      <x:c r="AC72" s="65" t="n">
        <x:v>0</x:v>
      </x:c>
      <x:c r="AD72" s="65" t="n">
        <x:v>1834.9651849972265</x:v>
      </x:c>
      <x:c r="AE72" s="65" t="n">
        <x:v>13162.957787643398</x:v>
      </x:c>
      <x:c r="AF72" s="65" t="n">
        <x:v>59635.28715016581</x:v>
      </x:c>
      <x:c r="AG72" s="65" t="n">
        <x:v>0</x:v>
      </x:c>
      <x:c r="AH72" s="34" t="n">
        <x:v>0</x:v>
      </x:c>
    </x:row>
    <x:row r="73" ht="21.600000381469727" hidden="0" customHeight="1">
      <x:c r="A73" s="36" t="n">
        <x:v>18</x:v>
      </x:c>
      <x:c r="B73" s="36" t="str">
        <x:v>M0</x:v>
      </x:c>
      <x:c r="C73" s="36" t="str">
        <x:v>reference</x:v>
      </x:c>
      <x:c r="D73" s="75" t="n">
        <x:v>0.9873123702444547</x:v>
      </x:c>
      <x:c r="E73" s="75" t="n">
        <x:v>-0.01326634560873573</x:v>
      </x:c>
      <x:c r="F73" s="75" t="n">
        <x:v>0.9504989619829662</x:v>
      </x:c>
      <x:c r="G73" s="75" t="n">
        <x:v>1.2019125574162053</x:v>
      </x:c>
      <x:c r="H73" s="75" t="n">
        <x:v>0.8335334414934716</x:v>
      </x:c>
      <x:c r="I73" s="75" t="n">
        <x:v>1.0238856355822636</x:v>
      </x:c>
      <x:c r="J73" s="75" t="n">
        <x:v>0.8372502451097646</x:v>
      </x:c>
      <x:c r="K73" s="75" t="n">
        <x:v>0.9792165219695028</x:v>
      </x:c>
      <x:c r="L73" s="75" t="n">
        <x:v>0.8271258945914095</x:v>
      </x:c>
      <x:c r="M73" s="75" t="n">
        <x:v>0.9720574306063312</x:v>
      </x:c>
      <x:c r="N73" s="75" t="n">
        <x:v>0.7554702353915835</x:v>
      </x:c>
      <x:c r="O73" s="66" t="n">
        <x:v>474946.4182436209</x:v>
      </x:c>
      <x:c r="P73" s="66" t="n">
        <x:v>69532.51654355705</x:v>
      </x:c>
      <x:c r="Q73" s="66" t="n">
        <x:v>405413.90170006384</x:v>
      </x:c>
      <x:c r="R73" s="66" t="n">
        <x:v>82304.6060507151</x:v>
      </x:c>
      <x:c r="S73" s="66" t="n">
        <x:v>323109.29564934876</x:v>
      </x:c>
      <x:c r="T73" s="66" t="n">
        <x:v>275817.5683173608</x:v>
      </x:c>
      <x:c r="U73" s="45" t="n">
        <x:v>0.7271348337314393</x:v>
      </x:c>
      <x:c r="V73" s="45" t="n">
        <x:v>0.7626134748933924</x:v>
      </x:c>
      <x:c r="W73" s="45" t="n">
        <x:v>0.1594943592572309</x:v>
      </x:c>
      <x:c r="X73" s="66" t="n">
        <x:v>51623037.207708344</x:v>
      </x:c>
      <x:c r="Y73" s="66" t="n">
        <x:v>108.69233922978785</x:v>
      </x:c>
      <x:c r="Z73" s="66" t="n">
        <x:v>3437250.2476702086</x:v>
      </x:c>
      <x:c r="AA73" s="66" t="n">
        <x:v>285222.92169088294</x:v>
      </x:c>
      <x:c r="AB73" s="66" t="n">
        <x:v>20573.078059813644</x:v>
      </x:c>
      <x:c r="AC73" s="66" t="n">
        <x:v>858.3739365606775</x:v>
      </x:c>
      <x:c r="AD73" s="66" t="n">
        <x:v>1992.371337634012</x:v>
      </x:c>
      <x:c r="AE73" s="66" t="n">
        <x:v>232302.48275880562</x:v>
      </x:c>
      <x:c r="AF73" s="66" t="n">
        <x:v>275817.56831736077</x:v>
      </x:c>
      <x:c r="AG73" s="66" t="n">
        <x:v>5.820766091346741e-11</x:v>
      </x:c>
      <x:c r="AH73" s="36" t="n">
        <x:v>0</x:v>
      </x:c>
    </x:row>
    <x:row r="74" ht="21.600000381469727" hidden="0" customHeight="1">
      <x:c r="A74" s="34" t="n">
        <x:v>18</x:v>
      </x:c>
      <x:c r="B74" s="34" t="str">
        <x:v>B1</x:v>
      </x:c>
      <x:c r="C74" s="34" t="str">
        <x:v>reference</x:v>
      </x:c>
      <x:c r="D74" s="74" t="n">
        <x:v>0.9873123702444547</x:v>
      </x:c>
      <x:c r="E74" s="74" t="n">
        <x:v>-0.01326634560873573</x:v>
      </x:c>
      <x:c r="F74" s="74" t="n">
        <x:v>0.9504989619829662</x:v>
      </x:c>
      <x:c r="G74" s="74" t="n">
        <x:v>1.2019125574162053</x:v>
      </x:c>
      <x:c r="H74" s="74" t="n">
        <x:v>0.8335334414934716</x:v>
      </x:c>
      <x:c r="I74" s="74" t="n">
        <x:v>1.0238856355822636</x:v>
      </x:c>
      <x:c r="J74" s="74" t="n">
        <x:v>0.8372502451097646</x:v>
      </x:c>
      <x:c r="K74" s="74" t="n">
        <x:v>0.9792165219695028</x:v>
      </x:c>
      <x:c r="L74" s="74" t="n">
        <x:v>0.8271258945914095</x:v>
      </x:c>
      <x:c r="M74" s="74" t="n">
        <x:v>0.9720574306063312</x:v>
      </x:c>
      <x:c r="N74" s="74" t="n">
        <x:v>0.7554702353915835</x:v>
      </x:c>
      <x:c r="O74" s="65" t="n">
        <x:v>474946.4182436209</x:v>
      </x:c>
      <x:c r="P74" s="65" t="n">
        <x:v>235204.5587286402</x:v>
      </x:c>
      <x:c r="Q74" s="65" t="n">
        <x:v>239741.8595149807</x:v>
      </x:c>
      <x:c r="R74" s="65" t="n">
        <x:v>82304.6060507151</x:v>
      </x:c>
      <x:c r="S74" s="65" t="n">
        <x:v>157437.25346426558</x:v>
      </x:c>
      <x:c r="T74" s="65" t="n">
        <x:v>194583.92948277848</x:v>
      </x:c>
      <x:c r="U74" s="43" t="n">
        <x:v>0.9049199482350055</x:v>
      </x:c>
      <x:c r="V74" s="43" t="n">
        <x:v>0.9245980281521274</x:v>
      </x:c>
      <x:c r="W74" s="43" t="n">
        <x:v>0.5967915616540641</x:v>
      </x:c>
      <x:c r="X74" s="65" t="n">
        <x:v>30264697.336712163</x:v>
      </x:c>
      <x:c r="Y74" s="65" t="n">
        <x:v>63.72234040343488</x:v>
      </x:c>
      <x:c r="Z74" s="65" t="n">
        <x:v>1236983.0075842831</x:v>
      </x:c>
      <x:c r="AA74" s="65" t="n">
        <x:v>162112.96165486542</x:v>
      </x:c>
      <x:c r="AB74" s="65" t="n">
        <x:v>1214.2014722488698</x:v>
      </x:c>
      <x:c r="AC74" s="65" t="n">
        <x:v>0</x:v>
      </x:c>
      <x:c r="AD74" s="65" t="n">
        <x:v>1560.4645597890901</x:v>
      </x:c>
      <x:c r="AE74" s="65" t="n">
        <x:v>129311.30114494562</x:v>
      </x:c>
      <x:c r="AF74" s="65" t="n">
        <x:v>194583.92948277848</x:v>
      </x:c>
      <x:c r="AG74" s="65" t="n">
        <x:v>0</x:v>
      </x:c>
      <x:c r="AH74" s="34" t="n">
        <x:v>0</x:v>
      </x:c>
    </x:row>
    <x:row r="75" ht="21.600000381469727" hidden="0" customHeight="1">
      <x:c r="A75" s="36" t="n">
        <x:v>18</x:v>
      </x:c>
      <x:c r="B75" s="36" t="str">
        <x:v>P2</x:v>
      </x:c>
      <x:c r="C75" s="36" t="str">
        <x:v>reference</x:v>
      </x:c>
      <x:c r="D75" s="75" t="n">
        <x:v>0.9873123702444547</x:v>
      </x:c>
      <x:c r="E75" s="75" t="n">
        <x:v>-0.01326634560873573</x:v>
      </x:c>
      <x:c r="F75" s="75" t="n">
        <x:v>0.9504989619829662</x:v>
      </x:c>
      <x:c r="G75" s="75" t="n">
        <x:v>1.2019125574162053</x:v>
      </x:c>
      <x:c r="H75" s="75" t="n">
        <x:v>0.8335334414934716</x:v>
      </x:c>
      <x:c r="I75" s="75" t="n">
        <x:v>1.0238856355822636</x:v>
      </x:c>
      <x:c r="J75" s="75" t="n">
        <x:v>0.8372502451097646</x:v>
      </x:c>
      <x:c r="K75" s="75" t="n">
        <x:v>0.9792165219695028</x:v>
      </x:c>
      <x:c r="L75" s="75" t="n">
        <x:v>0.8271258945914095</x:v>
      </x:c>
      <x:c r="M75" s="75" t="n">
        <x:v>0.9720574306063312</x:v>
      </x:c>
      <x:c r="N75" s="75" t="n">
        <x:v>0.7554702353915835</x:v>
      </x:c>
      <x:c r="O75" s="66" t="n">
        <x:v>474946.4182436209</x:v>
      </x:c>
      <x:c r="P75" s="66" t="n">
        <x:v>340738.1165683339</x:v>
      </x:c>
      <x:c r="Q75" s="66" t="n">
        <x:v>134208.30167528696</x:v>
      </x:c>
      <x:c r="R75" s="66" t="n">
        <x:v>82304.6060507151</x:v>
      </x:c>
      <x:c r="S75" s="66" t="n">
        <x:v>51903.69562457188</x:v>
      </x:c>
      <x:c r="T75" s="66" t="n">
        <x:v>123326.93289196925</x:v>
      </x:c>
      <x:c r="U75" s="45" t="n">
        <x:v>0.9770892707780434</x:v>
      </x:c>
      <x:c r="V75" s="45" t="n">
        <x:v>0.9808315786568723</x:v>
      </x:c>
      <x:c r="W75" s="45" t="n">
        <x:v>0.7810703339490551</x:v>
      </x:c>
      <x:c r="X75" s="66" t="n">
        <x:v>15662520.131950699</x:v>
      </x:c>
      <x:c r="Y75" s="66" t="n">
        <x:v>32.977446571492415</x:v>
      </x:c>
      <x:c r="Z75" s="66" t="n">
        <x:v>772493.6311529285</x:v>
      </x:c>
      <x:c r="AA75" s="66" t="n">
        <x:v>89326.5995841551</x:v>
      </x:c>
      <x:c r="AB75" s="66" t="n">
        <x:v>0</x:v>
      </x:c>
      <x:c r="AC75" s="66" t="n">
        <x:v>0</x:v>
      </x:c>
      <x:c r="AD75" s="66" t="n">
        <x:v>1299.4929620294397</x:v>
      </x:c>
      <x:c r="AE75" s="66" t="n">
        <x:v>64400.25453142574</x:v>
      </x:c>
      <x:c r="AF75" s="66" t="n">
        <x:v>123326.93289196926</x:v>
      </x:c>
      <x:c r="AG75" s="66" t="n">
        <x:v>0</x:v>
      </x:c>
      <x:c r="AH75" s="36" t="n">
        <x:v>0</x:v>
      </x:c>
    </x:row>
    <x:row r="76" ht="21.600000381469727" hidden="0" customHeight="1">
      <x:c r="A76" s="34" t="n">
        <x:v>18</x:v>
      </x:c>
      <x:c r="B76" s="34" t="str">
        <x:v>H3</x:v>
      </x:c>
      <x:c r="C76" s="34" t="str">
        <x:v>reference</x:v>
      </x:c>
      <x:c r="D76" s="74" t="n">
        <x:v>0.9873123702444547</x:v>
      </x:c>
      <x:c r="E76" s="74" t="n">
        <x:v>-0.01326634560873573</x:v>
      </x:c>
      <x:c r="F76" s="74" t="n">
        <x:v>0.9504989619829662</x:v>
      </x:c>
      <x:c r="G76" s="74" t="n">
        <x:v>1.2019125574162053</x:v>
      </x:c>
      <x:c r="H76" s="74" t="n">
        <x:v>0.8335334414934716</x:v>
      </x:c>
      <x:c r="I76" s="74" t="n">
        <x:v>1.0238856355822636</x:v>
      </x:c>
      <x:c r="J76" s="74" t="n">
        <x:v>0.8372502451097646</x:v>
      </x:c>
      <x:c r="K76" s="74" t="n">
        <x:v>0.9792165219695028</x:v>
      </x:c>
      <x:c r="L76" s="74" t="n">
        <x:v>0.8271258945914095</x:v>
      </x:c>
      <x:c r="M76" s="74" t="n">
        <x:v>0.9720574306063312</x:v>
      </x:c>
      <x:c r="N76" s="74" t="n">
        <x:v>0.7554702353915835</x:v>
      </x:c>
      <x:c r="O76" s="65" t="n">
        <x:v>474946.4182436209</x:v>
      </x:c>
      <x:c r="P76" s="65" t="n">
        <x:v>353466.86874810886</x:v>
      </x:c>
      <x:c r="Q76" s="65" t="n">
        <x:v>121479.54949551204</x:v>
      </x:c>
      <x:c r="R76" s="65" t="n">
        <x:v>82304.6060507151</x:v>
      </x:c>
      <x:c r="S76" s="65" t="n">
        <x:v>39174.94344479694</x:v>
      </x:c>
      <x:c r="T76" s="65" t="n">
        <x:v>120209.35232565895</x:v>
      </x:c>
      <x:c r="U76" s="43" t="n">
        <x:v>0.9973255990127257</x:v>
      </x:c>
      <x:c r="V76" s="43" t="n">
        <x:v>0.9983155303131789</x:v>
      </x:c>
      <x:c r="W76" s="43" t="n">
        <x:v>0.9732559901272582</x:v>
      </x:c>
      <x:c r="X76" s="65" t="n">
        <x:v>12510215.0657477</x:v>
      </x:c>
      <x:c r="Y76" s="65" t="n">
        <x:v>26.34026615467739</x:v>
      </x:c>
      <x:c r="Z76" s="65" t="n">
        <x:v>722471.4428583697</x:v>
      </x:c>
      <x:c r="AA76" s="65" t="n">
        <x:v>77450.30851086504</x:v>
      </x:c>
      <x:c r="AB76" s="65" t="n">
        <x:v>202.55481740264236</x:v>
      </x:c>
      <x:c r="AC76" s="65" t="n">
        <x:v>0</x:v>
      </x:c>
      <x:c r="AD76" s="65" t="n">
        <x:v>1270.1971698530806</x:v>
      </x:c>
      <x:c r="AE76" s="65" t="n">
        <x:v>58032.72437816179</x:v>
      </x:c>
      <x:c r="AF76" s="65" t="n">
        <x:v>120209.3523256588</x:v>
      </x:c>
      <x:c r="AG76" s="65" t="n">
        <x:v>1.6007106751203537e-10</x:v>
      </x:c>
      <x:c r="AH76" s="34" t="n">
        <x:v>1</x:v>
      </x:c>
    </x:row>
    <x:row r="77" ht="15" hidden="0" customHeight="1">
      <x:c r="A77" s="36" t="n">
        <x:v>19</x:v>
      </x:c>
      <x:c r="B77" s="36" t="str">
        <x:v>M0</x:v>
      </x:c>
      <x:c r="C77" s="36" t="str">
        <x:v>reference</x:v>
      </x:c>
      <x:c r="D77" s="75" t="n">
        <x:v>1.1380617540551539</x:v>
      </x:c>
      <x:c r="E77" s="75" t="n">
        <x:v>0.03208323498918394</x:v>
      </x:c>
      <x:c r="F77" s="75" t="n">
        <x:v>0.7927728936167253</x:v>
      </x:c>
      <x:c r="G77" s="75" t="n">
        <x:v>1.2651617699678552</x:v>
      </x:c>
      <x:c r="H77" s="75" t="n">
        <x:v>0.9603991726339374</x:v>
      </x:c>
      <x:c r="I77" s="75" t="n">
        <x:v>0.8375888725354644</x:v>
      </x:c>
      <x:c r="J77" s="75" t="n">
        <x:v>0.8920037459496948</x:v>
      </x:c>
      <x:c r="K77" s="75" t="n">
        <x:v>0.8374939968902735</x:v>
      </x:c>
      <x:c r="L77" s="75" t="n">
        <x:v>0.9100517091235233</x:v>
      </x:c>
      <x:c r="M77" s="75" t="n">
        <x:v>0.8004319317063321</x:v>
      </x:c>
      <x:c r="N77" s="75" t="n">
        <x:v>0.7820096542428454</x:v>
      </x:c>
      <x:c r="O77" s="66" t="n">
        <x:v>547464.3791758809</x:v>
      </x:c>
      <x:c r="P77" s="66" t="n">
        <x:v>63181.49131689695</x:v>
      </x:c>
      <x:c r="Q77" s="66" t="n">
        <x:v>484282.887858984</x:v>
      </x:c>
      <x:c r="R77" s="66" t="n">
        <x:v>119698.69773963932</x:v>
      </x:c>
      <x:c r="S77" s="66" t="n">
        <x:v>364584.1901193447</x:v>
      </x:c>
      <x:c r="T77" s="66" t="n">
        <x:v>263994.7164101878</x:v>
      </x:c>
      <x:c r="U77" s="45" t="n">
        <x:v>0.5976209963095601</x:v>
      </x:c>
      <x:c r="V77" s="45" t="n">
        <x:v>0.6225350213415001</x:v>
      </x:c>
      <x:c r="W77" s="45" t="n">
        <x:v>0.1114918223847126</x:v>
      </x:c>
      <x:c r="X77" s="66" t="n">
        <x:v>64805072.17928105</x:v>
      </x:c>
      <x:c r="Y77" s="66" t="n">
        <x:v>118.373130096308</x:v>
      </x:c>
      <x:c r="Z77" s="66" t="n">
        <x:v>6222958.169854565</x:v>
      </x:c>
      <x:c r="AA77" s="66" t="n">
        <x:v>350586.93204512715</x:v>
      </x:c>
      <x:c r="AB77" s="66" t="n">
        <x:v>58604.84201075514</x:v>
      </x:c>
      <x:c r="AC77" s="66" t="n">
        <x:v>439.5956440579099</x:v>
      </x:c>
      <x:c r="AD77" s="66" t="n">
        <x:v>2351.0141310474683</x:v>
      </x:c>
      <x:c r="AE77" s="66" t="n">
        <x:v>241472.83836799383</x:v>
      </x:c>
      <x:c r="AF77" s="66" t="n">
        <x:v>246419.44733750058</x:v>
      </x:c>
      <x:c r="AG77" s="66" t="n">
        <x:v>17575.269072687195</x:v>
      </x:c>
      <x:c r="AH77" s="36" t="n">
        <x:v>0</x:v>
      </x:c>
    </x:row>
    <x:row r="78" ht="15" hidden="0" customHeight="1">
      <x:c r="A78" s="34" t="n">
        <x:v>19</x:v>
      </x:c>
      <x:c r="B78" s="34" t="str">
        <x:v>B1</x:v>
      </x:c>
      <x:c r="C78" s="34" t="str">
        <x:v>reference</x:v>
      </x:c>
      <x:c r="D78" s="74" t="n">
        <x:v>1.1380617540551539</x:v>
      </x:c>
      <x:c r="E78" s="74" t="n">
        <x:v>0.03208323498918394</x:v>
      </x:c>
      <x:c r="F78" s="74" t="n">
        <x:v>0.7927728936167253</x:v>
      </x:c>
      <x:c r="G78" s="74" t="n">
        <x:v>1.2651617699678552</x:v>
      </x:c>
      <x:c r="H78" s="74" t="n">
        <x:v>0.9603991726339374</x:v>
      </x:c>
      <x:c r="I78" s="74" t="n">
        <x:v>0.8375888725354644</x:v>
      </x:c>
      <x:c r="J78" s="74" t="n">
        <x:v>0.8920037459496948</x:v>
      </x:c>
      <x:c r="K78" s="74" t="n">
        <x:v>0.8374939968902735</x:v>
      </x:c>
      <x:c r="L78" s="74" t="n">
        <x:v>0.9100517091235233</x:v>
      </x:c>
      <x:c r="M78" s="74" t="n">
        <x:v>0.8004319317063321</x:v>
      </x:c>
      <x:c r="N78" s="74" t="n">
        <x:v>0.7820096542428454</x:v>
      </x:c>
      <x:c r="O78" s="65" t="n">
        <x:v>547464.3791758809</x:v>
      </x:c>
      <x:c r="P78" s="65" t="n">
        <x:v>213722.5286190682</x:v>
      </x:c>
      <x:c r="Q78" s="65" t="n">
        <x:v>333741.8505568127</x:v>
      </x:c>
      <x:c r="R78" s="65" t="n">
        <x:v>119698.69773963932</x:v>
      </x:c>
      <x:c r="S78" s="65" t="n">
        <x:v>214043.15281717342</x:v>
      </x:c>
      <x:c r="T78" s="65" t="n">
        <x:v>199150.56031801144</x:v>
      </x:c>
      <x:c r="U78" s="43" t="n">
        <x:v>0.754155164503293</x:v>
      </x:c>
      <x:c r="V78" s="43" t="n">
        <x:v>0.7777966354708457</x:v>
      </x:c>
      <x:c r="W78" s="43" t="n">
        <x:v>0.4040759248263674</x:v>
      </x:c>
      <x:c r="X78" s="65" t="n">
        <x:v>45118582.03242941</x:v>
      </x:c>
      <x:c r="Y78" s="65" t="n">
        <x:v>82.4137309177049</x:v>
      </x:c>
      <x:c r="Z78" s="65" t="n">
        <x:v>3054412.564004232</x:v>
      </x:c>
      <x:c r="AA78" s="65" t="n">
        <x:v>242180.50905777887</x:v>
      </x:c>
      <x:c r="AB78" s="65" t="n">
        <x:v>23340.573216328732</x:v>
      </x:c>
      <x:c r="AC78" s="65" t="n">
        <x:v>146.76065305538913</x:v>
      </x:c>
      <x:c r="AD78" s="65" t="n">
        <x:v>1976.4230290832888</x:v>
      </x:c>
      <x:c r="AE78" s="65" t="n">
        <x:v>139465.68961841805</x:v>
      </x:c>
      <x:c r="AF78" s="65" t="n">
        <x:v>199150.5603180112</x:v>
      </x:c>
      <x:c r="AG78" s="65" t="n">
        <x:v>2.3283064365386963e-10</x:v>
      </x:c>
      <x:c r="AH78" s="34" t="n">
        <x:v>0</x:v>
      </x:c>
    </x:row>
    <x:row r="79" ht="15" hidden="0" customHeight="1">
      <x:c r="A79" s="36" t="n">
        <x:v>19</x:v>
      </x:c>
      <x:c r="B79" s="36" t="str">
        <x:v>P2</x:v>
      </x:c>
      <x:c r="C79" s="36" t="str">
        <x:v>reference</x:v>
      </x:c>
      <x:c r="D79" s="75" t="n">
        <x:v>1.1380617540551539</x:v>
      </x:c>
      <x:c r="E79" s="75" t="n">
        <x:v>0.03208323498918394</x:v>
      </x:c>
      <x:c r="F79" s="75" t="n">
        <x:v>0.7927728936167253</x:v>
      </x:c>
      <x:c r="G79" s="75" t="n">
        <x:v>1.2651617699678552</x:v>
      </x:c>
      <x:c r="H79" s="75" t="n">
        <x:v>0.9603991726339374</x:v>
      </x:c>
      <x:c r="I79" s="75" t="n">
        <x:v>0.8375888725354644</x:v>
      </x:c>
      <x:c r="J79" s="75" t="n">
        <x:v>0.8920037459496948</x:v>
      </x:c>
      <x:c r="K79" s="75" t="n">
        <x:v>0.8374939968902735</x:v>
      </x:c>
      <x:c r="L79" s="75" t="n">
        <x:v>0.9100517091235233</x:v>
      </x:c>
      <x:c r="M79" s="75" t="n">
        <x:v>0.8004319317063321</x:v>
      </x:c>
      <x:c r="N79" s="75" t="n">
        <x:v>0.7820096542428454</x:v>
      </x:c>
      <x:c r="O79" s="66" t="n">
        <x:v>547464.3791758809</x:v>
      </x:c>
      <x:c r="P79" s="66" t="n">
        <x:v>309618.41031500814</x:v>
      </x:c>
      <x:c r="Q79" s="66" t="n">
        <x:v>237845.9688608728</x:v>
      </x:c>
      <x:c r="R79" s="66" t="n">
        <x:v>119698.69773963932</x:v>
      </x:c>
      <x:c r="S79" s="66" t="n">
        <x:v>118147.27112123345</x:v>
      </x:c>
      <x:c r="T79" s="66" t="n">
        <x:v>125624.08841707645</x:v>
      </x:c>
      <x:c r="U79" s="45" t="n">
        <x:v>0.7950151923806839</x:v>
      </x:c>
      <x:c r="V79" s="45" t="n">
        <x:v>0.8316032538656295</x:v>
      </x:c>
      <x:c r="W79" s="45" t="n">
        <x:v>0.3910140871363009</x:v>
      </x:c>
      <x:c r="X79" s="66" t="n">
        <x:v>31079638.03198737</x:v>
      </x:c>
      <x:c r="Y79" s="66" t="n">
        <x:v>56.77015567437052</x:v>
      </x:c>
      <x:c r="Z79" s="66" t="n">
        <x:v>1218185.92796085</x:v>
      </x:c>
      <x:c r="AA79" s="66" t="n">
        <x:v>177789.58284652594</x:v>
      </x:c>
      <x:c r="AB79" s="66" t="n">
        <x:v>872.1132163270911</x:v>
      </x:c>
      <x:c r="AC79" s="66" t="n">
        <x:v>27485.790993499297</x:v>
      </x:c>
      <x:c r="AD79" s="66" t="n">
        <x:v>1750.083357189461</x:v>
      </x:c>
      <x:c r="AE79" s="66" t="n">
        <x:v>71849.44354557761</x:v>
      </x:c>
      <x:c r="AF79" s="66" t="n">
        <x:v>125624.08841707646</x:v>
      </x:c>
      <x:c r="AG79" s="66" t="n">
        <x:v>0</x:v>
      </x:c>
      <x:c r="AH79" s="36" t="n">
        <x:v>0</x:v>
      </x:c>
    </x:row>
    <x:row r="80" ht="15" hidden="0" customHeight="1">
      <x:c r="A80" s="34" t="n">
        <x:v>19</x:v>
      </x:c>
      <x:c r="B80" s="34" t="str">
        <x:v>H3</x:v>
      </x:c>
      <x:c r="C80" s="34" t="str">
        <x:v>reference</x:v>
      </x:c>
      <x:c r="D80" s="74" t="n">
        <x:v>1.1380617540551539</x:v>
      </x:c>
      <x:c r="E80" s="74" t="n">
        <x:v>0.03208323498918394</x:v>
      </x:c>
      <x:c r="F80" s="74" t="n">
        <x:v>0.7927728936167253</x:v>
      </x:c>
      <x:c r="G80" s="74" t="n">
        <x:v>1.2651617699678552</x:v>
      </x:c>
      <x:c r="H80" s="74" t="n">
        <x:v>0.9603991726339374</x:v>
      </x:c>
      <x:c r="I80" s="74" t="n">
        <x:v>0.8375888725354644</x:v>
      </x:c>
      <x:c r="J80" s="74" t="n">
        <x:v>0.8920037459496948</x:v>
      </x:c>
      <x:c r="K80" s="74" t="n">
        <x:v>0.8374939968902735</x:v>
      </x:c>
      <x:c r="L80" s="74" t="n">
        <x:v>0.9100517091235233</x:v>
      </x:c>
      <x:c r="M80" s="74" t="n">
        <x:v>0.8004319317063321</x:v>
      </x:c>
      <x:c r="N80" s="74" t="n">
        <x:v>0.7820096542428454</x:v>
      </x:c>
      <x:c r="O80" s="65" t="n">
        <x:v>547464.3791758809</x:v>
      </x:c>
      <x:c r="P80" s="65" t="n">
        <x:v>321184.8562555316</x:v>
      </x:c>
      <x:c r="Q80" s="65" t="n">
        <x:v>226279.52292034932</x:v>
      </x:c>
      <x:c r="R80" s="65" t="n">
        <x:v>119698.69773963932</x:v>
      </x:c>
      <x:c r="S80" s="65" t="n">
        <x:v>106580.82518071</x:v>
      </x:c>
      <x:c r="T80" s="65" t="n">
        <x:v>208730.98792494836</x:v>
      </x:c>
      <x:c r="U80" s="43" t="n">
        <x:v>0.9679457958126565</x:v>
      </x:c>
      <x:c r="V80" s="43" t="n">
        <x:v>0.9668830798653145</x:v>
      </x:c>
      <x:c r="W80" s="43" t="n">
        <x:v>0.6959677261558809</x:v>
      </x:c>
      <x:c r="X80" s="65" t="n">
        <x:v>23579124.441211868</x:v>
      </x:c>
      <x:c r="Y80" s="65" t="n">
        <x:v>43.06969610827726</x:v>
      </x:c>
      <x:c r="Z80" s="65" t="n">
        <x:v>2363181.1085322984</x:v>
      </x:c>
      <x:c r="AA80" s="65" t="n">
        <x:v>143893.84256431198</x:v>
      </x:c>
      <x:c r="AB80" s="65" t="n">
        <x:v>15076.41374826674</x:v>
      </x:c>
      <x:c r="AC80" s="65" t="n">
        <x:v>7283.3075458102285</x:v>
      </x:c>
      <x:c r="AD80" s="65" t="n">
        <x:v>1724.6752283126407</x:v>
      </x:c>
      <x:c r="AE80" s="65" t="n">
        <x:v>107382.53673507553</x:v>
      </x:c>
      <x:c r="AF80" s="65" t="n">
        <x:v>208730.98792494845</x:v>
      </x:c>
      <x:c r="AG80" s="65" t="n">
        <x:v>0</x:v>
      </x:c>
      <x:c r="AH80" s="34" t="n">
        <x:v>0</x:v>
      </x:c>
    </x:row>
    <x:row r="81" ht="21.600000381469727" hidden="0" customHeight="1">
      <x:c r="A81" s="36" t="n">
        <x:v>20</x:v>
      </x:c>
      <x:c r="B81" s="36" t="str">
        <x:v>M0</x:v>
      </x:c>
      <x:c r="C81" s="36" t="str">
        <x:v>slow</x:v>
      </x:c>
      <x:c r="D81" s="75" t="n">
        <x:v>1.1589089801657</x:v>
      </x:c>
      <x:c r="E81" s="75" t="n">
        <x:v>-0.00914145724997463</x:v>
      </x:c>
      <x:c r="F81" s="75" t="n">
        <x:v>0.7510883672303322</x:v>
      </x:c>
      <x:c r="G81" s="75" t="n">
        <x:v>0.9316878565293981</x:v>
      </x:c>
      <x:c r="H81" s="75" t="n">
        <x:v>0.7645078211773514</x:v>
      </x:c>
      <x:c r="I81" s="75" t="n">
        <x:v>0.9509239147403881</x:v>
      </x:c>
      <x:c r="J81" s="75" t="n">
        <x:v>0.8493564695211075</x:v>
      </x:c>
      <x:c r="K81" s="75" t="n">
        <x:v>0.8291110385845213</x:v>
      </x:c>
      <x:c r="L81" s="75" t="n">
        <x:v>0.9786603187044453</x:v>
      </x:c>
      <x:c r="M81" s="75" t="n">
        <x:v>0.9346690585461763</x:v>
      </x:c>
      <x:c r="N81" s="75" t="n">
        <x:v>0.9997944707782893</x:v>
      </x:c>
      <x:c r="O81" s="66" t="n">
        <x:v>557492.933126914</x:v>
      </x:c>
      <x:c r="P81" s="66" t="n">
        <x:v>64172.55562901923</x:v>
      </x:c>
      <x:c r="Q81" s="66" t="n">
        <x:v>493320.3774978947</x:v>
      </x:c>
      <x:c r="R81" s="66" t="n">
        <x:v>98908.88607311957</x:v>
      </x:c>
      <x:c r="S81" s="66" t="n">
        <x:v>394411.4914247751</x:v>
      </x:c>
      <x:c r="T81" s="66" t="n">
        <x:v>274808.06846139097</x:v>
      </x:c>
      <x:c r="U81" s="45" t="n">
        <x:v>0.6080447014621454</x:v>
      </x:c>
      <x:c r="V81" s="45" t="n">
        <x:v>0.6051624469999226</x:v>
      </x:c>
      <x:c r="W81" s="45" t="n">
        <x:v>0.06145342673150421</x:v>
      </x:c>
      <x:c r="X81" s="66" t="n">
        <x:v>65913974.848468274</x:v>
      </x:c>
      <x:c r="Y81" s="66" t="n">
        <x:v>118.23284373985575</x:v>
      </x:c>
      <x:c r="Z81" s="66" t="n">
        <x:v>2599315.5185046634</x:v>
      </x:c>
      <x:c r="AA81" s="66" t="n">
        <x:v>374964.51877227385</x:v>
      </x:c>
      <x:c r="AB81" s="66" t="n">
        <x:v>13894.386693465418</x:v>
      </x:c>
      <x:c r="AC81" s="66" t="n">
        <x:v>1342.5094932082998</x:v>
      </x:c>
      <x:c r="AD81" s="66" t="n">
        <x:v>3102.3975005870843</x:v>
      </x:c>
      <x:c r="AE81" s="66" t="n">
        <x:v>217219.90694456152</x:v>
      </x:c>
      <x:c r="AF81" s="66" t="n">
        <x:v>274808.0684613908</x:v>
      </x:c>
      <x:c r="AG81" s="66" t="n">
        <x:v>1.7462298274040222e-10</x:v>
      </x:c>
      <x:c r="AH81" s="36" t="n">
        <x:v>0</x:v>
      </x:c>
    </x:row>
    <x:row r="82" ht="21.600000381469727" hidden="0" customHeight="1">
      <x:c r="A82" s="34" t="n">
        <x:v>20</x:v>
      </x:c>
      <x:c r="B82" s="34" t="str">
        <x:v>B1</x:v>
      </x:c>
      <x:c r="C82" s="34" t="str">
        <x:v>slow</x:v>
      </x:c>
      <x:c r="D82" s="74" t="n">
        <x:v>1.1589089801657</x:v>
      </x:c>
      <x:c r="E82" s="74" t="n">
        <x:v>-0.00914145724997463</x:v>
      </x:c>
      <x:c r="F82" s="74" t="n">
        <x:v>0.7510883672303322</x:v>
      </x:c>
      <x:c r="G82" s="74" t="n">
        <x:v>0.9316878565293981</x:v>
      </x:c>
      <x:c r="H82" s="74" t="n">
        <x:v>0.7645078211773514</x:v>
      </x:c>
      <x:c r="I82" s="74" t="n">
        <x:v>0.9509239147403881</x:v>
      </x:c>
      <x:c r="J82" s="74" t="n">
        <x:v>0.8493564695211075</x:v>
      </x:c>
      <x:c r="K82" s="74" t="n">
        <x:v>0.8291110385845213</x:v>
      </x:c>
      <x:c r="L82" s="74" t="n">
        <x:v>0.9786603187044453</x:v>
      </x:c>
      <x:c r="M82" s="74" t="n">
        <x:v>0.9346690585461763</x:v>
      </x:c>
      <x:c r="N82" s="74" t="n">
        <x:v>0.9997944707782893</x:v>
      </x:c>
      <x:c r="O82" s="65" t="n">
        <x:v>557492.933126914</x:v>
      </x:c>
      <x:c r="P82" s="65" t="n">
        <x:v>217073.770931185</x:v>
      </x:c>
      <x:c r="Q82" s="65" t="n">
        <x:v>340419.162195729</x:v>
      </x:c>
      <x:c r="R82" s="65" t="n">
        <x:v>98908.88607311957</x:v>
      </x:c>
      <x:c r="S82" s="65" t="n">
        <x:v>241510.2761226094</x:v>
      </x:c>
      <x:c r="T82" s="65" t="n">
        <x:v>183656.94110538682</x:v>
      </x:c>
      <x:c r="U82" s="43" t="n">
        <x:v>0.7188085950954018</x:v>
      </x:c>
      <x:c r="V82" s="43" t="n">
        <x:v>0.717978969646115</x:v>
      </x:c>
      <x:c r="W82" s="43" t="n">
        <x:v>0.21329732463709783</x:v>
      </x:c>
      <x:c r="X82" s="65" t="n">
        <x:v>47462209.543531</x:v>
      </x:c>
      <x:c r="Y82" s="65" t="n">
        <x:v>85.13508732266956</x:v>
      </x:c>
      <x:c r="Z82" s="65" t="n">
        <x:v>1178837.9826788662</x:v>
      </x:c>
      <x:c r="AA82" s="65" t="n">
        <x:v>264257.2356774679</x:v>
      </x:c>
      <x:c r="AB82" s="65" t="n">
        <x:v>1328.881708149235</x:v>
      </x:c>
      <x:c r="AC82" s="65" t="n">
        <x:v>0</x:v>
      </x:c>
      <x:c r="AD82" s="65" t="n">
        <x:v>2587.0419327006966</x:v>
      </x:c>
      <x:c r="AE82" s="65" t="n">
        <x:v>97274.69883014256</x:v>
      </x:c>
      <x:c r="AF82" s="65" t="n">
        <x:v>183656.94110538674</x:v>
      </x:c>
      <x:c r="AG82" s="65" t="n">
        <x:v>8.731149137020111e-11</x:v>
      </x:c>
      <x:c r="AH82" s="34" t="n">
        <x:v>0</x:v>
      </x:c>
    </x:row>
    <x:row r="83" ht="21.600000381469727" hidden="0" customHeight="1">
      <x:c r="A83" s="36" t="n">
        <x:v>20</x:v>
      </x:c>
      <x:c r="B83" s="36" t="str">
        <x:v>P2</x:v>
      </x:c>
      <x:c r="C83" s="36" t="str">
        <x:v>slow</x:v>
      </x:c>
      <x:c r="D83" s="75" t="n">
        <x:v>1.1589089801657</x:v>
      </x:c>
      <x:c r="E83" s="75" t="n">
        <x:v>-0.00914145724997463</x:v>
      </x:c>
      <x:c r="F83" s="75" t="n">
        <x:v>0.7510883672303322</x:v>
      </x:c>
      <x:c r="G83" s="75" t="n">
        <x:v>0.9316878565293981</x:v>
      </x:c>
      <x:c r="H83" s="75" t="n">
        <x:v>0.7645078211773514</x:v>
      </x:c>
      <x:c r="I83" s="75" t="n">
        <x:v>0.9509239147403881</x:v>
      </x:c>
      <x:c r="J83" s="75" t="n">
        <x:v>0.8493564695211075</x:v>
      </x:c>
      <x:c r="K83" s="75" t="n">
        <x:v>0.8291110385845213</x:v>
      </x:c>
      <x:c r="L83" s="75" t="n">
        <x:v>0.9786603187044453</x:v>
      </x:c>
      <x:c r="M83" s="75" t="n">
        <x:v>0.9346690585461763</x:v>
      </x:c>
      <x:c r="N83" s="75" t="n">
        <x:v>0.9997944707782893</x:v>
      </x:c>
      <x:c r="O83" s="66" t="n">
        <x:v>557492.933126914</x:v>
      </x:c>
      <x:c r="P83" s="66" t="n">
        <x:v>314472.3477111443</x:v>
      </x:c>
      <x:c r="Q83" s="66" t="n">
        <x:v>243020.5854157696</x:v>
      </x:c>
      <x:c r="R83" s="66" t="n">
        <x:v>98908.88607311957</x:v>
      </x:c>
      <x:c r="S83" s="66" t="n">
        <x:v>144111.69934265004</x:v>
      </x:c>
      <x:c r="T83" s="66" t="n">
        <x:v>118821.35389997262</x:v>
      </x:c>
      <x:c r="U83" s="45" t="n">
        <x:v>0.7772182854064575</x:v>
      </x:c>
      <x:c r="V83" s="45" t="n">
        <x:v>0.7770356395256371</x:v>
      </x:c>
      <x:c r="W83" s="45" t="n">
        <x:v>0.31342494509152224</x:v>
      </x:c>
      <x:c r="X83" s="66" t="n">
        <x:v>33757333.73416962</x:v>
      </x:c>
      <x:c r="Y83" s="66" t="n">
        <x:v>60.55203883003252</x:v>
      </x:c>
      <x:c r="Z83" s="66" t="n">
        <x:v>741330.0323623845</x:v>
      </x:c>
      <x:c r="AA83" s="66" t="n">
        <x:v>193359.46812882667</x:v>
      </x:c>
      <x:c r="AB83" s="66" t="n">
        <x:v>0</x:v>
      </x:c>
      <x:c r="AC83" s="66" t="n">
        <x:v>0</x:v>
      </x:c>
      <x:c r="AD83" s="66" t="n">
        <x:v>2274.3802647676484</x:v>
      </x:c>
      <x:c r="AE83" s="66" t="n">
        <x:v>40837.38517926613</x:v>
      </x:c>
      <x:c r="AF83" s="66" t="n">
        <x:v>118821.35389997251</x:v>
      </x:c>
      <x:c r="AG83" s="66" t="n">
        <x:v>1.0186340659856796e-10</x:v>
      </x:c>
      <x:c r="AH83" s="36" t="n">
        <x:v>0</x:v>
      </x:c>
    </x:row>
    <x:row r="84" ht="21.600000381469727" hidden="0" customHeight="1">
      <x:c r="A84" s="34" t="n">
        <x:v>20</x:v>
      </x:c>
      <x:c r="B84" s="34" t="str">
        <x:v>H3</x:v>
      </x:c>
      <x:c r="C84" s="34" t="str">
        <x:v>slow</x:v>
      </x:c>
      <x:c r="D84" s="74" t="n">
        <x:v>1.1589089801657</x:v>
      </x:c>
      <x:c r="E84" s="74" t="n">
        <x:v>-0.00914145724997463</x:v>
      </x:c>
      <x:c r="F84" s="74" t="n">
        <x:v>0.7510883672303322</x:v>
      </x:c>
      <x:c r="G84" s="74" t="n">
        <x:v>0.9316878565293981</x:v>
      </x:c>
      <x:c r="H84" s="74" t="n">
        <x:v>0.7645078211773514</x:v>
      </x:c>
      <x:c r="I84" s="74" t="n">
        <x:v>0.9509239147403881</x:v>
      </x:c>
      <x:c r="J84" s="74" t="n">
        <x:v>0.8493564695211075</x:v>
      </x:c>
      <x:c r="K84" s="74" t="n">
        <x:v>0.8291110385845213</x:v>
      </x:c>
      <x:c r="L84" s="74" t="n">
        <x:v>0.9786603187044453</x:v>
      </x:c>
      <x:c r="M84" s="74" t="n">
        <x:v>0.9346690585461763</x:v>
      </x:c>
      <x:c r="N84" s="74" t="n">
        <x:v>0.9997944707782893</x:v>
      </x:c>
      <x:c r="O84" s="65" t="n">
        <x:v>557492.933126914</x:v>
      </x:c>
      <x:c r="P84" s="65" t="n">
        <x:v>326219.9239049946</x:v>
      </x:c>
      <x:c r="Q84" s="65" t="n">
        <x:v>231273.0092219193</x:v>
      </x:c>
      <x:c r="R84" s="65" t="n">
        <x:v>98908.88607311957</x:v>
      </x:c>
      <x:c r="S84" s="65" t="n">
        <x:v>132364.12314879973</x:v>
      </x:c>
      <x:c r="T84" s="65" t="n">
        <x:v>129515.78184766122</x:v>
      </x:c>
      <x:c r="U84" s="43" t="n">
        <x:v>0.8174735116308767</x:v>
      </x:c>
      <x:c r="V84" s="43" t="n">
        <x:v>0.8109431684426054</x:v>
      </x:c>
      <x:c r="W84" s="43" t="n">
        <x:v>0.32602593974289856</x:v>
      </x:c>
      <x:c r="X84" s="65" t="n">
        <x:v>27555615.275029898</x:v>
      </x:c>
      <x:c r="Y84" s="65" t="n">
        <x:v>49.427739147245525</x:v>
      </x:c>
      <x:c r="Z84" s="65" t="n">
        <x:v>834583.7805291509</x:v>
      </x:c>
      <x:c r="AA84" s="65" t="n">
        <x:v>161356.1067095864</x:v>
      </x:c>
      <x:c r="AB84" s="65" t="n">
        <x:v>1144.5180237990874</x:v>
      </x:c>
      <x:c r="AC84" s="65" t="n">
        <x:v>0</x:v>
      </x:c>
      <x:c r="AD84" s="65" t="n">
        <x:v>2239.076001226741</x:v>
      </x:c>
      <x:c r="AE84" s="65" t="n">
        <x:v>16080.835321140985</x:v>
      </x:c>
      <x:c r="AF84" s="65" t="n">
        <x:v>129515.78184766126</x:v>
      </x:c>
      <x:c r="AG84" s="65" t="n">
        <x:v>0</x:v>
      </x:c>
      <x:c r="AH84" s="34" t="n">
        <x:v>0</x:v>
      </x:c>
    </x:row>
    <x:row r="85" ht="21.600000381469727" hidden="0" customHeight="1">
      <x:c r="A85" s="36" t="n">
        <x:v>21</x:v>
      </x:c>
      <x:c r="B85" s="36" t="str">
        <x:v>M0</x:v>
      </x:c>
      <x:c r="C85" s="36" t="str">
        <x:v>fast</x:v>
      </x:c>
      <x:c r="D85" s="75" t="n">
        <x:v>1.0937274129958197</x:v>
      </x:c>
      <x:c r="E85" s="75" t="n">
        <x:v>-0.02558438282159856</x:v>
      </x:c>
      <x:c r="F85" s="75" t="n">
        <x:v>0.8202541098094117</x:v>
      </x:c>
      <x:c r="G85" s="75" t="n">
        <x:v>1.3357961216572378</x:v>
      </x:c>
      <x:c r="H85" s="75" t="n">
        <x:v>0.7368987492154417</x:v>
      </x:c>
      <x:c r="I85" s="75" t="n">
        <x:v>0.752078865804138</x:v>
      </x:c>
      <x:c r="J85" s="75" t="n">
        <x:v>0.7690975970247806</x:v>
      </x:c>
      <x:c r="K85" s="75" t="n">
        <x:v>0.9437850950676849</x:v>
      </x:c>
      <x:c r="L85" s="75" t="n">
        <x:v>0.9712391511756777</x:v>
      </x:c>
      <x:c r="M85" s="75" t="n">
        <x:v>1.0090688994550272</x:v>
      </x:c>
      <x:c r="N85" s="75" t="n">
        <x:v>0.7894480751316691</x:v>
      </x:c>
      <x:c r="O85" s="66" t="n">
        <x:v>526137.3532761565</x:v>
      </x:c>
      <x:c r="P85" s="66" t="n">
        <x:v>67462.6976190026</x:v>
      </x:c>
      <x:c r="Q85" s="66" t="n">
        <x:v>458674.6556571538</x:v>
      </x:c>
      <x:c r="R85" s="66" t="n">
        <x:v>84694.62669080068</x:v>
      </x:c>
      <x:c r="S85" s="66" t="n">
        <x:v>373980.02896635316</x:v>
      </x:c>
      <x:c r="T85" s="66" t="n">
        <x:v>227323.40488408844</x:v>
      </x:c>
      <x:c r="U85" s="45" t="n">
        <x:v>0.5602835470006349</x:v>
      </x:c>
      <x:c r="V85" s="45" t="n">
        <x:v>0.593481581212399</x:v>
      </x:c>
      <x:c r="W85" s="45" t="n">
        <x:v>0.12319241991300316</x:v>
      </x:c>
      <x:c r="X85" s="66" t="n">
        <x:v>63275662.1827279</x:v>
      </x:c>
      <x:c r="Y85" s="66" t="n">
        <x:v>120.26453128393656</x:v>
      </x:c>
      <x:c r="Z85" s="66" t="n">
        <x:v>4907109.977681165</x:v>
      </x:c>
      <x:c r="AA85" s="66" t="n">
        <x:v>344081.7049000333</x:v>
      </x:c>
      <x:c r="AB85" s="66" t="n">
        <x:v>44275.882656521375</x:v>
      </x:c>
      <x:c r="AC85" s="66" t="n">
        <x:v>0</x:v>
      </x:c>
      <x:c r="AD85" s="66" t="n">
        <x:v>2231.219064789705</x:v>
      </x:c>
      <x:c r="AE85" s="66" t="n">
        <x:v>176150.95183296455</x:v>
      </x:c>
      <x:c r="AF85" s="66" t="n">
        <x:v>227323.40488408852</x:v>
      </x:c>
      <x:c r="AG85" s="66" t="n">
        <x:v>0</x:v>
      </x:c>
      <x:c r="AH85" s="36" t="n">
        <x:v>0</x:v>
      </x:c>
    </x:row>
    <x:row r="86" ht="21.600000381469727" hidden="0" customHeight="1">
      <x:c r="A86" s="34" t="n">
        <x:v>21</x:v>
      </x:c>
      <x:c r="B86" s="34" t="str">
        <x:v>B1</x:v>
      </x:c>
      <x:c r="C86" s="34" t="str">
        <x:v>fast</x:v>
      </x:c>
      <x:c r="D86" s="74" t="n">
        <x:v>1.0937274129958197</x:v>
      </x:c>
      <x:c r="E86" s="74" t="n">
        <x:v>-0.02558438282159856</x:v>
      </x:c>
      <x:c r="F86" s="74" t="n">
        <x:v>0.8202541098094117</x:v>
      </x:c>
      <x:c r="G86" s="74" t="n">
        <x:v>1.3357961216572378</x:v>
      </x:c>
      <x:c r="H86" s="74" t="n">
        <x:v>0.7368987492154417</x:v>
      </x:c>
      <x:c r="I86" s="74" t="n">
        <x:v>0.752078865804138</x:v>
      </x:c>
      <x:c r="J86" s="74" t="n">
        <x:v>0.7690975970247806</x:v>
      </x:c>
      <x:c r="K86" s="74" t="n">
        <x:v>0.9437850950676849</x:v>
      </x:c>
      <x:c r="L86" s="74" t="n">
        <x:v>0.9712391511756777</x:v>
      </x:c>
      <x:c r="M86" s="74" t="n">
        <x:v>1.0090688994550272</x:v>
      </x:c>
      <x:c r="N86" s="74" t="n">
        <x:v>0.7894480751316691</x:v>
      </x:c>
      <x:c r="O86" s="65" t="n">
        <x:v>526137.3532761565</x:v>
      </x:c>
      <x:c r="P86" s="65" t="n">
        <x:v>228202.72265668254</x:v>
      </x:c>
      <x:c r="Q86" s="65" t="n">
        <x:v>297934.6306194739</x:v>
      </x:c>
      <x:c r="R86" s="65" t="n">
        <x:v>84694.62669080068</x:v>
      </x:c>
      <x:c r="S86" s="65" t="n">
        <x:v>213240.00392867322</x:v>
      </x:c>
      <x:c r="T86" s="65" t="n">
        <x:v>166434.3667143009</x:v>
      </x:c>
      <x:c r="U86" s="43" t="n">
        <x:v>0.7500647633429824</x:v>
      </x:c>
      <x:c r="V86" s="43" t="n">
        <x:v>0.7689409500705741</x:v>
      </x:c>
      <x:c r="W86" s="43" t="n">
        <x:v>0.46804349379608734</x:v>
      </x:c>
      <x:c r="X86" s="65" t="n">
        <x:v>41881382.80842348</x:v>
      </x:c>
      <x:c r="Y86" s="65" t="n">
        <x:v>79.60161457390572</x:v>
      </x:c>
      <x:c r="Z86" s="65" t="n">
        <x:v>2028953.7508451901</x:v>
      </x:c>
      <x:c r="AA86" s="65" t="n">
        <x:v>224626.3299143194</x:v>
      </x:c>
      <x:c r="AB86" s="65" t="n">
        <x:v>10542.3250788669</x:v>
      </x:c>
      <x:c r="AC86" s="65" t="n">
        <x:v>0</x:v>
      </x:c>
      <x:c r="AD86" s="65" t="n">
        <x:v>1807.3437359568056</x:v>
      </x:c>
      <x:c r="AE86" s="65" t="n">
        <x:v>119457.70205556617</x:v>
      </x:c>
      <x:c r="AF86" s="65" t="n">
        <x:v>166434.36671430102</x:v>
      </x:c>
      <x:c r="AG86" s="65" t="n">
        <x:v>0</x:v>
      </x:c>
      <x:c r="AH86" s="34" t="n">
        <x:v>0</x:v>
      </x:c>
    </x:row>
    <x:row r="87" ht="21.600000381469727" hidden="0" customHeight="1">
      <x:c r="A87" s="36" t="n">
        <x:v>21</x:v>
      </x:c>
      <x:c r="B87" s="36" t="str">
        <x:v>P2</x:v>
      </x:c>
      <x:c r="C87" s="36" t="str">
        <x:v>fast</x:v>
      </x:c>
      <x:c r="D87" s="75" t="n">
        <x:v>1.0937274129958197</x:v>
      </x:c>
      <x:c r="E87" s="75" t="n">
        <x:v>-0.02558438282159856</x:v>
      </x:c>
      <x:c r="F87" s="75" t="n">
        <x:v>0.8202541098094117</x:v>
      </x:c>
      <x:c r="G87" s="75" t="n">
        <x:v>1.3357961216572378</x:v>
      </x:c>
      <x:c r="H87" s="75" t="n">
        <x:v>0.7368987492154417</x:v>
      </x:c>
      <x:c r="I87" s="75" t="n">
        <x:v>0.752078865804138</x:v>
      </x:c>
      <x:c r="J87" s="75" t="n">
        <x:v>0.7690975970247806</x:v>
      </x:c>
      <x:c r="K87" s="75" t="n">
        <x:v>0.9437850950676849</x:v>
      </x:c>
      <x:c r="L87" s="75" t="n">
        <x:v>0.9712391511756777</x:v>
      </x:c>
      <x:c r="M87" s="75" t="n">
        <x:v>1.0090688994550272</x:v>
      </x:c>
      <x:c r="N87" s="75" t="n">
        <x:v>0.7894480751316691</x:v>
      </x:c>
      <x:c r="O87" s="66" t="n">
        <x:v>526137.3532761565</x:v>
      </x:c>
      <x:c r="P87" s="66" t="n">
        <x:v>330594.35111099394</x:v>
      </x:c>
      <x:c r="Q87" s="66" t="n">
        <x:v>195543.0021651625</x:v>
      </x:c>
      <x:c r="R87" s="66" t="n">
        <x:v>84694.62669080068</x:v>
      </x:c>
      <x:c r="S87" s="66" t="n">
        <x:v>110848.37547436182</x:v>
      </x:c>
      <x:c r="T87" s="66" t="n">
        <x:v>114659.99028053877</x:v>
      </x:c>
      <x:c r="U87" s="45" t="n">
        <x:v>0.8462701585793505</x:v>
      </x:c>
      <x:c r="V87" s="45" t="n">
        <x:v>0.8555249988819568</x:v>
      </x:c>
      <x:c r="W87" s="45" t="n">
        <x:v>0.6864445865149089</x:v>
      </x:c>
      <x:c r="X87" s="66" t="n">
        <x:v>26201711.456674077</x:v>
      </x:c>
      <x:c r="Y87" s="66" t="n">
        <x:v>49.80013544661112</x:v>
      </x:c>
      <x:c r="Z87" s="66" t="n">
        <x:v>716598.6403716967</x:v>
      </x:c>
      <x:c r="AA87" s="66" t="n">
        <x:v>148677.12918433323</x:v>
      </x:c>
      <x:c r="AB87" s="66" t="n">
        <x:v>0</x:v>
      </x:c>
      <x:c r="AC87" s="66" t="n">
        <x:v>0</x:v>
      </x:c>
      <x:c r="AD87" s="66" t="n">
        <x:v>1551.2249911471622</x:v>
      </x:c>
      <x:c r="AE87" s="66" t="n">
        <x:v>71000.0672938067</x:v>
      </x:c>
      <x:c r="AF87" s="66" t="n">
        <x:v>114659.99028053875</x:v>
      </x:c>
      <x:c r="AG87" s="66" t="n">
        <x:v>1.4551915228366852e-11</x:v>
      </x:c>
      <x:c r="AH87" s="36" t="n">
        <x:v>0</x:v>
      </x:c>
    </x:row>
    <x:row r="88" ht="21.600000381469727" hidden="0" customHeight="1">
      <x:c r="A88" s="34" t="n">
        <x:v>21</x:v>
      </x:c>
      <x:c r="B88" s="34" t="str">
        <x:v>H3</x:v>
      </x:c>
      <x:c r="C88" s="34" t="str">
        <x:v>fast</x:v>
      </x:c>
      <x:c r="D88" s="74" t="n">
        <x:v>1.0937274129958197</x:v>
      </x:c>
      <x:c r="E88" s="74" t="n">
        <x:v>-0.02558438282159856</x:v>
      </x:c>
      <x:c r="F88" s="74" t="n">
        <x:v>0.8202541098094117</x:v>
      </x:c>
      <x:c r="G88" s="74" t="n">
        <x:v>1.3357961216572378</x:v>
      </x:c>
      <x:c r="H88" s="74" t="n">
        <x:v>0.7368987492154417</x:v>
      </x:c>
      <x:c r="I88" s="74" t="n">
        <x:v>0.752078865804138</x:v>
      </x:c>
      <x:c r="J88" s="74" t="n">
        <x:v>0.7690975970247806</x:v>
      </x:c>
      <x:c r="K88" s="74" t="n">
        <x:v>0.9437850950676849</x:v>
      </x:c>
      <x:c r="L88" s="74" t="n">
        <x:v>0.9712391511756777</x:v>
      </x:c>
      <x:c r="M88" s="74" t="n">
        <x:v>1.0090688994550272</x:v>
      </x:c>
      <x:c r="N88" s="74" t="n">
        <x:v>0.7894480751316691</x:v>
      </x:c>
      <x:c r="O88" s="65" t="n">
        <x:v>526137.3532761565</x:v>
      </x:c>
      <x:c r="P88" s="65" t="n">
        <x:v>342944.1107907331</x:v>
      </x:c>
      <x:c r="Q88" s="65" t="n">
        <x:v>183193.24248542337</x:v>
      </x:c>
      <x:c r="R88" s="65" t="n">
        <x:v>84694.62669080068</x:v>
      </x:c>
      <x:c r="S88" s="65" t="n">
        <x:v>98498.6157946227</x:v>
      </x:c>
      <x:c r="T88" s="65" t="n">
        <x:v>172455.76232518267</x:v>
      </x:c>
      <x:c r="U88" s="43" t="n">
        <x:v>0.9795918687517995</x:v>
      </x:c>
      <x:c r="V88" s="43" t="n">
        <x:v>0.9878587890799638</x:v>
      </x:c>
      <x:c r="W88" s="43" t="n">
        <x:v>0.8088500330717848</x:v>
      </x:c>
      <x:c r="X88" s="65" t="n">
        <x:v>19570290.668214936</x:v>
      </x:c>
      <x:c r="Y88" s="65" t="n">
        <x:v>37.19616283914169</x:v>
      </x:c>
      <x:c r="Z88" s="65" t="n">
        <x:v>1608125.4157919716</x:v>
      </x:c>
      <x:c r="AA88" s="65" t="n">
        <x:v>119021.91154004185</x:v>
      </x:c>
      <x:c r="AB88" s="65" t="n">
        <x:v>6885.202127685312</x:v>
      </x:c>
      <x:c r="AC88" s="65" t="n">
        <x:v>1561.9929841704586</x:v>
      </x:c>
      <x:c r="AD88" s="65" t="n">
        <x:v>1522.4739638904584</x:v>
      </x:c>
      <x:c r="AE88" s="65" t="n">
        <x:v>53091.21336527425</x:v>
      </x:c>
      <x:c r="AF88" s="65" t="n">
        <x:v>172455.76232518282</x:v>
      </x:c>
      <x:c r="AG88" s="65" t="n">
        <x:v>0</x:v>
      </x:c>
      <x:c r="AH88" s="34" t="n">
        <x:v>1</x:v>
      </x:c>
    </x:row>
    <x:row r="89" ht="21.600000381469727" hidden="0" customHeight="1">
      <x:c r="A89" s="36" t="n">
        <x:v>22</x:v>
      </x:c>
      <x:c r="B89" s="36" t="str">
        <x:v>M0</x:v>
      </x:c>
      <x:c r="C89" s="36" t="str">
        <x:v>slow</x:v>
      </x:c>
      <x:c r="D89" s="75" t="n">
        <x:v>0.9498427835241395</x:v>
      </x:c>
      <x:c r="E89" s="75" t="n">
        <x:v>-0.022167435731118793</x:v>
      </x:c>
      <x:c r="F89" s="75" t="n">
        <x:v>0.9248748407921557</x:v>
      </x:c>
      <x:c r="G89" s="75" t="n">
        <x:v>1.0981450838075741</x:v>
      </x:c>
      <x:c r="H89" s="75" t="n">
        <x:v>0.9848466136050253</x:v>
      </x:c>
      <x:c r="I89" s="75" t="n">
        <x:v>0.8126856930735321</x:v>
      </x:c>
      <x:c r="J89" s="75" t="n">
        <x:v>0.9291475051155941</x:v>
      </x:c>
      <x:c r="K89" s="75" t="n">
        <x:v>0.860147988173954</x:v>
      </x:c>
      <x:c r="L89" s="75" t="n">
        <x:v>1.0037771824529054</x:v>
      </x:c>
      <x:c r="M89" s="75" t="n">
        <x:v>1.0621263402057282</x:v>
      </x:c>
      <x:c r="N89" s="75" t="n">
        <x:v>0.8649387155651468</x:v>
      </x:c>
      <x:c r="O89" s="66" t="n">
        <x:v>456921.6810457306</x:v>
      </x:c>
      <x:c r="P89" s="66" t="n">
        <x:v>65791.27156187453</x:v>
      </x:c>
      <x:c r="Q89" s="66" t="n">
        <x:v>391130.40948385606</x:v>
      </x:c>
      <x:c r="R89" s="66" t="n">
        <x:v>75113.95496877997</x:v>
      </x:c>
      <x:c r="S89" s="66" t="n">
        <x:v>316016.4545150761</x:v>
      </x:c>
      <x:c r="T89" s="66" t="n">
        <x:v>249210.3720941438</x:v>
      </x:c>
      <x:c r="U89" s="45" t="n">
        <x:v>0.6893996427026444</x:v>
      </x:c>
      <x:c r="V89" s="45" t="n">
        <x:v>0.6744783548185693</x:v>
      </x:c>
      <x:c r="W89" s="45" t="n">
        <x:v>0.07781934263517144</x:v>
      </x:c>
      <x:c r="X89" s="66" t="n">
        <x:v>47844553.61815958</x:v>
      </x:c>
      <x:c r="Y89" s="66" t="n">
        <x:v>104.71062241708573</x:v>
      </x:c>
      <x:c r="Z89" s="66" t="n">
        <x:v>3717874.897934656</x:v>
      </x:c>
      <x:c r="AA89" s="66" t="n">
        <x:v>249425.6733019597</x:v>
      </x:c>
      <x:c r="AB89" s="66" t="n">
        <x:v>32401.751311079126</x:v>
      </x:c>
      <x:c r="AC89" s="66" t="n">
        <x:v>0</x:v>
      </x:c>
      <x:c r="AD89" s="66" t="n">
        <x:v>2493.236587363167</x:v>
      </x:c>
      <x:c r="AE89" s="66" t="n">
        <x:v>174479.6670693151</x:v>
      </x:c>
      <x:c r="AF89" s="66" t="n">
        <x:v>249210.37209414406</x:v>
      </x:c>
      <x:c r="AG89" s="66" t="n">
        <x:v>0</x:v>
      </x:c>
      <x:c r="AH89" s="36" t="n">
        <x:v>0</x:v>
      </x:c>
    </x:row>
    <x:row r="90" ht="21.600000381469727" hidden="0" customHeight="1">
      <x:c r="A90" s="34" t="n">
        <x:v>22</x:v>
      </x:c>
      <x:c r="B90" s="34" t="str">
        <x:v>B1</x:v>
      </x:c>
      <x:c r="C90" s="34" t="str">
        <x:v>slow</x:v>
      </x:c>
      <x:c r="D90" s="74" t="n">
        <x:v>0.9498427835241395</x:v>
      </x:c>
      <x:c r="E90" s="74" t="n">
        <x:v>-0.022167435731118793</x:v>
      </x:c>
      <x:c r="F90" s="74" t="n">
        <x:v>0.9248748407921557</x:v>
      </x:c>
      <x:c r="G90" s="74" t="n">
        <x:v>1.0981450838075741</x:v>
      </x:c>
      <x:c r="H90" s="74" t="n">
        <x:v>0.9848466136050253</x:v>
      </x:c>
      <x:c r="I90" s="74" t="n">
        <x:v>0.8126856930735321</x:v>
      </x:c>
      <x:c r="J90" s="74" t="n">
        <x:v>0.9291475051155941</x:v>
      </x:c>
      <x:c r="K90" s="74" t="n">
        <x:v>0.860147988173954</x:v>
      </x:c>
      <x:c r="L90" s="74" t="n">
        <x:v>1.0037771824529054</x:v>
      </x:c>
      <x:c r="M90" s="74" t="n">
        <x:v>1.0621263402057282</x:v>
      </x:c>
      <x:c r="N90" s="74" t="n">
        <x:v>0.8649387155651468</x:v>
      </x:c>
      <x:c r="O90" s="65" t="n">
        <x:v>456921.6810457306</x:v>
      </x:c>
      <x:c r="P90" s="65" t="n">
        <x:v>222548.96665304797</x:v>
      </x:c>
      <x:c r="Q90" s="65" t="n">
        <x:v>234372.71439268265</x:v>
      </x:c>
      <x:c r="R90" s="65" t="n">
        <x:v>75113.95496877997</x:v>
      </x:c>
      <x:c r="S90" s="65" t="n">
        <x:v>159258.75942390267</x:v>
      </x:c>
      <x:c r="T90" s="65" t="n">
        <x:v>137902.1326916897</x:v>
      </x:c>
      <x:c r="U90" s="43" t="n">
        <x:v>0.7888684522909787</x:v>
      </x:c>
      <x:c r="V90" s="43" t="n">
        <x:v>0.779677698275729</x:v>
      </x:c>
      <x:c r="W90" s="43" t="n">
        <x:v>0.27010141617685207</x:v>
      </x:c>
      <x:c r="X90" s="65" t="n">
        <x:v>30169944.489881996</x:v>
      </x:c>
      <x:c r="Y90" s="65" t="n">
        <x:v>66.02869975623342</x:v>
      </x:c>
      <x:c r="Z90" s="65" t="n">
        <x:v>1213467.009882983</x:v>
      </x:c>
      <x:c r="AA90" s="65" t="n">
        <x:v>146803.7470170461</x:v>
      </x:c>
      <x:c r="AB90" s="65" t="n">
        <x:v>7401.561719836487</x:v>
      </x:c>
      <x:c r="AC90" s="65" t="n">
        <x:v>65.03022061898261</x:v>
      </x:c>
      <x:c r="AD90" s="65" t="n">
        <x:v>1958.363403403227</x:v>
      </x:c>
      <x:c r="AE90" s="65" t="n">
        <x:v>44488.75141065383</x:v>
      </x:c>
      <x:c r="AF90" s="65" t="n">
        <x:v>137902.13269168977</x:v>
      </x:c>
      <x:c r="AG90" s="65" t="n">
        <x:v>0</x:v>
      </x:c>
      <x:c r="AH90" s="34" t="n">
        <x:v>0</x:v>
      </x:c>
    </x:row>
    <x:row r="91" ht="21.600000381469727" hidden="0" customHeight="1">
      <x:c r="A91" s="36" t="n">
        <x:v>22</x:v>
      </x:c>
      <x:c r="B91" s="36" t="str">
        <x:v>P2</x:v>
      </x:c>
      <x:c r="C91" s="36" t="str">
        <x:v>slow</x:v>
      </x:c>
      <x:c r="D91" s="75" t="n">
        <x:v>0.9498427835241395</x:v>
      </x:c>
      <x:c r="E91" s="75" t="n">
        <x:v>-0.022167435731118793</x:v>
      </x:c>
      <x:c r="F91" s="75" t="n">
        <x:v>0.9248748407921557</x:v>
      </x:c>
      <x:c r="G91" s="75" t="n">
        <x:v>1.0981450838075741</x:v>
      </x:c>
      <x:c r="H91" s="75" t="n">
        <x:v>0.9848466136050253</x:v>
      </x:c>
      <x:c r="I91" s="75" t="n">
        <x:v>0.8126856930735321</x:v>
      </x:c>
      <x:c r="J91" s="75" t="n">
        <x:v>0.9291475051155941</x:v>
      </x:c>
      <x:c r="K91" s="75" t="n">
        <x:v>0.860147988173954</x:v>
      </x:c>
      <x:c r="L91" s="75" t="n">
        <x:v>1.0037771824529054</x:v>
      </x:c>
      <x:c r="M91" s="75" t="n">
        <x:v>1.0621263402057282</x:v>
      </x:c>
      <x:c r="N91" s="75" t="n">
        <x:v>0.8649387155651468</x:v>
      </x:c>
      <x:c r="O91" s="66" t="n">
        <x:v>456921.6810457306</x:v>
      </x:c>
      <x:c r="P91" s="66" t="n">
        <x:v>322403.90420197486</x:v>
      </x:c>
      <x:c r="Q91" s="66" t="n">
        <x:v>134517.77684375574</x:v>
      </x:c>
      <x:c r="R91" s="66" t="n">
        <x:v>75113.95496877997</x:v>
      </x:c>
      <x:c r="S91" s="66" t="n">
        <x:v>59403.82187497575</x:v>
      </x:c>
      <x:c r="T91" s="66" t="n">
        <x:v>67674.26672064923</x:v>
      </x:c>
      <x:c r="U91" s="45" t="n">
        <x:v>0.8537090427179435</x:v>
      </x:c>
      <x:c r="V91" s="45" t="n">
        <x:v>0.8488231181889409</x:v>
      </x:c>
      <x:c r="W91" s="45" t="n">
        <x:v>0.39689443680742914</x:v>
      </x:c>
      <x:c r="X91" s="66" t="n">
        <x:v>17845363.451655332</x:v>
      </x:c>
      <x:c r="Y91" s="66" t="n">
        <x:v>39.05562855063841</x:v>
      </x:c>
      <x:c r="Z91" s="66" t="n">
        <x:v>444659.73223996605</x:v>
      </x:c>
      <x:c r="AA91" s="66" t="n">
        <x:v>92501.9798673401</x:v>
      </x:c>
      <x:c r="AB91" s="66" t="n">
        <x:v>538.4241668541162</x:v>
      </x:c>
      <x:c r="AC91" s="66" t="n">
        <x:v>0</x:v>
      </x:c>
      <x:c r="AD91" s="66" t="n">
        <x:v>1633.8605703098588</x:v>
      </x:c>
      <x:c r="AE91" s="66" t="n">
        <x:v>11768.15665878728</x:v>
      </x:c>
      <x:c r="AF91" s="66" t="n">
        <x:v>67674.26672064925</x:v>
      </x:c>
      <x:c r="AG91" s="66" t="n">
        <x:v>0</x:v>
      </x:c>
      <x:c r="AH91" s="36" t="n">
        <x:v>0</x:v>
      </x:c>
    </x:row>
    <x:row r="92" ht="21.600000381469727" hidden="0" customHeight="1">
      <x:c r="A92" s="34" t="n">
        <x:v>22</x:v>
      </x:c>
      <x:c r="B92" s="34" t="str">
        <x:v>H3</x:v>
      </x:c>
      <x:c r="C92" s="34" t="str">
        <x:v>slow</x:v>
      </x:c>
      <x:c r="D92" s="74" t="n">
        <x:v>0.9498427835241395</x:v>
      </x:c>
      <x:c r="E92" s="74" t="n">
        <x:v>-0.022167435731118793</x:v>
      </x:c>
      <x:c r="F92" s="74" t="n">
        <x:v>0.9248748407921557</x:v>
      </x:c>
      <x:c r="G92" s="74" t="n">
        <x:v>1.0981450838075741</x:v>
      </x:c>
      <x:c r="H92" s="74" t="n">
        <x:v>0.9848466136050253</x:v>
      </x:c>
      <x:c r="I92" s="74" t="n">
        <x:v>0.8126856930735321</x:v>
      </x:c>
      <x:c r="J92" s="74" t="n">
        <x:v>0.9291475051155941</x:v>
      </x:c>
      <x:c r="K92" s="74" t="n">
        <x:v>0.860147988173954</x:v>
      </x:c>
      <x:c r="L92" s="74" t="n">
        <x:v>1.0037771824529054</x:v>
      </x:c>
      <x:c r="M92" s="74" t="n">
        <x:v>1.0621263402057282</x:v>
      </x:c>
      <x:c r="N92" s="74" t="n">
        <x:v>0.8649387155651468</x:v>
      </x:c>
      <x:c r="O92" s="65" t="n">
        <x:v>456921.6810457306</x:v>
      </x:c>
      <x:c r="P92" s="65" t="n">
        <x:v>334447.7151215897</x:v>
      </x:c>
      <x:c r="Q92" s="65" t="n">
        <x:v>122473.96592414095</x:v>
      </x:c>
      <x:c r="R92" s="65" t="n">
        <x:v>75113.95496877997</x:v>
      </x:c>
      <x:c r="S92" s="65" t="n">
        <x:v>47360.01095536097</x:v>
      </x:c>
      <x:c r="T92" s="65" t="n">
        <x:v>59208.578087615075</x:v>
      </x:c>
      <x:c r="U92" s="43" t="n">
        <x:v>0.8615399740022536</x:v>
      </x:c>
      <x:c r="V92" s="43" t="n">
        <x:v>0.8573319274096419</x:v>
      </x:c>
      <x:c r="W92" s="43" t="n">
        <x:v>0.4128512543922928</x:v>
      </x:c>
      <x:c r="X92" s="65" t="n">
        <x:v>15656288.604943192</x:v>
      </x:c>
      <x:c r="Y92" s="65" t="n">
        <x:v>34.26470936794143</x:v>
      </x:c>
      <x:c r="Z92" s="65" t="n">
        <x:v>435218.6219294524</x:v>
      </x:c>
      <x:c r="AA92" s="65" t="n">
        <x:v>86745.99592572567</x:v>
      </x:c>
      <x:c r="AB92" s="65" t="n">
        <x:v>2672.6613991615677</x:v>
      </x:c>
      <x:c r="AC92" s="65" t="n">
        <x:v>0</x:v>
      </x:c>
      <x:c r="AD92" s="65" t="n">
        <x:v>1597.2192589043536</x:v>
      </x:c>
      <x:c r="AE92" s="65" t="n">
        <x:v>7.275957614183426e-12</x:v>
      </x:c>
      <x:c r="AF92" s="65" t="n">
        <x:v>59208.57808761507</x:v>
      </x:c>
      <x:c r="AG92" s="65" t="n">
        <x:v>7.275957614183426e-12</x:v>
      </x:c>
      <x:c r="AH92" s="34" t="n">
        <x:v>0</x:v>
      </x:c>
    </x:row>
    <x:row r="93" ht="15" hidden="0" customHeight="1">
      <x:c r="A93" s="36" t="n">
        <x:v>23</x:v>
      </x:c>
      <x:c r="B93" s="36" t="str">
        <x:v>M0</x:v>
      </x:c>
      <x:c r="C93" s="36" t="str">
        <x:v>reference</x:v>
      </x:c>
      <x:c r="D93" s="75" t="n">
        <x:v>1.0950150624116406</x:v>
      </x:c>
      <x:c r="E93" s="75" t="n">
        <x:v>0.04932749956687172</x:v>
      </x:c>
      <x:c r="F93" s="75" t="n">
        <x:v>0.9239488958779185</x:v>
      </x:c>
      <x:c r="G93" s="75" t="n">
        <x:v>1.1656817780156048</x:v>
      </x:c>
      <x:c r="H93" s="75" t="n">
        <x:v>0.9748941309057799</x:v>
      </x:c>
      <x:c r="I93" s="75" t="n">
        <x:v>0.75022803791876</x:v>
      </x:c>
      <x:c r="J93" s="75" t="n">
        <x:v>0.9852680579000672</x:v>
      </x:c>
      <x:c r="K93" s="75" t="n">
        <x:v>0.8935688907112351</x:v>
      </x:c>
      <x:c r="L93" s="75" t="n">
        <x:v>1.042021348234464</x:v>
      </x:c>
      <x:c r="M93" s="75" t="n">
        <x:v>0.8530933760864299</x:v>
      </x:c>
      <x:c r="N93" s="75" t="n">
        <x:v>0.8387435977914444</x:v>
      </x:c>
      <x:c r="O93" s="66" t="n">
        <x:v>526756.7767701072</x:v>
      </x:c>
      <x:c r="P93" s="66" t="n">
        <x:v>69286.61443170496</x:v>
      </x:c>
      <x:c r="Q93" s="66" t="n">
        <x:v>457470.16233840224</x:v>
      </x:c>
      <x:c r="R93" s="66" t="n">
        <x:v>124254.67970354292</x:v>
      </x:c>
      <x:c r="S93" s="66" t="n">
        <x:v>333215.48263485933</x:v>
      </x:c>
      <x:c r="T93" s="66" t="n">
        <x:v>278147.78040412534</x:v>
      </x:c>
      <x:c r="U93" s="45" t="n">
        <x:v>0.6595727101342282</x:v>
      </x:c>
      <x:c r="V93" s="45" t="n">
        <x:v>0.6681569015218481</x:v>
      </x:c>
      <x:c r="W93" s="45" t="n">
        <x:v>0.12560452456210291</x:v>
      </x:c>
      <x:c r="X93" s="66" t="n">
        <x:v>59995146.52674952</x:v>
      </x:c>
      <x:c r="Y93" s="66" t="n">
        <x:v>113.89534823760462</x:v>
      </x:c>
      <x:c r="Z93" s="66" t="n">
        <x:v>7780434.360053406</x:v>
      </x:c>
      <x:c r="AA93" s="66" t="n">
        <x:v>313822.2697587096</x:v>
      </x:c>
      <x:c r="AB93" s="66" t="n">
        <x:v>77040.07387373477</x:v>
      </x:c>
      <x:c r="AC93" s="66" t="n">
        <x:v>0</x:v>
      </x:c>
      <x:c r="AD93" s="66" t="n">
        <x:v>2243.4057337890763</x:v>
      </x:c>
      <x:c r="AE93" s="66" t="n">
        <x:v>229836.14917133815</x:v>
      </x:c>
      <x:c r="AF93" s="66" t="n">
        <x:v>278147.7804041254</x:v>
      </x:c>
      <x:c r="AG93" s="66" t="n">
        <x:v>0</x:v>
      </x:c>
      <x:c r="AH93" s="36" t="n">
        <x:v>0</x:v>
      </x:c>
    </x:row>
    <x:row r="94" ht="15" hidden="0" customHeight="1">
      <x:c r="A94" s="34" t="n">
        <x:v>23</x:v>
      </x:c>
      <x:c r="B94" s="34" t="str">
        <x:v>B1</x:v>
      </x:c>
      <x:c r="C94" s="34" t="str">
        <x:v>reference</x:v>
      </x:c>
      <x:c r="D94" s="74" t="n">
        <x:v>1.0950150624116406</x:v>
      </x:c>
      <x:c r="E94" s="74" t="n">
        <x:v>0.04932749956687172</x:v>
      </x:c>
      <x:c r="F94" s="74" t="n">
        <x:v>0.9239488958779185</x:v>
      </x:c>
      <x:c r="G94" s="74" t="n">
        <x:v>1.1656817780156048</x:v>
      </x:c>
      <x:c r="H94" s="74" t="n">
        <x:v>0.9748941309057799</x:v>
      </x:c>
      <x:c r="I94" s="74" t="n">
        <x:v>0.75022803791876</x:v>
      </x:c>
      <x:c r="J94" s="74" t="n">
        <x:v>0.9852680579000672</x:v>
      </x:c>
      <x:c r="K94" s="74" t="n">
        <x:v>0.8935688907112351</x:v>
      </x:c>
      <x:c r="L94" s="74" t="n">
        <x:v>1.042021348234464</x:v>
      </x:c>
      <x:c r="M94" s="74" t="n">
        <x:v>0.8530933760864299</x:v>
      </x:c>
      <x:c r="N94" s="74" t="n">
        <x:v>0.8387435977914444</x:v>
      </x:c>
      <x:c r="O94" s="65" t="n">
        <x:v>526756.7767701072</x:v>
      </x:c>
      <x:c r="P94" s="65" t="n">
        <x:v>234374.7704638957</x:v>
      </x:c>
      <x:c r="Q94" s="65" t="n">
        <x:v>292382.0063062116</x:v>
      </x:c>
      <x:c r="R94" s="65" t="n">
        <x:v>124254.67970354292</x:v>
      </x:c>
      <x:c r="S94" s="65" t="n">
        <x:v>168127.32660266862</x:v>
      </x:c>
      <x:c r="T94" s="65" t="n">
        <x:v>195473.1264283245</x:v>
      </x:c>
      <x:c r="U94" s="43" t="n">
        <x:v>0.8160272745381668</x:v>
      </x:c>
      <x:c r="V94" s="43" t="n">
        <x:v>0.8230773572101665</x:v>
      </x:c>
      <x:c r="W94" s="43" t="n">
        <x:v>0.4663749568968467</x:v>
      </x:c>
      <x:c r="X94" s="65" t="n">
        <x:v>38943768.55873722</x:v>
      </x:c>
      <x:c r="Y94" s="65" t="n">
        <x:v>73.93121508094707</x:v>
      </x:c>
      <x:c r="Z94" s="65" t="n">
        <x:v>3894313.3911428764</x:v>
      </x:c>
      <x:c r="AA94" s="65" t="n">
        <x:v>200314.45314902635</x:v>
      </x:c>
      <x:c r="AB94" s="65" t="n">
        <x:v>34203.455387297174</x:v>
      </x:c>
      <x:c r="AC94" s="65" t="n">
        <x:v>0</x:v>
      </x:c>
      <x:c r="AD94" s="65" t="n">
        <x:v>1840.678849039233</x:v>
      </x:c>
      <x:c r="AE94" s="65" t="n">
        <x:v>128488.63624685135</x:v>
      </x:c>
      <x:c r="AF94" s="65" t="n">
        <x:v>195473.12642832467</x:v>
      </x:c>
      <x:c r="AG94" s="65" t="n">
        <x:v>0</x:v>
      </x:c>
      <x:c r="AH94" s="34" t="n">
        <x:v>0</x:v>
      </x:c>
    </x:row>
    <x:row r="95" ht="15" hidden="0" customHeight="1">
      <x:c r="A95" s="36" t="n">
        <x:v>23</x:v>
      </x:c>
      <x:c r="B95" s="36" t="str">
        <x:v>P2</x:v>
      </x:c>
      <x:c r="C95" s="36" t="str">
        <x:v>reference</x:v>
      </x:c>
      <x:c r="D95" s="75" t="n">
        <x:v>1.0950150624116406</x:v>
      </x:c>
      <x:c r="E95" s="75" t="n">
        <x:v>0.04932749956687172</x:v>
      </x:c>
      <x:c r="F95" s="75" t="n">
        <x:v>0.9239488958779185</x:v>
      </x:c>
      <x:c r="G95" s="75" t="n">
        <x:v>1.1656817780156048</x:v>
      </x:c>
      <x:c r="H95" s="75" t="n">
        <x:v>0.9748941309057799</x:v>
      </x:c>
      <x:c r="I95" s="75" t="n">
        <x:v>0.75022803791876</x:v>
      </x:c>
      <x:c r="J95" s="75" t="n">
        <x:v>0.9852680579000672</x:v>
      </x:c>
      <x:c r="K95" s="75" t="n">
        <x:v>0.8935688907112351</x:v>
      </x:c>
      <x:c r="L95" s="75" t="n">
        <x:v>1.042021348234464</x:v>
      </x:c>
      <x:c r="M95" s="75" t="n">
        <x:v>0.8530933760864299</x:v>
      </x:c>
      <x:c r="N95" s="75" t="n">
        <x:v>0.8387435977914444</x:v>
      </x:c>
      <x:c r="O95" s="66" t="n">
        <x:v>526756.7767701072</x:v>
      </x:c>
      <x:c r="P95" s="66" t="n">
        <x:v>339537.65512673184</x:v>
      </x:c>
      <x:c r="Q95" s="66" t="n">
        <x:v>187219.12164337537</x:v>
      </x:c>
      <x:c r="R95" s="66" t="n">
        <x:v>124254.67970354292</x:v>
      </x:c>
      <x:c r="S95" s="66" t="n">
        <x:v>62964.44193983247</x:v>
      </x:c>
      <x:c r="T95" s="66" t="n">
        <x:v>134035.23074438568</x:v>
      </x:c>
      <x:c r="U95" s="45" t="n">
        <x:v>0.8990352032581428</x:v>
      </x:c>
      <x:c r="V95" s="45" t="n">
        <x:v>0.9174348936229592</x:v>
      </x:c>
      <x:c r="W95" s="45" t="n">
        <x:v>0.5361470184580298</x:v>
      </x:c>
      <x:c r="X95" s="66" t="n">
        <x:v>22663164.957135748</x:v>
      </x:c>
      <x:c r="Y95" s="66" t="n">
        <x:v>43.02396467701572</x:v>
      </x:c>
      <x:c r="Z95" s="66" t="n">
        <x:v>1106666.3778626693</x:v>
      </x:c>
      <x:c r="AA95" s="66" t="n">
        <x:v>129685.58461230044</x:v>
      </x:c>
      <x:c r="AB95" s="66" t="n">
        <x:v>1277.965608069176</x:v>
      </x:c>
      <x:c r="AC95" s="66" t="n">
        <x:v>20865.0480417034</x:v>
      </x:c>
      <x:c r="AD95" s="66" t="n">
        <x:v>1597.338656282013</x:v>
      </x:c>
      <x:c r="AE95" s="66" t="n">
        <x:v>68613.23011665305</x:v>
      </x:c>
      <x:c r="AF95" s="66" t="n">
        <x:v>134035.2307443856</x:v>
      </x:c>
      <x:c r="AG95" s="66" t="n">
        <x:v>8.731149137020111e-11</x:v>
      </x:c>
      <x:c r="AH95" s="36" t="n">
        <x:v>0</x:v>
      </x:c>
    </x:row>
    <x:row r="96" ht="15" hidden="0" customHeight="1">
      <x:c r="A96" s="34" t="n">
        <x:v>23</x:v>
      </x:c>
      <x:c r="B96" s="34" t="str">
        <x:v>H3</x:v>
      </x:c>
      <x:c r="C96" s="34" t="str">
        <x:v>reference</x:v>
      </x:c>
      <x:c r="D96" s="74" t="n">
        <x:v>1.0950150624116406</x:v>
      </x:c>
      <x:c r="E96" s="74" t="n">
        <x:v>0.04932749956687172</x:v>
      </x:c>
      <x:c r="F96" s="74" t="n">
        <x:v>0.9239488958779185</x:v>
      </x:c>
      <x:c r="G96" s="74" t="n">
        <x:v>1.1656817780156048</x:v>
      </x:c>
      <x:c r="H96" s="74" t="n">
        <x:v>0.9748941309057799</x:v>
      </x:c>
      <x:c r="I96" s="74" t="n">
        <x:v>0.75022803791876</x:v>
      </x:c>
      <x:c r="J96" s="74" t="n">
        <x:v>0.9852680579000672</x:v>
      </x:c>
      <x:c r="K96" s="74" t="n">
        <x:v>0.8935688907112351</x:v>
      </x:c>
      <x:c r="L96" s="74" t="n">
        <x:v>1.042021348234464</x:v>
      </x:c>
      <x:c r="M96" s="74" t="n">
        <x:v>0.8530933760864299</x:v>
      </x:c>
      <x:c r="N96" s="74" t="n">
        <x:v>0.8387435977914444</x:v>
      </x:c>
      <x:c r="O96" s="65" t="n">
        <x:v>526756.7767701072</x:v>
      </x:c>
      <x:c r="P96" s="65" t="n">
        <x:v>352221.8939328082</x:v>
      </x:c>
      <x:c r="Q96" s="65" t="n">
        <x:v>174534.882837299</x:v>
      </x:c>
      <x:c r="R96" s="65" t="n">
        <x:v>124254.67970354292</x:v>
      </x:c>
      <x:c r="S96" s="65" t="n">
        <x:v>50280.203133756084</x:v>
      </x:c>
      <x:c r="T96" s="65" t="n">
        <x:v>169956.14555936767</x:v>
      </x:c>
      <x:c r="U96" s="43" t="n">
        <x:v>0.9913076822551642</x:v>
      </x:c>
      <x:c r="V96" s="43" t="n">
        <x:v>0.9926991966364347</x:v>
      </x:c>
      <x:c r="W96" s="43" t="n">
        <x:v>0.9130768225516422</x:v>
      </x:c>
      <x:c r="X96" s="65" t="n">
        <x:v>17773403.69894271</x:v>
      </x:c>
      <x:c r="Y96" s="65" t="n">
        <x:v>33.741196094188204</x:v>
      </x:c>
      <x:c r="Z96" s="65" t="n">
        <x:v>1573069.8282375077</x:v>
      </x:c>
      <x:c r="AA96" s="65" t="n">
        <x:v>104241.73967265521</x:v>
      </x:c>
      <x:c r="AB96" s="65" t="n">
        <x:v>9884.50824403218</x:v>
      </x:c>
      <x:c r="AC96" s="65" t="n">
        <x:v>0</x:v>
      </x:c>
      <x:c r="AD96" s="65" t="n">
        <x:v>1570.0221062192118</x:v>
      </x:c>
      <x:c r="AE96" s="65" t="n">
        <x:v>71697.52779103802</x:v>
      </x:c>
      <x:c r="AF96" s="65" t="n">
        <x:v>169956.14555936746</x:v>
      </x:c>
      <x:c r="AG96" s="65" t="n">
        <x:v>2.0372681319713593e-10</x:v>
      </x:c>
      <x:c r="AH96" s="34" t="n">
        <x:v>1</x:v>
      </x:c>
    </x:row>
    <x:row r="97" ht="21.600000381469727" hidden="0" customHeight="1">
      <x:c r="A97" s="36" t="n">
        <x:v>24</x:v>
      </x:c>
      <x:c r="B97" s="36" t="str">
        <x:v>M0</x:v>
      </x:c>
      <x:c r="C97" s="36" t="str">
        <x:v>reference</x:v>
      </x:c>
      <x:c r="D97" s="75" t="n">
        <x:v>0.9992895887393385</x:v>
      </x:c>
      <x:c r="E97" s="75" t="n">
        <x:v>-0.02520030509586337</x:v>
      </x:c>
      <x:c r="F97" s="75" t="n">
        <x:v>1.0166211850840905</x:v>
      </x:c>
      <x:c r="G97" s="75" t="n">
        <x:v>1.167490506432134</x:v>
      </x:c>
      <x:c r="H97" s="75" t="n">
        <x:v>0.8123156191883937</x:v>
      </x:c>
      <x:c r="I97" s="75" t="n">
        <x:v>0.8161343400318302</x:v>
      </x:c>
      <x:c r="J97" s="75" t="n">
        <x:v>0.9372352910065056</x:v>
      </x:c>
      <x:c r="K97" s="75" t="n">
        <x:v>0.9114764138426596</x:v>
      </x:c>
      <x:c r="L97" s="75" t="n">
        <x:v>0.8781110983630334</x:v>
      </x:c>
      <x:c r="M97" s="75" t="n">
        <x:v>0.9678202150408073</x:v>
      </x:c>
      <x:c r="N97" s="75" t="n">
        <x:v>0.9737571634474697</x:v>
      </x:c>
      <x:c r="O97" s="66" t="n">
        <x:v>480708.056805141</x:v>
      </x:c>
      <x:c r="P97" s="66" t="n">
        <x:v>76358.57628626852</x:v>
      </x:c>
      <x:c r="Q97" s="66" t="n">
        <x:v>404349.4805188725</x:v>
      </x:c>
      <x:c r="R97" s="66" t="n">
        <x:v>77566.30376644613</x:v>
      </x:c>
      <x:c r="S97" s="66" t="n">
        <x:v>326783.1767524263</x:v>
      </x:c>
      <x:c r="T97" s="66" t="n">
        <x:v>254013.9622044229</x:v>
      </x:c>
      <x:c r="U97" s="45" t="n">
        <x:v>0.6872623285875374</x:v>
      </x:c>
      <x:c r="V97" s="45" t="n">
        <x:v>0.709677797707111</x:v>
      </x:c>
      <x:c r="W97" s="45" t="n">
        <x:v>0.15870454896547614</x:v>
      </x:c>
      <x:c r="X97" s="66" t="n">
        <x:v>53176386.79001955</x:v>
      </x:c>
      <x:c r="Y97" s="66" t="n">
        <x:v>110.62096013833828</x:v>
      </x:c>
      <x:c r="Z97" s="66" t="n">
        <x:v>5101428.432126607</x:v>
      </x:c>
      <x:c r="AA97" s="66" t="n">
        <x:v>283105.8302728851</x:v>
      </x:c>
      <x:c r="AB97" s="66" t="n">
        <x:v>42000.98114527281</x:v>
      </x:c>
      <x:c r="AC97" s="66" t="n">
        <x:v>0</x:v>
      </x:c>
      <x:c r="AD97" s="66" t="n">
        <x:v>1997.7923395007833</x:v>
      </x:c>
      <x:c r="AE97" s="66" t="n">
        <x:v>197925.54958984867</x:v>
      </x:c>
      <x:c r="AF97" s="66" t="n">
        <x:v>254013.9622044229</x:v>
      </x:c>
      <x:c r="AG97" s="66" t="n">
        <x:v>0</x:v>
      </x:c>
      <x:c r="AH97" s="36" t="n">
        <x:v>0</x:v>
      </x:c>
    </x:row>
    <x:row r="98" ht="21.600000381469727" hidden="0" customHeight="1">
      <x:c r="A98" s="34" t="n">
        <x:v>24</x:v>
      </x:c>
      <x:c r="B98" s="34" t="str">
        <x:v>B1</x:v>
      </x:c>
      <x:c r="C98" s="34" t="str">
        <x:v>reference</x:v>
      </x:c>
      <x:c r="D98" s="74" t="n">
        <x:v>0.9992895887393385</x:v>
      </x:c>
      <x:c r="E98" s="74" t="n">
        <x:v>-0.02520030509586337</x:v>
      </x:c>
      <x:c r="F98" s="74" t="n">
        <x:v>1.0166211850840905</x:v>
      </x:c>
      <x:c r="G98" s="74" t="n">
        <x:v>1.167490506432134</x:v>
      </x:c>
      <x:c r="H98" s="74" t="n">
        <x:v>0.8123156191883937</x:v>
      </x:c>
      <x:c r="I98" s="74" t="n">
        <x:v>0.8161343400318302</x:v>
      </x:c>
      <x:c r="J98" s="74" t="n">
        <x:v>0.9372352910065056</x:v>
      </x:c>
      <x:c r="K98" s="74" t="n">
        <x:v>0.9114764138426596</x:v>
      </x:c>
      <x:c r="L98" s="74" t="n">
        <x:v>0.8781110983630334</x:v>
      </x:c>
      <x:c r="M98" s="74" t="n">
        <x:v>0.9678202150408073</x:v>
      </x:c>
      <x:c r="N98" s="74" t="n">
        <x:v>0.9737571634474697</x:v>
      </x:c>
      <x:c r="O98" s="65" t="n">
        <x:v>480708.056805141</x:v>
      </x:c>
      <x:c r="P98" s="65" t="n">
        <x:v>258294.38262194302</x:v>
      </x:c>
      <x:c r="Q98" s="65" t="n">
        <x:v>222413.67418319802</x:v>
      </x:c>
      <x:c r="R98" s="65" t="n">
        <x:v>77566.30376644613</x:v>
      </x:c>
      <x:c r="S98" s="65" t="n">
        <x:v>144847.3704167519</x:v>
      </x:c>
      <x:c r="T98" s="65" t="n">
        <x:v>188478.3474395505</x:v>
      </x:c>
      <x:c r="U98" s="43" t="n">
        <x:v>0.9294055378035749</x:v>
      </x:c>
      <x:c r="V98" s="43" t="n">
        <x:v>0.943350798770505</x:v>
      </x:c>
      <x:c r="W98" s="43" t="n">
        <x:v>0.6536918036333009</x:v>
      </x:c>
      <x:c r="X98" s="65" t="n">
        <x:v>28399900.625297688</x:v>
      </x:c>
      <x:c r="Y98" s="65" t="n">
        <x:v>59.07931066112717</x:v>
      </x:c>
      <x:c r="Z98" s="65" t="n">
        <x:v>1507385.6184899283</x:v>
      </x:c>
      <x:c r="AA98" s="65" t="n">
        <x:v>147528.0089663429</x:v>
      </x:c>
      <x:c r="AB98" s="65" t="n">
        <x:v>3908.3581042680653</x:v>
      </x:c>
      <x:c r="AC98" s="65" t="n">
        <x:v>0</x:v>
      </x:c>
      <x:c r="AD98" s="65" t="n">
        <x:v>1518.1911279661554</x:v>
      </x:c>
      <x:c r="AE98" s="65" t="n">
        <x:v>109791.73174637083</x:v>
      </x:c>
      <x:c r="AF98" s="65" t="n">
        <x:v>188478.34743955045</x:v>
      </x:c>
      <x:c r="AG98" s="65" t="n">
        <x:v>5.820766091346741e-11</x:v>
      </x:c>
      <x:c r="AH98" s="34" t="n">
        <x:v>0</x:v>
      </x:c>
    </x:row>
    <x:row r="99" ht="21.600000381469727" hidden="0" customHeight="1">
      <x:c r="A99" s="36" t="n">
        <x:v>24</x:v>
      </x:c>
      <x:c r="B99" s="36" t="str">
        <x:v>P2</x:v>
      </x:c>
      <x:c r="C99" s="36" t="str">
        <x:v>reference</x:v>
      </x:c>
      <x:c r="D99" s="75" t="n">
        <x:v>0.9992895887393385</x:v>
      </x:c>
      <x:c r="E99" s="75" t="n">
        <x:v>-0.02520030509586337</x:v>
      </x:c>
      <x:c r="F99" s="75" t="n">
        <x:v>1.0166211850840905</x:v>
      </x:c>
      <x:c r="G99" s="75" t="n">
        <x:v>1.167490506432134</x:v>
      </x:c>
      <x:c r="H99" s="75" t="n">
        <x:v>0.8123156191883937</x:v>
      </x:c>
      <x:c r="I99" s="75" t="n">
        <x:v>0.8161343400318302</x:v>
      </x:c>
      <x:c r="J99" s="75" t="n">
        <x:v>0.9372352910065056</x:v>
      </x:c>
      <x:c r="K99" s="75" t="n">
        <x:v>0.9114764138426596</x:v>
      </x:c>
      <x:c r="L99" s="75" t="n">
        <x:v>0.8781110983630334</x:v>
      </x:c>
      <x:c r="M99" s="75" t="n">
        <x:v>0.9678202150408073</x:v>
      </x:c>
      <x:c r="N99" s="75" t="n">
        <x:v>0.9737571634474697</x:v>
      </x:c>
      <x:c r="O99" s="66" t="n">
        <x:v>480708.056805141</x:v>
      </x:c>
      <x:c r="P99" s="66" t="n">
        <x:v>374187.76209528366</x:v>
      </x:c>
      <x:c r="Q99" s="66" t="n">
        <x:v>106520.2947098574</x:v>
      </x:c>
      <x:c r="R99" s="66" t="n">
        <x:v>77566.30376644613</x:v>
      </x:c>
      <x:c r="S99" s="66" t="n">
        <x:v>28953.990943411252</x:v>
      </x:c>
      <x:c r="T99" s="66" t="n">
        <x:v>101083.69163147046</x:v>
      </x:c>
      <x:c r="U99" s="45" t="n">
        <x:v>0.9886904265459594</x:v>
      </x:c>
      <x:c r="V99" s="45" t="n">
        <x:v>0.9903002753898388</x:v>
      </x:c>
      <x:c r="W99" s="45" t="n">
        <x:v>0.8869042654595932</x:v>
      </x:c>
      <x:c r="X99" s="66" t="n">
        <x:v>13064952.78259751</x:v>
      </x:c>
      <x:c r="Y99" s="66" t="n">
        <x:v>27.17856003793483</x:v>
      </x:c>
      <x:c r="Z99" s="66" t="n">
        <x:v>631751.3618985183</x:v>
      </x:c>
      <x:c r="AA99" s="66" t="n">
        <x:v>72375.6042584372</x:v>
      </x:c>
      <x:c r="AB99" s="66" t="n">
        <x:v>0</x:v>
      </x:c>
      <x:c r="AC99" s="66" t="n">
        <x:v>0</x:v>
      </x:c>
      <x:c r="AD99" s="66" t="n">
        <x:v>1228.4010601043447</x:v>
      </x:c>
      <x:c r="AE99" s="66" t="n">
        <x:v>56313.57307784813</x:v>
      </x:c>
      <x:c r="AF99" s="66" t="n">
        <x:v>101083.6916314705</x:v>
      </x:c>
      <x:c r="AG99" s="66" t="n">
        <x:v>0</x:v>
      </x:c>
      <x:c r="AH99" s="36" t="n">
        <x:v>1</x:v>
      </x:c>
    </x:row>
    <x:row r="100" ht="21.600000381469727" hidden="0" customHeight="1">
      <x:c r="A100" s="34" t="n">
        <x:v>24</x:v>
      </x:c>
      <x:c r="B100" s="34" t="str">
        <x:v>H3</x:v>
      </x:c>
      <x:c r="C100" s="34" t="str">
        <x:v>reference</x:v>
      </x:c>
      <x:c r="D100" s="74" t="n">
        <x:v>0.9992895887393385</x:v>
      </x:c>
      <x:c r="E100" s="74" t="n">
        <x:v>-0.02520030509586337</x:v>
      </x:c>
      <x:c r="F100" s="74" t="n">
        <x:v>1.0166211850840905</x:v>
      </x:c>
      <x:c r="G100" s="74" t="n">
        <x:v>1.167490506432134</x:v>
      </x:c>
      <x:c r="H100" s="74" t="n">
        <x:v>0.8123156191883937</x:v>
      </x:c>
      <x:c r="I100" s="74" t="n">
        <x:v>0.8161343400318302</x:v>
      </x:c>
      <x:c r="J100" s="74" t="n">
        <x:v>0.9372352910065056</x:v>
      </x:c>
      <x:c r="K100" s="74" t="n">
        <x:v>0.9114764138426596</x:v>
      </x:c>
      <x:c r="L100" s="74" t="n">
        <x:v>0.8781110983630334</x:v>
      </x:c>
      <x:c r="M100" s="74" t="n">
        <x:v>0.9678202150408073</x:v>
      </x:c>
      <x:c r="N100" s="74" t="n">
        <x:v>0.9737571634474697</x:v>
      </x:c>
      <x:c r="O100" s="65" t="n">
        <x:v>480708.056805141</x:v>
      </x:c>
      <x:c r="P100" s="65" t="n">
        <x:v>388166.00941519986</x:v>
      </x:c>
      <x:c r="Q100" s="65" t="n">
        <x:v>92542.04738994117</x:v>
      </x:c>
      <x:c r="R100" s="65" t="n">
        <x:v>77566.30376644613</x:v>
      </x:c>
      <x:c r="S100" s="65" t="n">
        <x:v>14975.743623495024</x:v>
      </x:c>
      <x:c r="T100" s="65" t="n">
        <x:v>91346.17718635811</x:v>
      </x:c>
      <x:c r="U100" s="43" t="n">
        <x:v>0.9975122734336284</x:v>
      </x:c>
      <x:c r="V100" s="43" t="n">
        <x:v>0.9984330915909785</x:v>
      </x:c>
      <x:c r="W100" s="43" t="n">
        <x:v>0.9751227343362836</x:v>
      </x:c>
      <x:c r="X100" s="65" t="n">
        <x:v>10312245.024999486</x:v>
      </x:c>
      <x:c r="Y100" s="65" t="n">
        <x:v>21.45219926941986</x:v>
      </x:c>
      <x:c r="Z100" s="65" t="n">
        <x:v>605119.1674961299</x:v>
      </x:c>
      <x:c r="AA100" s="65" t="n">
        <x:v>66598.10041124058</x:v>
      </x:c>
      <x:c r="AB100" s="65" t="n">
        <x:v>1911.711830068044</x:v>
      </x:c>
      <x:c r="AC100" s="65" t="n">
        <x:v>0</x:v>
      </x:c>
      <x:c r="AD100" s="65" t="n">
        <x:v>1195.8702035830484</x:v>
      </x:c>
      <x:c r="AE100" s="65" t="n">
        <x:v>54655.56670646324</x:v>
      </x:c>
      <x:c r="AF100" s="65" t="n">
        <x:v>91346.17718635808</x:v>
      </x:c>
      <x:c r="AG100" s="65" t="n">
        <x:v>2.9103830456733704e-11</x:v>
      </x:c>
      <x:c r="AH100" s="34" t="n">
        <x:v>1</x:v>
      </x:c>
    </x:row>
    <x:row r="101" ht="15" hidden="0" customHeight="1">
      <x:c r="A101" s="36" t="n">
        <x:v>25</x:v>
      </x:c>
      <x:c r="B101" s="36" t="str">
        <x:v>M0</x:v>
      </x:c>
      <x:c r="C101" s="36" t="str">
        <x:v>reference</x:v>
      </x:c>
      <x:c r="D101" s="75" t="n">
        <x:v>1.0587764059863924</x:v>
      </x:c>
      <x:c r="E101" s="75" t="n">
        <x:v>0.022654833581413146</x:v>
      </x:c>
      <x:c r="F101" s="75" t="n">
        <x:v>0.8358607791595617</x:v>
      </x:c>
      <x:c r="G101" s="75" t="n">
        <x:v>1.069420044793355</x:v>
      </x:c>
      <x:c r="H101" s="75" t="n">
        <x:v>0.7764565775228272</x:v>
      </x:c>
      <x:c r="I101" s="75" t="n">
        <x:v>0.787474474476135</x:v>
      </x:c>
      <x:c r="J101" s="75" t="n">
        <x:v>0.8175337131781913</x:v>
      </x:c>
      <x:c r="K101" s="75" t="n">
        <x:v>0.9819471063099885</x:v>
      </x:c>
      <x:c r="L101" s="75" t="n">
        <x:v>0.9977945110317782</x:v>
      </x:c>
      <x:c r="M101" s="75" t="n">
        <x:v>0.9013221659860269</x:v>
      </x:c>
      <x:c r="N101" s="75" t="n">
        <x:v>0.9630283141416183</x:v>
      </x:c>
      <x:c r="O101" s="66" t="n">
        <x:v>509324.17834447284</x:v>
      </x:c>
      <x:c r="P101" s="66" t="n">
        <x:v>62722.53263366081</x:v>
      </x:c>
      <x:c r="Q101" s="66" t="n">
        <x:v>446601.64571081207</x:v>
      </x:c>
      <x:c r="R101" s="66" t="n">
        <x:v>106557.53577997885</x:v>
      </x:c>
      <x:c r="S101" s="66" t="n">
        <x:v>340044.10993083316</x:v>
      </x:c>
      <x:c r="T101" s="66" t="n">
        <x:v>240384.74478360696</x:v>
      </x:c>
      <x:c r="U101" s="45" t="n">
        <x:v>0.595116608055992</x:v>
      </x:c>
      <x:c r="V101" s="45" t="n">
        <x:v>0.6213049889201895</x:v>
      </x:c>
      <x:c r="W101" s="45" t="n">
        <x:v>0.11903132846568136</x:v>
      </x:c>
      <x:c r="X101" s="66" t="n">
        <x:v>60288983.48759392</x:v>
      </x:c>
      <x:c r="Y101" s="66" t="n">
        <x:v>118.37055072382304</x:v>
      </x:c>
      <x:c r="Z101" s="66" t="n">
        <x:v>5047542.99275304</x:v>
      </x:c>
      <x:c r="AA101" s="66" t="n">
        <x:v>328028.36639440805</x:v>
      </x:c>
      <x:c r="AB101" s="66" t="n">
        <x:v>44668.409412002075</x:v>
      </x:c>
      <x:c r="AC101" s="66" t="n">
        <x:v>0</x:v>
      </x:c>
      <x:c r="AD101" s="66" t="n">
        <x:v>2175.2006402513157</x:v>
      </x:c>
      <x:c r="AE101" s="66" t="n">
        <x:v>184914.31388904972</x:v>
      </x:c>
      <x:c r="AF101" s="66" t="n">
        <x:v>240384.7447836074</x:v>
      </x:c>
      <x:c r="AG101" s="66" t="n">
        <x:v>0</x:v>
      </x:c>
      <x:c r="AH101" s="36" t="n">
        <x:v>0</x:v>
      </x:c>
    </x:row>
    <x:row r="102" ht="15" hidden="0" customHeight="1">
      <x:c r="A102" s="34" t="n">
        <x:v>25</x:v>
      </x:c>
      <x:c r="B102" s="34" t="str">
        <x:v>B1</x:v>
      </x:c>
      <x:c r="C102" s="34" t="str">
        <x:v>reference</x:v>
      </x:c>
      <x:c r="D102" s="74" t="n">
        <x:v>1.0587764059863924</x:v>
      </x:c>
      <x:c r="E102" s="74" t="n">
        <x:v>0.022654833581413146</x:v>
      </x:c>
      <x:c r="F102" s="74" t="n">
        <x:v>0.8358607791595617</x:v>
      </x:c>
      <x:c r="G102" s="74" t="n">
        <x:v>1.069420044793355</x:v>
      </x:c>
      <x:c r="H102" s="74" t="n">
        <x:v>0.7764565775228272</x:v>
      </x:c>
      <x:c r="I102" s="74" t="n">
        <x:v>0.787474474476135</x:v>
      </x:c>
      <x:c r="J102" s="74" t="n">
        <x:v>0.8175337131781913</x:v>
      </x:c>
      <x:c r="K102" s="74" t="n">
        <x:v>0.9819471063099885</x:v>
      </x:c>
      <x:c r="L102" s="74" t="n">
        <x:v>0.9977945110317782</x:v>
      </x:c>
      <x:c r="M102" s="74" t="n">
        <x:v>0.9013221659860269</x:v>
      </x:c>
      <x:c r="N102" s="74" t="n">
        <x:v>0.9630283141416183</x:v>
      </x:c>
      <x:c r="O102" s="65" t="n">
        <x:v>509324.17834447284</x:v>
      </x:c>
      <x:c r="P102" s="65" t="n">
        <x:v>212169.73924180737</x:v>
      </x:c>
      <x:c r="Q102" s="65" t="n">
        <x:v>297154.4391026655</x:v>
      </x:c>
      <x:c r="R102" s="65" t="n">
        <x:v>106557.53577997885</x:v>
      </x:c>
      <x:c r="S102" s="65" t="n">
        <x:v>190596.90332268667</x:v>
      </x:c>
      <x:c r="T102" s="65" t="n">
        <x:v>175742.48115455423</x:v>
      </x:c>
      <x:c r="U102" s="43" t="n">
        <x:v>0.7616214522884944</x:v>
      </x:c>
      <x:c r="V102" s="43" t="n">
        <x:v>0.7923824419106332</x:v>
      </x:c>
      <x:c r="W102" s="43" t="n">
        <x:v>0.43432442297546425</x:v>
      </x:c>
      <x:c r="X102" s="65" t="n">
        <x:v>40687939.82580359</x:v>
      </x:c>
      <x:c r="Y102" s="65" t="n">
        <x:v>79.88613452056657</x:v>
      </x:c>
      <x:c r="Z102" s="65" t="n">
        <x:v>1938822.0650357786</x:v>
      </x:c>
      <x:c r="AA102" s="65" t="n">
        <x:v>220207.6898998814</x:v>
      </x:c>
      <x:c r="AB102" s="65" t="n">
        <x:v>10149.00083911817</x:v>
      </x:c>
      <x:c r="AC102" s="65" t="n">
        <x:v>52.79232348948962</x:v>
      </x:c>
      <x:c r="AD102" s="65" t="n">
        <x:v>1799.475685483892</x:v>
      </x:c>
      <x:c r="AE102" s="65" t="n">
        <x:v>124425.62062850944</x:v>
      </x:c>
      <x:c r="AF102" s="65" t="n">
        <x:v>175742.4811545542</x:v>
      </x:c>
      <x:c r="AG102" s="65" t="n">
        <x:v>2.9103830456733704e-11</x:v>
      </x:c>
      <x:c r="AH102" s="34" t="n">
        <x:v>0</x:v>
      </x:c>
    </x:row>
    <x:row r="103" ht="15" hidden="0" customHeight="1">
      <x:c r="A103" s="36" t="n">
        <x:v>25</x:v>
      </x:c>
      <x:c r="B103" s="36" t="str">
        <x:v>P2</x:v>
      </x:c>
      <x:c r="C103" s="36" t="str">
        <x:v>reference</x:v>
      </x:c>
      <x:c r="D103" s="75" t="n">
        <x:v>1.0587764059863924</x:v>
      </x:c>
      <x:c r="E103" s="75" t="n">
        <x:v>0.022654833581413146</x:v>
      </x:c>
      <x:c r="F103" s="75" t="n">
        <x:v>0.8358607791595617</x:v>
      </x:c>
      <x:c r="G103" s="75" t="n">
        <x:v>1.069420044793355</x:v>
      </x:c>
      <x:c r="H103" s="75" t="n">
        <x:v>0.7764565775228272</x:v>
      </x:c>
      <x:c r="I103" s="75" t="n">
        <x:v>0.787474474476135</x:v>
      </x:c>
      <x:c r="J103" s="75" t="n">
        <x:v>0.8175337131781913</x:v>
      </x:c>
      <x:c r="K103" s="75" t="n">
        <x:v>0.9819471063099885</x:v>
      </x:c>
      <x:c r="L103" s="75" t="n">
        <x:v>0.9977945110317782</x:v>
      </x:c>
      <x:c r="M103" s="75" t="n">
        <x:v>0.9013221659860269</x:v>
      </x:c>
      <x:c r="N103" s="75" t="n">
        <x:v>0.9630283141416183</x:v>
      </x:c>
      <x:c r="O103" s="66" t="n">
        <x:v>509324.17834447284</x:v>
      </x:c>
      <x:c r="P103" s="66" t="n">
        <x:v>307368.66556792764</x:v>
      </x:c>
      <x:c r="Q103" s="66" t="n">
        <x:v>201955.51277654528</x:v>
      </x:c>
      <x:c r="R103" s="66" t="n">
        <x:v>106557.53577997885</x:v>
      </x:c>
      <x:c r="S103" s="66" t="n">
        <x:v>95397.9769965664</x:v>
      </x:c>
      <x:c r="T103" s="66" t="n">
        <x:v>120186.98082222542</x:v>
      </x:c>
      <x:c r="U103" s="45" t="n">
        <x:v>0.8394568028949589</x:v>
      </x:c>
      <x:c r="V103" s="45" t="n">
        <x:v>0.8641359971324257</x:v>
      </x:c>
      <x:c r="W103" s="45" t="n">
        <x:v>0.5549870328394342</x:v>
      </x:c>
      <x:c r="X103" s="66" t="n">
        <x:v>26721556.59593744</x:v>
      </x:c>
      <x:c r="Y103" s="66" t="n">
        <x:v>52.46473215309398</x:v>
      </x:c>
      <x:c r="Z103" s="66" t="n">
        <x:v>753698.0650220371</x:v>
      </x:c>
      <x:c r="AA103" s="66" t="n">
        <x:v>152779.42064007602</x:v>
      </x:c>
      <x:c r="AB103" s="66" t="n">
        <x:v>271.30484891015453</x:v>
      </x:c>
      <x:c r="AC103" s="66" t="n">
        <x:v>0</x:v>
      </x:c>
      <x:c r="AD103" s="66" t="n">
        <x:v>1572.4509042265038</x:v>
      </x:c>
      <x:c r="AE103" s="66" t="n">
        <x:v>65241.727958491734</x:v>
      </x:c>
      <x:c r="AF103" s="66" t="n">
        <x:v>120186.98082222536</x:v>
      </x:c>
      <x:c r="AG103" s="66" t="n">
        <x:v>5.820766091346741e-11</x:v>
      </x:c>
      <x:c r="AH103" s="36" t="n">
        <x:v>0</x:v>
      </x:c>
    </x:row>
    <x:row r="104" ht="15" hidden="0" customHeight="1">
      <x:c r="A104" s="34" t="n">
        <x:v>25</x:v>
      </x:c>
      <x:c r="B104" s="34" t="str">
        <x:v>H3</x:v>
      </x:c>
      <x:c r="C104" s="34" t="str">
        <x:v>reference</x:v>
      </x:c>
      <x:c r="D104" s="74" t="n">
        <x:v>1.0587764059863924</x:v>
      </x:c>
      <x:c r="E104" s="74" t="n">
        <x:v>0.022654833581413146</x:v>
      </x:c>
      <x:c r="F104" s="74" t="n">
        <x:v>0.8358607791595617</x:v>
      </x:c>
      <x:c r="G104" s="74" t="n">
        <x:v>1.069420044793355</x:v>
      </x:c>
      <x:c r="H104" s="74" t="n">
        <x:v>0.7764565775228272</x:v>
      </x:c>
      <x:c r="I104" s="74" t="n">
        <x:v>0.787474474476135</x:v>
      </x:c>
      <x:c r="J104" s="74" t="n">
        <x:v>0.8175337131781913</x:v>
      </x:c>
      <x:c r="K104" s="74" t="n">
        <x:v>0.9819471063099885</x:v>
      </x:c>
      <x:c r="L104" s="74" t="n">
        <x:v>0.9977945110317782</x:v>
      </x:c>
      <x:c r="M104" s="74" t="n">
        <x:v>0.9013221659860269</x:v>
      </x:c>
      <x:c r="N104" s="74" t="n">
        <x:v>0.9630283141416183</x:v>
      </x:c>
      <x:c r="O104" s="65" t="n">
        <x:v>509324.17834447284</x:v>
      </x:c>
      <x:c r="P104" s="65" t="n">
        <x:v>318851.02134843875</x:v>
      </x:c>
      <x:c r="Q104" s="65" t="n">
        <x:v>190473.1569960341</x:v>
      </x:c>
      <x:c r="R104" s="65" t="n">
        <x:v>106557.53577997885</x:v>
      </x:c>
      <x:c r="S104" s="65" t="n">
        <x:v>83915.62121605522</x:v>
      </x:c>
      <x:c r="T104" s="65" t="n">
        <x:v>179190.36075687225</x:v>
      </x:c>
      <x:c r="U104" s="43" t="n">
        <x:v>0.9778475149641711</x:v>
      </x:c>
      <x:c r="V104" s="43" t="n">
        <x:v>0.9844697536734561</x:v>
      </x:c>
      <x:c r="W104" s="43" t="n">
        <x:v>0.8051381858738048</x:v>
      </x:c>
      <x:c r="X104" s="65" t="n">
        <x:v>19931725.42031225</x:v>
      </x:c>
      <x:c r="Y104" s="65" t="n">
        <x:v>39.133672163569976</x:v>
      </x:c>
      <x:c r="Z104" s="65" t="n">
        <x:v>1435950.6353609315</x:v>
      </x:c>
      <x:c r="AA104" s="65" t="n">
        <x:v>123552.1433434407</x:v>
      </x:c>
      <x:c r="AB104" s="65" t="n">
        <x:v>5265.344296034626</x:v>
      </x:c>
      <x:c r="AC104" s="65" t="n">
        <x:v>466.91928825359116</x:v>
      </x:c>
      <x:c r="AD104" s="65" t="n">
        <x:v>1546.9658672811227</x:v>
      </x:c>
      <x:c r="AE104" s="65" t="n">
        <x:v>70639.22691709688</x:v>
      </x:c>
      <x:c r="AF104" s="65" t="n">
        <x:v>179190.3607568724</x:v>
      </x:c>
      <x:c r="AG104" s="65" t="n">
        <x:v>0</x:v>
      </x:c>
      <x:c r="AH104" s="34" t="n">
        <x:v>1</x:v>
      </x:c>
    </x:row>
    <x:row r="105" ht="15" hidden="0" customHeight="1">
      <x:c r="A105" s="36" t="n">
        <x:v>26</x:v>
      </x:c>
      <x:c r="B105" s="36" t="str">
        <x:v>M0</x:v>
      </x:c>
      <x:c r="C105" s="36" t="str">
        <x:v>reference</x:v>
      </x:c>
      <x:c r="D105" s="75" t="n">
        <x:v>1.195271007775613</x:v>
      </x:c>
      <x:c r="E105" s="75" t="n">
        <x:v>0.04848801858828201</x:v>
      </x:c>
      <x:c r="F105" s="75" t="n">
        <x:v>1.049714890054374</x:v>
      </x:c>
      <x:c r="G105" s="75" t="n">
        <x:v>1.1330042344296056</x:v>
      </x:c>
      <x:c r="H105" s="75" t="n">
        <x:v>0.8585242381110423</x:v>
      </x:c>
      <x:c r="I105" s="75" t="n">
        <x:v>0.8584046252873154</x:v>
      </x:c>
      <x:c r="J105" s="75" t="n">
        <x:v>0.9196834972917386</x:v>
      </x:c>
      <x:c r="K105" s="75" t="n">
        <x:v>0.8041072664819846</x:v>
      </x:c>
      <x:c r="L105" s="75" t="n">
        <x:v>0.7800392537388429</x:v>
      </x:c>
      <x:c r="M105" s="75" t="n">
        <x:v>0.8222099719124975</x:v>
      </x:c>
      <x:c r="N105" s="75" t="n">
        <x:v>1.0391341104927148</x:v>
      </x:c>
      <x:c r="O105" s="66" t="n">
        <x:v>574984.879236257</x:v>
      </x:c>
      <x:c r="P105" s="66" t="n">
        <x:v>86019.31958967839</x:v>
      </x:c>
      <x:c r="Q105" s="66" t="n">
        <x:v>488965.5596465787</x:v>
      </x:c>
      <x:c r="R105" s="66" t="n">
        <x:v>135148.33697542245</x:v>
      </x:c>
      <x:c r="S105" s="66" t="n">
        <x:v>353817.2226711562</x:v>
      </x:c>
      <x:c r="T105" s="66" t="n">
        <x:v>243665.5592966817</x:v>
      </x:c>
      <x:c r="U105" s="45" t="n">
        <x:v>0.573380084923755</x:v>
      </x:c>
      <x:c r="V105" s="45" t="n">
        <x:v>0.5985379636515091</x:v>
      </x:c>
      <x:c r="W105" s="45" t="n">
        <x:v>0.14244277162877947</x:v>
      </x:c>
      <x:c r="X105" s="66" t="n">
        <x:v>68348395.0334952</x:v>
      </x:c>
      <x:c r="Y105" s="66" t="n">
        <x:v>118.86989989072626</x:v>
      </x:c>
      <x:c r="Z105" s="66" t="n">
        <x:v>4682715.732573065</x:v>
      </x:c>
      <x:c r="AA105" s="66" t="n">
        <x:v>371606.1637310175</x:v>
      </x:c>
      <x:c r="AB105" s="66" t="n">
        <x:v>41007.58176083815</x:v>
      </x:c>
      <x:c r="AC105" s="66" t="n">
        <x:v>0</x:v>
      </x:c>
      <x:c r="AD105" s="66" t="n">
        <x:v>2421.9173546211196</x:v>
      </x:c>
      <x:c r="AE105" s="66" t="n">
        <x:v>213738.49691449152</x:v>
      </x:c>
      <x:c r="AF105" s="66" t="n">
        <x:v>243665.55929668157</x:v>
      </x:c>
      <x:c r="AG105" s="66" t="n">
        <x:v>1.1641532182693481e-10</x:v>
      </x:c>
      <x:c r="AH105" s="36" t="n">
        <x:v>0</x:v>
      </x:c>
    </x:row>
    <x:row r="106" ht="15" hidden="0" customHeight="1">
      <x:c r="A106" s="34" t="n">
        <x:v>26</x:v>
      </x:c>
      <x:c r="B106" s="34" t="str">
        <x:v>B1</x:v>
      </x:c>
      <x:c r="C106" s="34" t="str">
        <x:v>reference</x:v>
      </x:c>
      <x:c r="D106" s="74" t="n">
        <x:v>1.195271007775613</x:v>
      </x:c>
      <x:c r="E106" s="74" t="n">
        <x:v>0.04848801858828201</x:v>
      </x:c>
      <x:c r="F106" s="74" t="n">
        <x:v>1.049714890054374</x:v>
      </x:c>
      <x:c r="G106" s="74" t="n">
        <x:v>1.1330042344296056</x:v>
      </x:c>
      <x:c r="H106" s="74" t="n">
        <x:v>0.8585242381110423</x:v>
      </x:c>
      <x:c r="I106" s="74" t="n">
        <x:v>0.8584046252873154</x:v>
      </x:c>
      <x:c r="J106" s="74" t="n">
        <x:v>0.9196834972917386</x:v>
      </x:c>
      <x:c r="K106" s="74" t="n">
        <x:v>0.8041072664819846</x:v>
      </x:c>
      <x:c r="L106" s="74" t="n">
        <x:v>0.7800392537388429</x:v>
      </x:c>
      <x:c r="M106" s="74" t="n">
        <x:v>0.8222099719124975</x:v>
      </x:c>
      <x:c r="N106" s="74" t="n">
        <x:v>1.0391341104927148</x:v>
      </x:c>
      <x:c r="O106" s="65" t="n">
        <x:v>574984.879236257</x:v>
      </x:c>
      <x:c r="P106" s="65" t="n">
        <x:v>290976.1999299789</x:v>
      </x:c>
      <x:c r="Q106" s="65" t="n">
        <x:v>284008.6793062782</x:v>
      </x:c>
      <x:c r="R106" s="65" t="n">
        <x:v>135148.33697542245</x:v>
      </x:c>
      <x:c r="S106" s="65" t="n">
        <x:v>148860.34233085567</x:v>
      </x:c>
      <x:c r="T106" s="65" t="n">
        <x:v>187084.1325524114</x:v>
      </x:c>
      <x:c r="U106" s="43" t="n">
        <x:v>0.831431138010777</x:v>
      </x:c>
      <x:c r="V106" s="43" t="n">
        <x:v>0.856444539883051</x:v>
      </x:c>
      <x:c r="W106" s="43" t="n">
        <x:v>0.5283138335419506</x:v>
      </x:c>
      <x:c r="X106" s="65" t="n">
        <x:v>39027168.88885127</x:v>
      </x:c>
      <x:c r="Y106" s="65" t="n">
        <x:v>67.87512210875948</x:v>
      </x:c>
      <x:c r="Z106" s="65" t="n">
        <x:v>1617598.4288517383</x:v>
      </x:c>
      <x:c r="AA106" s="65" t="n">
        <x:v>204354.47699181177</x:v>
      </x:c>
      <x:c r="AB106" s="65" t="n">
        <x:v>5569.593225189023</x:v>
      </x:c>
      <x:c r="AC106" s="65" t="n">
        <x:v>0</x:v>
      </x:c>
      <x:c r="AD106" s="65" t="n">
        <x:v>1921.4343952538488</x:v>
      </x:c>
      <x:c r="AE106" s="65" t="n">
        <x:v>127669.52980934613</x:v>
      </x:c>
      <x:c r="AF106" s="65" t="n">
        <x:v>187084.13255241164</x:v>
      </x:c>
      <x:c r="AG106" s="65" t="n">
        <x:v>0</x:v>
      </x:c>
      <x:c r="AH106" s="34" t="n">
        <x:v>0</x:v>
      </x:c>
    </x:row>
    <x:row r="107" ht="15" hidden="0" customHeight="1">
      <x:c r="A107" s="36" t="n">
        <x:v>26</x:v>
      </x:c>
      <x:c r="B107" s="36" t="str">
        <x:v>P2</x:v>
      </x:c>
      <x:c r="C107" s="36" t="str">
        <x:v>reference</x:v>
      </x:c>
      <x:c r="D107" s="75" t="n">
        <x:v>1.195271007775613</x:v>
      </x:c>
      <x:c r="E107" s="75" t="n">
        <x:v>0.04848801858828201</x:v>
      </x:c>
      <x:c r="F107" s="75" t="n">
        <x:v>1.049714890054374</x:v>
      </x:c>
      <x:c r="G107" s="75" t="n">
        <x:v>1.1330042344296056</x:v>
      </x:c>
      <x:c r="H107" s="75" t="n">
        <x:v>0.8585242381110423</x:v>
      </x:c>
      <x:c r="I107" s="75" t="n">
        <x:v>0.8584046252873154</x:v>
      </x:c>
      <x:c r="J107" s="75" t="n">
        <x:v>0.9196834972917386</x:v>
      </x:c>
      <x:c r="K107" s="75" t="n">
        <x:v>0.8041072664819846</x:v>
      </x:c>
      <x:c r="L107" s="75" t="n">
        <x:v>0.7800392537388429</x:v>
      </x:c>
      <x:c r="M107" s="75" t="n">
        <x:v>0.8222099719124975</x:v>
      </x:c>
      <x:c r="N107" s="75" t="n">
        <x:v>1.0391341104927148</x:v>
      </x:c>
      <x:c r="O107" s="66" t="n">
        <x:v>574984.879236257</x:v>
      </x:c>
      <x:c r="P107" s="66" t="n">
        <x:v>421535.8568508399</x:v>
      </x:c>
      <x:c r="Q107" s="66" t="n">
        <x:v>153449.02238541716</x:v>
      </x:c>
      <x:c r="R107" s="66" t="n">
        <x:v>135148.33697542245</x:v>
      </x:c>
      <x:c r="S107" s="66" t="n">
        <x:v>18300.685409994698</x:v>
      </x:c>
      <x:c r="T107" s="66" t="n">
        <x:v>120603.6264047421</x:v>
      </x:c>
      <x:c r="U107" s="45" t="n">
        <x:v>0.9428760700206532</x:v>
      </x:c>
      <x:c r="V107" s="45" t="n">
        <x:v>0.9537161396180238</x:v>
      </x:c>
      <x:c r="W107" s="45" t="n">
        <x:v>0.6233371251227988</x:v>
      </x:c>
      <x:c r="X107" s="66" t="n">
        <x:v>19105293.69592953</x:v>
      </x:c>
      <x:c r="Y107" s="66" t="n">
        <x:v>33.22747151421926</x:v>
      </x:c>
      <x:c r="Z107" s="66" t="n">
        <x:v>828802.9614739238</x:v>
      </x:c>
      <x:c r="AA107" s="66" t="n">
        <x:v>106356.23966856084</x:v>
      </x:c>
      <x:c r="AB107" s="66" t="n">
        <x:v>195.48249240087006</x:v>
      </x:c>
      <x:c r="AC107" s="66" t="n">
        <x:v>11331.4871034855</x:v>
      </x:c>
      <x:c r="AD107" s="66" t="n">
        <x:v>1619.0269215641176</x:v>
      </x:c>
      <x:c r="AE107" s="66" t="n">
        <x:v>65316.54599104931</x:v>
      </x:c>
      <x:c r="AF107" s="66" t="n">
        <x:v>120603.62640474207</x:v>
      </x:c>
      <x:c r="AG107" s="66" t="n">
        <x:v>2.9103830456733704e-11</x:v>
      </x:c>
      <x:c r="AH107" s="36" t="n">
        <x:v>0</x:v>
      </x:c>
    </x:row>
    <x:row r="108" ht="15" hidden="0" customHeight="1">
      <x:c r="A108" s="34" t="n">
        <x:v>26</x:v>
      </x:c>
      <x:c r="B108" s="34" t="str">
        <x:v>H3</x:v>
      </x:c>
      <x:c r="C108" s="34" t="str">
        <x:v>reference</x:v>
      </x:c>
      <x:c r="D108" s="74" t="n">
        <x:v>1.195271007775613</x:v>
      </x:c>
      <x:c r="E108" s="74" t="n">
        <x:v>0.04848801858828201</x:v>
      </x:c>
      <x:c r="F108" s="74" t="n">
        <x:v>1.049714890054374</x:v>
      </x:c>
      <x:c r="G108" s="74" t="n">
        <x:v>1.1330042344296056</x:v>
      </x:c>
      <x:c r="H108" s="74" t="n">
        <x:v>0.8585242381110423</x:v>
      </x:c>
      <x:c r="I108" s="74" t="n">
        <x:v>0.8584046252873154</x:v>
      </x:c>
      <x:c r="J108" s="74" t="n">
        <x:v>0.9196834972917386</x:v>
      </x:c>
      <x:c r="K108" s="74" t="n">
        <x:v>0.8041072664819846</x:v>
      </x:c>
      <x:c r="L108" s="74" t="n">
        <x:v>0.7800392537388429</x:v>
      </x:c>
      <x:c r="M108" s="74" t="n">
        <x:v>0.8222099719124975</x:v>
      </x:c>
      <x:c r="N108" s="74" t="n">
        <x:v>1.0391341104927148</x:v>
      </x:c>
      <x:c r="O108" s="65" t="n">
        <x:v>574984.879236257</x:v>
      </x:c>
      <x:c r="P108" s="65" t="n">
        <x:v>431035.79598708765</x:v>
      </x:c>
      <x:c r="Q108" s="65" t="n">
        <x:v>143949.0832491694</x:v>
      </x:c>
      <x:c r="R108" s="65" t="n">
        <x:v>135148.33697542245</x:v>
      </x:c>
      <x:c r="S108" s="65" t="n">
        <x:v>8800.74627374691</x:v>
      </x:c>
      <x:c r="T108" s="65" t="n">
        <x:v>142346.0930547824</x:v>
      </x:c>
      <x:c r="U108" s="43" t="n">
        <x:v>0.9972121176533959</x:v>
      </x:c>
      <x:c r="V108" s="43" t="n">
        <x:v>0.9982441508436286</x:v>
      </x:c>
      <x:c r="W108" s="43" t="n">
        <x:v>0.9721211765339598</x:v>
      </x:c>
      <x:c r="X108" s="65" t="n">
        <x:v>15448475.404786078</x:v>
      </x:c>
      <x:c r="Y108" s="65" t="n">
        <x:v>26.867620284738678</x:v>
      </x:c>
      <x:c r="Z108" s="65" t="n">
        <x:v>976425.8141689085</x:v>
      </x:c>
      <x:c r="AA108" s="65" t="n">
        <x:v>94861.82360747192</x:v>
      </x:c>
      <x:c r="AB108" s="65" t="n">
        <x:v>3062.3949161088603</x:v>
      </x:c>
      <x:c r="AC108" s="65" t="n">
        <x:v>0</x:v>
      </x:c>
      <x:c r="AD108" s="65" t="n">
        <x:v>1602.9901943869868</x:v>
      </x:c>
      <x:c r="AE108" s="65" t="n">
        <x:v>73098.00917093539</x:v>
      </x:c>
      <x:c r="AF108" s="65" t="n">
        <x:v>142346.0930547823</x:v>
      </x:c>
      <x:c r="AG108" s="65" t="n">
        <x:v>8.731149137020111e-11</x:v>
      </x:c>
      <x:c r="AH108" s="34" t="n">
        <x:v>1</x:v>
      </x:c>
    </x:row>
    <x:row r="109" ht="15" hidden="0" customHeight="1">
      <x:c r="A109" s="36" t="n">
        <x:v>27</x:v>
      </x:c>
      <x:c r="B109" s="36" t="str">
        <x:v>M0</x:v>
      </x:c>
      <x:c r="C109" s="36" t="str">
        <x:v>reference</x:v>
      </x:c>
      <x:c r="D109" s="75" t="n">
        <x:v>1.1842083101303973</x:v>
      </x:c>
      <x:c r="E109" s="75" t="n">
        <x:v>0.004367615667515146</x:v>
      </x:c>
      <x:c r="F109" s="75" t="n">
        <x:v>1.007162657014835</x:v>
      </x:c>
      <x:c r="G109" s="75" t="n">
        <x:v>1.0514694049281255</x:v>
      </x:c>
      <x:c r="H109" s="75" t="n">
        <x:v>0.7582942630150301</x:v>
      </x:c>
      <x:c r="I109" s="75" t="n">
        <x:v>0.7569312488541079</x:v>
      </x:c>
      <x:c r="J109" s="75" t="n">
        <x:v>0.9604112331683641</x:v>
      </x:c>
      <x:c r="K109" s="75" t="n">
        <x:v>0.9945318080976902</x:v>
      </x:c>
      <x:c r="L109" s="75" t="n">
        <x:v>0.9991409871397539</x:v>
      </x:c>
      <x:c r="M109" s="75" t="n">
        <x:v>0.8420507902325051</x:v>
      </x:c>
      <x:c r="N109" s="75" t="n">
        <x:v>0.9914260729086043</x:v>
      </x:c>
      <x:c r="O109" s="66" t="n">
        <x:v>569663.1707465656</x:v>
      </x:c>
      <x:c r="P109" s="66" t="n">
        <x:v>86485.6054210175</x:v>
      </x:c>
      <x:c r="Q109" s="66" t="n">
        <x:v>483177.56532554806</x:v>
      </x:c>
      <x:c r="R109" s="66" t="n">
        <x:v>108763.717977201</x:v>
      </x:c>
      <x:c r="S109" s="66" t="n">
        <x:v>374413.8473483471</x:v>
      </x:c>
      <x:c r="T109" s="66" t="n">
        <x:v>229757.961172383</x:v>
      </x:c>
      <x:c r="U109" s="45" t="n">
        <x:v>0.5551413235630999</x:v>
      </x:c>
      <x:c r="V109" s="45" t="n">
        <x:v>0.580083643510853</x:v>
      </x:c>
      <x:c r="W109" s="45" t="n">
        <x:v>0.14062665914932787</x:v>
      </x:c>
      <x:c r="X109" s="66" t="n">
        <x:v>68198450.94723523</x:v>
      </x:c>
      <x:c r="Y109" s="66" t="n">
        <x:v>119.71714944790713</x:v>
      </x:c>
      <x:c r="Z109" s="66" t="n">
        <x:v>5454689.944155388</x:v>
      </x:c>
      <x:c r="AA109" s="66" t="n">
        <x:v>365241.12683728</x:v>
      </x:c>
      <x:c r="AB109" s="66" t="n">
        <x:v>51306.76467530709</x:v>
      </x:c>
      <x:c r="AC109" s="66" t="n">
        <x:v>0</x:v>
      </x:c>
      <x:c r="AD109" s="66" t="n">
        <x:v>2385.2913395815804</x:v>
      </x:c>
      <x:c r="AE109" s="66" t="n">
        <x:v>172651.81937284736</x:v>
      </x:c>
      <x:c r="AF109" s="66" t="n">
        <x:v>229757.96117238293</x:v>
      </x:c>
      <x:c r="AG109" s="66" t="n">
        <x:v>5.820766091346741e-11</x:v>
      </x:c>
      <x:c r="AH109" s="36" t="n">
        <x:v>0</x:v>
      </x:c>
    </x:row>
    <x:row r="110" ht="15" hidden="0" customHeight="1">
      <x:c r="A110" s="34" t="n">
        <x:v>27</x:v>
      </x:c>
      <x:c r="B110" s="34" t="str">
        <x:v>B1</x:v>
      </x:c>
      <x:c r="C110" s="34" t="str">
        <x:v>reference</x:v>
      </x:c>
      <x:c r="D110" s="74" t="n">
        <x:v>1.1842083101303973</x:v>
      </x:c>
      <x:c r="E110" s="74" t="n">
        <x:v>0.004367615667515146</x:v>
      </x:c>
      <x:c r="F110" s="74" t="n">
        <x:v>1.007162657014835</x:v>
      </x:c>
      <x:c r="G110" s="74" t="n">
        <x:v>1.0514694049281255</x:v>
      </x:c>
      <x:c r="H110" s="74" t="n">
        <x:v>0.7582942630150301</x:v>
      </x:c>
      <x:c r="I110" s="74" t="n">
        <x:v>0.7569312488541079</x:v>
      </x:c>
      <x:c r="J110" s="74" t="n">
        <x:v>0.9604112331683641</x:v>
      </x:c>
      <x:c r="K110" s="74" t="n">
        <x:v>0.9945318080976902</x:v>
      </x:c>
      <x:c r="L110" s="74" t="n">
        <x:v>0.9991409871397539</x:v>
      </x:c>
      <x:c r="M110" s="74" t="n">
        <x:v>0.8420507902325051</x:v>
      </x:c>
      <x:c r="N110" s="74" t="n">
        <x:v>0.9914260729086043</x:v>
      </x:c>
      <x:c r="O110" s="65" t="n">
        <x:v>569663.1707465656</x:v>
      </x:c>
      <x:c r="P110" s="65" t="n">
        <x:v>292551.68913820304</x:v>
      </x:c>
      <x:c r="Q110" s="65" t="n">
        <x:v>277111.48160836264</x:v>
      </x:c>
      <x:c r="R110" s="65" t="n">
        <x:v>108763.717977201</x:v>
      </x:c>
      <x:c r="S110" s="65" t="n">
        <x:v>168347.76363116156</x:v>
      </x:c>
      <x:c r="T110" s="65" t="n">
        <x:v>170439.5002390534</x:v>
      </x:c>
      <x:c r="U110" s="43" t="n">
        <x:v>0.8127455190239673</x:v>
      </x:c>
      <x:c r="V110" s="43" t="n">
        <x:v>0.8352514360445443</x:v>
      </x:c>
      <x:c r="W110" s="43" t="n">
        <x:v>0.5215330142052353</x:v>
      </x:c>
      <x:c r="X110" s="65" t="n">
        <x:v>39111942.90702288</x:v>
      </x:c>
      <x:c r="Y110" s="65" t="n">
        <x:v>68.65801567576356</x:v>
      </x:c>
      <x:c r="Z110" s="65" t="n">
        <x:v>1878587.350749283</x:v>
      </x:c>
      <x:c r="AA110" s="65" t="n">
        <x:v>202390.32392814837</x:v>
      </x:c>
      <x:c r="AB110" s="65" t="n">
        <x:v>10742.131841885595</x:v>
      </x:c>
      <x:c r="AC110" s="65" t="n">
        <x:v>0</x:v>
      </x:c>
      <x:c r="AD110" s="65" t="n">
        <x:v>1857.2626675412994</x:v>
      </x:c>
      <x:c r="AE110" s="65" t="n">
        <x:v>120273.76117614363</x:v>
      </x:c>
      <x:c r="AF110" s="65" t="n">
        <x:v>170439.50023905342</x:v>
      </x:c>
      <x:c r="AG110" s="65" t="n">
        <x:v>0</x:v>
      </x:c>
      <x:c r="AH110" s="34" t="n">
        <x:v>0</x:v>
      </x:c>
    </x:row>
    <x:row r="111" ht="15" hidden="0" customHeight="1">
      <x:c r="A111" s="36" t="n">
        <x:v>27</x:v>
      </x:c>
      <x:c r="B111" s="36" t="str">
        <x:v>P2</x:v>
      </x:c>
      <x:c r="C111" s="36" t="str">
        <x:v>reference</x:v>
      </x:c>
      <x:c r="D111" s="75" t="n">
        <x:v>1.1842083101303973</x:v>
      </x:c>
      <x:c r="E111" s="75" t="n">
        <x:v>0.004367615667515146</x:v>
      </x:c>
      <x:c r="F111" s="75" t="n">
        <x:v>1.007162657014835</x:v>
      </x:c>
      <x:c r="G111" s="75" t="n">
        <x:v>1.0514694049281255</x:v>
      </x:c>
      <x:c r="H111" s="75" t="n">
        <x:v>0.7582942630150301</x:v>
      </x:c>
      <x:c r="I111" s="75" t="n">
        <x:v>0.7569312488541079</x:v>
      </x:c>
      <x:c r="J111" s="75" t="n">
        <x:v>0.9604112331683641</x:v>
      </x:c>
      <x:c r="K111" s="75" t="n">
        <x:v>0.9945318080976902</x:v>
      </x:c>
      <x:c r="L111" s="75" t="n">
        <x:v>0.9991409871397539</x:v>
      </x:c>
      <x:c r="M111" s="75" t="n">
        <x:v>0.8420507902325051</x:v>
      </x:c>
      <x:c r="N111" s="75" t="n">
        <x:v>0.9914260729086043</x:v>
      </x:c>
      <x:c r="O111" s="66" t="n">
        <x:v>569663.1707465656</x:v>
      </x:c>
      <x:c r="P111" s="66" t="n">
        <x:v>423816.7850555837</x:v>
      </x:c>
      <x:c r="Q111" s="66" t="n">
        <x:v>145846.38569098187</x:v>
      </x:c>
      <x:c r="R111" s="66" t="n">
        <x:v>108763.717977201</x:v>
      </x:c>
      <x:c r="S111" s="66" t="n">
        <x:v>37082.66771378087</x:v>
      </x:c>
      <x:c r="T111" s="66" t="n">
        <x:v>114122.80789830073</x:v>
      </x:c>
      <x:c r="U111" s="45" t="n">
        <x:v>0.9443116925549071</x:v>
      </x:c>
      <x:c r="V111" s="45" t="n">
        <x:v>0.9546232193517858</x:v>
      </x:c>
      <x:c r="W111" s="45" t="n">
        <x:v>0.6836790508347313</x:v>
      </x:c>
      <x:c r="X111" s="66" t="n">
        <x:v>18649624.861660123</x:v>
      </x:c>
      <x:c r="Y111" s="66" t="n">
        <x:v>32.73798591757138</x:v>
      </x:c>
      <x:c r="Z111" s="66" t="n">
        <x:v>715961.5590387728</x:v>
      </x:c>
      <x:c r="AA111" s="66" t="n">
        <x:v>102956.23940591466</x:v>
      </x:c>
      <x:c r="AB111" s="66" t="n">
        <x:v>169.30161121351793</x:v>
      </x:c>
      <x:c r="AC111" s="66" t="n">
        <x:v>0</x:v>
      </x:c>
      <x:c r="AD111" s="66" t="n">
        <x:v>1538.2112118247685</x:v>
      </x:c>
      <x:c r="AE111" s="66" t="n">
        <x:v>63781.71738938831</x:v>
      </x:c>
      <x:c r="AF111" s="66" t="n">
        <x:v>114122.80789830076</x:v>
      </x:c>
      <x:c r="AG111" s="66" t="n">
        <x:v>0</x:v>
      </x:c>
      <x:c r="AH111" s="36" t="n">
        <x:v>0</x:v>
      </x:c>
    </x:row>
    <x:row r="112" ht="15" hidden="0" customHeight="1">
      <x:c r="A112" s="34" t="n">
        <x:v>27</x:v>
      </x:c>
      <x:c r="B112" s="34" t="str">
        <x:v>H3</x:v>
      </x:c>
      <x:c r="C112" s="34" t="str">
        <x:v>reference</x:v>
      </x:c>
      <x:c r="D112" s="74" t="n">
        <x:v>1.1842083101303973</x:v>
      </x:c>
      <x:c r="E112" s="74" t="n">
        <x:v>0.004367615667515146</x:v>
      </x:c>
      <x:c r="F112" s="74" t="n">
        <x:v>1.007162657014835</x:v>
      </x:c>
      <x:c r="G112" s="74" t="n">
        <x:v>1.0514694049281255</x:v>
      </x:c>
      <x:c r="H112" s="74" t="n">
        <x:v>0.7582942630150301</x:v>
      </x:c>
      <x:c r="I112" s="74" t="n">
        <x:v>0.7569312488541079</x:v>
      </x:c>
      <x:c r="J112" s="74" t="n">
        <x:v>0.9604112331683641</x:v>
      </x:c>
      <x:c r="K112" s="74" t="n">
        <x:v>0.9945318080976902</x:v>
      </x:c>
      <x:c r="L112" s="74" t="n">
        <x:v>0.9991409871397539</x:v>
      </x:c>
      <x:c r="M112" s="74" t="n">
        <x:v>0.8420507902325051</x:v>
      </x:c>
      <x:c r="N112" s="74" t="n">
        <x:v>0.9914260729086043</x:v>
      </x:c>
      <x:c r="O112" s="65" t="n">
        <x:v>569663.1707465656</x:v>
      </x:c>
      <x:c r="P112" s="65" t="n">
        <x:v>439649.1680013873</x:v>
      </x:c>
      <x:c r="Q112" s="65" t="n">
        <x:v>130014.00274517824</x:v>
      </x:c>
      <x:c r="R112" s="65" t="n">
        <x:v>108763.717977201</x:v>
      </x:c>
      <x:c r="S112" s="65" t="n">
        <x:v>21250.284767977235</x:v>
      </x:c>
      <x:c r="T112" s="65" t="n">
        <x:v>128511.6071746741</x:v>
      </x:c>
      <x:c r="U112" s="43" t="n">
        <x:v>0.9973626598178443</x:v>
      </x:c>
      <x:c r="V112" s="43" t="n">
        <x:v>0.9983388699629548</x:v>
      </x:c>
      <x:c r="W112" s="43" t="n">
        <x:v>0.9736265981784435</x:v>
      </x:c>
      <x:c r="X112" s="65" t="n">
        <x:v>14307455.238584021</x:v>
      </x:c>
      <x:c r="Y112" s="65" t="n">
        <x:v>25.11564021215124</x:v>
      </x:c>
      <x:c r="Z112" s="65" t="n">
        <x:v>898692.4616164718</x:v>
      </x:c>
      <x:c r="AA112" s="65" t="n">
        <x:v>87643.99012411003</x:v>
      </x:c>
      <x:c r="AB112" s="65" t="n">
        <x:v>2727.6711675321876</x:v>
      </x:c>
      <x:c r="AC112" s="65" t="n">
        <x:v>0</x:v>
      </x:c>
      <x:c r="AD112" s="65" t="n">
        <x:v>1502.3955705041194</x:v>
      </x:c>
      <x:c r="AE112" s="65" t="n">
        <x:v>68645.79412273719</x:v>
      </x:c>
      <x:c r="AF112" s="65" t="n">
        <x:v>128511.60717467415</x:v>
      </x:c>
      <x:c r="AG112" s="65" t="n">
        <x:v>0</x:v>
      </x:c>
      <x:c r="AH112" s="34" t="n">
        <x:v>1</x:v>
      </x:c>
    </x:row>
    <x:row r="113" ht="21.600000381469727" hidden="0" customHeight="1">
      <x:c r="A113" s="36" t="n">
        <x:v>28</x:v>
      </x:c>
      <x:c r="B113" s="36" t="str">
        <x:v>M0</x:v>
      </x:c>
      <x:c r="C113" s="36" t="str">
        <x:v>slow</x:v>
      </x:c>
      <x:c r="D113" s="75" t="n">
        <x:v>1.1684688351214538</x:v>
      </x:c>
      <x:c r="E113" s="75" t="n">
        <x:v>-0.03356715804795581</x:v>
      </x:c>
      <x:c r="F113" s="75" t="n">
        <x:v>0.756213565243772</x:v>
      </x:c>
      <x:c r="G113" s="75" t="n">
        <x:v>0.9725818561090166</x:v>
      </x:c>
      <x:c r="H113" s="75" t="n">
        <x:v>0.9578644356982129</x:v>
      </x:c>
      <x:c r="I113" s="75" t="n">
        <x:v>0.8600599728087204</x:v>
      </x:c>
      <x:c r="J113" s="75" t="n">
        <x:v>0.8994048343171764</x:v>
      </x:c>
      <x:c r="K113" s="75" t="n">
        <x:v>0.8942239381395397</x:v>
      </x:c>
      <x:c r="L113" s="75" t="n">
        <x:v>0.8727443124450758</x:v>
      </x:c>
      <x:c r="M113" s="75" t="n">
        <x:v>1.0109802221270328</x:v>
      </x:c>
      <x:c r="N113" s="75" t="n">
        <x:v>0.9144456620468977</x:v>
      </x:c>
      <x:c r="O113" s="66" t="n">
        <x:v>562091.6994414083</x:v>
      </x:c>
      <x:c r="P113" s="66" t="n">
        <x:v>67078.14111393207</x:v>
      </x:c>
      <x:c r="Q113" s="66" t="n">
        <x:v>495013.55832747626</x:v>
      </x:c>
      <x:c r="R113" s="66" t="n">
        <x:v>85995.30306403479</x:v>
      </x:c>
      <x:c r="S113" s="66" t="n">
        <x:v>409018.2552634415</x:v>
      </x:c>
      <x:c r="T113" s="66" t="n">
        <x:v>287649.488904788</x:v>
      </x:c>
      <x:c r="U113" s="45" t="n">
        <x:v>0.6310849819900185</x:v>
      </x:c>
      <x:c r="V113" s="45" t="n">
        <x:v>0.6135879091356077</x:v>
      </x:c>
      <x:c r="W113" s="45" t="n">
        <x:v>0.06516431315249725</x:v>
      </x:c>
      <x:c r="X113" s="66" t="n">
        <x:v>64824160.58999863</x:v>
      </x:c>
      <x:c r="Y113" s="66" t="n">
        <x:v>115.32666405573886</x:v>
      </x:c>
      <x:c r="Z113" s="66" t="n">
        <x:v>4332178.056976594</x:v>
      </x:c>
      <x:c r="AA113" s="66" t="n">
        <x:v>360261.0908462693</x:v>
      </x:c>
      <x:c r="AB113" s="66" t="n">
        <x:v>33692.22537587104</x:v>
      </x:c>
      <x:c r="AC113" s="66" t="n">
        <x:v>0</x:v>
      </x:c>
      <x:c r="AD113" s="66" t="n">
        <x:v>3114.184443056454</x:v>
      </x:c>
      <x:c r="AE113" s="66" t="n">
        <x:v>208641.38370393595</x:v>
      </x:c>
      <x:c r="AF113" s="66" t="n">
        <x:v>287649.4889047883</x:v>
      </x:c>
      <x:c r="AG113" s="66" t="n">
        <x:v>0</x:v>
      </x:c>
      <x:c r="AH113" s="36" t="n">
        <x:v>0</x:v>
      </x:c>
    </x:row>
    <x:row r="114" ht="21.600000381469727" hidden="0" customHeight="1">
      <x:c r="A114" s="34" t="n">
        <x:v>28</x:v>
      </x:c>
      <x:c r="B114" s="34" t="str">
        <x:v>B1</x:v>
      </x:c>
      <x:c r="C114" s="34" t="str">
        <x:v>slow</x:v>
      </x:c>
      <x:c r="D114" s="74" t="n">
        <x:v>1.1684688351214538</x:v>
      </x:c>
      <x:c r="E114" s="74" t="n">
        <x:v>-0.03356715804795581</x:v>
      </x:c>
      <x:c r="F114" s="74" t="n">
        <x:v>0.756213565243772</x:v>
      </x:c>
      <x:c r="G114" s="74" t="n">
        <x:v>0.9725818561090166</x:v>
      </x:c>
      <x:c r="H114" s="74" t="n">
        <x:v>0.9578644356982129</x:v>
      </x:c>
      <x:c r="I114" s="74" t="n">
        <x:v>0.8600599728087204</x:v>
      </x:c>
      <x:c r="J114" s="74" t="n">
        <x:v>0.8994048343171764</x:v>
      </x:c>
      <x:c r="K114" s="74" t="n">
        <x:v>0.8942239381395397</x:v>
      </x:c>
      <x:c r="L114" s="74" t="n">
        <x:v>0.8727443124450758</x:v>
      </x:c>
      <x:c r="M114" s="74" t="n">
        <x:v>1.0109802221270328</x:v>
      </x:c>
      <x:c r="N114" s="74" t="n">
        <x:v>0.9144456620468977</x:v>
      </x:c>
      <x:c r="O114" s="65" t="n">
        <x:v>562091.6994414083</x:v>
      </x:c>
      <x:c r="P114" s="65" t="n">
        <x:v>226901.68141332394</x:v>
      </x:c>
      <x:c r="Q114" s="65" t="n">
        <x:v>335190.0180280844</x:v>
      </x:c>
      <x:c r="R114" s="65" t="n">
        <x:v>85995.30306403479</x:v>
      </x:c>
      <x:c r="S114" s="65" t="n">
        <x:v>249194.71496404958</x:v>
      </x:c>
      <x:c r="T114" s="65" t="n">
        <x:v>202806.78163816777</x:v>
      </x:c>
      <x:c r="U114" s="43" t="n">
        <x:v>0.7644810686201637</x:v>
      </x:c>
      <x:c r="V114" s="43" t="n">
        <x:v>0.7541552501510265</x:v>
      </x:c>
      <x:c r="W114" s="43" t="n">
        <x:v>0.22617735733386168</x:v>
      </x:c>
      <x:c r="X114" s="65" t="n">
        <x:v>44862804.17359575</x:v>
      </x:c>
      <x:c r="Y114" s="65" t="n">
        <x:v>79.81403073231505</x:v>
      </x:c>
      <x:c r="Z114" s="65" t="n">
        <x:v>1891800.961460977</x:v>
      </x:c>
      <x:c r="AA114" s="65" t="n">
        <x:v>244180.35200391238</x:v>
      </x:c>
      <x:c r="AB114" s="65" t="n">
        <x:v>8594.128418904907</x:v>
      </x:c>
      <x:c r="AC114" s="65" t="n">
        <x:v>2783.322194310147</x:v>
      </x:c>
      <x:c r="AD114" s="65" t="n">
        <x:v>2563.201067714163</x:v>
      </x:c>
      <x:c r="AE114" s="65" t="n">
        <x:v>104046.65013710284</x:v>
      </x:c>
      <x:c r="AF114" s="65" t="n">
        <x:v>202806.78163816797</x:v>
      </x:c>
      <x:c r="AG114" s="65" t="n">
        <x:v>0</x:v>
      </x:c>
      <x:c r="AH114" s="34" t="n">
        <x:v>0</x:v>
      </x:c>
    </x:row>
    <x:row r="115" ht="21.600000381469727" hidden="0" customHeight="1">
      <x:c r="A115" s="36" t="n">
        <x:v>28</x:v>
      </x:c>
      <x:c r="B115" s="36" t="str">
        <x:v>P2</x:v>
      </x:c>
      <x:c r="C115" s="36" t="str">
        <x:v>slow</x:v>
      </x:c>
      <x:c r="D115" s="75" t="n">
        <x:v>1.1684688351214538</x:v>
      </x:c>
      <x:c r="E115" s="75" t="n">
        <x:v>-0.03356715804795581</x:v>
      </x:c>
      <x:c r="F115" s="75" t="n">
        <x:v>0.756213565243772</x:v>
      </x:c>
      <x:c r="G115" s="75" t="n">
        <x:v>0.9725818561090166</x:v>
      </x:c>
      <x:c r="H115" s="75" t="n">
        <x:v>0.9578644356982129</x:v>
      </x:c>
      <x:c r="I115" s="75" t="n">
        <x:v>0.8600599728087204</x:v>
      </x:c>
      <x:c r="J115" s="75" t="n">
        <x:v>0.8994048343171764</x:v>
      </x:c>
      <x:c r="K115" s="75" t="n">
        <x:v>0.8942239381395397</x:v>
      </x:c>
      <x:c r="L115" s="75" t="n">
        <x:v>0.8727443124450758</x:v>
      </x:c>
      <x:c r="M115" s="75" t="n">
        <x:v>1.0109802221270328</x:v>
      </x:c>
      <x:c r="N115" s="75" t="n">
        <x:v>0.9144456620468977</x:v>
      </x:c>
      <x:c r="O115" s="66" t="n">
        <x:v>562091.6994414083</x:v>
      </x:c>
      <x:c r="P115" s="66" t="n">
        <x:v>328709.3690492596</x:v>
      </x:c>
      <x:c r="Q115" s="66" t="n">
        <x:v>233382.33039214875</x:v>
      </x:c>
      <x:c r="R115" s="66" t="n">
        <x:v>85995.30306403479</x:v>
      </x:c>
      <x:c r="S115" s="66" t="n">
        <x:v>147387.02732811397</x:v>
      </x:c>
      <x:c r="T115" s="66" t="n">
        <x:v>131286.29225859398</x:v>
      </x:c>
      <x:c r="U115" s="45" t="n">
        <x:v>0.8183640885730654</x:v>
      </x:c>
      <x:c r="V115" s="45" t="n">
        <x:v>0.8116065238644077</x:v>
      </x:c>
      <x:c r="W115" s="45" t="n">
        <x:v>0.3323512187690219</x:v>
      </x:c>
      <x:c r="X115" s="66" t="n">
        <x:v>30365074.67326466</x:v>
      </x:c>
      <x:c r="Y115" s="66" t="n">
        <x:v>54.02156748345628</x:v>
      </x:c>
      <x:c r="Z115" s="66" t="n">
        <x:v>820208.2193216059</x:v>
      </x:c>
      <x:c r="AA115" s="66" t="n">
        <x:v>173905.5497731246</x:v>
      </x:c>
      <x:c r="AB115" s="66" t="n">
        <x:v>515.7559383855166</x:v>
      </x:c>
      <x:c r="AC115" s="66" t="n">
        <x:v>2345.4790437444326</x:v>
      </x:c>
      <x:c r="AD115" s="66" t="n">
        <x:v>2228.9243239032203</x:v>
      </x:c>
      <x:c r="AE115" s="66" t="n">
        <x:v>45694.17829100446</x:v>
      </x:c>
      <x:c r="AF115" s="66" t="n">
        <x:v>131286.29225859386</x:v>
      </x:c>
      <x:c r="AG115" s="66" t="n">
        <x:v>1.1641532182693481e-10</x:v>
      </x:c>
      <x:c r="AH115" s="36" t="n">
        <x:v>0</x:v>
      </x:c>
    </x:row>
    <x:row r="116" ht="21.600000381469727" hidden="0" customHeight="1">
      <x:c r="A116" s="34" t="n">
        <x:v>28</x:v>
      </x:c>
      <x:c r="B116" s="34" t="str">
        <x:v>H3</x:v>
      </x:c>
      <x:c r="C116" s="34" t="str">
        <x:v>slow</x:v>
      </x:c>
      <x:c r="D116" s="74" t="n">
        <x:v>1.1684688351214538</x:v>
      </x:c>
      <x:c r="E116" s="74" t="n">
        <x:v>-0.03356715804795581</x:v>
      </x:c>
      <x:c r="F116" s="74" t="n">
        <x:v>0.756213565243772</x:v>
      </x:c>
      <x:c r="G116" s="74" t="n">
        <x:v>0.9725818561090166</x:v>
      </x:c>
      <x:c r="H116" s="74" t="n">
        <x:v>0.9578644356982129</x:v>
      </x:c>
      <x:c r="I116" s="74" t="n">
        <x:v>0.8600599728087204</x:v>
      </x:c>
      <x:c r="J116" s="74" t="n">
        <x:v>0.8994048343171764</x:v>
      </x:c>
      <x:c r="K116" s="74" t="n">
        <x:v>0.8942239381395397</x:v>
      </x:c>
      <x:c r="L116" s="74" t="n">
        <x:v>0.8727443124450758</x:v>
      </x:c>
      <x:c r="M116" s="74" t="n">
        <x:v>1.0109802221270328</x:v>
      </x:c>
      <x:c r="N116" s="74" t="n">
        <x:v>0.9144456620468977</x:v>
      </x:c>
      <x:c r="O116" s="65" t="n">
        <x:v>562091.6994414083</x:v>
      </x:c>
      <x:c r="P116" s="65" t="n">
        <x:v>340988.67651246197</x:v>
      </x:c>
      <x:c r="Q116" s="65" t="n">
        <x:v>221103.0229289463</x:v>
      </x:c>
      <x:c r="R116" s="65" t="n">
        <x:v>85995.30306403479</x:v>
      </x:c>
      <x:c r="S116" s="65" t="n">
        <x:v>135107.71986491152</x:v>
      </x:c>
      <x:c r="T116" s="65" t="n">
        <x:v>122664.79477269581</x:v>
      </x:c>
      <x:c r="U116" s="43" t="n">
        <x:v>0.8248715854475778</x:v>
      </x:c>
      <x:c r="V116" s="43" t="n">
        <x:v>0.8186761206165297</x:v>
      </x:c>
      <x:c r="W116" s="43" t="n">
        <x:v>0.34571312883927446</x:v>
      </x:c>
      <x:c r="X116" s="65" t="n">
        <x:v>26023705.524204828</x:v>
      </x:c>
      <x:c r="Y116" s="65" t="n">
        <x:v>46.2979715766422</x:v>
      </x:c>
      <x:c r="Z116" s="65" t="n">
        <x:v>858902.7336691705</x:v>
      </x:c>
      <x:c r="AA116" s="65" t="n">
        <x:v>144259.37121377612</x:v>
      </x:c>
      <x:c r="AB116" s="65" t="n">
        <x:v>2931.6527248075363</x:v>
      </x:c>
      <x:c r="AC116" s="65" t="n">
        <x:v>116.7489048052704</x:v>
      </x:c>
      <x:c r="AD116" s="65" t="n">
        <x:v>2191.179389139983</x:v>
      </x:c>
      <x:c r="AE116" s="65" t="n">
        <x:v>1.4551915228366852e-11</x:v>
      </x:c>
      <x:c r="AF116" s="65" t="n">
        <x:v>122664.7947726958</x:v>
      </x:c>
      <x:c r="AG116" s="65" t="n">
        <x:v>1.4551915228366852e-11</x:v>
      </x:c>
      <x:c r="AH116" s="34" t="n">
        <x:v>0</x:v>
      </x:c>
    </x:row>
    <x:row r="117" ht="21.600000381469727" hidden="0" customHeight="1">
      <x:c r="A117" s="36" t="n">
        <x:v>29</x:v>
      </x:c>
      <x:c r="B117" s="36" t="str">
        <x:v>M0</x:v>
      </x:c>
      <x:c r="C117" s="36" t="str">
        <x:v>slow</x:v>
      </x:c>
      <x:c r="D117" s="75" t="n">
        <x:v>1.0135077571207212</x:v>
      </x:c>
      <x:c r="E117" s="75" t="n">
        <x:v>-0.00041115513920831487</x:v>
      </x:c>
      <x:c r="F117" s="75" t="n">
        <x:v>0.9281004616443023</x:v>
      </x:c>
      <x:c r="G117" s="75" t="n">
        <x:v>0.9250158491954084</x:v>
      </x:c>
      <x:c r="H117" s="75" t="n">
        <x:v>0.9060893507707496</x:v>
      </x:c>
      <x:c r="I117" s="75" t="n">
        <x:v>0.9639127830743603</x:v>
      </x:c>
      <x:c r="J117" s="75" t="n">
        <x:v>0.8664154415655441</x:v>
      </x:c>
      <x:c r="K117" s="75" t="n">
        <x:v>0.8765412326590909</x:v>
      </x:c>
      <x:c r="L117" s="75" t="n">
        <x:v>1.0070988865477999</x:v>
      </x:c>
      <x:c r="M117" s="75" t="n">
        <x:v>0.8031190281049766</x:v>
      </x:c>
      <x:c r="N117" s="75" t="n">
        <x:v>0.9669965177506021</x:v>
      </x:c>
      <x:c r="O117" s="66" t="n">
        <x:v>487547.7038613715</x:v>
      </x:c>
      <x:c r="P117" s="66" t="n">
        <x:v>68611.39600278734</x:v>
      </x:c>
      <x:c r="Q117" s="66" t="n">
        <x:v>418936.30785858416</x:v>
      </x:c>
      <x:c r="R117" s="66" t="n">
        <x:v>90755.83171075252</x:v>
      </x:c>
      <x:c r="S117" s="66" t="n">
        <x:v>328180.47614783165</x:v>
      </x:c>
      <x:c r="T117" s="66" t="n">
        <x:v>267418.50850964314</x:v>
      </x:c>
      <x:c r="U117" s="45" t="n">
        <x:v>0.6892246683782488</x:v>
      </x:c>
      <x:c r="V117" s="45" t="n">
        <x:v>0.6735529449005467</x:v>
      </x:c>
      <x:c r="W117" s="45" t="n">
        <x:v>0.07449252363656284</x:v>
      </x:c>
      <x:c r="X117" s="66" t="n">
        <x:v>51727236.79202549</x:v>
      </x:c>
      <x:c r="Y117" s="66" t="n">
        <x:v>106.09677039261275</x:v>
      </x:c>
      <x:c r="Z117" s="66" t="n">
        <x:v>2686266.3512522224</x:v>
      </x:c>
      <x:c r="AA117" s="66" t="n">
        <x:v>285832.35995280463</x:v>
      </x:c>
      <x:c r="AB117" s="66" t="n">
        <x:v>17486.52355157768</x:v>
      </x:c>
      <x:c r="AC117" s="66" t="n">
        <x:v>60.86786257074112</x:v>
      </x:c>
      <x:c r="AD117" s="66" t="n">
        <x:v>2671.085113060436</x:v>
      </x:c>
      <x:c r="AE117" s="66" t="n">
        <x:v>239569.00879842578</x:v>
      </x:c>
      <x:c r="AF117" s="66" t="n">
        <x:v>267418.5085096432</x:v>
      </x:c>
      <x:c r="AG117" s="66" t="n">
        <x:v>0</x:v>
      </x:c>
      <x:c r="AH117" s="36" t="n">
        <x:v>0</x:v>
      </x:c>
    </x:row>
    <x:row r="118" ht="21.600000381469727" hidden="0" customHeight="1">
      <x:c r="A118" s="34" t="n">
        <x:v>29</x:v>
      </x:c>
      <x:c r="B118" s="34" t="str">
        <x:v>B1</x:v>
      </x:c>
      <x:c r="C118" s="34" t="str">
        <x:v>slow</x:v>
      </x:c>
      <x:c r="D118" s="74" t="n">
        <x:v>1.0135077571207212</x:v>
      </x:c>
      <x:c r="E118" s="74" t="n">
        <x:v>-0.00041115513920831487</x:v>
      </x:c>
      <x:c r="F118" s="74" t="n">
        <x:v>0.9281004616443023</x:v>
      </x:c>
      <x:c r="G118" s="74" t="n">
        <x:v>0.9250158491954084</x:v>
      </x:c>
      <x:c r="H118" s="74" t="n">
        <x:v>0.9060893507707496</x:v>
      </x:c>
      <x:c r="I118" s="74" t="n">
        <x:v>0.9639127830743603</x:v>
      </x:c>
      <x:c r="J118" s="74" t="n">
        <x:v>0.8664154415655441</x:v>
      </x:c>
      <x:c r="K118" s="74" t="n">
        <x:v>0.8765412326590909</x:v>
      </x:c>
      <x:c r="L118" s="74" t="n">
        <x:v>1.0070988865477999</x:v>
      </x:c>
      <x:c r="M118" s="74" t="n">
        <x:v>0.8031190281049766</x:v>
      </x:c>
      <x:c r="N118" s="74" t="n">
        <x:v>0.9669965177506021</x:v>
      </x:c>
      <x:c r="O118" s="65" t="n">
        <x:v>487547.7038613715</x:v>
      </x:c>
      <x:c r="P118" s="65" t="n">
        <x:v>232089.10968058323</x:v>
      </x:c>
      <x:c r="Q118" s="65" t="n">
        <x:v>255458.59418078823</x:v>
      </x:c>
      <x:c r="R118" s="65" t="n">
        <x:v>90755.83171075252</x:v>
      </x:c>
      <x:c r="S118" s="65" t="n">
        <x:v>164702.76247003573</x:v>
      </x:c>
      <x:c r="T118" s="65" t="n">
        <x:v>150562.5956803012</x:v>
      </x:c>
      <x:c r="U118" s="43" t="n">
        <x:v>0.7848497743508746</x:v>
      </x:c>
      <x:c r="V118" s="43" t="n">
        <x:v>0.7755170218529752</x:v>
      </x:c>
      <x:c r="W118" s="43" t="n">
        <x:v>0.25855443450802823</x:v>
      </x:c>
      <x:c r="X118" s="65" t="n">
        <x:v>33086224.58656081</x:v>
      </x:c>
      <x:c r="Y118" s="65" t="n">
        <x:v>67.86253801324125</x:v>
      </x:c>
      <x:c r="Z118" s="65" t="n">
        <x:v>993072.6549413396</x:v>
      </x:c>
      <x:c r="AA118" s="65" t="n">
        <x:v>171669.45769360045</x:v>
      </x:c>
      <x:c r="AB118" s="65" t="n">
        <x:v>2027.349194261761</x:v>
      </x:c>
      <x:c r="AC118" s="65" t="n">
        <x:v>618.8708181045955</x:v>
      </x:c>
      <x:c r="AD118" s="65" t="n">
        <x:v>2124.7598242158306</x:v>
      </x:c>
      <x:c r="AE118" s="65" t="n">
        <x:v>67014.09654664916</x:v>
      </x:c>
      <x:c r="AF118" s="65" t="n">
        <x:v>150562.5956803012</x:v>
      </x:c>
      <x:c r="AG118" s="65" t="n">
        <x:v>0</x:v>
      </x:c>
      <x:c r="AH118" s="34" t="n">
        <x:v>0</x:v>
      </x:c>
    </x:row>
    <x:row r="119" ht="21.600000381469727" hidden="0" customHeight="1">
      <x:c r="A119" s="36" t="n">
        <x:v>29</x:v>
      </x:c>
      <x:c r="B119" s="36" t="str">
        <x:v>P2</x:v>
      </x:c>
      <x:c r="C119" s="36" t="str">
        <x:v>slow</x:v>
      </x:c>
      <x:c r="D119" s="75" t="n">
        <x:v>1.0135077571207212</x:v>
      </x:c>
      <x:c r="E119" s="75" t="n">
        <x:v>-0.00041115513920831487</x:v>
      </x:c>
      <x:c r="F119" s="75" t="n">
        <x:v>0.9281004616443023</x:v>
      </x:c>
      <x:c r="G119" s="75" t="n">
        <x:v>0.9250158491954084</x:v>
      </x:c>
      <x:c r="H119" s="75" t="n">
        <x:v>0.9060893507707496</x:v>
      </x:c>
      <x:c r="I119" s="75" t="n">
        <x:v>0.9639127830743603</x:v>
      </x:c>
      <x:c r="J119" s="75" t="n">
        <x:v>0.8664154415655441</x:v>
      </x:c>
      <x:c r="K119" s="75" t="n">
        <x:v>0.8765412326590909</x:v>
      </x:c>
      <x:c r="L119" s="75" t="n">
        <x:v>1.0070988865477999</x:v>
      </x:c>
      <x:c r="M119" s="75" t="n">
        <x:v>0.8031190281049766</x:v>
      </x:c>
      <x:c r="N119" s="75" t="n">
        <x:v>0.9669965177506021</x:v>
      </x:c>
      <x:c r="O119" s="66" t="n">
        <x:v>487547.7038613715</x:v>
      </x:c>
      <x:c r="P119" s="66" t="n">
        <x:v>336225.1154166431</x:v>
      </x:c>
      <x:c r="Q119" s="66" t="n">
        <x:v>151322.5884447284</x:v>
      </x:c>
      <x:c r="R119" s="66" t="n">
        <x:v>90755.83171075252</x:v>
      </x:c>
      <x:c r="S119" s="66" t="n">
        <x:v>60566.75673397588</x:v>
      </x:c>
      <x:c r="T119" s="66" t="n">
        <x:v>77159.81587645866</x:v>
      </x:c>
      <x:c r="U119" s="45" t="n">
        <x:v>0.8478861207202874</x:v>
      </x:c>
      <x:c r="V119" s="45" t="n">
        <x:v>0.8427597083798587</x:v>
      </x:c>
      <x:c r="W119" s="45" t="n">
        <x:v>0.37992698491049853</x:v>
      </x:c>
      <x:c r="X119" s="66" t="n">
        <x:v>19872998.511965837</x:v>
      </x:c>
      <x:c r="Y119" s="66" t="n">
        <x:v>40.76113650945732</x:v>
      </x:c>
      <x:c r="Z119" s="66" t="n">
        <x:v>496691.74021649605</x:v>
      </x:c>
      <x:c r="AA119" s="66" t="n">
        <x:v>104532.3476767962</x:v>
      </x:c>
      <x:c r="AB119" s="66" t="n">
        <x:v>0</x:v>
      </x:c>
      <x:c r="AC119" s="66" t="n">
        <x:v>0</x:v>
      </x:c>
      <x:c r="AD119" s="66" t="n">
        <x:v>1793.3091003113298</x:v>
      </x:c>
      <x:c r="AE119" s="66" t="n">
        <x:v>12912.969895616952</x:v>
      </x:c>
      <x:c r="AF119" s="66" t="n">
        <x:v>77159.81587645858</x:v>
      </x:c>
      <x:c r="AG119" s="66" t="n">
        <x:v>7.275957614183426e-11</x:v>
      </x:c>
      <x:c r="AH119" s="36" t="n">
        <x:v>0</x:v>
      </x:c>
    </x:row>
    <x:row r="120" ht="21.600000381469727" hidden="0" customHeight="1">
      <x:c r="A120" s="34" t="n">
        <x:v>29</x:v>
      </x:c>
      <x:c r="B120" s="34" t="str">
        <x:v>H3</x:v>
      </x:c>
      <x:c r="C120" s="34" t="str">
        <x:v>slow</x:v>
      </x:c>
      <x:c r="D120" s="74" t="n">
        <x:v>1.0135077571207212</x:v>
      </x:c>
      <x:c r="E120" s="74" t="n">
        <x:v>-0.00041115513920831487</x:v>
      </x:c>
      <x:c r="F120" s="74" t="n">
        <x:v>0.9281004616443023</x:v>
      </x:c>
      <x:c r="G120" s="74" t="n">
        <x:v>0.9250158491954084</x:v>
      </x:c>
      <x:c r="H120" s="74" t="n">
        <x:v>0.9060893507707496</x:v>
      </x:c>
      <x:c r="I120" s="74" t="n">
        <x:v>0.9639127830743603</x:v>
      </x:c>
      <x:c r="J120" s="74" t="n">
        <x:v>0.8664154415655441</x:v>
      </x:c>
      <x:c r="K120" s="74" t="n">
        <x:v>0.8765412326590909</x:v>
      </x:c>
      <x:c r="L120" s="74" t="n">
        <x:v>1.0070988865477999</x:v>
      </x:c>
      <x:c r="M120" s="74" t="n">
        <x:v>0.8031190281049766</x:v>
      </x:c>
      <x:c r="N120" s="74" t="n">
        <x:v>0.9669965177506021</x:v>
      </x:c>
      <x:c r="O120" s="65" t="n">
        <x:v>487547.7038613715</x:v>
      </x:c>
      <x:c r="P120" s="65" t="n">
        <x:v>348785.3413905795</x:v>
      </x:c>
      <x:c r="Q120" s="65" t="n">
        <x:v>138762.36247079197</x:v>
      </x:c>
      <x:c r="R120" s="65" t="n">
        <x:v>90755.83171075252</x:v>
      </x:c>
      <x:c r="S120" s="65" t="n">
        <x:v>48006.530760039444</x:v>
      </x:c>
      <x:c r="T120" s="65" t="n">
        <x:v>68311.38022721732</x:v>
      </x:c>
      <x:c r="U120" s="43" t="n">
        <x:v>0.8554993046103924</x:v>
      </x:c>
      <x:c r="V120" s="43" t="n">
        <x:v>0.851034769500223</x:v>
      </x:c>
      <x:c r="W120" s="43" t="n">
        <x:v>0.39520163991082924</x:v>
      </x:c>
      <x:c r="X120" s="65" t="n">
        <x:v>17530158.364438318</x:v>
      </x:c>
      <x:c r="Y120" s="65" t="n">
        <x:v>35.955780789448276</x:v>
      </x:c>
      <x:c r="Z120" s="65" t="n">
        <x:v>471368.4764167622</x:v>
      </x:c>
      <x:c r="AA120" s="65" t="n">
        <x:v>97071.98669429086</x:v>
      </x:c>
      <x:c r="AB120" s="65" t="n">
        <x:v>1602.056528025531</x:v>
      </x:c>
      <x:c r="AC120" s="65" t="n">
        <x:v>0</x:v>
      </x:c>
      <x:c r="AD120" s="65" t="n">
        <x:v>1755.8832662303357</x:v>
      </x:c>
      <x:c r="AE120" s="65" t="n">
        <x:v>12615.838958282715</x:v>
      </x:c>
      <x:c r="AF120" s="65" t="n">
        <x:v>68311.3802272173</x:v>
      </x:c>
      <x:c r="AG120" s="65" t="n">
        <x:v>1.4551915228366852e-11</x:v>
      </x:c>
      <x:c r="AH120" s="34" t="n">
        <x:v>0</x:v>
      </x:c>
    </x:row>
    <x:row r="121" ht="21.600000381469727" hidden="0" customHeight="1">
      <x:c r="A121" s="36" t="n">
        <x:v>30</x:v>
      </x:c>
      <x:c r="B121" s="36" t="str">
        <x:v>M0</x:v>
      </x:c>
      <x:c r="C121" s="36" t="str">
        <x:v>fast</x:v>
      </x:c>
      <x:c r="D121" s="75" t="n">
        <x:v>1.1017935061198882</x:v>
      </x:c>
      <x:c r="E121" s="75" t="n">
        <x:v>-0.019233433800749527</x:v>
      </x:c>
      <x:c r="F121" s="75" t="n">
        <x:v>0.8569962502899341</x:v>
      </x:c>
      <x:c r="G121" s="75" t="n">
        <x:v>1.2566172999939054</x:v>
      </x:c>
      <x:c r="H121" s="75" t="n">
        <x:v>0.7942847030908736</x:v>
      </x:c>
      <x:c r="I121" s="75" t="n">
        <x:v>0.9600295255762181</x:v>
      </x:c>
      <x:c r="J121" s="75" t="n">
        <x:v>0.8140509941369484</x:v>
      </x:c>
      <x:c r="K121" s="75" t="n">
        <x:v>0.7571739555764241</x:v>
      </x:c>
      <x:c r="L121" s="75" t="n">
        <x:v>0.8415170828774522</x:v>
      </x:c>
      <x:c r="M121" s="75" t="n">
        <x:v>1.0822455177042636</x:v>
      </x:c>
      <x:c r="N121" s="75" t="n">
        <x:v>0.9023335096365264</x:v>
      </x:c>
      <x:c r="O121" s="66" t="n">
        <x:v>530017.545760271</x:v>
      </x:c>
      <x:c r="P121" s="66" t="n">
        <x:v>70466.84952221124</x:v>
      </x:c>
      <x:c r="Q121" s="66" t="n">
        <x:v>459550.6962380598</x:v>
      </x:c>
      <x:c r="R121" s="66" t="n">
        <x:v>88685.35262782764</x:v>
      </x:c>
      <x:c r="S121" s="66" t="n">
        <x:v>370865.3436102321</x:v>
      </x:c>
      <x:c r="T121" s="66" t="n">
        <x:v>260861.28117431726</x:v>
      </x:c>
      <x:c r="U121" s="45" t="n">
        <x:v>0.6251267214583675</x:v>
      </x:c>
      <x:c r="V121" s="45" t="n">
        <x:v>0.6583116221102772</x:v>
      </x:c>
      <x:c r="W121" s="45" t="n">
        <x:v>0.1356932784512256</x:v>
      </x:c>
      <x:c r="X121" s="66" t="n">
        <x:v>61188778.0798319</x:v>
      </x:c>
      <x:c r="Y121" s="66" t="n">
        <x:v>115.44670279181251</x:v>
      </x:c>
      <x:c r="Z121" s="66" t="n">
        <x:v>3491426.3814278785</x:v>
      </x:c>
      <x:c r="AA121" s="66" t="n">
        <x:v>340498.5881372893</x:v>
      </x:c>
      <x:c r="AB121" s="66" t="n">
        <x:v>22697.612543637733</x:v>
      </x:c>
      <x:c r="AC121" s="66" t="n">
        <x:v>0</x:v>
      </x:c>
      <x:c r="AD121" s="66" t="n">
        <x:v>2241.8582308595524</x:v>
      </x:c>
      <x:c r="AE121" s="66" t="n">
        <x:v>185414.29179424903</x:v>
      </x:c>
      <x:c r="AF121" s="66" t="n">
        <x:v>260861.2811743175</x:v>
      </x:c>
      <x:c r="AG121" s="66" t="n">
        <x:v>0</x:v>
      </x:c>
      <x:c r="AH121" s="36" t="n">
        <x:v>0</x:v>
      </x:c>
    </x:row>
    <x:row r="122" ht="21.600000381469727" hidden="0" customHeight="1">
      <x:c r="A122" s="34" t="n">
        <x:v>30</x:v>
      </x:c>
      <x:c r="B122" s="34" t="str">
        <x:v>B1</x:v>
      </x:c>
      <x:c r="C122" s="34" t="str">
        <x:v>fast</x:v>
      </x:c>
      <x:c r="D122" s="74" t="n">
        <x:v>1.1017935061198882</x:v>
      </x:c>
      <x:c r="E122" s="74" t="n">
        <x:v>-0.019233433800749527</x:v>
      </x:c>
      <x:c r="F122" s="74" t="n">
        <x:v>0.8569962502899341</x:v>
      </x:c>
      <x:c r="G122" s="74" t="n">
        <x:v>1.2566172999939054</x:v>
      </x:c>
      <x:c r="H122" s="74" t="n">
        <x:v>0.7942847030908736</x:v>
      </x:c>
      <x:c r="I122" s="74" t="n">
        <x:v>0.9600295255762181</x:v>
      </x:c>
      <x:c r="J122" s="74" t="n">
        <x:v>0.8140509941369484</x:v>
      </x:c>
      <x:c r="K122" s="74" t="n">
        <x:v>0.7571739555764241</x:v>
      </x:c>
      <x:c r="L122" s="74" t="n">
        <x:v>0.8415170828774522</x:v>
      </x:c>
      <x:c r="M122" s="74" t="n">
        <x:v>1.0822455177042636</x:v>
      </x:c>
      <x:c r="N122" s="74" t="n">
        <x:v>0.9023335096365264</x:v>
      </x:c>
      <x:c r="O122" s="65" t="n">
        <x:v>530017.545760271</x:v>
      </x:c>
      <x:c r="P122" s="65" t="n">
        <x:v>238364.90626562684</x:v>
      </x:c>
      <x:c r="Q122" s="65" t="n">
        <x:v>291652.6394946442</x:v>
      </x:c>
      <x:c r="R122" s="65" t="n">
        <x:v>88685.35262782764</x:v>
      </x:c>
      <x:c r="S122" s="65" t="n">
        <x:v>202967.28686681655</x:v>
      </x:c>
      <x:c r="T122" s="65" t="n">
        <x:v>187304.45932758693</x:v>
      </x:c>
      <x:c r="U122" s="43" t="n">
        <x:v>0.8031231588430199</x:v>
      </x:c>
      <x:c r="V122" s="43" t="n">
        <x:v>0.8437697446458733</x:v>
      </x:c>
      <x:c r="W122" s="43" t="n">
        <x:v>0.49787249583708587</x:v>
      </x:c>
      <x:c r="X122" s="65" t="n">
        <x:v>39347313.76951277</x:v>
      </x:c>
      <x:c r="Y122" s="65" t="n">
        <x:v>74.23775700306668</x:v>
      </x:c>
      <x:c r="Z122" s="65" t="n">
        <x:v>1232681.4850840135</x:v>
      </x:c>
      <x:c r="AA122" s="65" t="n">
        <x:v>214413.70723190324</x:v>
      </x:c>
      <x:c r="AB122" s="65" t="n">
        <x:v>2384.5007650119073</x:v>
      </x:c>
      <x:c r="AC122" s="65" t="n">
        <x:v>6226.616605578027</x:v>
      </x:c>
      <x:c r="AD122" s="65" t="n">
        <x:v>1801.6875399361165</x:v>
      </x:c>
      <x:c r="AE122" s="65" t="n">
        <x:v>115644.37876624838</x:v>
      </x:c>
      <x:c r="AF122" s="65" t="n">
        <x:v>187304.45932758687</x:v>
      </x:c>
      <x:c r="AG122" s="65" t="n">
        <x:v>5.820766091346741e-11</x:v>
      </x:c>
      <x:c r="AH122" s="34" t="n">
        <x:v>0</x:v>
      </x:c>
    </x:row>
    <x:row r="123" ht="21.600000381469727" hidden="0" customHeight="1">
      <x:c r="A123" s="36" t="n">
        <x:v>30</x:v>
      </x:c>
      <x:c r="B123" s="36" t="str">
        <x:v>P2</x:v>
      </x:c>
      <x:c r="C123" s="36" t="str">
        <x:v>fast</x:v>
      </x:c>
      <x:c r="D123" s="75" t="n">
        <x:v>1.1017935061198882</x:v>
      </x:c>
      <x:c r="E123" s="75" t="n">
        <x:v>-0.019233433800749527</x:v>
      </x:c>
      <x:c r="F123" s="75" t="n">
        <x:v>0.8569962502899341</x:v>
      </x:c>
      <x:c r="G123" s="75" t="n">
        <x:v>1.2566172999939054</x:v>
      </x:c>
      <x:c r="H123" s="75" t="n">
        <x:v>0.7942847030908736</x:v>
      </x:c>
      <x:c r="I123" s="75" t="n">
        <x:v>0.9600295255762181</x:v>
      </x:c>
      <x:c r="J123" s="75" t="n">
        <x:v>0.8140509941369484</x:v>
      </x:c>
      <x:c r="K123" s="75" t="n">
        <x:v>0.7571739555764241</x:v>
      </x:c>
      <x:c r="L123" s="75" t="n">
        <x:v>0.8415170828774522</x:v>
      </x:c>
      <x:c r="M123" s="75" t="n">
        <x:v>1.0822455177042636</x:v>
      </x:c>
      <x:c r="N123" s="75" t="n">
        <x:v>0.9023335096365264</x:v>
      </x:c>
      <x:c r="O123" s="66" t="n">
        <x:v>530017.545760271</x:v>
      </x:c>
      <x:c r="P123" s="66" t="n">
        <x:v>345316.3292002395</x:v>
      </x:c>
      <x:c r="Q123" s="66" t="n">
        <x:v>184701.21656003146</x:v>
      </x:c>
      <x:c r="R123" s="66" t="n">
        <x:v>88685.35262782764</x:v>
      </x:c>
      <x:c r="S123" s="66" t="n">
        <x:v>96015.86393220382</x:v>
      </x:c>
      <x:c r="T123" s="66" t="n">
        <x:v>113572.6140679878</x:v>
      </x:c>
      <x:c r="U123" s="45" t="n">
        <x:v>0.8657995323720559</x:v>
      </x:c>
      <x:c r="V123" s="45" t="n">
        <x:v>0.8731327789463915</x:v>
      </x:c>
      <x:c r="W123" s="45" t="n">
        <x:v>0.7132107602262062</x:v>
      </x:c>
      <x:c r="X123" s="66" t="n">
        <x:v>23964991.866777763</x:v>
      </x:c>
      <x:c r="Y123" s="66" t="n">
        <x:v>45.21546891886712</x:v>
      </x:c>
      <x:c r="Z123" s="66" t="n">
        <x:v>842694.2967338108</x:v>
      </x:c>
      <x:c r="AA123" s="66" t="n">
        <x:v>135454.7684495896</x:v>
      </x:c>
      <x:c r="AB123" s="66" t="n">
        <x:v>0</x:v>
      </x:c>
      <x:c r="AC123" s="66" t="n">
        <x:v>13953.932211097035</x:v>
      </x:c>
      <x:c r="AD123" s="66" t="n">
        <x:v>1535.722627159259</x:v>
      </x:c>
      <x:c r="AE123" s="66" t="n">
        <x:v>70303.25134444176</x:v>
      </x:c>
      <x:c r="AF123" s="66" t="n">
        <x:v>113572.61406798777</x:v>
      </x:c>
      <x:c r="AG123" s="66" t="n">
        <x:v>2.9103830456733704e-11</x:v>
      </x:c>
      <x:c r="AH123" s="36" t="n">
        <x:v>0</x:v>
      </x:c>
    </x:row>
    <x:row r="124" ht="21.600000381469727" hidden="0" customHeight="1">
      <x:c r="A124" s="34" t="n">
        <x:v>30</x:v>
      </x:c>
      <x:c r="B124" s="34" t="str">
        <x:v>H3</x:v>
      </x:c>
      <x:c r="C124" s="34" t="str">
        <x:v>fast</x:v>
      </x:c>
      <x:c r="D124" s="74" t="n">
        <x:v>1.1017935061198882</x:v>
      </x:c>
      <x:c r="E124" s="74" t="n">
        <x:v>-0.019233433800749527</x:v>
      </x:c>
      <x:c r="F124" s="74" t="n">
        <x:v>0.8569962502899341</x:v>
      </x:c>
      <x:c r="G124" s="74" t="n">
        <x:v>1.2566172999939054</x:v>
      </x:c>
      <x:c r="H124" s="74" t="n">
        <x:v>0.7942847030908736</x:v>
      </x:c>
      <x:c r="I124" s="74" t="n">
        <x:v>0.9600295255762181</x:v>
      </x:c>
      <x:c r="J124" s="74" t="n">
        <x:v>0.8140509941369484</x:v>
      </x:c>
      <x:c r="K124" s="74" t="n">
        <x:v>0.7571739555764241</x:v>
      </x:c>
      <x:c r="L124" s="74" t="n">
        <x:v>0.8415170828774522</x:v>
      </x:c>
      <x:c r="M124" s="74" t="n">
        <x:v>1.0822455177042636</x:v>
      </x:c>
      <x:c r="N124" s="74" t="n">
        <x:v>0.9023335096365264</x:v>
      </x:c>
      <x:c r="O124" s="65" t="n">
        <x:v>530017.545760271</x:v>
      </x:c>
      <x:c r="P124" s="65" t="n">
        <x:v>358216.0774617825</x:v>
      </x:c>
      <x:c r="Q124" s="65" t="n">
        <x:v>171801.46829848853</x:v>
      </x:c>
      <x:c r="R124" s="65" t="n">
        <x:v>88685.35262782764</x:v>
      </x:c>
      <x:c r="S124" s="65" t="n">
        <x:v>83116.11567066087</x:v>
      </x:c>
      <x:c r="T124" s="65" t="n">
        <x:v>170295.60199622362</x:v>
      </x:c>
      <x:c r="U124" s="43" t="n">
        <x:v>0.9971588368832113</x:v>
      </x:c>
      <x:c r="V124" s="43" t="n">
        <x:v>0.9982105091274184</x:v>
      </x:c>
      <x:c r="W124" s="43" t="n">
        <x:v>0.9715883688321142</x:v>
      </x:c>
      <x:c r="X124" s="65" t="n">
        <x:v>16874358.909676682</x:v>
      </x:c>
      <x:c r="Y124" s="65" t="n">
        <x:v>31.837359054730275</x:v>
      </x:c>
      <x:c r="Z124" s="65" t="n">
        <x:v>1056140.513336705</x:v>
      </x:c>
      <x:c r="AA124" s="65" t="n">
        <x:v>107110.48635664064</x:v>
      </x:c>
      <x:c r="AB124" s="65" t="n">
        <x:v>1428.2690568033154</x:v>
      </x:c>
      <x:c r="AC124" s="65" t="n">
        <x:v>123.75800426712148</x:v>
      </x:c>
      <x:c r="AD124" s="65" t="n">
        <x:v>1505.8663022648914</x:v>
      </x:c>
      <x:c r="AE124" s="65" t="n">
        <x:v>49291.15452865268</x:v>
      </x:c>
      <x:c r="AF124" s="65" t="n">
        <x:v>170295.60199622376</x:v>
      </x:c>
      <x:c r="AG124" s="65" t="n">
        <x:v>0</x:v>
      </x:c>
      <x:c r="AH124" s="34" t="n">
        <x:v>1</x:v>
      </x:c>
    </x:row>
    <x:row r="125" ht="15" hidden="0" customHeight="1">
      <x:c r="A125" s="36" t="n">
        <x:v>31</x:v>
      </x:c>
      <x:c r="B125" s="36" t="str">
        <x:v>M0</x:v>
      </x:c>
      <x:c r="C125" s="36" t="str">
        <x:v>fast</x:v>
      </x:c>
      <x:c r="D125" s="75" t="n">
        <x:v>0.9115834058790627</x:v>
      </x:c>
      <x:c r="E125" s="75" t="n">
        <x:v>0.05367340213647114</x:v>
      </x:c>
      <x:c r="F125" s="75" t="n">
        <x:v>1.0362018720252277</x:v>
      </x:c>
      <x:c r="G125" s="75" t="n">
        <x:v>1.059428988808341</x:v>
      </x:c>
      <x:c r="H125" s="75" t="n">
        <x:v>0.9165416741384157</x:v>
      </x:c>
      <x:c r="I125" s="75" t="n">
        <x:v>0.76634079926364</x:v>
      </x:c>
      <x:c r="J125" s="75" t="n">
        <x:v>0.889631310057595</x:v>
      </x:c>
      <x:c r="K125" s="75" t="n">
        <x:v>0.8417723006661734</x:v>
      </x:c>
      <x:c r="L125" s="75" t="n">
        <x:v>0.8510688237553189</x:v>
      </x:c>
      <x:c r="M125" s="75" t="n">
        <x:v>0.9972020382312266</x:v>
      </x:c>
      <x:c r="N125" s="75" t="n">
        <x:v>1.031535322233352</x:v>
      </x:c>
      <x:c r="O125" s="66" t="n">
        <x:v>438517.01508144196</x:v>
      </x:c>
      <x:c r="P125" s="66" t="n">
        <x:v>64319.77021754293</x:v>
      </x:c>
      <x:c r="Q125" s="66" t="n">
        <x:v>374197.244863899</x:v>
      </x:c>
      <x:c r="R125" s="66" t="n">
        <x:v>105345.88561324766</x:v>
      </x:c>
      <x:c r="S125" s="66" t="n">
        <x:v>268851.3592506513</x:v>
      </x:c>
      <x:c r="T125" s="66" t="n">
        <x:v>257514.06441563152</x:v>
      </x:c>
      <x:c r="U125" s="45" t="n">
        <x:v>0.7339141323248383</x:v>
      </x:c>
      <x:c r="V125" s="45" t="n">
        <x:v>0.7338251536052558</x:v>
      </x:c>
      <x:c r="W125" s="45" t="n">
        <x:v>0.1516068975544224</x:v>
      </x:c>
      <x:c r="X125" s="66" t="n">
        <x:v>47665610.4372293</x:v>
      </x:c>
      <x:c r="Y125" s="66" t="n">
        <x:v>108.69728835579339</x:v>
      </x:c>
      <x:c r="Z125" s="66" t="n">
        <x:v>5705500.192204135</x:v>
      </x:c>
      <x:c r="AA125" s="66" t="n">
        <x:v>254571.60619419688</x:v>
      </x:c>
      <x:c r="AB125" s="66" t="n">
        <x:v>48997.90624654155</x:v>
      </x:c>
      <x:c r="AC125" s="66" t="n">
        <x:v>0</x:v>
      </x:c>
      <x:c r="AD125" s="66" t="n">
        <x:v>1851.4143080878398</x:v>
      </x:c>
      <x:c r="AE125" s="66" t="n">
        <x:v>198097.62985499046</x:v>
      </x:c>
      <x:c r="AF125" s="66" t="n">
        <x:v>257514.06441563155</x:v>
      </x:c>
      <x:c r="AG125" s="66" t="n">
        <x:v>0</x:v>
      </x:c>
      <x:c r="AH125" s="36" t="n">
        <x:v>0</x:v>
      </x:c>
    </x:row>
    <x:row r="126" ht="15" hidden="0" customHeight="1">
      <x:c r="A126" s="34" t="n">
        <x:v>31</x:v>
      </x:c>
      <x:c r="B126" s="34" t="str">
        <x:v>B1</x:v>
      </x:c>
      <x:c r="C126" s="34" t="str">
        <x:v>fast</x:v>
      </x:c>
      <x:c r="D126" s="74" t="n">
        <x:v>0.9115834058790627</x:v>
      </x:c>
      <x:c r="E126" s="74" t="n">
        <x:v>0.05367340213647114</x:v>
      </x:c>
      <x:c r="F126" s="74" t="n">
        <x:v>1.0362018720252277</x:v>
      </x:c>
      <x:c r="G126" s="74" t="n">
        <x:v>1.059428988808341</x:v>
      </x:c>
      <x:c r="H126" s="74" t="n">
        <x:v>0.9165416741384157</x:v>
      </x:c>
      <x:c r="I126" s="74" t="n">
        <x:v>0.76634079926364</x:v>
      </x:c>
      <x:c r="J126" s="74" t="n">
        <x:v>0.889631310057595</x:v>
      </x:c>
      <x:c r="K126" s="74" t="n">
        <x:v>0.8417723006661734</x:v>
      </x:c>
      <x:c r="L126" s="74" t="n">
        <x:v>0.8510688237553189</x:v>
      </x:c>
      <x:c r="M126" s="74" t="n">
        <x:v>0.9972020382312266</x:v>
      </x:c>
      <x:c r="N126" s="74" t="n">
        <x:v>1.031535322233352</x:v>
      </x:c>
      <x:c r="O126" s="65" t="n">
        <x:v>438517.01508144196</x:v>
      </x:c>
      <x:c r="P126" s="65" t="n">
        <x:v>217573.64378023232</x:v>
      </x:c>
      <x:c r="Q126" s="65" t="n">
        <x:v>220943.3713012096</x:v>
      </x:c>
      <x:c r="R126" s="65" t="n">
        <x:v>105345.88561324766</x:v>
      </x:c>
      <x:c r="S126" s="65" t="n">
        <x:v>115597.48568796195</x:v>
      </x:c>
      <x:c r="T126" s="65" t="n">
        <x:v>192194.97288134924</x:v>
      </x:c>
      <x:c r="U126" s="43" t="n">
        <x:v>0.9344417720837555</x:v>
      </x:c>
      <x:c r="V126" s="43" t="n">
        <x:v>0.9334578789261806</x:v>
      </x:c>
      <x:c r="W126" s="43" t="n">
        <x:v>0.5915684764991721</x:v>
      </x:c>
      <x:c r="X126" s="65" t="n">
        <x:v>27501608.66076805</x:v>
      </x:c>
      <x:c r="Y126" s="65" t="n">
        <x:v>62.715032062462654</x:v>
      </x:c>
      <x:c r="Z126" s="65" t="n">
        <x:v>2696058.9166889912</x:v>
      </x:c>
      <x:c r="AA126" s="65" t="n">
        <x:v>142010.78535109875</x:v>
      </x:c>
      <x:c r="AB126" s="65" t="n">
        <x:v>16987.630812947333</x:v>
      </x:c>
      <x:c r="AC126" s="65" t="n">
        <x:v>600.0249073777468</x:v>
      </x:c>
      <x:c r="AD126" s="65" t="n">
        <x:v>1479.4964388306062</x:v>
      </x:c>
      <x:c r="AE126" s="65" t="n">
        <x:v>107591.1489905599</x:v>
      </x:c>
      <x:c r="AF126" s="65" t="n">
        <x:v>192194.9728813493</x:v>
      </x:c>
      <x:c r="AG126" s="65" t="n">
        <x:v>0</x:v>
      </x:c>
      <x:c r="AH126" s="34" t="n">
        <x:v>0</x:v>
      </x:c>
    </x:row>
    <x:row r="127" ht="15" hidden="0" customHeight="1">
      <x:c r="A127" s="36" t="n">
        <x:v>31</x:v>
      </x:c>
      <x:c r="B127" s="36" t="str">
        <x:v>P2</x:v>
      </x:c>
      <x:c r="C127" s="36" t="str">
        <x:v>fast</x:v>
      </x:c>
      <x:c r="D127" s="75" t="n">
        <x:v>0.9115834058790627</x:v>
      </x:c>
      <x:c r="E127" s="75" t="n">
        <x:v>0.05367340213647114</x:v>
      </x:c>
      <x:c r="F127" s="75" t="n">
        <x:v>1.0362018720252277</x:v>
      </x:c>
      <x:c r="G127" s="75" t="n">
        <x:v>1.059428988808341</x:v>
      </x:c>
      <x:c r="H127" s="75" t="n">
        <x:v>0.9165416741384157</x:v>
      </x:c>
      <x:c r="I127" s="75" t="n">
        <x:v>0.76634079926364</x:v>
      </x:c>
      <x:c r="J127" s="75" t="n">
        <x:v>0.889631310057595</x:v>
      </x:c>
      <x:c r="K127" s="75" t="n">
        <x:v>0.8417723006661734</x:v>
      </x:c>
      <x:c r="L127" s="75" t="n">
        <x:v>0.8510688237553189</x:v>
      </x:c>
      <x:c r="M127" s="75" t="n">
        <x:v>0.9972020382312266</x:v>
      </x:c>
      <x:c r="N127" s="75" t="n">
        <x:v>1.031535322233352</x:v>
      </x:c>
      <x:c r="O127" s="66" t="n">
        <x:v>438517.01508144196</x:v>
      </x:c>
      <x:c r="P127" s="66" t="n">
        <x:v>315198.05519112304</x:v>
      </x:c>
      <x:c r="Q127" s="66" t="n">
        <x:v>123318.95989031889</x:v>
      </x:c>
      <x:c r="R127" s="66" t="n">
        <x:v>105345.88561324766</x:v>
      </x:c>
      <x:c r="S127" s="66" t="n">
        <x:v>17973.07427707124</x:v>
      </x:c>
      <x:c r="T127" s="66" t="n">
        <x:v>122064.18787248424</x:v>
      </x:c>
      <x:c r="U127" s="45" t="n">
        <x:v>0.9971386012978273</x:v>
      </x:c>
      <x:c r="V127" s="45" t="n">
        <x:v>0.9981976397302297</x:v>
      </x:c>
      <x:c r="W127" s="45" t="n">
        <x:v>0.9713860129782733</x:v>
      </x:c>
      <x:c r="X127" s="66" t="n">
        <x:v>13375108.181031525</x:v>
      </x:c>
      <x:c r="Y127" s="66" t="n">
        <x:v>30.50077356416257</x:v>
      </x:c>
      <x:c r="Z127" s="66" t="n">
        <x:v>737424.8698018802</x:v>
      </x:c>
      <x:c r="AA127" s="66" t="n">
        <x:v>78902.16259497589</x:v>
      </x:c>
      <x:c r="AB127" s="66" t="n">
        <x:v>740.6535402471751</x:v>
      </x:c>
      <x:c r="AC127" s="66" t="n">
        <x:v>0</x:v>
      </x:c>
      <x:c r="AD127" s="66" t="n">
        <x:v>1254.7720178346594</x:v>
      </x:c>
      <x:c r="AE127" s="66" t="n">
        <x:v>57449.33349099167</x:v>
      </x:c>
      <x:c r="AF127" s="66" t="n">
        <x:v>122064.18787248422</x:v>
      </x:c>
      <x:c r="AG127" s="66" t="n">
        <x:v>1.4551915228366852e-11</x:v>
      </x:c>
      <x:c r="AH127" s="36" t="n">
        <x:v>1</x:v>
      </x:c>
    </x:row>
    <x:row r="128" ht="15" hidden="0" customHeight="1">
      <x:c r="A128" s="34" t="n">
        <x:v>31</x:v>
      </x:c>
      <x:c r="B128" s="34" t="str">
        <x:v>H3</x:v>
      </x:c>
      <x:c r="C128" s="34" t="str">
        <x:v>fast</x:v>
      </x:c>
      <x:c r="D128" s="74" t="n">
        <x:v>0.9115834058790627</x:v>
      </x:c>
      <x:c r="E128" s="74" t="n">
        <x:v>0.05367340213647114</x:v>
      </x:c>
      <x:c r="F128" s="74" t="n">
        <x:v>1.0362018720252277</x:v>
      </x:c>
      <x:c r="G128" s="74" t="n">
        <x:v>1.059428988808341</x:v>
      </x:c>
      <x:c r="H128" s="74" t="n">
        <x:v>0.9165416741384157</x:v>
      </x:c>
      <x:c r="I128" s="74" t="n">
        <x:v>0.76634079926364</x:v>
      </x:c>
      <x:c r="J128" s="74" t="n">
        <x:v>0.889631310057595</x:v>
      </x:c>
      <x:c r="K128" s="74" t="n">
        <x:v>0.8417723006661734</x:v>
      </x:c>
      <x:c r="L128" s="74" t="n">
        <x:v>0.8510688237553189</x:v>
      </x:c>
      <x:c r="M128" s="74" t="n">
        <x:v>0.9972020382312266</x:v>
      </x:c>
      <x:c r="N128" s="74" t="n">
        <x:v>1.031535322233352</x:v>
      </x:c>
      <x:c r="O128" s="65" t="n">
        <x:v>438517.01508144196</x:v>
      </x:c>
      <x:c r="P128" s="65" t="n">
        <x:v>326205.6110181782</x:v>
      </x:c>
      <x:c r="Q128" s="65" t="n">
        <x:v>112311.40406326368</x:v>
      </x:c>
      <x:c r="R128" s="65" t="n">
        <x:v>105345.88561324766</x:v>
      </x:c>
      <x:c r="S128" s="65" t="n">
        <x:v>6965.518450016029</x:v>
      </x:c>
      <x:c r="T128" s="65" t="n">
        <x:v>111078.62729369539</x:v>
      </x:c>
      <x:c r="U128" s="43" t="n">
        <x:v>0.997188759552832</x:v>
      </x:c>
      <x:c r="V128" s="43" t="n">
        <x:v>0.9982294395695968</x:v>
      </x:c>
      <x:c r="W128" s="43" t="n">
        <x:v>0.9718875955283207</x:v>
      </x:c>
      <x:c r="X128" s="65" t="n">
        <x:v>9664634.922089612</x:v>
      </x:c>
      <x:c r="Y128" s="65" t="n">
        <x:v>22.039361278363813</x:v>
      </x:c>
      <x:c r="Z128" s="65" t="n">
        <x:v>1014157.5746337073</x:v>
      </x:c>
      <x:c r="AA128" s="65" t="n">
        <x:v>72175.013920498</x:v>
      </x:c>
      <x:c r="AB128" s="65" t="n">
        <x:v>9247.005570522928</x:v>
      </x:c>
      <x:c r="AC128" s="65" t="n">
        <x:v>94.24654938414429</x:v>
      </x:c>
      <x:c r="AD128" s="65" t="n">
        <x:v>1232.7767695682924</x:v>
      </x:c>
      <x:c r="AE128" s="65" t="n">
        <x:v>56244.20229693473</x:v>
      </x:c>
      <x:c r="AF128" s="65" t="n">
        <x:v>111078.62729369545</x:v>
      </x:c>
      <x:c r="AG128" s="65" t="n">
        <x:v>0</x:v>
      </x:c>
      <x:c r="AH128" s="34" t="n">
        <x:v>1</x:v>
      </x:c>
    </x:row>
    <x:row r="129" ht="15" hidden="0" customHeight="1">
      <x:c r="A129" s="36" t="n">
        <x:v>32</x:v>
      </x:c>
      <x:c r="B129" s="36" t="str">
        <x:v>M0</x:v>
      </x:c>
      <x:c r="C129" s="36" t="str">
        <x:v>fast</x:v>
      </x:c>
      <x:c r="D129" s="75" t="n">
        <x:v>1.033939332140405</x:v>
      </x:c>
      <x:c r="E129" s="75" t="n">
        <x:v>0.03833002542849869</x:v>
      </x:c>
      <x:c r="F129" s="75" t="n">
        <x:v>0.9932227384630685</x:v>
      </x:c>
      <x:c r="G129" s="75" t="n">
        <x:v>1.0619416863673545</x:v>
      </x:c>
      <x:c r="H129" s="75" t="n">
        <x:v>0.9368492924732856</x:v>
      </x:c>
      <x:c r="I129" s="75" t="n">
        <x:v>0.791734145414439</x:v>
      </x:c>
      <x:c r="J129" s="75" t="n">
        <x:v>0.775508204709938</x:v>
      </x:c>
      <x:c r="K129" s="75" t="n">
        <x:v>0.9425739603822619</x:v>
      </x:c>
      <x:c r="L129" s="75" t="n">
        <x:v>0.9659724826221435</x:v>
      </x:c>
      <x:c r="M129" s="75" t="n">
        <x:v>0.9760167691857138</x:v>
      </x:c>
      <x:c r="N129" s="75" t="n">
        <x:v>0.9653693979384499</x:v>
      </x:c>
      <x:c r="O129" s="66" t="n">
        <x:v>497376.3089382753</x:v>
      </x:c>
      <x:c r="P129" s="66" t="n">
        <x:v>71339.52914717668</x:v>
      </x:c>
      <x:c r="Q129" s="66" t="n">
        <x:v>426036.77979109867</x:v>
      </x:c>
      <x:c r="R129" s="66" t="n">
        <x:v>111854.34828635491</x:v>
      </x:c>
      <x:c r="S129" s="66" t="n">
        <x:v>314182.43150474376</x:v>
      </x:c>
      <x:c r="T129" s="66" t="n">
        <x:v>270048.29333915375</x:v>
      </x:c>
      <x:c r="U129" s="45" t="n">
        <x:v>0.6863773290993176</x:v>
      </x:c>
      <x:c r="V129" s="45" t="n">
        <x:v>0.6961089812698975</x:v>
      </x:c>
      <x:c r="W129" s="45" t="n">
        <x:v>0.14461473234616773</x:v>
      </x:c>
      <x:c r="X129" s="66" t="n">
        <x:v>55478789.85439535</x:v>
      </x:c>
      <x:c r="Y129" s="66" t="n">
        <x:v>111.54288786456917</x:v>
      </x:c>
      <x:c r="Z129" s="66" t="n">
        <x:v>6657932.6716692345</x:v>
      </x:c>
      <x:c r="AA129" s="66" t="n">
        <x:v>293183.1362279278</x:v>
      </x:c>
      <x:c r="AB129" s="66" t="n">
        <x:v>59357.59003360654</x:v>
      </x:c>
      <x:c r="AC129" s="66" t="n">
        <x:v>2660.6984716102784</x:v>
      </x:c>
      <x:c r="AD129" s="66" t="n">
        <x:v>2100.7316060893872</x:v>
      </x:c>
      <x:c r="AE129" s="66" t="n">
        <x:v>214443.01601789903</x:v>
      </x:c>
      <x:c r="AF129" s="66" t="n">
        <x:v>270048.2933391537</x:v>
      </x:c>
      <x:c r="AG129" s="66" t="n">
        <x:v>5.820766091346741e-11</x:v>
      </x:c>
      <x:c r="AH129" s="36" t="n">
        <x:v>0</x:v>
      </x:c>
    </x:row>
    <x:row r="130" ht="15" hidden="0" customHeight="1">
      <x:c r="A130" s="34" t="n">
        <x:v>32</x:v>
      </x:c>
      <x:c r="B130" s="34" t="str">
        <x:v>B1</x:v>
      </x:c>
      <x:c r="C130" s="34" t="str">
        <x:v>fast</x:v>
      </x:c>
      <x:c r="D130" s="74" t="n">
        <x:v>1.033939332140405</x:v>
      </x:c>
      <x:c r="E130" s="74" t="n">
        <x:v>0.03833002542849869</x:v>
      </x:c>
      <x:c r="F130" s="74" t="n">
        <x:v>0.9932227384630685</x:v>
      </x:c>
      <x:c r="G130" s="74" t="n">
        <x:v>1.0619416863673545</x:v>
      </x:c>
      <x:c r="H130" s="74" t="n">
        <x:v>0.9368492924732856</x:v>
      </x:c>
      <x:c r="I130" s="74" t="n">
        <x:v>0.791734145414439</x:v>
      </x:c>
      <x:c r="J130" s="74" t="n">
        <x:v>0.775508204709938</x:v>
      </x:c>
      <x:c r="K130" s="74" t="n">
        <x:v>0.9425739603822619</x:v>
      </x:c>
      <x:c r="L130" s="74" t="n">
        <x:v>0.9659724826221435</x:v>
      </x:c>
      <x:c r="M130" s="74" t="n">
        <x:v>0.9760167691857138</x:v>
      </x:c>
      <x:c r="N130" s="74" t="n">
        <x:v>0.9653693979384499</x:v>
      </x:c>
      <x:c r="O130" s="65" t="n">
        <x:v>497376.3089382753</x:v>
      </x:c>
      <x:c r="P130" s="65" t="n">
        <x:v>241318.74508627114</x:v>
      </x:c>
      <x:c r="Q130" s="65" t="n">
        <x:v>256057.56385200418</x:v>
      </x:c>
      <x:c r="R130" s="65" t="n">
        <x:v>111854.34828635491</x:v>
      </x:c>
      <x:c r="S130" s="65" t="n">
        <x:v>144203.2155656493</x:v>
      </x:c>
      <x:c r="T130" s="65" t="n">
        <x:v>195156.08004360617</x:v>
      </x:c>
      <x:c r="U130" s="43" t="n">
        <x:v>0.8775545141295503</x:v>
      </x:c>
      <x:c r="V130" s="43" t="n">
        <x:v>0.8833780079156552</x:v>
      </x:c>
      <x:c r="W130" s="43" t="n">
        <x:v>0.5433996272465493</x:v>
      </x:c>
      <x:c r="X130" s="65" t="n">
        <x:v>33257707.11942459</x:v>
      </x:c>
      <x:c r="Y130" s="65" t="n">
        <x:v>66.86628719895842</x:v>
      </x:c>
      <x:c r="Z130" s="65" t="n">
        <x:v>3217769.199248593</x:v>
      </x:c>
      <x:c r="AA130" s="65" t="n">
        <x:v>170510.86205716466</x:v>
      </x:c>
      <x:c r="AB130" s="65" t="n">
        <x:v>21964.989201462526</x:v>
      </x:c>
      <x:c r="AC130" s="65" t="n">
        <x:v>3445.365166842297</x:v>
      </x:c>
      <x:c r="AD130" s="65" t="n">
        <x:v>1680.736775268188</x:v>
      </x:c>
      <x:c r="AE130" s="65" t="n">
        <x:v>123147.74882386254</x:v>
      </x:c>
      <x:c r="AF130" s="65" t="n">
        <x:v>195156.08004360614</x:v>
      </x:c>
      <x:c r="AG130" s="65" t="n">
        <x:v>2.9103830456733704e-11</x:v>
      </x:c>
      <x:c r="AH130" s="34" t="n">
        <x:v>0</x:v>
      </x:c>
    </x:row>
    <x:row r="131" ht="15" hidden="0" customHeight="1">
      <x:c r="A131" s="36" t="n">
        <x:v>32</x:v>
      </x:c>
      <x:c r="B131" s="36" t="str">
        <x:v>P2</x:v>
      </x:c>
      <x:c r="C131" s="36" t="str">
        <x:v>fast</x:v>
      </x:c>
      <x:c r="D131" s="75" t="n">
        <x:v>1.033939332140405</x:v>
      </x:c>
      <x:c r="E131" s="75" t="n">
        <x:v>0.03833002542849869</x:v>
      </x:c>
      <x:c r="F131" s="75" t="n">
        <x:v>0.9932227384630685</x:v>
      </x:c>
      <x:c r="G131" s="75" t="n">
        <x:v>1.0619416863673545</x:v>
      </x:c>
      <x:c r="H131" s="75" t="n">
        <x:v>0.9368492924732856</x:v>
      </x:c>
      <x:c r="I131" s="75" t="n">
        <x:v>0.791734145414439</x:v>
      </x:c>
      <x:c r="J131" s="75" t="n">
        <x:v>0.775508204709938</x:v>
      </x:c>
      <x:c r="K131" s="75" t="n">
        <x:v>0.9425739603822619</x:v>
      </x:c>
      <x:c r="L131" s="75" t="n">
        <x:v>0.9659724826221435</x:v>
      </x:c>
      <x:c r="M131" s="75" t="n">
        <x:v>0.9760167691857138</x:v>
      </x:c>
      <x:c r="N131" s="75" t="n">
        <x:v>0.9653693979384499</x:v>
      </x:c>
      <x:c r="O131" s="66" t="n">
        <x:v>497376.3089382753</x:v>
      </x:c>
      <x:c r="P131" s="66" t="n">
        <x:v>349597.0422722402</x:v>
      </x:c>
      <x:c r="Q131" s="66" t="n">
        <x:v>147779.26666603514</x:v>
      </x:c>
      <x:c r="R131" s="66" t="n">
        <x:v>111854.34828635491</x:v>
      </x:c>
      <x:c r="S131" s="66" t="n">
        <x:v>35924.91837968021</x:v>
      </x:c>
      <x:c r="T131" s="66" t="n">
        <x:v>138800.83332931064</x:v>
      </x:c>
      <x:c r="U131" s="45" t="n">
        <x:v>0.9819484097344922</x:v>
      </x:c>
      <x:c r="V131" s="45" t="n">
        <x:v>0.9898237145527153</x:v>
      </x:c>
      <x:c r="W131" s="45" t="n">
        <x:v>0.8543115585263584</x:v>
      </x:c>
      <x:c r="X131" s="66" t="n">
        <x:v>16894561.389099695</x:v>
      </x:c>
      <x:c r="Y131" s="66" t="n">
        <x:v>33.967362509009895</x:v>
      </x:c>
      <x:c r="Z131" s="66" t="n">
        <x:v>883935.483396552</x:v>
      </x:c>
      <x:c r="AA131" s="66" t="n">
        <x:v>97547.05403874457</x:v>
      </x:c>
      <x:c r="AB131" s="66" t="n">
        <x:v>484.78707864048226</x:v>
      </x:c>
      <x:c r="AC131" s="66" t="n">
        <x:v>3695.19103541444</x:v>
      </x:c>
      <x:c r="AD131" s="66" t="n">
        <x:v>1426.9627488518736</x:v>
      </x:c>
      <x:c r="AE131" s="66" t="n">
        <x:v>65331.19463825098</x:v>
      </x:c>
      <x:c r="AF131" s="66" t="n">
        <x:v>138800.83332931067</x:v>
      </x:c>
      <x:c r="AG131" s="66" t="n">
        <x:v>0</x:v>
      </x:c>
      <x:c r="AH131" s="36" t="n">
        <x:v>1</x:v>
      </x:c>
    </x:row>
    <x:row r="132" ht="15" hidden="0" customHeight="1">
      <x:c r="A132" s="34" t="n">
        <x:v>32</x:v>
      </x:c>
      <x:c r="B132" s="34" t="str">
        <x:v>H3</x:v>
      </x:c>
      <x:c r="C132" s="34" t="str">
        <x:v>fast</x:v>
      </x:c>
      <x:c r="D132" s="74" t="n">
        <x:v>1.033939332140405</x:v>
      </x:c>
      <x:c r="E132" s="74" t="n">
        <x:v>0.03833002542849869</x:v>
      </x:c>
      <x:c r="F132" s="74" t="n">
        <x:v>0.9932227384630685</x:v>
      </x:c>
      <x:c r="G132" s="74" t="n">
        <x:v>1.0619416863673545</x:v>
      </x:c>
      <x:c r="H132" s="74" t="n">
        <x:v>0.9368492924732856</x:v>
      </x:c>
      <x:c r="I132" s="74" t="n">
        <x:v>0.791734145414439</x:v>
      </x:c>
      <x:c r="J132" s="74" t="n">
        <x:v>0.775508204709938</x:v>
      </x:c>
      <x:c r="K132" s="74" t="n">
        <x:v>0.9425739603822619</x:v>
      </x:c>
      <x:c r="L132" s="74" t="n">
        <x:v>0.9659724826221435</x:v>
      </x:c>
      <x:c r="M132" s="74" t="n">
        <x:v>0.9760167691857138</x:v>
      </x:c>
      <x:c r="N132" s="74" t="n">
        <x:v>0.9653693979384499</x:v>
      </x:c>
      <x:c r="O132" s="65" t="n">
        <x:v>497376.3089382753</x:v>
      </x:c>
      <x:c r="P132" s="65" t="n">
        <x:v>362657.00950275885</x:v>
      </x:c>
      <x:c r="Q132" s="65" t="n">
        <x:v>134719.29943551647</x:v>
      </x:c>
      <x:c r="R132" s="65" t="n">
        <x:v>111854.34828635491</x:v>
      </x:c>
      <x:c r="S132" s="65" t="n">
        <x:v>22864.951149161585</x:v>
      </x:c>
      <x:c r="T132" s="65" t="n">
        <x:v>133320.8245037354</x:v>
      </x:c>
      <x:c r="U132" s="43" t="n">
        <x:v>0.9971882960514017</x:v>
      </x:c>
      <x:c r="V132" s="43" t="n">
        <x:v>0.9982290615216811</x:v>
      </x:c>
      <x:c r="W132" s="43" t="n">
        <x:v>0.9718829605140153</x:v>
      </x:c>
      <x:c r="X132" s="65" t="n">
        <x:v>12088510.23792331</x:v>
      </x:c>
      <x:c r="Y132" s="65" t="n">
        <x:v>24.304555767298318</x:v>
      </x:c>
      <x:c r="Z132" s="65" t="n">
        <x:v>1448168.3717825715</x:v>
      </x:c>
      <x:c r="AA132" s="65" t="n">
        <x:v>83836.06655516115</x:v>
      </x:c>
      <x:c r="AB132" s="65" t="n">
        <x:v>13076.932689505758</x:v>
      </x:c>
      <x:c r="AC132" s="65" t="n">
        <x:v>2706.227601759004</x:v>
      </x:c>
      <x:c r="AD132" s="65" t="n">
        <x:v>1398.4749317810779</x:v>
      </x:c>
      <x:c r="AE132" s="65" t="n">
        <x:v>63879.25062997357</x:v>
      </x:c>
      <x:c r="AF132" s="65" t="n">
        <x:v>133320.8245037354</x:v>
      </x:c>
      <x:c r="AG132" s="65" t="n">
        <x:v>0</x:v>
      </x:c>
      <x:c r="AH132" s="34" t="n">
        <x:v>1</x:v>
      </x:c>
    </x:row>
    <x:row r="133" ht="15" hidden="0" customHeight="1">
      <x:c r="A133" s="36" t="n">
        <x:v>33</x:v>
      </x:c>
      <x:c r="B133" s="36" t="str">
        <x:v>M0</x:v>
      </x:c>
      <x:c r="C133" s="36" t="str">
        <x:v>reference</x:v>
      </x:c>
      <x:c r="D133" s="75" t="n">
        <x:v>1.0122449763206096</x:v>
      </x:c>
      <x:c r="E133" s="75" t="n">
        <x:v>0.02917800458574</x:v>
      </x:c>
      <x:c r="F133" s="75" t="n">
        <x:v>0.8240982029037671</x:v>
      </x:c>
      <x:c r="G133" s="75" t="n">
        <x:v>0.9951416927607717</x:v>
      </x:c>
      <x:c r="H133" s="75" t="n">
        <x:v>0.7269291561553829</x:v>
      </x:c>
      <x:c r="I133" s="75" t="n">
        <x:v>0.7980703627594825</x:v>
      </x:c>
      <x:c r="J133" s="75" t="n">
        <x:v>0.9647824392435334</x:v>
      </x:c>
      <x:c r="K133" s="75" t="n">
        <x:v>0.9212007558163168</x:v>
      </x:c>
      <x:c r="L133" s="75" t="n">
        <x:v>0.8019163678311418</x:v>
      </x:c>
      <x:c r="M133" s="75" t="n">
        <x:v>0.9664315042365106</x:v>
      </x:c>
      <x:c r="N133" s="75" t="n">
        <x:v>0.9236945400725116</x:v>
      </x:c>
      <x:c r="O133" s="66" t="n">
        <x:v>486940.243410034</x:v>
      </x:c>
      <x:c r="P133" s="66" t="n">
        <x:v>58634.32788101549</x:v>
      </x:c>
      <x:c r="Q133" s="66" t="n">
        <x:v>428305.9155290185</x:v>
      </x:c>
      <x:c r="R133" s="66" t="n">
        <x:v>105050.90704845337</x:v>
      </x:c>
      <x:c r="S133" s="66" t="n">
        <x:v>323255.0084805651</x:v>
      </x:c>
      <x:c r="T133" s="66" t="n">
        <x:v>231042.89777231863</x:v>
      </x:c>
      <x:c r="U133" s="45" t="n">
        <x:v>0.5948927606080153</x:v>
      </x:c>
      <x:c r="V133" s="45" t="n">
        <x:v>0.6182898194210553</x:v>
      </x:c>
      <x:c r="W133" s="45" t="n">
        <x:v>0.1176123498498964</x:v>
      </x:c>
      <x:c r="X133" s="66" t="n">
        <x:v>57748432.51632185</x:v>
      </x:c>
      <x:c r="Y133" s="66" t="n">
        <x:v>118.5944955214845</x:v>
      </x:c>
      <x:c r="Z133" s="66" t="n">
        <x:v>4284570.523658528</x:v>
      </x:c>
      <x:c r="AA133" s="66" t="n">
        <x:v>317181.6626329272</x:v>
      </x:c>
      <x:c r="AB133" s="66" t="n">
        <x:v>34987.15208435965</x:v>
      </x:c>
      <x:c r="AC133" s="66" t="n">
        <x:v>0</x:v>
      </x:c>
      <x:c r="AD133" s="66" t="n">
        <x:v>2084.223985237487</x:v>
      </x:c>
      <x:c r="AE133" s="66" t="n">
        <x:v>177838.092264142</x:v>
      </x:c>
      <x:c r="AF133" s="66" t="n">
        <x:v>231042.89777231857</x:v>
      </x:c>
      <x:c r="AG133" s="66" t="n">
        <x:v>5.820766091346741e-11</x:v>
      </x:c>
      <x:c r="AH133" s="36" t="n">
        <x:v>0</x:v>
      </x:c>
    </x:row>
    <x:row r="134" ht="15" hidden="0" customHeight="1">
      <x:c r="A134" s="34" t="n">
        <x:v>33</x:v>
      </x:c>
      <x:c r="B134" s="34" t="str">
        <x:v>B1</x:v>
      </x:c>
      <x:c r="C134" s="34" t="str">
        <x:v>reference</x:v>
      </x:c>
      <x:c r="D134" s="74" t="n">
        <x:v>1.0122449763206096</x:v>
      </x:c>
      <x:c r="E134" s="74" t="n">
        <x:v>0.02917800458574</x:v>
      </x:c>
      <x:c r="F134" s="74" t="n">
        <x:v>0.8240982029037671</x:v>
      </x:c>
      <x:c r="G134" s="74" t="n">
        <x:v>0.9951416927607717</x:v>
      </x:c>
      <x:c r="H134" s="74" t="n">
        <x:v>0.7269291561553829</x:v>
      </x:c>
      <x:c r="I134" s="74" t="n">
        <x:v>0.7980703627594825</x:v>
      </x:c>
      <x:c r="J134" s="74" t="n">
        <x:v>0.9647824392435334</x:v>
      </x:c>
      <x:c r="K134" s="74" t="n">
        <x:v>0.9212007558163168</x:v>
      </x:c>
      <x:c r="L134" s="74" t="n">
        <x:v>0.8019163678311418</x:v>
      </x:c>
      <x:c r="M134" s="74" t="n">
        <x:v>0.9664315042365106</x:v>
      </x:c>
      <x:c r="N134" s="74" t="n">
        <x:v>0.9236945400725116</x:v>
      </x:c>
      <x:c r="O134" s="65" t="n">
        <x:v>486940.243410034</x:v>
      </x:c>
      <x:c r="P134" s="65" t="n">
        <x:v>198340.86542391073</x:v>
      </x:c>
      <x:c r="Q134" s="65" t="n">
        <x:v>288599.37798612326</x:v>
      </x:c>
      <x:c r="R134" s="65" t="n">
        <x:v>105050.90704845337</x:v>
      </x:c>
      <x:c r="S134" s="65" t="n">
        <x:v>183548.47093766992</x:v>
      </x:c>
      <x:c r="T134" s="65" t="n">
        <x:v>170145.50761462597</x:v>
      </x:c>
      <x:c r="U134" s="43" t="n">
        <x:v>0.7567383842790095</x:v>
      </x:c>
      <x:c r="V134" s="43" t="n">
        <x:v>0.7949031929618503</x:v>
      </x:c>
      <x:c r="W134" s="43" t="n">
        <x:v>0.42321517579066237</x:v>
      </x:c>
      <x:c r="X134" s="65" t="n">
        <x:v>39402648.43967027</x:v>
      </x:c>
      <x:c r="Y134" s="65" t="n">
        <x:v>80.91885805891543</x:v>
      </x:c>
      <x:c r="Z134" s="65" t="n">
        <x:v>1391913.3097726894</x:v>
      </x:c>
      <x:c r="AA134" s="65" t="n">
        <x:v>216362.29117004148</x:v>
      </x:c>
      <x:c r="AB134" s="65" t="n">
        <x:v>4451.676769844173</x:v>
      </x:c>
      <x:c r="AC134" s="65" t="n">
        <x:v>0</x:v>
      </x:c>
      <x:c r="AD134" s="65" t="n">
        <x:v>1735.4724959010427</x:v>
      </x:c>
      <x:c r="AE134" s="65" t="n">
        <x:v>119688.96993523875</x:v>
      </x:c>
      <x:c r="AF134" s="65" t="n">
        <x:v>170145.50761462594</x:v>
      </x:c>
      <x:c r="AG134" s="65" t="n">
        <x:v>2.9103830456733704e-11</x:v>
      </x:c>
      <x:c r="AH134" s="34" t="n">
        <x:v>0</x:v>
      </x:c>
    </x:row>
    <x:row r="135" ht="15" hidden="0" customHeight="1">
      <x:c r="A135" s="36" t="n">
        <x:v>33</x:v>
      </x:c>
      <x:c r="B135" s="36" t="str">
        <x:v>P2</x:v>
      </x:c>
      <x:c r="C135" s="36" t="str">
        <x:v>reference</x:v>
      </x:c>
      <x:c r="D135" s="75" t="n">
        <x:v>1.0122449763206096</x:v>
      </x:c>
      <x:c r="E135" s="75" t="n">
        <x:v>0.02917800458574</x:v>
      </x:c>
      <x:c r="F135" s="75" t="n">
        <x:v>0.8240982029037671</x:v>
      </x:c>
      <x:c r="G135" s="75" t="n">
        <x:v>0.9951416927607717</x:v>
      </x:c>
      <x:c r="H135" s="75" t="n">
        <x:v>0.7269291561553829</x:v>
      </x:c>
      <x:c r="I135" s="75" t="n">
        <x:v>0.7980703627594825</x:v>
      </x:c>
      <x:c r="J135" s="75" t="n">
        <x:v>0.9647824392435334</x:v>
      </x:c>
      <x:c r="K135" s="75" t="n">
        <x:v>0.9212007558163168</x:v>
      </x:c>
      <x:c r="L135" s="75" t="n">
        <x:v>0.8019163678311418</x:v>
      </x:c>
      <x:c r="M135" s="75" t="n">
        <x:v>0.9664315042365106</x:v>
      </x:c>
      <x:c r="N135" s="75" t="n">
        <x:v>0.9236945400725116</x:v>
      </x:c>
      <x:c r="O135" s="66" t="n">
        <x:v>486940.243410034</x:v>
      </x:c>
      <x:c r="P135" s="66" t="n">
        <x:v>287335.03028531506</x:v>
      </x:c>
      <x:c r="Q135" s="66" t="n">
        <x:v>199605.21312471892</x:v>
      </x:c>
      <x:c r="R135" s="66" t="n">
        <x:v>105050.90704845337</x:v>
      </x:c>
      <x:c r="S135" s="66" t="n">
        <x:v>94554.30607626552</x:v>
      </x:c>
      <x:c r="T135" s="66" t="n">
        <x:v>112601.47011213444</x:v>
      </x:c>
      <x:c r="U135" s="45" t="n">
        <x:v>0.8213256263164885</x:v>
      </x:c>
      <x:c r="V135" s="45" t="n">
        <x:v>0.8483634315180654</x:v>
      </x:c>
      <x:c r="W135" s="45" t="n">
        <x:v>0.5274489233860473</x:v>
      </x:c>
      <x:c r="X135" s="66" t="n">
        <x:v>26762040.526673213</x:v>
      </x:c>
      <x:c r="Y135" s="66" t="n">
        <x:v>54.95959902442877</x:v>
      </x:c>
      <x:c r="Z135" s="66" t="n">
        <x:v>704587.3221051658</x:v>
      </x:c>
      <x:c r="AA135" s="66" t="n">
        <x:v>153158.5308615297</x:v>
      </x:c>
      <x:c r="AB135" s="66" t="n">
        <x:v>0</x:v>
      </x:c>
      <x:c r="AC135" s="66" t="n">
        <x:v>0</x:v>
      </x:c>
      <x:c r="AD135" s="66" t="n">
        <x:v>1524.745926970308</x:v>
      </x:c>
      <x:c r="AE135" s="66" t="n">
        <x:v>61877.2340377974</x:v>
      </x:c>
      <x:c r="AF135" s="66" t="n">
        <x:v>112601.47011213448</x:v>
      </x:c>
      <x:c r="AG135" s="66" t="n">
        <x:v>0</x:v>
      </x:c>
      <x:c r="AH135" s="36" t="n">
        <x:v>0</x:v>
      </x:c>
    </x:row>
    <x:row r="136" ht="15" hidden="0" customHeight="1">
      <x:c r="A136" s="34" t="n">
        <x:v>33</x:v>
      </x:c>
      <x:c r="B136" s="34" t="str">
        <x:v>H3</x:v>
      </x:c>
      <x:c r="C136" s="34" t="str">
        <x:v>reference</x:v>
      </x:c>
      <x:c r="D136" s="74" t="n">
        <x:v>1.0122449763206096</x:v>
      </x:c>
      <x:c r="E136" s="74" t="n">
        <x:v>0.02917800458574</x:v>
      </x:c>
      <x:c r="F136" s="74" t="n">
        <x:v>0.8240982029037671</x:v>
      </x:c>
      <x:c r="G136" s="74" t="n">
        <x:v>0.9951416927607717</x:v>
      </x:c>
      <x:c r="H136" s="74" t="n">
        <x:v>0.7269291561553829</x:v>
      </x:c>
      <x:c r="I136" s="74" t="n">
        <x:v>0.7980703627594825</x:v>
      </x:c>
      <x:c r="J136" s="74" t="n">
        <x:v>0.9647824392435334</x:v>
      </x:c>
      <x:c r="K136" s="74" t="n">
        <x:v>0.9212007558163168</x:v>
      </x:c>
      <x:c r="L136" s="74" t="n">
        <x:v>0.8019163678311418</x:v>
      </x:c>
      <x:c r="M136" s="74" t="n">
        <x:v>0.9664315042365106</x:v>
      </x:c>
      <x:c r="N136" s="74" t="n">
        <x:v>0.9236945400725116</x:v>
      </x:c>
      <x:c r="O136" s="65" t="n">
        <x:v>486940.243410034</x:v>
      </x:c>
      <x:c r="P136" s="65" t="n">
        <x:v>298069.02034334256</x:v>
      </x:c>
      <x:c r="Q136" s="65" t="n">
        <x:v>188871.22306669137</x:v>
      </x:c>
      <x:c r="R136" s="65" t="n">
        <x:v>105050.90704845337</x:v>
      </x:c>
      <x:c r="S136" s="65" t="n">
        <x:v>83820.316018238</x:v>
      </x:c>
      <x:c r="T136" s="65" t="n">
        <x:v>172428.72394313497</x:v>
      </x:c>
      <x:c r="U136" s="43" t="n">
        <x:v>0.9662330247990805</x:v>
      </x:c>
      <x:c r="V136" s="43" t="n">
        <x:v>0.9736718409428412</x:v>
      </x:c>
      <x:c r="W136" s="43" t="n">
        <x:v>0.7642047351790939</x:v>
      </x:c>
      <x:c r="X136" s="65" t="n">
        <x:v>20006957.393726055</x:v>
      </x:c>
      <x:c r="Y136" s="65" t="n">
        <x:v>41.087089564866695</x:v>
      </x:c>
      <x:c r="Z136" s="65" t="n">
        <x:v>1154460.5300513096</x:v>
      </x:c>
      <x:c r="AA136" s="65" t="n">
        <x:v>124439.8630429469</x:v>
      </x:c>
      <x:c r="AB136" s="65" t="n">
        <x:v>2099.7228663932133</x:v>
      </x:c>
      <x:c r="AC136" s="65" t="n">
        <x:v>0</x:v>
      </x:c>
      <x:c r="AD136" s="65" t="n">
        <x:v>1501.0904724211214</x:v>
      </x:c>
      <x:c r="AE136" s="65" t="n">
        <x:v>68540.35999578785</x:v>
      </x:c>
      <x:c r="AF136" s="65" t="n">
        <x:v>172428.72394313503</x:v>
      </x:c>
      <x:c r="AG136" s="65" t="n">
        <x:v>0</x:v>
      </x:c>
      <x:c r="AH136" s="34" t="n">
        <x:v>0</x:v>
      </x:c>
    </x:row>
    <x:row r="137" ht="15" hidden="0" customHeight="1">
      <x:c r="A137" s="36" t="n">
        <x:v>34</x:v>
      </x:c>
      <x:c r="B137" s="36" t="str">
        <x:v>M0</x:v>
      </x:c>
      <x:c r="C137" s="36" t="str">
        <x:v>reference</x:v>
      </x:c>
      <x:c r="D137" s="75" t="n">
        <x:v>0.9599344651706441</x:v>
      </x:c>
      <x:c r="E137" s="75" t="n">
        <x:v>0.0032913984950385597</x:v>
      </x:c>
      <x:c r="F137" s="75" t="n">
        <x:v>0.9702352503965237</x:v>
      </x:c>
      <x:c r="G137" s="75" t="n">
        <x:v>1.1341355546751701</x:v>
      </x:c>
      <x:c r="H137" s="75" t="n">
        <x:v>1.0630003232693461</x:v>
      </x:c>
      <x:c r="I137" s="75" t="n">
        <x:v>0.9353651319019332</x:v>
      </x:c>
      <x:c r="J137" s="75" t="n">
        <x:v>1.0453107961861838</x:v>
      </x:c>
      <x:c r="K137" s="75" t="n">
        <x:v>0.8352430445308314</x:v>
      </x:c>
      <x:c r="L137" s="75" t="n">
        <x:v>0.7921952433178803</x:v>
      </x:c>
      <x:c r="M137" s="75" t="n">
        <x:v>0.9159387411061756</x:v>
      </x:c>
      <x:c r="N137" s="75" t="n">
        <x:v>0.8571784527912558</x:v>
      </x:c>
      <x:c r="O137" s="66" t="n">
        <x:v>461776.28248344525</x:v>
      </x:c>
      <x:c r="P137" s="66" t="n">
        <x:v>67625.76024533962</x:v>
      </x:c>
      <x:c r="Q137" s="66" t="n">
        <x:v>394150.52223810565</x:v>
      </x:c>
      <x:c r="R137" s="66" t="n">
        <x:v>87668.29509729712</x:v>
      </x:c>
      <x:c r="S137" s="66" t="n">
        <x:v>306482.22714080854</x:v>
      </x:c>
      <x:c r="T137" s="66" t="n">
        <x:v>267164.28082984407</x:v>
      </x:c>
      <x:c r="U137" s="45" t="n">
        <x:v>0.7250048427664451</x:v>
      </x:c>
      <x:c r="V137" s="45" t="n">
        <x:v>0.7488876706673347</x:v>
      </x:c>
      <x:c r="W137" s="45" t="n">
        <x:v>0.15429112225749178</x:v>
      </x:c>
      <x:c r="X137" s="66" t="n">
        <x:v>50377322.8511888</x:v>
      </x:c>
      <x:c r="Y137" s="66" t="n">
        <x:v>109.0946520255614</x:v>
      </x:c>
      <x:c r="Z137" s="66" t="n">
        <x:v>3892107.3582362416</x:v>
      </x:c>
      <x:c r="AA137" s="66" t="n">
        <x:v>276861.83583871304</x:v>
      </x:c>
      <x:c r="AB137" s="66" t="n">
        <x:v>26375.217992673828</x:v>
      </x:c>
      <x:c r="AC137" s="66" t="n">
        <x:v>0</x:v>
      </x:c>
      <x:c r="AD137" s="66" t="n">
        <x:v>1940.0385237566452</x:v>
      </x:c>
      <x:c r="AE137" s="66" t="n">
        <x:v>217790.80194906774</x:v>
      </x:c>
      <x:c r="AF137" s="66" t="n">
        <x:v>267164.28082984395</x:v>
      </x:c>
      <x:c r="AG137" s="66" t="n">
        <x:v>1.1641532182693481e-10</x:v>
      </x:c>
      <x:c r="AH137" s="36" t="n">
        <x:v>0</x:v>
      </x:c>
    </x:row>
    <x:row r="138" ht="15" hidden="0" customHeight="1">
      <x:c r="A138" s="34" t="n">
        <x:v>34</x:v>
      </x:c>
      <x:c r="B138" s="34" t="str">
        <x:v>B1</x:v>
      </x:c>
      <x:c r="C138" s="34" t="str">
        <x:v>reference</x:v>
      </x:c>
      <x:c r="D138" s="74" t="n">
        <x:v>0.9599344651706441</x:v>
      </x:c>
      <x:c r="E138" s="74" t="n">
        <x:v>0.0032913984950385597</x:v>
      </x:c>
      <x:c r="F138" s="74" t="n">
        <x:v>0.9702352503965237</x:v>
      </x:c>
      <x:c r="G138" s="74" t="n">
        <x:v>1.1341355546751701</x:v>
      </x:c>
      <x:c r="H138" s="74" t="n">
        <x:v>1.0630003232693461</x:v>
      </x:c>
      <x:c r="I138" s="74" t="n">
        <x:v>0.9353651319019332</x:v>
      </x:c>
      <x:c r="J138" s="74" t="n">
        <x:v>1.0453107961861838</x:v>
      </x:c>
      <x:c r="K138" s="74" t="n">
        <x:v>0.8352430445308314</x:v>
      </x:c>
      <x:c r="L138" s="74" t="n">
        <x:v>0.7921952433178803</x:v>
      </x:c>
      <x:c r="M138" s="74" t="n">
        <x:v>0.9159387411061756</x:v>
      </x:c>
      <x:c r="N138" s="74" t="n">
        <x:v>0.8571784527912558</x:v>
      </x:c>
      <x:c r="O138" s="65" t="n">
        <x:v>461776.28248344525</x:v>
      </x:c>
      <x:c r="P138" s="65" t="n">
        <x:v>228755.14920494077</x:v>
      </x:c>
      <x:c r="Q138" s="65" t="n">
        <x:v>233021.13327850454</x:v>
      </x:c>
      <x:c r="R138" s="65" t="n">
        <x:v>87668.29509729712</x:v>
      </x:c>
      <x:c r="S138" s="65" t="n">
        <x:v>145352.83818120742</x:v>
      </x:c>
      <x:c r="T138" s="65" t="n">
        <x:v>202889.17455508647</x:v>
      </x:c>
      <x:c r="U138" s="43" t="n">
        <x:v>0.9347477125473669</x:v>
      </x:c>
      <x:c r="V138" s="43" t="n">
        <x:v>0.9479585104240044</x:v>
      </x:c>
      <x:c r="W138" s="43" t="n">
        <x:v>0.6556437279940313</x:v>
      </x:c>
      <x:c r="X138" s="65" t="n">
        <x:v>28650582.215538174</x:v>
      </x:c>
      <x:c r="Y138" s="65" t="n">
        <x:v>62.04429136432597</x:v>
      </x:c>
      <x:c r="Z138" s="65" t="n">
        <x:v>1352876.5510868547</x:v>
      </x:c>
      <x:c r="AA138" s="65" t="n">
        <x:v>155842.2302455774</x:v>
      </x:c>
      <x:c r="AB138" s="65" t="n">
        <x:v>2422.781865270894</x:v>
      </x:c>
      <x:c r="AC138" s="65" t="n">
        <x:v>4869.912713668259</x:v>
      </x:c>
      <x:c r="AD138" s="65" t="n">
        <x:v>1526.7094151413762</x:v>
      </x:c>
      <x:c r="AE138" s="65" t="n">
        <x:v>128828.95623392206</x:v>
      </x:c>
      <x:c r="AF138" s="65" t="n">
        <x:v>202889.17455508639</x:v>
      </x:c>
      <x:c r="AG138" s="65" t="n">
        <x:v>8.731149137020111e-11</x:v>
      </x:c>
      <x:c r="AH138" s="34" t="n">
        <x:v>0</x:v>
      </x:c>
    </x:row>
    <x:row r="139" ht="15" hidden="0" customHeight="1">
      <x:c r="A139" s="36" t="n">
        <x:v>34</x:v>
      </x:c>
      <x:c r="B139" s="36" t="str">
        <x:v>P2</x:v>
      </x:c>
      <x:c r="C139" s="36" t="str">
        <x:v>reference</x:v>
      </x:c>
      <x:c r="D139" s="75" t="n">
        <x:v>0.9599344651706441</x:v>
      </x:c>
      <x:c r="E139" s="75" t="n">
        <x:v>0.0032913984950385597</x:v>
      </x:c>
      <x:c r="F139" s="75" t="n">
        <x:v>0.9702352503965237</x:v>
      </x:c>
      <x:c r="G139" s="75" t="n">
        <x:v>1.1341355546751701</x:v>
      </x:c>
      <x:c r="H139" s="75" t="n">
        <x:v>1.0630003232693461</x:v>
      </x:c>
      <x:c r="I139" s="75" t="n">
        <x:v>0.9353651319019332</x:v>
      </x:c>
      <x:c r="J139" s="75" t="n">
        <x:v>1.0453107961861838</x:v>
      </x:c>
      <x:c r="K139" s="75" t="n">
        <x:v>0.8352430445308314</x:v>
      </x:c>
      <x:c r="L139" s="75" t="n">
        <x:v>0.7921952433178803</x:v>
      </x:c>
      <x:c r="M139" s="75" t="n">
        <x:v>0.9159387411061756</x:v>
      </x:c>
      <x:c r="N139" s="75" t="n">
        <x:v>0.8571784527912558</x:v>
      </x:c>
      <x:c r="O139" s="66" t="n">
        <x:v>461776.28248344525</x:v>
      </x:c>
      <x:c r="P139" s="66" t="n">
        <x:v>331395.3319223593</x:v>
      </x:c>
      <x:c r="Q139" s="66" t="n">
        <x:v>130380.95056108598</x:v>
      </x:c>
      <x:c r="R139" s="66" t="n">
        <x:v>87668.29509729712</x:v>
      </x:c>
      <x:c r="S139" s="66" t="n">
        <x:v>42712.655463788884</x:v>
      </x:c>
      <x:c r="T139" s="66" t="n">
        <x:v>125018.93237098308</x:v>
      </x:c>
      <x:c r="U139" s="45" t="n">
        <x:v>0.9883882771950395</x:v>
      </x:c>
      <x:c r="V139" s="45" t="n">
        <x:v>0.9912502801516321</x:v>
      </x:c>
      <x:c r="W139" s="45" t="n">
        <x:v>0.8838827719503948</x:v>
      </x:c>
      <x:c r="X139" s="66" t="n">
        <x:v>14783275.904812593</x:v>
      </x:c>
      <x:c r="Y139" s="66" t="n">
        <x:v>32.01393502781853</x:v>
      </x:c>
      <x:c r="Z139" s="66" t="n">
        <x:v>787702.8350469139</x:v>
      </x:c>
      <x:c r="AA139" s="66" t="n">
        <x:v>82702.06604193304</x:v>
      </x:c>
      <x:c r="AB139" s="66" t="n">
        <x:v>0</x:v>
      </x:c>
      <x:c r="AC139" s="66" t="n">
        <x:v>3834.206199195911</x:v>
      </x:c>
      <x:c r="AD139" s="66" t="n">
        <x:v>1276.9630267792352</x:v>
      </x:c>
      <x:c r="AE139" s="66" t="n">
        <x:v>58486.943326621156</x:v>
      </x:c>
      <x:c r="AF139" s="66" t="n">
        <x:v>125018.93237098302</x:v>
      </x:c>
      <x:c r="AG139" s="66" t="n">
        <x:v>5.820766091346741e-11</x:v>
      </x:c>
      <x:c r="AH139" s="36" t="n">
        <x:v>1</x:v>
      </x:c>
    </x:row>
    <x:row r="140" ht="15" hidden="0" customHeight="1">
      <x:c r="A140" s="34" t="n">
        <x:v>34</x:v>
      </x:c>
      <x:c r="B140" s="34" t="str">
        <x:v>H3</x:v>
      </x:c>
      <x:c r="C140" s="34" t="str">
        <x:v>reference</x:v>
      </x:c>
      <x:c r="D140" s="74" t="n">
        <x:v>0.9599344651706441</x:v>
      </x:c>
      <x:c r="E140" s="74" t="n">
        <x:v>0.0032913984950385597</x:v>
      </x:c>
      <x:c r="F140" s="74" t="n">
        <x:v>0.9702352503965237</x:v>
      </x:c>
      <x:c r="G140" s="74" t="n">
        <x:v>1.1341355546751701</x:v>
      </x:c>
      <x:c r="H140" s="74" t="n">
        <x:v>1.0630003232693461</x:v>
      </x:c>
      <x:c r="I140" s="74" t="n">
        <x:v>0.9353651319019332</x:v>
      </x:c>
      <x:c r="J140" s="74" t="n">
        <x:v>1.0453107961861838</x:v>
      </x:c>
      <x:c r="K140" s="74" t="n">
        <x:v>0.8352430445308314</x:v>
      </x:c>
      <x:c r="L140" s="74" t="n">
        <x:v>0.7921952433178803</x:v>
      </x:c>
      <x:c r="M140" s="74" t="n">
        <x:v>0.9159387411061756</x:v>
      </x:c>
      <x:c r="N140" s="74" t="n">
        <x:v>0.8571784527912558</x:v>
      </x:c>
      <x:c r="O140" s="65" t="n">
        <x:v>461776.28248344525</x:v>
      </x:c>
      <x:c r="P140" s="65" t="n">
        <x:v>343775.1519622819</x:v>
      </x:c>
      <x:c r="Q140" s="65" t="n">
        <x:v>118001.13052116342</x:v>
      </x:c>
      <x:c r="R140" s="65" t="n">
        <x:v>87668.29509729712</x:v>
      </x:c>
      <x:c r="S140" s="65" t="n">
        <x:v>30332.835423866305</x:v>
      </x:c>
      <x:c r="T140" s="65" t="n">
        <x:v>116752.20318237883</x:v>
      </x:c>
      <x:c r="U140" s="43" t="n">
        <x:v>0.997295384396817</x:v>
      </x:c>
      <x:c r="V140" s="43" t="n">
        <x:v>0.9982965021633268</x:v>
      </x:c>
      <x:c r="W140" s="43" t="n">
        <x:v>0.9729538439681695</x:v>
      </x:c>
      <x:c r="X140" s="65" t="n">
        <x:v>12085597.079779359</x:v>
      </x:c>
      <x:c r="Y140" s="65" t="n">
        <x:v>26.171974478166554</x:v>
      </x:c>
      <x:c r="Z140" s="65" t="n">
        <x:v>786101.3157586129</x:v>
      </x:c>
      <x:c r="AA140" s="65" t="n">
        <x:v>75682.67012007593</x:v>
      </x:c>
      <x:c r="AB140" s="65" t="n">
        <x:v>3834.089811784321</x:v>
      </x:c>
      <x:c r="AC140" s="65" t="n">
        <x:v>0</x:v>
      </x:c>
      <x:c r="AD140" s="65" t="n">
        <x:v>1248.9273387845901</x:v>
      </x:c>
      <x:c r="AE140" s="65" t="n">
        <x:v>57058.043067236555</x:v>
      </x:c>
      <x:c r="AF140" s="65" t="n">
        <x:v>116752.20318237881</x:v>
      </x:c>
      <x:c r="AG140" s="65" t="n">
        <x:v>1.4551915228366852e-11</x:v>
      </x:c>
      <x:c r="AH140" s="34" t="n">
        <x:v>1</x:v>
      </x:c>
    </x:row>
    <x:row r="141" ht="15" hidden="0" customHeight="1">
      <x:c r="A141" s="36" t="n">
        <x:v>35</x:v>
      </x:c>
      <x:c r="B141" s="36" t="str">
        <x:v>M0</x:v>
      </x:c>
      <x:c r="C141" s="36" t="str">
        <x:v>reference</x:v>
      </x:c>
      <x:c r="D141" s="75" t="n">
        <x:v>0.9333308950833118</x:v>
      </x:c>
      <x:c r="E141" s="75" t="n">
        <x:v>0.059565467666847845</x:v>
      </x:c>
      <x:c r="F141" s="75" t="n">
        <x:v>0.9055371781917995</x:v>
      </x:c>
      <x:c r="G141" s="75" t="n">
        <x:v>1.0367874406360578</x:v>
      </x:c>
      <x:c r="H141" s="75" t="n">
        <x:v>0.7272360301054632</x:v>
      </x:c>
      <x:c r="I141" s="75" t="n">
        <x:v>0.884746582401426</x:v>
      </x:c>
      <x:c r="J141" s="75" t="n">
        <x:v>1.029822797763342</x:v>
      </x:c>
      <x:c r="K141" s="75" t="n">
        <x:v>0.8920442592900524</x:v>
      </x:c>
      <x:c r="L141" s="75" t="n">
        <x:v>0.9843226935989483</x:v>
      </x:c>
      <x:c r="M141" s="75" t="n">
        <x:v>0.8644623490208568</x:v>
      </x:c>
      <x:c r="N141" s="75" t="n">
        <x:v>0.846499969193107</x:v>
      </x:c>
      <x:c r="O141" s="66" t="n">
        <x:v>448978.6404136481</x:v>
      </x:c>
      <x:c r="P141" s="66" t="n">
        <x:v>57103.64537640736</x:v>
      </x:c>
      <x:c r="Q141" s="66" t="n">
        <x:v>391874.9950372408</x:v>
      </x:c>
      <x:c r="R141" s="66" t="n">
        <x:v>110504.51593676381</x:v>
      </x:c>
      <x:c r="S141" s="66" t="n">
        <x:v>281370.47910047695</x:v>
      </x:c>
      <x:c r="T141" s="66" t="n">
        <x:v>241258.71472038113</x:v>
      </x:c>
      <x:c r="U141" s="45" t="n">
        <x:v>0.6645357556918622</x:v>
      </x:c>
      <x:c r="V141" s="45" t="n">
        <x:v>0.7058058779062298</x:v>
      </x:c>
      <x:c r="W141" s="45" t="n">
        <x:v>0.13227948306309184</x:v>
      </x:c>
      <x:c r="X141" s="66" t="n">
        <x:v>50980402.23885552</x:v>
      </x:c>
      <x:c r="Y141" s="66" t="n">
        <x:v>113.54750014808458</x:v>
      </x:c>
      <x:c r="Z141" s="66" t="n">
        <x:v>3623248.6798155527</x:v>
      </x:c>
      <x:c r="AA141" s="66" t="n">
        <x:v>281924.6504948232</x:v>
      </x:c>
      <x:c r="AB141" s="66" t="n">
        <x:v>26532.06805034883</x:v>
      </x:c>
      <x:c r="AC141" s="66" t="n">
        <x:v>0</x:v>
      </x:c>
      <x:c r="AD141" s="66" t="n">
        <x:v>1918.973226458184</x:v>
      </x:c>
      <x:c r="AE141" s="66" t="n">
        <x:v>192500.3164948582</x:v>
      </x:c>
      <x:c r="AF141" s="66" t="n">
        <x:v>241258.7147203809</x:v>
      </x:c>
      <x:c r="AG141" s="66" t="n">
        <x:v>2.3283064365386963e-10</x:v>
      </x:c>
      <x:c r="AH141" s="36" t="n">
        <x:v>0</x:v>
      </x:c>
    </x:row>
    <x:row r="142" ht="15" hidden="0" customHeight="1">
      <x:c r="A142" s="34" t="n">
        <x:v>35</x:v>
      </x:c>
      <x:c r="B142" s="34" t="str">
        <x:v>B1</x:v>
      </x:c>
      <x:c r="C142" s="34" t="str">
        <x:v>reference</x:v>
      </x:c>
      <x:c r="D142" s="74" t="n">
        <x:v>0.9333308950833118</x:v>
      </x:c>
      <x:c r="E142" s="74" t="n">
        <x:v>0.059565467666847845</x:v>
      </x:c>
      <x:c r="F142" s="74" t="n">
        <x:v>0.9055371781917995</x:v>
      </x:c>
      <x:c r="G142" s="74" t="n">
        <x:v>1.0367874406360578</x:v>
      </x:c>
      <x:c r="H142" s="74" t="n">
        <x:v>0.7272360301054632</x:v>
      </x:c>
      <x:c r="I142" s="74" t="n">
        <x:v>0.884746582401426</x:v>
      </x:c>
      <x:c r="J142" s="74" t="n">
        <x:v>1.029822797763342</x:v>
      </x:c>
      <x:c r="K142" s="74" t="n">
        <x:v>0.8920442592900524</x:v>
      </x:c>
      <x:c r="L142" s="74" t="n">
        <x:v>0.9843226935989483</x:v>
      </x:c>
      <x:c r="M142" s="74" t="n">
        <x:v>0.8644623490208568</x:v>
      </x:c>
      <x:c r="N142" s="74" t="n">
        <x:v>0.846499969193107</x:v>
      </x:c>
      <x:c r="O142" s="65" t="n">
        <x:v>448978.6404136481</x:v>
      </x:c>
      <x:c r="P142" s="65" t="n">
        <x:v>193163.92516610477</x:v>
      </x:c>
      <x:c r="Q142" s="65" t="n">
        <x:v>255814.71524754332</x:v>
      </x:c>
      <x:c r="R142" s="65" t="n">
        <x:v>110504.51593676381</x:v>
      </x:c>
      <x:c r="S142" s="65" t="n">
        <x:v>145310.1993107795</x:v>
      </x:c>
      <x:c r="T142" s="65" t="n">
        <x:v>173278.78073655133</x:v>
      </x:c>
      <x:c r="U142" s="43" t="n">
        <x:v>0.8161695744925619</x:v>
      </x:c>
      <x:c r="V142" s="43" t="n">
        <x:v>0.8469403861024659</x:v>
      </x:c>
      <x:c r="W142" s="43" t="n">
        <x:v>0.4716114177797754</x:v>
      </x:c>
      <x:c r="X142" s="65" t="n">
        <x:v>33688849.05987426</x:v>
      </x:c>
      <x:c r="Y142" s="65" t="n">
        <x:v>75.03441372809276</x:v>
      </x:c>
      <x:c r="Z142" s="65" t="n">
        <x:v>1140247.3663453278</x:v>
      </x:c>
      <x:c r="AA142" s="65" t="n">
        <x:v>184686.2174773818</x:v>
      </x:c>
      <x:c r="AB142" s="65" t="n">
        <x:v>1795.80296397146</x:v>
      </x:c>
      <x:c r="AC142" s="65" t="n">
        <x:v>0</x:v>
      </x:c>
      <x:c r="AD142" s="65" t="n">
        <x:v>1591.147379135846</x:v>
      </x:c>
      <x:c r="AE142" s="65" t="n">
        <x:v>115053.45853554769</x:v>
      </x:c>
      <x:c r="AF142" s="65" t="n">
        <x:v>173278.7807365513</x:v>
      </x:c>
      <x:c r="AG142" s="65" t="n">
        <x:v>2.9103830456733704e-11</x:v>
      </x:c>
      <x:c r="AH142" s="34" t="n">
        <x:v>0</x:v>
      </x:c>
    </x:row>
    <x:row r="143" ht="15" hidden="0" customHeight="1">
      <x:c r="A143" s="36" t="n">
        <x:v>35</x:v>
      </x:c>
      <x:c r="B143" s="36" t="str">
        <x:v>P2</x:v>
      </x:c>
      <x:c r="C143" s="36" t="str">
        <x:v>reference</x:v>
      </x:c>
      <x:c r="D143" s="75" t="n">
        <x:v>0.9333308950833118</x:v>
      </x:c>
      <x:c r="E143" s="75" t="n">
        <x:v>0.059565467666847845</x:v>
      </x:c>
      <x:c r="F143" s="75" t="n">
        <x:v>0.9055371781917995</x:v>
      </x:c>
      <x:c r="G143" s="75" t="n">
        <x:v>1.0367874406360578</x:v>
      </x:c>
      <x:c r="H143" s="75" t="n">
        <x:v>0.7272360301054632</x:v>
      </x:c>
      <x:c r="I143" s="75" t="n">
        <x:v>0.884746582401426</x:v>
      </x:c>
      <x:c r="J143" s="75" t="n">
        <x:v>1.029822797763342</x:v>
      </x:c>
      <x:c r="K143" s="75" t="n">
        <x:v>0.8920442592900524</x:v>
      </x:c>
      <x:c r="L143" s="75" t="n">
        <x:v>0.9843226935989483</x:v>
      </x:c>
      <x:c r="M143" s="75" t="n">
        <x:v>0.8644623490208568</x:v>
      </x:c>
      <x:c r="N143" s="75" t="n">
        <x:v>0.846499969193107</x:v>
      </x:c>
      <x:c r="O143" s="66" t="n">
        <x:v>448978.6404136481</x:v>
      </x:c>
      <x:c r="P143" s="66" t="n">
        <x:v>279835.93544497143</x:v>
      </x:c>
      <x:c r="Q143" s="66" t="n">
        <x:v>169142.70496867667</x:v>
      </x:c>
      <x:c r="R143" s="66" t="n">
        <x:v>110504.51593676381</x:v>
      </x:c>
      <x:c r="S143" s="66" t="n">
        <x:v>58638.18903191283</x:v>
      </x:c>
      <x:c r="T143" s="66" t="n">
        <x:v>112265.64579641871</x:v>
      </x:c>
      <x:c r="U143" s="45" t="n">
        <x:v>0.8733190088511638</x:v>
      </x:c>
      <x:c r="V143" s="45" t="n">
        <x:v>0.8925297116148035</x:v>
      </x:c>
      <x:c r="W143" s="45" t="n">
        <x:v>0.5983561782583054</x:v>
      </x:c>
      <x:c r="X143" s="66" t="n">
        <x:v>21673892.583226345</x:v>
      </x:c>
      <x:c r="Y143" s="66" t="n">
        <x:v>48.27377214038064</x:v>
      </x:c>
      <x:c r="Z143" s="66" t="n">
        <x:v>701977.0382504945</x:v>
      </x:c>
      <x:c r="AA143" s="66" t="n">
        <x:v>124065.42786451458</x:v>
      </x:c>
      <x:c r="AB143" s="66" t="n">
        <x:v>0</x:v>
      </x:c>
      <x:c r="AC143" s="66" t="n">
        <x:v>0</x:v>
      </x:c>
      <x:c r="AD143" s="66" t="n">
        <x:v>1393.0647382717566</x:v>
      </x:c>
      <x:c r="AE143" s="66" t="n">
        <x:v>59896.414695106316</x:v>
      </x:c>
      <x:c r="AF143" s="66" t="n">
        <x:v>112265.6457964187</x:v>
      </x:c>
      <x:c r="AG143" s="66" t="n">
        <x:v>1.4551915228366852e-11</x:v>
      </x:c>
      <x:c r="AH143" s="36" t="n">
        <x:v>0</x:v>
      </x:c>
    </x:row>
    <x:row r="144" ht="15" hidden="0" customHeight="1">
      <x:c r="A144" s="34" t="n">
        <x:v>35</x:v>
      </x:c>
      <x:c r="B144" s="34" t="str">
        <x:v>H3</x:v>
      </x:c>
      <x:c r="C144" s="34" t="str">
        <x:v>reference</x:v>
      </x:c>
      <x:c r="D144" s="74" t="n">
        <x:v>0.9333308950833118</x:v>
      </x:c>
      <x:c r="E144" s="74" t="n">
        <x:v>0.059565467666847845</x:v>
      </x:c>
      <x:c r="F144" s="74" t="n">
        <x:v>0.9055371781917995</x:v>
      </x:c>
      <x:c r="G144" s="74" t="n">
        <x:v>1.0367874406360578</x:v>
      </x:c>
      <x:c r="H144" s="74" t="n">
        <x:v>0.7272360301054632</x:v>
      </x:c>
      <x:c r="I144" s="74" t="n">
        <x:v>0.884746582401426</x:v>
      </x:c>
      <x:c r="J144" s="74" t="n">
        <x:v>1.029822797763342</x:v>
      </x:c>
      <x:c r="K144" s="74" t="n">
        <x:v>0.8920442592900524</x:v>
      </x:c>
      <x:c r="L144" s="74" t="n">
        <x:v>0.9843226935989483</x:v>
      </x:c>
      <x:c r="M144" s="74" t="n">
        <x:v>0.8644623490208568</x:v>
      </x:c>
      <x:c r="N144" s="74" t="n">
        <x:v>0.846499969193107</x:v>
      </x:c>
      <x:c r="O144" s="65" t="n">
        <x:v>448978.6404136481</x:v>
      </x:c>
      <x:c r="P144" s="65" t="n">
        <x:v>290289.9231533257</x:v>
      </x:c>
      <x:c r="Q144" s="65" t="n">
        <x:v>158688.71726032248</x:v>
      </x:c>
      <x:c r="R144" s="65" t="n">
        <x:v>110504.51593676381</x:v>
      </x:c>
      <x:c r="S144" s="65" t="n">
        <x:v>48184.20132355865</x:v>
      </x:c>
      <x:c r="T144" s="65" t="n">
        <x:v>157317.88861184102</x:v>
      </x:c>
      <x:c r="U144" s="43" t="n">
        <x:v>0.9969467842674686</x:v>
      </x:c>
      <x:c r="V144" s="43" t="n">
        <x:v>0.9980769655152462</x:v>
      </x:c>
      <x:c r="W144" s="43" t="n">
        <x:v>0.9694678426746869</x:v>
      </x:c>
      <x:c r="X144" s="65" t="n">
        <x:v>15995812.80654772</x:v>
      </x:c>
      <x:c r="Y144" s="65" t="n">
        <x:v>35.627113111239844</x:v>
      </x:c>
      <x:c r="Z144" s="65" t="n">
        <x:v>956984.8540042645</x:v>
      </x:c>
      <x:c r="AA144" s="65" t="n">
        <x:v>99484.23264250238</x:v>
      </x:c>
      <x:c r="AB144" s="65" t="n">
        <x:v>1035.3652110224562</x:v>
      </x:c>
      <x:c r="AC144" s="65" t="n">
        <x:v>0</x:v>
      </x:c>
      <x:c r="AD144" s="65" t="n">
        <x:v>1370.828648481468</x:v>
      </x:c>
      <x:c r="AE144" s="65" t="n">
        <x:v>62594.94768741263</x:v>
      </x:c>
      <x:c r="AF144" s="65" t="n">
        <x:v>157317.888611841</x:v>
      </x:c>
      <x:c r="AG144" s="65" t="n">
        <x:v>2.9103830456733704e-11</x:v>
      </x:c>
      <x:c r="AH144" s="34" t="n">
        <x:v>1</x:v>
      </x:c>
    </x:row>
    <x:row r="145" ht="15" hidden="0" customHeight="1">
      <x:c r="A145" s="36" t="n">
        <x:v>36</x:v>
      </x:c>
      <x:c r="B145" s="36" t="str">
        <x:v>M0</x:v>
      </x:c>
      <x:c r="C145" s="36" t="str">
        <x:v>reference</x:v>
      </x:c>
      <x:c r="D145" s="75" t="n">
        <x:v>1.1077614413396293</x:v>
      </x:c>
      <x:c r="E145" s="75" t="n">
        <x:v>0.057861349167060434</x:v>
      </x:c>
      <x:c r="F145" s="75" t="n">
        <x:v>0.7821358377845666</x:v>
      </x:c>
      <x:c r="G145" s="75" t="n">
        <x:v>0.9760261440428601</x:v>
      </x:c>
      <x:c r="H145" s="75" t="n">
        <x:v>0.9598875190628182</x:v>
      </x:c>
      <x:c r="I145" s="75" t="n">
        <x:v>0.929865762915033</x:v>
      </x:c>
      <x:c r="J145" s="75" t="n">
        <x:v>0.8044334992932147</x:v>
      </x:c>
      <x:c r="K145" s="75" t="n">
        <x:v>0.9080199778476377</x:v>
      </x:c>
      <x:c r="L145" s="75" t="n">
        <x:v>0.8094170773517908</x:v>
      </x:c>
      <x:c r="M145" s="75" t="n">
        <x:v>0.9022374044548689</x:v>
      </x:c>
      <x:c r="N145" s="75" t="n">
        <x:v>0.8069671538476346</x:v>
      </x:c>
      <x:c r="O145" s="66" t="n">
        <x:v>532888.4198041405</x:v>
      </x:c>
      <x:c r="P145" s="66" t="n">
        <x:v>58672.033050418526</x:v>
      </x:c>
      <x:c r="Q145" s="66" t="n">
        <x:v>474216.38675372186</x:v>
      </x:c>
      <x:c r="R145" s="66" t="n">
        <x:v>130248.63960147096</x:v>
      </x:c>
      <x:c r="S145" s="66" t="n">
        <x:v>343967.7471522509</x:v>
      </x:c>
      <x:c r="T145" s="66" t="n">
        <x:v>261650.93554660573</x:v>
      </x:c>
      <x:c r="U145" s="45" t="n">
        <x:v>0.6011070173278615</x:v>
      </x:c>
      <x:c r="V145" s="45" t="n">
        <x:v>0.6319051334129658</x:v>
      </x:c>
      <x:c r="W145" s="45" t="n">
        <x:v>0.10938953140668337</x:v>
      </x:c>
      <x:c r="X145" s="66" t="n">
        <x:v>63426742.14649516</x:v>
      </x:c>
      <x:c r="Y145" s="66" t="n">
        <x:v>119.02443323840146</x:v>
      </x:c>
      <x:c r="Z145" s="66" t="n">
        <x:v>4381636.12671369</x:v>
      </x:c>
      <x:c r="AA145" s="66" t="n">
        <x:v>352646.6371951231</x:v>
      </x:c>
      <x:c r="AB145" s="66" t="n">
        <x:v>34649.087385050865</x:v>
      </x:c>
      <x:c r="AC145" s="66" t="n">
        <x:v>1289.7185302824653</x:v>
      </x:c>
      <x:c r="AD145" s="66" t="n">
        <x:v>2300.378957555934</x:v>
      </x:c>
      <x:c r="AE145" s="66" t="n">
        <x:v>215169.62748498196</x:v>
      </x:c>
      <x:c r="AF145" s="66" t="n">
        <x:v>261650.93554660576</x:v>
      </x:c>
      <x:c r="AG145" s="66" t="n">
        <x:v>0</x:v>
      </x:c>
      <x:c r="AH145" s="36" t="n">
        <x:v>0</x:v>
      </x:c>
    </x:row>
    <x:row r="146" ht="15" hidden="0" customHeight="1">
      <x:c r="A146" s="34" t="n">
        <x:v>36</x:v>
      </x:c>
      <x:c r="B146" s="34" t="str">
        <x:v>B1</x:v>
      </x:c>
      <x:c r="C146" s="34" t="str">
        <x:v>reference</x:v>
      </x:c>
      <x:c r="D146" s="74" t="n">
        <x:v>1.1077614413396293</x:v>
      </x:c>
      <x:c r="E146" s="74" t="n">
        <x:v>0.057861349167060434</x:v>
      </x:c>
      <x:c r="F146" s="74" t="n">
        <x:v>0.7821358377845666</x:v>
      </x:c>
      <x:c r="G146" s="74" t="n">
        <x:v>0.9760261440428601</x:v>
      </x:c>
      <x:c r="H146" s="74" t="n">
        <x:v>0.9598875190628182</x:v>
      </x:c>
      <x:c r="I146" s="74" t="n">
        <x:v>0.929865762915033</x:v>
      </x:c>
      <x:c r="J146" s="74" t="n">
        <x:v>0.8044334992932147</x:v>
      </x:c>
      <x:c r="K146" s="74" t="n">
        <x:v>0.9080199778476377</x:v>
      </x:c>
      <x:c r="L146" s="74" t="n">
        <x:v>0.8094170773517908</x:v>
      </x:c>
      <x:c r="M146" s="74" t="n">
        <x:v>0.9022374044548689</x:v>
      </x:c>
      <x:c r="N146" s="74" t="n">
        <x:v>0.8069671538476346</x:v>
      </x:c>
      <x:c r="O146" s="65" t="n">
        <x:v>532888.4198041405</x:v>
      </x:c>
      <x:c r="P146" s="65" t="n">
        <x:v>198469.2428390688</x:v>
      </x:c>
      <x:c r="Q146" s="65" t="n">
        <x:v>334419.1769650716</x:v>
      </x:c>
      <x:c r="R146" s="65" t="n">
        <x:v>130248.63960147096</x:v>
      </x:c>
      <x:c r="S146" s="65" t="n">
        <x:v>204170.53736360068</x:v>
      </x:c>
      <x:c r="T146" s="65" t="n">
        <x:v>201431.7178127908</x:v>
      </x:c>
      <x:c r="U146" s="43" t="n">
        <x:v>0.7504403282001145</x:v>
      </x:c>
      <x:c r="V146" s="43" t="n">
        <x:v>0.7886089788629499</x:v>
      </x:c>
      <x:c r="W146" s="43" t="n">
        <x:v>0.3960587961642339</x:v>
      </x:c>
      <x:c r="X146" s="65" t="n">
        <x:v>44986112.47210399</x:v>
      </x:c>
      <x:c r="Y146" s="65" t="n">
        <x:v>84.41938462209093</x:v>
      </x:c>
      <x:c r="Z146" s="65" t="n">
        <x:v>1655681.4250221131</x:v>
      </x:c>
      <x:c r="AA146" s="65" t="n">
        <x:v>250809.4057945329</x:v>
      </x:c>
      <x:c r="AB146" s="65" t="n">
        <x:v>4512.746081358244</x:v>
      </x:c>
      <x:c r="AC146" s="65" t="n">
        <x:v>2781.1425313969175</x:v>
      </x:c>
      <x:c r="AD146" s="65" t="n">
        <x:v>1962.8421621175287</x:v>
      </x:c>
      <x:c r="AE146" s="65" t="n">
        <x:v>140512.31083050158</x:v>
      </x:c>
      <x:c r="AF146" s="65" t="n">
        <x:v>201431.71781279077</x:v>
      </x:c>
      <x:c r="AG146" s="65" t="n">
        <x:v>2.9103830456733704e-11</x:v>
      </x:c>
      <x:c r="AH146" s="34" t="n">
        <x:v>0</x:v>
      </x:c>
    </x:row>
    <x:row r="147" ht="15" hidden="0" customHeight="1">
      <x:c r="A147" s="36" t="n">
        <x:v>36</x:v>
      </x:c>
      <x:c r="B147" s="36" t="str">
        <x:v>P2</x:v>
      </x:c>
      <x:c r="C147" s="36" t="str">
        <x:v>reference</x:v>
      </x:c>
      <x:c r="D147" s="75" t="n">
        <x:v>1.1077614413396293</x:v>
      </x:c>
      <x:c r="E147" s="75" t="n">
        <x:v>0.057861349167060434</x:v>
      </x:c>
      <x:c r="F147" s="75" t="n">
        <x:v>0.7821358377845666</x:v>
      </x:c>
      <x:c r="G147" s="75" t="n">
        <x:v>0.9760261440428601</x:v>
      </x:c>
      <x:c r="H147" s="75" t="n">
        <x:v>0.9598875190628182</x:v>
      </x:c>
      <x:c r="I147" s="75" t="n">
        <x:v>0.929865762915033</x:v>
      </x:c>
      <x:c r="J147" s="75" t="n">
        <x:v>0.8044334992932147</x:v>
      </x:c>
      <x:c r="K147" s="75" t="n">
        <x:v>0.9080199778476377</x:v>
      </x:c>
      <x:c r="L147" s="75" t="n">
        <x:v>0.8094170773517908</x:v>
      </x:c>
      <x:c r="M147" s="75" t="n">
        <x:v>0.9022374044548689</x:v>
      </x:c>
      <x:c r="N147" s="75" t="n">
        <x:v>0.8069671538476346</x:v>
      </x:c>
      <x:c r="O147" s="66" t="n">
        <x:v>532888.4198041405</x:v>
      </x:c>
      <x:c r="P147" s="66" t="n">
        <x:v>287521.68948716676</x:v>
      </x:c>
      <x:c r="Q147" s="66" t="n">
        <x:v>245366.73031697358</x:v>
      </x:c>
      <x:c r="R147" s="66" t="n">
        <x:v>130248.63960147096</x:v>
      </x:c>
      <x:c r="S147" s="66" t="n">
        <x:v>115118.09071550265</x:v>
      </x:c>
      <x:c r="T147" s="66" t="n">
        <x:v>136178.73696408077</x:v>
      </x:c>
      <x:c r="U147" s="45" t="n">
        <x:v>0.7951015835678616</x:v>
      </x:c>
      <x:c r="V147" s="45" t="n">
        <x:v>0.8274368123291536</x:v>
      </x:c>
      <x:c r="W147" s="45" t="n">
        <x:v>0.46218523886037627</x:v>
      </x:c>
      <x:c r="X147" s="66" t="n">
        <x:v>32312277.55881415</x:v>
      </x:c>
      <x:c r="Y147" s="66" t="n">
        <x:v>60.636103840819636</x:v>
      </x:c>
      <x:c r="Z147" s="66" t="n">
        <x:v>925898.7278683779</x:v>
      </x:c>
      <x:c r="AA147" s="66" t="n">
        <x:v>187018.52210722998</x:v>
      </x:c>
      <x:c r="AB147" s="66" t="n">
        <x:v>260.37013058473275</x:v>
      </x:c>
      <x:c r="AC147" s="66" t="n">
        <x:v>11986.85256688932</x:v>
      </x:c>
      <x:c r="AD147" s="66" t="n">
        <x:v>1758.8918623612672</x:v>
      </x:c>
      <x:c r="AE147" s="66" t="n">
        <x:v>73356.31893597604</x:v>
      </x:c>
      <x:c r="AF147" s="66" t="n">
        <x:v>136178.73696408092</x:v>
      </x:c>
      <x:c r="AG147" s="66" t="n">
        <x:v>0</x:v>
      </x:c>
      <x:c r="AH147" s="36" t="n">
        <x:v>0</x:v>
      </x:c>
    </x:row>
    <x:row r="148" ht="15" hidden="0" customHeight="1">
      <x:c r="A148" s="34" t="n">
        <x:v>36</x:v>
      </x:c>
      <x:c r="B148" s="34" t="str">
        <x:v>H3</x:v>
      </x:c>
      <x:c r="C148" s="34" t="str">
        <x:v>reference</x:v>
      </x:c>
      <x:c r="D148" s="74" t="n">
        <x:v>1.1077614413396293</x:v>
      </x:c>
      <x:c r="E148" s="74" t="n">
        <x:v>0.057861349167060434</x:v>
      </x:c>
      <x:c r="F148" s="74" t="n">
        <x:v>0.7821358377845666</x:v>
      </x:c>
      <x:c r="G148" s="74" t="n">
        <x:v>0.9760261440428601</x:v>
      </x:c>
      <x:c r="H148" s="74" t="n">
        <x:v>0.9598875190628182</x:v>
      </x:c>
      <x:c r="I148" s="74" t="n">
        <x:v>0.929865762915033</x:v>
      </x:c>
      <x:c r="J148" s="74" t="n">
        <x:v>0.8044334992932147</x:v>
      </x:c>
      <x:c r="K148" s="74" t="n">
        <x:v>0.9080199778476377</x:v>
      </x:c>
      <x:c r="L148" s="74" t="n">
        <x:v>0.8094170773517908</x:v>
      </x:c>
      <x:c r="M148" s="74" t="n">
        <x:v>0.9022374044548689</x:v>
      </x:c>
      <x:c r="N148" s="74" t="n">
        <x:v>0.8069671538476346</x:v>
      </x:c>
      <x:c r="O148" s="65" t="n">
        <x:v>532888.4198041405</x:v>
      </x:c>
      <x:c r="P148" s="65" t="n">
        <x:v>298262.7897353199</x:v>
      </x:c>
      <x:c r="Q148" s="65" t="n">
        <x:v>234625.63006882044</x:v>
      </x:c>
      <x:c r="R148" s="65" t="n">
        <x:v>130248.63960147096</x:v>
      </x:c>
      <x:c r="S148" s="65" t="n">
        <x:v>104376.99046734949</x:v>
      </x:c>
      <x:c r="T148" s="65" t="n">
        <x:v>211673.21808582416</x:v>
      </x:c>
      <x:c r="U148" s="43" t="n">
        <x:v>0.9569282965626605</x:v>
      </x:c>
      <x:c r="V148" s="43" t="n">
        <x:v>0.9630308880172697</x:v>
      </x:c>
      <x:c r="W148" s="43" t="n">
        <x:v>0.6800323823764532</x:v>
      </x:c>
      <x:c r="X148" s="65" t="n">
        <x:v>24742930.359846838</x:v>
      </x:c>
      <x:c r="Y148" s="65" t="n">
        <x:v>46.43172836996708</x:v>
      </x:c>
      <x:c r="Z148" s="65" t="n">
        <x:v>2392792.818764944</x:v>
      </x:c>
      <x:c r="AA148" s="65" t="n">
        <x:v>150604.96523824072</x:v>
      </x:c>
      <x:c r="AB148" s="65" t="n">
        <x:v>7439.791577628413</x:v>
      </x:c>
      <x:c r="AC148" s="65" t="n">
        <x:v>10492.439692997175</x:v>
      </x:c>
      <x:c r="AD148" s="65" t="n">
        <x:v>1735.9970889558167</x:v>
      </x:c>
      <x:c r="AE148" s="65" t="n">
        <x:v>107090.27494717072</x:v>
      </x:c>
      <x:c r="AF148" s="65" t="n">
        <x:v>211673.21808582405</x:v>
      </x:c>
      <x:c r="AG148" s="65" t="n">
        <x:v>1.1641532182693481e-10</x:v>
      </x:c>
      <x:c r="AH148" s="34" t="n">
        <x:v>0</x:v>
      </x:c>
    </x:row>
    <x:row r="149" ht="15" hidden="0" customHeight="1">
      <x:c r="A149" s="36" t="n">
        <x:v>37</x:v>
      </x:c>
      <x:c r="B149" s="36" t="str">
        <x:v>M0</x:v>
      </x:c>
      <x:c r="C149" s="36" t="str">
        <x:v>reference</x:v>
      </x:c>
      <x:c r="D149" s="75" t="n">
        <x:v>1.0050395135647112</x:v>
      </x:c>
      <x:c r="E149" s="75" t="n">
        <x:v>0.023794167258800396</x:v>
      </x:c>
      <x:c r="F149" s="75" t="n">
        <x:v>0.9148334230868435</x:v>
      </x:c>
      <x:c r="G149" s="75" t="n">
        <x:v>1.2793861746134771</x:v>
      </x:c>
      <x:c r="H149" s="75" t="n">
        <x:v>0.8536652572451384</x:v>
      </x:c>
      <x:c r="I149" s="75" t="n">
        <x:v>0.8347320796398316</x:v>
      </x:c>
      <x:c r="J149" s="75" t="n">
        <x:v>1.0543727661353062</x:v>
      </x:c>
      <x:c r="K149" s="75" t="n">
        <x:v>0.9295356447017262</x:v>
      </x:c>
      <x:c r="L149" s="75" t="n">
        <x:v>0.8914339702317502</x:v>
      </x:c>
      <x:c r="M149" s="75" t="n">
        <x:v>1.0639957875952357</x:v>
      </x:c>
      <x:c r="N149" s="75" t="n">
        <x:v>0.881899525363904</x:v>
      </x:c>
      <x:c r="O149" s="66" t="n">
        <x:v>483474.0569924016</x:v>
      </x:c>
      <x:c r="P149" s="66" t="n">
        <x:v>65070.517115808725</x:v>
      </x:c>
      <x:c r="Q149" s="66" t="n">
        <x:v>418403.5398765929</x:v>
      </x:c>
      <x:c r="R149" s="66" t="n">
        <x:v>101700.17757056346</x:v>
      </x:c>
      <x:c r="S149" s="66" t="n">
        <x:v>316703.3623060294</x:v>
      </x:c>
      <x:c r="T149" s="66" t="n">
        <x:v>263208.3953322412</x:v>
      </x:c>
      <x:c r="U149" s="45" t="n">
        <x:v>0.6790000573975145</x:v>
      </x:c>
      <x:c r="V149" s="45" t="n">
        <x:v>0.7030481531534741</x:v>
      </x:c>
      <x:c r="W149" s="45" t="n">
        <x:v>0.13553326116834424</x:v>
      </x:c>
      <x:c r="X149" s="66" t="n">
        <x:v>54407458.65123543</x:v>
      </x:c>
      <x:c r="Y149" s="66" t="n">
        <x:v>112.53439117228686</x:v>
      </x:c>
      <x:c r="Z149" s="66" t="n">
        <x:v>5447951.339669244</x:v>
      </x:c>
      <x:c r="AA149" s="66" t="n">
        <x:v>292238.0423195247</x:v>
      </x:c>
      <x:c r="AB149" s="66" t="n">
        <x:v>45953.00047400936</x:v>
      </x:c>
      <x:c r="AC149" s="66" t="n">
        <x:v>0</x:v>
      </x:c>
      <x:c r="AD149" s="66" t="n">
        <x:v>2050.379492922125</x:v>
      </x:c>
      <x:c r="AE149" s="66" t="n">
        <x:v>187012.27634079987</x:v>
      </x:c>
      <x:c r="AF149" s="66" t="n">
        <x:v>263208.395332241</x:v>
      </x:c>
      <x:c r="AG149" s="66" t="n">
        <x:v>1.7462298274040222e-10</x:v>
      </x:c>
      <x:c r="AH149" s="36" t="n">
        <x:v>0</x:v>
      </x:c>
    </x:row>
    <x:row r="150" ht="15" hidden="0" customHeight="1">
      <x:c r="A150" s="34" t="n">
        <x:v>37</x:v>
      </x:c>
      <x:c r="B150" s="34" t="str">
        <x:v>B1</x:v>
      </x:c>
      <x:c r="C150" s="34" t="str">
        <x:v>reference</x:v>
      </x:c>
      <x:c r="D150" s="74" t="n">
        <x:v>1.0050395135647112</x:v>
      </x:c>
      <x:c r="E150" s="74" t="n">
        <x:v>0.023794167258800396</x:v>
      </x:c>
      <x:c r="F150" s="74" t="n">
        <x:v>0.9148334230868435</x:v>
      </x:c>
      <x:c r="G150" s="74" t="n">
        <x:v>1.2793861746134771</x:v>
      </x:c>
      <x:c r="H150" s="74" t="n">
        <x:v>0.8536652572451384</x:v>
      </x:c>
      <x:c r="I150" s="74" t="n">
        <x:v>0.8347320796398316</x:v>
      </x:c>
      <x:c r="J150" s="74" t="n">
        <x:v>1.0543727661353062</x:v>
      </x:c>
      <x:c r="K150" s="74" t="n">
        <x:v>0.9295356447017262</x:v>
      </x:c>
      <x:c r="L150" s="74" t="n">
        <x:v>0.8914339702317502</x:v>
      </x:c>
      <x:c r="M150" s="74" t="n">
        <x:v>1.0639957875952357</x:v>
      </x:c>
      <x:c r="N150" s="74" t="n">
        <x:v>0.881899525363904</x:v>
      </x:c>
      <x:c r="O150" s="65" t="n">
        <x:v>483474.0569924016</x:v>
      </x:c>
      <x:c r="P150" s="65" t="n">
        <x:v>220112.23484606016</x:v>
      </x:c>
      <x:c r="Q150" s="65" t="n">
        <x:v>263361.82214634144</x:v>
      </x:c>
      <x:c r="R150" s="65" t="n">
        <x:v>101700.17757056346</x:v>
      </x:c>
      <x:c r="S150" s="65" t="n">
        <x:v>161661.64457577796</x:v>
      </x:c>
      <x:c r="T150" s="65" t="n">
        <x:v>192446.16558885042</x:v>
      </x:c>
      <x:c r="U150" s="43" t="n">
        <x:v>0.8533206579921919</x:v>
      </x:c>
      <x:c r="V150" s="43" t="n">
        <x:v>0.8687473715092341</x:v>
      </x:c>
      <x:c r="W150" s="43" t="n">
        <x:v>0.5102092560169844</x:v>
      </x:c>
      <x:c r="X150" s="65" t="n">
        <x:v>34175646.9854572</x:v>
      </x:c>
      <x:c r="Y150" s="65" t="n">
        <x:v>70.68765426227267</x:v>
      </x:c>
      <x:c r="Z150" s="65" t="n">
        <x:v>2019114.1596054938</x:v>
      </x:c>
      <x:c r="AA150" s="65" t="n">
        <x:v>182176.71676608693</x:v>
      </x:c>
      <x:c r="AB150" s="65" t="n">
        <x:v>9440.354158408747</x:v>
      </x:c>
      <x:c r="AC150" s="65" t="n">
        <x:v>0</x:v>
      </x:c>
      <x:c r="AD150" s="65" t="n">
        <x:v>1661.067671830217</x:v>
      </x:c>
      <x:c r="AE150" s="65" t="n">
        <x:v>104258.2446875304</x:v>
      </x:c>
      <x:c r="AF150" s="65" t="n">
        <x:v>192446.16558885042</x:v>
      </x:c>
      <x:c r="AG150" s="65" t="n">
        <x:v>0</x:v>
      </x:c>
      <x:c r="AH150" s="34" t="n">
        <x:v>0</x:v>
      </x:c>
    </x:row>
    <x:row r="151" ht="15" hidden="0" customHeight="1">
      <x:c r="A151" s="36" t="n">
        <x:v>37</x:v>
      </x:c>
      <x:c r="B151" s="36" t="str">
        <x:v>P2</x:v>
      </x:c>
      <x:c r="C151" s="36" t="str">
        <x:v>reference</x:v>
      </x:c>
      <x:c r="D151" s="75" t="n">
        <x:v>1.0050395135647112</x:v>
      </x:c>
      <x:c r="E151" s="75" t="n">
        <x:v>0.023794167258800396</x:v>
      </x:c>
      <x:c r="F151" s="75" t="n">
        <x:v>0.9148334230868435</x:v>
      </x:c>
      <x:c r="G151" s="75" t="n">
        <x:v>1.2793861746134771</x:v>
      </x:c>
      <x:c r="H151" s="75" t="n">
        <x:v>0.8536652572451384</x:v>
      </x:c>
      <x:c r="I151" s="75" t="n">
        <x:v>0.8347320796398316</x:v>
      </x:c>
      <x:c r="J151" s="75" t="n">
        <x:v>1.0543727661353062</x:v>
      </x:c>
      <x:c r="K151" s="75" t="n">
        <x:v>0.9295356447017262</x:v>
      </x:c>
      <x:c r="L151" s="75" t="n">
        <x:v>0.8914339702317502</x:v>
      </x:c>
      <x:c r="M151" s="75" t="n">
        <x:v>1.0639957875952357</x:v>
      </x:c>
      <x:c r="N151" s="75" t="n">
        <x:v>0.881899525363904</x:v>
      </x:c>
      <x:c r="O151" s="66" t="n">
        <x:v>483474.0569924016</x:v>
      </x:c>
      <x:c r="P151" s="66" t="n">
        <x:v>318874.92613483034</x:v>
      </x:c>
      <x:c r="Q151" s="66" t="n">
        <x:v>164599.13085757126</x:v>
      </x:c>
      <x:c r="R151" s="66" t="n">
        <x:v>101700.17757056346</x:v>
      </x:c>
      <x:c r="S151" s="66" t="n">
        <x:v>62898.953287007804</x:v>
      </x:c>
      <x:c r="T151" s="66" t="n">
        <x:v>130118.12830622456</x:v>
      </x:c>
      <x:c r="U151" s="45" t="n">
        <x:v>0.9286807594892551</x:v>
      </x:c>
      <x:c r="V151" s="45" t="n">
        <x:v>0.9394353073338129</x:v>
      </x:c>
      <x:c r="W151" s="45" t="n">
        <x:v>0.6970859740454063</x:v>
      </x:c>
      <x:c r="X151" s="66" t="n">
        <x:v>19923970.670731857</x:v>
      </x:c>
      <x:c r="Y151" s="66" t="n">
        <x:v>41.21000989106844</x:v>
      </x:c>
      <x:c r="Z151" s="66" t="n">
        <x:v>814467.27785871</x:v>
      </x:c>
      <x:c r="AA151" s="66" t="n">
        <x:v>114193.24447378001</x:v>
      </x:c>
      <x:c r="AB151" s="66" t="n">
        <x:v>99.58337958558636</x:v>
      </x:c>
      <x:c r="AC151" s="66" t="n">
        <x:v>0</x:v>
      </x:c>
      <x:c r="AD151" s="66" t="n">
        <x:v>1425.83328054786</x:v>
      </x:c>
      <x:c r="AE151" s="66" t="n">
        <x:v>65260.662304036974</x:v>
      </x:c>
      <x:c r="AF151" s="66" t="n">
        <x:v>130118.12830622448</x:v>
      </x:c>
      <x:c r="AG151" s="66" t="n">
        <x:v>8.731149137020111e-11</x:v>
      </x:c>
      <x:c r="AH151" s="36" t="n">
        <x:v>0</x:v>
      </x:c>
    </x:row>
    <x:row r="152" ht="15" hidden="0" customHeight="1">
      <x:c r="A152" s="34" t="n">
        <x:v>37</x:v>
      </x:c>
      <x:c r="B152" s="34" t="str">
        <x:v>H3</x:v>
      </x:c>
      <x:c r="C152" s="34" t="str">
        <x:v>reference</x:v>
      </x:c>
      <x:c r="D152" s="74" t="n">
        <x:v>1.0050395135647112</x:v>
      </x:c>
      <x:c r="E152" s="74" t="n">
        <x:v>0.023794167258800396</x:v>
      </x:c>
      <x:c r="F152" s="74" t="n">
        <x:v>0.9148334230868435</x:v>
      </x:c>
      <x:c r="G152" s="74" t="n">
        <x:v>1.2793861746134771</x:v>
      </x:c>
      <x:c r="H152" s="74" t="n">
        <x:v>0.8536652572451384</x:v>
      </x:c>
      <x:c r="I152" s="74" t="n">
        <x:v>0.8347320796398316</x:v>
      </x:c>
      <x:c r="J152" s="74" t="n">
        <x:v>1.0543727661353062</x:v>
      </x:c>
      <x:c r="K152" s="74" t="n">
        <x:v>0.9295356447017262</x:v>
      </x:c>
      <x:c r="L152" s="74" t="n">
        <x:v>0.8914339702317502</x:v>
      </x:c>
      <x:c r="M152" s="74" t="n">
        <x:v>1.0639957875952357</x:v>
      </x:c>
      <x:c r="N152" s="74" t="n">
        <x:v>0.881899525363904</x:v>
      </x:c>
      <x:c r="O152" s="65" t="n">
        <x:v>483474.0569924016</x:v>
      </x:c>
      <x:c r="P152" s="65" t="n">
        <x:v>330787.1264461839</x:v>
      </x:c>
      <x:c r="Q152" s="65" t="n">
        <x:v>152686.93054621777</x:v>
      </x:c>
      <x:c r="R152" s="65" t="n">
        <x:v>101700.17757056346</x:v>
      </x:c>
      <x:c r="S152" s="65" t="n">
        <x:v>50986.752975654315</x:v>
      </x:c>
      <x:c r="T152" s="65" t="n">
        <x:v>151287.503885773</x:v>
      </x:c>
      <x:c r="U152" s="43" t="n">
        <x:v>0.9971054772428737</x:v>
      </x:c>
      <x:c r="V152" s="43" t="n">
        <x:v>0.9981769050188816</x:v>
      </x:c>
      <x:c r="W152" s="43" t="n">
        <x:v>0.9710547724287357</x:v>
      </x:c>
      <x:c r="X152" s="65" t="n">
        <x:v>15340604.312493082</x:v>
      </x:c>
      <x:c r="Y152" s="65" t="n">
        <x:v>31.729943087172057</x:v>
      </x:c>
      <x:c r="Z152" s="65" t="n">
        <x:v>1036628.8658665387</x:v>
      </x:c>
      <x:c r="AA152" s="65" t="n">
        <x:v>91845.87523421278</x:v>
      </x:c>
      <x:c r="AB152" s="65" t="n">
        <x:v>3281.7028764143033</x:v>
      </x:c>
      <x:c r="AC152" s="65" t="n">
        <x:v>0</x:v>
      </x:c>
      <x:c r="AD152" s="65" t="n">
        <x:v>1399.4266604447519</x:v>
      </x:c>
      <x:c r="AE152" s="65" t="n">
        <x:v>44865.76131085503</x:v>
      </x:c>
      <x:c r="AF152" s="65" t="n">
        <x:v>151287.50388577298</x:v>
      </x:c>
      <x:c r="AG152" s="65" t="n">
        <x:v>2.9103830456733704e-11</x:v>
      </x:c>
      <x:c r="AH152" s="34" t="n">
        <x:v>1</x:v>
      </x:c>
    </x:row>
    <x:row r="153" ht="21.600000381469727" hidden="0" customHeight="1">
      <x:c r="A153" s="36" t="n">
        <x:v>38</x:v>
      </x:c>
      <x:c r="B153" s="36" t="str">
        <x:v>M0</x:v>
      </x:c>
      <x:c r="C153" s="36" t="str">
        <x:v>reference</x:v>
      </x:c>
      <x:c r="D153" s="75" t="n">
        <x:v>0.922342037346932</x:v>
      </x:c>
      <x:c r="E153" s="75" t="n">
        <x:v>-0.012601060534572765</x:v>
      </x:c>
      <x:c r="F153" s="75" t="n">
        <x:v>0.7402014637174928</x:v>
      </x:c>
      <x:c r="G153" s="75" t="n">
        <x:v>1.3113661712278215</x:v>
      </x:c>
      <x:c r="H153" s="75" t="n">
        <x:v>0.9662062728059162</x:v>
      </x:c>
      <x:c r="I153" s="75" t="n">
        <x:v>0.8219024137788765</x:v>
      </x:c>
      <x:c r="J153" s="75" t="n">
        <x:v>0.959284059897832</x:v>
      </x:c>
      <x:c r="K153" s="75" t="n">
        <x:v>0.9498672576435316</x:v>
      </x:c>
      <x:c r="L153" s="75" t="n">
        <x:v>0.8040750018555675</x:v>
      </x:c>
      <x:c r="M153" s="75" t="n">
        <x:v>1.0655197724883934</x:v>
      </x:c>
      <x:c r="N153" s="75" t="n">
        <x:v>0.920725130693662</x:v>
      </x:c>
      <x:c r="O153" s="66" t="n">
        <x:v>443692.4525973341</x:v>
      </x:c>
      <x:c r="P153" s="66" t="n">
        <x:v>50544.50710072364</x:v>
      </x:c>
      <x:c r="Q153" s="66" t="n">
        <x:v>393147.9454966105</x:v>
      </x:c>
      <x:c r="R153" s="66" t="n">
        <x:v>77183.7132109658</x:v>
      </x:c>
      <x:c r="S153" s="66" t="n">
        <x:v>315964.2322856447</x:v>
      </x:c>
      <x:c r="T153" s="66" t="n">
        <x:v>256105.4611678914</x:v>
      </x:c>
      <x:c r="U153" s="45" t="n">
        <x:v>0.6911318109503889</x:v>
      </x:c>
      <x:c r="V153" s="45" t="n">
        <x:v>0.712385697043938</x:v>
      </x:c>
      <x:c r="W153" s="45" t="n">
        <x:v>0.11676066327920308</x:v>
      </x:c>
      <x:c r="X153" s="66" t="n">
        <x:v>50174678.166651875</x:v>
      </x:c>
      <x:c r="Y153" s="66" t="n">
        <x:v>113.08436254196799</x:v>
      </x:c>
      <x:c r="Z153" s="66" t="n">
        <x:v>4897595.920618813</x:v>
      </x:c>
      <x:c r="AA153" s="66" t="n">
        <x:v>274477.68043286534</x:v>
      </x:c>
      <x:c r="AB153" s="66" t="n">
        <x:v>40030.25018314413</x:v>
      </x:c>
      <x:c r="AC153" s="66" t="n">
        <x:v>0</x:v>
      </x:c>
      <x:c r="AD153" s="66" t="n">
        <x:v>1900.885480307529</x:v>
      </x:c>
      <x:c r="AE153" s="66" t="n">
        <x:v>176554.80987595895</x:v>
      </x:c>
      <x:c r="AF153" s="66" t="n">
        <x:v>256105.46116789163</x:v>
      </x:c>
      <x:c r="AG153" s="66" t="n">
        <x:v>0</x:v>
      </x:c>
      <x:c r="AH153" s="36" t="n">
        <x:v>0</x:v>
      </x:c>
    </x:row>
    <x:row r="154" ht="21.600000381469727" hidden="0" customHeight="1">
      <x:c r="A154" s="34" t="n">
        <x:v>38</x:v>
      </x:c>
      <x:c r="B154" s="34" t="str">
        <x:v>B1</x:v>
      </x:c>
      <x:c r="C154" s="34" t="str">
        <x:v>reference</x:v>
      </x:c>
      <x:c r="D154" s="74" t="n">
        <x:v>0.922342037346932</x:v>
      </x:c>
      <x:c r="E154" s="74" t="n">
        <x:v>-0.012601060534572765</x:v>
      </x:c>
      <x:c r="F154" s="74" t="n">
        <x:v>0.7402014637174928</x:v>
      </x:c>
      <x:c r="G154" s="74" t="n">
        <x:v>1.3113661712278215</x:v>
      </x:c>
      <x:c r="H154" s="74" t="n">
        <x:v>0.9662062728059162</x:v>
      </x:c>
      <x:c r="I154" s="74" t="n">
        <x:v>0.8219024137788765</x:v>
      </x:c>
      <x:c r="J154" s="74" t="n">
        <x:v>0.959284059897832</x:v>
      </x:c>
      <x:c r="K154" s="74" t="n">
        <x:v>0.9498672576435316</x:v>
      </x:c>
      <x:c r="L154" s="74" t="n">
        <x:v>0.8040750018555675</x:v>
      </x:c>
      <x:c r="M154" s="74" t="n">
        <x:v>1.0655197724883934</x:v>
      </x:c>
      <x:c r="N154" s="74" t="n">
        <x:v>0.920725130693662</x:v>
      </x:c>
      <x:c r="O154" s="65" t="n">
        <x:v>443692.4525973341</x:v>
      </x:c>
      <x:c r="P154" s="65" t="n">
        <x:v>170974.67608069966</x:v>
      </x:c>
      <x:c r="Q154" s="65" t="n">
        <x:v>272717.7765166345</x:v>
      </x:c>
      <x:c r="R154" s="65" t="n">
        <x:v>77183.7132109658</x:v>
      </x:c>
      <x:c r="S154" s="65" t="n">
        <x:v>195534.0633056687</x:v>
      </x:c>
      <x:c r="T154" s="65" t="n">
        <x:v>191604.62938789185</x:v>
      </x:c>
      <x:c r="U154" s="43" t="n">
        <x:v>0.8171861011970931</x:v>
      </x:c>
      <x:c r="V154" s="43" t="n">
        <x:v>0.8396815802152644</x:v>
      </x:c>
      <x:c r="W154" s="43" t="n">
        <x:v>0.4254466497446852</x:v>
      </x:c>
      <x:c r="X154" s="65" t="n">
        <x:v>34965530.578523174</x:v>
      </x:c>
      <x:c r="Y154" s="65" t="n">
        <x:v>78.80578173876573</x:v>
      </x:c>
      <x:c r="Z154" s="65" t="n">
        <x:v>2168772.0260022567</x:v>
      </x:c>
      <x:c r="AA154" s="65" t="n">
        <x:v>191835.42917077852</x:v>
      </x:c>
      <x:c r="AB154" s="65" t="n">
        <x:v>11884.247722737378</x:v>
      </x:c>
      <x:c r="AC154" s="65" t="n">
        <x:v>323.27562760582776</x:v>
      </x:c>
      <x:c r="AD154" s="65" t="n">
        <x:v>1587.1225669299693</x:v>
      </x:c>
      <x:c r="AE154" s="65" t="n">
        <x:v>101594.66978884871</x:v>
      </x:c>
      <x:c r="AF154" s="65" t="n">
        <x:v>191604.62938789188</x:v>
      </x:c>
      <x:c r="AG154" s="65" t="n">
        <x:v>0</x:v>
      </x:c>
      <x:c r="AH154" s="34" t="n">
        <x:v>0</x:v>
      </x:c>
    </x:row>
    <x:row r="155" ht="21.600000381469727" hidden="0" customHeight="1">
      <x:c r="A155" s="36" t="n">
        <x:v>38</x:v>
      </x:c>
      <x:c r="B155" s="36" t="str">
        <x:v>P2</x:v>
      </x:c>
      <x:c r="C155" s="36" t="str">
        <x:v>reference</x:v>
      </x:c>
      <x:c r="D155" s="75" t="n">
        <x:v>0.922342037346932</x:v>
      </x:c>
      <x:c r="E155" s="75" t="n">
        <x:v>-0.012601060534572765</x:v>
      </x:c>
      <x:c r="F155" s="75" t="n">
        <x:v>0.7402014637174928</x:v>
      </x:c>
      <x:c r="G155" s="75" t="n">
        <x:v>1.3113661712278215</x:v>
      </x:c>
      <x:c r="H155" s="75" t="n">
        <x:v>0.9662062728059162</x:v>
      </x:c>
      <x:c r="I155" s="75" t="n">
        <x:v>0.8219024137788765</x:v>
      </x:c>
      <x:c r="J155" s="75" t="n">
        <x:v>0.959284059897832</x:v>
      </x:c>
      <x:c r="K155" s="75" t="n">
        <x:v>0.9498672576435316</x:v>
      </x:c>
      <x:c r="L155" s="75" t="n">
        <x:v>0.8040750018555675</x:v>
      </x:c>
      <x:c r="M155" s="75" t="n">
        <x:v>1.0655197724883934</x:v>
      </x:c>
      <x:c r="N155" s="75" t="n">
        <x:v>0.920725130693662</x:v>
      </x:c>
      <x:c r="O155" s="66" t="n">
        <x:v>443692.4525973341</x:v>
      </x:c>
      <x:c r="P155" s="66" t="n">
        <x:v>247689.04223398725</x:v>
      </x:c>
      <x:c r="Q155" s="66" t="n">
        <x:v>196003.41036334692</x:v>
      </x:c>
      <x:c r="R155" s="66" t="n">
        <x:v>77183.7132109658</x:v>
      </x:c>
      <x:c r="S155" s="66" t="n">
        <x:v>118819.69715238112</x:v>
      </x:c>
      <x:c r="T155" s="66" t="n">
        <x:v>140876.91056962922</x:v>
      </x:c>
      <x:c r="U155" s="45" t="n">
        <x:v>0.875755155466332</x:v>
      </x:c>
      <x:c r="V155" s="45" t="n">
        <x:v>0.8975873954275562</x:v>
      </x:c>
      <x:c r="W155" s="45" t="n">
        <x:v>0.6003940360337899</x:v>
      </x:c>
      <x:c r="X155" s="66" t="n">
        <x:v>23850868.96092036</x:v>
      </x:c>
      <x:c r="Y155" s="66" t="n">
        <x:v>53.75540832687057</x:v>
      </x:c>
      <x:c r="Z155" s="66" t="n">
        <x:v>888386.870480299</x:v>
      </x:c>
      <x:c r="AA155" s="66" t="n">
        <x:v>139490.4568195422</x:v>
      </x:c>
      <x:c r="AB155" s="66" t="n">
        <x:v>818.2555697260116</x:v>
      </x:c>
      <x:c r="AC155" s="66" t="n">
        <x:v>4850.449292933307</x:v>
      </x:c>
      <x:c r="AD155" s="66" t="n">
        <x:v>1397.537191052249</x:v>
      </x:c>
      <x:c r="AE155" s="66" t="n">
        <x:v>63923.48553866839</x:v>
      </x:c>
      <x:c r="AF155" s="66" t="n">
        <x:v>140876.9105696292</x:v>
      </x:c>
      <x:c r="AG155" s="66" t="n">
        <x:v>2.9103830456733704e-11</x:v>
      </x:c>
      <x:c r="AH155" s="36" t="n">
        <x:v>0</x:v>
      </x:c>
    </x:row>
    <x:row r="156" ht="21.600000381469727" hidden="0" customHeight="1">
      <x:c r="A156" s="34" t="n">
        <x:v>38</x:v>
      </x:c>
      <x:c r="B156" s="34" t="str">
        <x:v>H3</x:v>
      </x:c>
      <x:c r="C156" s="34" t="str">
        <x:v>reference</x:v>
      </x:c>
      <x:c r="D156" s="74" t="n">
        <x:v>0.922342037346932</x:v>
      </x:c>
      <x:c r="E156" s="74" t="n">
        <x:v>-0.012601060534572765</x:v>
      </x:c>
      <x:c r="F156" s="74" t="n">
        <x:v>0.7402014637174928</x:v>
      </x:c>
      <x:c r="G156" s="74" t="n">
        <x:v>1.3113661712278215</x:v>
      </x:c>
      <x:c r="H156" s="74" t="n">
        <x:v>0.9662062728059162</x:v>
      </x:c>
      <x:c r="I156" s="74" t="n">
        <x:v>0.8219024137788765</x:v>
      </x:c>
      <x:c r="J156" s="74" t="n">
        <x:v>0.959284059897832</x:v>
      </x:c>
      <x:c r="K156" s="74" t="n">
        <x:v>0.9498672576435316</x:v>
      </x:c>
      <x:c r="L156" s="74" t="n">
        <x:v>0.8040750018555675</x:v>
      </x:c>
      <x:c r="M156" s="74" t="n">
        <x:v>1.0655197724883934</x:v>
      </x:c>
      <x:c r="N156" s="74" t="n">
        <x:v>0.920725130693662</x:v>
      </x:c>
      <x:c r="O156" s="65" t="n">
        <x:v>443692.4525973341</x:v>
      </x:c>
      <x:c r="P156" s="65" t="n">
        <x:v>256941.81758608398</x:v>
      </x:c>
      <x:c r="Q156" s="65" t="n">
        <x:v>186750.63501125015</x:v>
      </x:c>
      <x:c r="R156" s="65" t="n">
        <x:v>77183.7132109658</x:v>
      </x:c>
      <x:c r="S156" s="65" t="n">
        <x:v>109566.92180028438</x:v>
      </x:c>
      <x:c r="T156" s="65" t="n">
        <x:v>185374.38003565383</x:v>
      </x:c>
      <x:c r="U156" s="43" t="n">
        <x:v>0.996898178079118</x:v>
      </x:c>
      <x:c r="V156" s="43" t="n">
        <x:v>0.9980463549710492</x:v>
      </x:c>
      <x:c r="W156" s="43" t="n">
        <x:v>0.9689817807911791</x:v>
      </x:c>
      <x:c r="X156" s="65" t="n">
        <x:v>18041583.144882478</x:v>
      </x:c>
      <x:c r="Y156" s="65" t="n">
        <x:v>40.66236204665808</x:v>
      </x:c>
      <x:c r="Z156" s="65" t="n">
        <x:v>1475608.2121634418</x:v>
      </x:c>
      <x:c r="AA156" s="65" t="n">
        <x:v>109429.88232720815</x:v>
      </x:c>
      <x:c r="AB156" s="65" t="n">
        <x:v>6280.127269319435</x:v>
      </x:c>
      <x:c r="AC156" s="65" t="n">
        <x:v>0</x:v>
      </x:c>
      <x:c r="AD156" s="65" t="n">
        <x:v>1376.2549755963519</x:v>
      </x:c>
      <x:c r="AE156" s="65" t="n">
        <x:v>46160.74027477219</x:v>
      </x:c>
      <x:c r="AF156" s="65" t="n">
        <x:v>185374.38003565377</x:v>
      </x:c>
      <x:c r="AG156" s="65" t="n">
        <x:v>5.820766091346741e-11</x:v>
      </x:c>
      <x:c r="AH156" s="34" t="n">
        <x:v>1</x:v>
      </x:c>
    </x:row>
    <x:row r="157" ht="15" hidden="0" customHeight="1">
      <x:c r="A157" s="36" t="n">
        <x:v>39</x:v>
      </x:c>
      <x:c r="B157" s="36" t="str">
        <x:v>M0</x:v>
      </x:c>
      <x:c r="C157" s="36" t="str">
        <x:v>reference</x:v>
      </x:c>
      <x:c r="D157" s="75" t="n">
        <x:v>1.1610747949805198</x:v>
      </x:c>
      <x:c r="E157" s="75" t="n">
        <x:v>0.07928501530008497</x:v>
      </x:c>
      <x:c r="F157" s="75" t="n">
        <x:v>0.9383050223094602</x:v>
      </x:c>
      <x:c r="G157" s="75" t="n">
        <x:v>1.106461250553786</x:v>
      </x:c>
      <x:c r="H157" s="75" t="n">
        <x:v>0.7919856705134416</x:v>
      </x:c>
      <x:c r="I157" s="75" t="n">
        <x:v>0.7622497268136064</x:v>
      </x:c>
      <x:c r="J157" s="75" t="n">
        <x:v>0.8772367211357249</x:v>
      </x:c>
      <x:c r="K157" s="75" t="n">
        <x:v>0.9709144487474987</x:v>
      </x:c>
      <x:c r="L157" s="75" t="n">
        <x:v>0.8245423583760128</x:v>
      </x:c>
      <x:c r="M157" s="75" t="n">
        <x:v>0.9546963885448742</x:v>
      </x:c>
      <x:c r="N157" s="75" t="n">
        <x:v>0.9687649150571036</x:v>
      </x:c>
      <x:c r="O157" s="66" t="n">
        <x:v>558534.79791042</x:v>
      </x:c>
      <x:c r="P157" s="66" t="n">
        <x:v>71682.39404571344</x:v>
      </x:c>
      <x:c r="Q157" s="66" t="n">
        <x:v>486852.4038647066</x:v>
      </x:c>
      <x:c r="R157" s="66" t="n">
        <x:v>148482.99287651203</x:v>
      </x:c>
      <x:c r="S157" s="66" t="n">
        <x:v>338369.4109881945</x:v>
      </x:c>
      <x:c r="T157" s="66" t="n">
        <x:v>233846.60541080072</x:v>
      </x:c>
      <x:c r="U157" s="45" t="n">
        <x:v>0.5470187365219742</x:v>
      </x:c>
      <x:c r="V157" s="45" t="n">
        <x:v>0.570712171304714</x:v>
      </x:c>
      <x:c r="W157" s="45" t="n">
        <x:v>0.11974852476772861</x:v>
      </x:c>
      <x:c r="X157" s="66" t="n">
        <x:v>67857553.79128608</x:v>
      </x:c>
      <x:c r="Y157" s="66" t="n">
        <x:v>121.49207899875442</x:v>
      </x:c>
      <x:c r="Z157" s="66" t="n">
        <x:v>5591543.988673278</x:v>
      </x:c>
      <x:c r="AA157" s="66" t="n">
        <x:v>367094.3389722676</x:v>
      </x:c>
      <x:c r="AB157" s="66" t="n">
        <x:v>52713.891459167266</x:v>
      </x:c>
      <x:c r="AC157" s="66" t="n">
        <x:v>0</x:v>
      </x:c>
      <x:c r="AD157" s="66" t="n">
        <x:v>2390.1339221014296</x:v>
      </x:c>
      <x:c r="AE157" s="66" t="n">
        <x:v>178045.74630351158</x:v>
      </x:c>
      <x:c r="AF157" s="66" t="n">
        <x:v>233846.60541080066</x:v>
      </x:c>
      <x:c r="AG157" s="66" t="n">
        <x:v>5.820766091346741e-11</x:v>
      </x:c>
      <x:c r="AH157" s="36" t="n">
        <x:v>0</x:v>
      </x:c>
    </x:row>
    <x:row r="158" ht="15" hidden="0" customHeight="1">
      <x:c r="A158" s="34" t="n">
        <x:v>39</x:v>
      </x:c>
      <x:c r="B158" s="34" t="str">
        <x:v>B1</x:v>
      </x:c>
      <x:c r="C158" s="34" t="str">
        <x:v>reference</x:v>
      </x:c>
      <x:c r="D158" s="74" t="n">
        <x:v>1.1610747949805198</x:v>
      </x:c>
      <x:c r="E158" s="74" t="n">
        <x:v>0.07928501530008497</x:v>
      </x:c>
      <x:c r="F158" s="74" t="n">
        <x:v>0.9383050223094602</x:v>
      </x:c>
      <x:c r="G158" s="74" t="n">
        <x:v>1.106461250553786</x:v>
      </x:c>
      <x:c r="H158" s="74" t="n">
        <x:v>0.7919856705134416</x:v>
      </x:c>
      <x:c r="I158" s="74" t="n">
        <x:v>0.7622497268136064</x:v>
      </x:c>
      <x:c r="J158" s="74" t="n">
        <x:v>0.8772367211357249</x:v>
      </x:c>
      <x:c r="K158" s="74" t="n">
        <x:v>0.9709144487474987</x:v>
      </x:c>
      <x:c r="L158" s="74" t="n">
        <x:v>0.8245423583760128</x:v>
      </x:c>
      <x:c r="M158" s="74" t="n">
        <x:v>0.9546963885448742</x:v>
      </x:c>
      <x:c r="N158" s="74" t="n">
        <x:v>0.9687649150571036</x:v>
      </x:c>
      <x:c r="O158" s="65" t="n">
        <x:v>558534.79791042</x:v>
      </x:c>
      <x:c r="P158" s="65" t="n">
        <x:v>242480.0604247772</x:v>
      </x:c>
      <x:c r="Q158" s="65" t="n">
        <x:v>316054.7374856428</x:v>
      </x:c>
      <x:c r="R158" s="65" t="n">
        <x:v>148482.99287651203</x:v>
      </x:c>
      <x:c r="S158" s="65" t="n">
        <x:v>167571.74460913078</x:v>
      </x:c>
      <x:c r="T158" s="65" t="n">
        <x:v>171588.0768555084</x:v>
      </x:c>
      <x:c r="U158" s="43" t="n">
        <x:v>0.741347072428414</x:v>
      </x:c>
      <x:c r="V158" s="43" t="n">
        <x:v>0.7655643179028786</x:v>
      </x:c>
      <x:c r="W158" s="43" t="n">
        <x:v>0.42904040941256616</x:v>
      </x:c>
      <x:c r="X158" s="65" t="n">
        <x:v>44658812.12254833</x:v>
      </x:c>
      <x:c r="Y158" s="65" t="n">
        <x:v>79.957081080042</x:v>
      </x:c>
      <x:c r="Z158" s="65" t="n">
        <x:v>2415439.3368933676</x:v>
      </x:c>
      <x:c r="AA158" s="65" t="n">
        <x:v>237536.66392935303</x:v>
      </x:c>
      <x:c r="AB158" s="65" t="n">
        <x:v>16632.25444574048</x:v>
      </x:c>
      <x:c r="AC158" s="65" t="n">
        <x:v>0</x:v>
      </x:c>
      <x:c r="AD158" s="65" t="n">
        <x:v>1988.9002045113946</x:v>
      </x:c>
      <x:c r="AE158" s="65" t="n">
        <x:v>127618.10186091188</x:v>
      </x:c>
      <x:c r="AF158" s="65" t="n">
        <x:v>171588.0768555084</x:v>
      </x:c>
      <x:c r="AG158" s="65" t="n">
        <x:v>0</x:v>
      </x:c>
      <x:c r="AH158" s="34" t="n">
        <x:v>0</x:v>
      </x:c>
    </x:row>
    <x:row r="159" ht="15" hidden="0" customHeight="1">
      <x:c r="A159" s="36" t="n">
        <x:v>39</x:v>
      </x:c>
      <x:c r="B159" s="36" t="str">
        <x:v>P2</x:v>
      </x:c>
      <x:c r="C159" s="36" t="str">
        <x:v>reference</x:v>
      </x:c>
      <x:c r="D159" s="75" t="n">
        <x:v>1.1610747949805198</x:v>
      </x:c>
      <x:c r="E159" s="75" t="n">
        <x:v>0.07928501530008497</x:v>
      </x:c>
      <x:c r="F159" s="75" t="n">
        <x:v>0.9383050223094602</x:v>
      </x:c>
      <x:c r="G159" s="75" t="n">
        <x:v>1.106461250553786</x:v>
      </x:c>
      <x:c r="H159" s="75" t="n">
        <x:v>0.7919856705134416</x:v>
      </x:c>
      <x:c r="I159" s="75" t="n">
        <x:v>0.7622497268136064</x:v>
      </x:c>
      <x:c r="J159" s="75" t="n">
        <x:v>0.8772367211357249</x:v>
      </x:c>
      <x:c r="K159" s="75" t="n">
        <x:v>0.9709144487474987</x:v>
      </x:c>
      <x:c r="L159" s="75" t="n">
        <x:v>0.8245423583760128</x:v>
      </x:c>
      <x:c r="M159" s="75" t="n">
        <x:v>0.9546963885448742</x:v>
      </x:c>
      <x:c r="N159" s="75" t="n">
        <x:v>0.9687649150571036</x:v>
      </x:c>
      <x:c r="O159" s="66" t="n">
        <x:v>558534.79791042</x:v>
      </x:c>
      <x:c r="P159" s="66" t="n">
        <x:v>351280.66773424944</x:v>
      </x:c>
      <x:c r="Q159" s="66" t="n">
        <x:v>207254.13017617055</x:v>
      </x:c>
      <x:c r="R159" s="66" t="n">
        <x:v>148482.99287651203</x:v>
      </x:c>
      <x:c r="S159" s="66" t="n">
        <x:v>58771.13729965851</x:v>
      </x:c>
      <x:c r="T159" s="66" t="n">
        <x:v>122855.61120977915</x:v>
      </x:c>
      <x:c r="U159" s="45" t="n">
        <x:v>0.8488929977467089</x:v>
      </x:c>
      <x:c r="V159" s="45" t="n">
        <x:v>0.873833486917654</x:v>
      </x:c>
      <x:c r="W159" s="45" t="n">
        <x:v>0.5327438737000028</x:v>
      </x:c>
      <x:c r="X159" s="66" t="n">
        <x:v>27635883.69845374</x:v>
      </x:c>
      <x:c r="Y159" s="66" t="n">
        <x:v>49.47925143042939</x:v>
      </x:c>
      <x:c r="Z159" s="66" t="n">
        <x:v>773165.128052657</x:v>
      </x:c>
      <x:c r="AA159" s="66" t="n">
        <x:v>156883.11046240627</x:v>
      </x:c>
      <x:c r="AB159" s="66" t="n">
        <x:v>417.326719306021</x:v>
      </x:c>
      <x:c r="AC159" s="66" t="n">
        <x:v>0</x:v>
      </x:c>
      <x:c r="AD159" s="66" t="n">
        <x:v>1746.462230101758</x:v>
      </x:c>
      <x:c r="AE159" s="66" t="n">
        <x:v>68650.07213507002</x:v>
      </x:c>
      <x:c r="AF159" s="66" t="n">
        <x:v>122855.61120977924</x:v>
      </x:c>
      <x:c r="AG159" s="66" t="n">
        <x:v>0</x:v>
      </x:c>
      <x:c r="AH159" s="36" t="n">
        <x:v>0</x:v>
      </x:c>
    </x:row>
    <x:row r="160" ht="15" hidden="0" customHeight="1">
      <x:c r="A160" s="34" t="n">
        <x:v>39</x:v>
      </x:c>
      <x:c r="B160" s="34" t="str">
        <x:v>H3</x:v>
      </x:c>
      <x:c r="C160" s="34" t="str">
        <x:v>reference</x:v>
      </x:c>
      <x:c r="D160" s="74" t="n">
        <x:v>1.1610747949805198</x:v>
      </x:c>
      <x:c r="E160" s="74" t="n">
        <x:v>0.07928501530008497</x:v>
      </x:c>
      <x:c r="F160" s="74" t="n">
        <x:v>0.9383050223094602</x:v>
      </x:c>
      <x:c r="G160" s="74" t="n">
        <x:v>1.106461250553786</x:v>
      </x:c>
      <x:c r="H160" s="74" t="n">
        <x:v>0.7919856705134416</x:v>
      </x:c>
      <x:c r="I160" s="74" t="n">
        <x:v>0.7622497268136064</x:v>
      </x:c>
      <x:c r="J160" s="74" t="n">
        <x:v>0.8772367211357249</x:v>
      </x:c>
      <x:c r="K160" s="74" t="n">
        <x:v>0.9709144487474987</x:v>
      </x:c>
      <x:c r="L160" s="74" t="n">
        <x:v>0.8245423583760128</x:v>
      </x:c>
      <x:c r="M160" s="74" t="n">
        <x:v>0.9546963885448742</x:v>
      </x:c>
      <x:c r="N160" s="74" t="n">
        <x:v>0.9687649150571036</x:v>
      </x:c>
      <x:c r="O160" s="65" t="n">
        <x:v>558534.79791042</x:v>
      </x:c>
      <x:c r="P160" s="65" t="n">
        <x:v>364403.7796468693</x:v>
      </x:c>
      <x:c r="Q160" s="65" t="n">
        <x:v>194131.01826355077</x:v>
      </x:c>
      <x:c r="R160" s="65" t="n">
        <x:v>148482.99287651203</x:v>
      </x:c>
      <x:c r="S160" s="65" t="n">
        <x:v>45648.02538703875</x:v>
      </x:c>
      <x:c r="T160" s="65" t="n">
        <x:v>177920.34972604306</x:v>
      </x:c>
      <x:c r="U160" s="43" t="n">
        <x:v>0.9709764394301758</x:v>
      </x:c>
      <x:c r="V160" s="43" t="n">
        <x:v>0.9702228818674747</x:v>
      </x:c>
      <x:c r="W160" s="43" t="n">
        <x:v>0.7330304926718504</x:v>
      </x:c>
      <x:c r="X160" s="65" t="n">
        <x:v>20721884.185275264</x:v>
      </x:c>
      <x:c r="Y160" s="65" t="n">
        <x:v>37.10043539417703</x:v>
      </x:c>
      <x:c r="Z160" s="65" t="n">
        <x:v>1631758.9973269708</x:v>
      </x:c>
      <x:c r="AA160" s="65" t="n">
        <x:v>127071.14389657963</x:v>
      </x:c>
      <x:c r="AB160" s="65" t="n">
        <x:v>8210.040652904692</x:v>
      </x:c>
      <x:c r="AC160" s="65" t="n">
        <x:v>0</x:v>
      </x:c>
      <x:c r="AD160" s="65" t="n">
        <x:v>1719.2469600304785</x:v>
      </x:c>
      <x:c r="AE160" s="65" t="n">
        <x:v>78501.92832750859</x:v>
      </x:c>
      <x:c r="AF160" s="65" t="n">
        <x:v>177920.34972604303</x:v>
      </x:c>
      <x:c r="AG160" s="65" t="n">
        <x:v>2.9103830456733704e-11</x:v>
      </x:c>
      <x:c r="AH160" s="34" t="n">
        <x:v>0</x:v>
      </x:c>
    </x:row>
    <x:row r="161" ht="15" hidden="0" customHeight="1">
      <x:c r="A161" s="36" t="n">
        <x:v>40</x:v>
      </x:c>
      <x:c r="B161" s="36" t="str">
        <x:v>M0</x:v>
      </x:c>
      <x:c r="C161" s="36" t="str">
        <x:v>reference</x:v>
      </x:c>
      <x:c r="D161" s="75" t="n">
        <x:v>1.1025390760149238</x:v>
      </x:c>
      <x:c r="E161" s="75" t="n">
        <x:v>-0.005696439727943446</x:v>
      </x:c>
      <x:c r="F161" s="75" t="n">
        <x:v>0.8837194741767995</x:v>
      </x:c>
      <x:c r="G161" s="75" t="n">
        <x:v>1.3280155177764414</x:v>
      </x:c>
      <x:c r="H161" s="75" t="n">
        <x:v>0.987812660515496</x:v>
      </x:c>
      <x:c r="I161" s="75" t="n">
        <x:v>0.8148364986671263</x:v>
      </x:c>
      <x:c r="J161" s="75" t="n">
        <x:v>0.9890326766354445</x:v>
      </x:c>
      <x:c r="K161" s="75" t="n">
        <x:v>0.8486070568228752</x:v>
      </x:c>
      <x:c r="L161" s="75" t="n">
        <x:v>1.0099480949628858</x:v>
      </x:c>
      <x:c r="M161" s="75" t="n">
        <x:v>1.0795460102218257</x:v>
      </x:c>
      <x:c r="N161" s="75" t="n">
        <x:v>0.8289446945963814</x:v>
      </x:c>
      <x:c r="O161" s="66" t="n">
        <x:v>530376.2020091639</x:v>
      </x:c>
      <x:c r="P161" s="66" t="n">
        <x:v>71531.01455931953</x:v>
      </x:c>
      <x:c r="Q161" s="66" t="n">
        <x:v>458845.1874498443</x:v>
      </x:c>
      <x:c r="R161" s="66" t="n">
        <x:v>95925.06440048938</x:v>
      </x:c>
      <x:c r="S161" s="66" t="n">
        <x:v>362920.123049355</x:v>
      </x:c>
      <x:c r="T161" s="66" t="n">
        <x:v>284961.3738901303</x:v>
      </x:c>
      <x:c r="U161" s="45" t="n">
        <x:v>0.6721500457580679</x:v>
      </x:c>
      <x:c r="V161" s="45" t="n">
        <x:v>0.6888975535370161</x:v>
      </x:c>
      <x:c r="W161" s="45" t="n">
        <x:v>0.13151686271017177</x:v>
      </x:c>
      <x:c r="X161" s="66" t="n">
        <x:v>59866322.981245704</x:v>
      </x:c>
      <x:c r="Y161" s="66" t="n">
        <x:v>112.87520585286616</x:v>
      </x:c>
      <x:c r="Z161" s="66" t="n">
        <x:v>7316335.423800583</x:v>
      </x:c>
      <x:c r="AA161" s="66" t="n">
        <x:v>315593.705295616</x:v>
      </x:c>
      <x:c r="AB161" s="66" t="n">
        <x:v>69473.18340916271</x:v>
      </x:c>
      <x:c r="AC161" s="66" t="n">
        <x:v>0</x:v>
      </x:c>
      <x:c r="AD161" s="66" t="n">
        <x:v>2243.0963938542395</x:v>
      </x:c>
      <x:c r="AE161" s="66" t="n">
        <x:v>213340.552277003</x:v>
      </x:c>
      <x:c r="AF161" s="66" t="n">
        <x:v>284961.3738901302</x:v>
      </x:c>
      <x:c r="AG161" s="66" t="n">
        <x:v>1.1641532182693481e-10</x:v>
      </x:c>
      <x:c r="AH161" s="36" t="n">
        <x:v>0</x:v>
      </x:c>
    </x:row>
    <x:row r="162" ht="15" hidden="0" customHeight="1">
      <x:c r="A162" s="34" t="n">
        <x:v>40</x:v>
      </x:c>
      <x:c r="B162" s="34" t="str">
        <x:v>B1</x:v>
      </x:c>
      <x:c r="C162" s="34" t="str">
        <x:v>reference</x:v>
      </x:c>
      <x:c r="D162" s="74" t="n">
        <x:v>1.1025390760149238</x:v>
      </x:c>
      <x:c r="E162" s="74" t="n">
        <x:v>-0.005696439727943446</x:v>
      </x:c>
      <x:c r="F162" s="74" t="n">
        <x:v>0.8837194741767995</x:v>
      </x:c>
      <x:c r="G162" s="74" t="n">
        <x:v>1.3280155177764414</x:v>
      </x:c>
      <x:c r="H162" s="74" t="n">
        <x:v>0.987812660515496</x:v>
      </x:c>
      <x:c r="I162" s="74" t="n">
        <x:v>0.8148364986671263</x:v>
      </x:c>
      <x:c r="J162" s="74" t="n">
        <x:v>0.9890326766354445</x:v>
      </x:c>
      <x:c r="K162" s="74" t="n">
        <x:v>0.8486070568228752</x:v>
      </x:c>
      <x:c r="L162" s="74" t="n">
        <x:v>1.0099480949628858</x:v>
      </x:c>
      <x:c r="M162" s="74" t="n">
        <x:v>1.0795460102218257</x:v>
      </x:c>
      <x:c r="N162" s="74" t="n">
        <x:v>0.8289446945963814</x:v>
      </x:c>
      <x:c r="O162" s="65" t="n">
        <x:v>530376.2020091639</x:v>
      </x:c>
      <x:c r="P162" s="65" t="n">
        <x:v>241965.02384900747</x:v>
      </x:c>
      <x:c r="Q162" s="65" t="n">
        <x:v>288411.1781601564</x:v>
      </x:c>
      <x:c r="R162" s="65" t="n">
        <x:v>95925.06440048938</x:v>
      </x:c>
      <x:c r="S162" s="65" t="n">
        <x:v>192486.11375966703</x:v>
      </x:c>
      <x:c r="T162" s="65" t="n">
        <x:v>205574.68989270873</x:v>
      </x:c>
      <x:c r="U162" s="43" t="n">
        <x:v>0.8438156011645175</x:v>
      </x:c>
      <x:c r="V162" s="43" t="n">
        <x:v>0.8553035346568718</x:v>
      </x:c>
      <x:c r="W162" s="43" t="n">
        <x:v>0.490431604192016</x:v>
      </x:c>
      <x:c r="X162" s="65" t="n">
        <x:v>37755519.01566872</x:v>
      </x:c>
      <x:c r="Y162" s="65" t="n">
        <x:v>71.18629922052267</x:v>
      </x:c>
      <x:c r="Z162" s="65" t="n">
        <x:v>3402727.215194091</x:v>
      </x:c>
      <x:c r="AA162" s="65" t="n">
        <x:v>195697.22683372343</x:v>
      </x:c>
      <x:c r="AB162" s="65" t="n">
        <x:v>26353.767490004146</x:v>
      </x:c>
      <x:c r="AC162" s="65" t="n">
        <x:v>5520.669701910857</x:v>
      </x:c>
      <x:c r="AD162" s="65" t="n">
        <x:v>1801.9963570103214</x:v>
      </x:c>
      <x:c r="AE162" s="65" t="n">
        <x:v>116048.66287629963</x:v>
      </x:c>
      <x:c r="AF162" s="65" t="n">
        <x:v>205574.6898927084</x:v>
      </x:c>
      <x:c r="AG162" s="65" t="n">
        <x:v>3.2014213502407074e-10</x:v>
      </x:c>
      <x:c r="AH162" s="34" t="n">
        <x:v>0</x:v>
      </x:c>
    </x:row>
    <x:row r="163" ht="15" hidden="0" customHeight="1">
      <x:c r="A163" s="36" t="n">
        <x:v>40</x:v>
      </x:c>
      <x:c r="B163" s="36" t="str">
        <x:v>P2</x:v>
      </x:c>
      <x:c r="C163" s="36" t="str">
        <x:v>reference</x:v>
      </x:c>
      <x:c r="D163" s="75" t="n">
        <x:v>1.1025390760149238</x:v>
      </x:c>
      <x:c r="E163" s="75" t="n">
        <x:v>-0.005696439727943446</x:v>
      </x:c>
      <x:c r="F163" s="75" t="n">
        <x:v>0.8837194741767995</x:v>
      </x:c>
      <x:c r="G163" s="75" t="n">
        <x:v>1.3280155177764414</x:v>
      </x:c>
      <x:c r="H163" s="75" t="n">
        <x:v>0.987812660515496</x:v>
      </x:c>
      <x:c r="I163" s="75" t="n">
        <x:v>0.8148364986671263</x:v>
      </x:c>
      <x:c r="J163" s="75" t="n">
        <x:v>0.9890326766354445</x:v>
      </x:c>
      <x:c r="K163" s="75" t="n">
        <x:v>0.8486070568228752</x:v>
      </x:c>
      <x:c r="L163" s="75" t="n">
        <x:v>1.0099480949628858</x:v>
      </x:c>
      <x:c r="M163" s="75" t="n">
        <x:v>1.0795460102218257</x:v>
      </x:c>
      <x:c r="N163" s="75" t="n">
        <x:v>0.8289446945963814</x:v>
      </x:c>
      <x:c r="O163" s="66" t="n">
        <x:v>530376.2020091639</x:v>
      </x:c>
      <x:c r="P163" s="66" t="n">
        <x:v>350532.1153635689</x:v>
      </x:c>
      <x:c r="Q163" s="66" t="n">
        <x:v>179844.08664559503</x:v>
      </x:c>
      <x:c r="R163" s="66" t="n">
        <x:v>95925.06440048938</x:v>
      </x:c>
      <x:c r="S163" s="66" t="n">
        <x:v>83919.02224510565</x:v>
      </x:c>
      <x:c r="T163" s="66" t="n">
        <x:v>127291.05447525556</x:v>
      </x:c>
      <x:c r="U163" s="45" t="n">
        <x:v>0.9009136685031138</x:v>
      </x:c>
      <x:c r="V163" s="45" t="n">
        <x:v>0.9208206185842154</x:v>
      </x:c>
      <x:c r="W163" s="45" t="n">
        <x:v>0.4994491759476283</x:v>
      </x:c>
      <x:c r="X163" s="66" t="n">
        <x:v>21565674.657100093</x:v>
      </x:c>
      <x:c r="Y163" s="66" t="n">
        <x:v>40.66109032683838</x:v>
      </x:c>
      <x:c r="Z163" s="66" t="n">
        <x:v>1263044.5637845534</x:v>
      </x:c>
      <x:c r="AA163" s="66" t="n">
        <x:v>122256.01017422992</x:v>
      </x:c>
      <x:c r="AB163" s="66" t="n">
        <x:v>814.4450456747397</x:v>
      </x:c>
      <x:c r="AC163" s="66" t="n">
        <x:v>29136.15121576057</x:v>
      </x:c>
      <x:c r="AD163" s="66" t="n">
        <x:v>1535.4699043313817</x:v>
      </x:c>
      <x:c r="AE163" s="66" t="n">
        <x:v>52939.924896214914</x:v>
      </x:c>
      <x:c r="AF163" s="66" t="n">
        <x:v>127291.05447525563</x:v>
      </x:c>
      <x:c r="AG163" s="66" t="n">
        <x:v>0</x:v>
      </x:c>
      <x:c r="AH163" s="36" t="n">
        <x:v>0</x:v>
      </x:c>
    </x:row>
    <x:row r="164" ht="15" hidden="0" customHeight="1">
      <x:c r="A164" s="34" t="n">
        <x:v>40</x:v>
      </x:c>
      <x:c r="B164" s="34" t="str">
        <x:v>H3</x:v>
      </x:c>
      <x:c r="C164" s="34" t="str">
        <x:v>reference</x:v>
      </x:c>
      <x:c r="D164" s="74" t="n">
        <x:v>1.1025390760149238</x:v>
      </x:c>
      <x:c r="E164" s="74" t="n">
        <x:v>-0.005696439727943446</x:v>
      </x:c>
      <x:c r="F164" s="74" t="n">
        <x:v>0.8837194741767995</x:v>
      </x:c>
      <x:c r="G164" s="74" t="n">
        <x:v>1.3280155177764414</x:v>
      </x:c>
      <x:c r="H164" s="74" t="n">
        <x:v>0.987812660515496</x:v>
      </x:c>
      <x:c r="I164" s="74" t="n">
        <x:v>0.8148364986671263</x:v>
      </x:c>
      <x:c r="J164" s="74" t="n">
        <x:v>0.9890326766354445</x:v>
      </x:c>
      <x:c r="K164" s="74" t="n">
        <x:v>0.8486070568228752</x:v>
      </x:c>
      <x:c r="L164" s="74" t="n">
        <x:v>1.0099480949628858</x:v>
      </x:c>
      <x:c r="M164" s="74" t="n">
        <x:v>1.0795460102218257</x:v>
      </x:c>
      <x:c r="N164" s="74" t="n">
        <x:v>0.8289446945963814</x:v>
      </x:c>
      <x:c r="O164" s="65" t="n">
        <x:v>530376.2020091639</x:v>
      </x:c>
      <x:c r="P164" s="65" t="n">
        <x:v>363626.7747752475</x:v>
      </x:c>
      <x:c r="Q164" s="65" t="n">
        <x:v>166749.42723391642</x:v>
      </x:c>
      <x:c r="R164" s="65" t="n">
        <x:v>95925.06440048938</x:v>
      </x:c>
      <x:c r="S164" s="65" t="n">
        <x:v>70824.36283342703</x:v>
      </x:c>
      <x:c r="T164" s="65" t="n">
        <x:v>165243.87669105662</x:v>
      </x:c>
      <x:c r="U164" s="43" t="n">
        <x:v>0.9971613535125511</x:v>
      </x:c>
      <x:c r="V164" s="43" t="n">
        <x:v>0.9982120940160146</x:v>
      </x:c>
      <x:c r="W164" s="43" t="n">
        <x:v>0.9716135351255109</x:v>
      </x:c>
      <x:c r="X164" s="65" t="n">
        <x:v>16790136.11944907</x:v>
      </x:c>
      <x:c r="Y164" s="65" t="n">
        <x:v>31.65703147283929</x:v>
      </x:c>
      <x:c r="Z164" s="65" t="n">
        <x:v>1329605.4484108035</x:v>
      </x:c>
      <x:c r="AA164" s="65" t="n">
        <x:v>99179.65636788952</x:v>
      </x:c>
      <x:c r="AB164" s="65" t="n">
        <x:v>7751.8175557645645</x:v>
      </x:c>
      <x:c r="AC164" s="65" t="n">
        <x:v>0</x:v>
      </x:c>
      <x:c r="AD164" s="65" t="n">
        <x:v>1505.5505428598108</x:v>
      </x:c>
      <x:c r="AE164" s="65" t="n">
        <x:v>50862.19207533733</x:v>
      </x:c>
      <x:c r="AF164" s="65" t="n">
        <x:v>165243.87669105668</x:v>
      </x:c>
      <x:c r="AG164" s="65" t="n">
        <x:v>0</x:v>
      </x:c>
      <x:c r="AH164" s="34" t="n">
        <x:v>1</x:v>
      </x:c>
    </x:row>
    <x:row r="165" ht="15" hidden="0" customHeight="1">
      <x:c r="A165" s="36" t="n">
        <x:v>41</x:v>
      </x:c>
      <x:c r="B165" s="36" t="str">
        <x:v>M0</x:v>
      </x:c>
      <x:c r="C165" s="36" t="str">
        <x:v>reference</x:v>
      </x:c>
      <x:c r="D165" s="75" t="n">
        <x:v>1.0369208462555228</x:v>
      </x:c>
      <x:c r="E165" s="75" t="n">
        <x:v>0.031398697166755675</x:v>
      </x:c>
      <x:c r="F165" s="75" t="n">
        <x:v>0.7205072110156003</x:v>
      </x:c>
      <x:c r="G165" s="75" t="n">
        <x:v>1.0448689801204907</x:v>
      </x:c>
      <x:c r="H165" s="75" t="n">
        <x:v>0.869916448630522</x:v>
      </x:c>
      <x:c r="I165" s="75" t="n">
        <x:v>0.8462499801841304</x:v>
      </x:c>
      <x:c r="J165" s="75" t="n">
        <x:v>0.8757632055153273</x:v>
      </x:c>
      <x:c r="K165" s="75" t="n">
        <x:v>0.7587516937929973</x:v>
      </x:c>
      <x:c r="L165" s="75" t="n">
        <x:v>0.984041706124004</x:v>
      </x:c>
      <x:c r="M165" s="75" t="n">
        <x:v>1.0344190540474076</x:v>
      </x:c>
      <x:c r="N165" s="75" t="n">
        <x:v>0.9594979620590955</x:v>
      </x:c>
      <x:c r="O165" s="66" t="n">
        <x:v>498810.56570705003</x:v>
      </x:c>
      <x:c r="P165" s="66" t="n">
        <x:v>52364.81528491816</x:v>
      </x:c>
      <x:c r="Q165" s="66" t="n">
        <x:v>446445.7504221318</x:v>
      </x:c>
      <x:c r="R165" s="66" t="n">
        <x:v>108719.4767612078</x:v>
      </x:c>
      <x:c r="S165" s="66" t="n">
        <x:v>337726.27366092405</x:v>
      </x:c>
      <x:c r="T165" s="66" t="n">
        <x:v>266132.89251469204</x:v>
      </x:c>
      <x:c r="U165" s="45" t="n">
        <x:v>0.6385143573455558</x:v>
      </x:c>
      <x:c r="V165" s="45" t="n">
        <x:v>0.6673657887128537</x:v>
      </x:c>
      <x:c r="W165" s="45" t="n">
        <x:v>0.10426080510641067</x:v>
      </x:c>
      <x:c r="X165" s="66" t="n">
        <x:v>58208335.166875035</x:v>
      </x:c>
      <x:c r="Y165" s="66" t="n">
        <x:v>116.69427066839762</x:v>
      </x:c>
      <x:c r="Z165" s="66" t="n">
        <x:v>5898085.409739293</x:v>
      </x:c>
      <x:c r="AA165" s="66" t="n">
        <x:v>316000.3504393186</x:v>
      </x:c>
      <x:c r="AB165" s="66" t="n">
        <x:v>51500.406774909075</x:v>
      </x:c>
      <x:c r="AC165" s="66" t="n">
        <x:v>0</x:v>
      </x:c>
      <x:c r="AD165" s="66" t="n">
        <x:v>2155.5916076647227</x:v>
      </x:c>
      <x:c r="AE165" s="66" t="n">
        <x:v>183232.2685927861</x:v>
      </x:c>
      <x:c r="AF165" s="66" t="n">
        <x:v>266132.8925146923</x:v>
      </x:c>
      <x:c r="AG165" s="66" t="n">
        <x:v>0</x:v>
      </x:c>
      <x:c r="AH165" s="36" t="n">
        <x:v>0</x:v>
      </x:c>
    </x:row>
    <x:row r="166" ht="15" hidden="0" customHeight="1">
      <x:c r="A166" s="34" t="n">
        <x:v>41</x:v>
      </x:c>
      <x:c r="B166" s="34" t="str">
        <x:v>B1</x:v>
      </x:c>
      <x:c r="C166" s="34" t="str">
        <x:v>reference</x:v>
      </x:c>
      <x:c r="D166" s="74" t="n">
        <x:v>1.0369208462555228</x:v>
      </x:c>
      <x:c r="E166" s="74" t="n">
        <x:v>0.031398697166755675</x:v>
      </x:c>
      <x:c r="F166" s="74" t="n">
        <x:v>0.7205072110156003</x:v>
      </x:c>
      <x:c r="G166" s="74" t="n">
        <x:v>1.0448689801204907</x:v>
      </x:c>
      <x:c r="H166" s="74" t="n">
        <x:v>0.869916448630522</x:v>
      </x:c>
      <x:c r="I166" s="74" t="n">
        <x:v>0.8462499801841304</x:v>
      </x:c>
      <x:c r="J166" s="74" t="n">
        <x:v>0.8757632055153273</x:v>
      </x:c>
      <x:c r="K166" s="74" t="n">
        <x:v>0.7587516937929973</x:v>
      </x:c>
      <x:c r="L166" s="74" t="n">
        <x:v>0.984041706124004</x:v>
      </x:c>
      <x:c r="M166" s="74" t="n">
        <x:v>1.0344190540474076</x:v>
      </x:c>
      <x:c r="N166" s="74" t="n">
        <x:v>0.9594979620590955</x:v>
      </x:c>
      <x:c r="O166" s="65" t="n">
        <x:v>498810.56570705003</x:v>
      </x:c>
      <x:c r="P166" s="65" t="n">
        <x:v>177133.19855041773</x:v>
      </x:c>
      <x:c r="Q166" s="65" t="n">
        <x:v>321677.36715663224</x:v>
      </x:c>
      <x:c r="R166" s="65" t="n">
        <x:v>108719.4767612078</x:v>
      </x:c>
      <x:c r="S166" s="65" t="n">
        <x:v>212957.89039542447</x:v>
      </x:c>
      <x:c r="T166" s="65" t="n">
        <x:v>189366.85884018632</x:v>
      </x:c>
      <x:c r="U166" s="43" t="n">
        <x:v>0.7347479836781333</x:v>
      </x:c>
      <x:c r="V166" s="43" t="n">
        <x:v>0.7644184063922204</x:v>
      </x:c>
      <x:c r="W166" s="43" t="n">
        <x:v>0.36930160386684896</x:v>
      </x:c>
      <x:c r="X166" s="65" t="n">
        <x:v>42908624.983076446</x:v>
      </x:c>
      <x:c r="Y166" s="65" t="n">
        <x:v>86.02188472542612</x:v>
      </x:c>
      <x:c r="Z166" s="65" t="n">
        <x:v>2385726.203804123</x:v>
      </x:c>
      <x:c r="AA166" s="65" t="n">
        <x:v>236073.24227268202</x:v>
      </x:c>
      <x:c r="AB166" s="65" t="n">
        <x:v>14521.333068118063</x:v>
      </x:c>
      <x:c r="AC166" s="65" t="n">
        <x:v>14189.008148491732</x:v>
      </x:c>
      <x:c r="AD166" s="65" t="n">
        <x:v>1844.8942531205594</x:v>
      </x:c>
      <x:c r="AE166" s="65" t="n">
        <x:v>108854.76471149799</x:v>
      </x:c>
      <x:c r="AF166" s="65" t="n">
        <x:v>189366.85884018627</x:v>
      </x:c>
      <x:c r="AG166" s="65" t="n">
        <x:v>5.820766091346741e-11</x:v>
      </x:c>
      <x:c r="AH166" s="34" t="n">
        <x:v>0</x:v>
      </x:c>
    </x:row>
    <x:row r="167" ht="15" hidden="0" customHeight="1">
      <x:c r="A167" s="36" t="n">
        <x:v>41</x:v>
      </x:c>
      <x:c r="B167" s="36" t="str">
        <x:v>P2</x:v>
      </x:c>
      <x:c r="C167" s="36" t="str">
        <x:v>reference</x:v>
      </x:c>
      <x:c r="D167" s="75" t="n">
        <x:v>1.0369208462555228</x:v>
      </x:c>
      <x:c r="E167" s="75" t="n">
        <x:v>0.031398697166755675</x:v>
      </x:c>
      <x:c r="F167" s="75" t="n">
        <x:v>0.7205072110156003</x:v>
      </x:c>
      <x:c r="G167" s="75" t="n">
        <x:v>1.0448689801204907</x:v>
      </x:c>
      <x:c r="H167" s="75" t="n">
        <x:v>0.869916448630522</x:v>
      </x:c>
      <x:c r="I167" s="75" t="n">
        <x:v>0.8462499801841304</x:v>
      </x:c>
      <x:c r="J167" s="75" t="n">
        <x:v>0.8757632055153273</x:v>
      </x:c>
      <x:c r="K167" s="75" t="n">
        <x:v>0.7587516937929973</x:v>
      </x:c>
      <x:c r="L167" s="75" t="n">
        <x:v>0.984041706124004</x:v>
      </x:c>
      <x:c r="M167" s="75" t="n">
        <x:v>1.0344190540474076</x:v>
      </x:c>
      <x:c r="N167" s="75" t="n">
        <x:v>0.9594979620590955</x:v>
      </x:c>
      <x:c r="O167" s="66" t="n">
        <x:v>498810.56570705003</x:v>
      </x:c>
      <x:c r="P167" s="66" t="n">
        <x:v>256611.67637703344</x:v>
      </x:c>
      <x:c r="Q167" s="66" t="n">
        <x:v>242198.88933001657</x:v>
      </x:c>
      <x:c r="R167" s="66" t="n">
        <x:v>108719.4767612078</x:v>
      </x:c>
      <x:c r="S167" s="66" t="n">
        <x:v>133479.41256880877</x:v>
      </x:c>
      <x:c r="T167" s="66" t="n">
        <x:v>113812.74846243134</x:v>
      </x:c>
      <x:c r="U167" s="45" t="n">
        <x:v>0.7426154342067685</x:v>
      </x:c>
      <x:c r="V167" s="45" t="n">
        <x:v>0.7854711204891526</x:v>
      </x:c>
      <x:c r="W167" s="45" t="n">
        <x:v>0.3423588360405795</x:v>
      </x:c>
      <x:c r="X167" s="66" t="n">
        <x:v>32424744.521100197</x:v>
      </x:c>
      <x:c r="Y167" s="66" t="n">
        <x:v>65.00412531386344</x:v>
      </x:c>
      <x:c r="Z167" s="66" t="n">
        <x:v>1129316.9669136913</x:v>
      </x:c>
      <x:c r="AA167" s="66" t="n">
        <x:v>186694.01827135312</x:v>
      </x:c>
      <x:c r="AB167" s="66" t="n">
        <x:v>170.3696502274352</x:v>
      </x:c>
      <x:c r="AC167" s="66" t="n">
        <x:v>26198.221833728683</x:v>
      </x:c>
      <x:c r="AD167" s="66" t="n">
        <x:v>1657.1611838696756</x:v>
      </x:c>
      <x:c r="AE167" s="66" t="n">
        <x:v>50925.15129658294</x:v>
      </x:c>
      <x:c r="AF167" s="66" t="n">
        <x:v>113812.7484624313</x:v>
      </x:c>
      <x:c r="AG167" s="66" t="n">
        <x:v>4.3655745685100555e-11</x:v>
      </x:c>
      <x:c r="AH167" s="36" t="n">
        <x:v>0</x:v>
      </x:c>
    </x:row>
    <x:row r="168" ht="15" hidden="0" customHeight="1">
      <x:c r="A168" s="34" t="n">
        <x:v>41</x:v>
      </x:c>
      <x:c r="B168" s="34" t="str">
        <x:v>H3</x:v>
      </x:c>
      <x:c r="C168" s="34" t="str">
        <x:v>reference</x:v>
      </x:c>
      <x:c r="D168" s="74" t="n">
        <x:v>1.0369208462555228</x:v>
      </x:c>
      <x:c r="E168" s="74" t="n">
        <x:v>0.031398697166755675</x:v>
      </x:c>
      <x:c r="F168" s="74" t="n">
        <x:v>0.7205072110156003</x:v>
      </x:c>
      <x:c r="G168" s="74" t="n">
        <x:v>1.0448689801204907</x:v>
      </x:c>
      <x:c r="H168" s="74" t="n">
        <x:v>0.869916448630522</x:v>
      </x:c>
      <x:c r="I168" s="74" t="n">
        <x:v>0.8462499801841304</x:v>
      </x:c>
      <x:c r="J168" s="74" t="n">
        <x:v>0.8757632055153273</x:v>
      </x:c>
      <x:c r="K168" s="74" t="n">
        <x:v>0.7587516937929973</x:v>
      </x:c>
      <x:c r="L168" s="74" t="n">
        <x:v>0.984041706124004</x:v>
      </x:c>
      <x:c r="M168" s="74" t="n">
        <x:v>1.0344190540474076</x:v>
      </x:c>
      <x:c r="N168" s="74" t="n">
        <x:v>0.9594979620590955</x:v>
      </x:c>
      <x:c r="O168" s="65" t="n">
        <x:v>498810.56570705003</x:v>
      </x:c>
      <x:c r="P168" s="65" t="n">
        <x:v>266197.9416200146</x:v>
      </x:c>
      <x:c r="Q168" s="65" t="n">
        <x:v>232612.6240870354</x:v>
      </x:c>
      <x:c r="R168" s="65" t="n">
        <x:v>108719.4767612078</x:v>
      </x:c>
      <x:c r="S168" s="65" t="n">
        <x:v>123893.1473258276</x:v>
      </x:c>
      <x:c r="T168" s="65" t="n">
        <x:v>189678.1880070407</x:v>
      </x:c>
      <x:c r="U168" s="43" t="n">
        <x:v>0.9139263699854946</x:v>
      </x:c>
      <x:c r="V168" s="43" t="n">
        <x:v>0.9208307264626251</x:v>
      </x:c>
      <x:c r="W168" s="43" t="n">
        <x:v>0.5801822556201648</x:v>
      </x:c>
      <x:c r="X168" s="65" t="n">
        <x:v>25164315.373427924</x:v>
      </x:c>
      <x:c r="Y168" s="65" t="n">
        <x:v>50.448641435167296</x:v>
      </x:c>
      <x:c r="Z168" s="65" t="n">
        <x:v>1848840.7872943657</x:v>
      </x:c>
      <x:c r="AA168" s="65" t="n">
        <x:v>154550.818951272</x:v>
      </x:c>
      <x:c r="AB168" s="65" t="n">
        <x:v>6020.781084723078</x:v>
      </x:c>
      <x:c r="AC168" s="65" t="n">
        <x:v>23991.907049414283</x:v>
      </x:c>
      <x:c r="AD168" s="65" t="n">
        <x:v>1636.0869021140454</x:v>
      </x:c>
      <x:c r="AE168" s="65" t="n">
        <x:v>53961.41122782219</x:v>
      </x:c>
      <x:c r="AF168" s="65" t="n">
        <x:v>189678.18800704088</x:v>
      </x:c>
      <x:c r="AG168" s="65" t="n">
        <x:v>0</x:v>
      </x:c>
      <x:c r="AH168" s="34" t="n">
        <x:v>0</x:v>
      </x:c>
    </x:row>
    <x:row r="169" ht="15" hidden="0" customHeight="1">
      <x:c r="A169" s="36" t="n">
        <x:v>42</x:v>
      </x:c>
      <x:c r="B169" s="36" t="str">
        <x:v>M0</x:v>
      </x:c>
      <x:c r="C169" s="36" t="str">
        <x:v>fast</x:v>
      </x:c>
      <x:c r="D169" s="75" t="n">
        <x:v>1.152626317355728</x:v>
      </x:c>
      <x:c r="E169" s="75" t="n">
        <x:v>0.08929776691858496</x:v>
      </x:c>
      <x:c r="F169" s="75" t="n">
        <x:v>0.9014345776052493</x:v>
      </x:c>
      <x:c r="G169" s="75" t="n">
        <x:v>1.2852035234995667</x:v>
      </x:c>
      <x:c r="H169" s="75" t="n">
        <x:v>1.0323651139256946</x:v>
      </x:c>
      <x:c r="I169" s="75" t="n">
        <x:v>1.044422793351513</x:v>
      </x:c>
      <x:c r="J169" s="75" t="n">
        <x:v>0.7265838316383179</x:v>
      </x:c>
      <x:c r="K169" s="75" t="n">
        <x:v>0.8520536489906814</x:v>
      </x:c>
      <x:c r="L169" s="75" t="n">
        <x:v>0.8257978317968024</x:v>
      </x:c>
      <x:c r="M169" s="75" t="n">
        <x:v>0.9282915325534999</x:v>
      </x:c>
      <x:c r="N169" s="75" t="n">
        <x:v>0.8617749727496774</x:v>
      </x:c>
      <x:c r="O169" s="66" t="n">
        <x:v>554470.6594387095</x:v>
      </x:c>
      <x:c r="P169" s="66" t="n">
        <x:v>67431.97888971168</x:v>
      </x:c>
      <x:c r="Q169" s="66" t="n">
        <x:v>487038.6805489978</x:v>
      </x:c>
      <x:c r="R169" s="66" t="n">
        <x:v>152954.34400139033</x:v>
      </x:c>
      <x:c r="S169" s="66" t="n">
        <x:v>334084.3365476075</x:v>
      </x:c>
      <x:c r="T169" s="66" t="n">
        <x:v>277885.1056434641</x:v>
      </x:c>
      <x:c r="U169" s="45" t="n">
        <x:v>0.6227869385960659</x:v>
      </x:c>
      <x:c r="V169" s="45" t="n">
        <x:v>0.6603703983484546</x:v>
      </x:c>
      <x:c r="W169" s="45" t="n">
        <x:v>0.12625613718380685</x:v>
      </x:c>
      <x:c r="X169" s="66" t="n">
        <x:v>64585601.84831249</x:v>
      </x:c>
      <x:c r="Y169" s="66" t="n">
        <x:v>116.48155001329101</x:v>
      </x:c>
      <x:c r="Z169" s="66" t="n">
        <x:v>3685172.1570880436</x:v>
      </x:c>
      <x:c r="AA169" s="66" t="n">
        <x:v>362586.5290048101</x:v>
      </x:c>
      <x:c r="AB169" s="66" t="n">
        <x:v>21158.738258049612</x:v>
      </x:c>
      <x:c r="AC169" s="66" t="n">
        <x:v>5018.354407173719</x:v>
      </x:c>
      <x:c r="AD169" s="66" t="n">
        <x:v>2384.218571115517</x:v>
      </x:c>
      <x:c r="AE169" s="66" t="n">
        <x:v>228246.8672130827</x:v>
      </x:c>
      <x:c r="AF169" s="66" t="n">
        <x:v>277885.1056434641</x:v>
      </x:c>
      <x:c r="AG169" s="66" t="n">
        <x:v>0</x:v>
      </x:c>
      <x:c r="AH169" s="36" t="n">
        <x:v>0</x:v>
      </x:c>
    </x:row>
    <x:row r="170" ht="15" hidden="0" customHeight="1">
      <x:c r="A170" s="34" t="n">
        <x:v>42</x:v>
      </x:c>
      <x:c r="B170" s="34" t="str">
        <x:v>B1</x:v>
      </x:c>
      <x:c r="C170" s="34" t="str">
        <x:v>fast</x:v>
      </x:c>
      <x:c r="D170" s="74" t="n">
        <x:v>1.152626317355728</x:v>
      </x:c>
      <x:c r="E170" s="74" t="n">
        <x:v>0.08929776691858496</x:v>
      </x:c>
      <x:c r="F170" s="74" t="n">
        <x:v>0.9014345776052493</x:v>
      </x:c>
      <x:c r="G170" s="74" t="n">
        <x:v>1.2852035234995667</x:v>
      </x:c>
      <x:c r="H170" s="74" t="n">
        <x:v>1.0323651139256946</x:v>
      </x:c>
      <x:c r="I170" s="74" t="n">
        <x:v>1.044422793351513</x:v>
      </x:c>
      <x:c r="J170" s="74" t="n">
        <x:v>0.7265838316383179</x:v>
      </x:c>
      <x:c r="K170" s="74" t="n">
        <x:v>0.8520536489906814</x:v>
      </x:c>
      <x:c r="L170" s="74" t="n">
        <x:v>0.8257978317968024</x:v>
      </x:c>
      <x:c r="M170" s="74" t="n">
        <x:v>0.9282915325534999</x:v>
      </x:c>
      <x:c r="N170" s="74" t="n">
        <x:v>0.8617749727496774</x:v>
      </x:c>
      <x:c r="O170" s="65" t="n">
        <x:v>554470.6594387095</x:v>
      </x:c>
      <x:c r="P170" s="65" t="n">
        <x:v>228102.55208242033</x:v>
      </x:c>
      <x:c r="Q170" s="65" t="n">
        <x:v>326368.10735628917</x:v>
      </x:c>
      <x:c r="R170" s="65" t="n">
        <x:v>152954.34400139033</x:v>
      </x:c>
      <x:c r="S170" s="65" t="n">
        <x:v>173413.76335489884</x:v>
      </x:c>
      <x:c r="T170" s="65" t="n">
        <x:v>201370.76362418247</x:v>
      </x:c>
      <x:c r="U170" s="43" t="n">
        <x:v>0.7745645479985515</x:v>
      </x:c>
      <x:c r="V170" s="43" t="n">
        <x:v>0.8077311095148534</x:v>
      </x:c>
      <x:c r="W170" s="43" t="n">
        <x:v>0.459219665178518</x:v>
      </x:c>
      <x:c r="X170" s="65" t="n">
        <x:v>43984220.19021584</x:v>
      </x:c>
      <x:c r="Y170" s="65" t="n">
        <x:v>79.3265061757119</x:v>
      </x:c>
      <x:c r="Z170" s="65" t="n">
        <x:v>1791461.3388111743</x:v>
      </x:c>
      <x:c r="AA170" s="65" t="n">
        <x:v>242481.2502129415</x:v>
      </x:c>
      <x:c r="AB170" s="65" t="n">
        <x:v>2272.8949104968183</x:v>
      </x:c>
      <x:c r="AC170" s="65" t="n">
        <x:v>7808.856735617654</x:v>
      </x:c>
      <x:c r="AD170" s="65" t="n">
        <x:v>2011.8914967891285</x:v>
      </x:c>
      <x:c r="AE170" s="65" t="n">
        <x:v>150813.658499436</x:v>
      </x:c>
      <x:c r="AF170" s="65" t="n">
        <x:v>201370.7636241825</x:v>
      </x:c>
      <x:c r="AG170" s="65" t="n">
        <x:v>0</x:v>
      </x:c>
      <x:c r="AH170" s="34" t="n">
        <x:v>0</x:v>
      </x:c>
    </x:row>
    <x:row r="171" ht="15" hidden="0" customHeight="1">
      <x:c r="A171" s="36" t="n">
        <x:v>42</x:v>
      </x:c>
      <x:c r="B171" s="36" t="str">
        <x:v>P2</x:v>
      </x:c>
      <x:c r="C171" s="36" t="str">
        <x:v>fast</x:v>
      </x:c>
      <x:c r="D171" s="75" t="n">
        <x:v>1.152626317355728</x:v>
      </x:c>
      <x:c r="E171" s="75" t="n">
        <x:v>0.08929776691858496</x:v>
      </x:c>
      <x:c r="F171" s="75" t="n">
        <x:v>0.9014345776052493</x:v>
      </x:c>
      <x:c r="G171" s="75" t="n">
        <x:v>1.2852035234995667</x:v>
      </x:c>
      <x:c r="H171" s="75" t="n">
        <x:v>1.0323651139256946</x:v>
      </x:c>
      <x:c r="I171" s="75" t="n">
        <x:v>1.044422793351513</x:v>
      </x:c>
      <x:c r="J171" s="75" t="n">
        <x:v>0.7265838316383179</x:v>
      </x:c>
      <x:c r="K171" s="75" t="n">
        <x:v>0.8520536489906814</x:v>
      </x:c>
      <x:c r="L171" s="75" t="n">
        <x:v>0.8257978317968024</x:v>
      </x:c>
      <x:c r="M171" s="75" t="n">
        <x:v>0.9282915325534999</x:v>
      </x:c>
      <x:c r="N171" s="75" t="n">
        <x:v>0.8617749727496774</x:v>
      </x:c>
      <x:c r="O171" s="66" t="n">
        <x:v>554470.6594387095</x:v>
      </x:c>
      <x:c r="P171" s="66" t="n">
        <x:v>330452.2869802769</x:v>
      </x:c>
      <x:c r="Q171" s="66" t="n">
        <x:v>224018.37245843257</x:v>
      </x:c>
      <x:c r="R171" s="66" t="n">
        <x:v>152954.34400139033</x:v>
      </x:c>
      <x:c r="S171" s="66" t="n">
        <x:v>71064.02845704222</x:v>
      </x:c>
      <x:c r="T171" s="66" t="n">
        <x:v>127797.35697987294</x:v>
      </x:c>
      <x:c r="U171" s="45" t="n">
        <x:v>0.8264632873884362</x:v>
      </x:c>
      <x:c r="V171" s="45" t="n">
        <x:v>0.8293854365996091</x:v>
      </x:c>
      <x:c r="W171" s="45" t="n">
        <x:v>0.6397896821810135</x:v>
      </x:c>
      <x:c r="X171" s="66" t="n">
        <x:v>29359779.25987551</x:v>
      </x:c>
      <x:c r="Y171" s="66" t="n">
        <x:v>52.951006081361285</x:v>
      </x:c>
      <x:c r="Z171" s="66" t="n">
        <x:v>1650356.7945631868</x:v>
      </x:c>
      <x:c r="AA171" s="66" t="n">
        <x:v>165314.74616659078</x:v>
      </x:c>
      <x:c r="AB171" s="66" t="n">
        <x:v>0</x:v>
      </x:c>
      <x:c r="AC171" s="66" t="n">
        <x:v>24492.07588612306</x:v>
      </x:c>
      <x:c r="AD171" s="66" t="n">
        <x:v>1786.9198212785816</x:v>
      </x:c>
      <x:c r="AE171" s="66" t="n">
        <x:v>85528.482323411</x:v>
      </x:c>
      <x:c r="AF171" s="66" t="n">
        <x:v>127797.35697987291</x:v>
      </x:c>
      <x:c r="AG171" s="66" t="n">
        <x:v>2.9103830456733704e-11</x:v>
      </x:c>
      <x:c r="AH171" s="36" t="n">
        <x:v>0</x:v>
      </x:c>
    </x:row>
    <x:row r="172" ht="15" hidden="0" customHeight="1">
      <x:c r="A172" s="34" t="n">
        <x:v>42</x:v>
      </x:c>
      <x:c r="B172" s="34" t="str">
        <x:v>H3</x:v>
      </x:c>
      <x:c r="C172" s="34" t="str">
        <x:v>fast</x:v>
      </x:c>
      <x:c r="D172" s="74" t="n">
        <x:v>1.152626317355728</x:v>
      </x:c>
      <x:c r="E172" s="74" t="n">
        <x:v>0.08929776691858496</x:v>
      </x:c>
      <x:c r="F172" s="74" t="n">
        <x:v>0.9014345776052493</x:v>
      </x:c>
      <x:c r="G172" s="74" t="n">
        <x:v>1.2852035234995667</x:v>
      </x:c>
      <x:c r="H172" s="74" t="n">
        <x:v>1.0323651139256946</x:v>
      </x:c>
      <x:c r="I172" s="74" t="n">
        <x:v>1.044422793351513</x:v>
      </x:c>
      <x:c r="J172" s="74" t="n">
        <x:v>0.7265838316383179</x:v>
      </x:c>
      <x:c r="K172" s="74" t="n">
        <x:v>0.8520536489906814</x:v>
      </x:c>
      <x:c r="L172" s="74" t="n">
        <x:v>0.8257978317968024</x:v>
      </x:c>
      <x:c r="M172" s="74" t="n">
        <x:v>0.9282915325534999</x:v>
      </x:c>
      <x:c r="N172" s="74" t="n">
        <x:v>0.8617749727496774</x:v>
      </x:c>
      <x:c r="O172" s="65" t="n">
        <x:v>554470.6594387095</x:v>
      </x:c>
      <x:c r="P172" s="65" t="n">
        <x:v>342797.35543207044</x:v>
      </x:c>
      <x:c r="Q172" s="65" t="n">
        <x:v>211673.30400663902</x:v>
      </x:c>
      <x:c r="R172" s="65" t="n">
        <x:v>152954.34400139033</x:v>
      </x:c>
      <x:c r="S172" s="65" t="n">
        <x:v>58718.96000524869</x:v>
      </x:c>
      <x:c r="T172" s="65" t="n">
        <x:v>191988.43009549644</x:v>
      </x:c>
      <x:c r="U172" s="43" t="n">
        <x:v>0.9644978979932508</x:v>
      </x:c>
      <x:c r="V172" s="43" t="n">
        <x:v>0.9770447541820394</x:v>
      </x:c>
      <x:c r="W172" s="43" t="n">
        <x:v>0.7224977229289749</x:v>
      </x:c>
      <x:c r="X172" s="65" t="n">
        <x:v>22401944.005173206</x:v>
      </x:c>
      <x:c r="Y172" s="65" t="n">
        <x:v>40.40239753687001</x:v>
      </x:c>
      <x:c r="Z172" s="65" t="n">
        <x:v>3571979.463558861</x:v>
      </x:c>
      <x:c r="AA172" s="65" t="n">
        <x:v>130407.82704704927</x:v>
      </x:c>
      <x:c r="AB172" s="65" t="n">
        <x:v>5838.22750732201</x:v>
      </x:c>
      <x:c r="AC172" s="65" t="n">
        <x:v>35526.50606604568</x:v>
      </x:c>
      <x:c r="AD172" s="65" t="n">
        <x:v>1761.665259066052</x:v>
      </x:c>
      <x:c r="AE172" s="65" t="n">
        <x:v>80428.83539996308</x:v>
      </x:c>
      <x:c r="AF172" s="65" t="n">
        <x:v>191988.43009549603</x:v>
      </x:c>
      <x:c r="AG172" s="65" t="n">
        <x:v>4.0745362639427185e-10</x:v>
      </x:c>
      <x:c r="AH172" s="34" t="n">
        <x:v>0</x:v>
      </x:c>
    </x:row>
    <x:row r="173" ht="21.600000381469727" hidden="0" customHeight="1">
      <x:c r="A173" s="36" t="n">
        <x:v>43</x:v>
      </x:c>
      <x:c r="B173" s="36" t="str">
        <x:v>M0</x:v>
      </x:c>
      <x:c r="C173" s="36" t="str">
        <x:v>reference</x:v>
      </x:c>
      <x:c r="D173" s="75" t="n">
        <x:v>1.0389456120662164</x:v>
      </x:c>
      <x:c r="E173" s="75" t="n">
        <x:v>-0.03268677103920676</x:v>
      </x:c>
      <x:c r="F173" s="75" t="n">
        <x:v>1.021467435033906</x:v>
      </x:c>
      <x:c r="G173" s="75" t="n">
        <x:v>1.0889888114031063</x:v>
      </x:c>
      <x:c r="H173" s="75" t="n">
        <x:v>1.0357253119000378</x:v>
      </x:c>
      <x:c r="I173" s="75" t="n">
        <x:v>1.0332466226169046</x:v>
      </x:c>
      <x:c r="J173" s="75" t="n">
        <x:v>1.0016006934592259</x:v>
      </x:c>
      <x:c r="K173" s="75" t="n">
        <x:v>0.7469958642988782</x:v>
      </x:c>
      <x:c r="L173" s="75" t="n">
        <x:v>0.9068070690798951</x:v>
      </x:c>
      <x:c r="M173" s="75" t="n">
        <x:v>0.9125709827374868</x:v>
      </x:c>
      <x:c r="N173" s="75" t="n">
        <x:v>1.0046057442583152</x:v>
      </x:c>
      <x:c r="O173" s="66" t="n">
        <x:v>499784.57889533095</x:v>
      </x:c>
      <x:c r="P173" s="66" t="n">
        <x:v>80479.45671007744</x:v>
      </x:c>
      <x:c r="Q173" s="66" t="n">
        <x:v>419305.12218525354</x:v>
      </x:c>
      <x:c r="R173" s="66" t="n">
        <x:v>76902.84144712097</x:v>
      </x:c>
      <x:c r="S173" s="66" t="n">
        <x:v>342402.28073813254</x:v>
      </x:c>
      <x:c r="T173" s="66" t="n">
        <x:v>302832.7167004581</x:v>
      </x:c>
      <x:c r="U173" s="45" t="n">
        <x:v>0.7669547833143766</x:v>
      </x:c>
      <x:c r="V173" s="45" t="n">
        <x:v>0.7764558451650431</x:v>
      </x:c>
      <x:c r="W173" s="45" t="n">
        <x:v>0.1818607372118847</x:v>
      </x:c>
      <x:c r="X173" s="66" t="n">
        <x:v>52707324.353754066</x:v>
      </x:c>
      <x:c r="Y173" s="66" t="n">
        <x:v>105.4600853636832</x:v>
      </x:c>
      <x:c r="Z173" s="66" t="n">
        <x:v>4639530.977267281</x:v>
      </x:c>
      <x:c r="AA173" s="66" t="n">
        <x:v>286981.03372830997</x:v>
      </x:c>
      <x:c r="AB173" s="66" t="n">
        <x:v>33429.17471679863</x:v>
      </x:c>
      <x:c r="AC173" s="66" t="n">
        <x:v>7522.040603123842</x:v>
      </x:c>
      <x:c r="AD173" s="66" t="n">
        <x:v>2072.537737199272</x:v>
      </x:c>
      <x:c r="AE173" s="66" t="n">
        <x:v>244967.42583117913</x:v>
      </x:c>
      <x:c r="AF173" s="66" t="n">
        <x:v>302832.716700458</x:v>
      </x:c>
      <x:c r="AG173" s="66" t="n">
        <x:v>5.820766091346741e-11</x:v>
      </x:c>
      <x:c r="AH173" s="36" t="n">
        <x:v>0</x:v>
      </x:c>
    </x:row>
    <x:row r="174" ht="21.600000381469727" hidden="0" customHeight="1">
      <x:c r="A174" s="34" t="n">
        <x:v>43</x:v>
      </x:c>
      <x:c r="B174" s="34" t="str">
        <x:v>B1</x:v>
      </x:c>
      <x:c r="C174" s="34" t="str">
        <x:v>reference</x:v>
      </x:c>
      <x:c r="D174" s="74" t="n">
        <x:v>1.0389456120662164</x:v>
      </x:c>
      <x:c r="E174" s="74" t="n">
        <x:v>-0.03268677103920676</x:v>
      </x:c>
      <x:c r="F174" s="74" t="n">
        <x:v>1.021467435033906</x:v>
      </x:c>
      <x:c r="G174" s="74" t="n">
        <x:v>1.0889888114031063</x:v>
      </x:c>
      <x:c r="H174" s="74" t="n">
        <x:v>1.0357253119000378</x:v>
      </x:c>
      <x:c r="I174" s="74" t="n">
        <x:v>1.0332466226169046</x:v>
      </x:c>
      <x:c r="J174" s="74" t="n">
        <x:v>1.0016006934592259</x:v>
      </x:c>
      <x:c r="K174" s="74" t="n">
        <x:v>0.7469958642988782</x:v>
      </x:c>
      <x:c r="L174" s="74" t="n">
        <x:v>0.9068070690798951</x:v>
      </x:c>
      <x:c r="M174" s="74" t="n">
        <x:v>0.9125709827374868</x:v>
      </x:c>
      <x:c r="N174" s="74" t="n">
        <x:v>1.0046057442583152</x:v>
      </x:c>
      <x:c r="O174" s="65" t="n">
        <x:v>499784.57889533095</x:v>
      </x:c>
      <x:c r="P174" s="65" t="n">
        <x:v>272233.63213013305</x:v>
      </x:c>
      <x:c r="Q174" s="65" t="n">
        <x:v>227550.9467651979</x:v>
      </x:c>
      <x:c r="R174" s="65" t="n">
        <x:v>76902.84144712097</x:v>
      </x:c>
      <x:c r="S174" s="65" t="n">
        <x:v>150648.10531807697</x:v>
      </x:c>
      <x:c r="T174" s="65" t="n">
        <x:v>186748.8964743844</x:v>
      </x:c>
      <x:c r="U174" s="43" t="n">
        <x:v>0.9183607257730964</x:v>
      </x:c>
      <x:c r="V174" s="43" t="n">
        <x:v>0.9268349807876438</x:v>
      </x:c>
      <x:c r="W174" s="43" t="n">
        <x:v>0.5035201205878875</x:v>
      </x:c>
      <x:c r="X174" s="65" t="n">
        <x:v>27549413.56975614</x:v>
      </x:c>
      <x:c r="Y174" s="65" t="n">
        <x:v>55.12257627205774</x:v>
      </x:c>
      <x:c r="Z174" s="65" t="n">
        <x:v>2086651.84527055</x:v>
      </x:c>
      <x:c r="AA174" s="65" t="n">
        <x:v>143125.5991403589</x:v>
      </x:c>
      <x:c r="AB174" s="65" t="n">
        <x:v>3335.2038808345724</x:v>
      </x:c>
      <x:c r="AC174" s="65" t="n">
        <x:v>39238.41645180914</x:v>
      </x:c>
      <x:c r="AD174" s="65" t="n">
        <x:v>1563.633839004386</x:v>
      </x:c>
      <x:c r="AE174" s="65" t="n">
        <x:v>99950.96017046584</x:v>
      </x:c>
      <x:c r="AF174" s="65" t="n">
        <x:v>186748.89647438464</x:v>
      </x:c>
      <x:c r="AG174" s="65" t="n">
        <x:v>0</x:v>
      </x:c>
      <x:c r="AH174" s="34" t="n">
        <x:v>0</x:v>
      </x:c>
    </x:row>
    <x:row r="175" ht="21.600000381469727" hidden="0" customHeight="1">
      <x:c r="A175" s="36" t="n">
        <x:v>43</x:v>
      </x:c>
      <x:c r="B175" s="36" t="str">
        <x:v>P2</x:v>
      </x:c>
      <x:c r="C175" s="36" t="str">
        <x:v>reference</x:v>
      </x:c>
      <x:c r="D175" s="75" t="n">
        <x:v>1.0389456120662164</x:v>
      </x:c>
      <x:c r="E175" s="75" t="n">
        <x:v>-0.03268677103920676</x:v>
      </x:c>
      <x:c r="F175" s="75" t="n">
        <x:v>1.021467435033906</x:v>
      </x:c>
      <x:c r="G175" s="75" t="n">
        <x:v>1.0889888114031063</x:v>
      </x:c>
      <x:c r="H175" s="75" t="n">
        <x:v>1.0357253119000378</x:v>
      </x:c>
      <x:c r="I175" s="75" t="n">
        <x:v>1.0332466226169046</x:v>
      </x:c>
      <x:c r="J175" s="75" t="n">
        <x:v>1.0016006934592259</x:v>
      </x:c>
      <x:c r="K175" s="75" t="n">
        <x:v>0.7469958642988782</x:v>
      </x:c>
      <x:c r="L175" s="75" t="n">
        <x:v>0.9068070690798951</x:v>
      </x:c>
      <x:c r="M175" s="75" t="n">
        <x:v>0.9125709827374868</x:v>
      </x:c>
      <x:c r="N175" s="75" t="n">
        <x:v>1.0046057442583152</x:v>
      </x:c>
      <x:c r="O175" s="66" t="n">
        <x:v>499784.57889533095</x:v>
      </x:c>
      <x:c r="P175" s="66" t="n">
        <x:v>394381.1710118106</x:v>
      </x:c>
      <x:c r="Q175" s="66" t="n">
        <x:v>105403.40788352041</x:v>
      </x:c>
      <x:c r="R175" s="66" t="n">
        <x:v>76902.84144712097</x:v>
      </x:c>
      <x:c r="S175" s="66" t="n">
        <x:v>28500.56643639945</x:v>
      </x:c>
      <x:c r="T175" s="66" t="n">
        <x:v>104147.2697130969</x:v>
      </x:c>
      <x:c r="U175" s="45" t="n">
        <x:v>0.9974866407979215</x:v>
      </x:c>
      <x:c r="V175" s="45" t="n">
        <x:v>0.9984167980984178</x:v>
      </x:c>
      <x:c r="W175" s="45" t="n">
        <x:v>0.9748664079792149</x:v>
      </x:c>
      <x:c r="X175" s="66" t="n">
        <x:v>12880183.185591064</x:v>
      </x:c>
      <x:c r="Y175" s="66" t="n">
        <x:v>25.77146980817217</x:v>
      </x:c>
      <x:c r="Z175" s="66" t="n">
        <x:v>624883.6182785815</x:v>
      </x:c>
      <x:c r="AA175" s="66" t="n">
        <x:v>71818.72396868245</x:v>
      </x:c>
      <x:c r="AB175" s="66" t="n">
        <x:v>0</x:v>
      </x:c>
      <x:c r="AC175" s="66" t="n">
        <x:v>0</x:v>
      </x:c>
      <x:c r="AD175" s="66" t="n">
        <x:v>1256.138170423515</x:v>
      </x:c>
      <x:c r="AE175" s="66" t="n">
        <x:v>57596.58102201461</x:v>
      </x:c>
      <x:c r="AF175" s="66" t="n">
        <x:v>104147.26971309687</x:v>
      </x:c>
      <x:c r="AG175" s="66" t="n">
        <x:v>2.9103830456733704e-11</x:v>
      </x:c>
      <x:c r="AH175" s="36" t="n">
        <x:v>1</x:v>
      </x:c>
    </x:row>
    <x:row r="176" ht="21.600000381469727" hidden="0" customHeight="1">
      <x:c r="A176" s="34" t="n">
        <x:v>43</x:v>
      </x:c>
      <x:c r="B176" s="34" t="str">
        <x:v>H3</x:v>
      </x:c>
      <x:c r="C176" s="34" t="str">
        <x:v>reference</x:v>
      </x:c>
      <x:c r="D176" s="74" t="n">
        <x:v>1.0389456120662164</x:v>
      </x:c>
      <x:c r="E176" s="74" t="n">
        <x:v>-0.03268677103920676</x:v>
      </x:c>
      <x:c r="F176" s="74" t="n">
        <x:v>1.021467435033906</x:v>
      </x:c>
      <x:c r="G176" s="74" t="n">
        <x:v>1.0889888114031063</x:v>
      </x:c>
      <x:c r="H176" s="74" t="n">
        <x:v>1.0357253119000378</x:v>
      </x:c>
      <x:c r="I176" s="74" t="n">
        <x:v>1.0332466226169046</x:v>
      </x:c>
      <x:c r="J176" s="74" t="n">
        <x:v>1.0016006934592259</x:v>
      </x:c>
      <x:c r="K176" s="74" t="n">
        <x:v>0.7469958642988782</x:v>
      </x:c>
      <x:c r="L176" s="74" t="n">
        <x:v>0.9068070690798951</x:v>
      </x:c>
      <x:c r="M176" s="74" t="n">
        <x:v>0.9125709827374868</x:v>
      </x:c>
      <x:c r="N176" s="74" t="n">
        <x:v>1.0046057442583152</x:v>
      </x:c>
      <x:c r="O176" s="65" t="n">
        <x:v>499784.57889533095</x:v>
      </x:c>
      <x:c r="P176" s="65" t="n">
        <x:v>409113.7271294387</x:v>
      </x:c>
      <x:c r="Q176" s="65" t="n">
        <x:v>90670.85176589226</x:v>
      </x:c>
      <x:c r="R176" s="65" t="n">
        <x:v>76902.84144712097</x:v>
      </x:c>
      <x:c r="S176" s="65" t="n">
        <x:v>13768.010318771294</x:v>
      </x:c>
      <x:c r="T176" s="65" t="n">
        <x:v>89449.23202306473</x:v>
      </x:c>
      <x:c r="U176" s="43" t="n">
        <x:v>0.9975557074099252</x:v>
      </x:c>
      <x:c r="V176" s="43" t="n">
        <x:v>0.9984604448498166</x:v>
      </x:c>
      <x:c r="W176" s="43" t="n">
        <x:v>0.9755570740992517</x:v>
      </x:c>
      <x:c r="X176" s="65" t="n">
        <x:v>10114838.244460957</x:v>
      </x:c>
      <x:c r="Y176" s="65" t="n">
        <x:v>20.238396044187052</x:v>
      </x:c>
      <x:c r="Z176" s="65" t="n">
        <x:v>583836.7692910066</x:v>
      </x:c>
      <x:c r="AA176" s="65" t="n">
        <x:v>67119.88803331341</x:v>
      </x:c>
      <x:c r="AB176" s="65" t="n">
        <x:v>2197.5366062991357</x:v>
      </x:c>
      <x:c r="AC176" s="65" t="n">
        <x:v>206.3408453694879</x:v>
      </x:c>
      <x:c r="AD176" s="65" t="n">
        <x:v>1221.6197428275273</x:v>
      </x:c>
      <x:c r="AE176" s="65" t="n">
        <x:v>55837.273736426556</x:v>
      </x:c>
      <x:c r="AF176" s="65" t="n">
        <x:v>89449.23202306473</x:v>
      </x:c>
      <x:c r="AG176" s="65" t="n">
        <x:v>0</x:v>
      </x:c>
      <x:c r="AH176" s="34" t="n">
        <x:v>1</x:v>
      </x:c>
    </x:row>
    <x:row r="177" ht="21.600000381469727" hidden="0" customHeight="1">
      <x:c r="A177" s="36" t="n">
        <x:v>44</x:v>
      </x:c>
      <x:c r="B177" s="36" t="str">
        <x:v>M0</x:v>
      </x:c>
      <x:c r="C177" s="36" t="str">
        <x:v>reference</x:v>
      </x:c>
      <x:c r="D177" s="75" t="n">
        <x:v>1.1219522932225117</x:v>
      </x:c>
      <x:c r="E177" s="75" t="n">
        <x:v>-0.012284574477008089</x:v>
      </x:c>
      <x:c r="F177" s="75" t="n">
        <x:v>0.8892056114768029</x:v>
      </x:c>
      <x:c r="G177" s="75" t="n">
        <x:v>0.9550844668896392</x:v>
      </x:c>
      <x:c r="H177" s="75" t="n">
        <x:v>0.7482698461278635</x:v>
      </x:c>
      <x:c r="I177" s="75" t="n">
        <x:v>0.8751589527654043</x:v>
      </x:c>
      <x:c r="J177" s="75" t="n">
        <x:v>1.004773652646381</x:v>
      </x:c>
      <x:c r="K177" s="75" t="n">
        <x:v>0.7262606143191682</x:v>
      </x:c>
      <x:c r="L177" s="75" t="n">
        <x:v>0.8901892366261331</x:v>
      </x:c>
      <x:c r="M177" s="75" t="n">
        <x:v>1.0118082213699462</x:v>
      </x:c>
      <x:c r="N177" s="75" t="n">
        <x:v>0.9490893586623969</x:v>
      </x:c>
      <x:c r="O177" s="66" t="n">
        <x:v>539714.9262642306</x:v>
      </x:c>
      <x:c r="P177" s="66" t="n">
        <x:v>73831.57834397713</x:v>
      </x:c>
      <x:c r="Q177" s="66" t="n">
        <x:v>465883.34792025347</x:v>
      </x:c>
      <x:c r="R177" s="66" t="n">
        <x:v>94058.37296971351</x:v>
      </x:c>
      <x:c r="S177" s="66" t="n">
        <x:v>371824.97495054</x:v>
      </x:c>
      <x:c r="T177" s="66" t="n">
        <x:v>243503.43414440812</x:v>
      </x:c>
      <x:c r="U177" s="45" t="n">
        <x:v>0.5879678271729438</x:v>
      </x:c>
      <x:c r="V177" s="45" t="n">
        <x:v>0.6163896179056934</x:v>
      </x:c>
      <x:c r="W177" s="45" t="n">
        <x:v>0.13231158220478675</x:v>
      </x:c>
      <x:c r="X177" s="66" t="n">
        <x:v>63909037.47824697</x:v>
      </x:c>
      <x:c r="Y177" s="66" t="n">
        <x:v>118.41258110204411</x:v>
      </x:c>
      <x:c r="Z177" s="66" t="n">
        <x:v>4277666.011484206</x:v>
      </x:c>
      <x:c r="AA177" s="66" t="n">
        <x:v>350025.57964432664</x:v>
      </x:c>
      <x:c r="AB177" s="66" t="n">
        <x:v>34374.48742836749</x:v>
      </x:c>
      <x:c r="AC177" s="66" t="n">
        <x:v>0</x:v>
      </x:c>
      <x:c r="AD177" s="66" t="n">
        <x:v>2278.4780482197666</x:v>
      </x:c>
      <x:c r="AE177" s="66" t="n">
        <x:v>178738.00826350335</x:v>
      </x:c>
      <x:c r="AF177" s="66" t="n">
        <x:v>243503.43414440824</x:v>
      </x:c>
      <x:c r="AG177" s="66" t="n">
        <x:v>0</x:v>
      </x:c>
      <x:c r="AH177" s="36" t="n">
        <x:v>0</x:v>
      </x:c>
    </x:row>
    <x:row r="178" ht="21.600000381469727" hidden="0" customHeight="1">
      <x:c r="A178" s="34" t="n">
        <x:v>44</x:v>
      </x:c>
      <x:c r="B178" s="34" t="str">
        <x:v>B1</x:v>
      </x:c>
      <x:c r="C178" s="34" t="str">
        <x:v>reference</x:v>
      </x:c>
      <x:c r="D178" s="74" t="n">
        <x:v>1.1219522932225117</x:v>
      </x:c>
      <x:c r="E178" s="74" t="n">
        <x:v>-0.012284574477008089</x:v>
      </x:c>
      <x:c r="F178" s="74" t="n">
        <x:v>0.8892056114768029</x:v>
      </x:c>
      <x:c r="G178" s="74" t="n">
        <x:v>0.9550844668896392</x:v>
      </x:c>
      <x:c r="H178" s="74" t="n">
        <x:v>0.7482698461278635</x:v>
      </x:c>
      <x:c r="I178" s="74" t="n">
        <x:v>0.8751589527654043</x:v>
      </x:c>
      <x:c r="J178" s="74" t="n">
        <x:v>1.004773652646381</x:v>
      </x:c>
      <x:c r="K178" s="74" t="n">
        <x:v>0.7262606143191682</x:v>
      </x:c>
      <x:c r="L178" s="74" t="n">
        <x:v>0.8901892366261331</x:v>
      </x:c>
      <x:c r="M178" s="74" t="n">
        <x:v>1.0118082213699462</x:v>
      </x:c>
      <x:c r="N178" s="74" t="n">
        <x:v>0.9490893586623969</x:v>
      </x:c>
      <x:c r="O178" s="65" t="n">
        <x:v>539714.9262642306</x:v>
      </x:c>
      <x:c r="P178" s="65" t="n">
        <x:v>249746.835489957</x:v>
      </x:c>
      <x:c r="Q178" s="65" t="n">
        <x:v>289968.0907742736</x:v>
      </x:c>
      <x:c r="R178" s="65" t="n">
        <x:v>94058.37296971351</x:v>
      </x:c>
      <x:c r="S178" s="65" t="n">
        <x:v>195909.7178045601</x:v>
      </x:c>
      <x:c r="T178" s="65" t="n">
        <x:v>179112.08148874756</x:v>
      </x:c>
      <x:c r="U178" s="43" t="n">
        <x:v>0.7946026617183942</x:v>
      </x:c>
      <x:c r="V178" s="43" t="n">
        <x:v>0.8278224162170907</x:v>
      </x:c>
      <x:c r="W178" s="43" t="n">
        <x:v>0.48157925588034506</x:v>
      </x:c>
      <x:c r="X178" s="65" t="n">
        <x:v>39990849.54346088</x:v>
      </x:c>
      <x:c r="Y178" s="65" t="n">
        <x:v>74.09624525352183</x:v>
      </x:c>
      <x:c r="Z178" s="65" t="n">
        <x:v>1258687.7005501695</x:v>
      </x:c>
      <x:c r="AA178" s="65" t="n">
        <x:v>215588.42922950635</x:v>
      </x:c>
      <x:c r="AB178" s="65" t="n">
        <x:v>3335.016345158596</x:v>
      </x:c>
      <x:c r="AC178" s="65" t="n">
        <x:v>5554.241604773917</x:v>
      </x:c>
      <x:c r="AD178" s="65" t="n">
        <x:v>1820.2949866259023</x:v>
      </x:c>
      <x:c r="AE178" s="65" t="n">
        <x:v>103802.40312870768</x:v>
      </x:c>
      <x:c r="AF178" s="65" t="n">
        <x:v>179112.0814887475</x:v>
      </x:c>
      <x:c r="AG178" s="65" t="n">
        <x:v>5.820766091346741e-11</x:v>
      </x:c>
      <x:c r="AH178" s="34" t="n">
        <x:v>0</x:v>
      </x:c>
    </x:row>
    <x:row r="179" ht="21.600000381469727" hidden="0" customHeight="1">
      <x:c r="A179" s="36" t="n">
        <x:v>44</x:v>
      </x:c>
      <x:c r="B179" s="36" t="str">
        <x:v>P2</x:v>
      </x:c>
      <x:c r="C179" s="36" t="str">
        <x:v>reference</x:v>
      </x:c>
      <x:c r="D179" s="75" t="n">
        <x:v>1.1219522932225117</x:v>
      </x:c>
      <x:c r="E179" s="75" t="n">
        <x:v>-0.012284574477008089</x:v>
      </x:c>
      <x:c r="F179" s="75" t="n">
        <x:v>0.8892056114768029</x:v>
      </x:c>
      <x:c r="G179" s="75" t="n">
        <x:v>0.9550844668896392</x:v>
      </x:c>
      <x:c r="H179" s="75" t="n">
        <x:v>0.7482698461278635</x:v>
      </x:c>
      <x:c r="I179" s="75" t="n">
        <x:v>0.8751589527654043</x:v>
      </x:c>
      <x:c r="J179" s="75" t="n">
        <x:v>1.004773652646381</x:v>
      </x:c>
      <x:c r="K179" s="75" t="n">
        <x:v>0.7262606143191682</x:v>
      </x:c>
      <x:c r="L179" s="75" t="n">
        <x:v>0.8901892366261331</x:v>
      </x:c>
      <x:c r="M179" s="75" t="n">
        <x:v>1.0118082213699462</x:v>
      </x:c>
      <x:c r="N179" s="75" t="n">
        <x:v>0.9490893586623969</x:v>
      </x:c>
      <x:c r="O179" s="66" t="n">
        <x:v>539714.9262642306</x:v>
      </x:c>
      <x:c r="P179" s="66" t="n">
        <x:v>361805.3696801873</x:v>
      </x:c>
      <x:c r="Q179" s="66" t="n">
        <x:v>177909.5565840433</x:v>
      </x:c>
      <x:c r="R179" s="66" t="n">
        <x:v>94058.37296971351</x:v>
      </x:c>
      <x:c r="S179" s="66" t="n">
        <x:v>83851.18361432981</x:v>
      </x:c>
      <x:c r="T179" s="66" t="n">
        <x:v>108920.36116249283</x:v>
      </x:c>
      <x:c r="U179" s="45" t="n">
        <x:v>0.8721747499201548</x:v>
      </x:c>
      <x:c r="V179" s="45" t="n">
        <x:v>0.8965794209256402</x:v>
      </x:c>
      <x:c r="W179" s="45" t="n">
        <x:v>0.5366570503685287</x:v>
      </x:c>
      <x:c r="X179" s="66" t="n">
        <x:v>23409329.78085624</x:v>
      </x:c>
      <x:c r="Y179" s="66" t="n">
        <x:v>43.37350820161611</x:v>
      </x:c>
      <x:c r="Z179" s="66" t="n">
        <x:v>776121.1719311604</x:v>
      </x:c>
      <x:c r="AA179" s="66" t="n">
        <x:v>131324.6198196573</x:v>
      </x:c>
      <x:c r="AB179" s="66" t="n">
        <x:v>0</x:v>
      </x:c>
      <x:c r="AC179" s="66" t="n">
        <x:v>11707.852526636569</x:v>
      </x:c>
      <x:c r="AD179" s="66" t="n">
        <x:v>1543.4464355399728</x:v>
      </x:c>
      <x:c r="AE179" s="66" t="n">
        <x:v>56570.192427908216</x:v>
      </x:c>
      <x:c r="AF179" s="66" t="n">
        <x:v>108920.36116249279</x:v>
      </x:c>
      <x:c r="AG179" s="66" t="n">
        <x:v>4.3655745685100555e-11</x:v>
      </x:c>
      <x:c r="AH179" s="36" t="n">
        <x:v>0</x:v>
      </x:c>
    </x:row>
    <x:row r="180" ht="21.600000381469727" hidden="0" customHeight="1">
      <x:c r="A180" s="34" t="n">
        <x:v>44</x:v>
      </x:c>
      <x:c r="B180" s="34" t="str">
        <x:v>H3</x:v>
      </x:c>
      <x:c r="C180" s="34" t="str">
        <x:v>reference</x:v>
      </x:c>
      <x:c r="D180" s="74" t="n">
        <x:v>1.1219522932225117</x:v>
      </x:c>
      <x:c r="E180" s="74" t="n">
        <x:v>-0.012284574477008089</x:v>
      </x:c>
      <x:c r="F180" s="74" t="n">
        <x:v>0.8892056114768029</x:v>
      </x:c>
      <x:c r="G180" s="74" t="n">
        <x:v>0.9550844668896392</x:v>
      </x:c>
      <x:c r="H180" s="74" t="n">
        <x:v>0.7482698461278635</x:v>
      </x:c>
      <x:c r="I180" s="74" t="n">
        <x:v>0.8751589527654043</x:v>
      </x:c>
      <x:c r="J180" s="74" t="n">
        <x:v>1.004773652646381</x:v>
      </x:c>
      <x:c r="K180" s="74" t="n">
        <x:v>0.7262606143191682</x:v>
      </x:c>
      <x:c r="L180" s="74" t="n">
        <x:v>0.8901892366261331</x:v>
      </x:c>
      <x:c r="M180" s="74" t="n">
        <x:v>1.0118082213699462</x:v>
      </x:c>
      <x:c r="N180" s="74" t="n">
        <x:v>0.9490893586623969</x:v>
      </x:c>
      <x:c r="O180" s="65" t="n">
        <x:v>539714.9262642306</x:v>
      </x:c>
      <x:c r="P180" s="65" t="n">
        <x:v>375321.12389527465</x:v>
      </x:c>
      <x:c r="Q180" s="65" t="n">
        <x:v>164393.80236895592</x:v>
      </x:c>
      <x:c r="R180" s="65" t="n">
        <x:v>94058.37296971351</x:v>
      </x:c>
      <x:c r="S180" s="65" t="n">
        <x:v>70335.4293992424</x:v>
      </x:c>
      <x:c r="T180" s="65" t="n">
        <x:v>161557.4105314655</x:v>
      </x:c>
      <x:c r="U180" s="43" t="n">
        <x:v>0.9947446481476374</x:v>
      </x:c>
      <x:c r="V180" s="43" t="n">
        <x:v>0.9971293846441206</x:v>
      </x:c>
      <x:c r="W180" s="43" t="n">
        <x:v>0.9474464814763747</x:v>
      </x:c>
      <x:c r="X180" s="65" t="n">
        <x:v>17013149.34453926</x:v>
      </x:c>
      <x:c r="Y180" s="65" t="n">
        <x:v>31.522473284739313</x:v>
      </x:c>
      <x:c r="Z180" s="65" t="n">
        <x:v>1002315.1072065076</x:v>
      </x:c>
      <x:c r="AA180" s="65" t="n">
        <x:v>104093.33056418037</x:v>
      </x:c>
      <x:c r="AB180" s="65" t="n">
        <x:v>1136.3314808105667</x:v>
      </x:c>
      <x:c r="AC180" s="65" t="n">
        <x:v>0</x:v>
      </x:c>
      <x:c r="AD180" s="65" t="n">
        <x:v>1512.3683500832974</x:v>
      </x:c>
      <x:c r="AE180" s="65" t="n">
        <x:v>48582.340955172185</x:v>
      </x:c>
      <x:c r="AF180" s="65" t="n">
        <x:v>161557.41053146558</x:v>
      </x:c>
      <x:c r="AG180" s="65" t="n">
        <x:v>0</x:v>
      </x:c>
      <x:c r="AH180" s="34" t="n">
        <x:v>1</x:v>
      </x:c>
    </x:row>
    <x:row r="181" ht="15" hidden="0" customHeight="1">
      <x:c r="A181" s="36" t="n">
        <x:v>45</x:v>
      </x:c>
      <x:c r="B181" s="36" t="str">
        <x:v>M0</x:v>
      </x:c>
      <x:c r="C181" s="36" t="str">
        <x:v>fast</x:v>
      </x:c>
      <x:c r="D181" s="75" t="n">
        <x:v>1.117346588394955</x:v>
      </x:c>
      <x:c r="E181" s="75" t="n">
        <x:v>0.04271341267489107</x:v>
      </x:c>
      <x:c r="F181" s="75" t="n">
        <x:v>0.8233562701996704</x:v>
      </x:c>
      <x:c r="G181" s="75" t="n">
        <x:v>1.1558561820955038</x:v>
      </x:c>
      <x:c r="H181" s="75" t="n">
        <x:v>1.0402891465800579</x:v>
      </x:c>
      <x:c r="I181" s="75" t="n">
        <x:v>0.9521598920882592</x:v>
      </x:c>
      <x:c r="J181" s="75" t="n">
        <x:v>0.8852505433466319</x:v>
      </x:c>
      <x:c r="K181" s="75" t="n">
        <x:v>0.8340405109557255</x:v>
      </x:c>
      <x:c r="L181" s="75" t="n">
        <x:v>0.8422440051128097</x:v>
      </x:c>
      <x:c r="M181" s="75" t="n">
        <x:v>0.8463997689574554</x:v>
      </x:c>
      <x:c r="N181" s="75" t="n">
        <x:v>1.0096789873483991</x:v>
      </x:c>
      <x:c r="O181" s="66" t="n">
        <x:v>537499.3528780753</x:v>
      </x:c>
      <x:c r="P181" s="66" t="n">
        <x:v>63547.83653605223</x:v>
      </x:c>
      <x:c r="Q181" s="66" t="n">
        <x:v>473951.51634202315</x:v>
      </x:c>
      <x:c r="R181" s="66" t="n">
        <x:v>123233.6382516493</x:v>
      </x:c>
      <x:c r="S181" s="66" t="n">
        <x:v>350717.8780903739</x:v>
      </x:c>
      <x:c r="T181" s="66" t="n">
        <x:v>269321.79208101693</x:v>
      </x:c>
      <x:c r="U181" s="45" t="n">
        <x:v>0.6192930779073444</x:v>
      </x:c>
      <x:c r="V181" s="45" t="n">
        <x:v>0.6505639084766577</x:v>
      </x:c>
      <x:c r="W181" s="45" t="n">
        <x:v>0.11992770388152917</x:v>
      </x:c>
      <x:c r="X181" s="66" t="n">
        <x:v>62725086.36553024</x:v>
      </x:c>
      <x:c r="Y181" s="66" t="n">
        <x:v>116.69797559692802</x:v>
      </x:c>
      <x:c r="Z181" s="66" t="n">
        <x:v>4525945.913541539</x:v>
      </x:c>
      <x:c r="AA181" s="66" t="n">
        <x:v>348504.97496378724</x:v>
      </x:c>
      <x:c r="AB181" s="66" t="n">
        <x:v>34165.123038816906</x:v>
      </x:c>
      <x:c r="AC181" s="66" t="n">
        <x:v>0</x:v>
      </x:c>
      <x:c r="AD181" s="66" t="n">
        <x:v>2306.245620071256</x:v>
      </x:c>
      <x:c r="AE181" s="66" t="n">
        <x:v>211164.28240974908</x:v>
      </x:c>
      <x:c r="AF181" s="66" t="n">
        <x:v>269321.792081017</x:v>
      </x:c>
      <x:c r="AG181" s="66" t="n">
        <x:v>0</x:v>
      </x:c>
      <x:c r="AH181" s="36" t="n">
        <x:v>0</x:v>
      </x:c>
    </x:row>
    <x:row r="182" ht="15" hidden="0" customHeight="1">
      <x:c r="A182" s="34" t="n">
        <x:v>45</x:v>
      </x:c>
      <x:c r="B182" s="34" t="str">
        <x:v>B1</x:v>
      </x:c>
      <x:c r="C182" s="34" t="str">
        <x:v>fast</x:v>
      </x:c>
      <x:c r="D182" s="74" t="n">
        <x:v>1.117346588394955</x:v>
      </x:c>
      <x:c r="E182" s="74" t="n">
        <x:v>0.04271341267489107</x:v>
      </x:c>
      <x:c r="F182" s="74" t="n">
        <x:v>0.8233562701996704</x:v>
      </x:c>
      <x:c r="G182" s="74" t="n">
        <x:v>1.1558561820955038</x:v>
      </x:c>
      <x:c r="H182" s="74" t="n">
        <x:v>1.0402891465800579</x:v>
      </x:c>
      <x:c r="I182" s="74" t="n">
        <x:v>0.9521598920882592</x:v>
      </x:c>
      <x:c r="J182" s="74" t="n">
        <x:v>0.8852505433466319</x:v>
      </x:c>
      <x:c r="K182" s="74" t="n">
        <x:v>0.8340405109557255</x:v>
      </x:c>
      <x:c r="L182" s="74" t="n">
        <x:v>0.8422440051128097</x:v>
      </x:c>
      <x:c r="M182" s="74" t="n">
        <x:v>0.8463997689574554</x:v>
      </x:c>
      <x:c r="N182" s="74" t="n">
        <x:v>1.0096789873483991</x:v>
      </x:c>
      <x:c r="O182" s="65" t="n">
        <x:v>537499.3528780753</x:v>
      </x:c>
      <x:c r="P182" s="65" t="n">
        <x:v>214962.08493161426</x:v>
      </x:c>
      <x:c r="Q182" s="65" t="n">
        <x:v>322537.26794646116</x:v>
      </x:c>
      <x:c r="R182" s="65" t="n">
        <x:v>123233.6382516493</x:v>
      </x:c>
      <x:c r="S182" s="65" t="n">
        <x:v>199303.62969481183</x:v>
      </x:c>
      <x:c r="T182" s="65" t="n">
        <x:v>205454.39487759382</x:v>
      </x:c>
      <x:c r="U182" s="43" t="n">
        <x:v>0.7821711366870688</x:v>
      </x:c>
      <x:c r="V182" s="43" t="n">
        <x:v>0.8220465519216068</x:v>
      </x:c>
      <x:c r="W182" s="43" t="n">
        <x:v>0.4465436105806749</x:v>
      </x:c>
      <x:c r="X182" s="65" t="n">
        <x:v>43010401.17323398</x:v>
      </x:c>
      <x:c r="Y182" s="65" t="n">
        <x:v>80.01944735920515</x:v>
      </x:c>
      <x:c r="Z182" s="65" t="n">
        <x:v>1912448.6411074672</x:v>
      </x:c>
      <x:c r="AA182" s="65" t="n">
        <x:v>237476.73743550046</x:v>
      </x:c>
      <x:c r="AB182" s="65" t="n">
        <x:v>7545.687152415681</x:v>
      </x:c>
      <x:c r="AC182" s="65" t="n">
        <x:v>8077.718284697834</x:v>
      </x:c>
      <x:c r="AD182" s="65" t="n">
        <x:v>1934.000635387512</x:v>
      </x:c>
      <x:c r="AE182" s="65" t="n">
        <x:v>146612.34137320356</x:v>
      </x:c>
      <x:c r="AF182" s="65" t="n">
        <x:v>205454.39487759356</x:v>
      </x:c>
      <x:c r="AG182" s="65" t="n">
        <x:v>2.6193447411060333e-10</x:v>
      </x:c>
      <x:c r="AH182" s="34" t="n">
        <x:v>0</x:v>
      </x:c>
    </x:row>
    <x:row r="183" ht="15" hidden="0" customHeight="1">
      <x:c r="A183" s="36" t="n">
        <x:v>45</x:v>
      </x:c>
      <x:c r="B183" s="36" t="str">
        <x:v>P2</x:v>
      </x:c>
      <x:c r="C183" s="36" t="str">
        <x:v>fast</x:v>
      </x:c>
      <x:c r="D183" s="75" t="n">
        <x:v>1.117346588394955</x:v>
      </x:c>
      <x:c r="E183" s="75" t="n">
        <x:v>0.04271341267489107</x:v>
      </x:c>
      <x:c r="F183" s="75" t="n">
        <x:v>0.8233562701996704</x:v>
      </x:c>
      <x:c r="G183" s="75" t="n">
        <x:v>1.1558561820955038</x:v>
      </x:c>
      <x:c r="H183" s="75" t="n">
        <x:v>1.0402891465800579</x:v>
      </x:c>
      <x:c r="I183" s="75" t="n">
        <x:v>0.9521598920882592</x:v>
      </x:c>
      <x:c r="J183" s="75" t="n">
        <x:v>0.8852505433466319</x:v>
      </x:c>
      <x:c r="K183" s="75" t="n">
        <x:v>0.8340405109557255</x:v>
      </x:c>
      <x:c r="L183" s="75" t="n">
        <x:v>0.8422440051128097</x:v>
      </x:c>
      <x:c r="M183" s="75" t="n">
        <x:v>0.8463997689574554</x:v>
      </x:c>
      <x:c r="N183" s="75" t="n">
        <x:v>1.0096789873483991</x:v>
      </x:c>
      <x:c r="O183" s="66" t="n">
        <x:v>537499.3528780753</x:v>
      </x:c>
      <x:c r="P183" s="66" t="n">
        <x:v>311414.4158056285</x:v>
      </x:c>
      <x:c r="Q183" s="66" t="n">
        <x:v>226084.9370724469</x:v>
      </x:c>
      <x:c r="R183" s="66" t="n">
        <x:v>123233.6382516493</x:v>
      </x:c>
      <x:c r="S183" s="66" t="n">
        <x:v>102851.2988207976</x:v>
      </x:c>
      <x:c r="T183" s="66" t="n">
        <x:v>125105.99605833413</x:v>
      </x:c>
      <x:c r="U183" s="45" t="n">
        <x:v>0.8121319765811543</x:v>
      </x:c>
      <x:c r="V183" s="45" t="n">
        <x:v>0.8261617743035256</x:v>
      </x:c>
      <x:c r="W183" s="45" t="n">
        <x:v>0.6168581314816519</x:v>
      </x:c>
      <x:c r="X183" s="66" t="n">
        <x:v>29056158.56392952</x:v>
      </x:c>
      <x:c r="Y183" s="66" t="n">
        <x:v>54.05803450431414</x:v>
      </x:c>
      <x:c r="Z183" s="66" t="n">
        <x:v>1264905.376193629</x:v>
      </x:c>
      <x:c r="AA183" s="66" t="n">
        <x:v>166411.3680088672</x:v>
      </x:c>
      <x:c r="AB183" s="66" t="n">
        <x:v>0</x:v>
      </x:c>
      <x:c r="AC183" s="66" t="n">
        <x:v>28518.492480635443</x:v>
      </x:c>
      <x:c r="AD183" s="66" t="n">
        <x:v>1709.0785610091984</x:v>
      </x:c>
      <x:c r="AE183" s="66" t="n">
        <x:v>78166.3094772163</x:v>
      </x:c>
      <x:c r="AF183" s="66" t="n">
        <x:v>125105.99605833415</x:v>
      </x:c>
      <x:c r="AG183" s="66" t="n">
        <x:v>0</x:v>
      </x:c>
      <x:c r="AH183" s="36" t="n">
        <x:v>0</x:v>
      </x:c>
    </x:row>
    <x:row r="184" ht="15" hidden="0" customHeight="1">
      <x:c r="A184" s="34" t="n">
        <x:v>45</x:v>
      </x:c>
      <x:c r="B184" s="34" t="str">
        <x:v>H3</x:v>
      </x:c>
      <x:c r="C184" s="34" t="str">
        <x:v>fast</x:v>
      </x:c>
      <x:c r="D184" s="74" t="n">
        <x:v>1.117346588394955</x:v>
      </x:c>
      <x:c r="E184" s="74" t="n">
        <x:v>0.04271341267489107</x:v>
      </x:c>
      <x:c r="F184" s="74" t="n">
        <x:v>0.8233562701996704</x:v>
      </x:c>
      <x:c r="G184" s="74" t="n">
        <x:v>1.1558561820955038</x:v>
      </x:c>
      <x:c r="H184" s="74" t="n">
        <x:v>1.0402891465800579</x:v>
      </x:c>
      <x:c r="I184" s="74" t="n">
        <x:v>0.9521598920882592</x:v>
      </x:c>
      <x:c r="J184" s="74" t="n">
        <x:v>0.8852505433466319</x:v>
      </x:c>
      <x:c r="K184" s="74" t="n">
        <x:v>0.8340405109557255</x:v>
      </x:c>
      <x:c r="L184" s="74" t="n">
        <x:v>0.8422440051128097</x:v>
      </x:c>
      <x:c r="M184" s="74" t="n">
        <x:v>0.8463997689574554</x:v>
      </x:c>
      <x:c r="N184" s="74" t="n">
        <x:v>1.0096789873483991</x:v>
      </x:c>
      <x:c r="O184" s="65" t="n">
        <x:v>537499.3528780753</x:v>
      </x:c>
      <x:c r="P184" s="65" t="n">
        <x:v>323048.0094747902</x:v>
      </x:c>
      <x:c r="Q184" s="65" t="n">
        <x:v>214451.34340328522</x:v>
      </x:c>
      <x:c r="R184" s="65" t="n">
        <x:v>123233.6382516493</x:v>
      </x:c>
      <x:c r="S184" s="65" t="n">
        <x:v>91217.70515163594</x:v>
      </x:c>
      <x:c r="T184" s="65" t="n">
        <x:v>208462.11754957598</x:v>
      </x:c>
      <x:c r="U184" s="43" t="n">
        <x:v>0.9888572408103573</x:v>
      </x:c>
      <x:c r="V184" s="43" t="n">
        <x:v>0.9925533174842361</x:v>
      </x:c>
      <x:c r="W184" s="43" t="n">
        <x:v>0.8885724081035715</x:v>
      </x:c>
      <x:c r="X184" s="65" t="n">
        <x:v>21377917.419737708</x:v>
      </x:c>
      <x:c r="Y184" s="65" t="n">
        <x:v>39.77291750263188</x:v>
      </x:c>
      <x:c r="Z184" s="65" t="n">
        <x:v>2417205.4290894135</x:v>
      </x:c>
      <x:c r="AA184" s="65" t="n">
        <x:v>131272.25203614376</x:v>
      </x:c>
      <x:c r="AB184" s="65" t="n">
        <x:v>12990.279078068561</x:v>
      </x:c>
      <x:c r="AC184" s="65" t="n">
        <x:v>8615.428881171425</x:v>
      </x:c>
      <x:c r="AD184" s="65" t="n">
        <x:v>1683.8295668526341</x:v>
      </x:c>
      <x:c r="AE184" s="65" t="n">
        <x:v>77607.72078922355</x:v>
      </x:c>
      <x:c r="AF184" s="65" t="n">
        <x:v>208462.11754957584</x:v>
      </x:c>
      <x:c r="AG184" s="65" t="n">
        <x:v>1.4551915228366852e-10</x:v>
      </x:c>
      <x:c r="AH184" s="34" t="n">
        <x:v>1</x:v>
      </x:c>
    </x:row>
    <x:row r="185" ht="15" hidden="0" customHeight="1">
      <x:c r="A185" s="36" t="n">
        <x:v>46</x:v>
      </x:c>
      <x:c r="B185" s="36" t="str">
        <x:v>M0</x:v>
      </x:c>
      <x:c r="C185" s="36" t="str">
        <x:v>reference</x:v>
      </x:c>
      <x:c r="D185" s="75" t="n">
        <x:v>1.002856931977396</x:v>
      </x:c>
      <x:c r="E185" s="75" t="n">
        <x:v>0.08100424531146927</x:v>
      </x:c>
      <x:c r="F185" s="75" t="n">
        <x:v>0.9719952842835052</x:v>
      </x:c>
      <x:c r="G185" s="75" t="n">
        <x:v>1.0434608315212013</x:v>
      </x:c>
      <x:c r="H185" s="75" t="n">
        <x:v>1.0091328571654539</x:v>
      </x:c>
      <x:c r="I185" s="75" t="n">
        <x:v>0.851271129025728</x:v>
      </x:c>
      <x:c r="J185" s="75" t="n">
        <x:v>1.0670526236224689</x:v>
      </x:c>
      <x:c r="K185" s="75" t="n">
        <x:v>0.7763566260533595</x:v>
      </x:c>
      <x:c r="L185" s="75" t="n">
        <x:v>0.9800786526089276</x:v>
      </x:c>
      <x:c r="M185" s="75" t="n">
        <x:v>0.8967229383012442</x:v>
      </x:c>
      <x:c r="N185" s="75" t="n">
        <x:v>0.8736175543194412</x:v>
      </x:c>
      <x:c r="O185" s="66" t="n">
        <x:v>482424.1265563399</x:v>
      </x:c>
      <x:c r="P185" s="66" t="n">
        <x:v>63987.18113311198</x:v>
      </x:c>
      <x:c r="Q185" s="66" t="n">
        <x:v>418436.9454232279</x:v>
      </x:c>
      <x:c r="R185" s="66" t="n">
        <x:v>129078.84357679781</x:v>
      </x:c>
      <x:c r="S185" s="66" t="n">
        <x:v>289358.1018464301</x:v>
      </x:c>
      <x:c r="T185" s="66" t="n">
        <x:v>287540.94757673284</x:v>
      </x:c>
      <x:c r="U185" s="45" t="n">
        <x:v>0.7286702910551709</x:v>
      </x:c>
      <x:c r="V185" s="45" t="n">
        <x:v>0.7399488597294923</x:v>
      </x:c>
      <x:c r="W185" s="45" t="n">
        <x:v>0.13614313874019485</x:v>
      </x:c>
      <x:c r="X185" s="66" t="n">
        <x:v>52575412.332963675</x:v>
      </x:c>
      <x:c r="Y185" s="66" t="n">
        <x:v>108.98172259389199</x:v>
      </x:c>
      <x:c r="Z185" s="66" t="n">
        <x:v>6839948.031636915</x:v>
      </x:c>
      <x:c r="AA185" s="66" t="n">
        <x:v>277856.6520970011</x:v>
      </x:c>
      <x:c r="AB185" s="66" t="n">
        <x:v>61337.08339202897</x:v>
      </x:c>
      <x:c r="AC185" s="66" t="n">
        <x:v>0</x:v>
      </x:c>
      <x:c r="AD185" s="66" t="n">
        <x:v>2059.674165843618</x:v>
      </x:c>
      <x:c r="AE185" s="66" t="n">
        <x:v>237220.57644793304</x:v>
      </x:c>
      <x:c r="AF185" s="66" t="n">
        <x:v>287540.9475767328</x:v>
      </x:c>
      <x:c r="AG185" s="66" t="n">
        <x:v>5.820766091346741e-11</x:v>
      </x:c>
      <x:c r="AH185" s="36" t="n">
        <x:v>0</x:v>
      </x:c>
    </x:row>
    <x:row r="186" ht="15" hidden="0" customHeight="1">
      <x:c r="A186" s="34" t="n">
        <x:v>46</x:v>
      </x:c>
      <x:c r="B186" s="34" t="str">
        <x:v>B1</x:v>
      </x:c>
      <x:c r="C186" s="34" t="str">
        <x:v>reference</x:v>
      </x:c>
      <x:c r="D186" s="74" t="n">
        <x:v>1.002856931977396</x:v>
      </x:c>
      <x:c r="E186" s="74" t="n">
        <x:v>0.08100424531146927</x:v>
      </x:c>
      <x:c r="F186" s="74" t="n">
        <x:v>0.9719952842835052</x:v>
      </x:c>
      <x:c r="G186" s="74" t="n">
        <x:v>1.0434608315212013</x:v>
      </x:c>
      <x:c r="H186" s="74" t="n">
        <x:v>1.0091328571654539</x:v>
      </x:c>
      <x:c r="I186" s="74" t="n">
        <x:v>0.851271129025728</x:v>
      </x:c>
      <x:c r="J186" s="74" t="n">
        <x:v>1.0670526236224689</x:v>
      </x:c>
      <x:c r="K186" s="74" t="n">
        <x:v>0.7763566260533595</x:v>
      </x:c>
      <x:c r="L186" s="74" t="n">
        <x:v>0.9800786526089276</x:v>
      </x:c>
      <x:c r="M186" s="74" t="n">
        <x:v>0.8967229383012442</x:v>
      </x:c>
      <x:c r="N186" s="74" t="n">
        <x:v>0.8736175543194412</x:v>
      </x:c>
      <x:c r="O186" s="65" t="n">
        <x:v>482424.1265563399</x:v>
      </x:c>
      <x:c r="P186" s="65" t="n">
        <x:v>216449.52091836074</x:v>
      </x:c>
      <x:c r="Q186" s="65" t="n">
        <x:v>265974.6056379791</x:v>
      </x:c>
      <x:c r="R186" s="65" t="n">
        <x:v>129078.84357679781</x:v>
      </x:c>
      <x:c r="S186" s="65" t="n">
        <x:v>136895.76206118136</x:v>
      </x:c>
      <x:c r="T186" s="65" t="n">
        <x:v>194088.08745242923</x:v>
      </x:c>
      <x:c r="U186" s="43" t="n">
        <x:v>0.8509889654593079</x:v>
      </x:c>
      <x:c r="V186" s="43" t="n">
        <x:v>0.8556756461985496</x:v>
      </x:c>
      <x:c r="W186" s="43" t="n">
        <x:v>0.45883610663372987</x:v>
      </x:c>
      <x:c r="X186" s="65" t="n">
        <x:v>33205946.904023502</x:v>
      </x:c>
      <x:c r="Y186" s="65" t="n">
        <x:v>68.83143913438903</x:v>
      </x:c>
      <x:c r="Z186" s="65" t="n">
        <x:v>3167278.8747501904</x:v>
      </x:c>
      <x:c r="AA186" s="65" t="n">
        <x:v>173957.91532484023</x:v>
      </x:c>
      <x:c r="AB186" s="65" t="n">
        <x:v>19976.888240455417</x:v>
      </x:c>
      <x:c r="AC186" s="65" t="n">
        <x:v>32721.94529638991</x:v>
      </x:c>
      <x:c r="AD186" s="65" t="n">
        <x:v>1702.3375247790173</x:v>
      </x:c>
      <x:c r="AE186" s="65" t="n">
        <x:v>118607.53075922948</x:v>
      </x:c>
      <x:c r="AF186" s="65" t="n">
        <x:v>194088.08745242923</x:v>
      </x:c>
      <x:c r="AG186" s="65" t="n">
        <x:v>0</x:v>
      </x:c>
      <x:c r="AH186" s="34" t="n">
        <x:v>0</x:v>
      </x:c>
    </x:row>
    <x:row r="187" ht="15" hidden="0" customHeight="1">
      <x:c r="A187" s="36" t="n">
        <x:v>46</x:v>
      </x:c>
      <x:c r="B187" s="36" t="str">
        <x:v>P2</x:v>
      </x:c>
      <x:c r="C187" s="36" t="str">
        <x:v>reference</x:v>
      </x:c>
      <x:c r="D187" s="75" t="n">
        <x:v>1.002856931977396</x:v>
      </x:c>
      <x:c r="E187" s="75" t="n">
        <x:v>0.08100424531146927</x:v>
      </x:c>
      <x:c r="F187" s="75" t="n">
        <x:v>0.9719952842835052</x:v>
      </x:c>
      <x:c r="G187" s="75" t="n">
        <x:v>1.0434608315212013</x:v>
      </x:c>
      <x:c r="H187" s="75" t="n">
        <x:v>1.0091328571654539</x:v>
      </x:c>
      <x:c r="I187" s="75" t="n">
        <x:v>0.851271129025728</x:v>
      </x:c>
      <x:c r="J187" s="75" t="n">
        <x:v>1.0670526236224689</x:v>
      </x:c>
      <x:c r="K187" s="75" t="n">
        <x:v>0.7763566260533595</x:v>
      </x:c>
      <x:c r="L187" s="75" t="n">
        <x:v>0.9800786526089276</x:v>
      </x:c>
      <x:c r="M187" s="75" t="n">
        <x:v>0.8967229383012442</x:v>
      </x:c>
      <x:c r="N187" s="75" t="n">
        <x:v>0.8736175543194412</x:v>
      </x:c>
      <x:c r="O187" s="66" t="n">
        <x:v>482424.1265563399</x:v>
      </x:c>
      <x:c r="P187" s="66" t="n">
        <x:v>313570.2951369601</x:v>
      </x:c>
      <x:c r="Q187" s="66" t="n">
        <x:v>168853.83141937974</x:v>
      </x:c>
      <x:c r="R187" s="66" t="n">
        <x:v>129078.84357679781</x:v>
      </x:c>
      <x:c r="S187" s="66" t="n">
        <x:v>39774.98784258192</x:v>
      </x:c>
      <x:c r="T187" s="66" t="n">
        <x:v>116453.49363123692</x:v>
      </x:c>
      <x:c r="U187" s="45" t="n">
        <x:v>0.891381183270851</x:v>
      </x:c>
      <x:c r="V187" s="45" t="n">
        <x:v>0.9091494572298147</x:v>
      </x:c>
      <x:c r="W187" s="45" t="n">
        <x:v>0.36942748928738933</x:v>
      </x:c>
      <x:c r="X187" s="66" t="n">
        <x:v>19873228.816963296</x:v>
      </x:c>
      <x:c r="Y187" s="66" t="n">
        <x:v>41.194516863870824</x:v>
      </x:c>
      <x:c r="Z187" s="66" t="n">
        <x:v>1603899.9245602542</x:v>
      </x:c>
      <x:c r="AA187" s="66" t="n">
        <x:v>112411.44811238427</x:v>
      </x:c>
      <x:c r="AB187" s="66" t="n">
        <x:v>281.78294617887536</x:v>
      </x:c>
      <x:c r="AC187" s="66" t="n">
        <x:v>41115.95815042833</x:v>
      </x:c>
      <x:c r="AD187" s="66" t="n">
        <x:v>1486.423538381288</x:v>
      </x:c>
      <x:c r="AE187" s="66" t="n">
        <x:v>48311.32439432046</x:v>
      </x:c>
      <x:c r="AF187" s="66" t="n">
        <x:v>116453.49363123701</x:v>
      </x:c>
      <x:c r="AG187" s="66" t="n">
        <x:v>0</x:v>
      </x:c>
      <x:c r="AH187" s="36" t="n">
        <x:v>0</x:v>
      </x:c>
    </x:row>
    <x:row r="188" ht="15" hidden="0" customHeight="1">
      <x:c r="A188" s="34" t="n">
        <x:v>46</x:v>
      </x:c>
      <x:c r="B188" s="34" t="str">
        <x:v>H3</x:v>
      </x:c>
      <x:c r="C188" s="34" t="str">
        <x:v>reference</x:v>
      </x:c>
      <x:c r="D188" s="74" t="n">
        <x:v>1.002856931977396</x:v>
      </x:c>
      <x:c r="E188" s="74" t="n">
        <x:v>0.08100424531146927</x:v>
      </x:c>
      <x:c r="F188" s="74" t="n">
        <x:v>0.9719952842835052</x:v>
      </x:c>
      <x:c r="G188" s="74" t="n">
        <x:v>1.0434608315212013</x:v>
      </x:c>
      <x:c r="H188" s="74" t="n">
        <x:v>1.0091328571654539</x:v>
      </x:c>
      <x:c r="I188" s="74" t="n">
        <x:v>0.851271129025728</x:v>
      </x:c>
      <x:c r="J188" s="74" t="n">
        <x:v>1.0670526236224689</x:v>
      </x:c>
      <x:c r="K188" s="74" t="n">
        <x:v>0.7763566260533595</x:v>
      </x:c>
      <x:c r="L188" s="74" t="n">
        <x:v>0.9800786526089276</x:v>
      </x:c>
      <x:c r="M188" s="74" t="n">
        <x:v>0.8967229383012442</x:v>
      </x:c>
      <x:c r="N188" s="74" t="n">
        <x:v>0.8736175543194412</x:v>
      </x:c>
      <x:c r="O188" s="65" t="n">
        <x:v>482424.1265563399</x:v>
      </x:c>
      <x:c r="P188" s="65" t="n">
        <x:v>325284.6361872207</x:v>
      </x:c>
      <x:c r="Q188" s="65" t="n">
        <x:v>157139.49036911916</x:v>
      </x:c>
      <x:c r="R188" s="65" t="n">
        <x:v>129078.84357679781</x:v>
      </x:c>
      <x:c r="S188" s="65" t="n">
        <x:v>28060.64679232136</x:v>
      </x:c>
      <x:c r="T188" s="65" t="n">
        <x:v>155677.30460729206</x:v>
      </x:c>
      <x:c r="U188" s="43" t="n">
        <x:v>0.9969690865747851</x:v>
      </x:c>
      <x:c r="V188" s="43" t="n">
        <x:v>0.9980910107590099</x:v>
      </x:c>
      <x:c r="W188" s="43" t="n">
        <x:v>0.9696908657478518</x:v>
      </x:c>
      <x:c r="X188" s="65" t="n">
        <x:v>15703162.9002203</x:v>
      </x:c>
      <x:c r="Y188" s="65" t="n">
        <x:v>32.55053393020219</x:v>
      </x:c>
      <x:c r="Z188" s="65" t="n">
        <x:v>1201551.0644268284</x:v>
      </x:c>
      <x:c r="AA188" s="65" t="n">
        <x:v>94750.89920401294</x:v>
      </x:c>
      <x:c r="AB188" s="65" t="n">
        <x:v>6512.329514840564</x:v>
      </x:c>
      <x:c r="AC188" s="65" t="n">
        <x:v>0</x:v>
      </x:c>
      <x:c r="AD188" s="65" t="n">
        <x:v>1462.185761827141</x:v>
      </x:c>
      <x:c r="AE188" s="65" t="n">
        <x:v>66768.47041004748</x:v>
      </x:c>
      <x:c r="AF188" s="65" t="n">
        <x:v>155677.30460729197</x:v>
      </x:c>
      <x:c r="AG188" s="65" t="n">
        <x:v>8.731149137020111e-11</x:v>
      </x:c>
      <x:c r="AH188" s="34" t="n">
        <x:v>1</x:v>
      </x:c>
    </x:row>
    <x:row r="189" ht="15" hidden="0" customHeight="1">
      <x:c r="A189" s="36" t="n">
        <x:v>47</x:v>
      </x:c>
      <x:c r="B189" s="36" t="str">
        <x:v>M0</x:v>
      </x:c>
      <x:c r="C189" s="36" t="str">
        <x:v>fast</x:v>
      </x:c>
      <x:c r="D189" s="75" t="n">
        <x:v>1.1647542899449501</x:v>
      </x:c>
      <x:c r="E189" s="75" t="n">
        <x:v>0.08904750898073455</x:v>
      </x:c>
      <x:c r="F189" s="75" t="n">
        <x:v>0.9539280377732365</x:v>
      </x:c>
      <x:c r="G189" s="75" t="n">
        <x:v>1.1308452270638394</x:v>
      </x:c>
      <x:c r="H189" s="75" t="n">
        <x:v>0.8004413248089469</x:v>
      </x:c>
      <x:c r="I189" s="75" t="n">
        <x:v>0.9376970220704467</x:v>
      </x:c>
      <x:c r="J189" s="75" t="n">
        <x:v>0.7356508538522772</x:v>
      </x:c>
      <x:c r="K189" s="75" t="n">
        <x:v>0.9647169004213112</x:v>
      </x:c>
      <x:c r="L189" s="75" t="n">
        <x:v>1.038680150031014</x:v>
      </x:c>
      <x:c r="M189" s="75" t="n">
        <x:v>1.0838705037675296</x:v>
      </x:c>
      <x:c r="N189" s="75" t="n">
        <x:v>0.816459300933787</x:v>
      </x:c>
      <x:c r="O189" s="66" t="n">
        <x:v>560304.8182271603</x:v>
      </x:c>
      <x:c r="P189" s="66" t="n">
        <x:v>72134.52676210349</x:v>
      </x:c>
      <x:c r="Q189" s="66" t="n">
        <x:v>488170.29146505677</x:v>
      </x:c>
      <x:c r="R189" s="66" t="n">
        <x:v>154423.51398665484</x:v>
      </x:c>
      <x:c r="S189" s="66" t="n">
        <x:v>333746.7774784019</x:v>
      </x:c>
      <x:c r="T189" s="66" t="n">
        <x:v>263512.2480083882</x:v>
      </x:c>
      <x:c r="U189" s="45" t="n">
        <x:v>0.5990431705236791</x:v>
      </x:c>
      <x:c r="V189" s="45" t="n">
        <x:v>0.628440937122368</x:v>
      </x:c>
      <x:c r="W189" s="45" t="n">
        <x:v>0.12970516446189892</x:v>
      </x:c>
      <x:c r="X189" s="66" t="n">
        <x:v>65857906.03589269</x:v>
      </x:c>
      <x:c r="Y189" s="66" t="n">
        <x:v>117.53942478001751</x:v>
      </x:c>
      <x:c r="Z189" s="66" t="n">
        <x:v>4140022.000254045</x:v>
      </x:c>
      <x:c r="AA189" s="66" t="n">
        <x:v>364136.2355924055</x:v>
      </x:c>
      <x:c r="AB189" s="66" t="n">
        <x:v>30590.23198343754</x:v>
      </x:c>
      <x:c r="AC189" s="66" t="n">
        <x:v>909.7809308160963</x:v>
      </x:c>
      <x:c r="AD189" s="66" t="n">
        <x:v>2399.507645860839</x:v>
      </x:c>
      <x:c r="AE189" s="66" t="n">
        <x:v>197686.80364418065</x:v>
      </x:c>
      <x:c r="AF189" s="66" t="n">
        <x:v>263512.2480083881</x:v>
      </x:c>
      <x:c r="AG189" s="66" t="n">
        <x:v>1.1641532182693481e-10</x:v>
      </x:c>
      <x:c r="AH189" s="36" t="n">
        <x:v>0</x:v>
      </x:c>
    </x:row>
    <x:row r="190" ht="15" hidden="0" customHeight="1">
      <x:c r="A190" s="34" t="n">
        <x:v>47</x:v>
      </x:c>
      <x:c r="B190" s="34" t="str">
        <x:v>B1</x:v>
      </x:c>
      <x:c r="C190" s="34" t="str">
        <x:v>fast</x:v>
      </x:c>
      <x:c r="D190" s="74" t="n">
        <x:v>1.1647542899449501</x:v>
      </x:c>
      <x:c r="E190" s="74" t="n">
        <x:v>0.08904750898073455</x:v>
      </x:c>
      <x:c r="F190" s="74" t="n">
        <x:v>0.9539280377732365</x:v>
      </x:c>
      <x:c r="G190" s="74" t="n">
        <x:v>1.1308452270638394</x:v>
      </x:c>
      <x:c r="H190" s="74" t="n">
        <x:v>0.8004413248089469</x:v>
      </x:c>
      <x:c r="I190" s="74" t="n">
        <x:v>0.9376970220704467</x:v>
      </x:c>
      <x:c r="J190" s="74" t="n">
        <x:v>0.7356508538522772</x:v>
      </x:c>
      <x:c r="K190" s="74" t="n">
        <x:v>0.9647169004213112</x:v>
      </x:c>
      <x:c r="L190" s="74" t="n">
        <x:v>1.038680150031014</x:v>
      </x:c>
      <x:c r="M190" s="74" t="n">
        <x:v>1.0838705037675296</x:v>
      </x:c>
      <x:c r="N190" s="74" t="n">
        <x:v>0.816459300933787</x:v>
      </x:c>
      <x:c r="O190" s="65" t="n">
        <x:v>560304.8182271603</x:v>
      </x:c>
      <x:c r="P190" s="65" t="n">
        <x:v>244009.8783674505</x:v>
      </x:c>
      <x:c r="Q190" s="65" t="n">
        <x:v>316294.93985970976</x:v>
      </x:c>
      <x:c r="R190" s="65" t="n">
        <x:v>154423.51398665484</x:v>
      </x:c>
      <x:c r="S190" s="65" t="n">
        <x:v>161871.42587305495</x:v>
      </x:c>
      <x:c r="T190" s="65" t="n">
        <x:v>192180.48803555925</x:v>
      </x:c>
      <x:c r="U190" s="43" t="n">
        <x:v>0.7784876235459539</x:v>
      </x:c>
      <x:c r="V190" s="43" t="n">
        <x:v>0.8158546186434159</x:v>
      </x:c>
      <x:c r="W190" s="43" t="n">
        <x:v>0.4842084733299186</x:v>
      </x:c>
      <x:c r="X190" s="65" t="n">
        <x:v>43439935.22462064</x:v>
      </x:c>
      <x:c r="Y190" s="65" t="n">
        <x:v>77.52911238933717</x:v>
      </x:c>
      <x:c r="Z190" s="65" t="n">
        <x:v>1467405.3268709525</x:v>
      </x:c>
      <x:c r="AA190" s="65" t="n">
        <x:v>236590.42045613556</x:v>
      </x:c>
      <x:c r="AB190" s="65" t="n">
        <x:v>4999.166005302206</x:v>
      </x:c>
      <x:c r="AC190" s="65" t="n">
        <x:v>1894.976940297563</x:v>
      </x:c>
      <x:c r="AD190" s="65" t="n">
        <x:v>2001.0767405890915</x:v>
      </x:c>
      <x:c r="AE190" s="65" t="n">
        <x:v>130894.87300417165</x:v>
      </x:c>
      <x:c r="AF190" s="65" t="n">
        <x:v>192180.48803555925</x:v>
      </x:c>
      <x:c r="AG190" s="65" t="n">
        <x:v>0</x:v>
      </x:c>
      <x:c r="AH190" s="34" t="n">
        <x:v>0</x:v>
      </x:c>
    </x:row>
    <x:row r="191" ht="15" hidden="0" customHeight="1">
      <x:c r="A191" s="36" t="n">
        <x:v>47</x:v>
      </x:c>
      <x:c r="B191" s="36" t="str">
        <x:v>P2</x:v>
      </x:c>
      <x:c r="C191" s="36" t="str">
        <x:v>fast</x:v>
      </x:c>
      <x:c r="D191" s="75" t="n">
        <x:v>1.1647542899449501</x:v>
      </x:c>
      <x:c r="E191" s="75" t="n">
        <x:v>0.08904750898073455</x:v>
      </x:c>
      <x:c r="F191" s="75" t="n">
        <x:v>0.9539280377732365</x:v>
      </x:c>
      <x:c r="G191" s="75" t="n">
        <x:v>1.1308452270638394</x:v>
      </x:c>
      <x:c r="H191" s="75" t="n">
        <x:v>0.8004413248089469</x:v>
      </x:c>
      <x:c r="I191" s="75" t="n">
        <x:v>0.9376970220704467</x:v>
      </x:c>
      <x:c r="J191" s="75" t="n">
        <x:v>0.7356508538522772</x:v>
      </x:c>
      <x:c r="K191" s="75" t="n">
        <x:v>0.9647169004213112</x:v>
      </x:c>
      <x:c r="L191" s="75" t="n">
        <x:v>1.038680150031014</x:v>
      </x:c>
      <x:c r="M191" s="75" t="n">
        <x:v>1.0838705037675296</x:v>
      </x:c>
      <x:c r="N191" s="75" t="n">
        <x:v>0.816459300933787</x:v>
      </x:c>
      <x:c r="O191" s="66" t="n">
        <x:v>560304.8182271603</x:v>
      </x:c>
      <x:c r="P191" s="66" t="n">
        <x:v>353497.2306856515</x:v>
      </x:c>
      <x:c r="Q191" s="66" t="n">
        <x:v>206807.58754150878</x:v>
      </x:c>
      <x:c r="R191" s="66" t="n">
        <x:v>154423.51398665484</x:v>
      </x:c>
      <x:c r="S191" s="66" t="n">
        <x:v>52384.07355485396</x:v>
      </x:c>
      <x:c r="T191" s="66" t="n">
        <x:v>124711.68464921898</x:v>
      </x:c>
      <x:c r="U191" s="45" t="n">
        <x:v>0.8534799269582467</x:v>
      </x:c>
      <x:c r="V191" s="45" t="n">
        <x:v>0.8641214701794376</x:v>
      </x:c>
      <x:c r="W191" s="45" t="n">
        <x:v>0.6858551007386213</x:v>
      </x:c>
      <x:c r="X191" s="66" t="n">
        <x:v>27455140.79564276</x:v>
      </x:c>
      <x:c r="Y191" s="66" t="n">
        <x:v>49.00036534133787</x:v>
      </x:c>
      <x:c r="Z191" s="66" t="n">
        <x:v>780130.484564097</x:v>
      </x:c>
      <x:c r="AA191" s="66" t="n">
        <x:v>156018.9836057809</x:v>
      </x:c>
      <x:c r="AB191" s="66" t="n">
        <x:v>0</x:v>
      </x:c>
      <x:c r="AC191" s="66" t="n">
        <x:v>0</x:v>
      </x:c>
      <x:c r="AD191" s="66" t="n">
        <x:v>1760.3323131355219</x:v>
      </x:c>
      <x:c r="AE191" s="66" t="n">
        <x:v>80519.7639074696</x:v>
      </x:c>
      <x:c r="AF191" s="66" t="n">
        <x:v>124711.68464921904</x:v>
      </x:c>
      <x:c r="AG191" s="66" t="n">
        <x:v>0</x:v>
      </x:c>
      <x:c r="AH191" s="36" t="n">
        <x:v>0</x:v>
      </x:c>
    </x:row>
    <x:row r="192" ht="15" hidden="0" customHeight="1">
      <x:c r="A192" s="34" t="n">
        <x:v>47</x:v>
      </x:c>
      <x:c r="B192" s="34" t="str">
        <x:v>H3</x:v>
      </x:c>
      <x:c r="C192" s="34" t="str">
        <x:v>fast</x:v>
      </x:c>
      <x:c r="D192" s="74" t="n">
        <x:v>1.1647542899449501</x:v>
      </x:c>
      <x:c r="E192" s="74" t="n">
        <x:v>0.08904750898073455</x:v>
      </x:c>
      <x:c r="F192" s="74" t="n">
        <x:v>0.9539280377732365</x:v>
      </x:c>
      <x:c r="G192" s="74" t="n">
        <x:v>1.1308452270638394</x:v>
      </x:c>
      <x:c r="H192" s="74" t="n">
        <x:v>0.8004413248089469</x:v>
      </x:c>
      <x:c r="I192" s="74" t="n">
        <x:v>0.9376970220704467</x:v>
      </x:c>
      <x:c r="J192" s="74" t="n">
        <x:v>0.7356508538522772</x:v>
      </x:c>
      <x:c r="K192" s="74" t="n">
        <x:v>0.9647169004213112</x:v>
      </x:c>
      <x:c r="L192" s="74" t="n">
        <x:v>1.038680150031014</x:v>
      </x:c>
      <x:c r="M192" s="74" t="n">
        <x:v>1.0838705037675296</x:v>
      </x:c>
      <x:c r="N192" s="74" t="n">
        <x:v>0.816459300933787</x:v>
      </x:c>
      <x:c r="O192" s="65" t="n">
        <x:v>560304.8182271603</x:v>
      </x:c>
      <x:c r="P192" s="65" t="n">
        <x:v>366703.21270808927</x:v>
      </x:c>
      <x:c r="Q192" s="65" t="n">
        <x:v>193601.60551907102</x:v>
      </x:c>
      <x:c r="R192" s="65" t="n">
        <x:v>154423.51398665484</x:v>
      </x:c>
      <x:c r="S192" s="65" t="n">
        <x:v>39178.091532416176</x:v>
      </x:c>
      <x:c r="T192" s="65" t="n">
        <x:v>187458.47016889785</x:v>
      </x:c>
      <x:c r="U192" s="43" t="n">
        <x:v>0.9890360833062075</x:v>
      </x:c>
      <x:c r="V192" s="43" t="n">
        <x:v>0.9939033245094682</x:v>
      </x:c>
      <x:c r="W192" s="43" t="n">
        <x:v>0.8903608330620748</x:v>
      </x:c>
      <x:c r="X192" s="65" t="n">
        <x:v>20110916.06407182</x:v>
      </x:c>
      <x:c r="Y192" s="65" t="n">
        <x:v>35.89281300079486</x:v>
      </x:c>
      <x:c r="Z192" s="65" t="n">
        <x:v>1277758.7231055915</x:v>
      </x:c>
      <x:c r="AA192" s="65" t="n">
        <x:v>125792.47949189463</x:v>
      </x:c>
      <x:c r="AB192" s="65" t="n">
        <x:v>1941.2763605814362</x:v>
      </x:c>
      <x:c r="AC192" s="65" t="n">
        <x:v>1599.6681006957294</x:v>
      </x:c>
      <x:c r="AD192" s="65" t="n">
        <x:v>1733.3071549388364</x:v>
      </x:c>
      <x:c r="AE192" s="65" t="n">
        <x:v>64009.823867709216</x:v>
      </x:c>
      <x:c r="AF192" s="65" t="n">
        <x:v>187458.47016889788</x:v>
      </x:c>
      <x:c r="AG192" s="65" t="n">
        <x:v>0</x:v>
      </x:c>
      <x:c r="AH192" s="34" t="n">
        <x:v>1</x:v>
      </x:c>
    </x:row>
    <x:row r="193" ht="15" hidden="0" customHeight="1">
      <x:c r="A193" s="36" t="n">
        <x:v>48</x:v>
      </x:c>
      <x:c r="B193" s="36" t="str">
        <x:v>M0</x:v>
      </x:c>
      <x:c r="C193" s="36" t="str">
        <x:v>reference</x:v>
      </x:c>
      <x:c r="D193" s="75" t="n">
        <x:v>1.1837606386568753</x:v>
      </x:c>
      <x:c r="E193" s="75" t="n">
        <x:v>0.03894078706225381</x:v>
      </x:c>
      <x:c r="F193" s="75" t="n">
        <x:v>0.7630020602056053</x:v>
      </x:c>
      <x:c r="G193" s="75" t="n">
        <x:v>1.0669695556854522</x:v>
      </x:c>
      <x:c r="H193" s="75" t="n">
        <x:v>1.0279767075928434</x:v>
      </x:c>
      <x:c r="I193" s="75" t="n">
        <x:v>1.0185005347491898</x:v>
      </x:c>
      <x:c r="J193" s="75" t="n">
        <x:v>1.0216914806004922</x:v>
      </x:c>
      <x:c r="K193" s="75" t="n">
        <x:v>0.870971884190668</x:v>
      </x:c>
      <x:c r="L193" s="75" t="n">
        <x:v>0.8172424383336403</x:v>
      </x:c>
      <x:c r="M193" s="75" t="n">
        <x:v>0.8918946014804878</x:v>
      </x:c>
      <x:c r="N193" s="75" t="n">
        <x:v>0.8913349739098468</x:v>
      </x:c>
      <x:c r="O193" s="66" t="n">
        <x:v>569447.8184737621</x:v>
      </x:c>
      <x:c r="P193" s="66" t="n">
        <x:v>62695.406538488925</x:v>
      </x:c>
      <x:c r="Q193" s="66" t="n">
        <x:v>506752.4119352732</x:v>
      </x:c>
      <x:c r="R193" s="66" t="n">
        <x:v>128410.21857919797</x:v>
      </x:c>
      <x:c r="S193" s="66" t="n">
        <x:v>378342.1933560752</x:v>
      </x:c>
      <x:c r="T193" s="66" t="n">
        <x:v>271325.16569694487</x:v>
      </x:c>
      <x:c r="U193" s="45" t="n">
        <x:v>0.5865692367224761</x:v>
      </x:c>
      <x:c r="V193" s="45" t="n">
        <x:v>0.6199270546392456</x:v>
      </x:c>
      <x:c r="W193" s="45" t="n">
        <x:v>0.10975961250604116</x:v>
      </x:c>
      <x:c r="X193" s="66" t="n">
        <x:v>68467676.14934196</x:v>
      </x:c>
      <x:c r="Y193" s="66" t="n">
        <x:v>120.23520668293976</x:v>
      </x:c>
      <x:c r="Z193" s="66" t="n">
        <x:v>3985123.5013430086</x:v>
      </x:c>
      <x:c r="AA193" s="66" t="n">
        <x:v>383883.8822841272</x:v>
      </x:c>
      <x:c r="AB193" s="66" t="n">
        <x:v>28627.28770580313</x:v>
      </x:c>
      <x:c r="AC193" s="66" t="n">
        <x:v>0</x:v>
      </x:c>
      <x:c r="AD193" s="66" t="n">
        <x:v>2454.598165827917</x:v>
      </x:c>
      <x:c r="AE193" s="66" t="n">
        <x:v>219984.27119973768</x:v>
      </x:c>
      <x:c r="AF193" s="66" t="n">
        <x:v>271325.16569694475</x:v>
      </x:c>
      <x:c r="AG193" s="66" t="n">
        <x:v>1.1641532182693481e-10</x:v>
      </x:c>
      <x:c r="AH193" s="36" t="n">
        <x:v>0</x:v>
      </x:c>
    </x:row>
    <x:row r="194" ht="15" hidden="0" customHeight="1">
      <x:c r="A194" s="34" t="n">
        <x:v>48</x:v>
      </x:c>
      <x:c r="B194" s="34" t="str">
        <x:v>B1</x:v>
      </x:c>
      <x:c r="C194" s="34" t="str">
        <x:v>reference</x:v>
      </x:c>
      <x:c r="D194" s="74" t="n">
        <x:v>1.1837606386568753</x:v>
      </x:c>
      <x:c r="E194" s="74" t="n">
        <x:v>0.03894078706225381</x:v>
      </x:c>
      <x:c r="F194" s="74" t="n">
        <x:v>0.7630020602056053</x:v>
      </x:c>
      <x:c r="G194" s="74" t="n">
        <x:v>1.0669695556854522</x:v>
      </x:c>
      <x:c r="H194" s="74" t="n">
        <x:v>1.0279767075928434</x:v>
      </x:c>
      <x:c r="I194" s="74" t="n">
        <x:v>1.0185005347491898</x:v>
      </x:c>
      <x:c r="J194" s="74" t="n">
        <x:v>1.0216914806004922</x:v>
      </x:c>
      <x:c r="K194" s="74" t="n">
        <x:v>0.870971884190668</x:v>
      </x:c>
      <x:c r="L194" s="74" t="n">
        <x:v>0.8172424383336403</x:v>
      </x:c>
      <x:c r="M194" s="74" t="n">
        <x:v>0.8918946014804878</x:v>
      </x:c>
      <x:c r="N194" s="74" t="n">
        <x:v>0.8913349739098468</x:v>
      </x:c>
      <x:c r="O194" s="65" t="n">
        <x:v>569447.8184737621</x:v>
      </x:c>
      <x:c r="P194" s="65" t="n">
        <x:v>212078.46959781577</x:v>
      </x:c>
      <x:c r="Q194" s="65" t="n">
        <x:v>357369.34887594637</x:v>
      </x:c>
      <x:c r="R194" s="65" t="n">
        <x:v>128410.21857919797</x:v>
      </x:c>
      <x:c r="S194" s="65" t="n">
        <x:v>228959.13029674842</x:v>
      </x:c>
      <x:c r="T194" s="65" t="n">
        <x:v>205316.0514971094</x:v>
      </x:c>
      <x:c r="U194" s="43" t="n">
        <x:v>0.7329811574546529</x:v>
      </x:c>
      <x:c r="V194" s="43" t="n">
        <x:v>0.774374858845318</x:v>
      </x:c>
      <x:c r="W194" s="43" t="n">
        <x:v>0.3886749268833068</x:v>
      </x:c>
      <x:c r="X194" s="65" t="n">
        <x:v>48726318.155576944</x:v>
      </x:c>
      <x:c r="Y194" s="65" t="n">
        <x:v>85.56766146926957</x:v>
      </x:c>
      <x:c r="Z194" s="65" t="n">
        <x:v>1426015.8892878164</x:v>
      </x:c>
      <x:c r="AA194" s="65" t="n">
        <x:v>272885.107375273</x:v>
      </x:c>
      <x:c r="AB194" s="65" t="n">
        <x:v>3205.2488551668903</x:v>
      </x:c>
      <x:c r="AC194" s="65" t="n">
        <x:v>0</x:v>
      </x:c>
      <x:c r="AD194" s="65" t="n">
        <x:v>2085.7505042126036</x:v>
      </x:c>
      <x:c r="AE194" s="65" t="n">
        <x:v>145660.88739555093</x:v>
      </x:c>
      <x:c r="AF194" s="65" t="n">
        <x:v>205316.05149710938</x:v>
      </x:c>
      <x:c r="AG194" s="65" t="n">
        <x:v>2.9103830456733704e-11</x:v>
      </x:c>
      <x:c r="AH194" s="34" t="n">
        <x:v>0</x:v>
      </x:c>
    </x:row>
    <x:row r="195" ht="15" hidden="0" customHeight="1">
      <x:c r="A195" s="36" t="n">
        <x:v>48</x:v>
      </x:c>
      <x:c r="B195" s="36" t="str">
        <x:v>P2</x:v>
      </x:c>
      <x:c r="C195" s="36" t="str">
        <x:v>reference</x:v>
      </x:c>
      <x:c r="D195" s="75" t="n">
        <x:v>1.1837606386568753</x:v>
      </x:c>
      <x:c r="E195" s="75" t="n">
        <x:v>0.03894078706225381</x:v>
      </x:c>
      <x:c r="F195" s="75" t="n">
        <x:v>0.7630020602056053</x:v>
      </x:c>
      <x:c r="G195" s="75" t="n">
        <x:v>1.0669695556854522</x:v>
      </x:c>
      <x:c r="H195" s="75" t="n">
        <x:v>1.0279767075928434</x:v>
      </x:c>
      <x:c r="I195" s="75" t="n">
        <x:v>1.0185005347491898</x:v>
      </x:c>
      <x:c r="J195" s="75" t="n">
        <x:v>1.0216914806004922</x:v>
      </x:c>
      <x:c r="K195" s="75" t="n">
        <x:v>0.870971884190668</x:v>
      </x:c>
      <x:c r="L195" s="75" t="n">
        <x:v>0.8172424383336403</x:v>
      </x:c>
      <x:c r="M195" s="75" t="n">
        <x:v>0.8918946014804878</x:v>
      </x:c>
      <x:c r="N195" s="75" t="n">
        <x:v>0.8913349739098468</x:v>
      </x:c>
      <x:c r="O195" s="66" t="n">
        <x:v>569447.8184737621</x:v>
      </x:c>
      <x:c r="P195" s="66" t="n">
        <x:v>307236.8429506703</x:v>
      </x:c>
      <x:c r="Q195" s="66" t="n">
        <x:v>262210.97552309185</x:v>
      </x:c>
      <x:c r="R195" s="66" t="n">
        <x:v>128410.21857919797</x:v>
      </x:c>
      <x:c r="S195" s="66" t="n">
        <x:v>133800.7569438939</x:v>
      </x:c>
      <x:c r="T195" s="66" t="n">
        <x:v>130645.28677537302</x:v>
      </x:c>
      <x:c r="U195" s="45" t="n">
        <x:v>0.7689591838276911</x:v>
      </x:c>
      <x:c r="V195" s="45" t="n">
        <x:v>0.8074911543203351</x:v>
      </x:c>
      <x:c r="W195" s="45" t="n">
        <x:v>0.39509481035216837</x:v>
      </x:c>
      <x:c r="X195" s="66" t="n">
        <x:v>35112067.287713796</x:v>
      </x:c>
      <x:c r="Y195" s="66" t="n">
        <x:v>61.65985038246594</x:v>
      </x:c>
      <x:c r="Z195" s="66" t="n">
        <x:v>1066814.1018306</x:v>
      </x:c>
      <x:c r="AA195" s="66" t="n">
        <x:v>201853.26828143455</x:v>
      </x:c>
      <x:c r="AB195" s="66" t="n">
        <x:v>0</x:v>
      </x:c>
      <x:c r="AC195" s="66" t="n">
        <x:v>21934.225117623955</x:v>
      </x:c>
      <x:c r="AD195" s="66" t="n">
        <x:v>1862.881198799153</x:v>
      </x:c>
      <x:c r="AE195" s="66" t="n">
        <x:v>66777.6617277509</x:v>
      </x:c>
      <x:c r="AF195" s="66" t="n">
        <x:v>130645.28677537307</x:v>
      </x:c>
      <x:c r="AG195" s="66" t="n">
        <x:v>0</x:v>
      </x:c>
      <x:c r="AH195" s="36" t="n">
        <x:v>0</x:v>
      </x:c>
    </x:row>
    <x:row r="196" ht="15" hidden="0" customHeight="1">
      <x:c r="A196" s="34" t="n">
        <x:v>48</x:v>
      </x:c>
      <x:c r="B196" s="34" t="str">
        <x:v>H3</x:v>
      </x:c>
      <x:c r="C196" s="34" t="str">
        <x:v>reference</x:v>
      </x:c>
      <x:c r="D196" s="74" t="n">
        <x:v>1.1837606386568753</x:v>
      </x:c>
      <x:c r="E196" s="74" t="n">
        <x:v>0.03894078706225381</x:v>
      </x:c>
      <x:c r="F196" s="74" t="n">
        <x:v>0.7630020602056053</x:v>
      </x:c>
      <x:c r="G196" s="74" t="n">
        <x:v>1.0669695556854522</x:v>
      </x:c>
      <x:c r="H196" s="74" t="n">
        <x:v>1.0279767075928434</x:v>
      </x:c>
      <x:c r="I196" s="74" t="n">
        <x:v>1.0185005347491898</x:v>
      </x:c>
      <x:c r="J196" s="74" t="n">
        <x:v>1.0216914806004922</x:v>
      </x:c>
      <x:c r="K196" s="74" t="n">
        <x:v>0.870971884190668</x:v>
      </x:c>
      <x:c r="L196" s="74" t="n">
        <x:v>0.8172424383336403</x:v>
      </x:c>
      <x:c r="M196" s="74" t="n">
        <x:v>0.8918946014804878</x:v>
      </x:c>
      <x:c r="N196" s="74" t="n">
        <x:v>0.8913349739098468</x:v>
      </x:c>
      <x:c r="O196" s="65" t="n">
        <x:v>569447.8184737621</x:v>
      </x:c>
      <x:c r="P196" s="65" t="n">
        <x:v>318714.3547504154</x:v>
      </x:c>
      <x:c r="Q196" s="65" t="n">
        <x:v>250733.46372334668</x:v>
      </x:c>
      <x:c r="R196" s="65" t="n">
        <x:v>128410.21857919797</x:v>
      </x:c>
      <x:c r="S196" s="65" t="n">
        <x:v>122323.24514414872</x:v>
      </x:c>
      <x:c r="T196" s="65" t="n">
        <x:v>217725.58406215603</x:v>
      </x:c>
      <x:c r="U196" s="43" t="n">
        <x:v>0.9420352864821598</x:v>
      </x:c>
      <x:c r="V196" s="43" t="n">
        <x:v>0.948203868919795</x:v>
      </x:c>
      <x:c r="W196" s="43" t="n">
        <x:v>0.6108393773247593</x:v>
      </x:c>
      <x:c r="X196" s="65" t="n">
        <x:v>25985817.895870775</x:v>
      </x:c>
      <x:c r="Y196" s="65" t="n">
        <x:v>45.633361043542386</x:v>
      </x:c>
      <x:c r="Z196" s="65" t="n">
        <x:v>1992002.140364807</x:v>
      </x:c>
      <x:c r="AA196" s="65" t="n">
        <x:v>161363.39436792483</x:v>
      </x:c>
      <x:c r="AB196" s="65" t="n">
        <x:v>5861.47302129745</x:v>
      </x:c>
      <x:c r="AC196" s="65" t="n">
        <x:v>31111.952421751543</x:v>
      </x:c>
      <x:c r="AD196" s="65" t="n">
        <x:v>1837.8626415694305</x:v>
      </x:c>
      <x:c r="AE196" s="65" t="n">
        <x:v>102208.57144343991</x:v>
      </x:c>
      <x:c r="AF196" s="65" t="n">
        <x:v>217725.5840621558</x:v>
      </x:c>
      <x:c r="AG196" s="65" t="n">
        <x:v>2.3283064365386963e-10</x:v>
      </x:c>
      <x:c r="AH196" s="34" t="n">
        <x:v>0</x:v>
      </x:c>
    </x:row>
    <x:row r="197" ht="15" hidden="0" customHeight="1">
      <x:c r="A197" s="36" t="n">
        <x:v>49</x:v>
      </x:c>
      <x:c r="B197" s="36" t="str">
        <x:v>M0</x:v>
      </x:c>
      <x:c r="C197" s="36" t="str">
        <x:v>slow</x:v>
      </x:c>
      <x:c r="D197" s="75" t="n">
        <x:v>1.0888543144978993</x:v>
      </x:c>
      <x:c r="E197" s="75" t="n">
        <x:v>0.06184036890490178</x:v>
      </x:c>
      <x:c r="F197" s="75" t="n">
        <x:v>0.9591358120610215</x:v>
      </x:c>
      <x:c r="G197" s="75" t="n">
        <x:v>1.0823678419926865</x:v>
      </x:c>
      <x:c r="H197" s="75" t="n">
        <x:v>0.7352008575636033</x:v>
      </x:c>
      <x:c r="I197" s="75" t="n">
        <x:v>0.8285037808106287</x:v>
      </x:c>
      <x:c r="J197" s="75" t="n">
        <x:v>1.0435768702029755</x:v>
      </x:c>
      <x:c r="K197" s="75" t="n">
        <x:v>0.9513838810108132</x:v>
      </x:c>
      <x:c r="L197" s="75" t="n">
        <x:v>0.9909224511444052</x:v>
      </x:c>
      <x:c r="M197" s="75" t="n">
        <x:v>1.0202759131261228</x:v>
      </x:c>
      <x:c r="N197" s="75" t="n">
        <x:v>0.8340181937089326</x:v>
      </x:c>
      <x:c r="O197" s="66" t="n">
        <x:v>523793.1502183515</x:v>
      </x:c>
      <x:c r="P197" s="66" t="n">
        <x:v>70349.17578860768</x:v>
      </x:c>
      <x:c r="Q197" s="66" t="n">
        <x:v>453443.97442974383</x:v>
      </x:c>
      <x:c r="R197" s="66" t="n">
        <x:v>130109.75620448592</x:v>
      </x:c>
      <x:c r="S197" s="66" t="n">
        <x:v>323334.21822525794</x:v>
      </x:c>
      <x:c r="T197" s="66" t="n">
        <x:v>253548.4505561031</x:v>
      </x:c>
      <x:c r="U197" s="45" t="n">
        <x:v>0.6183693433365612</x:v>
      </x:c>
      <x:c r="V197" s="45" t="n">
        <x:v>0.6116603225394077</x:v>
      </x:c>
      <x:c r="W197" s="45" t="n">
        <x:v>0.0663436000299603</x:v>
      </x:c>
      <x:c r="X197" s="66" t="n">
        <x:v>60795097.336483754</x:v>
      </x:c>
      <x:c r="Y197" s="66" t="n">
        <x:v>116.06699574276668</x:v>
      </x:c>
      <x:c r="Z197" s="66" t="n">
        <x:v>2939922.5570248095</x:v>
      </x:c>
      <x:c r="AA197" s="66" t="n">
        <x:v>340414.2248798508</x:v>
      </x:c>
      <x:c r="AB197" s="66" t="n">
        <x:v>18203.883206671893</x:v>
      </x:c>
      <x:c r="AC197" s="66" t="n">
        <x:v>0</x:v>
      </x:c>
      <x:c r="AD197" s="66" t="n">
        <x:v>2897.908975497742</x:v>
      </x:c>
      <x:c r="AE197" s="66" t="n">
        <x:v>181489.2786196514</x:v>
      </x:c>
      <x:c r="AF197" s="66" t="n">
        <x:v>253548.4505561033</x:v>
      </x:c>
      <x:c r="AG197" s="66" t="n">
        <x:v>0</x:v>
      </x:c>
      <x:c r="AH197" s="36" t="n">
        <x:v>0</x:v>
      </x:c>
    </x:row>
    <x:row r="198" ht="15" hidden="0" customHeight="1">
      <x:c r="A198" s="34" t="n">
        <x:v>49</x:v>
      </x:c>
      <x:c r="B198" s="34" t="str">
        <x:v>B1</x:v>
      </x:c>
      <x:c r="C198" s="34" t="str">
        <x:v>slow</x:v>
      </x:c>
      <x:c r="D198" s="74" t="n">
        <x:v>1.0888543144978993</x:v>
      </x:c>
      <x:c r="E198" s="74" t="n">
        <x:v>0.06184036890490178</x:v>
      </x:c>
      <x:c r="F198" s="74" t="n">
        <x:v>0.9591358120610215</x:v>
      </x:c>
      <x:c r="G198" s="74" t="n">
        <x:v>1.0823678419926865</x:v>
      </x:c>
      <x:c r="H198" s="74" t="n">
        <x:v>0.7352008575636033</x:v>
      </x:c>
      <x:c r="I198" s="74" t="n">
        <x:v>0.8285037808106287</x:v>
      </x:c>
      <x:c r="J198" s="74" t="n">
        <x:v>1.0435768702029755</x:v>
      </x:c>
      <x:c r="K198" s="74" t="n">
        <x:v>0.9513838810108132</x:v>
      </x:c>
      <x:c r="L198" s="74" t="n">
        <x:v>0.9909224511444052</x:v>
      </x:c>
      <x:c r="M198" s="74" t="n">
        <x:v>1.0202759131261228</x:v>
      </x:c>
      <x:c r="N198" s="74" t="n">
        <x:v>0.8340181937089326</x:v>
      </x:c>
      <x:c r="O198" s="65" t="n">
        <x:v>523793.1502183515</x:v>
      </x:c>
      <x:c r="P198" s="65" t="n">
        <x:v>237969.5301269212</x:v>
      </x:c>
      <x:c r="Q198" s="65" t="n">
        <x:v>285823.6200914303</x:v>
      </x:c>
      <x:c r="R198" s="65" t="n">
        <x:v>130109.75620448592</x:v>
      </x:c>
      <x:c r="S198" s="65" t="n">
        <x:v>155713.8638869444</x:v>
      </x:c>
      <x:c r="T198" s="65" t="n">
        <x:v>168582.88739972346</x:v>
      </x:c>
      <x:c r="U198" s="43" t="n">
        <x:v>0.7761697864074145</x:v>
      </x:c>
      <x:c r="V198" s="43" t="n">
        <x:v>0.7665652803618104</x:v>
      </x:c>
      <x:c r="W198" s="43" t="n">
        <x:v>0.23027051778594673</x:v>
      </x:c>
      <x:c r="X198" s="65" t="n">
        <x:v>39329586.333743535</x:v>
      </x:c>
      <x:c r="Y198" s="65" t="n">
        <x:v>75.08610282007004</x:v>
      </x:c>
      <x:c r="Z198" s="65" t="n">
        <x:v>1101469.4695445804</x:v>
      </x:c>
      <x:c r="AA198" s="65" t="n">
        <x:v>213254.82952744904</x:v>
      </x:c>
      <x:c r="AB198" s="65" t="n">
        <x:v>1727.3182366801184</x:v>
      </x:c>
      <x:c r="AC198" s="65" t="n">
        <x:v>0</x:v>
      </x:c>
      <x:c r="AD198" s="65" t="n">
        <x:v>2375.17545532671</x:v>
      </x:c>
      <x:c r="AE198" s="65" t="n">
        <x:v>78508.92247915882</x:v>
      </x:c>
      <x:c r="AF198" s="65" t="n">
        <x:v>168582.8873997234</x:v>
      </x:c>
      <x:c r="AG198" s="65" t="n">
        <x:v>5.820766091346741e-11</x:v>
      </x:c>
      <x:c r="AH198" s="34" t="n">
        <x:v>0</x:v>
      </x:c>
    </x:row>
    <x:row r="199" ht="15" hidden="0" customHeight="1">
      <x:c r="A199" s="36" t="n">
        <x:v>49</x:v>
      </x:c>
      <x:c r="B199" s="36" t="str">
        <x:v>P2</x:v>
      </x:c>
      <x:c r="C199" s="36" t="str">
        <x:v>slow</x:v>
      </x:c>
      <x:c r="D199" s="75" t="n">
        <x:v>1.0888543144978993</x:v>
      </x:c>
      <x:c r="E199" s="75" t="n">
        <x:v>0.06184036890490178</x:v>
      </x:c>
      <x:c r="F199" s="75" t="n">
        <x:v>0.9591358120610215</x:v>
      </x:c>
      <x:c r="G199" s="75" t="n">
        <x:v>1.0823678419926865</x:v>
      </x:c>
      <x:c r="H199" s="75" t="n">
        <x:v>0.7352008575636033</x:v>
      </x:c>
      <x:c r="I199" s="75" t="n">
        <x:v>0.8285037808106287</x:v>
      </x:c>
      <x:c r="J199" s="75" t="n">
        <x:v>1.0435768702029755</x:v>
      </x:c>
      <x:c r="K199" s="75" t="n">
        <x:v>0.9513838810108132</x:v>
      </x:c>
      <x:c r="L199" s="75" t="n">
        <x:v>0.9909224511444052</x:v>
      </x:c>
      <x:c r="M199" s="75" t="n">
        <x:v>1.0202759131261228</x:v>
      </x:c>
      <x:c r="N199" s="75" t="n">
        <x:v>0.8340181937089326</x:v>
      </x:c>
      <x:c r="O199" s="66" t="n">
        <x:v>523793.1502183515</x:v>
      </x:c>
      <x:c r="P199" s="66" t="n">
        <x:v>344745.73381856293</x:v>
      </x:c>
      <x:c r="Q199" s="66" t="n">
        <x:v>179047.41639978864</x:v>
      </x:c>
      <x:c r="R199" s="66" t="n">
        <x:v>130109.75620448592</x:v>
      </x:c>
      <x:c r="S199" s="66" t="n">
        <x:v>48937.66019530273</x:v>
      </x:c>
      <x:c r="T199" s="66" t="n">
        <x:v>92784.03370554694</x:v>
      </x:c>
      <x:c r="U199" s="45" t="n">
        <x:v>0.8353102123266</x:v>
      </x:c>
      <x:c r="V199" s="45" t="n">
        <x:v>0.8297170773237769</x:v>
      </x:c>
      <x:c r="W199" s="45" t="n">
        <x:v>0.33836582111871505</x:v>
      </x:c>
      <x:c r="X199" s="66" t="n">
        <x:v>23966917.890923914</x:v>
      </x:c>
      <x:c r="Y199" s="66" t="n">
        <x:v>45.75645535061488</x:v>
      </x:c>
      <x:c r="Z199" s="66" t="n">
        <x:v>584036.6308403414</x:v>
      </x:c>
      <x:c r="AA199" s="66" t="n">
        <x:v>133564.40603455377</x:v>
      </x:c>
      <x:c r="AB199" s="66" t="n">
        <x:v>0</x:v>
      </x:c>
      <x:c r="AC199" s="66" t="n">
        <x:v>0</x:v>
      </x:c>
      <x:c r="AD199" s="66" t="n">
        <x:v>2058.0376489545115</x:v>
      </x:c>
      <x:c r="AE199" s="66" t="n">
        <x:v>14809.867805344067</x:v>
      </x:c>
      <x:c r="AF199" s="66" t="n">
        <x:v>92784.03370554699</x:v>
      </x:c>
      <x:c r="AG199" s="66" t="n">
        <x:v>0</x:v>
      </x:c>
      <x:c r="AH199" s="36" t="n">
        <x:v>0</x:v>
      </x:c>
    </x:row>
    <x:row r="200" ht="15" hidden="0" customHeight="1">
      <x:c r="A200" s="34" t="n">
        <x:v>49</x:v>
      </x:c>
      <x:c r="B200" s="34" t="str">
        <x:v>H3</x:v>
      </x:c>
      <x:c r="C200" s="34" t="str">
        <x:v>slow</x:v>
      </x:c>
      <x:c r="D200" s="74" t="n">
        <x:v>1.0888543144978993</x:v>
      </x:c>
      <x:c r="E200" s="74" t="n">
        <x:v>0.06184036890490178</x:v>
      </x:c>
      <x:c r="F200" s="74" t="n">
        <x:v>0.9591358120610215</x:v>
      </x:c>
      <x:c r="G200" s="74" t="n">
        <x:v>1.0823678419926865</x:v>
      </x:c>
      <x:c r="H200" s="74" t="n">
        <x:v>0.7352008575636033</x:v>
      </x:c>
      <x:c r="I200" s="74" t="n">
        <x:v>0.8285037808106287</x:v>
      </x:c>
      <x:c r="J200" s="74" t="n">
        <x:v>1.0435768702029755</x:v>
      </x:c>
      <x:c r="K200" s="74" t="n">
        <x:v>0.9513838810108132</x:v>
      </x:c>
      <x:c r="L200" s="74" t="n">
        <x:v>0.9909224511444052</x:v>
      </x:c>
      <x:c r="M200" s="74" t="n">
        <x:v>1.0202759131261228</x:v>
      </x:c>
      <x:c r="N200" s="74" t="n">
        <x:v>0.8340181937089326</x:v>
      </x:c>
      <x:c r="O200" s="65" t="n">
        <x:v>523793.1502183515</x:v>
      </x:c>
      <x:c r="P200" s="65" t="n">
        <x:v>357624.6068450991</x:v>
      </x:c>
      <x:c r="Q200" s="65" t="n">
        <x:v>166168.54337325247</x:v>
      </x:c>
      <x:c r="R200" s="65" t="n">
        <x:v>130109.75620448592</x:v>
      </x:c>
      <x:c r="S200" s="65" t="n">
        <x:v>36058.78716876654</x:v>
      </x:c>
      <x:c r="T200" s="65" t="n">
        <x:v>83646.6825596097</x:v>
      </x:c>
      <x:c r="U200" s="43" t="n">
        <x:v>0.8424533410197477</x:v>
      </x:c>
      <x:c r="V200" s="43" t="n">
        <x:v>0.8374899113064086</x:v>
      </x:c>
      <x:c r="W200" s="43" t="n">
        <x:v>0.3519695433779003</x:v>
      </x:c>
      <x:c r="X200" s="65" t="n">
        <x:v>20711455.430091113</x:v>
      </x:c>
      <x:c r="Y200" s="65" t="n">
        <x:v>39.54128728383946</x:v>
      </x:c>
      <x:c r="Z200" s="65" t="n">
        <x:v>554227.5132843731</x:v>
      </x:c>
      <x:c r="AA200" s="65" t="n">
        <x:v>115009.58520600549</x:v>
      </x:c>
      <x:c r="AB200" s="65" t="n">
        <x:v>1429.1102107824559</x:v>
      </x:c>
      <x:c r="AC200" s="65" t="n">
        <x:v>0</x:v>
      </x:c>
      <x:c r="AD200" s="65" t="n">
        <x:v>2022.2279612209095</x:v>
      </x:c>
      <x:c r="AE200" s="65" t="n">
        <x:v>0</x:v>
      </x:c>
      <x:c r="AF200" s="65" t="n">
        <x:v>83646.68255960976</x:v>
      </x:c>
      <x:c r="AG200" s="65" t="n">
        <x:v>0</x:v>
      </x:c>
      <x:c r="AH200" s="34" t="n">
        <x:v>0</x:v>
      </x:c>
    </x:row>
    <x:row r="201" ht="15" hidden="0" customHeight="1">
      <x:c r="A201" s="36" t="n">
        <x:v>50</x:v>
      </x:c>
      <x:c r="B201" s="36" t="str">
        <x:v>M0</x:v>
      </x:c>
      <x:c r="C201" s="36" t="str">
        <x:v>reference</x:v>
      </x:c>
      <x:c r="D201" s="75" t="n">
        <x:v>1.1879499050364752</x:v>
      </x:c>
      <x:c r="E201" s="75" t="n">
        <x:v>0.03450052517605765</x:v>
      </x:c>
      <x:c r="F201" s="75" t="n">
        <x:v>0.9417544083527887</x:v>
      </x:c>
      <x:c r="G201" s="75" t="n">
        <x:v>1.094851159451128</x:v>
      </x:c>
      <x:c r="H201" s="75" t="n">
        <x:v>1.0014818630426707</x:v>
      </x:c>
      <x:c r="I201" s="75" t="n">
        <x:v>0.8712987130892562</x:v>
      </x:c>
      <x:c r="J201" s="75" t="n">
        <x:v>0.77422650672153</x:v>
      </x:c>
      <x:c r="K201" s="75" t="n">
        <x:v>0.8791738621140099</x:v>
      </x:c>
      <x:c r="L201" s="75" t="n">
        <x:v>0.8666310798106794</x:v>
      </x:c>
      <x:c r="M201" s="75" t="n">
        <x:v>0.875127437952446</x:v>
      </x:c>
      <x:c r="N201" s="75" t="n">
        <x:v>0.7536546337825881</x:v>
      </x:c>
      <x:c r="O201" s="66" t="n">
        <x:v>571463.0642278154</x:v>
      </x:c>
      <x:c r="P201" s="66" t="n">
        <x:v>78102.53290893135</x:v>
      </x:c>
      <x:c r="Q201" s="66" t="n">
        <x:v>493360.53131888405</x:v>
      </x:c>
      <x:c r="R201" s="66" t="n">
        <x:v>126327.2098972731</x:v>
      </x:c>
      <x:c r="S201" s="66" t="n">
        <x:v>367033.32142161095</x:v>
      </x:c>
      <x:c r="T201" s="66" t="n">
        <x:v>265236.19383797806</x:v>
      </x:c>
      <x:c r="U201" s="45" t="n">
        <x:v>0.6008065056852677</x:v>
      </x:c>
      <x:c r="V201" s="45" t="n">
        <x:v>0.6292446252558016</x:v>
      </x:c>
      <x:c r="W201" s="45" t="n">
        <x:v>0.1324763437219718</x:v>
      </x:c>
      <x:c r="X201" s="66" t="n">
        <x:v>67133965.21883254</x:v>
      </x:c>
      <x:c r="Y201" s="66" t="n">
        <x:v>117.47734791844638</x:v>
      </x:c>
      <x:c r="Z201" s="66" t="n">
        <x:v>5555385.951138438</x:v>
      </x:c>
      <x:c r="AA201" s="66" t="n">
        <x:v>363689.53346557694</x:v>
      </x:c>
      <x:c r="AB201" s="66" t="n">
        <x:v>49589.43255388875</x:v>
      </x:c>
      <x:c r="AC201" s="66" t="n">
        <x:v>2754.2102626849087</x:v>
      </x:c>
      <x:c r="AD201" s="66" t="n">
        <x:v>2422.809651562688</x:v>
      </x:c>
      <x:c r="AE201" s="66" t="n">
        <x:v>221825.68693210097</x:v>
      </x:c>
      <x:c r="AF201" s="66" t="n">
        <x:v>265236.1938379782</x:v>
      </x:c>
      <x:c r="AG201" s="66" t="n">
        <x:v>0</x:v>
      </x:c>
      <x:c r="AH201" s="36" t="n">
        <x:v>0</x:v>
      </x:c>
    </x:row>
    <x:row r="202" ht="15" hidden="0" customHeight="1">
      <x:c r="A202" s="34" t="n">
        <x:v>50</x:v>
      </x:c>
      <x:c r="B202" s="34" t="str">
        <x:v>B1</x:v>
      </x:c>
      <x:c r="C202" s="34" t="str">
        <x:v>reference</x:v>
      </x:c>
      <x:c r="D202" s="74" t="n">
        <x:v>1.1879499050364752</x:v>
      </x:c>
      <x:c r="E202" s="74" t="n">
        <x:v>0.03450052517605765</x:v>
      </x:c>
      <x:c r="F202" s="74" t="n">
        <x:v>0.9417544083527887</x:v>
      </x:c>
      <x:c r="G202" s="74" t="n">
        <x:v>1.094851159451128</x:v>
      </x:c>
      <x:c r="H202" s="74" t="n">
        <x:v>1.0014818630426707</x:v>
      </x:c>
      <x:c r="I202" s="74" t="n">
        <x:v>0.8712987130892562</x:v>
      </x:c>
      <x:c r="J202" s="74" t="n">
        <x:v>0.77422650672153</x:v>
      </x:c>
      <x:c r="K202" s="74" t="n">
        <x:v>0.8791738621140099</x:v>
      </x:c>
      <x:c r="L202" s="74" t="n">
        <x:v>0.8666310798106794</x:v>
      </x:c>
      <x:c r="M202" s="74" t="n">
        <x:v>0.875127437952446</x:v>
      </x:c>
      <x:c r="N202" s="74" t="n">
        <x:v>0.7536546337825881</x:v>
      </x:c>
      <x:c r="O202" s="65" t="n">
        <x:v>571463.0642278154</x:v>
      </x:c>
      <x:c r="P202" s="65" t="n">
        <x:v>264195.67227711604</x:v>
      </x:c>
      <x:c r="Q202" s="65" t="n">
        <x:v>307267.3919506993</x:v>
      </x:c>
      <x:c r="R202" s="65" t="n">
        <x:v>126327.2098972731</x:v>
      </x:c>
      <x:c r="S202" s="65" t="n">
        <x:v>180940.18205342625</x:v>
      </x:c>
      <x:c r="T202" s="65" t="n">
        <x:v>200069.4852707723</x:v>
      </x:c>
      <x:c r="U202" s="43" t="n">
        <x:v>0.812414986391505</x:v>
      </x:c>
      <x:c r="V202" s="43" t="n">
        <x:v>0.8334203235373342</x:v>
      </x:c>
      <x:c r="W202" s="43" t="n">
        <x:v>0.48650848113649664</x:v>
      </x:c>
      <x:c r="X202" s="65" t="n">
        <x:v>41611695.99312965</x:v>
      </x:c>
      <x:c r="Y202" s="65" t="n">
        <x:v>72.8160726351704</x:v>
      </x:c>
      <x:c r="Z202" s="65" t="n">
        <x:v>2593407.171408291</x:v>
      </x:c>
      <x:c r="AA202" s="65" t="n">
        <x:v>219309.80399516085</x:v>
      </x:c>
      <x:c r="AB202" s="65" t="n">
        <x:v>17032.086662765418</x:v>
      </x:c>
      <x:c r="AC202" s="65" t="n">
        <x:v>1873.3070595439765</x:v>
      </x:c>
      <x:c r="AD202" s="65" t="n">
        <x:v>1961.0039286507913</x:v>
      </x:c>
      <x:c r="AE202" s="65" t="n">
        <x:v>136238.8844474376</x:v>
      </x:c>
      <x:c r="AF202" s="65" t="n">
        <x:v>200069.48527077213</x:v>
      </x:c>
      <x:c r="AG202" s="65" t="n">
        <x:v>1.7462298274040222e-10</x:v>
      </x:c>
      <x:c r="AH202" s="34" t="n">
        <x:v>0</x:v>
      </x:c>
    </x:row>
    <x:row r="203" ht="15" hidden="0" customHeight="1">
      <x:c r="A203" s="36" t="n">
        <x:v>50</x:v>
      </x:c>
      <x:c r="B203" s="36" t="str">
        <x:v>P2</x:v>
      </x:c>
      <x:c r="C203" s="36" t="str">
        <x:v>reference</x:v>
      </x:c>
      <x:c r="D203" s="75" t="n">
        <x:v>1.1879499050364752</x:v>
      </x:c>
      <x:c r="E203" s="75" t="n">
        <x:v>0.03450052517605765</x:v>
      </x:c>
      <x:c r="F203" s="75" t="n">
        <x:v>0.9417544083527887</x:v>
      </x:c>
      <x:c r="G203" s="75" t="n">
        <x:v>1.094851159451128</x:v>
      </x:c>
      <x:c r="H203" s="75" t="n">
        <x:v>1.0014818630426707</x:v>
      </x:c>
      <x:c r="I203" s="75" t="n">
        <x:v>0.8712987130892562</x:v>
      </x:c>
      <x:c r="J203" s="75" t="n">
        <x:v>0.77422650672153</x:v>
      </x:c>
      <x:c r="K203" s="75" t="n">
        <x:v>0.8791738621140099</x:v>
      </x:c>
      <x:c r="L203" s="75" t="n">
        <x:v>0.8666310798106794</x:v>
      </x:c>
      <x:c r="M203" s="75" t="n">
        <x:v>0.875127437952446</x:v>
      </x:c>
      <x:c r="N203" s="75" t="n">
        <x:v>0.7536546337825881</x:v>
      </x:c>
      <x:c r="O203" s="66" t="n">
        <x:v>571463.0642278154</x:v>
      </x:c>
      <x:c r="P203" s="66" t="n">
        <x:v>382738.59315891087</x:v>
      </x:c>
      <x:c r="Q203" s="66" t="n">
        <x:v>188724.47106890456</x:v>
      </x:c>
      <x:c r="R203" s="66" t="n">
        <x:v>126327.2098972731</x:v>
      </x:c>
      <x:c r="S203" s="66" t="n">
        <x:v>62397.26117163146</x:v>
      </x:c>
      <x:c r="T203" s="66" t="n">
        <x:v>131875.13567765828</x:v>
      </x:c>
      <x:c r="U203" s="45" t="n">
        <x:v>0.9005196679367836</x:v>
      </x:c>
      <x:c r="V203" s="45" t="n">
        <x:v>0.9193411535351894</x:v>
      </x:c>
      <x:c r="W203" s="45" t="n">
        <x:v>0.541136451313008</x:v>
      </x:c>
      <x:c r="X203" s="66" t="n">
        <x:v>23405851.620995563</x:v>
      </x:c>
      <x:c r="Y203" s="66" t="n">
        <x:v>40.957768027619636</x:v>
      </x:c>
      <x:c r="Z203" s="66" t="n">
        <x:v>1399225.1140697133</x:v>
      </x:c>
      <x:c r="AA203" s="66" t="n">
        <x:v>130582.23320886915</x:v>
      </x:c>
      <x:c r="AB203" s="66" t="n">
        <x:v>961.427400024621</x:v>
      </x:c>
      <x:c r="AC203" s="66" t="n">
        <x:v>22656.571323521828</x:v>
      </x:c>
      <x:c r="AD203" s="66" t="n">
        <x:v>1681.9664521744653</x:v>
      </x:c>
      <x:c r="AE203" s="66" t="n">
        <x:v>73090.07424261642</x:v>
      </x:c>
      <x:c r="AF203" s="66" t="n">
        <x:v>131875.13567765823</x:v>
      </x:c>
      <x:c r="AG203" s="66" t="n">
        <x:v>5.820766091346741e-11</x:v>
      </x:c>
      <x:c r="AH203" s="36" t="n">
        <x:v>0</x:v>
      </x:c>
    </x:row>
    <x:row r="204" ht="15" hidden="0" customHeight="1">
      <x:c r="A204" s="34" t="n">
        <x:v>50</x:v>
      </x:c>
      <x:c r="B204" s="34" t="str">
        <x:v>H3</x:v>
      </x:c>
      <x:c r="C204" s="34" t="str">
        <x:v>reference</x:v>
      </x:c>
      <x:c r="D204" s="74" t="n">
        <x:v>1.1879499050364752</x:v>
      </x:c>
      <x:c r="E204" s="74" t="n">
        <x:v>0.03450052517605765</x:v>
      </x:c>
      <x:c r="F204" s="74" t="n">
        <x:v>0.9417544083527887</x:v>
      </x:c>
      <x:c r="G204" s="74" t="n">
        <x:v>1.094851159451128</x:v>
      </x:c>
      <x:c r="H204" s="74" t="n">
        <x:v>1.0014818630426707</x:v>
      </x:c>
      <x:c r="I204" s="74" t="n">
        <x:v>0.8712987130892562</x:v>
      </x:c>
      <x:c r="J204" s="74" t="n">
        <x:v>0.77422650672153</x:v>
      </x:c>
      <x:c r="K204" s="74" t="n">
        <x:v>0.8791738621140099</x:v>
      </x:c>
      <x:c r="L204" s="74" t="n">
        <x:v>0.8666310798106794</x:v>
      </x:c>
      <x:c r="M204" s="74" t="n">
        <x:v>0.875127437952446</x:v>
      </x:c>
      <x:c r="N204" s="74" t="n">
        <x:v>0.7536546337825881</x:v>
      </x:c>
      <x:c r="O204" s="65" t="n">
        <x:v>571463.0642278154</x:v>
      </x:c>
      <x:c r="P204" s="65" t="n">
        <x:v>397036.612068082</x:v>
      </x:c>
      <x:c r="Q204" s="65" t="n">
        <x:v>174426.45215973342</x:v>
      </x:c>
      <x:c r="R204" s="65" t="n">
        <x:v>126327.2098972731</x:v>
      </x:c>
      <x:c r="S204" s="65" t="n">
        <x:v>48099.24226246032</x:v>
      </x:c>
      <x:c r="T204" s="65" t="n">
        <x:v>172775.809514404</x:v>
      </x:c>
      <x:c r="U204" s="43" t="n">
        <x:v>0.9971115497244607</x:v>
      </x:c>
      <x:c r="V204" s="43" t="n">
        <x:v>0.9981807292637424</x:v>
      </x:c>
      <x:c r="W204" s="43" t="n">
        <x:v>0.971115497244606</x:v>
      </x:c>
      <x:c r="X204" s="65" t="n">
        <x:v>18014387.13298296</x:v>
      </x:c>
      <x:c r="Y204" s="65" t="n">
        <x:v>31.52327466224742</x:v>
      </x:c>
      <x:c r="Z204" s="65" t="n">
        <x:v>1512718.7971340914</x:v>
      </x:c>
      <x:c r="AA204" s="65" t="n">
        <x:v>106255.41640684393</x:v>
      </x:c>
      <x:c r="AB204" s="65" t="n">
        <x:v>6201.662958068796</x:v>
      </x:c>
      <x:c r="AC204" s="65" t="n">
        <x:v>4553.19804243783</x:v>
      </x:c>
      <x:c r="AD204" s="65" t="n">
        <x:v>1650.64264532942</x:v>
      </x:c>
      <x:c r="AE204" s="65" t="n">
        <x:v>75389.02703439187</x:v>
      </x:c>
      <x:c r="AF204" s="65" t="n">
        <x:v>172775.8095144041</x:v>
      </x:c>
      <x:c r="AG204" s="65" t="n">
        <x:v>0</x:v>
      </x:c>
      <x:c r="AH204" s="34" t="n">
        <x:v>1</x:v>
      </x:c>
    </x:row>
    <x:row r="205" ht="21.600000381469727" hidden="0" customHeight="1">
      <x:c r="A205" s="36" t="n">
        <x:v>51</x:v>
      </x:c>
      <x:c r="B205" s="36" t="str">
        <x:v>M0</x:v>
      </x:c>
      <x:c r="C205" s="36" t="str">
        <x:v>reference</x:v>
      </x:c>
      <x:c r="D205" s="75" t="n">
        <x:v>0.9842743293164282</x:v>
      </x:c>
      <x:c r="E205" s="75" t="n">
        <x:v>-0.024651631557987167</x:v>
      </x:c>
      <x:c r="F205" s="75" t="n">
        <x:v>0.7710843277241862</x:v>
      </x:c>
      <x:c r="G205" s="75" t="n">
        <x:v>0.9072313927571392</x:v>
      </x:c>
      <x:c r="H205" s="75" t="n">
        <x:v>0.7944765297797403</x:v>
      </x:c>
      <x:c r="I205" s="75" t="n">
        <x:v>0.9413068059618916</x:v>
      </x:c>
      <x:c r="J205" s="75" t="n">
        <x:v>1.0574976789000896</x:v>
      </x:c>
      <x:c r="K205" s="75" t="n">
        <x:v>0.941280682582048</x:v>
      </x:c>
      <x:c r="L205" s="75" t="n">
        <x:v>0.8167718051731635</x:v>
      </x:c>
      <x:c r="M205" s="75" t="n">
        <x:v>1.066316130466356</x:v>
      </x:c>
      <x:c r="N205" s="75" t="n">
        <x:v>1.002898112401502</x:v>
      </x:c>
      <x:c r="O205" s="66" t="n">
        <x:v>473484.9692628019</x:v>
      </x:c>
      <x:c r="P205" s="66" t="n">
        <x:v>57008.689971986285</x:v>
      </x:c>
      <x:c r="Q205" s="66" t="n">
        <x:v>416476.27929081564</x:v>
      </x:c>
      <x:c r="R205" s="66" t="n">
        <x:v>76660.5862774313</x:v>
      </x:c>
      <x:c r="S205" s="66" t="n">
        <x:v>339815.69301338436</x:v>
      </x:c>
      <x:c r="T205" s="66" t="n">
        <x:v>255957.45798191137</x:v>
      </x:c>
      <x:c r="U205" s="45" t="n">
        <x:v>0.6609843358727395</x:v>
      </x:c>
      <x:c r="V205" s="45" t="n">
        <x:v>0.7027100111244181</x:v>
      </x:c>
      <x:c r="W205" s="45" t="n">
        <x:v>0.12406226035948952</x:v>
      </x:c>
      <x:c r="X205" s="66" t="n">
        <x:v>53936363.72397483</x:v>
      </x:c>
      <x:c r="Y205" s="66" t="n">
        <x:v>113.91357112761509</x:v>
      </x:c>
      <x:c r="Z205" s="66" t="n">
        <x:v>3893965.771783937</x:v>
      </x:c>
      <x:c r="AA205" s="66" t="n">
        <x:v>298558.11632875545</x:v>
      </x:c>
      <x:c r="AB205" s="66" t="n">
        <x:v>28814.42188928666</x:v>
      </x:c>
      <x:c r="AC205" s="66" t="n">
        <x:v>0</x:v>
      </x:c>
      <x:c r="AD205" s="66" t="n">
        <x:v>2018.341922587509</x:v>
      </x:c>
      <x:c r="AE205" s="66" t="n">
        <x:v>169307.0610704216</x:v>
      </x:c>
      <x:c r="AF205" s="66" t="n">
        <x:v>255957.4579819114</x:v>
      </x:c>
      <x:c r="AG205" s="66" t="n">
        <x:v>0</x:v>
      </x:c>
      <x:c r="AH205" s="36" t="n">
        <x:v>0</x:v>
      </x:c>
    </x:row>
    <x:row r="206" ht="21.600000381469727" hidden="0" customHeight="1">
      <x:c r="A206" s="34" t="n">
        <x:v>51</x:v>
      </x:c>
      <x:c r="B206" s="34" t="str">
        <x:v>B1</x:v>
      </x:c>
      <x:c r="C206" s="34" t="str">
        <x:v>reference</x:v>
      </x:c>
      <x:c r="D206" s="74" t="n">
        <x:v>0.9842743293164282</x:v>
      </x:c>
      <x:c r="E206" s="74" t="n">
        <x:v>-0.024651631557987167</x:v>
      </x:c>
      <x:c r="F206" s="74" t="n">
        <x:v>0.7710843277241862</x:v>
      </x:c>
      <x:c r="G206" s="74" t="n">
        <x:v>0.9072313927571392</x:v>
      </x:c>
      <x:c r="H206" s="74" t="n">
        <x:v>0.7944765297797403</x:v>
      </x:c>
      <x:c r="I206" s="74" t="n">
        <x:v>0.9413068059618916</x:v>
      </x:c>
      <x:c r="J206" s="74" t="n">
        <x:v>1.0574976789000896</x:v>
      </x:c>
      <x:c r="K206" s="74" t="n">
        <x:v>0.941280682582048</x:v>
      </x:c>
      <x:c r="L206" s="74" t="n">
        <x:v>0.8167718051731635</x:v>
      </x:c>
      <x:c r="M206" s="74" t="n">
        <x:v>1.066316130466356</x:v>
      </x:c>
      <x:c r="N206" s="74" t="n">
        <x:v>1.002898112401502</x:v>
      </x:c>
      <x:c r="O206" s="65" t="n">
        <x:v>473484.9692628019</x:v>
      </x:c>
      <x:c r="P206" s="65" t="n">
        <x:v>192840.49144633888</x:v>
      </x:c>
      <x:c r="Q206" s="65" t="n">
        <x:v>280644.47781646304</x:v>
      </x:c>
      <x:c r="R206" s="65" t="n">
        <x:v>76660.5862774313</x:v>
      </x:c>
      <x:c r="S206" s="65" t="n">
        <x:v>203983.89153903173</x:v>
      </x:c>
      <x:c r="T206" s="65" t="n">
        <x:v>187726.6341038227</x:v>
      </x:c>
      <x:c r="U206" s="43" t="n">
        <x:v>0.8037575641370203</x:v>
      </x:c>
      <x:c r="V206" s="43" t="n">
        <x:v>0.8355472300390708</x:v>
      </x:c>
      <x:c r="W206" s="43" t="n">
        <x:v>0.444514472617488</x:v>
      </x:c>
      <x:c r="X206" s="65" t="n">
        <x:v>36785451.631108426</x:v>
      </x:c>
      <x:c r="Y206" s="65" t="n">
        <x:v>77.69085402728194</x:v>
      </x:c>
      <x:c r="Z206" s="65" t="n">
        <x:v>1255341.2702363096</x:v>
      </x:c>
      <x:c r="AA206" s="65" t="n">
        <x:v>203226.19731473667</x:v>
      </x:c>
      <x:c r="AB206" s="65" t="n">
        <x:v>2105.860455859472</x:v>
      </x:c>
      <x:c r="AC206" s="65" t="n">
        <x:v>0</x:v>
      </x:c>
      <x:c r="AD206" s="65" t="n">
        <x:v>1660.454813860153</x:v>
      </x:c>
      <x:c r="AE206" s="65" t="n">
        <x:v>101983.86609264962</x:v>
      </x:c>
      <x:c r="AF206" s="65" t="n">
        <x:v>187726.63410382278</x:v>
      </x:c>
      <x:c r="AG206" s="65" t="n">
        <x:v>0</x:v>
      </x:c>
      <x:c r="AH206" s="34" t="n">
        <x:v>0</x:v>
      </x:c>
    </x:row>
    <x:row r="207" ht="21.600000381469727" hidden="0" customHeight="1">
      <x:c r="A207" s="36" t="n">
        <x:v>51</x:v>
      </x:c>
      <x:c r="B207" s="36" t="str">
        <x:v>P2</x:v>
      </x:c>
      <x:c r="C207" s="36" t="str">
        <x:v>reference</x:v>
      </x:c>
      <x:c r="D207" s="75" t="n">
        <x:v>0.9842743293164282</x:v>
      </x:c>
      <x:c r="E207" s="75" t="n">
        <x:v>-0.024651631557987167</x:v>
      </x:c>
      <x:c r="F207" s="75" t="n">
        <x:v>0.7710843277241862</x:v>
      </x:c>
      <x:c r="G207" s="75" t="n">
        <x:v>0.9072313927571392</x:v>
      </x:c>
      <x:c r="H207" s="75" t="n">
        <x:v>0.7944765297797403</x:v>
      </x:c>
      <x:c r="I207" s="75" t="n">
        <x:v>0.9413068059618916</x:v>
      </x:c>
      <x:c r="J207" s="75" t="n">
        <x:v>1.0574976789000896</x:v>
      </x:c>
      <x:c r="K207" s="75" t="n">
        <x:v>0.941280682582048</x:v>
      </x:c>
      <x:c r="L207" s="75" t="n">
        <x:v>0.8167718051731635</x:v>
      </x:c>
      <x:c r="M207" s="75" t="n">
        <x:v>1.066316130466356</x:v>
      </x:c>
      <x:c r="N207" s="75" t="n">
        <x:v>1.002898112401502</x:v>
      </x:c>
      <x:c r="O207" s="66" t="n">
        <x:v>473484.9692628019</x:v>
      </x:c>
      <x:c r="P207" s="66" t="n">
        <x:v>279365.5593834884</x:v>
      </x:c>
      <x:c r="Q207" s="66" t="n">
        <x:v>194119.40987931352</x:v>
      </x:c>
      <x:c r="R207" s="66" t="n">
        <x:v>76660.5862774313</x:v>
      </x:c>
      <x:c r="S207" s="66" t="n">
        <x:v>117458.82360188222</x:v>
      </x:c>
      <x:c r="T207" s="66" t="n">
        <x:v>122599.68464743969</x:v>
      </x:c>
      <x:c r="U207" s="45" t="n">
        <x:v>0.8489503788404787</x:v>
      </x:c>
      <x:c r="V207" s="45" t="n">
        <x:v>0.8695750268467453</x:v>
      </x:c>
      <x:c r="W207" s="45" t="n">
        <x:v>0.5909549075391785</x:v>
      </x:c>
      <x:c r="X207" s="66" t="n">
        <x:v>25099279.224678222</x:v>
      </x:c>
      <x:c r="Y207" s="66" t="n">
        <x:v>53.009664200654235</x:v>
      </x:c>
      <x:c r="Z207" s="66" t="n">
        <x:v>765779.0304281478</x:v>
      </x:c>
      <x:c r="AA207" s="66" t="n">
        <x:v>144454.62486939982</x:v>
      </x:c>
      <x:c r="AB207" s="66" t="n">
        <x:v>0</x:v>
      </x:c>
      <x:c r="AC207" s="66" t="n">
        <x:v>0</x:v>
      </x:c>
      <x:c r="AD207" s="66" t="n">
        <x:v>1444.2082176659742</x:v>
      </x:c>
      <x:c r="AE207" s="66" t="n">
        <x:v>64237.60300864762</x:v>
      </x:c>
      <x:c r="AF207" s="66" t="n">
        <x:v>122599.68464743978</x:v>
      </x:c>
      <x:c r="AG207" s="66" t="n">
        <x:v>0</x:v>
      </x:c>
      <x:c r="AH207" s="36" t="n">
        <x:v>0</x:v>
      </x:c>
    </x:row>
    <x:row r="208" ht="21.600000381469727" hidden="0" customHeight="1">
      <x:c r="A208" s="34" t="n">
        <x:v>51</x:v>
      </x:c>
      <x:c r="B208" s="34" t="str">
        <x:v>H3</x:v>
      </x:c>
      <x:c r="C208" s="34" t="str">
        <x:v>reference</x:v>
      </x:c>
      <x:c r="D208" s="74" t="n">
        <x:v>0.9842743293164282</x:v>
      </x:c>
      <x:c r="E208" s="74" t="n">
        <x:v>-0.024651631557987167</x:v>
      </x:c>
      <x:c r="F208" s="74" t="n">
        <x:v>0.7710843277241862</x:v>
      </x:c>
      <x:c r="G208" s="74" t="n">
        <x:v>0.9072313927571392</x:v>
      </x:c>
      <x:c r="H208" s="74" t="n">
        <x:v>0.7944765297797403</x:v>
      </x:c>
      <x:c r="I208" s="74" t="n">
        <x:v>0.9413068059618916</x:v>
      </x:c>
      <x:c r="J208" s="74" t="n">
        <x:v>1.0574976789000896</x:v>
      </x:c>
      <x:c r="K208" s="74" t="n">
        <x:v>0.941280682582048</x:v>
      </x:c>
      <x:c r="L208" s="74" t="n">
        <x:v>0.8167718051731635</x:v>
      </x:c>
      <x:c r="M208" s="74" t="n">
        <x:v>1.066316130466356</x:v>
      </x:c>
      <x:c r="N208" s="74" t="n">
        <x:v>1.002898112401502</x:v>
      </x:c>
      <x:c r="O208" s="65" t="n">
        <x:v>473484.9692628019</x:v>
      </x:c>
      <x:c r="P208" s="65" t="n">
        <x:v>289801.6080239881</x:v>
      </x:c>
      <x:c r="Q208" s="65" t="n">
        <x:v>183683.36123881384</x:v>
      </x:c>
      <x:c r="R208" s="65" t="n">
        <x:v>76660.5862774313</x:v>
      </x:c>
      <x:c r="S208" s="65" t="n">
        <x:v>107022.77496138257</x:v>
      </x:c>
      <x:c r="T208" s="65" t="n">
        <x:v>182263.428135357</x:v>
      </x:c>
      <x:c r="U208" s="43" t="n">
        <x:v>0.9970011020504671</x:v>
      </x:c>
      <x:c r="V208" s="43" t="n">
        <x:v>0.9981111730298358</x:v>
      </x:c>
      <x:c r="W208" s="43" t="n">
        <x:v>0.9700110205046711</x:v>
      </x:c>
      <x:c r="X208" s="65" t="n">
        <x:v>18367542.19945277</x:v>
      </x:c>
      <x:c r="Y208" s="65" t="n">
        <x:v>38.792239230002025</x:v>
      </x:c>
      <x:c r="Z208" s="65" t="n">
        <x:v>1125542.9110872815</x:v>
      </x:c>
      <x:c r="AA208" s="65" t="n">
        <x:v>116210.61123069798</x:v>
      </x:c>
      <x:c r="AB208" s="65" t="n">
        <x:v>1720.0129271736823</x:v>
      </x:c>
      <x:c r="AC208" s="65" t="n">
        <x:v>0</x:v>
      </x:c>
      <x:c r="AD208" s="65" t="n">
        <x:v>1419.9331034568631</x:v>
      </x:c>
      <x:c r="AE208" s="65" t="n">
        <x:v>43179.25424397818</x:v>
      </x:c>
      <x:c r="AF208" s="65" t="n">
        <x:v>182263.42813535698</x:v>
      </x:c>
      <x:c r="AG208" s="65" t="n">
        <x:v>2.9103830456733704e-11</x:v>
      </x:c>
      <x:c r="AH208" s="34" t="n">
        <x:v>1</x:v>
      </x:c>
    </x:row>
    <x:row r="209" ht="21.600000381469727" hidden="0" customHeight="1">
      <x:c r="A209" s="36" t="n">
        <x:v>52</x:v>
      </x:c>
      <x:c r="B209" s="36" t="str">
        <x:v>M0</x:v>
      </x:c>
      <x:c r="C209" s="36" t="str">
        <x:v>reference</x:v>
      </x:c>
      <x:c r="D209" s="75" t="n">
        <x:v>1.1693393937198673</x:v>
      </x:c>
      <x:c r="E209" s="75" t="n">
        <x:v>-0.0031338940362713313</x:v>
      </x:c>
      <x:c r="F209" s="75" t="n">
        <x:v>0.9436539407606578</x:v>
      </x:c>
      <x:c r="G209" s="75" t="n">
        <x:v>1.0458017197383875</x:v>
      </x:c>
      <x:c r="H209" s="75" t="n">
        <x:v>1.018951245150742</x:v>
      </x:c>
      <x:c r="I209" s="75" t="n">
        <x:v>0.8922915597691926</x:v>
      </x:c>
      <x:c r="J209" s="75" t="n">
        <x:v>0.7552739761948793</x:v>
      </x:c>
      <x:c r="K209" s="75" t="n">
        <x:v>0.8026311988791239</x:v>
      </x:c>
      <x:c r="L209" s="75" t="n">
        <x:v>0.8218335001508552</x:v>
      </x:c>
      <x:c r="M209" s="75" t="n">
        <x:v>0.8474791866307472</x:v>
      </x:c>
      <x:c r="N209" s="75" t="n">
        <x:v>0.7749157228018938</x:v>
      </x:c>
      <x:c r="O209" s="66" t="n">
        <x:v>562510.4814810634</x:v>
      </x:c>
      <x:c r="P209" s="66" t="n">
        <x:v>80756.65149031364</x:v>
      </x:c>
      <x:c r="Q209" s="66" t="n">
        <x:v>481753.8299907498</x:v>
      </x:c>
      <x:c r="R209" s="66" t="n">
        <x:v>103178.40318657734</x:v>
      </x:c>
      <x:c r="S209" s="66" t="n">
        <x:v>378575.4268041724</x:v>
      </x:c>
      <x:c r="T209" s="66" t="n">
        <x:v>258243.40524789804</x:v>
      </x:c>
      <x:c r="U209" s="45" t="n">
        <x:v>0.602655537805519</x:v>
      </x:c>
      <x:c r="V209" s="45" t="n">
        <x:v>0.6303504615110349</x:v>
      </x:c>
      <x:c r="W209" s="45" t="n">
        <x:v>0.13946437701988065</x:v>
      </x:c>
      <x:c r="X209" s="66" t="n">
        <x:v>65854876.39405593</x:v>
      </x:c>
      <x:c r="Y209" s="66" t="n">
        <x:v>117.07315430045529</x:v>
      </x:c>
      <x:c r="Z209" s="66" t="n">
        <x:v>4922546.354925221</x:v>
      </x:c>
      <x:c r="AA209" s="66" t="n">
        <x:v>358327.95592946984</x:v>
      </x:c>
      <x:c r="AB209" s="66" t="n">
        <x:v>42688.40579793746</x:v>
      </x:c>
      <x:c r="AC209" s="66" t="n">
        <x:v>1447.566767491523</x:v>
      </x:c>
      <x:c r="AD209" s="66" t="n">
        <x:v>2366.229378741792</x:v>
      </x:c>
      <x:c r="AE209" s="66" t="n">
        <x:v>213608.25961450895</x:v>
      </x:c>
      <x:c r="AF209" s="66" t="n">
        <x:v>258243.40524789796</x:v>
      </x:c>
      <x:c r="AG209" s="66" t="n">
        <x:v>8.731149137020111e-11</x:v>
      </x:c>
      <x:c r="AH209" s="36" t="n">
        <x:v>0</x:v>
      </x:c>
    </x:row>
    <x:row r="210" ht="21.600000381469727" hidden="0" customHeight="1">
      <x:c r="A210" s="34" t="n">
        <x:v>52</x:v>
      </x:c>
      <x:c r="B210" s="34" t="str">
        <x:v>B1</x:v>
      </x:c>
      <x:c r="C210" s="34" t="str">
        <x:v>reference</x:v>
      </x:c>
      <x:c r="D210" s="74" t="n">
        <x:v>1.1693393937198673</x:v>
      </x:c>
      <x:c r="E210" s="74" t="n">
        <x:v>-0.0031338940362713313</x:v>
      </x:c>
      <x:c r="F210" s="74" t="n">
        <x:v>0.9436539407606578</x:v>
      </x:c>
      <x:c r="G210" s="74" t="n">
        <x:v>1.0458017197383875</x:v>
      </x:c>
      <x:c r="H210" s="74" t="n">
        <x:v>1.018951245150742</x:v>
      </x:c>
      <x:c r="I210" s="74" t="n">
        <x:v>0.8922915597691926</x:v>
      </x:c>
      <x:c r="J210" s="74" t="n">
        <x:v>0.7552739761948793</x:v>
      </x:c>
      <x:c r="K210" s="74" t="n">
        <x:v>0.8026311988791239</x:v>
      </x:c>
      <x:c r="L210" s="74" t="n">
        <x:v>0.8218335001508552</x:v>
      </x:c>
      <x:c r="M210" s="74" t="n">
        <x:v>0.8474791866307472</x:v>
      </x:c>
      <x:c r="N210" s="74" t="n">
        <x:v>0.7749157228018938</x:v>
      </x:c>
      <x:c r="O210" s="65" t="n">
        <x:v>562510.4814810634</x:v>
      </x:c>
      <x:c r="P210" s="65" t="n">
        <x:v>273172.2975805884</x:v>
      </x:c>
      <x:c r="Q210" s="65" t="n">
        <x:v>289338.18390047504</x:v>
      </x:c>
      <x:c r="R210" s="65" t="n">
        <x:v>103178.40318657734</x:v>
      </x:c>
      <x:c r="S210" s="65" t="n">
        <x:v>186159.7807138977</x:v>
      </x:c>
      <x:c r="T210" s="65" t="n">
        <x:v>199024.1585222855</x:v>
      </x:c>
      <x:c r="U210" s="43" t="n">
        <x:v>0.8394447244069176</x:v>
      </x:c>
      <x:c r="V210" s="43" t="n">
        <x:v>0.8588518953911052</x:v>
      </x:c>
      <x:c r="W210" s="43" t="n">
        <x:v>0.5234758086123611</x:v>
      </x:c>
      <x:c r="X210" s="65" t="n">
        <x:v>38924970.51059399</x:v>
      </x:c>
      <x:c r="Y210" s="65" t="n">
        <x:v>69.19865814430051</x:v>
      </x:c>
      <x:c r="Z210" s="65" t="n">
        <x:v>1979261.263453843</x:v>
      </x:c>
      <x:c r="AA210" s="65" t="n">
        <x:v>205922.84830914234</x:v>
      </x:c>
      <x:c r="AB210" s="65" t="n">
        <x:v>9023.691442085805</x:v>
      </x:c>
      <x:c r="AC210" s="65" t="n">
        <x:v>9534.944062926175</x:v>
      </x:c>
      <x:c r="AD210" s="65" t="n">
        <x:v>1869.4850364272538</x:v>
      </x:c>
      <x:c r="AE210" s="65" t="n">
        <x:v>132281.53974143852</x:v>
      </x:c>
      <x:c r="AF210" s="65" t="n">
        <x:v>199024.15852228543</x:v>
      </x:c>
      <x:c r="AG210" s="65" t="n">
        <x:v>5.820766091346741e-11</x:v>
      </x:c>
      <x:c r="AH210" s="34" t="n">
        <x:v>0</x:v>
      </x:c>
    </x:row>
    <x:row r="211" ht="21.600000381469727" hidden="0" customHeight="1">
      <x:c r="A211" s="36" t="n">
        <x:v>52</x:v>
      </x:c>
      <x:c r="B211" s="36" t="str">
        <x:v>P2</x:v>
      </x:c>
      <x:c r="C211" s="36" t="str">
        <x:v>reference</x:v>
      </x:c>
      <x:c r="D211" s="75" t="n">
        <x:v>1.1693393937198673</x:v>
      </x:c>
      <x:c r="E211" s="75" t="n">
        <x:v>-0.0031338940362713313</x:v>
      </x:c>
      <x:c r="F211" s="75" t="n">
        <x:v>0.9436539407606578</x:v>
      </x:c>
      <x:c r="G211" s="75" t="n">
        <x:v>1.0458017197383875</x:v>
      </x:c>
      <x:c r="H211" s="75" t="n">
        <x:v>1.018951245150742</x:v>
      </x:c>
      <x:c r="I211" s="75" t="n">
        <x:v>0.8922915597691926</x:v>
      </x:c>
      <x:c r="J211" s="75" t="n">
        <x:v>0.7552739761948793</x:v>
      </x:c>
      <x:c r="K211" s="75" t="n">
        <x:v>0.8026311988791239</x:v>
      </x:c>
      <x:c r="L211" s="75" t="n">
        <x:v>0.8218335001508552</x:v>
      </x:c>
      <x:c r="M211" s="75" t="n">
        <x:v>0.8474791866307472</x:v>
      </x:c>
      <x:c r="N211" s="75" t="n">
        <x:v>0.7749157228018938</x:v>
      </x:c>
      <x:c r="O211" s="66" t="n">
        <x:v>562510.4814810634</x:v>
      </x:c>
      <x:c r="P211" s="66" t="n">
        <x:v>395741.8296384668</x:v>
      </x:c>
      <x:c r="Q211" s="66" t="n">
        <x:v>166768.6518425966</x:v>
      </x:c>
      <x:c r="R211" s="66" t="n">
        <x:v>103178.40318657734</x:v>
      </x:c>
      <x:c r="S211" s="66" t="n">
        <x:v>63590.24865601923</x:v>
      </x:c>
      <x:c r="T211" s="66" t="n">
        <x:v>120394.65983096937</x:v>
      </x:c>
      <x:c r="U211" s="45" t="n">
        <x:v>0.9175588837215501</x:v>
      </x:c>
      <x:c r="V211" s="45" t="n">
        <x:v>0.9328328854015658</x:v>
      </x:c>
      <x:c r="W211" s="45" t="n">
        <x:v>0.5230102985752655</x:v>
      </x:c>
      <x:c r="X211" s="66" t="n">
        <x:v>20421647.41731052</x:v>
      </x:c>
      <x:c r="Y211" s="66" t="n">
        <x:v>36.304474475820065</x:v>
      </x:c>
      <x:c r="Z211" s="66" t="n">
        <x:v>1479881.1502636701</x:v>
      </x:c>
      <x:c r="AA211" s="66" t="n">
        <x:v>112830.6916261776</x:v>
      </x:c>
      <x:c r="AB211" s="66" t="n">
        <x:v>156.74650241044213</x:v>
      </x:c>
      <x:c r="AC211" s="66" t="n">
        <x:v>30791.797401800708</x:v>
      </x:c>
      <x:c r="AD211" s="66" t="n">
        <x:v>1569.3365522132872</x:v>
      </x:c>
      <x:c r="AE211" s="66" t="n">
        <x:v>59951.23345242163</x:v>
      </x:c>
      <x:c r="AF211" s="66" t="n">
        <x:v>120394.65983096938</x:v>
      </x:c>
      <x:c r="AG211" s="66" t="n">
        <x:v>0</x:v>
      </x:c>
      <x:c r="AH211" s="36" t="n">
        <x:v>0</x:v>
      </x:c>
    </x:row>
    <x:row r="212" ht="21.600000381469727" hidden="0" customHeight="1">
      <x:c r="A212" s="34" t="n">
        <x:v>52</x:v>
      </x:c>
      <x:c r="B212" s="34" t="str">
        <x:v>H3</x:v>
      </x:c>
      <x:c r="C212" s="34" t="str">
        <x:v>reference</x:v>
      </x:c>
      <x:c r="D212" s="74" t="n">
        <x:v>1.1693393937198673</x:v>
      </x:c>
      <x:c r="E212" s="74" t="n">
        <x:v>-0.0031338940362713313</x:v>
      </x:c>
      <x:c r="F212" s="74" t="n">
        <x:v>0.9436539407606578</x:v>
      </x:c>
      <x:c r="G212" s="74" t="n">
        <x:v>1.0458017197383875</x:v>
      </x:c>
      <x:c r="H212" s="74" t="n">
        <x:v>1.018951245150742</x:v>
      </x:c>
      <x:c r="I212" s="74" t="n">
        <x:v>0.8922915597691926</x:v>
      </x:c>
      <x:c r="J212" s="74" t="n">
        <x:v>0.7552739761948793</x:v>
      </x:c>
      <x:c r="K212" s="74" t="n">
        <x:v>0.8026311988791239</x:v>
      </x:c>
      <x:c r="L212" s="74" t="n">
        <x:v>0.8218335001508552</x:v>
      </x:c>
      <x:c r="M212" s="74" t="n">
        <x:v>0.8474791866307472</x:v>
      </x:c>
      <x:c r="N212" s="74" t="n">
        <x:v>0.7749157228018938</x:v>
      </x:c>
      <x:c r="O212" s="65" t="n">
        <x:v>562510.4814810634</x:v>
      </x:c>
      <x:c r="P212" s="65" t="n">
        <x:v>410525.3815134064</x:v>
      </x:c>
      <x:c r="Q212" s="65" t="n">
        <x:v>151985.099967657</x:v>
      </x:c>
      <x:c r="R212" s="65" t="n">
        <x:v>103178.40318657734</x:v>
      </x:c>
      <x:c r="S212" s="65" t="n">
        <x:v>48806.69678107964</x:v>
      </x:c>
      <x:c r="T212" s="65" t="n">
        <x:v>150449.45707288026</x:v>
      </x:c>
      <x:c r="U212" s="43" t="n">
        <x:v>0.9972700190568299</x:v>
      </x:c>
      <x:c r="V212" s="43" t="n">
        <x:v>0.9982805279245089</x:v>
      </x:c>
      <x:c r="W212" s="43" t="n">
        <x:v>0.9727001905682989</x:v>
      </x:c>
      <x:c r="X212" s="65" t="n">
        <x:v>15836681.498445835</x:v>
      </x:c>
      <x:c r="Y212" s="65" t="n">
        <x:v>28.153575835153514</x:v>
      </x:c>
      <x:c r="Z212" s="65" t="n">
        <x:v>1241579.9660610065</x:v>
      </x:c>
      <x:c r="AA212" s="65" t="n">
        <x:v>95293.75128092628</x:v>
      </x:c>
      <x:c r="AB212" s="65" t="n">
        <x:v>5693.1441693841225</x:v>
      </x:c>
      <x:c r="AC212" s="65" t="n">
        <x:v>6112.109186098943</x:v>
      </x:c>
      <x:c r="AD212" s="65" t="n">
        <x:v>1535.6428947767417</x:v>
      </x:c>
      <x:c r="AE212" s="65" t="n">
        <x:v>70153.88775029287</x:v>
      </x:c>
      <x:c r="AF212" s="65" t="n">
        <x:v>150449.45707288026</x:v>
      </x:c>
      <x:c r="AG212" s="65" t="n">
        <x:v>0</x:v>
      </x:c>
      <x:c r="AH212" s="34" t="n">
        <x:v>1</x:v>
      </x:c>
    </x:row>
    <x:row r="213" ht="15" hidden="0" customHeight="1">
      <x:c r="A213" s="36" t="n">
        <x:v>53</x:v>
      </x:c>
      <x:c r="B213" s="36" t="str">
        <x:v>M0</x:v>
      </x:c>
      <x:c r="C213" s="36" t="str">
        <x:v>slow</x:v>
      </x:c>
      <x:c r="D213" s="75" t="n">
        <x:v>1.0635227420534883</x:v>
      </x:c>
      <x:c r="E213" s="75" t="n">
        <x:v>0.05523932877614978</x:v>
      </x:c>
      <x:c r="F213" s="75" t="n">
        <x:v>0.7507695357741989</x:v>
      </x:c>
      <x:c r="G213" s="75" t="n">
        <x:v>1.145676861212894</x:v>
      </x:c>
      <x:c r="H213" s="75" t="n">
        <x:v>0.8656640990919161</x:v>
      </x:c>
      <x:c r="I213" s="75" t="n">
        <x:v>1.0387850806441372</x:v>
      </x:c>
      <x:c r="J213" s="75" t="n">
        <x:v>1.0771944643963247</x:v>
      </x:c>
      <x:c r="K213" s="75" t="n">
        <x:v>0.9313989121299872</x:v>
      </x:c>
      <x:c r="L213" s="75" t="n">
        <x:v>0.85850810537458</x:v>
      </x:c>
      <x:c r="M213" s="75" t="n">
        <x:v>1.0223470729508564</x:v>
      </x:c>
      <x:c r="N213" s="75" t="n">
        <x:v>0.8831344805182688</x:v>
      </x:c>
      <x:c r="O213" s="66" t="n">
        <x:v>511607.40236028214</x:v>
      </x:c>
      <x:c r="P213" s="66" t="n">
        <x:v>54257.64187496559</x:v>
      </x:c>
      <x:c r="Q213" s="66" t="n">
        <x:v>457349.7604853165</x:v>
      </x:c>
      <x:c r="R213" s="66" t="n">
        <x:v>123705.68619876649</x:v>
      </x:c>
      <x:c r="S213" s="66" t="n">
        <x:v>333644.07428655005</x:v>
      </x:c>
      <x:c r="T213" s="66" t="n">
        <x:v>292775.67864362744</x:v>
      </x:c>
      <x:c r="U213" s="45" t="n">
        <x:v>0.6783195843484036</x:v>
      </x:c>
      <x:c r="V213" s="45" t="n">
        <x:v>0.6624907990016246</x:v>
      </x:c>
      <x:c r="W213" s="45" t="n">
        <x:v>0.052814002457159066</x:v>
      </x:c>
      <x:c r="X213" s="66" t="n">
        <x:v>57712657.62039637</x:v>
      </x:c>
      <x:c r="Y213" s="66" t="n">
        <x:v>112.80653359224499</x:v>
      </x:c>
      <x:c r="Z213" s="66" t="n">
        <x:v>2756390.676850747</x:v>
      </x:c>
      <x:c r="AA213" s="66" t="n">
        <x:v>328735.10877401446</x:v>
      </x:c>
      <x:c r="AB213" s="66" t="n">
        <x:v>13795.37431521414</x:v>
      </x:c>
      <x:c r="AC213" s="66" t="n">
        <x:v>0</x:v>
      </x:c>
      <x:c r="AD213" s="66" t="n">
        <x:v>2876.3014015755166</x:v>
      </x:c>
      <x:c r="AE213" s="66" t="n">
        <x:v>216472.85952684906</x:v>
      </x:c>
      <x:c r="AF213" s="66" t="n">
        <x:v>292775.6786436275</x:v>
      </x:c>
      <x:c r="AG213" s="66" t="n">
        <x:v>0</x:v>
      </x:c>
      <x:c r="AH213" s="36" t="n">
        <x:v>0</x:v>
      </x:c>
    </x:row>
    <x:row r="214" ht="15" hidden="0" customHeight="1">
      <x:c r="A214" s="34" t="n">
        <x:v>53</x:v>
      </x:c>
      <x:c r="B214" s="34" t="str">
        <x:v>B1</x:v>
      </x:c>
      <x:c r="C214" s="34" t="str">
        <x:v>slow</x:v>
      </x:c>
      <x:c r="D214" s="74" t="n">
        <x:v>1.0635227420534883</x:v>
      </x:c>
      <x:c r="E214" s="74" t="n">
        <x:v>0.05523932877614978</x:v>
      </x:c>
      <x:c r="F214" s="74" t="n">
        <x:v>0.7507695357741989</x:v>
      </x:c>
      <x:c r="G214" s="74" t="n">
        <x:v>1.145676861212894</x:v>
      </x:c>
      <x:c r="H214" s="74" t="n">
        <x:v>0.8656640990919161</x:v>
      </x:c>
      <x:c r="I214" s="74" t="n">
        <x:v>1.0387850806441372</x:v>
      </x:c>
      <x:c r="J214" s="74" t="n">
        <x:v>1.0771944643963247</x:v>
      </x:c>
      <x:c r="K214" s="74" t="n">
        <x:v>0.9313989121299872</x:v>
      </x:c>
      <x:c r="L214" s="74" t="n">
        <x:v>0.85850810537458</x:v>
      </x:c>
      <x:c r="M214" s="74" t="n">
        <x:v>1.0223470729508564</x:v>
      </x:c>
      <x:c r="N214" s="74" t="n">
        <x:v>0.8831344805182688</x:v>
      </x:c>
      <x:c r="O214" s="65" t="n">
        <x:v>511607.40236028214</x:v>
      </x:c>
      <x:c r="P214" s="65" t="n">
        <x:v>183536.6573691656</x:v>
      </x:c>
      <x:c r="Q214" s="65" t="n">
        <x:v>328070.7449911165</x:v>
      </x:c>
      <x:c r="R214" s="65" t="n">
        <x:v>123705.68619876649</x:v>
      </x:c>
      <x:c r="S214" s="65" t="n">
        <x:v>204365.05879235006</x:v>
      </x:c>
      <x:c r="T214" s="65" t="n">
        <x:v>199496.7474305994</x:v>
      </x:c>
      <x:c r="U214" s="43" t="n">
        <x:v>0.7486862055409174</x:v>
      </x:c>
      <x:c r="V214" s="43" t="n">
        <x:v>0.7377759659327074</x:v>
      </x:c>
      <x:c r="W214" s="43" t="n">
        <x:v>0.1833109401157946</x:v>
      </x:c>
      <x:c r="X214" s="65" t="n">
        <x:v>43196995.86728175</x:v>
      </x:c>
      <x:c r="Y214" s="65" t="n">
        <x:v>84.43387579615538</x:v>
      </x:c>
      <x:c r="Z214" s="65" t="n">
        <x:v>1263063.351503997</x:v>
      </x:c>
      <x:c r="AA214" s="65" t="n">
        <x:v>243135.56003724446</x:v>
      </x:c>
      <x:c r="AB214" s="65" t="n">
        <x:v>1547.749609308975</x:v>
      </x:c>
      <x:c r="AC214" s="65" t="n">
        <x:v>0</x:v>
      </x:c>
      <x:c r="AD214" s="65" t="n">
        <x:v>2469.85114497966</x:v>
      </x:c>
      <x:c r="AE214" s="65" t="n">
        <x:v>104118.2235346264</x:v>
      </x:c>
      <x:c r="AF214" s="65" t="n">
        <x:v>199496.7474305993</x:v>
      </x:c>
      <x:c r="AG214" s="65" t="n">
        <x:v>1.1641532182693481e-10</x:v>
      </x:c>
      <x:c r="AH214" s="34" t="n">
        <x:v>0</x:v>
      </x:c>
    </x:row>
    <x:row r="215" ht="15" hidden="0" customHeight="1">
      <x:c r="A215" s="36" t="n">
        <x:v>53</x:v>
      </x:c>
      <x:c r="B215" s="36" t="str">
        <x:v>P2</x:v>
      </x:c>
      <x:c r="C215" s="36" t="str">
        <x:v>slow</x:v>
      </x:c>
      <x:c r="D215" s="75" t="n">
        <x:v>1.0635227420534883</x:v>
      </x:c>
      <x:c r="E215" s="75" t="n">
        <x:v>0.05523932877614978</x:v>
      </x:c>
      <x:c r="F215" s="75" t="n">
        <x:v>0.7507695357741989</x:v>
      </x:c>
      <x:c r="G215" s="75" t="n">
        <x:v>1.145676861212894</x:v>
      </x:c>
      <x:c r="H215" s="75" t="n">
        <x:v>0.8656640990919161</x:v>
      </x:c>
      <x:c r="I215" s="75" t="n">
        <x:v>1.0387850806441372</x:v>
      </x:c>
      <x:c r="J215" s="75" t="n">
        <x:v>1.0771944643963247</x:v>
      </x:c>
      <x:c r="K215" s="75" t="n">
        <x:v>0.9313989121299872</x:v>
      </x:c>
      <x:c r="L215" s="75" t="n">
        <x:v>0.85850810537458</x:v>
      </x:c>
      <x:c r="M215" s="75" t="n">
        <x:v>1.0223470729508564</x:v>
      </x:c>
      <x:c r="N215" s="75" t="n">
        <x:v>0.8831344805182688</x:v>
      </x:c>
      <x:c r="O215" s="66" t="n">
        <x:v>511607.40236028214</x:v>
      </x:c>
      <x:c r="P215" s="66" t="n">
        <x:v>265888.84634418995</x:v>
      </x:c>
      <x:c r="Q215" s="66" t="n">
        <x:v>245718.5560160922</x:v>
      </x:c>
      <x:c r="R215" s="66" t="n">
        <x:v>123705.68619876649</x:v>
      </x:c>
      <x:c r="S215" s="66" t="n">
        <x:v>122012.86981732567</x:v>
      </x:c>
      <x:c r="T215" s="66" t="n">
        <x:v>133852.59600461132</x:v>
      </x:c>
      <x:c r="U215" s="45" t="n">
        <x:v>0.7813441332252206</x:v>
      </x:c>
      <x:c r="V215" s="45" t="n">
        <x:v>0.7780973889091899</x:v>
      </x:c>
      <x:c r="W215" s="45" t="n">
        <x:v>0.26936212837277906</x:v>
      </x:c>
      <x:c r="X215" s="66" t="n">
        <x:v>32847287.848710343</x:v>
      </x:c>
      <x:c r="Y215" s="66" t="n">
        <x:v>64.20409027932469</x:v>
      </x:c>
      <x:c r="Z215" s="66" t="n">
        <x:v>831918.2324621839</x:v>
      </x:c>
      <x:c r="AA215" s="66" t="n">
        <x:v>190609.58763741076</x:v>
      </x:c>
      <x:c r="AB215" s="66" t="n">
        <x:v>0</x:v>
      </x:c>
      <x:c r="AC215" s="66" t="n">
        <x:v>0</x:v>
      </x:c>
      <x:c r="AD215" s="66" t="n">
        <x:v>2223.261366818786</x:v>
      </x:c>
      <x:c r="AE215" s="66" t="n">
        <x:v>51191.20862810135</x:v>
      </x:c>
      <x:c r="AF215" s="66" t="n">
        <x:v>133852.59600461143</x:v>
      </x:c>
      <x:c r="AG215" s="66" t="n">
        <x:v>0</x:v>
      </x:c>
      <x:c r="AH215" s="36" t="n">
        <x:v>0</x:v>
      </x:c>
    </x:row>
    <x:row r="216" ht="15" hidden="0" customHeight="1">
      <x:c r="A216" s="34" t="n">
        <x:v>53</x:v>
      </x:c>
      <x:c r="B216" s="34" t="str">
        <x:v>H3</x:v>
      </x:c>
      <x:c r="C216" s="34" t="str">
        <x:v>slow</x:v>
      </x:c>
      <x:c r="D216" s="74" t="n">
        <x:v>1.0635227420534883</x:v>
      </x:c>
      <x:c r="E216" s="74" t="n">
        <x:v>0.05523932877614978</x:v>
      </x:c>
      <x:c r="F216" s="74" t="n">
        <x:v>0.7507695357741989</x:v>
      </x:c>
      <x:c r="G216" s="74" t="n">
        <x:v>1.145676861212894</x:v>
      </x:c>
      <x:c r="H216" s="74" t="n">
        <x:v>0.8656640990919161</x:v>
      </x:c>
      <x:c r="I216" s="74" t="n">
        <x:v>1.0387850806441372</x:v>
      </x:c>
      <x:c r="J216" s="74" t="n">
        <x:v>1.0771944643963247</x:v>
      </x:c>
      <x:c r="K216" s="74" t="n">
        <x:v>0.9313989121299872</x:v>
      </x:c>
      <x:c r="L216" s="74" t="n">
        <x:v>0.85850810537458</x:v>
      </x:c>
      <x:c r="M216" s="74" t="n">
        <x:v>1.0223470729508564</x:v>
      </x:c>
      <x:c r="N216" s="74" t="n">
        <x:v>0.8831344805182688</x:v>
      </x:c>
      <x:c r="O216" s="65" t="n">
        <x:v>511607.40236028214</x:v>
      </x:c>
      <x:c r="P216" s="65" t="n">
        <x:v>275821.7850048739</x:v>
      </x:c>
      <x:c r="Q216" s="65" t="n">
        <x:v>235785.6173554082</x:v>
      </x:c>
      <x:c r="R216" s="65" t="n">
        <x:v>123705.68619876649</x:v>
      </x:c>
      <x:c r="S216" s="65" t="n">
        <x:v>112079.93115664175</x:v>
      </x:c>
      <x:c r="T216" s="65" t="n">
        <x:v>134041.51044873463</x:v>
      </x:c>
      <x:c r="U216" s="43" t="n">
        <x:v>0.8011285481068473</x:v>
      </x:c>
      <x:c r="V216" s="43" t="n">
        <x:v>0.7938835051343494</x:v>
      </x:c>
      <x:c r="W216" s="43" t="n">
        <x:v>0.2801916133645289</x:v>
      </x:c>
      <x:c r="X216" s="65" t="n">
        <x:v>27393353.777604192</x:v>
      </x:c>
      <x:c r="Y216" s="65" t="n">
        <x:v>53.543700992647786</x:v>
      </x:c>
      <x:c r="Z216" s="65" t="n">
        <x:v>867931.4497562103</x:v>
      </x:c>
      <x:c r="AA216" s="65" t="n">
        <x:v>158324.604417971</x:v>
      </x:c>
      <x:c r="AB216" s="65" t="n">
        <x:v>1388.4260631958873</x:v>
      </x:c>
      <x:c r="AC216" s="65" t="n">
        <x:v>0</x:v>
      </x:c>
      <x:c r="AD216" s="65" t="n">
        <x:v>2195.417625779991</x:v>
      </x:c>
      <x:c r="AE216" s="65" t="n">
        <x:v>511.57699437224073</x:v>
      </x:c>
      <x:c r="AF216" s="65" t="n">
        <x:v>134041.51044873474</x:v>
      </x:c>
      <x:c r="AG216" s="65" t="n">
        <x:v>0</x:v>
      </x:c>
      <x:c r="AH216" s="34" t="n">
        <x:v>0</x:v>
      </x:c>
    </x:row>
    <x:row r="217" ht="21.600000381469727" hidden="0" customHeight="1">
      <x:c r="A217" s="36" t="n">
        <x:v>54</x:v>
      </x:c>
      <x:c r="B217" s="36" t="str">
        <x:v>M0</x:v>
      </x:c>
      <x:c r="C217" s="36" t="str">
        <x:v>fast</x:v>
      </x:c>
      <x:c r="D217" s="75" t="n">
        <x:v>0.9365373417865948</x:v>
      </x:c>
      <x:c r="E217" s="75" t="n">
        <x:v>-0.02966477809752548</x:v>
      </x:c>
      <x:c r="F217" s="75" t="n">
        <x:v>0.9215114889538433</x:v>
      </x:c>
      <x:c r="G217" s="75" t="n">
        <x:v>1.1742533840033695</x:v>
      </x:c>
      <x:c r="H217" s="75" t="n">
        <x:v>0.8979798701179625</x:v>
      </x:c>
      <x:c r="I217" s="75" t="n">
        <x:v>0.9703442943348441</x:v>
      </x:c>
      <x:c r="J217" s="75" t="n">
        <x:v>0.7440288075072782</x:v>
      </x:c>
      <x:c r="K217" s="75" t="n">
        <x:v>0.8591066613542898</x:v>
      </x:c>
      <x:c r="L217" s="75" t="n">
        <x:v>0.8749867412344597</x:v>
      </x:c>
      <x:c r="M217" s="75" t="n">
        <x:v>0.9825415825488357</x:v>
      </x:c>
      <x:c r="N217" s="75" t="n">
        <x:v>1.0132567480033607</x:v>
      </x:c>
      <x:c r="O217" s="66" t="n">
        <x:v>450521.10095897305</x:v>
      </x:c>
      <x:c r="P217" s="66" t="n">
        <x:v>65213.782082167825</x:v>
      </x:c>
      <x:c r="Q217" s="66" t="n">
        <x:v>385307.3188768052</x:v>
      </x:c>
      <x:c r="R217" s="66" t="n">
        <x:v>70684.04426880823</x:v>
      </x:c>
      <x:c r="S217" s="66" t="n">
        <x:v>314623.27460799704</x:v>
      </x:c>
      <x:c r="T217" s="66" t="n">
        <x:v>279410.4263342606</x:v>
      </x:c>
      <x:c r="U217" s="45" t="n">
        <x:v>0.7649457654322209</x:v>
      </x:c>
      <x:c r="V217" s="45" t="n">
        <x:v>0.7840843271193007</x:v>
      </x:c>
      <x:c r="W217" s="45" t="n">
        <x:v>0.15975073570488854</x:v>
      </x:c>
      <x:c r="X217" s="66" t="n">
        <x:v>47738545.3431864</x:v>
      </x:c>
      <x:c r="Y217" s="66" t="n">
        <x:v>105.96295099512717</x:v>
      </x:c>
      <x:c r="Z217" s="66" t="n">
        <x:v>4170005.608334796</x:v>
      </x:c>
      <x:c r="AA217" s="66" t="n">
        <x:v>263111.9376489411</x:v>
      </x:c>
      <x:c r="AB217" s="66" t="n">
        <x:v>25627.074803478543</x:v>
      </x:c>
      <x:c r="AC217" s="66" t="n">
        <x:v>6761.153085418899</x:v>
      </x:c>
      <x:c r="AD217" s="66" t="n">
        <x:v>1889.21733228562</x:v>
      </x:c>
      <x:c r="AE217" s="66" t="n">
        <x:v>221046.83764926705</x:v>
      </x:c>
      <x:c r="AF217" s="66" t="n">
        <x:v>279410.4263342605</x:v>
      </x:c>
      <x:c r="AG217" s="66" t="n">
        <x:v>1.1641532182693481e-10</x:v>
      </x:c>
      <x:c r="AH217" s="36" t="n">
        <x:v>0</x:v>
      </x:c>
    </x:row>
    <x:row r="218" ht="21.600000381469727" hidden="0" customHeight="1">
      <x:c r="A218" s="34" t="n">
        <x:v>54</x:v>
      </x:c>
      <x:c r="B218" s="34" t="str">
        <x:v>B1</x:v>
      </x:c>
      <x:c r="C218" s="34" t="str">
        <x:v>fast</x:v>
      </x:c>
      <x:c r="D218" s="74" t="n">
        <x:v>0.9365373417865948</x:v>
      </x:c>
      <x:c r="E218" s="74" t="n">
        <x:v>-0.02966477809752548</x:v>
      </x:c>
      <x:c r="F218" s="74" t="n">
        <x:v>0.9215114889538433</x:v>
      </x:c>
      <x:c r="G218" s="74" t="n">
        <x:v>1.1742533840033695</x:v>
      </x:c>
      <x:c r="H218" s="74" t="n">
        <x:v>0.8979798701179625</x:v>
      </x:c>
      <x:c r="I218" s="74" t="n">
        <x:v>0.9703442943348441</x:v>
      </x:c>
      <x:c r="J218" s="74" t="n">
        <x:v>0.7440288075072782</x:v>
      </x:c>
      <x:c r="K218" s="74" t="n">
        <x:v>0.8591066613542898</x:v>
      </x:c>
      <x:c r="L218" s="74" t="n">
        <x:v>0.8749867412344597</x:v>
      </x:c>
      <x:c r="M218" s="74" t="n">
        <x:v>0.9825415825488357</x:v>
      </x:c>
      <x:c r="N218" s="74" t="n">
        <x:v>1.0132567480033607</x:v>
      </x:c>
      <x:c r="O218" s="65" t="n">
        <x:v>450521.10095897305</x:v>
      </x:c>
      <x:c r="P218" s="65" t="n">
        <x:v>220595.3172218866</x:v>
      </x:c>
      <x:c r="Q218" s="65" t="n">
        <x:v>229925.78373708646</x:v>
      </x:c>
      <x:c r="R218" s="65" t="n">
        <x:v>70684.04426880823</x:v>
      </x:c>
      <x:c r="S218" s="65" t="n">
        <x:v>159241.73946827822</x:v>
      </x:c>
      <x:c r="T218" s="65" t="n">
        <x:v>202042.89151227736</x:v>
      </x:c>
      <x:c r="U218" s="43" t="n">
        <x:v>0.9381096863932501</x:v>
      </x:c>
      <x:c r="V218" s="43" t="n">
        <x:v>0.9526435556712618</x:v>
      </x:c>
      <x:c r="W218" s="43" t="n">
        <x:v>0.6339132175025821</x:v>
      </x:c>
      <x:c r="X218" s="65" t="n">
        <x:v>27927582.179498233</x:v>
      </x:c>
      <x:c r="Y218" s="65" t="n">
        <x:v>61.98950974782749</x:v>
      </x:c>
      <x:c r="Z218" s="65" t="n">
        <x:v>1557675.9712138325</x:v>
      </x:c>
      <x:c r="AA218" s="65" t="n">
        <x:v>150440.36269881402</x:v>
      </x:c>
      <x:c r="AB218" s="65" t="n">
        <x:v>1983.4742843255215</x:v>
      </x:c>
      <x:c r="AC218" s="65" t="n">
        <x:v>4251.712975290019</x:v>
      </x:c>
      <x:c r="AD218" s="65" t="n">
        <x:v>1477.9570926796941</x:v>
      </x:c>
      <x:c r="AE218" s="65" t="n">
        <x:v>114497.50848478702</x:v>
      </x:c>
      <x:c r="AF218" s="65" t="n">
        <x:v>202042.89151227748</x:v>
      </x:c>
      <x:c r="AG218" s="65" t="n">
        <x:v>0</x:v>
      </x:c>
      <x:c r="AH218" s="34" t="n">
        <x:v>0</x:v>
      </x:c>
    </x:row>
    <x:row r="219" ht="21.600000381469727" hidden="0" customHeight="1">
      <x:c r="A219" s="36" t="n">
        <x:v>54</x:v>
      </x:c>
      <x:c r="B219" s="36" t="str">
        <x:v>P2</x:v>
      </x:c>
      <x:c r="C219" s="36" t="str">
        <x:v>fast</x:v>
      </x:c>
      <x:c r="D219" s="75" t="n">
        <x:v>0.9365373417865948</x:v>
      </x:c>
      <x:c r="E219" s="75" t="n">
        <x:v>-0.02966477809752548</x:v>
      </x:c>
      <x:c r="F219" s="75" t="n">
        <x:v>0.9215114889538433</x:v>
      </x:c>
      <x:c r="G219" s="75" t="n">
        <x:v>1.1742533840033695</x:v>
      </x:c>
      <x:c r="H219" s="75" t="n">
        <x:v>0.8979798701179625</x:v>
      </x:c>
      <x:c r="I219" s="75" t="n">
        <x:v>0.9703442943348441</x:v>
      </x:c>
      <x:c r="J219" s="75" t="n">
        <x:v>0.7440288075072782</x:v>
      </x:c>
      <x:c r="K219" s="75" t="n">
        <x:v>0.8591066613542898</x:v>
      </x:c>
      <x:c r="L219" s="75" t="n">
        <x:v>0.8749867412344597</x:v>
      </x:c>
      <x:c r="M219" s="75" t="n">
        <x:v>0.9825415825488357</x:v>
      </x:c>
      <x:c r="N219" s="75" t="n">
        <x:v>1.0132567480033607</x:v>
      </x:c>
      <x:c r="O219" s="66" t="n">
        <x:v>450521.10095897305</x:v>
      </x:c>
      <x:c r="P219" s="66" t="n">
        <x:v>319573.5106080122</x:v>
      </x:c>
      <x:c r="Q219" s="66" t="n">
        <x:v>130947.5903509608</x:v>
      </x:c>
      <x:c r="R219" s="66" t="n">
        <x:v>70684.04426880823</x:v>
      </x:c>
      <x:c r="S219" s="66" t="n">
        <x:v>60263.5460821526</x:v>
      </x:c>
      <x:c r="T219" s="66" t="n">
        <x:v>128713.80710310486</x:v>
      </x:c>
      <x:c r="U219" s="45" t="n">
        <x:v>0.9950417788576359</x:v>
      </x:c>
      <x:c r="V219" s="45" t="n">
        <x:v>0.9964212007186375</x:v>
      </x:c>
      <x:c r="W219" s="45" t="n">
        <x:v>0.9504177885763584</x:v>
      </x:c>
      <x:c r="X219" s="66" t="n">
        <x:v>14487748.60221415</x:v>
      </x:c>
      <x:c r="Y219" s="66" t="n">
        <x:v>32.15775814135171</x:v>
      </x:c>
      <x:c r="Z219" s="66" t="n">
        <x:v>784334.7122359332</x:v>
      </x:c>
      <x:c r="AA219" s="66" t="n">
        <x:v>84232.55513166508</x:v>
      </x:c>
      <x:c r="AB219" s="66" t="n">
        <x:v>0</x:v>
      </x:c>
      <x:c r="AC219" s="66" t="n">
        <x:v>1004.3224681086629</x:v>
      </x:c>
      <x:c r="AD219" s="66" t="n">
        <x:v>1229.4607797472972</x:v>
      </x:c>
      <x:c r="AE219" s="66" t="n">
        <x:v>56319.51660830423</x:v>
      </x:c>
      <x:c r="AF219" s="66" t="n">
        <x:v>128713.80710310482</x:v>
      </x:c>
      <x:c r="AG219" s="66" t="n">
        <x:v>4.3655745685100555e-11</x:v>
      </x:c>
      <x:c r="AH219" s="36" t="n">
        <x:v>1</x:v>
      </x:c>
    </x:row>
    <x:row r="220" ht="21.600000381469727" hidden="0" customHeight="1">
      <x:c r="A220" s="34" t="n">
        <x:v>54</x:v>
      </x:c>
      <x:c r="B220" s="34" t="str">
        <x:v>H3</x:v>
      </x:c>
      <x:c r="C220" s="34" t="str">
        <x:v>fast</x:v>
      </x:c>
      <x:c r="D220" s="74" t="n">
        <x:v>0.9365373417865948</x:v>
      </x:c>
      <x:c r="E220" s="74" t="n">
        <x:v>-0.02966477809752548</x:v>
      </x:c>
      <x:c r="F220" s="74" t="n">
        <x:v>0.9215114889538433</x:v>
      </x:c>
      <x:c r="G220" s="74" t="n">
        <x:v>1.1742533840033695</x:v>
      </x:c>
      <x:c r="H220" s="74" t="n">
        <x:v>0.8979798701179625</x:v>
      </x:c>
      <x:c r="I220" s="74" t="n">
        <x:v>0.9703442943348441</x:v>
      </x:c>
      <x:c r="J220" s="74" t="n">
        <x:v>0.7440288075072782</x:v>
      </x:c>
      <x:c r="K220" s="74" t="n">
        <x:v>0.8591066613542898</x:v>
      </x:c>
      <x:c r="L220" s="74" t="n">
        <x:v>0.8749867412344597</x:v>
      </x:c>
      <x:c r="M220" s="74" t="n">
        <x:v>0.9825415825488357</x:v>
      </x:c>
      <x:c r="N220" s="74" t="n">
        <x:v>1.0132567480033607</x:v>
      </x:c>
      <x:c r="O220" s="65" t="n">
        <x:v>450521.10095897305</x:v>
      </x:c>
      <x:c r="P220" s="65" t="n">
        <x:v>331511.55503369775</x:v>
      </x:c>
      <x:c r="Q220" s="65" t="n">
        <x:v>119009.54592527525</x:v>
      </x:c>
      <x:c r="R220" s="65" t="n">
        <x:v>70684.04426880823</x:v>
      </x:c>
      <x:c r="S220" s="65" t="n">
        <x:v>48325.501656467044</x:v>
      </x:c>
      <x:c r="T220" s="65" t="n">
        <x:v>117807.98050426721</x:v>
      </x:c>
      <x:c r="U220" s="43" t="n">
        <x:v>0.9973329430775819</x:v>
      </x:c>
      <x:c r="V220" s="43" t="n">
        <x:v>0.9983201553584558</x:v>
      </x:c>
      <x:c r="W220" s="43" t="n">
        <x:v>0.973329430775819</x:v>
      </x:c>
      <x:c r="X220" s="65" t="n">
        <x:v>10120346.826697528</x:v>
      </x:c>
      <x:c r="Y220" s="65" t="n">
        <x:v>22.4636466641751</x:v>
      </x:c>
      <x:c r="Z220" s="65" t="n">
        <x:v>992933.7566605104</x:v>
      </x:c>
      <x:c r="AA220" s="65" t="n">
        <x:v>72598.23226027619</x:v>
      </x:c>
      <x:c r="AB220" s="65" t="n">
        <x:v>2331.831743364377</x:v>
      </x:c>
      <x:c r="AC220" s="65" t="n">
        <x:v>7294.660120976156</x:v>
      </x:c>
      <x:c r="AD220" s="65" t="n">
        <x:v>1201.5654210080536</x:v>
      </x:c>
      <x:c r="AE220" s="65" t="n">
        <x:v>54897.768536855256</x:v>
      </x:c>
      <x:c r="AF220" s="65" t="n">
        <x:v>117807.98050426721</x:v>
      </x:c>
      <x:c r="AG220" s="65" t="n">
        <x:v>0</x:v>
      </x:c>
      <x:c r="AH220" s="34" t="n">
        <x:v>1</x:v>
      </x:c>
    </x:row>
    <x:row r="221" ht="15" hidden="0" customHeight="1">
      <x:c r="A221" s="36" t="n">
        <x:v>55</x:v>
      </x:c>
      <x:c r="B221" s="36" t="str">
        <x:v>M0</x:v>
      </x:c>
      <x:c r="C221" s="36" t="str">
        <x:v>fast</x:v>
      </x:c>
      <x:c r="D221" s="75" t="n">
        <x:v>1.0692805588579115</x:v>
      </x:c>
      <x:c r="E221" s="75" t="n">
        <x:v>0.026086326288257473</x:v>
      </x:c>
      <x:c r="F221" s="75" t="n">
        <x:v>0.7449668568557709</x:v>
      </x:c>
      <x:c r="G221" s="75" t="n">
        <x:v>1.2364257450306368</x:v>
      </x:c>
      <x:c r="H221" s="75" t="n">
        <x:v>0.8965935668181237</x:v>
      </x:c>
      <x:c r="I221" s="75" t="n">
        <x:v>0.9616563353850712</x:v>
      </x:c>
      <x:c r="J221" s="75" t="n">
        <x:v>1.0357230946110596</x:v>
      </x:c>
      <x:c r="K221" s="75" t="n">
        <x:v>0.8574803267212427</x:v>
      </x:c>
      <x:c r="L221" s="75" t="n">
        <x:v>1.0194170781368423</x:v>
      </x:c>
      <x:c r="M221" s="75" t="n">
        <x:v>1.0413845897102996</x:v>
      </x:c>
      <x:c r="N221" s="75" t="n">
        <x:v>0.8667231391359584</x:v>
      </x:c>
      <x:c r="O221" s="66" t="n">
        <x:v>514377.1989824866</x:v>
      </x:c>
      <x:c r="P221" s="66" t="n">
        <x:v>56211.47624766772</x:v>
      </x:c>
      <x:c r="Q221" s="66" t="n">
        <x:v>458165.7227348188</x:v>
      </x:c>
      <x:c r="R221" s="66" t="n">
        <x:v>109379.77793474396</x:v>
      </x:c>
      <x:c r="S221" s="66" t="n">
        <x:v>348785.94480007485</x:v>
      </x:c>
      <x:c r="T221" s="66" t="n">
        <x:v>286609.491836412</x:v>
      </x:c>
      <x:c r="U221" s="45" t="n">
        <x:v>0.6664777691589553</x:v>
      </x:c>
      <x:c r="V221" s="45" t="n">
        <x:v>0.6952854499415141</x:v>
      </x:c>
      <x:c r="W221" s="45" t="n">
        <x:v>0.11213455940457094</x:v>
      </x:c>
      <x:c r="X221" s="66" t="n">
        <x:v>58982980.16664422</x:v>
      </x:c>
      <x:c r="Y221" s="66" t="n">
        <x:v>114.66873003570375</x:v>
      </x:c>
      <x:c r="Z221" s="66" t="n">
        <x:v>5194630.626236954</x:v>
      </x:c>
      <x:c r="AA221" s="66" t="n">
        <x:v>324770.4054082236</x:v>
      </x:c>
      <x:c r="AB221" s="66" t="n">
        <x:v>40017.42692076949</x:v>
      </x:c>
      <x:c r="AC221" s="66" t="n">
        <x:v>0</x:v>
      </x:c>
      <x:c r="AD221" s="66" t="n">
        <x:v>2216.2023698312632</x:v>
      </x:c>
      <x:c r="AE221" s="66" t="n">
        <x:v>211724.61261506515</x:v>
      </x:c>
      <x:c r="AF221" s="66" t="n">
        <x:v>286609.49183641205</x:v>
      </x:c>
      <x:c r="AG221" s="66" t="n">
        <x:v>0</x:v>
      </x:c>
      <x:c r="AH221" s="36" t="n">
        <x:v>0</x:v>
      </x:c>
    </x:row>
    <x:row r="222" ht="15" hidden="0" customHeight="1">
      <x:c r="A222" s="34" t="n">
        <x:v>55</x:v>
      </x:c>
      <x:c r="B222" s="34" t="str">
        <x:v>B1</x:v>
      </x:c>
      <x:c r="C222" s="34" t="str">
        <x:v>fast</x:v>
      </x:c>
      <x:c r="D222" s="74" t="n">
        <x:v>1.0692805588579115</x:v>
      </x:c>
      <x:c r="E222" s="74" t="n">
        <x:v>0.026086326288257473</x:v>
      </x:c>
      <x:c r="F222" s="74" t="n">
        <x:v>0.7449668568557709</x:v>
      </x:c>
      <x:c r="G222" s="74" t="n">
        <x:v>1.2364257450306368</x:v>
      </x:c>
      <x:c r="H222" s="74" t="n">
        <x:v>0.8965935668181237</x:v>
      </x:c>
      <x:c r="I222" s="74" t="n">
        <x:v>0.9616563353850712</x:v>
      </x:c>
      <x:c r="J222" s="74" t="n">
        <x:v>1.0357230946110596</x:v>
      </x:c>
      <x:c r="K222" s="74" t="n">
        <x:v>0.8574803267212427</x:v>
      </x:c>
      <x:c r="L222" s="74" t="n">
        <x:v>1.0194170781368423</x:v>
      </x:c>
      <x:c r="M222" s="74" t="n">
        <x:v>1.0413845897102996</x:v>
      </x:c>
      <x:c r="N222" s="74" t="n">
        <x:v>0.8667231391359584</x:v>
      </x:c>
      <x:c r="O222" s="65" t="n">
        <x:v>514377.1989824866</x:v>
      </x:c>
      <x:c r="P222" s="65" t="n">
        <x:v>190145.06361619203</x:v>
      </x:c>
      <x:c r="Q222" s="65" t="n">
        <x:v>324232.13536629453</x:v>
      </x:c>
      <x:c r="R222" s="65" t="n">
        <x:v>109379.77793474396</x:v>
      </x:c>
      <x:c r="S222" s="65" t="n">
        <x:v>214852.35743155057</x:v>
      </x:c>
      <x:c r="T222" s="65" t="n">
        <x:v>209819.96637800665</x:v>
      </x:c>
      <x:c r="U222" s="43" t="n">
        <x:v>0.7775714607595127</x:v>
      </x:c>
      <x:c r="V222" s="43" t="n">
        <x:v>0.818407911800478</x:v>
      </x:c>
      <x:c r="W222" s="43" t="n">
        <x:v>0.4132662522711214</x:v>
      </x:c>
      <x:c r="X222" s="65" t="n">
        <x:v>42585465.500681624</x:v>
      </x:c>
      <x:c r="Y222" s="65" t="n">
        <x:v>82.79034448828973</x:v>
      </x:c>
      <x:c r="Z222" s="65" t="n">
        <x:v>1915759.2696284333</x:v>
      </x:c>
      <x:c r="AA222" s="65" t="n">
        <x:v>236045.00275430127</x:v>
      </x:c>
      <x:c r="AB222" s="65" t="n">
        <x:v>6940.612888961073</x:v>
      </x:c>
      <x:c r="AC222" s="65" t="n">
        <x:v>5863.541736898641</x:v>
      </x:c>
      <x:c r="AD222" s="65" t="n">
        <x:v>1880.7281974035004</x:v>
      </x:c>
      <x:c r="AE222" s="65" t="n">
        <x:v>125741.88043942</x:v>
      </x:c>
      <x:c r="AF222" s="65" t="n">
        <x:v>209819.96637800662</x:v>
      </x:c>
      <x:c r="AG222" s="65" t="n">
        <x:v>2.9103830456733704e-11</x:v>
      </x:c>
      <x:c r="AH222" s="34" t="n">
        <x:v>0</x:v>
      </x:c>
    </x:row>
    <x:row r="223" ht="15" hidden="0" customHeight="1">
      <x:c r="A223" s="36" t="n">
        <x:v>55</x:v>
      </x:c>
      <x:c r="B223" s="36" t="str">
        <x:v>P2</x:v>
      </x:c>
      <x:c r="C223" s="36" t="str">
        <x:v>fast</x:v>
      </x:c>
      <x:c r="D223" s="75" t="n">
        <x:v>1.0692805588579115</x:v>
      </x:c>
      <x:c r="E223" s="75" t="n">
        <x:v>0.026086326288257473</x:v>
      </x:c>
      <x:c r="F223" s="75" t="n">
        <x:v>0.7449668568557709</x:v>
      </x:c>
      <x:c r="G223" s="75" t="n">
        <x:v>1.2364257450306368</x:v>
      </x:c>
      <x:c r="H223" s="75" t="n">
        <x:v>0.8965935668181237</x:v>
      </x:c>
      <x:c r="I223" s="75" t="n">
        <x:v>0.9616563353850712</x:v>
      </x:c>
      <x:c r="J223" s="75" t="n">
        <x:v>1.0357230946110596</x:v>
      </x:c>
      <x:c r="K223" s="75" t="n">
        <x:v>0.8574803267212427</x:v>
      </x:c>
      <x:c r="L223" s="75" t="n">
        <x:v>1.0194170781368423</x:v>
      </x:c>
      <x:c r="M223" s="75" t="n">
        <x:v>1.0413845897102996</x:v>
      </x:c>
      <x:c r="N223" s="75" t="n">
        <x:v>0.8667231391359584</x:v>
      </x:c>
      <x:c r="O223" s="66" t="n">
        <x:v>514377.1989824866</x:v>
      </x:c>
      <x:c r="P223" s="66" t="n">
        <x:v>275461.76193033654</x:v>
      </x:c>
      <x:c r="Q223" s="66" t="n">
        <x:v>238915.43705215002</x:v>
      </x:c>
      <x:c r="R223" s="66" t="n">
        <x:v>109379.77793474396</x:v>
      </x:c>
      <x:c r="S223" s="66" t="n">
        <x:v>129535.65911740607</x:v>
      </x:c>
      <x:c r="T223" s="66" t="n">
        <x:v>128618.44298729277</x:v>
      </x:c>
      <x:c r="U223" s="45" t="n">
        <x:v>0.7855717666276015</x:v>
      </x:c>
      <x:c r="V223" s="45" t="n">
        <x:v>0.8001072988888096</x:v>
      </x:c>
      <x:c r="W223" s="45" t="n">
        <x:v>0.5821302639221922</x:v>
      </x:c>
      <x:c r="X223" s="66" t="n">
        <x:v>31461636.800841145</x:v>
      </x:c>
      <x:c r="Y223" s="66" t="n">
        <x:v>61.16452452223167</x:v>
      </x:c>
      <x:c r="Z223" s="66" t="n">
        <x:v>955031.8067101056</x:v>
      </x:c>
      <x:c r="AA223" s="66" t="n">
        <x:v>182054.45388918032</x:v>
      </x:c>
      <x:c r="AB223" s="66" t="n">
        <x:v>0</x:v>
      </x:c>
      <x:c r="AC223" s="66" t="n">
        <x:v>15801.811549674278</x:v>
      </x:c>
      <x:c r="AD223" s="66" t="n">
        <x:v>1678.0241990490113</x:v>
      </x:c>
      <x:c r="AE223" s="66" t="n">
        <x:v>76727.40073214757</x:v>
      </x:c>
      <x:c r="AF223" s="66" t="n">
        <x:v>128618.44298729273</x:v>
      </x:c>
      <x:c r="AG223" s="66" t="n">
        <x:v>4.3655745685100555e-11</x:v>
      </x:c>
      <x:c r="AH223" s="36" t="n">
        <x:v>0</x:v>
      </x:c>
    </x:row>
    <x:row r="224" ht="15" hidden="0" customHeight="1">
      <x:c r="A224" s="34" t="n">
        <x:v>55</x:v>
      </x:c>
      <x:c r="B224" s="34" t="str">
        <x:v>H3</x:v>
      </x:c>
      <x:c r="C224" s="34" t="str">
        <x:v>fast</x:v>
      </x:c>
      <x:c r="D224" s="74" t="n">
        <x:v>1.0692805588579115</x:v>
      </x:c>
      <x:c r="E224" s="74" t="n">
        <x:v>0.026086326288257473</x:v>
      </x:c>
      <x:c r="F224" s="74" t="n">
        <x:v>0.7449668568557709</x:v>
      </x:c>
      <x:c r="G224" s="74" t="n">
        <x:v>1.2364257450306368</x:v>
      </x:c>
      <x:c r="H224" s="74" t="n">
        <x:v>0.8965935668181237</x:v>
      </x:c>
      <x:c r="I224" s="74" t="n">
        <x:v>0.9616563353850712</x:v>
      </x:c>
      <x:c r="J224" s="74" t="n">
        <x:v>1.0357230946110596</x:v>
      </x:c>
      <x:c r="K224" s="74" t="n">
        <x:v>0.8574803267212427</x:v>
      </x:c>
      <x:c r="L224" s="74" t="n">
        <x:v>1.0194170781368423</x:v>
      </x:c>
      <x:c r="M224" s="74" t="n">
        <x:v>1.0413845897102996</x:v>
      </x:c>
      <x:c r="N224" s="74" t="n">
        <x:v>0.8667231391359584</x:v>
      </x:c>
      <x:c r="O224" s="65" t="n">
        <x:v>514377.1989824866</x:v>
      </x:c>
      <x:c r="P224" s="65" t="n">
        <x:v>285752.18807737296</x:v>
      </x:c>
      <x:c r="Q224" s="65" t="n">
        <x:v>228625.01090511365</x:v>
      </x:c>
      <x:c r="R224" s="65" t="n">
        <x:v>109379.77793474396</x:v>
      </x:c>
      <x:c r="S224" s="65" t="n">
        <x:v>119245.23297036969</x:v>
      </x:c>
      <x:c r="T224" s="65" t="n">
        <x:v>213089.39327733542</x:v>
      </x:c>
      <x:c r="U224" s="43" t="n">
        <x:v>0.9697972272905758</x:v>
      </x:c>
      <x:c r="V224" s="43" t="n">
        <x:v>0.98036322439452</x:v>
      </x:c>
      <x:c r="W224" s="43" t="n">
        <x:v>0.7471861778659076</x:v>
      </x:c>
      <x:c r="X224" s="65" t="n">
        <x:v>23867471.242737863</x:v>
      </x:c>
      <x:c r="Y224" s="65" t="n">
        <x:v>46.400717780553286</x:v>
      </x:c>
      <x:c r="Z224" s="65" t="n">
        <x:v>1624264.7857478834</x:v>
      </x:c>
      <x:c r="AA224" s="65" t="n">
        <x:v>148789.73642735416</x:v>
      </x:c>
      <x:c r="AB224" s="65" t="n">
        <x:v>4956.121644182131</x:v>
      </x:c>
      <x:c r="AC224" s="65" t="n">
        <x:v>7992.843100236012</x:v>
      </x:c>
      <x:c r="AD224" s="65" t="n">
        <x:v>1655.2693312392994</x:v>
      </x:c>
      <x:c r="AE224" s="65" t="n">
        <x:v>82040.85463997856</x:v>
      </x:c>
      <x:c r="AF224" s="65" t="n">
        <x:v>213089.39327733533</x:v>
      </x:c>
      <x:c r="AG224" s="65" t="n">
        <x:v>8.731149137020111e-11</x:v>
      </x:c>
      <x:c r="AH224" s="34" t="n">
        <x:v>0</x:v>
      </x:c>
    </x:row>
    <x:row r="225" ht="21.600000381469727" hidden="0" customHeight="1">
      <x:c r="A225" s="36" t="n">
        <x:v>56</x:v>
      </x:c>
      <x:c r="B225" s="36" t="str">
        <x:v>M0</x:v>
      </x:c>
      <x:c r="C225" s="36" t="str">
        <x:v>slow</x:v>
      </x:c>
      <x:c r="D225" s="75" t="n">
        <x:v>1.186414462368732</x:v>
      </x:c>
      <x:c r="E225" s="75" t="n">
        <x:v>-0.030531481224696833</x:v>
      </x:c>
      <x:c r="F225" s="75" t="n">
        <x:v>0.797767064272525</x:v>
      </x:c>
      <x:c r="G225" s="75" t="n">
        <x:v>0.9263436115412232</x:v>
      </x:c>
      <x:c r="H225" s="75" t="n">
        <x:v>1.0473010249175476</x:v>
      </x:c>
      <x:c r="I225" s="75" t="n">
        <x:v>0.8570012178014871</x:v>
      </x:c>
      <x:c r="J225" s="75" t="n">
        <x:v>0.9786150220268799</x:v>
      </x:c>
      <x:c r="K225" s="75" t="n">
        <x:v>0.820994369385443</x:v>
      </x:c>
      <x:c r="L225" s="75" t="n">
        <x:v>0.927076770473007</x:v>
      </x:c>
      <x:c r="M225" s="75" t="n">
        <x:v>1.0691825764135987</x:v>
      </x:c>
      <x:c r="N225" s="75" t="n">
        <x:v>0.9508194483466814</x:v>
      </x:c>
      <x:c r="O225" s="66" t="n">
        <x:v>570724.4398395861</x:v>
      </x:c>
      <x:c r="P225" s="66" t="n">
        <x:v>71593.29824006814</x:v>
      </x:c>
      <x:c r="Q225" s="66" t="n">
        <x:v>499131.14159951796</x:v>
      </x:c>
      <x:c r="R225" s="66" t="n">
        <x:v>89048.57470179434</x:v>
      </x:c>
      <x:c r="S225" s="66" t="n">
        <x:v>410082.5668977236</x:v>
      </x:c>
      <x:c r="T225" s="66" t="n">
        <x:v>289987.1417382319</x:v>
      </x:c>
      <x:c r="U225" s="45" t="n">
        <x:v>0.6335464450758928</x:v>
      </x:c>
      <x:c r="V225" s="45" t="n">
        <x:v>0.6232959556982403</x:v>
      </x:c>
      <x:c r="W225" s="45" t="n">
        <x:v>0.0683134955364416</x:v>
      </x:c>
      <x:c r="X225" s="66" t="n">
        <x:v>65093562.46778544</x:v>
      </x:c>
      <x:c r="Y225" s="66" t="n">
        <x:v>114.05427545048066</x:v>
      </x:c>
      <x:c r="Z225" s="66" t="n">
        <x:v>4963924.252259344</x:v>
      </x:c>
      <x:c r="AA225" s="66" t="n">
        <x:v>355391.6066756968</x:v>
      </x:c>
      <x:c r="AB225" s="66" t="n">
        <x:v>40895.69679957682</x:v>
      </x:c>
      <x:c r="AC225" s="66" t="n">
        <x:v>0</x:v>
      </x:c>
      <x:c r="AD225" s="66" t="n">
        <x:v>3150.1177236897092</x:v>
      </x:c>
      <x:c r="AE225" s="66" t="n">
        <x:v>207836.34140107862</x:v>
      </x:c>
      <x:c r="AF225" s="66" t="n">
        <x:v>289987.1417382317</x:v>
      </x:c>
      <x:c r="AG225" s="66" t="n">
        <x:v>1.7462298274040222e-10</x:v>
      </x:c>
      <x:c r="AH225" s="36" t="n">
        <x:v>0</x:v>
      </x:c>
    </x:row>
    <x:row r="226" ht="21.600000381469727" hidden="0" customHeight="1">
      <x:c r="A226" s="34" t="n">
        <x:v>56</x:v>
      </x:c>
      <x:c r="B226" s="34" t="str">
        <x:v>B1</x:v>
      </x:c>
      <x:c r="C226" s="34" t="str">
        <x:v>slow</x:v>
      </x:c>
      <x:c r="D226" s="74" t="n">
        <x:v>1.186414462368732</x:v>
      </x:c>
      <x:c r="E226" s="74" t="n">
        <x:v>-0.030531481224696833</x:v>
      </x:c>
      <x:c r="F226" s="74" t="n">
        <x:v>0.797767064272525</x:v>
      </x:c>
      <x:c r="G226" s="74" t="n">
        <x:v>0.9263436115412232</x:v>
      </x:c>
      <x:c r="H226" s="74" t="n">
        <x:v>1.0473010249175476</x:v>
      </x:c>
      <x:c r="I226" s="74" t="n">
        <x:v>0.8570012178014871</x:v>
      </x:c>
      <x:c r="J226" s="74" t="n">
        <x:v>0.9786150220268799</x:v>
      </x:c>
      <x:c r="K226" s="74" t="n">
        <x:v>0.820994369385443</x:v>
      </x:c>
      <x:c r="L226" s="74" t="n">
        <x:v>0.927076770473007</x:v>
      </x:c>
      <x:c r="M226" s="74" t="n">
        <x:v>1.0691825764135987</x:v>
      </x:c>
      <x:c r="N226" s="74" t="n">
        <x:v>0.9508194483466814</x:v>
      </x:c>
      <x:c r="O226" s="65" t="n">
        <x:v>570724.4398395861</x:v>
      </x:c>
      <x:c r="P226" s="65" t="n">
        <x:v>242174.95388023072</x:v>
      </x:c>
      <x:c r="Q226" s="65" t="n">
        <x:v>328549.48595935537</x:v>
      </x:c>
      <x:c r="R226" s="65" t="n">
        <x:v>89048.57470179434</x:v>
      </x:c>
      <x:c r="S226" s="65" t="n">
        <x:v>239500.911257561</x:v>
      </x:c>
      <x:c r="T226" s="65" t="n">
        <x:v>197584.67763580897</x:v>
      </x:c>
      <x:c r="U226" s="43" t="n">
        <x:v>0.7705288241022992</x:v>
      </x:c>
      <x:c r="V226" s="43" t="n">
        <x:v>0.7604840914867201</x:v>
      </x:c>
      <x:c r="W226" s="43" t="n">
        <x:v>0.23710778404911018</x:v>
      </x:c>
      <x:c r="X226" s="65" t="n">
        <x:v>43561986.167864054</x:v>
      </x:c>
      <x:c r="Y226" s="65" t="n">
        <x:v>76.32752888610841</x:v>
      </x:c>
      <x:c r="Z226" s="65" t="n">
        <x:v>2053828.7020389612</x:v>
      </x:c>
      <x:c r="AA226" s="65" t="n">
        <x:v>232021.28501336422</x:v>
      </x:c>
      <x:c r="AB226" s="65" t="n">
        <x:v>11693.035417377068</x:v>
      </x:c>
      <x:c r="AC226" s="65" t="n">
        <x:v>1565.4349766256273</x:v>
      </x:c>
      <x:c r="AD226" s="65" t="n">
        <x:v>2563.6360039003384</x:v>
      </x:c>
      <x:c r="AE226" s="65" t="n">
        <x:v>94896.17721436726</x:v>
      </x:c>
      <x:c r="AF226" s="65" t="n">
        <x:v>197584.67763580894</x:v>
      </x:c>
      <x:c r="AG226" s="65" t="n">
        <x:v>2.9103830456733704e-11</x:v>
      </x:c>
      <x:c r="AH226" s="34" t="n">
        <x:v>0</x:v>
      </x:c>
    </x:row>
    <x:row r="227" ht="21.600000381469727" hidden="0" customHeight="1">
      <x:c r="A227" s="36" t="n">
        <x:v>56</x:v>
      </x:c>
      <x:c r="B227" s="36" t="str">
        <x:v>P2</x:v>
      </x:c>
      <x:c r="C227" s="36" t="str">
        <x:v>slow</x:v>
      </x:c>
      <x:c r="D227" s="75" t="n">
        <x:v>1.186414462368732</x:v>
      </x:c>
      <x:c r="E227" s="75" t="n">
        <x:v>-0.030531481224696833</x:v>
      </x:c>
      <x:c r="F227" s="75" t="n">
        <x:v>0.797767064272525</x:v>
      </x:c>
      <x:c r="G227" s="75" t="n">
        <x:v>0.9263436115412232</x:v>
      </x:c>
      <x:c r="H227" s="75" t="n">
        <x:v>1.0473010249175476</x:v>
      </x:c>
      <x:c r="I227" s="75" t="n">
        <x:v>0.8570012178014871</x:v>
      </x:c>
      <x:c r="J227" s="75" t="n">
        <x:v>0.9786150220268799</x:v>
      </x:c>
      <x:c r="K227" s="75" t="n">
        <x:v>0.820994369385443</x:v>
      </x:c>
      <x:c r="L227" s="75" t="n">
        <x:v>0.927076770473007</x:v>
      </x:c>
      <x:c r="M227" s="75" t="n">
        <x:v>1.0691825764135987</x:v>
      </x:c>
      <x:c r="N227" s="75" t="n">
        <x:v>0.9508194483466814</x:v>
      </x:c>
      <x:c r="O227" s="66" t="n">
        <x:v>570724.4398395861</x:v>
      </x:c>
      <x:c r="P227" s="66" t="n">
        <x:v>350835.6231831036</x:v>
      </x:c>
      <x:c r="Q227" s="66" t="n">
        <x:v>219888.81665648244</x:v>
      </x:c>
      <x:c r="R227" s="66" t="n">
        <x:v>89048.57470179434</x:v>
      </x:c>
      <x:c r="S227" s="66" t="n">
        <x:v>130840.2419546881</x:v>
      </x:c>
      <x:c r="T227" s="66" t="n">
        <x:v>121227.20755837657</x:v>
      </x:c>
      <x:c r="U227" s="45" t="n">
        <x:v>0.8271291674037354</x:v>
      </x:c>
      <x:c r="V227" s="45" t="n">
        <x:v>0.8208351488639477</x:v>
      </x:c>
      <x:c r="W227" s="45" t="n">
        <x:v>0.3484126878890984</x:v>
      </x:c>
      <x:c r="X227" s="66" t="n">
        <x:v>27986419.044424735</x:v>
      </x:c>
      <x:c r="Y227" s="66" t="n">
        <x:v>49.036657782328184</x:v>
      </x:c>
      <x:c r="Z227" s="66" t="n">
        <x:v>770017.2379625286</x:v>
      </x:c>
      <x:c r="AA227" s="66" t="n">
        <x:v>157096.24386155244</x:v>
      </x:c>
      <x:c r="AB227" s="66" t="n">
        <x:v>960.3485535232987</x:v>
      </x:c>
      <x:c r="AC227" s="66" t="n">
        <x:v>3661.008814922459</x:v>
      </x:c>
      <x:c r="AD227" s="66" t="n">
        <x:v>2207.822728274661</x:v>
      </x:c>
      <x:c r="AE227" s="66" t="n">
        <x:v>32230.507193127312</x:v>
      </x:c>
      <x:c r="AF227" s="66" t="n">
        <x:v>121227.20755837648</x:v>
      </x:c>
      <x:c r="AG227" s="66" t="n">
        <x:v>8.731149137020111e-11</x:v>
      </x:c>
      <x:c r="AH227" s="36" t="n">
        <x:v>0</x:v>
      </x:c>
    </x:row>
    <x:row r="228" ht="21.600000381469727" hidden="0" customHeight="1">
      <x:c r="A228" s="34" t="n">
        <x:v>56</x:v>
      </x:c>
      <x:c r="B228" s="34" t="str">
        <x:v>H3</x:v>
      </x:c>
      <x:c r="C228" s="34" t="str">
        <x:v>slow</x:v>
      </x:c>
      <x:c r="D228" s="74" t="n">
        <x:v>1.186414462368732</x:v>
      </x:c>
      <x:c r="E228" s="74" t="n">
        <x:v>-0.030531481224696833</x:v>
      </x:c>
      <x:c r="F228" s="74" t="n">
        <x:v>0.797767064272525</x:v>
      </x:c>
      <x:c r="G228" s="74" t="n">
        <x:v>0.9263436115412232</x:v>
      </x:c>
      <x:c r="H228" s="74" t="n">
        <x:v>1.0473010249175476</x:v>
      </x:c>
      <x:c r="I228" s="74" t="n">
        <x:v>0.8570012178014871</x:v>
      </x:c>
      <x:c r="J228" s="74" t="n">
        <x:v>0.9786150220268799</x:v>
      </x:c>
      <x:c r="K228" s="74" t="n">
        <x:v>0.820994369385443</x:v>
      </x:c>
      <x:c r="L228" s="74" t="n">
        <x:v>0.927076770473007</x:v>
      </x:c>
      <x:c r="M228" s="74" t="n">
        <x:v>1.0691825764135987</x:v>
      </x:c>
      <x:c r="N228" s="74" t="n">
        <x:v>0.9508194483466814</x:v>
      </x:c>
      <x:c r="O228" s="65" t="n">
        <x:v>570724.4398395861</x:v>
      </x:c>
      <x:c r="P228" s="65" t="n">
        <x:v>363941.4963886546</x:v>
      </x:c>
      <x:c r="Q228" s="65" t="n">
        <x:v>206782.9434509315</x:v>
      </x:c>
      <x:c r="R228" s="65" t="n">
        <x:v>89048.57470179434</x:v>
      </x:c>
      <x:c r="S228" s="65" t="n">
        <x:v>117734.36874913715</x:v>
      </x:c>
      <x:c r="T228" s="65" t="n">
        <x:v>112022.62886434818</x:v>
      </x:c>
      <x:c r="U228" s="43" t="n">
        <x:v>0.8339648559413055</x:v>
      </x:c>
      <x:c r="V228" s="43" t="n">
        <x:v>0.8282616217188372</x:v>
      </x:c>
      <x:c r="W228" s="43" t="n">
        <x:v>0.3624203362442098</x:v>
      </x:c>
      <x:c r="X228" s="65" t="n">
        <x:v>24698004.652631693</x:v>
      </x:c>
      <x:c r="Y228" s="65" t="n">
        <x:v>43.27483270135335</x:v>
      </x:c>
      <x:c r="Z228" s="65" t="n">
        <x:v>802357.1761913333</x:v>
      </x:c>
      <x:c r="AA228" s="65" t="n">
        <x:v>135505.89026799754</x:v>
      </x:c>
      <x:c r="AB228" s="65" t="n">
        <x:v>3397.275082281715</x:v>
      </x:c>
      <x:c r="AC228" s="65" t="n">
        <x:v>180.8463567182954</x:v>
      </x:c>
      <x:c r="AD228" s="65" t="n">
        <x:v>2167.645991109898</x:v>
      </x:c>
      <x:c r="AE228" s="65" t="n">
        <x:v>8.731149137020111e-11</x:v>
      </x:c>
      <x:c r="AF228" s="65" t="n">
        <x:v>112022.6288643481</x:v>
      </x:c>
      <x:c r="AG228" s="65" t="n">
        <x:v>8.731149137020111e-11</x:v>
      </x:c>
      <x:c r="AH228" s="34" t="n">
        <x:v>0</x:v>
      </x:c>
    </x:row>
    <x:row r="229" ht="15" hidden="0" customHeight="1">
      <x:c r="A229" s="36" t="n">
        <x:v>57</x:v>
      </x:c>
      <x:c r="B229" s="36" t="str">
        <x:v>M0</x:v>
      </x:c>
      <x:c r="C229" s="36" t="str">
        <x:v>fast</x:v>
      </x:c>
      <x:c r="D229" s="75" t="n">
        <x:v>1.1085724964001804</x:v>
      </x:c>
      <x:c r="E229" s="75" t="n">
        <x:v>0.0803471240922832</x:v>
      </x:c>
      <x:c r="F229" s="75" t="n">
        <x:v>1.0147338737666258</x:v>
      </x:c>
      <x:c r="G229" s="75" t="n">
        <x:v>1.3073323835688075</x:v>
      </x:c>
      <x:c r="H229" s="75" t="n">
        <x:v>1.0656308350937291</x:v>
      </x:c>
      <x:c r="I229" s="75" t="n">
        <x:v>1.0303939337668564</x:v>
      </x:c>
      <x:c r="J229" s="75" t="n">
        <x:v>1.0325495715746869</x:v>
      </x:c>
      <x:c r="K229" s="75" t="n">
        <x:v>0.9865640795389089</x:v>
      </x:c>
      <x:c r="L229" s="75" t="n">
        <x:v>1.000389528601835</x:v>
      </x:c>
      <x:c r="M229" s="75" t="n">
        <x:v>0.907573186509518</x:v>
      </x:c>
      <x:c r="N229" s="75" t="n">
        <x:v>0.8518205897096827</x:v>
      </x:c>
      <x:c r="O229" s="66" t="n">
        <x:v>533278.5776788075</x:v>
      </x:c>
      <x:c r="P229" s="66" t="n">
        <x:v>73908.71295991229</x:v>
      </x:c>
      <x:c r="Q229" s="66" t="n">
        <x:v>459369.8647188952</x:v>
      </x:c>
      <x:c r="R229" s="66" t="n">
        <x:v>142335.18409742194</x:v>
      </x:c>
      <x:c r="S229" s="66" t="n">
        <x:v>317034.68062147324</x:v>
      </x:c>
      <x:c r="T229" s="66" t="n">
        <x:v>315759.791684802</x:v>
      </x:c>
      <x:c r="U229" s="45" t="n">
        <x:v>0.7307034652335325</x:v>
      </x:c>
      <x:c r="V229" s="45" t="n">
        <x:v>0.7503948312118665</x:v>
      </x:c>
      <x:c r="W229" s="45" t="n">
        <x:v>0.14617550833631884</x:v>
      </x:c>
      <x:c r="X229" s="66" t="n">
        <x:v>58193696.14396426</x:v>
      </x:c>
      <x:c r="Y229" s="66" t="n">
        <x:v>109.12438372691241</x:v>
      </x:c>
      <x:c r="Z229" s="66" t="n">
        <x:v>5510577.865332863</x:v>
      </x:c>
      <x:c r="AA229" s="66" t="n">
        <x:v>318184.2196922903</x:v>
      </x:c>
      <x:c r="AB229" s="66" t="n">
        <x:v>41799.300753574375</x:v>
      </x:c>
      <x:c r="AC229" s="66" t="n">
        <x:v>385.8314238765326</x:v>
      </x:c>
      <x:c r="AD229" s="66" t="n">
        <x:v>2268.799055154148</x:v>
      </x:c>
      <x:c r="AE229" s="66" t="n">
        <x:v>266694.92571752425</x:v>
      </x:c>
      <x:c r="AF229" s="66" t="n">
        <x:v>315759.7916848017</x:v>
      </x:c>
      <x:c r="AG229" s="66" t="n">
        <x:v>2.9103830456733704e-10</x:v>
      </x:c>
      <x:c r="AH229" s="36" t="n">
        <x:v>0</x:v>
      </x:c>
    </x:row>
    <x:row r="230" ht="15" hidden="0" customHeight="1">
      <x:c r="A230" s="34" t="n">
        <x:v>57</x:v>
      </x:c>
      <x:c r="B230" s="34" t="str">
        <x:v>B1</x:v>
      </x:c>
      <x:c r="C230" s="34" t="str">
        <x:v>fast</x:v>
      </x:c>
      <x:c r="D230" s="74" t="n">
        <x:v>1.1085724964001804</x:v>
      </x:c>
      <x:c r="E230" s="74" t="n">
        <x:v>0.0803471240922832</x:v>
      </x:c>
      <x:c r="F230" s="74" t="n">
        <x:v>1.0147338737666258</x:v>
      </x:c>
      <x:c r="G230" s="74" t="n">
        <x:v>1.3073323835688075</x:v>
      </x:c>
      <x:c r="H230" s="74" t="n">
        <x:v>1.0656308350937291</x:v>
      </x:c>
      <x:c r="I230" s="74" t="n">
        <x:v>1.0303939337668564</x:v>
      </x:c>
      <x:c r="J230" s="74" t="n">
        <x:v>1.0325495715746869</x:v>
      </x:c>
      <x:c r="K230" s="74" t="n">
        <x:v>0.9865640795389089</x:v>
      </x:c>
      <x:c r="L230" s="74" t="n">
        <x:v>1.000389528601835</x:v>
      </x:c>
      <x:c r="M230" s="74" t="n">
        <x:v>0.907573186509518</x:v>
      </x:c>
      <x:c r="N230" s="74" t="n">
        <x:v>0.8518205897096827</x:v>
      </x:c>
      <x:c r="O230" s="65" t="n">
        <x:v>533278.5776788075</x:v>
      </x:c>
      <x:c r="P230" s="65" t="n">
        <x:v>250011.0730115408</x:v>
      </x:c>
      <x:c r="Q230" s="65" t="n">
        <x:v>283267.50466726674</x:v>
      </x:c>
      <x:c r="R230" s="65" t="n">
        <x:v>142335.18409742194</x:v>
      </x:c>
      <x:c r="S230" s="65" t="n">
        <x:v>140932.32056984474</x:v>
      </x:c>
      <x:c r="T230" s="65" t="n">
        <x:v>236382.42475646126</x:v>
      </x:c>
      <x:c r="U230" s="43" t="n">
        <x:v>0.9120814488463395</x:v>
      </x:c>
      <x:c r="V230" s="43" t="n">
        <x:v>0.9332751010115394</x:v>
      </x:c>
      <x:c r="W230" s="43" t="n">
        <x:v>0.5874132519282936</x:v>
      </x:c>
      <x:c r="X230" s="65" t="n">
        <x:v>35268821.07534273</x:v>
      </x:c>
      <x:c r="Y230" s="65" t="n">
        <x:v>66.13582947369969</x:v>
      </x:c>
      <x:c r="Z230" s="65" t="n">
        <x:v>2210750.0311970194</x:v>
      </x:c>
      <x:c r="AA230" s="65" t="n">
        <x:v>189185.7386479146</x:v>
      </x:c>
      <x:c r="AB230" s="65" t="n">
        <x:v>9060.912519559715</x:v>
      </x:c>
      <x:c r="AC230" s="65" t="n">
        <x:v>3211.6865697927983</x:v>
      </x:c>
      <x:c r="AD230" s="65" t="n">
        <x:v>1855.691260388714</x:v>
      </x:c>
      <x:c r="AE230" s="65" t="n">
        <x:v>162785.12580554467</x:v>
      </x:c>
      <x:c r="AF230" s="65" t="n">
        <x:v>236382.42475646138</x:v>
      </x:c>
      <x:c r="AG230" s="65" t="n">
        <x:v>0</x:v>
      </x:c>
      <x:c r="AH230" s="34" t="n">
        <x:v>0</x:v>
      </x:c>
    </x:row>
    <x:row r="231" ht="15" hidden="0" customHeight="1">
      <x:c r="A231" s="36" t="n">
        <x:v>57</x:v>
      </x:c>
      <x:c r="B231" s="36" t="str">
        <x:v>P2</x:v>
      </x:c>
      <x:c r="C231" s="36" t="str">
        <x:v>fast</x:v>
      </x:c>
      <x:c r="D231" s="75" t="n">
        <x:v>1.1085724964001804</x:v>
      </x:c>
      <x:c r="E231" s="75" t="n">
        <x:v>0.0803471240922832</x:v>
      </x:c>
      <x:c r="F231" s="75" t="n">
        <x:v>1.0147338737666258</x:v>
      </x:c>
      <x:c r="G231" s="75" t="n">
        <x:v>1.3073323835688075</x:v>
      </x:c>
      <x:c r="H231" s="75" t="n">
        <x:v>1.0656308350937291</x:v>
      </x:c>
      <x:c r="I231" s="75" t="n">
        <x:v>1.0303939337668564</x:v>
      </x:c>
      <x:c r="J231" s="75" t="n">
        <x:v>1.0325495715746869</x:v>
      </x:c>
      <x:c r="K231" s="75" t="n">
        <x:v>0.9865640795389089</x:v>
      </x:c>
      <x:c r="L231" s="75" t="n">
        <x:v>1.000389528601835</x:v>
      </x:c>
      <x:c r="M231" s="75" t="n">
        <x:v>0.907573186509518</x:v>
      </x:c>
      <x:c r="N231" s="75" t="n">
        <x:v>0.8518205897096827</x:v>
      </x:c>
      <x:c r="O231" s="66" t="n">
        <x:v>533278.5776788075</x:v>
      </x:c>
      <x:c r="P231" s="66" t="n">
        <x:v>362190.87449677754</x:v>
      </x:c>
      <x:c r="Q231" s="66" t="n">
        <x:v>171087.70318202995</x:v>
      </x:c>
      <x:c r="R231" s="66" t="n">
        <x:v>142335.18409742194</x:v>
      </x:c>
      <x:c r="S231" s="66" t="n">
        <x:v>28752.519084607975</x:v>
      </x:c>
      <x:c r="T231" s="66" t="n">
        <x:v>147966.63231739576</x:v>
      </x:c>
      <x:c r="U231" s="45" t="n">
        <x:v>0.9566435408576266</x:v>
      </x:c>
      <x:c r="V231" s="45" t="n">
        <x:v>0.9683379034973862</x:v>
      </x:c>
      <x:c r="W231" s="45" t="n">
        <x:v>0.8283297538155326</x:v>
      </x:c>
      <x:c r="X231" s="66" t="n">
        <x:v>19557899.631649945</x:v>
      </x:c>
      <x:c r="Y231" s="66" t="n">
        <x:v>36.67482709839813</x:v>
      </x:c>
      <x:c r="Z231" s="66" t="n">
        <x:v>1064025.6391595555</x:v>
      </x:c>
      <x:c r="AA231" s="66" t="n">
        <x:v>113630.96284541264</x:v>
      </x:c>
      <x:c r="AB231" s="66" t="n">
        <x:v>0</x:v>
      </x:c>
      <x:c r="AC231" s="66" t="n">
        <x:v>16661.612272809718</x:v>
      </x:c>
      <x:c r="AD231" s="66" t="n">
        <x:v>1606.078596783767</x:v>
      </x:c>
      <x:c r="AE231" s="66" t="n">
        <x:v>81524.62632004055</x:v>
      </x:c>
      <x:c r="AF231" s="66" t="n">
        <x:v>147966.6323173958</x:v>
      </x:c>
      <x:c r="AG231" s="66" t="n">
        <x:v>0</x:v>
      </x:c>
      <x:c r="AH231" s="36" t="n">
        <x:v>1</x:v>
      </x:c>
    </x:row>
    <x:row r="232" ht="15" hidden="0" customHeight="1">
      <x:c r="A232" s="34" t="n">
        <x:v>57</x:v>
      </x:c>
      <x:c r="B232" s="34" t="str">
        <x:v>H3</x:v>
      </x:c>
      <x:c r="C232" s="34" t="str">
        <x:v>fast</x:v>
      </x:c>
      <x:c r="D232" s="74" t="n">
        <x:v>1.1085724964001804</x:v>
      </x:c>
      <x:c r="E232" s="74" t="n">
        <x:v>0.0803471240922832</x:v>
      </x:c>
      <x:c r="F232" s="74" t="n">
        <x:v>1.0147338737666258</x:v>
      </x:c>
      <x:c r="G232" s="74" t="n">
        <x:v>1.3073323835688075</x:v>
      </x:c>
      <x:c r="H232" s="74" t="n">
        <x:v>1.0656308350937291</x:v>
      </x:c>
      <x:c r="I232" s="74" t="n">
        <x:v>1.0303939337668564</x:v>
      </x:c>
      <x:c r="J232" s="74" t="n">
        <x:v>1.0325495715746869</x:v>
      </x:c>
      <x:c r="K232" s="74" t="n">
        <x:v>0.9865640795389089</x:v>
      </x:c>
      <x:c r="L232" s="74" t="n">
        <x:v>1.000389528601835</x:v>
      </x:c>
      <x:c r="M232" s="74" t="n">
        <x:v>0.907573186509518</x:v>
      </x:c>
      <x:c r="N232" s="74" t="n">
        <x:v>0.8518205897096827</x:v>
      </x:c>
      <x:c r="O232" s="65" t="n">
        <x:v>533278.5776788075</x:v>
      </x:c>
      <x:c r="P232" s="65" t="n">
        <x:v>375721.57598611177</x:v>
      </x:c>
      <x:c r="Q232" s="65" t="n">
        <x:v>157557.00169269575</x:v>
      </x:c>
      <x:c r="R232" s="65" t="n">
        <x:v>142335.18409742194</x:v>
      </x:c>
      <x:c r="S232" s="65" t="n">
        <x:v>15221.817595273793</x:v>
      </x:c>
      <x:c r="T232" s="65" t="n">
        <x:v>155978.94377241598</x:v>
      </x:c>
      <x:c r="U232" s="43" t="n">
        <x:v>0.9970408375915857</x:v>
      </x:c>
      <x:c r="V232" s="43" t="n">
        <x:v>0.9981361971384703</x:v>
      </x:c>
      <x:c r="W232" s="43" t="n">
        <x:v>0.9704083759158573</x:v>
      </x:c>
      <x:c r="X232" s="65" t="n">
        <x:v>13641959.336445775</x:v>
      </x:c>
      <x:c r="Y232" s="65" t="n">
        <x:v>25.581300107393954</x:v>
      </x:c>
      <x:c r="Z232" s="65" t="n">
        <x:v>1234801.7170046077</x:v>
      </x:c>
      <x:c r="AA232" s="65" t="n">
        <x:v>96515.90969670561</x:v>
      </x:c>
      <x:c r="AB232" s="65" t="n">
        <x:v>6892.7583702388365</x:v>
      </x:c>
      <x:c r="AC232" s="65" t="n">
        <x:v>1274.1285646006604</x:v>
      </x:c>
      <x:c r="AD232" s="65" t="n">
        <x:v>1578.0579202797562</x:v>
      </x:c>
      <x:c r="AE232" s="65" t="n">
        <x:v>72066.62688786715</x:v>
      </x:c>
      <x:c r="AF232" s="65" t="n">
        <x:v>155978.94377241604</x:v>
      </x:c>
      <x:c r="AG232" s="65" t="n">
        <x:v>0</x:v>
      </x:c>
      <x:c r="AH232" s="34" t="n">
        <x:v>1</x:v>
      </x:c>
    </x:row>
    <x:row r="233" ht="15" hidden="0" customHeight="1">
      <x:c r="A233" s="36" t="n">
        <x:v>58</x:v>
      </x:c>
      <x:c r="B233" s="36" t="str">
        <x:v>M0</x:v>
      </x:c>
      <x:c r="C233" s="36" t="str">
        <x:v>reference</x:v>
      </x:c>
      <x:c r="D233" s="75" t="n">
        <x:v>0.9903169927483307</x:v>
      </x:c>
      <x:c r="E233" s="75" t="n">
        <x:v>0.07549423247529669</x:v>
      </x:c>
      <x:c r="F233" s="75" t="n">
        <x:v>0.7799626783008973</x:v>
      </x:c>
      <x:c r="G233" s="75" t="n">
        <x:v>1.151241044426436</x:v>
      </x:c>
      <x:c r="H233" s="75" t="n">
        <x:v>1.0571281071765215</x:v>
      </x:c>
      <x:c r="I233" s="75" t="n">
        <x:v>0.8830509783143278</x:v>
      </x:c>
      <x:c r="J233" s="75" t="n">
        <x:v>0.894151782084032</x:v>
      </x:c>
      <x:c r="K233" s="75" t="n">
        <x:v>0.9798914328128987</x:v>
      </x:c>
      <x:c r="L233" s="75" t="n">
        <x:v>0.8053562956565898</x:v>
      </x:c>
      <x:c r="M233" s="75" t="n">
        <x:v>0.8595586532791456</x:v>
      </x:c>
      <x:c r="N233" s="75" t="n">
        <x:v>0.9932913115099393</x:v>
      </x:c>
      <x:c r="O233" s="66" t="n">
        <x:v>476391.79129818594</x:v>
      </x:c>
      <x:c r="P233" s="66" t="n">
        <x:v>51085.008111847565</x:v>
      </x:c>
      <x:c r="Q233" s="66" t="n">
        <x:v>425306.7831863384</x:v>
      </x:c>
      <x:c r="R233" s="66" t="n">
        <x:v>124839.88901049522</x:v>
      </x:c>
      <x:c r="S233" s="66" t="n">
        <x:v>300466.8941758431</x:v>
      </x:c>
      <x:c r="T233" s="66" t="n">
        <x:v>256322.85127651237</x:v>
      </x:c>
      <x:c r="U233" s="45" t="n">
        <x:v>0.6452837034631972</x:v>
      </x:c>
      <x:c r="V233" s="45" t="n">
        <x:v>0.6767553321081103</x:v>
      </x:c>
      <x:c r="W233" s="45" t="n">
        <x:v>0.10963499962339893</x:v>
      </x:c>
      <x:c r="X233" s="66" t="n">
        <x:v>55294750.415066674</x:v>
      </x:c>
      <x:c r="Y233" s="66" t="n">
        <x:v>116.06990595783851</x:v>
      </x:c>
      <x:c r="Z233" s="66" t="n">
        <x:v>4710966.672921474</x:v>
      </x:c>
      <x:c r="AA233" s="66" t="n">
        <x:v>305053.86008089</x:v>
      </x:c>
      <x:c r="AB233" s="66" t="n">
        <x:v>39499.816282024585</x:v>
      </x:c>
      <x:c r="AC233" s="66" t="n">
        <x:v>609.6469246131808</x:v>
      </x:c>
      <x:c r="AD233" s="66" t="n">
        <x:v>2062.839323078739</x:v>
      </x:c>
      <x:c r="AE233" s="66" t="n">
        <x:v>199109.2717335399</x:v>
      </x:c>
      <x:c r="AF233" s="66" t="n">
        <x:v>256322.85127651226</x:v>
      </x:c>
      <x:c r="AG233" s="66" t="n">
        <x:v>1.1641532182693481e-10</x:v>
      </x:c>
      <x:c r="AH233" s="36" t="n">
        <x:v>0</x:v>
      </x:c>
    </x:row>
    <x:row r="234" ht="15" hidden="0" customHeight="1">
      <x:c r="A234" s="34" t="n">
        <x:v>58</x:v>
      </x:c>
      <x:c r="B234" s="34" t="str">
        <x:v>B1</x:v>
      </x:c>
      <x:c r="C234" s="34" t="str">
        <x:v>reference</x:v>
      </x:c>
      <x:c r="D234" s="74" t="n">
        <x:v>0.9903169927483307</x:v>
      </x:c>
      <x:c r="E234" s="74" t="n">
        <x:v>0.07549423247529669</x:v>
      </x:c>
      <x:c r="F234" s="74" t="n">
        <x:v>0.7799626783008973</x:v>
      </x:c>
      <x:c r="G234" s="74" t="n">
        <x:v>1.151241044426436</x:v>
      </x:c>
      <x:c r="H234" s="74" t="n">
        <x:v>1.0571281071765215</x:v>
      </x:c>
      <x:c r="I234" s="74" t="n">
        <x:v>0.8830509783143278</x:v>
      </x:c>
      <x:c r="J234" s="74" t="n">
        <x:v>0.894151782084032</x:v>
      </x:c>
      <x:c r="K234" s="74" t="n">
        <x:v>0.9798914328128987</x:v>
      </x:c>
      <x:c r="L234" s="74" t="n">
        <x:v>0.8053562956565898</x:v>
      </x:c>
      <x:c r="M234" s="74" t="n">
        <x:v>0.8595586532791456</x:v>
      </x:c>
      <x:c r="N234" s="74" t="n">
        <x:v>0.9932913115099393</x:v>
      </x:c>
      <x:c r="O234" s="65" t="n">
        <x:v>476391.79129818594</x:v>
      </x:c>
      <x:c r="P234" s="65" t="n">
        <x:v>172805.17067575408</x:v>
      </x:c>
      <x:c r="Q234" s="65" t="n">
        <x:v>303586.62062243186</x:v>
      </x:c>
      <x:c r="R234" s="65" t="n">
        <x:v>124839.88901049522</x:v>
      </x:c>
      <x:c r="S234" s="65" t="n">
        <x:v>178746.73161193662</x:v>
      </x:c>
      <x:c r="T234" s="65" t="n">
        <x:v>198095.15418872764</x:v>
      </x:c>
      <x:c r="U234" s="43" t="n">
        <x:v>0.7785615361964237</x:v>
      </x:c>
      <x:c r="V234" s="43" t="n">
        <x:v>0.8057903343244932</x:v>
      </x:c>
      <x:c r="W234" s="43" t="n">
        <x:v>0.4023578307441358</x:v>
      </x:c>
      <x:c r="X234" s="65" t="n">
        <x:v>39672711.60483442</x:v>
      </x:c>
      <x:c r="Y234" s="65" t="n">
        <x:v>83.27748783564209</x:v>
      </x:c>
      <x:c r="Z234" s="65" t="n">
        <x:v>1893750.0972363064</x:v>
      </x:c>
      <x:c r="AA234" s="65" t="n">
        <x:v>220961.84324598504</x:v>
      </x:c>
      <x:c r="AB234" s="65" t="n">
        <x:v>9697.086867223403</x:v>
      </x:c>
      <x:c r="AC234" s="65" t="n">
        <x:v>806.9513128323757</x:v>
      </x:c>
      <x:c r="AD234" s="65" t="n">
        <x:v>1775.4572946262856</x:v>
      </x:c>
      <x:c r="AE234" s="65" t="n">
        <x:v>134177.167981497</x:v>
      </x:c>
      <x:c r="AF234" s="65" t="n">
        <x:v>198095.15418872755</x:v>
      </x:c>
      <x:c r="AG234" s="65" t="n">
        <x:v>8.731149137020111e-11</x:v>
      </x:c>
      <x:c r="AH234" s="34" t="n">
        <x:v>0</x:v>
      </x:c>
    </x:row>
    <x:row r="235" ht="15" hidden="0" customHeight="1">
      <x:c r="A235" s="36" t="n">
        <x:v>58</x:v>
      </x:c>
      <x:c r="B235" s="36" t="str">
        <x:v>P2</x:v>
      </x:c>
      <x:c r="C235" s="36" t="str">
        <x:v>reference</x:v>
      </x:c>
      <x:c r="D235" s="75" t="n">
        <x:v>0.9903169927483307</x:v>
      </x:c>
      <x:c r="E235" s="75" t="n">
        <x:v>0.07549423247529669</x:v>
      </x:c>
      <x:c r="F235" s="75" t="n">
        <x:v>0.7799626783008973</x:v>
      </x:c>
      <x:c r="G235" s="75" t="n">
        <x:v>1.151241044426436</x:v>
      </x:c>
      <x:c r="H235" s="75" t="n">
        <x:v>1.0571281071765215</x:v>
      </x:c>
      <x:c r="I235" s="75" t="n">
        <x:v>0.8830509783143278</x:v>
      </x:c>
      <x:c r="J235" s="75" t="n">
        <x:v>0.894151782084032</x:v>
      </x:c>
      <x:c r="K235" s="75" t="n">
        <x:v>0.9798914328128987</x:v>
      </x:c>
      <x:c r="L235" s="75" t="n">
        <x:v>0.8053562956565898</x:v>
      </x:c>
      <x:c r="M235" s="75" t="n">
        <x:v>0.8595586532791456</x:v>
      </x:c>
      <x:c r="N235" s="75" t="n">
        <x:v>0.9932913115099393</x:v>
      </x:c>
      <x:c r="O235" s="66" t="n">
        <x:v>476391.79129818594</x:v>
      </x:c>
      <x:c r="P235" s="66" t="n">
        <x:v>250342.62566470075</x:v>
      </x:c>
      <x:c r="Q235" s="66" t="n">
        <x:v>226049.1656334852</x:v>
      </x:c>
      <x:c r="R235" s="66" t="n">
        <x:v>124839.88901049522</x:v>
      </x:c>
      <x:c r="S235" s="66" t="n">
        <x:v>101209.27662298997</x:v>
      </x:c>
      <x:c r="T235" s="66" t="n">
        <x:v>146566.47278641345</x:v>
      </x:c>
      <x:c r="U235" s="45" t="n">
        <x:v>0.833156879906603</x:v>
      </x:c>
      <x:c r="V235" s="45" t="n">
        <x:v>0.857280795708711</x:v>
      </x:c>
      <x:c r="W235" s="45" t="n">
        <x:v>0.553261006563014</x:v>
      </x:c>
      <x:c r="X235" s="66" t="n">
        <x:v>28572952.264650796</x:v>
      </x:c>
      <x:c r="Y235" s="66" t="n">
        <x:v>59.97784341914961</x:v>
      </x:c>
      <x:c r="Z235" s="66" t="n">
        <x:v>920957.4205902468</x:v>
      </x:c>
      <x:c r="AA235" s="66" t="n">
        <x:v>167651.01203650955</x:v>
      </x:c>
      <x:c r="AB235" s="66" t="n">
        <x:v>250.2004154937987</x:v>
      </x:c>
      <x:c r="AC235" s="66" t="n">
        <x:v>6025.568803447555</x:v>
      </x:c>
      <x:c r="AD235" s="66" t="n">
        <x:v>1601.8120753804446</x:v>
      </x:c>
      <x:c r="AE235" s="66" t="n">
        <x:v>73222.23806380526</x:v>
      </x:c>
      <x:c r="AF235" s="66" t="n">
        <x:v>146566.4727864134</x:v>
      </x:c>
      <x:c r="AG235" s="66" t="n">
        <x:v>5.820766091346741e-11</x:v>
      </x:c>
      <x:c r="AH235" s="36" t="n">
        <x:v>0</x:v>
      </x:c>
    </x:row>
    <x:row r="236" ht="15" hidden="0" customHeight="1">
      <x:c r="A236" s="34" t="n">
        <x:v>58</x:v>
      </x:c>
      <x:c r="B236" s="34" t="str">
        <x:v>H3</x:v>
      </x:c>
      <x:c r="C236" s="34" t="str">
        <x:v>reference</x:v>
      </x:c>
      <x:c r="D236" s="74" t="n">
        <x:v>0.9903169927483307</x:v>
      </x:c>
      <x:c r="E236" s="74" t="n">
        <x:v>0.07549423247529669</x:v>
      </x:c>
      <x:c r="F236" s="74" t="n">
        <x:v>0.7799626783008973</x:v>
      </x:c>
      <x:c r="G236" s="74" t="n">
        <x:v>1.151241044426436</x:v>
      </x:c>
      <x:c r="H236" s="74" t="n">
        <x:v>1.0571281071765215</x:v>
      </x:c>
      <x:c r="I236" s="74" t="n">
        <x:v>0.8830509783143278</x:v>
      </x:c>
      <x:c r="J236" s="74" t="n">
        <x:v>0.894151782084032</x:v>
      </x:c>
      <x:c r="K236" s="74" t="n">
        <x:v>0.9798914328128987</x:v>
      </x:c>
      <x:c r="L236" s="74" t="n">
        <x:v>0.8053562956565898</x:v>
      </x:c>
      <x:c r="M236" s="74" t="n">
        <x:v>0.8595586532791456</x:v>
      </x:c>
      <x:c r="N236" s="74" t="n">
        <x:v>0.9932913115099393</x:v>
      </x:c>
      <x:c r="O236" s="65" t="n">
        <x:v>476391.79129818594</x:v>
      </x:c>
      <x:c r="P236" s="65" t="n">
        <x:v>259694.88592545388</x:v>
      </x:c>
      <x:c r="Q236" s="65" t="n">
        <x:v>216696.9053727321</x:v>
      </x:c>
      <x:c r="R236" s="65" t="n">
        <x:v>124839.88901049522</x:v>
      </x:c>
      <x:c r="S236" s="65" t="n">
        <x:v>91857.01636223684</x:v>
      </x:c>
      <x:c r="T236" s="65" t="n">
        <x:v>213203.0960145246</x:v>
      </x:c>
      <x:c r="U236" s="43" t="n">
        <x:v>0.9926661008396331</x:v>
      </x:c>
      <x:c r="V236" s="43" t="n">
        <x:v>0.996186483582378</x:v>
      </x:c>
      <x:c r="W236" s="43" t="n">
        <x:v>0.926661008396331</x:v>
      </x:c>
      <x:c r="X236" s="65" t="n">
        <x:v>21433310.2260824</x:v>
      </x:c>
      <x:c r="Y236" s="65" t="n">
        <x:v>44.99093103110741</x:v>
      </x:c>
      <x:c r="Z236" s="65" t="n">
        <x:v>1970094.9032227919</x:v>
      </x:c>
      <x:c r="AA236" s="65" t="n">
        <x:v>131700.61773467733</x:v>
      </x:c>
      <x:c r="AB236" s="65" t="n">
        <x:v>8991.100996734507</x:v>
      </x:c>
      <x:c r="AC236" s="65" t="n">
        <x:v>3449.060291448115</x:v>
      </x:c>
      <x:c r="AD236" s="65" t="n">
        <x:v>1582.3192481949764</x:v>
      </x:c>
      <x:c r="AE236" s="65" t="n">
        <x:v>84472.54204283631</x:v>
      </x:c>
      <x:c r="AF236" s="65" t="n">
        <x:v>213203.09601452475</x:v>
      </x:c>
      <x:c r="AG236" s="65" t="n">
        <x:v>0</x:v>
      </x:c>
      <x:c r="AH236" s="34" t="n">
        <x:v>1</x:v>
      </x:c>
    </x:row>
    <x:row r="237" ht="15" hidden="0" customHeight="1">
      <x:c r="A237" s="36" t="n">
        <x:v>59</x:v>
      </x:c>
      <x:c r="B237" s="36" t="str">
        <x:v>M0</x:v>
      </x:c>
      <x:c r="C237" s="36" t="str">
        <x:v>reference</x:v>
      </x:c>
      <x:c r="D237" s="75" t="n">
        <x:v>0.9152740040039015</x:v>
      </x:c>
      <x:c r="E237" s="75" t="n">
        <x:v>0.015590978599018167</x:v>
      </x:c>
      <x:c r="F237" s="75" t="n">
        <x:v>0.9198256254892022</x:v>
      </x:c>
      <x:c r="G237" s="75" t="n">
        <x:v>1.1363029615878317</x:v>
      </x:c>
      <x:c r="H237" s="75" t="n">
        <x:v>0.7612228128508008</x:v>
      </x:c>
      <x:c r="I237" s="75" t="n">
        <x:v>0.9349740563112754</x:v>
      </x:c>
      <x:c r="J237" s="75" t="n">
        <x:v>0.8018292592556739</x:v>
      </x:c>
      <x:c r="K237" s="75" t="n">
        <x:v>0.7626986495451858</x:v>
      </x:c>
      <x:c r="L237" s="75" t="n">
        <x:v>0.9152607846875772</x:v>
      </x:c>
      <x:c r="M237" s="75" t="n">
        <x:v>0.8556497457331274</x:v>
      </x:c>
      <x:c r="N237" s="75" t="n">
        <x:v>0.7980200775338533</x:v>
      </x:c>
      <x:c r="O237" s="66" t="n">
        <x:v>440292.376571276</x:v>
      </x:c>
      <x:c r="P237" s="66" t="n">
        <x:v>60201.17226596046</x:v>
      </x:c>
      <x:c r="Q237" s="66" t="n">
        <x:v>380091.2043053155</x:v>
      </x:c>
      <x:c r="R237" s="66" t="n">
        <x:v>89004.98375716626</x:v>
      </x:c>
      <x:c r="S237" s="66" t="n">
        <x:v>291086.2205481493</x:v>
      </x:c>
      <x:c r="T237" s="66" t="n">
        <x:v>259001.96999318677</x:v>
      </x:c>
      <x:c r="U237" s="45" t="n">
        <x:v>0.724979943429644</x:v>
      </x:c>
      <x:c r="V237" s="45" t="n">
        <x:v>0.758759198371265</x:v>
      </x:c>
      <x:c r="W237" s="45" t="n">
        <x:v>0.14925376308928512</x:v>
      </x:c>
      <x:c r="X237" s="66" t="n">
        <x:v>48179579.82262344</x:v>
      </x:c>
      <x:c r="Y237" s="66" t="n">
        <x:v>109.42633210644284</x:v>
      </x:c>
      <x:c r="Z237" s="66" t="n">
        <x:v>3493702.8287360943</x:v>
      </x:c>
      <x:c r="AA237" s="66" t="n">
        <x:v>266412.38602452097</x:v>
      </x:c>
      <x:c r="AB237" s="66" t="n">
        <x:v>21474.314063626014</x:v>
      </x:c>
      <x:c r="AC237" s="66" t="n">
        <x:v>483.21899796512605</x:v>
      </x:c>
      <x:c r="AD237" s="66" t="n">
        <x:v>1863.364670847593</x:v>
      </x:c>
      <x:c r="AE237" s="66" t="n">
        <x:v>213036.01352723682</x:v>
      </x:c>
      <x:c r="AF237" s="66" t="n">
        <x:v>259001.96999318688</x:v>
      </x:c>
      <x:c r="AG237" s="66" t="n">
        <x:v>0</x:v>
      </x:c>
      <x:c r="AH237" s="36" t="n">
        <x:v>0</x:v>
      </x:c>
    </x:row>
    <x:row r="238" ht="15" hidden="0" customHeight="1">
      <x:c r="A238" s="34" t="n">
        <x:v>59</x:v>
      </x:c>
      <x:c r="B238" s="34" t="str">
        <x:v>B1</x:v>
      </x:c>
      <x:c r="C238" s="34" t="str">
        <x:v>reference</x:v>
      </x:c>
      <x:c r="D238" s="74" t="n">
        <x:v>0.9152740040039015</x:v>
      </x:c>
      <x:c r="E238" s="74" t="n">
        <x:v>0.015590978599018167</x:v>
      </x:c>
      <x:c r="F238" s="74" t="n">
        <x:v>0.9198256254892022</x:v>
      </x:c>
      <x:c r="G238" s="74" t="n">
        <x:v>1.1363029615878317</x:v>
      </x:c>
      <x:c r="H238" s="74" t="n">
        <x:v>0.7612228128508008</x:v>
      </x:c>
      <x:c r="I238" s="74" t="n">
        <x:v>0.9349740563112754</x:v>
      </x:c>
      <x:c r="J238" s="74" t="n">
        <x:v>0.8018292592556739</x:v>
      </x:c>
      <x:c r="K238" s="74" t="n">
        <x:v>0.7626986495451858</x:v>
      </x:c>
      <x:c r="L238" s="74" t="n">
        <x:v>0.9152607846875772</x:v>
      </x:c>
      <x:c r="M238" s="74" t="n">
        <x:v>0.8556497457331274</x:v>
      </x:c>
      <x:c r="N238" s="74" t="n">
        <x:v>0.7980200775338533</x:v>
      </x:c>
      <x:c r="O238" s="65" t="n">
        <x:v>440292.376571276</x:v>
      </x:c>
      <x:c r="P238" s="65" t="n">
        <x:v>203640.60704200465</x:v>
      </x:c>
      <x:c r="Q238" s="65" t="n">
        <x:v>236651.76952927135</x:v>
      </x:c>
      <x:c r="R238" s="65" t="n">
        <x:v>89004.98375716626</x:v>
      </x:c>
      <x:c r="S238" s="65" t="n">
        <x:v>147646.78577210507</x:v>
      </x:c>
      <x:c r="T238" s="65" t="n">
        <x:v>180074.0142652362</x:v>
      </x:c>
      <x:c r="U238" s="43" t="n">
        <x:v>0.8714995801094092</x:v>
      </x:c>
      <x:c r="V238" s="43" t="n">
        <x:v>0.8948560823843056</x:v>
      </x:c>
      <x:c r="W238" s="43" t="n">
        <x:v>0.5350390215694636</x:v>
      </x:c>
      <x:c r="X238" s="65" t="n">
        <x:v>30216155.03553704</x:v>
      </x:c>
      <x:c r="Y238" s="65" t="n">
        <x:v>68.62747720240291</x:v>
      </x:c>
      <x:c r="Z238" s="65" t="n">
        <x:v>1148834.9186053718</x:v>
      </x:c>
      <x:c r="AA238" s="65" t="n">
        <x:v>164122.0734495265</x:v>
      </x:c>
      <x:c r="AB238" s="65" t="n">
        <x:v>1362.5508011783734</x:v>
      </x:c>
      <x:c r="AC238" s="65" t="n">
        <x:v>0</x:v>
      </x:c>
      <x:c r="AD238" s="65" t="n">
        <x:v>1500.0286044091433</x:v>
      </x:c>
      <x:c r="AE238" s="65" t="n">
        <x:v>111374.02682919145</x:v>
      </x:c>
      <x:c r="AF238" s="65" t="n">
        <x:v>180074.01426523642</x:v>
      </x:c>
      <x:c r="AG238" s="65" t="n">
        <x:v>0</x:v>
      </x:c>
      <x:c r="AH238" s="34" t="n">
        <x:v>0</x:v>
      </x:c>
    </x:row>
    <x:row r="239" ht="15" hidden="0" customHeight="1">
      <x:c r="A239" s="36" t="n">
        <x:v>59</x:v>
      </x:c>
      <x:c r="B239" s="36" t="str">
        <x:v>P2</x:v>
      </x:c>
      <x:c r="C239" s="36" t="str">
        <x:v>reference</x:v>
      </x:c>
      <x:c r="D239" s="75" t="n">
        <x:v>0.9152740040039015</x:v>
      </x:c>
      <x:c r="E239" s="75" t="n">
        <x:v>0.015590978599018167</x:v>
      </x:c>
      <x:c r="F239" s="75" t="n">
        <x:v>0.9198256254892022</x:v>
      </x:c>
      <x:c r="G239" s="75" t="n">
        <x:v>1.1363029615878317</x:v>
      </x:c>
      <x:c r="H239" s="75" t="n">
        <x:v>0.7612228128508008</x:v>
      </x:c>
      <x:c r="I239" s="75" t="n">
        <x:v>0.9349740563112754</x:v>
      </x:c>
      <x:c r="J239" s="75" t="n">
        <x:v>0.8018292592556739</x:v>
      </x:c>
      <x:c r="K239" s="75" t="n">
        <x:v>0.7626986495451858</x:v>
      </x:c>
      <x:c r="L239" s="75" t="n">
        <x:v>0.9152607846875772</x:v>
      </x:c>
      <x:c r="M239" s="75" t="n">
        <x:v>0.8556497457331274</x:v>
      </x:c>
      <x:c r="N239" s="75" t="n">
        <x:v>0.7980200775338533</x:v>
      </x:c>
      <x:c r="O239" s="66" t="n">
        <x:v>440292.376571276</x:v>
      </x:c>
      <x:c r="P239" s="66" t="n">
        <x:v>295012.4161856889</x:v>
      </x:c>
      <x:c r="Q239" s="66" t="n">
        <x:v>145279.96038558707</x:v>
      </x:c>
      <x:c r="R239" s="66" t="n">
        <x:v>89004.98375716626</x:v>
      </x:c>
      <x:c r="S239" s="66" t="n">
        <x:v>56274.97662842077</x:v>
      </x:c>
      <x:c r="T239" s="66" t="n">
        <x:v>114285.0750288901</x:v>
      </x:c>
      <x:c r="U239" s="45" t="n">
        <x:v>0.9296038564236204</x:v>
      </x:c>
      <x:c r="V239" s="45" t="n">
        <x:v>0.9371372965963822</x:v>
      </x:c>
      <x:c r="W239" s="45" t="n">
        <x:v>0.6902964421482832</x:v>
      </x:c>
      <x:c r="X239" s="66" t="n">
        <x:v>17597732.2618563</x:v>
      </x:c>
      <x:c r="Y239" s="66" t="n">
        <x:v>39.96828743412849</x:v>
      </x:c>
      <x:c r="Z239" s="66" t="n">
        <x:v>735301.4127767772</x:v>
      </x:c>
      <x:c r="AA239" s="66" t="n">
        <x:v>100461.1374590192</x:v>
      </x:c>
      <x:c r="AB239" s="66" t="n">
        <x:v>0</x:v>
      </x:c>
      <x:c r="AC239" s="66" t="n">
        <x:v>6483.119701364978</x:v>
      </x:c>
      <x:c r="AD239" s="66" t="n">
        <x:v>1280.4895773642972</x:v>
      </x:c>
      <x:c r="AE239" s="66" t="n">
        <x:v>58196.729199752896</x:v>
      </x:c>
      <x:c r="AF239" s="66" t="n">
        <x:v>114285.07502889006</x:v>
      </x:c>
      <x:c r="AG239" s="66" t="n">
        <x:v>4.3655745685100555e-11</x:v>
      </x:c>
      <x:c r="AH239" s="36" t="n">
        <x:v>0</x:v>
      </x:c>
    </x:row>
    <x:row r="240" ht="15" hidden="0" customHeight="1">
      <x:c r="A240" s="34" t="n">
        <x:v>59</x:v>
      </x:c>
      <x:c r="B240" s="34" t="str">
        <x:v>H3</x:v>
      </x:c>
      <x:c r="C240" s="34" t="str">
        <x:v>reference</x:v>
      </x:c>
      <x:c r="D240" s="74" t="n">
        <x:v>0.9152740040039015</x:v>
      </x:c>
      <x:c r="E240" s="74" t="n">
        <x:v>0.015590978599018167</x:v>
      </x:c>
      <x:c r="F240" s="74" t="n">
        <x:v>0.9198256254892022</x:v>
      </x:c>
      <x:c r="G240" s="74" t="n">
        <x:v>1.1363029615878317</x:v>
      </x:c>
      <x:c r="H240" s="74" t="n">
        <x:v>0.7612228128508008</x:v>
      </x:c>
      <x:c r="I240" s="74" t="n">
        <x:v>0.9349740563112754</x:v>
      </x:c>
      <x:c r="J240" s="74" t="n">
        <x:v>0.8018292592556739</x:v>
      </x:c>
      <x:c r="K240" s="74" t="n">
        <x:v>0.7626986495451858</x:v>
      </x:c>
      <x:c r="L240" s="74" t="n">
        <x:v>0.9152607846875772</x:v>
      </x:c>
      <x:c r="M240" s="74" t="n">
        <x:v>0.8556497457331274</x:v>
      </x:c>
      <x:c r="N240" s="74" t="n">
        <x:v>0.7980200775338533</x:v>
      </x:c>
      <x:c r="O240" s="65" t="n">
        <x:v>440292.376571276</x:v>
      </x:c>
      <x:c r="P240" s="65" t="n">
        <x:v>306033.1476298546</x:v>
      </x:c>
      <x:c r="Q240" s="65" t="n">
        <x:v>134259.22894142137</x:v>
      </x:c>
      <x:c r="R240" s="65" t="n">
        <x:v>89004.98375716626</x:v>
      </x:c>
      <x:c r="S240" s="65" t="n">
        <x:v>45254.245184255095</x:v>
      </x:c>
      <x:c r="T240" s="65" t="n">
        <x:v>133003.38407545906</x:v>
      </x:c>
      <x:c r="U240" s="43" t="n">
        <x:v>0.9971477024523068</x:v>
      </x:c>
      <x:c r="V240" s="43" t="n">
        <x:v>0.9982034970369648</x:v>
      </x:c>
      <x:c r="W240" s="43" t="n">
        <x:v>0.9714770245230673</x:v>
      </x:c>
      <x:c r="X240" s="65" t="n">
        <x:v>13475937.638553174</x:v>
      </x:c>
      <x:c r="Y240" s="65" t="n">
        <x:v>30.60679302125424</x:v>
      </x:c>
      <x:c r="Z240" s="65" t="n">
        <x:v>810510.687727405</x:v>
      </x:c>
      <x:c r="AA240" s="65" t="n">
        <x:v>81422.78685223698</x:v>
      </x:c>
      <x:c r="AB240" s="65" t="n">
        <x:v>1361.0445519927694</x:v>
      </x:c>
      <x:c r="AC240" s="65" t="n">
        <x:v>0</x:v>
      </x:c>
      <x:c r="AD240" s="65" t="n">
        <x:v>1255.8448659622954</x:v>
      </x:c>
      <x:c r="AE240" s="65" t="n">
        <x:v>57360.68297054252</x:v>
      </x:c>
      <x:c r="AF240" s="65" t="n">
        <x:v>133003.384075459</x:v>
      </x:c>
      <x:c r="AG240" s="65" t="n">
        <x:v>5.820766091346741e-11</x:v>
      </x:c>
      <x:c r="AH240" s="34" t="n">
        <x:v>1</x:v>
      </x:c>
    </x:row>
    <x:row r="241" ht="15" hidden="0" customHeight="1">
      <x:c r="A241" s="36" t="n">
        <x:v>60</x:v>
      </x:c>
      <x:c r="B241" s="36" t="str">
        <x:v>M0</x:v>
      </x:c>
      <x:c r="C241" s="36" t="str">
        <x:v>reference</x:v>
      </x:c>
      <x:c r="D241" s="75" t="n">
        <x:v>1.1935149750652876</x:v>
      </x:c>
      <x:c r="E241" s="75" t="n">
        <x:v>0.08787706489422878</x:v>
      </x:c>
      <x:c r="F241" s="75" t="n">
        <x:v>1.0257751925478322</x:v>
      </x:c>
      <x:c r="G241" s="75" t="n">
        <x:v>1.1958140603828815</x:v>
      </x:c>
      <x:c r="H241" s="75" t="n">
        <x:v>0.9644807665408986</x:v>
      </x:c>
      <x:c r="I241" s="75" t="n">
        <x:v>0.8084911930881533</x:v>
      </x:c>
      <x:c r="J241" s="75" t="n">
        <x:v>0.7537116715045681</x:v>
      </x:c>
      <x:c r="K241" s="75" t="n">
        <x:v>0.8782690884330713</x:v>
      </x:c>
      <x:c r="L241" s="75" t="n">
        <x:v>0.9665745861474122</x:v>
      </x:c>
      <x:c r="M241" s="75" t="n">
        <x:v>1.092309115358859</x:v>
      </x:c>
      <x:c r="N241" s="75" t="n">
        <x:v>0.7522480556465685</x:v>
      </x:c>
      <x:c r="O241" s="66" t="n">
        <x:v>574140.1400521616</x:v>
      </x:c>
      <x:c r="P241" s="66" t="n">
        <x:v>79611.2812045392</x:v>
      </x:c>
      <x:c r="Q241" s="66" t="n">
        <x:v>494528.85884762235</x:v>
      </x:c>
      <x:c r="R241" s="66" t="n">
        <x:v>157564.61632380553</x:v>
      </x:c>
      <x:c r="S241" s="66" t="n">
        <x:v>336964.2425238169</x:v>
      </x:c>
      <x:c r="T241" s="66" t="n">
        <x:v>268524.69240149437</x:v>
      </x:c>
      <x:c r="U241" s="45" t="n">
        <x:v>0.6063606240358056</x:v>
      </x:c>
      <x:c r="V241" s="45" t="n">
        <x:v>0.6245311143263866</x:v>
      </x:c>
      <x:c r="W241" s="45" t="n">
        <x:v>0.1314820214423883</x:v>
      </x:c>
      <x:c r="X241" s="66" t="n">
        <x:v>66901755.29724438</x:v>
      </x:c>
      <x:c r="Y241" s="66" t="n">
        <x:v>116.52513146209606</x:v>
      </x:c>
      <x:c r="Z241" s="66" t="n">
        <x:v>7165280.299118325</x:v>
      </x:c>
      <x:c r="AA241" s="66" t="n">
        <x:v>353430.74642668234</x:v>
      </x:c>
      <x:c r="AB241" s="66" t="n">
        <x:v>68951.3900024634</x:v>
      </x:c>
      <x:c r="AC241" s="66" t="n">
        <x:v>3142.819301938773</x:v>
      </x:c>
      <x:c r="AD241" s="66" t="n">
        <x:v>2444.5492769203297</x:v>
      </x:c>
      <x:c r="AE241" s="66" t="n">
        <x:v>203530.4603936308</x:v>
      </x:c>
      <x:c r="AF241" s="66" t="n">
        <x:v>268524.6924014942</x:v>
      </x:c>
      <x:c r="AG241" s="66" t="n">
        <x:v>1.7462298274040222e-10</x:v>
      </x:c>
      <x:c r="AH241" s="36" t="n">
        <x:v>0</x:v>
      </x:c>
    </x:row>
    <x:row r="242" ht="15" hidden="0" customHeight="1">
      <x:c r="A242" s="34" t="n">
        <x:v>60</x:v>
      </x:c>
      <x:c r="B242" s="34" t="str">
        <x:v>B1</x:v>
      </x:c>
      <x:c r="C242" s="34" t="str">
        <x:v>reference</x:v>
      </x:c>
      <x:c r="D242" s="74" t="n">
        <x:v>1.1935149750652876</x:v>
      </x:c>
      <x:c r="E242" s="74" t="n">
        <x:v>0.08787706489422878</x:v>
      </x:c>
      <x:c r="F242" s="74" t="n">
        <x:v>1.0257751925478322</x:v>
      </x:c>
      <x:c r="G242" s="74" t="n">
        <x:v>1.1958140603828815</x:v>
      </x:c>
      <x:c r="H242" s="74" t="n">
        <x:v>0.9644807665408986</x:v>
      </x:c>
      <x:c r="I242" s="74" t="n">
        <x:v>0.8084911930881533</x:v>
      </x:c>
      <x:c r="J242" s="74" t="n">
        <x:v>0.7537116715045681</x:v>
      </x:c>
      <x:c r="K242" s="74" t="n">
        <x:v>0.8782690884330713</x:v>
      </x:c>
      <x:c r="L242" s="74" t="n">
        <x:v>0.9665745861474122</x:v>
      </x:c>
      <x:c r="M242" s="74" t="n">
        <x:v>1.092309115358859</x:v>
      </x:c>
      <x:c r="N242" s="74" t="n">
        <x:v>0.7522480556465685</x:v>
      </x:c>
      <x:c r="O242" s="65" t="n">
        <x:v>574140.1400521616</x:v>
      </x:c>
      <x:c r="P242" s="65" t="n">
        <x:v>269301.48659603414</x:v>
      </x:c>
      <x:c r="Q242" s="65" t="n">
        <x:v>304838.6534561274</x:v>
      </x:c>
      <x:c r="R242" s="65" t="n">
        <x:v>157564.61632380553</x:v>
      </x:c>
      <x:c r="S242" s="65" t="n">
        <x:v>147274.03713232192</x:v>
      </x:c>
      <x:c r="T242" s="65" t="n">
        <x:v>196980.8943065631</x:v>
      </x:c>
      <x:c r="U242" s="43" t="n">
        <x:v>0.8121403615156304</x:v>
      </x:c>
      <x:c r="V242" s="43" t="n">
        <x:v>0.8245587519153413</x:v>
      </x:c>
      <x:c r="W242" s="43" t="n">
        <x:v>0.4837345153451334</x:v>
      </x:c>
      <x:c r="X242" s="65" t="n">
        <x:v>41437151.76574203</x:v>
      </x:c>
      <x:c r="Y242" s="65" t="n">
        <x:v>72.17253920267166</x:v>
      </x:c>
      <x:c r="Z242" s="65" t="n">
        <x:v>3464159.026878434</x:v>
      </x:c>
      <x:c r="AA242" s="65" t="n">
        <x:v>212888.6782501505</x:v>
      </x:c>
      <x:c r="AB242" s="65" t="n">
        <x:v>28099.66399628896</x:v>
      </x:c>
      <x:c r="AC242" s="65" t="n">
        <x:v>2905.5116376727347</x:v>
      </x:c>
      <x:c r="AD242" s="65" t="n">
        <x:v>2004.1068585938433</x:v>
      </x:c>
      <x:c r="AE242" s="65" t="n">
        <x:v>117896.0785164655</x:v>
      </x:c>
      <x:c r="AF242" s="65" t="n">
        <x:v>196980.8943065632</x:v>
      </x:c>
      <x:c r="AG242" s="65" t="n">
        <x:v>0</x:v>
      </x:c>
      <x:c r="AH242" s="34" t="n">
        <x:v>0</x:v>
      </x:c>
    </x:row>
    <x:row r="243" ht="15" hidden="0" customHeight="1">
      <x:c r="A243" s="36" t="n">
        <x:v>60</x:v>
      </x:c>
      <x:c r="B243" s="36" t="str">
        <x:v>P2</x:v>
      </x:c>
      <x:c r="C243" s="36" t="str">
        <x:v>reference</x:v>
      </x:c>
      <x:c r="D243" s="75" t="n">
        <x:v>1.1935149750652876</x:v>
      </x:c>
      <x:c r="E243" s="75" t="n">
        <x:v>0.08787706489422878</x:v>
      </x:c>
      <x:c r="F243" s="75" t="n">
        <x:v>1.0257751925478322</x:v>
      </x:c>
      <x:c r="G243" s="75" t="n">
        <x:v>1.1958140603828815</x:v>
      </x:c>
      <x:c r="H243" s="75" t="n">
        <x:v>0.9644807665408986</x:v>
      </x:c>
      <x:c r="I243" s="75" t="n">
        <x:v>0.8084911930881533</x:v>
      </x:c>
      <x:c r="J243" s="75" t="n">
        <x:v>0.7537116715045681</x:v>
      </x:c>
      <x:c r="K243" s="75" t="n">
        <x:v>0.8782690884330713</x:v>
      </x:c>
      <x:c r="L243" s="75" t="n">
        <x:v>0.9665745861474122</x:v>
      </x:c>
      <x:c r="M243" s="75" t="n">
        <x:v>1.092309115358859</x:v>
      </x:c>
      <x:c r="N243" s="75" t="n">
        <x:v>0.7522480556465685</x:v>
      </x:c>
      <x:c r="O243" s="66" t="n">
        <x:v>574140.1400521616</x:v>
      </x:c>
      <x:c r="P243" s="66" t="n">
        <x:v>390137.1535206445</x:v>
      </x:c>
      <x:c r="Q243" s="66" t="n">
        <x:v>184002.9865315171</x:v>
      </x:c>
      <x:c r="R243" s="66" t="n">
        <x:v>157564.61632380553</x:v>
      </x:c>
      <x:c r="S243" s="66" t="n">
        <x:v>26438.370207711552</x:v>
      </x:c>
      <x:c r="T243" s="66" t="n">
        <x:v>131737.1891167442</x:v>
      </x:c>
      <x:c r="U243" s="45" t="n">
        <x:v>0.9089668292308835</x:v>
      </x:c>
      <x:c r="V243" s="45" t="n">
        <x:v>0.9255819418886838</x:v>
      </x:c>
      <x:c r="W243" s="45" t="n">
        <x:v>0.5627419689166803</x:v>
      </x:c>
      <x:c r="X243" s="66" t="n">
        <x:v>22881971.161241952</x:v>
      </x:c>
      <x:c r="Y243" s="66" t="n">
        <x:v>39.854330963801075</x:v>
      </x:c>
      <x:c r="Z243" s="66" t="n">
        <x:v>1354710.695352566</x:v>
      </x:c>
      <x:c r="AA243" s="66" t="n">
        <x:v>127900.43035877205</x:v>
      </x:c>
      <x:c r="AB243" s="66" t="n">
        <x:v>1119.8563375480985</x:v>
      </x:c>
      <x:c r="AC243" s="66" t="n">
        <x:v>20638.461302036696</x:v>
      </x:c>
      <x:c r="AD243" s="66" t="n">
        <x:v>1737.9777596125389</x:v>
      </x:c>
      <x:c r="AE243" s="66" t="n">
        <x:v>66610.35278799357</x:v>
      </x:c>
      <x:c r="AF243" s="66" t="n">
        <x:v>131737.18911674418</x:v>
      </x:c>
      <x:c r="AG243" s="66" t="n">
        <x:v>2.9103830456733704e-11</x:v>
      </x:c>
      <x:c r="AH243" s="36" t="n">
        <x:v>0</x:v>
      </x:c>
    </x:row>
    <x:row r="244" ht="15" hidden="0" customHeight="1">
      <x:c r="A244" s="34" t="n">
        <x:v>60</x:v>
      </x:c>
      <x:c r="B244" s="34" t="str">
        <x:v>H3</x:v>
      </x:c>
      <x:c r="C244" s="34" t="str">
        <x:v>reference</x:v>
      </x:c>
      <x:c r="D244" s="74" t="n">
        <x:v>1.1935149750652876</x:v>
      </x:c>
      <x:c r="E244" s="74" t="n">
        <x:v>0.08787706489422878</x:v>
      </x:c>
      <x:c r="F244" s="74" t="n">
        <x:v>1.0257751925478322</x:v>
      </x:c>
      <x:c r="G244" s="74" t="n">
        <x:v>1.1958140603828815</x:v>
      </x:c>
      <x:c r="H244" s="74" t="n">
        <x:v>0.9644807665408986</x:v>
      </x:c>
      <x:c r="I244" s="74" t="n">
        <x:v>0.8084911930881533</x:v>
      </x:c>
      <x:c r="J244" s="74" t="n">
        <x:v>0.7537116715045681</x:v>
      </x:c>
      <x:c r="K244" s="74" t="n">
        <x:v>0.8782690884330713</x:v>
      </x:c>
      <x:c r="L244" s="74" t="n">
        <x:v>0.9665745861474122</x:v>
      </x:c>
      <x:c r="M244" s="74" t="n">
        <x:v>1.092309115358859</x:v>
      </x:c>
      <x:c r="N244" s="74" t="n">
        <x:v>0.7522480556465685</x:v>
      </x:c>
      <x:c r="O244" s="65" t="n">
        <x:v>574140.1400521616</x:v>
      </x:c>
      <x:c r="P244" s="65" t="n">
        <x:v>404711.92458496784</x:v>
      </x:c>
      <x:c r="Q244" s="65" t="n">
        <x:v>169428.21546719372</x:v>
      </x:c>
      <x:c r="R244" s="65" t="n">
        <x:v>157564.61632380553</x:v>
      </x:c>
      <x:c r="S244" s="65" t="n">
        <x:v>11863.599143388194</x:v>
      </x:c>
      <x:c r="T244" s="65" t="n">
        <x:v>165610.12132337195</x:v>
      </x:c>
      <x:c r="U244" s="43" t="n">
        <x:v>0.9933498916423523</x:v>
      </x:c>
      <x:c r="V244" s="43" t="n">
        <x:v>0.9950673626180152</x:v>
      </x:c>
      <x:c r="W244" s="43" t="n">
        <x:v>0.933498916423525</x:v>
      </x:c>
      <x:c r="X244" s="65" t="n">
        <x:v>17823455.583460655</x:v>
      </x:c>
      <x:c r="Y244" s="65" t="n">
        <x:v>31.043737129825764</x:v>
      </x:c>
      <x:c r="Z244" s="65" t="n">
        <x:v>1479057.3634003738</x:v>
      </x:c>
      <x:c r="AA244" s="65" t="n">
        <x:v>106575.45591876896</x:v>
      </x:c>
      <x:c r="AB244" s="65" t="n">
        <x:v>7947.783852372765</x:v>
      </x:c>
      <x:c r="AC244" s="65" t="n">
        <x:v>3280.451574532151</x:v>
      </x:c>
      <x:c r="AD244" s="65" t="n">
        <x:v>1708.1030037281134</x:v>
      </x:c>
      <x:c r="AE244" s="65" t="n">
        <x:v>61755.23925261665</x:v>
      </x:c>
      <x:c r="AF244" s="65" t="n">
        <x:v>165610.1213233722</x:v>
      </x:c>
      <x:c r="AG244" s="65" t="n">
        <x:v>0</x:v>
      </x:c>
      <x:c r="AH244" s="34" t="n">
        <x:v>1</x:v>
      </x:c>
    </x:row>
    <x:row r="245" ht="15" hidden="0" customHeight="1">
      <x:c r="A245" s="36" t="n">
        <x:v>61</x:v>
      </x:c>
      <x:c r="B245" s="36" t="str">
        <x:v>M0</x:v>
      </x:c>
      <x:c r="C245" s="36" t="str">
        <x:v>reference</x:v>
      </x:c>
      <x:c r="D245" s="75" t="n">
        <x:v>1.1042177947792815</x:v>
      </x:c>
      <x:c r="E245" s="75" t="n">
        <x:v>0.05805687565222601</x:v>
      </x:c>
      <x:c r="F245" s="75" t="n">
        <x:v>0.7519996186639073</x:v>
      </x:c>
      <x:c r="G245" s="75" t="n">
        <x:v>0.9307127028353519</x:v>
      </x:c>
      <x:c r="H245" s="75" t="n">
        <x:v>0.8139842824770505</x:v>
      </x:c>
      <x:c r="I245" s="75" t="n">
        <x:v>0.8868138749195738</x:v>
      </x:c>
      <x:c r="J245" s="75" t="n">
        <x:v>0.981258009465014</x:v>
      </x:c>
      <x:c r="K245" s="75" t="n">
        <x:v>0.8864877331953899</x:v>
      </x:c>
      <x:c r="L245" s="75" t="n">
        <x:v>0.9954576047087589</x:v>
      </x:c>
      <x:c r="M245" s="75" t="n">
        <x:v>0.9355293732906487</x:v>
      </x:c>
      <x:c r="N245" s="75" t="n">
        <x:v>0.7756700122663434</x:v>
      </x:c>
      <x:c r="O245" s="66" t="n">
        <x:v>531183.7493350144</x:v>
      </x:c>
      <x:c r="P245" s="66" t="n">
        <x:v>56216.35029804404</x:v>
      </x:c>
      <x:c r="Q245" s="66" t="n">
        <x:v>474967.3990369704</x:v>
      </x:c>
      <x:c r="R245" s="66" t="n">
        <x:v>129935.84437044221</x:v>
      </x:c>
      <x:c r="S245" s="66" t="n">
        <x:v>345031.5546665281</x:v>
      </x:c>
      <x:c r="T245" s="66" t="n">
        <x:v>259022.55789370928</x:v>
      </x:c>
      <x:c r="U245" s="45" t="n">
        <x:v>0.5934648953142843</x:v>
      </x:c>
      <x:c r="V245" s="45" t="n">
        <x:v>0.6222175944823544</x:v>
      </x:c>
      <x:c r="W245" s="45" t="n">
        <x:v>0.10439978872334672</x:v>
      </x:c>
      <x:c r="X245" s="66" t="n">
        <x:v>63438153.103946574</x:v>
      </x:c>
      <x:c r="Y245" s="66" t="n">
        <x:v>119.42788758760862</x:v>
      </x:c>
      <x:c r="Z245" s="66" t="n">
        <x:v>4851625.251099583</x:v>
      </x:c>
      <x:c r="AA245" s="66" t="n">
        <x:v>350364.3261832453</x:v>
      </x:c>
      <x:c r="AB245" s="66" t="n">
        <x:v>40459.12105888522</x:v>
      </x:c>
      <x:c r="AC245" s="66" t="n">
        <x:v>0</x:v>
      </x:c>
      <x:c r="AD245" s="66" t="n">
        <x:v>2298.8165059804323</x:v>
      </x:c>
      <x:c r="AE245" s="66" t="n">
        <x:v>214343.96518716792</x:v>
      </x:c>
      <x:c r="AF245" s="66" t="n">
        <x:v>259022.55789370948</x:v>
      </x:c>
      <x:c r="AG245" s="66" t="n">
        <x:v>0</x:v>
      </x:c>
      <x:c r="AH245" s="36" t="n">
        <x:v>0</x:v>
      </x:c>
    </x:row>
    <x:row r="246" ht="15" hidden="0" customHeight="1">
      <x:c r="A246" s="34" t="n">
        <x:v>61</x:v>
      </x:c>
      <x:c r="B246" s="34" t="str">
        <x:v>B1</x:v>
      </x:c>
      <x:c r="C246" s="34" t="str">
        <x:v>reference</x:v>
      </x:c>
      <x:c r="D246" s="74" t="n">
        <x:v>1.1042177947792815</x:v>
      </x:c>
      <x:c r="E246" s="74" t="n">
        <x:v>0.05805687565222601</x:v>
      </x:c>
      <x:c r="F246" s="74" t="n">
        <x:v>0.7519996186639073</x:v>
      </x:c>
      <x:c r="G246" s="74" t="n">
        <x:v>0.9307127028353519</x:v>
      </x:c>
      <x:c r="H246" s="74" t="n">
        <x:v>0.8139842824770505</x:v>
      </x:c>
      <x:c r="I246" s="74" t="n">
        <x:v>0.8868138749195738</x:v>
      </x:c>
      <x:c r="J246" s="74" t="n">
        <x:v>0.981258009465014</x:v>
      </x:c>
      <x:c r="K246" s="74" t="n">
        <x:v>0.8864877331953899</x:v>
      </x:c>
      <x:c r="L246" s="74" t="n">
        <x:v>0.9954576047087589</x:v>
      </x:c>
      <x:c r="M246" s="74" t="n">
        <x:v>0.9355293732906487</x:v>
      </x:c>
      <x:c r="N246" s="74" t="n">
        <x:v>0.7756700122663434</x:v>
      </x:c>
      <x:c r="O246" s="65" t="n">
        <x:v>531183.7493350144</x:v>
      </x:c>
      <x:c r="P246" s="65" t="n">
        <x:v>190162.43736938725</x:v>
      </x:c>
      <x:c r="Q246" s="65" t="n">
        <x:v>341021.31196562713</x:v>
      </x:c>
      <x:c r="R246" s="65" t="n">
        <x:v>129935.84437044221</x:v>
      </x:c>
      <x:c r="S246" s="65" t="n">
        <x:v>211085.46759518498</x:v>
      </x:c>
      <x:c r="T246" s="65" t="n">
        <x:v>188679.0792503985</x:v>
      </x:c>
      <x:c r="U246" s="43" t="n">
        <x:v>0.7132023844744028</x:v>
      </x:c>
      <x:c r="V246" s="43" t="n">
        <x:v>0.7535626351695658</x:v>
      </x:c>
      <x:c r="W246" s="43" t="n">
        <x:v>0.3700868540483007</x:v>
      </x:c>
      <x:c r="X246" s="65" t="n">
        <x:v>46706931.45737992</x:v>
      </x:c>
      <x:c r="Y246" s="65" t="n">
        <x:v>87.92989528736909</x:v>
      </x:c>
      <x:c r="Z246" s="65" t="n">
        <x:v>1743565.3152556296</x:v>
      </x:c>
      <x:c r="AA246" s="65" t="n">
        <x:v>260020.807752273</x:v>
      </x:c>
      <x:c r="AB246" s="65" t="n">
        <x:v>7032.633799593561</x:v>
      </x:c>
      <x:c r="AC246" s="65" t="n">
        <x:v>0</x:v>
      </x:c>
      <x:c r="AD246" s="65" t="n">
        <x:v>1975.4846801561584</x:v>
      </x:c>
      <x:c r="AE246" s="65" t="n">
        <x:v>137304.0710037005</x:v>
      </x:c>
      <x:c r="AF246" s="65" t="n">
        <x:v>188679.0792503984</x:v>
      </x:c>
      <x:c r="AG246" s="65" t="n">
        <x:v>8.731149137020111e-11</x:v>
      </x:c>
      <x:c r="AH246" s="34" t="n">
        <x:v>0</x:v>
      </x:c>
    </x:row>
    <x:row r="247" ht="15" hidden="0" customHeight="1">
      <x:c r="A247" s="36" t="n">
        <x:v>61</x:v>
      </x:c>
      <x:c r="B247" s="36" t="str">
        <x:v>P2</x:v>
      </x:c>
      <x:c r="C247" s="36" t="str">
        <x:v>reference</x:v>
      </x:c>
      <x:c r="D247" s="75" t="n">
        <x:v>1.1042177947792815</x:v>
      </x:c>
      <x:c r="E247" s="75" t="n">
        <x:v>0.05805687565222601</x:v>
      </x:c>
      <x:c r="F247" s="75" t="n">
        <x:v>0.7519996186639073</x:v>
      </x:c>
      <x:c r="G247" s="75" t="n">
        <x:v>0.9307127028353519</x:v>
      </x:c>
      <x:c r="H247" s="75" t="n">
        <x:v>0.8139842824770505</x:v>
      </x:c>
      <x:c r="I247" s="75" t="n">
        <x:v>0.8868138749195738</x:v>
      </x:c>
      <x:c r="J247" s="75" t="n">
        <x:v>0.981258009465014</x:v>
      </x:c>
      <x:c r="K247" s="75" t="n">
        <x:v>0.8864877331953899</x:v>
      </x:c>
      <x:c r="L247" s="75" t="n">
        <x:v>0.9954576047087589</x:v>
      </x:c>
      <x:c r="M247" s="75" t="n">
        <x:v>0.9355293732906487</x:v>
      </x:c>
      <x:c r="N247" s="75" t="n">
        <x:v>0.7756700122663434</x:v>
      </x:c>
      <x:c r="O247" s="66" t="n">
        <x:v>531183.7493350144</x:v>
      </x:c>
      <x:c r="P247" s="66" t="n">
        <x:v>275487.65442007233</x:v>
      </x:c>
      <x:c r="Q247" s="66" t="n">
        <x:v>255696.0949149421</x:v>
      </x:c>
      <x:c r="R247" s="66" t="n">
        <x:v>129935.84437044221</x:v>
      </x:c>
      <x:c r="S247" s="66" t="n">
        <x:v>125760.25054449988</x:v>
      </x:c>
      <x:c r="T247" s="66" t="n">
        <x:v>126330.59880466206</x:v>
      </x:c>
      <x:c r="U247" s="45" t="n">
        <x:v>0.7564581064984915</x:v>
      </x:c>
      <x:c r="V247" s="45" t="n">
        <x:v>0.7877443212987579</x:v>
      </x:c>
      <x:c r="W247" s="45" t="n">
        <x:v>0.44484184640925384</x:v>
      </x:c>
      <x:c r="X247" s="66" t="n">
        <x:v>35057005.65295232</x:v>
      </x:c>
      <x:c r="Y247" s="66" t="n">
        <x:v>65.99788810715683</x:v>
      </x:c>
      <x:c r="Z247" s="66" t="n">
        <x:v>790435.9748013319</x:v>
      </x:c>
      <x:c r="AA247" s="66" t="n">
        <x:v>202663.7571880935</x:v>
      </x:c>
      <x:c r="AB247" s="66" t="n">
        <x:v>0</x:v>
      </x:c>
      <x:c r="AC247" s="66" t="n">
        <x:v>0</x:v>
      </x:c>
      <x:c r="AD247" s="66" t="n">
        <x:v>1780.1174677846893</x:v>
      </x:c>
      <x:c r="AE247" s="66" t="n">
        <x:v>76755.49545330626</x:v>
      </x:c>
      <x:c r="AF247" s="66" t="n">
        <x:v>126330.59880466212</x:v>
      </x:c>
      <x:c r="AG247" s="66" t="n">
        <x:v>0</x:v>
      </x:c>
      <x:c r="AH247" s="36" t="n">
        <x:v>0</x:v>
      </x:c>
    </x:row>
    <x:row r="248" ht="15" hidden="0" customHeight="1">
      <x:c r="A248" s="34" t="n">
        <x:v>61</x:v>
      </x:c>
      <x:c r="B248" s="34" t="str">
        <x:v>H3</x:v>
      </x:c>
      <x:c r="C248" s="34" t="str">
        <x:v>reference</x:v>
      </x:c>
      <x:c r="D248" s="74" t="n">
        <x:v>1.1042177947792815</x:v>
      </x:c>
      <x:c r="E248" s="74" t="n">
        <x:v>0.05805687565222601</x:v>
      </x:c>
      <x:c r="F248" s="74" t="n">
        <x:v>0.7519996186639073</x:v>
      </x:c>
      <x:c r="G248" s="74" t="n">
        <x:v>0.9307127028353519</x:v>
      </x:c>
      <x:c r="H248" s="74" t="n">
        <x:v>0.8139842824770505</x:v>
      </x:c>
      <x:c r="I248" s="74" t="n">
        <x:v>0.8868138749195738</x:v>
      </x:c>
      <x:c r="J248" s="74" t="n">
        <x:v>0.981258009465014</x:v>
      </x:c>
      <x:c r="K248" s="74" t="n">
        <x:v>0.8864877331953899</x:v>
      </x:c>
      <x:c r="L248" s="74" t="n">
        <x:v>0.9954576047087589</x:v>
      </x:c>
      <x:c r="M248" s="74" t="n">
        <x:v>0.9355293732906487</x:v>
      </x:c>
      <x:c r="N248" s="74" t="n">
        <x:v>0.7756700122663434</x:v>
      </x:c>
      <x:c r="O248" s="65" t="n">
        <x:v>531183.7493350144</x:v>
      </x:c>
      <x:c r="P248" s="65" t="n">
        <x:v>285779.1937677336</x:v>
      </x:c>
      <x:c r="Q248" s="65" t="n">
        <x:v>245404.55556728083</x:v>
      </x:c>
      <x:c r="R248" s="65" t="n">
        <x:v>129935.84437044221</x:v>
      </x:c>
      <x:c r="S248" s="65" t="n">
        <x:v>115468.71119683862</x:v>
      </x:c>
      <x:c r="T248" s="65" t="n">
        <x:v>194613.04322020288</x:v>
      </x:c>
      <x:c r="U248" s="43" t="n">
        <x:v>0.9043805229157263</x:v>
      </x:c>
      <x:c r="V248" s="43" t="n">
        <x:v>0.9177749615966043</x:v>
      </x:c>
      <x:c r="W248" s="43" t="n">
        <x:v>0.6224041885674346</x:v>
      </x:c>
      <x:c r="X248" s="65" t="n">
        <x:v>27831486.528575845</x:v>
      </x:c>
      <x:c r="Y248" s="65" t="n">
        <x:v>52.395214581428576</x:v>
      </x:c>
      <x:c r="Z248" s="65" t="n">
        <x:v>1469292.5159572503</x:v>
      </x:c>
      <x:c r="AA248" s="65" t="n">
        <x:v>170462.01249784345</x:v>
      </x:c>
      <x:c r="AB248" s="65" t="n">
        <x:v>4049.982745125382</x:v>
      </x:c>
      <x:c r="AC248" s="65" t="n">
        <x:v>0</x:v>
      </x:c>
      <x:c r="AD248" s="65" t="n">
        <x:v>1758.1862028468845</x:v>
      </x:c>
      <x:c r="AE248" s="65" t="n">
        <x:v>94086.20963048475</x:v>
      </x:c>
      <x:c r="AF248" s="65" t="n">
        <x:v>194613.04322020285</x:v>
      </x:c>
      <x:c r="AG248" s="65" t="n">
        <x:v>2.9103830456733704e-11</x:v>
      </x:c>
      <x:c r="AH248" s="34" t="n">
        <x:v>0</x:v>
      </x:c>
    </x:row>
    <x:row r="249" ht="21.600000381469727" hidden="0" customHeight="1">
      <x:c r="A249" s="36" t="n">
        <x:v>62</x:v>
      </x:c>
      <x:c r="B249" s="36" t="str">
        <x:v>M0</x:v>
      </x:c>
      <x:c r="C249" s="36" t="str">
        <x:v>fast</x:v>
      </x:c>
      <x:c r="D249" s="75" t="n">
        <x:v>1.0186634966286232</x:v>
      </x:c>
      <x:c r="E249" s="75" t="n">
        <x:v>-0.036432367504358104</x:v>
      </x:c>
      <x:c r="F249" s="75" t="n">
        <x:v>0.8346958008637297</x:v>
      </x:c>
      <x:c r="G249" s="75" t="n">
        <x:v>1.2157493450816907</x:v>
      </x:c>
      <x:c r="H249" s="75" t="n">
        <x:v>0.849681001533028</x:v>
      </x:c>
      <x:c r="I249" s="75" t="n">
        <x:v>0.8059895750502586</x:v>
      </x:c>
      <x:c r="J249" s="75" t="n">
        <x:v>0.8452410557774013</x:v>
      </x:c>
      <x:c r="K249" s="75" t="n">
        <x:v>0.8020147734312665</x:v>
      </x:c>
      <x:c r="L249" s="75" t="n">
        <x:v>0.9511446295340003</x:v>
      </x:c>
      <x:c r="M249" s="75" t="n">
        <x:v>0.771713370682936</x:v>
      </x:c>
      <x:c r="N249" s="75" t="n">
        <x:v>0.792168915100933</x:v>
      </x:c>
      <x:c r="O249" s="66" t="n">
        <x:v>490027.8713204998</x:v>
      </x:c>
      <x:c r="P249" s="66" t="n">
        <x:v>64765.73250826105</x:v>
      </x:c>
      <x:c r="Q249" s="66" t="n">
        <x:v>425262.1388122388</x:v>
      </x:c>
      <x:c r="R249" s="66" t="n">
        <x:v>73566.11089666387</x:v>
      </x:c>
      <x:c r="S249" s="66" t="n">
        <x:v>351696.02791557496</x:v>
      </x:c>
      <x:c r="T249" s="66" t="n">
        <x:v>258461.85113184236</x:v>
      </x:c>
      <x:c r="U249" s="45" t="n">
        <x:v>0.6596106110639945</x:v>
      </x:c>
      <x:c r="V249" s="45" t="n">
        <x:v>0.677059269914224</x:v>
      </x:c>
      <x:c r="W249" s="45" t="n">
        <x:v>0.1316341701902265</x:v>
      </x:c>
      <x:c r="X249" s="66" t="n">
        <x:v>55880904.82497407</x:v>
      </x:c>
      <x:c r="Y249" s="66" t="n">
        <x:v>114.03617650234735</x:v>
      </x:c>
      <x:c r="Z249" s="66" t="n">
        <x:v>5837068.814876984</x:v>
      </x:c>
      <x:c r="AA249" s="66" t="n">
        <x:v>299441.8377750197</x:v>
      </x:c>
      <x:c r="AB249" s="66" t="n">
        <x:v>49944.33808823851</x:v>
      </x:c>
      <x:c r="AC249" s="66" t="n">
        <x:v>0</x:v>
      </x:c>
      <x:c r="AD249" s="66" t="n">
        <x:v>2070.9713625584627</x:v>
      </x:c>
      <x:c r="AE249" s="66" t="n">
        <x:v>235647.38637693552</x:v>
      </x:c>
      <x:c r="AF249" s="66" t="n">
        <x:v>231968.60580447712</x:v>
      </x:c>
      <x:c r="AG249" s="66" t="n">
        <x:v>26493.245327365235</x:v>
      </x:c>
      <x:c r="AH249" s="36" t="n">
        <x:v>0</x:v>
      </x:c>
    </x:row>
    <x:row r="250" ht="21.600000381469727" hidden="0" customHeight="1">
      <x:c r="A250" s="34" t="n">
        <x:v>62</x:v>
      </x:c>
      <x:c r="B250" s="34" t="str">
        <x:v>B1</x:v>
      </x:c>
      <x:c r="C250" s="34" t="str">
        <x:v>fast</x:v>
      </x:c>
      <x:c r="D250" s="74" t="n">
        <x:v>1.0186634966286232</x:v>
      </x:c>
      <x:c r="E250" s="74" t="n">
        <x:v>-0.036432367504358104</x:v>
      </x:c>
      <x:c r="F250" s="74" t="n">
        <x:v>0.8346958008637297</x:v>
      </x:c>
      <x:c r="G250" s="74" t="n">
        <x:v>1.2157493450816907</x:v>
      </x:c>
      <x:c r="H250" s="74" t="n">
        <x:v>0.849681001533028</x:v>
      </x:c>
      <x:c r="I250" s="74" t="n">
        <x:v>0.8059895750502586</x:v>
      </x:c>
      <x:c r="J250" s="74" t="n">
        <x:v>0.8452410557774013</x:v>
      </x:c>
      <x:c r="K250" s="74" t="n">
        <x:v>0.8020147734312665</x:v>
      </x:c>
      <x:c r="L250" s="74" t="n">
        <x:v>0.9511446295340003</x:v>
      </x:c>
      <x:c r="M250" s="74" t="n">
        <x:v>0.771713370682936</x:v>
      </x:c>
      <x:c r="N250" s="74" t="n">
        <x:v>0.792168915100933</x:v>
      </x:c>
      <x:c r="O250" s="65" t="n">
        <x:v>490027.8713204998</x:v>
      </x:c>
      <x:c r="P250" s="65" t="n">
        <x:v>219079.54346746602</x:v>
      </x:c>
      <x:c r="Q250" s="65" t="n">
        <x:v>270948.3278530338</x:v>
      </x:c>
      <x:c r="R250" s="65" t="n">
        <x:v>73566.11089666387</x:v>
      </x:c>
      <x:c r="S250" s="65" t="n">
        <x:v>197382.21695636993</x:v>
      </x:c>
      <x:c r="T250" s="65" t="n">
        <x:v>189082.3933210462</x:v>
      </x:c>
      <x:c r="U250" s="43" t="n">
        <x:v>0.832936166852347</x:v>
      </x:c>
      <x:c r="V250" s="43" t="n">
        <x:v>0.8553053608518418</x:v>
      </x:c>
      <x:c r="W250" s="43" t="n">
        <x:v>0.49593878796292606</x:v>
      </x:c>
      <x:c r="X250" s="65" t="n">
        <x:v>35819636.5818247</x:v>
      </x:c>
      <x:c r="Y250" s="65" t="n">
        <x:v>73.09714136320437</x:v>
      </x:c>
      <x:c r="Z250" s="65" t="n">
        <x:v>2415921.3560862173</x:v>
      </x:c>
      <x:c r="AA250" s="65" t="n">
        <x:v>189266.83015963223</x:v>
      </x:c>
      <x:c r="AB250" s="65" t="n">
        <x:v>14337.295840322138</x:v>
      </x:c>
      <x:c r="AC250" s="65" t="n">
        <x:v>95.45689318270476</x:v>
      </x:c>
      <x:c r="AD250" s="65" t="n">
        <x:v>1660.072934096189</x:v>
      </x:c>
      <x:c r="AE250" s="65" t="n">
        <x:v>124928.96179992007</x:v>
      </x:c>
      <x:c r="AF250" s="65" t="n">
        <x:v>189082.39332104617</x:v>
      </x:c>
      <x:c r="AG250" s="65" t="n">
        <x:v>2.9103830456733704e-11</x:v>
      </x:c>
      <x:c r="AH250" s="34" t="n">
        <x:v>0</x:v>
      </x:c>
    </x:row>
    <x:row r="251" ht="21.600000381469727" hidden="0" customHeight="1">
      <x:c r="A251" s="36" t="n">
        <x:v>62</x:v>
      </x:c>
      <x:c r="B251" s="36" t="str">
        <x:v>P2</x:v>
      </x:c>
      <x:c r="C251" s="36" t="str">
        <x:v>fast</x:v>
      </x:c>
      <x:c r="D251" s="75" t="n">
        <x:v>1.0186634966286232</x:v>
      </x:c>
      <x:c r="E251" s="75" t="n">
        <x:v>-0.036432367504358104</x:v>
      </x:c>
      <x:c r="F251" s="75" t="n">
        <x:v>0.8346958008637297</x:v>
      </x:c>
      <x:c r="G251" s="75" t="n">
        <x:v>1.2157493450816907</x:v>
      </x:c>
      <x:c r="H251" s="75" t="n">
        <x:v>0.849681001533028</x:v>
      </x:c>
      <x:c r="I251" s="75" t="n">
        <x:v>0.8059895750502586</x:v>
      </x:c>
      <x:c r="J251" s="75" t="n">
        <x:v>0.8452410557774013</x:v>
      </x:c>
      <x:c r="K251" s="75" t="n">
        <x:v>0.8020147734312665</x:v>
      </x:c>
      <x:c r="L251" s="75" t="n">
        <x:v>0.9511446295340003</x:v>
      </x:c>
      <x:c r="M251" s="75" t="n">
        <x:v>0.771713370682936</x:v>
      </x:c>
      <x:c r="N251" s="75" t="n">
        <x:v>0.792168915100933</x:v>
      </x:c>
      <x:c r="O251" s="66" t="n">
        <x:v>490027.8713204998</x:v>
      </x:c>
      <x:c r="P251" s="66" t="n">
        <x:v>317377.482868138</x:v>
      </x:c>
      <x:c r="Q251" s="66" t="n">
        <x:v>172650.38845236186</x:v>
      </x:c>
      <x:c r="R251" s="66" t="n">
        <x:v>73566.11089666387</x:v>
      </x:c>
      <x:c r="S251" s="66" t="n">
        <x:v>99084.27755569796</x:v>
      </x:c>
      <x:c r="T251" s="66" t="n">
        <x:v>120291.8788428132</x:v>
      </x:c>
      <x:c r="U251" s="45" t="n">
        <x:v>0.8931519762978872</x:v>
      </x:c>
      <x:c r="V251" s="45" t="n">
        <x:v>0.9110441752879449</x:v>
      </x:c>
      <x:c r="W251" s="45" t="n">
        <x:v>0.7268023162217522</x:v>
      </x:c>
      <x:c r="X251" s="66" t="n">
        <x:v>21303602.700172156</x:v>
      </x:c>
      <x:c r="Y251" s="66" t="n">
        <x:v>43.47426737741344</x:v>
      </x:c>
      <x:c r="Z251" s="66" t="n">
        <x:v>898293.5185109758</x:v>
      </x:c>
      <x:c r="AA251" s="66" t="n">
        <x:v>121514.94282656662</x:v>
      </x:c>
      <x:c r="AB251" s="66" t="n">
        <x:v>0</x:v>
      </x:c>
      <x:c r="AC251" s="66" t="n">
        <x:v>15280.498827447122</x:v>
      </x:c>
      <x:c r="AD251" s="66" t="n">
        <x:v>1411.795238784745</x:v>
      </x:c>
      <x:c r="AE251" s="66" t="n">
        <x:v>82926.71354591392</x:v>
      </x:c>
      <x:c r="AF251" s="66" t="n">
        <x:v>120291.87884281327</x:v>
      </x:c>
      <x:c r="AG251" s="66" t="n">
        <x:v>0</x:v>
      </x:c>
      <x:c r="AH251" s="36" t="n">
        <x:v>0</x:v>
      </x:c>
    </x:row>
    <x:row r="252" ht="21.600000381469727" hidden="0" customHeight="1">
      <x:c r="A252" s="34" t="n">
        <x:v>62</x:v>
      </x:c>
      <x:c r="B252" s="34" t="str">
        <x:v>H3</x:v>
      </x:c>
      <x:c r="C252" s="34" t="str">
        <x:v>fast</x:v>
      </x:c>
      <x:c r="D252" s="74" t="n">
        <x:v>1.0186634966286232</x:v>
      </x:c>
      <x:c r="E252" s="74" t="n">
        <x:v>-0.036432367504358104</x:v>
      </x:c>
      <x:c r="F252" s="74" t="n">
        <x:v>0.8346958008637297</x:v>
      </x:c>
      <x:c r="G252" s="74" t="n">
        <x:v>1.2157493450816907</x:v>
      </x:c>
      <x:c r="H252" s="74" t="n">
        <x:v>0.849681001533028</x:v>
      </x:c>
      <x:c r="I252" s="74" t="n">
        <x:v>0.8059895750502586</x:v>
      </x:c>
      <x:c r="J252" s="74" t="n">
        <x:v>0.8452410557774013</x:v>
      </x:c>
      <x:c r="K252" s="74" t="n">
        <x:v>0.8020147734312665</x:v>
      </x:c>
      <x:c r="L252" s="74" t="n">
        <x:v>0.9511446295340003</x:v>
      </x:c>
      <x:c r="M252" s="74" t="n">
        <x:v>0.771713370682936</x:v>
      </x:c>
      <x:c r="N252" s="74" t="n">
        <x:v>0.792168915100933</x:v>
      </x:c>
      <x:c r="O252" s="65" t="n">
        <x:v>490027.8713204998</x:v>
      </x:c>
      <x:c r="P252" s="65" t="n">
        <x:v>329233.462553808</x:v>
      </x:c>
      <x:c r="Q252" s="65" t="n">
        <x:v>160794.40876669186</x:v>
      </x:c>
      <x:c r="R252" s="65" t="n">
        <x:v>73566.11089666387</x:v>
      </x:c>
      <x:c r="S252" s="65" t="n">
        <x:v>87228.29787002798</x:v>
      </x:c>
      <x:c r="T252" s="65" t="n">
        <x:v>159410.4843453689</x:v>
      </x:c>
      <x:c r="U252" s="43" t="n">
        <x:v>0.9971758250860434</x:v>
      </x:c>
      <x:c r="V252" s="43" t="n">
        <x:v>0.998221207726738</x:v>
      </x:c>
      <x:c r="W252" s="43" t="n">
        <x:v>0.9717582508604329</x:v>
      </x:c>
      <x:c r="X252" s="65" t="n">
        <x:v>15321726.745235315</x:v>
      </x:c>
      <x:c r="Y252" s="65" t="n">
        <x:v>31.267051614731994</x:v>
      </x:c>
      <x:c r="Z252" s="65" t="n">
        <x:v>1514061.1180311313</x:v>
      </x:c>
      <x:c r="AA252" s="65" t="n">
        <x:v>94687.96187087419</x:v>
      </x:c>
      <x:c r="AB252" s="65" t="n">
        <x:v>9347.816484277406</x:v>
      </x:c>
      <x:c r="AC252" s="65" t="n">
        <x:v>1536.655313466433</x:v>
      </x:c>
      <x:c r="AD252" s="65" t="n">
        <x:v>1383.9244213229604</x:v>
      </x:c>
      <x:c r="AE252" s="65" t="n">
        <x:v>63213.40473368841</x:v>
      </x:c>
      <x:c r="AF252" s="65" t="n">
        <x:v>159410.48434536878</x:v>
      </x:c>
      <x:c r="AG252" s="65" t="n">
        <x:v>1.1641532182693481e-10</x:v>
      </x:c>
      <x:c r="AH252" s="34" t="n">
        <x:v>1</x:v>
      </x:c>
    </x:row>
    <x:row r="253" ht="15" hidden="0" customHeight="1">
      <x:c r="A253" s="36" t="n">
        <x:v>63</x:v>
      </x:c>
      <x:c r="B253" s="36" t="str">
        <x:v>M0</x:v>
      </x:c>
      <x:c r="C253" s="36" t="str">
        <x:v>reference</x:v>
      </x:c>
      <x:c r="D253" s="75" t="n">
        <x:v>1.0770814216558957</x:v>
      </x:c>
      <x:c r="E253" s="75" t="n">
        <x:v>0.04124301731995673</x:v>
      </x:c>
      <x:c r="F253" s="75" t="n">
        <x:v>1.0421457637419627</x:v>
      </x:c>
      <x:c r="G253" s="75" t="n">
        <x:v>0.9415874965596396</x:v>
      </x:c>
      <x:c r="H253" s="75" t="n">
        <x:v>0.8325223615263213</x:v>
      </x:c>
      <x:c r="I253" s="75" t="n">
        <x:v>0.8852466022533638</x:v>
      </x:c>
      <x:c r="J253" s="75" t="n">
        <x:v>1.0653920830459251</x:v>
      </x:c>
      <x:c r="K253" s="75" t="n">
        <x:v>0.7350878376165475</x:v>
      </x:c>
      <x:c r="L253" s="75" t="n">
        <x:v>0.9130849755163226</x:v>
      </x:c>
      <x:c r="M253" s="75" t="n">
        <x:v>0.9806667112600846</x:v>
      </x:c>
      <x:c r="N253" s="75" t="n">
        <x:v>0.9276412122308147</x:v>
      </x:c>
      <x:c r="O253" s="66" t="n">
        <x:v>518129.8024712843</x:v>
      </x:c>
      <x:c r="P253" s="66" t="n">
        <x:v>77683.71533329575</x:v>
      </x:c>
      <x:c r="Q253" s="66" t="n">
        <x:v>440446.08713798854</x:v>
      </x:c>
      <x:c r="R253" s="66" t="n">
        <x:v>118030.88391455321</x:v>
      </x:c>
      <x:c r="S253" s="66" t="n">
        <x:v>322415.2032234353</x:v>
      </x:c>
      <x:c r="T253" s="66" t="n">
        <x:v>258298.853510008</x:v>
      </x:c>
      <x:c r="U253" s="45" t="n">
        <x:v>0.6484525059952028</x:v>
      </x:c>
      <x:c r="V253" s="45" t="n">
        <x:v>0.6779948011776646</x:v>
      </x:c>
      <x:c r="W253" s="45" t="n">
        <x:v>0.15102884182826098</x:v>
      </x:c>
      <x:c r="X253" s="66" t="n">
        <x:v>58654213.24995905</x:v>
      </x:c>
      <x:c r="Y253" s="66" t="n">
        <x:v>113.20370488283152</x:v>
      </x:c>
      <x:c r="Z253" s="66" t="n">
        <x:v>5130973.253333442</x:v>
      </x:c>
      <x:c r="AA253" s="66" t="n">
        <x:v>314916.0425056677</x:v>
      </x:c>
      <x:c r="AB253" s="66" t="n">
        <x:v>43642.394236307155</x:v>
      </x:c>
      <x:c r="AC253" s="66" t="n">
        <x:v>0</x:v>
      </x:c>
      <x:c r="AD253" s="66" t="n">
        <x:v>2180.303977591426</x:v>
      </x:c>
      <x:c r="AE253" s="66" t="n">
        <x:v>204866.719685513</x:v>
      </x:c>
      <x:c r="AF253" s="66" t="n">
        <x:v>258298.85351000802</x:v>
      </x:c>
      <x:c r="AG253" s="66" t="n">
        <x:v>0</x:v>
      </x:c>
      <x:c r="AH253" s="36" t="n">
        <x:v>0</x:v>
      </x:c>
    </x:row>
    <x:row r="254" ht="15" hidden="0" customHeight="1">
      <x:c r="A254" s="34" t="n">
        <x:v>63</x:v>
      </x:c>
      <x:c r="B254" s="34" t="str">
        <x:v>B1</x:v>
      </x:c>
      <x:c r="C254" s="34" t="str">
        <x:v>reference</x:v>
      </x:c>
      <x:c r="D254" s="74" t="n">
        <x:v>1.0770814216558957</x:v>
      </x:c>
      <x:c r="E254" s="74" t="n">
        <x:v>0.04124301731995673</x:v>
      </x:c>
      <x:c r="F254" s="74" t="n">
        <x:v>1.0421457637419627</x:v>
      </x:c>
      <x:c r="G254" s="74" t="n">
        <x:v>0.9415874965596396</x:v>
      </x:c>
      <x:c r="H254" s="74" t="n">
        <x:v>0.8325223615263213</x:v>
      </x:c>
      <x:c r="I254" s="74" t="n">
        <x:v>0.8852466022533638</x:v>
      </x:c>
      <x:c r="J254" s="74" t="n">
        <x:v>1.0653920830459251</x:v>
      </x:c>
      <x:c r="K254" s="74" t="n">
        <x:v>0.7350878376165475</x:v>
      </x:c>
      <x:c r="L254" s="74" t="n">
        <x:v>0.9130849755163226</x:v>
      </x:c>
      <x:c r="M254" s="74" t="n">
        <x:v>0.9806667112600846</x:v>
      </x:c>
      <x:c r="N254" s="74" t="n">
        <x:v>0.9276412122308147</x:v>
      </x:c>
      <x:c r="O254" s="65" t="n">
        <x:v>518129.8024712843</x:v>
      </x:c>
      <x:c r="P254" s="65" t="n">
        <x:v>262779.2029722964</x:v>
      </x:c>
      <x:c r="Q254" s="65" t="n">
        <x:v>255350.5994989879</x:v>
      </x:c>
      <x:c r="R254" s="65" t="n">
        <x:v>118030.88391455321</x:v>
      </x:c>
      <x:c r="S254" s="65" t="n">
        <x:v>137319.71558443469</x:v>
      </x:c>
      <x:c r="T254" s="65" t="n">
        <x:v>183719.23786892334</x:v>
      </x:c>
      <x:c r="U254" s="43" t="n">
        <x:v>0.8617501612753987</x:v>
      </x:c>
      <x:c r="V254" s="43" t="n">
        <x:v>0.8797380573007119</x:v>
      </x:c>
      <x:c r="W254" s="43" t="n">
        <x:v>0.5379715909262845</x:v>
      </x:c>
      <x:c r="X254" s="65" t="n">
        <x:v>33530113.897717744</x:v>
      </x:c>
      <x:c r="Y254" s="65" t="n">
        <x:v>64.71373338841292</x:v>
      </x:c>
      <x:c r="Z254" s="65" t="n">
        <x:v>1585923.004258173</x:v>
      </x:c>
      <x:c r="AA254" s="65" t="n">
        <x:v>176456.50880723324</x:v>
      </x:c>
      <x:c r="AB254" s="65" t="n">
        <x:v>3943.5483737142545</x:v>
      </x:c>
      <x:c r="AC254" s="65" t="n">
        <x:v>21173.520546647713</x:v>
      </x:c>
      <x:c r="AD254" s="65" t="n">
        <x:v>1724.4820330579055</x:v>
      </x:c>
      <x:c r="AE254" s="65" t="n">
        <x:v>114393.22306022285</x:v>
      </x:c>
      <x:c r="AF254" s="65" t="n">
        <x:v>183719.23786892326</x:v>
      </x:c>
      <x:c r="AG254" s="65" t="n">
        <x:v>8.731149137020111e-11</x:v>
      </x:c>
      <x:c r="AH254" s="34" t="n">
        <x:v>0</x:v>
      </x:c>
    </x:row>
    <x:row r="255" ht="15" hidden="0" customHeight="1">
      <x:c r="A255" s="36" t="n">
        <x:v>63</x:v>
      </x:c>
      <x:c r="B255" s="36" t="str">
        <x:v>P2</x:v>
      </x:c>
      <x:c r="C255" s="36" t="str">
        <x:v>reference</x:v>
      </x:c>
      <x:c r="D255" s="75" t="n">
        <x:v>1.0770814216558957</x:v>
      </x:c>
      <x:c r="E255" s="75" t="n">
        <x:v>0.04124301731995673</x:v>
      </x:c>
      <x:c r="F255" s="75" t="n">
        <x:v>1.0421457637419627</x:v>
      </x:c>
      <x:c r="G255" s="75" t="n">
        <x:v>0.9415874965596396</x:v>
      </x:c>
      <x:c r="H255" s="75" t="n">
        <x:v>0.8325223615263213</x:v>
      </x:c>
      <x:c r="I255" s="75" t="n">
        <x:v>0.8852466022533638</x:v>
      </x:c>
      <x:c r="J255" s="75" t="n">
        <x:v>1.0653920830459251</x:v>
      </x:c>
      <x:c r="K255" s="75" t="n">
        <x:v>0.7350878376165475</x:v>
      </x:c>
      <x:c r="L255" s="75" t="n">
        <x:v>0.9130849755163226</x:v>
      </x:c>
      <x:c r="M255" s="75" t="n">
        <x:v>0.9806667112600846</x:v>
      </x:c>
      <x:c r="N255" s="75" t="n">
        <x:v>0.9276412122308147</x:v>
      </x:c>
      <x:c r="O255" s="66" t="n">
        <x:v>518129.8024712843</x:v>
      </x:c>
      <x:c r="P255" s="66" t="n">
        <x:v>380686.771488135</x:v>
      </x:c>
      <x:c r="Q255" s="66" t="n">
        <x:v>137443.0309831493</x:v>
      </x:c>
      <x:c r="R255" s="66" t="n">
        <x:v>118030.88391455321</x:v>
      </x:c>
      <x:c r="S255" s="66" t="n">
        <x:v>19412.147068596103</x:v>
      </x:c>
      <x:c r="T255" s="66" t="n">
        <x:v>110262.81481233708</x:v>
      </x:c>
      <x:c r="U255" s="45" t="n">
        <x:v>0.9475416854209644</x:v>
      </x:c>
      <x:c r="V255" s="45" t="n">
        <x:v>0.9587373315502452</x:v>
      </x:c>
      <x:c r="W255" s="45" t="n">
        <x:v>0.5875576209301543</x:v>
      </x:c>
      <x:c r="X255" s="66" t="n">
        <x:v>16631977.00240924</x:v>
      </x:c>
      <x:c r="Y255" s="66" t="n">
        <x:v>32.10001996233562</x:v>
      </x:c>
      <x:c r="Z255" s="66" t="n">
        <x:v>896297.9088966905</x:v>
      </x:c>
      <x:c r="AA255" s="66" t="n">
        <x:v>93154.18405982704</x:v>
      </x:c>
      <x:c r="AB255" s="66" t="n">
        <x:v>0</x:v>
      </x:c>
      <x:c r="AC255" s="66" t="n">
        <x:v>17835.87188160461</x:v>
      </x:c>
      <x:c r="AD255" s="66" t="n">
        <x:v>1449.0601428241398</x:v>
      </x:c>
      <x:c r="AE255" s="66" t="n">
        <x:v>53820.164258525714</x:v>
      </x:c>
      <x:c r="AF255" s="66" t="n">
        <x:v>110262.814812337</x:v>
      </x:c>
      <x:c r="AG255" s="66" t="n">
        <x:v>7.275957614183426e-11</x:v>
      </x:c>
      <x:c r="AH255" s="36" t="n">
        <x:v>0</x:v>
      </x:c>
    </x:row>
    <x:row r="256" ht="15" hidden="0" customHeight="1">
      <x:c r="A256" s="34" t="n">
        <x:v>63</x:v>
      </x:c>
      <x:c r="B256" s="34" t="str">
        <x:v>H3</x:v>
      </x:c>
      <x:c r="C256" s="34" t="str">
        <x:v>reference</x:v>
      </x:c>
      <x:c r="D256" s="74" t="n">
        <x:v>1.0770814216558957</x:v>
      </x:c>
      <x:c r="E256" s="74" t="n">
        <x:v>0.04124301731995673</x:v>
      </x:c>
      <x:c r="F256" s="74" t="n">
        <x:v>1.0421457637419627</x:v>
      </x:c>
      <x:c r="G256" s="74" t="n">
        <x:v>0.9415874965596396</x:v>
      </x:c>
      <x:c r="H256" s="74" t="n">
        <x:v>0.8325223615263213</x:v>
      </x:c>
      <x:c r="I256" s="74" t="n">
        <x:v>0.8852466022533638</x:v>
      </x:c>
      <x:c r="J256" s="74" t="n">
        <x:v>1.0653920830459251</x:v>
      </x:c>
      <x:c r="K256" s="74" t="n">
        <x:v>0.7350878376165475</x:v>
      </x:c>
      <x:c r="L256" s="74" t="n">
        <x:v>0.9130849755163226</x:v>
      </x:c>
      <x:c r="M256" s="74" t="n">
        <x:v>0.9806667112600846</x:v>
      </x:c>
      <x:c r="N256" s="74" t="n">
        <x:v>0.9276412122308147</x:v>
      </x:c>
      <x:c r="O256" s="65" t="n">
        <x:v>518129.8024712843</x:v>
      </x:c>
      <x:c r="P256" s="65" t="n">
        <x:v>392027.47583153157</x:v>
      </x:c>
      <x:c r="Q256" s="65" t="n">
        <x:v>126102.32663975273</x:v>
      </x:c>
      <x:c r="R256" s="65" t="n">
        <x:v>118030.88391455321</x:v>
      </x:c>
      <x:c r="S256" s="65" t="n">
        <x:v>8071.442725199528</x:v>
      </x:c>
      <x:c r="T256" s="65" t="n">
        <x:v>124674.75132355622</x:v>
      </x:c>
      <x:c r="U256" s="43" t="n">
        <x:v>0.997244753516614</x:v>
      </x:c>
      <x:c r="V256" s="43" t="n">
        <x:v>0.9982647053885393</x:v>
      </x:c>
      <x:c r="W256" s="43" t="n">
        <x:v>0.9724475351661396</x:v>
      </x:c>
      <x:c r="X256" s="65" t="n">
        <x:v>13426733.762680672</x:v>
      </x:c>
      <x:c r="Y256" s="65" t="n">
        <x:v>25.913841857079447</x:v>
      </x:c>
      <x:c r="Z256" s="65" t="n">
        <x:v>796027.2670971642</x:v>
      </x:c>
      <x:c r="AA256" s="65" t="n">
        <x:v>83589.38231961898</x:v>
      </x:c>
      <x:c r="AB256" s="65" t="n">
        <x:v>1867.4185398359355</x:v>
      </x:c>
      <x:c r="AC256" s="65" t="n">
        <x:v>0</x:v>
      </x:c>
      <x:c r="AD256" s="65" t="n">
        <x:v>1427.5753161965063</x:v>
      </x:c>
      <x:c r="AE256" s="65" t="n">
        <x:v>65104.57187476774</x:v>
      </x:c>
      <x:c r="AF256" s="65" t="n">
        <x:v>124674.75132355618</x:v>
      </x:c>
      <x:c r="AG256" s="65" t="n">
        <x:v>4.3655745685100555e-11</x:v>
      </x:c>
      <x:c r="AH256" s="34" t="n">
        <x:v>1</x:v>
      </x:c>
    </x:row>
    <x:row r="257" ht="15" hidden="0" customHeight="1">
      <x:c r="A257" s="36" t="n">
        <x:v>64</x:v>
      </x:c>
      <x:c r="B257" s="36" t="str">
        <x:v>M0</x:v>
      </x:c>
      <x:c r="C257" s="36" t="str">
        <x:v>reference</x:v>
      </x:c>
      <x:c r="D257" s="75" t="n">
        <x:v>0.9938827568008878</x:v>
      </x:c>
      <x:c r="E257" s="75" t="n">
        <x:v>0.060380557945387055</x:v>
      </x:c>
      <x:c r="F257" s="75" t="n">
        <x:v>0.8979057228170022</x:v>
      </x:c>
      <x:c r="G257" s="75" t="n">
        <x:v>1.0474895240670135</x:v>
      </x:c>
      <x:c r="H257" s="75" t="n">
        <x:v>0.7298223142008463</x:v>
      </x:c>
      <x:c r="I257" s="75" t="n">
        <x:v>1.0467120531249547</x:v>
      </x:c>
      <x:c r="J257" s="75" t="n">
        <x:v>0.7917229104989919</x:v>
      </x:c>
      <x:c r="K257" s="75" t="n">
        <x:v>0.9684502053812263</x:v>
      </x:c>
      <x:c r="L257" s="75" t="n">
        <x:v>0.941371453047295</x:v>
      </x:c>
      <x:c r="M257" s="75" t="n">
        <x:v>1.0737907261114028</x:v>
      </x:c>
      <x:c r="N257" s="75" t="n">
        <x:v>0.9183412781770777</x:v>
      </x:c>
      <x:c r="O257" s="66" t="n">
        <x:v>478107.1013825157</x:v>
      </x:c>
      <x:c r="P257" s="66" t="n">
        <x:v>60230.69769176727</x:v>
      </x:c>
      <x:c r="Q257" s="66" t="n">
        <x:v>417876.40369074844</x:v>
      </x:c>
      <x:c r="R257" s="66" t="n">
        <x:v>118063.43601061607</x:v>
      </x:c>
      <x:c r="S257" s="66" t="n">
        <x:v>299812.96768013237</x:v>
      </x:c>
      <x:c r="T257" s="66" t="n">
        <x:v>261571.12152975597</x:v>
      </x:c>
      <x:c r="U257" s="45" t="n">
        <x:v>0.6730747531065463</x:v>
      </x:c>
      <x:c r="V257" s="45" t="n">
        <x:v>0.7272780102539571</x:v>
      </x:c>
      <x:c r="W257" s="45" t="n">
        <x:v>0.13472961310060638</x:v>
      </x:c>
      <x:c r="X257" s="66" t="n">
        <x:v>54128560.25629307</x:v>
      </x:c>
      <x:c r="Y257" s="66" t="n">
        <x:v>113.21429884595425</x:v>
      </x:c>
      <x:c r="Z257" s="66" t="n">
        <x:v>2458897.92198213</x:v>
      </x:c>
      <x:c r="AA257" s="66" t="n">
        <x:v>306503.7598741327</x:v>
      </x:c>
      <x:c r="AB257" s="66" t="n">
        <x:v>11646.241619970038</x:v>
      </x:c>
      <x:c r="AC257" s="66" t="n">
        <x:v>881.0811965157793</x:v>
      </x:c>
      <x:c r="AD257" s="66" t="n">
        <x:v>2045.089132339137</x:v>
      </x:c>
      <x:c r="AE257" s="66" t="n">
        <x:v>182226.4350952565</x:v>
      </x:c>
      <x:c r="AF257" s="66" t="n">
        <x:v>261571.12152975585</x:v>
      </x:c>
      <x:c r="AG257" s="66" t="n">
        <x:v>1.1641532182693481e-10</x:v>
      </x:c>
      <x:c r="AH257" s="36" t="n">
        <x:v>0</x:v>
      </x:c>
    </x:row>
    <x:row r="258" ht="15" hidden="0" customHeight="1">
      <x:c r="A258" s="34" t="n">
        <x:v>64</x:v>
      </x:c>
      <x:c r="B258" s="34" t="str">
        <x:v>B1</x:v>
      </x:c>
      <x:c r="C258" s="34" t="str">
        <x:v>reference</x:v>
      </x:c>
      <x:c r="D258" s="74" t="n">
        <x:v>0.9938827568008878</x:v>
      </x:c>
      <x:c r="E258" s="74" t="n">
        <x:v>0.060380557945387055</x:v>
      </x:c>
      <x:c r="F258" s="74" t="n">
        <x:v>0.8979057228170022</x:v>
      </x:c>
      <x:c r="G258" s="74" t="n">
        <x:v>1.0474895240670135</x:v>
      </x:c>
      <x:c r="H258" s="74" t="n">
        <x:v>0.7298223142008463</x:v>
      </x:c>
      <x:c r="I258" s="74" t="n">
        <x:v>1.0467120531249547</x:v>
      </x:c>
      <x:c r="J258" s="74" t="n">
        <x:v>0.7917229104989919</x:v>
      </x:c>
      <x:c r="K258" s="74" t="n">
        <x:v>0.9684502053812263</x:v>
      </x:c>
      <x:c r="L258" s="74" t="n">
        <x:v>0.941371453047295</x:v>
      </x:c>
      <x:c r="M258" s="74" t="n">
        <x:v>1.0737907261114028</x:v>
      </x:c>
      <x:c r="N258" s="74" t="n">
        <x:v>0.9183412781770777</x:v>
      </x:c>
      <x:c r="O258" s="65" t="n">
        <x:v>478107.1013825157</x:v>
      </x:c>
      <x:c r="P258" s="65" t="n">
        <x:v>203741.79885529436</x:v>
      </x:c>
      <x:c r="Q258" s="65" t="n">
        <x:v>274365.3025272214</x:v>
      </x:c>
      <x:c r="R258" s="65" t="n">
        <x:v>118063.43601061607</x:v>
      </x:c>
      <x:c r="S258" s="65" t="n">
        <x:v>156301.86651660525</x:v>
      </x:c>
      <x:c r="T258" s="65" t="n">
        <x:v>174590.86342087016</x:v>
      </x:c>
      <x:c r="U258" s="43" t="n">
        <x:v>0.791313622370722</x:v>
      </x:c>
      <x:c r="V258" s="43" t="n">
        <x:v>0.8262423675635746</x:v>
      </x:c>
      <x:c r="W258" s="43" t="n">
        <x:v>0.453514987997831</x:v>
      </x:c>
      <x:c r="X258" s="65" t="n">
        <x:v>36787982.542517915</x:v>
      </x:c>
      <x:c r="Y258" s="65" t="n">
        <x:v>76.94506614969775</x:v>
      </x:c>
      <x:c r="Z258" s="65" t="n">
        <x:v>1096050.0838072107</x:v>
      </x:c>
      <x:c r="AA258" s="65" t="n">
        <x:v>202217.42866948852</x:v>
      </x:c>
      <x:c r="AB258" s="65" t="n">
        <x:v>547.2528740307989</x:v>
      </x:c>
      <x:c r="AC258" s="65" t="n">
        <x:v>0</x:v>
      </x:c>
      <x:c r="AD258" s="65" t="n">
        <x:v>1699.659525708574</x:v>
      </x:c>
      <x:c r="AE258" s="65" t="n">
        <x:v>99332.83870077593</x:v>
      </x:c>
      <x:c r="AF258" s="65" t="n">
        <x:v>174590.86342087016</x:v>
      </x:c>
      <x:c r="AG258" s="65" t="n">
        <x:v>0</x:v>
      </x:c>
      <x:c r="AH258" s="34" t="n">
        <x:v>0</x:v>
      </x:c>
    </x:row>
    <x:row r="259" ht="15" hidden="0" customHeight="1">
      <x:c r="A259" s="36" t="n">
        <x:v>64</x:v>
      </x:c>
      <x:c r="B259" s="36" t="str">
        <x:v>P2</x:v>
      </x:c>
      <x:c r="C259" s="36" t="str">
        <x:v>reference</x:v>
      </x:c>
      <x:c r="D259" s="75" t="n">
        <x:v>0.9938827568008878</x:v>
      </x:c>
      <x:c r="E259" s="75" t="n">
        <x:v>0.060380557945387055</x:v>
      </x:c>
      <x:c r="F259" s="75" t="n">
        <x:v>0.8979057228170022</x:v>
      </x:c>
      <x:c r="G259" s="75" t="n">
        <x:v>1.0474895240670135</x:v>
      </x:c>
      <x:c r="H259" s="75" t="n">
        <x:v>0.7298223142008463</x:v>
      </x:c>
      <x:c r="I259" s="75" t="n">
        <x:v>1.0467120531249547</x:v>
      </x:c>
      <x:c r="J259" s="75" t="n">
        <x:v>0.7917229104989919</x:v>
      </x:c>
      <x:c r="K259" s="75" t="n">
        <x:v>0.9684502053812263</x:v>
      </x:c>
      <x:c r="L259" s="75" t="n">
        <x:v>0.941371453047295</x:v>
      </x:c>
      <x:c r="M259" s="75" t="n">
        <x:v>1.0737907261114028</x:v>
      </x:c>
      <x:c r="N259" s="75" t="n">
        <x:v>0.9183412781770777</x:v>
      </x:c>
      <x:c r="O259" s="66" t="n">
        <x:v>478107.1013825157</x:v>
      </x:c>
      <x:c r="P259" s="66" t="n">
        <x:v>295160.08654763515</x:v>
      </x:c>
      <x:c r="Q259" s="66" t="n">
        <x:v>182947.0148348806</x:v>
      </x:c>
      <x:c r="R259" s="66" t="n">
        <x:v>118063.43601061607</x:v>
      </x:c>
      <x:c r="S259" s="66" t="n">
        <x:v>64883.57882426451</x:v>
      </x:c>
      <x:c r="T259" s="66" t="n">
        <x:v>113002.53554317477</x:v>
      </x:c>
      <x:c r="U259" s="45" t="n">
        <x:v>0.8537054164444509</x:v>
      </x:c>
      <x:c r="V259" s="45" t="n">
        <x:v>0.8772863884483234</x:v>
      </x:c>
      <x:c r="W259" s="45" t="n">
        <x:v>0.5595557021191098</x:v>
      </x:c>
      <x:c r="X259" s="66" t="n">
        <x:v>23991675.20562888</x:v>
      </x:c>
      <x:c r="Y259" s="66" t="n">
        <x:v>50.18054560631601</x:v>
      </x:c>
      <x:c r="Z259" s="66" t="n">
        <x:v>707071.4509519093</x:v>
      </x:c>
      <x:c r="AA259" s="66" t="n">
        <x:v>136958.37013383198</x:v>
      </x:c>
      <x:c r="AB259" s="66" t="n">
        <x:v>0</x:v>
      </x:c>
      <x:c r="AC259" s="66" t="n">
        <x:v>0</x:v>
      </x:c>
      <x:c r="AD259" s="66" t="n">
        <x:v>1490.9401423136844</x:v>
      </x:c>
      <x:c r="AE259" s="66" t="n">
        <x:v>61516.44616097161</x:v>
      </x:c>
      <x:c r="AF259" s="66" t="n">
        <x:v>113002.53554317485</x:v>
      </x:c>
      <x:c r="AG259" s="66" t="n">
        <x:v>0</x:v>
      </x:c>
      <x:c r="AH259" s="36" t="n">
        <x:v>0</x:v>
      </x:c>
    </x:row>
    <x:row r="260" ht="15" hidden="0" customHeight="1">
      <x:c r="A260" s="34" t="n">
        <x:v>64</x:v>
      </x:c>
      <x:c r="B260" s="34" t="str">
        <x:v>H3</x:v>
      </x:c>
      <x:c r="C260" s="34" t="str">
        <x:v>reference</x:v>
      </x:c>
      <x:c r="D260" s="74" t="n">
        <x:v>0.9938827568008878</x:v>
      </x:c>
      <x:c r="E260" s="74" t="n">
        <x:v>0.060380557945387055</x:v>
      </x:c>
      <x:c r="F260" s="74" t="n">
        <x:v>0.8979057228170022</x:v>
      </x:c>
      <x:c r="G260" s="74" t="n">
        <x:v>1.0474895240670135</x:v>
      </x:c>
      <x:c r="H260" s="74" t="n">
        <x:v>0.7298223142008463</x:v>
      </x:c>
      <x:c r="I260" s="74" t="n">
        <x:v>1.0467120531249547</x:v>
      </x:c>
      <x:c r="J260" s="74" t="n">
        <x:v>0.7917229104989919</x:v>
      </x:c>
      <x:c r="K260" s="74" t="n">
        <x:v>0.9684502053812263</x:v>
      </x:c>
      <x:c r="L260" s="74" t="n">
        <x:v>0.941371453047295</x:v>
      </x:c>
      <x:c r="M260" s="74" t="n">
        <x:v>1.0737907261114028</x:v>
      </x:c>
      <x:c r="N260" s="74" t="n">
        <x:v>0.9183412781770777</x:v>
      </x:c>
      <x:c r="O260" s="65" t="n">
        <x:v>478107.1013825157</x:v>
      </x:c>
      <x:c r="P260" s="65" t="n">
        <x:v>306186.5513242344</x:v>
      </x:c>
      <x:c r="Q260" s="65" t="n">
        <x:v>171920.55005828134</x:v>
      </x:c>
      <x:c r="R260" s="65" t="n">
        <x:v>118063.43601061607</x:v>
      </x:c>
      <x:c r="S260" s="65" t="n">
        <x:v>53857.114047665236</x:v>
      </x:c>
      <x:c r="T260" s="65" t="n">
        <x:v>167537.43379770478</x:v>
      </x:c>
      <x:c r="U260" s="43" t="n">
        <x:v>0.9908323548261423</x:v>
      </x:c>
      <x:c r="V260" s="43" t="n">
        <x:v>0.9947639640747468</x:v>
      </x:c>
      <x:c r="W260" s="43" t="n">
        <x:v>0.9083235482614223</x:v>
      </x:c>
      <x:c r="X260" s="65" t="n">
        <x:v>17599585.879249424</x:v>
      </x:c>
      <x:c r="Y260" s="65" t="n">
        <x:v>36.81096940070056</x:v>
      </x:c>
      <x:c r="Z260" s="65" t="n">
        <x:v>1022718.2403037928</x:v>
      </x:c>
      <x:c r="AA260" s="65" t="n">
        <x:v>110616.3644943923</x:v>
      </x:c>
      <x:c r="AB260" s="65" t="n">
        <x:v>0</x:v>
      </x:c>
      <x:c r="AC260" s="65" t="n">
        <x:v>0</x:v>
      </x:c>
      <x:c r="AD260" s="65" t="n">
        <x:v>1467.510007649199</x:v>
      </x:c>
      <x:c r="AE260" s="65" t="n">
        <x:v>47172.039138786145</x:v>
      </x:c>
      <x:c r="AF260" s="65" t="n">
        <x:v>167537.43379770487</x:v>
      </x:c>
      <x:c r="AG260" s="65" t="n">
        <x:v>0</x:v>
      </x:c>
      <x:c r="AH260" s="34" t="n">
        <x:v>1</x:v>
      </x:c>
    </x:row>
    <x:row r="261" ht="15" hidden="0" customHeight="1">
      <x:c r="A261" s="36" t="n">
        <x:v>65</x:v>
      </x:c>
      <x:c r="B261" s="36" t="str">
        <x:v>M0</x:v>
      </x:c>
      <x:c r="C261" s="36" t="str">
        <x:v>fast</x:v>
      </x:c>
      <x:c r="D261" s="75" t="n">
        <x:v>0.9946921030856928</x:v>
      </x:c>
      <x:c r="E261" s="75" t="n">
        <x:v>0.08304345362548918</x:v>
      </x:c>
      <x:c r="F261" s="75" t="n">
        <x:v>0.7621311177062984</x:v>
      </x:c>
      <x:c r="G261" s="75" t="n">
        <x:v>0.9161423309260637</x:v>
      </x:c>
      <x:c r="H261" s="75" t="n">
        <x:v>0.7460524325525069</x:v>
      </x:c>
      <x:c r="I261" s="75" t="n">
        <x:v>0.9116801126067091</x:v>
      </x:c>
      <x:c r="J261" s="75" t="n">
        <x:v>0.8557336052883144</x:v>
      </x:c>
      <x:c r="K261" s="75" t="n">
        <x:v>0.8756723216636593</x:v>
      </x:c>
      <x:c r="L261" s="75" t="n">
        <x:v>0.9244652983575956</x:v>
      </x:c>
      <x:c r="M261" s="75" t="n">
        <x:v>1.0425080350569755</x:v>
      </x:c>
      <x:c r="N261" s="75" t="n">
        <x:v>0.9872766777521503</x:v>
      </x:c>
      <x:c r="O261" s="66" t="n">
        <x:v>478496.4372509519</x:v>
      </x:c>
      <x:c r="P261" s="66" t="n">
        <x:v>49624.61262993673</x:v>
      </x:c>
      <x:c r="Q261" s="66" t="n">
        <x:v>428871.8246210151</x:v>
      </x:c>
      <x:c r="R261" s="66" t="n">
        <x:v>129003.6931806516</x:v>
      </x:c>
      <x:c r="S261" s="66" t="n">
        <x:v>299868.1314403636</x:v>
      </x:c>
      <x:c r="T261" s="66" t="n">
        <x:v>249918.1606538762</x:v>
      </x:c>
      <x:c r="U261" s="45" t="n">
        <x:v>0.6260083669687073</x:v>
      </x:c>
      <x:c r="V261" s="45" t="n">
        <x:v>0.6604699832186722</x:v>
      </x:c>
      <x:c r="W261" s="45" t="n">
        <x:v>0.10754531486004255</x:v>
      </x:c>
      <x:c r="X261" s="66" t="n">
        <x:v>56013664.22865007</x:v>
      </x:c>
      <x:c r="Y261" s="66" t="n">
        <x:v>117.06182087887352</x:v>
      </x:c>
      <x:c r="Z261" s="66" t="n">
        <x:v>3506558.187371462</x:v>
      </x:c>
      <x:c r="AA261" s="66" t="n">
        <x:v>314580.08298149286</x:v>
      </x:c>
      <x:c r="AB261" s="66" t="n">
        <x:v>23044.611558784185</x:v>
      </x:c>
      <x:c r="AC261" s="66" t="n">
        <x:v>0</x:v>
      </x:c>
      <x:c r="AD261" s="66" t="n">
        <x:v>2077.377840702751</x:v>
      </x:c>
      <x:c r="AE261" s="66" t="n">
        <x:v>172202.99872357902</x:v>
      </x:c>
      <x:c r="AF261" s="66" t="n">
        <x:v>249918.1606538763</x:v>
      </x:c>
      <x:c r="AG261" s="66" t="n">
        <x:v>0</x:v>
      </x:c>
      <x:c r="AH261" s="36" t="n">
        <x:v>0</x:v>
      </x:c>
    </x:row>
    <x:row r="262" ht="15" hidden="0" customHeight="1">
      <x:c r="A262" s="34" t="n">
        <x:v>65</x:v>
      </x:c>
      <x:c r="B262" s="34" t="str">
        <x:v>B1</x:v>
      </x:c>
      <x:c r="C262" s="34" t="str">
        <x:v>fast</x:v>
      </x:c>
      <x:c r="D262" s="74" t="n">
        <x:v>0.9946921030856928</x:v>
      </x:c>
      <x:c r="E262" s="74" t="n">
        <x:v>0.08304345362548918</x:v>
      </x:c>
      <x:c r="F262" s="74" t="n">
        <x:v>0.7621311177062984</x:v>
      </x:c>
      <x:c r="G262" s="74" t="n">
        <x:v>0.9161423309260637</x:v>
      </x:c>
      <x:c r="H262" s="74" t="n">
        <x:v>0.7460524325525069</x:v>
      </x:c>
      <x:c r="I262" s="74" t="n">
        <x:v>0.9116801126067091</x:v>
      </x:c>
      <x:c r="J262" s="74" t="n">
        <x:v>0.8557336052883144</x:v>
      </x:c>
      <x:c r="K262" s="74" t="n">
        <x:v>0.8756723216636593</x:v>
      </x:c>
      <x:c r="L262" s="74" t="n">
        <x:v>0.9244652983575956</x:v>
      </x:c>
      <x:c r="M262" s="74" t="n">
        <x:v>1.0425080350569755</x:v>
      </x:c>
      <x:c r="N262" s="74" t="n">
        <x:v>0.9872766777521503</x:v>
      </x:c>
      <x:c r="O262" s="65" t="n">
        <x:v>478496.4372509519</x:v>
      </x:c>
      <x:c r="P262" s="65" t="n">
        <x:v>167865.2972346589</x:v>
      </x:c>
      <x:c r="Q262" s="65" t="n">
        <x:v>310631.140016293</x:v>
      </x:c>
      <x:c r="R262" s="65" t="n">
        <x:v>129003.6931806516</x:v>
      </x:c>
      <x:c r="S262" s="65" t="n">
        <x:v>181627.4468356414</x:v>
      </x:c>
      <x:c r="T262" s="65" t="n">
        <x:v>178942.07805467764</x:v>
      </x:c>
      <x:c r="U262" s="43" t="n">
        <x:v>0.7247857001439912</x:v>
      </x:c>
      <x:c r="V262" s="43" t="n">
        <x:v>0.7694822683923392</x:v>
      </x:c>
      <x:c r="W262" s="43" t="n">
        <x:v>0.3882630235546719</x:v>
      </x:c>
      <x:c r="X262" s="65" t="n">
        <x:v>41973117.664965965</x:v>
      </x:c>
      <x:c r="Y262" s="65" t="n">
        <x:v>87.71876736660586</x:v>
      </x:c>
      <x:c r="Z262" s="65" t="n">
        <x:v>1238732.2784092983</x:v>
      </x:c>
      <x:c r="AA262" s="65" t="n">
        <x:v>236484.94650809467</x:v>
      </x:c>
      <x:c r="AB262" s="65" t="n">
        <x:v>3565.6523544040165</x:v>
      </x:c>
      <x:c r="AC262" s="65" t="n">
        <x:v>0</x:v>
      </x:c>
      <x:c r="AD262" s="65" t="n">
        <x:v>1801.010928392136</x:v>
      </x:c>
      <x:c r="AE262" s="65" t="n">
        <x:v>116960.30913308608</x:v>
      </x:c>
      <x:c r="AF262" s="65" t="n">
        <x:v>178942.07805467767</x:v>
      </x:c>
      <x:c r="AG262" s="65" t="n">
        <x:v>0</x:v>
      </x:c>
      <x:c r="AH262" s="34" t="n">
        <x:v>0</x:v>
      </x:c>
    </x:row>
    <x:row r="263" ht="15" hidden="0" customHeight="1">
      <x:c r="A263" s="36" t="n">
        <x:v>65</x:v>
      </x:c>
      <x:c r="B263" s="36" t="str">
        <x:v>P2</x:v>
      </x:c>
      <x:c r="C263" s="36" t="str">
        <x:v>fast</x:v>
      </x:c>
      <x:c r="D263" s="75" t="n">
        <x:v>0.9946921030856928</x:v>
      </x:c>
      <x:c r="E263" s="75" t="n">
        <x:v>0.08304345362548918</x:v>
      </x:c>
      <x:c r="F263" s="75" t="n">
        <x:v>0.7621311177062984</x:v>
      </x:c>
      <x:c r="G263" s="75" t="n">
        <x:v>0.9161423309260637</x:v>
      </x:c>
      <x:c r="H263" s="75" t="n">
        <x:v>0.7460524325525069</x:v>
      </x:c>
      <x:c r="I263" s="75" t="n">
        <x:v>0.9116801126067091</x:v>
      </x:c>
      <x:c r="J263" s="75" t="n">
        <x:v>0.8557336052883144</x:v>
      </x:c>
      <x:c r="K263" s="75" t="n">
        <x:v>0.8756723216636593</x:v>
      </x:c>
      <x:c r="L263" s="75" t="n">
        <x:v>0.9244652983575956</x:v>
      </x:c>
      <x:c r="M263" s="75" t="n">
        <x:v>1.0425080350569755</x:v>
      </x:c>
      <x:c r="N263" s="75" t="n">
        <x:v>0.9872766777521503</x:v>
      </x:c>
      <x:c r="O263" s="66" t="n">
        <x:v>478496.4372509519</x:v>
      </x:c>
      <x:c r="P263" s="66" t="n">
        <x:v>243186.40380201754</x:v>
      </x:c>
      <x:c r="Q263" s="66" t="n">
        <x:v>235310.03344893432</x:v>
      </x:c>
      <x:c r="R263" s="66" t="n">
        <x:v>129003.6931806516</x:v>
      </x:c>
      <x:c r="S263" s="66" t="n">
        <x:v>106306.34026828276</x:v>
      </x:c>
      <x:c r="T263" s="66" t="n">
        <x:v>116118.18767351695</x:v>
      </x:c>
      <x:c r="U263" s="45" t="n">
        <x:v>0.750903378800068</x:v>
      </x:c>
      <x:c r="V263" s="45" t="n">
        <x:v>0.7733719564991469</x:v>
      </x:c>
      <x:c r="W263" s="45" t="n">
        <x:v>0.5315565398276326</x:v>
      </x:c>
      <x:c r="X263" s="66" t="n">
        <x:v>32221267.763536576</x:v>
      </x:c>
      <x:c r="Y263" s="66" t="n">
        <x:v>67.33857403130013</x:v>
      </x:c>
      <x:c r="Z263" s="66" t="n">
        <x:v>726391.2159712593</x:v>
      </x:c>
      <x:c r="AA263" s="66" t="n">
        <x:v>186787.8755107555</x:v>
      </x:c>
      <x:c r="AB263" s="66" t="n">
        <x:v>0</x:v>
      </x:c>
      <x:c r="AC263" s="66" t="n">
        <x:v>0</x:v>
      </x:c>
      <x:c r="AD263" s="66" t="n">
        <x:v>1634.0213871918845</x:v>
      </x:c>
      <x:c r="AE263" s="66" t="n">
        <x:v>74684.17981471804</x:v>
      </x:c>
      <x:c r="AF263" s="66" t="n">
        <x:v>116118.1876735169</x:v>
      </x:c>
      <x:c r="AG263" s="66" t="n">
        <x:v>4.3655745685100555e-11</x:v>
      </x:c>
      <x:c r="AH263" s="36" t="n">
        <x:v>0</x:v>
      </x:c>
    </x:row>
    <x:row r="264" ht="15" hidden="0" customHeight="1">
      <x:c r="A264" s="34" t="n">
        <x:v>65</x:v>
      </x:c>
      <x:c r="B264" s="34" t="str">
        <x:v>H3</x:v>
      </x:c>
      <x:c r="C264" s="34" t="str">
        <x:v>fast</x:v>
      </x:c>
      <x:c r="D264" s="74" t="n">
        <x:v>0.9946921030856928</x:v>
      </x:c>
      <x:c r="E264" s="74" t="n">
        <x:v>0.08304345362548918</x:v>
      </x:c>
      <x:c r="F264" s="74" t="n">
        <x:v>0.7621311177062984</x:v>
      </x:c>
      <x:c r="G264" s="74" t="n">
        <x:v>0.9161423309260637</x:v>
      </x:c>
      <x:c r="H264" s="74" t="n">
        <x:v>0.7460524325525069</x:v>
      </x:c>
      <x:c r="I264" s="74" t="n">
        <x:v>0.9116801126067091</x:v>
      </x:c>
      <x:c r="J264" s="74" t="n">
        <x:v>0.8557336052883144</x:v>
      </x:c>
      <x:c r="K264" s="74" t="n">
        <x:v>0.8756723216636593</x:v>
      </x:c>
      <x:c r="L264" s="74" t="n">
        <x:v>0.9244652983575956</x:v>
      </x:c>
      <x:c r="M264" s="74" t="n">
        <x:v>1.0425080350569755</x:v>
      </x:c>
      <x:c r="N264" s="74" t="n">
        <x:v>0.9872766777521503</x:v>
      </x:c>
      <x:c r="O264" s="65" t="n">
        <x:v>478496.4372509519</x:v>
      </x:c>
      <x:c r="P264" s="65" t="n">
        <x:v>252271.356623205</x:v>
      </x:c>
      <x:c r="Q264" s="65" t="n">
        <x:v>226225.08062774688</x:v>
      </x:c>
      <x:c r="R264" s="65" t="n">
        <x:v>129003.6931806516</x:v>
      </x:c>
      <x:c r="S264" s="65" t="n">
        <x:v>97221.38744709527</x:v>
      </x:c>
      <x:c r="T264" s="65" t="n">
        <x:v>178971.08804941585</x:v>
      </x:c>
      <x:c r="U264" s="43" t="n">
        <x:v>0.9012448392514399</x:v>
      </x:c>
      <x:c r="V264" s="43" t="n">
        <x:v>0.9268485312177225</x:v>
      </x:c>
      <x:c r="W264" s="43" t="n">
        <x:v>0.6505407912762023</x:v>
      </x:c>
      <x:c r="X264" s="65" t="n">
        <x:v>25493317.5192777</x:v>
      </x:c>
      <x:c r="Y264" s="65" t="n">
        <x:v>53.27796726291505</x:v>
      </x:c>
      <x:c r="Z264" s="65" t="n">
        <x:v>1170265.0091873533</x:v>
      </x:c>
      <x:c r="AA264" s="65" t="n">
        <x:v>157349.12464966212</x:v>
      </x:c>
      <x:c r="AB264" s="65" t="n">
        <x:v>2086.2097493565884</x:v>
      </x:c>
      <x:c r="AC264" s="65" t="n">
        <x:v>0</x:v>
      </x:c>
      <x:c r="AD264" s="65" t="n">
        <x:v>1615.2757039963758</x:v>
      </x:c>
      <x:c r="AE264" s="65" t="n">
        <x:v>52403.588763067964</x:v>
      </x:c>
      <x:c r="AF264" s="65" t="n">
        <x:v>178971.08804941588</x:v>
      </x:c>
      <x:c r="AG264" s="65" t="n">
        <x:v>0</x:v>
      </x:c>
      <x:c r="AH264" s="34" t="n">
        <x:v>0</x:v>
      </x:c>
    </x:row>
    <x:row r="265" ht="15" hidden="0" customHeight="1">
      <x:c r="A265" s="36" t="n">
        <x:v>66</x:v>
      </x:c>
      <x:c r="B265" s="36" t="str">
        <x:v>M0</x:v>
      </x:c>
      <x:c r="C265" s="36" t="str">
        <x:v>fast</x:v>
      </x:c>
      <x:c r="D265" s="75" t="n">
        <x:v>1.054405032221472</x:v>
      </x:c>
      <x:c r="E265" s="75" t="n">
        <x:v>0.08576100072269444</x:v>
      </x:c>
      <x:c r="F265" s="75" t="n">
        <x:v>1.0276041483568081</x:v>
      </x:c>
      <x:c r="G265" s="75" t="n">
        <x:v>0.9053599666749147</x:v>
      </x:c>
      <x:c r="H265" s="75" t="n">
        <x:v>0.9193284498905807</x:v>
      </x:c>
      <x:c r="I265" s="75" t="n">
        <x:v>1.0286947712735348</x:v>
      </x:c>
      <x:c r="J265" s="75" t="n">
        <x:v>0.9425450715926504</x:v>
      </x:c>
      <x:c r="K265" s="75" t="n">
        <x:v>0.9366151856252856</x:v>
      </x:c>
      <x:c r="L265" s="75" t="n">
        <x:v>0.7855518798903004</x:v>
      </x:c>
      <x:c r="M265" s="75" t="n">
        <x:v>0.9047505981652805</x:v>
      </x:c>
      <x:c r="N265" s="75" t="n">
        <x:v>0.9131364845897256</x:v>
      </x:c>
      <x:c r="O265" s="66" t="n">
        <x:v>507221.3298691326</x:v>
      </x:c>
      <x:c r="P265" s="66" t="n">
        <x:v>70663.13176945096</x:v>
      </x:c>
      <x:c r="Q265" s="66" t="n">
        <x:v>436558.19809968164</x:v>
      </x:c>
      <x:c r="R265" s="66" t="n">
        <x:v>138126.38533827307</x:v>
      </x:c>
      <x:c r="S265" s="66" t="n">
        <x:v>298431.8127614086</x:v>
      </x:c>
      <x:c r="T265" s="66" t="n">
        <x:v>268350.27590086317</x:v>
      </x:c>
      <x:c r="U265" s="45" t="n">
        <x:v>0.6683737211086577</x:v>
      </x:c>
      <x:c r="V265" s="45" t="n">
        <x:v>0.7161149628123552</x:v>
      </x:c>
      <x:c r="W265" s="45" t="n">
        <x:v>0.1484057122110474</x:v>
      </x:c>
      <x:c r="X265" s="66" t="n">
        <x:v>56963580.38666389</x:v>
      </x:c>
      <x:c r="Y265" s="66" t="n">
        <x:v>112.30517533905953</x:v>
      </x:c>
      <x:c r="Z265" s="66" t="n">
        <x:v>3004690.9499173155</x:v>
      </x:c>
      <x:c r="AA265" s="66" t="n">
        <x:v>319902.9290069095</x:v>
      </x:c>
      <x:c r="AB265" s="66" t="n">
        <x:v>15138.60115139042</x:v>
      </x:c>
      <x:c r="AC265" s="66" t="n">
        <x:v>0</x:v>
      </x:c>
      <x:c r="AD265" s="66" t="n">
        <x:v>2158.3129439345776</x:v>
      </x:c>
      <x:c r="AE265" s="66" t="n">
        <x:v>215753.61438849496</x:v>
      </x:c>
      <x:c r="AF265" s="66" t="n">
        <x:v>268350.2759008632</x:v>
      </x:c>
      <x:c r="AG265" s="66" t="n">
        <x:v>0</x:v>
      </x:c>
      <x:c r="AH265" s="36" t="n">
        <x:v>0</x:v>
      </x:c>
    </x:row>
    <x:row r="266" ht="15" hidden="0" customHeight="1">
      <x:c r="A266" s="34" t="n">
        <x:v>66</x:v>
      </x:c>
      <x:c r="B266" s="34" t="str">
        <x:v>B1</x:v>
      </x:c>
      <x:c r="C266" s="34" t="str">
        <x:v>fast</x:v>
      </x:c>
      <x:c r="D266" s="74" t="n">
        <x:v>1.054405032221472</x:v>
      </x:c>
      <x:c r="E266" s="74" t="n">
        <x:v>0.08576100072269444</x:v>
      </x:c>
      <x:c r="F266" s="74" t="n">
        <x:v>1.0276041483568081</x:v>
      </x:c>
      <x:c r="G266" s="74" t="n">
        <x:v>0.9053599666749147</x:v>
      </x:c>
      <x:c r="H266" s="74" t="n">
        <x:v>0.9193284498905807</x:v>
      </x:c>
      <x:c r="I266" s="74" t="n">
        <x:v>1.0286947712735348</x:v>
      </x:c>
      <x:c r="J266" s="74" t="n">
        <x:v>0.9425450715926504</x:v>
      </x:c>
      <x:c r="K266" s="74" t="n">
        <x:v>0.9366151856252856</x:v>
      </x:c>
      <x:c r="L266" s="74" t="n">
        <x:v>0.7855518798903004</x:v>
      </x:c>
      <x:c r="M266" s="74" t="n">
        <x:v>0.9047505981652805</x:v>
      </x:c>
      <x:c r="N266" s="74" t="n">
        <x:v>0.9131364845897256</x:v>
      </x:c>
      <x:c r="O266" s="65" t="n">
        <x:v>507221.3298691326</x:v>
      </x:c>
      <x:c r="P266" s="65" t="n">
        <x:v>239032.45282772594</x:v>
      </x:c>
      <x:c r="Q266" s="65" t="n">
        <x:v>268188.8770414067</x:v>
      </x:c>
      <x:c r="R266" s="65" t="n">
        <x:v>138126.38533827307</x:v>
      </x:c>
      <x:c r="S266" s="65" t="n">
        <x:v>130062.49170313362</x:v>
      </x:c>
      <x:c r="T266" s="65" t="n">
        <x:v>197876.36564040615</x:v>
      </x:c>
      <x:c r="U266" s="43" t="n">
        <x:v>0.861377061135931</x:v>
      </x:c>
      <x:c r="V266" s="43" t="n">
        <x:v>0.89365088454377</x:v>
      </x:c>
      <x:c r="W266" s="43" t="n">
        <x:v>0.5499517941869004</x:v>
      </x:c>
      <x:c r="X266" s="65" t="n">
        <x:v>34878903.11816995</x:v>
      </x:c>
      <x:c r="Y266" s="65" t="n">
        <x:v>68.76466162645211</x:v>
      </x:c>
      <x:c r="Z266" s="65" t="n">
        <x:v>1282057.4298458907</x:v>
      </x:c>
      <x:c r="AA266" s="65" t="n">
        <x:v>189759.6497844709</x:v>
      </x:c>
      <x:c r="AB266" s="65" t="n">
        <x:v>2657.5679298162013</x:v>
      </x:c>
      <x:c r="AC266" s="65" t="n">
        <x:v>0</x:v>
      </x:c>
      <x:c r="AD266" s="65" t="n">
        <x:v>1766.2346449777506</x:v>
      </x:c>
      <x:c r="AE266" s="65" t="n">
        <x:v>129160.28590768088</x:v>
      </x:c>
      <x:c r="AF266" s="65" t="n">
        <x:v>197876.36564040606</x:v>
      </x:c>
      <x:c r="AG266" s="65" t="n">
        <x:v>8.731149137020111e-11</x:v>
      </x:c>
      <x:c r="AH266" s="34" t="n">
        <x:v>0</x:v>
      </x:c>
    </x:row>
    <x:row r="267" ht="15" hidden="0" customHeight="1">
      <x:c r="A267" s="36" t="n">
        <x:v>66</x:v>
      </x:c>
      <x:c r="B267" s="36" t="str">
        <x:v>P2</x:v>
      </x:c>
      <x:c r="C267" s="36" t="str">
        <x:v>fast</x:v>
      </x:c>
      <x:c r="D267" s="75" t="n">
        <x:v>1.054405032221472</x:v>
      </x:c>
      <x:c r="E267" s="75" t="n">
        <x:v>0.08576100072269444</x:v>
      </x:c>
      <x:c r="F267" s="75" t="n">
        <x:v>1.0276041483568081</x:v>
      </x:c>
      <x:c r="G267" s="75" t="n">
        <x:v>0.9053599666749147</x:v>
      </x:c>
      <x:c r="H267" s="75" t="n">
        <x:v>0.9193284498905807</x:v>
      </x:c>
      <x:c r="I267" s="75" t="n">
        <x:v>1.0286947712735348</x:v>
      </x:c>
      <x:c r="J267" s="75" t="n">
        <x:v>0.9425450715926504</x:v>
      </x:c>
      <x:c r="K267" s="75" t="n">
        <x:v>0.9366151856252856</x:v>
      </x:c>
      <x:c r="L267" s="75" t="n">
        <x:v>0.7855518798903004</x:v>
      </x:c>
      <x:c r="M267" s="75" t="n">
        <x:v>0.9047505981652805</x:v>
      </x:c>
      <x:c r="N267" s="75" t="n">
        <x:v>0.9131364845897256</x:v>
      </x:c>
      <x:c r="O267" s="66" t="n">
        <x:v>507221.3298691326</x:v>
      </x:c>
      <x:c r="P267" s="66" t="n">
        <x:v>346286.3264123348</x:v>
      </x:c>
      <x:c r="Q267" s="66" t="n">
        <x:v>160935.00345679786</x:v>
      </x:c>
      <x:c r="R267" s="66" t="n">
        <x:v>138126.38533827307</x:v>
      </x:c>
      <x:c r="S267" s="66" t="n">
        <x:v>22808.618118524784</x:v>
      </x:c>
      <x:c r="T267" s="66" t="n">
        <x:v>133697.2819951481</x:v>
      </x:c>
      <x:c r="U267" s="45" t="n">
        <x:v>0.9463001260836619</x:v>
      </x:c>
      <x:c r="V267" s="45" t="n">
        <x:v>0.957994183234509</x:v>
      </x:c>
      <x:c r="W267" s="45" t="n">
        <x:v>0.8179096983257038</x:v>
      </x:c>
      <x:c r="X267" s="66" t="n">
        <x:v>19278446.866361503</x:v>
      </x:c>
      <x:c r="Y267" s="66" t="n">
        <x:v>38.00795773185545</x:v>
      </x:c>
      <x:c r="Z267" s="66" t="n">
        <x:v>837978.5279613949</x:v>
      </x:c>
      <x:c r="AA267" s="66" t="n">
        <x:v>110419.47701288752</x:v>
      </x:c>
      <x:c r="AB267" s="66" t="n">
        <x:v>0</x:v>
      </x:c>
      <x:c r="AC267" s="66" t="n">
        <x:v>0</x:v>
      </x:c>
      <x:c r="AD267" s="66" t="n">
        <x:v>1529.328661153649</x:v>
      </x:c>
      <x:c r="AE267" s="66" t="n">
        <x:v>69981.85717902827</x:v>
      </x:c>
      <x:c r="AF267" s="66" t="n">
        <x:v>133697.28199514808</x:v>
      </x:c>
      <x:c r="AG267" s="66" t="n">
        <x:v>2.9103830456733704e-11</x:v>
      </x:c>
      <x:c r="AH267" s="36" t="n">
        <x:v>0</x:v>
      </x:c>
    </x:row>
    <x:row r="268" ht="15" hidden="0" customHeight="1">
      <x:c r="A268" s="34" t="n">
        <x:v>66</x:v>
      </x:c>
      <x:c r="B268" s="34" t="str">
        <x:v>H3</x:v>
      </x:c>
      <x:c r="C268" s="34" t="str">
        <x:v>fast</x:v>
      </x:c>
      <x:c r="D268" s="74" t="n">
        <x:v>1.054405032221472</x:v>
      </x:c>
      <x:c r="E268" s="74" t="n">
        <x:v>0.08576100072269444</x:v>
      </x:c>
      <x:c r="F268" s="74" t="n">
        <x:v>1.0276041483568081</x:v>
      </x:c>
      <x:c r="G268" s="74" t="n">
        <x:v>0.9053599666749147</x:v>
      </x:c>
      <x:c r="H268" s="74" t="n">
        <x:v>0.9193284498905807</x:v>
      </x:c>
      <x:c r="I268" s="74" t="n">
        <x:v>1.0286947712735348</x:v>
      </x:c>
      <x:c r="J268" s="74" t="n">
        <x:v>0.9425450715926504</x:v>
      </x:c>
      <x:c r="K268" s="74" t="n">
        <x:v>0.9366151856252856</x:v>
      </x:c>
      <x:c r="L268" s="74" t="n">
        <x:v>0.7855518798903004</x:v>
      </x:c>
      <x:c r="M268" s="74" t="n">
        <x:v>0.9047505981652805</x:v>
      </x:c>
      <x:c r="N268" s="74" t="n">
        <x:v>0.9131364845897256</x:v>
      </x:c>
      <x:c r="O268" s="65" t="n">
        <x:v>507221.3298691326</x:v>
      </x:c>
      <x:c r="P268" s="65" t="n">
        <x:v>359222.90153386886</x:v>
      </x:c>
      <x:c r="Q268" s="65" t="n">
        <x:v>147998.4283352638</x:v>
      </x:c>
      <x:c r="R268" s="65" t="n">
        <x:v>138126.38533827307</x:v>
      </x:c>
      <x:c r="S268" s="65" t="n">
        <x:v>9872.042996990745</x:v>
      </x:c>
      <x:c r="T268" s="65" t="n">
        <x:v>146495.6939415593</x:v>
      </x:c>
      <x:c r="U268" s="43" t="n">
        <x:v>0.9970373201890146</x:v>
      </x:c>
      <x:c r="V268" s="43" t="n">
        <x:v>0.99813398199652</x:v>
      </x:c>
      <x:c r="W268" s="43" t="n">
        <x:v>0.9703732018901444</x:v>
      </x:c>
      <x:c r="X268" s="65" t="n">
        <x:v>13089810.367822053</x:v>
      </x:c>
      <x:c r="Y268" s="65" t="n">
        <x:v>25.806900453494997</x:v>
      </x:c>
      <x:c r="Z268" s="65" t="n">
        <x:v>911701.733600475</x:v>
      </x:c>
      <x:c r="AA268" s="65" t="n">
        <x:v>92110.08131398767</x:v>
      </x:c>
      <x:c r="AB268" s="65" t="n">
        <x:v>1263.2881037707489</x:v>
      </x:c>
      <x:c r="AC268" s="65" t="n">
        <x:v>0</x:v>
      </x:c>
      <x:c r="AD268" s="65" t="n">
        <x:v>1502.7343937045193</x:v>
      </x:c>
      <x:c r="AE268" s="65" t="n">
        <x:v>68626.42207561793</x:v>
      </x:c>
      <x:c r="AF268" s="65" t="n">
        <x:v>146495.69394155926</x:v>
      </x:c>
      <x:c r="AG268" s="65" t="n">
        <x:v>2.9103830456733704e-11</x:v>
      </x:c>
      <x:c r="AH268" s="34" t="n">
        <x:v>1</x:v>
      </x:c>
    </x:row>
    <x:row r="269" ht="15" hidden="0" customHeight="1">
      <x:c r="A269" s="36" t="n">
        <x:v>67</x:v>
      </x:c>
      <x:c r="B269" s="36" t="str">
        <x:v>M0</x:v>
      </x:c>
      <x:c r="C269" s="36" t="str">
        <x:v>reference</x:v>
      </x:c>
      <x:c r="D269" s="75" t="n">
        <x:v>1.0751763454041194</x:v>
      </x:c>
      <x:c r="E269" s="75" t="n">
        <x:v>0.08631080707165661</x:v>
      </x:c>
      <x:c r="F269" s="75" t="n">
        <x:v>1.0464472237246105</x:v>
      </x:c>
      <x:c r="G269" s="75" t="n">
        <x:v>1.2137986892382249</x:v>
      </x:c>
      <x:c r="H269" s="75" t="n">
        <x:v>0.8493583140438612</x:v>
      </x:c>
      <x:c r="I269" s="75" t="n">
        <x:v>1.0229096233449217</x:v>
      </x:c>
      <x:c r="J269" s="75" t="n">
        <x:v>1.055239790276345</x:v>
      </x:c>
      <x:c r="K269" s="75" t="n">
        <x:v>0.7692347121682619</x:v>
      </x:c>
      <x:c r="L269" s="75" t="n">
        <x:v>0.9426083912803155</x:v>
      </x:c>
      <x:c r="M269" s="75" t="n">
        <x:v>0.8794565554613227</x:v>
      </x:c>
      <x:c r="N269" s="75" t="n">
        <x:v>0.9761886946201936</x:v>
      </x:c>
      <x:c r="O269" s="66" t="n">
        <x:v>517213.36592138256</x:v>
      </x:c>
      <x:c r="P269" s="66" t="n">
        <x:v>73320.98078576896</x:v>
      </x:c>
      <x:c r="Q269" s="66" t="n">
        <x:v>443892.3851356136</x:v>
      </x:c>
      <x:c r="R269" s="66" t="n">
        <x:v>141131.78128235936</x:v>
      </x:c>
      <x:c r="S269" s="66" t="n">
        <x:v>302760.60385325423</x:v>
      </x:c>
      <x:c r="T269" s="66" t="n">
        <x:v>280861.67908895895</x:v>
      </x:c>
      <x:c r="U269" s="45" t="n">
        <x:v>0.6847902301282838</x:v>
      </x:c>
      <x:c r="V269" s="45" t="n">
        <x:v>0.7214980222122804</x:v>
      </x:c>
      <x:c r="W269" s="45" t="n">
        <x:v>0.1484732075363385</x:v>
      </x:c>
      <x:c r="X269" s="66" t="n">
        <x:v>57647731.13139766</x:v>
      </x:c>
      <x:c r="Y269" s="66" t="n">
        <x:v>111.45831668271354</x:v>
      </x:c>
      <x:c r="Z269" s="66" t="n">
        <x:v>4250124.977489947</x:v>
      </x:c>
      <x:c r="AA269" s="66" t="n">
        <x:v>316075.0458551631</x:v>
      </x:c>
      <x:c r="AB269" s="66" t="n">
        <x:v>30618.027009041798</x:v>
      </x:c>
      <x:c r="AC269" s="66" t="n">
        <x:v>0</x:v>
      </x:c>
      <x:c r="AD269" s="66" t="n">
        <x:v>2197.86461481522</x:v>
      </x:c>
      <x:c r="AE269" s="66" t="n">
        <x:v>224633.2102788358</x:v>
      </x:c>
      <x:c r="AF269" s="66" t="n">
        <x:v>280861.67908895883</x:v>
      </x:c>
      <x:c r="AG269" s="66" t="n">
        <x:v>1.1641532182693481e-10</x:v>
      </x:c>
      <x:c r="AH269" s="36" t="n">
        <x:v>0</x:v>
      </x:c>
    </x:row>
    <x:row r="270" ht="15" hidden="0" customHeight="1">
      <x:c r="A270" s="34" t="n">
        <x:v>67</x:v>
      </x:c>
      <x:c r="B270" s="34" t="str">
        <x:v>B1</x:v>
      </x:c>
      <x:c r="C270" s="34" t="str">
        <x:v>reference</x:v>
      </x:c>
      <x:c r="D270" s="74" t="n">
        <x:v>1.0751763454041194</x:v>
      </x:c>
      <x:c r="E270" s="74" t="n">
        <x:v>0.08631080707165661</x:v>
      </x:c>
      <x:c r="F270" s="74" t="n">
        <x:v>1.0464472237246105</x:v>
      </x:c>
      <x:c r="G270" s="74" t="n">
        <x:v>1.2137986892382249</x:v>
      </x:c>
      <x:c r="H270" s="74" t="n">
        <x:v>0.8493583140438612</x:v>
      </x:c>
      <x:c r="I270" s="74" t="n">
        <x:v>1.0229096233449217</x:v>
      </x:c>
      <x:c r="J270" s="74" t="n">
        <x:v>1.055239790276345</x:v>
      </x:c>
      <x:c r="K270" s="74" t="n">
        <x:v>0.7692347121682619</x:v>
      </x:c>
      <x:c r="L270" s="74" t="n">
        <x:v>0.9426083912803155</x:v>
      </x:c>
      <x:c r="M270" s="74" t="n">
        <x:v>0.8794565554613227</x:v>
      </x:c>
      <x:c r="N270" s="74" t="n">
        <x:v>0.9761886946201936</x:v>
      </x:c>
      <x:c r="O270" s="65" t="n">
        <x:v>517213.36592138256</x:v>
      </x:c>
      <x:c r="P270" s="65" t="n">
        <x:v>248023.19146313722</x:v>
      </x:c>
      <x:c r="Q270" s="65" t="n">
        <x:v>269190.1744582454</x:v>
      </x:c>
      <x:c r="R270" s="65" t="n">
        <x:v>141131.78128235936</x:v>
      </x:c>
      <x:c r="S270" s="65" t="n">
        <x:v>128058.39317588598</x:v>
      </x:c>
      <x:c r="T270" s="65" t="n">
        <x:v>192261.49055058023</x:v>
      </x:c>
      <x:c r="U270" s="43" t="n">
        <x:v>0.851263155640571</x:v>
      </x:c>
      <x:c r="V270" s="43" t="n">
        <x:v>0.8744211881170173</x:v>
      </x:c>
      <x:c r="W270" s="43" t="n">
        <x:v>0.5138654346404244</x:v>
      </x:c>
      <x:c r="X270" s="65" t="n">
        <x:v>34983015.40734564</x:v>
      </x:c>
      <x:c r="Y270" s="65" t="n">
        <x:v>67.63749298130692</x:v>
      </x:c>
      <x:c r="Z270" s="65" t="n">
        <x:v>1353364.8477815392</x:v>
      </x:c>
      <x:c r="AA270" s="65" t="n">
        <x:v>187978.3526683927</x:v>
      </x:c>
      <x:c r="AB270" s="65" t="n">
        <x:v>2146.784697246503</x:v>
      </x:c>
      <x:c r="AC270" s="65" t="n">
        <x:v>17320.163167182014</x:v>
      </x:c>
      <x:c r="AD270" s="65" t="n">
        <x:v>1791.3459694345377</x:v>
      </x:c>
      <x:c r="AE270" s="65" t="n">
        <x:v>120759.54455076312</x:v>
      </x:c>
      <x:c r="AF270" s="65" t="n">
        <x:v>192261.49055058003</x:v>
      </x:c>
      <x:c r="AG270" s="65" t="n">
        <x:v>2.0372681319713593e-10</x:v>
      </x:c>
      <x:c r="AH270" s="34" t="n">
        <x:v>0</x:v>
      </x:c>
    </x:row>
    <x:row r="271" ht="15" hidden="0" customHeight="1">
      <x:c r="A271" s="36" t="n">
        <x:v>67</x:v>
      </x:c>
      <x:c r="B271" s="36" t="str">
        <x:v>P2</x:v>
      </x:c>
      <x:c r="C271" s="36" t="str">
        <x:v>reference</x:v>
      </x:c>
      <x:c r="D271" s="75" t="n">
        <x:v>1.0751763454041194</x:v>
      </x:c>
      <x:c r="E271" s="75" t="n">
        <x:v>0.08631080707165661</x:v>
      </x:c>
      <x:c r="F271" s="75" t="n">
        <x:v>1.0464472237246105</x:v>
      </x:c>
      <x:c r="G271" s="75" t="n">
        <x:v>1.2137986892382249</x:v>
      </x:c>
      <x:c r="H271" s="75" t="n">
        <x:v>0.8493583140438612</x:v>
      </x:c>
      <x:c r="I271" s="75" t="n">
        <x:v>1.0229096233449217</x:v>
      </x:c>
      <x:c r="J271" s="75" t="n">
        <x:v>1.055239790276345</x:v>
      </x:c>
      <x:c r="K271" s="75" t="n">
        <x:v>0.7692347121682619</x:v>
      </x:c>
      <x:c r="L271" s="75" t="n">
        <x:v>0.9426083912803155</x:v>
      </x:c>
      <x:c r="M271" s="75" t="n">
        <x:v>0.8794565554613227</x:v>
      </x:c>
      <x:c r="N271" s="75" t="n">
        <x:v>0.9761886946201936</x:v>
      </x:c>
      <x:c r="O271" s="66" t="n">
        <x:v>517213.36592138256</x:v>
      </x:c>
      <x:c r="P271" s="66" t="n">
        <x:v>359311.2281601053</x:v>
      </x:c>
      <x:c r="Q271" s="66" t="n">
        <x:v>157902.13776127726</x:v>
      </x:c>
      <x:c r="R271" s="66" t="n">
        <x:v>141131.78128235936</x:v>
      </x:c>
      <x:c r="S271" s="66" t="n">
        <x:v>16770.356478917867</x:v>
      </x:c>
      <x:c r="T271" s="66" t="n">
        <x:v>115384.6648180255</x:v>
      </x:c>
      <x:c r="U271" s="45" t="n">
        <x:v>0.9177951001565677</x:v>
      </x:c>
      <x:c r="V271" s="45" t="n">
        <x:v>0.9354839439972803</x:v>
      </x:c>
      <x:c r="W271" s="45" t="n">
        <x:v>0.5313090087089268</x:v>
      </x:c>
      <x:c r="X271" s="66" t="n">
        <x:v>19387323.606247813</x:v>
      </x:c>
      <x:c r="Y271" s="66" t="n">
        <x:v>37.48418908647215</x:v>
      </x:c>
      <x:c r="Z271" s="66" t="n">
        <x:v>932805.1985823772</x:v>
      </x:c>
      <x:c r="AA271" s="66" t="n">
        <x:v>109509.07229941206</x:v>
      </x:c>
      <x:c r="AB271" s="66" t="n">
        <x:v>0</x:v>
      </x:c>
      <x:c r="AC271" s="66" t="n">
        <x:v>18240.98365411295</x:v>
      </x:c>
      <x:c r="AD271" s="66" t="n">
        <x:v>1545.7146761877866</x:v>
      </x:c>
      <x:c r="AE271" s="66" t="n">
        <x:v>55881.91740761632</x:v>
      </x:c>
      <x:c r="AF271" s="66" t="n">
        <x:v>115384.66481802544</x:v>
      </x:c>
      <x:c r="AG271" s="66" t="n">
        <x:v>5.820766091346741e-11</x:v>
      </x:c>
      <x:c r="AH271" s="36" t="n">
        <x:v>0</x:v>
      </x:c>
    </x:row>
    <x:row r="272" ht="15" hidden="0" customHeight="1">
      <x:c r="A272" s="34" t="n">
        <x:v>67</x:v>
      </x:c>
      <x:c r="B272" s="34" t="str">
        <x:v>H3</x:v>
      </x:c>
      <x:c r="C272" s="34" t="str">
        <x:v>reference</x:v>
      </x:c>
      <x:c r="D272" s="74" t="n">
        <x:v>1.0751763454041194</x:v>
      </x:c>
      <x:c r="E272" s="74" t="n">
        <x:v>0.08631080707165661</x:v>
      </x:c>
      <x:c r="F272" s="74" t="n">
        <x:v>1.0464472237246105</x:v>
      </x:c>
      <x:c r="G272" s="74" t="n">
        <x:v>1.2137986892382249</x:v>
      </x:c>
      <x:c r="H272" s="74" t="n">
        <x:v>0.8493583140438612</x:v>
      </x:c>
      <x:c r="I272" s="74" t="n">
        <x:v>1.0229096233449217</x:v>
      </x:c>
      <x:c r="J272" s="74" t="n">
        <x:v>1.055239790276345</x:v>
      </x:c>
      <x:c r="K272" s="74" t="n">
        <x:v>0.7692347121682619</x:v>
      </x:c>
      <x:c r="L272" s="74" t="n">
        <x:v>0.9426083912803155</x:v>
      </x:c>
      <x:c r="M272" s="74" t="n">
        <x:v>0.8794565554613227</x:v>
      </x:c>
      <x:c r="N272" s="74" t="n">
        <x:v>0.9761886946201936</x:v>
      </x:c>
      <x:c r="O272" s="65" t="n">
        <x:v>517213.36592138256</x:v>
      </x:c>
      <x:c r="P272" s="65" t="n">
        <x:v>368542.5607326594</x:v>
      </x:c>
      <x:c r="Q272" s="65" t="n">
        <x:v>148670.80518872314</x:v>
      </x:c>
      <x:c r="R272" s="65" t="n">
        <x:v>141131.78128235936</x:v>
      </x:c>
      <x:c r="S272" s="65" t="n">
        <x:v>7539.023906363775</x:v>
      </x:c>
      <x:c r="T272" s="65" t="n">
        <x:v>147140.75407396862</x:v>
      </x:c>
      <x:c r="U272" s="43" t="n">
        <x:v>0.9970417409611432</x:v>
      </x:c>
      <x:c r="V272" s="43" t="n">
        <x:v>0.9981368451060957</x:v>
      </x:c>
      <x:c r="W272" s="43" t="n">
        <x:v>0.9704174096114316</x:v>
      </x:c>
      <x:c r="X272" s="65" t="n">
        <x:v>15350228.212405344</x:v>
      </x:c>
      <x:c r="Y272" s="65" t="n">
        <x:v>29.678715253345963</x:v>
      </x:c>
      <x:c r="Z272" s="65" t="n">
        <x:v>899321.547235794</x:v>
      </x:c>
      <x:c r="AA272" s="65" t="n">
        <x:v>94410.36925931735</x:v>
      </x:c>
      <x:c r="AB272" s="65" t="n">
        <x:v>1433.4046242774339</x:v>
      </x:c>
      <x:c r="AC272" s="65" t="n">
        <x:v>0</x:v>
      </x:c>
      <x:c r="AD272" s="65" t="n">
        <x:v>1530.0511147545024</x:v>
      </x:c>
      <x:c r="AE272" s="65" t="n">
        <x:v>69772.97273729726</x:v>
      </x:c>
      <x:c r="AF272" s="65" t="n">
        <x:v>147140.7540739687</x:v>
      </x:c>
      <x:c r="AG272" s="65" t="n">
        <x:v>0</x:v>
      </x:c>
      <x:c r="AH272" s="34" t="n">
        <x:v>1</x:v>
      </x:c>
    </x:row>
    <x:row r="273" ht="15" hidden="0" customHeight="1">
      <x:c r="A273" s="36" t="n">
        <x:v>68</x:v>
      </x:c>
      <x:c r="B273" s="36" t="str">
        <x:v>M0</x:v>
      </x:c>
      <x:c r="C273" s="36" t="str">
        <x:v>fast</x:v>
      </x:c>
      <x:c r="D273" s="75" t="n">
        <x:v>1.0399402854568878</x:v>
      </x:c>
      <x:c r="E273" s="75" t="n">
        <x:v>0.09049566251101585</x:v>
      </x:c>
      <x:c r="F273" s="75" t="n">
        <x:v>0.9997688397934095</x:v>
      </x:c>
      <x:c r="G273" s="75" t="n">
        <x:v>1.2984905367828643</x:v>
      </x:c>
      <x:c r="H273" s="75" t="n">
        <x:v>0.7841447081939646</x:v>
      </x:c>
      <x:c r="I273" s="75" t="n">
        <x:v>0.9468943272029298</x:v>
      </x:c>
      <x:c r="J273" s="75" t="n">
        <x:v>0.7901294736485031</x:v>
      </x:c>
      <x:c r="K273" s="75" t="n">
        <x:v>0.7446228506089133</x:v>
      </x:c>
      <x:c r="L273" s="75" t="n">
        <x:v>0.9582509147964204</x:v>
      </x:c>
      <x:c r="M273" s="75" t="n">
        <x:v>1.053560393079984</x:v>
      </x:c>
      <x:c r="N273" s="75" t="n">
        <x:v>1.0220894534855</x:v>
      </x:c>
      <x:c r="O273" s="66" t="n">
        <x:v>500263.06633097876</x:v>
      </x:c>
      <x:c r="P273" s="66" t="n">
        <x:v>67364.6401251035</x:v>
      </x:c>
      <x:c r="Q273" s="66" t="n">
        <x:v>432898.42620587524</x:v>
      </x:c>
      <x:c r="R273" s="66" t="n">
        <x:v>138600.08918096923</x:v>
      </x:c>
      <x:c r="S273" s="66" t="n">
        <x:v>294298.337024906</x:v>
      </x:c>
      <x:c r="T273" s="66" t="n">
        <x:v>262037.03011139215</x:v>
      </x:c>
      <x:c r="U273" s="45" t="n">
        <x:v>0.6584569047888904</x:v>
      </x:c>
      <x:c r="V273" s="45" t="n">
        <x:v>0.6893917087029927</x:v>
      </x:c>
      <x:c r="W273" s="45" t="n">
        <x:v>0.14101833971052438</x:v>
      </x:c>
      <x:c r="X273" s="66" t="n">
        <x:v>56756659.967626244</x:v>
      </x:c>
      <x:c r="Y273" s="66" t="n">
        <x:v>113.453628275799</x:v>
      </x:c>
      <x:c r="Z273" s="66" t="n">
        <x:v>3812793.5648050527</x:v>
      </x:c>
      <x:c r="AA273" s="66" t="n">
        <x:v>313673.82726956543</x:v>
      </x:c>
      <x:c r="AB273" s="66" t="n">
        <x:v>24835.718402508057</x:v>
      </x:c>
      <x:c r="AC273" s="66" t="n">
        <x:v>1703.646105023217</x:v>
      </x:c>
      <x:c r="AD273" s="66" t="n">
        <x:v>2135.489859646414</x:v>
      </x:c>
      <x:c r="AE273" s="66" t="n">
        <x:v>175671.16617812344</x:v>
      </x:c>
      <x:c r="AF273" s="66" t="n">
        <x:v>262037.03011139217</x:v>
      </x:c>
      <x:c r="AG273" s="66" t="n">
        <x:v>0</x:v>
      </x:c>
      <x:c r="AH273" s="36" t="n">
        <x:v>0</x:v>
      </x:c>
    </x:row>
    <x:row r="274" ht="15" hidden="0" customHeight="1">
      <x:c r="A274" s="34" t="n">
        <x:v>68</x:v>
      </x:c>
      <x:c r="B274" s="34" t="str">
        <x:v>B1</x:v>
      </x:c>
      <x:c r="C274" s="34" t="str">
        <x:v>fast</x:v>
      </x:c>
      <x:c r="D274" s="74" t="n">
        <x:v>1.0399402854568878</x:v>
      </x:c>
      <x:c r="E274" s="74" t="n">
        <x:v>0.09049566251101585</x:v>
      </x:c>
      <x:c r="F274" s="74" t="n">
        <x:v>0.9997688397934095</x:v>
      </x:c>
      <x:c r="G274" s="74" t="n">
        <x:v>1.2984905367828643</x:v>
      </x:c>
      <x:c r="H274" s="74" t="n">
        <x:v>0.7841447081939646</x:v>
      </x:c>
      <x:c r="I274" s="74" t="n">
        <x:v>0.9468943272029298</x:v>
      </x:c>
      <x:c r="J274" s="74" t="n">
        <x:v>0.7901294736485031</x:v>
      </x:c>
      <x:c r="K274" s="74" t="n">
        <x:v>0.7446228506089133</x:v>
      </x:c>
      <x:c r="L274" s="74" t="n">
        <x:v>0.9582509147964204</x:v>
      </x:c>
      <x:c r="M274" s="74" t="n">
        <x:v>1.053560393079984</x:v>
      </x:c>
      <x:c r="N274" s="74" t="n">
        <x:v>1.0220894534855</x:v>
      </x:c>
      <x:c r="O274" s="65" t="n">
        <x:v>500263.06633097876</x:v>
      </x:c>
      <x:c r="P274" s="65" t="n">
        <x:v>227874.81006402284</x:v>
      </x:c>
      <x:c r="Q274" s="65" t="n">
        <x:v>272388.2562669559</x:v>
      </x:c>
      <x:c r="R274" s="65" t="n">
        <x:v>138600.08918096923</x:v>
      </x:c>
      <x:c r="S274" s="65" t="n">
        <x:v>133788.16708598667</x:v>
      </x:c>
      <x:c r="T274" s="65" t="n">
        <x:v>185757.29283786454</x:v>
      </x:c>
      <x:c r="U274" s="43" t="n">
        <x:v>0.8268291839642314</x:v>
      </x:c>
      <x:c r="V274" s="43" t="n">
        <x:v>0.8640006554236046</x:v>
      </x:c>
      <x:c r="W274" s="43" t="n">
        <x:v>0.5173762687711561</x:v>
      </x:c>
      <x:c r="X274" s="65" t="n">
        <x:v>36067881.705489844</x:v>
      </x:c>
      <x:c r="Y274" s="65" t="n">
        <x:v>72.09783038755653</x:v>
      </x:c>
      <x:c r="Z274" s="65" t="n">
        <x:v>1249873.6560569701</x:v>
      </x:c>
      <x:c r="AA274" s="65" t="n">
        <x:v>195665.62571670563</x:v>
      </x:c>
      <x:c r="AB274" s="65" t="n">
        <x:v>2569.7123849048467</x:v>
      </x:c>
      <x:c r="AC274" s="65" t="n">
        <x:v>8762.807593446323</x:v>
      </x:c>
      <x:c r="AD274" s="65" t="n">
        <x:v>1764.1554660400766</x:v>
      </x:c>
      <x:c r="AE274" s="65" t="n">
        <x:v>107721.36032410775</x:v>
      </x:c>
      <x:c r="AF274" s="65" t="n">
        <x:v>185757.2928378645</x:v>
      </x:c>
      <x:c r="AG274" s="65" t="n">
        <x:v>5.820766091346741e-11</x:v>
      </x:c>
      <x:c r="AH274" s="34" t="n">
        <x:v>0</x:v>
      </x:c>
    </x:row>
    <x:row r="275" ht="15" hidden="0" customHeight="1">
      <x:c r="A275" s="36" t="n">
        <x:v>68</x:v>
      </x:c>
      <x:c r="B275" s="36" t="str">
        <x:v>P2</x:v>
      </x:c>
      <x:c r="C275" s="36" t="str">
        <x:v>fast</x:v>
      </x:c>
      <x:c r="D275" s="75" t="n">
        <x:v>1.0399402854568878</x:v>
      </x:c>
      <x:c r="E275" s="75" t="n">
        <x:v>0.09049566251101585</x:v>
      </x:c>
      <x:c r="F275" s="75" t="n">
        <x:v>0.9997688397934095</x:v>
      </x:c>
      <x:c r="G275" s="75" t="n">
        <x:v>1.2984905367828643</x:v>
      </x:c>
      <x:c r="H275" s="75" t="n">
        <x:v>0.7841447081939646</x:v>
      </x:c>
      <x:c r="I275" s="75" t="n">
        <x:v>0.9468943272029298</x:v>
      </x:c>
      <x:c r="J275" s="75" t="n">
        <x:v>0.7901294736485031</x:v>
      </x:c>
      <x:c r="K275" s="75" t="n">
        <x:v>0.7446228506089133</x:v>
      </x:c>
      <x:c r="L275" s="75" t="n">
        <x:v>0.9582509147964204</x:v>
      </x:c>
      <x:c r="M275" s="75" t="n">
        <x:v>1.053560393079984</x:v>
      </x:c>
      <x:c r="N275" s="75" t="n">
        <x:v>1.0220894534855</x:v>
      </x:c>
      <x:c r="O275" s="66" t="n">
        <x:v>500263.06633097876</x:v>
      </x:c>
      <x:c r="P275" s="66" t="n">
        <x:v>330122.3938920091</x:v>
      </x:c>
      <x:c r="Q275" s="66" t="n">
        <x:v>170140.67243896963</x:v>
      </x:c>
      <x:c r="R275" s="66" t="n">
        <x:v>138600.08918096923</x:v>
      </x:c>
      <x:c r="S275" s="66" t="n">
        <x:v>31540.583258000406</x:v>
      </x:c>
      <x:c r="T275" s="66" t="n">
        <x:v>111688.62630732986</x:v>
      </x:c>
      <x:c r="U275" s="45" t="n">
        <x:v>0.8831573824541199</x:v>
      </x:c>
      <x:c r="V275" s="45" t="n">
        <x:v>0.8878096575812519</x:v>
      </x:c>
      <x:c r="W275" s="45" t="n">
        <x:v>0.7392284634743983</x:v>
      </x:c>
      <x:c r="X275" s="66" t="n">
        <x:v>21599440.572484266</x:v>
      </x:c>
      <x:c r="Y275" s="66" t="n">
        <x:v>43.17616475447314</x:v>
      </x:c>
      <x:c r="Z275" s="66" t="n">
        <x:v>834826.8324060641</x:v>
      </x:c>
      <x:c r="AA275" s="66" t="n">
        <x:v>122367.99595209178</x:v>
      </x:c>
      <x:c r="AB275" s="66" t="n">
        <x:v>0</x:v>
      </x:c>
      <x:c r="AC275" s="66" t="n">
        <x:v>14122.354732679329</x:v>
      </x:c>
      <x:c r="AD275" s="66" t="n">
        <x:v>1539.7835993004628</x:v>
      </x:c>
      <x:c r="AE275" s="66" t="n">
        <x:v>70445.74742825844</x:v>
      </x:c>
      <x:c r="AF275" s="66" t="n">
        <x:v>111688.62630732986</x:v>
      </x:c>
      <x:c r="AG275" s="66" t="n">
        <x:v>0</x:v>
      </x:c>
      <x:c r="AH275" s="36" t="n">
        <x:v>0</x:v>
      </x:c>
    </x:row>
    <x:row r="276" ht="15" hidden="0" customHeight="1">
      <x:c r="A276" s="34" t="n">
        <x:v>68</x:v>
      </x:c>
      <x:c r="B276" s="34" t="str">
        <x:v>H3</x:v>
      </x:c>
      <x:c r="C276" s="34" t="str">
        <x:v>fast</x:v>
      </x:c>
      <x:c r="D276" s="74" t="n">
        <x:v>1.0399402854568878</x:v>
      </x:c>
      <x:c r="E276" s="74" t="n">
        <x:v>0.09049566251101585</x:v>
      </x:c>
      <x:c r="F276" s="74" t="n">
        <x:v>0.9997688397934095</x:v>
      </x:c>
      <x:c r="G276" s="74" t="n">
        <x:v>1.2984905367828643</x:v>
      </x:c>
      <x:c r="H276" s="74" t="n">
        <x:v>0.7841447081939646</x:v>
      </x:c>
      <x:c r="I276" s="74" t="n">
        <x:v>0.9468943272029298</x:v>
      </x:c>
      <x:c r="J276" s="74" t="n">
        <x:v>0.7901294736485031</x:v>
      </x:c>
      <x:c r="K276" s="74" t="n">
        <x:v>0.7446228506089133</x:v>
      </x:c>
      <x:c r="L276" s="74" t="n">
        <x:v>0.9582509147964204</x:v>
      </x:c>
      <x:c r="M276" s="74" t="n">
        <x:v>1.053560393079984</x:v>
      </x:c>
      <x:c r="N276" s="74" t="n">
        <x:v>1.0220894534855</x:v>
      </x:c>
      <x:c r="O276" s="65" t="n">
        <x:v>500263.06633097876</x:v>
      </x:c>
      <x:c r="P276" s="65" t="n">
        <x:v>342455.1456100126</x:v>
      </x:c>
      <x:c r="Q276" s="65" t="n">
        <x:v>157807.92072096613</x:v>
      </x:c>
      <x:c r="R276" s="65" t="n">
        <x:v>138600.08918096923</x:v>
      </x:c>
      <x:c r="S276" s="65" t="n">
        <x:v>19207.83153999691</x:v>
      </x:c>
      <x:c r="T276" s="65" t="n">
        <x:v>156293.32435136673</x:v>
      </x:c>
      <x:c r="U276" s="43" t="n">
        <x:v>0.9969724001799538</x:v>
      </x:c>
      <x:c r="V276" s="43" t="n">
        <x:v>0.9980930975562041</x:v>
      </x:c>
      <x:c r="W276" s="43" t="n">
        <x:v>0.9697240017995387</x:v>
      </x:c>
      <x:c r="X276" s="65" t="n">
        <x:v>15121629.293170206</x:v>
      </x:c>
      <x:c r="Y276" s="65" t="n">
        <x:v>30.227354987596854</x:v>
      </x:c>
      <x:c r="Z276" s="65" t="n">
        <x:v>969546.0139870772</x:v>
      </x:c>
      <x:c r="AA276" s="65" t="n">
        <x:v>98042.81902691035</x:v>
      </x:c>
      <x:c r="AB276" s="65" t="n">
        <x:v>1264.9087448500843</x:v>
      </x:c>
      <x:c r="AC276" s="65" t="n">
        <x:v>181.07692953822294</x:v>
      </x:c>
      <x:c r="AD276" s="65" t="n">
        <x:v>1514.596369599401</x:v>
      </x:c>
      <x:c r="AE276" s="65" t="n">
        <x:v>47084.892890937466</x:v>
      </x:c>
      <x:c r="AF276" s="65" t="n">
        <x:v>156293.3243513666</x:v>
      </x:c>
      <x:c r="AG276" s="65" t="n">
        <x:v>1.1641532182693481e-10</x:v>
      </x:c>
      <x:c r="AH276" s="34" t="n">
        <x:v>1</x:v>
      </x:c>
    </x:row>
    <x:row r="277" ht="21.600000381469727" hidden="0" customHeight="1">
      <x:c r="A277" s="36" t="n">
        <x:v>69</x:v>
      </x:c>
      <x:c r="B277" s="36" t="str">
        <x:v>M0</x:v>
      </x:c>
      <x:c r="C277" s="36" t="str">
        <x:v>slow</x:v>
      </x:c>
      <x:c r="D277" s="75" t="n">
        <x:v>1.0410239793688965</x:v>
      </x:c>
      <x:c r="E277" s="75" t="n">
        <x:v>-0.006560646732345979</x:v>
      </x:c>
      <x:c r="F277" s="75" t="n">
        <x:v>0.8630150523786193</x:v>
      </x:c>
      <x:c r="G277" s="75" t="n">
        <x:v>0.9079851184154527</x:v>
      </x:c>
      <x:c r="H277" s="75" t="n">
        <x:v>0.8737298368552803</x:v>
      </x:c>
      <x:c r="I277" s="75" t="n">
        <x:v>0.9269746999053108</x:v>
      </x:c>
      <x:c r="J277" s="75" t="n">
        <x:v>0.826014615838573</x:v>
      </x:c>
      <x:c r="K277" s="75" t="n">
        <x:v>0.7662332098261712</x:v>
      </x:c>
      <x:c r="L277" s="75" t="n">
        <x:v>0.8120244875747714</x:v>
      </x:c>
      <x:c r="M277" s="75" t="n">
        <x:v>0.8819446818814047</x:v>
      </x:c>
      <x:c r="N277" s="75" t="n">
        <x:v>0.8753205448963236</x:v>
      </x:c>
      <x:c r="O277" s="66" t="n">
        <x:v>500784.37707061175</x:v>
      </x:c>
      <x:c r="P277" s="66" t="n">
        <x:v>66027.23415971643</x:v>
      </x:c>
      <x:c r="Q277" s="66" t="n">
        <x:v>434757.14291089535</x:v>
      </x:c>
      <x:c r="R277" s="66" t="n">
        <x:v>90140.23725566993</x:v>
      </x:c>
      <x:c r="S277" s="66" t="n">
        <x:v>344616.9056552254</x:v>
      </x:c>
      <x:c r="T277" s="66" t="n">
        <x:v>272740.7585798329</x:v>
      </x:c>
      <x:c r="U277" s="45" t="n">
        <x:v>0.6764747628933766</x:v>
      </x:c>
      <x:c r="V277" s="45" t="n">
        <x:v>0.6648956796920716</x:v>
      </x:c>
      <x:c r="W277" s="45" t="n">
        <x:v>0.07021427341618837</x:v>
      </x:c>
      <x:c r="X277" s="66" t="n">
        <x:v>55612155.58786381</x:v>
      </x:c>
      <x:c r="Y277" s="66" t="n">
        <x:v>111.05010087010436</x:v>
      </x:c>
      <x:c r="Z277" s="66" t="n">
        <x:v>3046976.227810121</x:v>
      </x:c>
      <x:c r="AA277" s="66" t="n">
        <x:v>309547.40671687044</x:v>
      </x:c>
      <x:c r="AB277" s="66" t="n">
        <x:v>19324.51997299844</x:v>
      </x:c>
      <x:c r="AC277" s="66" t="n">
        <x:v>457.95649176336786</x:v>
      </x:c>
      <x:c r="AD277" s="66" t="n">
        <x:v>2757.783237440277</x:v>
      </x:c>
      <x:c r="AE277" s="66" t="n">
        <x:v>222322.29519380466</x:v>
      </x:c>
      <x:c r="AF277" s="66" t="n">
        <x:v>272740.7585798329</x:v>
      </x:c>
      <x:c r="AG277" s="66" t="n">
        <x:v>0</x:v>
      </x:c>
      <x:c r="AH277" s="36" t="n">
        <x:v>0</x:v>
      </x:c>
    </x:row>
    <x:row r="278" ht="21.600000381469727" hidden="0" customHeight="1">
      <x:c r="A278" s="34" t="n">
        <x:v>69</x:v>
      </x:c>
      <x:c r="B278" s="34" t="str">
        <x:v>B1</x:v>
      </x:c>
      <x:c r="C278" s="34" t="str">
        <x:v>slow</x:v>
      </x:c>
      <x:c r="D278" s="74" t="n">
        <x:v>1.0410239793688965</x:v>
      </x:c>
      <x:c r="E278" s="74" t="n">
        <x:v>-0.006560646732345979</x:v>
      </x:c>
      <x:c r="F278" s="74" t="n">
        <x:v>0.8630150523786193</x:v>
      </x:c>
      <x:c r="G278" s="74" t="n">
        <x:v>0.9079851184154527</x:v>
      </x:c>
      <x:c r="H278" s="74" t="n">
        <x:v>0.8737298368552803</x:v>
      </x:c>
      <x:c r="I278" s="74" t="n">
        <x:v>0.9269746999053108</x:v>
      </x:c>
      <x:c r="J278" s="74" t="n">
        <x:v>0.826014615838573</x:v>
      </x:c>
      <x:c r="K278" s="74" t="n">
        <x:v>0.7662332098261712</x:v>
      </x:c>
      <x:c r="L278" s="74" t="n">
        <x:v>0.8120244875747714</x:v>
      </x:c>
      <x:c r="M278" s="74" t="n">
        <x:v>0.8819446818814047</x:v>
      </x:c>
      <x:c r="N278" s="74" t="n">
        <x:v>0.8753205448963236</x:v>
      </x:c>
      <x:c r="O278" s="65" t="n">
        <x:v>500784.37707061175</x:v>
      </x:c>
      <x:c r="P278" s="65" t="n">
        <x:v>223347.58711425005</x:v>
      </x:c>
      <x:c r="Q278" s="65" t="n">
        <x:v>277436.78995636175</x:v>
      </x:c>
      <x:c r="R278" s="65" t="n">
        <x:v>90140.23725566993</x:v>
      </x:c>
      <x:c r="S278" s="65" t="n">
        <x:v>187296.5527006918</x:v>
      </x:c>
      <x:c r="T278" s="65" t="n">
        <x:v>165360.97823040222</x:v>
      </x:c>
      <x:c r="U278" s="43" t="n">
        <x:v>0.776199464564853</x:v>
      </x:c>
      <x:c r="V278" s="43" t="n">
        <x:v>0.7664564607912057</x:v>
      </x:c>
      <x:c r="W278" s="43" t="n">
        <x:v>0.2437051514872308</x:v>
      </x:c>
      <x:c r="X278" s="65" t="n">
        <x:v>36374448.4208123</x:v>
      </x:c>
      <x:c r="Y278" s="65" t="n">
        <x:v>72.63495046228932</x:v>
      </x:c>
      <x:c r="Z278" s="65" t="n">
        <x:v>1081898.7799748469</x:v>
      </x:c>
      <x:c r="AA278" s="65" t="n">
        <x:v>195064.77247871098</x:v>
      </x:c>
      <x:c r="AB278" s="65" t="n">
        <x:v>2090.4834032352182</x:v>
      </x:c>
      <x:c r="AC278" s="65" t="n">
        <x:v>518.1673203470963</x:v>
      </x:c>
      <x:c r="AD278" s="65" t="n">
        <x:v>2228.853872139075</x:v>
      </x:c>
      <x:c r="AE278" s="65" t="n">
        <x:v>89733.28315135992</x:v>
      </x:c>
      <x:c r="AF278" s="65" t="n">
        <x:v>165360.9782304021</x:v>
      </x:c>
      <x:c r="AG278" s="65" t="n">
        <x:v>1.1641532182693481e-10</x:v>
      </x:c>
      <x:c r="AH278" s="34" t="n">
        <x:v>0</x:v>
      </x:c>
    </x:row>
    <x:row r="279" ht="21.600000381469727" hidden="0" customHeight="1">
      <x:c r="A279" s="36" t="n">
        <x:v>69</x:v>
      </x:c>
      <x:c r="B279" s="36" t="str">
        <x:v>P2</x:v>
      </x:c>
      <x:c r="C279" s="36" t="str">
        <x:v>slow</x:v>
      </x:c>
      <x:c r="D279" s="75" t="n">
        <x:v>1.0410239793688965</x:v>
      </x:c>
      <x:c r="E279" s="75" t="n">
        <x:v>-0.006560646732345979</x:v>
      </x:c>
      <x:c r="F279" s="75" t="n">
        <x:v>0.8630150523786193</x:v>
      </x:c>
      <x:c r="G279" s="75" t="n">
        <x:v>0.9079851184154527</x:v>
      </x:c>
      <x:c r="H279" s="75" t="n">
        <x:v>0.8737298368552803</x:v>
      </x:c>
      <x:c r="I279" s="75" t="n">
        <x:v>0.9269746999053108</x:v>
      </x:c>
      <x:c r="J279" s="75" t="n">
        <x:v>0.826014615838573</x:v>
      </x:c>
      <x:c r="K279" s="75" t="n">
        <x:v>0.7662332098261712</x:v>
      </x:c>
      <x:c r="L279" s="75" t="n">
        <x:v>0.8120244875747714</x:v>
      </x:c>
      <x:c r="M279" s="75" t="n">
        <x:v>0.8819446818814047</x:v>
      </x:c>
      <x:c r="N279" s="75" t="n">
        <x:v>0.8753205448963236</x:v>
      </x:c>
      <x:c r="O279" s="66" t="n">
        <x:v>500784.37707061175</x:v>
      </x:c>
      <x:c r="P279" s="66" t="n">
        <x:v>323561.21561483806</x:v>
      </x:c>
      <x:c r="Q279" s="66" t="n">
        <x:v>177223.1614557737</x:v>
      </x:c>
      <x:c r="R279" s="66" t="n">
        <x:v>90140.23725566993</x:v>
      </x:c>
      <x:c r="S279" s="66" t="n">
        <x:v>87082.92420010373</x:v>
      </x:c>
      <x:c r="T279" s="66" t="n">
        <x:v>94768.4509312755</x:v>
      </x:c>
      <x:c r="U279" s="45" t="n">
        <x:v>0.8353488760835048</x:v>
      </x:c>
      <x:c r="V279" s="45" t="n">
        <x:v>0.829547064342558</x:v>
      </x:c>
      <x:c r="W279" s="45" t="n">
        <x:v>0.35810704073932587</x:v>
      </x:c>
      <x:c r="X279" s="66" t="n">
        <x:v>22754799.33851667</x:v>
      </x:c>
      <x:c r="Y279" s="66" t="n">
        <x:v>45.438317128867205</x:v>
      </x:c>
      <x:c r="Z279" s="66" t="n">
        <x:v>597090.166089794</x:v>
      </x:c>
      <x:c r="AA279" s="66" t="n">
        <x:v>125367.94659028717</x:v>
      </x:c>
      <x:c r="AB279" s="66" t="n">
        <x:v>0</x:v>
      </x:c>
      <x:c r="AC279" s="66" t="n">
        <x:v>0</x:v>
      </x:c>
      <x:c r="AD279" s="66" t="n">
        <x:v>1907.957101289983</x:v>
      </x:c>
      <x:c r="AE279" s="66" t="n">
        <x:v>26493.448429362237</x:v>
      </x:c>
      <x:c r="AF279" s="66" t="n">
        <x:v>94768.45093127554</x:v>
      </x:c>
      <x:c r="AG279" s="66" t="n">
        <x:v>0</x:v>
      </x:c>
      <x:c r="AH279" s="36" t="n">
        <x:v>0</x:v>
      </x:c>
    </x:row>
    <x:row r="280" ht="21.600000381469727" hidden="0" customHeight="1">
      <x:c r="A280" s="34" t="n">
        <x:v>69</x:v>
      </x:c>
      <x:c r="B280" s="34" t="str">
        <x:v>H3</x:v>
      </x:c>
      <x:c r="C280" s="34" t="str">
        <x:v>slow</x:v>
      </x:c>
      <x:c r="D280" s="74" t="n">
        <x:v>1.0410239793688965</x:v>
      </x:c>
      <x:c r="E280" s="74" t="n">
        <x:v>-0.006560646732345979</x:v>
      </x:c>
      <x:c r="F280" s="74" t="n">
        <x:v>0.8630150523786193</x:v>
      </x:c>
      <x:c r="G280" s="74" t="n">
        <x:v>0.9079851184154527</x:v>
      </x:c>
      <x:c r="H280" s="74" t="n">
        <x:v>0.8737298368552803</x:v>
      </x:c>
      <x:c r="I280" s="74" t="n">
        <x:v>0.9269746999053108</x:v>
      </x:c>
      <x:c r="J280" s="74" t="n">
        <x:v>0.826014615838573</x:v>
      </x:c>
      <x:c r="K280" s="74" t="n">
        <x:v>0.7662332098261712</x:v>
      </x:c>
      <x:c r="L280" s="74" t="n">
        <x:v>0.8120244875747714</x:v>
      </x:c>
      <x:c r="M280" s="74" t="n">
        <x:v>0.8819446818814047</x:v>
      </x:c>
      <x:c r="N280" s="74" t="n">
        <x:v>0.8753205448963236</x:v>
      </x:c>
      <x:c r="O280" s="65" t="n">
        <x:v>500784.37707061175</x:v>
      </x:c>
      <x:c r="P280" s="65" t="n">
        <x:v>335648.332011746</x:v>
      </x:c>
      <x:c r="Q280" s="65" t="n">
        <x:v>165136.04505886574</x:v>
      </x:c>
      <x:c r="R280" s="65" t="n">
        <x:v>90140.23725566993</x:v>
      </x:c>
      <x:c r="S280" s="65" t="n">
        <x:v>74995.80780319583</x:v>
      </x:c>
      <x:c r="T280" s="65" t="n">
        <x:v>86258.78749845244</x:v>
      </x:c>
      <x:c r="U280" s="43" t="n">
        <x:v>0.8424925753039387</x:v>
      </x:c>
      <x:c r="V280" s="43" t="n">
        <x:v>0.8373110518446337</x:v>
      </x:c>
      <x:c r="W280" s="43" t="n">
        <x:v>0.3725044426553053</x:v>
      </x:c>
      <x:c r="X280" s="65" t="n">
        <x:v>20141344.58757954</x:v>
      </x:c>
      <x:c r="Y280" s="65" t="n">
        <x:v>40.21959451969798</x:v>
      </x:c>
      <x:c r="Z280" s="65" t="n">
        <x:v>577207.8835899468</x:v>
      </x:c>
      <x:c r="AA280" s="65" t="n">
        <x:v>110627.17422277924</x:v>
      </x:c>
      <x:c r="AB280" s="65" t="n">
        <x:v>1658.144781460168</x:v>
      </x:c>
      <x:c r="AC280" s="65" t="n">
        <x:v>0</x:v>
      </x:c>
      <x:c r="AD280" s="65" t="n">
        <x:v>1871.7229692251963</x:v>
      </x:c>
      <x:c r="AE280" s="65" t="n">
        <x:v>13446.162463648317</x:v>
      </x:c>
      <x:c r="AF280" s="65" t="n">
        <x:v>86258.78749845244</x:v>
      </x:c>
      <x:c r="AG280" s="65" t="n">
        <x:v>0</x:v>
      </x:c>
      <x:c r="AH280" s="34" t="n">
        <x:v>0</x:v>
      </x:c>
    </x:row>
    <x:row r="281" ht="21.600000381469727" hidden="0" customHeight="1">
      <x:c r="A281" s="36" t="n">
        <x:v>70</x:v>
      </x:c>
      <x:c r="B281" s="36" t="str">
        <x:v>M0</x:v>
      </x:c>
      <x:c r="C281" s="36" t="str">
        <x:v>reference</x:v>
      </x:c>
      <x:c r="D281" s="75" t="n">
        <x:v>1.11358445866198</x:v>
      </x:c>
      <x:c r="E281" s="75" t="n">
        <x:v>-0.020046866096309787</x:v>
      </x:c>
      <x:c r="F281" s="75" t="n">
        <x:v>0.7776306976353975</x:v>
      </x:c>
      <x:c r="G281" s="75" t="n">
        <x:v>1.2685916514920366</x:v>
      </x:c>
      <x:c r="H281" s="75" t="n">
        <x:v>1.0231559998695894</x:v>
      </x:c>
      <x:c r="I281" s="75" t="n">
        <x:v>0.8596440630494435</x:v>
      </x:c>
      <x:c r="J281" s="75" t="n">
        <x:v>0.9506057815232529</x:v>
      </x:c>
      <x:c r="K281" s="75" t="n">
        <x:v>0.8472822582890012</x:v>
      </x:c>
      <x:c r="L281" s="75" t="n">
        <x:v>0.880804422860497</x:v>
      </x:c>
      <x:c r="M281" s="75" t="n">
        <x:v>0.7929529596464764</x:v>
      </x:c>
      <x:c r="N281" s="75" t="n">
        <x:v>0.9517520660412214</x:v>
      </x:c>
      <x:c r="O281" s="66" t="n">
        <x:v>535689.5811224538</x:v>
      </x:c>
      <x:c r="P281" s="66" t="n">
        <x:v>64688.4002370205</x:v>
      </x:c>
      <x:c r="Q281" s="66" t="n">
        <x:v>471001.1808854333</x:v>
      </x:c>
      <x:c r="R281" s="66" t="n">
        <x:v>89198.68052397479</x:v>
      </x:c>
      <x:c r="S281" s="66" t="n">
        <x:v>381802.5003614585</x:v>
      </x:c>
      <x:c r="T281" s="66" t="n">
        <x:v>266073.0036361949</x:v>
      </x:c>
      <x:c r="U281" s="45" t="n">
        <x:v>0.6174497610727403</x:v>
      </x:c>
      <x:c r="V281" s="45" t="n">
        <x:v>0.6465782215632174</x:v>
      </x:c>
      <x:c r="W281" s="45" t="n">
        <x:v>0.11778059069282713</x:v>
      </x:c>
      <x:c r="X281" s="66" t="n">
        <x:v>62725152.46370719</x:v>
      </x:c>
      <x:c r="Y281" s="66" t="n">
        <x:v>117.09235100723153</x:v>
      </x:c>
      <x:c r="Z281" s="66" t="n">
        <x:v>5878716.848641535</x:v>
      </x:c>
      <x:c r="AA281" s="66" t="n">
        <x:v>339973.786648724</x:v>
      </x:c>
      <x:c r="AB281" s="66" t="n">
        <x:v>54669.00150277944</x:v>
      </x:c>
      <x:c r="AC281" s="66" t="n">
        <x:v>292.3412361208816</x:v>
      </x:c>
      <x:c r="AD281" s="66" t="n">
        <x:v>2283.7351908561973</x:v>
      </x:c>
      <x:c r="AE281" s="66" t="n">
        <x:v>238662.54413420774</x:v>
      </x:c>
      <x:c r="AF281" s="66" t="n">
        <x:v>266073.00363619503</x:v>
      </x:c>
      <x:c r="AG281" s="66" t="n">
        <x:v>0</x:v>
      </x:c>
      <x:c r="AH281" s="36" t="n">
        <x:v>0</x:v>
      </x:c>
    </x:row>
    <x:row r="282" ht="21.600000381469727" hidden="0" customHeight="1">
      <x:c r="A282" s="34" t="n">
        <x:v>70</x:v>
      </x:c>
      <x:c r="B282" s="34" t="str">
        <x:v>B1</x:v>
      </x:c>
      <x:c r="C282" s="34" t="str">
        <x:v>reference</x:v>
      </x:c>
      <x:c r="D282" s="74" t="n">
        <x:v>1.11358445866198</x:v>
      </x:c>
      <x:c r="E282" s="74" t="n">
        <x:v>-0.020046866096309787</x:v>
      </x:c>
      <x:c r="F282" s="74" t="n">
        <x:v>0.7776306976353975</x:v>
      </x:c>
      <x:c r="G282" s="74" t="n">
        <x:v>1.2685916514920366</x:v>
      </x:c>
      <x:c r="H282" s="74" t="n">
        <x:v>1.0231559998695894</x:v>
      </x:c>
      <x:c r="I282" s="74" t="n">
        <x:v>0.8596440630494435</x:v>
      </x:c>
      <x:c r="J282" s="74" t="n">
        <x:v>0.9506057815232529</x:v>
      </x:c>
      <x:c r="K282" s="74" t="n">
        <x:v>0.8472822582890012</x:v>
      </x:c>
      <x:c r="L282" s="74" t="n">
        <x:v>0.880804422860497</x:v>
      </x:c>
      <x:c r="M282" s="74" t="n">
        <x:v>0.7929529596464764</x:v>
      </x:c>
      <x:c r="N282" s="74" t="n">
        <x:v>0.9517520660412214</x:v>
      </x:c>
      <x:c r="O282" s="65" t="n">
        <x:v>535689.5811224538</x:v>
      </x:c>
      <x:c r="P282" s="65" t="n">
        <x:v>218818.39469689844</x:v>
      </x:c>
      <x:c r="Q282" s="65" t="n">
        <x:v>316871.1864255553</x:v>
      </x:c>
      <x:c r="R282" s="65" t="n">
        <x:v>89198.68052397479</x:v>
      </x:c>
      <x:c r="S282" s="65" t="n">
        <x:v>227672.50590158056</x:v>
      </x:c>
      <x:c r="T282" s="65" t="n">
        <x:v>201387.68290302518</x:v>
      </x:c>
      <x:c r="U282" s="43" t="n">
        <x:v>0.7844208519408711</x:v>
      </x:c>
      <x:c r="V282" s="43" t="n">
        <x:v>0.8020391957875743</x:v>
      </x:c>
      <x:c r="W282" s="43" t="n">
        <x:v>0.4350748040004363</x:v>
      </x:c>
      <x:c r="X282" s="65" t="n">
        <x:v>42400992.81839214</x:v>
      </x:c>
      <x:c r="Y282" s="65" t="n">
        <x:v>79.15217004883218</x:v>
      </x:c>
      <x:c r="Z282" s="65" t="n">
        <x:v>2872088.8656631834</x:v>
      </x:c>
      <x:c r="AA282" s="65" t="n">
        <x:v>227011.80400550473</x:v>
      </x:c>
      <x:c r="AB282" s="65" t="n">
        <x:v>21212.78418670788</x:v>
      </x:c>
      <x:c r="AC282" s="65" t="n">
        <x:v>526.2352497536672</x:v>
      </x:c>
      <x:c r="AD282" s="65" t="n">
        <x:v>1879.3541725443604</x:v>
      </x:c>
      <x:c r="AE282" s="65" t="n">
        <x:v>138126.73895273678</x:v>
      </x:c>
      <x:c r="AF282" s="65" t="n">
        <x:v>201387.68290302512</x:v>
      </x:c>
      <x:c r="AG282" s="65" t="n">
        <x:v>5.820766091346741e-11</x:v>
      </x:c>
      <x:c r="AH282" s="34" t="n">
        <x:v>0</x:v>
      </x:c>
    </x:row>
    <x:row r="283" ht="21.600000381469727" hidden="0" customHeight="1">
      <x:c r="A283" s="36" t="n">
        <x:v>70</x:v>
      </x:c>
      <x:c r="B283" s="36" t="str">
        <x:v>P2</x:v>
      </x:c>
      <x:c r="C283" s="36" t="str">
        <x:v>reference</x:v>
      </x:c>
      <x:c r="D283" s="75" t="n">
        <x:v>1.11358445866198</x:v>
      </x:c>
      <x:c r="E283" s="75" t="n">
        <x:v>-0.020046866096309787</x:v>
      </x:c>
      <x:c r="F283" s="75" t="n">
        <x:v>0.7776306976353975</x:v>
      </x:c>
      <x:c r="G283" s="75" t="n">
        <x:v>1.2685916514920366</x:v>
      </x:c>
      <x:c r="H283" s="75" t="n">
        <x:v>1.0231559998695894</x:v>
      </x:c>
      <x:c r="I283" s="75" t="n">
        <x:v>0.8596440630494435</x:v>
      </x:c>
      <x:c r="J283" s="75" t="n">
        <x:v>0.9506057815232529</x:v>
      </x:c>
      <x:c r="K283" s="75" t="n">
        <x:v>0.8472822582890012</x:v>
      </x:c>
      <x:c r="L283" s="75" t="n">
        <x:v>0.880804422860497</x:v>
      </x:c>
      <x:c r="M283" s="75" t="n">
        <x:v>0.7929529596464764</x:v>
      </x:c>
      <x:c r="N283" s="75" t="n">
        <x:v>0.9517520660412214</x:v>
      </x:c>
      <x:c r="O283" s="66" t="n">
        <x:v>535689.5811224538</x:v>
      </x:c>
      <x:c r="P283" s="66" t="n">
        <x:v>316999.51841326116</x:v>
      </x:c>
      <x:c r="Q283" s="66" t="n">
        <x:v>218690.06270919263</x:v>
      </x:c>
      <x:c r="R283" s="66" t="n">
        <x:v>89198.68052397479</x:v>
      </x:c>
      <x:c r="S283" s="66" t="n">
        <x:v>129491.38218521787</x:v>
      </x:c>
      <x:c r="T283" s="66" t="n">
        <x:v>127092.33631911204</x:v>
      </x:c>
      <x:c r="U283" s="45" t="n">
        <x:v>0.8290096921464257</x:v>
      </x:c>
      <x:c r="V283" s="45" t="n">
        <x:v>0.8602974857016599</x:v>
      </x:c>
      <x:c r="W283" s="45" t="n">
        <x:v>0.4117286467146681</x:v>
      </x:c>
      <x:c r="X283" s="66" t="n">
        <x:v>27603511.2905556</x:v>
      </x:c>
      <x:c r="Y283" s="66" t="n">
        <x:v>51.52893067794366</x:v>
      </x:c>
      <x:c r="Z283" s="66" t="n">
        <x:v>1346008.870231872</x:v>
      </x:c>
      <x:c r="AA283" s="66" t="n">
        <x:v>157357.69771778048</x:v>
      </x:c>
      <x:c r="AB283" s="66" t="n">
        <x:v>1127.9139913337929</x:v>
      </x:c>
      <x:c r="AC283" s="66" t="n">
        <x:v>32458.133273305728</x:v>
      </x:c>
      <x:c r="AD283" s="66" t="n">
        <x:v>1635.014500499653</x:v>
      </x:c>
      <x:c r="AE283" s="66" t="n">
        <x:v>62514.985635549296</x:v>
      </x:c>
      <x:c r="AF283" s="66" t="n">
        <x:v>127092.33631911206</x:v>
      </x:c>
      <x:c r="AG283" s="66" t="n">
        <x:v>0</x:v>
      </x:c>
      <x:c r="AH283" s="36" t="n">
        <x:v>0</x:v>
      </x:c>
    </x:row>
    <x:row r="284" ht="21.600000381469727" hidden="0" customHeight="1">
      <x:c r="A284" s="34" t="n">
        <x:v>70</x:v>
      </x:c>
      <x:c r="B284" s="34" t="str">
        <x:v>H3</x:v>
      </x:c>
      <x:c r="C284" s="34" t="str">
        <x:v>reference</x:v>
      </x:c>
      <x:c r="D284" s="74" t="n">
        <x:v>1.11358445866198</x:v>
      </x:c>
      <x:c r="E284" s="74" t="n">
        <x:v>-0.020046866096309787</x:v>
      </x:c>
      <x:c r="F284" s="74" t="n">
        <x:v>0.7776306976353975</x:v>
      </x:c>
      <x:c r="G284" s="74" t="n">
        <x:v>1.2685916514920366</x:v>
      </x:c>
      <x:c r="H284" s="74" t="n">
        <x:v>1.0231559998695894</x:v>
      </x:c>
      <x:c r="I284" s="74" t="n">
        <x:v>0.8596440630494435</x:v>
      </x:c>
      <x:c r="J284" s="74" t="n">
        <x:v>0.9506057815232529</x:v>
      </x:c>
      <x:c r="K284" s="74" t="n">
        <x:v>0.8472822582890012</x:v>
      </x:c>
      <x:c r="L284" s="74" t="n">
        <x:v>0.880804422860497</x:v>
      </x:c>
      <x:c r="M284" s="74" t="n">
        <x:v>0.7929529596464764</x:v>
      </x:c>
      <x:c r="N284" s="74" t="n">
        <x:v>0.9517520660412214</x:v>
      </x:c>
      <x:c r="O284" s="65" t="n">
        <x:v>535689.5811224538</x:v>
      </x:c>
      <x:c r="P284" s="65" t="n">
        <x:v>328841.4510889776</x:v>
      </x:c>
      <x:c r="Q284" s="65" t="n">
        <x:v>206848.13003347616</x:v>
      </x:c>
      <x:c r="R284" s="65" t="n">
        <x:v>89198.68052397479</x:v>
      </x:c>
      <x:c r="S284" s="65" t="n">
        <x:v>117649.44950950137</x:v>
      </x:c>
      <x:c r="T284" s="65" t="n">
        <x:v>204441.32113499768</x:v>
      </x:c>
      <x:c r="U284" s="43" t="n">
        <x:v>0.9955070828642301</x:v>
      </x:c>
      <x:c r="V284" s="43" t="n">
        <x:v>0.9975142435939915</x:v>
      </x:c>
      <x:c r="W284" s="43" t="n">
        <x:v>0.9550708286423006</x:v>
      </x:c>
      <x:c r="X284" s="65" t="n">
        <x:v>20536908.41429412</x:v>
      </x:c>
      <x:c r="Y284" s="65" t="n">
        <x:v>38.33733030846379</x:v>
      </x:c>
      <x:c r="Z284" s="65" t="n">
        <x:v>1748309.0916025278</x:v>
      </x:c>
      <x:c r="AA284" s="65" t="n">
        <x:v>124323.62494424982</x:v>
      </x:c>
      <x:c r="AB284" s="65" t="n">
        <x:v>8512.18908252588</x:v>
      </x:c>
      <x:c r="AC284" s="65" t="n">
        <x:v>879.9126506070533</x:v>
      </x:c>
      <x:c r="AD284" s="65" t="n">
        <x:v>1607.585752259954</x:v>
      </x:c>
      <x:c r="AE284" s="65" t="n">
        <x:v>81094.25337605554</x:v>
      </x:c>
      <x:c r="AF284" s="65" t="n">
        <x:v>204441.32113499742</x:v>
      </x:c>
      <x:c r="AG284" s="65" t="n">
        <x:v>2.6193447411060333e-10</x:v>
      </x:c>
      <x:c r="AH284" s="34" t="n">
        <x:v>1</x:v>
      </x:c>
    </x:row>
    <x:row r="285" ht="15" hidden="0" customHeight="1">
      <x:c r="A285" s="36" t="n">
        <x:v>71</x:v>
      </x:c>
      <x:c r="B285" s="36" t="str">
        <x:v>M0</x:v>
      </x:c>
      <x:c r="C285" s="36" t="str">
        <x:v>slow</x:v>
      </x:c>
      <x:c r="D285" s="75" t="n">
        <x:v>0.9859276428402098</x:v>
      </x:c>
      <x:c r="E285" s="75" t="n">
        <x:v>0.05384138317278172</x:v>
      </x:c>
      <x:c r="F285" s="75" t="n">
        <x:v>0.8668935603945717</x:v>
      </x:c>
      <x:c r="G285" s="75" t="n">
        <x:v>0.9938387079910822</x:v>
      </x:c>
      <x:c r="H285" s="75" t="n">
        <x:v>0.8420907590276575</x:v>
      </x:c>
      <x:c r="I285" s="75" t="n">
        <x:v>0.8135824045145621</x:v>
      </x:c>
      <x:c r="J285" s="75" t="n">
        <x:v>1.0761096969482407</x:v>
      </x:c>
      <x:c r="K285" s="75" t="n">
        <x:v>0.866421367258551</x:v>
      </x:c>
      <x:c r="L285" s="75" t="n">
        <x:v>0.7833548370153034</x:v>
      </x:c>
      <x:c r="M285" s="75" t="n">
        <x:v>0.8983509713945114</x:v>
      </x:c>
      <x:c r="N285" s="75" t="n">
        <x:v>1.0265296818028022</x:v>
      </x:c>
      <x:c r="O285" s="66" t="n">
        <x:v>474280.29540275445</x:v>
      </x:c>
      <x:c r="P285" s="66" t="n">
        <x:v>58185.99573336528</x:v>
      </x:c>
      <x:c r="Q285" s="66" t="n">
        <x:v>416094.2996693891</x:v>
      </x:c>
      <x:c r="R285" s="66" t="n">
        <x:v>114017.04545332247</x:v>
      </x:c>
      <x:c r="S285" s="66" t="n">
        <x:v>302077.2542160666</x:v>
      </x:c>
      <x:c r="T285" s="66" t="n">
        <x:v>252921.30222863922</x:v>
      </x:c>
      <x:c r="U285" s="45" t="n">
        <x:v>0.6559566167466752</x:v>
      </x:c>
      <x:c r="V285" s="45" t="n">
        <x:v>0.6466329499911092</x:v>
      </x:c>
      <x:c r="W285" s="45" t="n">
        <x:v>0.06119887578970973</x:v>
      </x:c>
      <x:c r="X285" s="66" t="n">
        <x:v>53431498.14712603</x:v>
      </x:c>
      <x:c r="Y285" s="66" t="n">
        <x:v>112.65806036017688</x:v>
      </x:c>
      <x:c r="Z285" s="66" t="n">
        <x:v>3463099.0580112687</x:v>
      </x:c>
      <x:c r="AA285" s="66" t="n">
        <x:v>295579.46441993315</x:v>
      </x:c>
      <x:c r="AB285" s="66" t="n">
        <x:v>25540.422065325198</x:v>
      </x:c>
      <x:c r="AC285" s="66" t="n">
        <x:v>0</x:v>
      </x:c>
      <x:c r="AD285" s="66" t="n">
        <x:v>2640.1257488686847</x:v>
      </x:c>
      <x:c r="AE285" s="66" t="n">
        <x:v>193793.19255679782</x:v>
      </x:c>
      <x:c r="AF285" s="66" t="n">
        <x:v>252921.30222863937</x:v>
      </x:c>
      <x:c r="AG285" s="66" t="n">
        <x:v>0</x:v>
      </x:c>
      <x:c r="AH285" s="36" t="n">
        <x:v>0</x:v>
      </x:c>
    </x:row>
    <x:row r="286" ht="15" hidden="0" customHeight="1">
      <x:c r="A286" s="34" t="n">
        <x:v>71</x:v>
      </x:c>
      <x:c r="B286" s="34" t="str">
        <x:v>B1</x:v>
      </x:c>
      <x:c r="C286" s="34" t="str">
        <x:v>slow</x:v>
      </x:c>
      <x:c r="D286" s="74" t="n">
        <x:v>0.9859276428402098</x:v>
      </x:c>
      <x:c r="E286" s="74" t="n">
        <x:v>0.05384138317278172</x:v>
      </x:c>
      <x:c r="F286" s="74" t="n">
        <x:v>0.8668935603945717</x:v>
      </x:c>
      <x:c r="G286" s="74" t="n">
        <x:v>0.9938387079910822</x:v>
      </x:c>
      <x:c r="H286" s="74" t="n">
        <x:v>0.8420907590276575</x:v>
      </x:c>
      <x:c r="I286" s="74" t="n">
        <x:v>0.8135824045145621</x:v>
      </x:c>
      <x:c r="J286" s="74" t="n">
        <x:v>1.0761096969482407</x:v>
      </x:c>
      <x:c r="K286" s="74" t="n">
        <x:v>0.866421367258551</x:v>
      </x:c>
      <x:c r="L286" s="74" t="n">
        <x:v>0.7833548370153034</x:v>
      </x:c>
      <x:c r="M286" s="74" t="n">
        <x:v>0.8983509713945114</x:v>
      </x:c>
      <x:c r="N286" s="74" t="n">
        <x:v>1.0265296818028022</x:v>
      </x:c>
      <x:c r="O286" s="65" t="n">
        <x:v>474280.29540275445</x:v>
      </x:c>
      <x:c r="P286" s="65" t="n">
        <x:v>196825.01018607683</x:v>
      </x:c>
      <x:c r="Q286" s="65" t="n">
        <x:v>277455.28521667747</x:v>
      </x:c>
      <x:c r="R286" s="65" t="n">
        <x:v>114017.04545332247</x:v>
      </x:c>
      <x:c r="S286" s="65" t="n">
        <x:v>163438.23976335503</x:v>
      </x:c>
      <x:c r="T286" s="65" t="n">
        <x:v>166030.05625880163</x:v>
      </x:c>
      <x:c r="U286" s="43" t="n">
        <x:v>0.7650646041213778</x:v>
      </x:c>
      <x:c r="V286" s="43" t="n">
        <x:v>0.7549208078769389</x:v>
      </x:c>
      <x:c r="W286" s="43" t="n">
        <x:v>0.2124138094654244</x:v>
      </x:c>
      <x:c r="X286" s="65" t="n">
        <x:v>36354065.849128075</x:v>
      </x:c>
      <x:c r="Y286" s="65" t="n">
        <x:v>76.65101460362493</x:v>
      </x:c>
      <x:c r="Z286" s="65" t="n">
        <x:v>1242952.5420045694</x:v>
      </x:c>
      <x:c r="AA286" s="65" t="n">
        <x:v>197205.31462371693</x:v>
      </x:c>
      <x:c r="AB286" s="65" t="n">
        <x:v>4547.774925137274</x:v>
      </x:c>
      <x:c r="AC286" s="65" t="n">
        <x:v>0</x:v>
      </x:c>
      <x:c r="AD286" s="65" t="n">
        <x:v>2203.509366248116</x:v>
      </x:c>
      <x:c r="AE286" s="65" t="n">
        <x:v>77337.89175103955</x:v>
      </x:c>
      <x:c r="AF286" s="65" t="n">
        <x:v>166030.05625880157</x:v>
      </x:c>
      <x:c r="AG286" s="65" t="n">
        <x:v>5.820766091346741e-11</x:v>
      </x:c>
      <x:c r="AH286" s="34" t="n">
        <x:v>0</x:v>
      </x:c>
    </x:row>
    <x:row r="287" ht="15" hidden="0" customHeight="1">
      <x:c r="A287" s="36" t="n">
        <x:v>71</x:v>
      </x:c>
      <x:c r="B287" s="36" t="str">
        <x:v>P2</x:v>
      </x:c>
      <x:c r="C287" s="36" t="str">
        <x:v>slow</x:v>
      </x:c>
      <x:c r="D287" s="75" t="n">
        <x:v>0.9859276428402098</x:v>
      </x:c>
      <x:c r="E287" s="75" t="n">
        <x:v>0.05384138317278172</x:v>
      </x:c>
      <x:c r="F287" s="75" t="n">
        <x:v>0.8668935603945717</x:v>
      </x:c>
      <x:c r="G287" s="75" t="n">
        <x:v>0.9938387079910822</x:v>
      </x:c>
      <x:c r="H287" s="75" t="n">
        <x:v>0.8420907590276575</x:v>
      </x:c>
      <x:c r="I287" s="75" t="n">
        <x:v>0.8135824045145621</x:v>
      </x:c>
      <x:c r="J287" s="75" t="n">
        <x:v>1.0761096969482407</x:v>
      </x:c>
      <x:c r="K287" s="75" t="n">
        <x:v>0.866421367258551</x:v>
      </x:c>
      <x:c r="L287" s="75" t="n">
        <x:v>0.7833548370153034</x:v>
      </x:c>
      <x:c r="M287" s="75" t="n">
        <x:v>0.8983509713945114</x:v>
      </x:c>
      <x:c r="N287" s="75" t="n">
        <x:v>1.0265296818028022</x:v>
      </x:c>
      <x:c r="O287" s="66" t="n">
        <x:v>474280.29540275445</x:v>
      </x:c>
      <x:c r="P287" s="66" t="n">
        <x:v>285139.59792038123</x:v>
      </x:c>
      <x:c r="Q287" s="66" t="n">
        <x:v>189140.6974823731</x:v>
      </x:c>
      <x:c r="R287" s="66" t="n">
        <x:v>114017.04545332247</x:v>
      </x:c>
      <x:c r="S287" s="66" t="n">
        <x:v>75123.6520290506</x:v>
      </x:c>
      <x:c r="T287" s="66" t="n">
        <x:v>103397.75844837842</x:v>
      </x:c>
      <x:c r="U287" s="45" t="n">
        <x:v>0.8192146292706877</x:v>
      </x:c>
      <x:c r="V287" s="45" t="n">
        <x:v>0.8127354002666094</x:v>
      </x:c>
      <x:c r="W287" s="45" t="n">
        <x:v>0.31212668364056195</x:v>
      </x:c>
      <x:c r="X287" s="66" t="n">
        <x:v>24307001.905967847</x:v>
      </x:c>
      <x:c r="Y287" s="66" t="n">
        <x:v>51.25028836655878</x:v>
      </x:c>
      <x:c r="Z287" s="66" t="n">
        <x:v>647066.8771690232</x:v>
      </x:c>
      <x:c r="AA287" s="66" t="n">
        <x:v>137841.01505771707</x:v>
      </x:c>
      <x:c r="AB287" s="66" t="n">
        <x:v>5.499430370123392</x:v>
      </x:c>
      <x:c r="AC287" s="66" t="n">
        <x:v>0</x:v>
      </x:c>
      <x:c r="AD287" s="66" t="n">
        <x:v>1938.618066059164</x:v>
      </x:c>
      <x:c r="AE287" s="66" t="n">
        <x:v>23328.443267759852</x:v>
      </x:c>
      <x:c r="AF287" s="66" t="n">
        <x:v>103397.75844837836</x:v>
      </x:c>
      <x:c r="AG287" s="66" t="n">
        <x:v>5.820766091346741e-11</x:v>
      </x:c>
      <x:c r="AH287" s="36" t="n">
        <x:v>0</x:v>
      </x:c>
    </x:row>
    <x:row r="288" ht="15" hidden="0" customHeight="1">
      <x:c r="A288" s="34" t="n">
        <x:v>71</x:v>
      </x:c>
      <x:c r="B288" s="34" t="str">
        <x:v>H3</x:v>
      </x:c>
      <x:c r="C288" s="34" t="str">
        <x:v>slow</x:v>
      </x:c>
      <x:c r="D288" s="74" t="n">
        <x:v>0.9859276428402098</x:v>
      </x:c>
      <x:c r="E288" s="74" t="n">
        <x:v>0.05384138317278172</x:v>
      </x:c>
      <x:c r="F288" s="74" t="n">
        <x:v>0.8668935603945717</x:v>
      </x:c>
      <x:c r="G288" s="74" t="n">
        <x:v>0.9938387079910822</x:v>
      </x:c>
      <x:c r="H288" s="74" t="n">
        <x:v>0.8420907590276575</x:v>
      </x:c>
      <x:c r="I288" s="74" t="n">
        <x:v>0.8135824045145621</x:v>
      </x:c>
      <x:c r="J288" s="74" t="n">
        <x:v>1.0761096969482407</x:v>
      </x:c>
      <x:c r="K288" s="74" t="n">
        <x:v>0.866421367258551</x:v>
      </x:c>
      <x:c r="L288" s="74" t="n">
        <x:v>0.7833548370153034</x:v>
      </x:c>
      <x:c r="M288" s="74" t="n">
        <x:v>0.8983509713945114</x:v>
      </x:c>
      <x:c r="N288" s="74" t="n">
        <x:v>1.0265296818028022</x:v>
      </x:c>
      <x:c r="O288" s="65" t="n">
        <x:v>474280.29540275445</x:v>
      </x:c>
      <x:c r="P288" s="65" t="n">
        <x:v>295791.6894288901</x:v>
      </x:c>
      <x:c r="Q288" s="65" t="n">
        <x:v>178488.60597386427</x:v>
      </x:c>
      <x:c r="R288" s="65" t="n">
        <x:v>114017.04545332247</x:v>
      </x:c>
      <x:c r="S288" s="65" t="n">
        <x:v>64471.56052054178</x:v>
      </x:c>
      <x:c r="T288" s="65" t="n">
        <x:v>95847.60952966413</x:v>
      </x:c>
      <x:c r="U288" s="43" t="n">
        <x:v>0.825754944396283</x:v>
      </x:c>
      <x:c r="V288" s="43" t="n">
        <x:v>0.819851167311416</x:v>
      </x:c>
      <x:c r="W288" s="43" t="n">
        <x:v>0.32467548274765917</x:v>
      </x:c>
      <x:c r="X288" s="65" t="n">
        <x:v>21340508.325290184</x:v>
      </x:c>
      <x:c r="Y288" s="65" t="n">
        <x:v>44.995561764099904</x:v>
      </x:c>
      <x:c r="Z288" s="65" t="n">
        <x:v>650279.7148219211</x:v>
      </x:c>
      <x:c r="AA288" s="65" t="n">
        <x:v>118271.64898761435</x:v>
      </x:c>
      <x:c r="AB288" s="65" t="n">
        <x:v>2375.726969718743</x:v>
      </x:c>
      <x:c r="AC288" s="65" t="n">
        <x:v>0</x:v>
      </x:c>
      <x:c r="AD288" s="65" t="n">
        <x:v>1908.707804486687</x:v>
      </x:c>
      <x:c r="AE288" s="65" t="n">
        <x:v>13708.06201802376</x:v>
      </x:c>
      <x:c r="AF288" s="65" t="n">
        <x:v>95847.60952966398</x:v>
      </x:c>
      <x:c r="AG288" s="65" t="n">
        <x:v>1.4551915228366852e-10</x:v>
      </x:c>
      <x:c r="AH288" s="34" t="n">
        <x:v>0</x:v>
      </x:c>
    </x:row>
    <x:row r="289" ht="21.600000381469727" hidden="0" customHeight="1">
      <x:c r="A289" s="36" t="n">
        <x:v>72</x:v>
      </x:c>
      <x:c r="B289" s="36" t="str">
        <x:v>M0</x:v>
      </x:c>
      <x:c r="C289" s="36" t="str">
        <x:v>reference</x:v>
      </x:c>
      <x:c r="D289" s="75" t="n">
        <x:v>1.0492861917143679</x:v>
      </x:c>
      <x:c r="E289" s="75" t="n">
        <x:v>-0.00010819765799053443</x:v>
      </x:c>
      <x:c r="F289" s="75" t="n">
        <x:v>1.035280728947625</x:v>
      </x:c>
      <x:c r="G289" s="75" t="n">
        <x:v>1.31693446716934</x:v>
      </x:c>
      <x:c r="H289" s="75" t="n">
        <x:v>0.9560587883826893</x:v>
      </x:c>
      <x:c r="I289" s="75" t="n">
        <x:v>0.8887920614582914</x:v>
      </x:c>
      <x:c r="J289" s="75" t="n">
        <x:v>0.7879706216306352</x:v>
      </x:c>
      <x:c r="K289" s="75" t="n">
        <x:v>0.9222013445132397</x:v>
      </x:c>
      <x:c r="L289" s="75" t="n">
        <x:v>0.9072613504489058</x:v>
      </x:c>
      <x:c r="M289" s="75" t="n">
        <x:v>0.7685816339962801</x:v>
      </x:c>
      <x:c r="N289" s="75" t="n">
        <x:v>0.8828914870201203</x:v>
      </x:c>
      <x:c r="O289" s="66" t="n">
        <x:v>504758.9126669583</x:v>
      </x:c>
      <x:c r="P289" s="66" t="n">
        <x:v>79207.17991855965</x:v>
      </x:c>
      <x:c r="Q289" s="66" t="n">
        <x:v>425551.7327483987</x:v>
      </x:c>
      <x:c r="R289" s="66" t="n">
        <x:v>94112.57729713613</x:v>
      </x:c>
      <x:c r="S289" s="66" t="n">
        <x:v>331439.15545126254</x:v>
      </x:c>
      <x:c r="T289" s="66" t="n">
        <x:v>278488.2884047411</x:v>
      </x:c>
      <x:c r="U289" s="45" t="n">
        <x:v>0.7086461662130361</x:v>
      </x:c>
      <x:c r="V289" s="45" t="n">
        <x:v>0.7276606089263848</x:v>
      </x:c>
      <x:c r="W289" s="45" t="n">
        <x:v>0.1607714827577247</x:v>
      </x:c>
      <x:c r="X289" s="66" t="n">
        <x:v>55077871.00314682</x:v>
      </x:c>
      <x:c r="Y289" s="66" t="n">
        <x:v>109.1171837108053</x:v>
      </x:c>
      <x:c r="Z289" s="66" t="n">
        <x:v>5705427.972091846</x:v>
      </x:c>
      <x:c r="AA289" s="66" t="n">
        <x:v>293388.9082392765</x:v>
      </x:c>
      <x:c r="AB289" s="66" t="n">
        <x:v>47590.051071660564</x:v>
      </x:c>
      <x:c r="AC289" s="66" t="n">
        <x:v>2524.366458991188</x:v>
      </x:c>
      <x:c r="AD289" s="66" t="n">
        <x:v>2105.622975885123</x:v>
      </x:c>
      <x:c r="AE289" s="66" t="n">
        <x:v>253061.01357856163</x:v>
      </x:c>
      <x:c r="AF289" s="66" t="n">
        <x:v>258162.49913644377</x:v>
      </x:c>
      <x:c r="AG289" s="66" t="n">
        <x:v>20325.789268297318</x:v>
      </x:c>
      <x:c r="AH289" s="36" t="n">
        <x:v>0</x:v>
      </x:c>
    </x:row>
    <x:row r="290" ht="21.600000381469727" hidden="0" customHeight="1">
      <x:c r="A290" s="34" t="n">
        <x:v>72</x:v>
      </x:c>
      <x:c r="B290" s="34" t="str">
        <x:v>B1</x:v>
      </x:c>
      <x:c r="C290" s="34" t="str">
        <x:v>reference</x:v>
      </x:c>
      <x:c r="D290" s="74" t="n">
        <x:v>1.0492861917143679</x:v>
      </x:c>
      <x:c r="E290" s="74" t="n">
        <x:v>-0.00010819765799053443</x:v>
      </x:c>
      <x:c r="F290" s="74" t="n">
        <x:v>1.035280728947625</x:v>
      </x:c>
      <x:c r="G290" s="74" t="n">
        <x:v>1.31693446716934</x:v>
      </x:c>
      <x:c r="H290" s="74" t="n">
        <x:v>0.9560587883826893</x:v>
      </x:c>
      <x:c r="I290" s="74" t="n">
        <x:v>0.8887920614582914</x:v>
      </x:c>
      <x:c r="J290" s="74" t="n">
        <x:v>0.7879706216306352</x:v>
      </x:c>
      <x:c r="K290" s="74" t="n">
        <x:v>0.9222013445132397</x:v>
      </x:c>
      <x:c r="L290" s="74" t="n">
        <x:v>0.9072613504489058</x:v>
      </x:c>
      <x:c r="M290" s="74" t="n">
        <x:v>0.7685816339962801</x:v>
      </x:c>
      <x:c r="N290" s="74" t="n">
        <x:v>0.8828914870201203</x:v>
      </x:c>
      <x:c r="O290" s="65" t="n">
        <x:v>504758.9126669583</x:v>
      </x:c>
      <x:c r="P290" s="65" t="n">
        <x:v>267931.0678400702</x:v>
      </x:c>
      <x:c r="Q290" s="65" t="n">
        <x:v>236827.84482688812</x:v>
      </x:c>
      <x:c r="R290" s="65" t="n">
        <x:v>94112.57729713613</x:v>
      </x:c>
      <x:c r="S290" s="65" t="n">
        <x:v>142715.267529752</x:v>
      </x:c>
      <x:c r="T290" s="65" t="n">
        <x:v>210017.4181545819</x:v>
      </x:c>
      <x:c r="U290" s="43" t="n">
        <x:v>0.9468846889089093</x:v>
      </x:c>
      <x:c r="V290" s="43" t="n">
        <x:v>0.9521447328645084</x:v>
      </x:c>
      <x:c r="W290" s="43" t="n">
        <x:v>0.6606563625296902</x:v>
      </x:c>
      <x:c r="X290" s="65" t="n">
        <x:v>29343862.2831336</x:v>
      </x:c>
      <x:c r="Y290" s="65" t="n">
        <x:v>58.13441139274104</x:v>
      </x:c>
      <x:c r="Z290" s="65" t="n">
        <x:v>2059140.125923282</x:v>
      </x:c>
      <x:c r="AA290" s="65" t="n">
        <x:v>151998.35657140188</x:v>
      </x:c>
      <x:c r="AB290" s="65" t="n">
        <x:v>8166.617098121847</x:v>
      </x:c>
      <x:c r="AC290" s="65" t="n">
        <x:v>3949.1853718821885</x:v>
      </x:c>
      <x:c r="AD290" s="65" t="n">
        <x:v>1619.8626370657746</x:v>
      </x:c>
      <x:c r="AE290" s="65" t="n">
        <x:v>133735.59367604353</x:v>
      </x:c>
      <x:c r="AF290" s="65" t="n">
        <x:v>210017.41815458186</x:v>
      </x:c>
      <x:c r="AG290" s="65" t="n">
        <x:v>2.9103830456733704e-11</x:v>
      </x:c>
      <x:c r="AH290" s="34" t="n">
        <x:v>0</x:v>
      </x:c>
    </x:row>
    <x:row r="291" ht="21.600000381469727" hidden="0" customHeight="1">
      <x:c r="A291" s="36" t="n">
        <x:v>72</x:v>
      </x:c>
      <x:c r="B291" s="36" t="str">
        <x:v>P2</x:v>
      </x:c>
      <x:c r="C291" s="36" t="str">
        <x:v>reference</x:v>
      </x:c>
      <x:c r="D291" s="75" t="n">
        <x:v>1.0492861917143679</x:v>
      </x:c>
      <x:c r="E291" s="75" t="n">
        <x:v>-0.00010819765799053443</x:v>
      </x:c>
      <x:c r="F291" s="75" t="n">
        <x:v>1.035280728947625</x:v>
      </x:c>
      <x:c r="G291" s="75" t="n">
        <x:v>1.31693446716934</x:v>
      </x:c>
      <x:c r="H291" s="75" t="n">
        <x:v>0.9560587883826893</x:v>
      </x:c>
      <x:c r="I291" s="75" t="n">
        <x:v>0.8887920614582914</x:v>
      </x:c>
      <x:c r="J291" s="75" t="n">
        <x:v>0.7879706216306352</x:v>
      </x:c>
      <x:c r="K291" s="75" t="n">
        <x:v>0.9222013445132397</x:v>
      </x:c>
      <x:c r="L291" s="75" t="n">
        <x:v>0.9072613504489058</x:v>
      </x:c>
      <x:c r="M291" s="75" t="n">
        <x:v>0.7685816339962801</x:v>
      </x:c>
      <x:c r="N291" s="75" t="n">
        <x:v>0.8828914870201203</x:v>
      </x:c>
      <x:c r="O291" s="66" t="n">
        <x:v>504758.9126669583</x:v>
      </x:c>
      <x:c r="P291" s="66" t="n">
        <x:v>388149.00167182664</x:v>
      </x:c>
      <x:c r="Q291" s="66" t="n">
        <x:v>116609.91099513166</x:v>
      </x:c>
      <x:c r="R291" s="66" t="n">
        <x:v>94112.57729713613</x:v>
      </x:c>
      <x:c r="S291" s="66" t="n">
        <x:v>22497.333697995553</x:v>
      </x:c>
      <x:c r="T291" s="66" t="n">
        <x:v>114290.76498867989</x:v>
      </x:c>
      <x:c r="U291" s="45" t="n">
        <x:v>0.9954054382235704</x:v>
      </x:c>
      <x:c r="V291" s="45" t="n">
        <x:v>0.9973655205744648</x:v>
      </x:c>
      <x:c r="W291" s="45" t="n">
        <x:v>0.9540543822357036</x:v>
      </x:c>
      <x:c r="X291" s="66" t="n">
        <x:v>14017160.853839923</x:v>
      </x:c>
      <x:c r="Y291" s="66" t="n">
        <x:v>27.7700115878657</x:v>
      </x:c>
      <x:c r="Z291" s="66" t="n">
        <x:v>691701.3597808171</x:v>
      </x:c>
      <x:c r="AA291" s="66" t="n">
        <x:v>78197.48344205032</x:v>
      </x:c>
      <x:c r="AB291" s="66" t="n">
        <x:v>0</x:v>
      </x:c>
      <x:c r="AC291" s="66" t="n">
        <x:v>0</x:v>
      </x:c>
      <x:c r="AD291" s="66" t="n">
        <x:v>1326.3510316621853</x:v>
      </x:c>
      <x:c r="AE291" s="66" t="n">
        <x:v>67455.42025985182</x:v>
      </x:c>
      <x:c r="AF291" s="66" t="n">
        <x:v>114290.76498867992</x:v>
      </x:c>
      <x:c r="AG291" s="66" t="n">
        <x:v>0</x:v>
      </x:c>
      <x:c r="AH291" s="36" t="n">
        <x:v>1</x:v>
      </x:c>
    </x:row>
    <x:row r="292" ht="21.600000381469727" hidden="0" customHeight="1">
      <x:c r="A292" s="34" t="n">
        <x:v>72</x:v>
      </x:c>
      <x:c r="B292" s="34" t="str">
        <x:v>H3</x:v>
      </x:c>
      <x:c r="C292" s="34" t="str">
        <x:v>reference</x:v>
      </x:c>
      <x:c r="D292" s="74" t="n">
        <x:v>1.0492861917143679</x:v>
      </x:c>
      <x:c r="E292" s="74" t="n">
        <x:v>-0.00010819765799053443</x:v>
      </x:c>
      <x:c r="F292" s="74" t="n">
        <x:v>1.035280728947625</x:v>
      </x:c>
      <x:c r="G292" s="74" t="n">
        <x:v>1.31693446716934</x:v>
      </x:c>
      <x:c r="H292" s="74" t="n">
        <x:v>0.9560587883826893</x:v>
      </x:c>
      <x:c r="I292" s="74" t="n">
        <x:v>0.8887920614582914</x:v>
      </x:c>
      <x:c r="J292" s="74" t="n">
        <x:v>0.7879706216306352</x:v>
      </x:c>
      <x:c r="K292" s="74" t="n">
        <x:v>0.9222013445132397</x:v>
      </x:c>
      <x:c r="L292" s="74" t="n">
        <x:v>0.9072613504489058</x:v>
      </x:c>
      <x:c r="M292" s="74" t="n">
        <x:v>0.7685816339962801</x:v>
      </x:c>
      <x:c r="N292" s="74" t="n">
        <x:v>0.8828914870201203</x:v>
      </x:c>
      <x:c r="O292" s="65" t="n">
        <x:v>504758.9126669583</x:v>
      </x:c>
      <x:c r="P292" s="65" t="n">
        <x:v>401960.1768495495</x:v>
      </x:c>
      <x:c r="Q292" s="65" t="n">
        <x:v>102798.73581740877</x:v>
      </x:c>
      <x:c r="R292" s="65" t="n">
        <x:v>94112.57729713613</x:v>
      </x:c>
      <x:c r="S292" s="65" t="n">
        <x:v>8686.158520272664</x:v>
      </x:c>
      <x:c r="T292" s="65" t="n">
        <x:v>101502.02247361498</x:v>
      </x:c>
      <x:c r="U292" s="43" t="n">
        <x:v>0.9974310243737106</x:v>
      </x:c>
      <x:c r="V292" s="43" t="n">
        <x:v>0.9983820215040087</x:v>
      </x:c>
      <x:c r="W292" s="43" t="n">
        <x:v>0.9743102437371047</x:v>
      </x:c>
      <x:c r="X292" s="65" t="n">
        <x:v>11294640.925008507</x:v>
      </x:c>
      <x:c r="Y292" s="65" t="n">
        <x:v>22.376308058300204</x:v>
      </x:c>
      <x:c r="Z292" s="65" t="n">
        <x:v>734308.3386451276</x:v>
      </x:c>
      <x:c r="AA292" s="65" t="n">
        <x:v>72734.33907200243</x:v>
      </x:c>
      <x:c r="AB292" s="65" t="n">
        <x:v>3571.26364354977</x:v>
      </x:c>
      <x:c r="AC292" s="65" t="n">
        <x:v>1751.2430251619357</x:v>
      </x:c>
      <x:c r="AD292" s="65" t="n">
        <x:v>1296.7133437938019</x:v>
      </x:c>
      <x:c r="AE292" s="65" t="n">
        <x:v>59181.90697633191</x:v>
      </x:c>
      <x:c r="AF292" s="65" t="n">
        <x:v>101502.02247361501</x:v>
      </x:c>
      <x:c r="AG292" s="65" t="n">
        <x:v>0</x:v>
      </x:c>
      <x:c r="AH292" s="34" t="n">
        <x:v>1</x:v>
      </x:c>
    </x:row>
    <x:row r="293" ht="15" hidden="0" customHeight="1">
      <x:c r="A293" s="36" t="n">
        <x:v>73</x:v>
      </x:c>
      <x:c r="B293" s="36" t="str">
        <x:v>M0</x:v>
      </x:c>
      <x:c r="C293" s="36" t="str">
        <x:v>reference</x:v>
      </x:c>
      <x:c r="D293" s="75" t="n">
        <x:v>1.194762755832701</x:v>
      </x:c>
      <x:c r="E293" s="75" t="n">
        <x:v>0.06555216583260765</x:v>
      </x:c>
      <x:c r="F293" s="75" t="n">
        <x:v>0.8197401419076804</x:v>
      </x:c>
      <x:c r="G293" s="75" t="n">
        <x:v>0.9702057839839833</x:v>
      </x:c>
      <x:c r="H293" s="75" t="n">
        <x:v>0.8404964891083075</x:v>
      </x:c>
      <x:c r="I293" s="75" t="n">
        <x:v>0.7587038861564454</x:v>
      </x:c>
      <x:c r="J293" s="75" t="n">
        <x:v>0.8957812819989417</x:v>
      </x:c>
      <x:c r="K293" s="75" t="n">
        <x:v>0.7606691301468094</x:v>
      </x:c>
      <x:c r="L293" s="75" t="n">
        <x:v>0.794543088728544</x:v>
      </x:c>
      <x:c r="M293" s="75" t="n">
        <x:v>0.9898713778335183</x:v>
      </x:c>
      <x:c r="N293" s="75" t="n">
        <x:v>0.9609578770581161</x:v>
      </x:c>
      <x:c r="O293" s="66" t="n">
        <x:v>574740.3847407696</x:v>
      </x:c>
      <x:c r="P293" s="66" t="n">
        <x:v>65647.24257782951</x:v>
      </x:c>
      <x:c r="Q293" s="66" t="n">
        <x:v>509093.1421629401</x:v>
      </x:c>
      <x:c r="R293" s="66" t="n">
        <x:v>144898.32388716997</x:v>
      </x:c>
      <x:c r="S293" s="66" t="n">
        <x:v>364194.8182757702</x:v>
      </x:c>
      <x:c r="T293" s="66" t="n">
        <x:v>230734.6748733641</x:v>
      </x:c>
      <x:c r="U293" s="45" t="n">
        <x:v>0.5156796447927935</x:v>
      </x:c>
      <x:c r="V293" s="45" t="n">
        <x:v>0.5450137155752197</x:v>
      </x:c>
      <x:c r="W293" s="45" t="n">
        <x:v>0.10385025474995674</x:v>
      </x:c>
      <x:c r="X293" s="66" t="n">
        <x:v>71476632.39087549</x:v>
      </x:c>
      <x:c r="Y293" s="66" t="n">
        <x:v>124.36333741035831</x:v>
      </x:c>
      <x:c r="Z293" s="66" t="n">
        <x:v>5683536.860233158</x:v>
      </x:c>
      <x:c r="AA293" s="66" t="n">
        <x:v>390000.19031299197</x:v>
      </x:c>
      <x:c r="AB293" s="66" t="n">
        <x:v>54800.82271904286</x:v>
      </x:c>
      <x:c r="AC293" s="66" t="n">
        <x:v>0</x:v>
      </x:c>
      <x:c r="AD293" s="66" t="n">
        <x:v>2476.621096092112</x:v>
      </x:c>
      <x:c r="AE293" s="66" t="n">
        <x:v>175744.81833612735</x:v>
      </x:c>
      <x:c r="AF293" s="66" t="n">
        <x:v>230734.67487336404</x:v>
      </x:c>
      <x:c r="AG293" s="66" t="n">
        <x:v>5.820766091346741e-11</x:v>
      </x:c>
      <x:c r="AH293" s="36" t="n">
        <x:v>0</x:v>
      </x:c>
    </x:row>
    <x:row r="294" ht="15" hidden="0" customHeight="1">
      <x:c r="A294" s="34" t="n">
        <x:v>73</x:v>
      </x:c>
      <x:c r="B294" s="34" t="str">
        <x:v>B1</x:v>
      </x:c>
      <x:c r="C294" s="34" t="str">
        <x:v>reference</x:v>
      </x:c>
      <x:c r="D294" s="74" t="n">
        <x:v>1.194762755832701</x:v>
      </x:c>
      <x:c r="E294" s="74" t="n">
        <x:v>0.06555216583260765</x:v>
      </x:c>
      <x:c r="F294" s="74" t="n">
        <x:v>0.8197401419076804</x:v>
      </x:c>
      <x:c r="G294" s="74" t="n">
        <x:v>0.9702057839839833</x:v>
      </x:c>
      <x:c r="H294" s="74" t="n">
        <x:v>0.8404964891083075</x:v>
      </x:c>
      <x:c r="I294" s="74" t="n">
        <x:v>0.7587038861564454</x:v>
      </x:c>
      <x:c r="J294" s="74" t="n">
        <x:v>0.8957812819989417</x:v>
      </x:c>
      <x:c r="K294" s="74" t="n">
        <x:v>0.7606691301468094</x:v>
      </x:c>
      <x:c r="L294" s="74" t="n">
        <x:v>0.794543088728544</x:v>
      </x:c>
      <x:c r="M294" s="74" t="n">
        <x:v>0.9898713778335183</x:v>
      </x:c>
      <x:c r="N294" s="74" t="n">
        <x:v>0.9609578770581161</x:v>
      </x:c>
      <x:c r="O294" s="65" t="n">
        <x:v>574740.3847407696</x:v>
      </x:c>
      <x:c r="P294" s="65" t="n">
        <x:v>222064.46970981633</x:v>
      </x:c>
      <x:c r="Q294" s="65" t="n">
        <x:v>352675.9150309533</x:v>
      </x:c>
      <x:c r="R294" s="65" t="n">
        <x:v>144898.32388716997</x:v>
      </x:c>
      <x:c r="S294" s="65" t="n">
        <x:v>207777.59114378333</x:v>
      </x:c>
      <x:c r="T294" s="65" t="n">
        <x:v>171452.4985521054</x:v>
      </x:c>
      <x:c r="U294" s="43" t="n">
        <x:v>0.6846864753368833</x:v>
      </x:c>
      <x:c r="V294" s="43" t="n">
        <x:v>0.7077624108693392</x:v>
      </x:c>
      <x:c r="W294" s="43" t="n">
        <x:v>0.3730102530160812</x:v>
      </x:c>
      <x:c r="X294" s="65" t="n">
        <x:v>50462253.46426947</x:v>
      </x:c>
      <x:c r="Y294" s="65" t="n">
        <x:v>87.80008296620728</x:v>
      </x:c>
      <x:c r="Z294" s="65" t="n">
        <x:v>2766034.9006818295</x:v>
      </x:c>
      <x:c r="AA294" s="65" t="n">
        <x:v>272466.98510844575</x:v>
      </x:c>
      <x:c r="AB294" s="65" t="n">
        <x:v>22216.853847957704</x:v>
      </x:c>
      <x:c r="AC294" s="65" t="n">
        <x:v>0</x:v>
      </x:c>
      <x:c r="AD294" s="65" t="n">
        <x:v>2102.555006568118</x:v>
      </x:c>
      <x:c r="AE294" s="65" t="n">
        <x:v>132843.52698364388</x:v>
      </x:c>
      <x:c r="AF294" s="65" t="n">
        <x:v>171452.49855210533</x:v>
      </x:c>
      <x:c r="AG294" s="65" t="n">
        <x:v>5.820766091346741e-11</x:v>
      </x:c>
      <x:c r="AH294" s="34" t="n">
        <x:v>0</x:v>
      </x:c>
    </x:row>
    <x:row r="295" ht="15" hidden="0" customHeight="1">
      <x:c r="A295" s="36" t="n">
        <x:v>73</x:v>
      </x:c>
      <x:c r="B295" s="36" t="str">
        <x:v>P2</x:v>
      </x:c>
      <x:c r="C295" s="36" t="str">
        <x:v>reference</x:v>
      </x:c>
      <x:c r="D295" s="75" t="n">
        <x:v>1.194762755832701</x:v>
      </x:c>
      <x:c r="E295" s="75" t="n">
        <x:v>0.06555216583260765</x:v>
      </x:c>
      <x:c r="F295" s="75" t="n">
        <x:v>0.8197401419076804</x:v>
      </x:c>
      <x:c r="G295" s="75" t="n">
        <x:v>0.9702057839839833</x:v>
      </x:c>
      <x:c r="H295" s="75" t="n">
        <x:v>0.8404964891083075</x:v>
      </x:c>
      <x:c r="I295" s="75" t="n">
        <x:v>0.7587038861564454</x:v>
      </x:c>
      <x:c r="J295" s="75" t="n">
        <x:v>0.8957812819989417</x:v>
      </x:c>
      <x:c r="K295" s="75" t="n">
        <x:v>0.7606691301468094</x:v>
      </x:c>
      <x:c r="L295" s="75" t="n">
        <x:v>0.794543088728544</x:v>
      </x:c>
      <x:c r="M295" s="75" t="n">
        <x:v>0.9898713778335183</x:v>
      </x:c>
      <x:c r="N295" s="75" t="n">
        <x:v>0.9609578770581161</x:v>
      </x:c>
      <x:c r="O295" s="66" t="n">
        <x:v>574740.3847407696</x:v>
      </x:c>
      <x:c r="P295" s="66" t="n">
        <x:v>321704.22496649774</x:v>
      </x:c>
      <x:c r="Q295" s="66" t="n">
        <x:v>253036.15977427183</x:v>
      </x:c>
      <x:c r="R295" s="66" t="n">
        <x:v>144898.32388716997</x:v>
      </x:c>
      <x:c r="S295" s="66" t="n">
        <x:v>108137.83588710189</x:v>
      </x:c>
      <x:c r="T295" s="66" t="n">
        <x:v>114100.07242282374</x:v>
      </x:c>
      <x:c r="U295" s="45" t="n">
        <x:v>0.7582628765262185</x:v>
      </x:c>
      <x:c r="V295" s="45" t="n">
        <x:v>0.793318381683429</x:v>
      </x:c>
      <x:c r="W295" s="45" t="n">
        <x:v>0.3622693723784505</x:v>
      </x:c>
      <x:c r="X295" s="66" t="n">
        <x:v>34809315.24727071</x:v>
      </x:c>
      <x:c r="Y295" s="66" t="n">
        <x:v>60.565285077315515</x:v>
      </x:c>
      <x:c r="Z295" s="66" t="n">
        <x:v>987837.4812378578</x:v>
      </x:c>
      <x:c r="AA295" s="66" t="n">
        <x:v>198400.06022874414</x:v>
      </x:c>
      <x:c r="AB295" s="66" t="n">
        <x:v>602.747410855562</x:v>
      </x:c>
      <x:c r="AC295" s="66" t="n">
        <x:v>20532.844599949523</x:v>
      </x:c>
      <x:c r="AD295" s="66" t="n">
        <x:v>1876.5325636282848</x:v>
      </x:c>
      <x:c r="AE295" s="66" t="n">
        <x:v>57391.1506756965</x:v>
      </x:c>
      <x:c r="AF295" s="66" t="n">
        <x:v>114100.0724228238</x:v>
      </x:c>
      <x:c r="AG295" s="66" t="n">
        <x:v>0</x:v>
      </x:c>
      <x:c r="AH295" s="36" t="n">
        <x:v>0</x:v>
      </x:c>
    </x:row>
    <x:row r="296" ht="15" hidden="0" customHeight="1">
      <x:c r="A296" s="34" t="n">
        <x:v>73</x:v>
      </x:c>
      <x:c r="B296" s="34" t="str">
        <x:v>H3</x:v>
      </x:c>
      <x:c r="C296" s="34" t="str">
        <x:v>reference</x:v>
      </x:c>
      <x:c r="D296" s="74" t="n">
        <x:v>1.194762755832701</x:v>
      </x:c>
      <x:c r="E296" s="74" t="n">
        <x:v>0.06555216583260765</x:v>
      </x:c>
      <x:c r="F296" s="74" t="n">
        <x:v>0.8197401419076804</x:v>
      </x:c>
      <x:c r="G296" s="74" t="n">
        <x:v>0.9702057839839833</x:v>
      </x:c>
      <x:c r="H296" s="74" t="n">
        <x:v>0.8404964891083075</x:v>
      </x:c>
      <x:c r="I296" s="74" t="n">
        <x:v>0.7587038861564454</x:v>
      </x:c>
      <x:c r="J296" s="74" t="n">
        <x:v>0.8957812819989417</x:v>
      </x:c>
      <x:c r="K296" s="74" t="n">
        <x:v>0.7606691301468094</x:v>
      </x:c>
      <x:c r="L296" s="74" t="n">
        <x:v>0.794543088728544</x:v>
      </x:c>
      <x:c r="M296" s="74" t="n">
        <x:v>0.9898713778335183</x:v>
      </x:c>
      <x:c r="N296" s="74" t="n">
        <x:v>0.9609578770581161</x:v>
      </x:c>
      <x:c r="O296" s="65" t="n">
        <x:v>574740.3847407696</x:v>
      </x:c>
      <x:c r="P296" s="65" t="n">
        <x:v>333722.34346973064</x:v>
      </x:c>
      <x:c r="Q296" s="65" t="n">
        <x:v>241018.04127103896</x:v>
      </x:c>
      <x:c r="R296" s="65" t="n">
        <x:v>144898.32388716997</x:v>
      </x:c>
      <x:c r="S296" s="65" t="n">
        <x:v>96119.71738386899</x:v>
      </x:c>
      <x:c r="T296" s="65" t="n">
        <x:v>186020.07977288205</x:v>
      </x:c>
      <x:c r="U296" s="43" t="n">
        <x:v>0.9043081659853027</x:v>
      </x:c>
      <x:c r="V296" s="43" t="n">
        <x:v>0.9092945839263097</x:v>
      </x:c>
      <x:c r="W296" s="43" t="n">
        <x:v>0.6326183697964278</x:v>
      </x:c>
      <x:c r="X296" s="65" t="n">
        <x:v>27731179.546182103</x:v>
      </x:c>
      <x:c r="Y296" s="65" t="n">
        <x:v>48.24992341314235</x:v>
      </x:c>
      <x:c r="Z296" s="65" t="n">
        <x:v>2384521.307209946</x:v>
      </x:c>
      <x:c r="AA296" s="65" t="n">
        <x:v>164601.39117115655</x:v>
      </x:c>
      <x:c r="AB296" s="65" t="n">
        <x:v>16012.854261182318</x:v>
      </x:c>
      <x:c r="AC296" s="65" t="n">
        <x:v>4745.45849243156</x:v>
      </x:c>
      <x:c r="AD296" s="65" t="n">
        <x:v>1851.160045804883</x:v>
      </x:c>
      <x:c r="AE296" s="65" t="n">
        <x:v>84092.2925660671</x:v>
      </x:c>
      <x:c r="AF296" s="65" t="n">
        <x:v>186020.07977288193</x:v>
      </x:c>
      <x:c r="AG296" s="65" t="n">
        <x:v>1.1641532182693481e-10</x:v>
      </x:c>
      <x:c r="AH296" s="34" t="n">
        <x:v>0</x:v>
      </x:c>
    </x:row>
    <x:row r="297" ht="15" hidden="0" customHeight="1">
      <x:c r="A297" s="36" t="n">
        <x:v>74</x:v>
      </x:c>
      <x:c r="B297" s="36" t="str">
        <x:v>M0</x:v>
      </x:c>
      <x:c r="C297" s="36" t="str">
        <x:v>slow</x:v>
      </x:c>
      <x:c r="D297" s="75" t="n">
        <x:v>1.1378936950093592</x:v>
      </x:c>
      <x:c r="E297" s="75" t="n">
        <x:v>0.054851952966692326</x:v>
      </x:c>
      <x:c r="F297" s="75" t="n">
        <x:v>0.8296390019992477</x:v>
      </x:c>
      <x:c r="G297" s="75" t="n">
        <x:v>0.9630675662845518</x:v>
      </x:c>
      <x:c r="H297" s="75" t="n">
        <x:v>0.9294706472297757</x:v>
      </x:c>
      <x:c r="I297" s="75" t="n">
        <x:v>0.9014942326251346</x:v>
      </x:c>
      <x:c r="J297" s="75" t="n">
        <x:v>0.9074312089721623</x:v>
      </x:c>
      <x:c r="K297" s="75" t="n">
        <x:v>0.9236776276508564</x:v>
      </x:c>
      <x:c r="L297" s="75" t="n">
        <x:v>0.7898631522332491</x:v>
      </x:c>
      <x:c r="M297" s="75" t="n">
        <x:v>0.9073603392066103</x:v>
      </x:c>
      <x:c r="N297" s="75" t="n">
        <x:v>0.7912520387330616</x:v>
      </x:c>
      <x:c r="O297" s="66" t="n">
        <x:v>547383.5344055132</x:v>
      </x:c>
      <x:c r="P297" s="66" t="n">
        <x:v>64183.03030538371</x:v>
      </x:c>
      <x:c r="Q297" s="66" t="n">
        <x:v>483200.5041001295</x:v>
      </x:c>
      <x:c r="R297" s="66" t="n">
        <x:v>132144.2429991042</x:v>
      </x:c>
      <x:c r="S297" s="66" t="n">
        <x:v>351056.2611010254</x:v>
      </x:c>
      <x:c r="T297" s="66" t="n">
        <x:v>280578.4933300611</x:v>
      </x:c>
      <x:c r="U297" s="45" t="n">
        <x:v>0.6298353932218178</x:v>
      </x:c>
      <x:c r="V297" s="45" t="n">
        <x:v>0.6131565747755223</x:v>
      </x:c>
      <x:c r="W297" s="45" t="n">
        <x:v>0.058419463060238874</x:v>
      </x:c>
      <x:c r="X297" s="66" t="n">
        <x:v>63791337.92506597</x:v>
      </x:c>
      <x:c r="Y297" s="66" t="n">
        <x:v>116.53864962223729</x:v>
      </x:c>
      <x:c r="Z297" s="66" t="n">
        <x:v>3132279.3284501685</x:v>
      </x:c>
      <x:c r="AA297" s="66" t="n">
        <x:v>361129.6692884654</x:v>
      </x:c>
      <x:c r="AB297" s="66" t="n">
        <x:v>19324.74460668822</x:v>
      </x:c>
      <x:c r="AC297" s="66" t="n">
        <x:v>0</x:v>
      </x:c>
      <x:c r="AD297" s="66" t="n">
        <x:v>3057.1308526419557</x:v>
      </x:c>
      <x:c r="AE297" s="66" t="n">
        <x:v>235002.37589903676</x:v>
      </x:c>
      <x:c r="AF297" s="66" t="n">
        <x:v>280578.4933300613</x:v>
      </x:c>
      <x:c r="AG297" s="66" t="n">
        <x:v>0</x:v>
      </x:c>
      <x:c r="AH297" s="36" t="n">
        <x:v>0</x:v>
      </x:c>
    </x:row>
    <x:row r="298" ht="15" hidden="0" customHeight="1">
      <x:c r="A298" s="34" t="n">
        <x:v>74</x:v>
      </x:c>
      <x:c r="B298" s="34" t="str">
        <x:v>B1</x:v>
      </x:c>
      <x:c r="C298" s="34" t="str">
        <x:v>slow</x:v>
      </x:c>
      <x:c r="D298" s="74" t="n">
        <x:v>1.1378936950093592</x:v>
      </x:c>
      <x:c r="E298" s="74" t="n">
        <x:v>0.054851952966692326</x:v>
      </x:c>
      <x:c r="F298" s="74" t="n">
        <x:v>0.8296390019992477</x:v>
      </x:c>
      <x:c r="G298" s="74" t="n">
        <x:v>0.9630675662845518</x:v>
      </x:c>
      <x:c r="H298" s="74" t="n">
        <x:v>0.9294706472297757</x:v>
      </x:c>
      <x:c r="I298" s="74" t="n">
        <x:v>0.9014942326251346</x:v>
      </x:c>
      <x:c r="J298" s="74" t="n">
        <x:v>0.9074312089721623</x:v>
      </x:c>
      <x:c r="K298" s="74" t="n">
        <x:v>0.9236776276508564</x:v>
      </x:c>
      <x:c r="L298" s="74" t="n">
        <x:v>0.7898631522332491</x:v>
      </x:c>
      <x:c r="M298" s="74" t="n">
        <x:v>0.9073603392066103</x:v>
      </x:c>
      <x:c r="N298" s="74" t="n">
        <x:v>0.7912520387330616</x:v>
      </x:c>
      <x:c r="O298" s="65" t="n">
        <x:v>547383.5344055132</x:v>
      </x:c>
      <x:c r="P298" s="65" t="n">
        <x:v>217111.13397090824</x:v>
      </x:c>
      <x:c r="Q298" s="65" t="n">
        <x:v>330272.40043460496</x:v>
      </x:c>
      <x:c r="R298" s="65" t="n">
        <x:v>132144.2429991042</x:v>
      </x:c>
      <x:c r="S298" s="65" t="n">
        <x:v>198128.15743550082</x:v>
      </x:c>
      <x:c r="T298" s="65" t="n">
        <x:v>198734.92199833423</x:v>
      </x:c>
      <x:c r="U298" s="43" t="n">
        <x:v>0.7596977801330337</x:v>
      </x:c>
      <x:c r="V298" s="43" t="n">
        <x:v>0.7493039948416349</x:v>
      </x:c>
      <x:c r="W298" s="43" t="n">
        <x:v>0.20276680797519625</x:v>
      </x:c>
      <x:c r="X298" s="65" t="n">
        <x:v>44338581.71528328</x:v>
      </x:c>
      <x:c r="Y298" s="65" t="n">
        <x:v>81.00094162210647</x:v>
      </x:c>
      <x:c r="Z298" s="65" t="n">
        <x:v>1335520.9092009566</x:v>
      </x:c>
      <x:c r="AA298" s="65" t="n">
        <x:v>246234.2963595171</x:v>
      </x:c>
      <x:c r="AB298" s="65" t="n">
        <x:v>3443.5271105850475</x:v>
      </x:c>
      <x:c r="AC298" s="65" t="n">
        <x:v>890.2913094678825</x:v>
      </x:c>
      <x:c r="AD298" s="65" t="n">
        <x:v>2576.1023710394375</x:v>
      </x:c>
      <x:c r="AE298" s="65" t="n">
        <x:v>130370.7458517977</x:v>
      </x:c>
      <x:c r="AF298" s="65" t="n">
        <x:v>198734.92199833418</x:v>
      </x:c>
      <x:c r="AG298" s="65" t="n">
        <x:v>5.820766091346741e-11</x:v>
      </x:c>
      <x:c r="AH298" s="34" t="n">
        <x:v>0</x:v>
      </x:c>
    </x:row>
    <x:row r="299" ht="15" hidden="0" customHeight="1">
      <x:c r="A299" s="36" t="n">
        <x:v>74</x:v>
      </x:c>
      <x:c r="B299" s="36" t="str">
        <x:v>P2</x:v>
      </x:c>
      <x:c r="C299" s="36" t="str">
        <x:v>slow</x:v>
      </x:c>
      <x:c r="D299" s="75" t="n">
        <x:v>1.1378936950093592</x:v>
      </x:c>
      <x:c r="E299" s="75" t="n">
        <x:v>0.054851952966692326</x:v>
      </x:c>
      <x:c r="F299" s="75" t="n">
        <x:v>0.8296390019992477</x:v>
      </x:c>
      <x:c r="G299" s="75" t="n">
        <x:v>0.9630675662845518</x:v>
      </x:c>
      <x:c r="H299" s="75" t="n">
        <x:v>0.9294706472297757</x:v>
      </x:c>
      <x:c r="I299" s="75" t="n">
        <x:v>0.9014942326251346</x:v>
      </x:c>
      <x:c r="J299" s="75" t="n">
        <x:v>0.9074312089721623</x:v>
      </x:c>
      <x:c r="K299" s="75" t="n">
        <x:v>0.9236776276508564</x:v>
      </x:c>
      <x:c r="L299" s="75" t="n">
        <x:v>0.7898631522332491</x:v>
      </x:c>
      <x:c r="M299" s="75" t="n">
        <x:v>0.9073603392066103</x:v>
      </x:c>
      <x:c r="N299" s="75" t="n">
        <x:v>0.7912520387330616</x:v>
      </x:c>
      <x:c r="O299" s="66" t="n">
        <x:v>547383.5344055132</x:v>
      </x:c>
      <x:c r="P299" s="66" t="n">
        <x:v>314528.0505189516</x:v>
      </x:c>
      <x:c r="Q299" s="66" t="n">
        <x:v>232855.4838865616</x:v>
      </x:c>
      <x:c r="R299" s="66" t="n">
        <x:v>132144.2429991042</x:v>
      </x:c>
      <x:c r="S299" s="66" t="n">
        <x:v>100711.24088745739</x:v>
      </x:c>
      <x:c r="T299" s="66" t="n">
        <x:v>129638.8821782265</x:v>
      </x:c>
      <x:c r="U299" s="45" t="n">
        <x:v>0.8114364148340093</x:v>
      </x:c>
      <x:c r="V299" s="45" t="n">
        <x:v>0.8045449999746455</x:v>
      </x:c>
      <x:c r="W299" s="45" t="n">
        <x:v>0.29795111478372377</x:v>
      </x:c>
      <x:c r="X299" s="66" t="n">
        <x:v>30519154.10004402</x:v>
      </x:c>
      <x:c r="Y299" s="66" t="n">
        <x:v>55.754607476802164</x:v>
      </x:c>
      <x:c r="Z299" s="66" t="n">
        <x:v>804086.0697734723</x:v>
      </x:c>
      <x:c r="AA299" s="66" t="n">
        <x:v>175021.0804147719</x:v>
      </x:c>
      <x:c r="AB299" s="66" t="n">
        <x:v>143.83609897800386</x:v>
      </x:c>
      <x:c r="AC299" s="66" t="n">
        <x:v>0</x:v>
      </x:c>
      <x:c r="AD299" s="66" t="n">
        <x:v>2284.266642945974</x:v>
      </x:c>
      <x:c r="AE299" s="66" t="n">
        <x:v>67921.22315704773</x:v>
      </x:c>
      <x:c r="AF299" s="66" t="n">
        <x:v>129638.88217822659</x:v>
      </x:c>
      <x:c r="AG299" s="66" t="n">
        <x:v>0</x:v>
      </x:c>
      <x:c r="AH299" s="36" t="n">
        <x:v>0</x:v>
      </x:c>
    </x:row>
    <x:row r="300" ht="15" hidden="0" customHeight="1">
      <x:c r="A300" s="34" t="n">
        <x:v>74</x:v>
      </x:c>
      <x:c r="B300" s="34" t="str">
        <x:v>H3</x:v>
      </x:c>
      <x:c r="C300" s="34" t="str">
        <x:v>slow</x:v>
      </x:c>
      <x:c r="D300" s="74" t="n">
        <x:v>1.1378936950093592</x:v>
      </x:c>
      <x:c r="E300" s="74" t="n">
        <x:v>0.054851952966692326</x:v>
      </x:c>
      <x:c r="F300" s="74" t="n">
        <x:v>0.8296390019992477</x:v>
      </x:c>
      <x:c r="G300" s="74" t="n">
        <x:v>0.9630675662845518</x:v>
      </x:c>
      <x:c r="H300" s="74" t="n">
        <x:v>0.9294706472297757</x:v>
      </x:c>
      <x:c r="I300" s="74" t="n">
        <x:v>0.9014942326251346</x:v>
      </x:c>
      <x:c r="J300" s="74" t="n">
        <x:v>0.9074312089721623</x:v>
      </x:c>
      <x:c r="K300" s="74" t="n">
        <x:v>0.9236776276508564</x:v>
      </x:c>
      <x:c r="L300" s="74" t="n">
        <x:v>0.7898631522332491</x:v>
      </x:c>
      <x:c r="M300" s="74" t="n">
        <x:v>0.9073603392066103</x:v>
      </x:c>
      <x:c r="N300" s="74" t="n">
        <x:v>0.7912520387330616</x:v>
      </x:c>
      <x:c r="O300" s="65" t="n">
        <x:v>547383.5344055132</x:v>
      </x:c>
      <x:c r="P300" s="65" t="n">
        <x:v>326278.0254455324</x:v>
      </x:c>
      <x:c r="Q300" s="65" t="n">
        <x:v>221105.50895998086</x:v>
      </x:c>
      <x:c r="R300" s="65" t="n">
        <x:v>132144.2429991042</x:v>
      </x:c>
      <x:c r="S300" s="65" t="n">
        <x:v>88961.26596087666</x:v>
      </x:c>
      <x:c r="T300" s="65" t="n">
        <x:v>121309.54596501103</x:v>
      </x:c>
      <x:c r="U300" s="43" t="n">
        <x:v>0.8176854860945838</x:v>
      </x:c>
      <x:c r="V300" s="43" t="n">
        <x:v>0.8113440306930648</x:v>
      </x:c>
      <x:c r="W300" s="43" t="n">
        <x:v>0.3099299966900919</x:v>
      </x:c>
      <x:c r="X300" s="65" t="n">
        <x:v>26110802.8024338</x:v>
      </x:c>
      <x:c r="Y300" s="65" t="n">
        <x:v>47.70111112456366</x:v>
      </x:c>
      <x:c r="Z300" s="65" t="n">
        <x:v>815302.5735289787</x:v>
      </x:c>
      <x:c r="AA300" s="65" t="n">
        <x:v>145622.4213640727</x:v>
      </x:c>
      <x:c r="AB300" s="65" t="n">
        <x:v>2537.821394429436</x:v>
      </x:c>
      <x:c r="AC300" s="65" t="n">
        <x:v>55.23531997859405</x:v>
      </x:c>
      <x:c r="AD300" s="65" t="n">
        <x:v>2251.313945151659</x:v>
      </x:c>
      <x:c r="AE300" s="65" t="n">
        <x:v>18763.281745206186</x:v>
      </x:c>
      <x:c r="AF300" s="65" t="n">
        <x:v>121309.54596501107</x:v>
      </x:c>
      <x:c r="AG300" s="65" t="n">
        <x:v>0</x:v>
      </x:c>
      <x:c r="AH300" s="34" t="n">
        <x:v>0</x:v>
      </x:c>
    </x:row>
    <x:row r="301" ht="21.600000381469727" hidden="0" customHeight="1">
      <x:c r="A301" s="36" t="n">
        <x:v>75</x:v>
      </x:c>
      <x:c r="B301" s="36" t="str">
        <x:v>M0</x:v>
      </x:c>
      <x:c r="C301" s="36" t="str">
        <x:v>reference</x:v>
      </x:c>
      <x:c r="D301" s="75" t="n">
        <x:v>1.091679295465345</x:v>
      </x:c>
      <x:c r="E301" s="75" t="n">
        <x:v>-0.01021470683282081</x:v>
      </x:c>
      <x:c r="F301" s="75" t="n">
        <x:v>0.9376628054901659</x:v>
      </x:c>
      <x:c r="G301" s="75" t="n">
        <x:v>1.2430989280268934</x:v>
      </x:c>
      <x:c r="H301" s="75" t="n">
        <x:v>1.0789439019404008</x:v>
      </x:c>
      <x:c r="I301" s="75" t="n">
        <x:v>1.0025025299316064</x:v>
      </x:c>
      <x:c r="J301" s="75" t="n">
        <x:v>0.7300843850956039</x:v>
      </x:c>
      <x:c r="K301" s="75" t="n">
        <x:v>0.8673588198964801</x:v>
      </x:c>
      <x:c r="L301" s="75" t="n">
        <x:v>0.8372492684461555</x:v>
      </x:c>
      <x:c r="M301" s="75" t="n">
        <x:v>0.8951474794324368</x:v>
      </x:c>
      <x:c r="N301" s="75" t="n">
        <x:v>0.9428534707684544</x:v>
      </x:c>
      <x:c r="O301" s="66" t="n">
        <x:v>525152.1067477451</x:v>
      </x:c>
      <x:c r="P301" s="66" t="n">
        <x:v>75564.37706281166</x:v>
      </x:c>
      <x:c r="Q301" s="66" t="n">
        <x:v>449587.72968493344</x:v>
      </x:c>
      <x:c r="R301" s="66" t="n">
        <x:v>92607.44498141317</x:v>
      </x:c>
      <x:c r="S301" s="66" t="n">
        <x:v>356980.28470352024</x:v>
      </x:c>
      <x:c r="T301" s="66" t="n">
        <x:v>271930.4583011601</x:v>
      </x:c>
      <x:c r="U301" s="45" t="n">
        <x:v>0.6617032111248669</x:v>
      </x:c>
      <x:c r="V301" s="45" t="n">
        <x:v>0.698605774805577</x:v>
      </x:c>
      <x:c r="W301" s="45" t="n">
        <x:v>0.1472508860042873</x:v>
      </x:c>
      <x:c r="X301" s="66" t="n">
        <x:v>59197523.36323307</x:v>
      </x:c>
      <x:c r="Y301" s="66" t="n">
        <x:v>112.72452800359494</x:v>
      </x:c>
      <x:c r="Z301" s="66" t="n">
        <x:v>4322761.71535604</x:v>
      </x:c>
      <x:c r="AA301" s="66" t="n">
        <x:v>324356.2514872177</x:v>
      </x:c>
      <x:c r="AB301" s="66" t="n">
        <x:v>32295.977428068887</x:v>
      </x:c>
      <x:c r="AC301" s="66" t="n">
        <x:v>9281.108555583474</x:v>
      </x:c>
      <x:c r="AD301" s="66" t="n">
        <x:v>2207.1997391163377</x:v>
      </x:c>
      <x:c r="AE301" s="66" t="n">
        <x:v>217622.09838489708</x:v>
      </x:c>
      <x:c r="AF301" s="66" t="n">
        <x:v>271930.45830115996</x:v>
      </x:c>
      <x:c r="AG301" s="66" t="n">
        <x:v>1.1641532182693481e-10</x:v>
      </x:c>
      <x:c r="AH301" s="36" t="n">
        <x:v>0</x:v>
      </x:c>
    </x:row>
    <x:row r="302" ht="21.600000381469727" hidden="0" customHeight="1">
      <x:c r="A302" s="34" t="n">
        <x:v>75</x:v>
      </x:c>
      <x:c r="B302" s="34" t="str">
        <x:v>B1</x:v>
      </x:c>
      <x:c r="C302" s="34" t="str">
        <x:v>reference</x:v>
      </x:c>
      <x:c r="D302" s="74" t="n">
        <x:v>1.091679295465345</x:v>
      </x:c>
      <x:c r="E302" s="74" t="n">
        <x:v>-0.01021470683282081</x:v>
      </x:c>
      <x:c r="F302" s="74" t="n">
        <x:v>0.9376628054901659</x:v>
      </x:c>
      <x:c r="G302" s="74" t="n">
        <x:v>1.2430989280268934</x:v>
      </x:c>
      <x:c r="H302" s="74" t="n">
        <x:v>1.0789439019404008</x:v>
      </x:c>
      <x:c r="I302" s="74" t="n">
        <x:v>1.0025025299316064</x:v>
      </x:c>
      <x:c r="J302" s="74" t="n">
        <x:v>0.7300843850956039</x:v>
      </x:c>
      <x:c r="K302" s="74" t="n">
        <x:v>0.8673588198964801</x:v>
      </x:c>
      <x:c r="L302" s="74" t="n">
        <x:v>0.8372492684461555</x:v>
      </x:c>
      <x:c r="M302" s="74" t="n">
        <x:v>0.8951474794324368</x:v>
      </x:c>
      <x:c r="N302" s="74" t="n">
        <x:v>0.9428534707684544</x:v>
      </x:c>
      <x:c r="O302" s="65" t="n">
        <x:v>525152.1067477451</x:v>
      </x:c>
      <x:c r="P302" s="65" t="n">
        <x:v>255608.3650260329</x:v>
      </x:c>
      <x:c r="Q302" s="65" t="n">
        <x:v>269543.74172171217</x:v>
      </x:c>
      <x:c r="R302" s="65" t="n">
        <x:v>92607.44498141317</x:v>
      </x:c>
      <x:c r="S302" s="65" t="n">
        <x:v>176936.296740299</x:v>
      </x:c>
      <x:c r="T302" s="65" t="n">
        <x:v>201665.15407250272</x:v>
      </x:c>
      <x:c r="U302" s="43" t="n">
        <x:v>0.8707449008067778</x:v>
      </x:c>
      <x:c r="V302" s="43" t="n">
        <x:v>0.8905025511744296</x:v>
      </x:c>
      <x:c r="W302" s="43" t="n">
        <x:v>0.5451546466922834</x:v>
      </x:c>
      <x:c r="X302" s="65" t="n">
        <x:v>35058552.84386561</x:v>
      </x:c>
      <x:c r="Y302" s="65" t="n">
        <x:v>66.75885404132228</x:v>
      </x:c>
      <x:c r="Z302" s="65" t="n">
        <x:v>2101595.455919293</x:v>
      </x:c>
      <x:c r="AA302" s="65" t="n">
        <x:v>186578.66959827178</x:v>
      </x:c>
      <x:c r="AB302" s="65" t="n">
        <x:v>2482.916886951044</x:v>
      </x:c>
      <x:c r="AC302" s="65" t="n">
        <x:v>14896.794344243848</x:v>
      </x:c>
      <x:c r="AD302" s="65" t="n">
        <x:v>1739.1895608003772</x:v>
      </x:c>
      <x:c r="AE302" s="65" t="n">
        <x:v>127097.320305654</x:v>
      </x:c>
      <x:c r="AF302" s="65" t="n">
        <x:v>201665.15407250277</x:v>
      </x:c>
      <x:c r="AG302" s="65" t="n">
        <x:v>0</x:v>
      </x:c>
      <x:c r="AH302" s="34" t="n">
        <x:v>0</x:v>
      </x:c>
    </x:row>
    <x:row r="303" ht="21.600000381469727" hidden="0" customHeight="1">
      <x:c r="A303" s="36" t="n">
        <x:v>75</x:v>
      </x:c>
      <x:c r="B303" s="36" t="str">
        <x:v>P2</x:v>
      </x:c>
      <x:c r="C303" s="36" t="str">
        <x:v>reference</x:v>
      </x:c>
      <x:c r="D303" s="75" t="n">
        <x:v>1.091679295465345</x:v>
      </x:c>
      <x:c r="E303" s="75" t="n">
        <x:v>-0.01021470683282081</x:v>
      </x:c>
      <x:c r="F303" s="75" t="n">
        <x:v>0.9376628054901659</x:v>
      </x:c>
      <x:c r="G303" s="75" t="n">
        <x:v>1.2430989280268934</x:v>
      </x:c>
      <x:c r="H303" s="75" t="n">
        <x:v>1.0789439019404008</x:v>
      </x:c>
      <x:c r="I303" s="75" t="n">
        <x:v>1.0025025299316064</x:v>
      </x:c>
      <x:c r="J303" s="75" t="n">
        <x:v>0.7300843850956039</x:v>
      </x:c>
      <x:c r="K303" s="75" t="n">
        <x:v>0.8673588198964801</x:v>
      </x:c>
      <x:c r="L303" s="75" t="n">
        <x:v>0.8372492684461555</x:v>
      </x:c>
      <x:c r="M303" s="75" t="n">
        <x:v>0.8951474794324368</x:v>
      </x:c>
      <x:c r="N303" s="75" t="n">
        <x:v>0.9428534707684544</x:v>
      </x:c>
      <x:c r="O303" s="66" t="n">
        <x:v>525152.1067477451</x:v>
      </x:c>
      <x:c r="P303" s="66" t="n">
        <x:v>370296.955180979</x:v>
      </x:c>
      <x:c r="Q303" s="66" t="n">
        <x:v>154855.15156676612</x:v>
      </x:c>
      <x:c r="R303" s="66" t="n">
        <x:v>92607.44498141317</x:v>
      </x:c>
      <x:c r="S303" s="66" t="n">
        <x:v>62247.70658535295</x:v>
      </x:c>
      <x:c r="T303" s="66" t="n">
        <x:v>129907.97625255077</x:v>
      </x:c>
      <x:c r="U303" s="45" t="n">
        <x:v>0.9524953342209505</x:v>
      </x:c>
      <x:c r="V303" s="45" t="n">
        <x:v>0.9562720849032024</x:v>
      </x:c>
      <x:c r="W303" s="45" t="n">
        <x:v>0.7091285057545078</x:v>
      </x:c>
      <x:c r="X303" s="66" t="n">
        <x:v>18504804.10974814</x:v>
      </x:c>
      <x:c r="Y303" s="66" t="n">
        <x:v>35.23703679748705</x:v>
      </x:c>
      <x:c r="Z303" s="66" t="n">
        <x:v>1703578.7674102993</x:v>
      </x:c>
      <x:c r="AA303" s="66" t="n">
        <x:v>101625.69028411075</x:v>
      </x:c>
      <x:c r="AB303" s="66" t="n">
        <x:v>0</x:v>
      </x:c>
      <x:c r="AC303" s="66" t="n">
        <x:v>22250.074263838775</x:v>
      </x:c>
      <x:c r="AD303" s="66" t="n">
        <x:v>1456.4031581133859</x:v>
      </x:c>
      <x:c r="AE303" s="66" t="n">
        <x:v>64277.96087921485</x:v>
      </x:c>
      <x:c r="AF303" s="66" t="n">
        <x:v>129907.97625255068</x:v>
      </x:c>
      <x:c r="AG303" s="66" t="n">
        <x:v>8.731149137020111e-11</x:v>
      </x:c>
      <x:c r="AH303" s="36" t="n">
        <x:v>0</x:v>
      </x:c>
    </x:row>
    <x:row r="304" ht="21.600000381469727" hidden="0" customHeight="1">
      <x:c r="A304" s="34" t="n">
        <x:v>75</x:v>
      </x:c>
      <x:c r="B304" s="34" t="str">
        <x:v>H3</x:v>
      </x:c>
      <x:c r="C304" s="34" t="str">
        <x:v>reference</x:v>
      </x:c>
      <x:c r="D304" s="74" t="n">
        <x:v>1.091679295465345</x:v>
      </x:c>
      <x:c r="E304" s="74" t="n">
        <x:v>-0.01021470683282081</x:v>
      </x:c>
      <x:c r="F304" s="74" t="n">
        <x:v>0.9376628054901659</x:v>
      </x:c>
      <x:c r="G304" s="74" t="n">
        <x:v>1.2430989280268934</x:v>
      </x:c>
      <x:c r="H304" s="74" t="n">
        <x:v>1.0789439019404008</x:v>
      </x:c>
      <x:c r="I304" s="74" t="n">
        <x:v>1.0025025299316064</x:v>
      </x:c>
      <x:c r="J304" s="74" t="n">
        <x:v>0.7300843850956039</x:v>
      </x:c>
      <x:c r="K304" s="74" t="n">
        <x:v>0.8673588198964801</x:v>
      </x:c>
      <x:c r="L304" s="74" t="n">
        <x:v>0.8372492684461555</x:v>
      </x:c>
      <x:c r="M304" s="74" t="n">
        <x:v>0.8951474794324368</x:v>
      </x:c>
      <x:c r="N304" s="74" t="n">
        <x:v>0.9428534707684544</x:v>
      </x:c>
      <x:c r="O304" s="65" t="n">
        <x:v>525152.1067477451</x:v>
      </x:c>
      <x:c r="P304" s="65" t="n">
        <x:v>384129.9357567807</x:v>
      </x:c>
      <x:c r="Q304" s="65" t="n">
        <x:v>141022.17099096446</x:v>
      </x:c>
      <x:c r="R304" s="65" t="n">
        <x:v>92607.44498141317</x:v>
      </x:c>
      <x:c r="S304" s="65" t="n">
        <x:v>48414.726009551276</x:v>
      </x:c>
      <x:c r="T304" s="65" t="n">
        <x:v>139597.5124815199</x:v>
      </x:c>
      <x:c r="U304" s="43" t="n">
        <x:v>0.9972871507299714</x:v>
      </x:c>
      <x:c r="V304" s="43" t="n">
        <x:v>0.9982913168766087</x:v>
      </x:c>
      <x:c r="W304" s="43" t="n">
        <x:v>0.9728715072997145</x:v>
      </x:c>
      <x:c r="X304" s="65" t="n">
        <x:v>14576745.21200728</x:v>
      </x:c>
      <x:c r="Y304" s="65" t="n">
        <x:v>27.757186964898093</x:v>
      </x:c>
      <x:c r="Z304" s="65" t="n">
        <x:v>1166449.6601163973</x:v>
      </x:c>
      <x:c r="AA304" s="65" t="n">
        <x:v>88414.74083916386</x:v>
      </x:c>
      <x:c r="AB304" s="65" t="n">
        <x:v>3133.4049226474162</x:v>
      </x:c>
      <x:c r="AC304" s="65" t="n">
        <x:v>8864.553543172842</x:v>
      </x:c>
      <x:c r="AD304" s="65" t="n">
        <x:v>1424.6585094445752</x:v>
      </x:c>
      <x:c r="AE304" s="65" t="n">
        <x:v>65085.54329824104</x:v>
      </x:c>
      <x:c r="AF304" s="65" t="n">
        <x:v>139597.5124815199</x:v>
      </x:c>
      <x:c r="AG304" s="65" t="n">
        <x:v>0</x:v>
      </x:c>
      <x:c r="AH304" s="34" t="n">
        <x:v>1</x:v>
      </x:c>
    </x:row>
    <x:row r="305" ht="15" hidden="0" customHeight="1">
      <x:c r="A305" s="36" t="n">
        <x:v>76</x:v>
      </x:c>
      <x:c r="B305" s="36" t="str">
        <x:v>M0</x:v>
      </x:c>
      <x:c r="C305" s="36" t="str">
        <x:v>fast</x:v>
      </x:c>
      <x:c r="D305" s="75" t="n">
        <x:v>1.1506842946842861</x:v>
      </x:c>
      <x:c r="E305" s="75" t="n">
        <x:v>0.054407865231073126</x:v>
      </x:c>
      <x:c r="F305" s="75" t="n">
        <x:v>0.9259617986037487</x:v>
      </x:c>
      <x:c r="G305" s="75" t="n">
        <x:v>1.0733614050359788</x:v>
      </x:c>
      <x:c r="H305" s="75" t="n">
        <x:v>0.9813882045169091</x:v>
      </x:c>
      <x:c r="I305" s="75" t="n">
        <x:v>0.9781338928329452</x:v>
      </x:c>
      <x:c r="J305" s="75" t="n">
        <x:v>0.8252170621060154</x:v>
      </x:c>
      <x:c r="K305" s="75" t="n">
        <x:v>0.7223652867648224</x:v>
      </x:c>
      <x:c r="L305" s="75" t="n">
        <x:v>0.8232281615365703</x:v>
      </x:c>
      <x:c r="M305" s="75" t="n">
        <x:v>0.9488165583308666</x:v>
      </x:c>
      <x:c r="N305" s="75" t="n">
        <x:v>0.8200185614689474</x:v>
      </x:c>
      <x:c r="O305" s="66" t="n">
        <x:v>553536.4498210168</x:v>
      </x:c>
      <x:c r="P305" s="66" t="n">
        <x:v>72482.445818112</x:v>
      </x:c>
      <x:c r="Q305" s="66" t="n">
        <x:v>481054.00400290487</x:v>
      </x:c>
      <x:c r="R305" s="66" t="n">
        <x:v>133383.8038768958</x:v>
      </x:c>
      <x:c r="S305" s="66" t="n">
        <x:v>347670.20012600906</x:v>
      </x:c>
      <x:c r="T305" s="66" t="n">
        <x:v>269309.2122926402</x:v>
      </x:c>
      <x:c r="U305" s="45" t="n">
        <x:v>0.6174691083509836</x:v>
      </x:c>
      <x:c r="V305" s="45" t="n">
        <x:v>0.6498002521613976</x:v>
      </x:c>
      <x:c r="W305" s="45" t="n">
        <x:v>0.1327100312146904</x:v>
      </x:c>
      <x:c r="X305" s="66" t="n">
        <x:v>64360722.08490356</x:v>
      </x:c>
      <x:c r="Y305" s="66" t="n">
        <x:v>116.27187713783668</x:v>
      </x:c>
      <x:c r="Z305" s="66" t="n">
        <x:v>4074609.590601387</x:v>
      </x:c>
      <x:c r="AA305" s="66" t="n">
        <x:v>357267.4570958554</x:v>
      </x:c>
      <x:c r="AB305" s="66" t="n">
        <x:v>27960.91954360084</x:v>
      </x:c>
      <x:c r="AC305" s="66" t="n">
        <x:v>455.6920356336269</x:v>
      </x:c>
      <x:c r="AD305" s="66" t="n">
        <x:v>2359.425465255224</x:v>
      </x:c>
      <x:c r="AE305" s="66" t="n">
        <x:v>222076.14315202882</x:v>
      </x:c>
      <x:c r="AF305" s="66" t="n">
        <x:v>269309.2122926402</x:v>
      </x:c>
      <x:c r="AG305" s="66" t="n">
        <x:v>0</x:v>
      </x:c>
      <x:c r="AH305" s="36" t="n">
        <x:v>0</x:v>
      </x:c>
    </x:row>
    <x:row r="306" ht="15" hidden="0" customHeight="1">
      <x:c r="A306" s="34" t="n">
        <x:v>76</x:v>
      </x:c>
      <x:c r="B306" s="34" t="str">
        <x:v>B1</x:v>
      </x:c>
      <x:c r="C306" s="34" t="str">
        <x:v>fast</x:v>
      </x:c>
      <x:c r="D306" s="74" t="n">
        <x:v>1.1506842946842861</x:v>
      </x:c>
      <x:c r="E306" s="74" t="n">
        <x:v>0.054407865231073126</x:v>
      </x:c>
      <x:c r="F306" s="74" t="n">
        <x:v>0.9259617986037487</x:v>
      </x:c>
      <x:c r="G306" s="74" t="n">
        <x:v>1.0733614050359788</x:v>
      </x:c>
      <x:c r="H306" s="74" t="n">
        <x:v>0.9813882045169091</x:v>
      </x:c>
      <x:c r="I306" s="74" t="n">
        <x:v>0.9781338928329452</x:v>
      </x:c>
      <x:c r="J306" s="74" t="n">
        <x:v>0.8252170621060154</x:v>
      </x:c>
      <x:c r="K306" s="74" t="n">
        <x:v>0.7223652867648224</x:v>
      </x:c>
      <x:c r="L306" s="74" t="n">
        <x:v>0.8232281615365703</x:v>
      </x:c>
      <x:c r="M306" s="74" t="n">
        <x:v>0.9488165583308666</x:v>
      </x:c>
      <x:c r="N306" s="74" t="n">
        <x:v>0.8200185614689474</x:v>
      </x:c>
      <x:c r="O306" s="65" t="n">
        <x:v>553536.4498210168</x:v>
      </x:c>
      <x:c r="P306" s="65" t="n">
        <x:v>245185.4466385243</x:v>
      </x:c>
      <x:c r="Q306" s="65" t="n">
        <x:v>308351.00318249257</x:v>
      </x:c>
      <x:c r="R306" s="65" t="n">
        <x:v>133383.8038768958</x:v>
      </x:c>
      <x:c r="S306" s="65" t="n">
        <x:v>174967.1993055968</x:v>
      </x:c>
      <x:c r="T306" s="65" t="n">
        <x:v>180589.8114735168</x:v>
      </x:c>
      <x:c r="U306" s="43" t="n">
        <x:v>0.7691910049459496</x:v>
      </x:c>
      <x:c r="V306" s="43" t="n">
        <x:v>0.7991083252708395</x:v>
      </x:c>
      <x:c r="W306" s="43" t="n">
        <x:v>0.48708507244546073</x:v>
      </x:c>
      <x:c r="X306" s="65" t="n">
        <x:v>41535732.805466056</x:v>
      </x:c>
      <x:c r="Y306" s="65" t="n">
        <x:v>75.03703291607341</x:v>
      </x:c>
      <x:c r="Z306" s="65" t="n">
        <x:v>1768057.189663872</x:v>
      </x:c>
      <x:c r="AA306" s="65" t="n">
        <x:v>225746.3013123272</x:v>
      </x:c>
      <x:c r="AB306" s="65" t="n">
        <x:v>3448.024857775017</x:v>
      </x:c>
      <x:c r="AC306" s="65" t="n">
        <x:v>32222.90075117071</x:v>
      </x:c>
      <x:c r="AD306" s="65" t="n">
        <x:v>1940.6801646670947</x:v>
      </x:c>
      <x:c r="AE306" s="65" t="n">
        <x:v>144398.69163364964</x:v>
      </x:c>
      <x:c r="AF306" s="65" t="n">
        <x:v>180589.81147351704</x:v>
      </x:c>
      <x:c r="AG306" s="65" t="n">
        <x:v>0</x:v>
      </x:c>
      <x:c r="AH306" s="34" t="n">
        <x:v>0</x:v>
      </x:c>
    </x:row>
    <x:row r="307" ht="15" hidden="0" customHeight="1">
      <x:c r="A307" s="36" t="n">
        <x:v>76</x:v>
      </x:c>
      <x:c r="B307" s="36" t="str">
        <x:v>P2</x:v>
      </x:c>
      <x:c r="C307" s="36" t="str">
        <x:v>fast</x:v>
      </x:c>
      <x:c r="D307" s="75" t="n">
        <x:v>1.1506842946842861</x:v>
      </x:c>
      <x:c r="E307" s="75" t="n">
        <x:v>0.054407865231073126</x:v>
      </x:c>
      <x:c r="F307" s="75" t="n">
        <x:v>0.9259617986037487</x:v>
      </x:c>
      <x:c r="G307" s="75" t="n">
        <x:v>1.0733614050359788</x:v>
      </x:c>
      <x:c r="H307" s="75" t="n">
        <x:v>0.9813882045169091</x:v>
      </x:c>
      <x:c r="I307" s="75" t="n">
        <x:v>0.9781338928329452</x:v>
      </x:c>
      <x:c r="J307" s="75" t="n">
        <x:v>0.8252170621060154</x:v>
      </x:c>
      <x:c r="K307" s="75" t="n">
        <x:v>0.7223652867648224</x:v>
      </x:c>
      <x:c r="L307" s="75" t="n">
        <x:v>0.8232281615365703</x:v>
      </x:c>
      <x:c r="M307" s="75" t="n">
        <x:v>0.9488165583308666</x:v>
      </x:c>
      <x:c r="N307" s="75" t="n">
        <x:v>0.8200185614689474</x:v>
      </x:c>
      <x:c r="O307" s="66" t="n">
        <x:v>553536.4498210168</x:v>
      </x:c>
      <x:c r="P307" s="66" t="n">
        <x:v>355199.1840834075</x:v>
      </x:c>
      <x:c r="Q307" s="66" t="n">
        <x:v>198337.2657376094</x:v>
      </x:c>
      <x:c r="R307" s="66" t="n">
        <x:v>133383.8038768958</x:v>
      </x:c>
      <x:c r="S307" s="66" t="n">
        <x:v>64953.46186071363</x:v>
      </x:c>
      <x:c r="T307" s="66" t="n">
        <x:v>108354.79245972194</x:v>
      </x:c>
      <x:c r="U307" s="45" t="n">
        <x:v>0.837440744314159</x:v>
      </x:c>
      <x:c r="V307" s="45" t="n">
        <x:v>0.8409391714047987</x:v>
      </x:c>
      <x:c r="W307" s="45" t="n">
        <x:v>0.6105174332629216</x:v>
      </x:c>
      <x:c r="X307" s="66" t="n">
        <x:v>25444882.920634225</x:v>
      </x:c>
      <x:c r="Y307" s="66" t="n">
        <x:v>45.96785438223933</x:v>
      </x:c>
      <x:c r="Z307" s="66" t="n">
        <x:v>1629508.5417694184</x:v>
      </x:c>
      <x:c r="AA307" s="66" t="n">
        <x:v>141512.18182273768</x:v>
      </x:c>
      <x:c r="AB307" s="66" t="n">
        <x:v>0</x:v>
      </x:c>
      <x:c r="AC307" s="66" t="n">
        <x:v>41022.27933895239</x:v>
      </x:c>
      <x:c r="AD307" s="66" t="n">
        <x:v>1687.6611435391906</x:v>
      </x:c>
      <x:c r="AE307" s="66" t="n">
        <x:v>74540.60112045766</x:v>
      </x:c>
      <x:c r="AF307" s="66" t="n">
        <x:v>108354.7924597219</x:v>
      </x:c>
      <x:c r="AG307" s="66" t="n">
        <x:v>4.3655745685100555e-11</x:v>
      </x:c>
      <x:c r="AH307" s="36" t="n">
        <x:v>0</x:v>
      </x:c>
    </x:row>
    <x:row r="308" ht="15" hidden="0" customHeight="1">
      <x:c r="A308" s="34" t="n">
        <x:v>76</x:v>
      </x:c>
      <x:c r="B308" s="34" t="str">
        <x:v>H3</x:v>
      </x:c>
      <x:c r="C308" s="34" t="str">
        <x:v>fast</x:v>
      </x:c>
      <x:c r="D308" s="74" t="n">
        <x:v>1.1506842946842861</x:v>
      </x:c>
      <x:c r="E308" s="74" t="n">
        <x:v>0.054407865231073126</x:v>
      </x:c>
      <x:c r="F308" s="74" t="n">
        <x:v>0.9259617986037487</x:v>
      </x:c>
      <x:c r="G308" s="74" t="n">
        <x:v>1.0733614050359788</x:v>
      </x:c>
      <x:c r="H308" s="74" t="n">
        <x:v>0.9813882045169091</x:v>
      </x:c>
      <x:c r="I308" s="74" t="n">
        <x:v>0.9781338928329452</x:v>
      </x:c>
      <x:c r="J308" s="74" t="n">
        <x:v>0.8252170621060154</x:v>
      </x:c>
      <x:c r="K308" s="74" t="n">
        <x:v>0.7223652867648224</x:v>
      </x:c>
      <x:c r="L308" s="74" t="n">
        <x:v>0.8232281615365703</x:v>
      </x:c>
      <x:c r="M308" s="74" t="n">
        <x:v>0.9488165583308666</x:v>
      </x:c>
      <x:c r="N308" s="74" t="n">
        <x:v>0.8200185614689474</x:v>
      </x:c>
      <x:c r="O308" s="65" t="n">
        <x:v>553536.4498210168</x:v>
      </x:c>
      <x:c r="P308" s="65" t="n">
        <x:v>368468.5273133627</x:v>
      </x:c>
      <x:c r="Q308" s="65" t="n">
        <x:v>185067.92250765424</x:v>
      </x:c>
      <x:c r="R308" s="65" t="n">
        <x:v>133383.8038768958</x:v>
      </x:c>
      <x:c r="S308" s="65" t="n">
        <x:v>51684.118630758436</x:v>
      </x:c>
      <x:c r="T308" s="65" t="n">
        <x:v>180591.27233532383</x:v>
      </x:c>
      <x:c r="U308" s="43" t="n">
        <x:v>0.9919126370561908</x:v>
      </x:c>
      <x:c r="V308" s="43" t="n">
        <x:v>0.9951233520094498</x:v>
      </x:c>
      <x:c r="W308" s="43" t="n">
        <x:v>0.919126370561904</x:v>
      </x:c>
      <x:c r="X308" s="65" t="n">
        <x:v>17747043.48205692</x:v>
      </x:c>
      <x:c r="Y308" s="65" t="n">
        <x:v>32.06120118701368</x:v>
      </x:c>
      <x:c r="Z308" s="65" t="n">
        <x:v>1755550.82737836</x:v>
      </x:c>
      <x:c r="AA308" s="65" t="n">
        <x:v>110760.70296036653</x:v>
      </x:c>
      <x:c r="AB308" s="65" t="n">
        <x:v>6685.850886458746</x:v>
      </x:c>
      <x:c r="AC308" s="65" t="n">
        <x:v>10680.520838080107</x:v>
      </x:c>
      <x:c r="AD308" s="65" t="n">
        <x:v>1659.2580808179534</x:v>
      </x:c>
      <x:c r="AE308" s="65" t="n">
        <x:v>75770.86877118306</x:v>
      </x:c>
      <x:c r="AF308" s="65" t="n">
        <x:v>180591.272335324</x:v>
      </x:c>
      <x:c r="AG308" s="65" t="n">
        <x:v>0</x:v>
      </x:c>
      <x:c r="AH308" s="34" t="n">
        <x:v>1</x:v>
      </x:c>
    </x:row>
    <x:row r="309" ht="15" hidden="0" customHeight="1">
      <x:c r="A309" s="36" t="n">
        <x:v>77</x:v>
      </x:c>
      <x:c r="B309" s="36" t="str">
        <x:v>M0</x:v>
      </x:c>
      <x:c r="C309" s="36" t="str">
        <x:v>reference</x:v>
      </x:c>
      <x:c r="D309" s="75" t="n">
        <x:v>1.126098969405076</x:v>
      </x:c>
      <x:c r="E309" s="75" t="n">
        <x:v>0.09135109730684146</x:v>
      </x:c>
      <x:c r="F309" s="75" t="n">
        <x:v>0.891449897979241</x:v>
      </x:c>
      <x:c r="G309" s="75" t="n">
        <x:v>1.26371137271105</x:v>
      </x:c>
      <x:c r="H309" s="75" t="n">
        <x:v>0.7413599941100146</x:v>
      </x:c>
      <x:c r="I309" s="75" t="n">
        <x:v>1.0430011290406977</x:v>
      </x:c>
      <x:c r="J309" s="75" t="n">
        <x:v>0.8713921879157082</x:v>
      </x:c>
      <x:c r="K309" s="75" t="n">
        <x:v>0.8157164358329257</x:v>
      </x:c>
      <x:c r="L309" s="75" t="n">
        <x:v>0.8625950885878939</x:v>
      </x:c>
      <x:c r="M309" s="75" t="n">
        <x:v>1.0288331446760681</x:v>
      </x:c>
      <x:c r="N309" s="75" t="n">
        <x:v>1.0170649712091453</x:v>
      </x:c>
      <x:c r="O309" s="66" t="n">
        <x:v>541709.6840125179</x:v>
      </x:c>
      <x:c r="P309" s="66" t="n">
        <x:v>64965.56187690847</x:v>
      </x:c>
      <x:c r="Q309" s="66" t="n">
        <x:v>476744.1221356094</x:v>
      </x:c>
      <x:c r="R309" s="66" t="n">
        <x:v>150546.45474307885</x:v>
      </x:c>
      <x:c r="S309" s="66" t="n">
        <x:v>326197.6673925306</x:v>
      </x:c>
      <x:c r="T309" s="66" t="n">
        <x:v>260293.36532968024</x:v>
      </x:c>
      <x:c r="U309" s="45" t="n">
        <x:v>0.600430335299438</x:v>
      </x:c>
      <x:c r="V309" s="45" t="n">
        <x:v>0.6481215559534274</x:v>
      </x:c>
      <x:c r="W309" s="45" t="n">
        <x:v>0.12130363359087784</x:v>
      </x:c>
      <x:c r="X309" s="66" t="n">
        <x:v>64170606.42171263</x:v>
      </x:c>
      <x:c r="Y309" s="66" t="n">
        <x:v>118.45940420778922</x:v>
      </x:c>
      <x:c r="Z309" s="66" t="n">
        <x:v>2958335.2352254237</x:v>
      </x:c>
      <x:c r="AA309" s="66" t="n">
        <x:v>361380.9437997872</x:v>
      </x:c>
      <x:c r="AB309" s="66" t="n">
        <x:v>17895.33969558098</x:v>
      </x:c>
      <x:c r="AC309" s="66" t="n">
        <x:v>0</x:v>
      </x:c>
      <x:c r="AD309" s="66" t="n">
        <x:v>2332.030161346843</x:v>
      </x:c>
      <x:c r="AE309" s="66" t="n">
        <x:v>187477.9406574062</x:v>
      </x:c>
      <x:c r="AF309" s="66" t="n">
        <x:v>260293.36532968012</x:v>
      </x:c>
      <x:c r="AG309" s="66" t="n">
        <x:v>1.1641532182693481e-10</x:v>
      </x:c>
      <x:c r="AH309" s="36" t="n">
        <x:v>0</x:v>
      </x:c>
    </x:row>
    <x:row r="310" ht="15" hidden="0" customHeight="1">
      <x:c r="A310" s="34" t="n">
        <x:v>77</x:v>
      </x:c>
      <x:c r="B310" s="34" t="str">
        <x:v>B1</x:v>
      </x:c>
      <x:c r="C310" s="34" t="str">
        <x:v>reference</x:v>
      </x:c>
      <x:c r="D310" s="74" t="n">
        <x:v>1.126098969405076</x:v>
      </x:c>
      <x:c r="E310" s="74" t="n">
        <x:v>0.09135109730684146</x:v>
      </x:c>
      <x:c r="F310" s="74" t="n">
        <x:v>0.891449897979241</x:v>
      </x:c>
      <x:c r="G310" s="74" t="n">
        <x:v>1.26371137271105</x:v>
      </x:c>
      <x:c r="H310" s="74" t="n">
        <x:v>0.7413599941100146</x:v>
      </x:c>
      <x:c r="I310" s="74" t="n">
        <x:v>1.0430011290406977</x:v>
      </x:c>
      <x:c r="J310" s="74" t="n">
        <x:v>0.8713921879157082</x:v>
      </x:c>
      <x:c r="K310" s="74" t="n">
        <x:v>0.8157164358329257</x:v>
      </x:c>
      <x:c r="L310" s="74" t="n">
        <x:v>0.8625950885878939</x:v>
      </x:c>
      <x:c r="M310" s="74" t="n">
        <x:v>1.0288331446760681</x:v>
      </x:c>
      <x:c r="N310" s="74" t="n">
        <x:v>1.0170649712091453</x:v>
      </x:c>
      <x:c r="O310" s="65" t="n">
        <x:v>541709.6840125179</x:v>
      </x:c>
      <x:c r="P310" s="65" t="n">
        <x:v>219759.4635647327</x:v>
      </x:c>
      <x:c r="Q310" s="65" t="n">
        <x:v>321950.2204477852</x:v>
      </x:c>
      <x:c r="R310" s="65" t="n">
        <x:v>150546.45474307885</x:v>
      </x:c>
      <x:c r="S310" s="65" t="n">
        <x:v>171403.7657047064</x:v>
      </x:c>
      <x:c r="T310" s="65" t="n">
        <x:v>178273.81972343783</x:v>
      </x:c>
      <x:c r="U310" s="43" t="n">
        <x:v>0.7347723236916929</x:v>
      </x:c>
      <x:c r="V310" s="43" t="n">
        <x:v>0.7685120126636728</x:v>
      </x:c>
      <x:c r="W310" s="43" t="n">
        <x:v>0.4127703244118128</x:v>
      </x:c>
      <x:c r="X310" s="65" t="n">
        <x:v>44746260.61338884</x:v>
      </x:c>
      <x:c r="Y310" s="65" t="n">
        <x:v>82.601921165498</x:v>
      </x:c>
      <x:c r="Z310" s="65" t="n">
        <x:v>1127462.422249488</x:v>
      </x:c>
      <x:c r="AA310" s="65" t="n">
        <x:v>247652.25921403978</x:v>
      </x:c>
      <x:c r="AB310" s="65" t="n">
        <x:v>789.0210498167775</x:v>
      </x:c>
      <x:c r="AC310" s="65" t="n">
        <x:v>0</x:v>
      </x:c>
      <x:c r="AD310" s="65" t="n">
        <x:v>1974.34901439561</x:v>
      </x:c>
      <x:c r="AE310" s="65" t="n">
        <x:v>108390.25624129143</x:v>
      </x:c>
      <x:c r="AF310" s="65" t="n">
        <x:v>178273.81972343783</x:v>
      </x:c>
      <x:c r="AG310" s="65" t="n">
        <x:v>0</x:v>
      </x:c>
      <x:c r="AH310" s="34" t="n">
        <x:v>0</x:v>
      </x:c>
    </x:row>
    <x:row r="311" ht="15" hidden="0" customHeight="1">
      <x:c r="A311" s="36" t="n">
        <x:v>77</x:v>
      </x:c>
      <x:c r="B311" s="36" t="str">
        <x:v>P2</x:v>
      </x:c>
      <x:c r="C311" s="36" t="str">
        <x:v>reference</x:v>
      </x:c>
      <x:c r="D311" s="75" t="n">
        <x:v>1.126098969405076</x:v>
      </x:c>
      <x:c r="E311" s="75" t="n">
        <x:v>0.09135109730684146</x:v>
      </x:c>
      <x:c r="F311" s="75" t="n">
        <x:v>0.891449897979241</x:v>
      </x:c>
      <x:c r="G311" s="75" t="n">
        <x:v>1.26371137271105</x:v>
      </x:c>
      <x:c r="H311" s="75" t="n">
        <x:v>0.7413599941100146</x:v>
      </x:c>
      <x:c r="I311" s="75" t="n">
        <x:v>1.0430011290406977</x:v>
      </x:c>
      <x:c r="J311" s="75" t="n">
        <x:v>0.8713921879157082</x:v>
      </x:c>
      <x:c r="K311" s="75" t="n">
        <x:v>0.8157164358329257</x:v>
      </x:c>
      <x:c r="L311" s="75" t="n">
        <x:v>0.8625950885878939</x:v>
      </x:c>
      <x:c r="M311" s="75" t="n">
        <x:v>1.0288331446760681</x:v>
      </x:c>
      <x:c r="N311" s="75" t="n">
        <x:v>1.0170649712091453</x:v>
      </x:c>
      <x:c r="O311" s="66" t="n">
        <x:v>541709.6840125179</x:v>
      </x:c>
      <x:c r="P311" s="66" t="n">
        <x:v>318365.7113232502</x:v>
      </x:c>
      <x:c r="Q311" s="66" t="n">
        <x:v>223343.97268926768</x:v>
      </x:c>
      <x:c r="R311" s="66" t="n">
        <x:v>150546.45474307885</x:v>
      </x:c>
      <x:c r="S311" s="66" t="n">
        <x:v>72797.5179461888</x:v>
      </x:c>
      <x:c r="T311" s="66" t="n">
        <x:v>115381.64656700587</x:v>
      </x:c>
      <x:c r="U311" s="45" t="n">
        <x:v>0.800700764065043</x:v>
      </x:c>
      <x:c r="V311" s="45" t="n">
        <x:v>0.829290601787653</x:v>
      </x:c>
      <x:c r="W311" s="45" t="n">
        <x:v>0.4683823927766126</x:v>
      </x:c>
      <x:c r="X311" s="66" t="n">
        <x:v>30669423.8767055</x:v>
      </x:c>
      <x:c r="Y311" s="66" t="n">
        <x:v>56.61597859859708</x:v>
      </x:c>
      <x:c r="Z311" s="66" t="n">
        <x:v>721820.2253387314</x:v>
      </x:c>
      <x:c r="AA311" s="66" t="n">
        <x:v>175008.3014604784</x:v>
      </x:c>
      <x:c r="AB311" s="66" t="n">
        <x:v>0</x:v>
      </x:c>
      <x:c r="AC311" s="66" t="n">
        <x:v>0</x:v>
      </x:c>
      <x:c r="AD311" s="66" t="n">
        <x:v>1758.2268667550295</x:v>
      </x:c>
      <x:c r="AE311" s="66" t="n">
        <x:v>66204.82872523575</x:v>
      </x:c>
      <x:c r="AF311" s="66" t="n">
        <x:v>115381.64656700591</x:v>
      </x:c>
      <x:c r="AG311" s="66" t="n">
        <x:v>0</x:v>
      </x:c>
      <x:c r="AH311" s="36" t="n">
        <x:v>0</x:v>
      </x:c>
    </x:row>
    <x:row r="312" ht="15" hidden="0" customHeight="1">
      <x:c r="A312" s="34" t="n">
        <x:v>77</x:v>
      </x:c>
      <x:c r="B312" s="34" t="str">
        <x:v>H3</x:v>
      </x:c>
      <x:c r="C312" s="34" t="str">
        <x:v>reference</x:v>
      </x:c>
      <x:c r="D312" s="74" t="n">
        <x:v>1.126098969405076</x:v>
      </x:c>
      <x:c r="E312" s="74" t="n">
        <x:v>0.09135109730684146</x:v>
      </x:c>
      <x:c r="F312" s="74" t="n">
        <x:v>0.891449897979241</x:v>
      </x:c>
      <x:c r="G312" s="74" t="n">
        <x:v>1.26371137271105</x:v>
      </x:c>
      <x:c r="H312" s="74" t="n">
        <x:v>0.7413599941100146</x:v>
      </x:c>
      <x:c r="I312" s="74" t="n">
        <x:v>1.0430011290406977</x:v>
      </x:c>
      <x:c r="J312" s="74" t="n">
        <x:v>0.8713921879157082</x:v>
      </x:c>
      <x:c r="K312" s="74" t="n">
        <x:v>0.8157164358329257</x:v>
      </x:c>
      <x:c r="L312" s="74" t="n">
        <x:v>0.8625950885878939</x:v>
      </x:c>
      <x:c r="M312" s="74" t="n">
        <x:v>1.0288331446760681</x:v>
      </x:c>
      <x:c r="N312" s="74" t="n">
        <x:v>1.0170649712091453</x:v>
      </x:c>
      <x:c r="O312" s="65" t="n">
        <x:v>541709.6840125179</x:v>
      </x:c>
      <x:c r="P312" s="65" t="n">
        <x:v>330259.26063447015</x:v>
      </x:c>
      <x:c r="Q312" s="65" t="n">
        <x:v>211450.42337804777</x:v>
      </x:c>
      <x:c r="R312" s="65" t="n">
        <x:v>150546.45474307885</x:v>
      </x:c>
      <x:c r="S312" s="65" t="n">
        <x:v>60903.96863496891</x:v>
      </x:c>
      <x:c r="T312" s="65" t="n">
        <x:v>177164.978213586</x:v>
      </x:c>
      <x:c r="U312" s="43" t="n">
        <x:v>0.9367088199153009</x:v>
      </x:c>
      <x:c r="V312" s="43" t="n">
        <x:v>0.9470807960733765</x:v>
      </x:c>
      <x:c r="W312" s="43" t="n">
        <x:v>0.6848559544210233</x:v>
      </x:c>
      <x:c r="X312" s="65" t="n">
        <x:v>23381848.21060636</x:v>
      </x:c>
      <x:c r="Y312" s="65" t="n">
        <x:v>43.16306113897356</x:v>
      </x:c>
      <x:c r="Z312" s="65" t="n">
        <x:v>1109434.4206857663</x:v>
      </x:c>
      <x:c r="AA312" s="65" t="n">
        <x:v>144199.46885423653</x:v>
      </x:c>
      <x:c r="AB312" s="65" t="n">
        <x:v>167.1129611285309</x:v>
      </x:c>
      <x:c r="AC312" s="65" t="n">
        <x:v>0</x:v>
      </x:c>
      <x:c r="AD312" s="65" t="n">
        <x:v>1733.9657227211947</x:v>
      </x:c>
      <x:c r="AE312" s="65" t="n">
        <x:v>57193.35764984327</x:v>
      </x:c>
      <x:c r="AF312" s="65" t="n">
        <x:v>177164.97821358606</x:v>
      </x:c>
      <x:c r="AG312" s="65" t="n">
        <x:v>0</x:v>
      </x:c>
      <x:c r="AH312" s="34" t="n">
        <x:v>0</x:v>
      </x:c>
    </x:row>
    <x:row r="313" ht="15" hidden="0" customHeight="1">
      <x:c r="A313" s="36" t="n">
        <x:v>78</x:v>
      </x:c>
      <x:c r="B313" s="36" t="str">
        <x:v>M0</x:v>
      </x:c>
      <x:c r="C313" s="36" t="str">
        <x:v>slow</x:v>
      </x:c>
      <x:c r="D313" s="75" t="n">
        <x:v>0.9131561018273683</x:v>
      </x:c>
      <x:c r="E313" s="75" t="n">
        <x:v>0.04748164076227034</x:v>
      </x:c>
      <x:c r="F313" s="75" t="n">
        <x:v>0.8822867359360786</x:v>
      </x:c>
      <x:c r="G313" s="75" t="n">
        <x:v>1.29615690666153</x:v>
      </x:c>
      <x:c r="H313" s="75" t="n">
        <x:v>0.9933926517443941</x:v>
      </x:c>
      <x:c r="I313" s="75" t="n">
        <x:v>0.83394302955134</x:v>
      </x:c>
      <x:c r="J313" s="75" t="n">
        <x:v>0.7319918359241291</x:v>
      </x:c>
      <x:c r="K313" s="75" t="n">
        <x:v>0.7330196335647716</x:v>
      </x:c>
      <x:c r="L313" s="75" t="n">
        <x:v>1.0253278525273972</x:v>
      </x:c>
      <x:c r="M313" s="75" t="n">
        <x:v>0.9144952461134889</x:v>
      </x:c>
      <x:c r="N313" s="75" t="n">
        <x:v>0.7851713706171767</x:v>
      </x:c>
      <x:c r="O313" s="66" t="n">
        <x:v>439273.56015283515</x:v>
      </x:c>
      <x:c r="P313" s="66" t="n">
        <x:v>55307.513467489785</x:v>
      </x:c>
      <x:c r="Q313" s="66" t="n">
        <x:v>383966.04668534535</x:v>
      </x:c>
      <x:c r="R313" s="66" t="n">
        <x:v>102807.75500032183</x:v>
      </x:c>
      <x:c r="S313" s="66" t="n">
        <x:v>281158.2916850235</x:v>
      </x:c>
      <x:c r="T313" s="66" t="n">
        <x:v>245352.3855086724</x:v>
      </x:c>
      <x:c r="U313" s="45" t="n">
        <x:v>0.6844479755885022</x:v>
      </x:c>
      <x:c r="V313" s="45" t="n">
        <x:v>0.6686063559471545</x:v>
      </x:c>
      <x:c r="W313" s="45" t="n">
        <x:v>0.06328546925757256</x:v>
      </x:c>
      <x:c r="X313" s="66" t="n">
        <x:v>46321062.05194322</x:v>
      </x:c>
      <x:c r="Y313" s="66" t="n">
        <x:v>105.44923768192848</x:v>
      </x:c>
      <x:c r="Z313" s="66" t="n">
        <x:v>3742112.237462331</x:v>
      </x:c>
      <x:c r="AA313" s="66" t="n">
        <x:v>241513.48920157837</x:v>
      </x:c>
      <x:c r="AB313" s="66" t="n">
        <x:v>30227.920455177165</x:v>
      </x:c>
      <x:c r="AC313" s="66" t="n">
        <x:v>6822.1886403122535</x:v>
      </x:c>
      <x:c r="AD313" s="66" t="n">
        <x:v>2439.191264580812</x:v>
      </x:c>
      <x:c r="AE313" s="66" t="n">
        <x:v>200126.51456112304</x:v>
      </x:c>
      <x:c r="AF313" s="66" t="n">
        <x:v>245352.38550867222</x:v>
      </x:c>
      <x:c r="AG313" s="66" t="n">
        <x:v>1.7462298274040222e-10</x:v>
      </x:c>
      <x:c r="AH313" s="36" t="n">
        <x:v>0</x:v>
      </x:c>
    </x:row>
    <x:row r="314" ht="15" hidden="0" customHeight="1">
      <x:c r="A314" s="34" t="n">
        <x:v>78</x:v>
      </x:c>
      <x:c r="B314" s="34" t="str">
        <x:v>B1</x:v>
      </x:c>
      <x:c r="C314" s="34" t="str">
        <x:v>slow</x:v>
      </x:c>
      <x:c r="D314" s="74" t="n">
        <x:v>0.9131561018273683</x:v>
      </x:c>
      <x:c r="E314" s="74" t="n">
        <x:v>0.04748164076227034</x:v>
      </x:c>
      <x:c r="F314" s="74" t="n">
        <x:v>0.8822867359360786</x:v>
      </x:c>
      <x:c r="G314" s="74" t="n">
        <x:v>1.29615690666153</x:v>
      </x:c>
      <x:c r="H314" s="74" t="n">
        <x:v>0.9933926517443941</x:v>
      </x:c>
      <x:c r="I314" s="74" t="n">
        <x:v>0.83394302955134</x:v>
      </x:c>
      <x:c r="J314" s="74" t="n">
        <x:v>0.7319918359241291</x:v>
      </x:c>
      <x:c r="K314" s="74" t="n">
        <x:v>0.7330196335647716</x:v>
      </x:c>
      <x:c r="L314" s="74" t="n">
        <x:v>1.0253278525273972</x:v>
      </x:c>
      <x:c r="M314" s="74" t="n">
        <x:v>0.9144952461134889</x:v>
      </x:c>
      <x:c r="N314" s="74" t="n">
        <x:v>0.7851713706171767</x:v>
      </x:c>
      <x:c r="O314" s="65" t="n">
        <x:v>439273.56015283515</x:v>
      </x:c>
      <x:c r="P314" s="65" t="n">
        <x:v>187087.82836324922</x:v>
      </x:c>
      <x:c r="Q314" s="65" t="n">
        <x:v>252185.7317895859</x:v>
      </x:c>
      <x:c r="R314" s="65" t="n">
        <x:v>102807.75500032183</x:v>
      </x:c>
      <x:c r="S314" s="65" t="n">
        <x:v>149377.97678926407</x:v>
      </x:c>
      <x:c r="T314" s="65" t="n">
        <x:v>150476.83528599582</x:v>
      </x:c>
      <x:c r="U314" s="43" t="n">
        <x:v>0.7684611464705438</x:v>
      </x:c>
      <x:c r="V314" s="43" t="n">
        <x:v>0.7584636777714369</x:v>
      </x:c>
      <x:c r="W314" s="43" t="n">
        <x:v>0.21965612007317797</x:v>
      </x:c>
      <x:c r="X314" s="65" t="n">
        <x:v>32096940.88957977</x:v>
      </x:c>
      <x:c r="Y314" s="65" t="n">
        <x:v>73.06822855082008</x:v>
      </x:c>
      <x:c r="Z314" s="65" t="n">
        <x:v>1853737.4020224004</x:v>
      </x:c>
      <x:c r="AA314" s="65" t="n">
        <x:v>162349.10894438846</x:v>
      </x:c>
      <x:c r="AB314" s="65" t="n">
        <x:v>8114.5436056558265</x:v>
      </x:c>
      <x:c r="AC314" s="65" t="n">
        <x:v>9944.183519462309</x:v>
      </x:c>
      <x:c r="AD314" s="65" t="n">
        <x:v>2021.0138533253246</x:v>
      </x:c>
      <x:c r="AE314" s="65" t="n">
        <x:v>82638.02886467177</x:v>
      </x:c>
      <x:c r="AF314" s="65" t="n">
        <x:v>150476.83528599582</x:v>
      </x:c>
      <x:c r="AG314" s="65" t="n">
        <x:v>0</x:v>
      </x:c>
      <x:c r="AH314" s="34" t="n">
        <x:v>0</x:v>
      </x:c>
    </x:row>
    <x:row r="315" ht="15" hidden="0" customHeight="1">
      <x:c r="A315" s="36" t="n">
        <x:v>78</x:v>
      </x:c>
      <x:c r="B315" s="36" t="str">
        <x:v>P2</x:v>
      </x:c>
      <x:c r="C315" s="36" t="str">
        <x:v>slow</x:v>
      </x:c>
      <x:c r="D315" s="75" t="n">
        <x:v>0.9131561018273683</x:v>
      </x:c>
      <x:c r="E315" s="75" t="n">
        <x:v>0.04748164076227034</x:v>
      </x:c>
      <x:c r="F315" s="75" t="n">
        <x:v>0.8822867359360786</x:v>
      </x:c>
      <x:c r="G315" s="75" t="n">
        <x:v>1.29615690666153</x:v>
      </x:c>
      <x:c r="H315" s="75" t="n">
        <x:v>0.9933926517443941</x:v>
      </x:c>
      <x:c r="I315" s="75" t="n">
        <x:v>0.83394302955134</x:v>
      </x:c>
      <x:c r="J315" s="75" t="n">
        <x:v>0.7319918359241291</x:v>
      </x:c>
      <x:c r="K315" s="75" t="n">
        <x:v>0.7330196335647716</x:v>
      </x:c>
      <x:c r="L315" s="75" t="n">
        <x:v>1.0253278525273972</x:v>
      </x:c>
      <x:c r="M315" s="75" t="n">
        <x:v>0.9144952461134889</x:v>
      </x:c>
      <x:c r="N315" s="75" t="n">
        <x:v>0.7851713706171767</x:v>
      </x:c>
      <x:c r="O315" s="66" t="n">
        <x:v>439273.56015283515</x:v>
      </x:c>
      <x:c r="P315" s="66" t="n">
        <x:v>271033.2372154249</x:v>
      </x:c>
      <x:c r="Q315" s="66" t="n">
        <x:v>168240.32293741024</x:v>
      </x:c>
      <x:c r="R315" s="66" t="n">
        <x:v>102807.75500032183</x:v>
      </x:c>
      <x:c r="S315" s="66" t="n">
        <x:v>65432.5679370884</x:v>
      </x:c>
      <x:c r="T315" s="66" t="n">
        <x:v>90988.3203409977</x:v>
      </x:c>
      <x:c r="U315" s="45" t="n">
        <x:v>0.8241369169372851</x:v>
      </x:c>
      <x:c r="V315" s="45" t="n">
        <x:v>0.8179006272323318</x:v>
      </x:c>
      <x:c r="W315" s="45" t="n">
        <x:v>0.3227687336917427</x:v>
      </x:c>
      <x:c r="X315" s="66" t="n">
        <x:v>21121588.6422662</x:v>
      </x:c>
      <x:c r="Y315" s="66" t="n">
        <x:v>48.0829955595721</x:v>
      </x:c>
      <x:c r="Z315" s="66" t="n">
        <x:v>758654.8493237607</x:v>
      </x:c>
      <x:c r="AA315" s="66" t="n">
        <x:v>112171.34335967962</x:v>
      </x:c>
      <x:c r="AB315" s="66" t="n">
        <x:v>493.6579311161338</x:v>
      </x:c>
      <x:c r="AC315" s="66" t="n">
        <x:v>4677.810157830247</x:v>
      </x:c>
      <x:c r="AD315" s="66" t="n">
        <x:v>1767.3093140859455</x:v>
      </x:c>
      <x:c r="AE315" s="66" t="n">
        <x:v>29744.95343285789</x:v>
      </x:c>
      <x:c r="AF315" s="66" t="n">
        <x:v>90988.32034099773</x:v>
      </x:c>
      <x:c r="AG315" s="66" t="n">
        <x:v>0</x:v>
      </x:c>
      <x:c r="AH315" s="36" t="n">
        <x:v>0</x:v>
      </x:c>
    </x:row>
    <x:row r="316" ht="15" hidden="0" customHeight="1">
      <x:c r="A316" s="34" t="n">
        <x:v>78</x:v>
      </x:c>
      <x:c r="B316" s="34" t="str">
        <x:v>H3</x:v>
      </x:c>
      <x:c r="C316" s="34" t="str">
        <x:v>slow</x:v>
      </x:c>
      <x:c r="D316" s="74" t="n">
        <x:v>0.9131561018273683</x:v>
      </x:c>
      <x:c r="E316" s="74" t="n">
        <x:v>0.04748164076227034</x:v>
      </x:c>
      <x:c r="F316" s="74" t="n">
        <x:v>0.8822867359360786</x:v>
      </x:c>
      <x:c r="G316" s="74" t="n">
        <x:v>1.29615690666153</x:v>
      </x:c>
      <x:c r="H316" s="74" t="n">
        <x:v>0.9933926517443941</x:v>
      </x:c>
      <x:c r="I316" s="74" t="n">
        <x:v>0.83394302955134</x:v>
      </x:c>
      <x:c r="J316" s="74" t="n">
        <x:v>0.7319918359241291</x:v>
      </x:c>
      <x:c r="K316" s="74" t="n">
        <x:v>0.7330196335647716</x:v>
      </x:c>
      <x:c r="L316" s="74" t="n">
        <x:v>1.0253278525273972</x:v>
      </x:c>
      <x:c r="M316" s="74" t="n">
        <x:v>0.9144952461134889</x:v>
      </x:c>
      <x:c r="N316" s="74" t="n">
        <x:v>0.7851713706171767</x:v>
      </x:c>
      <x:c r="O316" s="65" t="n">
        <x:v>439273.56015283515</x:v>
      </x:c>
      <x:c r="P316" s="65" t="n">
        <x:v>281158.32170356833</x:v>
      </x:c>
      <x:c r="Q316" s="65" t="n">
        <x:v>158115.23844926682</x:v>
      </x:c>
      <x:c r="R316" s="65" t="n">
        <x:v>102807.75500032183</x:v>
      </x:c>
      <x:c r="S316" s="65" t="n">
        <x:v>55307.483448944986</x:v>
      </x:c>
      <x:c r="T316" s="65" t="n">
        <x:v>83817.15219508966</x:v>
      </x:c>
      <x:c r="U316" s="43" t="n">
        <x:v>0.830861465396809</x:v>
      </x:c>
      <x:c r="V316" s="43" t="n">
        <x:v>0.8252159491241955</x:v>
      </x:c>
      <x:c r="W316" s="43" t="n">
        <x:v>0.335745387753829</x:v>
      </x:c>
      <x:c r="X316" s="65" t="n">
        <x:v>19036434.869085535</x:v>
      </x:c>
      <x:c r="Y316" s="65" t="n">
        <x:v>43.33617270855602</x:v>
      </x:c>
      <x:c r="Z316" s="65" t="n">
        <x:v>611346.6195413802</x:v>
      </x:c>
      <x:c r="AA316" s="65" t="n">
        <x:v>104716.15805093499</x:v>
      </x:c>
      <x:c r="AB316" s="65" t="n">
        <x:v>2444.489230172707</x:v>
      </x:c>
      <x:c r="AC316" s="65" t="n">
        <x:v>1925.8825285173925</x:v>
      </x:c>
      <x:c r="AD316" s="65" t="n">
        <x:v>1738.6622081773648</x:v>
      </x:c>
      <x:c r="AE316" s="65" t="n">
        <x:v>12487.574525204749</x:v>
      </x:c>
      <x:c r="AF316" s="65" t="n">
        <x:v>83817.15219508957</x:v>
      </x:c>
      <x:c r="AG316" s="65" t="n">
        <x:v>8.731149137020111e-11</x:v>
      </x:c>
      <x:c r="AH316" s="34" t="n">
        <x:v>0</x:v>
      </x:c>
    </x:row>
    <x:row r="317" ht="15" hidden="0" customHeight="1">
      <x:c r="A317" s="36" t="n">
        <x:v>79</x:v>
      </x:c>
      <x:c r="B317" s="36" t="str">
        <x:v>M0</x:v>
      </x:c>
      <x:c r="C317" s="36" t="str">
        <x:v>slow</x:v>
      </x:c>
      <x:c r="D317" s="75" t="n">
        <x:v>1.028821494494666</x:v>
      </x:c>
      <x:c r="E317" s="75" t="n">
        <x:v>0.08739748010181644</x:v>
      </x:c>
      <x:c r="F317" s="75" t="n">
        <x:v>0.7580456304209067</x:v>
      </x:c>
      <x:c r="G317" s="75" t="n">
        <x:v>0.9388583577885451</x:v>
      </x:c>
      <x:c r="H317" s="75" t="n">
        <x:v>0.8221521617831073</x:v>
      </x:c>
      <x:c r="I317" s="75" t="n">
        <x:v>0.9318590693583576</x:v>
      </x:c>
      <x:c r="J317" s="75" t="n">
        <x:v>0.9241369572127409</x:v>
      </x:c>
      <x:c r="K317" s="75" t="n">
        <x:v>0.7642643834573433</x:v>
      </x:c>
      <x:c r="L317" s="75" t="n">
        <x:v>0.9540350862914774</x:v>
      </x:c>
      <x:c r="M317" s="75" t="n">
        <x:v>0.9286825713512077</x:v>
      </x:c>
      <x:c r="N317" s="75" t="n">
        <x:v>0.7651137863415857</x:v>
      </x:c>
      <x:c r="O317" s="66" t="n">
        <x:v>494914.3741623602</x:v>
      </x:c>
      <x:c r="P317" s="66" t="n">
        <x:v>50747.76878377632</x:v>
      </x:c>
      <x:c r="Q317" s="66" t="n">
        <x:v>444166.6053785839</x:v>
      </x:c>
      <x:c r="R317" s="66" t="n">
        <x:v>135584.87541455112</x:v>
      </x:c>
      <x:c r="S317" s="66" t="n">
        <x:v>308581.72996403277</x:v>
      </x:c>
      <x:c r="T317" s="66" t="n">
        <x:v>276574.39651956793</x:v>
      </x:c>
      <x:c r="U317" s="45" t="n">
        <x:v>0.6613713045965479</x:v>
      </x:c>
      <x:c r="V317" s="45" t="n">
        <x:v>0.6485674829897682</x:v>
      </x:c>
      <x:c r="W317" s="45" t="n">
        <x:v>0.04898179849735634</x:v>
      </x:c>
      <x:c r="X317" s="66" t="n">
        <x:v>56441894.50337674</x:v>
      </x:c>
      <x:c r="Y317" s="66" t="n">
        <x:v>114.043756758741</x:v>
      </x:c>
      <x:c r="Z317" s="66" t="n">
        <x:v>3044695.1759222653</x:v>
      </x:c>
      <x:c r="AA317" s="66" t="n">
        <x:v>320486.387859522</x:v>
      </x:c>
      <x:c r="AB317" s="66" t="n">
        <x:v>18423.05697965356</x:v>
      </x:c>
      <x:c r="AC317" s="66" t="n">
        <x:v>0</x:v>
      </x:c>
      <x:c r="AD317" s="66" t="n">
        <x:v>2795.004037713814</x:v>
      </x:c>
      <x:c r="AE317" s="66" t="n">
        <x:v>232503.8424262926</x:v>
      </x:c>
      <x:c r="AF317" s="66" t="n">
        <x:v>276574.39651956776</x:v>
      </x:c>
      <x:c r="AG317" s="66" t="n">
        <x:v>1.7462298274040222e-10</x:v>
      </x:c>
      <x:c r="AH317" s="36" t="n">
        <x:v>0</x:v>
      </x:c>
    </x:row>
    <x:row r="318" ht="15" hidden="0" customHeight="1">
      <x:c r="A318" s="34" t="n">
        <x:v>79</x:v>
      </x:c>
      <x:c r="B318" s="34" t="str">
        <x:v>B1</x:v>
      </x:c>
      <x:c r="C318" s="34" t="str">
        <x:v>slow</x:v>
      </x:c>
      <x:c r="D318" s="74" t="n">
        <x:v>1.028821494494666</x:v>
      </x:c>
      <x:c r="E318" s="74" t="n">
        <x:v>0.08739748010181644</x:v>
      </x:c>
      <x:c r="F318" s="74" t="n">
        <x:v>0.7580456304209067</x:v>
      </x:c>
      <x:c r="G318" s="74" t="n">
        <x:v>0.9388583577885451</x:v>
      </x:c>
      <x:c r="H318" s="74" t="n">
        <x:v>0.8221521617831073</x:v>
      </x:c>
      <x:c r="I318" s="74" t="n">
        <x:v>0.9318590693583576</x:v>
      </x:c>
      <x:c r="J318" s="74" t="n">
        <x:v>0.9241369572127409</x:v>
      </x:c>
      <x:c r="K318" s="74" t="n">
        <x:v>0.7642643834573433</x:v>
      </x:c>
      <x:c r="L318" s="74" t="n">
        <x:v>0.9540350862914774</x:v>
      </x:c>
      <x:c r="M318" s="74" t="n">
        <x:v>0.9286825713512077</x:v>
      </x:c>
      <x:c r="N318" s="74" t="n">
        <x:v>0.7651137863415857</x:v>
      </x:c>
      <x:c r="O318" s="65" t="n">
        <x:v>494914.3741623602</x:v>
      </x:c>
      <x:c r="P318" s="65" t="n">
        <x:v>171664.722501356</x:v>
      </x:c>
      <x:c r="Q318" s="65" t="n">
        <x:v>323249.65166100423</x:v>
      </x:c>
      <x:c r="R318" s="65" t="n">
        <x:v>135584.87541455112</x:v>
      </x:c>
      <x:c r="S318" s="65" t="n">
        <x:v>187664.77624645308</x:v>
      </x:c>
      <x:c r="T318" s="65" t="n">
        <x:v>190940.17711661686</x:v>
      </x:c>
      <x:c r="U318" s="43" t="n">
        <x:v>0.732661887688511</x:v>
      </x:c>
      <x:c r="V318" s="43" t="n">
        <x:v>0.7254834027411885</x:v>
      </x:c>
      <x:c r="W318" s="43" t="n">
        <x:v>0.17000982908644696</x:v>
      </x:c>
      <x:c r="X318" s="65" t="n">
        <x:v>42888053.38865736</x:v>
      </x:c>
      <x:c r="Y318" s="65" t="n">
        <x:v>86.65752224563117</x:v>
      </x:c>
      <x:c r="Z318" s="65" t="n">
        <x:v>1306949.0077428748</x:v>
      </x:c>
      <x:c r="AA318" s="65" t="n">
        <x:v>242223.23284144085</x:v>
      </x:c>
      <x:c r="AB318" s="65" t="n">
        <x:v>1887.6238787018856</x:v>
      </x:c>
      <x:c r="AC318" s="65" t="n">
        <x:v>12088.371012250085</x:v>
      </x:c>
      <x:c r="AD318" s="65" t="n">
        <x:v>2430.3455756178273</x:v>
      </x:c>
      <x:c r="AE318" s="65" t="n">
        <x:v>124834.34597670384</x:v>
      </x:c>
      <x:c r="AF318" s="65" t="n">
        <x:v>190940.17711661683</x:v>
      </x:c>
      <x:c r="AG318" s="65" t="n">
        <x:v>2.9103830456733704e-11</x:v>
      </x:c>
      <x:c r="AH318" s="34" t="n">
        <x:v>0</x:v>
      </x:c>
    </x:row>
    <x:row r="319" ht="15" hidden="0" customHeight="1">
      <x:c r="A319" s="36" t="n">
        <x:v>79</x:v>
      </x:c>
      <x:c r="B319" s="36" t="str">
        <x:v>P2</x:v>
      </x:c>
      <x:c r="C319" s="36" t="str">
        <x:v>slow</x:v>
      </x:c>
      <x:c r="D319" s="75" t="n">
        <x:v>1.028821494494666</x:v>
      </x:c>
      <x:c r="E319" s="75" t="n">
        <x:v>0.08739748010181644</x:v>
      </x:c>
      <x:c r="F319" s="75" t="n">
        <x:v>0.7580456304209067</x:v>
      </x:c>
      <x:c r="G319" s="75" t="n">
        <x:v>0.9388583577885451</x:v>
      </x:c>
      <x:c r="H319" s="75" t="n">
        <x:v>0.8221521617831073</x:v>
      </x:c>
      <x:c r="I319" s="75" t="n">
        <x:v>0.9318590693583576</x:v>
      </x:c>
      <x:c r="J319" s="75" t="n">
        <x:v>0.9241369572127409</x:v>
      </x:c>
      <x:c r="K319" s="75" t="n">
        <x:v>0.7642643834573433</x:v>
      </x:c>
      <x:c r="L319" s="75" t="n">
        <x:v>0.9540350862914774</x:v>
      </x:c>
      <x:c r="M319" s="75" t="n">
        <x:v>0.9286825713512077</x:v>
      </x:c>
      <x:c r="N319" s="75" t="n">
        <x:v>0.7651137863415857</x:v>
      </x:c>
      <x:c r="O319" s="66" t="n">
        <x:v>494914.3741623602</x:v>
      </x:c>
      <x:c r="P319" s="66" t="n">
        <x:v>248690.72972907897</x:v>
      </x:c>
      <x:c r="Q319" s="66" t="n">
        <x:v>246223.64443328124</x:v>
      </x:c>
      <x:c r="R319" s="66" t="n">
        <x:v>135584.87541455112</x:v>
      </x:c>
      <x:c r="S319" s="66" t="n">
        <x:v>110638.76901873012</x:v>
      </x:c>
      <x:c r="T319" s="66" t="n">
        <x:v>114639.01689054398</x:v>
      </x:c>
      <x:c r="U319" s="45" t="n">
        <x:v>0.7341264784126679</x:v>
      </x:c>
      <x:c r="V319" s="45" t="n">
        <x:v>0.7351788785088696</x:v>
      </x:c>
      <x:c r="W319" s="45" t="n">
        <x:v>0.24981711063229656</x:v>
      </x:c>
      <x:c r="X319" s="66" t="n">
        <x:v>33434986.383685328</x:v>
      </x:c>
      <x:c r="Y319" s="66" t="n">
        <x:v>67.55711316785627</x:v>
      </x:c>
      <x:c r="Z319" s="66" t="n">
        <x:v>927722.23509809</x:v>
      </x:c>
      <x:c r="AA319" s="66" t="n">
        <x:v>193325.86298287023</x:v>
      </x:c>
      <x:c r="AB319" s="66" t="n">
        <x:v>0</x:v>
      </x:c>
      <x:c r="AC319" s="66" t="n">
        <x:v>17778.4081394804</x:v>
      </x:c>
      <x:c r="AD319" s="66" t="n">
        <x:v>2209.1105097924274</x:v>
      </x:c>
      <x:c r="AE319" s="66" t="n">
        <x:v>54960.14155590026</x:v>
      </x:c>
      <x:c r="AF319" s="66" t="n">
        <x:v>114639.01689054398</x:v>
      </x:c>
      <x:c r="AG319" s="66" t="n">
        <x:v>0</x:v>
      </x:c>
      <x:c r="AH319" s="36" t="n">
        <x:v>0</x:v>
      </x:c>
    </x:row>
    <x:row r="320" ht="15" hidden="0" customHeight="1">
      <x:c r="A320" s="34" t="n">
        <x:v>79</x:v>
      </x:c>
      <x:c r="B320" s="34" t="str">
        <x:v>H3</x:v>
      </x:c>
      <x:c r="C320" s="34" t="str">
        <x:v>slow</x:v>
      </x:c>
      <x:c r="D320" s="74" t="n">
        <x:v>1.028821494494666</x:v>
      </x:c>
      <x:c r="E320" s="74" t="n">
        <x:v>0.08739748010181644</x:v>
      </x:c>
      <x:c r="F320" s="74" t="n">
        <x:v>0.7580456304209067</x:v>
      </x:c>
      <x:c r="G320" s="74" t="n">
        <x:v>0.9388583577885451</x:v>
      </x:c>
      <x:c r="H320" s="74" t="n">
        <x:v>0.8221521617831073</x:v>
      </x:c>
      <x:c r="I320" s="74" t="n">
        <x:v>0.9318590693583576</x:v>
      </x:c>
      <x:c r="J320" s="74" t="n">
        <x:v>0.9241369572127409</x:v>
      </x:c>
      <x:c r="K320" s="74" t="n">
        <x:v>0.7642643834573433</x:v>
      </x:c>
      <x:c r="L320" s="74" t="n">
        <x:v>0.9540350862914774</x:v>
      </x:c>
      <x:c r="M320" s="74" t="n">
        <x:v>0.9286825713512077</x:v>
      </x:c>
      <x:c r="N320" s="74" t="n">
        <x:v>0.7651137863415857</x:v>
      </x:c>
      <x:c r="O320" s="65" t="n">
        <x:v>494914.3741623602</x:v>
      </x:c>
      <x:c r="P320" s="65" t="n">
        <x:v>257981.33317058606</x:v>
      </x:c>
      <x:c r="Q320" s="65" t="n">
        <x:v>236933.04099177415</x:v>
      </x:c>
      <x:c r="R320" s="65" t="n">
        <x:v>135584.87541455112</x:v>
      </x:c>
      <x:c r="S320" s="65" t="n">
        <x:v>101348.16557722303</x:v>
      </x:c>
      <x:c r="T320" s="65" t="n">
        <x:v>135198.25706327247</x:v>
      </x:c>
      <x:c r="U320" s="43" t="n">
        <x:v>0.7944396258429809</x:v>
      </x:c>
      <x:c r="V320" s="43" t="n">
        <x:v>0.7869190403325432</x:v>
      </x:c>
      <x:c r="W320" s="43" t="n">
        <x:v>0.25986080410404816</x:v>
      </x:c>
      <x:c r="X320" s="65" t="n">
        <x:v>27639615.296084348</x:v>
      </x:c>
      <x:c r="Y320" s="65" t="n">
        <x:v>55.84726720225947</x:v>
      </x:c>
      <x:c r="Z320" s="65" t="n">
        <x:v>882475.3321804907</x:v>
      </x:c>
      <x:c r="AA320" s="65" t="n">
        <x:v>162437.85066364976</x:v>
      </x:c>
      <x:c r="AB320" s="65" t="n">
        <x:v>1601.6212854759337</x:v>
      </x:c>
      <x:c r="AC320" s="65" t="n">
        <x:v>0</x:v>
      </x:c>
      <x:c r="AD320" s="65" t="n">
        <x:v>2184.1297018794394</x:v>
      </x:c>
      <x:c r="AE320" s="65" t="n">
        <x:v>36039.510353402904</x:v>
      </x:c>
      <x:c r="AF320" s="65" t="n">
        <x:v>135198.25706327253</x:v>
      </x:c>
      <x:c r="AG320" s="65" t="n">
        <x:v>0</x:v>
      </x:c>
      <x:c r="AH320" s="34" t="n">
        <x:v>0</x:v>
      </x:c>
    </x:row>
    <x:row r="321" ht="15" hidden="0" customHeight="1">
      <x:c r="A321" s="36" t="n">
        <x:v>80</x:v>
      </x:c>
      <x:c r="B321" s="36" t="str">
        <x:v>M0</x:v>
      </x:c>
      <x:c r="C321" s="36" t="str">
        <x:v>reference</x:v>
      </x:c>
      <x:c r="D321" s="75" t="n">
        <x:v>1.0431240394880845</x:v>
      </x:c>
      <x:c r="E321" s="75" t="n">
        <x:v>0.012902516248251165</x:v>
      </x:c>
      <x:c r="F321" s="75" t="n">
        <x:v>1.029300272368288</x:v>
      </x:c>
      <x:c r="G321" s="75" t="n">
        <x:v>1.1843036069691386</x:v>
      </x:c>
      <x:c r="H321" s="75" t="n">
        <x:v>0.8921377748747501</x:v>
      </x:c>
      <x:c r="I321" s="75" t="n">
        <x:v>0.8422850060816023</x:v>
      </x:c>
      <x:c r="J321" s="75" t="n">
        <x:v>0.7666478618145843</x:v>
      </x:c>
      <x:c r="K321" s="75" t="n">
        <x:v>0.7545511794852903</x:v>
      </x:c>
      <x:c r="L321" s="75" t="n">
        <x:v>0.9504808504954669</x:v>
      </x:c>
      <x:c r="M321" s="75" t="n">
        <x:v>1.0863777090432087</x:v>
      </x:c>
      <x:c r="N321" s="75" t="n">
        <x:v>0.994596198588822</x:v>
      </x:c>
      <x:c r="O321" s="66" t="n">
        <x:v>501794.6105709352</x:v>
      </x:c>
      <x:c r="P321" s="66" t="n">
        <x:v>77034.91140873442</x:v>
      </x:c>
      <x:c r="Q321" s="66" t="n">
        <x:v>424759.6991622007</x:v>
      </x:c>
      <x:c r="R321" s="66" t="n">
        <x:v>100088.58765637354</x:v>
      </x:c>
      <x:c r="S321" s="66" t="n">
        <x:v>324671.11150582717</x:v>
      </x:c>
      <x:c r="T321" s="66" t="n">
        <x:v>270970.3180777399</x:v>
      </x:c>
      <x:c r="U321" s="45" t="n">
        <x:v>0.693521257812073</x:v>
      </x:c>
      <x:c r="V321" s="45" t="n">
        <x:v>0.7149245437544696</x:v>
      </x:c>
      <x:c r="W321" s="45" t="n">
        <x:v>0.15533034358450143</x:v>
      </x:c>
      <x:c r="X321" s="66" t="n">
        <x:v>55300568.32594673</x:v>
      </x:c>
      <x:c r="Y321" s="66" t="n">
        <x:v>110.20558443827542</x:v>
      </x:c>
      <x:c r="Z321" s="66" t="n">
        <x:v>5909697.545676238</x:v>
      </x:c>
      <x:c r="AA321" s="66" t="n">
        <x:v>292961.32197833515</x:v>
      </x:c>
      <x:c r="AB321" s="66" t="n">
        <x:v>51260.58913964694</x:v>
      </x:c>
      <x:c r="AC321" s="66" t="n">
        <x:v>3990.806080142049</x:v>
      </x:c>
      <x:c r="AD321" s="66" t="n">
        <x:v>2100.617995732395</x:v>
      </x:c>
      <x:c r="AE321" s="66" t="n">
        <x:v>185037.20651966575</x:v>
      </x:c>
      <x:c r="AF321" s="66" t="n">
        <x:v>270970.31807773997</x:v>
      </x:c>
      <x:c r="AG321" s="66" t="n">
        <x:v>0</x:v>
      </x:c>
      <x:c r="AH321" s="36" t="n">
        <x:v>0</x:v>
      </x:c>
    </x:row>
    <x:row r="322" ht="15" hidden="0" customHeight="1">
      <x:c r="A322" s="34" t="n">
        <x:v>80</x:v>
      </x:c>
      <x:c r="B322" s="34" t="str">
        <x:v>B1</x:v>
      </x:c>
      <x:c r="C322" s="34" t="str">
        <x:v>reference</x:v>
      </x:c>
      <x:c r="D322" s="74" t="n">
        <x:v>1.0431240394880845</x:v>
      </x:c>
      <x:c r="E322" s="74" t="n">
        <x:v>0.012902516248251165</x:v>
      </x:c>
      <x:c r="F322" s="74" t="n">
        <x:v>1.029300272368288</x:v>
      </x:c>
      <x:c r="G322" s="74" t="n">
        <x:v>1.1843036069691386</x:v>
      </x:c>
      <x:c r="H322" s="74" t="n">
        <x:v>0.8921377748747501</x:v>
      </x:c>
      <x:c r="I322" s="74" t="n">
        <x:v>0.8422850060816023</x:v>
      </x:c>
      <x:c r="J322" s="74" t="n">
        <x:v>0.7666478618145843</x:v>
      </x:c>
      <x:c r="K322" s="74" t="n">
        <x:v>0.7545511794852903</x:v>
      </x:c>
      <x:c r="L322" s="74" t="n">
        <x:v>0.9504808504954669</x:v>
      </x:c>
      <x:c r="M322" s="74" t="n">
        <x:v>1.0863777090432087</x:v>
      </x:c>
      <x:c r="N322" s="74" t="n">
        <x:v>0.994596198588822</x:v>
      </x:c>
      <x:c r="O322" s="65" t="n">
        <x:v>501794.6105709352</x:v>
      </x:c>
      <x:c r="P322" s="65" t="n">
        <x:v>260583.4704896503</x:v>
      </x:c>
      <x:c r="Q322" s="65" t="n">
        <x:v>241211.14008128486</x:v>
      </x:c>
      <x:c r="R322" s="65" t="n">
        <x:v>100088.58765637354</x:v>
      </x:c>
      <x:c r="S322" s="65" t="n">
        <x:v>141122.5524249113</x:v>
      </x:c>
      <x:c r="T322" s="65" t="n">
        <x:v>188625.32816221862</x:v>
      </x:c>
      <x:c r="U322" s="43" t="n">
        <x:v>0.8952045103488959</x:v>
      </x:c>
      <x:c r="V322" s="43" t="n">
        <x:v>0.8978309921109049</x:v>
      </x:c>
      <x:c r="W322" s="43" t="n">
        <x:v>0.5577073039166137</x:v>
      </x:c>
      <x:c r="X322" s="65" t="n">
        <x:v>30818923.32141716</x:v>
      </x:c>
      <x:c r="Y322" s="65" t="n">
        <x:v>61.4174059907734</x:v>
      </x:c>
      <x:c r="Z322" s="65" t="n">
        <x:v>2186107.6106083123</x:v>
      </x:c>
      <x:c r="AA322" s="65" t="n">
        <x:v>159183.74120303435</x:v>
      </x:c>
      <x:c r="AB322" s="65" t="n">
        <x:v>10116.854944814037</x:v>
      </x:c>
      <x:c r="AC322" s="65" t="n">
        <x:v>23110.341615853664</x:v>
      </x:c>
      <x:c r="AD322" s="65" t="n">
        <x:v>1634.3781454373316</x:v>
      </x:c>
      <x:c r="AE322" s="65" t="n">
        <x:v>90071.17651592653</x:v>
      </x:c>
      <x:c r="AF322" s="65" t="n">
        <x:v>188625.3281622188</x:v>
      </x:c>
      <x:c r="AG322" s="65" t="n">
        <x:v>0</x:v>
      </x:c>
      <x:c r="AH322" s="34" t="n">
        <x:v>0</x:v>
      </x:c>
    </x:row>
    <x:row r="323" ht="15" hidden="0" customHeight="1">
      <x:c r="A323" s="36" t="n">
        <x:v>80</x:v>
      </x:c>
      <x:c r="B323" s="36" t="str">
        <x:v>P2</x:v>
      </x:c>
      <x:c r="C323" s="36" t="str">
        <x:v>reference</x:v>
      </x:c>
      <x:c r="D323" s="75" t="n">
        <x:v>1.0431240394880845</x:v>
      </x:c>
      <x:c r="E323" s="75" t="n">
        <x:v>0.012902516248251165</x:v>
      </x:c>
      <x:c r="F323" s="75" t="n">
        <x:v>1.029300272368288</x:v>
      </x:c>
      <x:c r="G323" s="75" t="n">
        <x:v>1.1843036069691386</x:v>
      </x:c>
      <x:c r="H323" s="75" t="n">
        <x:v>0.8921377748747501</x:v>
      </x:c>
      <x:c r="I323" s="75" t="n">
        <x:v>0.8422850060816023</x:v>
      </x:c>
      <x:c r="J323" s="75" t="n">
        <x:v>0.7666478618145843</x:v>
      </x:c>
      <x:c r="K323" s="75" t="n">
        <x:v>0.7545511794852903</x:v>
      </x:c>
      <x:c r="L323" s="75" t="n">
        <x:v>0.9504808504954669</x:v>
      </x:c>
      <x:c r="M323" s="75" t="n">
        <x:v>1.0863777090432087</x:v>
      </x:c>
      <x:c r="N323" s="75" t="n">
        <x:v>0.994596198588822</x:v>
      </x:c>
      <x:c r="O323" s="66" t="n">
        <x:v>501794.6105709352</x:v>
      </x:c>
      <x:c r="P323" s="66" t="n">
        <x:v>377504.98075922416</x:v>
      </x:c>
      <x:c r="Q323" s="66" t="n">
        <x:v>124289.62981171103</x:v>
      </x:c>
      <x:c r="R323" s="66" t="n">
        <x:v>100088.58765637354</x:v>
      </x:c>
      <x:c r="S323" s="66" t="n">
        <x:v>24201.042155337494</x:v>
      </x:c>
      <x:c r="T323" s="66" t="n">
        <x:v>112998.89132054242</x:v>
      </x:c>
      <x:c r="U323" s="45" t="n">
        <x:v>0.9774992830665875</x:v>
      </x:c>
      <x:c r="V323" s="45" t="n">
        <x:v>0.9799742133503584</x:v>
      </x:c>
      <x:c r="W323" s="45" t="n">
        <x:v>0.7994388737350129</x:v>
      </x:c>
      <x:c r="X323" s="66" t="n">
        <x:v>14798983.115353068</x:v>
      </x:c>
      <x:c r="Y323" s="66" t="n">
        <x:v>29.49211251694191</x:v>
      </x:c>
      <x:c r="Z323" s="66" t="n">
        <x:v>762181.9895126877</x:v>
      </x:c>
      <x:c r="AA323" s="66" t="n">
        <x:v>82666.66293054445</x:v>
      </x:c>
      <x:c r="AB323" s="66" t="n">
        <x:v>0</x:v>
      </x:c>
      <x:c r="AC323" s="66" t="n">
        <x:v>9741.188315026453</x:v>
      </x:c>
      <x:c r="AD323" s="66" t="n">
        <x:v>1352.6614303678334</x:v>
      </x:c>
      <x:c r="AE323" s="66" t="n">
        <x:v>61971.66809242684</x:v>
      </x:c>
      <x:c r="AF323" s="66" t="n">
        <x:v>112998.89132054248</x:v>
      </x:c>
      <x:c r="AG323" s="66" t="n">
        <x:v>0</x:v>
      </x:c>
      <x:c r="AH323" s="36" t="n">
        <x:v>0</x:v>
      </x:c>
    </x:row>
    <x:row r="324" ht="15" hidden="0" customHeight="1">
      <x:c r="A324" s="34" t="n">
        <x:v>80</x:v>
      </x:c>
      <x:c r="B324" s="34" t="str">
        <x:v>H3</x:v>
      </x:c>
      <x:c r="C324" s="34" t="str">
        <x:v>reference</x:v>
      </x:c>
      <x:c r="D324" s="74" t="n">
        <x:v>1.0431240394880845</x:v>
      </x:c>
      <x:c r="E324" s="74" t="n">
        <x:v>0.012902516248251165</x:v>
      </x:c>
      <x:c r="F324" s="74" t="n">
        <x:v>1.029300272368288</x:v>
      </x:c>
      <x:c r="G324" s="74" t="n">
        <x:v>1.1843036069691386</x:v>
      </x:c>
      <x:c r="H324" s="74" t="n">
        <x:v>0.8921377748747501</x:v>
      </x:c>
      <x:c r="I324" s="74" t="n">
        <x:v>0.8422850060816023</x:v>
      </x:c>
      <x:c r="J324" s="74" t="n">
        <x:v>0.7666478618145843</x:v>
      </x:c>
      <x:c r="K324" s="74" t="n">
        <x:v>0.7545511794852903</x:v>
      </x:c>
      <x:c r="L324" s="74" t="n">
        <x:v>0.9504808504954669</x:v>
      </x:c>
      <x:c r="M324" s="74" t="n">
        <x:v>1.0863777090432087</x:v>
      </x:c>
      <x:c r="N324" s="74" t="n">
        <x:v>0.994596198588822</x:v>
      </x:c>
      <x:c r="O324" s="65" t="n">
        <x:v>501794.6105709352</x:v>
      </x:c>
      <x:c r="P324" s="65" t="n">
        <x:v>391607.3580284183</x:v>
      </x:c>
      <x:c r="Q324" s="65" t="n">
        <x:v>110187.25254251681</x:v>
      </x:c>
      <x:c r="R324" s="65" t="n">
        <x:v>100088.58765637354</x:v>
      </x:c>
      <x:c r="S324" s="65" t="n">
        <x:v>10098.664886143277</x:v>
      </x:c>
      <x:c r="T324" s="65" t="n">
        <x:v>108866.21568129034</x:v>
      </x:c>
      <x:c r="U324" s="43" t="n">
        <x:v>0.9973673753496008</x:v>
      </x:c>
      <x:c r="V324" s="43" t="n">
        <x:v>0.9983418396464077</x:v>
      </x:c>
      <x:c r="W324" s="43" t="n">
        <x:v>0.9736737534960086</x:v>
      </x:c>
      <x:c r="X324" s="65" t="n">
        <x:v>11939404.925513692</x:v>
      </x:c>
      <x:c r="Y324" s="65" t="n">
        <x:v>23.793410040672214</x:v>
      </x:c>
      <x:c r="Z324" s="65" t="n">
        <x:v>767696.6629490689</x:v>
      </x:c>
      <x:c r="AA324" s="65" t="n">
        <x:v>75443.01046430005</x:v>
      </x:c>
      <x:c r="AB324" s="65" t="n">
        <x:v>3170.642065480569</x:v>
      </x:c>
      <x:c r="AC324" s="65" t="n">
        <x:v>875.2726610822093</x:v>
      </x:c>
      <x:c r="AD324" s="65" t="n">
        <x:v>1321.0368612264683</x:v>
      </x:c>
      <x:c r="AE324" s="65" t="n">
        <x:v>38876.5747533409</x:v>
      </x:c>
      <x:c r="AF324" s="65" t="n">
        <x:v>108866.21568129038</x:v>
      </x:c>
      <x:c r="AG324" s="65" t="n">
        <x:v>0</x:v>
      </x:c>
      <x:c r="AH324" s="34" t="n">
        <x:v>1</x:v>
      </x:c>
    </x:row>
    <x:row r="325" ht="15" hidden="0" customHeight="1">
      <x:c r="A325" s="36" t="n">
        <x:v>81</x:v>
      </x:c>
      <x:c r="B325" s="36" t="str">
        <x:v>M0</x:v>
      </x:c>
      <x:c r="C325" s="36" t="str">
        <x:v>fast</x:v>
      </x:c>
      <x:c r="D325" s="75" t="n">
        <x:v>0.9962547991139661</x:v>
      </x:c>
      <x:c r="E325" s="75" t="n">
        <x:v>0.033751574692882653</x:v>
      </x:c>
      <x:c r="F325" s="75" t="n">
        <x:v>0.8733434198482537</x:v>
      </x:c>
      <x:c r="G325" s="75" t="n">
        <x:v>0.9685486985171867</x:v>
      </x:c>
      <x:c r="H325" s="75" t="n">
        <x:v>0.9541947518924923</x:v>
      </x:c>
      <x:c r="I325" s="75" t="n">
        <x:v>0.9951426409258857</x:v>
      </x:c>
      <x:c r="J325" s="75" t="n">
        <x:v>0.9559596434966012</x:v>
      </x:c>
      <x:c r="K325" s="75" t="n">
        <x:v>0.7240616637311051</x:v>
      </x:c>
      <x:c r="L325" s="75" t="n">
        <x:v>0.89443121603465</x:v>
      </x:c>
      <x:c r="M325" s="75" t="n">
        <x:v>0.9431506572882666</x:v>
      </x:c>
      <x:c r="N325" s="75" t="n">
        <x:v>0.8074319694477206</x:v>
      </x:c>
      <x:c r="O325" s="66" t="n">
        <x:v>479248.1718628135</x:v>
      </x:c>
      <x:c r="P325" s="66" t="n">
        <x:v>60799.81565047887</x:v>
      </x:c>
      <x:c r="Q325" s="66" t="n">
        <x:v>418448.3562123347</x:v>
      </x:c>
      <x:c r="R325" s="66" t="n">
        <x:v>105583.31962127071</x:v>
      </x:c>
      <x:c r="S325" s="66" t="n">
        <x:v>312865.03659106395</x:v>
      </x:c>
      <x:c r="T325" s="66" t="n">
        <x:v>290692.6859523816</x:v>
      </x:c>
      <x:c r="U325" s="45" t="n">
        <x:v>0.7334248146145802</x:v>
      </x:c>
      <x:c r="V325" s="45" t="n">
        <x:v>0.7611726172173156</x:v>
      </x:c>
      <x:c r="W325" s="45" t="n">
        <x:v>0.1349705121529707</x:v>
      </x:c>
      <x:c r="X325" s="66" t="n">
        <x:v>52485398.91830702</x:v>
      </x:c>
      <x:c r="Y325" s="66" t="n">
        <x:v>109.51611711798277</x:v>
      </x:c>
      <x:c r="Z325" s="66" t="n">
        <x:v>4354154.903999008</x:v>
      </x:c>
      <x:c r="AA325" s="66" t="n">
        <x:v>291766.49949435925</x:v>
      </x:c>
      <x:c r="AB325" s="66" t="n">
        <x:v>28456.557863557937</x:v>
      </x:c>
      <x:c r="AC325" s="66" t="n">
        <x:v>5099.234902268501</x:v>
      </x:c>
      <x:c r="AD325" s="66" t="n">
        <x:v>2043.9879357827408</x:v>
      </x:c>
      <x:c r="AE325" s="66" t="n">
        <x:v>244184.6045121929</x:v>
      </x:c>
      <x:c r="AF325" s="66" t="n">
        <x:v>290692.6859523812</x:v>
      </x:c>
      <x:c r="AG325" s="66" t="n">
        <x:v>4.0745362639427185e-10</x:v>
      </x:c>
      <x:c r="AH325" s="36" t="n">
        <x:v>0</x:v>
      </x:c>
    </x:row>
    <x:row r="326" ht="15" hidden="0" customHeight="1">
      <x:c r="A326" s="34" t="n">
        <x:v>81</x:v>
      </x:c>
      <x:c r="B326" s="34" t="str">
        <x:v>B1</x:v>
      </x:c>
      <x:c r="C326" s="34" t="str">
        <x:v>fast</x:v>
      </x:c>
      <x:c r="D326" s="74" t="n">
        <x:v>0.9962547991139661</x:v>
      </x:c>
      <x:c r="E326" s="74" t="n">
        <x:v>0.033751574692882653</x:v>
      </x:c>
      <x:c r="F326" s="74" t="n">
        <x:v>0.8733434198482537</x:v>
      </x:c>
      <x:c r="G326" s="74" t="n">
        <x:v>0.9685486985171867</x:v>
      </x:c>
      <x:c r="H326" s="74" t="n">
        <x:v>0.9541947518924923</x:v>
      </x:c>
      <x:c r="I326" s="74" t="n">
        <x:v>0.9951426409258857</x:v>
      </x:c>
      <x:c r="J326" s="74" t="n">
        <x:v>0.9559596434966012</x:v>
      </x:c>
      <x:c r="K326" s="74" t="n">
        <x:v>0.7240616637311051</x:v>
      </x:c>
      <x:c r="L326" s="74" t="n">
        <x:v>0.89443121603465</x:v>
      </x:c>
      <x:c r="M326" s="74" t="n">
        <x:v>0.9431506572882666</x:v>
      </x:c>
      <x:c r="N326" s="74" t="n">
        <x:v>0.8074319694477206</x:v>
      </x:c>
      <x:c r="O326" s="65" t="n">
        <x:v>479248.1718628135</x:v>
      </x:c>
      <x:c r="P326" s="65" t="n">
        <x:v>205666.13980453555</x:v>
      </x:c>
      <x:c r="Q326" s="65" t="n">
        <x:v>273582.032058278</x:v>
      </x:c>
      <x:c r="R326" s="65" t="n">
        <x:v>105583.31962127071</x:v>
      </x:c>
      <x:c r="S326" s="65" t="n">
        <x:v>167998.71243700729</x:v>
      </x:c>
      <x:c r="T326" s="65" t="n">
        <x:v>181015.2261012122</x:v>
      </x:c>
      <x:c r="U326" s="43" t="n">
        <x:v>0.8068499550091903</x:v>
      </x:c>
      <x:c r="V326" s="43" t="n">
        <x:v>0.8410114125636566</x:v>
      </x:c>
      <x:c r="W326" s="43" t="n">
        <x:v>0.4847864938621172</x:v>
      </x:c>
      <x:c r="X326" s="65" t="n">
        <x:v>34561449.53733765</x:v>
      </x:c>
      <x:c r="Y326" s="65" t="n">
        <x:v>72.1159757438386</x:v>
      </x:c>
      <x:c r="Z326" s="65" t="n">
        <x:v>2062474.859053473</x:v>
      </x:c>
      <x:c r="AA326" s="65" t="n">
        <x:v>187598.0663859478</x:v>
      </x:c>
      <x:c r="AB326" s="65" t="n">
        <x:v>3050.7264757816542</x:v>
      </x:c>
      <x:c r="AC326" s="65" t="n">
        <x:v>44796.10624206597</x:v>
      </x:c>
      <x:c r="AD326" s="65" t="n">
        <x:v>1684.1879640441782</x:v>
      </x:c>
      <x:c r="AE326" s="65" t="n">
        <x:v>126403.19991674765</x:v>
      </x:c>
      <x:c r="AF326" s="65" t="n">
        <x:v>181015.22610121223</x:v>
      </x:c>
      <x:c r="AG326" s="65" t="n">
        <x:v>0</x:v>
      </x:c>
      <x:c r="AH326" s="34" t="n">
        <x:v>0</x:v>
      </x:c>
    </x:row>
    <x:row r="327" ht="15" hidden="0" customHeight="1">
      <x:c r="A327" s="36" t="n">
        <x:v>81</x:v>
      </x:c>
      <x:c r="B327" s="36" t="str">
        <x:v>P2</x:v>
      </x:c>
      <x:c r="C327" s="36" t="str">
        <x:v>fast</x:v>
      </x:c>
      <x:c r="D327" s="75" t="n">
        <x:v>0.9962547991139661</x:v>
      </x:c>
      <x:c r="E327" s="75" t="n">
        <x:v>0.033751574692882653</x:v>
      </x:c>
      <x:c r="F327" s="75" t="n">
        <x:v>0.8733434198482537</x:v>
      </x:c>
      <x:c r="G327" s="75" t="n">
        <x:v>0.9685486985171867</x:v>
      </x:c>
      <x:c r="H327" s="75" t="n">
        <x:v>0.9541947518924923</x:v>
      </x:c>
      <x:c r="I327" s="75" t="n">
        <x:v>0.9951426409258857</x:v>
      </x:c>
      <x:c r="J327" s="75" t="n">
        <x:v>0.9559596434966012</x:v>
      </x:c>
      <x:c r="K327" s="75" t="n">
        <x:v>0.7240616637311051</x:v>
      </x:c>
      <x:c r="L327" s="75" t="n">
        <x:v>0.89443121603465</x:v>
      </x:c>
      <x:c r="M327" s="75" t="n">
        <x:v>0.9431506572882666</x:v>
      </x:c>
      <x:c r="N327" s="75" t="n">
        <x:v>0.8074319694477206</x:v>
      </x:c>
      <x:c r="O327" s="66" t="n">
        <x:v>479248.1718628135</x:v>
      </x:c>
      <x:c r="P327" s="66" t="n">
        <x:v>297947.21310048806</x:v>
      </x:c>
      <x:c r="Q327" s="66" t="n">
        <x:v>181300.9587623255</x:v>
      </x:c>
      <x:c r="R327" s="66" t="n">
        <x:v>105583.31962127071</x:v>
      </x:c>
      <x:c r="S327" s="66" t="n">
        <x:v>75717.63914105477</x:v>
      </x:c>
      <x:c r="T327" s="66" t="n">
        <x:v>108609.24952933259</x:v>
      </x:c>
      <x:c r="U327" s="45" t="n">
        <x:v>0.8483213635423086</x:v>
      </x:c>
      <x:c r="V327" s="45" t="n">
        <x:v>0.8607104593697266</x:v>
      </x:c>
      <x:c r="W327" s="45" t="n">
        <x:v>0.6584580303962378</x:v>
      </x:c>
      <x:c r="X327" s="66" t="n">
        <x:v>22302376.792602263</x:v>
      </x:c>
      <x:c r="Y327" s="66" t="n">
        <x:v>46.53617499658694</x:v>
      </x:c>
      <x:c r="Z327" s="66" t="n">
        <x:v>1605940.0634388013</x:v>
      </x:c>
      <x:c r="AA327" s="66" t="n">
        <x:v>125529.82084082568</x:v>
      </x:c>
      <x:c r="AB327" s="66" t="n">
        <x:v>0</x:v>
      </x:c>
      <x:c r="AC327" s="66" t="n">
        <x:v>41193.45437418175</x:v>
      </x:c>
      <x:c r="AD327" s="66" t="n">
        <x:v>1466.7855561287274</x:v>
      </x:c>
      <x:c r="AE327" s="66" t="n">
        <x:v>67109.82033433366</x:v>
      </x:c>
      <x:c r="AF327" s="66" t="n">
        <x:v>108609.24952933259</x:v>
      </x:c>
      <x:c r="AG327" s="66" t="n">
        <x:v>0</x:v>
      </x:c>
      <x:c r="AH327" s="36" t="n">
        <x:v>0</x:v>
      </x:c>
    </x:row>
    <x:row r="328" ht="15" hidden="0" customHeight="1">
      <x:c r="A328" s="34" t="n">
        <x:v>81</x:v>
      </x:c>
      <x:c r="B328" s="34" t="str">
        <x:v>H3</x:v>
      </x:c>
      <x:c r="C328" s="34" t="str">
        <x:v>fast</x:v>
      </x:c>
      <x:c r="D328" s="74" t="n">
        <x:v>0.9962547991139661</x:v>
      </x:c>
      <x:c r="E328" s="74" t="n">
        <x:v>0.033751574692882653</x:v>
      </x:c>
      <x:c r="F328" s="74" t="n">
        <x:v>0.8733434198482537</x:v>
      </x:c>
      <x:c r="G328" s="74" t="n">
        <x:v>0.9685486985171867</x:v>
      </x:c>
      <x:c r="H328" s="74" t="n">
        <x:v>0.9541947518924923</x:v>
      </x:c>
      <x:c r="I328" s="74" t="n">
        <x:v>0.9951426409258857</x:v>
      </x:c>
      <x:c r="J328" s="74" t="n">
        <x:v>0.9559596434966012</x:v>
      </x:c>
      <x:c r="K328" s="74" t="n">
        <x:v>0.7240616637311051</x:v>
      </x:c>
      <x:c r="L328" s="74" t="n">
        <x:v>0.89443121603465</x:v>
      </x:c>
      <x:c r="M328" s="74" t="n">
        <x:v>0.9431506572882666</x:v>
      </x:c>
      <x:c r="N328" s="74" t="n">
        <x:v>0.8074319694477206</x:v>
      </x:c>
      <x:c r="O328" s="65" t="n">
        <x:v>479248.1718628135</x:v>
      </x:c>
      <x:c r="P328" s="65" t="n">
        <x:v>309077.6649993793</x:v>
      </x:c>
      <x:c r="Q328" s="65" t="n">
        <x:v>170170.50686343422</x:v>
      </x:c>
      <x:c r="R328" s="65" t="n">
        <x:v>105583.31962127071</x:v>
      </x:c>
      <x:c r="S328" s="65" t="n">
        <x:v>64587.18724216352</x:v>
      </x:c>
      <x:c r="T328" s="65" t="n">
        <x:v>168728.12616904374</x:v>
      </x:c>
      <x:c r="U328" s="43" t="n">
        <x:v>0.9969903261419151</x:v>
      </x:c>
      <x:c r="V328" s="43" t="n">
        <x:v>0.9981043867247134</x:v>
      </x:c>
      <x:c r="W328" s="43" t="n">
        <x:v>0.9699032614191512</x:v>
      </x:c>
      <x:c r="X328" s="65" t="n">
        <x:v>15277246.287485069</x:v>
      </x:c>
      <x:c r="Y328" s="65" t="n">
        <x:v>31.877526476737888</x:v>
      </x:c>
      <x:c r="Z328" s="65" t="n">
        <x:v>1201880.3149156845</x:v>
      </x:c>
      <x:c r="AA328" s="65" t="n">
        <x:v>98485.73532587147</x:v>
      </x:c>
      <x:c r="AB328" s="65" t="n">
        <x:v>3730.740040660628</x:v>
      </x:c>
      <x:c r="AC328" s="65" t="n">
        <x:v>934.8191364240831</x:v>
      </x:c>
      <x:c r="AD328" s="65" t="n">
        <x:v>1442.3806943904901</x:v>
      </x:c>
      <x:c r="AE328" s="65" t="n">
        <x:v>65865.97308954087</x:v>
      </x:c>
      <x:c r="AF328" s="65" t="n">
        <x:v>168728.12616904356</x:v>
      </x:c>
      <x:c r="AG328" s="65" t="n">
        <x:v>1.7462298274040222e-10</x:v>
      </x:c>
      <x:c r="AH328" s="34" t="n">
        <x:v>1</x:v>
      </x:c>
    </x:row>
    <x:row r="329" ht="21.600000381469727" hidden="0" customHeight="1">
      <x:c r="A329" s="36" t="n">
        <x:v>82</x:v>
      </x:c>
      <x:c r="B329" s="36" t="str">
        <x:v>M0</x:v>
      </x:c>
      <x:c r="C329" s="36" t="str">
        <x:v>fast</x:v>
      </x:c>
      <x:c r="D329" s="75" t="n">
        <x:v>1.130657745023068</x:v>
      </x:c>
      <x:c r="E329" s="75" t="n">
        <x:v>-0.009477971499694066</x:v>
      </x:c>
      <x:c r="F329" s="75" t="n">
        <x:v>0.9942393474496618</x:v>
      </x:c>
      <x:c r="G329" s="75" t="n">
        <x:v>0.9919535968733014</x:v>
      </x:c>
      <x:c r="H329" s="75" t="n">
        <x:v>1.0699391497842128</x:v>
      </x:c>
      <x:c r="I329" s="75" t="n">
        <x:v>0.918789049068596</x:v>
      </x:c>
      <x:c r="J329" s="75" t="n">
        <x:v>0.7999115114267042</x:v>
      </x:c>
      <x:c r="K329" s="75" t="n">
        <x:v>0.9915552799680821</x:v>
      </x:c>
      <x:c r="L329" s="75" t="n">
        <x:v>0.9581829711309143</x:v>
      </x:c>
      <x:c r="M329" s="75" t="n">
        <x:v>1.047336988614282</x:v>
      </x:c>
      <x:c r="N329" s="75" t="n">
        <x:v>0.9405538558405612</x:v>
      </x:c>
      <x:c r="O329" s="66" t="n">
        <x:v>543902.6821117979</x:v>
      </x:c>
      <x:c r="P329" s="66" t="n">
        <x:v>82910.34908818174</x:v>
      </x:c>
      <x:c r="Q329" s="66" t="n">
        <x:v>460992.3330236161</x:v>
      </x:c>
      <x:c r="R329" s="66" t="n">
        <x:v>96314.70954794248</x:v>
      </x:c>
      <x:c r="S329" s="66" t="n">
        <x:v>364677.6234756736</x:v>
      </x:c>
      <x:c r="T329" s="66" t="n">
        <x:v>290833.22361958877</x:v>
      </x:c>
      <x:c r="U329" s="45" t="n">
        <x:v>0.6871515530253415</x:v>
      </x:c>
      <x:c r="V329" s="45" t="n">
        <x:v>0.7035605588017588</x:v>
      </x:c>
      <x:c r="W329" s="45" t="n">
        <x:v>0.15275644939649474</x:v>
      </x:c>
      <x:c r="X329" s="66" t="n">
        <x:v>60404755.72976861</x:v>
      </x:c>
      <x:c r="Y329" s="66" t="n">
        <x:v>111.05802143728455</x:v>
      </x:c>
      <x:c r="Z329" s="66" t="n">
        <x:v>6176268.492724637</x:v>
      </x:c>
      <x:c r="AA329" s="66" t="n">
        <x:v>323850.29662190867</x:v>
      </x:c>
      <x:c r="AB329" s="66" t="n">
        <x:v>51647.874307440536</x:v>
      </x:c>
      <x:c r="AC329" s="66" t="n">
        <x:v>5205.922980116422</x:v>
      </x:c>
      <x:c r="AD329" s="66" t="n">
        <x:v>2273.4553384577166</x:v>
      </x:c>
      <x:c r="AE329" s="66" t="n">
        <x:v>209569.37047496426</x:v>
      </x:c>
      <x:c r="AF329" s="66" t="n">
        <x:v>290833.2236195885</x:v>
      </x:c>
      <x:c r="AG329" s="66" t="n">
        <x:v>2.9103830456733704e-10</x:v>
      </x:c>
      <x:c r="AH329" s="36" t="n">
        <x:v>0</x:v>
      </x:c>
    </x:row>
    <x:row r="330" ht="21.600000381469727" hidden="0" customHeight="1">
      <x:c r="A330" s="34" t="n">
        <x:v>82</x:v>
      </x:c>
      <x:c r="B330" s="34" t="str">
        <x:v>B1</x:v>
      </x:c>
      <x:c r="C330" s="34" t="str">
        <x:v>fast</x:v>
      </x:c>
      <x:c r="D330" s="74" t="n">
        <x:v>1.130657745023068</x:v>
      </x:c>
      <x:c r="E330" s="74" t="n">
        <x:v>-0.009477971499694066</x:v>
      </x:c>
      <x:c r="F330" s="74" t="n">
        <x:v>0.9942393474496618</x:v>
      </x:c>
      <x:c r="G330" s="74" t="n">
        <x:v>0.9919535968733014</x:v>
      </x:c>
      <x:c r="H330" s="74" t="n">
        <x:v>1.0699391497842128</x:v>
      </x:c>
      <x:c r="I330" s="74" t="n">
        <x:v>0.918789049068596</x:v>
      </x:c>
      <x:c r="J330" s="74" t="n">
        <x:v>0.7999115114267042</x:v>
      </x:c>
      <x:c r="K330" s="74" t="n">
        <x:v>0.9915552799680821</x:v>
      </x:c>
      <x:c r="L330" s="74" t="n">
        <x:v>0.9581829711309143</x:v>
      </x:c>
      <x:c r="M330" s="74" t="n">
        <x:v>1.047336988614282</x:v>
      </x:c>
      <x:c r="N330" s="74" t="n">
        <x:v>0.9405538558405612</x:v>
      </x:c>
      <x:c r="O330" s="65" t="n">
        <x:v>543902.6821117979</x:v>
      </x:c>
      <x:c r="P330" s="65" t="n">
        <x:v>280457.294765892</x:v>
      </x:c>
      <x:c r="Q330" s="65" t="n">
        <x:v>263445.3873459059</x:v>
      </x:c>
      <x:c r="R330" s="65" t="n">
        <x:v>96314.70954794248</x:v>
      </x:c>
      <x:c r="S330" s="65" t="n">
        <x:v>167130.67779796338</x:v>
      </x:c>
      <x:c r="T330" s="65" t="n">
        <x:v>213256.2221185834</x:v>
      </x:c>
      <x:c r="U330" s="43" t="n">
        <x:v>0.907723997549609</x:v>
      </x:c>
      <x:c r="V330" s="43" t="n">
        <x:v>0.9150661834859616</x:v>
      </x:c>
      <x:c r="W330" s="43" t="n">
        <x:v>0.5823758198643731</x:v>
      </x:c>
      <x:c r="X330" s="65" t="n">
        <x:v>33764756.46550997</x:v>
      </x:c>
      <x:c r="Y330" s="65" t="n">
        <x:v>62.078672483122105</x:v>
      </x:c>
      <x:c r="Z330" s="65" t="n">
        <x:v>3036736.8412332623</x:v>
      </x:c>
      <x:c r="AA330" s="65" t="n">
        <x:v>172861.54216458177</x:v>
      </x:c>
      <x:c r="AB330" s="65" t="n">
        <x:v>16535.39601891068</x:v>
      </x:c>
      <x:c r="AC330" s="65" t="n">
        <x:v>13826.643514631847</x:v>
      </x:c>
      <x:c r="AD330" s="65" t="n">
        <x:v>1760.3106403604652</x:v>
      </x:c>
      <x:c r="AE330" s="65" t="n">
        <x:v>111676.40568780282</x:v>
      </x:c>
      <x:c r="AF330" s="65" t="n">
        <x:v>213256.22211858316</x:v>
      </x:c>
      <x:c r="AG330" s="65" t="n">
        <x:v>2.3283064365386963e-10</x:v>
      </x:c>
      <x:c r="AH330" s="34" t="n">
        <x:v>0</x:v>
      </x:c>
    </x:row>
    <x:row r="331" ht="21.600000381469727" hidden="0" customHeight="1">
      <x:c r="A331" s="36" t="n">
        <x:v>82</x:v>
      </x:c>
      <x:c r="B331" s="36" t="str">
        <x:v>P2</x:v>
      </x:c>
      <x:c r="C331" s="36" t="str">
        <x:v>fast</x:v>
      </x:c>
      <x:c r="D331" s="75" t="n">
        <x:v>1.130657745023068</x:v>
      </x:c>
      <x:c r="E331" s="75" t="n">
        <x:v>-0.009477971499694066</x:v>
      </x:c>
      <x:c r="F331" s="75" t="n">
        <x:v>0.9942393474496618</x:v>
      </x:c>
      <x:c r="G331" s="75" t="n">
        <x:v>0.9919535968733014</x:v>
      </x:c>
      <x:c r="H331" s="75" t="n">
        <x:v>1.0699391497842128</x:v>
      </x:c>
      <x:c r="I331" s="75" t="n">
        <x:v>0.918789049068596</x:v>
      </x:c>
      <x:c r="J331" s="75" t="n">
        <x:v>0.7999115114267042</x:v>
      </x:c>
      <x:c r="K331" s="75" t="n">
        <x:v>0.9915552799680821</x:v>
      </x:c>
      <x:c r="L331" s="75" t="n">
        <x:v>0.9581829711309143</x:v>
      </x:c>
      <x:c r="M331" s="75" t="n">
        <x:v>1.047336988614282</x:v>
      </x:c>
      <x:c r="N331" s="75" t="n">
        <x:v>0.9405538558405612</x:v>
      </x:c>
      <x:c r="O331" s="66" t="n">
        <x:v>543902.6821117979</x:v>
      </x:c>
      <x:c r="P331" s="66" t="n">
        <x:v>406295.3409710692</x:v>
      </x:c>
      <x:c r="Q331" s="66" t="n">
        <x:v>137607.34114072868</x:v>
      </x:c>
      <x:c r="R331" s="66" t="n">
        <x:v>96314.70954794248</x:v>
      </x:c>
      <x:c r="S331" s="66" t="n">
        <x:v>41292.6315927862</x:v>
      </x:c>
      <x:c r="T331" s="66" t="n">
        <x:v>136157.08859302546</x:v>
      </x:c>
      <x:c r="U331" s="45" t="n">
        <x:v>0.9973336175838068</x:v>
      </x:c>
      <x:c r="V331" s="45" t="n">
        <x:v>0.9983204403060086</x:v>
      </x:c>
      <x:c r="W331" s="45" t="n">
        <x:v>0.9733361758380683</x:v>
      </x:c>
      <x:c r="X331" s="66" t="n">
        <x:v>15493545.35168046</x:v>
      </x:c>
      <x:c r="Y331" s="66" t="n">
        <x:v>28.485877825650803</x:v>
      </x:c>
      <x:c r="Z331" s="66" t="n">
        <x:v>1271061.8992064805</x:v>
      </x:c>
      <x:c r="AA331" s="66" t="n">
        <x:v>88777.53265889971</x:v>
      </x:c>
      <x:c r="AB331" s="66" t="n">
        <x:v>749.9742456592159</x:v>
      </x:c>
      <x:c r="AC331" s="66" t="n">
        <x:v>7950.694754549752</x:v>
      </x:c>
      <x:c r="AD331" s="66" t="n">
        <x:v>1450.2525477032195</x:v>
      </x:c>
      <x:c r="AE331" s="66" t="n">
        <x:v>66450.99516536381</x:v>
      </x:c>
      <x:c r="AF331" s="66" t="n">
        <x:v>136157.08859302543</x:v>
      </x:c>
      <x:c r="AG331" s="66" t="n">
        <x:v>2.9103830456733704e-11</x:v>
      </x:c>
      <x:c r="AH331" s="36" t="n">
        <x:v>1</x:v>
      </x:c>
    </x:row>
    <x:row r="332" ht="21.600000381469727" hidden="0" customHeight="1">
      <x:c r="A332" s="34" t="n">
        <x:v>82</x:v>
      </x:c>
      <x:c r="B332" s="34" t="str">
        <x:v>H3</x:v>
      </x:c>
      <x:c r="C332" s="34" t="str">
        <x:v>fast</x:v>
      </x:c>
      <x:c r="D332" s="74" t="n">
        <x:v>1.130657745023068</x:v>
      </x:c>
      <x:c r="E332" s="74" t="n">
        <x:v>-0.009477971499694066</x:v>
      </x:c>
      <x:c r="F332" s="74" t="n">
        <x:v>0.9942393474496618</x:v>
      </x:c>
      <x:c r="G332" s="74" t="n">
        <x:v>0.9919535968733014</x:v>
      </x:c>
      <x:c r="H332" s="74" t="n">
        <x:v>1.0699391497842128</x:v>
      </x:c>
      <x:c r="I332" s="74" t="n">
        <x:v>0.918789049068596</x:v>
      </x:c>
      <x:c r="J332" s="74" t="n">
        <x:v>0.7999115114267042</x:v>
      </x:c>
      <x:c r="K332" s="74" t="n">
        <x:v>0.9915552799680821</x:v>
      </x:c>
      <x:c r="L332" s="74" t="n">
        <x:v>0.9581829711309143</x:v>
      </x:c>
      <x:c r="M332" s="74" t="n">
        <x:v>1.047336988614282</x:v>
      </x:c>
      <x:c r="N332" s="74" t="n">
        <x:v>0.9405538558405612</x:v>
      </x:c>
      <x:c r="O332" s="65" t="n">
        <x:v>543902.6821117979</x:v>
      </x:c>
      <x:c r="P332" s="65" t="n">
        <x:v>421473.097883753</x:v>
      </x:c>
      <x:c r="Q332" s="65" t="n">
        <x:v>122429.58422804481</x:v>
      </x:c>
      <x:c r="R332" s="65" t="n">
        <x:v>96314.70954794248</x:v>
      </x:c>
      <x:c r="S332" s="65" t="n">
        <x:v>26114.874680102348</x:v>
      </x:c>
      <x:c r="T332" s="65" t="n">
        <x:v>121014.13775702986</x:v>
      </x:c>
      <x:c r="U332" s="43" t="n">
        <x:v>0.9973976107903729</x:v>
      </x:c>
      <x:c r="V332" s="43" t="n">
        <x:v>0.9983608809110588</x:v>
      </x:c>
      <x:c r="W332" s="43" t="n">
        <x:v>0.9739761079037299</x:v>
      </x:c>
      <x:c r="X332" s="65" t="n">
        <x:v>10784756.454974873</x:v>
      </x:c>
      <x:c r="Y332" s="65" t="n">
        <x:v>19.828467131474987</x:v>
      </x:c>
      <x:c r="Z332" s="65" t="n">
        <x:v>1161018.1035013953</x:v>
      </x:c>
      <x:c r="AA332" s="65" t="n">
        <x:v>81442.87358006014</x:v>
      </x:c>
      <x:c r="AB332" s="65" t="n">
        <x:v>9722.289460896132</x:v>
      </x:c>
      <x:c r="AC332" s="65" t="n">
        <x:v>4238.7574974429735</x:v>
      </x:c>
      <x:c r="AD332" s="65" t="n">
        <x:v>1415.446471014941</x:v>
      </x:c>
      <x:c r="AE332" s="65" t="n">
        <x:v>44361.06392744783</x:v>
      </x:c>
      <x:c r="AF332" s="65" t="n">
        <x:v>121014.13775703</x:v>
      </x:c>
      <x:c r="AG332" s="65" t="n">
        <x:v>0</x:v>
      </x:c>
      <x:c r="AH332" s="34" t="n">
        <x:v>1</x:v>
      </x:c>
    </x:row>
    <x:row r="333" ht="15" hidden="0" customHeight="1">
      <x:c r="A333" s="36" t="n">
        <x:v>83</x:v>
      </x:c>
      <x:c r="B333" s="36" t="str">
        <x:v>M0</x:v>
      </x:c>
      <x:c r="C333" s="36" t="str">
        <x:v>reference</x:v>
      </x:c>
      <x:c r="D333" s="75" t="n">
        <x:v>1.1632229362815565</x:v>
      </x:c>
      <x:c r="E333" s="75" t="n">
        <x:v>0.02411019421785123</x:v>
      </x:c>
      <x:c r="F333" s="75" t="n">
        <x:v>0.7419958506190028</x:v>
      </x:c>
      <x:c r="G333" s="75" t="n">
        <x:v>1.2255109405206404</x:v>
      </x:c>
      <x:c r="H333" s="75" t="n">
        <x:v>0.7204436854752039</x:v>
      </x:c>
      <x:c r="I333" s="75" t="n">
        <x:v>0.9901253171428523</x:v>
      </x:c>
      <x:c r="J333" s="75" t="n">
        <x:v>0.8510710889010138</x:v>
      </x:c>
      <x:c r="K333" s="75" t="n">
        <x:v>0.8638041375282786</x:v>
      </x:c>
      <x:c r="L333" s="75" t="n">
        <x:v>0.8125461491822544</x:v>
      </x:c>
      <x:c r="M333" s="75" t="n">
        <x:v>0.7575468620024456</x:v>
      </x:c>
      <x:c r="N333" s="75" t="n">
        <x:v>0.7874891521687117</x:v>
      </x:c>
      <x:c r="O333" s="66" t="n">
        <x:v>559568.1608536554</x:v>
      </x:c>
      <x:c r="P333" s="66" t="n">
        <x:v>61058.995277776114</x:v>
      </x:c>
      <x:c r="Q333" s="66" t="n">
        <x:v>498509.16557587933</x:v>
      </x:c>
      <x:c r="R333" s="66" t="n">
        <x:v>117883.63281227362</x:v>
      </x:c>
      <x:c r="S333" s="66" t="n">
        <x:v>380625.53276360576</x:v>
      </x:c>
      <x:c r="T333" s="66" t="n">
        <x:v>247167.67882241402</x:v>
      </x:c>
      <x:c r="U333" s="45" t="n">
        <x:v>0.5508295426065192</x:v>
      </x:c>
      <x:c r="V333" s="45" t="n">
        <x:v>0.5964779573060353</x:v>
      </x:c>
      <x:c r="W333" s="45" t="n">
        <x:v>0.10663594214223597</x:v>
      </x:c>
      <x:c r="X333" s="66" t="n">
        <x:v>68442650.92734033</x:v>
      </x:c>
      <x:c r="Y333" s="66" t="n">
        <x:v>122.31334038542666</x:v>
      </x:c>
      <x:c r="Z333" s="66" t="n">
        <x:v>3247565.2942645648</x:v>
      </x:c>
      <x:c r="AA333" s="66" t="n">
        <x:v>385233.4920867427</x:v>
      </x:c>
      <x:c r="AB333" s="66" t="n">
        <x:v>21463.60072773483</x:v>
      </x:c>
      <x:c r="AC333" s="66" t="n">
        <x:v>238.50629416251437</x:v>
      </x:c>
      <x:c r="AD333" s="66" t="n">
        <x:v>2410.8027957029462</x:v>
      </x:c>
      <x:c r="AE333" s="66" t="n">
        <x:v>224487.99123995512</x:v>
      </x:c>
      <x:c r="AF333" s="66" t="n">
        <x:v>204828.95593021202</x:v>
      </x:c>
      <x:c r="AG333" s="66" t="n">
        <x:v>42338.722892202</x:v>
      </x:c>
      <x:c r="AH333" s="36" t="n">
        <x:v>0</x:v>
      </x:c>
    </x:row>
    <x:row r="334" ht="15" hidden="0" customHeight="1">
      <x:c r="A334" s="34" t="n">
        <x:v>83</x:v>
      </x:c>
      <x:c r="B334" s="34" t="str">
        <x:v>B1</x:v>
      </x:c>
      <x:c r="C334" s="34" t="str">
        <x:v>reference</x:v>
      </x:c>
      <x:c r="D334" s="74" t="n">
        <x:v>1.1632229362815565</x:v>
      </x:c>
      <x:c r="E334" s="74" t="n">
        <x:v>0.02411019421785123</x:v>
      </x:c>
      <x:c r="F334" s="74" t="n">
        <x:v>0.7419958506190028</x:v>
      </x:c>
      <x:c r="G334" s="74" t="n">
        <x:v>1.2255109405206404</x:v>
      </x:c>
      <x:c r="H334" s="74" t="n">
        <x:v>0.7204436854752039</x:v>
      </x:c>
      <x:c r="I334" s="74" t="n">
        <x:v>0.9901253171428523</x:v>
      </x:c>
      <x:c r="J334" s="74" t="n">
        <x:v>0.8510710889010138</x:v>
      </x:c>
      <x:c r="K334" s="74" t="n">
        <x:v>0.8638041375282786</x:v>
      </x:c>
      <x:c r="L334" s="74" t="n">
        <x:v>0.8125461491822544</x:v>
      </x:c>
      <x:c r="M334" s="74" t="n">
        <x:v>0.7575468620024456</x:v>
      </x:c>
      <x:c r="N334" s="74" t="n">
        <x:v>0.7874891521687117</x:v>
      </x:c>
      <x:c r="O334" s="65" t="n">
        <x:v>559568.1608536554</x:v>
      </x:c>
      <x:c r="P334" s="65" t="n">
        <x:v>206542.58018348587</x:v>
      </x:c>
      <x:c r="Q334" s="65" t="n">
        <x:v>353025.5806701696</x:v>
      </x:c>
      <x:c r="R334" s="65" t="n">
        <x:v>117883.63281227362</x:v>
      </x:c>
      <x:c r="S334" s="65" t="n">
        <x:v>235141.94785789604</x:v>
      </x:c>
      <x:c r="T334" s="65" t="n">
        <x:v>173595.75953250806</x:v>
      </x:c>
      <x:c r="U334" s="43" t="n">
        <x:v>0.6793423327304214</x:v>
      </x:c>
      <x:c r="V334" s="43" t="n">
        <x:v>0.7150096945564782</x:v>
      </x:c>
      <x:c r="W334" s="43" t="n">
        <x:v>0.36063811565115367</x:v>
      </x:c>
      <x:c r="X334" s="65" t="n">
        <x:v>50065178.35899512</x:v>
      </x:c>
      <x:c r="Y334" s="65" t="n">
        <x:v>89.47109907507537</x:v>
      </x:c>
      <x:c r="Z334" s="65" t="n">
        <x:v>1109265.3487366715</x:v>
      </x:c>
      <x:c r="AA334" s="65" t="n">
        <x:v>280387.00868730876</x:v>
      </x:c>
      <x:c r="AB334" s="65" t="n">
        <x:v>1525.4706097246544</x:v>
      </x:c>
      <x:c r="AC334" s="65" t="n">
        <x:v>0</x:v>
      </x:c>
      <x:c r="AD334" s="65" t="n">
        <x:v>2045.6162903073246</x:v>
      </x:c>
      <x:c r="AE334" s="65" t="n">
        <x:v>133661.37291776814</x:v>
      </x:c>
      <x:c r="AF334" s="65" t="n">
        <x:v>173595.75953250818</x:v>
      </x:c>
      <x:c r="AG334" s="65" t="n">
        <x:v>0</x:v>
      </x:c>
      <x:c r="AH334" s="34" t="n">
        <x:v>0</x:v>
      </x:c>
    </x:row>
    <x:row r="335" ht="15" hidden="0" customHeight="1">
      <x:c r="A335" s="36" t="n">
        <x:v>83</x:v>
      </x:c>
      <x:c r="B335" s="36" t="str">
        <x:v>P2</x:v>
      </x:c>
      <x:c r="C335" s="36" t="str">
        <x:v>reference</x:v>
      </x:c>
      <x:c r="D335" s="75" t="n">
        <x:v>1.1632229362815565</x:v>
      </x:c>
      <x:c r="E335" s="75" t="n">
        <x:v>0.02411019421785123</x:v>
      </x:c>
      <x:c r="F335" s="75" t="n">
        <x:v>0.7419958506190028</x:v>
      </x:c>
      <x:c r="G335" s="75" t="n">
        <x:v>1.2255109405206404</x:v>
      </x:c>
      <x:c r="H335" s="75" t="n">
        <x:v>0.7204436854752039</x:v>
      </x:c>
      <x:c r="I335" s="75" t="n">
        <x:v>0.9901253171428523</x:v>
      </x:c>
      <x:c r="J335" s="75" t="n">
        <x:v>0.8510710889010138</x:v>
      </x:c>
      <x:c r="K335" s="75" t="n">
        <x:v>0.8638041375282786</x:v>
      </x:c>
      <x:c r="L335" s="75" t="n">
        <x:v>0.8125461491822544</x:v>
      </x:c>
      <x:c r="M335" s="75" t="n">
        <x:v>0.7575468620024456</x:v>
      </x:c>
      <x:c r="N335" s="75" t="n">
        <x:v>0.7874891521687117</x:v>
      </x:c>
      <x:c r="O335" s="66" t="n">
        <x:v>559568.1608536554</x:v>
      </x:c>
      <x:c r="P335" s="66" t="n">
        <x:v>299216.67769501667</x:v>
      </x:c>
      <x:c r="Q335" s="66" t="n">
        <x:v>260351.48315863882</x:v>
      </x:c>
      <x:c r="R335" s="66" t="n">
        <x:v>117883.63281227362</x:v>
      </x:c>
      <x:c r="S335" s="66" t="n">
        <x:v>142467.8503463652</x:v>
      </x:c>
      <x:c r="T335" s="66" t="n">
        <x:v>112427.97141986883</x:v>
      </x:c>
      <x:c r="U335" s="45" t="n">
        <x:v>0.7356470183844922</x:v>
      </x:c>
      <x:c r="V335" s="45" t="n">
        <x:v>0.768680752078168</x:v>
      </x:c>
      <x:c r="W335" s="45" t="n">
        <x:v>0.4187888833151071</x:v>
      </x:c>
      <x:c r="X335" s="66" t="n">
        <x:v>36960857.736053236</x:v>
      </x:c>
      <x:c r="Y335" s="66" t="n">
        <x:v>66.05246745931217</x:v>
      </x:c>
      <x:c r="Z335" s="66" t="n">
        <x:v>703133.6458035889</x:v>
      </x:c>
      <x:c r="AA335" s="66" t="n">
        <x:v>212636.08357381372</x:v>
      </x:c>
      <x:c r="AB335" s="66" t="n">
        <x:v>0</x:v>
      </x:c>
      <x:c r="AC335" s="66" t="n">
        <x:v>0</x:v>
      </x:c>
      <x:c r="AD335" s="66" t="n">
        <x:v>1824.9591701090915</x:v>
      </x:c>
      <x:c r="AE335" s="66" t="n">
        <x:v>82332.66960091097</x:v>
      </x:c>
      <x:c r="AF335" s="66" t="n">
        <x:v>112427.97141986876</x:v>
      </x:c>
      <x:c r="AG335" s="66" t="n">
        <x:v>7.275957614183426e-11</x:v>
      </x:c>
      <x:c r="AH335" s="36" t="n">
        <x:v>0</x:v>
      </x:c>
    </x:row>
    <x:row r="336" ht="15" hidden="0" customHeight="1">
      <x:c r="A336" s="34" t="n">
        <x:v>83</x:v>
      </x:c>
      <x:c r="B336" s="34" t="str">
        <x:v>H3</x:v>
      </x:c>
      <x:c r="C336" s="34" t="str">
        <x:v>reference</x:v>
      </x:c>
      <x:c r="D336" s="74" t="n">
        <x:v>1.1632229362815565</x:v>
      </x:c>
      <x:c r="E336" s="74" t="n">
        <x:v>0.02411019421785123</x:v>
      </x:c>
      <x:c r="F336" s="74" t="n">
        <x:v>0.7419958506190028</x:v>
      </x:c>
      <x:c r="G336" s="74" t="n">
        <x:v>1.2255109405206404</x:v>
      </x:c>
      <x:c r="H336" s="74" t="n">
        <x:v>0.7204436854752039</x:v>
      </x:c>
      <x:c r="I336" s="74" t="n">
        <x:v>0.9901253171428523</x:v>
      </x:c>
      <x:c r="J336" s="74" t="n">
        <x:v>0.8510710889010138</x:v>
      </x:c>
      <x:c r="K336" s="74" t="n">
        <x:v>0.8638041375282786</x:v>
      </x:c>
      <x:c r="L336" s="74" t="n">
        <x:v>0.8125461491822544</x:v>
      </x:c>
      <x:c r="M336" s="74" t="n">
        <x:v>0.7575468620024456</x:v>
      </x:c>
      <x:c r="N336" s="74" t="n">
        <x:v>0.7874891521687117</x:v>
      </x:c>
      <x:c r="O336" s="65" t="n">
        <x:v>559568.1608536554</x:v>
      </x:c>
      <x:c r="P336" s="65" t="n">
        <x:v>310394.5069497224</x:v>
      </x:c>
      <x:c r="Q336" s="65" t="n">
        <x:v>249173.65390393307</x:v>
      </x:c>
      <x:c r="R336" s="65" t="n">
        <x:v>117883.63281227362</x:v>
      </x:c>
      <x:c r="S336" s="65" t="n">
        <x:v>131290.02109165947</x:v>
      </x:c>
      <x:c r="T336" s="65" t="n">
        <x:v>173425.1004504668</x:v>
      </x:c>
      <x:c r="U336" s="43" t="n">
        <x:v>0.8646303368334838</x:v>
      </x:c>
      <x:c r="V336" s="43" t="n">
        <x:v>0.8862445425363626</x:v>
      </x:c>
      <x:c r="W336" s="43" t="n">
        <x:v>0.5941740395023258</x:v>
      </x:c>
      <x:c r="X336" s="65" t="n">
        <x:v>29835580.852081623</x:v>
      </x:c>
      <x:c r="Y336" s="65" t="n">
        <x:v>53.318939388126765</x:v>
      </x:c>
      <x:c r="Z336" s="65" t="n">
        <x:v>1091773.2969630582</x:v>
      </x:c>
      <x:c r="AA336" s="65" t="n">
        <x:v>181472.35746406572</x:v>
      </x:c>
      <x:c r="AB336" s="65" t="n">
        <x:v>910.8498573567865</x:v>
      </x:c>
      <x:c r="AC336" s="65" t="n">
        <x:v>0</x:v>
      </x:c>
      <x:c r="AD336" s="65" t="n">
        <x:v>1800.1889453372953</x:v>
      </x:c>
      <x:c r="AE336" s="65" t="n">
        <x:v>82183.7199646686</x:v>
      </x:c>
      <x:c r="AF336" s="65" t="n">
        <x:v>173425.10045046677</x:v>
      </x:c>
      <x:c r="AG336" s="65" t="n">
        <x:v>2.9103830456733704e-11</x:v>
      </x:c>
      <x:c r="AH336" s="34" t="n">
        <x:v>0</x:v>
      </x:c>
    </x:row>
    <x:row r="337" ht="21.600000381469727" hidden="0" customHeight="1">
      <x:c r="A337" s="36" t="n">
        <x:v>84</x:v>
      </x:c>
      <x:c r="B337" s="36" t="str">
        <x:v>M0</x:v>
      </x:c>
      <x:c r="C337" s="36" t="str">
        <x:v>reference</x:v>
      </x:c>
      <x:c r="D337" s="75" t="n">
        <x:v>0.9635250735903707</x:v>
      </x:c>
      <x:c r="E337" s="75" t="n">
        <x:v>-0.02832864137368381</x:v>
      </x:c>
      <x:c r="F337" s="75" t="n">
        <x:v>0.9356317047194196</x:v>
      </x:c>
      <x:c r="G337" s="75" t="n">
        <x:v>1.1417212574719655</x:v>
      </x:c>
      <x:c r="H337" s="75" t="n">
        <x:v>0.8179004987390676</x:v>
      </x:c>
      <x:c r="I337" s="75" t="n">
        <x:v>0.9796661880378894</x:v>
      </x:c>
      <x:c r="J337" s="75" t="n">
        <x:v>1.0119232196632189</x:v>
      </x:c>
      <x:c r="K337" s="75" t="n">
        <x:v>0.8128783740201092</x:v>
      </x:c>
      <x:c r="L337" s="75" t="n">
        <x:v>0.914279858477599</x:v>
      </x:c>
      <x:c r="M337" s="75" t="n">
        <x:v>0.7563504280216152</x:v>
      </x:c>
      <x:c r="N337" s="75" t="n">
        <x:v>0.972403104207858</x:v>
      </x:c>
      <x:c r="O337" s="66" t="n">
        <x:v>463503.5439456331</x:v>
      </x:c>
      <x:c r="P337" s="66" t="n">
        <x:v>68013.09769557636</x:v>
      </x:c>
      <x:c r="Q337" s="66" t="n">
        <x:v>395490.44625005673</x:v>
      </x:c>
      <x:c r="R337" s="66" t="n">
        <x:v>73340.21540089612</x:v>
      </x:c>
      <x:c r="S337" s="66" t="n">
        <x:v>322150.2308491606</x:v>
      </x:c>
      <x:c r="T337" s="66" t="n">
        <x:v>276019.8656006119</x:v>
      </x:c>
      <x:c r="U337" s="45" t="n">
        <x:v>0.742244515257777</x:v>
      </x:c>
      <x:c r="V337" s="45" t="n">
        <x:v>0.7709547179855731</x:v>
      </x:c>
      <x:c r="W337" s="45" t="n">
        <x:v>0.16092994892245233</x:v>
      </x:c>
      <x:c r="X337" s="66" t="n">
        <x:v>49932382.973595686</x:v>
      </x:c>
      <x:c r="Y337" s="66" t="n">
        <x:v>107.72815790908501</x:v>
      </x:c>
      <x:c r="Z337" s="66" t="n">
        <x:v>3864483.6140659302</x:v>
      </x:c>
      <x:c r="AA337" s="66" t="n">
        <x:v>273987.0670726801</x:v>
      </x:c>
      <x:c r="AB337" s="66" t="n">
        <x:v>24844.31561494727</x:v>
      </x:c>
      <x:c r="AC337" s="66" t="n">
        <x:v>0</x:v>
      </x:c>
      <x:c r="AD337" s="66" t="n">
        <x:v>1941.3233190248488</x:v>
      </x:c>
      <x:c r="AE337" s="66" t="n">
        <x:v>248014.65619942558</x:v>
      </x:c>
      <x:c r="AF337" s="66" t="n">
        <x:v>270989.6853668649</x:v>
      </x:c>
      <x:c r="AG337" s="66" t="n">
        <x:v>5030.180233747</x:v>
      </x:c>
      <x:c r="AH337" s="36" t="n">
        <x:v>0</x:v>
      </x:c>
    </x:row>
    <x:row r="338" ht="21.600000381469727" hidden="0" customHeight="1">
      <x:c r="A338" s="34" t="n">
        <x:v>84</x:v>
      </x:c>
      <x:c r="B338" s="34" t="str">
        <x:v>B1</x:v>
      </x:c>
      <x:c r="C338" s="34" t="str">
        <x:v>reference</x:v>
      </x:c>
      <x:c r="D338" s="74" t="n">
        <x:v>0.9635250735903707</x:v>
      </x:c>
      <x:c r="E338" s="74" t="n">
        <x:v>-0.02832864137368381</x:v>
      </x:c>
      <x:c r="F338" s="74" t="n">
        <x:v>0.9356317047194196</x:v>
      </x:c>
      <x:c r="G338" s="74" t="n">
        <x:v>1.1417212574719655</x:v>
      </x:c>
      <x:c r="H338" s="74" t="n">
        <x:v>0.8179004987390676</x:v>
      </x:c>
      <x:c r="I338" s="74" t="n">
        <x:v>0.9796661880378894</x:v>
      </x:c>
      <x:c r="J338" s="74" t="n">
        <x:v>1.0119232196632189</x:v>
      </x:c>
      <x:c r="K338" s="74" t="n">
        <x:v>0.8128783740201092</x:v>
      </x:c>
      <x:c r="L338" s="74" t="n">
        <x:v>0.914279858477599</x:v>
      </x:c>
      <x:c r="M338" s="74" t="n">
        <x:v>0.7563504280216152</x:v>
      </x:c>
      <x:c r="N338" s="74" t="n">
        <x:v>0.972403104207858</x:v>
      </x:c>
      <x:c r="O338" s="65" t="n">
        <x:v>463503.5439456331</x:v>
      </x:c>
      <x:c r="P338" s="65" t="n">
        <x:v>230064.4561899741</x:v>
      </x:c>
      <x:c r="Q338" s="65" t="n">
        <x:v>233439.08775565895</x:v>
      </x:c>
      <x:c r="R338" s="65" t="n">
        <x:v>73340.21540089612</x:v>
      </x:c>
      <x:c r="S338" s="65" t="n">
        <x:v>160098.87235476283</x:v>
      </x:c>
      <x:c r="T338" s="65" t="n">
        <x:v>192515.3041170557</x:v>
      </x:c>
      <x:c r="U338" s="43" t="n">
        <x:v>0.9117077222533525</x:v>
      </x:c>
      <x:c r="V338" s="43" t="n">
        <x:v>0.9300233603144763</x:v>
      </x:c>
      <x:c r="W338" s="43" t="n">
        <x:v>0.6091778152008501</x:v>
      </x:c>
      <x:c r="X338" s="65" t="n">
        <x:v>29303661.057410996</x:v>
      </x:c>
      <x:c r="Y338" s="65" t="n">
        <x:v>63.222086303720225</x:v>
      </x:c>
      <x:c r="Z338" s="65" t="n">
        <x:v>1234664.3218144937</x:v>
      </x:c>
      <x:c r="AA338" s="65" t="n">
        <x:v>157175.01860463008</x:v>
      </x:c>
      <x:c r="AB338" s="65" t="n">
        <x:v>1423.3584852616602</x:v>
      </x:c>
      <x:c r="AC338" s="65" t="n">
        <x:v>0</x:v>
      </x:c>
      <x:c r="AD338" s="65" t="n">
        <x:v>1512.9253735992656</x:v>
      </x:c>
      <x:c r="AE338" s="65" t="n">
        <x:v>111481.8458097981</x:v>
      </x:c>
      <x:c r="AF338" s="65" t="n">
        <x:v>192515.30411705587</x:v>
      </x:c>
      <x:c r="AG338" s="65" t="n">
        <x:v>0</x:v>
      </x:c>
      <x:c r="AH338" s="34" t="n">
        <x:v>0</x:v>
      </x:c>
    </x:row>
    <x:row r="339" ht="21.600000381469727" hidden="0" customHeight="1">
      <x:c r="A339" s="36" t="n">
        <x:v>84</x:v>
      </x:c>
      <x:c r="B339" s="36" t="str">
        <x:v>P2</x:v>
      </x:c>
      <x:c r="C339" s="36" t="str">
        <x:v>reference</x:v>
      </x:c>
      <x:c r="D339" s="75" t="n">
        <x:v>0.9635250735903707</x:v>
      </x:c>
      <x:c r="E339" s="75" t="n">
        <x:v>-0.02832864137368381</x:v>
      </x:c>
      <x:c r="F339" s="75" t="n">
        <x:v>0.9356317047194196</x:v>
      </x:c>
      <x:c r="G339" s="75" t="n">
        <x:v>1.1417212574719655</x:v>
      </x:c>
      <x:c r="H339" s="75" t="n">
        <x:v>0.8179004987390676</x:v>
      </x:c>
      <x:c r="I339" s="75" t="n">
        <x:v>0.9796661880378894</x:v>
      </x:c>
      <x:c r="J339" s="75" t="n">
        <x:v>1.0119232196632189</x:v>
      </x:c>
      <x:c r="K339" s="75" t="n">
        <x:v>0.8128783740201092</x:v>
      </x:c>
      <x:c r="L339" s="75" t="n">
        <x:v>0.914279858477599</x:v>
      </x:c>
      <x:c r="M339" s="75" t="n">
        <x:v>0.7563504280216152</x:v>
      </x:c>
      <x:c r="N339" s="75" t="n">
        <x:v>0.972403104207858</x:v>
      </x:c>
      <x:c r="O339" s="66" t="n">
        <x:v>463503.5439456331</x:v>
      </x:c>
      <x:c r="P339" s="66" t="n">
        <x:v>333291.3573011968</x:v>
      </x:c>
      <x:c r="Q339" s="66" t="n">
        <x:v>130212.1866444363</x:v>
      </x:c>
      <x:c r="R339" s="66" t="n">
        <x:v>73340.21540089612</x:v>
      </x:c>
      <x:c r="S339" s="66" t="n">
        <x:v>56871.97124354016</x:v>
      </x:c>
      <x:c r="T339" s="66" t="n">
        <x:v>120743.63723292905</x:v>
      </x:c>
      <x:c r="U339" s="45" t="n">
        <x:v>0.9795717863753425</x:v>
      </x:c>
      <x:c r="V339" s="45" t="n">
        <x:v>0.9826991818947002</x:v>
      </x:c>
      <x:c r="W339" s="45" t="n">
        <x:v>0.7957178637534247</x:v>
      </x:c>
      <x:c r="X339" s="66" t="n">
        <x:v>15139912.164517235</x:v>
      </x:c>
      <x:c r="Y339" s="66" t="n">
        <x:v>32.664069913331836</x:v>
      </x:c>
      <x:c r="Z339" s="66" t="n">
        <x:v>756225.6071848004</x:v>
      </x:c>
      <x:c r="AA339" s="66" t="n">
        <x:v>86309.54790829984</x:v>
      </x:c>
      <x:c r="AB339" s="66" t="n">
        <x:v>0</x:v>
      </x:c>
      <x:c r="AC339" s="66" t="n">
        <x:v>4167.931498345339</x:v>
      </x:c>
      <x:c r="AD339" s="66" t="n">
        <x:v>1254.0739222455475</x:v>
      </x:c>
      <x:c r="AE339" s="66" t="n">
        <x:v>62622.3940695932</x:v>
      </x:c>
      <x:c r="AF339" s="66" t="n">
        <x:v>120743.63723292902</x:v>
      </x:c>
      <x:c r="AG339" s="66" t="n">
        <x:v>2.9103830456733704e-11</x:v>
      </x:c>
      <x:c r="AH339" s="36" t="n">
        <x:v>0</x:v>
      </x:c>
    </x:row>
    <x:row r="340" ht="21.600000381469727" hidden="0" customHeight="1">
      <x:c r="A340" s="34" t="n">
        <x:v>84</x:v>
      </x:c>
      <x:c r="B340" s="34" t="str">
        <x:v>H3</x:v>
      </x:c>
      <x:c r="C340" s="34" t="str">
        <x:v>reference</x:v>
      </x:c>
      <x:c r="D340" s="74" t="n">
        <x:v>0.9635250735903707</x:v>
      </x:c>
      <x:c r="E340" s="74" t="n">
        <x:v>-0.02832864137368381</x:v>
      </x:c>
      <x:c r="F340" s="74" t="n">
        <x:v>0.9356317047194196</x:v>
      </x:c>
      <x:c r="G340" s="74" t="n">
        <x:v>1.1417212574719655</x:v>
      </x:c>
      <x:c r="H340" s="74" t="n">
        <x:v>0.8179004987390676</x:v>
      </x:c>
      <x:c r="I340" s="74" t="n">
        <x:v>0.9796661880378894</x:v>
      </x:c>
      <x:c r="J340" s="74" t="n">
        <x:v>1.0119232196632189</x:v>
      </x:c>
      <x:c r="K340" s="74" t="n">
        <x:v>0.8128783740201092</x:v>
      </x:c>
      <x:c r="L340" s="74" t="n">
        <x:v>0.914279858477599</x:v>
      </x:c>
      <x:c r="M340" s="74" t="n">
        <x:v>0.7563504280216152</x:v>
      </x:c>
      <x:c r="N340" s="74" t="n">
        <x:v>0.972403104207858</x:v>
      </x:c>
      <x:c r="O340" s="65" t="n">
        <x:v>463503.5439456331</x:v>
      </x:c>
      <x:c r="P340" s="65" t="n">
        <x:v>345741.85421100224</x:v>
      </x:c>
      <x:c r="Q340" s="65" t="n">
        <x:v>117761.68973463081</x:v>
      </x:c>
      <x:c r="R340" s="65" t="n">
        <x:v>73340.21540089612</x:v>
      </x:c>
      <x:c r="S340" s="65" t="n">
        <x:v>44421.47433373469</x:v>
      </x:c>
      <x:c r="T340" s="65" t="n">
        <x:v>116536.67360407028</x:v>
      </x:c>
      <x:c r="U340" s="43" t="n">
        <x:v>0.9973570512101538</x:v>
      </x:c>
      <x:c r="V340" s="43" t="n">
        <x:v>0.9983353378502874</x:v>
      </x:c>
      <x:c r="W340" s="43" t="n">
        <x:v>0.973570512101538</x:v>
      </x:c>
      <x:c r="X340" s="65" t="n">
        <x:v>12111076.031342877</x:v>
      </x:c>
      <x:c r="Y340" s="65" t="n">
        <x:v>26.12941408871612</x:v>
      </x:c>
      <x:c r="Z340" s="65" t="n">
        <x:v>702283.8283392783</x:v>
      </x:c>
      <x:c r="AA340" s="65" t="n">
        <x:v>74893.12291586708</x:v>
      </x:c>
      <x:c r="AB340" s="65" t="n">
        <x:v>332.51171979286227</x:v>
      </x:c>
      <x:c r="AC340" s="65" t="n">
        <x:v>0</x:v>
      </x:c>
      <x:c r="AD340" s="65" t="n">
        <x:v>1225.0161305605245</x:v>
      </x:c>
      <x:c r="AE340" s="65" t="n">
        <x:v>55971.530965742204</x:v>
      </x:c>
      <x:c r="AF340" s="65" t="n">
        <x:v>116536.67360407031</x:v>
      </x:c>
      <x:c r="AG340" s="65" t="n">
        <x:v>0</x:v>
      </x:c>
      <x:c r="AH340" s="34" t="n">
        <x:v>1</x:v>
      </x:c>
    </x:row>
    <x:row r="341" ht="21.600000381469727" hidden="0" customHeight="1">
      <x:c r="A341" s="36" t="n">
        <x:v>85</x:v>
      </x:c>
      <x:c r="B341" s="36" t="str">
        <x:v>M0</x:v>
      </x:c>
      <x:c r="C341" s="36" t="str">
        <x:v>reference</x:v>
      </x:c>
      <x:c r="D341" s="75" t="n">
        <x:v>1.162493151198503</x:v>
      </x:c>
      <x:c r="E341" s="75" t="n">
        <x:v>-0.006902955816649223</x:v>
      </x:c>
      <x:c r="F341" s="75" t="n">
        <x:v>0.7315873645855971</x:v>
      </x:c>
      <x:c r="G341" s="75" t="n">
        <x:v>1.3000527513567128</x:v>
      </x:c>
      <x:c r="H341" s="75" t="n">
        <x:v>0.9890335609306925</x:v>
      </x:c>
      <x:c r="I341" s="75" t="n">
        <x:v>0.8495964142539004</x:v>
      </x:c>
      <x:c r="J341" s="75" t="n">
        <x:v>0.8006284210897491</x:v>
      </x:c>
      <x:c r="K341" s="75" t="n">
        <x:v>0.8376634027742356</x:v>
      </x:c>
      <x:c r="L341" s="75" t="n">
        <x:v>1.0273930221306744</x:v>
      </x:c>
      <x:c r="M341" s="75" t="n">
        <x:v>1.0755628020202253</x:v>
      </x:c>
      <x:c r="N341" s="75" t="n">
        <x:v>0.8891603601651605</x:v>
      </x:c>
      <x:c r="O341" s="66" t="n">
        <x:v>559217.0978854096</x:v>
      </x:c>
      <x:c r="P341" s="66" t="n">
        <x:v>62529.05883419773</x:v>
      </x:c>
      <x:c r="Q341" s="66" t="n">
        <x:v>496688.0390512119</x:v>
      </x:c>
      <x:c r="R341" s="66" t="n">
        <x:v>100466.59098935609</x:v>
      </x:c>
      <x:c r="S341" s="66" t="n">
        <x:v>396221.44806185586</x:v>
      </x:c>
      <x:c r="T341" s="66" t="n">
        <x:v>285691.0984070591</x:v>
      </x:c>
      <x:c r="U341" s="45" t="n">
        <x:v>0.6226922577260171</x:v>
      </x:c>
      <x:c r="V341" s="45" t="n">
        <x:v>0.6454043866472091</x:v>
      </x:c>
      <x:c r="W341" s="45" t="n">
        <x:v>0.10786103406447528</x:v>
      </x:c>
      <x:c r="X341" s="66" t="n">
        <x:v>65527719.74178159</x:v>
      </x:c>
      <x:c r="Y341" s="66" t="n">
        <x:v>117.17760417119618</x:v>
      </x:c>
      <x:c r="Z341" s="66" t="n">
        <x:v>7304494.120478154</x:v>
      </x:c>
      <x:c r="AA341" s="66" t="n">
        <x:v>350241.6182176139</x:v>
      </x:c>
      <x:c r="AB341" s="66" t="n">
        <x:v>67046.82593541508</x:v>
      </x:c>
      <x:c r="AC341" s="66" t="n">
        <x:v>3707.0056815183407</x:v>
      </x:c>
      <x:c r="AD341" s="66" t="n">
        <x:v>2399.979398161543</x:v>
      </x:c>
      <x:c r="AE341" s="66" t="n">
        <x:v>208867.64328878914</x:v>
      </x:c>
      <x:c r="AF341" s="66" t="n">
        <x:v>285691.098407059</x:v>
      </x:c>
      <x:c r="AG341" s="66" t="n">
        <x:v>1.1641532182693481e-10</x:v>
      </x:c>
      <x:c r="AH341" s="36" t="n">
        <x:v>0</x:v>
      </x:c>
    </x:row>
    <x:row r="342" ht="21.600000381469727" hidden="0" customHeight="1">
      <x:c r="A342" s="34" t="n">
        <x:v>85</x:v>
      </x:c>
      <x:c r="B342" s="34" t="str">
        <x:v>B1</x:v>
      </x:c>
      <x:c r="C342" s="34" t="str">
        <x:v>reference</x:v>
      </x:c>
      <x:c r="D342" s="74" t="n">
        <x:v>1.162493151198503</x:v>
      </x:c>
      <x:c r="E342" s="74" t="n">
        <x:v>-0.006902955816649223</x:v>
      </x:c>
      <x:c r="F342" s="74" t="n">
        <x:v>0.7315873645855971</x:v>
      </x:c>
      <x:c r="G342" s="74" t="n">
        <x:v>1.3000527513567128</x:v>
      </x:c>
      <x:c r="H342" s="74" t="n">
        <x:v>0.9890335609306925</x:v>
      </x:c>
      <x:c r="I342" s="74" t="n">
        <x:v>0.8495964142539004</x:v>
      </x:c>
      <x:c r="J342" s="74" t="n">
        <x:v>0.8006284210897491</x:v>
      </x:c>
      <x:c r="K342" s="74" t="n">
        <x:v>0.8376634027742356</x:v>
      </x:c>
      <x:c r="L342" s="74" t="n">
        <x:v>1.0273930221306744</x:v>
      </x:c>
      <x:c r="M342" s="74" t="n">
        <x:v>1.0755628020202253</x:v>
      </x:c>
      <x:c r="N342" s="74" t="n">
        <x:v>0.8891603601651605</x:v>
      </x:c>
      <x:c r="O342" s="65" t="n">
        <x:v>559217.0978854096</x:v>
      </x:c>
      <x:c r="P342" s="65" t="n">
        <x:v>211514.44516192665</x:v>
      </x:c>
      <x:c r="Q342" s="65" t="n">
        <x:v>347702.652723483</x:v>
      </x:c>
      <x:c r="R342" s="65" t="n">
        <x:v>100466.59098935609</x:v>
      </x:c>
      <x:c r="S342" s="65" t="n">
        <x:v>247236.0617341269</x:v>
      </x:c>
      <x:c r="T342" s="65" t="n">
        <x:v>203712.62745195912</x:v>
      </x:c>
      <x:c r="U342" s="43" t="n">
        <x:v>0.7425149806470526</x:v>
      </x:c>
      <x:c r="V342" s="43" t="n">
        <x:v>0.7631672687323567</x:v>
      </x:c>
      <x:c r="W342" s="43" t="n">
        <x:v>0.3925141176324906</x:v>
      </x:c>
      <x:c r="X342" s="65" t="n">
        <x:v>47008425.14136142</x:v>
      </x:c>
      <x:c r="Y342" s="65" t="n">
        <x:v>84.06113711314674</x:v>
      </x:c>
      <x:c r="Z342" s="65" t="n">
        <x:v>3588751.835303326</x:v>
      </x:c>
      <x:c r="AA342" s="65" t="n">
        <x:v>251240.51828926633</x:v>
      </x:c>
      <x:c r="AB342" s="65" t="n">
        <x:v>29354.72832934048</x:v>
      </x:c>
      <x:c r="AC342" s="65" t="n">
        <x:v>5783.302497606475</x:v>
      </x:c>
      <x:c r="AD342" s="65" t="n">
        <x:v>2013.9382407257744</x:v>
      </x:c>
      <x:c r="AE342" s="65" t="n">
        <x:v>123344.26417031739</x:v>
      </x:c>
      <x:c r="AF342" s="65" t="n">
        <x:v>203712.627451959</x:v>
      </x:c>
      <x:c r="AG342" s="65" t="n">
        <x:v>1.1641532182693481e-10</x:v>
      </x:c>
      <x:c r="AH342" s="34" t="n">
        <x:v>0</x:v>
      </x:c>
    </x:row>
    <x:row r="343" ht="21.600000381469727" hidden="0" customHeight="1">
      <x:c r="A343" s="36" t="n">
        <x:v>85</x:v>
      </x:c>
      <x:c r="B343" s="36" t="str">
        <x:v>P2</x:v>
      </x:c>
      <x:c r="C343" s="36" t="str">
        <x:v>reference</x:v>
      </x:c>
      <x:c r="D343" s="75" t="n">
        <x:v>1.162493151198503</x:v>
      </x:c>
      <x:c r="E343" s="75" t="n">
        <x:v>-0.006902955816649223</x:v>
      </x:c>
      <x:c r="F343" s="75" t="n">
        <x:v>0.7315873645855971</x:v>
      </x:c>
      <x:c r="G343" s="75" t="n">
        <x:v>1.3000527513567128</x:v>
      </x:c>
      <x:c r="H343" s="75" t="n">
        <x:v>0.9890335609306925</x:v>
      </x:c>
      <x:c r="I343" s="75" t="n">
        <x:v>0.8495964142539004</x:v>
      </x:c>
      <x:c r="J343" s="75" t="n">
        <x:v>0.8006284210897491</x:v>
      </x:c>
      <x:c r="K343" s="75" t="n">
        <x:v>0.8376634027742356</x:v>
      </x:c>
      <x:c r="L343" s="75" t="n">
        <x:v>1.0273930221306744</x:v>
      </x:c>
      <x:c r="M343" s="75" t="n">
        <x:v>1.0755628020202253</x:v>
      </x:c>
      <x:c r="N343" s="75" t="n">
        <x:v>0.8891603601651605</x:v>
      </x:c>
      <x:c r="O343" s="66" t="n">
        <x:v>559217.0978854096</x:v>
      </x:c>
      <x:c r="P343" s="66" t="n">
        <x:v>306418.6641997005</x:v>
      </x:c>
      <x:c r="Q343" s="66" t="n">
        <x:v>252798.43368570914</x:v>
      </x:c>
      <x:c r="R343" s="66" t="n">
        <x:v>100466.59098935609</x:v>
      </x:c>
      <x:c r="S343" s="66" t="n">
        <x:v>152331.84269635304</x:v>
      </x:c>
      <x:c r="T343" s="66" t="n">
        <x:v>125649.50846026377</x:v>
      </x:c>
      <x:c r="U343" s="45" t="n">
        <x:v>0.7726304762385865</x:v>
      </x:c>
      <x:c r="V343" s="45" t="n">
        <x:v>0.8112608789903518</x:v>
      </x:c>
      <x:c r="W343" s="45" t="n">
        <x:v>0.3693208059340486</x:v>
      </x:c>
      <x:c r="X343" s="66" t="n">
        <x:v>33394229.671793483</x:v>
      </x:c>
      <x:c r="Y343" s="66" t="n">
        <x:v>59.7160383651867</x:v>
      </x:c>
      <x:c r="Z343" s="66" t="n">
        <x:v>1469546.2620327102</x:v>
      </x:c>
      <x:c r="AA343" s="66" t="n">
        <x:v>190601.60354074865</x:v>
      </x:c>
      <x:c r="AB343" s="66" t="n">
        <x:v>1062.4308249853696</x:v>
      </x:c>
      <x:c r="AC343" s="66" t="n">
        <x:v>33145.72594998783</x:v>
      </x:c>
      <x:c r="AD343" s="66" t="n">
        <x:v>1780.6800868257897</x:v>
      </x:c>
      <x:c r="AE343" s="66" t="n">
        <x:v>54042.1575770824</x:v>
      </x:c>
      <x:c r="AF343" s="66" t="n">
        <x:v>125649.50846026384</x:v>
      </x:c>
      <x:c r="AG343" s="66" t="n">
        <x:v>0</x:v>
      </x:c>
      <x:c r="AH343" s="36" t="n">
        <x:v>0</x:v>
      </x:c>
    </x:row>
    <x:row r="344" ht="21.600000381469727" hidden="0" customHeight="1">
      <x:c r="A344" s="34" t="n">
        <x:v>85</x:v>
      </x:c>
      <x:c r="B344" s="34" t="str">
        <x:v>H3</x:v>
      </x:c>
      <x:c r="C344" s="34" t="str">
        <x:v>reference</x:v>
      </x:c>
      <x:c r="D344" s="74" t="n">
        <x:v>1.162493151198503</x:v>
      </x:c>
      <x:c r="E344" s="74" t="n">
        <x:v>-0.006902955816649223</x:v>
      </x:c>
      <x:c r="F344" s="74" t="n">
        <x:v>0.7315873645855971</x:v>
      </x:c>
      <x:c r="G344" s="74" t="n">
        <x:v>1.3000527513567128</x:v>
      </x:c>
      <x:c r="H344" s="74" t="n">
        <x:v>0.9890335609306925</x:v>
      </x:c>
      <x:c r="I344" s="74" t="n">
        <x:v>0.8495964142539004</x:v>
      </x:c>
      <x:c r="J344" s="74" t="n">
        <x:v>0.8006284210897491</x:v>
      </x:c>
      <x:c r="K344" s="74" t="n">
        <x:v>0.8376634027742356</x:v>
      </x:c>
      <x:c r="L344" s="74" t="n">
        <x:v>1.0273930221306744</x:v>
      </x:c>
      <x:c r="M344" s="74" t="n">
        <x:v>1.0755628020202253</x:v>
      </x:c>
      <x:c r="N344" s="74" t="n">
        <x:v>0.8891603601651605</x:v>
      </x:c>
      <x:c r="O344" s="65" t="n">
        <x:v>559217.0978854096</x:v>
      </x:c>
      <x:c r="P344" s="65" t="n">
        <x:v>317865.39324025635</x:v>
      </x:c>
      <x:c r="Q344" s="65" t="n">
        <x:v>241351.7046451533</x:v>
      </x:c>
      <x:c r="R344" s="65" t="n">
        <x:v>100466.59098935609</x:v>
      </x:c>
      <x:c r="S344" s="65" t="n">
        <x:v>140885.11365579723</x:v>
      </x:c>
      <x:c r="T344" s="65" t="n">
        <x:v>208843.7561071147</x:v>
      </x:c>
      <x:c r="U344" s="43" t="n">
        <x:v>0.941868822214195</x:v>
      </x:c>
      <x:c r="V344" s="43" t="n">
        <x:v>0.9426105766406203</x:v>
      </x:c>
      <x:c r="W344" s="43" t="n">
        <x:v>0.640317593174</x:v>
      </x:c>
      <x:c r="X344" s="65" t="n">
        <x:v>26021737.20453979</x:v>
      </x:c>
      <x:c r="Y344" s="65" t="n">
        <x:v>46.53244205682703</x:v>
      </x:c>
      <x:c r="Z344" s="65" t="n">
        <x:v>3094852.6878919485</x:v>
      </x:c>
      <x:c r="AA344" s="65" t="n">
        <x:v>154580.7171058179</x:v>
      </x:c>
      <x:c r="AB344" s="65" t="n">
        <x:v>17842.5387052058</x:v>
      </x:c>
      <x:c r="AC344" s="65" t="n">
        <x:v>16523.1210698096</x:v>
      </x:c>
      <x:c r="AD344" s="65" t="n">
        <x:v>1754.4953124719589</x:v>
      </x:c>
      <x:c r="AE344" s="65" t="n">
        <x:v>74402.70965014255</x:v>
      </x:c>
      <x:c r="AF344" s="65" t="n">
        <x:v>208843.7561071144</x:v>
      </x:c>
      <x:c r="AG344" s="65" t="n">
        <x:v>2.9103830456733704e-10</x:v>
      </x:c>
      <x:c r="AH344" s="34" t="n">
        <x:v>0</x:v>
      </x:c>
    </x:row>
    <x:row r="345" ht="15" hidden="0" customHeight="1">
      <x:c r="A345" s="36" t="n">
        <x:v>86</x:v>
      </x:c>
      <x:c r="B345" s="36" t="str">
        <x:v>M0</x:v>
      </x:c>
      <x:c r="C345" s="36" t="str">
        <x:v>slow</x:v>
      </x:c>
      <x:c r="D345" s="75" t="n">
        <x:v>1.1795310588471448</x:v>
      </x:c>
      <x:c r="E345" s="75" t="n">
        <x:v>0.005084906165418124</x:v>
      </x:c>
      <x:c r="F345" s="75" t="n">
        <x:v>0.7989210396027941</x:v>
      </x:c>
      <x:c r="G345" s="75" t="n">
        <x:v>1.1294928705298444</x:v>
      </x:c>
      <x:c r="H345" s="75" t="n">
        <x:v>1.0303245768619527</x:v>
      </x:c>
      <x:c r="I345" s="75" t="n">
        <x:v>0.9142570133630219</x:v>
      </x:c>
      <x:c r="J345" s="75" t="n">
        <x:v>0.9039309348397397</x:v>
      </x:c>
      <x:c r="K345" s="75" t="n">
        <x:v>0.9364562438777091</x:v>
      </x:c>
      <x:c r="L345" s="75" t="n">
        <x:v>0.9390485786844289</x:v>
      </x:c>
      <x:c r="M345" s="75" t="n">
        <x:v>0.8144852521321415</x:v>
      </x:c>
      <x:c r="N345" s="75" t="n">
        <x:v>0.9399098248983088</x:v>
      </x:c>
      <x:c r="O345" s="66" t="n">
        <x:v>567413.1799522073</x:v>
      </x:c>
      <x:c r="P345" s="66" t="n">
        <x:v>68272.22866799761</x:v>
      </x:c>
      <x:c r="Q345" s="66" t="n">
        <x:v>499140.9512842096</x:v>
      </x:c>
      <x:c r="R345" s="66" t="n">
        <x:v>108741.13549784204</x:v>
      </x:c>
      <x:c r="S345" s="66" t="n">
        <x:v>390399.8157863675</x:v>
      </x:c>
      <x:c r="T345" s="66" t="n">
        <x:v>296500.53189822333</x:v>
      </x:c>
      <x:c r="U345" s="45" t="n">
        <x:v>0.6428697348851599</x:v>
      </x:c>
      <x:c r="V345" s="45" t="n">
        <x:v>0.6344557395997811</x:v>
      </x:c>
      <x:c r="W345" s="45" t="n">
        <x:v>0.06334167720857789</x:v>
      </x:c>
      <x:c r="X345" s="66" t="n">
        <x:v>64449671.18840805</x:v>
      </x:c>
      <x:c r="Y345" s="66" t="n">
        <x:v>113.58507956025376</x:v>
      </x:c>
      <x:c r="Z345" s="66" t="n">
        <x:v>4649993.425375423</x:v>
      </x:c>
      <x:c r="AA345" s="66" t="n">
        <x:v>353956.3911225342</x:v>
      </x:c>
      <x:c r="AB345" s="66" t="n">
        <x:v>36604.00972753515</x:v>
      </x:c>
      <x:c r="AC345" s="66" t="n">
        <x:v>894.8661365172486</x:v>
      </x:c>
      <x:c r="AD345" s="66" t="n">
        <x:v>3150.51183769151</x:v>
      </x:c>
      <x:c r="AE345" s="66" t="n">
        <x:v>269431.12894115207</x:v>
      </x:c>
      <x:c r="AF345" s="66" t="n">
        <x:v>296500.53189822315</x:v>
      </x:c>
      <x:c r="AG345" s="66" t="n">
        <x:v>1.7462298274040222e-10</x:v>
      </x:c>
      <x:c r="AH345" s="36" t="n">
        <x:v>0</x:v>
      </x:c>
    </x:row>
    <x:row r="346" ht="15" hidden="0" customHeight="1">
      <x:c r="A346" s="34" t="n">
        <x:v>86</x:v>
      </x:c>
      <x:c r="B346" s="34" t="str">
        <x:v>B1</x:v>
      </x:c>
      <x:c r="C346" s="34" t="str">
        <x:v>slow</x:v>
      </x:c>
      <x:c r="D346" s="74" t="n">
        <x:v>1.1795310588471448</x:v>
      </x:c>
      <x:c r="E346" s="74" t="n">
        <x:v>0.005084906165418124</x:v>
      </x:c>
      <x:c r="F346" s="74" t="n">
        <x:v>0.7989210396027941</x:v>
      </x:c>
      <x:c r="G346" s="74" t="n">
        <x:v>1.1294928705298444</x:v>
      </x:c>
      <x:c r="H346" s="74" t="n">
        <x:v>1.0303245768619527</x:v>
      </x:c>
      <x:c r="I346" s="74" t="n">
        <x:v>0.9142570133630219</x:v>
      </x:c>
      <x:c r="J346" s="74" t="n">
        <x:v>0.9039309348397397</x:v>
      </x:c>
      <x:c r="K346" s="74" t="n">
        <x:v>0.9364562438777091</x:v>
      </x:c>
      <x:c r="L346" s="74" t="n">
        <x:v>0.9390485786844289</x:v>
      </x:c>
      <x:c r="M346" s="74" t="n">
        <x:v>0.8144852521321415</x:v>
      </x:c>
      <x:c r="N346" s="74" t="n">
        <x:v>0.9399098248983088</x:v>
      </x:c>
      <x:c r="O346" s="65" t="n">
        <x:v>567413.1799522073</x:v>
      </x:c>
      <x:c r="P346" s="65" t="n">
        <x:v>230941.98878985393</x:v>
      </x:c>
      <x:c r="Q346" s="65" t="n">
        <x:v>336471.19116235327</x:v>
      </x:c>
      <x:c r="R346" s="65" t="n">
        <x:v>108741.13549784204</x:v>
      </x:c>
      <x:c r="S346" s="65" t="n">
        <x:v>227730.05566451125</x:v>
      </x:c>
      <x:c r="T346" s="65" t="n">
        <x:v>202753.81900497805</x:v>
      </x:c>
      <x:c r="U346" s="43" t="n">
        <x:v>0.7643386215162677</x:v>
      </x:c>
      <x:c r="V346" s="43" t="n">
        <x:v>0.7540696210143552</x:v>
      </x:c>
      <x:c r="W346" s="43" t="n">
        <x:v>0.21985121099341487</x:v>
      </x:c>
      <x:c r="X346" s="65" t="n">
        <x:v>44391900.032810524</x:v>
      </x:c>
      <x:c r="Y346" s="65" t="n">
        <x:v>78.23558140921156</x:v>
      </x:c>
      <x:c r="Z346" s="65" t="n">
        <x:v>1938164.1584732</x:v>
      </x:c>
      <x:c r="AA346" s="65" t="n">
        <x:v>238982.88723089147</x:v>
      </x:c>
      <x:c r="AB346" s="65" t="n">
        <x:v>9641.294760119405</x:v>
      </x:c>
      <x:c r="AC346" s="65" t="n">
        <x:v>5277.678411332119</x:v>
      </x:c>
      <x:c r="AD346" s="65" t="n">
        <x:v>2609.868968351472</x:v>
      </x:c>
      <x:c r="AE346" s="65" t="n">
        <x:v>121545.6101337642</x:v>
      </x:c>
      <x:c r="AF346" s="65" t="n">
        <x:v>202753.81900497794</x:v>
      </x:c>
      <x:c r="AG346" s="65" t="n">
        <x:v>1.1641532182693481e-10</x:v>
      </x:c>
      <x:c r="AH346" s="34" t="n">
        <x:v>0</x:v>
      </x:c>
    </x:row>
    <x:row r="347" ht="15" hidden="0" customHeight="1">
      <x:c r="A347" s="36" t="n">
        <x:v>86</x:v>
      </x:c>
      <x:c r="B347" s="36" t="str">
        <x:v>P2</x:v>
      </x:c>
      <x:c r="C347" s="36" t="str">
        <x:v>slow</x:v>
      </x:c>
      <x:c r="D347" s="75" t="n">
        <x:v>1.1795310588471448</x:v>
      </x:c>
      <x:c r="E347" s="75" t="n">
        <x:v>0.005084906165418124</x:v>
      </x:c>
      <x:c r="F347" s="75" t="n">
        <x:v>0.7989210396027941</x:v>
      </x:c>
      <x:c r="G347" s="75" t="n">
        <x:v>1.1294928705298444</x:v>
      </x:c>
      <x:c r="H347" s="75" t="n">
        <x:v>1.0303245768619527</x:v>
      </x:c>
      <x:c r="I347" s="75" t="n">
        <x:v>0.9142570133630219</x:v>
      </x:c>
      <x:c r="J347" s="75" t="n">
        <x:v>0.9039309348397397</x:v>
      </x:c>
      <x:c r="K347" s="75" t="n">
        <x:v>0.9364562438777091</x:v>
      </x:c>
      <x:c r="L347" s="75" t="n">
        <x:v>0.9390485786844289</x:v>
      </x:c>
      <x:c r="M347" s="75" t="n">
        <x:v>0.8144852521321415</x:v>
      </x:c>
      <x:c r="N347" s="75" t="n">
        <x:v>0.9399098248983088</x:v>
      </x:c>
      <x:c r="O347" s="66" t="n">
        <x:v>567413.1799522073</x:v>
      </x:c>
      <x:c r="P347" s="66" t="n">
        <x:v>334563.4296435035</x:v>
      </x:c>
      <x:c r="Q347" s="66" t="n">
        <x:v>232849.75030870375</x:v>
      </x:c>
      <x:c r="R347" s="66" t="n">
        <x:v>108741.13549784204</x:v>
      </x:c>
      <x:c r="S347" s="66" t="n">
        <x:v>124108.6148108617</x:v>
      </x:c>
      <x:c r="T347" s="66" t="n">
        <x:v>129671.11687096203</x:v>
      </x:c>
      <x:c r="U347" s="45" t="n">
        <x:v>0.81815961087398</x:v>
      </x:c>
      <x:c r="V347" s="45" t="n">
        <x:v>0.811486800947788</x:v>
      </x:c>
      <x:c r="W347" s="45" t="n">
        <x:v>0.32305540564633517</x:v>
      </x:c>
      <x:c r="X347" s="66" t="n">
        <x:v>29804143.411613286</x:v>
      </x:c>
      <x:c r="Y347" s="66" t="n">
        <x:v>52.526350223524354</x:v>
      </x:c>
      <x:c r="Z347" s="66" t="n">
        <x:v>815181.6855670362</x:v>
      </x:c>
      <x:c r="AA347" s="66" t="n">
        <x:v>169882.55542172532</x:v>
      </x:c>
      <x:c r="AB347" s="66" t="n">
        <x:v>489.7131751420393</x:v>
      </x:c>
      <x:c r="AC347" s="66" t="n">
        <x:v>27.95951275716449</x:v>
      </x:c>
      <x:c r="AD347" s="66" t="n">
        <x:v>2281.865718134857</x:v>
      </x:c>
      <x:c r="AE347" s="66" t="n">
        <x:v>56358.150528893995</x:v>
      </x:c>
      <x:c r="AF347" s="66" t="n">
        <x:v>129671.11687096184</x:v>
      </x:c>
      <x:c r="AG347" s="66" t="n">
        <x:v>1.8917489796876907e-10</x:v>
      </x:c>
      <x:c r="AH347" s="36" t="n">
        <x:v>0</x:v>
      </x:c>
    </x:row>
    <x:row r="348" ht="15" hidden="0" customHeight="1">
      <x:c r="A348" s="34" t="n">
        <x:v>86</x:v>
      </x:c>
      <x:c r="B348" s="34" t="str">
        <x:v>H3</x:v>
      </x:c>
      <x:c r="C348" s="34" t="str">
        <x:v>slow</x:v>
      </x:c>
      <x:c r="D348" s="74" t="n">
        <x:v>1.1795310588471448</x:v>
      </x:c>
      <x:c r="E348" s="74" t="n">
        <x:v>0.005084906165418124</x:v>
      </x:c>
      <x:c r="F348" s="74" t="n">
        <x:v>0.7989210396027941</x:v>
      </x:c>
      <x:c r="G348" s="74" t="n">
        <x:v>1.1294928705298444</x:v>
      </x:c>
      <x:c r="H348" s="74" t="n">
        <x:v>1.0303245768619527</x:v>
      </x:c>
      <x:c r="I348" s="74" t="n">
        <x:v>0.9142570133630219</x:v>
      </x:c>
      <x:c r="J348" s="74" t="n">
        <x:v>0.9039309348397397</x:v>
      </x:c>
      <x:c r="K348" s="74" t="n">
        <x:v>0.9364562438777091</x:v>
      </x:c>
      <x:c r="L348" s="74" t="n">
        <x:v>0.9390485786844289</x:v>
      </x:c>
      <x:c r="M348" s="74" t="n">
        <x:v>0.8144852521321415</x:v>
      </x:c>
      <x:c r="N348" s="74" t="n">
        <x:v>0.9399098248983088</x:v>
      </x:c>
      <x:c r="O348" s="65" t="n">
        <x:v>567413.1799522073</x:v>
      </x:c>
      <x:c r="P348" s="65" t="n">
        <x:v>347061.608236404</x:v>
      </x:c>
      <x:c r="Q348" s="65" t="n">
        <x:v>220351.57171580323</x:v>
      </x:c>
      <x:c r="R348" s="65" t="n">
        <x:v>108741.13549784204</x:v>
      </x:c>
      <x:c r="S348" s="65" t="n">
        <x:v>111610.43621796116</x:v>
      </x:c>
      <x:c r="T348" s="65" t="n">
        <x:v>120861.2592290635</x:v>
      </x:c>
      <x:c r="U348" s="43" t="n">
        <x:v>0.8246598492916225</x:v>
      </x:c>
      <x:c r="V348" s="43" t="n">
        <x:v>0.8185527983621401</x:v>
      </x:c>
      <x:c r="W348" s="43" t="n">
        <x:v>0.3360435851208789</x:v>
      </x:c>
      <x:c r="X348" s="65" t="n">
        <x:v>26065928.647476725</x:v>
      </x:c>
      <x:c r="Y348" s="65" t="n">
        <x:v>45.938179739977556</x:v>
      </x:c>
      <x:c r="Z348" s="65" t="n">
        <x:v>855689.054883381</x:v>
      </x:c>
      <x:c r="AA348" s="65" t="n">
        <x:v>144103.57463809478</x:v>
      </x:c>
      <x:c r="AB348" s="65" t="n">
        <x:v>3169.7193766435894</x:v>
      </x:c>
      <x:c r="AC348" s="65" t="n">
        <x:v>1482.3161843463201</x:v>
      </x:c>
      <x:c r="AD348" s="65" t="n">
        <x:v>2244.829156331568</x:v>
      </x:c>
      <x:c r="AE348" s="65" t="n">
        <x:v>16123.038570906414</x:v>
      </x:c>
      <x:c r="AF348" s="65" t="n">
        <x:v>120861.25922906357</x:v>
      </x:c>
      <x:c r="AG348" s="65" t="n">
        <x:v>0</x:v>
      </x:c>
      <x:c r="AH348" s="34" t="n">
        <x:v>0</x:v>
      </x:c>
    </x:row>
    <x:row r="349" ht="15" hidden="0" customHeight="1">
      <x:c r="A349" s="36" t="n">
        <x:v>87</x:v>
      </x:c>
      <x:c r="B349" s="36" t="str">
        <x:v>M0</x:v>
      </x:c>
      <x:c r="C349" s="36" t="str">
        <x:v>fast</x:v>
      </x:c>
      <x:c r="D349" s="75" t="n">
        <x:v>0.9089265611902876</x:v>
      </x:c>
      <x:c r="E349" s="75" t="n">
        <x:v>0.09934492806597764</x:v>
      </x:c>
      <x:c r="F349" s="75" t="n">
        <x:v>0.7895827481588991</x:v>
      </x:c>
      <x:c r="G349" s="75" t="n">
        <x:v>0.9125005726278174</x:v>
      </x:c>
      <x:c r="H349" s="75" t="n">
        <x:v>0.9529744111976406</x:v>
      </x:c>
      <x:c r="I349" s="75" t="n">
        <x:v>1.0080469210022365</x:v>
      </x:c>
      <x:c r="J349" s="75" t="n">
        <x:v>1.0071869348197817</x:v>
      </x:c>
      <x:c r="K349" s="75" t="n">
        <x:v>0.9916035374277175</x:v>
      </x:c>
      <x:c r="L349" s="75" t="n">
        <x:v>0.8067786082444708</x:v>
      </x:c>
      <x:c r="M349" s="75" t="n">
        <x:v>1.0518798864411865</x:v>
      </x:c>
      <x:c r="N349" s="75" t="n">
        <x:v>0.9538464899824559</x:v>
      </x:c>
      <x:c r="O349" s="66" t="n">
        <x:v>437238.9404752756</x:v>
      </x:c>
      <x:c r="P349" s="66" t="n">
        <x:v>45930.42866007936</x:v>
      </x:c>
      <x:c r="Q349" s="66" t="n">
        <x:v>391308.51181519625</x:v>
      </x:c>
      <x:c r="R349" s="66" t="n">
        <x:v>125008.22060927142</x:v>
      </x:c>
      <x:c r="S349" s="66" t="n">
        <x:v>266300.2912059248</x:v>
      </x:c>
      <x:c r="T349" s="66" t="n">
        <x:v>277494.23487022956</x:v>
      </x:c>
      <x:c r="U349" s="45" t="n">
        <x:v>0.7396977569718483</x:v>
      </x:c>
      <x:c r="V349" s="45" t="n">
        <x:v>0.7785846550178919</x:v>
      </x:c>
      <x:c r="W349" s="45" t="n">
        <x:v>0.12218258069979258</x:v>
      </x:c>
      <x:c r="X349" s="66" t="n">
        <x:v>48173750.944146916</x:v>
      </x:c>
      <x:c r="Y349" s="66" t="n">
        <x:v>110.17717427405343</x:v>
      </x:c>
      <x:c r="Z349" s="66" t="n">
        <x:v>3225100.5379379033</x:v>
      </x:c>
      <x:c r="AA349" s="66" t="n">
        <x:v>275231.80030670384</x:v>
      </x:c>
      <x:c r="AB349" s="66" t="n">
        <x:v>16434.24175156015</x:v>
      </x:c>
      <x:c r="AC349" s="66" t="n">
        <x:v>0</x:v>
      </x:c>
      <x:c r="AD349" s="66" t="n">
        <x:v>1899.375353161689</x:v>
      </x:c>
      <x:c r="AE349" s="66" t="n">
        <x:v>195081.89813574534</x:v>
      </x:c>
      <x:c r="AF349" s="66" t="n">
        <x:v>277494.2348702298</x:v>
      </x:c>
      <x:c r="AG349" s="66" t="n">
        <x:v>0</x:v>
      </x:c>
      <x:c r="AH349" s="36" t="n">
        <x:v>0</x:v>
      </x:c>
    </x:row>
    <x:row r="350" ht="15" hidden="0" customHeight="1">
      <x:c r="A350" s="34" t="n">
        <x:v>87</x:v>
      </x:c>
      <x:c r="B350" s="34" t="str">
        <x:v>B1</x:v>
      </x:c>
      <x:c r="C350" s="34" t="str">
        <x:v>fast</x:v>
      </x:c>
      <x:c r="D350" s="74" t="n">
        <x:v>0.9089265611902876</x:v>
      </x:c>
      <x:c r="E350" s="74" t="n">
        <x:v>0.09934492806597764</x:v>
      </x:c>
      <x:c r="F350" s="74" t="n">
        <x:v>0.7895827481588991</x:v>
      </x:c>
      <x:c r="G350" s="74" t="n">
        <x:v>0.9125005726278174</x:v>
      </x:c>
      <x:c r="H350" s="74" t="n">
        <x:v>0.9529744111976406</x:v>
      </x:c>
      <x:c r="I350" s="74" t="n">
        <x:v>1.0080469210022365</x:v>
      </x:c>
      <x:c r="J350" s="74" t="n">
        <x:v>1.0071869348197817</x:v>
      </x:c>
      <x:c r="K350" s="74" t="n">
        <x:v>0.9916035374277175</x:v>
      </x:c>
      <x:c r="L350" s="74" t="n">
        <x:v>0.8067786082444708</x:v>
      </x:c>
      <x:c r="M350" s="74" t="n">
        <x:v>1.0518798864411865</x:v>
      </x:c>
      <x:c r="N350" s="74" t="n">
        <x:v>0.9538464899824559</x:v>
      </x:c>
      <x:c r="O350" s="65" t="n">
        <x:v>437238.9404752756</x:v>
      </x:c>
      <x:c r="P350" s="65" t="n">
        <x:v>155369.39328868693</x:v>
      </x:c>
      <x:c r="Q350" s="65" t="n">
        <x:v>281869.5471865887</x:v>
      </x:c>
      <x:c r="R350" s="65" t="n">
        <x:v>125008.22060927142</x:v>
      </x:c>
      <x:c r="S350" s="65" t="n">
        <x:v>156861.3265773173</x:v>
      </x:c>
      <x:c r="T350" s="65" t="n">
        <x:v>200639.68187001866</x:v>
      </x:c>
      <x:c r="U350" s="43" t="n">
        <x:v>0.814220880628167</x:v>
      </x:c>
      <x:c r="V350" s="43" t="n">
        <x:v>0.8579184221492652</x:v>
      </x:c>
      <x:c r="W350" s="43" t="n">
        <x:v>0.42067704158942326</x:v>
      </x:c>
      <x:c r="X350" s="65" t="n">
        <x:v>35406430.15969998</x:v>
      </x:c>
      <x:c r="Y350" s="65" t="n">
        <x:v>80.97730298498445</x:v>
      </x:c>
      <x:c r="Z350" s="65" t="n">
        <x:v>1300499.4539509772</x:v>
      </x:c>
      <x:c r="AA350" s="65" t="n">
        <x:v>201707.1189902921</x:v>
      </x:c>
      <x:c r="AB350" s="65" t="n">
        <x:v>2757.2056117596794</x:v>
      </x:c>
      <x:c r="AC350" s="65" t="n">
        <x:v>0</x:v>
      </x:c>
      <x:c r="AD350" s="65" t="n">
        <x:v>1649.3640677636831</x:v>
      </x:c>
      <x:c r="AE350" s="65" t="n">
        <x:v>105556.01089220471</x:v>
      </x:c>
      <x:c r="AF350" s="65" t="n">
        <x:v>200639.68187001874</x:v>
      </x:c>
      <x:c r="AG350" s="65" t="n">
        <x:v>0</x:v>
      </x:c>
      <x:c r="AH350" s="34" t="n">
        <x:v>0</x:v>
      </x:c>
    </x:row>
    <x:row r="351" ht="15" hidden="0" customHeight="1">
      <x:c r="A351" s="36" t="n">
        <x:v>87</x:v>
      </x:c>
      <x:c r="B351" s="36" t="str">
        <x:v>P2</x:v>
      </x:c>
      <x:c r="C351" s="36" t="str">
        <x:v>fast</x:v>
      </x:c>
      <x:c r="D351" s="75" t="n">
        <x:v>0.9089265611902876</x:v>
      </x:c>
      <x:c r="E351" s="75" t="n">
        <x:v>0.09934492806597764</x:v>
      </x:c>
      <x:c r="F351" s="75" t="n">
        <x:v>0.7895827481588991</x:v>
      </x:c>
      <x:c r="G351" s="75" t="n">
        <x:v>0.9125005726278174</x:v>
      </x:c>
      <x:c r="H351" s="75" t="n">
        <x:v>0.9529744111976406</x:v>
      </x:c>
      <x:c r="I351" s="75" t="n">
        <x:v>1.0080469210022365</x:v>
      </x:c>
      <x:c r="J351" s="75" t="n">
        <x:v>1.0071869348197817</x:v>
      </x:c>
      <x:c r="K351" s="75" t="n">
        <x:v>0.9916035374277175</x:v>
      </x:c>
      <x:c r="L351" s="75" t="n">
        <x:v>0.8067786082444708</x:v>
      </x:c>
      <x:c r="M351" s="75" t="n">
        <x:v>1.0518798864411865</x:v>
      </x:c>
      <x:c r="N351" s="75" t="n">
        <x:v>0.9538464899824559</x:v>
      </x:c>
      <x:c r="O351" s="66" t="n">
        <x:v>437238.9404752756</x:v>
      </x:c>
      <x:c r="P351" s="66" t="n">
        <x:v>225083.93523809966</x:v>
      </x:c>
      <x:c r="Q351" s="66" t="n">
        <x:v>212155.00523717597</x:v>
      </x:c>
      <x:c r="R351" s="66" t="n">
        <x:v>125008.22060927142</x:v>
      </x:c>
      <x:c r="S351" s="66" t="n">
        <x:v>87146.78462790453</x:v>
      </x:c>
      <x:c r="T351" s="66" t="n">
        <x:v>139149.59857365215</x:v>
      </x:c>
      <x:c r="U351" s="45" t="n">
        <x:v>0.8330308673235567</x:v>
      </x:c>
      <x:c r="V351" s="45" t="n">
        <x:v>0.8634291334614449</x:v>
      </x:c>
      <x:c r="W351" s="45" t="n">
        <x:v>0.5890245560107554</x:v>
      </x:c>
      <x:c r="X351" s="66" t="n">
        <x:v>26488198.169174414</x:v>
      </x:c>
      <x:c r="Y351" s="66" t="n">
        <x:v>60.58060185669174</x:v>
      </x:c>
      <x:c r="Z351" s="66" t="n">
        <x:v>870245.1479994166</x:v>
      </x:c>
      <x:c r="AA351" s="66" t="n">
        <x:v>155602.4191592686</x:v>
      </x:c>
      <x:c r="AB351" s="66" t="n">
        <x:v>0</x:v>
      </x:c>
      <x:c r="AC351" s="66" t="n">
        <x:v>0</x:v>
      </x:c>
      <x:c r="AD351" s="66" t="n">
        <x:v>1498.2994215133567</x:v>
      </x:c>
      <x:c r="AE351" s="66" t="n">
        <x:v>68478.79620850878</x:v>
      </x:c>
      <x:c r="AF351" s="66" t="n">
        <x:v>139149.59857365213</x:v>
      </x:c>
      <x:c r="AG351" s="66" t="n">
        <x:v>2.9103830456733704e-11</x:v>
      </x:c>
      <x:c r="AH351" s="36" t="n">
        <x:v>0</x:v>
      </x:c>
    </x:row>
    <x:row r="352" ht="15" hidden="0" customHeight="1">
      <x:c r="A352" s="34" t="n">
        <x:v>87</x:v>
      </x:c>
      <x:c r="B352" s="34" t="str">
        <x:v>H3</x:v>
      </x:c>
      <x:c r="C352" s="34" t="str">
        <x:v>fast</x:v>
      </x:c>
      <x:c r="D352" s="74" t="n">
        <x:v>0.9089265611902876</x:v>
      </x:c>
      <x:c r="E352" s="74" t="n">
        <x:v>0.09934492806597764</x:v>
      </x:c>
      <x:c r="F352" s="74" t="n">
        <x:v>0.7895827481588991</x:v>
      </x:c>
      <x:c r="G352" s="74" t="n">
        <x:v>0.9125005726278174</x:v>
      </x:c>
      <x:c r="H352" s="74" t="n">
        <x:v>0.9529744111976406</x:v>
      </x:c>
      <x:c r="I352" s="74" t="n">
        <x:v>1.0080469210022365</x:v>
      </x:c>
      <x:c r="J352" s="74" t="n">
        <x:v>1.0071869348197817</x:v>
      </x:c>
      <x:c r="K352" s="74" t="n">
        <x:v>0.9916035374277175</x:v>
      </x:c>
      <x:c r="L352" s="74" t="n">
        <x:v>0.8067786082444708</x:v>
      </x:c>
      <x:c r="M352" s="74" t="n">
        <x:v>1.0518798864411865</x:v>
      </x:c>
      <x:c r="N352" s="74" t="n">
        <x:v>0.9538464899824559</x:v>
      </x:c>
      <x:c r="O352" s="65" t="n">
        <x:v>437238.9404752756</x:v>
      </x:c>
      <x:c r="P352" s="65" t="n">
        <x:v>233492.6857267046</x:v>
      </x:c>
      <x:c r="Q352" s="65" t="n">
        <x:v>203746.254748571</x:v>
      </x:c>
      <x:c r="R352" s="65" t="n">
        <x:v>125008.22060927142</x:v>
      </x:c>
      <x:c r="S352" s="65" t="n">
        <x:v>78738.03413929956</x:v>
      </x:c>
      <x:c r="T352" s="65" t="n">
        <x:v>202264.91333520768</x:v>
      </x:c>
      <x:c r="U352" s="43" t="n">
        <x:v>0.9966120551574086</x:v>
      </x:c>
      <x:c r="V352" s="43" t="n">
        <x:v>0.9978661643690306</x:v>
      </x:c>
      <x:c r="W352" s="43" t="n">
        <x:v>0.966120551574087</x:v>
      </x:c>
      <x:c r="X352" s="65" t="n">
        <x:v>19298089.258636188</x:v>
      </x:c>
      <x:c r="Y352" s="65" t="n">
        <x:v>44.1362547390205</x:v>
      </x:c>
      <x:c r="Z352" s="65" t="n">
        <x:v>1396120.0273415693</x:v>
      </x:c>
      <x:c r="AA352" s="65" t="n">
        <x:v>124878.18440417806</x:v>
      </x:c>
      <x:c r="AB352" s="65" t="n">
        <x:v>3505.002549073032</x:v>
      </x:c>
      <x:c r="AC352" s="65" t="n">
        <x:v>369.5320842626088</x:v>
      </x:c>
      <x:c r="AD352" s="65" t="n">
        <x:v>1481.3414133632873</x:v>
      </x:c>
      <x:c r="AE352" s="65" t="n">
        <x:v>58043.324049860326</x:v>
      </x:c>
      <x:c r="AF352" s="65" t="n">
        <x:v>202264.91333520788</x:v>
      </x:c>
      <x:c r="AG352" s="65" t="n">
        <x:v>0</x:v>
      </x:c>
      <x:c r="AH352" s="34" t="n">
        <x:v>1</x:v>
      </x:c>
    </x:row>
    <x:row r="353" ht="15" hidden="0" customHeight="1">
      <x:c r="A353" s="36" t="n">
        <x:v>88</x:v>
      </x:c>
      <x:c r="B353" s="36" t="str">
        <x:v>M0</x:v>
      </x:c>
      <x:c r="C353" s="36" t="str">
        <x:v>reference</x:v>
      </x:c>
      <x:c r="D353" s="75" t="n">
        <x:v>0.9269549849760962</x:v>
      </x:c>
      <x:c r="E353" s="75" t="n">
        <x:v>0.00875482324267858</x:v>
      </x:c>
      <x:c r="F353" s="75" t="n">
        <x:v>0.7922663659872693</x:v>
      </x:c>
      <x:c r="G353" s="75" t="n">
        <x:v>1.2243626847249398</x:v>
      </x:c>
      <x:c r="H353" s="75" t="n">
        <x:v>0.8569823149454752</x:v>
      </x:c>
      <x:c r="I353" s="75" t="n">
        <x:v>0.8540619443040401</x:v>
      </x:c>
      <x:c r="J353" s="75" t="n">
        <x:v>1.0700699996672176</x:v>
      </x:c>
      <x:c r="K353" s="75" t="n">
        <x:v>0.8702517577973597</x:v>
      </x:c>
      <x:c r="L353" s="75" t="n">
        <x:v>0.9192168826225866</x:v>
      </x:c>
      <x:c r="M353" s="75" t="n">
        <x:v>0.9916484820480556</x:v>
      </x:c>
      <x:c r="N353" s="75" t="n">
        <x:v>0.7590726509409161</x:v>
      </x:c>
      <x:c r="O353" s="66" t="n">
        <x:v>445911.5101317541</x:v>
      </x:c>
      <x:c r="P353" s="66" t="n">
        <x:v>52964.412379942616</x:v>
      </x:c>
      <x:c r="Q353" s="66" t="n">
        <x:v>392947.0977518115</x:v>
      </x:c>
      <x:c r="R353" s="66" t="n">
        <x:v>87092.56971437525</x:v>
      </x:c>
      <x:c r="S353" s="66" t="n">
        <x:v>305854.5280374362</x:v>
      </x:c>
      <x:c r="T353" s="66" t="n">
        <x:v>268638.71707736683</x:v>
      </x:c>
      <x:c r="U353" s="45" t="n">
        <x:v>0.7212263468199888</x:v>
      </x:c>
      <x:c r="V353" s="45" t="n">
        <x:v>0.7308018963085409</x:v>
      </x:c>
      <x:c r="W353" s="45" t="n">
        <x:v>0.12395719480526488</x:v>
      </x:c>
      <x:c r="X353" s="66" t="n">
        <x:v>49271345.7788829</x:v>
      </x:c>
      <x:c r="Y353" s="66" t="n">
        <x:v>110.49579268389961</x:v>
      </x:c>
      <x:c r="Z353" s="66" t="n">
        <x:v>5216760.7917876765</x:v>
      </x:c>
      <x:c r="AA353" s="66" t="n">
        <x:v>267142.36066995055</x:v>
      </x:c>
      <x:c r="AB353" s="66" t="n">
        <x:v>42031.97898472526</x:v>
      </x:c>
      <x:c r="AC353" s="66" t="n">
        <x:v>0</x:v>
      </x:c>
      <x:c r="AD353" s="66" t="n">
        <x:v>1907.478281535924</x:v>
      </x:c>
      <x:c r="AE353" s="66" t="n">
        <x:v>224916.13238317007</x:v>
      </x:c>
      <x:c r="AF353" s="66" t="n">
        <x:v>268638.71707736695</x:v>
      </x:c>
      <x:c r="AG353" s="66" t="n">
        <x:v>0</x:v>
      </x:c>
      <x:c r="AH353" s="36" t="n">
        <x:v>0</x:v>
      </x:c>
    </x:row>
    <x:row r="354" ht="15" hidden="0" customHeight="1">
      <x:c r="A354" s="34" t="n">
        <x:v>88</x:v>
      </x:c>
      <x:c r="B354" s="34" t="str">
        <x:v>B1</x:v>
      </x:c>
      <x:c r="C354" s="34" t="str">
        <x:v>reference</x:v>
      </x:c>
      <x:c r="D354" s="74" t="n">
        <x:v>0.9269549849760962</x:v>
      </x:c>
      <x:c r="E354" s="74" t="n">
        <x:v>0.00875482324267858</x:v>
      </x:c>
      <x:c r="F354" s="74" t="n">
        <x:v>0.7922663659872693</x:v>
      </x:c>
      <x:c r="G354" s="74" t="n">
        <x:v>1.2243626847249398</x:v>
      </x:c>
      <x:c r="H354" s="74" t="n">
        <x:v>0.8569823149454752</x:v>
      </x:c>
      <x:c r="I354" s="74" t="n">
        <x:v>0.8540619443040401</x:v>
      </x:c>
      <x:c r="J354" s="74" t="n">
        <x:v>1.0700699996672176</x:v>
      </x:c>
      <x:c r="K354" s="74" t="n">
        <x:v>0.8702517577973597</x:v>
      </x:c>
      <x:c r="L354" s="74" t="n">
        <x:v>0.9192168826225866</x:v>
      </x:c>
      <x:c r="M354" s="74" t="n">
        <x:v>0.9916484820480556</x:v>
      </x:c>
      <x:c r="N354" s="74" t="n">
        <x:v>0.7590726509409161</x:v>
      </x:c>
      <x:c r="O354" s="65" t="n">
        <x:v>445911.5101317541</x:v>
      </x:c>
      <x:c r="P354" s="65" t="n">
        <x:v>179160.88214976242</x:v>
      </x:c>
      <x:c r="Q354" s="65" t="n">
        <x:v>266750.6279819917</x:v>
      </x:c>
      <x:c r="R354" s="65" t="n">
        <x:v>87092.56971437525</x:v>
      </x:c>
      <x:c r="S354" s="65" t="n">
        <x:v>179658.05826761643</x:v>
      </x:c>
      <x:c r="T354" s="65" t="n">
        <x:v>195861.21873109383</x:v>
      </x:c>
      <x:c r="U354" s="43" t="n">
        <x:v>0.8410235940535554</x:v>
      </x:c>
      <x:c r="V354" s="43" t="n">
        <x:v>0.8653605191638664</x:v>
      </x:c>
      <x:c r="W354" s="43" t="n">
        <x:v>0.45314021425177137</x:v>
      </x:c>
      <x:c r="X354" s="65" t="n">
        <x:v>33767334.28708551</x:v>
      </x:c>
      <x:c r="Y354" s="65" t="n">
        <x:v>75.72653658818591</x:v>
      </x:c>
      <x:c r="Z354" s="65" t="n">
        <x:v>1854854.3329070918</x:v>
      </x:c>
      <x:c r="AA354" s="65" t="n">
        <x:v>184931.20220112737</x:v>
      </x:c>
      <x:c r="AB354" s="65" t="n">
        <x:v>7612.696283984076</x:v>
      </x:c>
      <x:c r="AC354" s="65" t="n">
        <x:v>0</x:v>
      </x:c>
      <x:c r="AD354" s="65" t="n">
        <x:v>1585.5472232978245</x:v>
      </x:c>
      <x:c r="AE354" s="65" t="n">
        <x:v>130277.3416897987</x:v>
      </x:c>
      <x:c r="AF354" s="65" t="n">
        <x:v>195861.2187310937</x:v>
      </x:c>
      <x:c r="AG354" s="65" t="n">
        <x:v>1.4551915228366852e-10</x:v>
      </x:c>
      <x:c r="AH354" s="34" t="n">
        <x:v>0</x:v>
      </x:c>
    </x:row>
    <x:row r="355" ht="15" hidden="0" customHeight="1">
      <x:c r="A355" s="36" t="n">
        <x:v>88</x:v>
      </x:c>
      <x:c r="B355" s="36" t="str">
        <x:v>P2</x:v>
      </x:c>
      <x:c r="C355" s="36" t="str">
        <x:v>reference</x:v>
      </x:c>
      <x:c r="D355" s="75" t="n">
        <x:v>0.9269549849760962</x:v>
      </x:c>
      <x:c r="E355" s="75" t="n">
        <x:v>0.00875482324267858</x:v>
      </x:c>
      <x:c r="F355" s="75" t="n">
        <x:v>0.7922663659872693</x:v>
      </x:c>
      <x:c r="G355" s="75" t="n">
        <x:v>1.2243626847249398</x:v>
      </x:c>
      <x:c r="H355" s="75" t="n">
        <x:v>0.8569823149454752</x:v>
      </x:c>
      <x:c r="I355" s="75" t="n">
        <x:v>0.8540619443040401</x:v>
      </x:c>
      <x:c r="J355" s="75" t="n">
        <x:v>1.0700699996672176</x:v>
      </x:c>
      <x:c r="K355" s="75" t="n">
        <x:v>0.8702517577973597</x:v>
      </x:c>
      <x:c r="L355" s="75" t="n">
        <x:v>0.9192168826225866</x:v>
      </x:c>
      <x:c r="M355" s="75" t="n">
        <x:v>0.9916484820480556</x:v>
      </x:c>
      <x:c r="N355" s="75" t="n">
        <x:v>0.7590726509409161</x:v>
      </x:c>
      <x:c r="O355" s="66" t="n">
        <x:v>445911.5101317541</x:v>
      </x:c>
      <x:c r="P355" s="66" t="n">
        <x:v>259548.71186897412</x:v>
      </x:c>
      <x:c r="Q355" s="66" t="n">
        <x:v>186362.79826277995</x:v>
      </x:c>
      <x:c r="R355" s="66" t="n">
        <x:v>87092.56971437525</x:v>
      </x:c>
      <x:c r="S355" s="66" t="n">
        <x:v>99270.2285484047</x:v>
      </x:c>
      <x:c r="T355" s="66" t="n">
        <x:v>130213.2481656</x:v>
      </x:c>
      <x:c r="U355" s="45" t="n">
        <x:v>0.8740791640911234</x:v>
      </x:c>
      <x:c r="V355" s="45" t="n">
        <x:v>0.8930790450274054</x:v>
      </x:c>
      <x:c r="W355" s="45" t="n">
        <x:v>0.6123559448549395</x:v>
      </x:c>
      <x:c r="X355" s="66" t="n">
        <x:v>23066456.877049867</x:v>
      </x:c>
      <x:c r="Y355" s="66" t="n">
        <x:v>51.728776568773455</x:v>
      </x:c>
      <x:c r="Z355" s="66" t="n">
        <x:v>830564.2422451131</x:v>
      </x:c>
      <x:c r="AA355" s="66" t="n">
        <x:v>134006.7226205618</x:v>
      </x:c>
      <x:c r="AB355" s="66" t="n">
        <x:v>78.5778272040925</x:v>
      </x:c>
      <x:c r="AC355" s="66" t="n">
        <x:v>6578.3811175344745</x:v>
      </x:c>
      <x:c r="AD355" s="66" t="n">
        <x:v>1391.026398558608</x:v>
      </x:c>
      <x:c r="AE355" s="66" t="n">
        <x:v>71005.58139220855</x:v>
      </x:c>
      <x:c r="AF355" s="66" t="n">
        <x:v>130213.2481656</x:v>
      </x:c>
      <x:c r="AG355" s="66" t="n">
        <x:v>0</x:v>
      </x:c>
      <x:c r="AH355" s="36" t="n">
        <x:v>0</x:v>
      </x:c>
    </x:row>
    <x:row r="356" ht="15" hidden="0" customHeight="1">
      <x:c r="A356" s="34" t="n">
        <x:v>88</x:v>
      </x:c>
      <x:c r="B356" s="34" t="str">
        <x:v>H3</x:v>
      </x:c>
      <x:c r="C356" s="34" t="str">
        <x:v>reference</x:v>
      </x:c>
      <x:c r="D356" s="74" t="n">
        <x:v>0.9269549849760962</x:v>
      </x:c>
      <x:c r="E356" s="74" t="n">
        <x:v>0.00875482324267858</x:v>
      </x:c>
      <x:c r="F356" s="74" t="n">
        <x:v>0.7922663659872693</x:v>
      </x:c>
      <x:c r="G356" s="74" t="n">
        <x:v>1.2243626847249398</x:v>
      </x:c>
      <x:c r="H356" s="74" t="n">
        <x:v>0.8569823149454752</x:v>
      </x:c>
      <x:c r="I356" s="74" t="n">
        <x:v>0.8540619443040401</x:v>
      </x:c>
      <x:c r="J356" s="74" t="n">
        <x:v>1.0700699996672176</x:v>
      </x:c>
      <x:c r="K356" s="74" t="n">
        <x:v>0.8702517577973597</x:v>
      </x:c>
      <x:c r="L356" s="74" t="n">
        <x:v>0.9192168826225866</x:v>
      </x:c>
      <x:c r="M356" s="74" t="n">
        <x:v>0.9916484820480556</x:v>
      </x:c>
      <x:c r="N356" s="74" t="n">
        <x:v>0.7590726509409161</x:v>
      </x:c>
      <x:c r="O356" s="65" t="n">
        <x:v>445911.5101317541</x:v>
      </x:c>
      <x:c r="P356" s="65" t="n">
        <x:v>269244.60417246044</x:v>
      </x:c>
      <x:c r="Q356" s="65" t="n">
        <x:v>176666.90595929362</x:v>
      </x:c>
      <x:c r="R356" s="65" t="n">
        <x:v>87092.56971437525</x:v>
      </x:c>
      <x:c r="S356" s="65" t="n">
        <x:v>89574.33624491838</x:v>
      </x:c>
      <x:c r="T356" s="65" t="n">
        <x:v>175297.7158130493</x:v>
      </x:c>
      <x:c r="U356" s="43" t="n">
        <x:v>0.9969294577172053</x:v>
      </x:c>
      <x:c r="V356" s="43" t="n">
        <x:v>0.9980660538360835</x:v>
      </x:c>
      <x:c r="W356" s="43" t="n">
        <x:v>0.9692945771720536</x:v>
      </x:c>
      <x:c r="X356" s="65" t="n">
        <x:v>17234597.311489724</x:v>
      </x:c>
      <x:c r="Y356" s="65" t="n">
        <x:v>38.65026338162339</x:v>
      </x:c>
      <x:c r="Z356" s="65" t="n">
        <x:v>1177424.0509256807</x:v>
      </x:c>
      <x:c r="AA356" s="65" t="n">
        <x:v>107020.62898310513</x:v>
      </x:c>
      <x:c r="AB356" s="65" t="n">
        <x:v>3433.3101011686454</x:v>
      </x:c>
      <x:c r="AC356" s="65" t="n">
        <x:v>0</x:v>
      </x:c>
      <x:c r="AD356" s="65" t="n">
        <x:v>1369.1901462443525</x:v>
      </x:c>
      <x:c r="AE356" s="65" t="n">
        <x:v>76921.90025110653</x:v>
      </x:c>
      <x:c r="AF356" s="65" t="n">
        <x:v>175297.7158130495</x:v>
      </x:c>
      <x:c r="AG356" s="65" t="n">
        <x:v>0</x:v>
      </x:c>
      <x:c r="AH356" s="34" t="n">
        <x:v>1</x:v>
      </x:c>
    </x:row>
    <x:row r="357" ht="15" hidden="0" customHeight="1">
      <x:c r="A357" s="36" t="n">
        <x:v>89</x:v>
      </x:c>
      <x:c r="B357" s="36" t="str">
        <x:v>M0</x:v>
      </x:c>
      <x:c r="C357" s="36" t="str">
        <x:v>fast</x:v>
      </x:c>
      <x:c r="D357" s="75" t="n">
        <x:v>0.9093040755098999</x:v>
      </x:c>
      <x:c r="E357" s="75" t="n">
        <x:v>0.02242938343425365</x:v>
      </x:c>
      <x:c r="F357" s="75" t="n">
        <x:v>0.7375185134543871</x:v>
      </x:c>
      <x:c r="G357" s="75" t="n">
        <x:v>1.2296705798471734</x:v>
      </x:c>
      <x:c r="H357" s="75" t="n">
        <x:v>1.0385509513390692</x:v>
      </x:c>
      <x:c r="I357" s="75" t="n">
        <x:v>0.974461565972552</x:v>
      </x:c>
      <x:c r="J357" s="75" t="n">
        <x:v>1.03414962037721</x:v>
      </x:c>
      <x:c r="K357" s="75" t="n">
        <x:v>0.9031758452901671</x:v>
      </x:c>
      <x:c r="L357" s="75" t="n">
        <x:v>0.8834375359913504</x:v>
      </x:c>
      <x:c r="M357" s="75" t="n">
        <x:v>1.0892560023070936</x:v>
      </x:c>
      <x:c r="N357" s="75" t="n">
        <x:v>0.9161968460881236</x:v>
      </x:c>
      <x:c r="O357" s="66" t="n">
        <x:v>437420.5436632222</x:v>
      </x:c>
      <x:c r="P357" s="66" t="n">
        <x:v>47543.5131216225</x:v>
      </x:c>
      <x:c r="Q357" s="66" t="n">
        <x:v>389877.0305415997</x:v>
      </x:c>
      <x:c r="R357" s="66" t="n">
        <x:v>91415.7022794156</x:v>
      </x:c>
      <x:c r="S357" s="66" t="n">
        <x:v>298461.32826218416</x:v>
      </x:c>
      <x:c r="T357" s="66" t="n">
        <x:v>295924.1258306117</x:v>
      </x:c>
      <x:c r="U357" s="45" t="n">
        <x:v>0.7852114948141895</x:v>
      </x:c>
      <x:c r="V357" s="45" t="n">
        <x:v>0.7915929483212362</x:v>
      </x:c>
      <x:c r="W357" s="45" t="n">
        <x:v>0.12449379258552039</x:v>
      </x:c>
      <x:c r="X357" s="66" t="n">
        <x:v>47030380.80495756</x:v>
      </x:c>
      <x:c r="Y357" s="66" t="n">
        <x:v>107.5175400110313</x:v>
      </x:c>
      <x:c r="Z357" s="66" t="n">
        <x:v>4568876.069510309</x:v>
      </x:c>
      <x:c r="AA357" s="66" t="n">
        <x:v>264161.3148037457</x:v>
      </x:c>
      <x:c r="AB357" s="66" t="n">
        <x:v>30359.41492660532</x:v>
      </x:c>
      <x:c r="AC357" s="66" t="n">
        <x:v>0</x:v>
      </x:c>
      <x:c r="AD357" s="66" t="n">
        <x:v>1884.8170602567147</x:v>
      </x:c>
      <x:c r="AE357" s="66" t="n">
        <x:v>216764.71832859784</x:v>
      </x:c>
      <x:c r="AF357" s="66" t="n">
        <x:v>295924.12583061145</x:v>
      </x:c>
      <x:c r="AG357" s="66" t="n">
        <x:v>2.3283064365386963e-10</x:v>
      </x:c>
      <x:c r="AH357" s="36" t="n">
        <x:v>0</x:v>
      </x:c>
    </x:row>
    <x:row r="358" ht="15" hidden="0" customHeight="1">
      <x:c r="A358" s="34" t="n">
        <x:v>89</x:v>
      </x:c>
      <x:c r="B358" s="34" t="str">
        <x:v>B1</x:v>
      </x:c>
      <x:c r="C358" s="34" t="str">
        <x:v>fast</x:v>
      </x:c>
      <x:c r="D358" s="74" t="n">
        <x:v>0.9093040755098999</x:v>
      </x:c>
      <x:c r="E358" s="74" t="n">
        <x:v>0.02242938343425365</x:v>
      </x:c>
      <x:c r="F358" s="74" t="n">
        <x:v>0.7375185134543871</x:v>
      </x:c>
      <x:c r="G358" s="74" t="n">
        <x:v>1.2296705798471734</x:v>
      </x:c>
      <x:c r="H358" s="74" t="n">
        <x:v>1.0385509513390692</x:v>
      </x:c>
      <x:c r="I358" s="74" t="n">
        <x:v>0.974461565972552</x:v>
      </x:c>
      <x:c r="J358" s="74" t="n">
        <x:v>1.03414962037721</x:v>
      </x:c>
      <x:c r="K358" s="74" t="n">
        <x:v>0.9031758452901671</x:v>
      </x:c>
      <x:c r="L358" s="74" t="n">
        <x:v>0.8834375359913504</x:v>
      </x:c>
      <x:c r="M358" s="74" t="n">
        <x:v>1.0892560023070936</x:v>
      </x:c>
      <x:c r="N358" s="74" t="n">
        <x:v>0.9161968460881236</x:v>
      </x:c>
      <x:c r="O358" s="65" t="n">
        <x:v>437420.5436632222</x:v>
      </x:c>
      <x:c r="P358" s="65" t="n">
        <x:v>160824.0937159625</x:v>
      </x:c>
      <x:c r="Q358" s="65" t="n">
        <x:v>276596.44994725974</x:v>
      </x:c>
      <x:c r="R358" s="65" t="n">
        <x:v>91415.7022794156</x:v>
      </x:c>
      <x:c r="S358" s="65" t="n">
        <x:v>185180.74766784417</x:v>
      </x:c>
      <x:c r="T358" s="65" t="n">
        <x:v>221812.024086573</x:v>
      </x:c>
      <x:c r="U358" s="43" t="n">
        <x:v>0.8747557089982809</x:v>
      </x:c>
      <x:c r="V358" s="43" t="n">
        <x:v>0.9103512771241021</x:v>
      </x:c>
      <x:c r="W358" s="43" t="n">
        <x:v>0.46749061791334034</x:v>
      </x:c>
      <x:c r="X358" s="65" t="n">
        <x:v>33758682.36734438</x:v>
      </x:c>
      <x:c r="Y358" s="65" t="n">
        <x:v>77.17671896392636</x:v>
      </x:c>
      <x:c r="Z358" s="65" t="n">
        <x:v>1822887.9697061495</x:v>
      </x:c>
      <x:c r="AA358" s="65" t="n">
        <x:v>190660.70262545504</x:v>
      </x:c>
      <x:c r="AB358" s="65" t="n">
        <x:v>6454.638542900948</x:v>
      </x:c>
      <x:c r="AC358" s="65" t="n">
        <x:v>6817.914392856146</x:v>
      </x:c>
      <x:c r="AD358" s="65" t="n">
        <x:v>1599.9495245250496</x:v>
      </x:c>
      <x:c r="AE358" s="65" t="n">
        <x:v>122862.76470905557</x:v>
      </x:c>
      <x:c r="AF358" s="65" t="n">
        <x:v>221812.02408657313</x:v>
      </x:c>
      <x:c r="AG358" s="65" t="n">
        <x:v>0</x:v>
      </x:c>
      <x:c r="AH358" s="34" t="n">
        <x:v>0</x:v>
      </x:c>
    </x:row>
    <x:row r="359" ht="15" hidden="0" customHeight="1">
      <x:c r="A359" s="36" t="n">
        <x:v>89</x:v>
      </x:c>
      <x:c r="B359" s="36" t="str">
        <x:v>P2</x:v>
      </x:c>
      <x:c r="C359" s="36" t="str">
        <x:v>fast</x:v>
      </x:c>
      <x:c r="D359" s="75" t="n">
        <x:v>0.9093040755098999</x:v>
      </x:c>
      <x:c r="E359" s="75" t="n">
        <x:v>0.02242938343425365</x:v>
      </x:c>
      <x:c r="F359" s="75" t="n">
        <x:v>0.7375185134543871</x:v>
      </x:c>
      <x:c r="G359" s="75" t="n">
        <x:v>1.2296705798471734</x:v>
      </x:c>
      <x:c r="H359" s="75" t="n">
        <x:v>1.0385509513390692</x:v>
      </x:c>
      <x:c r="I359" s="75" t="n">
        <x:v>0.974461565972552</x:v>
      </x:c>
      <x:c r="J359" s="75" t="n">
        <x:v>1.03414962037721</x:v>
      </x:c>
      <x:c r="K359" s="75" t="n">
        <x:v>0.9031758452901671</x:v>
      </x:c>
      <x:c r="L359" s="75" t="n">
        <x:v>0.8834375359913504</x:v>
      </x:c>
      <x:c r="M359" s="75" t="n">
        <x:v>1.0892560023070936</x:v>
      </x:c>
      <x:c r="N359" s="75" t="n">
        <x:v>0.9161968460881236</x:v>
      </x:c>
      <x:c r="O359" s="66" t="n">
        <x:v>437420.5436632222</x:v>
      </x:c>
      <x:c r="P359" s="66" t="n">
        <x:v>232984.62063031693</x:v>
      </x:c>
      <x:c r="Q359" s="66" t="n">
        <x:v>204435.9230329053</x:v>
      </x:c>
      <x:c r="R359" s="66" t="n">
        <x:v>91415.7022794156</x:v>
      </x:c>
      <x:c r="S359" s="66" t="n">
        <x:v>113020.2207534897</x:v>
      </x:c>
      <x:c r="T359" s="66" t="n">
        <x:v>135474.9406958597</x:v>
      </x:c>
      <x:c r="U359" s="45" t="n">
        <x:v>0.8423462653136387</x:v>
      </x:c>
      <x:c r="V359" s="45" t="n">
        <x:v>0.8692204658729673</x:v>
      </x:c>
      <x:c r="W359" s="45" t="n">
        <x:v>0.6025807597870676</x:v>
      </x:c>
      <x:c r="X359" s="66" t="n">
        <x:v>24571290.876821414</x:v>
      </x:c>
      <x:c r="Y359" s="66" t="n">
        <x:v>56.17315243368927</x:v>
      </x:c>
      <x:c r="Z359" s="66" t="n">
        <x:v>1139749.9547270627</x:v>
      </x:c>
      <x:c r="AA359" s="66" t="n">
        <x:v>143877.8797596437</x:v>
      </x:c>
      <x:c r="AB359" s="66" t="n">
        <x:v>15.936755785291211</x:v>
      </x:c>
      <x:c r="AC359" s="66" t="n">
        <x:v>23677.89665467126</x:v>
      </x:c>
      <x:c r="AD359" s="66" t="n">
        <x:v>1427.8236405074572</x:v>
      </x:c>
      <x:c r="AE359" s="66" t="n">
        <x:v>65286.65492522807</x:v>
      </x:c>
      <x:c r="AF359" s="66" t="n">
        <x:v>135474.94069585964</x:v>
      </x:c>
      <x:c r="AG359" s="66" t="n">
        <x:v>5.820766091346741e-11</x:v>
      </x:c>
      <x:c r="AH359" s="36" t="n">
        <x:v>0</x:v>
      </x:c>
    </x:row>
    <x:row r="360" ht="15" hidden="0" customHeight="1">
      <x:c r="A360" s="34" t="n">
        <x:v>89</x:v>
      </x:c>
      <x:c r="B360" s="34" t="str">
        <x:v>H3</x:v>
      </x:c>
      <x:c r="C360" s="34" t="str">
        <x:v>fast</x:v>
      </x:c>
      <x:c r="D360" s="74" t="n">
        <x:v>0.9093040755098999</x:v>
      </x:c>
      <x:c r="E360" s="74" t="n">
        <x:v>0.02242938343425365</x:v>
      </x:c>
      <x:c r="F360" s="74" t="n">
        <x:v>0.7375185134543871</x:v>
      </x:c>
      <x:c r="G360" s="74" t="n">
        <x:v>1.2296705798471734</x:v>
      </x:c>
      <x:c r="H360" s="74" t="n">
        <x:v>1.0385509513390692</x:v>
      </x:c>
      <x:c r="I360" s="74" t="n">
        <x:v>0.974461565972552</x:v>
      </x:c>
      <x:c r="J360" s="74" t="n">
        <x:v>1.03414962037721</x:v>
      </x:c>
      <x:c r="K360" s="74" t="n">
        <x:v>0.9031758452901671</x:v>
      </x:c>
      <x:c r="L360" s="74" t="n">
        <x:v>0.8834375359913504</x:v>
      </x:c>
      <x:c r="M360" s="74" t="n">
        <x:v>1.0892560023070936</x:v>
      </x:c>
      <x:c r="N360" s="74" t="n">
        <x:v>0.9161968460881236</x:v>
      </x:c>
      <x:c r="O360" s="65" t="n">
        <x:v>437420.5436632222</x:v>
      </x:c>
      <x:c r="P360" s="65" t="n">
        <x:v>241688.21455771674</x:v>
      </x:c>
      <x:c r="Q360" s="65" t="n">
        <x:v>195732.32910550552</x:v>
      </x:c>
      <x:c r="R360" s="65" t="n">
        <x:v>91415.7022794156</x:v>
      </x:c>
      <x:c r="S360" s="65" t="n">
        <x:v>104316.62682608992</x:v>
      </x:c>
      <x:c r="T360" s="65" t="n">
        <x:v>194323.82773673045</x:v>
      </x:c>
      <x:c r="U360" s="43" t="n">
        <x:v>0.9967799834983071</x:v>
      </x:c>
      <x:c r="V360" s="43" t="n">
        <x:v>0.9979719199955345</x:v>
      </x:c>
      <x:c r="W360" s="43" t="n">
        <x:v>0.967799834983071</x:v>
      </x:c>
      <x:c r="X360" s="65" t="n">
        <x:v>17940619.89447461</x:v>
      </x:c>
      <x:c r="Y360" s="65" t="n">
        <x:v>41.014580029161614</x:v>
      </x:c>
      <x:c r="Z360" s="65" t="n">
        <x:v>1778266.0967664812</x:v>
      </x:c>
      <x:c r="AA360" s="65" t="n">
        <x:v>113507.65522155105</x:v>
      </x:c>
      <x:c r="AB360" s="65" t="n">
        <x:v>10194.612049957943</x:v>
      </x:c>
      <x:c r="AC360" s="65" t="n">
        <x:v>2439.307683453018</x:v>
      </x:c>
      <x:c r="AD360" s="65" t="n">
        <x:v>1408.5013687750538</x:v>
      </x:c>
      <x:c r="AE360" s="65" t="n">
        <x:v>55794.86460820612</x:v>
      </x:c>
      <x:c r="AF360" s="65" t="n">
        <x:v>194323.82773673075</x:v>
      </x:c>
      <x:c r="AG360" s="65" t="n">
        <x:v>0</x:v>
      </x:c>
      <x:c r="AH360" s="34" t="n">
        <x:v>1</x:v>
      </x:c>
    </x:row>
    <x:row r="361" ht="21.600000381469727" hidden="0" customHeight="1">
      <x:c r="A361" s="36" t="n">
        <x:v>90</x:v>
      </x:c>
      <x:c r="B361" s="36" t="str">
        <x:v>M0</x:v>
      </x:c>
      <x:c r="C361" s="36" t="str">
        <x:v>reference</x:v>
      </x:c>
      <x:c r="D361" s="75" t="n">
        <x:v>1.1925889012469408</x:v>
      </x:c>
      <x:c r="E361" s="75" t="n">
        <x:v>-0.022934064464637045</x:v>
      </x:c>
      <x:c r="F361" s="75" t="n">
        <x:v>0.7424080072504037</x:v>
      </x:c>
      <x:c r="G361" s="75" t="n">
        <x:v>0.902929624357001</x:v>
      </x:c>
      <x:c r="H361" s="75" t="n">
        <x:v>0.8038131082743932</x:v>
      </x:c>
      <x:c r="I361" s="75" t="n">
        <x:v>0.7796698728973149</x:v>
      </x:c>
      <x:c r="J361" s="75" t="n">
        <x:v>0.8619248524908024</x:v>
      </x:c>
      <x:c r="K361" s="75" t="n">
        <x:v>0.7290714609303028</x:v>
      </x:c>
      <x:c r="L361" s="75" t="n">
        <x:v>0.8681754494006239</x:v>
      </x:c>
      <x:c r="M361" s="75" t="n">
        <x:v>0.8635855153927867</x:v>
      </x:c>
      <x:c r="N361" s="75" t="n">
        <x:v>0.9622173512761301</x:v>
      </x:c>
      <x:c r="O361" s="66" t="n">
        <x:v>573694.6524270606</x:v>
      </x:c>
      <x:c r="P361" s="66" t="n">
        <x:v>66369.00860982579</x:v>
      </x:c>
      <x:c r="Q361" s="66" t="n">
        <x:v>507325.6438172349</x:v>
      </x:c>
      <x:c r="R361" s="66" t="n">
        <x:v>93870.60622247992</x:v>
      </x:c>
      <x:c r="S361" s="66" t="n">
        <x:v>413455.03759475495</x:v>
      </x:c>
      <x:c r="T361" s="66" t="n">
        <x:v>239825.80309300515</x:v>
      </x:c>
      <x:c r="U361" s="45" t="n">
        <x:v>0.5337243608728955</x:v>
      </x:c>
      <x:c r="V361" s="45" t="n">
        <x:v>0.5593941887399003</x:v>
      </x:c>
      <x:c r="W361" s="45" t="n">
        <x:v>0.10684119616160738</x:v>
      </x:c>
      <x:c r="X361" s="66" t="n">
        <x:v>70584611.78131378</x:v>
      </x:c>
      <x:c r="Y361" s="66" t="n">
        <x:v>123.03515726127128</x:v>
      </x:c>
      <x:c r="Z361" s="66" t="n">
        <x:v>5739640.152141693</x:v>
      </x:c>
      <x:c r="AA361" s="66" t="n">
        <x:v>384012.3799245397</x:v>
      </x:c>
      <x:c r="AB361" s="66" t="n">
        <x:v>54254.078969019785</x:v>
      </x:c>
      <x:c r="AC361" s="66" t="n">
        <x:v>0</x:v>
      </x:c>
      <x:c r="AD361" s="66" t="n">
        <x:v>2453.2983697371965</x:v>
      </x:c>
      <x:c r="AE361" s="66" t="n">
        <x:v>184402.08365950015</x:v>
      </x:c>
      <x:c r="AF361" s="66" t="n">
        <x:v>239825.80309300486</x:v>
      </x:c>
      <x:c r="AG361" s="66" t="n">
        <x:v>2.9103830456733704e-10</x:v>
      </x:c>
      <x:c r="AH361" s="36" t="n">
        <x:v>0</x:v>
      </x:c>
    </x:row>
    <x:row r="362" ht="21.600000381469727" hidden="0" customHeight="1">
      <x:c r="A362" s="34" t="n">
        <x:v>90</x:v>
      </x:c>
      <x:c r="B362" s="34" t="str">
        <x:v>B1</x:v>
      </x:c>
      <x:c r="C362" s="34" t="str">
        <x:v>reference</x:v>
      </x:c>
      <x:c r="D362" s="74" t="n">
        <x:v>1.1925889012469408</x:v>
      </x:c>
      <x:c r="E362" s="74" t="n">
        <x:v>-0.022934064464637045</x:v>
      </x:c>
      <x:c r="F362" s="74" t="n">
        <x:v>0.7424080072504037</x:v>
      </x:c>
      <x:c r="G362" s="74" t="n">
        <x:v>0.902929624357001</x:v>
      </x:c>
      <x:c r="H362" s="74" t="n">
        <x:v>0.8038131082743932</x:v>
      </x:c>
      <x:c r="I362" s="74" t="n">
        <x:v>0.7796698728973149</x:v>
      </x:c>
      <x:c r="J362" s="74" t="n">
        <x:v>0.8619248524908024</x:v>
      </x:c>
      <x:c r="K362" s="74" t="n">
        <x:v>0.7290714609303028</x:v>
      </x:c>
      <x:c r="L362" s="74" t="n">
        <x:v>0.8681754494006239</x:v>
      </x:c>
      <x:c r="M362" s="74" t="n">
        <x:v>0.8635855153927867</x:v>
      </x:c>
      <x:c r="N362" s="74" t="n">
        <x:v>0.9622173512761301</x:v>
      </x:c>
      <x:c r="O362" s="65" t="n">
        <x:v>573694.6524270606</x:v>
      </x:c>
      <x:c r="P362" s="65" t="n">
        <x:v>224503.22859353697</x:v>
      </x:c>
      <x:c r="Q362" s="65" t="n">
        <x:v>349191.42383352364</x:v>
      </x:c>
      <x:c r="R362" s="65" t="n">
        <x:v>93870.60622247992</x:v>
      </x:c>
      <x:c r="S362" s="65" t="n">
        <x:v>255320.81761104375</x:v>
      </x:c>
      <x:c r="T362" s="65" t="n">
        <x:v>174012.59116780292</x:v>
      </x:c>
      <x:c r="U362" s="43" t="n">
        <x:v>0.6946479596339048</x:v>
      </x:c>
      <x:c r="V362" s="43" t="n">
        <x:v>0.7202640782435571</x:v>
      </x:c>
      <x:c r="W362" s="43" t="n">
        <x:v>0.38386064112488405</x:v>
      </x:c>
      <x:c r="X362" s="65" t="n">
        <x:v>49739455.699808516</x:v>
      </x:c>
      <x:c r="Y362" s="65" t="n">
        <x:v>86.7002254411503</x:v>
      </x:c>
      <x:c r="Z362" s="65" t="n">
        <x:v>2570515.271494068</x:v>
      </x:c>
      <x:c r="AA362" s="65" t="n">
        <x:v>269085.3928287919</x:v>
      </x:c>
      <x:c r="AB362" s="65" t="n">
        <x:v>18146.93335654274</x:v>
      </x:c>
      <x:c r="AC362" s="65" t="n">
        <x:v>605.6032601154695</x:v>
      </x:c>
      <x:c r="AD362" s="65" t="n">
        <x:v>2037.3043861985986</x:v>
      </x:c>
      <x:c r="AE362" s="65" t="n">
        <x:v>133067.72777182318</x:v>
      </x:c>
      <x:c r="AF362" s="65" t="n">
        <x:v>174012.59116780298</x:v>
      </x:c>
      <x:c r="AG362" s="65" t="n">
        <x:v>0</x:v>
      </x:c>
      <x:c r="AH362" s="34" t="n">
        <x:v>0</x:v>
      </x:c>
    </x:row>
    <x:row r="363" ht="21.600000381469727" hidden="0" customHeight="1">
      <x:c r="A363" s="36" t="n">
        <x:v>90</x:v>
      </x:c>
      <x:c r="B363" s="36" t="str">
        <x:v>P2</x:v>
      </x:c>
      <x:c r="C363" s="36" t="str">
        <x:v>reference</x:v>
      </x:c>
      <x:c r="D363" s="75" t="n">
        <x:v>1.1925889012469408</x:v>
      </x:c>
      <x:c r="E363" s="75" t="n">
        <x:v>-0.022934064464637045</x:v>
      </x:c>
      <x:c r="F363" s="75" t="n">
        <x:v>0.7424080072504037</x:v>
      </x:c>
      <x:c r="G363" s="75" t="n">
        <x:v>0.902929624357001</x:v>
      </x:c>
      <x:c r="H363" s="75" t="n">
        <x:v>0.8038131082743932</x:v>
      </x:c>
      <x:c r="I363" s="75" t="n">
        <x:v>0.7796698728973149</x:v>
      </x:c>
      <x:c r="J363" s="75" t="n">
        <x:v>0.8619248524908024</x:v>
      </x:c>
      <x:c r="K363" s="75" t="n">
        <x:v>0.7290714609303028</x:v>
      </x:c>
      <x:c r="L363" s="75" t="n">
        <x:v>0.8681754494006239</x:v>
      </x:c>
      <x:c r="M363" s="75" t="n">
        <x:v>0.8635855153927867</x:v>
      </x:c>
      <x:c r="N363" s="75" t="n">
        <x:v>0.9622173512761301</x:v>
      </x:c>
      <x:c r="O363" s="66" t="n">
        <x:v>573694.6524270606</x:v>
      </x:c>
      <x:c r="P363" s="66" t="n">
        <x:v>325235.0016056291</x:v>
      </x:c>
      <x:c r="Q363" s="66" t="n">
        <x:v>248459.65082143154</x:v>
      </x:c>
      <x:c r="R363" s="66" t="n">
        <x:v>93870.60622247992</x:v>
      </x:c>
      <x:c r="S363" s="66" t="n">
        <x:v>154589.0445989516</x:v>
      </x:c>
      <x:c r="T363" s="66" t="n">
        <x:v>109360.68957083498</x:v>
      </x:c>
      <x:c r="U363" s="45" t="n">
        <x:v>0.7575383339166099</x:v>
      </x:c>
      <x:c r="V363" s="45" t="n">
        <x:v>0.7920894838323607</x:v>
      </x:c>
      <x:c r="W363" s="45" t="n">
        <x:v>0.3873889601026186</x:v>
      </x:c>
      <x:c r="X363" s="66" t="n">
        <x:v>34433192.13972127</x:v>
      </x:c>
      <x:c r="Y363" s="66" t="n">
        <x:v>60.02006815655144</x:v>
      </x:c>
      <x:c r="Z363" s="66" t="n">
        <x:v>968892.495916911</x:v>
      </x:c>
      <x:c r="AA363" s="66" t="n">
        <x:v>195998.2924902995</x:v>
      </x:c>
      <x:c r="AB363" s="66" t="n">
        <x:v>425.6046948635533</x:v>
      </x:c>
      <x:c r="AC363" s="66" t="n">
        <x:v>20809.04955240713</x:v>
      </x:c>
      <x:c r="AD363" s="66" t="n">
        <x:v>1785.9477969731117</x:v>
      </x:c>
      <x:c r="AE363" s="66" t="n">
        <x:v>54481.34693890352</x:v>
      </x:c>
      <x:c r="AF363" s="66" t="n">
        <x:v>109360.68957083498</x:v>
      </x:c>
      <x:c r="AG363" s="66" t="n">
        <x:v>0</x:v>
      </x:c>
      <x:c r="AH363" s="36" t="n">
        <x:v>0</x:v>
      </x:c>
    </x:row>
    <x:row r="364" ht="21.600000381469727" hidden="0" customHeight="1">
      <x:c r="A364" s="34" t="n">
        <x:v>90</x:v>
      </x:c>
      <x:c r="B364" s="34" t="str">
        <x:v>H3</x:v>
      </x:c>
      <x:c r="C364" s="34" t="str">
        <x:v>reference</x:v>
      </x:c>
      <x:c r="D364" s="74" t="n">
        <x:v>1.1925889012469408</x:v>
      </x:c>
      <x:c r="E364" s="74" t="n">
        <x:v>-0.022934064464637045</x:v>
      </x:c>
      <x:c r="F364" s="74" t="n">
        <x:v>0.7424080072504037</x:v>
      </x:c>
      <x:c r="G364" s="74" t="n">
        <x:v>0.902929624357001</x:v>
      </x:c>
      <x:c r="H364" s="74" t="n">
        <x:v>0.8038131082743932</x:v>
      </x:c>
      <x:c r="I364" s="74" t="n">
        <x:v>0.7796698728973149</x:v>
      </x:c>
      <x:c r="J364" s="74" t="n">
        <x:v>0.8619248524908024</x:v>
      </x:c>
      <x:c r="K364" s="74" t="n">
        <x:v>0.7290714609303028</x:v>
      </x:c>
      <x:c r="L364" s="74" t="n">
        <x:v>0.8681754494006239</x:v>
      </x:c>
      <x:c r="M364" s="74" t="n">
        <x:v>0.8635855153927867</x:v>
      </x:c>
      <x:c r="N364" s="74" t="n">
        <x:v>0.9622173512761301</x:v>
      </x:c>
      <x:c r="O364" s="65" t="n">
        <x:v>573694.6524270606</x:v>
      </x:c>
      <x:c r="P364" s="65" t="n">
        <x:v>337384.56828030257</x:v>
      </x:c>
      <x:c r="Q364" s="65" t="n">
        <x:v>236310.0841467581</x:v>
      </x:c>
      <x:c r="R364" s="65" t="n">
        <x:v>93870.60622247992</x:v>
      </x:c>
      <x:c r="S364" s="65" t="n">
        <x:v>142439.47792427818</x:v>
      </x:c>
      <x:c r="T364" s="65" t="n">
        <x:v>181801.9652880989</x:v>
      </x:c>
      <x:c r="U364" s="43" t="n">
        <x:v>0.90498757722761</x:v>
      </x:c>
      <x:c r="V364" s="43" t="n">
        <x:v>0.9103302649585306</x:v>
      </x:c>
      <x:c r="W364" s="43" t="n">
        <x:v>0.643409906260184</x:v>
      </x:c>
      <x:c r="X364" s="65" t="n">
        <x:v>27236031.033520833</x:v>
      </x:c>
      <x:c r="Y364" s="65" t="n">
        <x:v>47.47478631410742</x:v>
      </x:c>
      <x:c r="Z364" s="65" t="n">
        <x:v>2003765.4932213274</x:v>
      </x:c>
      <x:c r="AA364" s="65" t="n">
        <x:v>162788.29885278136</x:v>
      </x:c>
      <x:c r="AB364" s="65" t="n">
        <x:v>11148.867015753618</x:v>
      </x:c>
      <x:c r="AC364" s="65" t="n">
        <x:v>9087.598105142777</x:v>
      </x:c>
      <x:c r="AD364" s="65" t="n">
        <x:v>1757.731353255393</x:v>
      </x:c>
      <x:c r="AE364" s="65" t="n">
        <x:v>80260.63083153432</x:v>
      </x:c>
      <x:c r="AF364" s="65" t="n">
        <x:v>181801.96528809893</x:v>
      </x:c>
      <x:c r="AG364" s="65" t="n">
        <x:v>0</x:v>
      </x:c>
      <x:c r="AH364" s="34" t="n">
        <x:v>0</x:v>
      </x:c>
    </x:row>
    <x:row r="365" ht="15" hidden="0" customHeight="1">
      <x:c r="A365" s="36" t="n">
        <x:v>91</x:v>
      </x:c>
      <x:c r="B365" s="36" t="str">
        <x:v>M0</x:v>
      </x:c>
      <x:c r="C365" s="36" t="str">
        <x:v>fast</x:v>
      </x:c>
      <x:c r="D365" s="75" t="n">
        <x:v>0.9503539899761747</x:v>
      </x:c>
      <x:c r="E365" s="75" t="n">
        <x:v>0.0996952465696366</x:v>
      </x:c>
      <x:c r="F365" s="75" t="n">
        <x:v>0.7486472638049261</x:v>
      </x:c>
      <x:c r="G365" s="75" t="n">
        <x:v>1.0330674566170364</x:v>
      </x:c>
      <x:c r="H365" s="75" t="n">
        <x:v>1.0712153365931085</x:v>
      </x:c>
      <x:c r="I365" s="75" t="n">
        <x:v>1.017025532576132</x:v>
      </x:c>
      <x:c r="J365" s="75" t="n">
        <x:v>0.9580929110533554</x:v>
      </x:c>
      <x:c r="K365" s="75" t="n">
        <x:v>0.9386175586554226</x:v>
      </x:c>
      <x:c r="L365" s="75" t="n">
        <x:v>0.9607433182619054</x:v>
      </x:c>
      <x:c r="M365" s="75" t="n">
        <x:v>1.0304379818140552</x:v>
      </x:c>
      <x:c r="N365" s="75" t="n">
        <x:v>0.948407822282935</x:v>
      </x:c>
      <x:c r="O365" s="66" t="n">
        <x:v>457167.59680724086</x:v>
      </x:c>
      <x:c r="P365" s="66" t="n">
        <x:v>45511.75105621472</x:v>
      </x:c>
      <x:c r="Q365" s="66" t="n">
        <x:v>411655.8457510262</x:v>
      </x:c>
      <x:c r="R365" s="66" t="n">
        <x:v>130866.05099155995</x:v>
      </x:c>
      <x:c r="S365" s="66" t="n">
        <x:v>280789.7947594662</x:v>
      </x:c>
      <x:c r="T365" s="66" t="n">
        <x:v>315959.07714546216</x:v>
      </x:c>
      <x:c r="U365" s="45" t="n">
        <x:v>0.7906746469481009</x:v>
      </x:c>
      <x:c r="V365" s="45" t="n">
        <x:v>0.7902930762586876</x:v>
      </x:c>
      <x:c r="W365" s="45" t="n">
        <x:v>0.1117180348838649</x:v>
      </x:c>
      <x:c r="X365" s="66" t="n">
        <x:v>49253306.13202258</x:v>
      </x:c>
      <x:c r="Y365" s="66" t="n">
        <x:v>107.73577671732855</x:v>
      </x:c>
      <x:c r="Z365" s="66" t="n">
        <x:v>5161060.111746252</x:v>
      </x:c>
      <x:c r="AA365" s="66" t="n">
        <x:v>275883.02928331774</x:v>
      </x:c>
      <x:c r="AB365" s="66" t="n">
        <x:v>35638.602272723656</x:v>
      </x:c>
      <x:c r="AC365" s="66" t="n">
        <x:v>1752.7091163299197</x:v>
      </x:c>
      <x:c r="AD365" s="66" t="n">
        <x:v>1992.0401883164377</x:v>
      </x:c>
      <x:c r="AE365" s="66" t="n">
        <x:v>234016.64130021655</x:v>
      </x:c>
      <x:c r="AF365" s="66" t="n">
        <x:v>315959.07714546245</x:v>
      </x:c>
      <x:c r="AG365" s="66" t="n">
        <x:v>0</x:v>
      </x:c>
      <x:c r="AH365" s="36" t="n">
        <x:v>0</x:v>
      </x:c>
    </x:row>
    <x:row r="366" ht="15" hidden="0" customHeight="1">
      <x:c r="A366" s="34" t="n">
        <x:v>91</x:v>
      </x:c>
      <x:c r="B366" s="34" t="str">
        <x:v>B1</x:v>
      </x:c>
      <x:c r="C366" s="34" t="str">
        <x:v>fast</x:v>
      </x:c>
      <x:c r="D366" s="74" t="n">
        <x:v>0.9503539899761747</x:v>
      </x:c>
      <x:c r="E366" s="74" t="n">
        <x:v>0.0996952465696366</x:v>
      </x:c>
      <x:c r="F366" s="74" t="n">
        <x:v>0.7486472638049261</x:v>
      </x:c>
      <x:c r="G366" s="74" t="n">
        <x:v>1.0330674566170364</x:v>
      </x:c>
      <x:c r="H366" s="74" t="n">
        <x:v>1.0712153365931085</x:v>
      </x:c>
      <x:c r="I366" s="74" t="n">
        <x:v>1.017025532576132</x:v>
      </x:c>
      <x:c r="J366" s="74" t="n">
        <x:v>0.9580929110533554</x:v>
      </x:c>
      <x:c r="K366" s="74" t="n">
        <x:v>0.9386175586554226</x:v>
      </x:c>
      <x:c r="L366" s="74" t="n">
        <x:v>0.9607433182619054</x:v>
      </x:c>
      <x:c r="M366" s="74" t="n">
        <x:v>1.0304379818140552</x:v>
      </x:c>
      <x:c r="N366" s="74" t="n">
        <x:v>0.948407822282935</x:v>
      </x:c>
      <x:c r="O366" s="65" t="n">
        <x:v>457167.59680724086</x:v>
      </x:c>
      <x:c r="P366" s="65" t="n">
        <x:v>153953.13688267</x:v>
      </x:c>
      <x:c r="Q366" s="65" t="n">
        <x:v>303214.45992457087</x:v>
      </x:c>
      <x:c r="R366" s="65" t="n">
        <x:v>130866.05099155995</x:v>
      </x:c>
      <x:c r="S366" s="65" t="n">
        <x:v>172348.4089330109</x:v>
      </x:c>
      <x:c r="T366" s="65" t="n">
        <x:v>231163.81307008897</x:v>
      </x:c>
      <x:c r="U366" s="43" t="n">
        <x:v>0.8423977391274711</x:v>
      </x:c>
      <x:c r="V366" s="43" t="n">
        <x:v>0.8742309333871625</x:v>
      </x:c>
      <x:c r="W366" s="43" t="n">
        <x:v>0.41316285838086025</x:v>
      </x:c>
      <x:c r="X366" s="65" t="n">
        <x:v>37180458.085160546</x:v>
      </x:c>
      <x:c r="Y366" s="65" t="n">
        <x:v>81.32785075937312</x:v>
      </x:c>
      <x:c r="Z366" s="65" t="n">
        <x:v>2207472.769032472</x:v>
      </x:c>
      <x:c r="AA366" s="65" t="n">
        <x:v>209974.05102288447</x:v>
      </x:c>
      <x:c r="AB366" s="65" t="n">
        <x:v>9104.962778242434</x:v>
      </x:c>
      <x:c r="AC366" s="65" t="n">
        <x:v>12796.781187753708</x:v>
      </x:c>
      <x:c r="AD366" s="65" t="n">
        <x:v>1744.4338732362787</x:v>
      </x:c>
      <x:c r="AE366" s="65" t="n">
        <x:v>128735.76826353189</x:v>
      </x:c>
      <x:c r="AF366" s="65" t="n">
        <x:v>231163.81307008903</x:v>
      </x:c>
      <x:c r="AG366" s="65" t="n">
        <x:v>0</x:v>
      </x:c>
      <x:c r="AH366" s="34" t="n">
        <x:v>0</x:v>
      </x:c>
    </x:row>
    <x:row r="367" ht="15" hidden="0" customHeight="1">
      <x:c r="A367" s="36" t="n">
        <x:v>91</x:v>
      </x:c>
      <x:c r="B367" s="36" t="str">
        <x:v>P2</x:v>
      </x:c>
      <x:c r="C367" s="36" t="str">
        <x:v>fast</x:v>
      </x:c>
      <x:c r="D367" s="75" t="n">
        <x:v>0.9503539899761747</x:v>
      </x:c>
      <x:c r="E367" s="75" t="n">
        <x:v>0.0996952465696366</x:v>
      </x:c>
      <x:c r="F367" s="75" t="n">
        <x:v>0.7486472638049261</x:v>
      </x:c>
      <x:c r="G367" s="75" t="n">
        <x:v>1.0330674566170364</x:v>
      </x:c>
      <x:c r="H367" s="75" t="n">
        <x:v>1.0712153365931085</x:v>
      </x:c>
      <x:c r="I367" s="75" t="n">
        <x:v>1.017025532576132</x:v>
      </x:c>
      <x:c r="J367" s="75" t="n">
        <x:v>0.9580929110533554</x:v>
      </x:c>
      <x:c r="K367" s="75" t="n">
        <x:v>0.9386175586554226</x:v>
      </x:c>
      <x:c r="L367" s="75" t="n">
        <x:v>0.9607433182619054</x:v>
      </x:c>
      <x:c r="M367" s="75" t="n">
        <x:v>1.0304379818140552</x:v>
      </x:c>
      <x:c r="N367" s="75" t="n">
        <x:v>0.948407822282935</x:v>
      </x:c>
      <x:c r="O367" s="66" t="n">
        <x:v>457167.59680724086</x:v>
      </x:c>
      <x:c r="P367" s="66" t="n">
        <x:v>223032.20937914</x:v>
      </x:c>
      <x:c r="Q367" s="66" t="n">
        <x:v>234135.38742810086</x:v>
      </x:c>
      <x:c r="R367" s="66" t="n">
        <x:v>130866.05099155995</x:v>
      </x:c>
      <x:c r="S367" s="66" t="n">
        <x:v>103269.33643654088</x:v>
      </x:c>
      <x:c r="T367" s="66" t="n">
        <x:v>140791.7007119981</x:v>
      </x:c>
      <x:c r="U367" s="45" t="n">
        <x:v>0.7958217350311029</x:v>
      </x:c>
      <x:c r="V367" s="45" t="n">
        <x:v>0.8196922609606642</x:v>
      </x:c>
      <x:c r="W367" s="45" t="n">
        <x:v>0.5562174023885977</x:v>
      </x:c>
      <x:c r="X367" s="66" t="n">
        <x:v>28883916.58979443</x:v>
      </x:c>
      <x:c r="Y367" s="66" t="n">
        <x:v>63.18014835590586</x:v>
      </x:c>
      <x:c r="Z367" s="66" t="n">
        <x:v>1216221.3129071626</x:v>
      </x:c>
      <x:c r="AA367" s="66" t="n">
        <x:v>169432.30621281065</x:v>
      </x:c>
      <x:c r="AB367" s="66" t="n">
        <x:v>0</x:v>
      </x:c>
      <x:c r="AC367" s="66" t="n">
        <x:v>25809.271129240828</x:v>
      </x:c>
      <x:c r="AD367" s="66" t="n">
        <x:v>1594.8223853493023</x:v>
      </x:c>
      <x:c r="AE367" s="66" t="n">
        <x:v>72878.83582592051</x:v>
      </x:c>
      <x:c r="AF367" s="66" t="n">
        <x:v>140791.70071199807</x:v>
      </x:c>
      <x:c r="AG367" s="66" t="n">
        <x:v>2.9103830456733704e-11</x:v>
      </x:c>
      <x:c r="AH367" s="36" t="n">
        <x:v>0</x:v>
      </x:c>
    </x:row>
    <x:row r="368" ht="15" hidden="0" customHeight="1">
      <x:c r="A368" s="34" t="n">
        <x:v>91</x:v>
      </x:c>
      <x:c r="B368" s="34" t="str">
        <x:v>H3</x:v>
      </x:c>
      <x:c r="C368" s="34" t="str">
        <x:v>fast</x:v>
      </x:c>
      <x:c r="D368" s="74" t="n">
        <x:v>0.9503539899761747</x:v>
      </x:c>
      <x:c r="E368" s="74" t="n">
        <x:v>0.0996952465696366</x:v>
      </x:c>
      <x:c r="F368" s="74" t="n">
        <x:v>0.7486472638049261</x:v>
      </x:c>
      <x:c r="G368" s="74" t="n">
        <x:v>1.0330674566170364</x:v>
      </x:c>
      <x:c r="H368" s="74" t="n">
        <x:v>1.0712153365931085</x:v>
      </x:c>
      <x:c r="I368" s="74" t="n">
        <x:v>1.017025532576132</x:v>
      </x:c>
      <x:c r="J368" s="74" t="n">
        <x:v>0.9580929110533554</x:v>
      </x:c>
      <x:c r="K368" s="74" t="n">
        <x:v>0.9386175586554226</x:v>
      </x:c>
      <x:c r="L368" s="74" t="n">
        <x:v>0.9607433182619054</x:v>
      </x:c>
      <x:c r="M368" s="74" t="n">
        <x:v>1.0304379818140552</x:v>
      </x:c>
      <x:c r="N368" s="74" t="n">
        <x:v>0.948407822282935</x:v>
      </x:c>
      <x:c r="O368" s="65" t="n">
        <x:v>457167.59680724086</x:v>
      </x:c>
      <x:c r="P368" s="65" t="n">
        <x:v>231364.31241279602</x:v>
      </x:c>
      <x:c r="Q368" s="65" t="n">
        <x:v>225803.28439444484</x:v>
      </x:c>
      <x:c r="R368" s="65" t="n">
        <x:v>130866.05099155995</x:v>
      </x:c>
      <x:c r="S368" s="65" t="n">
        <x:v>94937.23340288486</x:v>
      </x:c>
      <x:c r="T368" s="65" t="n">
        <x:v>224225.25689058437</x:v>
      </x:c>
      <x:c r="U368" s="43" t="n">
        <x:v>0.9965482516370778</x:v>
      </x:c>
      <x:c r="V368" s="43" t="n">
        <x:v>0.9978259830558013</x:v>
      </x:c>
      <x:c r="W368" s="43" t="n">
        <x:v>0.9654825163707785</x:v>
      </x:c>
      <x:c r="X368" s="65" t="n">
        <x:v>21841226.092042975</x:v>
      </x:c>
      <x:c r="Y368" s="65" t="n">
        <x:v>47.77509658291041</x:v>
      </x:c>
      <x:c r="Z368" s="65" t="n">
        <x:v>2338834.251088403</x:v>
      </x:c>
      <x:c r="AA368" s="65" t="n">
        <x:v>136317.03531755664</x:v>
      </x:c>
      <x:c r="AB368" s="65" t="n">
        <x:v>12752.741103718716</x:v>
      </x:c>
      <x:c r="AC368" s="65" t="n">
        <x:v>9417.2246313279</x:v>
      </x:c>
      <x:c r="AD368" s="65" t="n">
        <x:v>1578.0275038604386</x:v>
      </x:c>
      <x:c r="AE368" s="65" t="n">
        <x:v>80825.99416140464</x:v>
      </x:c>
      <x:c r="AF368" s="65" t="n">
        <x:v>224225.2568905844</x:v>
      </x:c>
      <x:c r="AG368" s="65" t="n">
        <x:v>0</x:v>
      </x:c>
      <x:c r="AH368" s="34" t="n">
        <x:v>1</x:v>
      </x:c>
    </x:row>
    <x:row r="369" ht="15" hidden="0" customHeight="1">
      <x:c r="A369" s="36" t="n">
        <x:v>92</x:v>
      </x:c>
      <x:c r="B369" s="36" t="str">
        <x:v>M0</x:v>
      </x:c>
      <x:c r="C369" s="36" t="str">
        <x:v>reference</x:v>
      </x:c>
      <x:c r="D369" s="75" t="n">
        <x:v>0.9954379149053613</x:v>
      </x:c>
      <x:c r="E369" s="75" t="n">
        <x:v>0.06625332931529687</x:v>
      </x:c>
      <x:c r="F369" s="75" t="n">
        <x:v>0.9409499827996983</x:v>
      </x:c>
      <x:c r="G369" s="75" t="n">
        <x:v>1.2132689635310907</x:v>
      </x:c>
      <x:c r="H369" s="75" t="n">
        <x:v>0.8558289899057496</x:v>
      </x:c>
      <x:c r="I369" s="75" t="n">
        <x:v>0.879446552450325</x:v>
      </x:c>
      <x:c r="J369" s="75" t="n">
        <x:v>0.9154061293159665</x:v>
      </x:c>
      <x:c r="K369" s="75" t="n">
        <x:v>0.8190837322141651</x:v>
      </x:c>
      <x:c r="L369" s="75" t="n">
        <x:v>0.8917537507922826</x:v>
      </x:c>
      <x:c r="M369" s="75" t="n">
        <x:v>1.0526791522613412</x:v>
      </x:c>
      <x:c r="N369" s="75" t="n">
        <x:v>1.041155285688056</x:v>
      </x:c>
      <x:c r="O369" s="66" t="n">
        <x:v>478855.20987764106</x:v>
      </x:c>
      <x:c r="P369" s="66" t="n">
        <x:v>62723.73231606436</x:v>
      </x:c>
      <x:c r="Q369" s="66" t="n">
        <x:v>416131.47756157664</x:v>
      </x:c>
      <x:c r="R369" s="66" t="n">
        <x:v>121060.38057043197</x:v>
      </x:c>
      <x:c r="S369" s="66" t="n">
        <x:v>295071.0969911447</x:v>
      </x:c>
      <x:c r="T369" s="66" t="n">
        <x:v>270315.90967694885</x:v>
      </x:c>
      <x:c r="U369" s="45" t="n">
        <x:v>0.6954913199714644</x:v>
      </x:c>
      <x:c r="V369" s="45" t="n">
        <x:v>0.7179089400868759</x:v>
      </x:c>
      <x:c r="W369" s="45" t="n">
        <x:v>0.13567443280127717</x:v>
      </x:c>
      <x:c r="X369" s="66" t="n">
        <x:v>53432747.66543479</x:v>
      </x:c>
      <x:c r="Y369" s="66" t="n">
        <x:v>111.58435068313894</x:v>
      </x:c>
      <x:c r="Z369" s="66" t="n">
        <x:v>5025185.681839719</x:v>
      </x:c>
      <x:c r="AA369" s="66" t="n">
        <x:v>289867.0163898523</x:v>
      </x:c>
      <x:c r="AB369" s="66" t="n">
        <x:v>39610.72683285354</x:v>
      </x:c>
      <x:c r="AC369" s="66" t="n">
        <x:v>0</x:v>
      </x:c>
      <x:c r="AD369" s="66" t="n">
        <x:v>2043.3781848915773</x:v>
      </x:c>
      <x:c r="AE369" s="66" t="n">
        <x:v>180360.09299350076</x:v>
      </x:c>
      <x:c r="AF369" s="66" t="n">
        <x:v>270315.9096769491</x:v>
      </x:c>
      <x:c r="AG369" s="66" t="n">
        <x:v>0</x:v>
      </x:c>
      <x:c r="AH369" s="36" t="n">
        <x:v>0</x:v>
      </x:c>
    </x:row>
    <x:row r="370" ht="15" hidden="0" customHeight="1">
      <x:c r="A370" s="34" t="n">
        <x:v>92</x:v>
      </x:c>
      <x:c r="B370" s="34" t="str">
        <x:v>B1</x:v>
      </x:c>
      <x:c r="C370" s="34" t="str">
        <x:v>reference</x:v>
      </x:c>
      <x:c r="D370" s="74" t="n">
        <x:v>0.9954379149053613</x:v>
      </x:c>
      <x:c r="E370" s="74" t="n">
        <x:v>0.06625332931529687</x:v>
      </x:c>
      <x:c r="F370" s="74" t="n">
        <x:v>0.9409499827996983</x:v>
      </x:c>
      <x:c r="G370" s="74" t="n">
        <x:v>1.2132689635310907</x:v>
      </x:c>
      <x:c r="H370" s="74" t="n">
        <x:v>0.8558289899057496</x:v>
      </x:c>
      <x:c r="I370" s="74" t="n">
        <x:v>0.879446552450325</x:v>
      </x:c>
      <x:c r="J370" s="74" t="n">
        <x:v>0.9154061293159665</x:v>
      </x:c>
      <x:c r="K370" s="74" t="n">
        <x:v>0.8190837322141651</x:v>
      </x:c>
      <x:c r="L370" s="74" t="n">
        <x:v>0.8917537507922826</x:v>
      </x:c>
      <x:c r="M370" s="74" t="n">
        <x:v>1.0526791522613412</x:v>
      </x:c>
      <x:c r="N370" s="74" t="n">
        <x:v>1.041155285688056</x:v>
      </x:c>
      <x:c r="O370" s="65" t="n">
        <x:v>478855.20987764106</x:v>
      </x:c>
      <x:c r="P370" s="65" t="n">
        <x:v>212175.15501964052</x:v>
      </x:c>
      <x:c r="Q370" s="65" t="n">
        <x:v>266680.0548580005</x:v>
      </x:c>
      <x:c r="R370" s="65" t="n">
        <x:v>121060.38057043197</x:v>
      </x:c>
      <x:c r="S370" s="65" t="n">
        <x:v>145619.67428756854</x:v>
      </x:c>
      <x:c r="T370" s="65" t="n">
        <x:v>197904.78881291952</x:v>
      </x:c>
      <x:c r="U370" s="43" t="n">
        <x:v>0.8563756546312721</x:v>
      </x:c>
      <x:c r="V370" s="43" t="n">
        <x:v>0.8762677623679667</x:v>
      </x:c>
      <x:c r="W370" s="43" t="n">
        <x:v>0.5046297706243484</x:v>
      </x:c>
      <x:c r="X370" s="65" t="n">
        <x:v>34212012.8920589</x:v>
      </x:c>
      <x:c r="Y370" s="65" t="n">
        <x:v>71.44542272141278</x:v>
      </x:c>
      <x:c r="Z370" s="65" t="n">
        <x:v>1699181.5938311429</x:v>
      </x:c>
      <x:c r="AA370" s="65" t="n">
        <x:v>185084.39943759592</x:v>
      </x:c>
      <x:c r="AB370" s="65" t="n">
        <x:v>5627.598038133521</x:v>
      </x:c>
      <x:c r="AC370" s="65" t="n">
        <x:v>4110.343112650351</x:v>
      </x:c>
      <x:c r="AD370" s="65" t="n">
        <x:v>1686.287616040705</x:v>
      </x:c>
      <x:c r="AE370" s="65" t="n">
        <x:v>102740.22592968804</x:v>
      </x:c>
      <x:c r="AF370" s="65" t="n">
        <x:v>197904.78881291964</x:v>
      </x:c>
      <x:c r="AG370" s="65" t="n">
        <x:v>0</x:v>
      </x:c>
      <x:c r="AH370" s="34" t="n">
        <x:v>0</x:v>
      </x:c>
    </x:row>
    <x:row r="371" ht="15" hidden="0" customHeight="1">
      <x:c r="A371" s="36" t="n">
        <x:v>92</x:v>
      </x:c>
      <x:c r="B371" s="36" t="str">
        <x:v>P2</x:v>
      </x:c>
      <x:c r="C371" s="36" t="str">
        <x:v>reference</x:v>
      </x:c>
      <x:c r="D371" s="75" t="n">
        <x:v>0.9954379149053613</x:v>
      </x:c>
      <x:c r="E371" s="75" t="n">
        <x:v>0.06625332931529687</x:v>
      </x:c>
      <x:c r="F371" s="75" t="n">
        <x:v>0.9409499827996983</x:v>
      </x:c>
      <x:c r="G371" s="75" t="n">
        <x:v>1.2132689635310907</x:v>
      </x:c>
      <x:c r="H371" s="75" t="n">
        <x:v>0.8558289899057496</x:v>
      </x:c>
      <x:c r="I371" s="75" t="n">
        <x:v>0.879446552450325</x:v>
      </x:c>
      <x:c r="J371" s="75" t="n">
        <x:v>0.9154061293159665</x:v>
      </x:c>
      <x:c r="K371" s="75" t="n">
        <x:v>0.8190837322141651</x:v>
      </x:c>
      <x:c r="L371" s="75" t="n">
        <x:v>0.8917537507922826</x:v>
      </x:c>
      <x:c r="M371" s="75" t="n">
        <x:v>1.0526791522613412</x:v>
      </x:c>
      <x:c r="N371" s="75" t="n">
        <x:v>1.041155285688056</x:v>
      </x:c>
      <x:c r="O371" s="66" t="n">
        <x:v>478855.20987764106</x:v>
      </x:c>
      <x:c r="P371" s="66" t="n">
        <x:v>307377.61909829447</x:v>
      </x:c>
      <x:c r="Q371" s="66" t="n">
        <x:v>171477.5907793466</x:v>
      </x:c>
      <x:c r="R371" s="66" t="n">
        <x:v>121060.38057043197</x:v>
      </x:c>
      <x:c r="S371" s="66" t="n">
        <x:v>50417.210208914636</x:v>
      </x:c>
      <x:c r="T371" s="66" t="n">
        <x:v>122857.84938321964</x:v>
      </x:c>
      <x:c r="U371" s="45" t="n">
        <x:v>0.8984667173015608</x:v>
      </x:c>
      <x:c r="V371" s="45" t="n">
        <x:v>0.9158834338904498</x:v>
      </x:c>
      <x:c r="W371" s="45" t="n">
        <x:v>0.5753520626085279</x:v>
      </x:c>
      <x:c r="X371" s="66" t="n">
        <x:v>21002313.102816217</x:v>
      </x:c>
      <x:c r="Y371" s="66" t="n">
        <x:v>43.859422784985064</x:v>
      </x:c>
      <x:c r="Z371" s="66" t="n">
        <x:v>880017.600084072</x:v>
      </x:c>
      <x:c r="AA371" s="66" t="n">
        <x:v>120468.40621304656</x:v>
      </x:c>
      <x:c r="AB371" s="66" t="n">
        <x:v>0</x:v>
      </x:c>
      <x:c r="AC371" s="66" t="n">
        <x:v>13407.030940534258</x:v>
      </x:c>
      <x:c r="AD371" s="66" t="n">
        <x:v>1470.5223141787944</x:v>
      </x:c>
      <x:c r="AE371" s="66" t="n">
        <x:v>59893.389280109455</x:v>
      </x:c>
      <x:c r="AF371" s="66" t="n">
        <x:v>122857.84938321974</x:v>
      </x:c>
      <x:c r="AG371" s="66" t="n">
        <x:v>0</x:v>
      </x:c>
      <x:c r="AH371" s="36" t="n">
        <x:v>0</x:v>
      </x:c>
    </x:row>
    <x:row r="372" ht="15" hidden="0" customHeight="1">
      <x:c r="A372" s="34" t="n">
        <x:v>92</x:v>
      </x:c>
      <x:c r="B372" s="34" t="str">
        <x:v>H3</x:v>
      </x:c>
      <x:c r="C372" s="34" t="str">
        <x:v>reference</x:v>
      </x:c>
      <x:c r="D372" s="74" t="n">
        <x:v>0.9954379149053613</x:v>
      </x:c>
      <x:c r="E372" s="74" t="n">
        <x:v>0.06625332931529687</x:v>
      </x:c>
      <x:c r="F372" s="74" t="n">
        <x:v>0.9409499827996983</x:v>
      </x:c>
      <x:c r="G372" s="74" t="n">
        <x:v>1.2132689635310907</x:v>
      </x:c>
      <x:c r="H372" s="74" t="n">
        <x:v>0.8558289899057496</x:v>
      </x:c>
      <x:c r="I372" s="74" t="n">
        <x:v>0.879446552450325</x:v>
      </x:c>
      <x:c r="J372" s="74" t="n">
        <x:v>0.9154061293159665</x:v>
      </x:c>
      <x:c r="K372" s="74" t="n">
        <x:v>0.8190837322141651</x:v>
      </x:c>
      <x:c r="L372" s="74" t="n">
        <x:v>0.8917537507922826</x:v>
      </x:c>
      <x:c r="M372" s="74" t="n">
        <x:v>1.0526791522613412</x:v>
      </x:c>
      <x:c r="N372" s="74" t="n">
        <x:v>1.041155285688056</x:v>
      </x:c>
      <x:c r="O372" s="65" t="n">
        <x:v>478855.20987764106</x:v>
      </x:c>
      <x:c r="P372" s="65" t="n">
        <x:v>318860.5328668946</x:v>
      </x:c>
      <x:c r="Q372" s="65" t="n">
        <x:v>159994.67701074638</x:v>
      </x:c>
      <x:c r="R372" s="65" t="n">
        <x:v>121060.38057043197</x:v>
      </x:c>
      <x:c r="S372" s="65" t="n">
        <x:v>38934.29644031442</x:v>
      </x:c>
      <x:c r="T372" s="65" t="n">
        <x:v>158548.37578229676</x:v>
      </x:c>
      <x:c r="U372" s="43" t="n">
        <x:v>0.9969796690134808</x:v>
      </x:c>
      <x:c r="V372" s="43" t="n">
        <x:v>0.9980976752233177</x:v>
      </x:c>
      <x:c r="W372" s="43" t="n">
        <x:v>0.9697966901348074</x:v>
      </x:c>
      <x:c r="X372" s="65" t="n">
        <x:v>15968586.27593785</x:v>
      </x:c>
      <x:c r="Y372" s="65" t="n">
        <x:v>33.34742098768896</x:v>
      </x:c>
      <x:c r="Z372" s="65" t="n">
        <x:v>1037368.0532315111</x:v>
      </x:c>
      <x:c r="AA372" s="65" t="n">
        <x:v>96511.13833766509</x:v>
      </x:c>
      <x:c r="AB372" s="65" t="n">
        <x:v>2939.641045558137</x:v>
      </x:c>
      <x:c r="AC372" s="65" t="n">
        <x:v>0</x:v>
      </x:c>
      <x:c r="AD372" s="65" t="n">
        <x:v>1446.3012284496208</x:v>
      </x:c>
      <x:c r="AE372" s="65" t="n">
        <x:v>43555.104685006794</x:v>
      </x:c>
      <x:c r="AF372" s="65" t="n">
        <x:v>158548.37578229673</x:v>
      </x:c>
      <x:c r="AG372" s="65" t="n">
        <x:v>2.9103830456733704e-11</x:v>
      </x:c>
      <x:c r="AH372" s="34" t="n">
        <x:v>1</x:v>
      </x:c>
    </x:row>
    <x:row r="373" ht="21.600000381469727" hidden="0" customHeight="1">
      <x:c r="A373" s="36" t="n">
        <x:v>93</x:v>
      </x:c>
      <x:c r="B373" s="36" t="str">
        <x:v>M0</x:v>
      </x:c>
      <x:c r="C373" s="36" t="str">
        <x:v>fast</x:v>
      </x:c>
      <x:c r="D373" s="75" t="n">
        <x:v>1.1904966299744326</x:v>
      </x:c>
      <x:c r="E373" s="75" t="n">
        <x:v>-0.01166203462281478</x:v>
      </x:c>
      <x:c r="F373" s="75" t="n">
        <x:v>0.9794336628288919</x:v>
      </x:c>
      <x:c r="G373" s="75" t="n">
        <x:v>0.9096727764560539</x:v>
      </x:c>
      <x:c r="H373" s="75" t="n">
        <x:v>0.8794600014716578</x:v>
      </x:c>
      <x:c r="I373" s="75" t="n">
        <x:v>0.8893739927467941</x:v>
      </x:c>
      <x:c r="J373" s="75" t="n">
        <x:v>0.7645160507410641</x:v>
      </x:c>
      <x:c r="K373" s="75" t="n">
        <x:v>0.9984050659170245</x:v>
      </x:c>
      <x:c r="L373" s="75" t="n">
        <x:v>0.9642148031610162</x:v>
      </x:c>
      <x:c r="M373" s="75" t="n">
        <x:v>0.9450058634673271</x:v>
      </x:c>
      <x:c r="N373" s="75" t="n">
        <x:v>0.776559602409538</x:v>
      </x:c>
      <x:c r="O373" s="66" t="n">
        <x:v>572688.1657498748</x:v>
      </x:c>
      <x:c r="P373" s="66" t="n">
        <x:v>86226.57837755652</x:v>
      </x:c>
      <x:c r="Q373" s="66" t="n">
        <x:v>486461.58737231826</x:v>
      </x:c>
      <x:c r="R373" s="66" t="n">
        <x:v>100161.27825235462</x:v>
      </x:c>
      <x:c r="S373" s="66" t="n">
        <x:v>386300.30911996367</x:v>
      </x:c>
      <x:c r="T373" s="66" t="n">
        <x:v>269897.3060836347</x:v>
      </x:c>
      <x:c r="U373" s="45" t="n">
        <x:v>0.6218460686975861</x:v>
      </x:c>
      <x:c r="V373" s="45" t="n">
        <x:v>0.6436112949765191</x:v>
      </x:c>
      <x:c r="W373" s="45" t="n">
        <x:v>0.1485512668465253</x:v>
      </x:c>
      <x:c r="X373" s="66" t="n">
        <x:v>65911883.09299873</x:v>
      </x:c>
      <x:c r="Y373" s="66" t="n">
        <x:v>115.09209904258117</x:v>
      </x:c>
      <x:c r="Z373" s="66" t="n">
        <x:v>5653234.186665365</x:v>
      </x:c>
      <x:c r="AA373" s="66" t="n">
        <x:v>354229.44774125656</x:v>
      </x:c>
      <x:c r="AB373" s="66" t="n">
        <x:v>49037.838582027936</x:v>
      </x:c>
      <x:c r="AC373" s="66" t="n">
        <x:v>1411.2115043880285</x:v>
      </x:c>
      <x:c r="AD373" s="66" t="n">
        <x:v>2396.211496448567</x:v>
      </x:c>
      <x:c r="AE373" s="66" t="n">
        <x:v>225167.47298484534</x:v>
      </x:c>
      <x:c r="AF373" s="66" t="n">
        <x:v>269897.30608363455</x:v>
      </x:c>
      <x:c r="AG373" s="66" t="n">
        <x:v>1.7462298274040222e-10</x:v>
      </x:c>
      <x:c r="AH373" s="36" t="n">
        <x:v>0</x:v>
      </x:c>
    </x:row>
    <x:row r="374" ht="21.600000381469727" hidden="0" customHeight="1">
      <x:c r="A374" s="34" t="n">
        <x:v>93</x:v>
      </x:c>
      <x:c r="B374" s="34" t="str">
        <x:v>B1</x:v>
      </x:c>
      <x:c r="C374" s="34" t="str">
        <x:v>fast</x:v>
      </x:c>
      <x:c r="D374" s="74" t="n">
        <x:v>1.1904966299744326</x:v>
      </x:c>
      <x:c r="E374" s="74" t="n">
        <x:v>-0.01166203462281478</x:v>
      </x:c>
      <x:c r="F374" s="74" t="n">
        <x:v>0.9794336628288919</x:v>
      </x:c>
      <x:c r="G374" s="74" t="n">
        <x:v>0.9096727764560539</x:v>
      </x:c>
      <x:c r="H374" s="74" t="n">
        <x:v>0.8794600014716578</x:v>
      </x:c>
      <x:c r="I374" s="74" t="n">
        <x:v>0.8893739927467941</x:v>
      </x:c>
      <x:c r="J374" s="74" t="n">
        <x:v>0.7645160507410641</x:v>
      </x:c>
      <x:c r="K374" s="74" t="n">
        <x:v>0.9984050659170245</x:v>
      </x:c>
      <x:c r="L374" s="74" t="n">
        <x:v>0.9642148031610162</x:v>
      </x:c>
      <x:c r="M374" s="74" t="n">
        <x:v>0.9450058634673271</x:v>
      </x:c>
      <x:c r="N374" s="74" t="n">
        <x:v>0.776559602409538</x:v>
      </x:c>
      <x:c r="O374" s="65" t="n">
        <x:v>572688.1657498748</x:v>
      </x:c>
      <x:c r="P374" s="65" t="n">
        <x:v>291674.88050893764</x:v>
      </x:c>
      <x:c r="Q374" s="65" t="n">
        <x:v>281013.2852409372</x:v>
      </x:c>
      <x:c r="R374" s="65" t="n">
        <x:v>100161.27825235462</x:v>
      </x:c>
      <x:c r="S374" s="65" t="n">
        <x:v>180852.00698858255</x:v>
      </x:c>
      <x:c r="T374" s="65" t="n">
        <x:v>197395.21096414118</x:v>
      </x:c>
      <x:c r="U374" s="43" t="n">
        <x:v>0.8539902179272258</x:v>
      </x:c>
      <x:c r="V374" s="43" t="n">
        <x:v>0.8695803005719587</x:v>
      </x:c>
      <x:c r="W374" s="43" t="n">
        <x:v>0.5663749095561447</x:v>
      </x:c>
      <x:c r="X374" s="65" t="n">
        <x:v>38041454.653942406</x:v>
      </x:c>
      <x:c r="Y374" s="65" t="n">
        <x:v>66.42612320115107</x:v>
      </x:c>
      <x:c r="Z374" s="65" t="n">
        <x:v>2198639.2570509617</x:v>
      </x:c>
      <x:c r="AA374" s="65" t="n">
        <x:v>196922.71034935577</x:v>
      </x:c>
      <x:c r="AB374" s="65" t="n">
        <x:v>10597.753413899125</x:v>
      </x:c>
      <x:c r="AC374" s="65" t="n">
        <x:v>4692.2188757207</x:v>
      </x:c>
      <x:c r="AD374" s="65" t="n">
        <x:v>1861.4250395187146</x:v>
      </x:c>
      <x:c r="AE374" s="65" t="n">
        <x:v>136040.6324955946</x:v>
      </x:c>
      <x:c r="AF374" s="65" t="n">
        <x:v>197395.2109641412</x:v>
      </x:c>
      <x:c r="AG374" s="65" t="n">
        <x:v>0</x:v>
      </x:c>
      <x:c r="AH374" s="34" t="n">
        <x:v>0</x:v>
      </x:c>
    </x:row>
    <x:row r="375" ht="21.600000381469727" hidden="0" customHeight="1">
      <x:c r="A375" s="36" t="n">
        <x:v>93</x:v>
      </x:c>
      <x:c r="B375" s="36" t="str">
        <x:v>P2</x:v>
      </x:c>
      <x:c r="C375" s="36" t="str">
        <x:v>fast</x:v>
      </x:c>
      <x:c r="D375" s="75" t="n">
        <x:v>1.1904966299744326</x:v>
      </x:c>
      <x:c r="E375" s="75" t="n">
        <x:v>-0.01166203462281478</x:v>
      </x:c>
      <x:c r="F375" s="75" t="n">
        <x:v>0.9794336628288919</x:v>
      </x:c>
      <x:c r="G375" s="75" t="n">
        <x:v>0.9096727764560539</x:v>
      </x:c>
      <x:c r="H375" s="75" t="n">
        <x:v>0.8794600014716578</x:v>
      </x:c>
      <x:c r="I375" s="75" t="n">
        <x:v>0.8893739927467941</x:v>
      </x:c>
      <x:c r="J375" s="75" t="n">
        <x:v>0.7645160507410641</x:v>
      </x:c>
      <x:c r="K375" s="75" t="n">
        <x:v>0.9984050659170245</x:v>
      </x:c>
      <x:c r="L375" s="75" t="n">
        <x:v>0.9642148031610162</x:v>
      </x:c>
      <x:c r="M375" s="75" t="n">
        <x:v>0.9450058634673271</x:v>
      </x:c>
      <x:c r="N375" s="75" t="n">
        <x:v>0.776559602409538</x:v>
      </x:c>
      <x:c r="O375" s="66" t="n">
        <x:v>572688.1657498748</x:v>
      </x:c>
      <x:c r="P375" s="66" t="n">
        <x:v>422546.06538433814</x:v>
      </x:c>
      <x:c r="Q375" s="66" t="n">
        <x:v>150142.1003655367</x:v>
      </x:c>
      <x:c r="R375" s="66" t="n">
        <x:v>100161.27825235462</x:v>
      </x:c>
      <x:c r="S375" s="66" t="n">
        <x:v>49980.82211318206</x:v>
      </x:c>
      <x:c r="T375" s="66" t="n">
        <x:v>131245.9868984007</x:v>
      </x:c>
      <x:c r="U375" s="45" t="n">
        <x:v>0.967004533012493</x:v>
      </x:c>
      <x:c r="V375" s="45" t="n">
        <x:v>0.9758336066544239</x:v>
      </x:c>
      <x:c r="W375" s="45" t="n">
        <x:v>0.866956303799749</x:v>
      </x:c>
      <x:c r="X375" s="66" t="n">
        <x:v>18198336.796901662</x:v>
      </x:c>
      <x:c r="Y375" s="66" t="n">
        <x:v>31.77704357322079</x:v>
      </x:c>
      <x:c r="Z375" s="66" t="n">
        <x:v>821351.3987552061</x:v>
      </x:c>
      <x:c r="AA375" s="66" t="n">
        <x:v>101950.1566170287</x:v>
      </x:c>
      <x:c r="AB375" s="66" t="n">
        <x:v>0</x:v>
      </x:c>
      <x:c r="AC375" s="66" t="n">
        <x:v>0</x:v>
      </x:c>
      <x:c r="AD375" s="66" t="n">
        <x:v>1538.2903185921605</x:v>
      </x:c>
      <x:c r="AE375" s="66" t="n">
        <x:v>72690.87155560551</x:v>
      </x:c>
      <x:c r="AF375" s="66" t="n">
        <x:v>131245.98689840082</x:v>
      </x:c>
      <x:c r="AG375" s="66" t="n">
        <x:v>0</x:v>
      </x:c>
      <x:c r="AH375" s="36" t="n">
        <x:v>1</x:v>
      </x:c>
    </x:row>
    <x:row r="376" ht="21.600000381469727" hidden="0" customHeight="1">
      <x:c r="A376" s="34" t="n">
        <x:v>93</x:v>
      </x:c>
      <x:c r="B376" s="34" t="str">
        <x:v>H3</x:v>
      </x:c>
      <x:c r="C376" s="34" t="str">
        <x:v>fast</x:v>
      </x:c>
      <x:c r="D376" s="74" t="n">
        <x:v>1.1904966299744326</x:v>
      </x:c>
      <x:c r="E376" s="74" t="n">
        <x:v>-0.01166203462281478</x:v>
      </x:c>
      <x:c r="F376" s="74" t="n">
        <x:v>0.9794336628288919</x:v>
      </x:c>
      <x:c r="G376" s="74" t="n">
        <x:v>0.9096727764560539</x:v>
      </x:c>
      <x:c r="H376" s="74" t="n">
        <x:v>0.8794600014716578</x:v>
      </x:c>
      <x:c r="I376" s="74" t="n">
        <x:v>0.8893739927467941</x:v>
      </x:c>
      <x:c r="J376" s="74" t="n">
        <x:v>0.7645160507410641</x:v>
      </x:c>
      <x:c r="K376" s="74" t="n">
        <x:v>0.9984050659170245</x:v>
      </x:c>
      <x:c r="L376" s="74" t="n">
        <x:v>0.9642148031610162</x:v>
      </x:c>
      <x:c r="M376" s="74" t="n">
        <x:v>0.9450058634673271</x:v>
      </x:c>
      <x:c r="N376" s="74" t="n">
        <x:v>0.776559602409538</x:v>
      </x:c>
      <x:c r="O376" s="65" t="n">
        <x:v>572688.1657498748</x:v>
      </x:c>
      <x:c r="P376" s="65" t="n">
        <x:v>438330.878489686</x:v>
      </x:c>
      <x:c r="Q376" s="65" t="n">
        <x:v>134357.28726018884</x:v>
      </x:c>
      <x:c r="R376" s="65" t="n">
        <x:v>100161.27825235462</x:v>
      </x:c>
      <x:c r="S376" s="65" t="n">
        <x:v>34196.009007834204</x:v>
      </x:c>
      <x:c r="T376" s="65" t="n">
        <x:v>132855.27095651053</x:v>
      </x:c>
      <x:c r="U376" s="43" t="n">
        <x:v>0.997377252764231</x:v>
      </x:c>
      <x:c r="V376" s="43" t="n">
        <x:v>0.9983480601102486</x:v>
      </x:c>
      <x:c r="W376" s="43" t="n">
        <x:v>0.9737725276423066</x:v>
      </x:c>
      <x:c r="X376" s="65" t="n">
        <x:v>12245669.037621602</x:v>
      </x:c>
      <x:c r="Y376" s="65" t="n">
        <x:v>21.382786951057717</x:v>
      </x:c>
      <x:c r="Z376" s="65" t="n">
        <x:v>1064426.630684766</x:v>
      </x:c>
      <x:c r="AA376" s="65" t="n">
        <x:v>87559.98604243448</x:v>
      </x:c>
      <x:c r="AB376" s="65" t="n">
        <x:v>4303.743261438397</x:v>
      </x:c>
      <x:c r="AC376" s="65" t="n">
        <x:v>2506.91360072343</x:v>
      </x:c>
      <x:c r="AD376" s="65" t="n">
        <x:v>1502.0163036782901</x:v>
      </x:c>
      <x:c r="AE376" s="65" t="n">
        <x:v>68630.23018238656</x:v>
      </x:c>
      <x:c r="AF376" s="65" t="n">
        <x:v>132855.2709565106</x:v>
      </x:c>
      <x:c r="AG376" s="65" t="n">
        <x:v>0</x:v>
      </x:c>
      <x:c r="AH376" s="34" t="n">
        <x:v>1</x:v>
      </x:c>
    </x:row>
    <x:row r="377" ht="15" hidden="0" customHeight="1">
      <x:c r="A377" s="36" t="n">
        <x:v>94</x:v>
      </x:c>
      <x:c r="B377" s="36" t="str">
        <x:v>M0</x:v>
      </x:c>
      <x:c r="C377" s="36" t="str">
        <x:v>slow</x:v>
      </x:c>
      <x:c r="D377" s="75" t="n">
        <x:v>0.9649189532320074</x:v>
      </x:c>
      <x:c r="E377" s="75" t="n">
        <x:v>0.0065727043488169185</x:v>
      </x:c>
      <x:c r="F377" s="75" t="n">
        <x:v>1.011555855931277</x:v>
      </x:c>
      <x:c r="G377" s="75" t="n">
        <x:v>1.2038674094543356</x:v>
      </x:c>
      <x:c r="H377" s="75" t="n">
        <x:v>0.962599612871285</x:v>
      </x:c>
      <x:c r="I377" s="75" t="n">
        <x:v>0.7812976127624867</x:v>
      </x:c>
      <x:c r="J377" s="75" t="n">
        <x:v>0.8537309859638843</x:v>
      </x:c>
      <x:c r="K377" s="75" t="n">
        <x:v>0.8297130349887105</x:v>
      </x:c>
      <x:c r="L377" s="75" t="n">
        <x:v>0.851444647224119</x:v>
      </x:c>
      <x:c r="M377" s="75" t="n">
        <x:v>0.7954951703045436</x:v>
      </x:c>
      <x:c r="N377" s="75" t="n">
        <x:v>0.8320067329467168</x:v>
      </x:c>
      <x:c r="O377" s="66" t="n">
        <x:v>464174.0694684665</x:v>
      </x:c>
      <x:c r="P377" s="66" t="n">
        <x:v>70584.82316052535</x:v>
      </x:c>
      <x:c r="Q377" s="66" t="n">
        <x:v>393589.24630794115</x:v>
      </x:c>
      <x:c r="R377" s="66" t="n">
        <x:v>89646.61240012803</x:v>
      </x:c>
      <x:c r="S377" s="66" t="n">
        <x:v>303942.6339078131</x:v>
      </x:c>
      <x:c r="T377" s="66" t="n">
        <x:v>245804.68264277163</x:v>
      </x:c>
      <x:c r="U377" s="45" t="n">
        <x:v>0.6816182260366244</x:v>
      </x:c>
      <x:c r="V377" s="45" t="n">
        <x:v>0.6719345961942821</x:v>
      </x:c>
      <x:c r="W377" s="45" t="n">
        <x:v>0.07993203178822075</x:v>
      </x:c>
      <x:c r="X377" s="66" t="n">
        <x:v>49459357.514916815</x:v>
      </x:c>
      <x:c r="Y377" s="66" t="n">
        <x:v>106.55346941623334</x:v>
      </x:c>
      <x:c r="Z377" s="66" t="n">
        <x:v>3420280.227671244</x:v>
      </x:c>
      <x:c r="AA377" s="66" t="n">
        <x:v>265170.21369274735</x:v>
      </x:c>
      <x:c r="AB377" s="66" t="n">
        <x:v>28457.006214374116</x:v>
      </x:c>
      <x:c r="AC377" s="66" t="n">
        <x:v>0</x:v>
      </x:c>
      <x:c r="AD377" s="66" t="n">
        <x:v>2526.319691350299</x:v>
      </x:c>
      <x:c r="AE377" s="66" t="n">
        <x:v>221842.88873390618</x:v>
      </x:c>
      <x:c r="AF377" s="66" t="n">
        <x:v>245804.68264277134</x:v>
      </x:c>
      <x:c r="AG377" s="66" t="n">
        <x:v>2.9103830456733704e-10</x:v>
      </x:c>
      <x:c r="AH377" s="36" t="n">
        <x:v>0</x:v>
      </x:c>
    </x:row>
    <x:row r="378" ht="15" hidden="0" customHeight="1">
      <x:c r="A378" s="34" t="n">
        <x:v>94</x:v>
      </x:c>
      <x:c r="B378" s="34" t="str">
        <x:v>B1</x:v>
      </x:c>
      <x:c r="C378" s="34" t="str">
        <x:v>slow</x:v>
      </x:c>
      <x:c r="D378" s="74" t="n">
        <x:v>0.9649189532320074</x:v>
      </x:c>
      <x:c r="E378" s="74" t="n">
        <x:v>0.0065727043488169185</x:v>
      </x:c>
      <x:c r="F378" s="74" t="n">
        <x:v>1.011555855931277</x:v>
      </x:c>
      <x:c r="G378" s="74" t="n">
        <x:v>1.2038674094543356</x:v>
      </x:c>
      <x:c r="H378" s="74" t="n">
        <x:v>0.962599612871285</x:v>
      </x:c>
      <x:c r="I378" s="74" t="n">
        <x:v>0.7812976127624867</x:v>
      </x:c>
      <x:c r="J378" s="74" t="n">
        <x:v>0.8537309859638843</x:v>
      </x:c>
      <x:c r="K378" s="74" t="n">
        <x:v>0.8297130349887105</x:v>
      </x:c>
      <x:c r="L378" s="74" t="n">
        <x:v>0.851444647224119</x:v>
      </x:c>
      <x:c r="M378" s="74" t="n">
        <x:v>0.7954951703045436</x:v>
      </x:c>
      <x:c r="N378" s="74" t="n">
        <x:v>0.8320067329467168</x:v>
      </x:c>
      <x:c r="O378" s="65" t="n">
        <x:v>464174.0694684665</x:v>
      </x:c>
      <x:c r="P378" s="65" t="n">
        <x:v>238764.76543350494</x:v>
      </x:c>
      <x:c r="Q378" s="65" t="n">
        <x:v>225409.3040349615</x:v>
      </x:c>
      <x:c r="R378" s="65" t="n">
        <x:v>89646.61240012803</x:v>
      </x:c>
      <x:c r="S378" s="65" t="n">
        <x:v>135762.6916348335</x:v>
      </x:c>
      <x:c r="T378" s="65" t="n">
        <x:v>130663.69719112507</x:v>
      </x:c>
      <x:c r="U378" s="43" t="n">
        <x:v>0.7958834560656712</x:v>
      </x:c>
      <x:c r="V378" s="43" t="n">
        <x:v>0.7870746242174301</x:v>
      </x:c>
      <x:c r="W378" s="43" t="n">
        <x:v>0.2774343017147747</x:v>
      </x:c>
      <x:c r="X378" s="65" t="n">
        <x:v>29637497.25370804</x:v>
      </x:c>
      <x:c r="Y378" s="65" t="n">
        <x:v>63.84996319946617</x:v>
      </x:c>
      <x:c r="Z378" s="65" t="n">
        <x:v>1126053.1541455635</x:v>
      </x:c>
      <x:c r="AA378" s="65" t="n">
        <x:v>141795.44663378235</x:v>
      </x:c>
      <x:c r="AB378" s="65" t="n">
        <x:v>7019.788797061655</x:v>
      </x:c>
      <x:c r="AC378" s="65" t="n">
        <x:v>281.53143996018196</x:v>
      </x:c>
      <x:c r="AD378" s="65" t="n">
        <x:v>1968.2052899718028</x:v>
      </x:c>
      <x:c r="AE378" s="65" t="n">
        <x:v>58778.31546452867</x:v>
      </x:c>
      <x:c r="AF378" s="65" t="n">
        <x:v>130663.69719112526</x:v>
      </x:c>
      <x:c r="AG378" s="65" t="n">
        <x:v>0</x:v>
      </x:c>
      <x:c r="AH378" s="34" t="n">
        <x:v>0</x:v>
      </x:c>
    </x:row>
    <x:row r="379" ht="15" hidden="0" customHeight="1">
      <x:c r="A379" s="36" t="n">
        <x:v>94</x:v>
      </x:c>
      <x:c r="B379" s="36" t="str">
        <x:v>P2</x:v>
      </x:c>
      <x:c r="C379" s="36" t="str">
        <x:v>slow</x:v>
      </x:c>
      <x:c r="D379" s="75" t="n">
        <x:v>0.9649189532320074</x:v>
      </x:c>
      <x:c r="E379" s="75" t="n">
        <x:v>0.0065727043488169185</x:v>
      </x:c>
      <x:c r="F379" s="75" t="n">
        <x:v>1.011555855931277</x:v>
      </x:c>
      <x:c r="G379" s="75" t="n">
        <x:v>1.2038674094543356</x:v>
      </x:c>
      <x:c r="H379" s="75" t="n">
        <x:v>0.962599612871285</x:v>
      </x:c>
      <x:c r="I379" s="75" t="n">
        <x:v>0.7812976127624867</x:v>
      </x:c>
      <x:c r="J379" s="75" t="n">
        <x:v>0.8537309859638843</x:v>
      </x:c>
      <x:c r="K379" s="75" t="n">
        <x:v>0.8297130349887105</x:v>
      </x:c>
      <x:c r="L379" s="75" t="n">
        <x:v>0.851444647224119</x:v>
      </x:c>
      <x:c r="M379" s="75" t="n">
        <x:v>0.7954951703045436</x:v>
      </x:c>
      <x:c r="N379" s="75" t="n">
        <x:v>0.8320067329467168</x:v>
      </x:c>
      <x:c r="O379" s="66" t="n">
        <x:v>464174.0694684665</x:v>
      </x:c>
      <x:c r="P379" s="66" t="n">
        <x:v>345896.24918174895</x:v>
      </x:c>
      <x:c r="Q379" s="66" t="n">
        <x:v>118277.82028671753</x:v>
      </x:c>
      <x:c r="R379" s="66" t="n">
        <x:v>89646.61240012803</x:v>
      </x:c>
      <x:c r="S379" s="66" t="n">
        <x:v>28631.207886589495</x:v>
      </x:c>
      <x:c r="T379" s="66" t="n">
        <x:v>55093.379583691756</x:v>
      </x:c>
      <x:c r="U379" s="45" t="n">
        <x:v>0.8638777026571532</x:v>
      </x:c>
      <x:c r="V379" s="45" t="n">
        <x:v>0.8596137365986934</x:v>
      </x:c>
      <x:c r="W379" s="45" t="n">
        <x:v>0.4076695801478158</x:v>
      </x:c>
      <x:c r="X379" s="66" t="n">
        <x:v>16517674.750828966</x:v>
      </x:c>
      <x:c r="Y379" s="66" t="n">
        <x:v>35.585087227607595</x:v>
      </x:c>
      <x:c r="Z379" s="66" t="n">
        <x:v>363193.0592675947</x:v>
      </x:c>
      <x:c r="AA379" s="66" t="n">
        <x:v>85606.94677632043</x:v>
      </x:c>
      <x:c r="AB379" s="66" t="n">
        <x:v>480.2847258256845</x:v>
      </x:c>
      <x:c r="AC379" s="66" t="n">
        <x:v>0</x:v>
      </x:c>
      <x:c r="AD379" s="66" t="n">
        <x:v>1629.6022156941144</x:v>
      </x:c>
      <x:c r="AE379" s="66" t="n">
        <x:v>11739.68693832348</x:v>
      </x:c>
      <x:c r="AF379" s="66" t="n">
        <x:v>55093.37958369177</x:v>
      </x:c>
      <x:c r="AG379" s="66" t="n">
        <x:v>0</x:v>
      </x:c>
      <x:c r="AH379" s="36" t="n">
        <x:v>0</x:v>
      </x:c>
    </x:row>
    <x:row r="380" ht="15" hidden="0" customHeight="1">
      <x:c r="A380" s="34" t="n">
        <x:v>94</x:v>
      </x:c>
      <x:c r="B380" s="34" t="str">
        <x:v>H3</x:v>
      </x:c>
      <x:c r="C380" s="34" t="str">
        <x:v>slow</x:v>
      </x:c>
      <x:c r="D380" s="74" t="n">
        <x:v>0.9649189532320074</x:v>
      </x:c>
      <x:c r="E380" s="74" t="n">
        <x:v>0.0065727043488169185</x:v>
      </x:c>
      <x:c r="F380" s="74" t="n">
        <x:v>1.011555855931277</x:v>
      </x:c>
      <x:c r="G380" s="74" t="n">
        <x:v>1.2038674094543356</x:v>
      </x:c>
      <x:c r="H380" s="74" t="n">
        <x:v>0.962599612871285</x:v>
      </x:c>
      <x:c r="I380" s="74" t="n">
        <x:v>0.7812976127624867</x:v>
      </x:c>
      <x:c r="J380" s="74" t="n">
        <x:v>0.8537309859638843</x:v>
      </x:c>
      <x:c r="K380" s="74" t="n">
        <x:v>0.8297130349887105</x:v>
      </x:c>
      <x:c r="L380" s="74" t="n">
        <x:v>0.851444647224119</x:v>
      </x:c>
      <x:c r="M380" s="74" t="n">
        <x:v>0.7954951703045436</x:v>
      </x:c>
      <x:c r="N380" s="74" t="n">
        <x:v>0.8320067329467168</x:v>
      </x:c>
      <x:c r="O380" s="65" t="n">
        <x:v>464174.0694684665</x:v>
      </x:c>
      <x:c r="P380" s="65" t="n">
        <x:v>358817.7920499988</x:v>
      </x:c>
      <x:c r="Q380" s="65" t="n">
        <x:v>105356.27741846768</x:v>
      </x:c>
      <x:c r="R380" s="65" t="n">
        <x:v>89646.61240012803</x:v>
      </x:c>
      <x:c r="S380" s="65" t="n">
        <x:v>15709.665018339669</x:v>
      </x:c>
      <x:c r="T380" s="65" t="n">
        <x:v>45983.647074159046</x:v>
      </x:c>
      <x:c r="U380" s="43" t="n">
        <x:v>0.872089730448973</x:v>
      </x:c>
      <x:c r="V380" s="43" t="n">
        <x:v>0.8685407327391024</x:v>
      </x:c>
      <x:c r="W380" s="43" t="n">
        <x:v>0.4240596035949647</x:v>
      </x:c>
      <x:c r="X380" s="65" t="n">
        <x:v>14204893.371823877</x:v>
      </x:c>
      <x:c r="Y380" s="65" t="n">
        <x:v>30.602513811446077</x:v>
      </x:c>
      <x:c r="Z380" s="65" t="n">
        <x:v>344997.7037620058</x:v>
      </x:c>
      <x:c r="AA380" s="65" t="n">
        <x:v>79502.7825447399</x:v>
      </x:c>
      <x:c r="AB380" s="65" t="n">
        <x:v>2070.1747650779403</x:v>
      </x:c>
      <x:c r="AC380" s="65" t="n">
        <x:v>0</x:v>
      </x:c>
      <x:c r="AD380" s="65" t="n">
        <x:v>1591.3687723395526</x:v>
      </x:c>
      <x:c r="AE380" s="65" t="n">
        <x:v>11436.144234722844</x:v>
      </x:c>
      <x:c r="AF380" s="65" t="n">
        <x:v>45983.64707415906</x:v>
      </x:c>
      <x:c r="AG380" s="65" t="n">
        <x:v>0</x:v>
      </x:c>
      <x:c r="AH380" s="34" t="n">
        <x:v>0</x:v>
      </x:c>
    </x:row>
    <x:row r="381" ht="15" hidden="0" customHeight="1">
      <x:c r="A381" s="36" t="n">
        <x:v>95</x:v>
      </x:c>
      <x:c r="B381" s="36" t="str">
        <x:v>M0</x:v>
      </x:c>
      <x:c r="C381" s="36" t="str">
        <x:v>fast</x:v>
      </x:c>
      <x:c r="D381" s="75" t="n">
        <x:v>1.1190028939663326</x:v>
      </x:c>
      <x:c r="E381" s="75" t="n">
        <x:v>0.06355193957979127</x:v>
      </x:c>
      <x:c r="F381" s="75" t="n">
        <x:v>0.8676315725071874</x:v>
      </x:c>
      <x:c r="G381" s="75" t="n">
        <x:v>1.2936598891207964</x:v>
      </x:c>
      <x:c r="H381" s="75" t="n">
        <x:v>0.9372912544998468</x:v>
      </x:c>
      <x:c r="I381" s="75" t="n">
        <x:v>0.8277588252634293</x:v>
      </x:c>
      <x:c r="J381" s="75" t="n">
        <x:v>0.9050795883033977</x:v>
      </x:c>
      <x:c r="K381" s="75" t="n">
        <x:v>0.8280621222033925</x:v>
      </x:c>
      <x:c r="L381" s="75" t="n">
        <x:v>0.7993640623416509</x:v>
      </x:c>
      <x:c r="M381" s="75" t="n">
        <x:v>0.9913554492882573</x:v>
      </x:c>
      <x:c r="N381" s="75" t="n">
        <x:v>0.8172200296068258</x:v>
      </x:c>
      <x:c r="O381" s="66" t="n">
        <x:v>538296.1183419256</x:v>
      </x:c>
      <x:c r="P381" s="66" t="n">
        <x:v>65250.729294303375</x:v>
      </x:c>
      <x:c r="Q381" s="66" t="n">
        <x:v>473045.3890476221</x:v>
      </x:c>
      <x:c r="R381" s="66" t="n">
        <x:v>134633.6125363483</x:v>
      </x:c>
      <x:c r="S381" s="66" t="n">
        <x:v>338411.7765112738</x:v>
      </x:c>
      <x:c r="T381" s="66" t="n">
        <x:v>243977.50870853313</x:v>
      </x:c>
      <x:c r="U381" s="45" t="n">
        <x:v>0.5744574918268587</x:v>
      </x:c>
      <x:c r="V381" s="45" t="n">
        <x:v>0.6064551293072737</x:v>
      </x:c>
      <x:c r="W381" s="45" t="n">
        <x:v>0.119540824682045</x:v>
      </x:c>
      <x:c r="X381" s="66" t="n">
        <x:v>64337871.17035831</x:v>
      </x:c>
      <x:c r="Y381" s="66" t="n">
        <x:v>119.52133589321353</x:v>
      </x:c>
      <x:c r="Z381" s="66" t="n">
        <x:v>4926776.039981743</x:v>
      </x:c>
      <x:c r="AA381" s="66" t="n">
        <x:v>353176.4221768958</x:v>
      </x:c>
      <x:c r="AB381" s="66" t="n">
        <x:v>42157.04825190019</x:v>
      </x:c>
      <x:c r="AC381" s="66" t="n">
        <x:v>0</x:v>
      </x:c>
      <x:c r="AD381" s="66" t="n">
        <x:v>2309.687581245898</x:v>
      </x:c>
      <x:c r="AE381" s="66" t="n">
        <x:v>196905.63500317995</x:v>
      </x:c>
      <x:c r="AF381" s="66" t="n">
        <x:v>243977.50870853313</x:v>
      </x:c>
      <x:c r="AG381" s="66" t="n">
        <x:v>0</x:v>
      </x:c>
      <x:c r="AH381" s="36" t="n">
        <x:v>0</x:v>
      </x:c>
    </x:row>
    <x:row r="382" ht="15" hidden="0" customHeight="1">
      <x:c r="A382" s="34" t="n">
        <x:v>95</x:v>
      </x:c>
      <x:c r="B382" s="34" t="str">
        <x:v>B1</x:v>
      </x:c>
      <x:c r="C382" s="34" t="str">
        <x:v>fast</x:v>
      </x:c>
      <x:c r="D382" s="74" t="n">
        <x:v>1.1190028939663326</x:v>
      </x:c>
      <x:c r="E382" s="74" t="n">
        <x:v>0.06355193957979127</x:v>
      </x:c>
      <x:c r="F382" s="74" t="n">
        <x:v>0.8676315725071874</x:v>
      </x:c>
      <x:c r="G382" s="74" t="n">
        <x:v>1.2936598891207964</x:v>
      </x:c>
      <x:c r="H382" s="74" t="n">
        <x:v>0.9372912544998468</x:v>
      </x:c>
      <x:c r="I382" s="74" t="n">
        <x:v>0.8277588252634293</x:v>
      </x:c>
      <x:c r="J382" s="74" t="n">
        <x:v>0.9050795883033977</x:v>
      </x:c>
      <x:c r="K382" s="74" t="n">
        <x:v>0.8280621222033925</x:v>
      </x:c>
      <x:c r="L382" s="74" t="n">
        <x:v>0.7993640623416509</x:v>
      </x:c>
      <x:c r="M382" s="74" t="n">
        <x:v>0.9913554492882573</x:v>
      </x:c>
      <x:c r="N382" s="74" t="n">
        <x:v>0.8172200296068258</x:v>
      </x:c>
      <x:c r="O382" s="65" t="n">
        <x:v>538296.1183419256</x:v>
      </x:c>
      <x:c r="P382" s="65" t="n">
        <x:v>220723.1187241521</x:v>
      </x:c>
      <x:c r="Q382" s="65" t="n">
        <x:v>317572.99961777334</x:v>
      </x:c>
      <x:c r="R382" s="65" t="n">
        <x:v>134633.6125363483</x:v>
      </x:c>
      <x:c r="S382" s="65" t="n">
        <x:v>182939.38708142508</x:v>
      </x:c>
      <x:c r="T382" s="65" t="n">
        <x:v>185108.76411480946</x:v>
      </x:c>
      <x:c r="U382" s="43" t="n">
        <x:v>0.7539193930824097</x:v>
      </x:c>
      <x:c r="V382" s="43" t="n">
        <x:v>0.7777362097832438</x:v>
      </x:c>
      <x:c r="W382" s="43" t="n">
        <x:v>0.4511876107774625</x:v>
      </x:c>
      <x:c r="X382" s="65" t="n">
        <x:v>43568851.20149461</x:v>
      </x:c>
      <x:c r="Y382" s="65" t="n">
        <x:v>80.93844580506466</x:v>
      </x:c>
      <x:c r="Z382" s="65" t="n">
        <x:v>2260609.77707989</x:v>
      </x:c>
      <x:c r="AA382" s="65" t="n">
        <x:v>237011.04850735696</x:v>
      </x:c>
      <x:c r="AB382" s="65" t="n">
        <x:v>12792.49384379338</x:v>
      </x:c>
      <x:c r="AC382" s="65" t="n">
        <x:v>0</x:v>
      </x:c>
      <x:c r="AD382" s="65" t="n">
        <x:v>1936.9435212111782</x:v>
      </x:c>
      <x:c r="AE382" s="65" t="n">
        <x:v>145836.68135493464</x:v>
      </x:c>
      <x:c r="AF382" s="65" t="n">
        <x:v>185108.76411480928</x:v>
      </x:c>
      <x:c r="AG382" s="65" t="n">
        <x:v>1.7462298274040222e-10</x:v>
      </x:c>
      <x:c r="AH382" s="34" t="n">
        <x:v>0</x:v>
      </x:c>
    </x:row>
    <x:row r="383" ht="15" hidden="0" customHeight="1">
      <x:c r="A383" s="36" t="n">
        <x:v>95</x:v>
      </x:c>
      <x:c r="B383" s="36" t="str">
        <x:v>P2</x:v>
      </x:c>
      <x:c r="C383" s="36" t="str">
        <x:v>fast</x:v>
      </x:c>
      <x:c r="D383" s="75" t="n">
        <x:v>1.1190028939663326</x:v>
      </x:c>
      <x:c r="E383" s="75" t="n">
        <x:v>0.06355193957979127</x:v>
      </x:c>
      <x:c r="F383" s="75" t="n">
        <x:v>0.8676315725071874</x:v>
      </x:c>
      <x:c r="G383" s="75" t="n">
        <x:v>1.2936598891207964</x:v>
      </x:c>
      <x:c r="H383" s="75" t="n">
        <x:v>0.9372912544998468</x:v>
      </x:c>
      <x:c r="I383" s="75" t="n">
        <x:v>0.8277588252634293</x:v>
      </x:c>
      <x:c r="J383" s="75" t="n">
        <x:v>0.9050795883033977</x:v>
      </x:c>
      <x:c r="K383" s="75" t="n">
        <x:v>0.8280621222033925</x:v>
      </x:c>
      <x:c r="L383" s="75" t="n">
        <x:v>0.7993640623416509</x:v>
      </x:c>
      <x:c r="M383" s="75" t="n">
        <x:v>0.9913554492882573</x:v>
      </x:c>
      <x:c r="N383" s="75" t="n">
        <x:v>0.8172200296068258</x:v>
      </x:c>
      <x:c r="O383" s="66" t="n">
        <x:v>538296.1183419256</x:v>
      </x:c>
      <x:c r="P383" s="66" t="n">
        <x:v>319760.95755072555</x:v>
      </x:c>
      <x:c r="Q383" s="66" t="n">
        <x:v>218535.1607911999</x:v>
      </x:c>
      <x:c r="R383" s="66" t="n">
        <x:v>134633.6125363483</x:v>
      </x:c>
      <x:c r="S383" s="66" t="n">
        <x:v>83901.5482548516</x:v>
      </x:c>
      <x:c r="T383" s="66" t="n">
        <x:v>124208.448565008</x:v>
      </x:c>
      <x:c r="U383" s="45" t="n">
        <x:v>0.8247679873361531</x:v>
      </x:c>
      <x:c r="V383" s="45" t="n">
        <x:v>0.8384243335028813</x:v>
      </x:c>
      <x:c r="W383" s="45" t="n">
        <x:v>0.6347784269896893</x:v>
      </x:c>
      <x:c r="X383" s="66" t="n">
        <x:v>28388169.88302935</x:v>
      </x:c>
      <x:c r="Y383" s="66" t="n">
        <x:v>52.73708822287511</x:v>
      </x:c>
      <x:c r="Z383" s="66" t="n">
        <x:v>1006945.7654431821</x:v>
      </x:c>
      <x:c r="AA383" s="66" t="n">
        <x:v>162378.7981553555</x:v>
      </x:c>
      <x:c r="AB383" s="66" t="n">
        <x:v>360.64128825809615</x:v>
      </x:c>
      <x:c r="AC383" s="66" t="n">
        <x:v>18276.750607384885</x:v>
      </x:c>
      <x:c r="AD383" s="66" t="n">
        <x:v>1711.7198898802362</x:v>
      </x:c>
      <x:c r="AE383" s="66" t="n">
        <x:v>82421.69959636441</x:v>
      </x:c>
      <x:c r="AF383" s="66" t="n">
        <x:v>124208.44856500792</x:v>
      </x:c>
      <x:c r="AG383" s="66" t="n">
        <x:v>8.731149137020111e-11</x:v>
      </x:c>
      <x:c r="AH383" s="36" t="n">
        <x:v>0</x:v>
      </x:c>
    </x:row>
    <x:row r="384" ht="15" hidden="0" customHeight="1">
      <x:c r="A384" s="34" t="n">
        <x:v>95</x:v>
      </x:c>
      <x:c r="B384" s="34" t="str">
        <x:v>H3</x:v>
      </x:c>
      <x:c r="C384" s="34" t="str">
        <x:v>fast</x:v>
      </x:c>
      <x:c r="D384" s="74" t="n">
        <x:v>1.1190028939663326</x:v>
      </x:c>
      <x:c r="E384" s="74" t="n">
        <x:v>0.06355193957979127</x:v>
      </x:c>
      <x:c r="F384" s="74" t="n">
        <x:v>0.8676315725071874</x:v>
      </x:c>
      <x:c r="G384" s="74" t="n">
        <x:v>1.2936598891207964</x:v>
      </x:c>
      <x:c r="H384" s="74" t="n">
        <x:v>0.9372912544998468</x:v>
      </x:c>
      <x:c r="I384" s="74" t="n">
        <x:v>0.8277588252634293</x:v>
      </x:c>
      <x:c r="J384" s="74" t="n">
        <x:v>0.9050795883033977</x:v>
      </x:c>
      <x:c r="K384" s="74" t="n">
        <x:v>0.8280621222033925</x:v>
      </x:c>
      <x:c r="L384" s="74" t="n">
        <x:v>0.7993640623416509</x:v>
      </x:c>
      <x:c r="M384" s="74" t="n">
        <x:v>0.9913554492882573</x:v>
      </x:c>
      <x:c r="N384" s="74" t="n">
        <x:v>0.8172200296068258</x:v>
      </x:c>
      <x:c r="O384" s="65" t="n">
        <x:v>538296.1183419256</x:v>
      </x:c>
      <x:c r="P384" s="65" t="n">
        <x:v>331706.46888312016</x:v>
      </x:c>
      <x:c r="Q384" s="65" t="n">
        <x:v>206589.64945880533</x:v>
      </x:c>
      <x:c r="R384" s="65" t="n">
        <x:v>134633.6125363483</x:v>
      </x:c>
      <x:c r="S384" s="65" t="n">
        <x:v>71956.03692245705</x:v>
      </x:c>
      <x:c r="T384" s="65" t="n">
        <x:v>200274.90814560492</x:v>
      </x:c>
      <x:c r="U384" s="43" t="n">
        <x:v>0.988269019415092</x:v>
      </x:c>
      <x:c r="V384" s="43" t="n">
        <x:v>0.9907112781962136</x:v>
      </x:c>
      <x:c r="W384" s="43" t="n">
        <x:v>0.8826901941509208</x:v>
      </x:c>
      <x:c r="X384" s="65" t="n">
        <x:v>21425286.732322693</x:v>
      </x:c>
      <x:c r="Y384" s="65" t="n">
        <x:v>39.8020457556288</x:v>
      </x:c>
      <x:c r="Z384" s="65" t="n">
        <x:v>2510734.1871925397</x:v>
      </x:c>
      <x:c r="AA384" s="65" t="n">
        <x:v>129892.86803747776</x:v>
      </x:c>
      <x:c r="AB384" s="65" t="n">
        <x:v>16404.026898577995</x:v>
      </x:c>
      <x:c r="AC384" s="65" t="n">
        <x:v>2589.303131116827</x:v>
      </x:c>
      <x:c r="AD384" s="65" t="n">
        <x:v>1686.4370439563172</x:v>
      </x:c>
      <x:c r="AE384" s="65" t="n">
        <x:v>94363.19230856019</x:v>
      </x:c>
      <x:c r="AF384" s="65" t="n">
        <x:v>200274.908145605</x:v>
      </x:c>
      <x:c r="AG384" s="65" t="n">
        <x:v>0</x:v>
      </x:c>
      <x:c r="AH384" s="34" t="n">
        <x:v>1</x:v>
      </x:c>
    </x:row>
    <x:row r="385" ht="15" hidden="0" customHeight="1">
      <x:c r="A385" s="36" t="n">
        <x:v>96</x:v>
      </x:c>
      <x:c r="B385" s="36" t="str">
        <x:v>M0</x:v>
      </x:c>
      <x:c r="C385" s="36" t="str">
        <x:v>reference</x:v>
      </x:c>
      <x:c r="D385" s="75" t="n">
        <x:v>1.0804679638847565</x:v>
      </x:c>
      <x:c r="E385" s="75" t="n">
        <x:v>0.09858619758918902</x:v>
      </x:c>
      <x:c r="F385" s="75" t="n">
        <x:v>0.7433375595717666</x:v>
      </x:c>
      <x:c r="G385" s="75" t="n">
        <x:v>0.9346026438925762</x:v>
      </x:c>
      <x:c r="H385" s="75" t="n">
        <x:v>1.0132862698005036</x:v>
      </x:c>
      <x:c r="I385" s="75" t="n">
        <x:v>0.9512914547484885</x:v>
      </x:c>
      <x:c r="J385" s="75" t="n">
        <x:v>1.0626766513626902</x:v>
      </x:c>
      <x:c r="K385" s="75" t="n">
        <x:v>0.8324248667926081</x:v>
      </x:c>
      <x:c r="L385" s="75" t="n">
        <x:v>0.7849293650629796</x:v>
      </x:c>
      <x:c r="M385" s="75" t="n">
        <x:v>0.9039255072108857</x:v>
      </x:c>
      <x:c r="N385" s="75" t="n">
        <x:v>0.9454991127996891</x:v>
      </x:c>
      <x:c r="O385" s="66" t="n">
        <x:v>519758.8979331694</x:v>
      </x:c>
      <x:c r="P385" s="66" t="n">
        <x:v>51455.67949104356</x:v>
      </x:c>
      <x:c r="Q385" s="66" t="n">
        <x:v>468303.2184421258</x:v>
      </x:c>
      <x:c r="R385" s="66" t="n">
        <x:v>148206.6229181403</x:v>
      </x:c>
      <x:c r="S385" s="66" t="n">
        <x:v>320096.59552398545</x:v>
      </x:c>
      <x:c r="T385" s="66" t="n">
        <x:v>258666.2704318745</x:v>
      </x:c>
      <x:c r="U385" s="45" t="n">
        <x:v>0.5966650136363678</x:v>
      </x:c>
      <x:c r="V385" s="45" t="n">
        <x:v>0.6314288676944545</x:v>
      </x:c>
      <x:c r="W385" s="45" t="n">
        <x:v>0.10025077935546649</x:v>
      </x:c>
      <x:c r="X385" s="66" t="n">
        <x:v>62366984.68233953</x:v>
      </x:c>
      <x:c r="Y385" s="66" t="n">
        <x:v>119.99214430064201</x:v>
      </x:c>
      <x:c r="Z385" s="66" t="n">
        <x:v>3945587.926248088</x:v>
      </x:c>
      <x:c r="AA385" s="66" t="n">
        <x:v>350269.6379861726</x:v>
      </x:c>
      <x:c r="AB385" s="66" t="n">
        <x:v>29377.45569864754</x:v>
      </x:c>
      <x:c r="AC385" s="66" t="n">
        <x:v>0</x:v>
      </x:c>
      <x:c r="AD385" s="66" t="n">
        <x:v>2265.2634423844324</x:v>
      </x:c>
      <x:c r="AE385" s="66" t="n">
        <x:v>204205.52153461246</x:v>
      </x:c>
      <x:c r="AF385" s="66" t="n">
        <x:v>258666.27043187452</x:v>
      </x:c>
      <x:c r="AG385" s="66" t="n">
        <x:v>0</x:v>
      </x:c>
      <x:c r="AH385" s="36" t="n">
        <x:v>0</x:v>
      </x:c>
    </x:row>
    <x:row r="386" ht="15" hidden="0" customHeight="1">
      <x:c r="A386" s="34" t="n">
        <x:v>96</x:v>
      </x:c>
      <x:c r="B386" s="34" t="str">
        <x:v>B1</x:v>
      </x:c>
      <x:c r="C386" s="34" t="str">
        <x:v>reference</x:v>
      </x:c>
      <x:c r="D386" s="74" t="n">
        <x:v>1.0804679638847565</x:v>
      </x:c>
      <x:c r="E386" s="74" t="n">
        <x:v>0.09858619758918902</x:v>
      </x:c>
      <x:c r="F386" s="74" t="n">
        <x:v>0.7433375595717666</x:v>
      </x:c>
      <x:c r="G386" s="74" t="n">
        <x:v>0.9346026438925762</x:v>
      </x:c>
      <x:c r="H386" s="74" t="n">
        <x:v>1.0132862698005036</x:v>
      </x:c>
      <x:c r="I386" s="74" t="n">
        <x:v>0.9512914547484885</x:v>
      </x:c>
      <x:c r="J386" s="74" t="n">
        <x:v>1.0626766513626902</x:v>
      </x:c>
      <x:c r="K386" s="74" t="n">
        <x:v>0.8324248667926081</x:v>
      </x:c>
      <x:c r="L386" s="74" t="n">
        <x:v>0.7849293650629796</x:v>
      </x:c>
      <x:c r="M386" s="74" t="n">
        <x:v>0.9039255072108857</x:v>
      </x:c>
      <x:c r="N386" s="74" t="n">
        <x:v>0.9454991127996891</x:v>
      </x:c>
      <x:c r="O386" s="65" t="n">
        <x:v>519758.8979331694</x:v>
      </x:c>
      <x:c r="P386" s="65" t="n">
        <x:v>174059.7008681497</x:v>
      </x:c>
      <x:c r="Q386" s="65" t="n">
        <x:v>345699.1970650197</x:v>
      </x:c>
      <x:c r="R386" s="65" t="n">
        <x:v>148206.6229181403</x:v>
      </x:c>
      <x:c r="S386" s="65" t="n">
        <x:v>197492.5741468793</x:v>
      </x:c>
      <x:c r="T386" s="65" t="n">
        <x:v>196668.60997800448</x:v>
      </x:c>
      <x:c r="U386" s="43" t="n">
        <x:v>0.7132697724278737</x:v>
      </x:c>
      <x:c r="V386" s="43" t="n">
        <x:v>0.7568613625209507</x:v>
      </x:c>
      <x:c r="W386" s="43" t="n">
        <x:v>0.3536672826753109</x:v>
      </x:c>
      <x:c r="X386" s="65" t="n">
        <x:v>46742214.40021111</x:v>
      </x:c>
      <x:c r="Y386" s="65" t="n">
        <x:v>89.93057085907017</x:v>
      </x:c>
      <x:c r="Z386" s="65" t="n">
        <x:v>1451538.2821795463</x:v>
      </x:c>
      <x:c r="AA386" s="65" t="n">
        <x:v>264524.9752513346</x:v>
      </x:c>
      <x:c r="AB386" s="65" t="n">
        <x:v>3421.968509192222</x:v>
      </x:c>
      <x:c r="AC386" s="65" t="n">
        <x:v>1470.476567308109</x:v>
      </x:c>
      <x:c r="AD386" s="65" t="n">
        <x:v>1984.8687234962154</x:v>
      </x:c>
      <x:c r="AE386" s="65" t="n">
        <x:v>140600.24176835397</x:v>
      </x:c>
      <x:c r="AF386" s="65" t="n">
        <x:v>196668.60997800445</x:v>
      </x:c>
      <x:c r="AG386" s="65" t="n">
        <x:v>2.9103830456733704e-11</x:v>
      </x:c>
      <x:c r="AH386" s="34" t="n">
        <x:v>0</x:v>
      </x:c>
    </x:row>
    <x:row r="387" ht="15" hidden="0" customHeight="1">
      <x:c r="A387" s="36" t="n">
        <x:v>96</x:v>
      </x:c>
      <x:c r="B387" s="36" t="str">
        <x:v>P2</x:v>
      </x:c>
      <x:c r="C387" s="36" t="str">
        <x:v>reference</x:v>
      </x:c>
      <x:c r="D387" s="75" t="n">
        <x:v>1.0804679638847565</x:v>
      </x:c>
      <x:c r="E387" s="75" t="n">
        <x:v>0.09858619758918902</x:v>
      </x:c>
      <x:c r="F387" s="75" t="n">
        <x:v>0.7433375595717666</x:v>
      </x:c>
      <x:c r="G387" s="75" t="n">
        <x:v>0.9346026438925762</x:v>
      </x:c>
      <x:c r="H387" s="75" t="n">
        <x:v>1.0132862698005036</x:v>
      </x:c>
      <x:c r="I387" s="75" t="n">
        <x:v>0.9512914547484885</x:v>
      </x:c>
      <x:c r="J387" s="75" t="n">
        <x:v>1.0626766513626902</x:v>
      </x:c>
      <x:c r="K387" s="75" t="n">
        <x:v>0.8324248667926081</x:v>
      </x:c>
      <x:c r="L387" s="75" t="n">
        <x:v>0.7849293650629796</x:v>
      </x:c>
      <x:c r="M387" s="75" t="n">
        <x:v>0.9039255072108857</x:v>
      </x:c>
      <x:c r="N387" s="75" t="n">
        <x:v>0.9454991127996891</x:v>
      </x:c>
      <x:c r="O387" s="66" t="n">
        <x:v>519758.8979331694</x:v>
      </x:c>
      <x:c r="P387" s="66" t="n">
        <x:v>252160.60103228342</x:v>
      </x:c>
      <x:c r="Q387" s="66" t="n">
        <x:v>267598.29690088594</x:v>
      </x:c>
      <x:c r="R387" s="66" t="n">
        <x:v>148206.6229181403</x:v>
      </x:c>
      <x:c r="S387" s="66" t="n">
        <x:v>119391.6739827456</x:v>
      </x:c>
      <x:c r="T387" s="66" t="n">
        <x:v>124863.15060859626</x:v>
      </x:c>
      <x:c r="U387" s="45" t="n">
        <x:v>0.7253820052722934</x:v>
      </x:c>
      <x:c r="V387" s="45" t="n">
        <x:v>0.7686148225460234</x:v>
      </x:c>
      <x:c r="W387" s="45" t="n">
        <x:v>0.33952725901046715</x:v>
      </x:c>
      <x:c r="X387" s="66" t="n">
        <x:v>36139467.54306314</x:v>
      </x:c>
      <x:c r="Y387" s="66" t="n">
        <x:v>69.53121473585615</x:v>
      </x:c>
      <x:c r="Z387" s="66" t="n">
        <x:v>1036943.1807769996</x:v>
      </x:c>
      <x:c r="AA387" s="66" t="n">
        <x:v>209379.94295332552</x:v>
      </x:c>
      <x:c r="AB387" s="66" t="n">
        <x:v>113.21451717226961</x:v>
      </x:c>
      <x:c r="AC387" s="66" t="n">
        <x:v>21973.641399087377</x:v>
      </x:c>
      <x:c r="AD387" s="66" t="n">
        <x:v>1815.4454554550275</x:v>
      </x:c>
      <x:c r="AE387" s="66" t="n">
        <x:v>63359.67933328891</x:v>
      </x:c>
      <x:c r="AF387" s="66" t="n">
        <x:v>124863.15060859636</x:v>
      </x:c>
      <x:c r="AG387" s="66" t="n">
        <x:v>0</x:v>
      </x:c>
      <x:c r="AH387" s="36" t="n">
        <x:v>0</x:v>
      </x:c>
    </x:row>
    <x:row r="388" ht="15" hidden="0" customHeight="1">
      <x:c r="A388" s="34" t="n">
        <x:v>96</x:v>
      </x:c>
      <x:c r="B388" s="34" t="str">
        <x:v>H3</x:v>
      </x:c>
      <x:c r="C388" s="34" t="str">
        <x:v>reference</x:v>
      </x:c>
      <x:c r="D388" s="74" t="n">
        <x:v>1.0804679638847565</x:v>
      </x:c>
      <x:c r="E388" s="74" t="n">
        <x:v>0.09858619758918902</x:v>
      </x:c>
      <x:c r="F388" s="74" t="n">
        <x:v>0.7433375595717666</x:v>
      </x:c>
      <x:c r="G388" s="74" t="n">
        <x:v>0.9346026438925762</x:v>
      </x:c>
      <x:c r="H388" s="74" t="n">
        <x:v>1.0132862698005036</x:v>
      </x:c>
      <x:c r="I388" s="74" t="n">
        <x:v>0.9512914547484885</x:v>
      </x:c>
      <x:c r="J388" s="74" t="n">
        <x:v>1.0626766513626902</x:v>
      </x:c>
      <x:c r="K388" s="74" t="n">
        <x:v>0.8324248667926081</x:v>
      </x:c>
      <x:c r="L388" s="74" t="n">
        <x:v>0.7849293650629796</x:v>
      </x:c>
      <x:c r="M388" s="74" t="n">
        <x:v>0.9039255072108857</x:v>
      </x:c>
      <x:c r="N388" s="74" t="n">
        <x:v>0.9454991127996891</x:v>
      </x:c>
      <x:c r="O388" s="65" t="n">
        <x:v>519758.8979331694</x:v>
      </x:c>
      <x:c r="P388" s="65" t="n">
        <x:v>261580.8857076412</x:v>
      </x:c>
      <x:c r="Q388" s="65" t="n">
        <x:v>258178.01222552813</x:v>
      </x:c>
      <x:c r="R388" s="65" t="n">
        <x:v>148206.6229181403</x:v>
      </x:c>
      <x:c r="S388" s="65" t="n">
        <x:v>109971.38930738781</x:v>
      </x:c>
      <x:c r="T388" s="65" t="n">
        <x:v>208105.5768525202</x:v>
      </x:c>
      <x:c r="U388" s="43" t="n">
        <x:v>0.9036621872715948</x:v>
      </x:c>
      <x:c r="V388" s="43" t="n">
        <x:v>0.911949493721357</x:v>
      </x:c>
      <x:c r="W388" s="43" t="n">
        <x:v>0.5331817914936737</x:v>
      </x:c>
      <x:c r="X388" s="65" t="n">
        <x:v>27511663.245052762</x:v>
      </x:c>
      <x:c r="Y388" s="65" t="n">
        <x:v>52.931586846234644</x:v>
      </x:c>
      <x:c r="Z388" s="65" t="n">
        <x:v>2187815.72947324</x:v>
      </x:c>
      <x:c r="AA388" s="65" t="n">
        <x:v>169501.2769996447</x:v>
      </x:c>
      <x:c r="AB388" s="65" t="n">
        <x:v>7530.429569903705</x:v>
      </x:c>
      <x:c r="AC388" s="65" t="n">
        <x:v>35204.82709758675</x:v>
      </x:c>
      <x:c r="AD388" s="65" t="n">
        <x:v>1796.4265702852113</x:v>
      </x:c>
      <x:c r="AE388" s="65" t="n">
        <x:v>85568.89183368038</x:v>
      </x:c>
      <x:c r="AF388" s="65" t="n">
        <x:v>208105.57685252023</x:v>
      </x:c>
      <x:c r="AG388" s="65" t="n">
        <x:v>0</x:v>
      </x:c>
      <x:c r="AH388" s="34" t="n">
        <x:v>0</x:v>
      </x:c>
    </x:row>
    <x:row r="389" ht="15" hidden="0" customHeight="1">
      <x:c r="A389" s="36" t="n">
        <x:v>97</x:v>
      </x:c>
      <x:c r="B389" s="36" t="str">
        <x:v>M0</x:v>
      </x:c>
      <x:c r="C389" s="36" t="str">
        <x:v>reference</x:v>
      </x:c>
      <x:c r="D389" s="75" t="n">
        <x:v>1.1009287067697304</x:v>
      </x:c>
      <x:c r="E389" s="75" t="n">
        <x:v>0.021714730199666972</x:v>
      </x:c>
      <x:c r="F389" s="75" t="n">
        <x:v>0.9395587224693734</x:v>
      </x:c>
      <x:c r="G389" s="75" t="n">
        <x:v>1.2674843338163126</x:v>
      </x:c>
      <x:c r="H389" s="75" t="n">
        <x:v>0.7444638584745934</x:v>
      </x:c>
      <x:c r="I389" s="75" t="n">
        <x:v>0.8916173732291478</x:v>
      </x:c>
      <x:c r="J389" s="75" t="n">
        <x:v>1.0308755063307475</x:v>
      </x:c>
      <x:c r="K389" s="75" t="n">
        <x:v>0.7556032389476587</x:v>
      </x:c>
      <x:c r="L389" s="75" t="n">
        <x:v>0.8722175105662212</x:v>
      </x:c>
      <x:c r="M389" s="75" t="n">
        <x:v>0.808077331334101</x:v>
      </x:c>
      <x:c r="N389" s="75" t="n">
        <x:v>0.8483252224736375</x:v>
      </x:c>
      <x:c r="O389" s="66" t="n">
        <x:v>529601.5342058374</x:v>
      </x:c>
      <x:c r="P389" s="66" t="n">
        <x:v>73398.06303321762</x:v>
      </x:c>
      <x:c r="Q389" s="66" t="n">
        <x:v>456203.47117261984</x:v>
      </x:c>
      <x:c r="R389" s="66" t="n">
        <x:v>110301.95384110624</x:v>
      </x:c>
      <x:c r="S389" s="66" t="n">
        <x:v>345901.5173315136</x:v>
      </x:c>
      <x:c r="T389" s="66" t="n">
        <x:v>245263.71548743694</x:v>
      </x:c>
      <x:c r="U389" s="45" t="n">
        <x:v>0.6017010109279668</x:v>
      </x:c>
      <x:c r="V389" s="45" t="n">
        <x:v>0.629380687983812</x:v>
      </x:c>
      <x:c r="W389" s="45" t="n">
        <x:v>0.13563509120405645</x:v>
      </x:c>
      <x:c r="X389" s="66" t="n">
        <x:v>62160011.04509747</x:v>
      </x:c>
      <x:c r="Y389" s="66" t="n">
        <x:v>117.37128204945508</x:v>
      </x:c>
      <x:c r="Z389" s="66" t="n">
        <x:v>4019986.1121354178</x:v>
      </x:c>
      <x:c r="AA389" s="66" t="n">
        <x:v>341244.5004612099</x:v>
      </x:c>
      <x:c r="AB389" s="66" t="n">
        <x:v>30484.7662957195</x:v>
      </x:c>
      <x:c r="AC389" s="66" t="n">
        <x:v>0</x:v>
      </x:c>
      <x:c r="AD389" s="66" t="n">
        <x:v>2239.969210320355</x:v>
      </x:c>
      <x:c r="AE389" s="66" t="n">
        <x:v>220831.94908019618</x:v>
      </x:c>
      <x:c r="AF389" s="66" t="n">
        <x:v>245263.71548743662</x:v>
      </x:c>
      <x:c r="AG389" s="66" t="n">
        <x:v>3.2014213502407074e-10</x:v>
      </x:c>
      <x:c r="AH389" s="36" t="n">
        <x:v>0</x:v>
      </x:c>
    </x:row>
    <x:row r="390" ht="15" hidden="0" customHeight="1">
      <x:c r="A390" s="34" t="n">
        <x:v>97</x:v>
      </x:c>
      <x:c r="B390" s="34" t="str">
        <x:v>B1</x:v>
      </x:c>
      <x:c r="C390" s="34" t="str">
        <x:v>reference</x:v>
      </x:c>
      <x:c r="D390" s="74" t="n">
        <x:v>1.1009287067697304</x:v>
      </x:c>
      <x:c r="E390" s="74" t="n">
        <x:v>0.021714730199666972</x:v>
      </x:c>
      <x:c r="F390" s="74" t="n">
        <x:v>0.9395587224693734</x:v>
      </x:c>
      <x:c r="G390" s="74" t="n">
        <x:v>1.2674843338163126</x:v>
      </x:c>
      <x:c r="H390" s="74" t="n">
        <x:v>0.7444638584745934</x:v>
      </x:c>
      <x:c r="I390" s="74" t="n">
        <x:v>0.8916173732291478</x:v>
      </x:c>
      <x:c r="J390" s="74" t="n">
        <x:v>1.0308755063307475</x:v>
      </x:c>
      <x:c r="K390" s="74" t="n">
        <x:v>0.7556032389476587</x:v>
      </x:c>
      <x:c r="L390" s="74" t="n">
        <x:v>0.8722175105662212</x:v>
      </x:c>
      <x:c r="M390" s="74" t="n">
        <x:v>0.808077331334101</x:v>
      </x:c>
      <x:c r="N390" s="74" t="n">
        <x:v>0.8483252224736375</x:v>
      </x:c>
      <x:c r="O390" s="65" t="n">
        <x:v>529601.5342058374</x:v>
      </x:c>
      <x:c r="P390" s="65" t="n">
        <x:v>248281.52201388672</x:v>
      </x:c>
      <x:c r="Q390" s="65" t="n">
        <x:v>281320.01219195075</x:v>
      </x:c>
      <x:c r="R390" s="65" t="n">
        <x:v>110301.95384110624</x:v>
      </x:c>
      <x:c r="S390" s="65" t="n">
        <x:v>171018.05835084448</x:v>
      </x:c>
      <x:c r="T390" s="65" t="n">
        <x:v>177969.55384985456</x:v>
      </x:c>
      <x:c r="U390" s="43" t="n">
        <x:v>0.8048524189094826</x:v>
      </x:c>
      <x:c r="V390" s="43" t="n">
        <x:v>0.8366768181270238</x:v>
      </x:c>
      <x:c r="W390" s="43" t="n">
        <x:v>0.49119509407678325</x:v>
      </x:c>
      <x:c r="X390" s="65" t="n">
        <x:v>38558459.22584668</x:v>
      </x:c>
      <x:c r="Y390" s="65" t="n">
        <x:v>72.80654744262951</x:v>
      </x:c>
      <x:c r="Z390" s="65" t="n">
        <x:v>1195297.8079840287</x:v>
      </x:c>
      <x:c r="AA390" s="65" t="n">
        <x:v>207608.3278203791</x:v>
      </x:c>
      <x:c r="AB390" s="65" t="n">
        <x:v>2282.3434314997207</x:v>
      </x:c>
      <x:c r="AC390" s="65" t="n">
        <x:v>0</x:v>
      </x:c>
      <x:c r="AD390" s="65" t="n">
        <x:v>1799.8510336915278</x:v>
      </x:c>
      <x:c r="AE390" s="65" t="n">
        <x:v>122598.68828852475</x:v>
      </x:c>
      <x:c r="AF390" s="65" t="n">
        <x:v>177969.55384985454</x:v>
      </x:c>
      <x:c r="AG390" s="65" t="n">
        <x:v>2.9103830456733704e-11</x:v>
      </x:c>
      <x:c r="AH390" s="34" t="n">
        <x:v>0</x:v>
      </x:c>
    </x:row>
    <x:row r="391" ht="15" hidden="0" customHeight="1">
      <x:c r="A391" s="36" t="n">
        <x:v>97</x:v>
      </x:c>
      <x:c r="B391" s="36" t="str">
        <x:v>P2</x:v>
      </x:c>
      <x:c r="C391" s="36" t="str">
        <x:v>reference</x:v>
      </x:c>
      <x:c r="D391" s="75" t="n">
        <x:v>1.1009287067697304</x:v>
      </x:c>
      <x:c r="E391" s="75" t="n">
        <x:v>0.021714730199666972</x:v>
      </x:c>
      <x:c r="F391" s="75" t="n">
        <x:v>0.9395587224693734</x:v>
      </x:c>
      <x:c r="G391" s="75" t="n">
        <x:v>1.2674843338163126</x:v>
      </x:c>
      <x:c r="H391" s="75" t="n">
        <x:v>0.7444638584745934</x:v>
      </x:c>
      <x:c r="I391" s="75" t="n">
        <x:v>0.8916173732291478</x:v>
      </x:c>
      <x:c r="J391" s="75" t="n">
        <x:v>1.0308755063307475</x:v>
      </x:c>
      <x:c r="K391" s="75" t="n">
        <x:v>0.7556032389476587</x:v>
      </x:c>
      <x:c r="L391" s="75" t="n">
        <x:v>0.8722175105662212</x:v>
      </x:c>
      <x:c r="M391" s="75" t="n">
        <x:v>0.808077331334101</x:v>
      </x:c>
      <x:c r="N391" s="75" t="n">
        <x:v>0.8483252224736375</x:v>
      </x:c>
      <x:c r="O391" s="66" t="n">
        <x:v>529601.5342058374</x:v>
      </x:c>
      <x:c r="P391" s="66" t="n">
        <x:v>359683.5004966905</x:v>
      </x:c>
      <x:c r="Q391" s="66" t="n">
        <x:v>169918.03370914693</x:v>
      </x:c>
      <x:c r="R391" s="66" t="n">
        <x:v>110301.95384110624</x:v>
      </x:c>
      <x:c r="S391" s="66" t="n">
        <x:v>59616.07986804067</x:v>
      </x:c>
      <x:c r="T391" s="66" t="n">
        <x:v>113217.32821482493</x:v>
      </x:c>
      <x:c r="U391" s="45" t="n">
        <x:v>0.8929370444907275</x:v>
      </x:c>
      <x:c r="V391" s="45" t="n">
        <x:v>0.9126301430037804</x:v>
      </x:c>
      <x:c r="W391" s="45" t="n">
        <x:v>0.5964233818308876</x:v>
      </x:c>
      <x:c r="X391" s="66" t="n">
        <x:v>22099335.97022308</x:v>
      </x:c>
      <x:c r="Y391" s="66" t="n">
        <x:v>41.7282325349795</x:v>
      </x:c>
      <x:c r="Z391" s="66" t="n">
        <x:v>727607.5727496919</x:v>
      </x:c>
      <x:c r="AA391" s="66" t="n">
        <x:v>124131.8011373489</x:v>
      </x:c>
      <x:c r="AB391" s="66" t="n">
        <x:v>0</x:v>
      </x:c>
      <x:c r="AC391" s="66" t="n">
        <x:v>6382.9337389521515</x:v>
      </x:c>
      <x:c r="AD391" s="66" t="n">
        <x:v>1533.9178516956451</x:v>
      </x:c>
      <x:c r="AE391" s="66" t="n">
        <x:v>68325.14045891835</x:v>
      </x:c>
      <x:c r="AF391" s="66" t="n">
        <x:v>113217.32821482499</x:v>
      </x:c>
      <x:c r="AG391" s="66" t="n">
        <x:v>0</x:v>
      </x:c>
      <x:c r="AH391" s="36" t="n">
        <x:v>0</x:v>
      </x:c>
    </x:row>
    <x:row r="392" ht="15" hidden="0" customHeight="1">
      <x:c r="A392" s="34" t="n">
        <x:v>97</x:v>
      </x:c>
      <x:c r="B392" s="34" t="str">
        <x:v>H3</x:v>
      </x:c>
      <x:c r="C392" s="34" t="str">
        <x:v>reference</x:v>
      </x:c>
      <x:c r="D392" s="74" t="n">
        <x:v>1.1009287067697304</x:v>
      </x:c>
      <x:c r="E392" s="74" t="n">
        <x:v>0.021714730199666972</x:v>
      </x:c>
      <x:c r="F392" s="74" t="n">
        <x:v>0.9395587224693734</x:v>
      </x:c>
      <x:c r="G392" s="74" t="n">
        <x:v>1.2674843338163126</x:v>
      </x:c>
      <x:c r="H392" s="74" t="n">
        <x:v>0.7444638584745934</x:v>
      </x:c>
      <x:c r="I392" s="74" t="n">
        <x:v>0.8916173732291478</x:v>
      </x:c>
      <x:c r="J392" s="74" t="n">
        <x:v>1.0308755063307475</x:v>
      </x:c>
      <x:c r="K392" s="74" t="n">
        <x:v>0.7556032389476587</x:v>
      </x:c>
      <x:c r="L392" s="74" t="n">
        <x:v>0.8722175105662212</x:v>
      </x:c>
      <x:c r="M392" s="74" t="n">
        <x:v>0.808077331334101</x:v>
      </x:c>
      <x:c r="N392" s="74" t="n">
        <x:v>0.8483252224736375</x:v>
      </x:c>
      <x:c r="O392" s="65" t="n">
        <x:v>529601.5342058374</x:v>
      </x:c>
      <x:c r="P392" s="65" t="n">
        <x:v>373120.1736120741</x:v>
      </x:c>
      <x:c r="Q392" s="65" t="n">
        <x:v>156481.3605937634</x:v>
      </x:c>
      <x:c r="R392" s="65" t="n">
        <x:v>110301.95384110624</x:v>
      </x:c>
      <x:c r="S392" s="65" t="n">
        <x:v>46179.406752657145</x:v>
      </x:c>
      <x:c r="T392" s="65" t="n">
        <x:v>154799.93391687685</x:v>
      </x:c>
      <x:c r="U392" s="43" t="n">
        <x:v>0.996825109883022</x:v>
      </x:c>
      <x:c r="V392" s="43" t="n">
        <x:v>0.9981073427839324</x:v>
      </x:c>
      <x:c r="W392" s="43" t="n">
        <x:v>0.9682510988302188</x:v>
      </x:c>
      <x:c r="X392" s="65" t="n">
        <x:v>16256114.94115274</x:v>
      </x:c>
      <x:c r="Y392" s="65" t="n">
        <x:v>30.69499216147392</x:v>
      </x:c>
      <x:c r="Z392" s="65" t="n">
        <x:v>947333.8635822978</x:v>
      </x:c>
      <x:c r="AA392" s="65" t="n">
        <x:v>98560.56541706088</x:v>
      </x:c>
      <x:c r="AB392" s="65" t="n">
        <x:v>881.1893469666622</x:v>
      </x:c>
      <x:c r="AC392" s="65" t="n">
        <x:v>0</x:v>
      </x:c>
      <x:c r="AD392" s="65" t="n">
        <x:v>1504.0650887918275</x:v>
      </x:c>
      <x:c r="AE392" s="65" t="n">
        <x:v>68699.40798614958</x:v>
      </x:c>
      <x:c r="AF392" s="65" t="n">
        <x:v>154799.9339168769</x:v>
      </x:c>
      <x:c r="AG392" s="65" t="n">
        <x:v>0</x:v>
      </x:c>
      <x:c r="AH392" s="34" t="n">
        <x:v>1</x:v>
      </x:c>
    </x:row>
    <x:row r="393" ht="21.600000381469727" hidden="0" customHeight="1">
      <x:c r="A393" s="36" t="n">
        <x:v>98</x:v>
      </x:c>
      <x:c r="B393" s="36" t="str">
        <x:v>M0</x:v>
      </x:c>
      <x:c r="C393" s="36" t="str">
        <x:v>fast</x:v>
      </x:c>
      <x:c r="D393" s="75" t="n">
        <x:v>1.1240759754180922</x:v>
      </x:c>
      <x:c r="E393" s="75" t="n">
        <x:v>-0.0024961679993752844</x:v>
      </x:c>
      <x:c r="F393" s="75" t="n">
        <x:v>0.7386574095284157</x:v>
      </x:c>
      <x:c r="G393" s="75" t="n">
        <x:v>1.1101691733352164</x:v>
      </x:c>
      <x:c r="H393" s="75" t="n">
        <x:v>1.0284553829404741</x:v>
      </x:c>
      <x:c r="I393" s="75" t="n">
        <x:v>0.9058481667320506</x:v>
      </x:c>
      <x:c r="J393" s="75" t="n">
        <x:v>0.8328384153195508</x:v>
      </x:c>
      <x:c r="K393" s="75" t="n">
        <x:v>0.7956194882164956</x:v>
      </x:c>
      <x:c r="L393" s="75" t="n">
        <x:v>0.8476579330243317</x:v>
      </x:c>
      <x:c r="M393" s="75" t="n">
        <x:v>0.9231433296787133</x:v>
      </x:c>
      <x:c r="N393" s="75" t="n">
        <x:v>0.8998405117290209</x:v>
      </x:c>
      <x:c r="O393" s="66" t="n">
        <x:v>540736.5231596781</x:v>
      </x:c>
      <x:c r="P393" s="66" t="n">
        <x:v>60718.959329262274</x:v>
      </x:c>
      <x:c r="Q393" s="66" t="n">
        <x:v>480017.56383041595</x:v>
      </x:c>
      <x:c r="R393" s="66" t="n">
        <x:v>99529.35981081658</x:v>
      </x:c>
      <x:c r="S393" s="66" t="n">
        <x:v>380488.20401959936</x:v>
      </x:c>
      <x:c r="T393" s="66" t="n">
        <x:v>264578.02354120754</x:v>
      </x:c>
      <x:c r="U393" s="45" t="n">
        <x:v>0.6015813042730433</x:v>
      </x:c>
      <x:c r="V393" s="45" t="n">
        <x:v>0.6301256460298007</x:v>
      </x:c>
      <x:c r="W393" s="45" t="n">
        <x:v>0.11139409639332064</x:v>
      </x:c>
      <x:c r="X393" s="66" t="n">
        <x:v>63989891.331387125</x:v>
      </x:c>
      <x:c r="Y393" s="66" t="n">
        <x:v>118.33839326679082</x:v>
      </x:c>
      <x:c r="Z393" s="66" t="n">
        <x:v>5041392.597959748</x:v>
      </x:c>
      <x:c r="AA393" s="66" t="n">
        <x:v>353708.8974466126</x:v>
      </x:c>
      <x:c r="AB393" s="66" t="n">
        <x:v>40887.764663532456</x:v>
      </x:c>
      <x:c r="AC393" s="66" t="n">
        <x:v>604.8136032676216</x:v>
      </x:c>
      <x:c r="AD393" s="66" t="n">
        <x:v>2320.6789543341624</x:v>
      </x:c>
      <x:c r="AE393" s="66" t="n">
        <x:v>212747.2100656159</x:v>
      </x:c>
      <x:c r="AF393" s="66" t="n">
        <x:v>264578.0235412075</x:v>
      </x:c>
      <x:c r="AG393" s="66" t="n">
        <x:v>5.820766091346741e-11</x:v>
      </x:c>
      <x:c r="AH393" s="36" t="n">
        <x:v>0</x:v>
      </x:c>
    </x:row>
    <x:row r="394" ht="21.600000381469727" hidden="0" customHeight="1">
      <x:c r="A394" s="34" t="n">
        <x:v>98</x:v>
      </x:c>
      <x:c r="B394" s="34" t="str">
        <x:v>B1</x:v>
      </x:c>
      <x:c r="C394" s="34" t="str">
        <x:v>fast</x:v>
      </x:c>
      <x:c r="D394" s="74" t="n">
        <x:v>1.1240759754180922</x:v>
      </x:c>
      <x:c r="E394" s="74" t="n">
        <x:v>-0.0024961679993752844</x:v>
      </x:c>
      <x:c r="F394" s="74" t="n">
        <x:v>0.7386574095284157</x:v>
      </x:c>
      <x:c r="G394" s="74" t="n">
        <x:v>1.1101691733352164</x:v>
      </x:c>
      <x:c r="H394" s="74" t="n">
        <x:v>1.0284553829404741</x:v>
      </x:c>
      <x:c r="I394" s="74" t="n">
        <x:v>0.9058481667320506</x:v>
      </x:c>
      <x:c r="J394" s="74" t="n">
        <x:v>0.8328384153195508</x:v>
      </x:c>
      <x:c r="K394" s="74" t="n">
        <x:v>0.7956194882164956</x:v>
      </x:c>
      <x:c r="L394" s="74" t="n">
        <x:v>0.8476579330243317</x:v>
      </x:c>
      <x:c r="M394" s="74" t="n">
        <x:v>0.9231433296787133</x:v>
      </x:c>
      <x:c r="N394" s="74" t="n">
        <x:v>0.8998405117290209</x:v>
      </x:c>
      <x:c r="O394" s="65" t="n">
        <x:v>540736.5231596781</x:v>
      </x:c>
      <x:c r="P394" s="65" t="n">
        <x:v>205391.61415561382</x:v>
      </x:c>
      <x:c r="Q394" s="65" t="n">
        <x:v>335344.90900406434</x:v>
      </x:c>
      <x:c r="R394" s="65" t="n">
        <x:v>99529.35981081658</x:v>
      </x:c>
      <x:c r="S394" s="65" t="n">
        <x:v>235815.5491932478</x:v>
      </x:c>
      <x:c r="T394" s="65" t="n">
        <x:v>198259.16391837428</x:v>
      </x:c>
      <x:c r="U394" s="43" t="n">
        <x:v>0.7464832885993002</x:v>
      </x:c>
      <x:c r="V394" s="43" t="n">
        <x:v>0.7732068254930874</x:v>
      </x:c>
      <x:c r="W394" s="43" t="n">
        <x:v>0.41623785445940364</x:v>
      </x:c>
      <x:c r="X394" s="65" t="n">
        <x:v>45265796.77263401</x:v>
      </x:c>
      <x:c r="Y394" s="65" t="n">
        <x:v>83.7113729772367</x:v>
      </x:c>
      <x:c r="Z394" s="65" t="n">
        <x:v>2259039.02536965</x:v>
      </x:c>
      <x:c r="AA394" s="65" t="n">
        <x:v>249820.94341349948</x:v>
      </x:c>
      <x:c r="AB394" s="65" t="n">
        <x:v>11842.427271698773</x:v>
      </x:c>
      <x:c r="AC394" s="65" t="n">
        <x:v>11611.806534802767</x:v>
      </x:c>
      <x:c r="AD394" s="65" t="n">
        <x:v>1947.4230617833343</x:v>
      </x:c>
      <x:c r="AE394" s="65" t="n">
        <x:v>149561.898887538</x:v>
      </x:c>
      <x:c r="AF394" s="65" t="n">
        <x:v>198259.16391837434</x:v>
      </x:c>
      <x:c r="AG394" s="65" t="n">
        <x:v>0</x:v>
      </x:c>
      <x:c r="AH394" s="34" t="n">
        <x:v>0</x:v>
      </x:c>
    </x:row>
    <x:row r="395" ht="21.600000381469727" hidden="0" customHeight="1">
      <x:c r="A395" s="36" t="n">
        <x:v>98</x:v>
      </x:c>
      <x:c r="B395" s="36" t="str">
        <x:v>P2</x:v>
      </x:c>
      <x:c r="C395" s="36" t="str">
        <x:v>fast</x:v>
      </x:c>
      <x:c r="D395" s="75" t="n">
        <x:v>1.1240759754180922</x:v>
      </x:c>
      <x:c r="E395" s="75" t="n">
        <x:v>-0.0024961679993752844</x:v>
      </x:c>
      <x:c r="F395" s="75" t="n">
        <x:v>0.7386574095284157</x:v>
      </x:c>
      <x:c r="G395" s="75" t="n">
        <x:v>1.1101691733352164</x:v>
      </x:c>
      <x:c r="H395" s="75" t="n">
        <x:v>1.0284553829404741</x:v>
      </x:c>
      <x:c r="I395" s="75" t="n">
        <x:v>0.9058481667320506</x:v>
      </x:c>
      <x:c r="J395" s="75" t="n">
        <x:v>0.8328384153195508</x:v>
      </x:c>
      <x:c r="K395" s="75" t="n">
        <x:v>0.7956194882164956</x:v>
      </x:c>
      <x:c r="L395" s="75" t="n">
        <x:v>0.8476579330243317</x:v>
      </x:c>
      <x:c r="M395" s="75" t="n">
        <x:v>0.9231433296787133</x:v>
      </x:c>
      <x:c r="N395" s="75" t="n">
        <x:v>0.8998405117290209</x:v>
      </x:c>
      <x:c r="O395" s="66" t="n">
        <x:v>540736.5231596781</x:v>
      </x:c>
      <x:c r="P395" s="66" t="n">
        <x:v>297548.6815390262</x:v>
      </x:c>
      <x:c r="Q395" s="66" t="n">
        <x:v>243187.84162065195</x:v>
      </x:c>
      <x:c r="R395" s="66" t="n">
        <x:v>99529.35981081658</x:v>
      </x:c>
      <x:c r="S395" s="66" t="n">
        <x:v>143658.4818098354</x:v>
      </x:c>
      <x:c r="T395" s="66" t="n">
        <x:v>119342.9224498352</x:v>
      </x:c>
      <x:c r="U395" s="45" t="n">
        <x:v>0.7709699384699309</x:v>
      </x:c>
      <x:c r="V395" s="45" t="n">
        <x:v>0.7874580970621424</x:v>
      </x:c>
      <x:c r="W395" s="45" t="n">
        <x:v>0.5543138327014387</x:v>
      </x:c>
      <x:c r="X395" s="66" t="n">
        <x:v>32011473.19646583</x:v>
      </x:c>
      <x:c r="Y395" s="66" t="n">
        <x:v>59.19976148349226</x:v>
      </x:c>
      <x:c r="Z395" s="66" t="n">
        <x:v>1447003.9391585873</x:v>
      </x:c>
      <x:c r="AA395" s="66" t="n">
        <x:v>182871.75576675258</x:v>
      </x:c>
      <x:c r="AB395" s="66" t="n">
        <x:v>6.400126659865805</x:v>
      </x:c>
      <x:c r="AC395" s="66" t="n">
        <x:v>34541.48405212944</x:v>
      </x:c>
      <x:c r="AD395" s="66" t="n">
        <x:v>1721.8901652211757</x:v>
      </x:c>
      <x:c r="AE395" s="66" t="n">
        <x:v>78751.1566607221</x:v>
      </x:c>
      <x:c r="AF395" s="66" t="n">
        <x:v>119342.92244983508</x:v>
      </x:c>
      <x:c r="AG395" s="66" t="n">
        <x:v>1.1641532182693481e-10</x:v>
      </x:c>
      <x:c r="AH395" s="36" t="n">
        <x:v>0</x:v>
      </x:c>
    </x:row>
    <x:row r="396" ht="21.600000381469727" hidden="0" customHeight="1">
      <x:c r="A396" s="34" t="n">
        <x:v>98</x:v>
      </x:c>
      <x:c r="B396" s="34" t="str">
        <x:v>H3</x:v>
      </x:c>
      <x:c r="C396" s="34" t="str">
        <x:v>fast</x:v>
      </x:c>
      <x:c r="D396" s="74" t="n">
        <x:v>1.1240759754180922</x:v>
      </x:c>
      <x:c r="E396" s="74" t="n">
        <x:v>-0.0024961679993752844</x:v>
      </x:c>
      <x:c r="F396" s="74" t="n">
        <x:v>0.7386574095284157</x:v>
      </x:c>
      <x:c r="G396" s="74" t="n">
        <x:v>1.1101691733352164</x:v>
      </x:c>
      <x:c r="H396" s="74" t="n">
        <x:v>1.0284553829404741</x:v>
      </x:c>
      <x:c r="I396" s="74" t="n">
        <x:v>0.9058481667320506</x:v>
      </x:c>
      <x:c r="J396" s="74" t="n">
        <x:v>0.8328384153195508</x:v>
      </x:c>
      <x:c r="K396" s="74" t="n">
        <x:v>0.7956194882164956</x:v>
      </x:c>
      <x:c r="L396" s="74" t="n">
        <x:v>0.8476579330243317</x:v>
      </x:c>
      <x:c r="M396" s="74" t="n">
        <x:v>0.9231433296787133</x:v>
      </x:c>
      <x:c r="N396" s="74" t="n">
        <x:v>0.8998405117290209</x:v>
      </x:c>
      <x:c r="O396" s="65" t="n">
        <x:v>540736.5231596781</x:v>
      </x:c>
      <x:c r="P396" s="65" t="n">
        <x:v>308664.078371266</x:v>
      </x:c>
      <x:c r="Q396" s="65" t="n">
        <x:v>232072.44478841213</x:v>
      </x:c>
      <x:c r="R396" s="65" t="n">
        <x:v>99529.35981081658</x:v>
      </x:c>
      <x:c r="S396" s="65" t="n">
        <x:v>132543.08497759557</x:v>
      </x:c>
      <x:c r="T396" s="65" t="n">
        <x:v>198895.62485192902</x:v>
      </x:c>
      <x:c r="U396" s="43" t="n">
        <x:v>0.9386451284210998</x:v>
      </x:c>
      <x:c r="V396" s="43" t="n">
        <x:v>0.9388373779283108</x:v>
      </x:c>
      <x:c r="W396" s="43" t="n">
        <x:v>0.6581790817731478</x:v>
      </x:c>
      <x:c r="X396" s="65" t="n">
        <x:v>24427952.735196907</x:v>
      </x:c>
      <x:c r="Y396" s="65" t="n">
        <x:v>45.175333436804664</x:v>
      </x:c>
      <x:c r="Z396" s="65" t="n">
        <x:v>3225606.6747752293</x:v>
      </x:c>
      <x:c r="AA396" s="65" t="n">
        <x:v>145545.3848890164</x:v>
      </x:c>
      <x:c r="AB396" s="65" t="n">
        <x:v>17655.468721747937</x:v>
      </x:c>
      <x:c r="AC396" s="65" t="n">
        <x:v>31011.235759587733</x:v>
      </x:c>
      <x:c r="AD396" s="65" t="n">
        <x:v>1696.5726022245221</x:v>
      </x:c>
      <x:c r="AE396" s="65" t="n">
        <x:v>82276.29453184793</x:v>
      </x:c>
      <x:c r="AF396" s="65" t="n">
        <x:v>198895.62485192902</x:v>
      </x:c>
      <x:c r="AG396" s="65" t="n">
        <x:v>0</x:v>
      </x:c>
      <x:c r="AH396" s="34" t="n">
        <x:v>0</x:v>
      </x:c>
    </x:row>
    <x:row r="397" ht="15" hidden="0" customHeight="1">
      <x:c r="A397" s="36" t="n">
        <x:v>99</x:v>
      </x:c>
      <x:c r="B397" s="36" t="str">
        <x:v>M0</x:v>
      </x:c>
      <x:c r="C397" s="36" t="str">
        <x:v>fast</x:v>
      </x:c>
      <x:c r="D397" s="75" t="n">
        <x:v>1.14227075789514</x:v>
      </x:c>
      <x:c r="E397" s="75" t="n">
        <x:v>0.00808169830856486</x:v>
      </x:c>
      <x:c r="F397" s="75" t="n">
        <x:v>1.0372520578725737</x:v>
      </x:c>
      <x:c r="G397" s="75" t="n">
        <x:v>0.9505129417980226</x:v>
      </x:c>
      <x:c r="H397" s="75" t="n">
        <x:v>0.9822880706791164</x:v>
      </x:c>
      <x:c r="I397" s="75" t="n">
        <x:v>0.7570471304844976</x:v>
      </x:c>
      <x:c r="J397" s="75" t="n">
        <x:v>0.9466510365825884</x:v>
      </x:c>
      <x:c r="K397" s="75" t="n">
        <x:v>0.9199133318092286</x:v>
      </x:c>
      <x:c r="L397" s="75" t="n">
        <x:v>0.8981936139418594</x:v>
      </x:c>
      <x:c r="M397" s="75" t="n">
        <x:v>0.8355883339376902</x:v>
      </x:c>
      <x:c r="N397" s="75" t="n">
        <x:v>0.985433555883502</x:v>
      </x:c>
      <x:c r="O397" s="66" t="n">
        <x:v>549489.1196313056</x:v>
      </x:c>
      <x:c r="P397" s="66" t="n">
        <x:v>85520.62481119516</x:v>
      </x:c>
      <x:c r="Q397" s="66" t="n">
        <x:v>463968.4948201104</x:v>
      </x:c>
      <x:c r="R397" s="66" t="n">
        <x:v>106952.80774838402</x:v>
      </x:c>
      <x:c r="S397" s="66" t="n">
        <x:v>357015.68707172637</x:v>
      </x:c>
      <x:c r="T397" s="66" t="n">
        <x:v>254831.67878798666</x:v>
      </x:c>
      <x:c r="U397" s="45" t="n">
        <x:v>0.6193977122377788</x:v>
      </x:c>
      <x:c r="V397" s="45" t="n">
        <x:v>0.6457020482179959</x:v>
      </x:c>
      <x:c r="W397" s="45" t="n">
        <x:v>0.15089894645356922</x:v>
      </x:c>
      <x:c r="X397" s="66" t="n">
        <x:v>63276935.6045304</x:v>
      </x:c>
      <x:c r="Y397" s="66" t="n">
        <x:v>115.15593911484136</x:v>
      </x:c>
      <x:c r="Z397" s="66" t="n">
        <x:v>6759790.306314724</x:v>
      </x:c>
      <x:c r="AA397" s="66" t="n">
        <x:v>333309.7957268997</x:v>
      </x:c>
      <x:c r="AB397" s="66" t="n">
        <x:v>64153.858401406425</x:v>
      </x:c>
      <x:c r="AC397" s="66" t="n">
        <x:v>0</x:v>
      </x:c>
      <x:c r="AD397" s="66" t="n">
        <x:v>2296.0294796898197</x:v>
      </x:c>
      <x:c r="AE397" s="66" t="n">
        <x:v>198070.70596909692</x:v>
      </x:c>
      <x:c r="AF397" s="66" t="n">
        <x:v>254831.67878798672</x:v>
      </x:c>
      <x:c r="AG397" s="66" t="n">
        <x:v>0</x:v>
      </x:c>
      <x:c r="AH397" s="36" t="n">
        <x:v>0</x:v>
      </x:c>
    </x:row>
    <x:row r="398" ht="15" hidden="0" customHeight="1">
      <x:c r="A398" s="34" t="n">
        <x:v>99</x:v>
      </x:c>
      <x:c r="B398" s="34" t="str">
        <x:v>B1</x:v>
      </x:c>
      <x:c r="C398" s="34" t="str">
        <x:v>fast</x:v>
      </x:c>
      <x:c r="D398" s="74" t="n">
        <x:v>1.14227075789514</x:v>
      </x:c>
      <x:c r="E398" s="74" t="n">
        <x:v>0.00808169830856486</x:v>
      </x:c>
      <x:c r="F398" s="74" t="n">
        <x:v>1.0372520578725737</x:v>
      </x:c>
      <x:c r="G398" s="74" t="n">
        <x:v>0.9505129417980226</x:v>
      </x:c>
      <x:c r="H398" s="74" t="n">
        <x:v>0.9822880706791164</x:v>
      </x:c>
      <x:c r="I398" s="74" t="n">
        <x:v>0.7570471304844976</x:v>
      </x:c>
      <x:c r="J398" s="74" t="n">
        <x:v>0.9466510365825884</x:v>
      </x:c>
      <x:c r="K398" s="74" t="n">
        <x:v>0.9199133318092286</x:v>
      </x:c>
      <x:c r="L398" s="74" t="n">
        <x:v>0.8981936139418594</x:v>
      </x:c>
      <x:c r="M398" s="74" t="n">
        <x:v>0.8355883339376902</x:v>
      </x:c>
      <x:c r="N398" s="74" t="n">
        <x:v>0.985433555883502</x:v>
      </x:c>
      <x:c r="O398" s="65" t="n">
        <x:v>549489.1196313056</x:v>
      </x:c>
      <x:c r="P398" s="65" t="n">
        <x:v>289287.62757146783</x:v>
      </x:c>
      <x:c r="Q398" s="65" t="n">
        <x:v>260201.49205983774</x:v>
      </x:c>
      <x:c r="R398" s="65" t="n">
        <x:v>106952.80774838402</x:v>
      </x:c>
      <x:c r="S398" s="65" t="n">
        <x:v>153248.68431145372</x:v>
      </x:c>
      <x:c r="T398" s="65" t="n">
        <x:v>192265.64024495322</x:v>
      </x:c>
      <x:c r="U398" s="43" t="n">
        <x:v>0.8763654285630479</x:v>
      </x:c>
      <x:c r="V398" s="43" t="n">
        <x:v>0.8816109540645127</x:v>
      </x:c>
      <x:c r="W398" s="43" t="n">
        <x:v>0.584328834749432</x:v>
      </x:c>
      <x:c r="X398" s="65" t="n">
        <x:v>35008960.61452668</x:v>
      </x:c>
      <x:c r="Y398" s="65" t="n">
        <x:v>63.71183589225002</x:v>
      </x:c>
      <x:c r="Z398" s="65" t="n">
        <x:v>3440754.151766578</x:v>
      </x:c>
      <x:c r="AA398" s="65" t="n">
        <x:v>174441.09265266726</x:v>
      </x:c>
      <x:c r="AB398" s="65" t="n">
        <x:v>26805.731054572898</x:v>
      </x:c>
      <x:c r="AC398" s="65" t="n">
        <x:v>0</x:v>
      </x:c>
      <x:c r="AD398" s="65" t="n">
        <x:v>1775.855774906825</x:v>
      </x:c>
      <x:c r="AE398" s="65" t="n">
        <x:v>128359.66496249869</x:v>
      </x:c>
      <x:c r="AF398" s="65" t="n">
        <x:v>192265.6402449532</x:v>
      </x:c>
      <x:c r="AG398" s="65" t="n">
        <x:v>2.9103830456733704e-11</x:v>
      </x:c>
      <x:c r="AH398" s="34" t="n">
        <x:v>0</x:v>
      </x:c>
    </x:row>
    <x:row r="399" ht="15" hidden="0" customHeight="1">
      <x:c r="A399" s="36" t="n">
        <x:v>99</x:v>
      </x:c>
      <x:c r="B399" s="36" t="str">
        <x:v>P2</x:v>
      </x:c>
      <x:c r="C399" s="36" t="str">
        <x:v>fast</x:v>
      </x:c>
      <x:c r="D399" s="75" t="n">
        <x:v>1.14227075789514</x:v>
      </x:c>
      <x:c r="E399" s="75" t="n">
        <x:v>0.00808169830856486</x:v>
      </x:c>
      <x:c r="F399" s="75" t="n">
        <x:v>1.0372520578725737</x:v>
      </x:c>
      <x:c r="G399" s="75" t="n">
        <x:v>0.9505129417980226</x:v>
      </x:c>
      <x:c r="H399" s="75" t="n">
        <x:v>0.9822880706791164</x:v>
      </x:c>
      <x:c r="I399" s="75" t="n">
        <x:v>0.7570471304844976</x:v>
      </x:c>
      <x:c r="J399" s="75" t="n">
        <x:v>0.9466510365825884</x:v>
      </x:c>
      <x:c r="K399" s="75" t="n">
        <x:v>0.9199133318092286</x:v>
      </x:c>
      <x:c r="L399" s="75" t="n">
        <x:v>0.8981936139418594</x:v>
      </x:c>
      <x:c r="M399" s="75" t="n">
        <x:v>0.8355883339376902</x:v>
      </x:c>
      <x:c r="N399" s="75" t="n">
        <x:v>0.985433555883502</x:v>
      </x:c>
      <x:c r="O399" s="66" t="n">
        <x:v>549489.1196313056</x:v>
      </x:c>
      <x:c r="P399" s="66" t="n">
        <x:v>419088.28749833314</x:v>
      </x:c>
      <x:c r="Q399" s="66" t="n">
        <x:v>130400.83213297244</x:v>
      </x:c>
      <x:c r="R399" s="66" t="n">
        <x:v>106952.80774838402</x:v>
      </x:c>
      <x:c r="S399" s="66" t="n">
        <x:v>23448.02438458843</x:v>
      </x:c>
      <x:c r="T399" s="66" t="n">
        <x:v>128939.28159663382</x:v>
      </x:c>
      <x:c r="U399" s="45" t="n">
        <x:v>0.9973401647382586</x:v>
      </x:c>
      <x:c r="V399" s="45" t="n">
        <x:v>0.9983245630095681</x:v>
      </x:c>
      <x:c r="W399" s="45" t="n">
        <x:v>0.9734016473825854</x:v>
      </x:c>
      <x:c r="X399" s="66" t="n">
        <x:v>14689378.800794559</x:v>
      </x:c>
      <x:c r="Y399" s="66" t="n">
        <x:v>26.73279283609981</x:v>
      </x:c>
      <x:c r="Z399" s="66" t="n">
        <x:v>787148.464289303</x:v>
      </x:c>
      <x:c r="AA399" s="66" t="n">
        <x:v>86889.15588647792</x:v>
      </x:c>
      <x:c r="AB399" s="66" t="n">
        <x:v>917.0430515856724</x:v>
      </x:c>
      <x:c r="AC399" s="66" t="n">
        <x:v>0</x:v>
      </x:c>
      <x:c r="AD399" s="66" t="n">
        <x:v>1461.5505363386155</x:v>
      </x:c>
      <x:c r="AE399" s="66" t="n">
        <x:v>66970.55219507335</x:v>
      </x:c>
      <x:c r="AF399" s="66" t="n">
        <x:v>128939.28159663391</x:v>
      </x:c>
      <x:c r="AG399" s="66" t="n">
        <x:v>0</x:v>
      </x:c>
      <x:c r="AH399" s="36" t="n">
        <x:v>1</x:v>
      </x:c>
    </x:row>
    <x:row r="400" ht="15" hidden="0" customHeight="1">
      <x:c r="A400" s="34" t="n">
        <x:v>99</x:v>
      </x:c>
      <x:c r="B400" s="34" t="str">
        <x:v>H3</x:v>
      </x:c>
      <x:c r="C400" s="34" t="str">
        <x:v>fast</x:v>
      </x:c>
      <x:c r="D400" s="74" t="n">
        <x:v>1.14227075789514</x:v>
      </x:c>
      <x:c r="E400" s="74" t="n">
        <x:v>0.00808169830856486</x:v>
      </x:c>
      <x:c r="F400" s="74" t="n">
        <x:v>1.0372520578725737</x:v>
      </x:c>
      <x:c r="G400" s="74" t="n">
        <x:v>0.9505129417980226</x:v>
      </x:c>
      <x:c r="H400" s="74" t="n">
        <x:v>0.9822880706791164</x:v>
      </x:c>
      <x:c r="I400" s="74" t="n">
        <x:v>0.7570471304844976</x:v>
      </x:c>
      <x:c r="J400" s="74" t="n">
        <x:v>0.9466510365825884</x:v>
      </x:c>
      <x:c r="K400" s="74" t="n">
        <x:v>0.9199133318092286</x:v>
      </x:c>
      <x:c r="L400" s="74" t="n">
        <x:v>0.8981936139418594</x:v>
      </x:c>
      <x:c r="M400" s="74" t="n">
        <x:v>0.8355883339376902</x:v>
      </x:c>
      <x:c r="N400" s="74" t="n">
        <x:v>0.985433555883502</x:v>
      </x:c>
      <x:c r="O400" s="65" t="n">
        <x:v>549489.1196313056</x:v>
      </x:c>
      <x:c r="P400" s="65" t="n">
        <x:v>433382.045424263</x:v>
      </x:c>
      <x:c r="Q400" s="65" t="n">
        <x:v>116107.07420704256</x:v>
      </x:c>
      <x:c r="R400" s="65" t="n">
        <x:v>106952.80774838402</x:v>
      </x:c>
      <x:c r="S400" s="65" t="n">
        <x:v>9154.266458658552</x:v>
      </x:c>
      <x:c r="T400" s="65" t="n">
        <x:v>114675.17816739986</x:v>
      </x:c>
      <x:c r="U400" s="43" t="n">
        <x:v>0.9973941321338566</x:v>
      </x:c>
      <x:c r="V400" s="43" t="n">
        <x:v>0.9983587862307184</x:v>
      </x:c>
      <x:c r="W400" s="43" t="n">
        <x:v>0.9739413213385648</x:v>
      </x:c>
      <x:c r="X400" s="65" t="n">
        <x:v>10587830.514832184</x:v>
      </x:c>
      <x:c r="Y400" s="65" t="n">
        <x:v>19.26849893212876</x:v>
      </x:c>
      <x:c r="Z400" s="65" t="n">
        <x:v>1198409.524420601</x:v>
      </x:c>
      <x:c r="AA400" s="65" t="n">
        <x:v>80531.15505718</x:v>
      </x:c>
      <x:c r="AB400" s="65" t="n">
        <x:v>13351.213459812381</x:v>
      </x:c>
      <x:c r="AC400" s="65" t="n">
        <x:v>0</x:v>
      </x:c>
      <x:c r="AD400" s="65" t="n">
        <x:v>1431.8960396427096</x:v>
      </x:c>
      <x:c r="AE400" s="65" t="n">
        <x:v>65323.8484458094</x:v>
      </x:c>
      <x:c r="AF400" s="65" t="n">
        <x:v>114675.17816739978</x:v>
      </x:c>
      <x:c r="AG400" s="65" t="n">
        <x:v>8.731149137020111e-11</x:v>
      </x:c>
      <x:c r="AH400" s="34" t="n">
        <x:v>1</x:v>
      </x:c>
    </x:row>
    <x:row r="401" ht="15" hidden="0" customHeight="1">
      <x:c r="A401" s="36" t="n">
        <x:v>100</x:v>
      </x:c>
      <x:c r="B401" s="36" t="str">
        <x:v>M0</x:v>
      </x:c>
      <x:c r="C401" s="36" t="str">
        <x:v>reference</x:v>
      </x:c>
      <x:c r="D401" s="75" t="n">
        <x:v>1.1896294395794151</x:v>
      </x:c>
      <x:c r="E401" s="75" t="n">
        <x:v>0.09459568415380362</x:v>
      </x:c>
      <x:c r="F401" s="75" t="n">
        <x:v>0.8016918242032933</x:v>
      </x:c>
      <x:c r="G401" s="75" t="n">
        <x:v>1.1748483132051286</x:v>
      </x:c>
      <x:c r="H401" s="75" t="n">
        <x:v>0.8759390426964317</x:v>
      </x:c>
      <x:c r="I401" s="75" t="n">
        <x:v>0.8388882817795289</x:v>
      </x:c>
      <x:c r="J401" s="75" t="n">
        <x:v>0.8407442985500487</x:v>
      </x:c>
      <x:c r="K401" s="75" t="n">
        <x:v>0.9089861365470016</x:v>
      </x:c>
      <x:c r="L401" s="75" t="n">
        <x:v>0.8070399134281233</x:v>
      </x:c>
      <x:c r="M401" s="75" t="n">
        <x:v>1.0399093822736198</x:v>
      </x:c>
      <x:c r="N401" s="75" t="n">
        <x:v>0.9956145390947264</x:v>
      </x:c>
      <x:c r="O401" s="66" t="n">
        <x:v>572271.0039837897</x:v>
      </x:c>
      <x:c r="P401" s="66" t="n">
        <x:v>61443.029506433464</x:v>
      </x:c>
      <x:c r="Q401" s="66" t="n">
        <x:v>510827.9744773563</x:v>
      </x:c>
      <x:c r="R401" s="66" t="n">
        <x:v>160896.5294356437</x:v>
      </x:c>
      <x:c r="S401" s="66" t="n">
        <x:v>349931.4450417126</x:v>
      </x:c>
      <x:c r="T401" s="66" t="n">
        <x:v>245688.20503716046</x:v>
      </x:c>
      <x:c r="U401" s="45" t="n">
        <x:v>0.536688443771465</x:v>
      </x:c>
      <x:c r="V401" s="45" t="n">
        <x:v>0.5629647590999391</x:v>
      </x:c>
      <x:c r="W401" s="45" t="n">
        <x:v>0.10190690860615229</x:v>
      </x:c>
      <x:c r="X401" s="66" t="n">
        <x:v>70703065.90750355</x:v>
      </x:c>
      <x:c r="Y401" s="66" t="n">
        <x:v>123.54822350829136</x:v>
      </x:c>
      <x:c r="Z401" s="66" t="n">
        <x:v>5211078.398673752</x:v>
      </x:c>
      <x:c r="AA401" s="66" t="n">
        <x:v>389665.9545881051</x:v>
      </x:c>
      <x:c r="AB401" s="66" t="n">
        <x:v>47332.58013653496</x:v>
      </x:c>
      <x:c r="AC401" s="66" t="n">
        <x:v>558.2199109783488</x:v>
      </x:c>
      <x:c r="AD401" s="66" t="n">
        <x:v>2481.7541922145256</x:v>
      </x:c>
      <x:c r="AE401" s="66" t="n">
        <x:v>184678.25522669865</x:v>
      </x:c>
      <x:c r="AF401" s="66" t="n">
        <x:v>245688.20503716057</x:v>
      </x:c>
      <x:c r="AG401" s="66" t="n">
        <x:v>0</x:v>
      </x:c>
      <x:c r="AH401" s="36" t="n">
        <x:v>0</x:v>
      </x:c>
    </x:row>
    <x:row r="402" ht="15" hidden="0" customHeight="1">
      <x:c r="A402" s="34" t="n">
        <x:v>100</x:v>
      </x:c>
      <x:c r="B402" s="34" t="str">
        <x:v>B1</x:v>
      </x:c>
      <x:c r="C402" s="34" t="str">
        <x:v>reference</x:v>
      </x:c>
      <x:c r="D402" s="74" t="n">
        <x:v>1.1896294395794151</x:v>
      </x:c>
      <x:c r="E402" s="74" t="n">
        <x:v>0.09459568415380362</x:v>
      </x:c>
      <x:c r="F402" s="74" t="n">
        <x:v>0.8016918242032933</x:v>
      </x:c>
      <x:c r="G402" s="74" t="n">
        <x:v>1.1748483132051286</x:v>
      </x:c>
      <x:c r="H402" s="74" t="n">
        <x:v>0.8759390426964317</x:v>
      </x:c>
      <x:c r="I402" s="74" t="n">
        <x:v>0.8388882817795289</x:v>
      </x:c>
      <x:c r="J402" s="74" t="n">
        <x:v>0.8407442985500487</x:v>
      </x:c>
      <x:c r="K402" s="74" t="n">
        <x:v>0.9089861365470016</x:v>
      </x:c>
      <x:c r="L402" s="74" t="n">
        <x:v>0.8070399134281233</x:v>
      </x:c>
      <x:c r="M402" s="74" t="n">
        <x:v>1.0399093822736198</x:v>
      </x:c>
      <x:c r="N402" s="74" t="n">
        <x:v>0.9956145390947264</x:v>
      </x:c>
      <x:c r="O402" s="65" t="n">
        <x:v>572271.0039837897</x:v>
      </x:c>
      <x:c r="P402" s="65" t="n">
        <x:v>207843.88117888354</x:v>
      </x:c>
      <x:c r="Q402" s="65" t="n">
        <x:v>364427.12280490616</x:v>
      </x:c>
      <x:c r="R402" s="65" t="n">
        <x:v>160896.5294356437</x:v>
      </x:c>
      <x:c r="S402" s="65" t="n">
        <x:v>203530.59336926247</x:v>
      </x:c>
      <x:c r="T402" s="65" t="n">
        <x:v>183836.77006650306</x:v>
      </x:c>
      <x:c r="U402" s="43" t="n">
        <x:v>0.6844321108683701</x:v>
      </x:c>
      <x:c r="V402" s="43" t="n">
        <x:v>0.7135164942774387</x:v>
      </x:c>
      <x:c r="W402" s="43" t="n">
        <x:v>0.36205712664930334</x:v>
      </x:c>
      <x:c r="X402" s="65" t="n">
        <x:v>51334961.39777008</x:v>
      </x:c>
      <x:c r="Y402" s="65" t="n">
        <x:v>89.70393579337143</x:v>
      </x:c>
      <x:c r="Z402" s="65" t="n">
        <x:v>2316632.0266467687</x:v>
      </x:c>
      <x:c r="AA402" s="65" t="n">
        <x:v>282151.45732461783</x:v>
      </x:c>
      <x:c r="AB402" s="65" t="n">
        <x:v>14445.94910045583</x:v>
      </x:c>
      <x:c r="AC402" s="65" t="n">
        <x:v>507.75196049321573</x:v>
      </x:c>
      <x:c r="AD402" s="65" t="n">
        <x:v>2145.0140449711944</x:v>
      </x:c>
      <x:c r="AE402" s="65" t="n">
        <x:v>119524.19268697395</x:v>
      </x:c>
      <x:c r="AF402" s="65" t="n">
        <x:v>183836.77006650303</x:v>
      </x:c>
      <x:c r="AG402" s="65" t="n">
        <x:v>2.9103830456733704e-11</x:v>
      </x:c>
      <x:c r="AH402" s="34" t="n">
        <x:v>0</x:v>
      </x:c>
    </x:row>
    <x:row r="403" ht="15" hidden="0" customHeight="1">
      <x:c r="A403" s="36" t="n">
        <x:v>100</x:v>
      </x:c>
      <x:c r="B403" s="36" t="str">
        <x:v>P2</x:v>
      </x:c>
      <x:c r="C403" s="36" t="str">
        <x:v>reference</x:v>
      </x:c>
      <x:c r="D403" s="75" t="n">
        <x:v>1.1896294395794151</x:v>
      </x:c>
      <x:c r="E403" s="75" t="n">
        <x:v>0.09459568415380362</x:v>
      </x:c>
      <x:c r="F403" s="75" t="n">
        <x:v>0.8016918242032933</x:v>
      </x:c>
      <x:c r="G403" s="75" t="n">
        <x:v>1.1748483132051286</x:v>
      </x:c>
      <x:c r="H403" s="75" t="n">
        <x:v>0.8759390426964317</x:v>
      </x:c>
      <x:c r="I403" s="75" t="n">
        <x:v>0.8388882817795289</x:v>
      </x:c>
      <x:c r="J403" s="75" t="n">
        <x:v>0.8407442985500487</x:v>
      </x:c>
      <x:c r="K403" s="75" t="n">
        <x:v>0.9089861365470016</x:v>
      </x:c>
      <x:c r="L403" s="75" t="n">
        <x:v>0.8070399134281233</x:v>
      </x:c>
      <x:c r="M403" s="75" t="n">
        <x:v>1.0399093822736198</x:v>
      </x:c>
      <x:c r="N403" s="75" t="n">
        <x:v>0.9956145390947264</x:v>
      </x:c>
      <x:c r="O403" s="66" t="n">
        <x:v>572271.0039837897</x:v>
      </x:c>
      <x:c r="P403" s="66" t="n">
        <x:v>301103.6894781153</x:v>
      </x:c>
      <x:c r="Q403" s="66" t="n">
        <x:v>271167.3145056744</x:v>
      </x:c>
      <x:c r="R403" s="66" t="n">
        <x:v>160896.5294356437</x:v>
      </x:c>
      <x:c r="S403" s="66" t="n">
        <x:v>110270.78507003075</x:v>
      </x:c>
      <x:c r="T403" s="66" t="n">
        <x:v>133984.60135751308</x:v>
      </x:c>
      <x:c r="U403" s="45" t="n">
        <x:v>0.7602836554828363</x:v>
      </x:c>
      <x:c r="V403" s="45" t="n">
        <x:v>0.7916795050855626</x:v>
      </x:c>
      <x:c r="W403" s="45" t="n">
        <x:v>0.4334407727014829</x:v>
      </x:c>
      <x:c r="X403" s="66" t="n">
        <x:v>37197697.98678884</x:v>
      </x:c>
      <x:c r="Y403" s="66" t="n">
        <x:v>65.00014456060491</x:v>
      </x:c>
      <x:c r="Z403" s="66" t="n">
        <x:v>840715.212729146</x:v>
      </x:c>
      <x:c r="AA403" s="66" t="n">
        <x:v>214286.62203046825</x:v>
      </x:c>
      <x:c r="AB403" s="66" t="n">
        <x:v>314.98539035828503</x:v>
      </x:c>
      <x:c r="AC403" s="66" t="n">
        <x:v>3537.731963891399</x:v>
      </x:c>
      <x:c r="AD403" s="66" t="n">
        <x:v>1941.545104996686</x:v>
      </x:c>
      <x:c r="AE403" s="66" t="n">
        <x:v>75109.82497395252</x:v>
      </x:c>
      <x:c r="AF403" s="66" t="n">
        <x:v>133984.60135751305</x:v>
      </x:c>
      <x:c r="AG403" s="66" t="n">
        <x:v>2.9103830456733704e-11</x:v>
      </x:c>
      <x:c r="AH403" s="36" t="n">
        <x:v>0</x:v>
      </x:c>
    </x:row>
    <x:row r="404" ht="15" hidden="0" customHeight="1">
      <x:c r="A404" s="34" t="n">
        <x:v>100</x:v>
      </x:c>
      <x:c r="B404" s="34" t="str">
        <x:v>H3</x:v>
      </x:c>
      <x:c r="C404" s="34" t="str">
        <x:v>reference</x:v>
      </x:c>
      <x:c r="D404" s="74" t="n">
        <x:v>1.1896294395794151</x:v>
      </x:c>
      <x:c r="E404" s="74" t="n">
        <x:v>0.09459568415380362</x:v>
      </x:c>
      <x:c r="F404" s="74" t="n">
        <x:v>0.8016918242032933</x:v>
      </x:c>
      <x:c r="G404" s="74" t="n">
        <x:v>1.1748483132051286</x:v>
      </x:c>
      <x:c r="H404" s="74" t="n">
        <x:v>0.8759390426964317</x:v>
      </x:c>
      <x:c r="I404" s="74" t="n">
        <x:v>0.8388882817795289</x:v>
      </x:c>
      <x:c r="J404" s="74" t="n">
        <x:v>0.8407442985500487</x:v>
      </x:c>
      <x:c r="K404" s="74" t="n">
        <x:v>0.9089861365470016</x:v>
      </x:c>
      <x:c r="L404" s="74" t="n">
        <x:v>0.8070399134281233</x:v>
      </x:c>
      <x:c r="M404" s="74" t="n">
        <x:v>1.0399093822736198</x:v>
      </x:c>
      <x:c r="N404" s="74" t="n">
        <x:v>0.9956145390947264</x:v>
      </x:c>
      <x:c r="O404" s="65" t="n">
        <x:v>572271.0039837897</x:v>
      </x:c>
      <x:c r="P404" s="65" t="n">
        <x:v>312352.3803899909</x:v>
      </x:c>
      <x:c r="Q404" s="65" t="n">
        <x:v>259918.62359379878</x:v>
      </x:c>
      <x:c r="R404" s="65" t="n">
        <x:v>160896.5294356437</x:v>
      </x:c>
      <x:c r="S404" s="65" t="n">
        <x:v>99022.09415815509</x:v>
      </x:c>
      <x:c r="T404" s="65" t="n">
        <x:v>196427.30395357293</x:v>
      </x:c>
      <x:c r="U404" s="43" t="n">
        <x:v>0.8890537539063845</x:v>
      </x:c>
      <x:c r="V404" s="43" t="n">
        <x:v>0.8970416758822541</x:v>
      </x:c>
      <x:c r="W404" s="43" t="n">
        <x:v>0.6042678157903986</x:v>
      </x:c>
      <x:c r="X404" s="65" t="n">
        <x:v>30014514.11220602</x:v>
      </x:c>
      <x:c r="Y404" s="65" t="n">
        <x:v>52.44807775208582</x:v>
      </x:c>
      <x:c r="Z404" s="65" t="n">
        <x:v>2296971.600232678</x:v>
      </x:c>
      <x:c r="AA404" s="65" t="n">
        <x:v>179610.46217442208</x:v>
      </x:c>
      <x:c r="AB404" s="65" t="n">
        <x:v>13896.216003297162</x:v>
      </x:c>
      <x:c r="AC404" s="65" t="n">
        <x:v>840.7806950012593</x:v>
      </x:c>
      <x:c r="AD404" s="65" t="n">
        <x:v>1918.7043674183114</x:v>
      </x:c>
      <x:c r="AE404" s="65" t="n">
        <x:v>66075.5658254503</x:v>
      </x:c>
      <x:c r="AF404" s="65" t="n">
        <x:v>196427.30395357287</x:v>
      </x:c>
      <x:c r="AG404" s="65" t="n">
        <x:v>5.820766091346741e-11</x:v>
      </x:c>
      <x:c r="AH404" s="34" t="n">
        <x:v>0</x:v>
      </x:c>
    </x:row>
    <x:row r="405" ht="15" hidden="0" customHeight="1">
      <x:c r="A405" s="36" t="n">
        <x:v>101</x:v>
      </x:c>
      <x:c r="B405" s="36" t="str">
        <x:v>M0</x:v>
      </x:c>
      <x:c r="C405" s="36" t="str">
        <x:v>reference</x:v>
      </x:c>
      <x:c r="D405" s="75" t="n">
        <x:v>1.0112781592834073</x:v>
      </x:c>
      <x:c r="E405" s="75" t="n">
        <x:v>0.040609653188248045</x:v>
      </x:c>
      <x:c r="F405" s="75" t="n">
        <x:v>0.8255580002679817</x:v>
      </x:c>
      <x:c r="G405" s="75" t="n">
        <x:v>1.276693614061484</x:v>
      </x:c>
      <x:c r="H405" s="75" t="n">
        <x:v>0.8243141017604572</x:v>
      </x:c>
      <x:c r="I405" s="75" t="n">
        <x:v>0.9106142926071911</x:v>
      </x:c>
      <x:c r="J405" s="75" t="n">
        <x:v>0.725309411791949</x:v>
      </x:c>
      <x:c r="K405" s="75" t="n">
        <x:v>0.9759536343276211</x:v>
      </x:c>
      <x:c r="L405" s="75" t="n">
        <x:v>0.8772716091226613</x:v>
      </x:c>
      <x:c r="M405" s="75" t="n">
        <x:v>1.035596732102436</x:v>
      </x:c>
      <x:c r="N405" s="75" t="n">
        <x:v>0.9335146781164227</x:v>
      </x:c>
      <x:c r="O405" s="66" t="n">
        <x:v>486475.15626765124</x:v>
      </x:c>
      <x:c r="P405" s="66" t="n">
        <x:v>57826.55765799109</x:v>
      </x:c>
      <x:c r="Q405" s="66" t="n">
        <x:v>428648.5986096601</x:v>
      </x:c>
      <x:c r="R405" s="66" t="n">
        <x:v>110511.78369876686</x:v>
      </x:c>
      <x:c r="S405" s="66" t="n">
        <x:v>318136.8149108932</x:v>
      </x:c>
      <x:c r="T405" s="66" t="n">
        <x:v>260275.33746454195</x:v>
      </x:c>
      <x:c r="U405" s="45" t="n">
        <x:v>0.6538913468122063</x:v>
      </x:c>
      <x:c r="V405" s="45" t="n">
        <x:v>0.6873689258329577</x:v>
      </x:c>
      <x:c r="W405" s="45" t="n">
        <x:v>0.12231444665753499</x:v>
      </x:c>
      <x:c r="X405" s="66" t="n">
        <x:v>55780404.52669609</x:v>
      </x:c>
      <x:c r="Y405" s="66" t="n">
        <x:v>114.6623908909473</x:v>
      </x:c>
      <x:c r="Z405" s="66" t="n">
        <x:v>4757404.375379052</x:v>
      </x:c>
      <x:c r="AA405" s="66" t="n">
        <x:v>305409.9434591803</x:v>
      </x:c>
      <x:c r="AB405" s="66" t="n">
        <x:v>37854.987772642395</x:v>
      </x:c>
      <x:c r="AC405" s="66" t="n">
        <x:v>2809.243802863823</x:v>
      </x:c>
      <x:c r="AD405" s="66" t="n">
        <x:v>2086.14794127513</x:v>
      </x:c>
      <x:c r="AE405" s="66" t="n">
        <x:v>179619.66927528306</x:v>
      </x:c>
      <x:c r="AF405" s="66" t="n">
        <x:v>260275.33746454198</x:v>
      </x:c>
      <x:c r="AG405" s="66" t="n">
        <x:v>0</x:v>
      </x:c>
      <x:c r="AH405" s="36" t="n">
        <x:v>0</x:v>
      </x:c>
    </x:row>
    <x:row r="406" ht="15" hidden="0" customHeight="1">
      <x:c r="A406" s="34" t="n">
        <x:v>101</x:v>
      </x:c>
      <x:c r="B406" s="34" t="str">
        <x:v>B1</x:v>
      </x:c>
      <x:c r="C406" s="34" t="str">
        <x:v>reference</x:v>
      </x:c>
      <x:c r="D406" s="74" t="n">
        <x:v>1.0112781592834073</x:v>
      </x:c>
      <x:c r="E406" s="74" t="n">
        <x:v>0.040609653188248045</x:v>
      </x:c>
      <x:c r="F406" s="74" t="n">
        <x:v>0.8255580002679817</x:v>
      </x:c>
      <x:c r="G406" s="74" t="n">
        <x:v>1.276693614061484</x:v>
      </x:c>
      <x:c r="H406" s="74" t="n">
        <x:v>0.8243141017604572</x:v>
      </x:c>
      <x:c r="I406" s="74" t="n">
        <x:v>0.9106142926071911</x:v>
      </x:c>
      <x:c r="J406" s="74" t="n">
        <x:v>0.725309411791949</x:v>
      </x:c>
      <x:c r="K406" s="74" t="n">
        <x:v>0.9759536343276211</x:v>
      </x:c>
      <x:c r="L406" s="74" t="n">
        <x:v>0.8772716091226613</x:v>
      </x:c>
      <x:c r="M406" s="74" t="n">
        <x:v>1.035596732102436</x:v>
      </x:c>
      <x:c r="N406" s="74" t="n">
        <x:v>0.9335146781164227</x:v>
      </x:c>
      <x:c r="O406" s="65" t="n">
        <x:v>486475.15626765124</x:v>
      </x:c>
      <x:c r="P406" s="65" t="n">
        <x:v>195608.76135086673</x:v>
      </x:c>
      <x:c r="Q406" s="65" t="n">
        <x:v>290866.3949167845</x:v>
      </x:c>
      <x:c r="R406" s="65" t="n">
        <x:v>110511.78369876686</x:v>
      </x:c>
      <x:c r="S406" s="65" t="n">
        <x:v>180354.61121801764</x:v>
      </x:c>
      <x:c r="T406" s="65" t="n">
        <x:v>192281.54732424245</x:v>
      </x:c>
      <x:c r="U406" s="43" t="n">
        <x:v>0.797348649109016</x:v>
      </x:c>
      <x:c r="V406" s="43" t="n">
        <x:v>0.8254928457967055</x:v>
      </x:c>
      <x:c r="W406" s="43" t="n">
        <x:v>0.43949044573895907</x:v>
      </x:c>
      <x:c r="X406" s="65" t="n">
        <x:v>38221801.68928208</x:v>
      </x:c>
      <x:c r="Y406" s="65" t="n">
        <x:v>78.56886666634426</x:v>
      </x:c>
      <x:c r="Z406" s="65" t="n">
        <x:v>1570354.3569793417</x:v>
      </x:c>
      <x:c r="AA406" s="65" t="n">
        <x:v>210269.3629119409</x:v>
      </x:c>
      <x:c r="AB406" s="65" t="n">
        <x:v>4959.715096150079</x:v>
      </x:c>
      <x:c r="AC406" s="65" t="n">
        <x:v>2884.674824427597</x:v>
      </x:c>
      <x:c r="AD406" s="65" t="n">
        <x:v>1746.5939351798493</x:v>
      </x:c>
      <x:c r="AE406" s="65" t="n">
        <x:v>108498.78942445345</x:v>
      </x:c>
      <x:c r="AF406" s="65" t="n">
        <x:v>192281.54732424262</x:v>
      </x:c>
      <x:c r="AG406" s="65" t="n">
        <x:v>0</x:v>
      </x:c>
      <x:c r="AH406" s="34" t="n">
        <x:v>0</x:v>
      </x:c>
    </x:row>
    <x:row r="407" ht="15" hidden="0" customHeight="1">
      <x:c r="A407" s="36" t="n">
        <x:v>101</x:v>
      </x:c>
      <x:c r="B407" s="36" t="str">
        <x:v>P2</x:v>
      </x:c>
      <x:c r="C407" s="36" t="str">
        <x:v>reference</x:v>
      </x:c>
      <x:c r="D407" s="75" t="n">
        <x:v>1.0112781592834073</x:v>
      </x:c>
      <x:c r="E407" s="75" t="n">
        <x:v>0.040609653188248045</x:v>
      </x:c>
      <x:c r="F407" s="75" t="n">
        <x:v>0.8255580002679817</x:v>
      </x:c>
      <x:c r="G407" s="75" t="n">
        <x:v>1.276693614061484</x:v>
      </x:c>
      <x:c r="H407" s="75" t="n">
        <x:v>0.8243141017604572</x:v>
      </x:c>
      <x:c r="I407" s="75" t="n">
        <x:v>0.9106142926071911</x:v>
      </x:c>
      <x:c r="J407" s="75" t="n">
        <x:v>0.725309411791949</x:v>
      </x:c>
      <x:c r="K407" s="75" t="n">
        <x:v>0.9759536343276211</x:v>
      </x:c>
      <x:c r="L407" s="75" t="n">
        <x:v>0.8772716091226613</x:v>
      </x:c>
      <x:c r="M407" s="75" t="n">
        <x:v>1.035596732102436</x:v>
      </x:c>
      <x:c r="N407" s="75" t="n">
        <x:v>0.9335146781164227</x:v>
      </x:c>
      <x:c r="O407" s="66" t="n">
        <x:v>486475.15626765124</x:v>
      </x:c>
      <x:c r="P407" s="66" t="n">
        <x:v>283377.31118467666</x:v>
      </x:c>
      <x:c r="Q407" s="66" t="n">
        <x:v>203097.84508297453</x:v>
      </x:c>
      <x:c r="R407" s="66" t="n">
        <x:v>110511.78369876686</x:v>
      </x:c>
      <x:c r="S407" s="66" t="n">
        <x:v>92586.06138420769</x:v>
      </x:c>
      <x:c r="T407" s="66" t="n">
        <x:v>127322.18284741818</x:v>
      </x:c>
      <x:c r="U407" s="45" t="n">
        <x:v>0.8442352887721448</x:v>
      </x:c>
      <x:c r="V407" s="45" t="n">
        <x:v>0.8666131321370866</x:v>
      </x:c>
      <x:c r="W407" s="45" t="n">
        <x:v>0.5700511467712326</x:v>
      </x:c>
      <x:c r="X407" s="66" t="n">
        <x:v>26266202.210500468</x:v>
      </x:c>
      <x:c r="Y407" s="66" t="n">
        <x:v>53.99289536596439</x:v>
      </x:c>
      <x:c r="Z407" s="66" t="n">
        <x:v>795690.17176381</x:v>
      </x:c>
      <x:c r="AA407" s="66" t="n">
        <x:v>151458.01268561976</x:v>
      </x:c>
      <x:c r="AB407" s="66" t="n">
        <x:v>0</x:v>
      </x:c>
      <x:c r="AC407" s="66" t="n">
        <x:v>0</x:v>
      </x:c>
      <x:c r="AD407" s="66" t="n">
        <x:v>1541.424773587778</x:v>
      </x:c>
      <x:c r="AE407" s="66" t="n">
        <x:v>67302.74512624567</x:v>
      </x:c>
      <x:c r="AF407" s="66" t="n">
        <x:v>127322.18284741821</x:v>
      </x:c>
      <x:c r="AG407" s="66" t="n">
        <x:v>0</x:v>
      </x:c>
      <x:c r="AH407" s="36" t="n">
        <x:v>0</x:v>
      </x:c>
    </x:row>
    <x:row r="408" ht="15" hidden="0" customHeight="1">
      <x:c r="A408" s="34" t="n">
        <x:v>101</x:v>
      </x:c>
      <x:c r="B408" s="34" t="str">
        <x:v>H3</x:v>
      </x:c>
      <x:c r="C408" s="34" t="str">
        <x:v>reference</x:v>
      </x:c>
      <x:c r="D408" s="74" t="n">
        <x:v>1.0112781592834073</x:v>
      </x:c>
      <x:c r="E408" s="74" t="n">
        <x:v>0.040609653188248045</x:v>
      </x:c>
      <x:c r="F408" s="74" t="n">
        <x:v>0.8255580002679817</x:v>
      </x:c>
      <x:c r="G408" s="74" t="n">
        <x:v>1.276693614061484</x:v>
      </x:c>
      <x:c r="H408" s="74" t="n">
        <x:v>0.8243141017604572</x:v>
      </x:c>
      <x:c r="I408" s="74" t="n">
        <x:v>0.9106142926071911</x:v>
      </x:c>
      <x:c r="J408" s="74" t="n">
        <x:v>0.725309411791949</x:v>
      </x:c>
      <x:c r="K408" s="74" t="n">
        <x:v>0.9759536343276211</x:v>
      </x:c>
      <x:c r="L408" s="74" t="n">
        <x:v>0.8772716091226613</x:v>
      </x:c>
      <x:c r="M408" s="74" t="n">
        <x:v>1.035596732102436</x:v>
      </x:c>
      <x:c r="N408" s="74" t="n">
        <x:v>0.9335146781164227</x:v>
      </x:c>
      <x:c r="O408" s="65" t="n">
        <x:v>486475.15626765124</x:v>
      </x:c>
      <x:c r="P408" s="65" t="n">
        <x:v>293963.505190157</x:v>
      </x:c>
      <x:c r="Q408" s="65" t="n">
        <x:v>192511.6510774942</x:v>
      </x:c>
      <x:c r="R408" s="65" t="n">
        <x:v>110511.78369876686</x:v>
      </x:c>
      <x:c r="S408" s="65" t="n">
        <x:v>81999.86737872736</x:v>
      </x:c>
      <x:c r="T408" s="65" t="n">
        <x:v>188203.4508807044</x:v>
      </x:c>
      <x:c r="U408" s="43" t="n">
        <x:v>0.9911440488968783</x:v>
      </x:c>
      <x:c r="V408" s="43" t="n">
        <x:v>0.9905803120485723</x:v>
      </x:c>
      <x:c r="W408" s="43" t="n">
        <x:v>0.9114404889687829</x:v>
      </x:c>
      <x:c r="X408" s="65" t="n">
        <x:v>19555104.066571884</x:v>
      </x:c>
      <x:c r="Y408" s="65" t="n">
        <x:v>40.197538999942196</x:v>
      </x:c>
      <x:c r="Z408" s="65" t="n">
        <x:v>1414291.3268923543</x:v>
      </x:c>
      <x:c r="AA408" s="65" t="n">
        <x:v>122470.14364012411</x:v>
      </x:c>
      <x:c r="AB408" s="65" t="n">
        <x:v>2235.670067514625</x:v>
      </x:c>
      <x:c r="AC408" s="65" t="n">
        <x:v>2991.8421676135767</x:v>
      </x:c>
      <x:c r="AD408" s="65" t="n">
        <x:v>1518.3931748598015</x:v>
      </x:c>
      <x:c r="AE408" s="65" t="n">
        <x:v>49163.10534746482</x:v>
      </x:c>
      <x:c r="AF408" s="65" t="n">
        <x:v>188203.45088070424</x:v>
      </x:c>
      <x:c r="AG408" s="65" t="n">
        <x:v>1.4551915228366852e-10</x:v>
      </x:c>
      <x:c r="AH408" s="34" t="n">
        <x:v>1</x:v>
      </x:c>
    </x:row>
    <x:row r="409" ht="15" hidden="0" customHeight="1">
      <x:c r="A409" s="36" t="n">
        <x:v>102</x:v>
      </x:c>
      <x:c r="B409" s="36" t="str">
        <x:v>M0</x:v>
      </x:c>
      <x:c r="C409" s="36" t="str">
        <x:v>fast</x:v>
      </x:c>
      <x:c r="D409" s="75" t="n">
        <x:v>0.9609158684328503</x:v>
      </x:c>
      <x:c r="E409" s="75" t="n">
        <x:v>0.08782264220772959</x:v>
      </x:c>
      <x:c r="F409" s="75" t="n">
        <x:v>0.732493709019033</x:v>
      </x:c>
      <x:c r="G409" s="75" t="n">
        <x:v>1.0202914331753064</x:v>
      </x:c>
      <x:c r="H409" s="75" t="n">
        <x:v>0.7972789311857843</x:v>
      </x:c>
      <x:c r="I409" s="75" t="n">
        <x:v>0.8035615799499033</x:v>
      </x:c>
      <x:c r="J409" s="75" t="n">
        <x:v>0.886265268569681</x:v>
      </x:c>
      <x:c r="K409" s="75" t="n">
        <x:v>0.7332234964137898</x:v>
      </x:c>
      <x:c r="L409" s="75" t="n">
        <x:v>1.0088229808030702</x:v>
      </x:c>
      <x:c r="M409" s="75" t="n">
        <x:v>0.9104958845206481</x:v>
      </x:c>
      <x:c r="N409" s="75" t="n">
        <x:v>0.9463169646847067</x:v>
      </x:c>
      <x:c r="O409" s="66" t="n">
        <x:v>462248.386326449</x:v>
      </x:c>
      <x:c r="P409" s="66" t="n">
        <x:v>45773.73955217964</x:v>
      </x:c>
      <x:c r="Q409" s="66" t="n">
        <x:v>416474.6467742693</x:v>
      </x:c>
      <x:c r="R409" s="66" t="n">
        <x:v>126832.35508163624</x:v>
      </x:c>
      <x:c r="S409" s="66" t="n">
        <x:v>289642.29169263307</x:v>
      </x:c>
      <x:c r="T409" s="66" t="n">
        <x:v>249152.6231497043</x:v>
      </x:c>
      <x:c r="U409" s="45" t="n">
        <x:v>0.6380257269164399</x:v>
      </x:c>
      <x:c r="V409" s="45" t="n">
        <x:v>0.6612597979324967</x:v>
      </x:c>
      <x:c r="W409" s="45" t="n">
        <x:v>0.10186614746401733</x:v>
      </x:c>
      <x:c r="X409" s="66" t="n">
        <x:v>54186415.40517959</x:v>
      </x:c>
      <x:c r="Y409" s="66" t="n">
        <x:v>117.22359019099326</x:v>
      </x:c>
      <x:c r="Z409" s="66" t="n">
        <x:v>5219889.503004624</x:v>
      </x:c>
      <x:c r="AA409" s="66" t="n">
        <x:v>296493.45174196287</x:v>
      </x:c>
      <x:c r="AB409" s="66" t="n">
        <x:v>42835.66663496911</x:v>
      </x:c>
      <x:c r="AC409" s="66" t="n">
        <x:v>0</x:v>
      </x:c>
      <x:c r="AD409" s="66" t="n">
        <x:v>2012.8982358736405</x:v>
      </x:c>
      <x:c r="AE409" s="66" t="n">
        <x:v>194644.76598386525</x:v>
      </x:c>
      <x:c r="AF409" s="66" t="n">
        <x:v>249152.6231497042</x:v>
      </x:c>
      <x:c r="AG409" s="66" t="n">
        <x:v>1.1641532182693481e-10</x:v>
      </x:c>
      <x:c r="AH409" s="36" t="n">
        <x:v>0</x:v>
      </x:c>
    </x:row>
    <x:row r="410" ht="15" hidden="0" customHeight="1">
      <x:c r="A410" s="34" t="n">
        <x:v>102</x:v>
      </x:c>
      <x:c r="B410" s="34" t="str">
        <x:v>B1</x:v>
      </x:c>
      <x:c r="C410" s="34" t="str">
        <x:v>fast</x:v>
      </x:c>
      <x:c r="D410" s="74" t="n">
        <x:v>0.9609158684328503</x:v>
      </x:c>
      <x:c r="E410" s="74" t="n">
        <x:v>0.08782264220772959</x:v>
      </x:c>
      <x:c r="F410" s="74" t="n">
        <x:v>0.732493709019033</x:v>
      </x:c>
      <x:c r="G410" s="74" t="n">
        <x:v>1.0202914331753064</x:v>
      </x:c>
      <x:c r="H410" s="74" t="n">
        <x:v>0.7972789311857843</x:v>
      </x:c>
      <x:c r="I410" s="74" t="n">
        <x:v>0.8035615799499033</x:v>
      </x:c>
      <x:c r="J410" s="74" t="n">
        <x:v>0.886265268569681</x:v>
      </x:c>
      <x:c r="K410" s="74" t="n">
        <x:v>0.7332234964137898</x:v>
      </x:c>
      <x:c r="L410" s="74" t="n">
        <x:v>1.0088229808030702</x:v>
      </x:c>
      <x:c r="M410" s="74" t="n">
        <x:v>0.9104958845206481</x:v>
      </x:c>
      <x:c r="N410" s="74" t="n">
        <x:v>0.9463169646847067</x:v>
      </x:c>
      <x:c r="O410" s="65" t="n">
        <x:v>462248.386326449</x:v>
      </x:c>
      <x:c r="P410" s="65" t="n">
        <x:v>154839.06063877163</x:v>
      </x:c>
      <x:c r="Q410" s="65" t="n">
        <x:v>307409.32568767725</x:v>
      </x:c>
      <x:c r="R410" s="65" t="n">
        <x:v>126832.35508163624</x:v>
      </x:c>
      <x:c r="S410" s="65" t="n">
        <x:v>180576.97060604108</x:v>
      </x:c>
      <x:c r="T410" s="65" t="n">
        <x:v>179518.10058838845</x:v>
      </x:c>
      <x:c r="U410" s="43" t="n">
        <x:v>0.7233279144235463</x:v>
      </x:c>
      <x:c r="V410" s="43" t="n">
        <x:v>0.7539779946869035</x:v>
      </x:c>
      <x:c r="W410" s="43" t="n">
        <x:v>0.3713654582216124</x:v>
      </x:c>
      <x:c r="X410" s="65" t="n">
        <x:v>41182240.92257418</x:v>
      </x:c>
      <x:c r="Y410" s="65" t="n">
        <x:v>89.09115129607063</x:v>
      </x:c>
      <x:c r="Z410" s="65" t="n">
        <x:v>2141635.1914974786</x:v>
      </x:c>
      <x:c r="AA410" s="65" t="n">
        <x:v>228655.29323361267</x:v>
      </x:c>
      <x:c r="AB410" s="65" t="n">
        <x:v>11872.938762514194</x:v>
      </x:c>
      <x:c r="AC410" s="65" t="n">
        <x:v>5288.062388938422</x:v>
      </x:c>
      <x:c r="AD410" s="65" t="n">
        <x:v>1759.6399850753528</x:v>
      </x:c>
      <x:c r="AE410" s="65" t="n">
        <x:v>135795.39499062044</x:v>
      </x:c>
      <x:c r="AF410" s="65" t="n">
        <x:v>179518.10058838848</x:v>
      </x:c>
      <x:c r="AG410" s="65" t="n">
        <x:v>0</x:v>
      </x:c>
      <x:c r="AH410" s="34" t="n">
        <x:v>0</x:v>
      </x:c>
    </x:row>
    <x:row r="411" ht="15" hidden="0" customHeight="1">
      <x:c r="A411" s="36" t="n">
        <x:v>102</x:v>
      </x:c>
      <x:c r="B411" s="36" t="str">
        <x:v>P2</x:v>
      </x:c>
      <x:c r="C411" s="36" t="str">
        <x:v>fast</x:v>
      </x:c>
      <x:c r="D411" s="75" t="n">
        <x:v>0.9609158684328503</x:v>
      </x:c>
      <x:c r="E411" s="75" t="n">
        <x:v>0.08782264220772959</x:v>
      </x:c>
      <x:c r="F411" s="75" t="n">
        <x:v>0.732493709019033</x:v>
      </x:c>
      <x:c r="G411" s="75" t="n">
        <x:v>1.0202914331753064</x:v>
      </x:c>
      <x:c r="H411" s="75" t="n">
        <x:v>0.7972789311857843</x:v>
      </x:c>
      <x:c r="I411" s="75" t="n">
        <x:v>0.8035615799499033</x:v>
      </x:c>
      <x:c r="J411" s="75" t="n">
        <x:v>0.886265268569681</x:v>
      </x:c>
      <x:c r="K411" s="75" t="n">
        <x:v>0.7332234964137898</x:v>
      </x:c>
      <x:c r="L411" s="75" t="n">
        <x:v>1.0088229808030702</x:v>
      </x:c>
      <x:c r="M411" s="75" t="n">
        <x:v>0.9104958845206481</x:v>
      </x:c>
      <x:c r="N411" s="75" t="n">
        <x:v>0.9463169646847067</x:v>
      </x:c>
      <x:c r="O411" s="66" t="n">
        <x:v>462248.386326449</x:v>
      </x:c>
      <x:c r="P411" s="66" t="n">
        <x:v>224315.39769794088</x:v>
      </x:c>
      <x:c r="Q411" s="66" t="n">
        <x:v>237932.98862850806</x:v>
      </x:c>
      <x:c r="R411" s="66" t="n">
        <x:v>126832.35508163624</x:v>
      </x:c>
      <x:c r="S411" s="66" t="n">
        <x:v>111100.63354687185</x:v>
      </x:c>
      <x:c r="T411" s="66" t="n">
        <x:v>109983.27311442724</x:v>
      </x:c>
      <x:c r="U411" s="45" t="n">
        <x:v>0.7232013798232705</x:v>
      </x:c>
      <x:c r="V411" s="45" t="n">
        <x:v>0.7487113503274756</x:v>
      </x:c>
      <x:c r="W411" s="45" t="n">
        <x:v>0.4906625263073236</x:v>
      </x:c>
      <x:c r="X411" s="66" t="n">
        <x:v>32161804.59890301</x:v>
      </x:c>
      <x:c r="Y411" s="66" t="n">
        <x:v>69.57688885513969</x:v>
      </x:c>
      <x:c r="Z411" s="66" t="n">
        <x:v>930180.6807570664</x:v>
      </x:c>
      <x:c r="AA411" s="66" t="n">
        <x:v>186514.58227978402</x:v>
      </x:c>
      <x:c r="AB411" s="66" t="n">
        <x:v>0</x:v>
      </x:c>
      <x:c r="AC411" s="66" t="n">
        <x:v>19136.56645805708</x:v>
      </x:c>
      <x:c r="AD411" s="66" t="n">
        <x:v>1606.6134206708125</x:v>
      </x:c>
      <x:c r="AE411" s="66" t="n">
        <x:v>73420.022243491</x:v>
      </x:c>
      <x:c r="AF411" s="66" t="n">
        <x:v>109983.27311442725</x:v>
      </x:c>
      <x:c r="AG411" s="66" t="n">
        <x:v>0</x:v>
      </x:c>
      <x:c r="AH411" s="36" t="n">
        <x:v>0</x:v>
      </x:c>
    </x:row>
    <x:row r="412" ht="15" hidden="0" customHeight="1">
      <x:c r="A412" s="34" t="n">
        <x:v>102</x:v>
      </x:c>
      <x:c r="B412" s="34" t="str">
        <x:v>H3</x:v>
      </x:c>
      <x:c r="C412" s="34" t="str">
        <x:v>fast</x:v>
      </x:c>
      <x:c r="D412" s="74" t="n">
        <x:v>0.9609158684328503</x:v>
      </x:c>
      <x:c r="E412" s="74" t="n">
        <x:v>0.08782264220772959</x:v>
      </x:c>
      <x:c r="F412" s="74" t="n">
        <x:v>0.732493709019033</x:v>
      </x:c>
      <x:c r="G412" s="74" t="n">
        <x:v>1.0202914331753064</x:v>
      </x:c>
      <x:c r="H412" s="74" t="n">
        <x:v>0.7972789311857843</x:v>
      </x:c>
      <x:c r="I412" s="74" t="n">
        <x:v>0.8035615799499033</x:v>
      </x:c>
      <x:c r="J412" s="74" t="n">
        <x:v>0.886265268569681</x:v>
      </x:c>
      <x:c r="K412" s="74" t="n">
        <x:v>0.7332234964137898</x:v>
      </x:c>
      <x:c r="L412" s="74" t="n">
        <x:v>1.0088229808030702</x:v>
      </x:c>
      <x:c r="M412" s="74" t="n">
        <x:v>0.9104958845206481</x:v>
      </x:c>
      <x:c r="N412" s="74" t="n">
        <x:v>0.9463169646847067</x:v>
      </x:c>
      <x:c r="O412" s="65" t="n">
        <x:v>462248.386326449</x:v>
      </x:c>
      <x:c r="P412" s="65" t="n">
        <x:v>232695.38778347307</x:v>
      </x:c>
      <x:c r="Q412" s="65" t="n">
        <x:v>229552.99854297587</x:v>
      </x:c>
      <x:c r="R412" s="65" t="n">
        <x:v>126832.35508163624</x:v>
      </x:c>
      <x:c r="S412" s="65" t="n">
        <x:v>102720.64346133963</x:v>
      </x:c>
      <x:c r="T412" s="65" t="n">
        <x:v>182996.87697861204</x:v>
      </x:c>
      <x:c r="U412" s="43" t="n">
        <x:v>0.8992833226864204</x:v>
      </x:c>
      <x:c r="V412" s="43" t="n">
        <x:v>0.9211941420234071</x:v>
      </x:c>
      <x:c r="W412" s="43" t="n">
        <x:v>0.619257350111646</x:v>
      </x:c>
      <x:c r="X412" s="65" t="n">
        <x:v>25834962.595560078</x:v>
      </x:c>
      <x:c r="Y412" s="65" t="n">
        <x:v>55.88978427999295</x:v>
      </x:c>
      <x:c r="Z412" s="65" t="n">
        <x:v>1925460.5356844466</x:v>
      </x:c>
      <x:c r="AA412" s="65" t="n">
        <x:v>156586.56521756487</x:v>
      </x:c>
      <x:c r="AB412" s="65" t="n">
        <x:v>9004.438571248633</x:v>
      </x:c>
      <x:c r="AC412" s="65" t="n">
        <x:v>13667.985449225562</x:v>
      </x:c>
      <x:c r="AD412" s="65" t="n">
        <x:v>1589.435174199768</x:v>
      </x:c>
      <x:c r="AE412" s="65" t="n">
        <x:v>72544.49527789859</x:v>
      </x:c>
      <x:c r="AF412" s="65" t="n">
        <x:v>182996.87697861216</x:v>
      </x:c>
      <x:c r="AG412" s="65" t="n">
        <x:v>0</x:v>
      </x:c>
      <x:c r="AH412" s="34" t="n">
        <x:v>0</x:v>
      </x:c>
    </x:row>
    <x:row r="413" ht="21.600000381469727" hidden="0" customHeight="1">
      <x:c r="A413" s="36" t="n">
        <x:v>103</x:v>
      </x:c>
      <x:c r="B413" s="36" t="str">
        <x:v>M0</x:v>
      </x:c>
      <x:c r="C413" s="36" t="str">
        <x:v>slow</x:v>
      </x:c>
      <x:c r="D413" s="75" t="n">
        <x:v>1.0401462823490755</x:v>
      </x:c>
      <x:c r="E413" s="75" t="n">
        <x:v>-0.038367322342028755</x:v>
      </x:c>
      <x:c r="F413" s="75" t="n">
        <x:v>0.9674168360305941</x:v>
      </x:c>
      <x:c r="G413" s="75" t="n">
        <x:v>1.0526099236277544</x:v>
      </x:c>
      <x:c r="H413" s="75" t="n">
        <x:v>1.0521293028727814</x:v>
      </x:c>
      <x:c r="I413" s="75" t="n">
        <x:v>0.9406128425852041</x:v>
      </x:c>
      <x:c r="J413" s="75" t="n">
        <x:v>1.061548831263543</x:v>
      </x:c>
      <x:c r="K413" s="75" t="n">
        <x:v>0.8999479488833559</x:v>
      </x:c>
      <x:c r="L413" s="75" t="n">
        <x:v>0.8381897627448346</x:v>
      </x:c>
      <x:c r="M413" s="75" t="n">
        <x:v>0.822533082514987</x:v>
      </x:c>
      <x:c r="N413" s="75" t="n">
        <x:v>0.8869840697292333</x:v>
      </x:c>
      <x:c r="O413" s="66" t="n">
        <x:v>500362.1610947662</x:v>
      </x:c>
      <x:c r="P413" s="66" t="n">
        <x:v>76821.39798484842</x:v>
      </x:c>
      <x:c r="Q413" s="66" t="n">
        <x:v>423540.76310991787</x:v>
      </x:c>
      <x:c r="R413" s="66" t="n">
        <x:v>74149.38223619075</x:v>
      </x:c>
      <x:c r="S413" s="66" t="n">
        <x:v>349391.3808737271</x:v>
      </x:c>
      <x:c r="T413" s="66" t="n">
        <x:v>270106.61478594795</x:v>
      </x:c>
      <x:c r="U413" s="45" t="n">
        <x:v>0.6933538139889237</x:v>
      </x:c>
      <x:c r="V413" s="45" t="n">
        <x:v>0.6778288151060227</x:v>
      </x:c>
      <x:c r="W413" s="45" t="n">
        <x:v>0.08419160690460463</x:v>
      </x:c>
      <x:c r="X413" s="66" t="n">
        <x:v>53687575.83830994</x:v>
      </x:c>
      <x:c r="Y413" s="66" t="n">
        <x:v>107.2974337644644</x:v>
      </x:c>
      <x:c r="Z413" s="66" t="n">
        <x:v>2823896.907662714</x:v>
      </x:c>
      <x:c r="AA413" s="66" t="n">
        <x:v>295055.46887218533</x:v>
      </x:c>
      <x:c r="AB413" s="66" t="n">
        <x:v>18197.294743526258</x:v>
      </x:c>
      <x:c r="AC413" s="66" t="n">
        <x:v>0</x:v>
      </x:c>
      <x:c r="AD413" s="66" t="n">
        <x:v>2709.1717404566607</x:v>
      </x:c>
      <x:c r="AE413" s="66" t="n">
        <x:v>244561.47357774602</x:v>
      </x:c>
      <x:c r="AF413" s="66" t="n">
        <x:v>270106.61478594784</x:v>
      </x:c>
      <x:c r="AG413" s="66" t="n">
        <x:v>1.1641532182693481e-10</x:v>
      </x:c>
      <x:c r="AH413" s="36" t="n">
        <x:v>0</x:v>
      </x:c>
    </x:row>
    <x:row r="414" ht="21.600000381469727" hidden="0" customHeight="1">
      <x:c r="A414" s="34" t="n">
        <x:v>103</x:v>
      </x:c>
      <x:c r="B414" s="34" t="str">
        <x:v>B1</x:v>
      </x:c>
      <x:c r="C414" s="34" t="str">
        <x:v>slow</x:v>
      </x:c>
      <x:c r="D414" s="74" t="n">
        <x:v>1.0401462823490755</x:v>
      </x:c>
      <x:c r="E414" s="74" t="n">
        <x:v>-0.038367322342028755</x:v>
      </x:c>
      <x:c r="F414" s="74" t="n">
        <x:v>0.9674168360305941</x:v>
      </x:c>
      <x:c r="G414" s="74" t="n">
        <x:v>1.0526099236277544</x:v>
      </x:c>
      <x:c r="H414" s="74" t="n">
        <x:v>1.0521293028727814</x:v>
      </x:c>
      <x:c r="I414" s="74" t="n">
        <x:v>0.9406128425852041</x:v>
      </x:c>
      <x:c r="J414" s="74" t="n">
        <x:v>1.061548831263543</x:v>
      </x:c>
      <x:c r="K414" s="74" t="n">
        <x:v>0.8999479488833559</x:v>
      </x:c>
      <x:c r="L414" s="74" t="n">
        <x:v>0.8381897627448346</x:v>
      </x:c>
      <x:c r="M414" s="74" t="n">
        <x:v>0.822533082514987</x:v>
      </x:c>
      <x:c r="N414" s="74" t="n">
        <x:v>0.8869840697292333</x:v>
      </x:c>
      <x:c r="O414" s="65" t="n">
        <x:v>500362.1610947662</x:v>
      </x:c>
      <x:c r="P414" s="65" t="n">
        <x:v>259859.5313667037</x:v>
      </x:c>
      <x:c r="Q414" s="65" t="n">
        <x:v>240502.62972806254</x:v>
      </x:c>
      <x:c r="R414" s="65" t="n">
        <x:v>74149.38223619075</x:v>
      </x:c>
      <x:c r="S414" s="65" t="n">
        <x:v>166353.2474918718</x:v>
      </x:c>
      <x:c r="T414" s="65" t="n">
        <x:v>139938.08099924683</x:v>
      </x:c>
      <x:c r="U414" s="43" t="n">
        <x:v>0.7990164793660942</x:v>
      </x:c>
      <x:c r="V414" s="43" t="n">
        <x:v>0.7902579073677038</x:v>
      </x:c>
      <x:c r="W414" s="43" t="n">
        <x:v>0.2922187657347391</x:v>
      </x:c>
      <x:c r="X414" s="65" t="n">
        <x:v>31616850.17438796</x:v>
      </x:c>
      <x:c r="Y414" s="65" t="n">
        <x:v>63.18793192757012</x:v>
      </x:c>
      <x:c r="Z414" s="65" t="n">
        <x:v>929103.5853923871</x:v>
      </x:c>
      <x:c r="AA414" s="65" t="n">
        <x:v>156754.46332840304</x:v>
      </x:c>
      <x:c r="AB414" s="65" t="n">
        <x:v>2175.210267652677</x:v>
      </x:c>
      <x:c r="AC414" s="65" t="n">
        <x:v>0</x:v>
      </x:c>
      <x:c r="AD414" s="65" t="n">
        <x:v>2075.4847963437073</x:v>
      </x:c>
      <x:c r="AE414" s="65" t="n">
        <x:v>63302.65737464106</x:v>
      </x:c>
      <x:c r="AF414" s="65" t="n">
        <x:v>139938.08099924697</x:v>
      </x:c>
      <x:c r="AG414" s="65" t="n">
        <x:v>0</x:v>
      </x:c>
      <x:c r="AH414" s="34" t="n">
        <x:v>0</x:v>
      </x:c>
    </x:row>
    <x:row r="415" ht="21.600000381469727" hidden="0" customHeight="1">
      <x:c r="A415" s="36" t="n">
        <x:v>103</x:v>
      </x:c>
      <x:c r="B415" s="36" t="str">
        <x:v>P2</x:v>
      </x:c>
      <x:c r="C415" s="36" t="str">
        <x:v>slow</x:v>
      </x:c>
      <x:c r="D415" s="75" t="n">
        <x:v>1.0401462823490755</x:v>
      </x:c>
      <x:c r="E415" s="75" t="n">
        <x:v>-0.038367322342028755</x:v>
      </x:c>
      <x:c r="F415" s="75" t="n">
        <x:v>0.9674168360305941</x:v>
      </x:c>
      <x:c r="G415" s="75" t="n">
        <x:v>1.0526099236277544</x:v>
      </x:c>
      <x:c r="H415" s="75" t="n">
        <x:v>1.0521293028727814</x:v>
      </x:c>
      <x:c r="I415" s="75" t="n">
        <x:v>0.9406128425852041</x:v>
      </x:c>
      <x:c r="J415" s="75" t="n">
        <x:v>1.061548831263543</x:v>
      </x:c>
      <x:c r="K415" s="75" t="n">
        <x:v>0.8999479488833559</x:v>
      </x:c>
      <x:c r="L415" s="75" t="n">
        <x:v>0.8381897627448346</x:v>
      </x:c>
      <x:c r="M415" s="75" t="n">
        <x:v>0.822533082514987</x:v>
      </x:c>
      <x:c r="N415" s="75" t="n">
        <x:v>0.8869840697292333</x:v>
      </x:c>
      <x:c r="O415" s="66" t="n">
        <x:v>500362.1610947662</x:v>
      </x:c>
      <x:c r="P415" s="66" t="n">
        <x:v>376454.83413379965</x:v>
      </x:c>
      <x:c r="Q415" s="66" t="n">
        <x:v>123907.32696096659</x:v>
      </x:c>
      <x:c r="R415" s="66" t="n">
        <x:v>74149.38223619075</x:v>
      </x:c>
      <x:c r="S415" s="66" t="n">
        <x:v>49757.94472477583</x:v>
      </x:c>
      <x:c r="T415" s="66" t="n">
        <x:v>58067.40370430665</x:v>
      </x:c>
      <x:c r="U415" s="45" t="n">
        <x:v>0.868415463086566</x:v>
      </x:c>
      <x:c r="V415" s="45" t="n">
        <x:v>0.8642478276712942</x:v>
      </x:c>
      <x:c r="W415" s="45" t="n">
        <x:v>0.4293942774995006</x:v>
      </x:c>
      <x:c r="X415" s="66" t="n">
        <x:v>17349355.6644675</x:v>
      </x:c>
      <x:c r="Y415" s="66" t="n">
        <x:v>34.67359647361826</x:v>
      </x:c>
      <x:c r="Z415" s="66" t="n">
        <x:v>377519.03092744993</x:v>
      </x:c>
      <x:c r="AA415" s="66" t="n">
        <x:v>89329.84639631712</x:v>
      </x:c>
      <x:c r="AB415" s="66" t="n">
        <x:v>0</x:v>
      </x:c>
      <x:c r="AC415" s="66" t="n">
        <x:v>0</x:v>
      </x:c>
      <x:c r="AD415" s="66" t="n">
        <x:v>1691.0325283565105</x:v>
      </x:c>
      <x:c r="AE415" s="66" t="n">
        <x:v>12187.106123668585</x:v>
      </x:c>
      <x:c r="AF415" s="66" t="n">
        <x:v>58067.403704306635</x:v>
      </x:c>
      <x:c r="AG415" s="66" t="n">
        <x:v>1.4551915228366852e-11</x:v>
      </x:c>
      <x:c r="AH415" s="36" t="n">
        <x:v>0</x:v>
      </x:c>
    </x:row>
    <x:row r="416" ht="21.600000381469727" hidden="0" customHeight="1">
      <x:c r="A416" s="34" t="n">
        <x:v>103</x:v>
      </x:c>
      <x:c r="B416" s="34" t="str">
        <x:v>H3</x:v>
      </x:c>
      <x:c r="C416" s="34" t="str">
        <x:v>slow</x:v>
      </x:c>
      <x:c r="D416" s="74" t="n">
        <x:v>1.0401462823490755</x:v>
      </x:c>
      <x:c r="E416" s="74" t="n">
        <x:v>-0.038367322342028755</x:v>
      </x:c>
      <x:c r="F416" s="74" t="n">
        <x:v>0.9674168360305941</x:v>
      </x:c>
      <x:c r="G416" s="74" t="n">
        <x:v>1.0526099236277544</x:v>
      </x:c>
      <x:c r="H416" s="74" t="n">
        <x:v>1.0521293028727814</x:v>
      </x:c>
      <x:c r="I416" s="74" t="n">
        <x:v>0.9406128425852041</x:v>
      </x:c>
      <x:c r="J416" s="74" t="n">
        <x:v>1.061548831263543</x:v>
      </x:c>
      <x:c r="K416" s="74" t="n">
        <x:v>0.8999479488833559</x:v>
      </x:c>
      <x:c r="L416" s="74" t="n">
        <x:v>0.8381897627448346</x:v>
      </x:c>
      <x:c r="M416" s="74" t="n">
        <x:v>0.822533082514987</x:v>
      </x:c>
      <x:c r="N416" s="74" t="n">
        <x:v>0.8869840697292333</x:v>
      </x:c>
      <x:c r="O416" s="65" t="n">
        <x:v>500362.1610947662</x:v>
      </x:c>
      <x:c r="P416" s="65" t="n">
        <x:v>390517.7023582704</x:v>
      </x:c>
      <x:c r="Q416" s="65" t="n">
        <x:v>109844.45873649581</x:v>
      </x:c>
      <x:c r="R416" s="65" t="n">
        <x:v>74149.38223619075</x:v>
      </x:c>
      <x:c r="S416" s="65" t="n">
        <x:v>35695.07650030505</x:v>
      </x:c>
      <x:c r="T416" s="65" t="n">
        <x:v>48198.23967691446</x:v>
      </x:c>
      <x:c r="U416" s="43" t="n">
        <x:v>0.8767968006919177</x:v>
      </x:c>
      <x:c r="V416" s="43" t="n">
        <x:v>0.8733524778730976</x:v>
      </x:c>
      <x:c r="W416" s="43" t="n">
        <x:v>0.44665772471019627</x:v>
      </x:c>
      <x:c r="X416" s="65" t="n">
        <x:v>14819439.908455495</x:v>
      </x:c>
      <x:c r="Y416" s="65" t="n">
        <x:v>29.61742725715177</x:v>
      </x:c>
      <x:c r="Z416" s="65" t="n">
        <x:v>348825.2676649967</x:v>
      </x:c>
      <x:c r="AA416" s="65" t="n">
        <x:v>82636.56824991076</x:v>
      </x:c>
      <x:c r="AB416" s="65" t="n">
        <x:v>1292.2980393345456</x:v>
      </x:c>
      <x:c r="AC416" s="65" t="n">
        <x:v>0</x:v>
      </x:c>
      <x:c r="AD416" s="65" t="n">
        <x:v>1647.62201283778</x:v>
      </x:c>
      <x:c r="AE416" s="65" t="n">
        <x:v>11842.461642577662</x:v>
      </x:c>
      <x:c r="AF416" s="65" t="n">
        <x:v>48198.2396769144</x:v>
      </x:c>
      <x:c r="AG416" s="65" t="n">
        <x:v>5.820766091346741e-11</x:v>
      </x:c>
      <x:c r="AH416" s="34" t="n">
        <x:v>0</x:v>
      </x:c>
    </x:row>
    <x:row r="417" ht="21.600000381469727" hidden="0" customHeight="1">
      <x:c r="A417" s="36" t="n">
        <x:v>104</x:v>
      </x:c>
      <x:c r="B417" s="36" t="str">
        <x:v>M0</x:v>
      </x:c>
      <x:c r="C417" s="36" t="str">
        <x:v>fast</x:v>
      </x:c>
      <x:c r="D417" s="75" t="n">
        <x:v>0.943825005530771</x:v>
      </x:c>
      <x:c r="E417" s="75" t="n">
        <x:v>-0.014830313737255393</x:v>
      </x:c>
      <x:c r="F417" s="75" t="n">
        <x:v>0.8752148103771791</x:v>
      </x:c>
      <x:c r="G417" s="75" t="n">
        <x:v>1.116682564243591</x:v>
      </x:c>
      <x:c r="H417" s="75" t="n">
        <x:v>0.7531347342838899</x:v>
      </x:c>
      <x:c r="I417" s="75" t="n">
        <x:v>0.7650267730530929</x:v>
      </x:c>
      <x:c r="J417" s="75" t="n">
        <x:v>0.9838125103574142</x:v>
      </x:c>
      <x:c r="K417" s="75" t="n">
        <x:v>0.8896879308535157</x:v>
      </x:c>
      <x:c r="L417" s="75" t="n">
        <x:v>0.9886721825556659</x:v>
      </x:c>
      <x:c r="M417" s="75" t="n">
        <x:v>0.8163112849197165</x:v>
      </x:c>
      <x:c r="N417" s="75" t="n">
        <x:v>0.9158824405216105</x:v>
      </x:c>
      <x:c r="O417" s="66" t="n">
        <x:v>454026.8301455762</x:v>
      </x:c>
      <x:c r="P417" s="66" t="n">
        <x:v>61320.944232340946</x:v>
      </x:c>
      <x:c r="Q417" s="66" t="n">
        <x:v>392705.88591323537</x:v>
      </x:c>
      <x:c r="R417" s="66" t="n">
        <x:v>77969.31687036762</x:v>
      </x:c>
      <x:c r="S417" s="66" t="n">
        <x:v>314736.5690428677</x:v>
      </x:c>
      <x:c r="T417" s="66" t="n">
        <x:v>235889.77033189067</x:v>
      </x:c>
      <x:c r="U417" s="45" t="n">
        <x:v>0.6546104653527542</x:v>
      </x:c>
      <x:c r="V417" s="45" t="n">
        <x:v>0.6770619207514542</x:v>
      </x:c>
      <x:c r="W417" s="45" t="n">
        <x:v>0.1362605089466953</x:v>
      </x:c>
      <x:c r="X417" s="66" t="n">
        <x:v>51813307.23410147</x:v>
      </x:c>
      <x:c r="Y417" s="66" t="n">
        <x:v>114.11948324174672</x:v>
      </x:c>
      <x:c r="Z417" s="66" t="n">
        <x:v>4862551.725178126</x:v>
      </x:c>
      <x:c r="AA417" s="66" t="n">
        <x:v>279356.82905116986</x:v>
      </x:c>
      <x:c r="AB417" s="66" t="n">
        <x:v>39882.57438457391</x:v>
      </x:c>
      <x:c r="AC417" s="66" t="n">
        <x:v>0</x:v>
      </x:c>
      <x:c r="AD417" s="66" t="n">
        <x:v>1918.489976343591</x:v>
      </x:c>
      <x:c r="AE417" s="66" t="n">
        <x:v>209512.3560448683</x:v>
      </x:c>
      <x:c r="AF417" s="66" t="n">
        <x:v>235889.77033189035</x:v>
      </x:c>
      <x:c r="AG417" s="66" t="n">
        <x:v>3.2014213502407074e-10</x:v>
      </x:c>
      <x:c r="AH417" s="36" t="n">
        <x:v>0</x:v>
      </x:c>
    </x:row>
    <x:row r="418" ht="21.600000381469727" hidden="0" customHeight="1">
      <x:c r="A418" s="34" t="n">
        <x:v>104</x:v>
      </x:c>
      <x:c r="B418" s="34" t="str">
        <x:v>B1</x:v>
      </x:c>
      <x:c r="C418" s="34" t="str">
        <x:v>fast</x:v>
      </x:c>
      <x:c r="D418" s="74" t="n">
        <x:v>0.943825005530771</x:v>
      </x:c>
      <x:c r="E418" s="74" t="n">
        <x:v>-0.014830313737255393</x:v>
      </x:c>
      <x:c r="F418" s="74" t="n">
        <x:v>0.8752148103771791</x:v>
      </x:c>
      <x:c r="G418" s="74" t="n">
        <x:v>1.116682564243591</x:v>
      </x:c>
      <x:c r="H418" s="74" t="n">
        <x:v>0.7531347342838899</x:v>
      </x:c>
      <x:c r="I418" s="74" t="n">
        <x:v>0.7650267730530929</x:v>
      </x:c>
      <x:c r="J418" s="74" t="n">
        <x:v>0.9838125103574142</x:v>
      </x:c>
      <x:c r="K418" s="74" t="n">
        <x:v>0.8896879308535157</x:v>
      </x:c>
      <x:c r="L418" s="74" t="n">
        <x:v>0.9886721825556659</x:v>
      </x:c>
      <x:c r="M418" s="74" t="n">
        <x:v>0.8163112849197165</x:v>
      </x:c>
      <x:c r="N418" s="74" t="n">
        <x:v>0.9158824405216105</x:v>
      </x:c>
      <x:c r="O418" s="65" t="n">
        <x:v>454026.8301455762</x:v>
      </x:c>
      <x:c r="P418" s="65" t="n">
        <x:v>207427.59631440853</x:v>
      </x:c>
      <x:c r="Q418" s="65" t="n">
        <x:v>246599.23383116774</x:v>
      </x:c>
      <x:c r="R418" s="65" t="n">
        <x:v>77969.31687036762</x:v>
      </x:c>
      <x:c r="S418" s="65" t="n">
        <x:v>168629.91696080012</x:v>
      </x:c>
      <x:c r="T418" s="65" t="n">
        <x:v>173126.095635239</x:v>
      </x:c>
      <x:c r="U418" s="43" t="n">
        <x:v>0.8381744572840095</x:v>
      </x:c>
      <x:c r="V418" s="43" t="n">
        <x:v>0.8659778737292434</x:v>
      </x:c>
      <x:c r="W418" s="43" t="n">
        <x:v>0.512007903370142</x:v>
      </x:c>
      <x:c r="X418" s="65" t="n">
        <x:v>32692771.375056103</x:v>
      </x:c>
      <x:c r="Y418" s="65" t="n">
        <x:v>72.00625426601707</x:v>
      </x:c>
      <x:c r="Z418" s="65" t="n">
        <x:v>1858634.3852741893</x:v>
      </x:c>
      <x:c r="AA418" s="65" t="n">
        <x:v>173743.3441859314</x:v>
      </x:c>
      <x:c r="AB418" s="65" t="n">
        <x:v>9021.18337980986</x:v>
      </x:c>
      <x:c r="AC418" s="65" t="n">
        <x:v>0</x:v>
      </x:c>
      <x:c r="AD418" s="65" t="n">
        <x:v>1537.0259200274172</x:v>
      </x:c>
      <x:c r="AE418" s="65" t="n">
        <x:v>114889.91589179914</x:v>
      </x:c>
      <x:c r="AF418" s="65" t="n">
        <x:v>173126.09563523898</x:v>
      </x:c>
      <x:c r="AG418" s="65" t="n">
        <x:v>2.9103830456733704e-11</x:v>
      </x:c>
      <x:c r="AH418" s="34" t="n">
        <x:v>0</x:v>
      </x:c>
    </x:row>
    <x:row r="419" ht="21.600000381469727" hidden="0" customHeight="1">
      <x:c r="A419" s="36" t="n">
        <x:v>104</x:v>
      </x:c>
      <x:c r="B419" s="36" t="str">
        <x:v>P2</x:v>
      </x:c>
      <x:c r="C419" s="36" t="str">
        <x:v>fast</x:v>
      </x:c>
      <x:c r="D419" s="75" t="n">
        <x:v>0.943825005530771</x:v>
      </x:c>
      <x:c r="E419" s="75" t="n">
        <x:v>-0.014830313737255393</x:v>
      </x:c>
      <x:c r="F419" s="75" t="n">
        <x:v>0.8752148103771791</x:v>
      </x:c>
      <x:c r="G419" s="75" t="n">
        <x:v>1.116682564243591</x:v>
      </x:c>
      <x:c r="H419" s="75" t="n">
        <x:v>0.7531347342838899</x:v>
      </x:c>
      <x:c r="I419" s="75" t="n">
        <x:v>0.7650267730530929</x:v>
      </x:c>
      <x:c r="J419" s="75" t="n">
        <x:v>0.9838125103574142</x:v>
      </x:c>
      <x:c r="K419" s="75" t="n">
        <x:v>0.8896879308535157</x:v>
      </x:c>
      <x:c r="L419" s="75" t="n">
        <x:v>0.9886721825556659</x:v>
      </x:c>
      <x:c r="M419" s="75" t="n">
        <x:v>0.8163112849197165</x:v>
      </x:c>
      <x:c r="N419" s="75" t="n">
        <x:v>0.9158824405216105</x:v>
      </x:c>
      <x:c r="O419" s="66" t="n">
        <x:v>454026.8301455762</x:v>
      </x:c>
      <x:c r="P419" s="66" t="n">
        <x:v>300497.919726138</x:v>
      </x:c>
      <x:c r="Q419" s="66" t="n">
        <x:v>153528.91041943824</x:v>
      </x:c>
      <x:c r="R419" s="66" t="n">
        <x:v>77969.31687036762</x:v>
      </x:c>
      <x:c r="S419" s="66" t="n">
        <x:v>75559.59354907062</x:v>
      </x:c>
      <x:c r="T419" s="66" t="n">
        <x:v>115361.99569588016</x:v>
      </x:c>
      <x:c r="U419" s="45" t="n">
        <x:v>0.915936873793735</x:v>
      </x:c>
      <x:c r="V419" s="45" t="n">
        <x:v>0.9336819386593679</x:v>
      </x:c>
      <x:c r="W419" s="45" t="n">
        <x:v>0.7501854034689682</x:v>
      </x:c>
      <x:c r="X419" s="66" t="n">
        <x:v>18994466.701297376</x:v>
      </x:c>
      <x:c r="Y419" s="66" t="n">
        <x:v>41.835560015709014</x:v>
      </x:c>
      <x:c r="Z419" s="66" t="n">
        <x:v>721422.6075574316</x:v>
      </x:c>
      <x:c r="AA419" s="66" t="n">
        <x:v>108216.93730456749</x:v>
      </x:c>
      <x:c r="AB419" s="66" t="n">
        <x:v>0</x:v>
      </x:c>
      <x:c r="AC419" s="66" t="n">
        <x:v>0</x:v>
      </x:c>
      <x:c r="AD419" s="66" t="n">
        <x:v>1306.5333939285247</x:v>
      </x:c>
      <x:c r="AE419" s="66" t="n">
        <x:v>72748.44090351177</x:v>
      </x:c>
      <x:c r="AF419" s="66" t="n">
        <x:v>115361.99569588025</x:v>
      </x:c>
      <x:c r="AG419" s="66" t="n">
        <x:v>0</x:v>
      </x:c>
      <x:c r="AH419" s="36" t="n">
        <x:v>0</x:v>
      </x:c>
    </x:row>
    <x:row r="420" ht="21.600000381469727" hidden="0" customHeight="1">
      <x:c r="A420" s="34" t="n">
        <x:v>104</x:v>
      </x:c>
      <x:c r="B420" s="34" t="str">
        <x:v>H3</x:v>
      </x:c>
      <x:c r="C420" s="34" t="str">
        <x:v>fast</x:v>
      </x:c>
      <x:c r="D420" s="74" t="n">
        <x:v>0.943825005530771</x:v>
      </x:c>
      <x:c r="E420" s="74" t="n">
        <x:v>-0.014830313737255393</x:v>
      </x:c>
      <x:c r="F420" s="74" t="n">
        <x:v>0.8752148103771791</x:v>
      </x:c>
      <x:c r="G420" s="74" t="n">
        <x:v>1.116682564243591</x:v>
      </x:c>
      <x:c r="H420" s="74" t="n">
        <x:v>0.7531347342838899</x:v>
      </x:c>
      <x:c r="I420" s="74" t="n">
        <x:v>0.7650267730530929</x:v>
      </x:c>
      <x:c r="J420" s="74" t="n">
        <x:v>0.9838125103574142</x:v>
      </x:c>
      <x:c r="K420" s="74" t="n">
        <x:v>0.8896879308535157</x:v>
      </x:c>
      <x:c r="L420" s="74" t="n">
        <x:v>0.9886721825556659</x:v>
      </x:c>
      <x:c r="M420" s="74" t="n">
        <x:v>0.8163112849197165</x:v>
      </x:c>
      <x:c r="N420" s="74" t="n">
        <x:v>0.9158824405216105</x:v>
      </x:c>
      <x:c r="O420" s="65" t="n">
        <x:v>454026.8301455762</x:v>
      </x:c>
      <x:c r="P420" s="65" t="n">
        <x:v>311723.4359219225</x:v>
      </x:c>
      <x:c r="Q420" s="65" t="n">
        <x:v>142303.39422365383</x:v>
      </x:c>
      <x:c r="R420" s="65" t="n">
        <x:v>77969.31687036762</x:v>
      </x:c>
      <x:c r="S420" s="65" t="n">
        <x:v>64334.077353286186</x:v>
      </x:c>
      <x:c r="T420" s="65" t="n">
        <x:v>141022.7351440214</x:v>
      </x:c>
      <x:c r="U420" s="43" t="n">
        <x:v>0.9971793317165383</x:v>
      </x:c>
      <x:c r="V420" s="43" t="n">
        <x:v>0.9982234160847965</x:v>
      </x:c>
      <x:c r="W420" s="43" t="n">
        <x:v>0.9717933171653806</x:v>
      </x:c>
      <x:c r="X420" s="65" t="n">
        <x:v>13418471.50914096</x:v>
      </x:c>
      <x:c r="Y420" s="65" t="n">
        <x:v>29.55435806478342</x:v>
      </x:c>
      <x:c r="Z420" s="65" t="n">
        <x:v>1103310.2490366716</x:v>
      </x:c>
      <x:c r="AA420" s="65" t="n">
        <x:v>85237.74377473461</x:v>
      </x:c>
      <x:c r="AB420" s="65" t="n">
        <x:v>4906.706476768513</x:v>
      </x:c>
      <x:c r="AC420" s="65" t="n">
        <x:v>0</x:v>
      </x:c>
      <x:c r="AD420" s="65" t="n">
        <x:v>1280.659079632392</x:v>
      </x:c>
      <x:c r="AE420" s="65" t="n">
        <x:v>58496.876025901365</x:v>
      </x:c>
      <x:c r="AF420" s="65" t="n">
        <x:v>141022.73514402125</x:v>
      </x:c>
      <x:c r="AG420" s="65" t="n">
        <x:v>1.4551915228366852e-10</x:v>
      </x:c>
      <x:c r="AH420" s="34" t="n">
        <x:v>1</x:v>
      </x:c>
    </x:row>
    <x:row r="421" ht="21.600000381469727" hidden="0" customHeight="1">
      <x:c r="A421" s="36" t="n">
        <x:v>105</x:v>
      </x:c>
      <x:c r="B421" s="36" t="str">
        <x:v>M0</x:v>
      </x:c>
      <x:c r="C421" s="36" t="str">
        <x:v>slow</x:v>
      </x:c>
      <x:c r="D421" s="75" t="n">
        <x:v>0.9556280826519723</x:v>
      </x:c>
      <x:c r="E421" s="75" t="n">
        <x:v>-0.00445571901605963</x:v>
      </x:c>
      <x:c r="F421" s="75" t="n">
        <x:v>0.8397353914656092</x:v>
      </x:c>
      <x:c r="G421" s="75" t="n">
        <x:v>1.1623765003100501</x:v>
      </x:c>
      <x:c r="H421" s="75" t="n">
        <x:v>1.0420781557146408</x:v>
      </x:c>
      <x:c r="I421" s="75" t="n">
        <x:v>0.8613128944860186</x:v>
      </x:c>
      <x:c r="J421" s="75" t="n">
        <x:v>0.7368464317348632</x:v>
      </x:c>
      <x:c r="K421" s="75" t="n">
        <x:v>0.8681426907066347</x:v>
      </x:c>
      <x:c r="L421" s="75" t="n">
        <x:v>0.8307064097627084</x:v>
      </x:c>
      <x:c r="M421" s="75" t="n">
        <x:v>0.7888285783511496</x:v>
      </x:c>
      <x:c r="N421" s="75" t="n">
        <x:v>1.0204424103143734</x:v>
      </x:c>
      <x:c r="O421" s="66" t="n">
        <x:v>459704.69803411467</x:v>
      </x:c>
      <x:c r="P421" s="66" t="n">
        <x:v>58824.58852438335</x:v>
      </x:c>
      <x:c r="Q421" s="66" t="n">
        <x:v>400880.1095097314</x:v>
      </x:c>
      <x:c r="R421" s="66" t="n">
        <x:v>83713.61816905424</x:v>
      </x:c>
      <x:c r="S421" s="66" t="n">
        <x:v>317166.4913406771</x:v>
      </x:c>
      <x:c r="T421" s="66" t="n">
        <x:v>256332.72753206966</x:v>
      </x:c>
      <x:c r="U421" s="45" t="n">
        <x:v>0.6855647057865509</x:v>
      </x:c>
      <x:c r="V421" s="45" t="n">
        <x:v>0.6697368346706282</x:v>
      </x:c>
      <x:c r="W421" s="45" t="n">
        <x:v>0.06800527344167627</x:v>
      </x:c>
      <x:c r="X421" s="66" t="n">
        <x:v>49878256.37085229</x:v>
      </x:c>
      <x:c r="Y421" s="66" t="n">
        <x:v>108.50064527108842</x:v>
      </x:c>
      <x:c r="Z421" s="66" t="n">
        <x:v>3017749.949050356</x:v>
      </x:c>
      <x:c r="AA421" s="66" t="n">
        <x:v>274619.3207891255</x:v>
      </x:c>
      <x:c r="AB421" s="66" t="n">
        <x:v>20504.467434057573</x:v>
      </x:c>
      <x:c r="AC421" s="66" t="n">
        <x:v>2451.429064635953</x:v>
      </x:c>
      <x:c r="AD421" s="66" t="n">
        <x:v>2538.281196302759</x:v>
      </x:c>
      <x:c r="AE421" s="66" t="n">
        <x:v>226943.9861150157</x:v>
      </x:c>
      <x:c r="AF421" s="66" t="n">
        <x:v>256332.72753206964</x:v>
      </x:c>
      <x:c r="AG421" s="66" t="n">
        <x:v>2.9103830456733704e-11</x:v>
      </x:c>
      <x:c r="AH421" s="36" t="n">
        <x:v>0</x:v>
      </x:c>
    </x:row>
    <x:row r="422" ht="21.600000381469727" hidden="0" customHeight="1">
      <x:c r="A422" s="34" t="n">
        <x:v>105</x:v>
      </x:c>
      <x:c r="B422" s="34" t="str">
        <x:v>B1</x:v>
      </x:c>
      <x:c r="C422" s="34" t="str">
        <x:v>slow</x:v>
      </x:c>
      <x:c r="D422" s="74" t="n">
        <x:v>0.9556280826519723</x:v>
      </x:c>
      <x:c r="E422" s="74" t="n">
        <x:v>-0.00445571901605963</x:v>
      </x:c>
      <x:c r="F422" s="74" t="n">
        <x:v>0.8397353914656092</x:v>
      </x:c>
      <x:c r="G422" s="74" t="n">
        <x:v>1.1623765003100501</x:v>
      </x:c>
      <x:c r="H422" s="74" t="n">
        <x:v>1.0420781557146408</x:v>
      </x:c>
      <x:c r="I422" s="74" t="n">
        <x:v>0.8613128944860186</x:v>
      </x:c>
      <x:c r="J422" s="74" t="n">
        <x:v>0.7368464317348632</x:v>
      </x:c>
      <x:c r="K422" s="74" t="n">
        <x:v>0.8681426907066347</x:v>
      </x:c>
      <x:c r="L422" s="74" t="n">
        <x:v>0.8307064097627084</x:v>
      </x:c>
      <x:c r="M422" s="74" t="n">
        <x:v>0.7888285783511496</x:v>
      </x:c>
      <x:c r="N422" s="74" t="n">
        <x:v>1.0204424103143734</x:v>
      </x:c>
      <x:c r="O422" s="65" t="n">
        <x:v>459704.69803411467</x:v>
      </x:c>
      <x:c r="P422" s="65" t="n">
        <x:v>198983.5505434101</x:v>
      </x:c>
      <x:c r="Q422" s="65" t="n">
        <x:v>260721.14749070466</x:v>
      </x:c>
      <x:c r="R422" s="65" t="n">
        <x:v>83713.61816905424</x:v>
      </x:c>
      <x:c r="S422" s="65" t="n">
        <x:v>177007.5293216504</x:v>
      </x:c>
      <x:c r="T422" s="65" t="n">
        <x:v>156024.51140294294</x:v>
      </x:c>
      <x:c r="U422" s="43" t="n">
        <x:v>0.7722524121778888</x:v>
      </x:c>
      <x:c r="V422" s="43" t="n">
        <x:v>0.762331534837141</x:v>
      </x:c>
      <x:c r="W422" s="43" t="n">
        <x:v>0.23603798287277022</x:v>
      </x:c>
      <x:c r="X422" s="65" t="n">
        <x:v>33508381.49239314</x:v>
      </x:c>
      <x:c r="Y422" s="65" t="n">
        <x:v>72.89110082121998</x:v>
      </x:c>
      <x:c r="Z422" s="65" t="n">
        <x:v>1451939.5964829093</x:v>
      </x:c>
      <x:c r="AA422" s="65" t="n">
        <x:v>176710.8559559994</x:v>
      </x:c>
      <x:c r="AB422" s="65" t="n">
        <x:v>4615.999137152225</x:v>
      </x:c>
      <x:c r="AC422" s="65" t="n">
        <x:v>9233.83924184876</x:v>
      </x:c>
      <x:c r="AD422" s="65" t="n">
        <x:v>2068.015787650137</x:v>
      </x:c>
      <x:c r="AE422" s="65" t="n">
        <x:v>67858.28715178116</x:v>
      </x:c>
      <x:c r="AF422" s="65" t="n">
        <x:v>156024.51140294306</x:v>
      </x:c>
      <x:c r="AG422" s="65" t="n">
        <x:v>0</x:v>
      </x:c>
      <x:c r="AH422" s="34" t="n">
        <x:v>0</x:v>
      </x:c>
    </x:row>
    <x:row r="423" ht="21.600000381469727" hidden="0" customHeight="1">
      <x:c r="A423" s="36" t="n">
        <x:v>105</x:v>
      </x:c>
      <x:c r="B423" s="36" t="str">
        <x:v>P2</x:v>
      </x:c>
      <x:c r="C423" s="36" t="str">
        <x:v>slow</x:v>
      </x:c>
      <x:c r="D423" s="75" t="n">
        <x:v>0.9556280826519723</x:v>
      </x:c>
      <x:c r="E423" s="75" t="n">
        <x:v>-0.00445571901605963</x:v>
      </x:c>
      <x:c r="F423" s="75" t="n">
        <x:v>0.8397353914656092</x:v>
      </x:c>
      <x:c r="G423" s="75" t="n">
        <x:v>1.1623765003100501</x:v>
      </x:c>
      <x:c r="H423" s="75" t="n">
        <x:v>1.0420781557146408</x:v>
      </x:c>
      <x:c r="I423" s="75" t="n">
        <x:v>0.8613128944860186</x:v>
      </x:c>
      <x:c r="J423" s="75" t="n">
        <x:v>0.7368464317348632</x:v>
      </x:c>
      <x:c r="K423" s="75" t="n">
        <x:v>0.8681426907066347</x:v>
      </x:c>
      <x:c r="L423" s="75" t="n">
        <x:v>0.8307064097627084</x:v>
      </x:c>
      <x:c r="M423" s="75" t="n">
        <x:v>0.7888285783511496</x:v>
      </x:c>
      <x:c r="N423" s="75" t="n">
        <x:v>1.0204424103143734</x:v>
      </x:c>
      <x:c r="O423" s="66" t="n">
        <x:v>459704.69803411467</x:v>
      </x:c>
      <x:c r="P423" s="66" t="n">
        <x:v>288265.34551870136</x:v>
      </x:c>
      <x:c r="Q423" s="66" t="n">
        <x:v>171439.35251541337</x:v>
      </x:c>
      <x:c r="R423" s="66" t="n">
        <x:v>83713.61816905424</x:v>
      </x:c>
      <x:c r="S423" s="66" t="n">
        <x:v>87725.73434635912</x:v>
      </x:c>
      <x:c r="T423" s="66" t="n">
        <x:v>93118.79324791033</x:v>
      </x:c>
      <x:c r="U423" s="45" t="n">
        <x:v>0.8296285428397105</x:v>
      </x:c>
      <x:c r="V423" s="45" t="n">
        <x:v>0.8235326087522691</x:v>
      </x:c>
      <x:c r="W423" s="45" t="n">
        <x:v>0.34684069266823164</x:v>
      </x:c>
      <x:c r="X423" s="66" t="n">
        <x:v>21590105.990378976</x:v>
      </x:c>
      <x:c r="Y423" s="66" t="n">
        <x:v>46.96516281584047</x:v>
      </x:c>
      <x:c r="Z423" s="66" t="n">
        <x:v>794316.5119125602</x:v>
      </x:c>
      <x:c r="AA423" s="66" t="n">
        <x:v>113868.89755843555</x:v>
      </x:c>
      <x:c r="AB423" s="66" t="n">
        <x:v>545.2892490115706</x:v>
      </x:c>
      <x:c r="AC423" s="66" t="n">
        <x:v>5554.168029520121</x:v>
      </x:c>
      <x:c r="AD423" s="66" t="n">
        <x:v>1782.7099207831684</x:v>
      </x:c>
      <x:c r="AE423" s="66" t="n">
        <x:v>13524.285243389342</x:v>
      </x:c>
      <x:c r="AF423" s="66" t="n">
        <x:v>93118.79324791023</x:v>
      </x:c>
      <x:c r="AG423" s="66" t="n">
        <x:v>1.0186340659856796e-10</x:v>
      </x:c>
      <x:c r="AH423" s="36" t="n">
        <x:v>0</x:v>
      </x:c>
    </x:row>
    <x:row r="424" ht="21.600000381469727" hidden="0" customHeight="1">
      <x:c r="A424" s="34" t="n">
        <x:v>105</x:v>
      </x:c>
      <x:c r="B424" s="34" t="str">
        <x:v>H3</x:v>
      </x:c>
      <x:c r="C424" s="34" t="str">
        <x:v>slow</x:v>
      </x:c>
      <x:c r="D424" s="74" t="n">
        <x:v>0.9556280826519723</x:v>
      </x:c>
      <x:c r="E424" s="74" t="n">
        <x:v>-0.00445571901605963</x:v>
      </x:c>
      <x:c r="F424" s="74" t="n">
        <x:v>0.8397353914656092</x:v>
      </x:c>
      <x:c r="G424" s="74" t="n">
        <x:v>1.1623765003100501</x:v>
      </x:c>
      <x:c r="H424" s="74" t="n">
        <x:v>1.0420781557146408</x:v>
      </x:c>
      <x:c r="I424" s="74" t="n">
        <x:v>0.8613128944860186</x:v>
      </x:c>
      <x:c r="J424" s="74" t="n">
        <x:v>0.7368464317348632</x:v>
      </x:c>
      <x:c r="K424" s="74" t="n">
        <x:v>0.8681426907066347</x:v>
      </x:c>
      <x:c r="L424" s="74" t="n">
        <x:v>0.8307064097627084</x:v>
      </x:c>
      <x:c r="M424" s="74" t="n">
        <x:v>0.7888285783511496</x:v>
      </x:c>
      <x:c r="N424" s="74" t="n">
        <x:v>1.0204424103143734</x:v>
      </x:c>
      <x:c r="O424" s="65" t="n">
        <x:v>459704.69803411467</x:v>
      </x:c>
      <x:c r="P424" s="65" t="n">
        <x:v>299033.94045881205</x:v>
      </x:c>
      <x:c r="Q424" s="65" t="n">
        <x:v>160670.75757530268</x:v>
      </x:c>
      <x:c r="R424" s="65" t="n">
        <x:v>83713.61816905424</x:v>
      </x:c>
      <x:c r="S424" s="65" t="n">
        <x:v>76957.13940624843</x:v>
      </x:c>
      <x:c r="T424" s="65" t="n">
        <x:v>85535.74371980483</x:v>
      </x:c>
      <x:c r="U424" s="43" t="n">
        <x:v>0.8365580900591056</x:v>
      </x:c>
      <x:c r="V424" s="43" t="n">
        <x:v>0.831064104460631</x:v>
      </x:c>
      <x:c r="W424" s="43" t="n">
        <x:v>0.36078514023578473</x:v>
      </x:c>
      <x:c r="X424" s="65" t="n">
        <x:v>19343295.486048587</x:v>
      </x:c>
      <x:c r="Y424" s="65" t="n">
        <x:v>42.07765456556879</x:v>
      </x:c>
      <x:c r="Z424" s="65" t="n">
        <x:v>619701.8552047937</x:v>
      </x:c>
      <x:c r="AA424" s="65" t="n">
        <x:v>106048.93541320082</x:v>
      </x:c>
      <x:c r="AB424" s="65" t="n">
        <x:v>2487.477463407138</x:v>
      </x:c>
      <x:c r="AC424" s="65" t="n">
        <x:v>2495.6088719800855</x:v>
      </x:c>
      <x:c r="AD424" s="65" t="n">
        <x:v>1750.4945437584563</x:v>
      </x:c>
      <x:c r="AE424" s="65" t="n">
        <x:v>12574.37560706705</x:v>
      </x:c>
      <x:c r="AF424" s="65" t="n">
        <x:v>85535.74371980486</x:v>
      </x:c>
      <x:c r="AG424" s="65" t="n">
        <x:v>0</x:v>
      </x:c>
      <x:c r="AH424" s="34" t="n">
        <x:v>0</x:v>
      </x:c>
    </x:row>
    <x:row r="425" ht="15" hidden="0" customHeight="1">
      <x:c r="A425" s="36" t="n">
        <x:v>106</x:v>
      </x:c>
      <x:c r="B425" s="36" t="str">
        <x:v>M0</x:v>
      </x:c>
      <x:c r="C425" s="36" t="str">
        <x:v>fast</x:v>
      </x:c>
      <x:c r="D425" s="75" t="n">
        <x:v>1.0965965874526737</x:v>
      </x:c>
      <x:c r="E425" s="75" t="n">
        <x:v>0.09534510156094558</x:v>
      </x:c>
      <x:c r="F425" s="75" t="n">
        <x:v>0.7785738394111225</x:v>
      </x:c>
      <x:c r="G425" s="75" t="n">
        <x:v>1.0110724737994916</x:v>
      </x:c>
      <x:c r="H425" s="75" t="n">
        <x:v>0.7658776691075486</x:v>
      </x:c>
      <x:c r="I425" s="75" t="n">
        <x:v>0.9549564137878404</x:v>
      </x:c>
      <x:c r="J425" s="75" t="n">
        <x:v>0.8588814066565099</x:v>
      </x:c>
      <x:c r="K425" s="75" t="n">
        <x:v>0.8912189836296869</x:v>
      </x:c>
      <x:c r="L425" s="75" t="n">
        <x:v>0.7865259875600941</x:v>
      </x:c>
      <x:c r="M425" s="75" t="n">
        <x:v>0.8403645649651129</x:v>
      </x:c>
      <x:c r="N425" s="75" t="n">
        <x:v>0.8214649030363219</x:v>
      </x:c>
      <x:c r="O425" s="66" t="n">
        <x:v>527517.5690747912</x:v>
      </x:c>
      <x:c r="P425" s="66" t="n">
        <x:v>54947.38946609146</x:v>
      </x:c>
      <x:c r="Q425" s="66" t="n">
        <x:v>472570.17960869975</x:v>
      </x:c>
      <x:c r="R425" s="66" t="n">
        <x:v>148709.23368439992</x:v>
      </x:c>
      <x:c r="S425" s="66" t="n">
        <x:v>323860.9459242998</x:v>
      </x:c>
      <x:c r="T425" s="66" t="n">
        <x:v>251220.9566424275</x:v>
      </x:c>
      <x:c r="U425" s="45" t="n">
        <x:v>0.580394595473863</x:v>
      </x:c>
      <x:c r="V425" s="45" t="n">
        <x:v>0.6208109357718061</x:v>
      </x:c>
      <x:c r="W425" s="45" t="n">
        <x:v>0.10603404073008073</x:v>
      </x:c>
      <x:c r="X425" s="66" t="n">
        <x:v>63298583.12900701</x:v>
      </x:c>
      <x:c r="Y425" s="66" t="n">
        <x:v>119.99331745485917</x:v>
      </x:c>
      <x:c r="Z425" s="66" t="n">
        <x:v>3077263.2351842234</x:v>
      </x:c>
      <x:c r="AA425" s="66" t="n">
        <x:v>358398.5289187164</x:v>
      </x:c>
      <x:c r="AB425" s="66" t="n">
        <x:v>16243.87859592702</x:v>
      </x:c>
      <x:c r="AC425" s="66" t="n">
        <x:v>0</x:v>
      </x:c>
      <x:c r="AD425" s="66" t="n">
        <x:v>2291.9066447070873</x:v>
      </x:c>
      <x:c r="AE425" s="66" t="n">
        <x:v>203904.57822753533</x:v>
      </x:c>
      <x:c r="AF425" s="66" t="n">
        <x:v>251220.95664242763</x:v>
      </x:c>
      <x:c r="AG425" s="66" t="n">
        <x:v>0</x:v>
      </x:c>
      <x:c r="AH425" s="36" t="n">
        <x:v>0</x:v>
      </x:c>
    </x:row>
    <x:row r="426" ht="15" hidden="0" customHeight="1">
      <x:c r="A426" s="34" t="n">
        <x:v>106</x:v>
      </x:c>
      <x:c r="B426" s="34" t="str">
        <x:v>B1</x:v>
      </x:c>
      <x:c r="C426" s="34" t="str">
        <x:v>fast</x:v>
      </x:c>
      <x:c r="D426" s="74" t="n">
        <x:v>1.0965965874526737</x:v>
      </x:c>
      <x:c r="E426" s="74" t="n">
        <x:v>0.09534510156094558</x:v>
      </x:c>
      <x:c r="F426" s="74" t="n">
        <x:v>0.7785738394111225</x:v>
      </x:c>
      <x:c r="G426" s="74" t="n">
        <x:v>1.0110724737994916</x:v>
      </x:c>
      <x:c r="H426" s="74" t="n">
        <x:v>0.7658776691075486</x:v>
      </x:c>
      <x:c r="I426" s="74" t="n">
        <x:v>0.9549564137878404</x:v>
      </x:c>
      <x:c r="J426" s="74" t="n">
        <x:v>0.8588814066565099</x:v>
      </x:c>
      <x:c r="K426" s="74" t="n">
        <x:v>0.8912189836296869</x:v>
      </x:c>
      <x:c r="L426" s="74" t="n">
        <x:v>0.7865259875600941</x:v>
      </x:c>
      <x:c r="M426" s="74" t="n">
        <x:v>0.8403645649651129</x:v>
      </x:c>
      <x:c r="N426" s="74" t="n">
        <x:v>0.8214649030363219</x:v>
      </x:c>
      <x:c r="O426" s="65" t="n">
        <x:v>527517.5690747912</x:v>
      </x:c>
      <x:c r="P426" s="65" t="n">
        <x:v>185871.0453709052</x:v>
      </x:c>
      <x:c r="Q426" s="65" t="n">
        <x:v>341646.523703886</x:v>
      </x:c>
      <x:c r="R426" s="65" t="n">
        <x:v>148709.23368439992</x:v>
      </x:c>
      <x:c r="S426" s="65" t="n">
        <x:v>192937.2900194861</x:v>
      </x:c>
      <x:c r="T426" s="65" t="n">
        <x:v>180228.0510770271</x:v>
      </x:c>
      <x:c r="U426" s="43" t="n">
        <x:v>0.6940036084296313</x:v>
      </x:c>
      <x:c r="V426" s="43" t="n">
        <x:v>0.7236725028602325</x:v>
      </x:c>
      <x:c r="W426" s="43" t="n">
        <x:v>0.386376359448347</x:v>
      </x:c>
      <x:c r="X426" s="65" t="n">
        <x:v>47277429.910763785</x:v>
      </x:c>
      <x:c r="Y426" s="65" t="n">
        <x:v>89.62247455318558</x:v>
      </x:c>
      <x:c r="Z426" s="65" t="n">
        <x:v>1212906.640484476</x:v>
      </x:c>
      <x:c r="AA426" s="65" t="n">
        <x:v>266667.9179319679</x:v>
      </x:c>
      <x:c r="AB426" s="65" t="n">
        <x:v>2808.73683030757</x:v>
      </x:c>
      <x:c r="AC426" s="65" t="n">
        <x:v>0</x:v>
      </x:c>
      <x:c r="AD426" s="65" t="n">
        <x:v>1991.0873406613687</x:v>
      </x:c>
      <x:c r="AE426" s="65" t="n">
        <x:v>152547.81808489023</x:v>
      </x:c>
      <x:c r="AF426" s="65" t="n">
        <x:v>180228.0510770269</x:v>
      </x:c>
      <x:c r="AG426" s="65" t="n">
        <x:v>2.0372681319713593e-10</x:v>
      </x:c>
      <x:c r="AH426" s="34" t="n">
        <x:v>0</x:v>
      </x:c>
    </x:row>
    <x:row r="427" ht="15" hidden="0" customHeight="1">
      <x:c r="A427" s="36" t="n">
        <x:v>106</x:v>
      </x:c>
      <x:c r="B427" s="36" t="str">
        <x:v>P2</x:v>
      </x:c>
      <x:c r="C427" s="36" t="str">
        <x:v>fast</x:v>
      </x:c>
      <x:c r="D427" s="75" t="n">
        <x:v>1.0965965874526737</x:v>
      </x:c>
      <x:c r="E427" s="75" t="n">
        <x:v>0.09534510156094558</x:v>
      </x:c>
      <x:c r="F427" s="75" t="n">
        <x:v>0.7785738394111225</x:v>
      </x:c>
      <x:c r="G427" s="75" t="n">
        <x:v>1.0110724737994916</x:v>
      </x:c>
      <x:c r="H427" s="75" t="n">
        <x:v>0.7658776691075486</x:v>
      </x:c>
      <x:c r="I427" s="75" t="n">
        <x:v>0.9549564137878404</x:v>
      </x:c>
      <x:c r="J427" s="75" t="n">
        <x:v>0.8588814066565099</x:v>
      </x:c>
      <x:c r="K427" s="75" t="n">
        <x:v>0.8912189836296869</x:v>
      </x:c>
      <x:c r="L427" s="75" t="n">
        <x:v>0.7865259875600941</x:v>
      </x:c>
      <x:c r="M427" s="75" t="n">
        <x:v>0.8403645649651129</x:v>
      </x:c>
      <x:c r="N427" s="75" t="n">
        <x:v>0.8214649030363219</x:v>
      </x:c>
      <x:c r="O427" s="66" t="n">
        <x:v>527517.5690747912</x:v>
      </x:c>
      <x:c r="P427" s="66" t="n">
        <x:v>269271.6339750836</x:v>
      </x:c>
      <x:c r="Q427" s="66" t="n">
        <x:v>258245.93509970757</x:v>
      </x:c>
      <x:c r="R427" s="66" t="n">
        <x:v>148709.23368439992</x:v>
      </x:c>
      <x:c r="S427" s="66" t="n">
        <x:v>109536.70141530766</x:v>
      </x:c>
      <x:c r="T427" s="66" t="n">
        <x:v>118691.51930921916</x:v>
      </x:c>
      <x:c r="U427" s="45" t="n">
        <x:v>0.735450676959913</x:v>
      </x:c>
      <x:c r="V427" s="45" t="n">
        <x:v>0.7612249070524811</x:v>
      </x:c>
      <x:c r="W427" s="45" t="n">
        <x:v>0.5098631911376527</x:v>
      </x:c>
      <x:c r="X427" s="66" t="n">
        <x:v>35996955.7988003</x:v>
      </x:c>
      <x:c r="Y427" s="66" t="n">
        <x:v>68.2384017312164</x:v>
      </x:c>
      <x:c r="Z427" s="66" t="n">
        <x:v>742254.8831240552</x:v>
      </x:c>
      <x:c r="AA427" s="66" t="n">
        <x:v>208597.46377119652</x:v>
      </x:c>
      <x:c r="AB427" s="66" t="n">
        <x:v>0</x:v>
      </x:c>
      <x:c r="AC427" s="66" t="n">
        <x:v>0</x:v>
      </x:c>
      <x:c r="AD427" s="66" t="n">
        <x:v>1809.3228987939037</x:v>
      </x:c>
      <x:c r="AE427" s="66" t="n">
        <x:v>82693.2448448844</x:v>
      </x:c>
      <x:c r="AF427" s="66" t="n">
        <x:v>118691.5193092192</x:v>
      </x:c>
      <x:c r="AG427" s="66" t="n">
        <x:v>0</x:v>
      </x:c>
      <x:c r="AH427" s="36" t="n">
        <x:v>0</x:v>
      </x:c>
    </x:row>
    <x:row r="428" ht="15" hidden="0" customHeight="1">
      <x:c r="A428" s="34" t="n">
        <x:v>106</x:v>
      </x:c>
      <x:c r="B428" s="34" t="str">
        <x:v>H3</x:v>
      </x:c>
      <x:c r="C428" s="34" t="str">
        <x:v>fast</x:v>
      </x:c>
      <x:c r="D428" s="74" t="n">
        <x:v>1.0965965874526737</x:v>
      </x:c>
      <x:c r="E428" s="74" t="n">
        <x:v>0.09534510156094558</x:v>
      </x:c>
      <x:c r="F428" s="74" t="n">
        <x:v>0.7785738394111225</x:v>
      </x:c>
      <x:c r="G428" s="74" t="n">
        <x:v>1.0110724737994916</x:v>
      </x:c>
      <x:c r="H428" s="74" t="n">
        <x:v>0.7658776691075486</x:v>
      </x:c>
      <x:c r="I428" s="74" t="n">
        <x:v>0.9549564137878404</x:v>
      </x:c>
      <x:c r="J428" s="74" t="n">
        <x:v>0.8588814066565099</x:v>
      </x:c>
      <x:c r="K428" s="74" t="n">
        <x:v>0.8912189836296869</x:v>
      </x:c>
      <x:c r="L428" s="74" t="n">
        <x:v>0.7865259875600941</x:v>
      </x:c>
      <x:c r="M428" s="74" t="n">
        <x:v>0.8403645649651129</x:v>
      </x:c>
      <x:c r="N428" s="74" t="n">
        <x:v>0.8214649030363219</x:v>
      </x:c>
      <x:c r="O428" s="65" t="n">
        <x:v>527517.5690747912</x:v>
      </x:c>
      <x:c r="P428" s="65" t="n">
        <x:v>279331.1405429811</x:v>
      </x:c>
      <x:c r="Q428" s="65" t="n">
        <x:v>248186.4285318101</x:v>
      </x:c>
      <x:c r="R428" s="65" t="n">
        <x:v>148709.23368439992</x:v>
      </x:c>
      <x:c r="S428" s="65" t="n">
        <x:v>99477.19484741015</x:v>
      </x:c>
      <x:c r="T428" s="65" t="n">
        <x:v>184025.7075505742</x:v>
      </x:c>
      <x:c r="U428" s="43" t="n">
        <x:v>0.8783723524246466</x:v>
      </x:c>
      <x:c r="V428" s="43" t="n">
        <x:v>0.9067790172188196</x:v>
      </x:c>
      <x:c r="W428" s="43" t="n">
        <x:v>0.6226714869543227</x:v>
      </x:c>
      <x:c r="X428" s="65" t="n">
        <x:v>28828129.167889442</x:v>
      </x:c>
      <x:c r="Y428" s="65" t="n">
        <x:v>54.648661689981</x:v>
      </x:c>
      <x:c r="Z428" s="65" t="n">
        <x:v>1187223.1176623884</x:v>
      </x:c>
      <x:c r="AA428" s="65" t="n">
        <x:v>176758.1192812635</x:v>
      </x:c>
      <x:c r="AB428" s="65" t="n">
        <x:v>2032.336581479834</x:v>
      </x:c>
      <x:c r="AC428" s="65" t="n">
        <x:v>88.47605355500369</x:v>
      </x:c>
      <x:c r="AD428" s="65" t="n">
        <x:v>1788.918635036032</x:v>
      </x:c>
      <x:c r="AE428" s="65" t="n">
        <x:v>81653.29684069258</x:v>
      </x:c>
      <x:c r="AF428" s="65" t="n">
        <x:v>184025.70755057439</x:v>
      </x:c>
      <x:c r="AG428" s="65" t="n">
        <x:v>0</x:v>
      </x:c>
      <x:c r="AH428" s="34" t="n">
        <x:v>0</x:v>
      </x:c>
    </x:row>
    <x:row r="429" ht="15" hidden="0" customHeight="1">
      <x:c r="A429" s="36" t="n">
        <x:v>107</x:v>
      </x:c>
      <x:c r="B429" s="36" t="str">
        <x:v>M0</x:v>
      </x:c>
      <x:c r="C429" s="36" t="str">
        <x:v>reference</x:v>
      </x:c>
      <x:c r="D429" s="75" t="n">
        <x:v>1.1556641036900213</x:v>
      </x:c>
      <x:c r="E429" s="75" t="n">
        <x:v>0.08680064389972811</x:v>
      </x:c>
      <x:c r="F429" s="75" t="n">
        <x:v>0.8902803328524318</x:v>
      </x:c>
      <x:c r="G429" s="75" t="n">
        <x:v>1.2396388896474182</x:v>
      </x:c>
      <x:c r="H429" s="75" t="n">
        <x:v>0.9709570854782752</x:v>
      </x:c>
      <x:c r="I429" s="75" t="n">
        <x:v>0.8393207051421345</x:v>
      </x:c>
      <x:c r="J429" s="75" t="n">
        <x:v>0.7812787180320127</x:v>
      </x:c>
      <x:c r="K429" s="75" t="n">
        <x:v>0.9571853154342439</x:v>
      </x:c>
      <x:c r="L429" s="75" t="n">
        <x:v>0.7814481951666646</x:v>
      </x:c>
      <x:c r="M429" s="75" t="n">
        <x:v>1.0486597628299699</x:v>
      </x:c>
      <x:c r="N429" s="75" t="n">
        <x:v>1.0360451631431937</x:v>
      </x:c>
      <x:c r="O429" s="66" t="n">
        <x:v>555931.985947264</x:v>
      </x:c>
      <x:c r="P429" s="66" t="n">
        <x:v>67003.41105132477</x:v>
      </x:c>
      <x:c r="Q429" s="66" t="n">
        <x:v>488928.5748959392</x:v>
      </x:c>
      <x:c r="R429" s="66" t="n">
        <x:v>151969.22988086642</x:v>
      </x:c>
      <x:c r="S429" s="66" t="n">
        <x:v>336959.34501507273</x:v>
      </x:c>
      <x:c r="T429" s="66" t="n">
        <x:v>242238.21642196376</x:v>
      </x:c>
      <x:c r="U429" s="45" t="n">
        <x:v>0.5562580230859812</x:v>
      </x:c>
      <x:c r="V429" s="45" t="n">
        <x:v>0.580113866328515</x:v>
      </x:c>
      <x:c r="W429" s="45" t="n">
        <x:v>0.11475028269162747</x:v>
      </x:c>
      <x:c r="X429" s="66" t="n">
        <x:v>67581752.30766371</x:v>
      </x:c>
      <x:c r="Y429" s="66" t="n">
        <x:v>121.56478493049786</x:v>
      </x:c>
      <x:c r="Z429" s="66" t="n">
        <x:v>4882521.05909378</x:v>
      </x:c>
      <x:c r="AA429" s="66" t="n">
        <x:v>371309.8279449246</x:v>
      </x:c>
      <x:c r="AB429" s="66" t="n">
        <x:v>43284.91266797487</x:v>
      </x:c>
      <x:c r="AC429" s="66" t="n">
        <x:v>1561.1599313278493</x:v>
      </x:c>
      <x:c r="AD429" s="66" t="n">
        <x:v>2391.415016371342</x:v>
      </x:c>
      <x:c r="AE429" s="66" t="n">
        <x:v>181060.62287923013</x:v>
      </x:c>
      <x:c r="AF429" s="66" t="n">
        <x:v>242238.21642196356</x:v>
      </x:c>
      <x:c r="AG429" s="66" t="n">
        <x:v>2.0372681319713593e-10</x:v>
      </x:c>
      <x:c r="AH429" s="36" t="n">
        <x:v>0</x:v>
      </x:c>
    </x:row>
    <x:row r="430" ht="15" hidden="0" customHeight="1">
      <x:c r="A430" s="34" t="n">
        <x:v>107</x:v>
      </x:c>
      <x:c r="B430" s="34" t="str">
        <x:v>B1</x:v>
      </x:c>
      <x:c r="C430" s="34" t="str">
        <x:v>reference</x:v>
      </x:c>
      <x:c r="D430" s="74" t="n">
        <x:v>1.1556641036900213</x:v>
      </x:c>
      <x:c r="E430" s="74" t="n">
        <x:v>0.08680064389972811</x:v>
      </x:c>
      <x:c r="F430" s="74" t="n">
        <x:v>0.8902803328524318</x:v>
      </x:c>
      <x:c r="G430" s="74" t="n">
        <x:v>1.2396388896474182</x:v>
      </x:c>
      <x:c r="H430" s="74" t="n">
        <x:v>0.9709570854782752</x:v>
      </x:c>
      <x:c r="I430" s="74" t="n">
        <x:v>0.8393207051421345</x:v>
      </x:c>
      <x:c r="J430" s="74" t="n">
        <x:v>0.7812787180320127</x:v>
      </x:c>
      <x:c r="K430" s="74" t="n">
        <x:v>0.9571853154342439</x:v>
      </x:c>
      <x:c r="L430" s="74" t="n">
        <x:v>0.7814481951666646</x:v>
      </x:c>
      <x:c r="M430" s="74" t="n">
        <x:v>1.0486597628299699</x:v>
      </x:c>
      <x:c r="N430" s="74" t="n">
        <x:v>1.0360451631431937</x:v>
      </x:c>
      <x:c r="O430" s="65" t="n">
        <x:v>555931.985947264</x:v>
      </x:c>
      <x:c r="P430" s="65" t="n">
        <x:v>226652.73985469455</x:v>
      </x:c>
      <x:c r="Q430" s="65" t="n">
        <x:v>329279.24609256943</x:v>
      </x:c>
      <x:c r="R430" s="65" t="n">
        <x:v>151969.22988086642</x:v>
      </x:c>
      <x:c r="S430" s="65" t="n">
        <x:v>177310.016211703</x:v>
      </x:c>
      <x:c r="T430" s="65" t="n">
        <x:v>184753.24870310005</x:v>
      </x:c>
      <x:c r="U430" s="43" t="n">
        <x:v>0.7400293542325891</x:v>
      </x:c>
      <x:c r="V430" s="43" t="n">
        <x:v>0.7718243599702042</x:v>
      </x:c>
      <x:c r="W430" s="43" t="n">
        <x:v>0.41044427381512494</x:v>
      </x:c>
      <x:c r="X430" s="65" t="n">
        <x:v>45673848.115402386</x:v>
      </x:c>
      <x:c r="Y430" s="65" t="n">
        <x:v>82.15725892723688</x:v>
      </x:c>
      <x:c r="Z430" s="65" t="n">
        <x:v>2117873.1952215834</x:v>
      </x:c>
      <x:c r="AA430" s="65" t="n">
        <x:v>248508.56616520666</x:v>
      </x:c>
      <x:c r="AB430" s="65" t="n">
        <x:v>12085.017407190831</x:v>
      </x:c>
      <x:c r="AC430" s="65" t="n">
        <x:v>1925.764437431693</x:v>
      </x:c>
      <x:c r="AD430" s="65" t="n">
        <x:v>2020.1735190578233</x:v>
      </x:c>
      <x:c r="AE430" s="65" t="n">
        <x:v>112572.72622111396</x:v>
      </x:c>
      <x:c r="AF430" s="65" t="n">
        <x:v>184753.2487031</x:v>
      </x:c>
      <x:c r="AG430" s="65" t="n">
        <x:v>5.820766091346741e-11</x:v>
      </x:c>
      <x:c r="AH430" s="34" t="n">
        <x:v>0</x:v>
      </x:c>
    </x:row>
    <x:row r="431" ht="15" hidden="0" customHeight="1">
      <x:c r="A431" s="36" t="n">
        <x:v>107</x:v>
      </x:c>
      <x:c r="B431" s="36" t="str">
        <x:v>P2</x:v>
      </x:c>
      <x:c r="C431" s="36" t="str">
        <x:v>reference</x:v>
      </x:c>
      <x:c r="D431" s="75" t="n">
        <x:v>1.1556641036900213</x:v>
      </x:c>
      <x:c r="E431" s="75" t="n">
        <x:v>0.08680064389972811</x:v>
      </x:c>
      <x:c r="F431" s="75" t="n">
        <x:v>0.8902803328524318</x:v>
      </x:c>
      <x:c r="G431" s="75" t="n">
        <x:v>1.2396388896474182</x:v>
      </x:c>
      <x:c r="H431" s="75" t="n">
        <x:v>0.9709570854782752</x:v>
      </x:c>
      <x:c r="I431" s="75" t="n">
        <x:v>0.8393207051421345</x:v>
      </x:c>
      <x:c r="J431" s="75" t="n">
        <x:v>0.7812787180320127</x:v>
      </x:c>
      <x:c r="K431" s="75" t="n">
        <x:v>0.9571853154342439</x:v>
      </x:c>
      <x:c r="L431" s="75" t="n">
        <x:v>0.7814481951666646</x:v>
      </x:c>
      <x:c r="M431" s="75" t="n">
        <x:v>1.0486597628299699</x:v>
      </x:c>
      <x:c r="N431" s="75" t="n">
        <x:v>1.0360451631431937</x:v>
      </x:c>
      <x:c r="O431" s="66" t="n">
        <x:v>555931.985947264</x:v>
      </x:c>
      <x:c r="P431" s="66" t="n">
        <x:v>328351.8671385134</x:v>
      </x:c>
      <x:c r="Q431" s="66" t="n">
        <x:v>227580.11880875056</x:v>
      </x:c>
      <x:c r="R431" s="66" t="n">
        <x:v>151969.22988086642</x:v>
      </x:c>
      <x:c r="S431" s="66" t="n">
        <x:v>75610.88892788412</x:v>
      </x:c>
      <x:c r="T431" s="66" t="n">
        <x:v>139964.02823408344</x:v>
      </x:c>
      <x:c r="U431" s="45" t="n">
        <x:v>0.8423978242133768</x:v>
      </x:c>
      <x:c r="V431" s="45" t="n">
        <x:v>0.8673488290401281</x:v>
      </x:c>
      <x:c r="W431" s="45" t="n">
        <x:v>0.5393847019669631</x:v>
      </x:c>
      <x:c r="X431" s="66" t="n">
        <x:v>29654975.16238973</x:v>
      </x:c>
      <x:c r="Y431" s="66" t="n">
        <x:v>53.342811552495945</x:v>
      </x:c>
      <x:c r="Z431" s="66" t="n">
        <x:v>907790.7289150803</x:v>
      </x:c>
      <x:c r="AA431" s="66" t="n">
        <x:v>170321.24792722455</x:v>
      </x:c>
      <x:c r="AB431" s="66" t="n">
        <x:v>1115.8554290742632</x:v>
      </x:c>
      <x:c r="AC431" s="66" t="n">
        <x:v>3505.7600305917044</x:v>
      </x:c>
      <x:c r="AD431" s="66" t="n">
        <x:v>1795.857783166824</x:v>
      </x:c>
      <x:c r="AE431" s="66" t="n">
        <x:v>74376.72313445841</x:v>
      </x:c>
      <x:c r="AF431" s="66" t="n">
        <x:v>139964.0282340834</x:v>
      </x:c>
      <x:c r="AG431" s="66" t="n">
        <x:v>2.9103830456733704e-11</x:v>
      </x:c>
      <x:c r="AH431" s="36" t="n">
        <x:v>0</x:v>
      </x:c>
    </x:row>
    <x:row r="432" ht="15" hidden="0" customHeight="1">
      <x:c r="A432" s="34" t="n">
        <x:v>107</x:v>
      </x:c>
      <x:c r="B432" s="34" t="str">
        <x:v>H3</x:v>
      </x:c>
      <x:c r="C432" s="34" t="str">
        <x:v>reference</x:v>
      </x:c>
      <x:c r="D432" s="74" t="n">
        <x:v>1.1556641036900213</x:v>
      </x:c>
      <x:c r="E432" s="74" t="n">
        <x:v>0.08680064389972811</x:v>
      </x:c>
      <x:c r="F432" s="74" t="n">
        <x:v>0.8902803328524318</x:v>
      </x:c>
      <x:c r="G432" s="74" t="n">
        <x:v>1.2396388896474182</x:v>
      </x:c>
      <x:c r="H432" s="74" t="n">
        <x:v>0.9709570854782752</x:v>
      </x:c>
      <x:c r="I432" s="74" t="n">
        <x:v>0.8393207051421345</x:v>
      </x:c>
      <x:c r="J432" s="74" t="n">
        <x:v>0.7812787180320127</x:v>
      </x:c>
      <x:c r="K432" s="74" t="n">
        <x:v>0.9571853154342439</x:v>
      </x:c>
      <x:c r="L432" s="74" t="n">
        <x:v>0.7814481951666646</x:v>
      </x:c>
      <x:c r="M432" s="74" t="n">
        <x:v>1.0486597628299699</x:v>
      </x:c>
      <x:c r="N432" s="74" t="n">
        <x:v>1.0360451631431937</x:v>
      </x:c>
      <x:c r="O432" s="65" t="n">
        <x:v>555931.985947264</x:v>
      </x:c>
      <x:c r="P432" s="65" t="n">
        <x:v>340618.452546886</x:v>
      </x:c>
      <x:c r="Q432" s="65" t="n">
        <x:v>215313.533400378</x:v>
      </x:c>
      <x:c r="R432" s="65" t="n">
        <x:v>151969.22988086642</x:v>
      </x:c>
      <x:c r="S432" s="65" t="n">
        <x:v>63344.30351951155</x:v>
      </x:c>
      <x:c r="T432" s="65" t="n">
        <x:v>200989.62828339264</x:v>
      </x:c>
      <x:c r="U432" s="43" t="n">
        <x:v>0.9742344288886731</x:v>
      </x:c>
      <x:c r="V432" s="43" t="n">
        <x:v>0.977182939998006</x:v>
      </x:c>
      <x:c r="W432" s="43" t="n">
        <x:v>0.7423941509612555</x:v>
      </x:c>
      <x:c r="X432" s="65" t="n">
        <x:v>22539792.51075306</x:v>
      </x:c>
      <x:c r="Y432" s="65" t="n">
        <x:v>40.54415482560702</x:v>
      </x:c>
      <x:c r="Z432" s="65" t="n">
        <x:v>2282145.142954671</x:v>
      </x:c>
      <x:c r="AA432" s="65" t="n">
        <x:v>135403.6526048351</x:v>
      </x:c>
      <x:c r="AB432" s="65" t="n">
        <x:v>11093.647047990286</x:v>
      </x:c>
      <x:c r="AC432" s="65" t="n">
        <x:v>6727.145055967426</x:v>
      </x:c>
      <x:c r="AD432" s="65" t="n">
        <x:v>1770.676854525685</x:v>
      </x:c>
      <x:c r="AE432" s="65" t="n">
        <x:v>58460.918397001806</x:v>
      </x:c>
      <x:c r="AF432" s="65" t="n">
        <x:v>200989.62828339258</x:v>
      </x:c>
      <x:c r="AG432" s="65" t="n">
        <x:v>5.820766091346741e-11</x:v>
      </x:c>
      <x:c r="AH432" s="34" t="n">
        <x:v>0</x:v>
      </x:c>
    </x:row>
    <x:row r="433" ht="15" hidden="0" customHeight="1">
      <x:c r="A433" s="36" t="n">
        <x:v>108</x:v>
      </x:c>
      <x:c r="B433" s="36" t="str">
        <x:v>M0</x:v>
      </x:c>
      <x:c r="C433" s="36" t="str">
        <x:v>fast</x:v>
      </x:c>
      <x:c r="D433" s="75" t="n">
        <x:v>1.1804611248568628</x:v>
      </x:c>
      <x:c r="E433" s="75" t="n">
        <x:v>0.006744695403097772</x:v>
      </x:c>
      <x:c r="F433" s="75" t="n">
        <x:v>0.8873648430948597</x:v>
      </x:c>
      <x:c r="G433" s="75" t="n">
        <x:v>0.9989943217712819</x:v>
      </x:c>
      <x:c r="H433" s="75" t="n">
        <x:v>0.763180405081283</x:v>
      </x:c>
      <x:c r="I433" s="75" t="n">
        <x:v>0.9248693047702294</x:v>
      </x:c>
      <x:c r="J433" s="75" t="n">
        <x:v>1.0133925738347325</x:v>
      </x:c>
      <x:c r="K433" s="75" t="n">
        <x:v>0.8271341304501767</x:v>
      </x:c>
      <x:c r="L433" s="75" t="n">
        <x:v>0.8028033975226662</x:v>
      </x:c>
      <x:c r="M433" s="75" t="n">
        <x:v>0.8096297713391722</x:v>
      </x:c>
      <x:c r="N433" s="75" t="n">
        <x:v>1.0164576670838836</x:v>
      </x:c>
      <x:c r="O433" s="66" t="n">
        <x:v>567860.588020169</x:v>
      </x:c>
      <x:c r="P433" s="66" t="n">
        <x:v>75734.18080023816</x:v>
      </x:c>
      <x:c r="Q433" s="66" t="n">
        <x:v>492126.4072199307</x:v>
      </x:c>
      <x:c r="R433" s="66" t="n">
        <x:v>109769.40730760066</x:v>
      </x:c>
      <x:c r="S433" s="66" t="n">
        <x:v>382356.99991233007</x:v>
      </x:c>
      <x:c r="T433" s="66" t="n">
        <x:v>248263.6622846794</x:v>
      </x:c>
      <x:c r="U433" s="45" t="n">
        <x:v>0.5705587778411028</x:v>
      </x:c>
      <x:c r="V433" s="45" t="n">
        <x:v>0.6003048841747424</x:v>
      </x:c>
      <x:c r="W433" s="45" t="n">
        <x:v>0.13153964833254536</x:v>
      </x:c>
      <x:c r="X433" s="66" t="n">
        <x:v>67694093.43898335</x:v>
      </x:c>
      <x:c r="Y433" s="66" t="n">
        <x:v>119.20900105956822</x:v>
      </x:c>
      <x:c r="Z433" s="66" t="n">
        <x:v>3609771.8756786147</x:v>
      </x:c>
      <x:c r="AA433" s="66" t="n">
        <x:v>376228.087614649</x:v>
      </x:c>
      <x:c r="AB433" s="66" t="n">
        <x:v>23638.22720787352</x:v>
      </x:c>
      <x:c r="AC433" s="66" t="n">
        <x:v>0</x:v>
      </x:c>
      <x:c r="AD433" s="66" t="n">
        <x:v>2406.4846621039296</x:v>
      </x:c>
      <x:c r="AE433" s="66" t="n">
        <x:v>218989.6814726635</x:v>
      </x:c>
      <x:c r="AF433" s="66" t="n">
        <x:v>248263.66228467922</x:v>
      </x:c>
      <x:c r="AG433" s="66" t="n">
        <x:v>1.7462298274040222e-10</x:v>
      </x:c>
      <x:c r="AH433" s="36" t="n">
        <x:v>0</x:v>
      </x:c>
    </x:row>
    <x:row r="434" ht="15" hidden="0" customHeight="1">
      <x:c r="A434" s="34" t="n">
        <x:v>108</x:v>
      </x:c>
      <x:c r="B434" s="34" t="str">
        <x:v>B1</x:v>
      </x:c>
      <x:c r="C434" s="34" t="str">
        <x:v>fast</x:v>
      </x:c>
      <x:c r="D434" s="74" t="n">
        <x:v>1.1804611248568628</x:v>
      </x:c>
      <x:c r="E434" s="74" t="n">
        <x:v>0.006744695403097772</x:v>
      </x:c>
      <x:c r="F434" s="74" t="n">
        <x:v>0.8873648430948597</x:v>
      </x:c>
      <x:c r="G434" s="74" t="n">
        <x:v>0.9989943217712819</x:v>
      </x:c>
      <x:c r="H434" s="74" t="n">
        <x:v>0.763180405081283</x:v>
      </x:c>
      <x:c r="I434" s="74" t="n">
        <x:v>0.9248693047702294</x:v>
      </x:c>
      <x:c r="J434" s="74" t="n">
        <x:v>1.0133925738347325</x:v>
      </x:c>
      <x:c r="K434" s="74" t="n">
        <x:v>0.8271341304501767</x:v>
      </x:c>
      <x:c r="L434" s="74" t="n">
        <x:v>0.8028033975226662</x:v>
      </x:c>
      <x:c r="M434" s="74" t="n">
        <x:v>0.8096297713391722</x:v>
      </x:c>
      <x:c r="N434" s="74" t="n">
        <x:v>1.0164576670838836</x:v>
      </x:c>
      <x:c r="O434" s="65" t="n">
        <x:v>567860.588020169</x:v>
      </x:c>
      <x:c r="P434" s="65" t="n">
        <x:v>256183.31985173048</x:v>
      </x:c>
      <x:c r="Q434" s="65" t="n">
        <x:v>311677.2681684384</x:v>
      </x:c>
      <x:c r="R434" s="65" t="n">
        <x:v>109769.40730760066</x:v>
      </x:c>
      <x:c r="S434" s="65" t="n">
        <x:v>201907.86086083777</x:v>
      </x:c>
      <x:c r="T434" s="65" t="n">
        <x:v>180653.0870255464</x:v>
      </x:c>
      <x:c r="U434" s="43" t="n">
        <x:v>0.7692669928023982</x:v>
      </x:c>
      <x:c r="V434" s="43" t="n">
        <x:v>0.8017746772574684</x:v>
      </x:c>
      <x:c r="W434" s="43" t="n">
        <x:v>0.4917649283260882</x:v>
      </x:c>
      <x:c r="X434" s="65" t="n">
        <x:v>43520555.68608795</x:v>
      </x:c>
      <x:c r="Y434" s="65" t="n">
        <x:v>76.63950730904081</x:v>
      </x:c>
      <x:c r="Z434" s="65" t="n">
        <x:v>1243040.398646593</x:v>
      </x:c>
      <x:c r="AA434" s="65" t="n">
        <x:v>236759.71856323484</x:v>
      </x:c>
      <x:c r="AB434" s="65" t="n">
        <x:v>3044.1773996720276</x:v>
      </x:c>
      <x:c r="AC434" s="65" t="n">
        <x:v>0</x:v>
      </x:c>
      <x:c r="AD434" s="65" t="n">
        <x:v>1945.2086274011292</x:v>
      </x:c>
      <x:c r="AE434" s="65" t="n">
        <x:v>145287.22239795217</x:v>
      </x:c>
      <x:c r="AF434" s="65" t="n">
        <x:v>180653.08702554632</x:v>
      </x:c>
      <x:c r="AG434" s="65" t="n">
        <x:v>8.731149137020111e-11</x:v>
      </x:c>
      <x:c r="AH434" s="34" t="n">
        <x:v>0</x:v>
      </x:c>
    </x:row>
    <x:row r="435" ht="15" hidden="0" customHeight="1">
      <x:c r="A435" s="36" t="n">
        <x:v>108</x:v>
      </x:c>
      <x:c r="B435" s="36" t="str">
        <x:v>P2</x:v>
      </x:c>
      <x:c r="C435" s="36" t="str">
        <x:v>fast</x:v>
      </x:c>
      <x:c r="D435" s="75" t="n">
        <x:v>1.1804611248568628</x:v>
      </x:c>
      <x:c r="E435" s="75" t="n">
        <x:v>0.006744695403097772</x:v>
      </x:c>
      <x:c r="F435" s="75" t="n">
        <x:v>0.8873648430948597</x:v>
      </x:c>
      <x:c r="G435" s="75" t="n">
        <x:v>0.9989943217712819</x:v>
      </x:c>
      <x:c r="H435" s="75" t="n">
        <x:v>0.763180405081283</x:v>
      </x:c>
      <x:c r="I435" s="75" t="n">
        <x:v>0.9248693047702294</x:v>
      </x:c>
      <x:c r="J435" s="75" t="n">
        <x:v>1.0133925738347325</x:v>
      </x:c>
      <x:c r="K435" s="75" t="n">
        <x:v>0.8271341304501767</x:v>
      </x:c>
      <x:c r="L435" s="75" t="n">
        <x:v>0.8028033975226662</x:v>
      </x:c>
      <x:c r="M435" s="75" t="n">
        <x:v>0.8096297713391722</x:v>
      </x:c>
      <x:c r="N435" s="75" t="n">
        <x:v>1.0164576670838836</x:v>
      </x:c>
      <x:c r="O435" s="66" t="n">
        <x:v>567860.588020169</x:v>
      </x:c>
      <x:c r="P435" s="66" t="n">
        <x:v>371130.3484094154</x:v>
      </x:c>
      <x:c r="Q435" s="66" t="n">
        <x:v>196730.2396107535</x:v>
      </x:c>
      <x:c r="R435" s="66" t="n">
        <x:v>109769.40730760066</x:v>
      </x:c>
      <x:c r="S435" s="66" t="n">
        <x:v>86960.83230315284</x:v>
      </x:c>
      <x:c r="T435" s="66" t="n">
        <x:v>118458.98601389135</x:v>
      </x:c>
      <x:c r="U435" s="45" t="n">
        <x:v>0.8621646663844855</x:v>
      </x:c>
      <x:c r="V435" s="45" t="n">
        <x:v>0.8720440813482997</x:v>
      </x:c>
      <x:c r="W435" s="45" t="n">
        <x:v>0.7049050253116862</x:v>
      </x:c>
      <x:c r="X435" s="66" t="n">
        <x:v>26350333.445889518</x:v>
      </x:c>
      <x:c r="Y435" s="66" t="n">
        <x:v>46.402821399807415</x:v>
      </x:c>
      <x:c r="Z435" s="66" t="n">
        <x:v>741145.6982123591</x:v>
      </x:c>
      <x:c r="AA435" s="66" t="n">
        <x:v>148729.39277575252</x:v>
      </x:c>
      <x:c r="AB435" s="66" t="n">
        <x:v>0</x:v>
      </x:c>
      <x:c r="AC435" s="66" t="n">
        <x:v>0</x:v>
      </x:c>
      <x:c r="AD435" s="66" t="n">
        <x:v>1666.491205124768</x:v>
      </x:c>
      <x:c r="AE435" s="66" t="n">
        <x:v>89361.63226792091</x:v>
      </x:c>
      <x:c r="AF435" s="66" t="n">
        <x:v>118458.98601389129</x:v>
      </x:c>
      <x:c r="AG435" s="66" t="n">
        <x:v>5.820766091346741e-11</x:v>
      </x:c>
      <x:c r="AH435" s="36" t="n">
        <x:v>0</x:v>
      </x:c>
    </x:row>
    <x:row r="436" ht="15" hidden="0" customHeight="1">
      <x:c r="A436" s="34" t="n">
        <x:v>108</x:v>
      </x:c>
      <x:c r="B436" s="34" t="str">
        <x:v>H3</x:v>
      </x:c>
      <x:c r="C436" s="34" t="str">
        <x:v>fast</x:v>
      </x:c>
      <x:c r="D436" s="74" t="n">
        <x:v>1.1804611248568628</x:v>
      </x:c>
      <x:c r="E436" s="74" t="n">
        <x:v>0.006744695403097772</x:v>
      </x:c>
      <x:c r="F436" s="74" t="n">
        <x:v>0.8873648430948597</x:v>
      </x:c>
      <x:c r="G436" s="74" t="n">
        <x:v>0.9989943217712819</x:v>
      </x:c>
      <x:c r="H436" s="74" t="n">
        <x:v>0.763180405081283</x:v>
      </x:c>
      <x:c r="I436" s="74" t="n">
        <x:v>0.9248693047702294</x:v>
      </x:c>
      <x:c r="J436" s="74" t="n">
        <x:v>1.0133925738347325</x:v>
      </x:c>
      <x:c r="K436" s="74" t="n">
        <x:v>0.8271341304501767</x:v>
      </x:c>
      <x:c r="L436" s="74" t="n">
        <x:v>0.8028033975226662</x:v>
      </x:c>
      <x:c r="M436" s="74" t="n">
        <x:v>0.8096297713391722</x:v>
      </x:c>
      <x:c r="N436" s="74" t="n">
        <x:v>1.0164576670838836</x:v>
      </x:c>
      <x:c r="O436" s="65" t="n">
        <x:v>567860.588020169</x:v>
      </x:c>
      <x:c r="P436" s="65" t="n">
        <x:v>384994.5549519972</x:v>
      </x:c>
      <x:c r="Q436" s="65" t="n">
        <x:v>182866.0330681717</x:v>
      </x:c>
      <x:c r="R436" s="65" t="n">
        <x:v>109769.40730760066</x:v>
      </x:c>
      <x:c r="S436" s="65" t="n">
        <x:v>73096.62576057106</x:v>
      </x:c>
      <x:c r="T436" s="65" t="n">
        <x:v>178528.30069915982</x:v>
      </x:c>
      <x:c r="U436" s="43" t="n">
        <x:v>0.9923612723606416</x:v>
      </x:c>
      <x:c r="V436" s="43" t="n">
        <x:v>0.9954277715647251</x:v>
      </x:c>
      <x:c r="W436" s="43" t="n">
        <x:v>0.923612723606418</x:v>
      </x:c>
      <x:c r="X436" s="65" t="n">
        <x:v>18931005.804942295</x:v>
      </x:c>
      <x:c r="Y436" s="65" t="n">
        <x:v>33.337418028859425</x:v>
      </x:c>
      <x:c r="Z436" s="65" t="n">
        <x:v>1117971.0862781645</x:v>
      </x:c>
      <x:c r="AA436" s="65" t="n">
        <x:v>118453.0032830226</x:v>
      </x:c>
      <x:c r="AB436" s="65" t="n">
        <x:v>1471.6927655986128</x:v>
      </x:c>
      <x:c r="AC436" s="65" t="n">
        <x:v>0</x:v>
      </x:c>
      <x:c r="AD436" s="65" t="n">
        <x:v>1635.2033264857337</x:v>
      </x:c>
      <x:c r="AE436" s="65" t="n">
        <x:v>74684.84500368442</x:v>
      </x:c>
      <x:c r="AF436" s="65" t="n">
        <x:v>178528.30069915997</x:v>
      </x:c>
      <x:c r="AG436" s="65" t="n">
        <x:v>0</x:v>
      </x:c>
      <x:c r="AH436" s="34" t="n">
        <x:v>1</x:v>
      </x:c>
    </x:row>
    <x:row r="437" ht="15" hidden="0" customHeight="1">
      <x:c r="A437" s="36" t="n">
        <x:v>109</x:v>
      </x:c>
      <x:c r="B437" s="36" t="str">
        <x:v>M0</x:v>
      </x:c>
      <x:c r="C437" s="36" t="str">
        <x:v>reference</x:v>
      </x:c>
      <x:c r="D437" s="75" t="n">
        <x:v>1.1562933636528572</x:v>
      </x:c>
      <x:c r="E437" s="75" t="n">
        <x:v>0.009941715313277186</x:v>
      </x:c>
      <x:c r="F437" s="75" t="n">
        <x:v>0.9837601075148269</x:v>
      </x:c>
      <x:c r="G437" s="75" t="n">
        <x:v>1.0092989087051472</x:v>
      </x:c>
      <x:c r="H437" s="75" t="n">
        <x:v>0.9614439576983511</x:v>
      </x:c>
      <x:c r="I437" s="75" t="n">
        <x:v>0.8764216275925315</x:v>
      </x:c>
      <x:c r="J437" s="75" t="n">
        <x:v>0.917541404252132</x:v>
      </x:c>
      <x:c r="K437" s="75" t="n">
        <x:v>0.8526535103117947</x:v>
      </x:c>
      <x:c r="L437" s="75" t="n">
        <x:v>1.0017786954627335</x:v>
      </x:c>
      <x:c r="M437" s="75" t="n">
        <x:v>1.0767542614043737</x:v>
      </x:c>
      <x:c r="N437" s="75" t="n">
        <x:v>0.8140880854582035</x:v>
      </x:c>
      <x:c r="O437" s="66" t="n">
        <x:v>556234.6913265341</x:v>
      </x:c>
      <x:c r="P437" s="66" t="n">
        <x:v>81916.30765587487</x:v>
      </x:c>
      <x:c r="Q437" s="66" t="n">
        <x:v>474318.3836706593</x:v>
      </x:c>
      <x:c r="R437" s="66" t="n">
        <x:v>109300.37482144</x:v>
      </x:c>
      <x:c r="S437" s="66" t="n">
        <x:v>365018.0088492193</x:v>
      </x:c>
      <x:c r="T437" s="66" t="n">
        <x:v>287297.0456237875</x:v>
      </x:c>
      <x:c r="U437" s="45" t="n">
        <x:v>0.6637726108005693</x:v>
      </x:c>
      <x:c r="V437" s="45" t="n">
        <x:v>0.6882800842740638</x:v>
      </x:c>
      <x:c r="W437" s="45" t="n">
        <x:v>0.14511088723826848</x:v>
      </x:c>
      <x:c r="X437" s="66" t="n">
        <x:v>62766346.28647773</x:v>
      </x:c>
      <x:c r="Y437" s="66" t="n">
        <x:v>112.84148088065066</x:v>
      </x:c>
      <x:c r="Z437" s="66" t="n">
        <x:v>6643027.140608022</x:v>
      </x:c>
      <x:c r="AA437" s="66" t="n">
        <x:v>332206.6402579999</x:v>
      </x:c>
      <x:c r="AB437" s="66" t="n">
        <x:v>58721.413427046034</x:v>
      </x:c>
      <x:c r="AC437" s="66" t="n">
        <x:v>526.6478483037205</x:v>
      </x:c>
      <x:c r="AD437" s="66" t="n">
        <x:v>2337.1360793276517</x:v>
      </x:c>
      <x:c r="AE437" s="66" t="n">
        <x:v>216959.83504019873</x:v>
      </x:c>
      <x:c r="AF437" s="66" t="n">
        <x:v>287297.04562378756</x:v>
      </x:c>
      <x:c r="AG437" s="66" t="n">
        <x:v>0</x:v>
      </x:c>
      <x:c r="AH437" s="36" t="n">
        <x:v>0</x:v>
      </x:c>
    </x:row>
    <x:row r="438" ht="15" hidden="0" customHeight="1">
      <x:c r="A438" s="34" t="n">
        <x:v>109</x:v>
      </x:c>
      <x:c r="B438" s="34" t="str">
        <x:v>B1</x:v>
      </x:c>
      <x:c r="C438" s="34" t="str">
        <x:v>reference</x:v>
      </x:c>
      <x:c r="D438" s="74" t="n">
        <x:v>1.1562933636528572</x:v>
      </x:c>
      <x:c r="E438" s="74" t="n">
        <x:v>0.009941715313277186</x:v>
      </x:c>
      <x:c r="F438" s="74" t="n">
        <x:v>0.9837601075148269</x:v>
      </x:c>
      <x:c r="G438" s="74" t="n">
        <x:v>1.0092989087051472</x:v>
      </x:c>
      <x:c r="H438" s="74" t="n">
        <x:v>0.9614439576983511</x:v>
      </x:c>
      <x:c r="I438" s="74" t="n">
        <x:v>0.8764216275925315</x:v>
      </x:c>
      <x:c r="J438" s="74" t="n">
        <x:v>0.917541404252132</x:v>
      </x:c>
      <x:c r="K438" s="74" t="n">
        <x:v>0.8526535103117947</x:v>
      </x:c>
      <x:c r="L438" s="74" t="n">
        <x:v>1.0017786954627335</x:v>
      </x:c>
      <x:c r="M438" s="74" t="n">
        <x:v>1.0767542614043737</x:v>
      </x:c>
      <x:c r="N438" s="74" t="n">
        <x:v>0.8140880854582035</x:v>
      </x:c>
      <x:c r="O438" s="65" t="n">
        <x:v>556234.6913265341</x:v>
      </x:c>
      <x:c r="P438" s="65" t="n">
        <x:v>277095.4990124449</x:v>
      </x:c>
      <x:c r="Q438" s="65" t="n">
        <x:v>279139.1923140893</x:v>
      </x:c>
      <x:c r="R438" s="65" t="n">
        <x:v>109300.37482144</x:v>
      </x:c>
      <x:c r="S438" s="65" t="n">
        <x:v>169838.8174926493</x:v>
      </x:c>
      <x:c r="T438" s="65" t="n">
        <x:v>207209.98867485704</x:v>
      </x:c>
      <x:c r="U438" s="43" t="n">
        <x:v>0.8706855132180049</x:v>
      </x:c>
      <x:c r="V438" s="43" t="n">
        <x:v>0.8826603967945845</x:v>
      </x:c>
      <x:c r="W438" s="43" t="n">
        <x:v>0.5481036785949712</x:v>
      </x:c>
      <x:c r="X438" s="65" t="n">
        <x:v>36722403.65211754</x:v>
      </x:c>
      <x:c r="Y438" s="65" t="n">
        <x:v>66.0196212583222</x:v>
      </x:c>
      <x:c r="Z438" s="65" t="n">
        <x:v>2811511.3354667425</x:v>
      </x:c>
      <x:c r="AA438" s="65" t="n">
        <x:v>189170.85057962575</x:v>
      </x:c>
      <x:c r="AB438" s="65" t="n">
        <x:v>18988.249366190368</x:v>
      </x:c>
      <x:c r="AC438" s="65" t="n">
        <x:v>6150.825660002148</x:v>
      </x:c>
      <x:c r="AD438" s="65" t="n">
        <x:v>1839.8337601218404</x:v>
      </x:c>
      <x:c r="AE438" s="65" t="n">
        <x:v>119288.47544537109</x:v>
      </x:c>
      <x:c r="AF438" s="65" t="n">
        <x:v>207209.98867485693</x:v>
      </x:c>
      <x:c r="AG438" s="65" t="n">
        <x:v>1.1641532182693481e-10</x:v>
      </x:c>
      <x:c r="AH438" s="34" t="n">
        <x:v>0</x:v>
      </x:c>
    </x:row>
    <x:row r="439" ht="15" hidden="0" customHeight="1">
      <x:c r="A439" s="36" t="n">
        <x:v>109</x:v>
      </x:c>
      <x:c r="B439" s="36" t="str">
        <x:v>P2</x:v>
      </x:c>
      <x:c r="C439" s="36" t="str">
        <x:v>reference</x:v>
      </x:c>
      <x:c r="D439" s="75" t="n">
        <x:v>1.1562933636528572</x:v>
      </x:c>
      <x:c r="E439" s="75" t="n">
        <x:v>0.009941715313277186</x:v>
      </x:c>
      <x:c r="F439" s="75" t="n">
        <x:v>0.9837601075148269</x:v>
      </x:c>
      <x:c r="G439" s="75" t="n">
        <x:v>1.0092989087051472</x:v>
      </x:c>
      <x:c r="H439" s="75" t="n">
        <x:v>0.9614439576983511</x:v>
      </x:c>
      <x:c r="I439" s="75" t="n">
        <x:v>0.8764216275925315</x:v>
      </x:c>
      <x:c r="J439" s="75" t="n">
        <x:v>0.917541404252132</x:v>
      </x:c>
      <x:c r="K439" s="75" t="n">
        <x:v>0.8526535103117947</x:v>
      </x:c>
      <x:c r="L439" s="75" t="n">
        <x:v>1.0017786954627335</x:v>
      </x:c>
      <x:c r="M439" s="75" t="n">
        <x:v>1.0767542614043737</x:v>
      </x:c>
      <x:c r="N439" s="75" t="n">
        <x:v>0.8140880854582035</x:v>
      </x:c>
      <x:c r="O439" s="66" t="n">
        <x:v>556234.6913265341</x:v>
      </x:c>
      <x:c r="P439" s="66" t="n">
        <x:v>401425.7209410452</x:v>
      </x:c>
      <x:c r="Q439" s="66" t="n">
        <x:v>154808.970385489</x:v>
      </x:c>
      <x:c r="R439" s="66" t="n">
        <x:v>109300.37482144</x:v>
      </x:c>
      <x:c r="S439" s="66" t="n">
        <x:v>45508.595564049014</x:v>
      </x:c>
      <x:c r="T439" s="66" t="n">
        <x:v>127896.87326037337</x:v>
      </x:c>
      <x:c r="U439" s="45" t="n">
        <x:v>0.9516173702489962</x:v>
      </x:c>
      <x:c r="V439" s="45" t="n">
        <x:v>0.9603174312057128</x:v>
      </x:c>
      <x:c r="W439" s="45" t="n">
        <x:v>0.6226375192649073</x:v>
      </x:c>
      <x:c r="X439" s="66" t="n">
        <x:v>18302058.981329497</x:v>
      </x:c>
      <x:c r="Y439" s="66" t="n">
        <x:v>32.903483487665795</x:v>
      </x:c>
      <x:c r="Z439" s="66" t="n">
        <x:v>1027265.406189472</x:v>
      </x:c>
      <x:c r="AA439" s="66" t="n">
        <x:v>103374.0710180599</x:v>
      </x:c>
      <x:c r="AB439" s="66" t="n">
        <x:v>89.19610231421593</x:v>
      </x:c>
      <x:c r="AC439" s="66" t="n">
        <x:v>20124.52243152799</x:v>
      </x:c>
      <x:c r="AD439" s="66" t="n">
        <x:v>1539.348128800447</x:v>
      </x:c>
      <x:c r="AE439" s="66" t="n">
        <x:v>60501.56610642366</x:v>
      </x:c>
      <x:c r="AF439" s="66" t="n">
        <x:v>127896.87326037344</x:v>
      </x:c>
      <x:c r="AG439" s="66" t="n">
        <x:v>0</x:v>
      </x:c>
      <x:c r="AH439" s="36" t="n">
        <x:v>0</x:v>
      </x:c>
    </x:row>
    <x:row r="440" ht="15" hidden="0" customHeight="1">
      <x:c r="A440" s="34" t="n">
        <x:v>109</x:v>
      </x:c>
      <x:c r="B440" s="34" t="str">
        <x:v>H3</x:v>
      </x:c>
      <x:c r="C440" s="34" t="str">
        <x:v>reference</x:v>
      </x:c>
      <x:c r="D440" s="74" t="n">
        <x:v>1.1562933636528572</x:v>
      </x:c>
      <x:c r="E440" s="74" t="n">
        <x:v>0.009941715313277186</x:v>
      </x:c>
      <x:c r="F440" s="74" t="n">
        <x:v>0.9837601075148269</x:v>
      </x:c>
      <x:c r="G440" s="74" t="n">
        <x:v>1.0092989087051472</x:v>
      </x:c>
      <x:c r="H440" s="74" t="n">
        <x:v>0.9614439576983511</x:v>
      </x:c>
      <x:c r="I440" s="74" t="n">
        <x:v>0.8764216275925315</x:v>
      </x:c>
      <x:c r="J440" s="74" t="n">
        <x:v>0.917541404252132</x:v>
      </x:c>
      <x:c r="K440" s="74" t="n">
        <x:v>0.8526535103117947</x:v>
      </x:c>
      <x:c r="L440" s="74" t="n">
        <x:v>1.0017786954627335</x:v>
      </x:c>
      <x:c r="M440" s="74" t="n">
        <x:v>1.0767542614043737</x:v>
      </x:c>
      <x:c r="N440" s="74" t="n">
        <x:v>0.8140880854582035</x:v>
      </x:c>
      <x:c r="O440" s="65" t="n">
        <x:v>556234.6913265341</x:v>
      </x:c>
      <x:c r="P440" s="65" t="n">
        <x:v>416421.68225742324</x:v>
      </x:c>
      <x:c r="Q440" s="65" t="n">
        <x:v>139813.00906911097</x:v>
      </x:c>
      <x:c r="R440" s="65" t="n">
        <x:v>109300.37482144</x:v>
      </x:c>
      <x:c r="S440" s="65" t="n">
        <x:v>30512.634247670976</x:v>
      </x:c>
      <x:c r="T440" s="65" t="n">
        <x:v>138307.3924447453</x:v>
      </x:c>
      <x:c r="U440" s="43" t="n">
        <x:v>0.9972931989898456</x:v>
      </x:c>
      <x:c r="V440" s="43" t="n">
        <x:v>0.9982951258674483</x:v>
      </x:c>
      <x:c r="W440" s="43" t="n">
        <x:v>0.972931989898454</x:v>
      </x:c>
      <x:c r="X440" s="65" t="n">
        <x:v>14718042.028974017</x:v>
      </x:c>
      <x:c r="Y440" s="65" t="n">
        <x:v>26.46012961520568</x:v>
      </x:c>
      <x:c r="Z440" s="65" t="n">
        <x:v>1017827.3448374214</x:v>
      </x:c>
      <x:c r="AA440" s="65" t="n">
        <x:v>90444.99155908624</x:v>
      </x:c>
      <x:c r="AB440" s="65" t="n">
        <x:v>5339.773363789169</x:v>
      </x:c>
      <x:c r="AC440" s="65" t="n">
        <x:v>586.0437494574564</x:v>
      </x:c>
      <x:c r="AD440" s="65" t="n">
        <x:v>1505.6166243656965</x:v>
      </x:c>
      <x:c r="AE440" s="65" t="n">
        <x:v>51200.5040044824</x:v>
      </x:c>
      <x:c r="AF440" s="65" t="n">
        <x:v>138307.39244474517</x:v>
      </x:c>
      <x:c r="AG440" s="65" t="n">
        <x:v>1.1641532182693481e-10</x:v>
      </x:c>
      <x:c r="AH440" s="34" t="n">
        <x:v>1</x:v>
      </x:c>
    </x:row>
    <x:row r="441" ht="21.600000381469727" hidden="0" customHeight="1">
      <x:c r="A441" s="36" t="n">
        <x:v>110</x:v>
      </x:c>
      <x:c r="B441" s="36" t="str">
        <x:v>M0</x:v>
      </x:c>
      <x:c r="C441" s="36" t="str">
        <x:v>reference</x:v>
      </x:c>
      <x:c r="D441" s="75" t="n">
        <x:v>0.9406195599635689</x:v>
      </x:c>
      <x:c r="E441" s="75" t="n">
        <x:v>-0.03305474630137699</x:v>
      </x:c>
      <x:c r="F441" s="75" t="n">
        <x:v>0.9311730772394492</x:v>
      </x:c>
      <x:c r="G441" s="75" t="n">
        <x:v>1.1231675488835688</x:v>
      </x:c>
      <x:c r="H441" s="75" t="n">
        <x:v>0.8252349141283836</x:v>
      </x:c>
      <x:c r="I441" s="75" t="n">
        <x:v>1.037147541097278</x:v>
      </x:c>
      <x:c r="J441" s="75" t="n">
        <x:v>1.0151508361378498</x:v>
      </x:c>
      <x:c r="K441" s="75" t="n">
        <x:v>0.9453068859325391</x:v>
      </x:c>
      <x:c r="L441" s="75" t="n">
        <x:v>1.0046623599892595</x:v>
      </x:c>
      <x:c r="M441" s="75" t="n">
        <x:v>0.7667351888518955</x:v>
      </x:c>
      <x:c r="N441" s="75" t="n">
        <x:v>0.8309132654831065</x:v>
      </x:c>
      <x:c r="O441" s="66" t="n">
        <x:v>452484.8511965629</x:v>
      </x:c>
      <x:c r="P441" s="66" t="n">
        <x:v>66450.91691958456</x:v>
      </x:c>
      <x:c r="Q441" s="66" t="n">
        <x:v>386033.9342769783</x:v>
      </x:c>
      <x:c r="R441" s="66" t="n">
        <x:v>69458.23558213485</x:v>
      </x:c>
      <x:c r="S441" s="66" t="n">
        <x:v>316575.69869484345</x:v>
      </x:c>
      <x:c r="T441" s="66" t="n">
        <x:v>284569.2937832299</x:v>
      </x:c>
      <x:c r="U441" s="45" t="n">
        <x:v>0.7757612432207782</x:v>
      </x:c>
      <x:c r="V441" s="45" t="n">
        <x:v>0.8003555287923266</x:v>
      </x:c>
      <x:c r="W441" s="45" t="n">
        <x:v>0.18749101538189428</x:v>
      </x:c>
      <x:c r="X441" s="66" t="n">
        <x:v>47717594.375963315</x:v>
      </x:c>
      <x:c r="Y441" s="66" t="n">
        <x:v>105.45677772366886</x:v>
      </x:c>
      <x:c r="Z441" s="66" t="n">
        <x:v>3463757.5124369273</x:v>
      </x:c>
      <x:c r="AA441" s="66" t="n">
        <x:v>264061.8554181666</x:v>
      </x:c>
      <x:c r="AB441" s="66" t="n">
        <x:v>20202.192986282505</x:v>
      </x:c>
      <x:c r="AC441" s="66" t="n">
        <x:v>0</x:v>
      </x:c>
      <x:c r="AD441" s="66" t="n">
        <x:v>1894.236974008133</x:v>
      </x:c>
      <x:c r="AE441" s="66" t="n">
        <x:v>260638.99173731642</x:v>
      </x:c>
      <x:c r="AF441" s="66" t="n">
        <x:v>269471.35460402095</x:v>
      </x:c>
      <x:c r="AG441" s="66" t="n">
        <x:v>15097.939179208945</x:v>
      </x:c>
      <x:c r="AH441" s="36" t="n">
        <x:v>0</x:v>
      </x:c>
    </x:row>
    <x:row r="442" ht="21.600000381469727" hidden="0" customHeight="1">
      <x:c r="A442" s="34" t="n">
        <x:v>110</x:v>
      </x:c>
      <x:c r="B442" s="34" t="str">
        <x:v>B1</x:v>
      </x:c>
      <x:c r="C442" s="34" t="str">
        <x:v>reference</x:v>
      </x:c>
      <x:c r="D442" s="74" t="n">
        <x:v>0.9406195599635689</x:v>
      </x:c>
      <x:c r="E442" s="74" t="n">
        <x:v>-0.03305474630137699</x:v>
      </x:c>
      <x:c r="F442" s="74" t="n">
        <x:v>0.9311730772394492</x:v>
      </x:c>
      <x:c r="G442" s="74" t="n">
        <x:v>1.1231675488835688</x:v>
      </x:c>
      <x:c r="H442" s="74" t="n">
        <x:v>0.8252349141283836</x:v>
      </x:c>
      <x:c r="I442" s="74" t="n">
        <x:v>1.037147541097278</x:v>
      </x:c>
      <x:c r="J442" s="74" t="n">
        <x:v>1.0151508361378498</x:v>
      </x:c>
      <x:c r="K442" s="74" t="n">
        <x:v>0.9453068859325391</x:v>
      </x:c>
      <x:c r="L442" s="74" t="n">
        <x:v>1.0046623599892595</x:v>
      </x:c>
      <x:c r="M442" s="74" t="n">
        <x:v>0.7667351888518955</x:v>
      </x:c>
      <x:c r="N442" s="74" t="n">
        <x:v>0.8309132654831065</x:v>
      </x:c>
      <x:c r="O442" s="65" t="n">
        <x:v>452484.8511965629</x:v>
      </x:c>
      <x:c r="P442" s="65" t="n">
        <x:v>224780.0172238966</x:v>
      </x:c>
      <x:c r="Q442" s="65" t="n">
        <x:v>227704.8339726662</x:v>
      </x:c>
      <x:c r="R442" s="65" t="n">
        <x:v>69458.23558213485</x:v>
      </x:c>
      <x:c r="S442" s="65" t="n">
        <x:v>158246.59839053138</x:v>
      </x:c>
      <x:c r="T442" s="65" t="n">
        <x:v>193966.66347254935</x:v>
      </x:c>
      <x:c r="U442" s="43" t="n">
        <x:v>0.9254380109944039</x:v>
      </x:c>
      <x:c r="V442" s="43" t="n">
        <x:v>0.9407494320463764</x:v>
      </x:c>
      <x:c r="W442" s="43" t="n">
        <x:v>0.6419011359523666</x:v>
      </x:c>
      <x:c r="X442" s="65" t="n">
        <x:v>28157860.43639939</x:v>
      </x:c>
      <x:c r="Y442" s="65" t="n">
        <x:v>62.229399198532285</x:v>
      </x:c>
      <x:c r="Z442" s="65" t="n">
        <x:v>1234922.9090676415</x:v>
      </x:c>
      <x:c r="AA442" s="65" t="n">
        <x:v>151371.26449868488</x:v>
      </x:c>
      <x:c r="AB442" s="65" t="n">
        <x:v>1436.3164206696945</x:v>
      </x:c>
      <x:c r="AC442" s="65" t="n">
        <x:v>0</x:v>
      </x:c>
      <x:c r="AD442" s="65" t="n">
        <x:v>1473.9036593979401</x:v>
      </x:c>
      <x:c r="AE442" s="65" t="n">
        <x:v>122175.75733480894</x:v>
      </x:c>
      <x:c r="AF442" s="65" t="n">
        <x:v>193966.66347254926</x:v>
      </x:c>
      <x:c r="AG442" s="65" t="n">
        <x:v>8.731149137020111e-11</x:v>
      </x:c>
      <x:c r="AH442" s="34" t="n">
        <x:v>0</x:v>
      </x:c>
    </x:row>
    <x:row r="443" ht="21.600000381469727" hidden="0" customHeight="1">
      <x:c r="A443" s="36" t="n">
        <x:v>110</x:v>
      </x:c>
      <x:c r="B443" s="36" t="str">
        <x:v>P2</x:v>
      </x:c>
      <x:c r="C443" s="36" t="str">
        <x:v>reference</x:v>
      </x:c>
      <x:c r="D443" s="75" t="n">
        <x:v>0.9406195599635689</x:v>
      </x:c>
      <x:c r="E443" s="75" t="n">
        <x:v>-0.03305474630137699</x:v>
      </x:c>
      <x:c r="F443" s="75" t="n">
        <x:v>0.9311730772394492</x:v>
      </x:c>
      <x:c r="G443" s="75" t="n">
        <x:v>1.1231675488835688</x:v>
      </x:c>
      <x:c r="H443" s="75" t="n">
        <x:v>0.8252349141283836</x:v>
      </x:c>
      <x:c r="I443" s="75" t="n">
        <x:v>1.037147541097278</x:v>
      </x:c>
      <x:c r="J443" s="75" t="n">
        <x:v>1.0151508361378498</x:v>
      </x:c>
      <x:c r="K443" s="75" t="n">
        <x:v>0.9453068859325391</x:v>
      </x:c>
      <x:c r="L443" s="75" t="n">
        <x:v>1.0046623599892595</x:v>
      </x:c>
      <x:c r="M443" s="75" t="n">
        <x:v>0.7667351888518955</x:v>
      </x:c>
      <x:c r="N443" s="75" t="n">
        <x:v>0.8309132654831065</x:v>
      </x:c>
      <x:c r="O443" s="66" t="n">
        <x:v>452484.8511965629</x:v>
      </x:c>
      <x:c r="P443" s="66" t="n">
        <x:v>325635.75446129404</x:v>
      </x:c>
      <x:c r="Q443" s="66" t="n">
        <x:v>126849.09673526876</x:v>
      </x:c>
      <x:c r="R443" s="66" t="n">
        <x:v>69458.23558213485</x:v>
      </x:c>
      <x:c r="S443" s="66" t="n">
        <x:v>57390.86115313392</x:v>
      </x:c>
      <x:c r="T443" s="66" t="n">
        <x:v>119164.67694203432</x:v>
      </x:c>
      <x:c r="U443" s="45" t="n">
        <x:v>0.9830172882629912</x:v>
      </x:c>
      <x:c r="V443" s="45" t="n">
        <x:v>0.9849807609750424</x:v>
      </x:c>
      <x:c r="W443" s="45" t="n">
        <x:v>0.8301728826299143</x:v>
      </x:c>
      <x:c r="X443" s="66" t="n">
        <x:v>14638521.617826577</x:v>
      </x:c>
      <x:c r="Y443" s="66" t="n">
        <x:v>32.351407078305684</x:v>
      </x:c>
      <x:c r="Z443" s="66" t="n">
        <x:v>747031.2791913539</x:v>
      </x:c>
      <x:c r="AA443" s="66" t="n">
        <x:v>83135.02712274835</x:v>
      </x:c>
      <x:c r="AB443" s="66" t="n">
        <x:v>0</x:v>
      </x:c>
      <x:c r="AC443" s="66" t="n">
        <x:v>0</x:v>
      </x:c>
      <x:c r="AD443" s="66" t="n">
        <x:v>1219.925110478714</x:v>
      </x:c>
      <x:c r="AE443" s="66" t="n">
        <x:v>64290.22118129563</x:v>
      </x:c>
      <x:c r="AF443" s="66" t="n">
        <x:v>119164.67694203439</x:v>
      </x:c>
      <x:c r="AG443" s="66" t="n">
        <x:v>0</x:v>
      </x:c>
      <x:c r="AH443" s="36" t="n">
        <x:v>1</x:v>
      </x:c>
    </x:row>
    <x:row r="444" ht="21.600000381469727" hidden="0" customHeight="1">
      <x:c r="A444" s="34" t="n">
        <x:v>110</x:v>
      </x:c>
      <x:c r="B444" s="34" t="str">
        <x:v>H3</x:v>
      </x:c>
      <x:c r="C444" s="34" t="str">
        <x:v>reference</x:v>
      </x:c>
      <x:c r="D444" s="74" t="n">
        <x:v>0.9406195599635689</x:v>
      </x:c>
      <x:c r="E444" s="74" t="n">
        <x:v>-0.03305474630137699</x:v>
      </x:c>
      <x:c r="F444" s="74" t="n">
        <x:v>0.9311730772394492</x:v>
      </x:c>
      <x:c r="G444" s="74" t="n">
        <x:v>1.1231675488835688</x:v>
      </x:c>
      <x:c r="H444" s="74" t="n">
        <x:v>0.8252349141283836</x:v>
      </x:c>
      <x:c r="I444" s="74" t="n">
        <x:v>1.037147541097278</x:v>
      </x:c>
      <x:c r="J444" s="74" t="n">
        <x:v>1.0151508361378498</x:v>
      </x:c>
      <x:c r="K444" s="74" t="n">
        <x:v>0.9453068859325391</x:v>
      </x:c>
      <x:c r="L444" s="74" t="n">
        <x:v>1.0046623599892595</x:v>
      </x:c>
      <x:c r="M444" s="74" t="n">
        <x:v>0.7667351888518955</x:v>
      </x:c>
      <x:c r="N444" s="74" t="n">
        <x:v>0.8309132654831065</x:v>
      </x:c>
      <x:c r="O444" s="65" t="n">
        <x:v>452484.8511965629</x:v>
      </x:c>
      <x:c r="P444" s="65" t="n">
        <x:v>337800.2458947855</x:v>
      </x:c>
      <x:c r="Q444" s="65" t="n">
        <x:v>114684.60530177731</x:v>
      </x:c>
      <x:c r="R444" s="65" t="n">
        <x:v>69458.23558213485</x:v>
      </x:c>
      <x:c r="S444" s="65" t="n">
        <x:v>45226.36971964248</x:v>
      </x:c>
      <x:c r="T444" s="65" t="n">
        <x:v>113493.1909673764</x:v>
      </x:c>
      <x:c r="U444" s="43" t="n">
        <x:v>0.9973669519957402</x:v>
      </x:c>
      <x:c r="V444" s="43" t="n">
        <x:v>0.9983415730323713</x:v>
      </x:c>
      <x:c r="W444" s="43" t="n">
        <x:v>0.9736695199574019</x:v>
      </x:c>
      <x:c r="X444" s="65" t="n">
        <x:v>11755793.023616249</x:v>
      </x:c>
      <x:c r="Y444" s="65" t="n">
        <x:v>25.98052286729361</x:v>
      </x:c>
      <x:c r="Z444" s="65" t="n">
        <x:v>680959.1458042583</x:v>
      </x:c>
      <x:c r="AA444" s="65" t="n">
        <x:v>72889.11858368872</x:v>
      </x:c>
      <x:c r="AB444" s="65" t="n">
        <x:v>0</x:v>
      </x:c>
      <x:c r="AC444" s="65" t="n">
        <x:v>0</x:v>
      </x:c>
      <x:c r="AD444" s="65" t="n">
        <x:v>1191.4143344009149</x:v>
      </x:c>
      <x:c r="AE444" s="65" t="n">
        <x:v>54437.19416780855</x:v>
      </x:c>
      <x:c r="AF444" s="65" t="n">
        <x:v>113493.19096737642</x:v>
      </x:c>
      <x:c r="AG444" s="65" t="n">
        <x:v>0</x:v>
      </x:c>
      <x:c r="AH444" s="34" t="n">
        <x:v>1</x:v>
      </x:c>
    </x:row>
    <x:row r="445" ht="21.600000381469727" hidden="0" customHeight="1">
      <x:c r="A445" s="36" t="n">
        <x:v>111</x:v>
      </x:c>
      <x:c r="B445" s="36" t="str">
        <x:v>M0</x:v>
      </x:c>
      <x:c r="C445" s="36" t="str">
        <x:v>reference</x:v>
      </x:c>
      <x:c r="D445" s="75" t="n">
        <x:v>1.0602657071982287</x:v>
      </x:c>
      <x:c r="E445" s="75" t="n">
        <x:v>-0.007837561899244977</x:v>
      </x:c>
      <x:c r="F445" s="75" t="n">
        <x:v>0.9907882466202051</x:v>
      </x:c>
      <x:c r="G445" s="75" t="n">
        <x:v>0.9288504351514173</x:v>
      </x:c>
      <x:c r="H445" s="75" t="n">
        <x:v>0.9955382536980667</x:v>
      </x:c>
      <x:c r="I445" s="75" t="n">
        <x:v>0.9083791044986587</x:v>
      </x:c>
      <x:c r="J445" s="75" t="n">
        <x:v>0.9992260560564019</x:v>
      </x:c>
      <x:c r="K445" s="75" t="n">
        <x:v>0.9542765533411841</x:v>
      </x:c>
      <x:c r="L445" s="75" t="n">
        <x:v>0.9321512775729237</x:v>
      </x:c>
      <x:c r="M445" s="75" t="n">
        <x:v>1.0049984791836675</x:v>
      </x:c>
      <x:c r="N445" s="75" t="n">
        <x:v>0.8858747800150018</x:v>
      </x:c>
      <x:c r="O445" s="66" t="n">
        <x:v>510040.6063945665</x:v>
      </x:c>
      <x:c r="P445" s="66" t="n">
        <x:v>77324.20237010079</x:v>
      </x:c>
      <x:c r="Q445" s="66" t="n">
        <x:v>432716.4040244657</x:v>
      </x:c>
      <x:c r="R445" s="66" t="n">
        <x:v>91155.06237724764</x:v>
      </x:c>
      <x:c r="S445" s="66" t="n">
        <x:v>341561.341647218</x:v>
      </x:c>
      <x:c r="T445" s="66" t="n">
        <x:v>288643.3528292371</x:v>
      </x:c>
      <x:c r="U445" s="45" t="n">
        <x:v>0.7175263118486415</x:v>
      </x:c>
      <x:c r="V445" s="45" t="n">
        <x:v>0.7298787186306688</x:v>
      </x:c>
      <x:c r="W445" s="45" t="n">
        <x:v>0.15615176942954495</x:v>
      </x:c>
      <x:c r="X445" s="66" t="n">
        <x:v>55581738.19561376</x:v>
      </x:c>
      <x:c r="Y445" s="66" t="n">
        <x:v>108.97512374262968</x:v>
      </x:c>
      <x:c r="Z445" s="66" t="n">
        <x:v>5853754.667641239</x:v>
      </x:c>
      <x:c r="AA445" s="66" t="n">
        <x:v>297024.8041141941</x:v>
      </x:c>
      <x:c r="AB445" s="66" t="n">
        <x:v>49116.61421036135</x:v>
      </x:c>
      <x:c r="AC445" s="66" t="n">
        <x:v>0</x:v>
      </x:c>
      <x:c r="AD445" s="66" t="n">
        <x:v>2133.4091265291345</x:v>
      </x:c>
      <x:c r="AE445" s="66" t="n">
        <x:v>212103.771835941</x:v>
      </x:c>
      <x:c r="AF445" s="66" t="n">
        <x:v>288643.35282923694</x:v>
      </x:c>
      <x:c r="AG445" s="66" t="n">
        <x:v>1.7462298274040222e-10</x:v>
      </x:c>
      <x:c r="AH445" s="36" t="n">
        <x:v>0</x:v>
      </x:c>
    </x:row>
    <x:row r="446" ht="21.600000381469727" hidden="0" customHeight="1">
      <x:c r="A446" s="34" t="n">
        <x:v>111</x:v>
      </x:c>
      <x:c r="B446" s="34" t="str">
        <x:v>B1</x:v>
      </x:c>
      <x:c r="C446" s="34" t="str">
        <x:v>reference</x:v>
      </x:c>
      <x:c r="D446" s="74" t="n">
        <x:v>1.0602657071982287</x:v>
      </x:c>
      <x:c r="E446" s="74" t="n">
        <x:v>-0.007837561899244977</x:v>
      </x:c>
      <x:c r="F446" s="74" t="n">
        <x:v>0.9907882466202051</x:v>
      </x:c>
      <x:c r="G446" s="74" t="n">
        <x:v>0.9288504351514173</x:v>
      </x:c>
      <x:c r="H446" s="74" t="n">
        <x:v>0.9955382536980667</x:v>
      </x:c>
      <x:c r="I446" s="74" t="n">
        <x:v>0.9083791044986587</x:v>
      </x:c>
      <x:c r="J446" s="74" t="n">
        <x:v>0.9992260560564019</x:v>
      </x:c>
      <x:c r="K446" s="74" t="n">
        <x:v>0.9542765533411841</x:v>
      </x:c>
      <x:c r="L446" s="74" t="n">
        <x:v>0.9321512775729237</x:v>
      </x:c>
      <x:c r="M446" s="74" t="n">
        <x:v>1.0049984791836675</x:v>
      </x:c>
      <x:c r="N446" s="74" t="n">
        <x:v>0.8858747800150018</x:v>
      </x:c>
      <x:c r="O446" s="65" t="n">
        <x:v>510040.6063945665</x:v>
      </x:c>
      <x:c r="P446" s="65" t="n">
        <x:v>261561.33003428756</x:v>
      </x:c>
      <x:c r="Q446" s="65" t="n">
        <x:v>248479.2763602789</x:v>
      </x:c>
      <x:c r="R446" s="65" t="n">
        <x:v>91155.06237724764</x:v>
      </x:c>
      <x:c r="S446" s="65" t="n">
        <x:v>157324.21398303125</x:v>
      </x:c>
      <x:c r="T446" s="65" t="n">
        <x:v>219273.93979250593</x:v>
      </x:c>
      <x:c r="U446" s="43" t="n">
        <x:v>0.9427391933081112</x:v>
      </x:c>
      <x:c r="V446" s="43" t="n">
        <x:v>0.9460948714145919</x:v>
      </x:c>
      <x:c r="W446" s="43" t="n">
        <x:v>0.6533583993806708</x:v>
      </x:c>
      <x:c r="X446" s="65" t="n">
        <x:v>30616500.939733412</x:v>
      </x:c>
      <x:c r="Y446" s="65" t="n">
        <x:v>60.02757536533972</x:v>
      </x:c>
      <x:c r="Z446" s="65" t="n">
        <x:v>2124091.3593539894</x:v>
      </x:c>
      <x:c r="AA446" s="65" t="n">
        <x:v>160451.9682218864</x:v>
      </x:c>
      <x:c r="AB446" s="65" t="n">
        <x:v>9843.418753778915</x:v>
      </x:c>
      <x:c r="AC446" s="65" t="n">
        <x:v>0</x:v>
      </x:c>
      <x:c r="AD446" s="65" t="n">
        <x:v>1655.5938577780944</x:v>
      </x:c>
      <x:c r="AE446" s="65" t="n">
        <x:v>123599.46355088567</x:v>
      </x:c>
      <x:c r="AF446" s="65" t="n">
        <x:v>219273.9397925062</x:v>
      </x:c>
      <x:c r="AG446" s="65" t="n">
        <x:v>0</x:v>
      </x:c>
      <x:c r="AH446" s="34" t="n">
        <x:v>0</x:v>
      </x:c>
    </x:row>
    <x:row r="447" ht="21.600000381469727" hidden="0" customHeight="1">
      <x:c r="A447" s="36" t="n">
        <x:v>111</x:v>
      </x:c>
      <x:c r="B447" s="36" t="str">
        <x:v>P2</x:v>
      </x:c>
      <x:c r="C447" s="36" t="str">
        <x:v>reference</x:v>
      </x:c>
      <x:c r="D447" s="75" t="n">
        <x:v>1.0602657071982287</x:v>
      </x:c>
      <x:c r="E447" s="75" t="n">
        <x:v>-0.007837561899244977</x:v>
      </x:c>
      <x:c r="F447" s="75" t="n">
        <x:v>0.9907882466202051</x:v>
      </x:c>
      <x:c r="G447" s="75" t="n">
        <x:v>0.9288504351514173</x:v>
      </x:c>
      <x:c r="H447" s="75" t="n">
        <x:v>0.9955382536980667</x:v>
      </x:c>
      <x:c r="I447" s="75" t="n">
        <x:v>0.9083791044986587</x:v>
      </x:c>
      <x:c r="J447" s="75" t="n">
        <x:v>0.9992260560564019</x:v>
      </x:c>
      <x:c r="K447" s="75" t="n">
        <x:v>0.9542765533411841</x:v>
      </x:c>
      <x:c r="L447" s="75" t="n">
        <x:v>0.9321512775729237</x:v>
      </x:c>
      <x:c r="M447" s="75" t="n">
        <x:v>1.0049984791836675</x:v>
      </x:c>
      <x:c r="N447" s="75" t="n">
        <x:v>0.8858747800150018</x:v>
      </x:c>
      <x:c r="O447" s="66" t="n">
        <x:v>510040.6063945665</x:v>
      </x:c>
      <x:c r="P447" s="66" t="n">
        <x:v>378921.01347463153</x:v>
      </x:c>
      <x:c r="Q447" s="66" t="n">
        <x:v>131119.59291993495</x:v>
      </x:c>
      <x:c r="R447" s="66" t="n">
        <x:v>91155.06237724764</x:v>
      </x:c>
      <x:c r="S447" s="66" t="n">
        <x:v>39964.53054268731</x:v>
      </x:c>
      <x:c r="T447" s="66" t="n">
        <x:v>127479.48175175561</x:v>
      </x:c>
      <x:c r="U447" s="45" t="n">
        <x:v>0.9928630953642866</x:v>
      </x:c>
      <x:c r="V447" s="45" t="n">
        <x:v>0.9956372913542428</x:v>
      </x:c>
      <x:c r="W447" s="45" t="n">
        <x:v>0.9286309536428683</x:v>
      </x:c>
      <x:c r="X447" s="66" t="n">
        <x:v>15216600.609922942</x:v>
      </x:c>
      <x:c r="Y447" s="66" t="n">
        <x:v>29.8340963820269</x:v>
      </x:c>
      <x:c r="Z447" s="66" t="n">
        <x:v>778516.2600448361</x:v>
      </x:c>
      <x:c r="AA447" s="66" t="n">
        <x:v>84954.44633514277</x:v>
      </x:c>
      <x:c r="AB447" s="66" t="n">
        <x:v>0</x:v>
      </x:c>
      <x:c r="AC447" s="66" t="n">
        <x:v>0</x:v>
      </x:c>
      <x:c r="AD447" s="66" t="n">
        <x:v>1366.8829124622775</x:v>
      </x:c>
      <x:c r="AE447" s="66" t="n">
        <x:v>62627.358351751995</x:v>
      </x:c>
      <x:c r="AF447" s="66" t="n">
        <x:v>127479.48175175574</x:v>
      </x:c>
      <x:c r="AG447" s="66" t="n">
        <x:v>0</x:v>
      </x:c>
      <x:c r="AH447" s="36" t="n">
        <x:v>1</x:v>
      </x:c>
    </x:row>
    <x:row r="448" ht="21.600000381469727" hidden="0" customHeight="1">
      <x:c r="A448" s="34" t="n">
        <x:v>111</x:v>
      </x:c>
      <x:c r="B448" s="34" t="str">
        <x:v>H3</x:v>
      </x:c>
      <x:c r="C448" s="34" t="str">
        <x:v>reference</x:v>
      </x:c>
      <x:c r="D448" s="74" t="n">
        <x:v>1.0602657071982287</x:v>
      </x:c>
      <x:c r="E448" s="74" t="n">
        <x:v>-0.007837561899244977</x:v>
      </x:c>
      <x:c r="F448" s="74" t="n">
        <x:v>0.9907882466202051</x:v>
      </x:c>
      <x:c r="G448" s="74" t="n">
        <x:v>0.9288504351514173</x:v>
      </x:c>
      <x:c r="H448" s="74" t="n">
        <x:v>0.9955382536980667</x:v>
      </x:c>
      <x:c r="I448" s="74" t="n">
        <x:v>0.9083791044986587</x:v>
      </x:c>
      <x:c r="J448" s="74" t="n">
        <x:v>0.9992260560564019</x:v>
      </x:c>
      <x:c r="K448" s="74" t="n">
        <x:v>0.9542765533411841</x:v>
      </x:c>
      <x:c r="L448" s="74" t="n">
        <x:v>0.9321512775729237</x:v>
      </x:c>
      <x:c r="M448" s="74" t="n">
        <x:v>1.0049984791836675</x:v>
      </x:c>
      <x:c r="N448" s="74" t="n">
        <x:v>0.8858747800150018</x:v>
      </x:c>
      <x:c r="O448" s="65" t="n">
        <x:v>510040.6063945665</x:v>
      </x:c>
      <x:c r="P448" s="65" t="n">
        <x:v>393076.1713958335</x:v>
      </x:c>
      <x:c r="Q448" s="65" t="n">
        <x:v>116964.43499873295</x:v>
      </x:c>
      <x:c r="R448" s="65" t="n">
        <x:v>91155.06237724764</x:v>
      </x:c>
      <x:c r="S448" s="65" t="n">
        <x:v>25809.3726214853</x:v>
      </x:c>
      <x:c r="T448" s="65" t="n">
        <x:v>115629.96180413124</x:v>
      </x:c>
      <x:c r="U448" s="43" t="n">
        <x:v>0.9973835942121648</x:v>
      </x:c>
      <x:c r="V448" s="43" t="n">
        <x:v>0.9983520537410769</x:v>
      </x:c>
      <x:c r="W448" s="43" t="n">
        <x:v>0.9738359421216481</x:v>
      </x:c>
      <x:c r="X448" s="65" t="n">
        <x:v>12387944.407202601</x:v>
      </x:c>
      <x:c r="Y448" s="65" t="n">
        <x:v>24.288153240919236</x:v>
      </x:c>
      <x:c r="Z448" s="65" t="n">
        <x:v>818641.3177021936</x:v>
      </x:c>
      <x:c r="AA448" s="65" t="n">
        <x:v>77911.5650771623</x:v>
      </x:c>
      <x:c r="AB448" s="65" t="n">
        <x:v>4249.571781767965</x:v>
      </x:c>
      <x:c r="AC448" s="65" t="n">
        <x:v>0</x:v>
      </x:c>
      <x:c r="AD448" s="65" t="n">
        <x:v>1334.473194601708</x:v>
      </x:c>
      <x:c r="AE448" s="65" t="n">
        <x:v>41840.63082927829</x:v>
      </x:c>
      <x:c r="AF448" s="65" t="n">
        <x:v>115629.96180413124</x:v>
      </x:c>
      <x:c r="AG448" s="65" t="n">
        <x:v>0</x:v>
      </x:c>
      <x:c r="AH448" s="34" t="n">
        <x:v>1</x:v>
      </x:c>
    </x:row>
    <x:row r="449" ht="15" hidden="0" customHeight="1">
      <x:c r="A449" s="36" t="n">
        <x:v>112</x:v>
      </x:c>
      <x:c r="B449" s="36" t="str">
        <x:v>M0</x:v>
      </x:c>
      <x:c r="C449" s="36" t="str">
        <x:v>slow</x:v>
      </x:c>
      <x:c r="D449" s="75" t="n">
        <x:v>0.9280415780045015</x:v>
      </x:c>
      <x:c r="E449" s="75" t="n">
        <x:v>0.08204993624634968</x:v>
      </x:c>
      <x:c r="F449" s="75" t="n">
        <x:v>0.9662231680289711</x:v>
      </x:c>
      <x:c r="G449" s="75" t="n">
        <x:v>1.2796014163219864</x:v>
      </x:c>
      <x:c r="H449" s="75" t="n">
        <x:v>0.8989033795103983</x:v>
      </x:c>
      <x:c r="I449" s="75" t="n">
        <x:v>0.80911896096108</x:v>
      </x:c>
      <x:c r="J449" s="75" t="n">
        <x:v>0.920540261187899</x:v>
      </x:c>
      <x:c r="K449" s="75" t="n">
        <x:v>0.9246598322537382</x:v>
      </x:c>
      <x:c r="L449" s="75" t="n">
        <x:v>0.869983063132125</x:v>
      </x:c>
      <x:c r="M449" s="75" t="n">
        <x:v>1.0313835469865291</x:v>
      </x:c>
      <x:c r="N449" s="75" t="n">
        <x:v>1.0193502080180568</x:v>
      </x:c>
      <x:c r="O449" s="66" t="n">
        <x:v>446434.2154907498</x:v>
      </x:c>
      <x:c r="P449" s="66" t="n">
        <x:v>58777.90630543824</x:v>
      </x:c>
      <x:c r="Q449" s="66" t="n">
        <x:v>387656.30918531155</x:v>
      </x:c>
      <x:c r="R449" s="66" t="n">
        <x:v>119916.10743809704</x:v>
      </x:c>
      <x:c r="S449" s="66" t="n">
        <x:v>267740.20174721454</x:v>
      </x:c>
      <x:c r="T449" s="66" t="n">
        <x:v>245195.6167037007</x:v>
      </x:c>
      <x:c r="U449" s="45" t="n">
        <x:v>0.6808920832266213</x:v>
      </x:c>
      <x:c r="V449" s="45" t="n">
        <x:v>0.6681882013198467</x:v>
      </x:c>
      <x:c r="W449" s="45" t="n">
        <x:v>0.06335412396423927</x:v>
      </x:c>
      <x:c r="X449" s="66" t="n">
        <x:v>47928122.71775035</x:v>
      </x:c>
      <x:c r="Y449" s="66" t="n">
        <x:v>107.35763759743327</x:v>
      </x:c>
      <x:c r="Z449" s="66" t="n">
        <x:v>3341140.3446071437</x:v>
      </x:c>
      <x:c r="AA449" s="66" t="n">
        <x:v>258580.88088273312</x:v>
      </x:c>
      <x:c r="AB449" s="66" t="n">
        <x:v>26414.541750680793</x:v>
      </x:c>
      <x:c r="AC449" s="66" t="n">
        <x:v>0</x:v>
      </x:c>
      <x:c r="AD449" s="66" t="n">
        <x:v>2478.749989368022</x:v>
      </x:c>
      <x:c r="AE449" s="66" t="n">
        <x:v>157123.7587309406</x:v>
      </x:c>
      <x:c r="AF449" s="66" t="n">
        <x:v>245195.6167037007</x:v>
      </x:c>
      <x:c r="AG449" s="66" t="n">
        <x:v>0</x:v>
      </x:c>
      <x:c r="AH449" s="36" t="n">
        <x:v>0</x:v>
      </x:c>
    </x:row>
    <x:row r="450" ht="15" hidden="0" customHeight="1">
      <x:c r="A450" s="34" t="n">
        <x:v>112</x:v>
      </x:c>
      <x:c r="B450" s="34" t="str">
        <x:v>B1</x:v>
      </x:c>
      <x:c r="C450" s="34" t="str">
        <x:v>slow</x:v>
      </x:c>
      <x:c r="D450" s="74" t="n">
        <x:v>0.9280415780045015</x:v>
      </x:c>
      <x:c r="E450" s="74" t="n">
        <x:v>0.08204993624634968</x:v>
      </x:c>
      <x:c r="F450" s="74" t="n">
        <x:v>0.9662231680289711</x:v>
      </x:c>
      <x:c r="G450" s="74" t="n">
        <x:v>1.2796014163219864</x:v>
      </x:c>
      <x:c r="H450" s="74" t="n">
        <x:v>0.8989033795103983</x:v>
      </x:c>
      <x:c r="I450" s="74" t="n">
        <x:v>0.80911896096108</x:v>
      </x:c>
      <x:c r="J450" s="74" t="n">
        <x:v>0.920540261187899</x:v>
      </x:c>
      <x:c r="K450" s="74" t="n">
        <x:v>0.9246598322537382</x:v>
      </x:c>
      <x:c r="L450" s="74" t="n">
        <x:v>0.869983063132125</x:v>
      </x:c>
      <x:c r="M450" s="74" t="n">
        <x:v>1.0313835469865291</x:v>
      </x:c>
      <x:c r="N450" s="74" t="n">
        <x:v>1.0193502080180568</x:v>
      </x:c>
      <x:c r="O450" s="65" t="n">
        <x:v>446434.2154907498</x:v>
      </x:c>
      <x:c r="P450" s="65" t="n">
        <x:v>198828.13383449358</x:v>
      </x:c>
      <x:c r="Q450" s="65" t="n">
        <x:v>247606.08165625622</x:v>
      </x:c>
      <x:c r="R450" s="65" t="n">
        <x:v>119916.10743809704</x:v>
      </x:c>
      <x:c r="S450" s="65" t="n">
        <x:v>127689.9742181592</x:v>
      </x:c>
      <x:c r="T450" s="65" t="n">
        <x:v>146162.5212486814</x:v>
      </x:c>
      <x:c r="U450" s="43" t="n">
        <x:v>0.7727692974964713</x:v>
      </x:c>
      <x:c r="V450" s="43" t="n">
        <x:v>0.7630509647779413</x:v>
      </x:c>
      <x:c r="W450" s="43" t="n">
        <x:v>0.2198944121593089</x:v>
      </x:c>
      <x:c r="X450" s="65" t="n">
        <x:v>31747250.3469292</x:v>
      </x:c>
      <x:c r="Y450" s="65" t="n">
        <x:v>71.11294171758439</x:v>
      </x:c>
      <x:c r="Z450" s="65" t="n">
        <x:v>1250974.6010026305</x:v>
      </x:c>
      <x:c r="AA450" s="65" t="n">
        <x:v>164913.0567989337</x:v>
      </x:c>
      <x:c r="AB450" s="65" t="n">
        <x:v>6391.2046383206825</x:v>
      </x:c>
      <x:c r="AC450" s="65" t="n">
        <x:v>0</x:v>
      </x:c>
      <x:c r="AD450" s="65" t="n">
        <x:v>2053.2947624960234</x:v>
      </x:c>
      <x:c r="AE450" s="65" t="n">
        <x:v>36072.69878273127</x:v>
      </x:c>
      <x:c r="AF450" s="65" t="n">
        <x:v>146162.5212486815</x:v>
      </x:c>
      <x:c r="AG450" s="65" t="n">
        <x:v>0</x:v>
      </x:c>
      <x:c r="AH450" s="34" t="n">
        <x:v>0</x:v>
      </x:c>
    </x:row>
    <x:row r="451" ht="15" hidden="0" customHeight="1">
      <x:c r="A451" s="36" t="n">
        <x:v>112</x:v>
      </x:c>
      <x:c r="B451" s="36" t="str">
        <x:v>P2</x:v>
      </x:c>
      <x:c r="C451" s="36" t="str">
        <x:v>slow</x:v>
      </x:c>
      <x:c r="D451" s="75" t="n">
        <x:v>0.9280415780045015</x:v>
      </x:c>
      <x:c r="E451" s="75" t="n">
        <x:v>0.08204993624634968</x:v>
      </x:c>
      <x:c r="F451" s="75" t="n">
        <x:v>0.9662231680289711</x:v>
      </x:c>
      <x:c r="G451" s="75" t="n">
        <x:v>1.2796014163219864</x:v>
      </x:c>
      <x:c r="H451" s="75" t="n">
        <x:v>0.8989033795103983</x:v>
      </x:c>
      <x:c r="I451" s="75" t="n">
        <x:v>0.80911896096108</x:v>
      </x:c>
      <x:c r="J451" s="75" t="n">
        <x:v>0.920540261187899</x:v>
      </x:c>
      <x:c r="K451" s="75" t="n">
        <x:v>0.9246598322537382</x:v>
      </x:c>
      <x:c r="L451" s="75" t="n">
        <x:v>0.869983063132125</x:v>
      </x:c>
      <x:c r="M451" s="75" t="n">
        <x:v>1.0313835469865291</x:v>
      </x:c>
      <x:c r="N451" s="75" t="n">
        <x:v>1.0193502080180568</x:v>
      </x:c>
      <x:c r="O451" s="66" t="n">
        <x:v>446434.2154907498</x:v>
      </x:c>
      <x:c r="P451" s="66" t="n">
        <x:v>288042.2293729514</x:v>
      </x:c>
      <x:c r="Q451" s="66" t="n">
        <x:v>158391.98611779846</x:v>
      </x:c>
      <x:c r="R451" s="66" t="n">
        <x:v>119916.10743809704</x:v>
      </x:c>
      <x:c r="S451" s="66" t="n">
        <x:v>38475.87867970143</x:v>
      </x:c>
      <x:c r="T451" s="66" t="n">
        <x:v>82669.25249551599</x:v>
      </x:c>
      <x:c r="U451" s="45" t="n">
        <x:v>0.8303832211000157</x:v>
      </x:c>
      <x:c r="V451" s="45" t="n">
        <x:v>0.8245961361598846</x:v>
      </x:c>
      <x:c r="W451" s="45" t="n">
        <x:v>0.3231188866256269</x:v>
      </x:c>
      <x:c r="X451" s="66" t="n">
        <x:v>20241204.901347846</x:v>
      </x:c>
      <x:c r="Y451" s="66" t="n">
        <x:v>45.33972576250094</x:v>
      </x:c>
      <x:c r="Z451" s="66" t="n">
        <x:v>527687.1790465332</x:v>
      </x:c>
      <x:c r="AA451" s="66" t="n">
        <x:v>108214.80197368213</x:v>
      </x:c>
      <x:c r="AB451" s="66" t="n">
        <x:v>232.01402111816805</x:v>
      </x:c>
      <x:c r="AC451" s="66" t="n">
        <x:v>0</x:v>
      </x:c>
      <x:c r="AD451" s="66" t="n">
        <x:v>1795.174836848965</x:v>
      </x:c>
      <x:c r="AE451" s="66" t="n">
        <x:v>12915.550724532266</x:v>
      </x:c>
      <x:c r="AF451" s="66" t="n">
        <x:v>82669.25249551599</x:v>
      </x:c>
      <x:c r="AG451" s="66" t="n">
        <x:v>0</x:v>
      </x:c>
      <x:c r="AH451" s="36" t="n">
        <x:v>0</x:v>
      </x:c>
    </x:row>
    <x:row r="452" ht="15" hidden="0" customHeight="1">
      <x:c r="A452" s="34" t="n">
        <x:v>112</x:v>
      </x:c>
      <x:c r="B452" s="34" t="str">
        <x:v>H3</x:v>
      </x:c>
      <x:c r="C452" s="34" t="str">
        <x:v>slow</x:v>
      </x:c>
      <x:c r="D452" s="74" t="n">
        <x:v>0.9280415780045015</x:v>
      </x:c>
      <x:c r="E452" s="74" t="n">
        <x:v>0.08204993624634968</x:v>
      </x:c>
      <x:c r="F452" s="74" t="n">
        <x:v>0.9662231680289711</x:v>
      </x:c>
      <x:c r="G452" s="74" t="n">
        <x:v>1.2796014163219864</x:v>
      </x:c>
      <x:c r="H452" s="74" t="n">
        <x:v>0.8989033795103983</x:v>
      </x:c>
      <x:c r="I452" s="74" t="n">
        <x:v>0.80911896096108</x:v>
      </x:c>
      <x:c r="J452" s="74" t="n">
        <x:v>0.920540261187899</x:v>
      </x:c>
      <x:c r="K452" s="74" t="n">
        <x:v>0.9246598322537382</x:v>
      </x:c>
      <x:c r="L452" s="74" t="n">
        <x:v>0.869983063132125</x:v>
      </x:c>
      <x:c r="M452" s="74" t="n">
        <x:v>1.0313835469865291</x:v>
      </x:c>
      <x:c r="N452" s="74" t="n">
        <x:v>1.0193502080180568</x:v>
      </x:c>
      <x:c r="O452" s="65" t="n">
        <x:v>446434.2154907498</x:v>
      </x:c>
      <x:c r="P452" s="65" t="n">
        <x:v>298802.8999516513</x:v>
      </x:c>
      <x:c r="Q452" s="65" t="n">
        <x:v>147631.31553909858</x:v>
      </x:c>
      <x:c r="R452" s="65" t="n">
        <x:v>119916.10743809704</x:v>
      </x:c>
      <x:c r="S452" s="65" t="n">
        <x:v>27715.20810100152</x:v>
      </x:c>
      <x:c r="T452" s="65" t="n">
        <x:v>75015.28378504212</x:v>
      </x:c>
      <x:c r="U452" s="43" t="n">
        <x:v>0.8373421453052561</x:v>
      </x:c>
      <x:c r="V452" s="43" t="n">
        <x:v>0.8321716587338605</x:v>
      </x:c>
      <x:c r="W452" s="43" t="n">
        <x:v>0.3361096183012413</x:v>
      </x:c>
      <x:c r="X452" s="65" t="n">
        <x:v>18216181.789024103</x:v>
      </x:c>
      <x:c r="Y452" s="65" t="n">
        <x:v>40.8037313381092</x:v>
      </x:c>
      <x:c r="Z452" s="65" t="n">
        <x:v>528389.7013202634</x:v>
      </x:c>
      <x:c r="AA452" s="65" t="n">
        <x:v>100972.66672257702</x:v>
      </x:c>
      <x:c r="AB452" s="65" t="n">
        <x:v>2567.5453261674083</x:v>
      </x:c>
      <x:c r="AC452" s="65" t="n">
        <x:v>0</x:v>
      </x:c>
      <x:c r="AD452" s="65" t="n">
        <x:v>1766.0291665771792</x:v>
      </x:c>
      <x:c r="AE452" s="65" t="n">
        <x:v>0</x:v>
      </x:c>
      <x:c r="AF452" s="65" t="n">
        <x:v>75015.28378504212</x:v>
      </x:c>
      <x:c r="AG452" s="65" t="n">
        <x:v>0</x:v>
      </x:c>
      <x:c r="AH452" s="34" t="n">
        <x:v>0</x:v>
      </x:c>
    </x:row>
    <x:row r="453" ht="15" hidden="0" customHeight="1">
      <x:c r="A453" s="36" t="n">
        <x:v>113</x:v>
      </x:c>
      <x:c r="B453" s="36" t="str">
        <x:v>M0</x:v>
      </x:c>
      <x:c r="C453" s="36" t="str">
        <x:v>fast</x:v>
      </x:c>
      <x:c r="D453" s="75" t="n">
        <x:v>1.0663471327967609</x:v>
      </x:c>
      <x:c r="E453" s="75" t="n">
        <x:v>0.025170575640170827</x:v>
      </x:c>
      <x:c r="F453" s="75" t="n">
        <x:v>0.8991187482612635</x:v>
      </x:c>
      <x:c r="G453" s="75" t="n">
        <x:v>1.1856349930183865</x:v>
      </x:c>
      <x:c r="H453" s="75" t="n">
        <x:v>0.8781046032870264</x:v>
      </x:c>
      <x:c r="I453" s="75" t="n">
        <x:v>0.832837089247727</x:v>
      </x:c>
      <x:c r="J453" s="75" t="n">
        <x:v>0.9564675412566763</x:v>
      </x:c>
      <x:c r="K453" s="75" t="n">
        <x:v>0.8389987454211005</x:v>
      </x:c>
      <x:c r="L453" s="75" t="n">
        <x:v>0.8449504830027506</x:v>
      </x:c>
      <x:c r="M453" s="75" t="n">
        <x:v>0.9690319846759339</x:v>
      </x:c>
      <x:c r="N453" s="75" t="n">
        <x:v>1.0258667106411368</x:v>
      </x:c>
      <x:c r="O453" s="66" t="n">
        <x:v>512966.0749624552</x:v>
      </x:c>
      <x:c r="P453" s="66" t="n">
        <x:v>67735.59453364453</x:v>
      </x:c>
      <x:c r="Q453" s="66" t="n">
        <x:v>445230.4804288107</x:v>
      </x:c>
      <x:c r="R453" s="66" t="n">
        <x:v>108609.9603464092</x:v>
      </x:c>
      <x:c r="S453" s="66" t="n">
        <x:v>336620.52008240146</x:v>
      </x:c>
      <x:c r="T453" s="66" t="n">
        <x:v>253418.2461635519</x:v>
      </x:c>
      <x:c r="U453" s="45" t="n">
        <x:v>0.6260722811361398</x:v>
      </x:c>
      <x:c r="V453" s="45" t="n">
        <x:v>0.6493105148696284</x:v>
      </x:c>
      <x:c r="W453" s="45" t="n">
        <x:v>0.1325904274626662</x:v>
      </x:c>
      <x:c r="X453" s="66" t="n">
        <x:v>59432563.16832254</x:v>
      </x:c>
      <x:c r="Y453" s="66" t="n">
        <x:v>115.86061158658983</x:v>
      </x:c>
      <x:c r="Z453" s="66" t="n">
        <x:v>5231979.203825187</x:v>
      </x:c>
      <x:c r="AA453" s="66" t="n">
        <x:v>322449.44361099263</x:v>
      </x:c>
      <x:c r="AB453" s="66" t="n">
        <x:v>44008.00840139539</x:v>
      </x:c>
      <x:c r="AC453" s="66" t="n">
        <x:v>0</x:v>
      </x:c>
      <x:c r="AD453" s="66" t="n">
        <x:v>2179.1654739034934</x:v>
      </x:c>
      <x:c r="AE453" s="66" t="n">
        <x:v>194328.32363062238</x:v>
      </x:c>
      <x:c r="AF453" s="66" t="n">
        <x:v>253418.24616355202</x:v>
      </x:c>
      <x:c r="AG453" s="66" t="n">
        <x:v>0</x:v>
      </x:c>
      <x:c r="AH453" s="36" t="n">
        <x:v>0</x:v>
      </x:c>
    </x:row>
    <x:row r="454" ht="15" hidden="0" customHeight="1">
      <x:c r="A454" s="34" t="n">
        <x:v>113</x:v>
      </x:c>
      <x:c r="B454" s="34" t="str">
        <x:v>B1</x:v>
      </x:c>
      <x:c r="C454" s="34" t="str">
        <x:v>fast</x:v>
      </x:c>
      <x:c r="D454" s="74" t="n">
        <x:v>1.0663471327967609</x:v>
      </x:c>
      <x:c r="E454" s="74" t="n">
        <x:v>0.025170575640170827</x:v>
      </x:c>
      <x:c r="F454" s="74" t="n">
        <x:v>0.8991187482612635</x:v>
      </x:c>
      <x:c r="G454" s="74" t="n">
        <x:v>1.1856349930183865</x:v>
      </x:c>
      <x:c r="H454" s="74" t="n">
        <x:v>0.8781046032870264</x:v>
      </x:c>
      <x:c r="I454" s="74" t="n">
        <x:v>0.832837089247727</x:v>
      </x:c>
      <x:c r="J454" s="74" t="n">
        <x:v>0.9564675412566763</x:v>
      </x:c>
      <x:c r="K454" s="74" t="n">
        <x:v>0.8389987454211005</x:v>
      </x:c>
      <x:c r="L454" s="74" t="n">
        <x:v>0.8449504830027506</x:v>
      </x:c>
      <x:c r="M454" s="74" t="n">
        <x:v>0.9690319846759339</x:v>
      </x:c>
      <x:c r="N454" s="74" t="n">
        <x:v>1.0258667106411368</x:v>
      </x:c>
      <x:c r="O454" s="65" t="n">
        <x:v>512966.0749624552</x:v>
      </x:c>
      <x:c r="P454" s="65" t="n">
        <x:v>229127.3623022025</x:v>
      </x:c>
      <x:c r="Q454" s="65" t="n">
        <x:v>283838.71266025276</x:v>
      </x:c>
      <x:c r="R454" s="65" t="n">
        <x:v>108609.9603464092</x:v>
      </x:c>
      <x:c r="S454" s="65" t="n">
        <x:v>175228.75231384352</x:v>
      </x:c>
      <x:c r="T454" s="65" t="n">
        <x:v>191471.75878312782</x:v>
      </x:c>
      <x:c r="U454" s="43" t="n">
        <x:v>0.8199355505451597</x:v>
      </x:c>
      <x:c r="V454" s="43" t="n">
        <x:v>0.8423353142017793</x:v>
      </x:c>
      <x:c r="W454" s="43" t="n">
        <x:v>0.49842769390464087</x:v>
      </x:c>
      <x:c r="X454" s="65" t="n">
        <x:v>37832648.85029759</x:v>
      </x:c>
      <x:c r="Y454" s="65" t="n">
        <x:v>73.7527308274073</x:v>
      </x:c>
      <x:c r="Z454" s="65" t="n">
        <x:v>2243632.5595604107</x:v>
      </x:c>
      <x:c r="AA454" s="65" t="n">
        <x:v>202264.02792827768</x:v>
      </x:c>
      <x:c r="AB454" s="65" t="n">
        <x:v>11904.643806254517</x:v>
      </x:c>
      <x:c r="AC454" s="65" t="n">
        <x:v>0</x:v>
      </x:c>
      <x:c r="AD454" s="65" t="n">
        <x:v>1774.5119836899967</x:v>
      </x:c>
      <x:c r="AE454" s="65" t="n">
        <x:v>132419.6662889084</x:v>
      </x:c>
      <x:c r="AF454" s="65" t="n">
        <x:v>191471.7587831277</x:v>
      </x:c>
      <x:c r="AG454" s="65" t="n">
        <x:v>1.1641532182693481e-10</x:v>
      </x:c>
      <x:c r="AH454" s="34" t="n">
        <x:v>0</x:v>
      </x:c>
    </x:row>
    <x:row r="455" ht="15" hidden="0" customHeight="1">
      <x:c r="A455" s="36" t="n">
        <x:v>113</x:v>
      </x:c>
      <x:c r="B455" s="36" t="str">
        <x:v>P2</x:v>
      </x:c>
      <x:c r="C455" s="36" t="str">
        <x:v>fast</x:v>
      </x:c>
      <x:c r="D455" s="75" t="n">
        <x:v>1.0663471327967609</x:v>
      </x:c>
      <x:c r="E455" s="75" t="n">
        <x:v>0.025170575640170827</x:v>
      </x:c>
      <x:c r="F455" s="75" t="n">
        <x:v>0.8991187482612635</x:v>
      </x:c>
      <x:c r="G455" s="75" t="n">
        <x:v>1.1856349930183865</x:v>
      </x:c>
      <x:c r="H455" s="75" t="n">
        <x:v>0.8781046032870264</x:v>
      </x:c>
      <x:c r="I455" s="75" t="n">
        <x:v>0.832837089247727</x:v>
      </x:c>
      <x:c r="J455" s="75" t="n">
        <x:v>0.9564675412566763</x:v>
      </x:c>
      <x:c r="K455" s="75" t="n">
        <x:v>0.8389987454211005</x:v>
      </x:c>
      <x:c r="L455" s="75" t="n">
        <x:v>0.8449504830027506</x:v>
      </x:c>
      <x:c r="M455" s="75" t="n">
        <x:v>0.9690319846759339</x:v>
      </x:c>
      <x:c r="N455" s="75" t="n">
        <x:v>1.0258667106411368</x:v>
      </x:c>
      <x:c r="O455" s="66" t="n">
        <x:v>512966.0749624552</x:v>
      </x:c>
      <x:c r="P455" s="66" t="n">
        <x:v>331935.10879305203</x:v>
      </x:c>
      <x:c r="Q455" s="66" t="n">
        <x:v>181030.96616940323</x:v>
      </x:c>
      <x:c r="R455" s="66" t="n">
        <x:v>108609.9603464092</x:v>
      </x:c>
      <x:c r="S455" s="66" t="n">
        <x:v>72421.00582299399</x:v>
      </x:c>
      <x:c r="T455" s="66" t="n">
        <x:v>125820.16679696181</x:v>
      </x:c>
      <x:c r="U455" s="45" t="n">
        <x:v>0.892369491732017</x:v>
      </x:c>
      <x:c r="V455" s="45" t="n">
        <x:v>0.9085990623655565</x:v>
      </x:c>
      <x:c r="W455" s="45" t="n">
        <x:v>0.7312882644046644</x:v>
      </x:c>
      <x:c r="X455" s="66" t="n">
        <x:v>22517271.883652937</x:v>
      </x:c>
      <x:c r="Y455" s="66" t="n">
        <x:v>43.896220398787605</x:v>
      </x:c>
      <x:c r="Z455" s="66" t="n">
        <x:v>877536.2758202531</x:v>
      </x:c>
      <x:c r="AA455" s="66" t="n">
        <x:v>128731.09028155958</x:v>
      </x:c>
      <x:c r="AB455" s="66" t="n">
        <x:v>53.71924008931683</x:v>
      </x:c>
      <x:c r="AC455" s="66" t="n">
        <x:v>12340.24522677527</x:v>
      </x:c>
      <x:c r="AD455" s="66" t="n">
        <x:v>1530.0076755914733</x:v>
      </x:c>
      <x:c r="AE455" s="66" t="n">
        <x:v>70117.05548477969</x:v>
      </x:c>
      <x:c r="AF455" s="66" t="n">
        <x:v>125820.16679696176</x:v>
      </x:c>
      <x:c r="AG455" s="66" t="n">
        <x:v>5.820766091346741e-11</x:v>
      </x:c>
      <x:c r="AH455" s="36" t="n">
        <x:v>0</x:v>
      </x:c>
    </x:row>
    <x:row r="456" ht="15" hidden="0" customHeight="1">
      <x:c r="A456" s="34" t="n">
        <x:v>113</x:v>
      </x:c>
      <x:c r="B456" s="34" t="str">
        <x:v>H3</x:v>
      </x:c>
      <x:c r="C456" s="34" t="str">
        <x:v>fast</x:v>
      </x:c>
      <x:c r="D456" s="74" t="n">
        <x:v>1.0663471327967609</x:v>
      </x:c>
      <x:c r="E456" s="74" t="n">
        <x:v>0.025170575640170827</x:v>
      </x:c>
      <x:c r="F456" s="74" t="n">
        <x:v>0.8991187482612635</x:v>
      </x:c>
      <x:c r="G456" s="74" t="n">
        <x:v>1.1856349930183865</x:v>
      </x:c>
      <x:c r="H456" s="74" t="n">
        <x:v>0.8781046032870264</x:v>
      </x:c>
      <x:c r="I456" s="74" t="n">
        <x:v>0.832837089247727</x:v>
      </x:c>
      <x:c r="J456" s="74" t="n">
        <x:v>0.9564675412566763</x:v>
      </x:c>
      <x:c r="K456" s="74" t="n">
        <x:v>0.8389987454211005</x:v>
      </x:c>
      <x:c r="L456" s="74" t="n">
        <x:v>0.8449504830027506</x:v>
      </x:c>
      <x:c r="M456" s="74" t="n">
        <x:v>0.9690319846759339</x:v>
      </x:c>
      <x:c r="N456" s="74" t="n">
        <x:v>1.0258667106411368</x:v>
      </x:c>
      <x:c r="O456" s="65" t="n">
        <x:v>512966.0749624552</x:v>
      </x:c>
      <x:c r="P456" s="65" t="n">
        <x:v>344335.2051592417</x:v>
      </x:c>
      <x:c r="Q456" s="65" t="n">
        <x:v>168630.86980321357</x:v>
      </x:c>
      <x:c r="R456" s="65" t="n">
        <x:v>108609.9603464092</x:v>
      </x:c>
      <x:c r="S456" s="65" t="n">
        <x:v>60020.90945680436</x:v>
      </x:c>
      <x:c r="T456" s="65" t="n">
        <x:v>167128.30935735043</x:v>
      </x:c>
      <x:c r="U456" s="43" t="n">
        <x:v>0.9970708385618423</x:v>
      </x:c>
      <x:c r="V456" s="43" t="n">
        <x:v>0.9981550907414696</x:v>
      </x:c>
      <x:c r="W456" s="43" t="n">
        <x:v>0.970708385618423</x:v>
      </x:c>
      <x:c r="X456" s="65" t="n">
        <x:v>16238840.322192578</x:v>
      </x:c>
      <x:c r="Y456" s="65" t="n">
        <x:v>31.65675297997265</x:v>
      </x:c>
      <x:c r="Z456" s="65" t="n">
        <x:v>1613402.7029463658</x:v>
      </x:c>
      <x:c r="AA456" s="65" t="n">
        <x:v>100906.49328813434</x:v>
      </x:c>
      <x:c r="AB456" s="65" t="n">
        <x:v>9735.773272743849</x:v>
      </x:c>
      <x:c r="AC456" s="65" t="n">
        <x:v>377.17253384476965</x:v>
      </x:c>
      <x:c r="AD456" s="65" t="n">
        <x:v>1502.560445863142</x:v>
      </x:c>
      <x:c r="AE456" s="65" t="n">
        <x:v>68621.71094484915</x:v>
      </x:c>
      <x:c r="AF456" s="65" t="n">
        <x:v>167128.3093573506</x:v>
      </x:c>
      <x:c r="AG456" s="65" t="n">
        <x:v>0</x:v>
      </x:c>
      <x:c r="AH456" s="34" t="n">
        <x:v>1</x:v>
      </x:c>
    </x:row>
    <x:row r="457" ht="15" hidden="0" customHeight="1">
      <x:c r="A457" s="36" t="n">
        <x:v>114</x:v>
      </x:c>
      <x:c r="B457" s="36" t="str">
        <x:v>M0</x:v>
      </x:c>
      <x:c r="C457" s="36" t="str">
        <x:v>slow</x:v>
      </x:c>
      <x:c r="D457" s="75" t="n">
        <x:v>0.9043588057948747</x:v>
      </x:c>
      <x:c r="E457" s="75" t="n">
        <x:v>0.00033469602901914364</x:v>
      </x:c>
      <x:c r="F457" s="75" t="n">
        <x:v>0.9736616260345066</x:v>
      </x:c>
      <x:c r="G457" s="75" t="n">
        <x:v>1.223521713080763</x:v>
      </x:c>
      <x:c r="H457" s="75" t="n">
        <x:v>0.9105220462423471</x:v>
      </x:c>
      <x:c r="I457" s="75" t="n">
        <x:v>0.8999519564591006</x:v>
      </x:c>
      <x:c r="J457" s="75" t="n">
        <x:v>0.8766839604096244</x:v>
      </x:c>
      <x:c r="K457" s="75" t="n">
        <x:v>0.7672399079972897</x:v>
      </x:c>
      <x:c r="L457" s="75" t="n">
        <x:v>0.9252895664420238</x:v>
      </x:c>
      <x:c r="M457" s="75" t="n">
        <x:v>1.0438406475598527</x:v>
      </x:c>
      <x:c r="N457" s="75" t="n">
        <x:v>0.8685823702558567</x:v>
      </x:c>
      <x:c r="O457" s="66" t="n">
        <x:v>435041.6226558633</x:v>
      </x:c>
      <x:c r="P457" s="66" t="n">
        <x:v>64168.923264588324</x:v>
      </x:c>
      <x:c r="Q457" s="66" t="n">
        <x:v>370872.69939127495</x:v>
      </x:c>
      <x:c r="R457" s="66" t="n">
        <x:v>81306.42736127792</x:v>
      </x:c>
      <x:c r="S457" s="66" t="n">
        <x:v>289566.2720299971</x:v>
      </x:c>
      <x:c r="T457" s="66" t="n">
        <x:v>236522.62121272492</x:v>
      </x:c>
      <x:c r="U457" s="45" t="n">
        <x:v>0.691178794896996</x:v>
      </x:c>
      <x:c r="V457" s="45" t="n">
        <x:v>0.6755896524447644</x:v>
      </x:c>
      <x:c r="W457" s="45" t="n">
        <x:v>0.07802000854426723</x:v>
      </x:c>
      <x:c r="X457" s="66" t="n">
        <x:v>44733541.660546474</x:v>
      </x:c>
      <x:c r="Y457" s="66" t="n">
        <x:v>102.82588913551528</x:v>
      </x:c>
      <x:c r="Z457" s="66" t="n">
        <x:v>2533605.711609345</x:v>
      </x:c>
      <x:c r="AA457" s="66" t="n">
        <x:v>239596.76821147162</x:v>
      </x:c>
      <x:c r="AB457" s="66" t="n">
        <x:v>18299.64466361432</x:v>
      </x:c>
      <x:c r="AC457" s="66" t="n">
        <x:v>0</x:v>
      </x:c>
      <x:c r="AD457" s="66" t="n">
        <x:v>2373.2682069822818</x:v>
      </x:c>
      <x:c r="AE457" s="66" t="n">
        <x:v>161477.10442261893</x:v>
      </x:c>
      <x:c r="AF457" s="66" t="n">
        <x:v>236522.6212127251</x:v>
      </x:c>
      <x:c r="AG457" s="66" t="n">
        <x:v>0</x:v>
      </x:c>
      <x:c r="AH457" s="36" t="n">
        <x:v>0</x:v>
      </x:c>
    </x:row>
    <x:row r="458" ht="15" hidden="0" customHeight="1">
      <x:c r="A458" s="34" t="n">
        <x:v>114</x:v>
      </x:c>
      <x:c r="B458" s="34" t="str">
        <x:v>B1</x:v>
      </x:c>
      <x:c r="C458" s="34" t="str">
        <x:v>slow</x:v>
      </x:c>
      <x:c r="D458" s="74" t="n">
        <x:v>0.9043588057948747</x:v>
      </x:c>
      <x:c r="E458" s="74" t="n">
        <x:v>0.00033469602901914364</x:v>
      </x:c>
      <x:c r="F458" s="74" t="n">
        <x:v>0.9736616260345066</x:v>
      </x:c>
      <x:c r="G458" s="74" t="n">
        <x:v>1.223521713080763</x:v>
      </x:c>
      <x:c r="H458" s="74" t="n">
        <x:v>0.9105220462423471</x:v>
      </x:c>
      <x:c r="I458" s="74" t="n">
        <x:v>0.8999519564591006</x:v>
      </x:c>
      <x:c r="J458" s="74" t="n">
        <x:v>0.8766839604096244</x:v>
      </x:c>
      <x:c r="K458" s="74" t="n">
        <x:v>0.7672399079972897</x:v>
      </x:c>
      <x:c r="L458" s="74" t="n">
        <x:v>0.9252895664420238</x:v>
      </x:c>
      <x:c r="M458" s="74" t="n">
        <x:v>1.0438406475598527</x:v>
      </x:c>
      <x:c r="N458" s="74" t="n">
        <x:v>0.8685823702558567</x:v>
      </x:c>
      <x:c r="O458" s="65" t="n">
        <x:v>435041.6226558633</x:v>
      </x:c>
      <x:c r="P458" s="65" t="n">
        <x:v>217061.75056746305</x:v>
      </x:c>
      <x:c r="Q458" s="65" t="n">
        <x:v>217979.87208840024</x:v>
      </x:c>
      <x:c r="R458" s="65" t="n">
        <x:v>81306.42736127792</x:v>
      </x:c>
      <x:c r="S458" s="65" t="n">
        <x:v>136673.44472712232</x:v>
      </x:c>
      <x:c r="T458" s="65" t="n">
        <x:v>127306.11923235217</x:v>
      </x:c>
      <x:c r="U458" s="43" t="n">
        <x:v>0.7915745341733085</x:v>
      </x:c>
      <x:c r="V458" s="43" t="n">
        <x:v>0.7825533980206452</x:v>
      </x:c>
      <x:c r="W458" s="43" t="n">
        <x:v>0.2707979029934948</x:v>
      </x:c>
      <x:c r="X458" s="65" t="n">
        <x:v>28073509.49061087</x:v>
      </x:c>
      <x:c r="Y458" s="65" t="n">
        <x:v>64.53062886081186</x:v>
      </x:c>
      <x:c r="Z458" s="65" t="n">
        <x:v>864059.1744071413</x:v>
      </x:c>
      <x:c r="AA458" s="65" t="n">
        <x:v>137034.52906000864</x:v>
      </x:c>
      <x:c r="AB458" s="65" t="n">
        <x:v>2254.398268066665</x:v>
      </x:c>
      <x:c r="AC458" s="65" t="n">
        <x:v>651.1271642226112</x:v>
      </x:c>
      <x:c r="AD458" s="65" t="n">
        <x:v>1862.6946661911525</x:v>
      </x:c>
      <x:c r="AE458" s="65" t="n">
        <x:v>33499.22324471954</x:v>
      </x:c>
      <x:c r="AF458" s="65" t="n">
        <x:v>127306.11923235227</x:v>
      </x:c>
      <x:c r="AG458" s="65" t="n">
        <x:v>0</x:v>
      </x:c>
      <x:c r="AH458" s="34" t="n">
        <x:v>0</x:v>
      </x:c>
    </x:row>
    <x:row r="459" ht="15" hidden="0" customHeight="1">
      <x:c r="A459" s="36" t="n">
        <x:v>114</x:v>
      </x:c>
      <x:c r="B459" s="36" t="str">
        <x:v>P2</x:v>
      </x:c>
      <x:c r="C459" s="36" t="str">
        <x:v>slow</x:v>
      </x:c>
      <x:c r="D459" s="75" t="n">
        <x:v>0.9043588057948747</x:v>
      </x:c>
      <x:c r="E459" s="75" t="n">
        <x:v>0.00033469602901914364</x:v>
      </x:c>
      <x:c r="F459" s="75" t="n">
        <x:v>0.9736616260345066</x:v>
      </x:c>
      <x:c r="G459" s="75" t="n">
        <x:v>1.223521713080763</x:v>
      </x:c>
      <x:c r="H459" s="75" t="n">
        <x:v>0.9105220462423471</x:v>
      </x:c>
      <x:c r="I459" s="75" t="n">
        <x:v>0.8999519564591006</x:v>
      </x:c>
      <x:c r="J459" s="75" t="n">
        <x:v>0.8766839604096244</x:v>
      </x:c>
      <x:c r="K459" s="75" t="n">
        <x:v>0.7672399079972897</x:v>
      </x:c>
      <x:c r="L459" s="75" t="n">
        <x:v>0.9252895664420238</x:v>
      </x:c>
      <x:c r="M459" s="75" t="n">
        <x:v>1.0438406475598527</x:v>
      </x:c>
      <x:c r="N459" s="75" t="n">
        <x:v>0.8685823702558567</x:v>
      </x:c>
      <x:c r="O459" s="66" t="n">
        <x:v>435041.6226558633</x:v>
      </x:c>
      <x:c r="P459" s="66" t="n">
        <x:v>314455.15153636027</x:v>
      </x:c>
      <x:c r="Q459" s="66" t="n">
        <x:v>120586.47111950305</x:v>
      </x:c>
      <x:c r="R459" s="66" t="n">
        <x:v>81306.42736127792</x:v>
      </x:c>
      <x:c r="S459" s="66" t="n">
        <x:v>39280.04375822515</x:v>
      </x:c>
      <x:c r="T459" s="66" t="n">
        <x:v>58650.62215032199</x:v>
      </x:c>
      <x:c r="U459" s="45" t="n">
        <x:v>0.8576323603450353</x:v>
      </x:c>
      <x:c r="V459" s="45" t="n">
        <x:v>0.8530199746788251</x:v>
      </x:c>
      <x:c r="W459" s="45" t="n">
        <x:v>0.39791787365847525</x:v>
      </x:c>
      <x:c r="X459" s="66" t="n">
        <x:v>16353139.438718822</x:v>
      </x:c>
      <x:c r="Y459" s="66" t="n">
        <x:v>37.589827242012795</x:v>
      </x:c>
      <x:c r="Z459" s="66" t="n">
        <x:v>384861.8824881886</x:v>
      </x:c>
      <x:c r="AA459" s="66" t="n">
        <x:v>84815.20998018674</x:v>
      </x:c>
      <x:c r="AB459" s="66" t="n">
        <x:v>0</x:v>
      </x:c>
      <x:c r="AC459" s="66" t="n">
        <x:v>0</x:v>
      </x:c>
      <x:c r="AD459" s="66" t="n">
        <x:v>1552.9342118296136</x:v>
      </x:c>
      <x:c r="AE459" s="66" t="n">
        <x:v>11185.46690042819</x:v>
      </x:c>
      <x:c r="AF459" s="66" t="n">
        <x:v>58650.622150321986</x:v>
      </x:c>
      <x:c r="AG459" s="66" t="n">
        <x:v>7.275957614183426e-12</x:v>
      </x:c>
      <x:c r="AH459" s="36" t="n">
        <x:v>0</x:v>
      </x:c>
    </x:row>
    <x:row r="460" ht="15" hidden="0" customHeight="1">
      <x:c r="A460" s="34" t="n">
        <x:v>114</x:v>
      </x:c>
      <x:c r="B460" s="34" t="str">
        <x:v>H3</x:v>
      </x:c>
      <x:c r="C460" s="34" t="str">
        <x:v>slow</x:v>
      </x:c>
      <x:c r="D460" s="74" t="n">
        <x:v>0.9043588057948747</x:v>
      </x:c>
      <x:c r="E460" s="74" t="n">
        <x:v>0.00033469602901914364</x:v>
      </x:c>
      <x:c r="F460" s="74" t="n">
        <x:v>0.9736616260345066</x:v>
      </x:c>
      <x:c r="G460" s="74" t="n">
        <x:v>1.223521713080763</x:v>
      </x:c>
      <x:c r="H460" s="74" t="n">
        <x:v>0.9105220462423471</x:v>
      </x:c>
      <x:c r="I460" s="74" t="n">
        <x:v>0.8999519564591006</x:v>
      </x:c>
      <x:c r="J460" s="74" t="n">
        <x:v>0.8766839604096244</x:v>
      </x:c>
      <x:c r="K460" s="74" t="n">
        <x:v>0.7672399079972897</x:v>
      </x:c>
      <x:c r="L460" s="74" t="n">
        <x:v>0.9252895664420238</x:v>
      </x:c>
      <x:c r="M460" s="74" t="n">
        <x:v>1.0438406475598527</x:v>
      </x:c>
      <x:c r="N460" s="74" t="n">
        <x:v>0.8685823702558567</x:v>
      </x:c>
      <x:c r="O460" s="65" t="n">
        <x:v>435041.6226558633</x:v>
      </x:c>
      <x:c r="P460" s="65" t="n">
        <x:v>326202.1292462381</x:v>
      </x:c>
      <x:c r="Q460" s="65" t="n">
        <x:v>108839.49340962523</x:v>
      </x:c>
      <x:c r="R460" s="65" t="n">
        <x:v>81306.42736127792</x:v>
      </x:c>
      <x:c r="S460" s="65" t="n">
        <x:v>27533.066048347315</x:v>
      </x:c>
      <x:c r="T460" s="65" t="n">
        <x:v>50374.453222522876</x:v>
      </x:c>
      <x:c r="U460" s="43" t="n">
        <x:v>0.8656104677290829</x:v>
      </x:c>
      <x:c r="V460" s="43" t="n">
        <x:v>0.8616917908604662</x:v>
      </x:c>
      <x:c r="W460" s="43" t="n">
        <x:v>0.41391583768840684</x:v>
      </x:c>
      <x:c r="X460" s="65" t="n">
        <x:v>14227171.1460619</x:v>
      </x:c>
      <x:c r="Y460" s="65" t="n">
        <x:v>32.70301140200603</x:v>
      </x:c>
      <x:c r="Z460" s="65" t="n">
        <x:v>364382.10169082304</x:v>
      </x:c>
      <x:c r="AA460" s="65" t="n">
        <x:v>79300.68915644778</x:v>
      </x:c>
      <x:c r="AB460" s="65" t="n">
        <x:v>1527.7018613596754</x:v>
      </x:c>
      <x:c r="AC460" s="65" t="n">
        <x:v>0</x:v>
      </x:c>
      <x:c r="AD460" s="65" t="n">
        <x:v>1517.9575394807896</x:v>
      </x:c>
      <x:c r="AE460" s="65" t="n">
        <x:v>2.9103830456733704e-11</x:v>
      </x:c>
      <x:c r="AF460" s="65" t="n">
        <x:v>50374.45322252285</x:v>
      </x:c>
      <x:c r="AG460" s="65" t="n">
        <x:v>2.9103830456733704e-11</x:v>
      </x:c>
      <x:c r="AH460" s="34" t="n">
        <x:v>0</x:v>
      </x:c>
    </x:row>
    <x:row r="461" ht="21.600000381469727" hidden="0" customHeight="1">
      <x:c r="A461" s="36" t="n">
        <x:v>115</x:v>
      </x:c>
      <x:c r="B461" s="36" t="str">
        <x:v>M0</x:v>
      </x:c>
      <x:c r="C461" s="36" t="str">
        <x:v>reference</x:v>
      </x:c>
      <x:c r="D461" s="75" t="n">
        <x:v>1.0742987094274983</x:v>
      </x:c>
      <x:c r="E461" s="75" t="n">
        <x:v>-0.036753061137044914</x:v>
      </x:c>
      <x:c r="F461" s="75" t="n">
        <x:v>0.9963201604712871</x:v>
      </x:c>
      <x:c r="G461" s="75" t="n">
        <x:v>1.3146114785746186</x:v>
      </x:c>
      <x:c r="H461" s="75" t="n">
        <x:v>1.0437194901431268</x:v>
      </x:c>
      <x:c r="I461" s="75" t="n">
        <x:v>0.948383881842551</x:v>
      </x:c>
      <x:c r="J461" s="75" t="n">
        <x:v>1.060728151369657</x:v>
      </x:c>
      <x:c r="K461" s="75" t="n">
        <x:v>0.9139362755864957</x:v>
      </x:c>
      <x:c r="L461" s="75" t="n">
        <x:v>0.9393273644892094</x:v>
      </x:c>
      <x:c r="M461" s="75" t="n">
        <x:v>0.8845099309580579</x:v>
      </x:c>
      <x:c r="N461" s="75" t="n">
        <x:v>0.8741617275599518</x:v>
      </x:c>
      <x:c r="O461" s="66" t="n">
        <x:v>516791.17931035615</x:v>
      </x:c>
      <x:c r="P461" s="66" t="n">
        <x:v>81559.42548809972</x:v>
      </x:c>
      <x:c r="Q461" s="66" t="n">
        <x:v>435231.75382225646</x:v>
      </x:c>
      <x:c r="R461" s="66" t="n">
        <x:v>77418.25782738125</x:v>
      </x:c>
      <x:c r="S461" s="66" t="n">
        <x:v>357813.4959948752</x:v>
      </x:c>
      <x:c r="T461" s="66" t="n">
        <x:v>297335.6059973466</x:v>
      </x:c>
      <x:c r="U461" s="45" t="n">
        <x:v>0.7331685343218733</x:v>
      </x:c>
      <x:c r="V461" s="45" t="n">
        <x:v>0.7424975366693095</x:v>
      </x:c>
      <x:c r="W461" s="45" t="n">
        <x:v>0.1644111827942224</x:v>
      </x:c>
      <x:c r="X461" s="66" t="n">
        <x:v>55686499.267574795</x:v>
      </x:c>
      <x:c r="Y461" s="66" t="n">
        <x:v>107.75435320294538</x:v>
      </x:c>
      <x:c r="Z461" s="66" t="n">
        <x:v>5732748.655867175</x:v>
      </x:c>
      <x:c r="AA461" s="66" t="n">
        <x:v>298029.85964628414</x:v>
      </x:c>
      <x:c r="AB461" s="66" t="n">
        <x:v>46407.79231669218</x:v>
      </x:c>
      <x:c r="AC461" s="66" t="n">
        <x:v>0</x:v>
      </x:c>
      <x:c r="AD461" s="66" t="n">
        <x:v>2146.8733479176108</x:v>
      </x:c>
      <x:c r="AE461" s="66" t="n">
        <x:v>246983.89048989333</x:v>
      </x:c>
      <x:c r="AF461" s="66" t="n">
        <x:v>297335.6059973468</x:v>
      </x:c>
      <x:c r="AG461" s="66" t="n">
        <x:v>0</x:v>
      </x:c>
      <x:c r="AH461" s="36" t="n">
        <x:v>0</x:v>
      </x:c>
    </x:row>
    <x:row r="462" ht="21.600000381469727" hidden="0" customHeight="1">
      <x:c r="A462" s="34" t="n">
        <x:v>115</x:v>
      </x:c>
      <x:c r="B462" s="34" t="str">
        <x:v>B1</x:v>
      </x:c>
      <x:c r="C462" s="34" t="str">
        <x:v>reference</x:v>
      </x:c>
      <x:c r="D462" s="74" t="n">
        <x:v>1.0742987094274983</x:v>
      </x:c>
      <x:c r="E462" s="74" t="n">
        <x:v>-0.036753061137044914</x:v>
      </x:c>
      <x:c r="F462" s="74" t="n">
        <x:v>0.9963201604712871</x:v>
      </x:c>
      <x:c r="G462" s="74" t="n">
        <x:v>1.3146114785746186</x:v>
      </x:c>
      <x:c r="H462" s="74" t="n">
        <x:v>1.0437194901431268</x:v>
      </x:c>
      <x:c r="I462" s="74" t="n">
        <x:v>0.948383881842551</x:v>
      </x:c>
      <x:c r="J462" s="74" t="n">
        <x:v>1.060728151369657</x:v>
      </x:c>
      <x:c r="K462" s="74" t="n">
        <x:v>0.9139362755864957</x:v>
      </x:c>
      <x:c r="L462" s="74" t="n">
        <x:v>0.9393273644892094</x:v>
      </x:c>
      <x:c r="M462" s="74" t="n">
        <x:v>0.8845099309580579</x:v>
      </x:c>
      <x:c r="N462" s="74" t="n">
        <x:v>0.8741617275599518</x:v>
      </x:c>
      <x:c r="O462" s="65" t="n">
        <x:v>516791.17931035615</x:v>
      </x:c>
      <x:c r="P462" s="65" t="n">
        <x:v>275886.65057454753</x:v>
      </x:c>
      <x:c r="Q462" s="65" t="n">
        <x:v>240904.52873580862</x:v>
      </x:c>
      <x:c r="R462" s="65" t="n">
        <x:v>77418.25782738125</x:v>
      </x:c>
      <x:c r="S462" s="65" t="n">
        <x:v>163486.27090842737</x:v>
      </x:c>
      <x:c r="T462" s="65" t="n">
        <x:v>227642.15348357928</x:v>
      </x:c>
      <x:c r="U462" s="43" t="n">
        <x:v>0.9743370711746132</x:v>
      </x:c>
      <x:c r="V462" s="43" t="n">
        <x:v>0.9782114766015632</x:v>
      </x:c>
      <x:c r="W462" s="43" t="n">
        <x:v>0.7824429597108118</x:v>
      </x:c>
      <x:c r="X462" s="65" t="n">
        <x:v>29059767.562328015</x:v>
      </x:c>
      <x:c r="Y462" s="65" t="n">
        <x:v>56.23116013920262</x:v>
      </x:c>
      <x:c r="Z462" s="65" t="n">
        <x:v>1904420.7472460673</x:v>
      </x:c>
      <x:c r="AA462" s="65" t="n">
        <x:v>152820.75908940862</x:v>
      </x:c>
      <x:c r="AB462" s="65" t="n">
        <x:v>7214.0903893821815</x:v>
      </x:c>
      <x:c r="AC462" s="65" t="n">
        <x:v>8404.526638771615</x:v>
      </x:c>
      <x:c r="AD462" s="65" t="n">
        <x:v>1629.2835515179859</x:v>
      </x:c>
      <x:c r="AE462" s="65" t="n">
        <x:v>152114.5802223995</x:v>
      </x:c>
      <x:c r="AF462" s="65" t="n">
        <x:v>227642.15348357943</x:v>
      </x:c>
      <x:c r="AG462" s="65" t="n">
        <x:v>0</x:v>
      </x:c>
      <x:c r="AH462" s="34" t="n">
        <x:v>0</x:v>
      </x:c>
    </x:row>
    <x:row r="463" ht="21.600000381469727" hidden="0" customHeight="1">
      <x:c r="A463" s="36" t="n">
        <x:v>115</x:v>
      </x:c>
      <x:c r="B463" s="36" t="str">
        <x:v>P2</x:v>
      </x:c>
      <x:c r="C463" s="36" t="str">
        <x:v>reference</x:v>
      </x:c>
      <x:c r="D463" s="75" t="n">
        <x:v>1.0742987094274983</x:v>
      </x:c>
      <x:c r="E463" s="75" t="n">
        <x:v>-0.036753061137044914</x:v>
      </x:c>
      <x:c r="F463" s="75" t="n">
        <x:v>0.9963201604712871</x:v>
      </x:c>
      <x:c r="G463" s="75" t="n">
        <x:v>1.3146114785746186</x:v>
      </x:c>
      <x:c r="H463" s="75" t="n">
        <x:v>1.0437194901431268</x:v>
      </x:c>
      <x:c r="I463" s="75" t="n">
        <x:v>0.948383881842551</x:v>
      </x:c>
      <x:c r="J463" s="75" t="n">
        <x:v>1.060728151369657</x:v>
      </x:c>
      <x:c r="K463" s="75" t="n">
        <x:v>0.9139362755864957</x:v>
      </x:c>
      <x:c r="L463" s="75" t="n">
        <x:v>0.9393273644892094</x:v>
      </x:c>
      <x:c r="M463" s="75" t="n">
        <x:v>0.8845099309580579</x:v>
      </x:c>
      <x:c r="N463" s="75" t="n">
        <x:v>0.8741617275599518</x:v>
      </x:c>
      <x:c r="O463" s="66" t="n">
        <x:v>516791.17931035615</x:v>
      </x:c>
      <x:c r="P463" s="66" t="n">
        <x:v>399673.13895397395</x:v>
      </x:c>
      <x:c r="Q463" s="66" t="n">
        <x:v>117118.0403563822</x:v>
      </x:c>
      <x:c r="R463" s="66" t="n">
        <x:v>77418.25782738125</x:v>
      </x:c>
      <x:c r="S463" s="66" t="n">
        <x:v>39699.78252900095</x:v>
      </x:c>
      <x:c r="T463" s="66" t="n">
        <x:v>115801.50076508752</x:v>
      </x:c>
      <x:c r="U463" s="45" t="n">
        <x:v>0.9974524727897802</x:v>
      </x:c>
      <x:c r="V463" s="45" t="n">
        <x:v>0.9983952827103472</x:v>
      </x:c>
      <x:c r="W463" s="45" t="n">
        <x:v>0.9745247278978024</x:v>
      </x:c>
      <x:c r="X463" s="66" t="n">
        <x:v>13995202.59105124</x:v>
      </x:c>
      <x:c r="Y463" s="66" t="n">
        <x:v>27.0809625847861</x:v>
      </x:c>
      <x:c r="Z463" s="66" t="n">
        <x:v>694809.004590525</x:v>
      </x:c>
      <x:c r="AA463" s="66" t="n">
        <x:v>77502.73455039068</x:v>
      </x:c>
      <x:c r="AB463" s="66" t="n">
        <x:v>0</x:v>
      </x:c>
      <x:c r="AC463" s="66" t="n">
        <x:v>0</x:v>
      </x:c>
      <x:c r="AD463" s="66" t="n">
        <x:v>1316.5395912946942</x:v>
      </x:c>
      <x:c r="AE463" s="66" t="n">
        <x:v>60356.324725133585</x:v>
      </x:c>
      <x:c r="AF463" s="66" t="n">
        <x:v>115801.50076508746</x:v>
      </x:c>
      <x:c r="AG463" s="66" t="n">
        <x:v>5.820766091346741e-11</x:v>
      </x:c>
      <x:c r="AH463" s="36" t="n">
        <x:v>1</x:v>
      </x:c>
    </x:row>
    <x:row r="464" ht="21.600000381469727" hidden="0" customHeight="1">
      <x:c r="A464" s="34" t="n">
        <x:v>115</x:v>
      </x:c>
      <x:c r="B464" s="34" t="str">
        <x:v>H3</x:v>
      </x:c>
      <x:c r="C464" s="34" t="str">
        <x:v>reference</x:v>
      </x:c>
      <x:c r="D464" s="74" t="n">
        <x:v>1.0742987094274983</x:v>
      </x:c>
      <x:c r="E464" s="74" t="n">
        <x:v>-0.036753061137044914</x:v>
      </x:c>
      <x:c r="F464" s="74" t="n">
        <x:v>0.9963201604712871</x:v>
      </x:c>
      <x:c r="G464" s="74" t="n">
        <x:v>1.3146114785746186</x:v>
      </x:c>
      <x:c r="H464" s="74" t="n">
        <x:v>1.0437194901431268</x:v>
      </x:c>
      <x:c r="I464" s="74" t="n">
        <x:v>0.948383881842551</x:v>
      </x:c>
      <x:c r="J464" s="74" t="n">
        <x:v>1.060728151369657</x:v>
      </x:c>
      <x:c r="K464" s="74" t="n">
        <x:v>0.9139362755864957</x:v>
      </x:c>
      <x:c r="L464" s="74" t="n">
        <x:v>0.9393273644892094</x:v>
      </x:c>
      <x:c r="M464" s="74" t="n">
        <x:v>0.8845099309580579</x:v>
      </x:c>
      <x:c r="N464" s="74" t="n">
        <x:v>0.8741617275599518</x:v>
      </x:c>
      <x:c r="O464" s="65" t="n">
        <x:v>516791.17931035615</x:v>
      </x:c>
      <x:c r="P464" s="65" t="n">
        <x:v>414603.360275023</x:v>
      </x:c>
      <x:c r="Q464" s="65" t="n">
        <x:v>102187.81903533316</x:v>
      </x:c>
      <x:c r="R464" s="65" t="n">
        <x:v>77418.25782738125</x:v>
      </x:c>
      <x:c r="S464" s="65" t="n">
        <x:v>24769.561207951898</x:v>
      </x:c>
      <x:c r="T464" s="65" t="n">
        <x:v>100906.38702716921</x:v>
      </x:c>
      <x:c r="U464" s="43" t="n">
        <x:v>0.9975204065791643</x:v>
      </x:c>
      <x:c r="V464" s="43" t="n">
        <x:v>0.9984382135727534</x:v>
      </x:c>
      <x:c r="W464" s="43" t="n">
        <x:v>0.9752040657916418</x:v>
      </x:c>
      <x:c r="X464" s="65" t="n">
        <x:v>11165457.834754499</x:v>
      </x:c>
      <x:c r="Y464" s="65" t="n">
        <x:v>21.605356828370212</x:v>
      </x:c>
      <x:c r="Z464" s="65" t="n">
        <x:v>704418.4395065241</x:v>
      </x:c>
      <x:c r="AA464" s="65" t="n">
        <x:v>72080.692232258</x:v>
      </x:c>
      <x:c r="AB464" s="65" t="n">
        <x:v>4167.385494505105</x:v>
      </x:c>
      <x:c r="AC464" s="65" t="n">
        <x:v>0</x:v>
      </x:c>
      <x:c r="AD464" s="65" t="n">
        <x:v>1281.4320081639387</x:v>
      </x:c>
      <x:c r="AE464" s="65" t="n">
        <x:v>58566.98983699092</x:v>
      </x:c>
      <x:c r="AF464" s="65" t="n">
        <x:v>100906.38702716924</x:v>
      </x:c>
      <x:c r="AG464" s="65" t="n">
        <x:v>0</x:v>
      </x:c>
      <x:c r="AH464" s="34" t="n">
        <x:v>1</x:v>
      </x:c>
    </x:row>
    <x:row r="465" ht="15" hidden="0" customHeight="1">
      <x:c r="A465" s="36" t="n">
        <x:v>116</x:v>
      </x:c>
      <x:c r="B465" s="36" t="str">
        <x:v>M0</x:v>
      </x:c>
      <x:c r="C465" s="36" t="str">
        <x:v>reference</x:v>
      </x:c>
      <x:c r="D465" s="75" t="n">
        <x:v>0.9067097726362396</x:v>
      </x:c>
      <x:c r="E465" s="75" t="n">
        <x:v>0.07787225928351293</x:v>
      </x:c>
      <x:c r="F465" s="75" t="n">
        <x:v>0.8527727663426197</x:v>
      </x:c>
      <x:c r="G465" s="75" t="n">
        <x:v>1.0788768757260359</x:v>
      </x:c>
      <x:c r="H465" s="75" t="n">
        <x:v>0.8476683485002015</x:v>
      </x:c>
      <x:c r="I465" s="75" t="n">
        <x:v>0.928360337627842</x:v>
      </x:c>
      <x:c r="J465" s="75" t="n">
        <x:v>1.0374998227301009</x:v>
      </x:c>
      <x:c r="K465" s="75" t="n">
        <x:v>0.9020905287833063</x:v>
      </x:c>
      <x:c r="L465" s="75" t="n">
        <x:v>0.9676383359360587</x:v>
      </x:c>
      <x:c r="M465" s="75" t="n">
        <x:v>0.813798695393444</x:v>
      </x:c>
      <x:c r="N465" s="75" t="n">
        <x:v>0.870987050910489</x:v>
      </x:c>
      <x:c r="O465" s="66" t="n">
        <x:v>436172.55478470854</x:v>
      </x:c>
      <x:c r="P465" s="66" t="n">
        <x:v>50973.56112900118</x:v>
      </x:c>
      <x:c r="Q465" s="66" t="n">
        <x:v>385198.99365570734</x:v>
      </x:c>
      <x:c r="R465" s="66" t="n">
        <x:v>115337.54821883288</x:v>
      </x:c>
      <x:c r="S465" s="66" t="n">
        <x:v>269861.4454368745</x:v>
      </x:c>
      <x:c r="T465" s="66" t="n">
        <x:v>277094.5213349393</x:v>
      </x:c>
      <x:c r="U465" s="45" t="n">
        <x:v>0.7521520528174276</x:v>
      </x:c>
      <x:c r="V465" s="45" t="n">
        <x:v>0.762332813877337</x:v>
      </x:c>
      <x:c r="W465" s="45" t="n">
        <x:v>0.13642613497024714</x:v>
      </x:c>
      <x:c r="X465" s="66" t="n">
        <x:v>47387261.56105387</x:v>
      </x:c>
      <x:c r="Y465" s="66" t="n">
        <x:v>108.64338216888466</x:v>
      </x:c>
      <x:c r="Z465" s="66" t="n">
        <x:v>4552124.86223168</x:v>
      </x:c>
      <x:c r="AA465" s="66" t="n">
        <x:v>260486.37113803878</x:v>
      </x:c>
      <x:c r="AB465" s="66" t="n">
        <x:v>33877.62251612053</x:v>
      </x:c>
      <x:c r="AC465" s="66" t="n">
        <x:v>0</x:v>
      </x:c>
      <x:c r="AD465" s="66" t="n">
        <x:v>1878.6442909991051</x:v>
      </x:c>
      <x:c r="AE465" s="66" t="n">
        <x:v>252010.09426871722</x:v>
      </x:c>
      <x:c r="AF465" s="66" t="n">
        <x:v>277094.52133493935</x:v>
      </x:c>
      <x:c r="AG465" s="66" t="n">
        <x:v>0</x:v>
      </x:c>
      <x:c r="AH465" s="36" t="n">
        <x:v>0</x:v>
      </x:c>
    </x:row>
    <x:row r="466" ht="15" hidden="0" customHeight="1">
      <x:c r="A466" s="34" t="n">
        <x:v>116</x:v>
      </x:c>
      <x:c r="B466" s="34" t="str">
        <x:v>B1</x:v>
      </x:c>
      <x:c r="C466" s="34" t="str">
        <x:v>reference</x:v>
      </x:c>
      <x:c r="D466" s="74" t="n">
        <x:v>0.9067097726362396</x:v>
      </x:c>
      <x:c r="E466" s="74" t="n">
        <x:v>0.07787225928351293</x:v>
      </x:c>
      <x:c r="F466" s="74" t="n">
        <x:v>0.8527727663426197</x:v>
      </x:c>
      <x:c r="G466" s="74" t="n">
        <x:v>1.0788768757260359</x:v>
      </x:c>
      <x:c r="H466" s="74" t="n">
        <x:v>0.8476683485002015</x:v>
      </x:c>
      <x:c r="I466" s="74" t="n">
        <x:v>0.928360337627842</x:v>
      </x:c>
      <x:c r="J466" s="74" t="n">
        <x:v>1.0374998227301009</x:v>
      </x:c>
      <x:c r="K466" s="74" t="n">
        <x:v>0.9020905287833063</x:v>
      </x:c>
      <x:c r="L466" s="74" t="n">
        <x:v>0.9676383359360587</x:v>
      </x:c>
      <x:c r="M466" s="74" t="n">
        <x:v>0.813798695393444</x:v>
      </x:c>
      <x:c r="N466" s="74" t="n">
        <x:v>0.870987050910489</x:v>
      </x:c>
      <x:c r="O466" s="65" t="n">
        <x:v>436172.55478470854</x:v>
      </x:c>
      <x:c r="P466" s="65" t="n">
        <x:v>172428.24466282246</x:v>
      </x:c>
      <x:c r="Q466" s="65" t="n">
        <x:v>263744.3101218861</x:v>
      </x:c>
      <x:c r="R466" s="65" t="n">
        <x:v>115337.54821883288</x:v>
      </x:c>
      <x:c r="S466" s="65" t="n">
        <x:v>148406.7619030532</x:v>
      </x:c>
      <x:c r="T466" s="65" t="n">
        <x:v>200463.21270434244</x:v>
      </x:c>
      <x:c r="U466" s="43" t="n">
        <x:v>0.8549172873823326</x:v>
      </x:c>
      <x:c r="V466" s="43" t="n">
        <x:v>0.8843260195860136</x:v>
      </x:c>
      <x:c r="W466" s="43" t="n">
        <x:v>0.4711173175987207</x:v>
      </x:c>
      <x:c r="X466" s="65" t="n">
        <x:v>32873977.524013788</x:v>
      </x:c>
      <x:c r="Y466" s="65" t="n">
        <x:v>75.36920231086097</x:v>
      </x:c>
      <x:c r="Z466" s="65" t="n">
        <x:v>1437411.054816499</x:v>
      </x:c>
      <x:c r="AA466" s="65" t="n">
        <x:v>182853.895401583</x:v>
      </x:c>
      <x:c r="AB466" s="65" t="n">
        <x:v>3414.2423145571574</x:v>
      </x:c>
      <x:c r="AC466" s="65" t="n">
        <x:v>0</x:v>
      </x:c>
      <x:c r="AD466" s="65" t="n">
        <x:v>1592.7886888634507</x:v>
      </x:c>
      <x:c r="AE466" s="65" t="n">
        <x:v>125209.9315056762</x:v>
      </x:c>
      <x:c r="AF466" s="65" t="n">
        <x:v>200463.2127043424</x:v>
      </x:c>
      <x:c r="AG466" s="65" t="n">
        <x:v>2.9103830456733704e-11</x:v>
      </x:c>
      <x:c r="AH466" s="34" t="n">
        <x:v>0</x:v>
      </x:c>
    </x:row>
    <x:row r="467" ht="15" hidden="0" customHeight="1">
      <x:c r="A467" s="36" t="n">
        <x:v>116</x:v>
      </x:c>
      <x:c r="B467" s="36" t="str">
        <x:v>P2</x:v>
      </x:c>
      <x:c r="C467" s="36" t="str">
        <x:v>reference</x:v>
      </x:c>
      <x:c r="D467" s="75" t="n">
        <x:v>0.9067097726362396</x:v>
      </x:c>
      <x:c r="E467" s="75" t="n">
        <x:v>0.07787225928351293</x:v>
      </x:c>
      <x:c r="F467" s="75" t="n">
        <x:v>0.8527727663426197</x:v>
      </x:c>
      <x:c r="G467" s="75" t="n">
        <x:v>1.0788768757260359</x:v>
      </x:c>
      <x:c r="H467" s="75" t="n">
        <x:v>0.8476683485002015</x:v>
      </x:c>
      <x:c r="I467" s="75" t="n">
        <x:v>0.928360337627842</x:v>
      </x:c>
      <x:c r="J467" s="75" t="n">
        <x:v>1.0374998227301009</x:v>
      </x:c>
      <x:c r="K467" s="75" t="n">
        <x:v>0.9020905287833063</x:v>
      </x:c>
      <x:c r="L467" s="75" t="n">
        <x:v>0.9676383359360587</x:v>
      </x:c>
      <x:c r="M467" s="75" t="n">
        <x:v>0.813798695393444</x:v>
      </x:c>
      <x:c r="N467" s="75" t="n">
        <x:v>0.870987050910489</x:v>
      </x:c>
      <x:c r="O467" s="66" t="n">
        <x:v>436172.55478470854</x:v>
      </x:c>
      <x:c r="P467" s="66" t="n">
        <x:v>249796.62688961002</x:v>
      </x:c>
      <x:c r="Q467" s="66" t="n">
        <x:v>186375.92789509852</x:v>
      </x:c>
      <x:c r="R467" s="66" t="n">
        <x:v>115337.54821883288</x:v>
      </x:c>
      <x:c r="S467" s="66" t="n">
        <x:v>71038.37967626563</x:v>
      </x:c>
      <x:c r="T467" s="66" t="n">
        <x:v>130240.68676725336</x:v>
      </x:c>
      <x:c r="U467" s="45" t="n">
        <x:v>0.8713003821261678</x:v>
      </x:c>
      <x:c r="V467" s="45" t="n">
        <x:v>0.8908858352340622</x:v>
      </x:c>
      <x:c r="W467" s="45" t="n">
        <x:v>0.6053121850762058</x:v>
      </x:c>
      <x:c r="X467" s="66" t="n">
        <x:v>23088122.640473522</x:v>
      </x:c>
      <x:c r="Y467" s="66" t="n">
        <x:v>52.93346036379947</x:v>
      </x:c>
      <x:c r="Z467" s="66" t="n">
        <x:v>814246.9835110636</x:v>
      </x:c>
      <x:c r="AA467" s="66" t="n">
        <x:v>134472.9275382326</x:v>
      </x:c>
      <x:c r="AB467" s="66" t="n">
        <x:v>0</x:v>
      </x:c>
      <x:c r="AC467" s="66" t="n">
        <x:v>741.9952589414299</x:v>
      </x:c>
      <x:c r="AD467" s="66" t="n">
        <x:v>1420.0657841891598</x:v>
      </x:c>
      <x:c r="AE467" s="66" t="n">
        <x:v>75176.49736489968</x:v>
      </x:c>
      <x:c r="AF467" s="66" t="n">
        <x:v>130240.68676725331</x:v>
      </x:c>
      <x:c r="AG467" s="66" t="n">
        <x:v>4.3655745685100555e-11</x:v>
      </x:c>
      <x:c r="AH467" s="36" t="n">
        <x:v>0</x:v>
      </x:c>
    </x:row>
    <x:row r="468" ht="15" hidden="0" customHeight="1">
      <x:c r="A468" s="34" t="n">
        <x:v>116</x:v>
      </x:c>
      <x:c r="B468" s="34" t="str">
        <x:v>H3</x:v>
      </x:c>
      <x:c r="C468" s="34" t="str">
        <x:v>reference</x:v>
      </x:c>
      <x:c r="D468" s="74" t="n">
        <x:v>0.9067097726362396</x:v>
      </x:c>
      <x:c r="E468" s="74" t="n">
        <x:v>0.07787225928351293</x:v>
      </x:c>
      <x:c r="F468" s="74" t="n">
        <x:v>0.8527727663426197</x:v>
      </x:c>
      <x:c r="G468" s="74" t="n">
        <x:v>1.0788768757260359</x:v>
      </x:c>
      <x:c r="H468" s="74" t="n">
        <x:v>0.8476683485002015</x:v>
      </x:c>
      <x:c r="I468" s="74" t="n">
        <x:v>0.928360337627842</x:v>
      </x:c>
      <x:c r="J468" s="74" t="n">
        <x:v>1.0374998227301009</x:v>
      </x:c>
      <x:c r="K468" s="74" t="n">
        <x:v>0.9020905287833063</x:v>
      </x:c>
      <x:c r="L468" s="74" t="n">
        <x:v>0.9676383359360587</x:v>
      </x:c>
      <x:c r="M468" s="74" t="n">
        <x:v>0.813798695393444</x:v>
      </x:c>
      <x:c r="N468" s="74" t="n">
        <x:v>0.870987050910489</x:v>
      </x:c>
      <x:c r="O468" s="65" t="n">
        <x:v>436172.55478470854</x:v>
      </x:c>
      <x:c r="P468" s="65" t="n">
        <x:v>259128.50059889577</x:v>
      </x:c>
      <x:c r="Q468" s="65" t="n">
        <x:v>177044.0541858128</x:v>
      </x:c>
      <x:c r="R468" s="65" t="n">
        <x:v>115337.54821883288</x:v>
      </x:c>
      <x:c r="S468" s="65" t="n">
        <x:v>61706.50596697991</x:v>
      </x:c>
      <x:c r="T468" s="65" t="n">
        <x:v>175643.3776928832</x:v>
      </x:c>
      <x:c r="U468" s="43" t="n">
        <x:v>0.9967887101616906</x:v>
      </x:c>
      <x:c r="V468" s="43" t="n">
        <x:v>0.997977415754907</x:v>
      </x:c>
      <x:c r="W468" s="43" t="n">
        <x:v>0.9678871016169058</x:v>
      </x:c>
      <x:c r="X468" s="65" t="n">
        <x:v>17262381.639314458</x:v>
      </x:c>
      <x:c r="Y468" s="65" t="n">
        <x:v>39.57695515215312</x:v>
      </x:c>
      <x:c r="Z468" s="65" t="n">
        <x:v>1098057.9138424983</x:v>
      </x:c>
      <x:c r="AA468" s="65" t="n">
        <x:v>108054.3669533495</x:v>
      </x:c>
      <x:c r="AB468" s="65" t="n">
        <x:v>2459.351049638485</x:v>
      </x:c>
      <x:c r="AC468" s="65" t="n">
        <x:v>0</x:v>
      </x:c>
      <x:c r="AD468" s="65" t="n">
        <x:v>1400.6764929295978</x:v>
      </x:c>
      <x:c r="AE468" s="65" t="n">
        <x:v>63945.28496308351</x:v>
      </x:c>
      <x:c r="AF468" s="65" t="n">
        <x:v>175643.37769288305</x:v>
      </x:c>
      <x:c r="AG468" s="65" t="n">
        <x:v>1.4551915228366852e-10</x:v>
      </x:c>
      <x:c r="AH468" s="34" t="n">
        <x:v>1</x:v>
      </x:c>
    </x:row>
    <x:row r="469" ht="15" hidden="0" customHeight="1">
      <x:c r="A469" s="36" t="n">
        <x:v>117</x:v>
      </x:c>
      <x:c r="B469" s="36" t="str">
        <x:v>M0</x:v>
      </x:c>
      <x:c r="C469" s="36" t="str">
        <x:v>reference</x:v>
      </x:c>
      <x:c r="D469" s="75" t="n">
        <x:v>1.053227490488596</x:v>
      </x:c>
      <x:c r="E469" s="75" t="n">
        <x:v>0.013456722641971966</x:v>
      </x:c>
      <x:c r="F469" s="75" t="n">
        <x:v>1.0328519929053042</x:v>
      </x:c>
      <x:c r="G469" s="75" t="n">
        <x:v>1.1388593254116826</x:v>
      </x:c>
      <x:c r="H469" s="75" t="n">
        <x:v>0.866983590823872</x:v>
      </x:c>
      <x:c r="I469" s="75" t="n">
        <x:v>0.9220514504870788</x:v>
      </x:c>
      <x:c r="J469" s="75" t="n">
        <x:v>0.8544965277810048</x:v>
      </x:c>
      <x:c r="K469" s="75" t="n">
        <x:v>0.9935150116516727</x:v>
      </x:c>
      <x:c r="L469" s="75" t="n">
        <x:v>1.01346615282874</x:v>
      </x:c>
      <x:c r="M469" s="75" t="n">
        <x:v>0.7999879283112121</x:v>
      </x:c>
      <x:c r="N469" s="75" t="n">
        <x:v>0.8134605341605132</x:v>
      </x:c>
      <x:c r="O469" s="66" t="n">
        <x:v>506654.8736540411</x:v>
      </x:c>
      <x:c r="P469" s="66" t="n">
        <x:v>77995.40259549677</x:v>
      </x:c>
      <x:c r="Q469" s="66" t="n">
        <x:v>428659.4710585443</x:v>
      </x:c>
      <x:c r="R469" s="66" t="n">
        <x:v>101338.8132482121</x:v>
      </x:c>
      <x:c r="S469" s="66" t="n">
        <x:v>327320.65781033225</x:v>
      </x:c>
      <x:c r="T469" s="66" t="n">
        <x:v>278215.24847156333</x:v>
      </x:c>
      <x:c r="U469" s="45" t="n">
        <x:v>0.703063701920079</x:v>
      </x:c>
      <x:c r="V469" s="45" t="n">
        <x:v>0.7257157938325735</x:v>
      </x:c>
      <x:c r="W469" s="45" t="n">
        <x:v>0.1578826739824105</x:v>
      </x:c>
      <x:c r="X469" s="66" t="n">
        <x:v>55655941.99091392</x:v>
      </x:c>
      <x:c r="Y469" s="66" t="n">
        <x:v>109.84981075878773</x:v>
      </x:c>
      <x:c r="Z469" s="66" t="n">
        <x:v>5032264.158825554</x:v>
      </x:c>
      <x:c r="AA469" s="66" t="n">
        <x:v>299377.7627110769</x:v>
      </x:c>
      <x:c r="AB469" s="66" t="n">
        <x:v>39194.60222123457</x:v>
      </x:c>
      <x:c r="AC469" s="66" t="n">
        <x:v>459.528209478097</x:v>
      </x:c>
      <x:c r="AD469" s="66" t="n">
        <x:v>2120.5112249680433</x:v>
      </x:c>
      <x:c r="AE469" s="66" t="n">
        <x:v>254787.58508774056</x:v>
      </x:c>
      <x:c r="AF469" s="66" t="n">
        <x:v>274656.33215887554</x:v>
      </x:c>
      <x:c r="AG469" s="66" t="n">
        <x:v>3558.9163126877975</x:v>
      </x:c>
      <x:c r="AH469" s="36" t="n">
        <x:v>0</x:v>
      </x:c>
    </x:row>
    <x:row r="470" ht="15" hidden="0" customHeight="1">
      <x:c r="A470" s="34" t="n">
        <x:v>117</x:v>
      </x:c>
      <x:c r="B470" s="34" t="str">
        <x:v>B1</x:v>
      </x:c>
      <x:c r="C470" s="34" t="str">
        <x:v>reference</x:v>
      </x:c>
      <x:c r="D470" s="74" t="n">
        <x:v>1.053227490488596</x:v>
      </x:c>
      <x:c r="E470" s="74" t="n">
        <x:v>0.013456722641971966</x:v>
      </x:c>
      <x:c r="F470" s="74" t="n">
        <x:v>1.0328519929053042</x:v>
      </x:c>
      <x:c r="G470" s="74" t="n">
        <x:v>1.1388593254116826</x:v>
      </x:c>
      <x:c r="H470" s="74" t="n">
        <x:v>0.866983590823872</x:v>
      </x:c>
      <x:c r="I470" s="74" t="n">
        <x:v>0.9220514504870788</x:v>
      </x:c>
      <x:c r="J470" s="74" t="n">
        <x:v>0.8544965277810048</x:v>
      </x:c>
      <x:c r="K470" s="74" t="n">
        <x:v>0.9935150116516727</x:v>
      </x:c>
      <x:c r="L470" s="74" t="n">
        <x:v>1.01346615282874</x:v>
      </x:c>
      <x:c r="M470" s="74" t="n">
        <x:v>0.7999879283112121</x:v>
      </x:c>
      <x:c r="N470" s="74" t="n">
        <x:v>0.8134605341605132</x:v>
      </x:c>
      <x:c r="O470" s="65" t="n">
        <x:v>506654.8736540411</x:v>
      </x:c>
      <x:c r="P470" s="65" t="n">
        <x:v>263832.5123520212</x:v>
      </x:c>
      <x:c r="Q470" s="65" t="n">
        <x:v>242822.3613020198</x:v>
      </x:c>
      <x:c r="R470" s="65" t="n">
        <x:v>101338.8132482121</x:v>
      </x:c>
      <x:c r="S470" s="65" t="n">
        <x:v>141483.54805380772</x:v>
      </x:c>
      <x:c r="T470" s="65" t="n">
        <x:v>204001.8662851542</x:v>
      </x:c>
      <x:c r="U470" s="43" t="n">
        <x:v>0.92337881853008</x:v>
      </x:c>
      <x:c r="V470" s="43" t="n">
        <x:v>0.9386539371639085</x:v>
      </x:c>
      <x:c r="W470" s="43" t="n">
        <x:v>0.642875896943271</x:v>
      </x:c>
      <x:c r="X470" s="65" t="n">
        <x:v>30815550.685609</x:v>
      </x:c>
      <x:c r="Y470" s="65" t="n">
        <x:v>60.821581490698875</x:v>
      </x:c>
      <x:c r="Z470" s="65" t="n">
        <x:v>1464669.9681006395</x:v>
      </x:c>
      <x:c r="AA470" s="65" t="n">
        <x:v>162450.83529819967</x:v>
      </x:c>
      <x:c r="AB470" s="65" t="n">
        <x:v>3156.271508462387</x:v>
      </x:c>
      <x:c r="AC470" s="65" t="n">
        <x:v>1502.6441429178558</x:v>
      </x:c>
      <x:c r="AD470" s="65" t="n">
        <x:v>1648.7300311112601</x:v>
      </x:c>
      <x:c r="AE470" s="65" t="n">
        <x:v>133718.87613368582</x:v>
      </x:c>
      <x:c r="AF470" s="65" t="n">
        <x:v>204001.86628515428</x:v>
      </x:c>
      <x:c r="AG470" s="65" t="n">
        <x:v>0</x:v>
      </x:c>
      <x:c r="AH470" s="34" t="n">
        <x:v>0</x:v>
      </x:c>
    </x:row>
    <x:row r="471" ht="15" hidden="0" customHeight="1">
      <x:c r="A471" s="36" t="n">
        <x:v>117</x:v>
      </x:c>
      <x:c r="B471" s="36" t="str">
        <x:v>P2</x:v>
      </x:c>
      <x:c r="C471" s="36" t="str">
        <x:v>reference</x:v>
      </x:c>
      <x:c r="D471" s="75" t="n">
        <x:v>1.053227490488596</x:v>
      </x:c>
      <x:c r="E471" s="75" t="n">
        <x:v>0.013456722641971966</x:v>
      </x:c>
      <x:c r="F471" s="75" t="n">
        <x:v>1.0328519929053042</x:v>
      </x:c>
      <x:c r="G471" s="75" t="n">
        <x:v>1.1388593254116826</x:v>
      </x:c>
      <x:c r="H471" s="75" t="n">
        <x:v>0.866983590823872</x:v>
      </x:c>
      <x:c r="I471" s="75" t="n">
        <x:v>0.9220514504870788</x:v>
      </x:c>
      <x:c r="J471" s="75" t="n">
        <x:v>0.8544965277810048</x:v>
      </x:c>
      <x:c r="K471" s="75" t="n">
        <x:v>0.9935150116516727</x:v>
      </x:c>
      <x:c r="L471" s="75" t="n">
        <x:v>1.01346615282874</x:v>
      </x:c>
      <x:c r="M471" s="75" t="n">
        <x:v>0.7999879283112121</x:v>
      </x:c>
      <x:c r="N471" s="75" t="n">
        <x:v>0.8134605341605132</x:v>
      </x:c>
      <x:c r="O471" s="66" t="n">
        <x:v>506654.8736540411</x:v>
      </x:c>
      <x:c r="P471" s="66" t="n">
        <x:v>382211.85527054465</x:v>
      </x:c>
      <x:c r="Q471" s="66" t="n">
        <x:v>124443.01838349637</x:v>
      </x:c>
      <x:c r="R471" s="66" t="n">
        <x:v>101338.8132482121</x:v>
      </x:c>
      <x:c r="S471" s="66" t="n">
        <x:v>23104.205135284283</x:v>
      </x:c>
      <x:c r="T471" s="66" t="n">
        <x:v>115635.97511685021</x:v>
      </x:c>
      <x:c r="U471" s="45" t="n">
        <x:v>0.9826172731683621</x:v>
      </x:c>
      <x:c r="V471" s="45" t="n">
        <x:v>0.9856520038625775</x:v>
      </x:c>
      <x:c r="W471" s="45" t="n">
        <x:v>0.8264738796289137</x:v>
      </x:c>
      <x:c r="X471" s="66" t="n">
        <x:v>14909379.254748145</x:v>
      </x:c>
      <x:c r="Y471" s="66" t="n">
        <x:v>29.427091359489634</x:v>
      </x:c>
      <x:c r="Z471" s="66" t="n">
        <x:v>727605.7792301131</x:v>
      </x:c>
      <x:c r="AA471" s="66" t="n">
        <x:v>83349.32033937171</x:v>
      </x:c>
      <x:c r="AB471" s="66" t="n">
        <x:v>0</x:v>
      </x:c>
      <x:c r="AC471" s="66" t="n">
        <x:v>0</x:v>
      </x:c>
      <x:c r="AD471" s="66" t="n">
        <x:v>1363.6650627676343</x:v>
      </x:c>
      <x:c r="AE471" s="66" t="n">
        <x:v>68637.49187371603</x:v>
      </x:c>
      <x:c r="AF471" s="66" t="n">
        <x:v>115635.97511685007</x:v>
      </x:c>
      <x:c r="AG471" s="66" t="n">
        <x:v>1.4551915228366852e-10</x:v>
      </x:c>
      <x:c r="AH471" s="36" t="n">
        <x:v>1</x:v>
      </x:c>
    </x:row>
    <x:row r="472" ht="15" hidden="0" customHeight="1">
      <x:c r="A472" s="34" t="n">
        <x:v>117</x:v>
      </x:c>
      <x:c r="B472" s="34" t="str">
        <x:v>H3</x:v>
      </x:c>
      <x:c r="C472" s="34" t="str">
        <x:v>reference</x:v>
      </x:c>
      <x:c r="D472" s="74" t="n">
        <x:v>1.053227490488596</x:v>
      </x:c>
      <x:c r="E472" s="74" t="n">
        <x:v>0.013456722641971966</x:v>
      </x:c>
      <x:c r="F472" s="74" t="n">
        <x:v>1.0328519929053042</x:v>
      </x:c>
      <x:c r="G472" s="74" t="n">
        <x:v>1.1388593254116826</x:v>
      </x:c>
      <x:c r="H472" s="74" t="n">
        <x:v>0.866983590823872</x:v>
      </x:c>
      <x:c r="I472" s="74" t="n">
        <x:v>0.9220514504870788</x:v>
      </x:c>
      <x:c r="J472" s="74" t="n">
        <x:v>0.8544965277810048</x:v>
      </x:c>
      <x:c r="K472" s="74" t="n">
        <x:v>0.9935150116516727</x:v>
      </x:c>
      <x:c r="L472" s="74" t="n">
        <x:v>1.01346615282874</x:v>
      </x:c>
      <x:c r="M472" s="74" t="n">
        <x:v>0.7999879283112121</x:v>
      </x:c>
      <x:c r="N472" s="74" t="n">
        <x:v>0.8134605341605132</x:v>
      </x:c>
      <x:c r="O472" s="65" t="n">
        <x:v>506654.8736540411</x:v>
      </x:c>
      <x:c r="P472" s="65" t="n">
        <x:v>396335.31188784435</x:v>
      </x:c>
      <x:c r="Q472" s="65" t="n">
        <x:v>110319.56176619668</x:v>
      </x:c>
      <x:c r="R472" s="65" t="n">
        <x:v>101338.8132482121</x:v>
      </x:c>
      <x:c r="S472" s="65" t="n">
        <x:v>8980.748517984593</x:v>
      </x:c>
      <x:c r="T472" s="65" t="n">
        <x:v>108987.01880291654</x:v>
      </x:c>
      <x:c r="U472" s="43" t="n">
        <x:v>0.9973699197766128</x:v>
      </x:c>
      <x:c r="V472" s="43" t="n">
        <x:v>0.998343536933311</x:v>
      </x:c>
      <x:c r="W472" s="43" t="n">
        <x:v>0.9736991977661299</x:v>
      </x:c>
      <x:c r="X472" s="65" t="n">
        <x:v>11935242.774067223</x:v>
      </x:c>
      <x:c r="Y472" s="65" t="n">
        <x:v>23.5569485160365</x:v>
      </x:c>
      <x:c r="Z472" s="65" t="n">
        <x:v>684595.2200240758</x:v>
      </x:c>
      <x:c r="AA472" s="65" t="n">
        <x:v>75888.5137235531</x:v>
      </x:c>
      <x:c r="AB472" s="65" t="n">
        <x:v>1521.486469827151</x:v>
      </x:c>
      <x:c r="AC472" s="65" t="n">
        <x:v>0</x:v>
      </x:c>
      <x:c r="AD472" s="65" t="n">
        <x:v>1332.542963280137</x:v>
      </x:c>
      <x:c r="AE472" s="65" t="n">
        <x:v>60862.59755193357</x:v>
      </x:c>
      <x:c r="AF472" s="65" t="n">
        <x:v>108987.01880291665</x:v>
      </x:c>
      <x:c r="AG472" s="65" t="n">
        <x:v>0</x:v>
      </x:c>
      <x:c r="AH472" s="34" t="n">
        <x:v>1</x:v>
      </x:c>
    </x:row>
    <x:row r="473" ht="15" hidden="0" customHeight="1">
      <x:c r="A473" s="36" t="n">
        <x:v>118</x:v>
      </x:c>
      <x:c r="B473" s="36" t="str">
        <x:v>M0</x:v>
      </x:c>
      <x:c r="C473" s="36" t="str">
        <x:v>slow</x:v>
      </x:c>
      <x:c r="D473" s="75" t="n">
        <x:v>0.9011173530544774</x:v>
      </x:c>
      <x:c r="E473" s="75" t="n">
        <x:v>0.07632078941752482</x:v>
      </x:c>
      <x:c r="F473" s="75" t="n">
        <x:v>0.964926680365226</x:v>
      </x:c>
      <x:c r="G473" s="75" t="n">
        <x:v>1.0909873202914175</x:v>
      </x:c>
      <x:c r="H473" s="75" t="n">
        <x:v>0.8877857164586382</x:v>
      </x:c>
      <x:c r="I473" s="75" t="n">
        <x:v>1.0093279289181603</x:v>
      </x:c>
      <x:c r="J473" s="75" t="n">
        <x:v>1.0102934784642021</x:v>
      </x:c>
      <x:c r="K473" s="75" t="n">
        <x:v>0.844289124767535</x:v>
      </x:c>
      <x:c r="L473" s="75" t="n">
        <x:v>1.017881917245638</x:v>
      </x:c>
      <x:c r="M473" s="75" t="n">
        <x:v>0.9418546003360543</x:v>
      </x:c>
      <x:c r="N473" s="75" t="n">
        <x:v>0.7632004823356012</x:v>
      </x:c>
      <x:c r="O473" s="66" t="n">
        <x:v>433482.32246338576</x:v>
      </x:c>
      <x:c r="P473" s="66" t="n">
        <x:v>57442.623434727975</x:v>
      </x:c>
      <x:c r="Q473" s="66" t="n">
        <x:v>376039.69902865775</x:v>
      </x:c>
      <x:c r="R473" s="66" t="n">
        <x:v>113953.63261425735</x:v>
      </x:c>
      <x:c r="S473" s="66" t="n">
        <x:v>262086.0664144004</x:v>
      </x:c>
      <x:c r="T473" s="66" t="n">
        <x:v>239926.00885399943</x:v>
      </x:c>
      <x:c r="U473" s="45" t="n">
        <x:v>0.6859994442191926</x:v>
      </x:c>
      <x:c r="V473" s="45" t="n">
        <x:v>0.67024604703664</x:v>
      </x:c>
      <x:c r="W473" s="45" t="n">
        <x:v>0.06425424315807667</x:v>
      </x:c>
      <x:c r="X473" s="66" t="n">
        <x:v>44866998.00080476</x:v>
      </x:c>
      <x:c r="Y473" s="66" t="n">
        <x:v>103.50363942371483</x:v>
      </x:c>
      <x:c r="Z473" s="66" t="n">
        <x:v>2057054.7884810243</x:v>
      </x:c>
      <x:c r="AA473" s="66" t="n">
        <x:v>247328.94515888067</x:v>
      </x:c>
      <x:c r="AB473" s="66" t="n">
        <x:v>11020.328136446022</x:v>
      </x:c>
      <x:c r="AC473" s="66" t="n">
        <x:v>0</x:v>
      </x:c>
      <x:c r="AD473" s="66" t="n">
        <x:v>2404.2544533747887</x:v>
      </x:c>
      <x:c r="AE473" s="66" t="n">
        <x:v>195965.6610714688</x:v>
      </x:c>
      <x:c r="AF473" s="66" t="n">
        <x:v>239926.0088539994</x:v>
      </x:c>
      <x:c r="AG473" s="66" t="n">
        <x:v>2.9103830456733704e-11</x:v>
      </x:c>
      <x:c r="AH473" s="36" t="n">
        <x:v>0</x:v>
      </x:c>
    </x:row>
    <x:row r="474" ht="15" hidden="0" customHeight="1">
      <x:c r="A474" s="34" t="n">
        <x:v>118</x:v>
      </x:c>
      <x:c r="B474" s="34" t="str">
        <x:v>B1</x:v>
      </x:c>
      <x:c r="C474" s="34" t="str">
        <x:v>slow</x:v>
      </x:c>
      <x:c r="D474" s="74" t="n">
        <x:v>0.9011173530544774</x:v>
      </x:c>
      <x:c r="E474" s="74" t="n">
        <x:v>0.07632078941752482</x:v>
      </x:c>
      <x:c r="F474" s="74" t="n">
        <x:v>0.964926680365226</x:v>
      </x:c>
      <x:c r="G474" s="74" t="n">
        <x:v>1.0909873202914175</x:v>
      </x:c>
      <x:c r="H474" s="74" t="n">
        <x:v>0.8877857164586382</x:v>
      </x:c>
      <x:c r="I474" s="74" t="n">
        <x:v>1.0093279289181603</x:v>
      </x:c>
      <x:c r="J474" s="74" t="n">
        <x:v>1.0102934784642021</x:v>
      </x:c>
      <x:c r="K474" s="74" t="n">
        <x:v>0.844289124767535</x:v>
      </x:c>
      <x:c r="L474" s="74" t="n">
        <x:v>1.017881917245638</x:v>
      </x:c>
      <x:c r="M474" s="74" t="n">
        <x:v>0.9418546003360543</x:v>
      </x:c>
      <x:c r="N474" s="74" t="n">
        <x:v>0.7632004823356012</x:v>
      </x:c>
      <x:c r="O474" s="65" t="n">
        <x:v>433482.32246338576</x:v>
      </x:c>
      <x:c r="P474" s="65" t="n">
        <x:v>194311.0908976182</x:v>
      </x:c>
      <x:c r="Q474" s="65" t="n">
        <x:v>239171.23156576752</x:v>
      </x:c>
      <x:c r="R474" s="65" t="n">
        <x:v>113953.63261425735</x:v>
      </x:c>
      <x:c r="S474" s="65" t="n">
        <x:v>125217.59895151017</x:v>
      </x:c>
      <x:c r="T474" s="65" t="n">
        <x:v>141132.8300965969</x:v>
      </x:c>
      <x:c r="U474" s="43" t="n">
        <x:v>0.7738352952617774</x:v>
      </x:c>
      <x:c r="V474" s="43" t="n">
        <x:v>0.7641539889890236</x:v>
      </x:c>
      <x:c r="W474" s="43" t="n">
        <x:v>0.22301861574097173</x:v>
      </x:c>
      <x:c r="X474" s="65" t="n">
        <x:v>30272178.86098013</x:v>
      </x:c>
      <x:c r="Y474" s="65" t="n">
        <x:v>69.83486359708955</x:v>
      </x:c>
      <x:c r="Z474" s="65" t="n">
        <x:v>917389.1978329229</x:v>
      </x:c>
      <x:c r="AA474" s="65" t="n">
        <x:v>157918.66830490858</x:v>
      </x:c>
      <x:c r="AB474" s="65" t="n">
        <x:v>1520.9423822743966</x:v>
      </x:c>
      <x:c r="AC474" s="65" t="n">
        <x:v>0</x:v>
      </x:c>
      <x:c r="AD474" s="65" t="n">
        <x:v>1985.2730904745895</x:v>
      </x:c>
      <x:c r="AE474" s="65" t="n">
        <x:v>75192.30842280097</x:v>
      </x:c>
      <x:c r="AF474" s="65" t="n">
        <x:v>141132.83009659674</x:v>
      </x:c>
      <x:c r="AG474" s="65" t="n">
        <x:v>1.7462298274040222e-10</x:v>
      </x:c>
      <x:c r="AH474" s="34" t="n">
        <x:v>0</x:v>
      </x:c>
    </x:row>
    <x:row r="475" ht="15" hidden="0" customHeight="1">
      <x:c r="A475" s="36" t="n">
        <x:v>118</x:v>
      </x:c>
      <x:c r="B475" s="36" t="str">
        <x:v>P2</x:v>
      </x:c>
      <x:c r="C475" s="36" t="str">
        <x:v>slow</x:v>
      </x:c>
      <x:c r="D475" s="75" t="n">
        <x:v>0.9011173530544774</x:v>
      </x:c>
      <x:c r="E475" s="75" t="n">
        <x:v>0.07632078941752482</x:v>
      </x:c>
      <x:c r="F475" s="75" t="n">
        <x:v>0.964926680365226</x:v>
      </x:c>
      <x:c r="G475" s="75" t="n">
        <x:v>1.0909873202914175</x:v>
      </x:c>
      <x:c r="H475" s="75" t="n">
        <x:v>0.8877857164586382</x:v>
      </x:c>
      <x:c r="I475" s="75" t="n">
        <x:v>1.0093279289181603</x:v>
      </x:c>
      <x:c r="J475" s="75" t="n">
        <x:v>1.0102934784642021</x:v>
      </x:c>
      <x:c r="K475" s="75" t="n">
        <x:v>0.844289124767535</x:v>
      </x:c>
      <x:c r="L475" s="75" t="n">
        <x:v>1.017881917245638</x:v>
      </x:c>
      <x:c r="M475" s="75" t="n">
        <x:v>0.9418546003360543</x:v>
      </x:c>
      <x:c r="N475" s="75" t="n">
        <x:v>0.7632004823356012</x:v>
      </x:c>
      <x:c r="O475" s="66" t="n">
        <x:v>433482.32246338576</x:v>
      </x:c>
      <x:c r="P475" s="66" t="n">
        <x:v>281498.24516829546</x:v>
      </x:c>
      <x:c r="Q475" s="66" t="n">
        <x:v>151984.07729509028</x:v>
      </x:c>
      <x:c r="R475" s="66" t="n">
        <x:v>113953.63261425735</x:v>
      </x:c>
      <x:c r="S475" s="66" t="n">
        <x:v>38030.44468083294</x:v>
      </x:c>
      <x:c r="T475" s="66" t="n">
        <x:v>79127.74718352791</x:v>
      </x:c>
      <x:c r="U475" s="45" t="n">
        <x:v>0.8319277942003823</x:v>
      </x:c>
      <x:c r="V475" s="45" t="n">
        <x:v>0.826203535773255</x:v>
      </x:c>
      <x:c r="W475" s="45" t="n">
        <x:v>0.3277096771463399</x:v>
      </x:c>
      <x:c r="X475" s="66" t="n">
        <x:v>19461447.012199886</x:v>
      </x:c>
      <x:c r="Y475" s="66" t="n">
        <x:v>44.895595514955986</x:v>
      </x:c>
      <x:c r="Z475" s="66" t="n">
        <x:v>507828.5324690864</x:v>
      </x:c>
      <x:c r="AA475" s="66" t="n">
        <x:v>103835.77829306203</x:v>
      </x:c>
      <x:c r="AB475" s="66" t="n">
        <x:v>0</x:v>
      </x:c>
      <x:c r="AC475" s="66" t="n">
        <x:v>0</x:v>
      </x:c>
      <x:c r="AD475" s="66" t="n">
        <x:v>1731.0808008782985</x:v>
      </x:c>
      <x:c r="AE475" s="66" t="n">
        <x:v>19598.109561351055</x:v>
      </x:c>
      <x:c r="AF475" s="66" t="n">
        <x:v>79127.74718352786</x:v>
      </x:c>
      <x:c r="AG475" s="66" t="n">
        <x:v>5.820766091346741e-11</x:v>
      </x:c>
      <x:c r="AH475" s="36" t="n">
        <x:v>0</x:v>
      </x:c>
    </x:row>
    <x:row r="476" ht="15" hidden="0" customHeight="1">
      <x:c r="A476" s="34" t="n">
        <x:v>118</x:v>
      </x:c>
      <x:c r="B476" s="34" t="str">
        <x:v>H3</x:v>
      </x:c>
      <x:c r="C476" s="34" t="str">
        <x:v>slow</x:v>
      </x:c>
      <x:c r="D476" s="74" t="n">
        <x:v>0.9011173530544774</x:v>
      </x:c>
      <x:c r="E476" s="74" t="n">
        <x:v>0.07632078941752482</x:v>
      </x:c>
      <x:c r="F476" s="74" t="n">
        <x:v>0.964926680365226</x:v>
      </x:c>
      <x:c r="G476" s="74" t="n">
        <x:v>1.0909873202914175</x:v>
      </x:c>
      <x:c r="H476" s="74" t="n">
        <x:v>0.8877857164586382</x:v>
      </x:c>
      <x:c r="I476" s="74" t="n">
        <x:v>1.0093279289181603</x:v>
      </x:c>
      <x:c r="J476" s="74" t="n">
        <x:v>1.0102934784642021</x:v>
      </x:c>
      <x:c r="K476" s="74" t="n">
        <x:v>0.844289124767535</x:v>
      </x:c>
      <x:c r="L476" s="74" t="n">
        <x:v>1.017881917245638</x:v>
      </x:c>
      <x:c r="M476" s="74" t="n">
        <x:v>0.9418546003360543</x:v>
      </x:c>
      <x:c r="N476" s="74" t="n">
        <x:v>0.7632004823356012</x:v>
      </x:c>
      <x:c r="O476" s="65" t="n">
        <x:v>433482.32246338576</x:v>
      </x:c>
      <x:c r="P476" s="65" t="n">
        <x:v>292014.41635585827</x:v>
      </x:c>
      <x:c r="Q476" s="65" t="n">
        <x:v>141467.90610752747</x:v>
      </x:c>
      <x:c r="R476" s="65" t="n">
        <x:v>113953.63261425735</x:v>
      </x:c>
      <x:c r="S476" s="65" t="n">
        <x:v>27514.27349327012</x:v>
      </x:c>
      <x:c r="T476" s="65" t="n">
        <x:v>71653.18243296037</x:v>
      </x:c>
      <x:c r="U476" s="43" t="n">
        <x:v>0.8389444734958851</x:v>
      </x:c>
      <x:c r="V476" s="43" t="n">
        <x:v>0.8338410140539443</x:v>
      </x:c>
      <x:c r="W476" s="43" t="n">
        <x:v>0.340884977815913</x:v>
      </x:c>
      <x:c r="X476" s="65" t="n">
        <x:v>17470035.151030138</x:v>
      </x:c>
      <x:c r="Y476" s="65" t="n">
        <x:v>40.3016091907779</x:v>
      </x:c>
      <x:c r="Z476" s="65" t="n">
        <x:v>485637.19428431406</x:v>
      </x:c>
      <x:c r="AA476" s="65" t="n">
        <x:v>96984.2060087201</x:v>
      </x:c>
      <x:c r="AB476" s="65" t="n">
        <x:v>1099.2063195192675</x:v>
      </x:c>
      <x:c r="AC476" s="65" t="n">
        <x:v>0</x:v>
      </x:c>
      <x:c r="AD476" s="65" t="n">
        <x:v>1702.3786205269298</x:v>
      </x:c>
      <x:c r="AE476" s="65" t="n">
        <x:v>12227.327149927856</x:v>
      </x:c>
      <x:c r="AF476" s="65" t="n">
        <x:v>71653.18243296037</x:v>
      </x:c>
      <x:c r="AG476" s="65" t="n">
        <x:v>0</x:v>
      </x:c>
      <x:c r="AH476" s="34" t="n">
        <x:v>0</x:v>
      </x:c>
    </x:row>
    <x:row r="477" ht="15" hidden="0" customHeight="1">
      <x:c r="A477" s="36" t="n">
        <x:v>119</x:v>
      </x:c>
      <x:c r="B477" s="36" t="str">
        <x:v>M0</x:v>
      </x:c>
      <x:c r="C477" s="36" t="str">
        <x:v>slow</x:v>
      </x:c>
      <x:c r="D477" s="75" t="n">
        <x:v>0.9755139528257876</x:v>
      </x:c>
      <x:c r="E477" s="75" t="n">
        <x:v>0.05143124029778471</x:v>
      </x:c>
      <x:c r="F477" s="75" t="n">
        <x:v>0.869147693922812</x:v>
      </x:c>
      <x:c r="G477" s="75" t="n">
        <x:v>1.0712602010457717</x:v>
      </x:c>
      <x:c r="H477" s="75" t="n">
        <x:v>0.7826904436433967</x:v>
      </x:c>
      <x:c r="I477" s="75" t="n">
        <x:v>0.9175509859719508</x:v>
      </x:c>
      <x:c r="J477" s="75" t="n">
        <x:v>1.0691799552916854</x:v>
      </x:c>
      <x:c r="K477" s="75" t="n">
        <x:v>0.7531926900314977</x:v>
      </x:c>
      <x:c r="L477" s="75" t="n">
        <x:v>0.8138485968100004</x:v>
      </x:c>
      <x:c r="M477" s="75" t="n">
        <x:v>0.9471884412938442</x:v>
      </x:c>
      <x:c r="N477" s="75" t="n">
        <x:v>1.024012672160639</x:v>
      </x:c>
      <x:c r="O477" s="66" t="n">
        <x:v>469270.7919040545</x:v>
      </x:c>
      <x:c r="P477" s="66" t="n">
        <x:v>57904.29633573682</x:v>
      </x:c>
      <x:c r="Q477" s="66" t="n">
        <x:v>411366.4955683177</x:v>
      </x:c>
      <x:c r="R477" s="66" t="n">
        <x:v>111681.75049718742</x:v>
      </x:c>
      <x:c r="S477" s="66" t="n">
        <x:v>299684.74507113034</x:v>
      </x:c>
      <x:c r="T477" s="66" t="n">
        <x:v>261788.87789628038</x:v>
      </x:c>
      <x:c r="U477" s="45" t="n">
        <x:v>0.6812552150004267</x:v>
      </x:c>
      <x:c r="V477" s="45" t="n">
        <x:v>0.6670177706322653</x:v>
      </x:c>
      <x:c r="W477" s="45" t="n">
        <x:v>0.061731296486813504</x:v>
      </x:c>
      <x:c r="X477" s="66" t="n">
        <x:v>52292360.92415654</x:v>
      </x:c>
      <x:c r="Y477" s="66" t="n">
        <x:v>111.43323178496064</x:v>
      </x:c>
      <x:c r="Z477" s="66" t="n">
        <x:v>2702976.792508969</x:v>
      </x:c>
      <x:c r="AA477" s="66" t="n">
        <x:v>294058.7803873928</x:v>
      </x:c>
      <x:c r="AB477" s="66" t="n">
        <x:v>16427.01610122076</x:v>
      </x:c>
      <x:c r="AC477" s="66" t="n">
        <x:v>0</x:v>
      </x:c>
      <x:c r="AD477" s="66" t="n">
        <x:v>2610.586306494228</x:v>
      </x:c>
      <x:c r="AE477" s="66" t="n">
        <x:v>202805.7479798276</x:v>
      </x:c>
      <x:c r="AF477" s="66" t="n">
        <x:v>261788.8778962804</x:v>
      </x:c>
      <x:c r="AG477" s="66" t="n">
        <x:v>0</x:v>
      </x:c>
      <x:c r="AH477" s="36" t="n">
        <x:v>0</x:v>
      </x:c>
    </x:row>
    <x:row r="478" ht="15" hidden="0" customHeight="1">
      <x:c r="A478" s="34" t="n">
        <x:v>119</x:v>
      </x:c>
      <x:c r="B478" s="34" t="str">
        <x:v>B1</x:v>
      </x:c>
      <x:c r="C478" s="34" t="str">
        <x:v>slow</x:v>
      </x:c>
      <x:c r="D478" s="74" t="n">
        <x:v>0.9755139528257876</x:v>
      </x:c>
      <x:c r="E478" s="74" t="n">
        <x:v>0.05143124029778471</x:v>
      </x:c>
      <x:c r="F478" s="74" t="n">
        <x:v>0.869147693922812</x:v>
      </x:c>
      <x:c r="G478" s="74" t="n">
        <x:v>1.0712602010457717</x:v>
      </x:c>
      <x:c r="H478" s="74" t="n">
        <x:v>0.7826904436433967</x:v>
      </x:c>
      <x:c r="I478" s="74" t="n">
        <x:v>0.9175509859719508</x:v>
      </x:c>
      <x:c r="J478" s="74" t="n">
        <x:v>1.0691799552916854</x:v>
      </x:c>
      <x:c r="K478" s="74" t="n">
        <x:v>0.7531926900314977</x:v>
      </x:c>
      <x:c r="L478" s="74" t="n">
        <x:v>0.8138485968100004</x:v>
      </x:c>
      <x:c r="M478" s="74" t="n">
        <x:v>0.9471884412938442</x:v>
      </x:c>
      <x:c r="N478" s="74" t="n">
        <x:v>1.024012672160639</x:v>
      </x:c>
      <x:c r="O478" s="65" t="n">
        <x:v>469270.7919040545</x:v>
      </x:c>
      <x:c r="P478" s="65" t="n">
        <x:v>195872.03857498144</x:v>
      </x:c>
      <x:c r="Q478" s="65" t="n">
        <x:v>273398.7533290731</x:v>
      </x:c>
      <x:c r="R478" s="65" t="n">
        <x:v>111681.75049718742</x:v>
      </x:c>
      <x:c r="S478" s="65" t="n">
        <x:v>161717.00283188568</x:v>
      </x:c>
      <x:c r="T478" s="65" t="n">
        <x:v>163517.63365187065</x:v>
      </x:c>
      <x:c r="U478" s="43" t="n">
        <x:v>0.7658470938893032</x:v>
      </x:c>
      <x:c r="V478" s="43" t="n">
        <x:v>0.7557351319984523</x:v>
      </x:c>
      <x:c r="W478" s="43" t="n">
        <x:v>0.21426177655715076</x:v>
      </x:c>
      <x:c r="X478" s="65" t="n">
        <x:v>36038135.692093424</x:v>
      </x:c>
      <x:c r="Y478" s="65" t="n">
        <x:v>76.79603400388417</x:v>
      </x:c>
      <x:c r="Z478" s="65" t="n">
        <x:v>1049354.1098439198</x:v>
      </x:c>
      <x:c r="AA478" s="65" t="n">
        <x:v>197548.17622542934</x:v>
      </x:c>
      <x:c r="AB478" s="65" t="n">
        <x:v>1378.4816815454897</x:v>
      </x:c>
      <x:c r="AC478" s="65" t="n">
        <x:v>0</x:v>
      </x:c>
      <x:c r="AD478" s="65" t="n">
        <x:v>2174.8232351632505</x:v>
      </x:c>
      <x:c r="AE478" s="65" t="n">
        <x:v>75042.93877719142</x:v>
      </x:c>
      <x:c r="AF478" s="65" t="n">
        <x:v>163517.63365187086</x:v>
      </x:c>
      <x:c r="AG478" s="65" t="n">
        <x:v>0</x:v>
      </x:c>
      <x:c r="AH478" s="34" t="n">
        <x:v>0</x:v>
      </x:c>
    </x:row>
    <x:row r="479" ht="15" hidden="0" customHeight="1">
      <x:c r="A479" s="36" t="n">
        <x:v>119</x:v>
      </x:c>
      <x:c r="B479" s="36" t="str">
        <x:v>P2</x:v>
      </x:c>
      <x:c r="C479" s="36" t="str">
        <x:v>slow</x:v>
      </x:c>
      <x:c r="D479" s="75" t="n">
        <x:v>0.9755139528257876</x:v>
      </x:c>
      <x:c r="E479" s="75" t="n">
        <x:v>0.05143124029778471</x:v>
      </x:c>
      <x:c r="F479" s="75" t="n">
        <x:v>0.869147693922812</x:v>
      </x:c>
      <x:c r="G479" s="75" t="n">
        <x:v>1.0712602010457717</x:v>
      </x:c>
      <x:c r="H479" s="75" t="n">
        <x:v>0.7826904436433967</x:v>
      </x:c>
      <x:c r="I479" s="75" t="n">
        <x:v>0.9175509859719508</x:v>
      </x:c>
      <x:c r="J479" s="75" t="n">
        <x:v>1.0691799552916854</x:v>
      </x:c>
      <x:c r="K479" s="75" t="n">
        <x:v>0.7531926900314977</x:v>
      </x:c>
      <x:c r="L479" s="75" t="n">
        <x:v>0.8138485968100004</x:v>
      </x:c>
      <x:c r="M479" s="75" t="n">
        <x:v>0.9471884412938442</x:v>
      </x:c>
      <x:c r="N479" s="75" t="n">
        <x:v>1.024012672160639</x:v>
      </x:c>
      <x:c r="O479" s="66" t="n">
        <x:v>469270.7919040545</x:v>
      </x:c>
      <x:c r="P479" s="66" t="n">
        <x:v>283758.97408624744</x:v>
      </x:c>
      <x:c r="Q479" s="66" t="n">
        <x:v>185511.81781780708</x:v>
      </x:c>
      <x:c r="R479" s="66" t="n">
        <x:v>111681.75049718742</x:v>
      </x:c>
      <x:c r="S479" s="66" t="n">
        <x:v>73830.06732061968</x:v>
      </x:c>
      <x:c r="T479" s="66" t="n">
        <x:v>101206.64400333157</x:v>
      </x:c>
      <x:c r="U479" s="45" t="n">
        <x:v>0.8203485593629014</x:v>
      </x:c>
      <x:c r="V479" s="45" t="n">
        <x:v>0.8139224685595257</x:v>
      </x:c>
      <x:c r="W479" s="45" t="n">
        <x:v>0.31484213722274246</x:v>
      </x:c>
      <x:c r="X479" s="66" t="n">
        <x:v>24133460.019788336</x:v>
      </x:c>
      <x:c r="Y479" s="66" t="n">
        <x:v>51.42757750139834</x:v>
      </x:c>
      <x:c r="Z479" s="66" t="n">
        <x:v>635820.2650851222</x:v>
      </x:c>
      <x:c r="AA479" s="66" t="n">
        <x:v>137185.49694495945</x:v>
      </x:c>
      <x:c r="AB479" s="66" t="n">
        <x:v>0</x:v>
      </x:c>
      <x:c r="AC479" s="66" t="n">
        <x:v>0</x:v>
      </x:c>
      <x:c r="AD479" s="66" t="n">
        <x:v>1910.449631391481</x:v>
      </x:c>
      <x:c r="AE479" s="66" t="n">
        <x:v>21333.65557480174</x:v>
      </x:c>
      <x:c r="AF479" s="66" t="n">
        <x:v>101206.64400333149</x:v>
      </x:c>
      <x:c r="AG479" s="66" t="n">
        <x:v>8.731149137020111e-11</x:v>
      </x:c>
      <x:c r="AH479" s="36" t="n">
        <x:v>0</x:v>
      </x:c>
    </x:row>
    <x:row r="480" ht="15" hidden="0" customHeight="1">
      <x:c r="A480" s="34" t="n">
        <x:v>119</x:v>
      </x:c>
      <x:c r="B480" s="34" t="str">
        <x:v>H3</x:v>
      </x:c>
      <x:c r="C480" s="34" t="str">
        <x:v>slow</x:v>
      </x:c>
      <x:c r="D480" s="74" t="n">
        <x:v>0.9755139528257876</x:v>
      </x:c>
      <x:c r="E480" s="74" t="n">
        <x:v>0.05143124029778471</x:v>
      </x:c>
      <x:c r="F480" s="74" t="n">
        <x:v>0.869147693922812</x:v>
      </x:c>
      <x:c r="G480" s="74" t="n">
        <x:v>1.0712602010457717</x:v>
      </x:c>
      <x:c r="H480" s="74" t="n">
        <x:v>0.7826904436433967</x:v>
      </x:c>
      <x:c r="I480" s="74" t="n">
        <x:v>0.9175509859719508</x:v>
      </x:c>
      <x:c r="J480" s="74" t="n">
        <x:v>1.0691799552916854</x:v>
      </x:c>
      <x:c r="K480" s="74" t="n">
        <x:v>0.7531926900314977</x:v>
      </x:c>
      <x:c r="L480" s="74" t="n">
        <x:v>0.8138485968100004</x:v>
      </x:c>
      <x:c r="M480" s="74" t="n">
        <x:v>0.9471884412938442</x:v>
      </x:c>
      <x:c r="N480" s="74" t="n">
        <x:v>1.024012672160639</x:v>
      </x:c>
      <x:c r="O480" s="65" t="n">
        <x:v>469270.7919040545</x:v>
      </x:c>
      <x:c r="P480" s="65" t="n">
        <x:v>294359.4773495026</x:v>
      </x:c>
      <x:c r="Q480" s="65" t="n">
        <x:v>174911.3145545519</x:v>
      </x:c>
      <x:c r="R480" s="65" t="n">
        <x:v>111681.75049718742</x:v>
      </x:c>
      <x:c r="S480" s="65" t="n">
        <x:v>63229.56405736451</x:v>
      </x:c>
      <x:c r="T480" s="65" t="n">
        <x:v>93695.23048478612</x:v>
      </x:c>
      <x:c r="U480" s="43" t="n">
        <x:v>0.8269313039061443</x:v>
      </x:c>
      <x:c r="V480" s="43" t="n">
        <x:v>0.8210840665565841</x:v>
      </x:c>
      <x:c r="W480" s="43" t="n">
        <x:v>0.3275001089295354</x:v>
      </x:c>
      <x:c r="X480" s="65" t="n">
        <x:v>20950762.485909976</x:v>
      </x:c>
      <x:c r="Y480" s="65" t="n">
        <x:v>44.64535796251623</x:v>
      </x:c>
      <x:c r="Z480" s="65" t="n">
        <x:v>614172.5113144054</x:v>
      </x:c>
      <x:c r="AA480" s="65" t="n">
        <x:v>116515.98551223689</x:v>
      </x:c>
      <x:c r="AB480" s="65" t="n">
        <x:v>1431.538376088062</x:v>
      </x:c>
      <x:c r="AC480" s="65" t="n">
        <x:v>0</x:v>
      </x:c>
      <x:c r="AD480" s="65" t="n">
        <x:v>1880.597825628017</x:v>
      </x:c>
      <x:c r="AE480" s="65" t="n">
        <x:v>13506.386110888023</x:v>
      </x:c>
      <x:c r="AF480" s="65" t="n">
        <x:v>93695.23048478605</x:v>
      </x:c>
      <x:c r="AG480" s="65" t="n">
        <x:v>7.275957614183426e-11</x:v>
      </x:c>
      <x:c r="AH480" s="34" t="n">
        <x:v>0</x:v>
      </x:c>
    </x:row>
    <x:row r="481" ht="15" hidden="0" customHeight="1">
      <x:c r="A481" s="36" t="n">
        <x:v>120</x:v>
      </x:c>
      <x:c r="B481" s="36" t="str">
        <x:v>M0</x:v>
      </x:c>
      <x:c r="C481" s="36" t="str">
        <x:v>reference</x:v>
      </x:c>
      <x:c r="D481" s="75" t="n">
        <x:v>1.1590345626152527</x:v>
      </x:c>
      <x:c r="E481" s="75" t="n">
        <x:v>0.09348890958813927</x:v>
      </x:c>
      <x:c r="F481" s="75" t="n">
        <x:v>0.7994252650517993</x:v>
      </x:c>
      <x:c r="G481" s="75" t="n">
        <x:v>0.9792112896408299</x:v>
      </x:c>
      <x:c r="H481" s="75" t="n">
        <x:v>0.9277648638188298</x:v>
      </x:c>
      <x:c r="I481" s="75" t="n">
        <x:v>1.0279773853726664</x:v>
      </x:c>
      <x:c r="J481" s="75" t="n">
        <x:v>0.9953212501925902</x:v>
      </x:c>
      <x:c r="K481" s="75" t="n">
        <x:v>0.9754939078184961</x:v>
      </x:c>
      <x:c r="L481" s="75" t="n">
        <x:v>0.9039342221795803</x:v>
      </x:c>
      <x:c r="M481" s="75" t="n">
        <x:v>0.7690748654001491</x:v>
      </x:c>
      <x:c r="N481" s="75" t="n">
        <x:v>0.7797272821302448</x:v>
      </x:c>
      <x:c r="O481" s="66" t="n">
        <x:v>557553.3445391548</x:v>
      </x:c>
      <x:c r="P481" s="66" t="n">
        <x:v>59785.51985162911</x:v>
      </x:c>
      <x:c r="Q481" s="66" t="n">
        <x:v>497767.82468752563</x:v>
      </x:c>
      <x:c r="R481" s="66" t="n">
        <x:v>156141.50838410924</x:v>
      </x:c>
      <x:c r="S481" s="66" t="n">
        <x:v>341626.31630341645</x:v>
      </x:c>
      <x:c r="T481" s="66" t="n">
        <x:v>286797.9210667919</x:v>
      </x:c>
      <x:c r="U481" s="45" t="n">
        <x:v>0.6216148540995468</x:v>
      </x:c>
      <x:c r="V481" s="45" t="n">
        <x:v>0.6553291492567203</x:v>
      </x:c>
      <x:c r="W481" s="45" t="n">
        <x:v>0.1102965591404081</x:v>
      </x:c>
      <x:c r="X481" s="66" t="n">
        <x:v>65461554.56762361</x:v>
      </x:c>
      <x:c r="Y481" s="66" t="n">
        <x:v>117.40859454754198</x:v>
      </x:c>
      <x:c r="Z481" s="66" t="n">
        <x:v>4545814.897395857</x:v>
      </x:c>
      <x:c r="AA481" s="66" t="n">
        <x:v>365115.3956966476</x:v>
      </x:c>
      <x:c r="AB481" s="66" t="n">
        <x:v>34716.936069374846</x:v>
      </x:c>
      <x:c r="AC481" s="66" t="n">
        <x:v>0</x:v>
      </x:c>
      <x:c r="AD481" s="66" t="n">
        <x:v>2417.8881718903954</x:v>
      </x:c>
      <x:c r="AE481" s="66" t="n">
        <x:v>264341.77534144087</x:v>
      </x:c>
      <x:c r="AF481" s="66" t="n">
        <x:v>243510.38433174707</x:v>
      </x:c>
      <x:c r="AG481" s="66" t="n">
        <x:v>43287.53673504485</x:v>
      </x:c>
      <x:c r="AH481" s="36" t="n">
        <x:v>0</x:v>
      </x:c>
    </x:row>
    <x:row r="482" ht="15" hidden="0" customHeight="1">
      <x:c r="A482" s="34" t="n">
        <x:v>120</x:v>
      </x:c>
      <x:c r="B482" s="34" t="str">
        <x:v>B1</x:v>
      </x:c>
      <x:c r="C482" s="34" t="str">
        <x:v>reference</x:v>
      </x:c>
      <x:c r="D482" s="74" t="n">
        <x:v>1.1590345626152527</x:v>
      </x:c>
      <x:c r="E482" s="74" t="n">
        <x:v>0.09348890958813927</x:v>
      </x:c>
      <x:c r="F482" s="74" t="n">
        <x:v>0.7994252650517993</x:v>
      </x:c>
      <x:c r="G482" s="74" t="n">
        <x:v>0.9792112896408299</x:v>
      </x:c>
      <x:c r="H482" s="74" t="n">
        <x:v>0.9277648638188298</x:v>
      </x:c>
      <x:c r="I482" s="74" t="n">
        <x:v>1.0279773853726664</x:v>
      </x:c>
      <x:c r="J482" s="74" t="n">
        <x:v>0.9953212501925902</x:v>
      </x:c>
      <x:c r="K482" s="74" t="n">
        <x:v>0.9754939078184961</x:v>
      </x:c>
      <x:c r="L482" s="74" t="n">
        <x:v>0.9039342221795803</x:v>
      </x:c>
      <x:c r="M482" s="74" t="n">
        <x:v>0.7690748654001491</x:v>
      </x:c>
      <x:c r="N482" s="74" t="n">
        <x:v>0.7797272821302448</x:v>
      </x:c>
      <x:c r="O482" s="65" t="n">
        <x:v>557553.3445391548</x:v>
      </x:c>
      <x:c r="P482" s="65" t="n">
        <x:v>202236.97105433367</x:v>
      </x:c>
      <x:c r="Q482" s="65" t="n">
        <x:v>355316.3734848212</x:v>
      </x:c>
      <x:c r="R482" s="65" t="n">
        <x:v>156141.50838410924</x:v>
      </x:c>
      <x:c r="S482" s="65" t="n">
        <x:v>199174.86510071188</x:v>
      </x:c>
      <x:c r="T482" s="65" t="n">
        <x:v>215224.4857819855</x:v>
      </x:c>
      <x:c r="U482" s="43" t="n">
        <x:v>0.7487381448341442</x:v>
      </x:c>
      <x:c r="V482" s="43" t="n">
        <x:v>0.790752734654908</x:v>
      </x:c>
      <x:c r="W482" s="43" t="n">
        <x:v>0.3860516105470478</x:v>
      </x:c>
      <x:c r="X482" s="65" t="n">
        <x:v>47414485.99707112</x:v>
      </x:c>
      <x:c r="Y482" s="65" t="n">
        <x:v>85.04026827470925</x:v>
      </x:c>
      <x:c r="Z482" s="65" t="n">
        <x:v>1554636.334817861</x:v>
      </x:c>
      <x:c r="AA482" s="65" t="n">
        <x:v>265319.1229899002</x:v>
      </x:c>
      <x:c r="AB482" s="65" t="n">
        <x:v>3776.6917012863405</x:v>
      </x:c>
      <x:c r="AC482" s="65" t="n">
        <x:v>39.966458856680305</x:v>
      </x:c>
      <x:c r="AD482" s="65" t="n">
        <x:v>2089.7170638327884</x:v>
      </x:c>
      <x:c r="AE482" s="65" t="n">
        <x:v>148123.2872383729</x:v>
      </x:c>
      <x:c r="AF482" s="65" t="n">
        <x:v>215224.48578198557</x:v>
      </x:c>
      <x:c r="AG482" s="65" t="n">
        <x:v>0</x:v>
      </x:c>
      <x:c r="AH482" s="34" t="n">
        <x:v>0</x:v>
      </x:c>
    </x:row>
    <x:row r="483" ht="15" hidden="0" customHeight="1">
      <x:c r="A483" s="36" t="n">
        <x:v>120</x:v>
      </x:c>
      <x:c r="B483" s="36" t="str">
        <x:v>P2</x:v>
      </x:c>
      <x:c r="C483" s="36" t="str">
        <x:v>reference</x:v>
      </x:c>
      <x:c r="D483" s="75" t="n">
        <x:v>1.1590345626152527</x:v>
      </x:c>
      <x:c r="E483" s="75" t="n">
        <x:v>0.09348890958813927</x:v>
      </x:c>
      <x:c r="F483" s="75" t="n">
        <x:v>0.7994252650517993</x:v>
      </x:c>
      <x:c r="G483" s="75" t="n">
        <x:v>0.9792112896408299</x:v>
      </x:c>
      <x:c r="H483" s="75" t="n">
        <x:v>0.9277648638188298</x:v>
      </x:c>
      <x:c r="I483" s="75" t="n">
        <x:v>1.0279773853726664</x:v>
      </x:c>
      <x:c r="J483" s="75" t="n">
        <x:v>0.9953212501925902</x:v>
      </x:c>
      <x:c r="K483" s="75" t="n">
        <x:v>0.9754939078184961</x:v>
      </x:c>
      <x:c r="L483" s="75" t="n">
        <x:v>0.9039342221795803</x:v>
      </x:c>
      <x:c r="M483" s="75" t="n">
        <x:v>0.7690748654001491</x:v>
      </x:c>
      <x:c r="N483" s="75" t="n">
        <x:v>0.7797272821302448</x:v>
      </x:c>
      <x:c r="O483" s="66" t="n">
        <x:v>557553.3445391548</x:v>
      </x:c>
      <x:c r="P483" s="66" t="n">
        <x:v>292980.9211971638</x:v>
      </x:c>
      <x:c r="Q483" s="66" t="n">
        <x:v>264572.423341991</x:v>
      </x:c>
      <x:c r="R483" s="66" t="n">
        <x:v>156141.50838410924</x:v>
      </x:c>
      <x:c r="S483" s="66" t="n">
        <x:v>108430.9149578817</x:v>
      </x:c>
      <x:c r="T483" s="66" t="n">
        <x:v>142882.30248568815</x:v>
      </x:c>
      <x:c r="U483" s="45" t="n">
        <x:v>0.7817426403263966</x:v>
      </x:c>
      <x:c r="V483" s="45" t="n">
        <x:v>0.8136376947934781</x:v>
      </x:c>
      <x:c r="W483" s="45" t="n">
        <x:v>0.473579272263217</x:v>
      </x:c>
      <x:c r="X483" s="66" t="n">
        <x:v>35424929.971103676</x:v>
      </x:c>
      <x:c r="Y483" s="66" t="n">
        <x:v>63.53639578717642</x:v>
      </x:c>
      <x:c r="Z483" s="66" t="n">
        <x:v>894224.6488917931</x:v>
      </x:c>
      <x:c r="AA483" s="66" t="n">
        <x:v>205015.84425728442</x:v>
      </x:c>
      <x:c r="AB483" s="66" t="n">
        <x:v>0</x:v>
      </x:c>
      <x:c r="AC483" s="66" t="n">
        <x:v>2827.8049334869474</x:v>
      </x:c>
      <x:c r="AD483" s="66" t="n">
        <x:v>1891.4258056226681</x:v>
      </x:c>
      <x:c r="AE483" s="66" t="n">
        <x:v>97082.77997779108</x:v>
      </x:c>
      <x:c r="AF483" s="66" t="n">
        <x:v>142882.30248568815</x:v>
      </x:c>
      <x:c r="AG483" s="66" t="n">
        <x:v>0</x:v>
      </x:c>
      <x:c r="AH483" s="36" t="n">
        <x:v>0</x:v>
      </x:c>
    </x:row>
    <x:row r="484" ht="15" hidden="0" customHeight="1">
      <x:c r="A484" s="34" t="n">
        <x:v>120</x:v>
      </x:c>
      <x:c r="B484" s="34" t="str">
        <x:v>H3</x:v>
      </x:c>
      <x:c r="C484" s="34" t="str">
        <x:v>reference</x:v>
      </x:c>
      <x:c r="D484" s="74" t="n">
        <x:v>1.1590345626152527</x:v>
      </x:c>
      <x:c r="E484" s="74" t="n">
        <x:v>0.09348890958813927</x:v>
      </x:c>
      <x:c r="F484" s="74" t="n">
        <x:v>0.7994252650517993</x:v>
      </x:c>
      <x:c r="G484" s="74" t="n">
        <x:v>0.9792112896408299</x:v>
      </x:c>
      <x:c r="H484" s="74" t="n">
        <x:v>0.9277648638188298</x:v>
      </x:c>
      <x:c r="I484" s="74" t="n">
        <x:v>1.0279773853726664</x:v>
      </x:c>
      <x:c r="J484" s="74" t="n">
        <x:v>0.9953212501925902</x:v>
      </x:c>
      <x:c r="K484" s="74" t="n">
        <x:v>0.9754939078184961</x:v>
      </x:c>
      <x:c r="L484" s="74" t="n">
        <x:v>0.9039342221795803</x:v>
      </x:c>
      <x:c r="M484" s="74" t="n">
        <x:v>0.7690748654001491</x:v>
      </x:c>
      <x:c r="N484" s="74" t="n">
        <x:v>0.7797272821302448</x:v>
      </x:c>
      <x:c r="O484" s="65" t="n">
        <x:v>557553.3445391548</x:v>
      </x:c>
      <x:c r="P484" s="65" t="n">
        <x:v>303926.153957861</x:v>
      </x:c>
      <x:c r="Q484" s="65" t="n">
        <x:v>253627.19058129383</x:v>
      </x:c>
      <x:c r="R484" s="65" t="n">
        <x:v>156141.50838410924</x:v>
      </x:c>
      <x:c r="S484" s="65" t="n">
        <x:v>97485.68219718456</x:v>
      </x:c>
      <x:c r="T484" s="65" t="n">
        <x:v>221047.7271753982</x:v>
      </x:c>
      <x:c r="U484" s="43" t="n">
        <x:v>0.9415670917859453</x:v>
      </x:c>
      <x:c r="V484" s="43" t="n">
        <x:v>0.9532308883237129</x:v>
      </x:c>
      <x:c r="W484" s="43" t="n">
        <x:v>0.6845479061461558</x:v>
      </x:c>
      <x:c r="X484" s="65" t="n">
        <x:v>27288476.389236204</x:v>
      </x:c>
      <x:c r="Y484" s="65" t="n">
        <x:v>48.94325656281637</x:v>
      </x:c>
      <x:c r="Z484" s="65" t="n">
        <x:v>1482882.9378584921</x:v>
      </x:c>
      <x:c r="AA484" s="65" t="n">
        <x:v>170078.16621910644</x:v>
      </x:c>
      <x:c r="AB484" s="65" t="n">
        <x:v>2733.5868844078623</x:v>
      </x:c>
      <x:c r="AC484" s="65" t="n">
        <x:v>935.474497070985</x:v>
      </x:c>
      <x:c r="AD484" s="65" t="n">
        <x:v>1869.1662971520855</x:v>
      </x:c>
      <x:c r="AE484" s="65" t="n">
        <x:v>119995.07141131852</x:v>
      </x:c>
      <x:c r="AF484" s="65" t="n">
        <x:v>221047.727175398</x:v>
      </x:c>
      <x:c r="AG484" s="65" t="n">
        <x:v>2.0372681319713593e-10</x:v>
      </x:c>
      <x:c r="AH484" s="34" t="n">
        <x:v>0</x:v>
      </x:c>
    </x:row>
    <x:row r="485" ht="21.600000381469727" hidden="0" customHeight="1">
      <x:c r="A485" s="36" t="n">
        <x:v>121</x:v>
      </x:c>
      <x:c r="B485" s="36" t="str">
        <x:v>M0</x:v>
      </x:c>
      <x:c r="C485" s="36" t="str">
        <x:v>fast</x:v>
      </x:c>
      <x:c r="D485" s="75" t="n">
        <x:v>1.1737757980675165</x:v>
      </x:c>
      <x:c r="E485" s="75" t="n">
        <x:v>-0.03964391603575626</x:v>
      </x:c>
      <x:c r="F485" s="75" t="n">
        <x:v>0.8620163912340603</x:v>
      </x:c>
      <x:c r="G485" s="75" t="n">
        <x:v>1.2597641732678249</x:v>
      </x:c>
      <x:c r="H485" s="75" t="n">
        <x:v>0.9054920352183348</x:v>
      </x:c>
      <x:c r="I485" s="75" t="n">
        <x:v>0.872088832357865</x:v>
      </x:c>
      <x:c r="J485" s="75" t="n">
        <x:v>0.7235310626055468</x:v>
      </x:c>
      <x:c r="K485" s="75" t="n">
        <x:v>0.9164612440515014</x:v>
      </x:c>
      <x:c r="L485" s="75" t="n">
        <x:v>1.0431762610073398</x:v>
      </x:c>
      <x:c r="M485" s="75" t="n">
        <x:v>0.7758447050105078</x:v>
      </x:c>
      <x:c r="N485" s="75" t="n">
        <x:v>0.8377686111607778</x:v>
      </x:c>
      <x:c r="O485" s="66" t="n">
        <x:v>564644.6129052192</x:v>
      </x:c>
      <x:c r="P485" s="66" t="n">
        <x:v>77361.57763572037</x:v>
      </x:c>
      <x:c r="Q485" s="66" t="n">
        <x:v>487283.0352694988</x:v>
      </x:c>
      <x:c r="R485" s="66" t="n">
        <x:v>82954.66869334853</x:v>
      </x:c>
      <x:c r="S485" s="66" t="n">
        <x:v>404328.3665761503</x:v>
      </x:c>
      <x:c r="T485" s="66" t="n">
        <x:v>272751.61699057464</x:v>
      </x:c>
      <x:c r="U485" s="45" t="n">
        <x:v>0.6200593906756438</x:v>
      </x:c>
      <x:c r="V485" s="45" t="n">
        <x:v>0.6404582224588398</x:v>
      </x:c>
      <x:c r="W485" s="45" t="n">
        <x:v>0.13485932856499014</x:v>
      </x:c>
      <x:c r="X485" s="66" t="n">
        <x:v>65450296.68154476</x:v>
      </x:c>
      <x:c r="Y485" s="66" t="n">
        <x:v>115.91414349069721</x:v>
      </x:c>
      <x:c r="Z485" s="66" t="n">
        <x:v>6193587.151423728</x:v>
      </x:c>
      <x:c r="AA485" s="66" t="n">
        <x:v>351082.4801951118</x:v>
      </x:c>
      <x:c r="AB485" s="66" t="n">
        <x:v>54662.11465764059</x:v>
      </x:c>
      <x:c r="AC485" s="66" t="n">
        <x:v>3510.819804696034</x:v>
      </x:c>
      <x:c r="AD485" s="66" t="n">
        <x:v>2378.049605991715</x:v>
      </x:c>
      <x:c r="AE485" s="66" t="n">
        <x:v>248623.88098914424</x:v>
      </x:c>
      <x:c r="AF485" s="66" t="n">
        <x:v>236096.51726279545</x:v>
      </x:c>
      <x:c r="AG485" s="66" t="n">
        <x:v>36655.09972777919</x:v>
      </x:c>
      <x:c r="AH485" s="36" t="n">
        <x:v>0</x:v>
      </x:c>
    </x:row>
    <x:row r="486" ht="21.600000381469727" hidden="0" customHeight="1">
      <x:c r="A486" s="34" t="n">
        <x:v>121</x:v>
      </x:c>
      <x:c r="B486" s="34" t="str">
        <x:v>B1</x:v>
      </x:c>
      <x:c r="C486" s="34" t="str">
        <x:v>fast</x:v>
      </x:c>
      <x:c r="D486" s="74" t="n">
        <x:v>1.1737757980675165</x:v>
      </x:c>
      <x:c r="E486" s="74" t="n">
        <x:v>-0.03964391603575626</x:v>
      </x:c>
      <x:c r="F486" s="74" t="n">
        <x:v>0.8620163912340603</x:v>
      </x:c>
      <x:c r="G486" s="74" t="n">
        <x:v>1.2597641732678249</x:v>
      </x:c>
      <x:c r="H486" s="74" t="n">
        <x:v>0.9054920352183348</x:v>
      </x:c>
      <x:c r="I486" s="74" t="n">
        <x:v>0.872088832357865</x:v>
      </x:c>
      <x:c r="J486" s="74" t="n">
        <x:v>0.7235310626055468</x:v>
      </x:c>
      <x:c r="K486" s="74" t="n">
        <x:v>0.9164612440515014</x:v>
      </x:c>
      <x:c r="L486" s="74" t="n">
        <x:v>1.0431762610073398</x:v>
      </x:c>
      <x:c r="M486" s="74" t="n">
        <x:v>0.7758447050105078</x:v>
      </x:c>
      <x:c r="N486" s="74" t="n">
        <x:v>0.8377686111607778</x:v>
      </x:c>
      <x:c r="O486" s="65" t="n">
        <x:v>564644.6129052192</x:v>
      </x:c>
      <x:c r="P486" s="65" t="n">
        <x:v>261686.72759165955</x:v>
      </x:c>
      <x:c r="Q486" s="65" t="n">
        <x:v>302957.8853135597</x:v>
      </x:c>
      <x:c r="R486" s="65" t="n">
        <x:v>82954.66869334853</x:v>
      </x:c>
      <x:c r="S486" s="65" t="n">
        <x:v>220003.21662021114</x:v>
      </x:c>
      <x:c r="T486" s="65" t="n">
        <x:v>197348.17070659366</x:v>
      </x:c>
      <x:c r="U486" s="43" t="n">
        <x:v>0.8129625038595851</x:v>
      </x:c>
      <x:c r="V486" s="43" t="n">
        <x:v>0.8270118226490514</x:v>
      </x:c>
      <x:c r="W486" s="43" t="n">
        <x:v>0.5073553256892825</x:v>
      </x:c>
      <x:c r="X486" s="65" t="n">
        <x:v>41067285.97206352</x:v>
      </x:c>
      <x:c r="Y486" s="65" t="n">
        <x:v>72.7312100982659</x:v>
      </x:c>
      <x:c r="Z486" s="65" t="n">
        <x:v>2732027.3759403005</x:v>
      </x:c>
      <x:c r="AA486" s="65" t="n">
        <x:v>215021.9872271819</x:v>
      </x:c>
      <x:c r="AB486" s="65" t="n">
        <x:v>15558.47637728782</x:v>
      </x:c>
      <x:c r="AC486" s="65" t="n">
        <x:v>6828.472523399408</x:v>
      </x:c>
      <x:c r="AD486" s="65" t="n">
        <x:v>1885.8581395356532</x:v>
      </x:c>
      <x:c r="AE486" s="65" t="n">
        <x:v>141079.54215783795</x:v>
      </x:c>
      <x:c r="AF486" s="65" t="n">
        <x:v>197348.17070659372</x:v>
      </x:c>
      <x:c r="AG486" s="65" t="n">
        <x:v>0</x:v>
      </x:c>
      <x:c r="AH486" s="34" t="n">
        <x:v>0</x:v>
      </x:c>
    </x:row>
    <x:row r="487" ht="21.600000381469727" hidden="0" customHeight="1">
      <x:c r="A487" s="36" t="n">
        <x:v>121</x:v>
      </x:c>
      <x:c r="B487" s="36" t="str">
        <x:v>P2</x:v>
      </x:c>
      <x:c r="C487" s="36" t="str">
        <x:v>fast</x:v>
      </x:c>
      <x:c r="D487" s="75" t="n">
        <x:v>1.1737757980675165</x:v>
      </x:c>
      <x:c r="E487" s="75" t="n">
        <x:v>-0.03964391603575626</x:v>
      </x:c>
      <x:c r="F487" s="75" t="n">
        <x:v>0.8620163912340603</x:v>
      </x:c>
      <x:c r="G487" s="75" t="n">
        <x:v>1.2597641732678249</x:v>
      </x:c>
      <x:c r="H487" s="75" t="n">
        <x:v>0.9054920352183348</x:v>
      </x:c>
      <x:c r="I487" s="75" t="n">
        <x:v>0.872088832357865</x:v>
      </x:c>
      <x:c r="J487" s="75" t="n">
        <x:v>0.7235310626055468</x:v>
      </x:c>
      <x:c r="K487" s="75" t="n">
        <x:v>0.9164612440515014</x:v>
      </x:c>
      <x:c r="L487" s="75" t="n">
        <x:v>1.0431762610073398</x:v>
      </x:c>
      <x:c r="M487" s="75" t="n">
        <x:v>0.7758447050105078</x:v>
      </x:c>
      <x:c r="N487" s="75" t="n">
        <x:v>0.8377686111607778</x:v>
      </x:c>
      <x:c r="O487" s="66" t="n">
        <x:v>564644.6129052192</x:v>
      </x:c>
      <x:c r="P487" s="66" t="n">
        <x:v>379101.83497913927</x:v>
      </x:c>
      <x:c r="Q487" s="66" t="n">
        <x:v>185542.77792607996</x:v>
      </x:c>
      <x:c r="R487" s="66" t="n">
        <x:v>82954.66869334853</x:v>
      </x:c>
      <x:c r="S487" s="66" t="n">
        <x:v>102588.10923273144</x:v>
      </x:c>
      <x:c r="T487" s="66" t="n">
        <x:v>135302.30309935933</x:v>
      </x:c>
      <x:c r="U487" s="45" t="n">
        <x:v>0.9110228386520461</x:v>
      </x:c>
      <x:c r="V487" s="45" t="n">
        <x:v>0.9247183132243392</x:v>
      </x:c>
      <x:c r="W487" s="45" t="n">
        <x:v>0.7536637284305233</x:v>
      </x:c>
      <x:c r="X487" s="66" t="n">
        <x:v>23337033.571698613</x:v>
      </x:c>
      <x:c r="Y487" s="66" t="n">
        <x:v>41.33048122362224</x:v>
      </x:c>
      <x:c r="Z487" s="66" t="n">
        <x:v>1109630.2418671956</x:v>
      </x:c>
      <x:c r="AA487" s="66" t="n">
        <x:v>130996.70121914215</x:v>
      </x:c>
      <x:c r="AB487" s="66" t="n">
        <x:v>0</x:v>
      </x:c>
      <x:c r="AC487" s="66" t="n">
        <x:v>7243.464161642834</x:v>
      </x:c>
      <x:c r="AD487" s="66" t="n">
        <x:v>1588.4606454615418</x:v>
      </x:c>
      <x:c r="AE487" s="66" t="n">
        <x:v>92561.63588560148</x:v>
      </x:c>
      <x:c r="AF487" s="66" t="n">
        <x:v>135302.30309935927</x:v>
      </x:c>
      <x:c r="AG487" s="66" t="n">
        <x:v>5.820766091346741e-11</x:v>
      </x:c>
      <x:c r="AH487" s="36" t="n">
        <x:v>0</x:v>
      </x:c>
    </x:row>
    <x:row r="488" ht="21.600000381469727" hidden="0" customHeight="1">
      <x:c r="A488" s="34" t="n">
        <x:v>121</x:v>
      </x:c>
      <x:c r="B488" s="34" t="str">
        <x:v>H3</x:v>
      </x:c>
      <x:c r="C488" s="34" t="str">
        <x:v>fast</x:v>
      </x:c>
      <x:c r="D488" s="74" t="n">
        <x:v>1.1737757980675165</x:v>
      </x:c>
      <x:c r="E488" s="74" t="n">
        <x:v>-0.03964391603575626</x:v>
      </x:c>
      <x:c r="F488" s="74" t="n">
        <x:v>0.8620163912340603</x:v>
      </x:c>
      <x:c r="G488" s="74" t="n">
        <x:v>1.2597641732678249</x:v>
      </x:c>
      <x:c r="H488" s="74" t="n">
        <x:v>0.9054920352183348</x:v>
      </x:c>
      <x:c r="I488" s="74" t="n">
        <x:v>0.872088832357865</x:v>
      </x:c>
      <x:c r="J488" s="74" t="n">
        <x:v>0.7235310626055468</x:v>
      </x:c>
      <x:c r="K488" s="74" t="n">
        <x:v>0.9164612440515014</x:v>
      </x:c>
      <x:c r="L488" s="74" t="n">
        <x:v>1.0431762610073398</x:v>
      </x:c>
      <x:c r="M488" s="74" t="n">
        <x:v>0.7758447050105078</x:v>
      </x:c>
      <x:c r="N488" s="74" t="n">
        <x:v>0.8377686111607778</x:v>
      </x:c>
      <x:c r="O488" s="65" t="n">
        <x:v>564644.6129052192</x:v>
      </x:c>
      <x:c r="P488" s="65" t="n">
        <x:v>393263.57815471577</x:v>
      </x:c>
      <x:c r="Q488" s="65" t="n">
        <x:v>171381.03475050343</x:v>
      </x:c>
      <x:c r="R488" s="65" t="n">
        <x:v>82954.66869334853</x:v>
      </x:c>
      <x:c r="S488" s="65" t="n">
        <x:v>88426.3660571549</x:v>
      </x:c>
      <x:c r="T488" s="65" t="n">
        <x:v>169825.95894559525</x:v>
      </x:c>
      <x:c r="U488" s="43" t="n">
        <x:v>0.9972459211168119</x:v>
      </x:c>
      <x:c r="V488" s="43" t="n">
        <x:v>0.9982653518516054</x:v>
      </x:c>
      <x:c r="W488" s="43" t="n">
        <x:v>0.9724592111681192</x:v>
      </x:c>
      <x:c r="X488" s="65" t="n">
        <x:v>16942778.316417355</x:v>
      </x:c>
      <x:c r="Y488" s="65" t="n">
        <x:v>30.006092202390953</x:v>
      </x:c>
      <x:c r="Z488" s="65" t="n">
        <x:v>2034716.7321128305</x:v>
      </x:c>
      <x:c r="AA488" s="65" t="n">
        <x:v>103023.57151052303</x:v>
      </x:c>
      <x:c r="AB488" s="65" t="n">
        <x:v>9079.486480419737</x:v>
      </x:c>
      <x:c r="AC488" s="65" t="n">
        <x:v>13628.24708013736</x:v>
      </x:c>
      <x:c r="AD488" s="65" t="n">
        <x:v>1555.0758049081678</x:v>
      </x:c>
      <x:c r="AE488" s="65" t="n">
        <x:v>71038.87915280437</x:v>
      </x:c>
      <x:c r="AF488" s="65" t="n">
        <x:v>169825.95894559528</x:v>
      </x:c>
      <x:c r="AG488" s="65" t="n">
        <x:v>0</x:v>
      </x:c>
      <x:c r="AH488" s="34" t="n">
        <x:v>1</x:v>
      </x:c>
    </x:row>
    <x:row r="489" ht="15" hidden="0" customHeight="1">
      <x:c r="A489" s="36" t="n">
        <x:v>122</x:v>
      </x:c>
      <x:c r="B489" s="36" t="str">
        <x:v>M0</x:v>
      </x:c>
      <x:c r="C489" s="36" t="str">
        <x:v>reference</x:v>
      </x:c>
      <x:c r="D489" s="75" t="n">
        <x:v>0.9546979406048788</x:v>
      </x:c>
      <x:c r="E489" s="75" t="n">
        <x:v>-0.02764342030541133</x:v>
      </x:c>
      <x:c r="F489" s="75" t="n">
        <x:v>0.8937248791722779</x:v>
      </x:c>
      <x:c r="G489" s="75" t="n">
        <x:v>1.1976292499839767</x:v>
      </x:c>
      <x:c r="H489" s="75" t="n">
        <x:v>0.7632543122237379</x:v>
      </x:c>
      <x:c r="I489" s="75" t="n">
        <x:v>0.9871821229639536</x:v>
      </x:c>
      <x:c r="J489" s="75" t="n">
        <x:v>0.911707901199506</x:v>
      </x:c>
      <x:c r="K489" s="75" t="n">
        <x:v>0.9978550683293435</x:v>
      </x:c>
      <x:c r="L489" s="75" t="n">
        <x:v>0.9484549755580556</x:v>
      </x:c>
      <x:c r="M489" s="75" t="n">
        <x:v>0.8207262891331826</x:v>
      </x:c>
      <x:c r="N489" s="75" t="n">
        <x:v>0.827925366019247</x:v>
      </x:c>
      <x:c r="O489" s="66" t="n">
        <x:v>459257.2533883888</x:v>
      </x:c>
      <x:c r="P489" s="66" t="n">
        <x:v>64319.21046993376</x:v>
      </x:c>
      <x:c r="Q489" s="66" t="n">
        <x:v>394938.0429184551</x:v>
      </x:c>
      <x:c r="R489" s="66" t="n">
        <x:v>72983.01713701378</x:v>
      </x:c>
      <x:c r="S489" s="66" t="n">
        <x:v>321955.02578144125</x:v>
      </x:c>
      <x:c r="T489" s="66" t="n">
        <x:v>262186.9930949631</x:v>
      </x:c>
      <x:c r="U489" s="45" t="n">
        <x:v>0.7109440322519504</x:v>
      </x:c>
      <x:c r="V489" s="45" t="n">
        <x:v>0.7523044264288227</x:v>
      </x:c>
      <x:c r="W489" s="45" t="n">
        <x:v>0.1469217812091805</x:v>
      </x:c>
      <x:c r="X489" s="66" t="n">
        <x:v>50516169.60049979</x:v>
      </x:c>
      <x:c r="Y489" s="66" t="n">
        <x:v>109.99536583862906</x:v>
      </x:c>
      <x:c r="Z489" s="66" t="n">
        <x:v>3278706.377613938</x:v>
      </x:c>
      <x:c r="AA489" s="66" t="n">
        <x:v>280299.9926720479</x:v>
      </x:c>
      <x:c r="AB489" s="66" t="n">
        <x:v>20191.04716581099</x:v>
      </x:c>
      <x:c r="AC489" s="66" t="n">
        <x:v>0</x:v>
      </x:c>
      <x:c r="AD489" s="66" t="n">
        <x:v>1932.1908259253955</x:v>
      </x:c>
      <x:c r="AE489" s="66" t="n">
        <x:v>238342.74255360878</x:v>
      </x:c>
      <x:c r="AF489" s="66" t="n">
        <x:v>262186.9930949629</x:v>
      </x:c>
      <x:c r="AG489" s="66" t="n">
        <x:v>1.7462298274040222e-10</x:v>
      </x:c>
      <x:c r="AH489" s="36" t="n">
        <x:v>0</x:v>
      </x:c>
    </x:row>
    <x:row r="490" ht="15" hidden="0" customHeight="1">
      <x:c r="A490" s="34" t="n">
        <x:v>122</x:v>
      </x:c>
      <x:c r="B490" s="34" t="str">
        <x:v>B1</x:v>
      </x:c>
      <x:c r="C490" s="34" t="str">
        <x:v>reference</x:v>
      </x:c>
      <x:c r="D490" s="74" t="n">
        <x:v>0.9546979406048788</x:v>
      </x:c>
      <x:c r="E490" s="74" t="n">
        <x:v>-0.02764342030541133</x:v>
      </x:c>
      <x:c r="F490" s="74" t="n">
        <x:v>0.8937248791722779</x:v>
      </x:c>
      <x:c r="G490" s="74" t="n">
        <x:v>1.1976292499839767</x:v>
      </x:c>
      <x:c r="H490" s="74" t="n">
        <x:v>0.7632543122237379</x:v>
      </x:c>
      <x:c r="I490" s="74" t="n">
        <x:v>0.9871821229639536</x:v>
      </x:c>
      <x:c r="J490" s="74" t="n">
        <x:v>0.911707901199506</x:v>
      </x:c>
      <x:c r="K490" s="74" t="n">
        <x:v>0.9978550683293435</x:v>
      </x:c>
      <x:c r="L490" s="74" t="n">
        <x:v>0.9484549755580556</x:v>
      </x:c>
      <x:c r="M490" s="74" t="n">
        <x:v>0.8207262891331826</x:v>
      </x:c>
      <x:c r="N490" s="74" t="n">
        <x:v>0.827925366019247</x:v>
      </x:c>
      <x:c r="O490" s="65" t="n">
        <x:v>459257.2533883888</x:v>
      </x:c>
      <x:c r="P490" s="65" t="n">
        <x:v>217569.34947253246</x:v>
      </x:c>
      <x:c r="Q490" s="65" t="n">
        <x:v>241687.90391585635</x:v>
      </x:c>
      <x:c r="R490" s="65" t="n">
        <x:v>72983.01713701378</x:v>
      </x:c>
      <x:c r="S490" s="65" t="n">
        <x:v>168704.88677884257</x:v>
      </x:c>
      <x:c r="T490" s="65" t="n">
        <x:v>180758.14968012657</x:v>
      </x:c>
      <x:c r="U490" s="43" t="n">
        <x:v>0.86732979438824</x:v>
      </x:c>
      <x:c r="V490" s="43" t="n">
        <x:v>0.8909059123177318</x:v>
      </x:c>
      <x:c r="W490" s="43" t="n">
        <x:v>0.5368821403491937</x:v>
      </x:c>
      <x:c r="X490" s="65" t="n">
        <x:v>31241421.322626896</x:v>
      </x:c>
      <x:c r="Y490" s="65" t="n">
        <x:v>68.0259725722968</x:v>
      </x:c>
      <x:c r="Z490" s="65" t="n">
        <x:v>1142651.772287272</x:v>
      </x:c>
      <x:c r="AA490" s="65" t="n">
        <x:v>168619.82070734777</x:v>
      </x:c>
      <x:c r="AB490" s="65" t="n">
        <x:v>842.4383100259432</x:v>
      </x:c>
      <x:c r="AC490" s="65" t="n">
        <x:v>0</x:v>
      </x:c>
      <x:c r="AD490" s="65" t="n">
        <x:v>1527.310498437525</x:v>
      </x:c>
      <x:c r="AE490" s="65" t="n">
        <x:v>113596.19149135357</x:v>
      </x:c>
      <x:c r="AF490" s="65" t="n">
        <x:v>180758.14968012657</x:v>
      </x:c>
      <x:c r="AG490" s="65" t="n">
        <x:v>0</x:v>
      </x:c>
      <x:c r="AH490" s="34" t="n">
        <x:v>0</x:v>
      </x:c>
    </x:row>
    <x:row r="491" ht="15" hidden="0" customHeight="1">
      <x:c r="A491" s="36" t="n">
        <x:v>122</x:v>
      </x:c>
      <x:c r="B491" s="36" t="str">
        <x:v>P2</x:v>
      </x:c>
      <x:c r="C491" s="36" t="str">
        <x:v>reference</x:v>
      </x:c>
      <x:c r="D491" s="75" t="n">
        <x:v>0.9546979406048788</x:v>
      </x:c>
      <x:c r="E491" s="75" t="n">
        <x:v>-0.02764342030541133</x:v>
      </x:c>
      <x:c r="F491" s="75" t="n">
        <x:v>0.8937248791722779</x:v>
      </x:c>
      <x:c r="G491" s="75" t="n">
        <x:v>1.1976292499839767</x:v>
      </x:c>
      <x:c r="H491" s="75" t="n">
        <x:v>0.7632543122237379</x:v>
      </x:c>
      <x:c r="I491" s="75" t="n">
        <x:v>0.9871821229639536</x:v>
      </x:c>
      <x:c r="J491" s="75" t="n">
        <x:v>0.911707901199506</x:v>
      </x:c>
      <x:c r="K491" s="75" t="n">
        <x:v>0.9978550683293435</x:v>
      </x:c>
      <x:c r="L491" s="75" t="n">
        <x:v>0.9484549755580556</x:v>
      </x:c>
      <x:c r="M491" s="75" t="n">
        <x:v>0.8207262891331826</x:v>
      </x:c>
      <x:c r="N491" s="75" t="n">
        <x:v>0.827925366019247</x:v>
      </x:c>
      <x:c r="O491" s="66" t="n">
        <x:v>459257.2533883888</x:v>
      </x:c>
      <x:c r="P491" s="66" t="n">
        <x:v>315189.875139241</x:v>
      </x:c>
      <x:c r="Q491" s="66" t="n">
        <x:v>144067.3782491479</x:v>
      </x:c>
      <x:c r="R491" s="66" t="n">
        <x:v>72983.01713701378</x:v>
      </x:c>
      <x:c r="S491" s="66" t="n">
        <x:v>71084.3611121341</x:v>
      </x:c>
      <x:c r="T491" s="66" t="n">
        <x:v>116205.5408190159</x:v>
      </x:c>
      <x:c r="U491" s="45" t="n">
        <x:v>0.9393328309469955</x:v>
      </x:c>
      <x:c r="V491" s="45" t="n">
        <x:v>0.948595253986242</x:v>
      </x:c>
      <x:c r="W491" s="45" t="n">
        <x:v>0.7214963484926356</x:v>
      </x:c>
      <x:c r="X491" s="66" t="n">
        <x:v>17491903.06718321</x:v>
      </x:c>
      <x:c r="Y491" s="66" t="n">
        <x:v>38.08737464270489</x:v>
      </x:c>
      <x:c r="Z491" s="66" t="n">
        <x:v>726829.3830782067</x:v>
      </x:c>
      <x:c r="AA491" s="66" t="n">
        <x:v>99263.77580185643</x:v>
      </x:c>
      <x:c r="AB491" s="66" t="n">
        <x:v>0</x:v>
      </x:c>
      <x:c r="AC491" s="66" t="n">
        <x:v>0</x:v>
      </x:c>
      <x:c r="AD491" s="66" t="n">
        <x:v>1282.6691281557682</x:v>
      </x:c>
      <x:c r="AE491" s="66" t="n">
        <x:v>64192.93336251063</x:v>
      </x:c>
      <x:c r="AF491" s="66" t="n">
        <x:v>116205.54081901588</x:v>
      </x:c>
      <x:c r="AG491" s="66" t="n">
        <x:v>2.9103830456733704e-11</x:v>
      </x:c>
      <x:c r="AH491" s="36" t="n">
        <x:v>0</x:v>
      </x:c>
    </x:row>
    <x:row r="492" ht="15" hidden="0" customHeight="1">
      <x:c r="A492" s="34" t="n">
        <x:v>122</x:v>
      </x:c>
      <x:c r="B492" s="34" t="str">
        <x:v>H3</x:v>
      </x:c>
      <x:c r="C492" s="34" t="str">
        <x:v>reference</x:v>
      </x:c>
      <x:c r="D492" s="74" t="n">
        <x:v>0.9546979406048788</x:v>
      </x:c>
      <x:c r="E492" s="74" t="n">
        <x:v>-0.02764342030541133</x:v>
      </x:c>
      <x:c r="F492" s="74" t="n">
        <x:v>0.8937248791722779</x:v>
      </x:c>
      <x:c r="G492" s="74" t="n">
        <x:v>1.1976292499839767</x:v>
      </x:c>
      <x:c r="H492" s="74" t="n">
        <x:v>0.7632543122237379</x:v>
      </x:c>
      <x:c r="I492" s="74" t="n">
        <x:v>0.9871821229639536</x:v>
      </x:c>
      <x:c r="J492" s="74" t="n">
        <x:v>0.911707901199506</x:v>
      </x:c>
      <x:c r="K492" s="74" t="n">
        <x:v>0.9978550683293435</x:v>
      </x:c>
      <x:c r="L492" s="74" t="n">
        <x:v>0.9484549755580556</x:v>
      </x:c>
      <x:c r="M492" s="74" t="n">
        <x:v>0.8207262891331826</x:v>
      </x:c>
      <x:c r="N492" s="74" t="n">
        <x:v>0.827925366019247</x:v>
      </x:c>
      <x:c r="O492" s="65" t="n">
        <x:v>459257.2533883888</x:v>
      </x:c>
      <x:c r="P492" s="65" t="n">
        <x:v>326964.17255916196</x:v>
      </x:c>
      <x:c r="Q492" s="65" t="n">
        <x:v>132293.08082922688</x:v>
      </x:c>
      <x:c r="R492" s="65" t="n">
        <x:v>72983.01713701378</x:v>
      </x:c>
      <x:c r="S492" s="65" t="n">
        <x:v>59310.06369221308</x:v>
      </x:c>
      <x:c r="T492" s="65" t="n">
        <x:v>131037.87431693828</x:v>
      </x:c>
      <x:c r="U492" s="43" t="n">
        <x:v>0.9972668771085755</x:v>
      </x:c>
      <x:c r="V492" s="43" t="n">
        <x:v>0.9982785492310714</x:v>
      </x:c>
      <x:c r="W492" s="43" t="n">
        <x:v>0.9726687710857538</x:v>
      </x:c>
      <x:c r="X492" s="65" t="n">
        <x:v>13368840.414785543</x:v>
      </x:c>
      <x:c r="Y492" s="65" t="n">
        <x:v>29.10969901106747</x:v>
      </x:c>
      <x:c r="Z492" s="65" t="n">
        <x:v>793156.1951420197</x:v>
      </x:c>
      <x:c r="AA492" s="65" t="n">
        <x:v>80663.90101729854</x:v>
      </x:c>
      <x:c r="AB492" s="65" t="n">
        <x:v>1016.0168296200884</x:v>
      </x:c>
      <x:c r="AC492" s="65" t="n">
        <x:v>0</x:v>
      </x:c>
      <x:c r="AD492" s="65" t="n">
        <x:v>1255.2065122886015</x:v>
      </x:c>
      <x:c r="AE492" s="65" t="n">
        <x:v>57342.21474259347</x:v>
      </x:c>
      <x:c r="AF492" s="65" t="n">
        <x:v>131037.87431693825</x:v>
      </x:c>
      <x:c r="AG492" s="65" t="n">
        <x:v>2.9103830456733704e-11</x:v>
      </x:c>
      <x:c r="AH492" s="34" t="n">
        <x:v>1</x:v>
      </x:c>
    </x:row>
    <x:row r="493" ht="15" hidden="0" customHeight="1">
      <x:c r="A493" s="36" t="n">
        <x:v>123</x:v>
      </x:c>
      <x:c r="B493" s="36" t="str">
        <x:v>M0</x:v>
      </x:c>
      <x:c r="C493" s="36" t="str">
        <x:v>reference</x:v>
      </x:c>
      <x:c r="D493" s="75" t="n">
        <x:v>1.1715764555153536</x:v>
      </x:c>
      <x:c r="E493" s="75" t="n">
        <x:v>0.01143663816023429</x:v>
      </x:c>
      <x:c r="F493" s="75" t="n">
        <x:v>0.807249274222937</x:v>
      </x:c>
      <x:c r="G493" s="75" t="n">
        <x:v>1.0705706480348989</x:v>
      </x:c>
      <x:c r="H493" s="75" t="n">
        <x:v>1.0645365657669696</x:v>
      </x:c>
      <x:c r="I493" s="75" t="n">
        <x:v>0.8904645604023879</x:v>
      </x:c>
      <x:c r="J493" s="75" t="n">
        <x:v>1.0024292982617244</x:v>
      </x:c>
      <x:c r="K493" s="75" t="n">
        <x:v>0.777090816125979</x:v>
      </x:c>
      <x:c r="L493" s="75" t="n">
        <x:v>1.0149497008969472</x:v>
      </x:c>
      <x:c r="M493" s="75" t="n">
        <x:v>1.05917325248628</x:v>
      </x:c>
      <x:c r="N493" s="75" t="n">
        <x:v>0.8965125718129229</x:v>
      </x:c>
      <x:c r="O493" s="66" t="n">
        <x:v>563586.6196103697</x:v>
      </x:c>
      <x:c r="P493" s="66" t="n">
        <x:v>67980.2112750564</x:v>
      </x:c>
      <x:c r="Q493" s="66" t="n">
        <x:v>495606.4083353133</x:v>
      </x:c>
      <x:c r="R493" s="66" t="n">
        <x:v>111587.55065285525</x:v>
      </x:c>
      <x:c r="S493" s="66" t="n">
        <x:v>384018.8576824581</x:v>
      </x:c>
      <x:c r="T493" s="66" t="n">
        <x:v>299825.30325766484</x:v>
      </x:c>
      <x:c r="U493" s="45" t="n">
        <x:v>0.6526157678956256</x:v>
      </x:c>
      <x:c r="V493" s="45" t="n">
        <x:v>0.6760020094024104</x:v>
      </x:c>
      <x:c r="W493" s="45" t="n">
        <x:v>0.11809379432390957</x:v>
      </x:c>
      <x:c r="X493" s="66" t="n">
        <x:v>64913055.979484834</x:v>
      </x:c>
      <x:c r="Y493" s="66" t="n">
        <x:v>115.17849026359403</x:v>
      </x:c>
      <x:c r="Z493" s="66" t="n">
        <x:v>7240913.916138053</x:v>
      </x:c>
      <x:c r="AA493" s="66" t="n">
        <x:v>347087.29667421797</x:v>
      </x:c>
      <x:c r="AB493" s="66" t="n">
        <x:v>65843.60665330125</x:v>
      </x:c>
      <x:c r="AC493" s="66" t="n">
        <x:v>0</x:v>
      </x:c>
      <x:c r="AD493" s="66" t="n">
        <x:v>2408.572396202435</x:v>
      </x:c>
      <x:c r="AE493" s="66" t="n">
        <x:v>222366.61705302837</x:v>
      </x:c>
      <x:c r="AF493" s="66" t="n">
        <x:v>299825.3032576648</x:v>
      </x:c>
      <x:c r="AG493" s="66" t="n">
        <x:v>5.820766091346741e-11</x:v>
      </x:c>
      <x:c r="AH493" s="36" t="n">
        <x:v>0</x:v>
      </x:c>
    </x:row>
    <x:row r="494" ht="15" hidden="0" customHeight="1">
      <x:c r="A494" s="34" t="n">
        <x:v>123</x:v>
      </x:c>
      <x:c r="B494" s="34" t="str">
        <x:v>B1</x:v>
      </x:c>
      <x:c r="C494" s="34" t="str">
        <x:v>reference</x:v>
      </x:c>
      <x:c r="D494" s="74" t="n">
        <x:v>1.1715764555153536</x:v>
      </x:c>
      <x:c r="E494" s="74" t="n">
        <x:v>0.01143663816023429</x:v>
      </x:c>
      <x:c r="F494" s="74" t="n">
        <x:v>0.807249274222937</x:v>
      </x:c>
      <x:c r="G494" s="74" t="n">
        <x:v>1.0705706480348989</x:v>
      </x:c>
      <x:c r="H494" s="74" t="n">
        <x:v>1.0645365657669696</x:v>
      </x:c>
      <x:c r="I494" s="74" t="n">
        <x:v>0.8904645604023879</x:v>
      </x:c>
      <x:c r="J494" s="74" t="n">
        <x:v>1.0024292982617244</x:v>
      </x:c>
      <x:c r="K494" s="74" t="n">
        <x:v>0.777090816125979</x:v>
      </x:c>
      <x:c r="L494" s="74" t="n">
        <x:v>1.0149497008969472</x:v>
      </x:c>
      <x:c r="M494" s="74" t="n">
        <x:v>1.05917325248628</x:v>
      </x:c>
      <x:c r="N494" s="74" t="n">
        <x:v>0.8965125718129229</x:v>
      </x:c>
      <x:c r="O494" s="65" t="n">
        <x:v>563586.6196103697</x:v>
      </x:c>
      <x:c r="P494" s="65" t="n">
        <x:v>229954.38752925253</x:v>
      </x:c>
      <x:c r="Q494" s="65" t="n">
        <x:v>333632.2320811172</x:v>
      </x:c>
      <x:c r="R494" s="65" t="n">
        <x:v>111587.55065285525</x:v>
      </x:c>
      <x:c r="S494" s="65" t="n">
        <x:v>222044.68142826195</x:v>
      </x:c>
      <x:c r="T494" s="65" t="n">
        <x:v>194269.89233488464</x:v>
      </x:c>
      <x:c r="U494" s="43" t="n">
        <x:v>0.7527224123195484</x:v>
      </x:c>
      <x:c r="V494" s="43" t="n">
        <x:v>0.7678331953325636</x:v>
      </x:c>
      <x:c r="W494" s="43" t="n">
        <x:v>0.3688908254716384</x:v>
      </x:c>
      <x:c r="X494" s="65" t="n">
        <x:v>44377403.545344375</x:v>
      </x:c>
      <x:c r="Y494" s="65" t="n">
        <x:v>78.74105239763193</x:v>
      </x:c>
      <x:c r="Z494" s="65" t="n">
        <x:v>3845218.306297304</x:v>
      </x:c>
      <x:c r="AA494" s="65" t="n">
        <x:v>233327.05951113213</x:v>
      </x:c>
      <x:c r="AB494" s="65" t="n">
        <x:v>27359.7627518947</x:v>
      </x:c>
      <x:c r="AC494" s="65" t="n">
        <x:v>36683.90482469754</x:v>
      </x:c>
      <x:c r="AD494" s="65" t="n">
        <x:v>1996.509331436642</x:v>
      </x:c>
      <x:c r="AE494" s="65" t="n">
        <x:v>102593.0739097573</x:v>
      </x:c>
      <x:c r="AF494" s="65" t="n">
        <x:v>194269.89233488473</x:v>
      </x:c>
      <x:c r="AG494" s="65" t="n">
        <x:v>0</x:v>
      </x:c>
      <x:c r="AH494" s="34" t="n">
        <x:v>0</x:v>
      </x:c>
    </x:row>
    <x:row r="495" ht="15" hidden="0" customHeight="1">
      <x:c r="A495" s="36" t="n">
        <x:v>123</x:v>
      </x:c>
      <x:c r="B495" s="36" t="str">
        <x:v>P2</x:v>
      </x:c>
      <x:c r="C495" s="36" t="str">
        <x:v>reference</x:v>
      </x:c>
      <x:c r="D495" s="75" t="n">
        <x:v>1.1715764555153536</x:v>
      </x:c>
      <x:c r="E495" s="75" t="n">
        <x:v>0.01143663816023429</x:v>
      </x:c>
      <x:c r="F495" s="75" t="n">
        <x:v>0.807249274222937</x:v>
      </x:c>
      <x:c r="G495" s="75" t="n">
        <x:v>1.0705706480348989</x:v>
      </x:c>
      <x:c r="H495" s="75" t="n">
        <x:v>1.0645365657669696</x:v>
      </x:c>
      <x:c r="I495" s="75" t="n">
        <x:v>0.8904645604023879</x:v>
      </x:c>
      <x:c r="J495" s="75" t="n">
        <x:v>1.0024292982617244</x:v>
      </x:c>
      <x:c r="K495" s="75" t="n">
        <x:v>0.777090816125979</x:v>
      </x:c>
      <x:c r="L495" s="75" t="n">
        <x:v>1.0149497008969472</x:v>
      </x:c>
      <x:c r="M495" s="75" t="n">
        <x:v>1.05917325248628</x:v>
      </x:c>
      <x:c r="N495" s="75" t="n">
        <x:v>0.8965125718129229</x:v>
      </x:c>
      <x:c r="O495" s="66" t="n">
        <x:v>563586.6196103697</x:v>
      </x:c>
      <x:c r="P495" s="66" t="n">
        <x:v>333132.8606393978</x:v>
      </x:c>
      <x:c r="Q495" s="66" t="n">
        <x:v>230453.75897097192</x:v>
      </x:c>
      <x:c r="R495" s="66" t="n">
        <x:v>111587.55065285525</x:v>
      </x:c>
      <x:c r="S495" s="66" t="n">
        <x:v>118866.20831811665</x:v>
      </x:c>
      <x:c r="T495" s="66" t="n">
        <x:v>116563.62241597027</x:v>
      </x:c>
      <x:c r="U495" s="45" t="n">
        <x:v>0.7979190197351768</x:v>
      </x:c>
      <x:c r="V495" s="45" t="n">
        <x:v>0.8246504270081587</x:v>
      </x:c>
      <x:c r="W495" s="45" t="n">
        <x:v>0.3233834768617083</x:v>
      </x:c>
      <x:c r="X495" s="66" t="n">
        <x:v>29655981.346820876</x:v>
      </x:c>
      <x:c r="Y495" s="66" t="n">
        <x:v>52.62009479097155</x:v>
      </x:c>
      <x:c r="Z495" s="66" t="n">
        <x:v>2079882.2890962549</x:v>
      </x:c>
      <x:c r="AA495" s="66" t="n">
        <x:v>165523.02039463219</x:v>
      </x:c>
      <x:c r="AB495" s="66" t="n">
        <x:v>1176.9850128544042</x:v>
      </x:c>
      <x:c r="AC495" s="66" t="n">
        <x:v>52736.30961038241</x:v>
      </x:c>
      <x:c r="AD495" s="66" t="n">
        <x:v>1747.527926406969</x:v>
      </x:c>
      <x:c r="AE495" s="66" t="n">
        <x:v>36985.3183131564</x:v>
      </x:c>
      <x:c r="AF495" s="66" t="n">
        <x:v>116563.62241597033</x:v>
      </x:c>
      <x:c r="AG495" s="66" t="n">
        <x:v>0</x:v>
      </x:c>
      <x:c r="AH495" s="36" t="n">
        <x:v>0</x:v>
      </x:c>
    </x:row>
    <x:row r="496" ht="15" hidden="0" customHeight="1">
      <x:c r="A496" s="34" t="n">
        <x:v>123</x:v>
      </x:c>
      <x:c r="B496" s="34" t="str">
        <x:v>H3</x:v>
      </x:c>
      <x:c r="C496" s="34" t="str">
        <x:v>reference</x:v>
      </x:c>
      <x:c r="D496" s="74" t="n">
        <x:v>1.1715764555153536</x:v>
      </x:c>
      <x:c r="E496" s="74" t="n">
        <x:v>0.01143663816023429</x:v>
      </x:c>
      <x:c r="F496" s="74" t="n">
        <x:v>0.807249274222937</x:v>
      </x:c>
      <x:c r="G496" s="74" t="n">
        <x:v>1.0705706480348989</x:v>
      </x:c>
      <x:c r="H496" s="74" t="n">
        <x:v>1.0645365657669696</x:v>
      </x:c>
      <x:c r="I496" s="74" t="n">
        <x:v>0.8904645604023879</x:v>
      </x:c>
      <x:c r="J496" s="74" t="n">
        <x:v>1.0024292982617244</x:v>
      </x:c>
      <x:c r="K496" s="74" t="n">
        <x:v>0.777090816125979</x:v>
      </x:c>
      <x:c r="L496" s="74" t="n">
        <x:v>1.0149497008969472</x:v>
      </x:c>
      <x:c r="M496" s="74" t="n">
        <x:v>1.05917325248628</x:v>
      </x:c>
      <x:c r="N496" s="74" t="n">
        <x:v>0.8965125718129229</x:v>
      </x:c>
      <x:c r="O496" s="65" t="n">
        <x:v>563586.6196103697</x:v>
      </x:c>
      <x:c r="P496" s="65" t="n">
        <x:v>345577.6300897666</x:v>
      </x:c>
      <x:c r="Q496" s="65" t="n">
        <x:v>218008.98952060318</x:v>
      </x:c>
      <x:c r="R496" s="65" t="n">
        <x:v>111587.55065285525</x:v>
      </x:c>
      <x:c r="S496" s="65" t="n">
        <x:v>106421.43886774793</x:v>
      </x:c>
      <x:c r="T496" s="65" t="n">
        <x:v>194270.78922634898</x:v>
      </x:c>
      <x:c r="U496" s="43" t="n">
        <x:v>0.9578801208753585</x:v>
      </x:c>
      <x:c r="V496" s="43" t="n">
        <x:v>0.9593047019240497</x:v>
      </x:c>
      <x:c r="W496" s="43" t="n">
        <x:v>0.6520343246151061</x:v>
      </x:c>
      <x:c r="X496" s="65" t="n">
        <x:v>22019110.84880258</x:v>
      </x:c>
      <x:c r="Y496" s="65" t="n">
        <x:v>39.06961251852517</x:v>
      </x:c>
      <x:c r="Z496" s="65" t="n">
        <x:v>2147159.2239194745</x:v>
      </x:c>
      <x:c r="AA496" s="65" t="n">
        <x:v>131954.7177101042</x:v>
      </x:c>
      <x:c r="AB496" s="65" t="n">
        <x:v>9461.611832735509</x:v>
      </x:c>
      <x:c r="AC496" s="65" t="n">
        <x:v>22016.83087271479</x:v>
      </x:c>
      <x:c r="AD496" s="65" t="n">
        <x:v>1719.5781128634858</x:v>
      </x:c>
      <x:c r="AE496" s="65" t="n">
        <x:v>58842.818758670735</x:v>
      </x:c>
      <x:c r="AF496" s="65" t="n">
        <x:v>194270.78922634906</x:v>
      </x:c>
      <x:c r="AG496" s="65" t="n">
        <x:v>0</x:v>
      </x:c>
      <x:c r="AH496" s="34" t="n">
        <x:v>0</x:v>
      </x:c>
    </x:row>
    <x:row r="497" ht="15" hidden="0" customHeight="1">
      <x:c r="A497" s="36" t="n">
        <x:v>124</x:v>
      </x:c>
      <x:c r="B497" s="36" t="str">
        <x:v>M0</x:v>
      </x:c>
      <x:c r="C497" s="36" t="str">
        <x:v>fast</x:v>
      </x:c>
      <x:c r="D497" s="75" t="n">
        <x:v>1.1180226941552192</x:v>
      </x:c>
      <x:c r="E497" s="75" t="n">
        <x:v>0.09676530430045194</x:v>
      </x:c>
      <x:c r="F497" s="75" t="n">
        <x:v>0.9457069570300353</x:v>
      </x:c>
      <x:c r="G497" s="75" t="n">
        <x:v>1.2069057519066906</x:v>
      </x:c>
      <x:c r="H497" s="75" t="n">
        <x:v>0.7357390488558861</x:v>
      </x:c>
      <x:c r="I497" s="75" t="n">
        <x:v>0.9844263698275727</x:v>
      </x:c>
      <x:c r="J497" s="75" t="n">
        <x:v>1.079842208658812</x:v>
      </x:c>
      <x:c r="K497" s="75" t="n">
        <x:v>0.7883893374533185</x:v>
      </x:c>
      <x:c r="L497" s="75" t="n">
        <x:v>0.9648569151486868</x:v>
      </x:c>
      <x:c r="M497" s="75" t="n">
        <x:v>0.7722560788119313</x:v>
      </x:c>
      <x:c r="N497" s="75" t="n">
        <x:v>0.8905498327826915</x:v>
      </x:c>
      <x:c r="O497" s="66" t="n">
        <x:v>537824.5934188294</x:v>
      </x:c>
      <x:c r="P497" s="66" t="n">
        <x:v>67912.17183472638</x:v>
      </x:c>
      <x:c r="Q497" s="66" t="n">
        <x:v>469912.4215841029</x:v>
      </x:c>
      <x:c r="R497" s="66" t="n">
        <x:v>152378.6434903578</x:v>
      </x:c>
      <x:c r="S497" s="66" t="n">
        <x:v>317533.7780937452</x:v>
      </x:c>
      <x:c r="T497" s="66" t="n">
        <x:v>257597.95408307208</x:v>
      </x:c>
      <x:c r="U497" s="45" t="n">
        <x:v>0.605234736196432</x:v>
      </x:c>
      <x:c r="V497" s="45" t="n">
        <x:v>0.6495883434626706</x:v>
      </x:c>
      <x:c r="W497" s="45" t="n">
        <x:v>0.12956749857538297</x:v>
      </x:c>
      <x:c r="X497" s="66" t="n">
        <x:v>63149076.96326215</x:v>
      </x:c>
      <x:c r="Y497" s="66" t="n">
        <x:v>117.41574806357913</x:v>
      </x:c>
      <x:c r="Z497" s="66" t="n">
        <x:v>2915351.8427578253</x:v>
      </x:c>
      <x:c r="AA497" s="66" t="n">
        <x:v>354944.3731294415</x:v>
      </x:c>
      <x:c r="AB497" s="66" t="n">
        <x:v>14814.361111927701</x:v>
      </x:c>
      <x:c r="AC497" s="66" t="n">
        <x:v>0</x:v>
      </x:c>
      <x:c r="AD497" s="66" t="n">
        <x:v>2308.2716563252056</x:v>
      </x:c>
      <x:c r="AE497" s="66" t="n">
        <x:v>231950.11889893058</x:v>
      </x:c>
      <x:c r="AF497" s="66" t="n">
        <x:v>228832.0779846421</x:v>
      </x:c>
      <x:c r="AG497" s="66" t="n">
        <x:v>28765.876098429988</x:v>
      </x:c>
      <x:c r="AH497" s="36" t="n">
        <x:v>0</x:v>
      </x:c>
    </x:row>
    <x:row r="498" ht="15" hidden="0" customHeight="1">
      <x:c r="A498" s="34" t="n">
        <x:v>124</x:v>
      </x:c>
      <x:c r="B498" s="34" t="str">
        <x:v>B1</x:v>
      </x:c>
      <x:c r="C498" s="34" t="str">
        <x:v>fast</x:v>
      </x:c>
      <x:c r="D498" s="74" t="n">
        <x:v>1.1180226941552192</x:v>
      </x:c>
      <x:c r="E498" s="74" t="n">
        <x:v>0.09676530430045194</x:v>
      </x:c>
      <x:c r="F498" s="74" t="n">
        <x:v>0.9457069570300353</x:v>
      </x:c>
      <x:c r="G498" s="74" t="n">
        <x:v>1.2069057519066906</x:v>
      </x:c>
      <x:c r="H498" s="74" t="n">
        <x:v>0.7357390488558861</x:v>
      </x:c>
      <x:c r="I498" s="74" t="n">
        <x:v>0.9844263698275727</x:v>
      </x:c>
      <x:c r="J498" s="74" t="n">
        <x:v>1.079842208658812</x:v>
      </x:c>
      <x:c r="K498" s="74" t="n">
        <x:v>0.7883893374533185</x:v>
      </x:c>
      <x:c r="L498" s="74" t="n">
        <x:v>0.9648569151486868</x:v>
      </x:c>
      <x:c r="M498" s="74" t="n">
        <x:v>0.7722560788119313</x:v>
      </x:c>
      <x:c r="N498" s="74" t="n">
        <x:v>0.8905498327826915</x:v>
      </x:c>
      <x:c r="O498" s="65" t="n">
        <x:v>537824.5934188294</x:v>
      </x:c>
      <x:c r="P498" s="65" t="n">
        <x:v>229727.19024136255</x:v>
      </x:c>
      <x:c r="Q498" s="65" t="n">
        <x:v>308097.4031774668</x:v>
      </x:c>
      <x:c r="R498" s="65" t="n">
        <x:v>152378.6434903578</x:v>
      </x:c>
      <x:c r="S498" s="65" t="n">
        <x:v>155718.759687109</x:v>
      </x:c>
      <x:c r="T498" s="65" t="n">
        <x:v>177065.62092722353</x:v>
      </x:c>
      <x:c r="U498" s="43" t="n">
        <x:v>0.7563670686435071</x:v>
      </x:c>
      <x:c r="V498" s="43" t="n">
        <x:v>0.7890574220176438</x:v>
      </x:c>
      <x:c r="W498" s="43" t="n">
        <x:v>0.47119886672926875</x:v>
      </x:c>
      <x:c r="X498" s="65" t="n">
        <x:v>42691515.61961968</x:v>
      </x:c>
      <x:c r="Y498" s="65" t="n">
        <x:v>79.37813953103068</x:v>
      </x:c>
      <x:c r="Z498" s="65" t="n">
        <x:v>1142163.8027895258</x:v>
      </x:c>
      <x:c r="AA498" s="65" t="n">
        <x:v>234520.5759551683</x:v>
      </x:c>
      <x:c r="AB498" s="65" t="n">
        <x:v>1535.424282250639</x:v>
      </x:c>
      <x:c r="AC498" s="65" t="n">
        <x:v>0</x:v>
      </x:c>
      <x:c r="AD498" s="65" t="n">
        <x:v>1937.2292053339147</x:v>
      </x:c>
      <x:c r="AE498" s="65" t="n">
        <x:v>144111.81742461442</x:v>
      </x:c>
      <x:c r="AF498" s="65" t="n">
        <x:v>177065.62092722373</x:v>
      </x:c>
      <x:c r="AG498" s="65" t="n">
        <x:v>0</x:v>
      </x:c>
      <x:c r="AH498" s="34" t="n">
        <x:v>0</x:v>
      </x:c>
    </x:row>
    <x:row r="499" ht="15" hidden="0" customHeight="1">
      <x:c r="A499" s="36" t="n">
        <x:v>124</x:v>
      </x:c>
      <x:c r="B499" s="36" t="str">
        <x:v>P2</x:v>
      </x:c>
      <x:c r="C499" s="36" t="str">
        <x:v>fast</x:v>
      </x:c>
      <x:c r="D499" s="75" t="n">
        <x:v>1.1180226941552192</x:v>
      </x:c>
      <x:c r="E499" s="75" t="n">
        <x:v>0.09676530430045194</x:v>
      </x:c>
      <x:c r="F499" s="75" t="n">
        <x:v>0.9457069570300353</x:v>
      </x:c>
      <x:c r="G499" s="75" t="n">
        <x:v>1.2069057519066906</x:v>
      </x:c>
      <x:c r="H499" s="75" t="n">
        <x:v>0.7357390488558861</x:v>
      </x:c>
      <x:c r="I499" s="75" t="n">
        <x:v>0.9844263698275727</x:v>
      </x:c>
      <x:c r="J499" s="75" t="n">
        <x:v>1.079842208658812</x:v>
      </x:c>
      <x:c r="K499" s="75" t="n">
        <x:v>0.7883893374533185</x:v>
      </x:c>
      <x:c r="L499" s="75" t="n">
        <x:v>0.9648569151486868</x:v>
      </x:c>
      <x:c r="M499" s="75" t="n">
        <x:v>0.7722560788119313</x:v>
      </x:c>
      <x:c r="N499" s="75" t="n">
        <x:v>0.8905498327826915</x:v>
      </x:c>
      <x:c r="O499" s="66" t="n">
        <x:v>537824.5934188294</x:v>
      </x:c>
      <x:c r="P499" s="66" t="n">
        <x:v>332806.13502121007</x:v>
      </x:c>
      <x:c r="Q499" s="66" t="n">
        <x:v>205018.45839761925</x:v>
      </x:c>
      <x:c r="R499" s="66" t="n">
        <x:v>152378.6434903578</x:v>
      </x:c>
      <x:c r="S499" s="66" t="n">
        <x:v>52639.814907261454</x:v>
      </x:c>
      <x:c r="T499" s="66" t="n">
        <x:v>114797.79703519274</x:v>
      </x:c>
      <x:c r="U499" s="45" t="n">
        <x:v>0.8322489107667721</x:v>
      </x:c>
      <x:c r="V499" s="45" t="n">
        <x:v>0.8480422856738468</x:v>
      </x:c>
      <x:c r="W499" s="45" t="n">
        <x:v>0.6429382656891829</x:v>
      </x:c>
      <x:c r="X499" s="66" t="n">
        <x:v>27751468.800761085</x:v>
      </x:c>
      <x:c r="Y499" s="66" t="n">
        <x:v>51.599478975759126</x:v>
      </x:c>
      <x:c r="Z499" s="66" t="n">
        <x:v>717984.1795285153</x:v>
      </x:c>
      <x:c r="AA499" s="66" t="n">
        <x:v>157736.778349819</x:v>
      </x:c>
      <x:c r="AB499" s="66" t="n">
        <x:v>0</x:v>
      </x:c>
      <x:c r="AC499" s="66" t="n">
        <x:v>1550.8931630902205</x:v>
      </x:c>
      <x:c r="AD499" s="66" t="n">
        <x:v>1713.033739462754</x:v>
      </x:c>
      <x:c r="AE499" s="66" t="n">
        <x:v>88276.13764092255</x:v>
      </x:c>
      <x:c r="AF499" s="66" t="n">
        <x:v>114797.79703519272</x:v>
      </x:c>
      <x:c r="AG499" s="66" t="n">
        <x:v>1.4551915228366852e-11</x:v>
      </x:c>
      <x:c r="AH499" s="36" t="n">
        <x:v>0</x:v>
      </x:c>
    </x:row>
    <x:row r="500" ht="15" hidden="0" customHeight="1">
      <x:c r="A500" s="34" t="n">
        <x:v>124</x:v>
      </x:c>
      <x:c r="B500" s="34" t="str">
        <x:v>H3</x:v>
      </x:c>
      <x:c r="C500" s="34" t="str">
        <x:v>fast</x:v>
      </x:c>
      <x:c r="D500" s="74" t="n">
        <x:v>1.1180226941552192</x:v>
      </x:c>
      <x:c r="E500" s="74" t="n">
        <x:v>0.09676530430045194</x:v>
      </x:c>
      <x:c r="F500" s="74" t="n">
        <x:v>0.9457069570300353</x:v>
      </x:c>
      <x:c r="G500" s="74" t="n">
        <x:v>1.2069057519066906</x:v>
      </x:c>
      <x:c r="H500" s="74" t="n">
        <x:v>0.7357390488558861</x:v>
      </x:c>
      <x:c r="I500" s="74" t="n">
        <x:v>0.9844263698275727</x:v>
      </x:c>
      <x:c r="J500" s="74" t="n">
        <x:v>1.079842208658812</x:v>
      </x:c>
      <x:c r="K500" s="74" t="n">
        <x:v>0.7883893374533185</x:v>
      </x:c>
      <x:c r="L500" s="74" t="n">
        <x:v>0.9648569151486868</x:v>
      </x:c>
      <x:c r="M500" s="74" t="n">
        <x:v>0.7722560788119313</x:v>
      </x:c>
      <x:c r="N500" s="74" t="n">
        <x:v>0.8905498327826915</x:v>
      </x:c>
      <x:c r="O500" s="65" t="n">
        <x:v>537824.5934188294</x:v>
      </x:c>
      <x:c r="P500" s="65" t="n">
        <x:v>345239.1859473687</x:v>
      </x:c>
      <x:c r="Q500" s="65" t="n">
        <x:v>192585.40747146064</x:v>
      </x:c>
      <x:c r="R500" s="65" t="n">
        <x:v>152378.6434903578</x:v>
      </x:c>
      <x:c r="S500" s="65" t="n">
        <x:v>40206.763981102864</x:v>
      </x:c>
      <x:c r="T500" s="65" t="n">
        <x:v>174313.43505828228</x:v>
      </x:c>
      <x:c r="U500" s="43" t="n">
        <x:v>0.9660261493491259</x:v>
      </x:c>
      <x:c r="V500" s="43" t="n">
        <x:v>0.9792768729397104</x:v>
      </x:c>
      <x:c r="W500" s="43" t="n">
        <x:v>0.8126429089893924</x:v>
      </x:c>
      <x:c r="X500" s="65" t="n">
        <x:v>20571019.278349753</x:v>
      </x:c>
      <x:c r="Y500" s="65" t="n">
        <x:v>38.24856566633451</x:v>
      </x:c>
      <x:c r="Z500" s="65" t="n">
        <x:v>1101959.704168795</x:v>
      </x:c>
      <x:c r="AA500" s="65" t="n">
        <x:v>127814.95202316077</x:v>
      </x:c>
      <x:c r="AB500" s="65" t="n">
        <x:v>735.9103532794136</x:v>
      </x:c>
      <x:c r="AC500" s="65" t="n">
        <x:v>0</x:v>
      </x:c>
      <x:c r="AD500" s="65" t="n">
        <x:v>1687.8663119287721</x:v>
      </x:c>
      <x:c r="AE500" s="65" t="n">
        <x:v>77063.2102374418</x:v>
      </x:c>
      <x:c r="AF500" s="65" t="n">
        <x:v>174313.43505828187</x:v>
      </x:c>
      <x:c r="AG500" s="65" t="n">
        <x:v>4.0745362639427185e-10</x:v>
      </x:c>
      <x:c r="AH500" s="34" t="n">
        <x:v>1</x:v>
      </x:c>
    </x:row>
    <x:row r="501" ht="15" hidden="0" customHeight="1">
      <x:c r="A501" s="36" t="n">
        <x:v>125</x:v>
      </x:c>
      <x:c r="B501" s="36" t="str">
        <x:v>M0</x:v>
      </x:c>
      <x:c r="C501" s="36" t="str">
        <x:v>fast</x:v>
      </x:c>
      <x:c r="D501" s="75" t="n">
        <x:v>1.1604919818851172</x:v>
      </x:c>
      <x:c r="E501" s="75" t="n">
        <x:v>0.04344292111753504</x:v>
      </x:c>
      <x:c r="F501" s="75" t="n">
        <x:v>0.7860999008673055</x:v>
      </x:c>
      <x:c r="G501" s="75" t="n">
        <x:v>1.2826465854697604</x:v>
      </x:c>
      <x:c r="H501" s="75" t="n">
        <x:v>0.7519565505663527</x:v>
      </x:c>
      <x:c r="I501" s="75" t="n">
        <x:v>0.8005145523139913</x:v>
      </x:c>
      <x:c r="J501" s="75" t="n">
        <x:v>1.041049873296425</x:v>
      </x:c>
      <x:c r="K501" s="75" t="n">
        <x:v>0.9663102719783274</x:v>
      </x:c>
      <x:c r="L501" s="75" t="n">
        <x:v>0.8159163127461444</x:v>
      </x:c>
      <x:c r="M501" s="75" t="n">
        <x:v>0.7897125659182644</x:v>
      </x:c>
      <x:c r="N501" s="75" t="n">
        <x:v>0.858083175921378</x:v>
      </x:c>
      <x:c r="O501" s="66" t="n">
        <x:v>558254.4357874392</x:v>
      </x:c>
      <x:c r="P501" s="66" t="n">
        <x:v>62955.48985913029</x:v>
      </x:c>
      <x:c r="Q501" s="66" t="n">
        <x:v>495298.9459283089</x:v>
      </x:c>
      <x:c r="R501" s="66" t="n">
        <x:v>128399.45228919882</x:v>
      </x:c>
      <x:c r="S501" s="66" t="n">
        <x:v>366899.4936391101</x:v>
      </x:c>
      <x:c r="T501" s="66" t="n">
        <x:v>232547.49843576155</x:v>
      </x:c>
      <x:c r="U501" s="45" t="n">
        <x:v>0.5293338831747456</x:v>
      </x:c>
      <x:c r="V501" s="45" t="n">
        <x:v>0.5606436128404372</x:v>
      </x:c>
      <x:c r="W501" s="45" t="n">
        <x:v>0.10818394975005047</x:v>
      </x:c>
      <x:c r="X501" s="66" t="n">
        <x:v>68762625.51167834</x:v>
      </x:c>
      <x:c r="Y501" s="66" t="n">
        <x:v>123.17434686333665</x:v>
      </x:c>
      <x:c r="Z501" s="66" t="n">
        <x:v>4693028.995314648</x:v>
      </x:c>
      <x:c r="AA501" s="66" t="n">
        <x:v>379212.1743484106</x:v>
      </x:c>
      <x:c r="AB501" s="66" t="n">
        <x:v>39531.08996299671</x:v>
      </x:c>
      <x:c r="AC501" s="66" t="n">
        <x:v>0</x:v>
      </x:c>
      <x:c r="AD501" s="66" t="n">
        <x:v>2403.317049675562</x:v>
      </x:c>
      <x:c r="AE501" s="66" t="n">
        <x:v>207834.70296922585</x:v>
      </x:c>
      <x:c r="AF501" s="66" t="n">
        <x:v>221358.27520362946</x:v>
      </x:c>
      <x:c r="AG501" s="66" t="n">
        <x:v>11189.223232132092</x:v>
      </x:c>
      <x:c r="AH501" s="36" t="n">
        <x:v>0</x:v>
      </x:c>
    </x:row>
    <x:row r="502" ht="15" hidden="0" customHeight="1">
      <x:c r="A502" s="34" t="n">
        <x:v>125</x:v>
      </x:c>
      <x:c r="B502" s="34" t="str">
        <x:v>B1</x:v>
      </x:c>
      <x:c r="C502" s="34" t="str">
        <x:v>fast</x:v>
      </x:c>
      <x:c r="D502" s="74" t="n">
        <x:v>1.1604919818851172</x:v>
      </x:c>
      <x:c r="E502" s="74" t="n">
        <x:v>0.04344292111753504</x:v>
      </x:c>
      <x:c r="F502" s="74" t="n">
        <x:v>0.7860999008673055</x:v>
      </x:c>
      <x:c r="G502" s="74" t="n">
        <x:v>1.2826465854697604</x:v>
      </x:c>
      <x:c r="H502" s="74" t="n">
        <x:v>0.7519565505663527</x:v>
      </x:c>
      <x:c r="I502" s="74" t="n">
        <x:v>0.8005145523139913</x:v>
      </x:c>
      <x:c r="J502" s="74" t="n">
        <x:v>1.041049873296425</x:v>
      </x:c>
      <x:c r="K502" s="74" t="n">
        <x:v>0.9663102719783274</x:v>
      </x:c>
      <x:c r="L502" s="74" t="n">
        <x:v>0.8159163127461444</x:v>
      </x:c>
      <x:c r="M502" s="74" t="n">
        <x:v>0.7897125659182644</x:v>
      </x:c>
      <x:c r="N502" s="74" t="n">
        <x:v>0.858083175921378</x:v>
      </x:c>
      <x:c r="O502" s="65" t="n">
        <x:v>558254.4357874392</x:v>
      </x:c>
      <x:c r="P502" s="65" t="n">
        <x:v>212958.3875437074</x:v>
      </x:c>
      <x:c r="Q502" s="65" t="n">
        <x:v>345296.04824373184</x:v>
      </x:c>
      <x:c r="R502" s="65" t="n">
        <x:v>128399.45228919882</x:v>
      </x:c>
      <x:c r="S502" s="65" t="n">
        <x:v>216896.59595453297</x:v>
      </x:c>
      <x:c r="T502" s="65" t="n">
        <x:v>172873.29243258183</x:v>
      </x:c>
      <x:c r="U502" s="43" t="n">
        <x:v>0.6911394791374275</x:v>
      </x:c>
      <x:c r="V502" s="43" t="n">
        <x:v>0.7092519690570501</x:v>
      </x:c>
      <x:c r="W502" s="43" t="n">
        <x:v>0.4077282981142165</x:v>
      </x:c>
      <x:c r="X502" s="65" t="n">
        <x:v>49194983.62664902</x:v>
      </x:c>
      <x:c r="Y502" s="65" t="n">
        <x:v>88.12287099386432</x:v>
      </x:c>
      <x:c r="Z502" s="65" t="n">
        <x:v>1898097.3958617358</x:v>
      </x:c>
      <x:c r="AA502" s="65" t="n">
        <x:v>270671.9573871887</x:v>
      </x:c>
      <x:c r="AB502" s="65" t="n">
        <x:v>9081.146345329558</x:v>
      </x:c>
      <x:c r="AC502" s="65" t="n">
        <x:v>0</x:v>
      </x:c>
      <x:c r="AD502" s="65" t="n">
        <x:v>2034.8535646904168</x:v>
      </x:c>
      <x:c r="AE502" s="65" t="n">
        <x:v>150889.9592682553</x:v>
      </x:c>
      <x:c r="AF502" s="65" t="n">
        <x:v>172873.2924325818</x:v>
      </x:c>
      <x:c r="AG502" s="65" t="n">
        <x:v>2.9103830456733704e-11</x:v>
      </x:c>
      <x:c r="AH502" s="34" t="n">
        <x:v>0</x:v>
      </x:c>
    </x:row>
    <x:row r="503" ht="15" hidden="0" customHeight="1">
      <x:c r="A503" s="36" t="n">
        <x:v>125</x:v>
      </x:c>
      <x:c r="B503" s="36" t="str">
        <x:v>P2</x:v>
      </x:c>
      <x:c r="C503" s="36" t="str">
        <x:v>fast</x:v>
      </x:c>
      <x:c r="D503" s="75" t="n">
        <x:v>1.1604919818851172</x:v>
      </x:c>
      <x:c r="E503" s="75" t="n">
        <x:v>0.04344292111753504</x:v>
      </x:c>
      <x:c r="F503" s="75" t="n">
        <x:v>0.7860999008673055</x:v>
      </x:c>
      <x:c r="G503" s="75" t="n">
        <x:v>1.2826465854697604</x:v>
      </x:c>
      <x:c r="H503" s="75" t="n">
        <x:v>0.7519565505663527</x:v>
      </x:c>
      <x:c r="I503" s="75" t="n">
        <x:v>0.8005145523139913</x:v>
      </x:c>
      <x:c r="J503" s="75" t="n">
        <x:v>1.041049873296425</x:v>
      </x:c>
      <x:c r="K503" s="75" t="n">
        <x:v>0.9663102719783274</x:v>
      </x:c>
      <x:c r="L503" s="75" t="n">
        <x:v>0.8159163127461444</x:v>
      </x:c>
      <x:c r="M503" s="75" t="n">
        <x:v>0.7897125659182644</x:v>
      </x:c>
      <x:c r="N503" s="75" t="n">
        <x:v>0.858083175921378</x:v>
      </x:c>
      <x:c r="O503" s="66" t="n">
        <x:v>558254.4357874392</x:v>
      </x:c>
      <x:c r="P503" s="66" t="n">
        <x:v>308511.6887031655</x:v>
      </x:c>
      <x:c r="Q503" s="66" t="n">
        <x:v>249742.74708427372</x:v>
      </x:c>
      <x:c r="R503" s="66" t="n">
        <x:v>128399.45228919882</x:v>
      </x:c>
      <x:c r="S503" s="66" t="n">
        <x:v>121343.29479507488</x:v>
      </x:c>
      <x:c r="T503" s="66" t="n">
        <x:v>116949.83488280319</x:v>
      </x:c>
      <x:c r="U503" s="45" t="n">
        <x:v>0.7621283348798454</x:v>
      </x:c>
      <x:c r="V503" s="45" t="n">
        <x:v>0.7853873306486688</x:v>
      </x:c>
      <x:c r="W503" s="45" t="n">
        <x:v>0.5498116851266879</x:v>
      </x:c>
      <x:c r="X503" s="66" t="n">
        <x:v>34926544.710813455</x:v>
      </x:c>
      <x:c r="Y503" s="66" t="n">
        <x:v>62.56384628909975</x:v>
      </x:c>
      <x:c r="Z503" s="66" t="n">
        <x:v>731168.8321375204</x:v>
      </x:c>
      <x:c r="AA503" s="66" t="n">
        <x:v>200637.57082010375</x:v>
      </x:c>
      <x:c r="AB503" s="66" t="n">
        <x:v>0</x:v>
      </x:c>
      <x:c r="AC503" s="66" t="n">
        <x:v>0</x:v>
      </x:c>
      <x:c r="AD503" s="66" t="n">
        <x:v>1812.2163908251143</x:v>
      </x:c>
      <x:c r="AE503" s="66" t="n">
        <x:v>90969.18955080917</x:v>
      </x:c>
      <x:c r="AF503" s="66" t="n">
        <x:v>116949.83488280303</x:v>
      </x:c>
      <x:c r="AG503" s="66" t="n">
        <x:v>1.6007106751203537e-10</x:v>
      </x:c>
      <x:c r="AH503" s="36" t="n">
        <x:v>0</x:v>
      </x:c>
    </x:row>
    <x:row r="504" ht="15" hidden="0" customHeight="1">
      <x:c r="A504" s="34" t="n">
        <x:v>125</x:v>
      </x:c>
      <x:c r="B504" s="34" t="str">
        <x:v>H3</x:v>
      </x:c>
      <x:c r="C504" s="34" t="str">
        <x:v>fast</x:v>
      </x:c>
      <x:c r="D504" s="74" t="n">
        <x:v>1.1604919818851172</x:v>
      </x:c>
      <x:c r="E504" s="74" t="n">
        <x:v>0.04344292111753504</x:v>
      </x:c>
      <x:c r="F504" s="74" t="n">
        <x:v>0.7860999008673055</x:v>
      </x:c>
      <x:c r="G504" s="74" t="n">
        <x:v>1.2826465854697604</x:v>
      </x:c>
      <x:c r="H504" s="74" t="n">
        <x:v>0.7519565505663527</x:v>
      </x:c>
      <x:c r="I504" s="74" t="n">
        <x:v>0.8005145523139913</x:v>
      </x:c>
      <x:c r="J504" s="74" t="n">
        <x:v>1.041049873296425</x:v>
      </x:c>
      <x:c r="K504" s="74" t="n">
        <x:v>0.9663102719783274</x:v>
      </x:c>
      <x:c r="L504" s="74" t="n">
        <x:v>0.8159163127461444</x:v>
      </x:c>
      <x:c r="M504" s="74" t="n">
        <x:v>0.7897125659182644</x:v>
      </x:c>
      <x:c r="N504" s="74" t="n">
        <x:v>0.858083175921378</x:v>
      </x:c>
      <x:c r="O504" s="65" t="n">
        <x:v>558254.4357874392</x:v>
      </x:c>
      <x:c r="P504" s="65" t="n">
        <x:v>320036.848137802</x:v>
      </x:c>
      <x:c r="Q504" s="65" t="n">
        <x:v>238217.58764963722</x:v>
      </x:c>
      <x:c r="R504" s="65" t="n">
        <x:v>128399.45228919882</x:v>
      </x:c>
      <x:c r="S504" s="65" t="n">
        <x:v>109818.13536043839</x:v>
      </x:c>
      <x:c r="T504" s="65" t="n">
        <x:v>178422.50796159962</x:v>
      </x:c>
      <x:c r="U504" s="43" t="n">
        <x:v>0.892889199162933</x:v>
      </x:c>
      <x:c r="V504" s="43" t="n">
        <x:v>0.9143229654507623</x:v>
      </x:c>
      <x:c r="W504" s="43" t="n">
        <x:v>0.6659083808109064</x:v>
      </x:c>
      <x:c r="X504" s="65" t="n">
        <x:v>27990654.04864633</x:v>
      </x:c>
      <x:c r="Y504" s="65" t="n">
        <x:v>50.13959989259099</x:v>
      </x:c>
      <x:c r="Z504" s="65" t="n">
        <x:v>1645463.7362709853</x:v>
      </x:c>
      <x:c r="AA504" s="65" t="n">
        <x:v>168176.3800817235</x:v>
      </x:c>
      <x:c r="AB504" s="65" t="n">
        <x:v>6269.9151330929635</x:v>
      </x:c>
      <x:c r="AC504" s="65" t="n">
        <x:v>0</x:v>
      </x:c>
      <x:c r="AD504" s="65" t="n">
        <x:v>1787.22389190078</x:v>
      </x:c>
      <x:c r="AE504" s="65" t="n">
        <x:v>81593.34163621409</x:v>
      </x:c>
      <x:c r="AF504" s="65" t="n">
        <x:v>178422.50796159956</x:v>
      </x:c>
      <x:c r="AG504" s="65" t="n">
        <x:v>5.820766091346741e-11</x:v>
      </x:c>
      <x:c r="AH504" s="34" t="n">
        <x:v>0</x:v>
      </x:c>
    </x:row>
    <x:row r="505" ht="15" hidden="0" customHeight="1">
      <x:c r="A505" s="36" t="n">
        <x:v>126</x:v>
      </x:c>
      <x:c r="B505" s="36" t="str">
        <x:v>M0</x:v>
      </x:c>
      <x:c r="C505" s="36" t="str">
        <x:v>slow</x:v>
      </x:c>
      <x:c r="D505" s="75" t="n">
        <x:v>0.9827016147350666</x:v>
      </x:c>
      <x:c r="E505" s="75" t="n">
        <x:v>0.009093907702247168</x:v>
      </x:c>
      <x:c r="F505" s="75" t="n">
        <x:v>1.0411913441789888</x:v>
      </x:c>
      <x:c r="G505" s="75" t="n">
        <x:v>1.0391249782171277</x:v>
      </x:c>
      <x:c r="H505" s="75" t="n">
        <x:v>0.8207279646900513</x:v>
      </x:c>
      <x:c r="I505" s="75" t="n">
        <x:v>0.8029649803297718</x:v>
      </x:c>
      <x:c r="J505" s="75" t="n">
        <x:v>0.9534919138641198</x:v>
      </x:c>
      <x:c r="K505" s="75" t="n">
        <x:v>0.9712675414356065</x:v>
      </x:c>
      <x:c r="L505" s="75" t="n">
        <x:v>0.9013134925780689</x:v>
      </x:c>
      <x:c r="M505" s="75" t="n">
        <x:v>0.9622698952695958</x:v>
      </x:c>
      <x:c r="N505" s="75" t="n">
        <x:v>0.9584422848189627</x:v>
      </x:c>
      <x:c r="O505" s="66" t="n">
        <x:v>472728.4152279808</x:v>
      </x:c>
      <x:c r="P505" s="66" t="n">
        <x:v>73760.42905737858</x:v>
      </x:c>
      <x:c r="Q505" s="66" t="n">
        <x:v>398967.98617060226</x:v>
      </x:c>
      <x:c r="R505" s="66" t="n">
        <x:v>92490.57009036478</x:v>
      </x:c>
      <x:c r="S505" s="66" t="n">
        <x:v>306477.4160802375</x:v>
      </x:c>
      <x:c r="T505" s="66" t="n">
        <x:v>247796.67396987008</x:v>
      </x:c>
      <x:c r="U505" s="45" t="n">
        <x:v>0.6802153047478068</x:v>
      </x:c>
      <x:c r="V505" s="45" t="n">
        <x:v>0.6705236332006899</x:v>
      </x:c>
      <x:c r="W505" s="45" t="n">
        <x:v>0.08180600974508857</x:v>
      </x:c>
      <x:c r="X505" s="66" t="n">
        <x:v>51050124.87008249</x:v>
      </x:c>
      <x:c r="Y505" s="66" t="n">
        <x:v>107.99038776939769</x:v>
      </x:c>
      <x:c r="Z505" s="66" t="n">
        <x:v>3279245.5261961026</x:v>
      </x:c>
      <x:c r="AA505" s="66" t="n">
        <x:v>277434.53165663965</x:v>
      </x:c>
      <x:c r="AB505" s="66" t="n">
        <x:v>22977.927671327507</x:v>
      </x:c>
      <x:c r="AC505" s="66" t="n">
        <x:v>0</x:v>
      </x:c>
      <x:c r="AD505" s="66" t="n">
        <x:v>2567.0146720505836</x:v>
      </x:c>
      <x:c r="AE505" s="66" t="n">
        <x:v>192590.3983642978</x:v>
      </x:c>
      <x:c r="AF505" s="66" t="n">
        <x:v>247796.67396987003</x:v>
      </x:c>
      <x:c r="AG505" s="66" t="n">
        <x:v>5.820766091346741e-11</x:v>
      </x:c>
      <x:c r="AH505" s="36" t="n">
        <x:v>0</x:v>
      </x:c>
    </x:row>
    <x:row r="506" ht="15" hidden="0" customHeight="1">
      <x:c r="A506" s="34" t="n">
        <x:v>126</x:v>
      </x:c>
      <x:c r="B506" s="34" t="str">
        <x:v>B1</x:v>
      </x:c>
      <x:c r="C506" s="34" t="str">
        <x:v>slow</x:v>
      </x:c>
      <x:c r="D506" s="74" t="n">
        <x:v>0.9827016147350666</x:v>
      </x:c>
      <x:c r="E506" s="74" t="n">
        <x:v>0.009093907702247168</x:v>
      </x:c>
      <x:c r="F506" s="74" t="n">
        <x:v>1.0411913441789888</x:v>
      </x:c>
      <x:c r="G506" s="74" t="n">
        <x:v>1.0391249782171277</x:v>
      </x:c>
      <x:c r="H506" s="74" t="n">
        <x:v>0.8207279646900513</x:v>
      </x:c>
      <x:c r="I506" s="74" t="n">
        <x:v>0.8029649803297718</x:v>
      </x:c>
      <x:c r="J506" s="74" t="n">
        <x:v>0.9534919138641198</x:v>
      </x:c>
      <x:c r="K506" s="74" t="n">
        <x:v>0.9712675414356065</x:v>
      </x:c>
      <x:c r="L506" s="74" t="n">
        <x:v>0.9013134925780689</x:v>
      </x:c>
      <x:c r="M506" s="74" t="n">
        <x:v>0.9622698952695958</x:v>
      </x:c>
      <x:c r="N506" s="74" t="n">
        <x:v>0.9584422848189627</x:v>
      </x:c>
      <x:c r="O506" s="65" t="n">
        <x:v>472728.4152279808</x:v>
      </x:c>
      <x:c r="P506" s="65" t="n">
        <x:v>249506.85836413671</x:v>
      </x:c>
      <x:c r="Q506" s="65" t="n">
        <x:v>223221.55686384405</x:v>
      </x:c>
      <x:c r="R506" s="65" t="n">
        <x:v>92490.57009036478</x:v>
      </x:c>
      <x:c r="S506" s="65" t="n">
        <x:v>130730.98677347931</x:v>
      </x:c>
      <x:c r="T506" s="65" t="n">
        <x:v>128547.8417100604</x:v>
      </x:c>
      <x:c r="U506" s="43" t="n">
        <x:v>0.7997291635026302</x:v>
      </x:c>
      <x:c r="V506" s="43" t="n">
        <x:v>0.7911037356741628</x:v>
      </x:c>
      <x:c r="W506" s="43" t="n">
        <x:v>0.28393864989986767</x:v>
      </x:c>
      <x:c r="X506" s="65" t="n">
        <x:v>29746445.119537964</x:v>
      </x:c>
      <x:c r="Y506" s="65" t="n">
        <x:v>62.92502028927596</x:v>
      </x:c>
      <x:c r="Z506" s="65" t="n">
        <x:v>900993.9508324</x:v>
      </x:c>
      <x:c r="AA506" s="65" t="n">
        <x:v>148122.96709911485</x:v>
      </x:c>
      <x:c r="AB506" s="65" t="n">
        <x:v>2875.0907647306212</x:v>
      </x:c>
      <x:c r="AC506" s="65" t="n">
        <x:v>0</x:v>
      </x:c>
      <x:c r="AD506" s="65" t="n">
        <x:v>1985.28874707359</x:v>
      </x:c>
      <x:c r="AE506" s="65" t="n">
        <x:v>45738.42830170209</x:v>
      </x:c>
      <x:c r="AF506" s="65" t="n">
        <x:v>128547.84171006037</x:v>
      </x:c>
      <x:c r="AG506" s="65" t="n">
        <x:v>2.9103830456733704e-11</x:v>
      </x:c>
      <x:c r="AH506" s="34" t="n">
        <x:v>0</x:v>
      </x:c>
    </x:row>
    <x:row r="507" ht="15" hidden="0" customHeight="1">
      <x:c r="A507" s="36" t="n">
        <x:v>126</x:v>
      </x:c>
      <x:c r="B507" s="36" t="str">
        <x:v>P2</x:v>
      </x:c>
      <x:c r="C507" s="36" t="str">
        <x:v>slow</x:v>
      </x:c>
      <x:c r="D507" s="75" t="n">
        <x:v>0.9827016147350666</x:v>
      </x:c>
      <x:c r="E507" s="75" t="n">
        <x:v>0.009093907702247168</x:v>
      </x:c>
      <x:c r="F507" s="75" t="n">
        <x:v>1.0411913441789888</x:v>
      </x:c>
      <x:c r="G507" s="75" t="n">
        <x:v>1.0391249782171277</x:v>
      </x:c>
      <x:c r="H507" s="75" t="n">
        <x:v>0.8207279646900513</x:v>
      </x:c>
      <x:c r="I507" s="75" t="n">
        <x:v>0.8029649803297718</x:v>
      </x:c>
      <x:c r="J507" s="75" t="n">
        <x:v>0.9534919138641198</x:v>
      </x:c>
      <x:c r="K507" s="75" t="n">
        <x:v>0.9712675414356065</x:v>
      </x:c>
      <x:c r="L507" s="75" t="n">
        <x:v>0.9013134925780689</x:v>
      </x:c>
      <x:c r="M507" s="75" t="n">
        <x:v>0.9622698952695958</x:v>
      </x:c>
      <x:c r="N507" s="75" t="n">
        <x:v>0.9584422848189627</x:v>
      </x:c>
      <x:c r="O507" s="66" t="n">
        <x:v>472728.4152279808</x:v>
      </x:c>
      <x:c r="P507" s="66" t="n">
        <x:v>361458.28582011093</x:v>
      </x:c>
      <x:c r="Q507" s="66" t="n">
        <x:v>111270.12940786986</x:v>
      </x:c>
      <x:c r="R507" s="66" t="n">
        <x:v>92490.57009036478</x:v>
      </x:c>
      <x:c r="S507" s="66" t="n">
        <x:v>18779.55931750508</x:v>
      </x:c>
      <x:c r="T507" s="66" t="n">
        <x:v>49556.13158029456</x:v>
      </x:c>
      <x:c r="U507" s="45" t="n">
        <x:v>0.8694514739550556</x:v>
      </x:c>
      <x:c r="V507" s="45" t="n">
        <x:v>0.8654893066517034</x:v>
      </x:c>
      <x:c r="W507" s="45" t="n">
        <x:v>0.4172272479537175</x:v>
      </x:c>
      <x:c r="X507" s="66" t="n">
        <x:v>16006168.840377199</x:v>
      </x:c>
      <x:c r="Y507" s="66" t="n">
        <x:v>33.859121484495425</x:v>
      </x:c>
      <x:c r="Z507" s="66" t="n">
        <x:v>327887.79291978746</x:v>
      </x:c>
      <x:c r="AA507" s="66" t="n">
        <x:v>82790.30470805906</x:v>
      </x:c>
      <x:c r="AB507" s="66" t="n">
        <x:v>0</x:v>
      </x:c>
      <x:c r="AC507" s="66" t="n">
        <x:v>0</x:v>
      </x:c>
      <x:c r="AD507" s="66" t="n">
        <x:v>1632.3607701252581</x:v>
      </x:c>
      <x:c r="AE507" s="66" t="n">
        <x:v>11761.585480503025</x:v>
      </x:c>
      <x:c r="AF507" s="66" t="n">
        <x:v>49556.131580294576</x:v>
      </x:c>
      <x:c r="AG507" s="66" t="n">
        <x:v>0</x:v>
      </x:c>
      <x:c r="AH507" s="36" t="n">
        <x:v>0</x:v>
      </x:c>
    </x:row>
    <x:row r="508" ht="15" hidden="0" customHeight="1">
      <x:c r="A508" s="34" t="n">
        <x:v>126</x:v>
      </x:c>
      <x:c r="B508" s="34" t="str">
        <x:v>H3</x:v>
      </x:c>
      <x:c r="C508" s="34" t="str">
        <x:v>slow</x:v>
      </x:c>
      <x:c r="D508" s="74" t="n">
        <x:v>0.9827016147350666</x:v>
      </x:c>
      <x:c r="E508" s="74" t="n">
        <x:v>0.009093907702247168</x:v>
      </x:c>
      <x:c r="F508" s="74" t="n">
        <x:v>1.0411913441789888</x:v>
      </x:c>
      <x:c r="G508" s="74" t="n">
        <x:v>1.0391249782171277</x:v>
      </x:c>
      <x:c r="H508" s="74" t="n">
        <x:v>0.8207279646900513</x:v>
      </x:c>
      <x:c r="I508" s="74" t="n">
        <x:v>0.8029649803297718</x:v>
      </x:c>
      <x:c r="J508" s="74" t="n">
        <x:v>0.9534919138641198</x:v>
      </x:c>
      <x:c r="K508" s="74" t="n">
        <x:v>0.9712675414356065</x:v>
      </x:c>
      <x:c r="L508" s="74" t="n">
        <x:v>0.9013134925780689</x:v>
      </x:c>
      <x:c r="M508" s="74" t="n">
        <x:v>0.9622698952695958</x:v>
      </x:c>
      <x:c r="N508" s="74" t="n">
        <x:v>0.9584422848189627</x:v>
      </x:c>
      <x:c r="O508" s="65" t="n">
        <x:v>472728.4152279808</x:v>
      </x:c>
      <x:c r="P508" s="65" t="n">
        <x:v>372547.29215428914</x:v>
      </x:c>
      <x:c r="Q508" s="65" t="n">
        <x:v>100181.12307369166</x:v>
      </x:c>
      <x:c r="R508" s="65" t="n">
        <x:v>92490.57009036478</x:v>
      </x:c>
      <x:c r="S508" s="65" t="n">
        <x:v>7690.55298332689</x:v>
      </x:c>
      <x:c r="T508" s="65" t="n">
        <x:v>41745.05631063401</x:v>
      </x:c>
      <x:c r="U508" s="43" t="n">
        <x:v>0.8763855421407746</x:v>
      </x:c>
      <x:c r="V508" s="43" t="n">
        <x:v>0.8732513757166593</x:v>
      </x:c>
      <x:c r="W508" s="43" t="n">
        <x:v>0.4319425911667378</x:v>
      </x:c>
      <x:c r="X508" s="65" t="n">
        <x:v>13813792.786090681</x:v>
      </x:c>
      <x:c r="Y508" s="65" t="n">
        <x:v>29.221414116663073</x:v>
      </x:c>
      <x:c r="Z508" s="65" t="n">
        <x:v>306013.9517058187</x:v>
      </x:c>
      <x:c r="AA508" s="65" t="n">
        <x:v>77562.10023113061</x:v>
      </x:c>
      <x:c r="AB508" s="65" t="n">
        <x:v>1904.3078316684243</x:v>
      </x:c>
      <x:c r="AC508" s="65" t="n">
        <x:v>0</x:v>
      </x:c>
      <x:c r="AD508" s="65" t="n">
        <x:v>1603.1909952918481</x:v>
      </x:c>
      <x:c r="AE508" s="65" t="n">
        <x:v>11501.0403504399</x:v>
      </x:c>
      <x:c r="AF508" s="65" t="n">
        <x:v>41745.05631063403</x:v>
      </x:c>
      <x:c r="AG508" s="65" t="n">
        <x:v>0</x:v>
      </x:c>
      <x:c r="AH508" s="34" t="n">
        <x:v>0</x:v>
      </x:c>
    </x:row>
    <x:row r="509" ht="15" hidden="0" customHeight="1">
      <x:c r="A509" s="36" t="n">
        <x:v>127</x:v>
      </x:c>
      <x:c r="B509" s="36" t="str">
        <x:v>M0</x:v>
      </x:c>
      <x:c r="C509" s="36" t="str">
        <x:v>fast</x:v>
      </x:c>
      <x:c r="D509" s="75" t="n">
        <x:v>0.9309476341636345</x:v>
      </x:c>
      <x:c r="E509" s="75" t="n">
        <x:v>0.09004869910528279</x:v>
      </x:c>
      <x:c r="F509" s="75" t="n">
        <x:v>0.8086130187369976</x:v>
      </x:c>
      <x:c r="G509" s="75" t="n">
        <x:v>1.1545826010884963</x:v>
      </x:c>
      <x:c r="H509" s="75" t="n">
        <x:v>0.882485223114527</x:v>
      </x:c>
      <x:c r="I509" s="75" t="n">
        <x:v>0.9426818273005589</x:v>
      </x:c>
      <x:c r="J509" s="75" t="n">
        <x:v>0.8694308440756826</x:v>
      </x:c>
      <x:c r="K509" s="75" t="n">
        <x:v>0.9777927727867284</x:v>
      </x:c>
      <x:c r="L509" s="75" t="n">
        <x:v>0.9624554533891846</x:v>
      </x:c>
      <x:c r="M509" s="75" t="n">
        <x:v>1.0555743438910579</x:v>
      </x:c>
      <x:c r="N509" s="75" t="n">
        <x:v>0.8182537535216283</x:v>
      </x:c>
      <x:c r="O509" s="66" t="n">
        <x:v>447832.1732248895</x:v>
      </x:c>
      <x:c r="P509" s="66" t="n">
        <x:v>48804.341108633686</x:v>
      </x:c>
      <x:c r="Q509" s="66" t="n">
        <x:v>399027.83211625577</x:v>
      </x:c>
      <x:c r="R509" s="66" t="n">
        <x:v>123873.71438058851</x:v>
      </x:c>
      <x:c r="S509" s="66" t="n">
        <x:v>275154.11773566727</x:v>
      </x:c>
      <x:c r="T509" s="66" t="n">
        <x:v>284947.93722508906</x:v>
      </x:c>
      <x:c r="U509" s="45" t="n">
        <x:v>0.745261949203728</x:v>
      </x:c>
      <x:c r="V509" s="45" t="n">
        <x:v>0.7632992407050393</x:v>
      </x:c>
      <x:c r="W509" s="45" t="n">
        <x:v>0.11762226953589217</x:v>
      </x:c>
      <x:c r="X509" s="66" t="n">
        <x:v>49150817.28604608</x:v>
      </x:c>
      <x:c r="Y509" s="66" t="n">
        <x:v>109.7527605756986</x:v>
      </x:c>
      <x:c r="Z509" s="66" t="n">
        <x:v>4689351.208991319</x:v>
      </x:c>
      <x:c r="AA509" s="66" t="n">
        <x:v>271956.0572959533</x:v>
      </x:c>
      <x:c r="AB509" s="66" t="n">
        <x:v>32909.4148180122</x:v>
      </x:c>
      <x:c r="AC509" s="66" t="n">
        <x:v>0</x:v>
      </x:c>
      <x:c r="AD509" s="66" t="n">
        <x:v>1939.5968581691686</x:v>
      </x:c>
      <x:c r="AE509" s="66" t="n">
        <x:v>214250.8129208203</x:v>
      </x:c>
      <x:c r="AF509" s="66" t="n">
        <x:v>284947.93722508923</x:v>
      </x:c>
      <x:c r="AG509" s="66" t="n">
        <x:v>0</x:v>
      </x:c>
      <x:c r="AH509" s="36" t="n">
        <x:v>0</x:v>
      </x:c>
    </x:row>
    <x:row r="510" ht="15" hidden="0" customHeight="1">
      <x:c r="A510" s="34" t="n">
        <x:v>127</x:v>
      </x:c>
      <x:c r="B510" s="34" t="str">
        <x:v>B1</x:v>
      </x:c>
      <x:c r="C510" s="34" t="str">
        <x:v>fast</x:v>
      </x:c>
      <x:c r="D510" s="74" t="n">
        <x:v>0.9309476341636345</x:v>
      </x:c>
      <x:c r="E510" s="74" t="n">
        <x:v>0.09004869910528279</x:v>
      </x:c>
      <x:c r="F510" s="74" t="n">
        <x:v>0.8086130187369976</x:v>
      </x:c>
      <x:c r="G510" s="74" t="n">
        <x:v>1.1545826010884963</x:v>
      </x:c>
      <x:c r="H510" s="74" t="n">
        <x:v>0.882485223114527</x:v>
      </x:c>
      <x:c r="I510" s="74" t="n">
        <x:v>0.9426818273005589</x:v>
      </x:c>
      <x:c r="J510" s="74" t="n">
        <x:v>0.8694308440756826</x:v>
      </x:c>
      <x:c r="K510" s="74" t="n">
        <x:v>0.9777927727867284</x:v>
      </x:c>
      <x:c r="L510" s="74" t="n">
        <x:v>0.9624554533891846</x:v>
      </x:c>
      <x:c r="M510" s="74" t="n">
        <x:v>1.0555743438910579</x:v>
      </x:c>
      <x:c r="N510" s="74" t="n">
        <x:v>0.8182537535216283</x:v>
      </x:c>
      <x:c r="O510" s="65" t="n">
        <x:v>447832.1732248895</x:v>
      </x:c>
      <x:c r="P510" s="65" t="n">
        <x:v>165090.75258939265</x:v>
      </x:c>
      <x:c r="Q510" s="65" t="n">
        <x:v>282741.42063549685</x:v>
      </x:c>
      <x:c r="R510" s="65" t="n">
        <x:v>123873.71438058851</x:v>
      </x:c>
      <x:c r="S510" s="65" t="n">
        <x:v>158867.70625490835</x:v>
      </x:c>
      <x:c r="T510" s="65" t="n">
        <x:v>207863.89767472656</x:v>
      </x:c>
      <x:c r="U510" s="43" t="n">
        <x:v>0.8328000366262904</x:v>
      </x:c>
      <x:c r="V510" s="43" t="n">
        <x:v>0.8738585977743855</x:v>
      </x:c>
      <x:c r="W510" s="43" t="n">
        <x:v>0.44323446297248814</x:v>
      </x:c>
      <x:c r="X510" s="65" t="n">
        <x:v>35560540.96410554</x:v>
      </x:c>
      <x:c r="Y510" s="65" t="n">
        <x:v>79.40595403860806</x:v>
      </x:c>
      <x:c r="Z510" s="65" t="n">
        <x:v>1728534.6006350175</x:v>
      </x:c>
      <x:c r="AA510" s="65" t="n">
        <x:v>198075.7407266705</x:v>
      </x:c>
      <x:c r="AB510" s="65" t="n">
        <x:v>5235.497432391756</x:v>
      </x:c>
      <x:c r="AC510" s="65" t="n">
        <x:v>420.08798474075513</x:v>
      </x:c>
      <x:c r="AD510" s="65" t="n">
        <x:v>1670.4044722563954</x:v>
      </x:c>
      <x:c r="AE510" s="65" t="n">
        <x:v>119492.49229439076</x:v>
      </x:c>
      <x:c r="AF510" s="65" t="n">
        <x:v>207863.89767472667</x:v>
      </x:c>
      <x:c r="AG510" s="65" t="n">
        <x:v>0</x:v>
      </x:c>
      <x:c r="AH510" s="34" t="n">
        <x:v>0</x:v>
      </x:c>
    </x:row>
    <x:row r="511" ht="15" hidden="0" customHeight="1">
      <x:c r="A511" s="36" t="n">
        <x:v>127</x:v>
      </x:c>
      <x:c r="B511" s="36" t="str">
        <x:v>P2</x:v>
      </x:c>
      <x:c r="C511" s="36" t="str">
        <x:v>fast</x:v>
      </x:c>
      <x:c r="D511" s="75" t="n">
        <x:v>0.9309476341636345</x:v>
      </x:c>
      <x:c r="E511" s="75" t="n">
        <x:v>0.09004869910528279</x:v>
      </x:c>
      <x:c r="F511" s="75" t="n">
        <x:v>0.8086130187369976</x:v>
      </x:c>
      <x:c r="G511" s="75" t="n">
        <x:v>1.1545826010884963</x:v>
      </x:c>
      <x:c r="H511" s="75" t="n">
        <x:v>0.882485223114527</x:v>
      </x:c>
      <x:c r="I511" s="75" t="n">
        <x:v>0.9426818273005589</x:v>
      </x:c>
      <x:c r="J511" s="75" t="n">
        <x:v>0.8694308440756826</x:v>
      </x:c>
      <x:c r="K511" s="75" t="n">
        <x:v>0.9777927727867284</x:v>
      </x:c>
      <x:c r="L511" s="75" t="n">
        <x:v>0.9624554533891846</x:v>
      </x:c>
      <x:c r="M511" s="75" t="n">
        <x:v>1.0555743438910579</x:v>
      </x:c>
      <x:c r="N511" s="75" t="n">
        <x:v>0.8182537535216283</x:v>
      </x:c>
      <x:c r="O511" s="66" t="n">
        <x:v>447832.1732248895</x:v>
      </x:c>
      <x:c r="P511" s="66" t="n">
        <x:v>239167.07671184174</x:v>
      </x:c>
      <x:c r="Q511" s="66" t="n">
        <x:v>208665.09651304776</x:v>
      </x:c>
      <x:c r="R511" s="66" t="n">
        <x:v>123873.71438058851</x:v>
      </x:c>
      <x:c r="S511" s="66" t="n">
        <x:v>84791.38213245926</x:v>
      </x:c>
      <x:c r="T511" s="66" t="n">
        <x:v>135910.19330615483</x:v>
      </x:c>
      <x:c r="U511" s="45" t="n">
        <x:v>0.8375398027279354</x:v>
      </x:c>
      <x:c r="V511" s="45" t="n">
        <x:v>0.8659498509060319</x:v>
      </x:c>
      <x:c r="W511" s="45" t="n">
        <x:v>0.6092321752683165</x:v>
      </x:c>
      <x:c r="X511" s="66" t="n">
        <x:v>26304152.303331546</x:v>
      </x:c>
      <x:c r="Y511" s="66" t="n">
        <x:v>58.736629201766384</x:v>
      </x:c>
      <x:c r="Z511" s="66" t="n">
        <x:v>849376.3078130548</x:v>
      </x:c>
      <x:c r="AA511" s="66" t="n">
        <x:v>153771.31795562414</x:v>
      </x:c>
      <x:c r="AB511" s="66" t="n">
        <x:v>0</x:v>
      </x:c>
      <x:c r="AC511" s="66" t="n">
        <x:v>0</x:v>
      </x:c>
      <x:c r="AD511" s="66" t="n">
        <x:v>1507.75000453324</x:v>
      </x:c>
      <x:c r="AE511" s="66" t="n">
        <x:v>68921.64587157851</x:v>
      </x:c>
      <x:c r="AF511" s="66" t="n">
        <x:v>135910.19330615478</x:v>
      </x:c>
      <x:c r="AG511" s="66" t="n">
        <x:v>5.820766091346741e-11</x:v>
      </x:c>
      <x:c r="AH511" s="36" t="n">
        <x:v>0</x:v>
      </x:c>
    </x:row>
    <x:row r="512" ht="15" hidden="0" customHeight="1">
      <x:c r="A512" s="34" t="n">
        <x:v>127</x:v>
      </x:c>
      <x:c r="B512" s="34" t="str">
        <x:v>H3</x:v>
      </x:c>
      <x:c r="C512" s="34" t="str">
        <x:v>fast</x:v>
      </x:c>
      <x:c r="D512" s="74" t="n">
        <x:v>0.9309476341636345</x:v>
      </x:c>
      <x:c r="E512" s="74" t="n">
        <x:v>0.09004869910528279</x:v>
      </x:c>
      <x:c r="F512" s="74" t="n">
        <x:v>0.8086130187369976</x:v>
      </x:c>
      <x:c r="G512" s="74" t="n">
        <x:v>1.1545826010884963</x:v>
      </x:c>
      <x:c r="H512" s="74" t="n">
        <x:v>0.882485223114527</x:v>
      </x:c>
      <x:c r="I512" s="74" t="n">
        <x:v>0.9426818273005589</x:v>
      </x:c>
      <x:c r="J512" s="74" t="n">
        <x:v>0.8694308440756826</x:v>
      </x:c>
      <x:c r="K512" s="74" t="n">
        <x:v>0.9777927727867284</x:v>
      </x:c>
      <x:c r="L512" s="74" t="n">
        <x:v>0.9624554533891846</x:v>
      </x:c>
      <x:c r="M512" s="74" t="n">
        <x:v>1.0555743438910579</x:v>
      </x:c>
      <x:c r="N512" s="74" t="n">
        <x:v>0.8182537535216283</x:v>
      </x:c>
      <x:c r="O512" s="65" t="n">
        <x:v>447832.1732248895</x:v>
      </x:c>
      <x:c r="P512" s="65" t="n">
        <x:v>248101.90684088445</x:v>
      </x:c>
      <x:c r="Q512" s="65" t="n">
        <x:v>199730.26638400508</x:v>
      </x:c>
      <x:c r="R512" s="65" t="n">
        <x:v>123873.71438058851</x:v>
      </x:c>
      <x:c r="S512" s="65" t="n">
        <x:v>75856.55200341657</x:v>
      </x:c>
      <x:c r="T512" s="65" t="n">
        <x:v>198240.77542192658</x:v>
      </x:c>
      <x:c r="U512" s="43" t="n">
        <x:v>0.9966739974232925</x:v>
      </x:c>
      <x:c r="V512" s="43" t="n">
        <x:v>0.9979051735267498</x:v>
      </x:c>
      <x:c r="W512" s="43" t="n">
        <x:v>0.9667399742329247</x:v>
      </x:c>
      <x:c r="X512" s="65" t="n">
        <x:v>19515647.832680892</x:v>
      </x:c>
      <x:c r="Y512" s="65" t="n">
        <x:v>43.57803882679204</x:v>
      </x:c>
      <x:c r="Z512" s="65" t="n">
        <x:v>1430220.3755228336</x:v>
      </x:c>
      <x:c r="AA512" s="65" t="n">
        <x:v>124280.42033680974</x:v>
      </x:c>
      <x:c r="AB512" s="65" t="n">
        <x:v>4047.5072678662827</x:v>
      </x:c>
      <x:c r="AC512" s="65" t="n">
        <x:v>1770.9808690436082</x:v>
      </x:c>
      <x:c r="AD512" s="65" t="n">
        <x:v>1489.4909620785033</x:v>
      </x:c>
      <x:c r="AE512" s="65" t="n">
        <x:v>74520.80788945644</x:v>
      </x:c>
      <x:c r="AF512" s="65" t="n">
        <x:v>198240.77542192666</x:v>
      </x:c>
      <x:c r="AG512" s="65" t="n">
        <x:v>0</x:v>
      </x:c>
      <x:c r="AH512" s="34" t="n">
        <x:v>1</x:v>
      </x:c>
    </x:row>
    <x:row r="513" ht="15" hidden="0" customHeight="1">
      <x:c r="A513" s="36" t="n">
        <x:v>128</x:v>
      </x:c>
      <x:c r="B513" s="36" t="str">
        <x:v>M0</x:v>
      </x:c>
      <x:c r="C513" s="36" t="str">
        <x:v>reference</x:v>
      </x:c>
      <x:c r="D513" s="75" t="n">
        <x:v>0.9035994187867958</x:v>
      </x:c>
      <x:c r="E513" s="75" t="n">
        <x:v>0.06411166033738772</x:v>
      </x:c>
      <x:c r="F513" s="75" t="n">
        <x:v>0.9895480471215954</x:v>
      </x:c>
      <x:c r="G513" s="75" t="n">
        <x:v>0.9710994610657724</x:v>
      </x:c>
      <x:c r="H513" s="75" t="n">
        <x:v>1.0077606435822766</x:v>
      </x:c>
      <x:c r="I513" s="75" t="n">
        <x:v>0.8230042108965563</x:v>
      </x:c>
      <x:c r="J513" s="75" t="n">
        <x:v>0.7405983646602886</x:v>
      </x:c>
      <x:c r="K513" s="75" t="n">
        <x:v>0.947666468597751</x:v>
      </x:c>
      <x:c r="L513" s="75" t="n">
        <x:v>0.795976471939908</x:v>
      </x:c>
      <x:c r="M513" s="75" t="n">
        <x:v>0.8057600718669484</x:v>
      </x:c>
      <x:c r="N513" s="75" t="n">
        <x:v>0.8254272889268668</x:v>
      </x:c>
      <x:c r="O513" s="66" t="n">
        <x:v>434676.3196875044</x:v>
      </x:c>
      <x:c r="P513" s="66" t="n">
        <x:v>60049.209708765644</x:v>
      </x:c>
      <x:c r="Q513" s="66" t="n">
        <x:v>374627.1099787387</x:v>
      </x:c>
      <x:c r="R513" s="66" t="n">
        <x:v>108960.49075763632</x:v>
      </x:c>
      <x:c r="S513" s="66" t="n">
        <x:v>265666.6192211024</x:v>
      </x:c>
      <x:c r="T513" s="66" t="n">
        <x:v>253178.98053703376</x:v>
      </x:c>
      <x:c r="U513" s="45" t="n">
        <x:v>0.7206009990859039</x:v>
      </x:c>
      <x:c r="V513" s="45" t="n">
        <x:v>0.7358079892506784</x:v>
      </x:c>
      <x:c r="W513" s="45" t="n">
        <x:v>0.1457046367127284</x:v>
      </x:c>
      <x:c r="X513" s="66" t="n">
        <x:v>47635167.54354881</x:v>
      </x:c>
      <x:c r="Y513" s="66" t="n">
        <x:v>109.58767567047241</x:v>
      </x:c>
      <x:c r="Z513" s="66" t="n">
        <x:v>4852891.874636363</x:v>
      </x:c>
      <x:c r="AA513" s="66" t="n">
        <x:v>258122.82437881065</x:v>
      </x:c>
      <x:c r="AB513" s="66" t="n">
        <x:v>39035.69848506779</x:v>
      </x:c>
      <x:c r="AC513" s="66" t="n">
        <x:v>3392.197763765067</x:v>
      </x:c>
      <x:c r="AD513" s="66" t="n">
        <x:v>1846.6239327240141</x:v>
      </x:c>
      <x:c r="AE513" s="66" t="n">
        <x:v>229406.67461594</x:v>
      </x:c>
      <x:c r="AF513" s="66" t="n">
        <x:v>253178.98053703344</x:v>
      </x:c>
      <x:c r="AG513" s="66" t="n">
        <x:v>3.2014213502407074e-10</x:v>
      </x:c>
      <x:c r="AH513" s="36" t="n">
        <x:v>0</x:v>
      </x:c>
    </x:row>
    <x:row r="514" ht="15" hidden="0" customHeight="1">
      <x:c r="A514" s="34" t="n">
        <x:v>128</x:v>
      </x:c>
      <x:c r="B514" s="34" t="str">
        <x:v>B1</x:v>
      </x:c>
      <x:c r="C514" s="34" t="str">
        <x:v>reference</x:v>
      </x:c>
      <x:c r="D514" s="74" t="n">
        <x:v>0.9035994187867958</x:v>
      </x:c>
      <x:c r="E514" s="74" t="n">
        <x:v>0.06411166033738772</x:v>
      </x:c>
      <x:c r="F514" s="74" t="n">
        <x:v>0.9895480471215954</x:v>
      </x:c>
      <x:c r="G514" s="74" t="n">
        <x:v>0.9710994610657724</x:v>
      </x:c>
      <x:c r="H514" s="74" t="n">
        <x:v>1.0077606435822766</x:v>
      </x:c>
      <x:c r="I514" s="74" t="n">
        <x:v>0.8230042108965563</x:v>
      </x:c>
      <x:c r="J514" s="74" t="n">
        <x:v>0.7405983646602886</x:v>
      </x:c>
      <x:c r="K514" s="74" t="n">
        <x:v>0.947666468597751</x:v>
      </x:c>
      <x:c r="L514" s="74" t="n">
        <x:v>0.795976471939908</x:v>
      </x:c>
      <x:c r="M514" s="74" t="n">
        <x:v>0.8057600718669484</x:v>
      </x:c>
      <x:c r="N514" s="74" t="n">
        <x:v>0.8254272889268668</x:v>
      </x:c>
      <x:c r="O514" s="65" t="n">
        <x:v>434676.3196875044</x:v>
      </x:c>
      <x:c r="P514" s="65" t="n">
        <x:v>203127.9976805463</x:v>
      </x:c>
      <x:c r="Q514" s="65" t="n">
        <x:v>231548.32200695807</x:v>
      </x:c>
      <x:c r="R514" s="65" t="n">
        <x:v>108960.49075763632</x:v>
      </x:c>
      <x:c r="S514" s="65" t="n">
        <x:v>122587.83124932175</x:v>
      </x:c>
      <x:c r="T514" s="65" t="n">
        <x:v>194380.2229840866</x:v>
      </x:c>
      <x:c r="U514" s="43" t="n">
        <x:v>0.9144924686727995</x:v>
      </x:c>
      <x:c r="V514" s="43" t="n">
        <x:v>0.9223553084971162</x:v>
      </x:c>
      <x:c r="W514" s="43" t="n">
        <x:v>0.5738377550210357</x:v>
      </x:c>
      <x:c r="X514" s="65" t="n">
        <x:v>28517703.11934574</x:v>
      </x:c>
      <x:c r="Y514" s="65" t="n">
        <x:v>65.60675571157768</x:v>
      </x:c>
      <x:c r="Z514" s="65" t="n">
        <x:v>1987869.1432512414</x:v>
      </x:c>
      <x:c r="AA514" s="65" t="n">
        <x:v>154207.5145998193</x:v>
      </x:c>
      <x:c r="AB514" s="65" t="n">
        <x:v>8424.506327851353</x:v>
      </x:c>
      <x:c r="AC514" s="65" t="n">
        <x:v>5534.0569462024505</x:v>
      </x:c>
      <x:c r="AD514" s="65" t="n">
        <x:v>1503.8344196361659</x:v>
      </x:c>
      <x:c r="AE514" s="65" t="n">
        <x:v>123063.30522080533</x:v>
      </x:c>
      <x:c r="AF514" s="65" t="n">
        <x:v>194380.22298408663</x:v>
      </x:c>
      <x:c r="AG514" s="65" t="n">
        <x:v>0</x:v>
      </x:c>
      <x:c r="AH514" s="34" t="n">
        <x:v>0</x:v>
      </x:c>
    </x:row>
    <x:row r="515" ht="15" hidden="0" customHeight="1">
      <x:c r="A515" s="36" t="n">
        <x:v>128</x:v>
      </x:c>
      <x:c r="B515" s="36" t="str">
        <x:v>P2</x:v>
      </x:c>
      <x:c r="C515" s="36" t="str">
        <x:v>reference</x:v>
      </x:c>
      <x:c r="D515" s="75" t="n">
        <x:v>0.9035994187867958</x:v>
      </x:c>
      <x:c r="E515" s="75" t="n">
        <x:v>0.06411166033738772</x:v>
      </x:c>
      <x:c r="F515" s="75" t="n">
        <x:v>0.9895480471215954</x:v>
      </x:c>
      <x:c r="G515" s="75" t="n">
        <x:v>0.9710994610657724</x:v>
      </x:c>
      <x:c r="H515" s="75" t="n">
        <x:v>1.0077606435822766</x:v>
      </x:c>
      <x:c r="I515" s="75" t="n">
        <x:v>0.8230042108965563</x:v>
      </x:c>
      <x:c r="J515" s="75" t="n">
        <x:v>0.7405983646602886</x:v>
      </x:c>
      <x:c r="K515" s="75" t="n">
        <x:v>0.947666468597751</x:v>
      </x:c>
      <x:c r="L515" s="75" t="n">
        <x:v>0.795976471939908</x:v>
      </x:c>
      <x:c r="M515" s="75" t="n">
        <x:v>0.8057600718669484</x:v>
      </x:c>
      <x:c r="N515" s="75" t="n">
        <x:v>0.8254272889268668</x:v>
      </x:c>
      <x:c r="O515" s="66" t="n">
        <x:v>434676.3196875044</x:v>
      </x:c>
      <x:c r="P515" s="66" t="n">
        <x:v>294270.96979729016</x:v>
      </x:c>
      <x:c r="Q515" s="66" t="n">
        <x:v>140405.34989021422</x:v>
      </x:c>
      <x:c r="R515" s="66" t="n">
        <x:v>108960.49075763632</x:v>
      </x:c>
      <x:c r="S515" s="66" t="n">
        <x:v>31444.85913257792</x:v>
      </x:c>
      <x:c r="T515" s="66" t="n">
        <x:v>131472.38738286807</x:v>
      </x:c>
      <x:c r="U515" s="45" t="n">
        <x:v>0.9794491622783401</x:v>
      </x:c>
      <x:c r="V515" s="45" t="n">
        <x:v>0.9796114368327096</x:v>
      </x:c>
      <x:c r="W515" s="45" t="n">
        <x:v>0.7944916227834028</x:v>
      </x:c>
      <x:c r="X515" s="66" t="n">
        <x:v>15808553.373240363</x:v>
      </x:c>
      <x:c r="Y515" s="66" t="n">
        <x:v>36.36856358912162</x:v>
      </x:c>
      <x:c r="Z515" s="66" t="n">
        <x:v>1030622.3099330919</x:v>
      </x:c>
      <x:c r="AA515" s="66" t="n">
        <x:v>90606.77387931508</x:v>
      </x:c>
      <x:c r="AB515" s="66" t="n">
        <x:v>42.16140184463527</x:v>
      </x:c>
      <x:c r="AC515" s="66" t="n">
        <x:v>3865.6395881393446</x:v>
      </x:c>
      <x:c r="AD515" s="66" t="n">
        <x:v>1296.7102634185737</x:v>
      </x:c>
      <x:c r="AE515" s="66" t="n">
        <x:v>69935.45082514398</x:v>
      </x:c>
      <x:c r="AF515" s="66" t="n">
        <x:v>131472.38738286792</x:v>
      </x:c>
      <x:c r="AG515" s="66" t="n">
        <x:v>1.4551915228366852e-10</x:v>
      </x:c>
      <x:c r="AH515" s="36" t="n">
        <x:v>0</x:v>
      </x:c>
    </x:row>
    <x:row r="516" ht="15" hidden="0" customHeight="1">
      <x:c r="A516" s="34" t="n">
        <x:v>128</x:v>
      </x:c>
      <x:c r="B516" s="34" t="str">
        <x:v>H3</x:v>
      </x:c>
      <x:c r="C516" s="34" t="str">
        <x:v>reference</x:v>
      </x:c>
      <x:c r="D516" s="74" t="n">
        <x:v>0.9035994187867958</x:v>
      </x:c>
      <x:c r="E516" s="74" t="n">
        <x:v>0.06411166033738772</x:v>
      </x:c>
      <x:c r="F516" s="74" t="n">
        <x:v>0.9895480471215954</x:v>
      </x:c>
      <x:c r="G516" s="74" t="n">
        <x:v>0.9710994610657724</x:v>
      </x:c>
      <x:c r="H516" s="74" t="n">
        <x:v>1.0077606435822766</x:v>
      </x:c>
      <x:c r="I516" s="74" t="n">
        <x:v>0.8230042108965563</x:v>
      </x:c>
      <x:c r="J516" s="74" t="n">
        <x:v>0.7405983646602886</x:v>
      </x:c>
      <x:c r="K516" s="74" t="n">
        <x:v>0.947666468597751</x:v>
      </x:c>
      <x:c r="L516" s="74" t="n">
        <x:v>0.795976471939908</x:v>
      </x:c>
      <x:c r="M516" s="74" t="n">
        <x:v>0.8057600718669484</x:v>
      </x:c>
      <x:c r="N516" s="74" t="n">
        <x:v>0.8254272889268668</x:v>
      </x:c>
      <x:c r="O516" s="65" t="n">
        <x:v>434676.3196875044</x:v>
      </x:c>
      <x:c r="P516" s="65" t="n">
        <x:v>305264.2385037333</x:v>
      </x:c>
      <x:c r="Q516" s="65" t="n">
        <x:v>129412.08118377111</x:v>
      </x:c>
      <x:c r="R516" s="65" t="n">
        <x:v>108960.49075763632</x:v>
      </x:c>
      <x:c r="S516" s="65" t="n">
        <x:v>20451.590426134782</x:v>
      </x:c>
      <x:c r="T516" s="65" t="n">
        <x:v>128138.62198018948</x:v>
      </x:c>
      <x:c r="U516" s="43" t="n">
        <x:v>0.9970703276302304</x:v>
      </x:c>
      <x:c r="V516" s="43" t="n">
        <x:v>0.9981547689739085</x:v>
      </x:c>
      <x:c r="W516" s="43" t="n">
        <x:v>0.9707032763023039</x:v>
      </x:c>
      <x:c r="X516" s="65" t="n">
        <x:v>13073155.408477556</x:v>
      </x:c>
      <x:c r="Y516" s="65" t="n">
        <x:v>30.07560986500496</x:v>
      </x:c>
      <x:c r="Z516" s="65" t="n">
        <x:v>1019512.0090175339</x:v>
      </x:c>
      <x:c r="AA516" s="65" t="n">
        <x:v>80109.0248538674</x:v>
      </x:c>
      <x:c r="AB516" s="65" t="n">
        <x:v>5535.956472003714</x:v>
      </x:c>
      <x:c r="AC516" s="65" t="n">
        <x:v>3594.4236531248534</x:v>
      </x:c>
      <x:c r="AD516" s="65" t="n">
        <x:v>1273.459203581623</x:v>
      </x:c>
      <x:c r="AE516" s="65" t="n">
        <x:v>58158.649224449895</x:v>
      </x:c>
      <x:c r="AF516" s="65" t="n">
        <x:v>128138.62198018953</x:v>
      </x:c>
      <x:c r="AG516" s="65" t="n">
        <x:v>0</x:v>
      </x:c>
      <x:c r="AH516" s="34" t="n">
        <x:v>1</x:v>
      </x:c>
    </x:row>
    <x:row r="517" ht="15" hidden="0" customHeight="1">
      <x:c r="A517" s="36" t="n">
        <x:v>129</x:v>
      </x:c>
      <x:c r="B517" s="36" t="str">
        <x:v>M0</x:v>
      </x:c>
      <x:c r="C517" s="36" t="str">
        <x:v>slow</x:v>
      </x:c>
      <x:c r="D517" s="75" t="n">
        <x:v>1.0040819513579684</x:v>
      </x:c>
      <x:c r="E517" s="75" t="n">
        <x:v>0.0025790851629797287</x:v>
      </x:c>
      <x:c r="F517" s="75" t="n">
        <x:v>1.0019121436564549</x:v>
      </x:c>
      <x:c r="G517" s="75" t="n">
        <x:v>0.9393144203299876</x:v>
      </x:c>
      <x:c r="H517" s="75" t="n">
        <x:v>0.9116280914930123</x:v>
      </x:c>
      <x:c r="I517" s="75" t="n">
        <x:v>0.9024570050921439</x:v>
      </x:c>
      <x:c r="J517" s="75" t="n">
        <x:v>0.8412485296846713</x:v>
      </x:c>
      <x:c r="K517" s="75" t="n">
        <x:v>0.7390124078525127</x:v>
      </x:c>
      <x:c r="L517" s="75" t="n">
        <x:v>0.8929399114754569</x:v>
      </x:c>
      <x:c r="M517" s="75" t="n">
        <x:v>0.7700270565859448</x:v>
      </x:c>
      <x:c r="N517" s="75" t="n">
        <x:v>0.8698520923265562</x:v>
      </x:c>
      <x:c r="O517" s="66" t="n">
        <x:v>483013.4218843604</x:v>
      </x:c>
      <x:c r="P517" s="66" t="n">
        <x:v>73109.54458664249</x:v>
      </x:c>
      <x:c r="Q517" s="66" t="n">
        <x:v>409903.87729771796</x:v>
      </x:c>
      <x:c r="R517" s="66" t="n">
        <x:v>91356.11223383716</x:v>
      </x:c>
      <x:c r="S517" s="66" t="n">
        <x:v>318547.76506388077</x:v>
      </x:c>
      <x:c r="T517" s="66" t="n">
        <x:v>261266.85793231003</x:v>
      </x:c>
      <x:c r="U517" s="45" t="n">
        <x:v>0.692271451204117</x:v>
      </x:c>
      <x:c r="V517" s="45" t="n">
        <x:v>0.6767298372436392</x:v>
      </x:c>
      <x:c r="W517" s="45" t="n">
        <x:v>0.07988302139946457</x:v>
      </x:c>
      <x:c r="X517" s="66" t="n">
        <x:v>51080801.85074833</x:v>
      </x:c>
      <x:c r="Y517" s="66" t="n">
        <x:v>105.75441496318861</x:v>
      </x:c>
      <x:c r="Z517" s="66" t="n">
        <x:v>2922440.4633205775</x:v>
      </x:c>
      <x:c r="AA517" s="66" t="n">
        <x:v>277288.63973436167</x:v>
      </x:c>
      <x:c r="AB517" s="66" t="n">
        <x:v>20587.64409932011</x:v>
      </x:c>
      <x:c r="AC517" s="66" t="n">
        <x:v>0</x:v>
      </x:c>
      <x:c r="AD517" s="66" t="n">
        <x:v>2629.0116624607926</x:v>
      </x:c>
      <x:c r="AE517" s="66" t="n">
        <x:v>236215.1176733052</x:v>
      </x:c>
      <x:c r="AF517" s="66" t="n">
        <x:v>261266.8579323101</x:v>
      </x:c>
      <x:c r="AG517" s="66" t="n">
        <x:v>0</x:v>
      </x:c>
      <x:c r="AH517" s="36" t="n">
        <x:v>0</x:v>
      </x:c>
    </x:row>
    <x:row r="518" ht="15" hidden="0" customHeight="1">
      <x:c r="A518" s="34" t="n">
        <x:v>129</x:v>
      </x:c>
      <x:c r="B518" s="34" t="str">
        <x:v>B1</x:v>
      </x:c>
      <x:c r="C518" s="34" t="str">
        <x:v>slow</x:v>
      </x:c>
      <x:c r="D518" s="74" t="n">
        <x:v>1.0040819513579684</x:v>
      </x:c>
      <x:c r="E518" s="74" t="n">
        <x:v>0.0025790851629797287</x:v>
      </x:c>
      <x:c r="F518" s="74" t="n">
        <x:v>1.0019121436564549</x:v>
      </x:c>
      <x:c r="G518" s="74" t="n">
        <x:v>0.9393144203299876</x:v>
      </x:c>
      <x:c r="H518" s="74" t="n">
        <x:v>0.9116280914930123</x:v>
      </x:c>
      <x:c r="I518" s="74" t="n">
        <x:v>0.9024570050921439</x:v>
      </x:c>
      <x:c r="J518" s="74" t="n">
        <x:v>0.8412485296846713</x:v>
      </x:c>
      <x:c r="K518" s="74" t="n">
        <x:v>0.7390124078525127</x:v>
      </x:c>
      <x:c r="L518" s="74" t="n">
        <x:v>0.8929399114754569</x:v>
      </x:c>
      <x:c r="M518" s="74" t="n">
        <x:v>0.7700270565859448</x:v>
      </x:c>
      <x:c r="N518" s="74" t="n">
        <x:v>0.8698520923265562</x:v>
      </x:c>
      <x:c r="O518" s="65" t="n">
        <x:v>483013.4218843604</x:v>
      </x:c>
      <x:c r="P518" s="65" t="n">
        <x:v>247304.91970789427</x:v>
      </x:c>
      <x:c r="Q518" s="65" t="n">
        <x:v>235708.50217646614</x:v>
      </x:c>
      <x:c r="R518" s="65" t="n">
        <x:v>91356.11223383716</x:v>
      </x:c>
      <x:c r="S518" s="65" t="n">
        <x:v>144352.38994262897</x:v>
      </x:c>
      <x:c r="T518" s="65" t="n">
        <x:v>136853.42940194823</x:v>
      </x:c>
      <x:c r="U518" s="43" t="n">
        <x:v>0.7953367995678907</x:v>
      </x:c>
      <x:c r="V518" s="43" t="n">
        <x:v>0.7864940106099675</x:v>
      </x:c>
      <x:c r="W518" s="43" t="n">
        <x:v>0.2772641926523983</x:v>
      </x:c>
      <x:c r="X518" s="65" t="n">
        <x:v>30878753.54415095</x:v>
      </x:c>
      <x:c r="Y518" s="65" t="n">
        <x:v>63.929390251071986</x:v>
      </x:c>
      <x:c r="Z518" s="65" t="n">
        <x:v>940346.9555547191</x:v>
      </x:c>
      <x:c r="AA518" s="65" t="n">
        <x:v>153146.4299365278</x:v>
      </x:c>
      <x:c r="AB518" s="65" t="n">
        <x:v>2740.335815138511</x:v>
      </x:c>
      <x:c r="AC518" s="65" t="n">
        <x:v>1119.1905318012386</x:v>
      </x:c>
      <x:c r="AD518" s="65" t="n">
        <x:v>2048.601266152082</x:v>
      </x:c>
      <x:c r="AE518" s="65" t="n">
        <x:v>61698.208624933715</x:v>
      </x:c>
      <x:c r="AF518" s="65" t="n">
        <x:v>136853.4294019482</x:v>
      </x:c>
      <x:c r="AG518" s="65" t="n">
        <x:v>2.9103830456733704e-11</x:v>
      </x:c>
      <x:c r="AH518" s="34" t="n">
        <x:v>0</x:v>
      </x:c>
    </x:row>
    <x:row r="519" ht="15" hidden="0" customHeight="1">
      <x:c r="A519" s="36" t="n">
        <x:v>129</x:v>
      </x:c>
      <x:c r="B519" s="36" t="str">
        <x:v>P2</x:v>
      </x:c>
      <x:c r="C519" s="36" t="str">
        <x:v>slow</x:v>
      </x:c>
      <x:c r="D519" s="75" t="n">
        <x:v>1.0040819513579684</x:v>
      </x:c>
      <x:c r="E519" s="75" t="n">
        <x:v>0.0025790851629797287</x:v>
      </x:c>
      <x:c r="F519" s="75" t="n">
        <x:v>1.0019121436564549</x:v>
      </x:c>
      <x:c r="G519" s="75" t="n">
        <x:v>0.9393144203299876</x:v>
      </x:c>
      <x:c r="H519" s="75" t="n">
        <x:v>0.9116280914930123</x:v>
      </x:c>
      <x:c r="I519" s="75" t="n">
        <x:v>0.9024570050921439</x:v>
      </x:c>
      <x:c r="J519" s="75" t="n">
        <x:v>0.8412485296846713</x:v>
      </x:c>
      <x:c r="K519" s="75" t="n">
        <x:v>0.7390124078525127</x:v>
      </x:c>
      <x:c r="L519" s="75" t="n">
        <x:v>0.8929399114754569</x:v>
      </x:c>
      <x:c r="M519" s="75" t="n">
        <x:v>0.7700270565859448</x:v>
      </x:c>
      <x:c r="N519" s="75" t="n">
        <x:v>0.8698520923265562</x:v>
      </x:c>
      <x:c r="O519" s="66" t="n">
        <x:v>483013.4218843604</x:v>
      </x:c>
      <x:c r="P519" s="66" t="n">
        <x:v>358268.1828024365</x:v>
      </x:c>
      <x:c r="Q519" s="66" t="n">
        <x:v>124745.2390819239</x:v>
      </x:c>
      <x:c r="R519" s="66" t="n">
        <x:v>91356.11223383716</x:v>
      </x:c>
      <x:c r="S519" s="66" t="n">
        <x:v>33389.12684808673</x:v>
      </x:c>
      <x:c r="T519" s="66" t="n">
        <x:v>58613.53444221992</x:v>
      </x:c>
      <x:c r="U519" s="45" t="n">
        <x:v>0.8630851615226198</x:v>
      </x:c>
      <x:c r="V519" s="45" t="n">
        <x:v>0.8587664014608636</x:v>
      </x:c>
      <x:c r="W519" s="45" t="n">
        <x:v>0.4074196172210628</x:v>
      </x:c>
      <x:c r="X519" s="66" t="n">
        <x:v>17338848.36684358</x:v>
      </x:c>
      <x:c r="Y519" s="66" t="n">
        <x:v>35.89723925103416</x:v>
      </x:c>
      <x:c r="Z519" s="66" t="n">
        <x:v>382880.0855692061</x:v>
      </x:c>
      <x:c r="AA519" s="66" t="n">
        <x:v>89784.03285428714</x:v>
      </x:c>
      <x:c r="AB519" s="66" t="n">
        <x:v>0</x:v>
      </x:c>
      <x:c r="AC519" s="66" t="n">
        <x:v>0</x:v>
      </x:c>
      <x:c r="AD519" s="66" t="n">
        <x:v>1696.4714088191572</x:v>
      </x:c>
      <x:c r="AE519" s="66" t="n">
        <x:v>12221.359807011213</x:v>
      </x:c>
      <x:c r="AF519" s="66" t="n">
        <x:v>58613.53444221991</x:v>
      </x:c>
      <x:c r="AG519" s="66" t="n">
        <x:v>7.275957614183426e-12</x:v>
      </x:c>
      <x:c r="AH519" s="36" t="n">
        <x:v>0</x:v>
      </x:c>
    </x:row>
    <x:row r="520" ht="15" hidden="0" customHeight="1">
      <x:c r="A520" s="34" t="n">
        <x:v>129</x:v>
      </x:c>
      <x:c r="B520" s="34" t="str">
        <x:v>H3</x:v>
      </x:c>
      <x:c r="C520" s="34" t="str">
        <x:v>slow</x:v>
      </x:c>
      <x:c r="D520" s="74" t="n">
        <x:v>1.0040819513579684</x:v>
      </x:c>
      <x:c r="E520" s="74" t="n">
        <x:v>0.0025790851629797287</x:v>
      </x:c>
      <x:c r="F520" s="74" t="n">
        <x:v>1.0019121436564549</x:v>
      </x:c>
      <x:c r="G520" s="74" t="n">
        <x:v>0.9393144203299876</x:v>
      </x:c>
      <x:c r="H520" s="74" t="n">
        <x:v>0.9116280914930123</x:v>
      </x:c>
      <x:c r="I520" s="74" t="n">
        <x:v>0.9024570050921439</x:v>
      </x:c>
      <x:c r="J520" s="74" t="n">
        <x:v>0.8412485296846713</x:v>
      </x:c>
      <x:c r="K520" s="74" t="n">
        <x:v>0.7390124078525127</x:v>
      </x:c>
      <x:c r="L520" s="74" t="n">
        <x:v>0.8929399114754569</x:v>
      </x:c>
      <x:c r="M520" s="74" t="n">
        <x:v>0.7700270565859448</x:v>
      </x:c>
      <x:c r="N520" s="74" t="n">
        <x:v>0.8698520923265562</x:v>
      </x:c>
      <x:c r="O520" s="65" t="n">
        <x:v>483013.4218843604</x:v>
      </x:c>
      <x:c r="P520" s="65" t="n">
        <x:v>371651.87874860456</x:v>
      </x:c>
      <x:c r="Q520" s="65" t="n">
        <x:v>111361.54313575587</x:v>
      </x:c>
      <x:c r="R520" s="65" t="n">
        <x:v>91356.11223383716</x:v>
      </x:c>
      <x:c r="S520" s="65" t="n">
        <x:v>20005.430901918717</x:v>
      </x:c>
      <x:c r="T520" s="65" t="n">
        <x:v>49181.998727719634</x:v>
      </x:c>
      <x:c r="U520" s="43" t="n">
        <x:v>0.8712674605077066</x:v>
      </x:c>
      <x:c r="V520" s="43" t="n">
        <x:v>0.8676604918050763</x:v>
      </x:c>
      <x:c r="W520" s="43" t="n">
        <x:v>0.42379959111232174</x:v>
      </x:c>
      <x:c r="X520" s="65" t="n">
        <x:v>14927113.317807674</x:v>
      </x:c>
      <x:c r="Y520" s="65" t="n">
        <x:v>30.904137735082273</x:v>
      </x:c>
      <x:c r="Z520" s="65" t="n">
        <x:v>356966.59171721106</x:v>
      </x:c>
      <x:c r="AA520" s="65" t="n">
        <x:v>83465.08613821544</x:v>
      </x:c>
      <x:c r="AB520" s="65" t="n">
        <x:v>1556.769817482147</x:v>
      </x:c>
      <x:c r="AC520" s="65" t="n">
        <x:v>0</x:v>
      </x:c>
      <x:c r="AD520" s="65" t="n">
        <x:v>1656.710585670968</x:v>
      </x:c>
      <x:c r="AE520" s="65" t="n">
        <x:v>11905.690939735396</x:v>
      </x:c>
      <x:c r="AF520" s="65" t="n">
        <x:v>49181.998727719656</x:v>
      </x:c>
      <x:c r="AG520" s="65" t="n">
        <x:v>0</x:v>
      </x:c>
      <x:c r="AH520" s="34" t="n">
        <x:v>0</x:v>
      </x:c>
    </x:row>
    <x:row r="521" ht="15" hidden="0" customHeight="1">
      <x:c r="A521" s="36" t="n">
        <x:v>130</x:v>
      </x:c>
      <x:c r="B521" s="36" t="str">
        <x:v>M0</x:v>
      </x:c>
      <x:c r="C521" s="36" t="str">
        <x:v>slow</x:v>
      </x:c>
      <x:c r="D521" s="75" t="n">
        <x:v>0.9534512425495092</x:v>
      </x:c>
      <x:c r="E521" s="75" t="n">
        <x:v>0.06872797580323428</x:v>
      </x:c>
      <x:c r="F521" s="75" t="n">
        <x:v>1.0336791549949267</x:v>
      </x:c>
      <x:c r="G521" s="75" t="n">
        <x:v>1.3365876618367325</x:v>
      </x:c>
      <x:c r="H521" s="75" t="n">
        <x:v>0.9086504620902831</x:v>
      </x:c>
      <x:c r="I521" s="75" t="n">
        <x:v>0.9893266355278227</x:v>
      </x:c>
      <x:c r="J521" s="75" t="n">
        <x:v>0.7504776714626978</x:v>
      </x:c>
      <x:c r="K521" s="75" t="n">
        <x:v>0.7721607836493336</x:v>
      </x:c>
      <x:c r="L521" s="75" t="n">
        <x:v>0.8804673913999106</x:v>
      </x:c>
      <x:c r="M521" s="75" t="n">
        <x:v>0.9997696374763425</x:v>
      </x:c>
      <x:c r="N521" s="75" t="n">
        <x:v>0.8871794361780992</x:v>
      </x:c>
      <x:c r="O521" s="66" t="n">
        <x:v>458657.5295381929</x:v>
      </x:c>
      <x:c r="P521" s="66" t="n">
        <x:v>65780.07791597527</x:v>
      </x:c>
      <x:c r="Q521" s="66" t="n">
        <x:v>392877.4516222176</x:v>
      </x:c>
      <x:c r="R521" s="66" t="n">
        <x:v>117089.1782818861</x:v>
      </x:c>
      <x:c r="S521" s="66" t="n">
        <x:v>275788.2733403315</x:v>
      </x:c>
      <x:c r="T521" s="66" t="n">
        <x:v>250321.2960322824</x:v>
      </x:c>
      <x:c r="U521" s="45" t="n">
        <x:v>0.6891882365182792</x:v>
      </x:c>
      <x:c r="V521" s="45" t="n">
        <x:v>0.6735668687565712</x:v>
      </x:c>
      <x:c r="W521" s="45" t="n">
        <x:v>0.07023106583088189</x:v>
      </x:c>
      <x:c r="X521" s="66" t="n">
        <x:v>47993374.74351296</x:v>
      </x:c>
      <x:c r="Y521" s="66" t="n">
        <x:v>104.63880270718742</x:v>
      </x:c>
      <x:c r="Z521" s="66" t="n">
        <x:v>2488406.3309031315</x:v>
      </x:c>
      <x:c r="AA521" s="66" t="n">
        <x:v>262280.5337836632</x:v>
      </x:c>
      <x:c r="AB521" s="66" t="n">
        <x:v>13758.343835518062</x:v>
      </x:c>
      <x:c r="AC521" s="66" t="n">
        <x:v>4094.1915069913844</x:v>
      </x:c>
      <x:c r="AD521" s="66" t="n">
        <x:v>2525.7427702779487</x:v>
      </x:c>
      <x:c r="AE521" s="66" t="n">
        <x:v>199219.7605084239</x:v>
      </x:c>
      <x:c r="AF521" s="66" t="n">
        <x:v>250321.29603228244</x:v>
      </x:c>
      <x:c r="AG521" s="66" t="n">
        <x:v>0</x:v>
      </x:c>
      <x:c r="AH521" s="36" t="n">
        <x:v>0</x:v>
      </x:c>
    </x:row>
    <x:row r="522" ht="15" hidden="0" customHeight="1">
      <x:c r="A522" s="34" t="n">
        <x:v>130</x:v>
      </x:c>
      <x:c r="B522" s="34" t="str">
        <x:v>B1</x:v>
      </x:c>
      <x:c r="C522" s="34" t="str">
        <x:v>slow</x:v>
      </x:c>
      <x:c r="D522" s="74" t="n">
        <x:v>0.9534512425495092</x:v>
      </x:c>
      <x:c r="E522" s="74" t="n">
        <x:v>0.06872797580323428</x:v>
      </x:c>
      <x:c r="F522" s="74" t="n">
        <x:v>1.0336791549949267</x:v>
      </x:c>
      <x:c r="G522" s="74" t="n">
        <x:v>1.3365876618367325</x:v>
      </x:c>
      <x:c r="H522" s="74" t="n">
        <x:v>0.9086504620902831</x:v>
      </x:c>
      <x:c r="I522" s="74" t="n">
        <x:v>0.9893266355278227</x:v>
      </x:c>
      <x:c r="J522" s="74" t="n">
        <x:v>0.7504776714626978</x:v>
      </x:c>
      <x:c r="K522" s="74" t="n">
        <x:v>0.7721607836493336</x:v>
      </x:c>
      <x:c r="L522" s="74" t="n">
        <x:v>0.8804673913999106</x:v>
      </x:c>
      <x:c r="M522" s="74" t="n">
        <x:v>0.9997696374763425</x:v>
      </x:c>
      <x:c r="N522" s="74" t="n">
        <x:v>0.8871794361780992</x:v>
      </x:c>
      <x:c r="O522" s="65" t="n">
        <x:v>458657.5295381929</x:v>
      </x:c>
      <x:c r="P522" s="65" t="n">
        <x:v>222513.92090905271</x:v>
      </x:c>
      <x:c r="Q522" s="65" t="n">
        <x:v>236143.60862914013</x:v>
      </x:c>
      <x:c r="R522" s="65" t="n">
        <x:v>117089.1782818861</x:v>
      </x:c>
      <x:c r="S522" s="65" t="n">
        <x:v>119054.43034725406</x:v>
      </x:c>
      <x:c r="T522" s="65" t="n">
        <x:v>137442.66574538493</x:v>
      </x:c>
      <x:c r="U522" s="43" t="n">
        <x:v>0.7848047038862874</x:v>
      </x:c>
      <x:c r="V522" s="43" t="n">
        <x:v>0.7756236215563359</x:v>
      </x:c>
      <x:c r="W522" s="43" t="n">
        <x:v>0.24376343590388325</x:v>
      </x:c>
      <x:c r="X522" s="65" t="n">
        <x:v>30517205.24161502</x:v>
      </x:c>
      <x:c r="Y522" s="65" t="n">
        <x:v>66.53592991777936</x:v>
      </x:c>
      <x:c r="Z522" s="65" t="n">
        <x:v>988274.2729076927</x:v>
      </x:c>
      <x:c r="AA522" s="65" t="n">
        <x:v>153766.75420858557</x:v>
      </x:c>
      <x:c r="AB522" s="65" t="n">
        <x:v>1868.5351357947116</x:v>
      </x:c>
      <x:c r="AC522" s="65" t="n">
        <x:v>2993.472459621923</x:v>
      </x:c>
      <x:c r="AD522" s="65" t="n">
        <x:v>2041.19200033462</x:v>
      </x:c>
      <x:c r="AE522" s="65" t="n">
        <x:v>60790.36245959719</x:v>
      </x:c>
      <x:c r="AF522" s="65" t="n">
        <x:v>137442.66574538493</x:v>
      </x:c>
      <x:c r="AG522" s="65" t="n">
        <x:v>0</x:v>
      </x:c>
      <x:c r="AH522" s="34" t="n">
        <x:v>0</x:v>
      </x:c>
    </x:row>
    <x:row r="523" ht="15" hidden="0" customHeight="1">
      <x:c r="A523" s="36" t="n">
        <x:v>130</x:v>
      </x:c>
      <x:c r="B523" s="36" t="str">
        <x:v>P2</x:v>
      </x:c>
      <x:c r="C523" s="36" t="str">
        <x:v>slow</x:v>
      </x:c>
      <x:c r="D523" s="75" t="n">
        <x:v>0.9534512425495092</x:v>
      </x:c>
      <x:c r="E523" s="75" t="n">
        <x:v>0.06872797580323428</x:v>
      </x:c>
      <x:c r="F523" s="75" t="n">
        <x:v>1.0336791549949267</x:v>
      </x:c>
      <x:c r="G523" s="75" t="n">
        <x:v>1.3365876618367325</x:v>
      </x:c>
      <x:c r="H523" s="75" t="n">
        <x:v>0.9086504620902831</x:v>
      </x:c>
      <x:c r="I523" s="75" t="n">
        <x:v>0.9893266355278227</x:v>
      </x:c>
      <x:c r="J523" s="75" t="n">
        <x:v>0.7504776714626978</x:v>
      </x:c>
      <x:c r="K523" s="75" t="n">
        <x:v>0.7721607836493336</x:v>
      </x:c>
      <x:c r="L523" s="75" t="n">
        <x:v>0.8804673913999106</x:v>
      </x:c>
      <x:c r="M523" s="75" t="n">
        <x:v>0.9997696374763425</x:v>
      </x:c>
      <x:c r="N523" s="75" t="n">
        <x:v>0.8871794361780992</x:v>
      </x:c>
      <x:c r="O523" s="66" t="n">
        <x:v>458657.5295381929</x:v>
      </x:c>
      <x:c r="P523" s="66" t="n">
        <x:v>322355.4335336399</x:v>
      </x:c>
      <x:c r="Q523" s="66" t="n">
        <x:v>136302.09600455294</x:v>
      </x:c>
      <x:c r="R523" s="66" t="n">
        <x:v>117089.1782818861</x:v>
      </x:c>
      <x:c r="S523" s="66" t="n">
        <x:v>19212.91772266684</x:v>
      </x:c>
      <x:c r="T523" s="66" t="n">
        <x:v>66506.15271144689</x:v>
      </x:c>
      <x:c r="U523" s="45" t="n">
        <x:v>0.8478255805298099</x:v>
      </x:c>
      <x:c r="V523" s="45" t="n">
        <x:v>0.8429276096760214</x:v>
      </x:c>
      <x:c r="W523" s="45" t="n">
        <x:v>0.3581926854614057</x:v>
      </x:c>
      <x:c r="X523" s="66" t="n">
        <x:v>18298642.003852975</x:v>
      </x:c>
      <x:c r="Y523" s="66" t="n">
        <x:v>39.896089839138305</x:v>
      </x:c>
      <x:c r="Z523" s="66" t="n">
        <x:v>429698.12843522354</x:v>
      </x:c>
      <x:c r="AA523" s="66" t="n">
        <x:v>95956.25701274008</x:v>
      </x:c>
      <x:c r="AB523" s="66" t="n">
        <x:v>0</x:v>
      </x:c>
      <x:c r="AC523" s="66" t="n">
        <x:v>0</x:v>
      </x:c>
      <x:c r="AD523" s="66" t="n">
        <x:v>1747.2193310374437</x:v>
      </x:c>
      <x:c r="AE523" s="66" t="n">
        <x:v>12576.827929218867</x:v>
      </x:c>
      <x:c r="AF523" s="66" t="n">
        <x:v>66506.15271144688</x:v>
      </x:c>
      <x:c r="AG523" s="66" t="n">
        <x:v>1.4551915228366852e-11</x:v>
      </x:c>
      <x:c r="AH523" s="36" t="n">
        <x:v>0</x:v>
      </x:c>
    </x:row>
    <x:row r="524" ht="15" hidden="0" customHeight="1">
      <x:c r="A524" s="34" t="n">
        <x:v>130</x:v>
      </x:c>
      <x:c r="B524" s="34" t="str">
        <x:v>H3</x:v>
      </x:c>
      <x:c r="C524" s="34" t="str">
        <x:v>slow</x:v>
      </x:c>
      <x:c r="D524" s="74" t="n">
        <x:v>0.9534512425495092</x:v>
      </x:c>
      <x:c r="E524" s="74" t="n">
        <x:v>0.06872797580323428</x:v>
      </x:c>
      <x:c r="F524" s="74" t="n">
        <x:v>1.0336791549949267</x:v>
      </x:c>
      <x:c r="G524" s="74" t="n">
        <x:v>1.3365876618367325</x:v>
      </x:c>
      <x:c r="H524" s="74" t="n">
        <x:v>0.9086504620902831</x:v>
      </x:c>
      <x:c r="I524" s="74" t="n">
        <x:v>0.9893266355278227</x:v>
      </x:c>
      <x:c r="J524" s="74" t="n">
        <x:v>0.7504776714626978</x:v>
      </x:c>
      <x:c r="K524" s="74" t="n">
        <x:v>0.7721607836493336</x:v>
      </x:c>
      <x:c r="L524" s="74" t="n">
        <x:v>0.8804673913999106</x:v>
      </x:c>
      <x:c r="M524" s="74" t="n">
        <x:v>0.9997696374763425</x:v>
      </x:c>
      <x:c r="N524" s="74" t="n">
        <x:v>0.8871794361780992</x:v>
      </x:c>
      <x:c r="O524" s="65" t="n">
        <x:v>458657.5295381929</x:v>
      </x:c>
      <x:c r="P524" s="65" t="n">
        <x:v>334138.9639700873</x:v>
      </x:c>
      <x:c r="Q524" s="65" t="n">
        <x:v>124518.56556810558</x:v>
      </x:c>
      <x:c r="R524" s="65" t="n">
        <x:v>117089.1782818861</x:v>
      </x:c>
      <x:c r="S524" s="65" t="n">
        <x:v>7429.387286219469</x:v>
      </x:c>
      <x:c r="T524" s="65" t="n">
        <x:v>58138.912245932996</x:v>
      </x:c>
      <x:c r="U524" s="43" t="n">
        <x:v>0.8552740355336408</x:v>
      </x:c>
      <x:c r="V524" s="43" t="n">
        <x:v>0.8510804654247982</x:v>
      </x:c>
      <x:c r="W524" s="43" t="n">
        <x:v>0.3725530694540654</x:v>
      </x:c>
      <x:c r="X524" s="65" t="n">
        <x:v>16119693.118464625</x:v>
      </x:c>
      <x:c r="Y524" s="65" t="n">
        <x:v>35.145379897491296</x:v>
      </x:c>
      <x:c r="Z524" s="65" t="n">
        <x:v>411648.5510470547</x:v>
      </x:c>
      <x:c r="AA524" s="65" t="n">
        <x:v>90228.84348183908</x:v>
      </x:c>
      <x:c r="AB524" s="65" t="n">
        <x:v>1271.5046182041888</x:v>
      </x:c>
      <x:c r="AC524" s="65" t="n">
        <x:v>588.65485298356</x:v>
      </x:c>
      <x:c r="AD524" s="65" t="n">
        <x:v>1715.5384914747742</x:v>
      </x:c>
      <x:c r="AE524" s="65" t="n">
        <x:v>12317.984059758419</x:v>
      </x:c>
      <x:c r="AF524" s="65" t="n">
        <x:v>58138.91224593298</x:v>
      </x:c>
      <x:c r="AG524" s="65" t="n">
        <x:v>1.4551915228366852e-11</x:v>
      </x:c>
      <x:c r="AH524" s="34" t="n">
        <x:v>0</x:v>
      </x:c>
    </x:row>
    <x:row r="525" ht="15" hidden="0" customHeight="1">
      <x:c r="A525" s="36" t="n">
        <x:v>131</x:v>
      </x:c>
      <x:c r="B525" s="36" t="str">
        <x:v>M0</x:v>
      </x:c>
      <x:c r="C525" s="36" t="str">
        <x:v>slow</x:v>
      </x:c>
      <x:c r="D525" s="75" t="n">
        <x:v>1.1910125307744845</x:v>
      </x:c>
      <x:c r="E525" s="75" t="n">
        <x:v>0.08443539182715648</x:v>
      </x:c>
      <x:c r="F525" s="75" t="n">
        <x:v>0.7473871133243977</x:v>
      </x:c>
      <x:c r="G525" s="75" t="n">
        <x:v>1.2385777961272788</x:v>
      </x:c>
      <x:c r="H525" s="75" t="n">
        <x:v>1.0479380514835723</x:v>
      </x:c>
      <x:c r="I525" s="75" t="n">
        <x:v>0.9642842746601502</x:v>
      </x:c>
      <x:c r="J525" s="75" t="n">
        <x:v>0.8130912543280859</x:v>
      </x:c>
      <x:c r="K525" s="75" t="n">
        <x:v>0.932827086814561</x:v>
      </x:c>
      <x:c r="L525" s="75" t="n">
        <x:v>0.8686562959901586</x:v>
      </x:c>
      <x:c r="M525" s="75" t="n">
        <x:v>0.7966531883324112</x:v>
      </x:c>
      <x:c r="N525" s="75" t="n">
        <x:v>1.0484965614387571</x:v>
      </x:c>
      <x:c r="O525" s="66" t="n">
        <x:v>572936.3397265596</x:v>
      </x:c>
      <x:c r="P525" s="66" t="n">
        <x:v>58158.352275042475</x:v>
      </x:c>
      <x:c r="Q525" s="66" t="n">
        <x:v>514777.98745151714</x:v>
      </x:c>
      <x:c r="R525" s="66" t="n">
        <x:v>155262.39083272952</x:v>
      </x:c>
      <x:c r="S525" s="66" t="n">
        <x:v>359515.5966187876</x:v>
      </x:c>
      <x:c r="T525" s="66" t="n">
        <x:v>304178.3850565922</x:v>
      </x:c>
      <x:c r="U525" s="45" t="n">
        <x:v>0.6324205888294047</x:v>
      </x:c>
      <x:c r="V525" s="45" t="n">
        <x:v>0.6122121169813831</x:v>
      </x:c>
      <x:c r="W525" s="45" t="n">
        <x:v>0.048687593535971734</x:v>
      </x:c>
      <x:c r="X525" s="66" t="n">
        <x:v>67081724.38097985</x:v>
      </x:c>
      <x:c r="Y525" s="66" t="n">
        <x:v>117.08408025400408</x:v>
      </x:c>
      <x:c r="Z525" s="66" t="n">
        <x:v>3811746.1099191126</x:v>
      </x:c>
      <x:c r="AA525" s="66" t="n">
        <x:v>380842.7569174989</x:v>
      </x:c>
      <x:c r="AB525" s="66" t="n">
        <x:v>24802.295282128976</x:v>
      </x:c>
      <x:c r="AC525" s="66" t="n">
        <x:v>3524.3442484831685</x:v>
      </x:c>
      <x:c r="AD525" s="66" t="n">
        <x:v>3236.7447446212623</x:v>
      </x:c>
      <x:c r="AE525" s="66" t="n">
        <x:v>273981.68408715597</x:v>
      </x:c>
      <x:c r="AF525" s="66" t="n">
        <x:v>304178.38505659223</x:v>
      </x:c>
      <x:c r="AG525" s="66" t="n">
        <x:v>0</x:v>
      </x:c>
      <x:c r="AH525" s="36" t="n">
        <x:v>0</x:v>
      </x:c>
    </x:row>
    <x:row r="526" ht="15" hidden="0" customHeight="1">
      <x:c r="A526" s="34" t="n">
        <x:v>131</x:v>
      </x:c>
      <x:c r="B526" s="34" t="str">
        <x:v>B1</x:v>
      </x:c>
      <x:c r="C526" s="34" t="str">
        <x:v>slow</x:v>
      </x:c>
      <x:c r="D526" s="74" t="n">
        <x:v>1.1910125307744845</x:v>
      </x:c>
      <x:c r="E526" s="74" t="n">
        <x:v>0.08443539182715648</x:v>
      </x:c>
      <x:c r="F526" s="74" t="n">
        <x:v>0.7473871133243977</x:v>
      </x:c>
      <x:c r="G526" s="74" t="n">
        <x:v>1.2385777961272788</x:v>
      </x:c>
      <x:c r="H526" s="74" t="n">
        <x:v>1.0479380514835723</x:v>
      </x:c>
      <x:c r="I526" s="74" t="n">
        <x:v>0.9642842746601502</x:v>
      </x:c>
      <x:c r="J526" s="74" t="n">
        <x:v>0.8130912543280859</x:v>
      </x:c>
      <x:c r="K526" s="74" t="n">
        <x:v>0.932827086814561</x:v>
      </x:c>
      <x:c r="L526" s="74" t="n">
        <x:v>0.8686562959901586</x:v>
      </x:c>
      <x:c r="M526" s="74" t="n">
        <x:v>0.7966531883324112</x:v>
      </x:c>
      <x:c r="N526" s="74" t="n">
        <x:v>1.0484965614387571</x:v>
      </x:c>
      <x:c r="O526" s="65" t="n">
        <x:v>572936.3397265596</x:v>
      </x:c>
      <x:c r="P526" s="65" t="n">
        <x:v>196732.44358254198</x:v>
      </x:c>
      <x:c r="Q526" s="65" t="n">
        <x:v>376203.8961440177</x:v>
      </x:c>
      <x:c r="R526" s="65" t="n">
        <x:v>155262.39083272952</x:v>
      </x:c>
      <x:c r="S526" s="65" t="n">
        <x:v>220941.5053112881</x:v>
      </x:c>
      <x:c r="T526" s="65" t="n">
        <x:v>221806.79851337813</x:v>
      </x:c>
      <x:c r="U526" s="43" t="n">
        <x:v>0.7305161377888382</x:v>
      </x:c>
      <x:c r="V526" s="43" t="n">
        <x:v>0.7212963405417099</x:v>
      </x:c>
      <x:c r="W526" s="43" t="n">
        <x:v>0.16898867966491074</x:v>
      </x:c>
      <x:c r="X526" s="65" t="n">
        <x:v>50502169.24197891</x:v>
      </x:c>
      <x:c r="Y526" s="65" t="n">
        <x:v>88.14621405596588</x:v>
      </x:c>
      <x:c r="Z526" s="65" t="n">
        <x:v>1971008.8078129771</x:v>
      </x:c>
      <x:c r="AA526" s="65" t="n">
        <x:v>284241.66924502107</x:v>
      </x:c>
      <x:c r="AB526" s="65" t="n">
        <x:v>4568.885039796816</x:v>
      </x:c>
      <x:c r="AC526" s="65" t="n">
        <x:v>7711.060677518016</x:v>
      </x:c>
      <x:c r="AD526" s="65" t="n">
        <x:v>2817.1344063457936</x:v>
      </x:c>
      <x:c r="AE526" s="65" t="n">
        <x:v>131216.69560506946</x:v>
      </x:c>
      <x:c r="AF526" s="65" t="n">
        <x:v>221806.79851337816</x:v>
      </x:c>
      <x:c r="AG526" s="65" t="n">
        <x:v>0</x:v>
      </x:c>
      <x:c r="AH526" s="34" t="n">
        <x:v>0</x:v>
      </x:c>
    </x:row>
    <x:row r="527" ht="15" hidden="0" customHeight="1">
      <x:c r="A527" s="36" t="n">
        <x:v>131</x:v>
      </x:c>
      <x:c r="B527" s="36" t="str">
        <x:v>P2</x:v>
      </x:c>
      <x:c r="C527" s="36" t="str">
        <x:v>slow</x:v>
      </x:c>
      <x:c r="D527" s="75" t="n">
        <x:v>1.1910125307744845</x:v>
      </x:c>
      <x:c r="E527" s="75" t="n">
        <x:v>0.08443539182715648</x:v>
      </x:c>
      <x:c r="F527" s="75" t="n">
        <x:v>0.7473871133243977</x:v>
      </x:c>
      <x:c r="G527" s="75" t="n">
        <x:v>1.2385777961272788</x:v>
      </x:c>
      <x:c r="H527" s="75" t="n">
        <x:v>1.0479380514835723</x:v>
      </x:c>
      <x:c r="I527" s="75" t="n">
        <x:v>0.9642842746601502</x:v>
      </x:c>
      <x:c r="J527" s="75" t="n">
        <x:v>0.8130912543280859</x:v>
      </x:c>
      <x:c r="K527" s="75" t="n">
        <x:v>0.932827086814561</x:v>
      </x:c>
      <x:c r="L527" s="75" t="n">
        <x:v>0.8686562959901586</x:v>
      </x:c>
      <x:c r="M527" s="75" t="n">
        <x:v>0.7966531883324112</x:v>
      </x:c>
      <x:c r="N527" s="75" t="n">
        <x:v>1.0484965614387571</x:v>
      </x:c>
      <x:c r="O527" s="66" t="n">
        <x:v>572936.3397265596</x:v>
      </x:c>
      <x:c r="P527" s="66" t="n">
        <x:v>285006.2661108854</x:v>
      </x:c>
      <x:c r="Q527" s="66" t="n">
        <x:v>287930.07361567416</x:v>
      </x:c>
      <x:c r="R527" s="66" t="n">
        <x:v>155262.39083272952</x:v>
      </x:c>
      <x:c r="S527" s="66" t="n">
        <x:v>132667.6827829446</x:v>
      </x:c>
      <x:c r="T527" s="66" t="n">
        <x:v>139923.29927609698</x:v>
      </x:c>
      <x:c r="U527" s="45" t="n">
        <x:v>0.7416697736257835</x:v>
      </x:c>
      <x:c r="V527" s="45" t="n">
        <x:v>0.7417648344963679</x:v>
      </x:c>
      <x:c r="W527" s="45" t="n">
        <x:v>0.2483166056357159</x:v>
      </x:c>
      <x:c r="X527" s="66" t="n">
        <x:v>38728671.67704755</x:v>
      </x:c>
      <x:c r="Y527" s="66" t="n">
        <x:v>67.59681484950187</x:v>
      </x:c>
      <x:c r="Z527" s="66" t="n">
        <x:v>1443993.6037185893</x:v>
      </x:c>
      <x:c r="AA527" s="66" t="n">
        <x:v>222634.15152285324</x:v>
      </x:c>
      <x:c r="AB527" s="66" t="n">
        <x:v>415.36659086547206</x:v>
      </x:c>
      <x:c r="AC527" s="66" t="n">
        <x:v>22806.088148577175</x:v>
      </x:c>
      <x:c r="AD527" s="66" t="n">
        <x:v>2562.560522948688</x:v>
      </x:c>
      <x:c r="AE527" s="66" t="n">
        <x:v>58140.56748387392</x:v>
      </x:c>
      <x:c r="AF527" s="66" t="n">
        <x:v>139923.29927609712</x:v>
      </x:c>
      <x:c r="AG527" s="66" t="n">
        <x:v>0</x:v>
      </x:c>
      <x:c r="AH527" s="36" t="n">
        <x:v>0</x:v>
      </x:c>
    </x:row>
    <x:row r="528" ht="15" hidden="0" customHeight="1">
      <x:c r="A528" s="34" t="n">
        <x:v>131</x:v>
      </x:c>
      <x:c r="B528" s="34" t="str">
        <x:v>H3</x:v>
      </x:c>
      <x:c r="C528" s="34" t="str">
        <x:v>slow</x:v>
      </x:c>
      <x:c r="D528" s="74" t="n">
        <x:v>1.1910125307744845</x:v>
      </x:c>
      <x:c r="E528" s="74" t="n">
        <x:v>0.08443539182715648</x:v>
      </x:c>
      <x:c r="F528" s="74" t="n">
        <x:v>0.7473871133243977</x:v>
      </x:c>
      <x:c r="G528" s="74" t="n">
        <x:v>1.2385777961272788</x:v>
      </x:c>
      <x:c r="H528" s="74" t="n">
        <x:v>1.0479380514835723</x:v>
      </x:c>
      <x:c r="I528" s="74" t="n">
        <x:v>0.9642842746601502</x:v>
      </x:c>
      <x:c r="J528" s="74" t="n">
        <x:v>0.8130912543280859</x:v>
      </x:c>
      <x:c r="K528" s="74" t="n">
        <x:v>0.932827086814561</x:v>
      </x:c>
      <x:c r="L528" s="74" t="n">
        <x:v>0.8686562959901586</x:v>
      </x:c>
      <x:c r="M528" s="74" t="n">
        <x:v>0.7966531883324112</x:v>
      </x:c>
      <x:c r="N528" s="74" t="n">
        <x:v>1.0484965614387571</x:v>
      </x:c>
      <x:c r="O528" s="65" t="n">
        <x:v>572936.3397265596</x:v>
      </x:c>
      <x:c r="P528" s="65" t="n">
        <x:v>295653.53185608325</x:v>
      </x:c>
      <x:c r="Q528" s="65" t="n">
        <x:v>277282.8078704764</x:v>
      </x:c>
      <x:c r="R528" s="65" t="n">
        <x:v>155262.39083272952</x:v>
      </x:c>
      <x:c r="S528" s="65" t="n">
        <x:v>122020.41703774681</x:v>
      </x:c>
      <x:c r="T528" s="65" t="n">
        <x:v>158729.31449702333</x:v>
      </x:c>
      <x:c r="U528" s="43" t="n">
        <x:v>0.7930773715103602</x:v>
      </x:c>
      <x:c r="V528" s="43" t="n">
        <x:v>0.7854729070988363</x:v>
      </x:c>
      <x:c r="W528" s="43" t="n">
        <x:v>0.2582999725261522</x:v>
      </x:c>
      <x:c r="X528" s="65" t="n">
        <x:v>32689333.49394615</x:v>
      </x:c>
      <x:c r="Y528" s="65" t="n">
        <x:v>57.05578652865257</x:v>
      </x:c>
      <x:c r="Z528" s="65" t="n">
        <x:v>1753181.4557801445</x:v>
      </x:c>
      <x:c r="AA528" s="65" t="n">
        <x:v>184028.82638322044</x:v>
      </x:c>
      <x:c r="AB528" s="65" t="n">
        <x:v>5794.202132591797</x:v>
      </x:c>
      <x:c r="AC528" s="65" t="n">
        <x:v>11306.112694476447</x:v>
      </x:c>
      <x:c r="AD528" s="65" t="n">
        <x:v>2533.8152548462726</x:v>
      </x:c>
      <x:c r="AE528" s="65" t="n">
        <x:v>22844.160134560254</x:v>
      </x:c>
      <x:c r="AF528" s="65" t="n">
        <x:v>158729.3144970234</x:v>
      </x:c>
      <x:c r="AG528" s="65" t="n">
        <x:v>0</x:v>
      </x:c>
      <x:c r="AH528" s="34" t="n">
        <x:v>0</x:v>
      </x:c>
    </x:row>
    <x:row r="529" ht="15" hidden="0" customHeight="1">
      <x:c r="A529" s="36" t="n">
        <x:v>132</x:v>
      </x:c>
      <x:c r="B529" s="36" t="str">
        <x:v>M0</x:v>
      </x:c>
      <x:c r="C529" s="36" t="str">
        <x:v>fast</x:v>
      </x:c>
      <x:c r="D529" s="75" t="n">
        <x:v>0.9463468295510027</x:v>
      </x:c>
      <x:c r="E529" s="75" t="n">
        <x:v>-0.03726711025032018</x:v>
      </x:c>
      <x:c r="F529" s="75" t="n">
        <x:v>0.8953941996603093</x:v>
      </x:c>
      <x:c r="G529" s="75" t="n">
        <x:v>1.0802062512094641</x:v>
      </x:c>
      <x:c r="H529" s="75" t="n">
        <x:v>0.7590306616655568</x:v>
      </x:c>
      <x:c r="I529" s="75" t="n">
        <x:v>1.041720995980889</x:v>
      </x:c>
      <x:c r="J529" s="75" t="n">
        <x:v>0.8354665271530639</x:v>
      </x:c>
      <x:c r="K529" s="75" t="n">
        <x:v>0.8689332951864973</x:v>
      </x:c>
      <x:c r="L529" s="75" t="n">
        <x:v>0.7841733442503197</x:v>
      </x:c>
      <x:c r="M529" s="75" t="n">
        <x:v>0.98383381141028</x:v>
      </x:c>
      <x:c r="N529" s="75" t="n">
        <x:v>0.8269951979868255</x:v>
      </x:c>
      <x:c r="O529" s="66" t="n">
        <x:v>455239.95308614394</x:v>
      </x:c>
      <x:c r="P529" s="66" t="n">
        <x:v>64606.66846915846</x:v>
      </x:c>
      <x:c r="Q529" s="66" t="n">
        <x:v>390633.2846169855</x:v>
      </x:c>
      <x:c r="R529" s="66" t="n">
        <x:v>67963.5183820862</x:v>
      </x:c>
      <x:c r="S529" s="66" t="n">
        <x:v>322669.7662348993</x:v>
      </x:c>
      <x:c r="T529" s="66" t="n">
        <x:v>266163.11953335744</x:v>
      </x:c>
      <x:c r="U529" s="45" t="n">
        <x:v>0.726583389177894</x:v>
      </x:c>
      <x:c r="V529" s="45" t="n">
        <x:v>0.7887903262736377</x:v>
      </x:c>
      <x:c r="W529" s="45" t="n">
        <x:v>0.16169232063697667</x:v>
      </x:c>
      <x:c r="X529" s="66" t="n">
        <x:v>49431728.38323511</x:v>
      </x:c>
      <x:c r="Y529" s="66" t="n">
        <x:v>108.58389745480285</x:v>
      </x:c>
      <x:c r="Z529" s="66" t="n">
        <x:v>2243925.915975598</x:v>
      </x:c>
      <x:c r="AA529" s="66" t="n">
        <x:v>279263.7082620127</x:v>
      </x:c>
      <x:c r="AB529" s="66" t="n">
        <x:v>7389.75784487031</x:v>
      </x:c>
      <x:c r="AC529" s="66" t="n">
        <x:v>100.26872477664432</x:v>
      </x:c>
      <x:c r="AD529" s="66" t="n">
        <x:v>1911.3804678817023</x:v>
      </x:c>
      <x:c r="AE529" s="66" t="n">
        <x:v>218528.1961293163</x:v>
      </x:c>
      <x:c r="AF529" s="66" t="n">
        <x:v>266163.1195333574</x:v>
      </x:c>
      <x:c r="AG529" s="66" t="n">
        <x:v>5.820766091346741e-11</x:v>
      </x:c>
      <x:c r="AH529" s="36" t="n">
        <x:v>0</x:v>
      </x:c>
    </x:row>
    <x:row r="530" ht="15" hidden="0" customHeight="1">
      <x:c r="A530" s="34" t="n">
        <x:v>132</x:v>
      </x:c>
      <x:c r="B530" s="34" t="str">
        <x:v>B1</x:v>
      </x:c>
      <x:c r="C530" s="34" t="str">
        <x:v>fast</x:v>
      </x:c>
      <x:c r="D530" s="74" t="n">
        <x:v>0.9463468295510027</x:v>
      </x:c>
      <x:c r="E530" s="74" t="n">
        <x:v>-0.03726711025032018</x:v>
      </x:c>
      <x:c r="F530" s="74" t="n">
        <x:v>0.8953941996603093</x:v>
      </x:c>
      <x:c r="G530" s="74" t="n">
        <x:v>1.0802062512094641</x:v>
      </x:c>
      <x:c r="H530" s="74" t="n">
        <x:v>0.7590306616655568</x:v>
      </x:c>
      <x:c r="I530" s="74" t="n">
        <x:v>1.041720995980889</x:v>
      </x:c>
      <x:c r="J530" s="74" t="n">
        <x:v>0.8354665271530639</x:v>
      </x:c>
      <x:c r="K530" s="74" t="n">
        <x:v>0.8689332951864973</x:v>
      </x:c>
      <x:c r="L530" s="74" t="n">
        <x:v>0.7841733442503197</x:v>
      </x:c>
      <x:c r="M530" s="74" t="n">
        <x:v>0.98383381141028</x:v>
      </x:c>
      <x:c r="N530" s="74" t="n">
        <x:v>0.8269951979868255</x:v>
      </x:c>
      <x:c r="O530" s="65" t="n">
        <x:v>455239.95308614394</x:v>
      </x:c>
      <x:c r="P530" s="65" t="n">
        <x:v>218541.46425791754</x:v>
      </x:c>
      <x:c r="Q530" s="65" t="n">
        <x:v>236698.4888282264</x:v>
      </x:c>
      <x:c r="R530" s="65" t="n">
        <x:v>67963.5183820862</x:v>
      </x:c>
      <x:c r="S530" s="65" t="n">
        <x:v>168734.9704461402</x:v>
      </x:c>
      <x:c r="T530" s="65" t="n">
        <x:v>178103.99954968394</x:v>
      </x:c>
      <x:c r="U530" s="43" t="n">
        <x:v>0.871288781045422</x:v>
      </x:c>
      <x:c r="V530" s="43" t="n">
        <x:v>0.9022535947922606</x:v>
      </x:c>
      <x:c r="W530" s="43" t="n">
        <x:v>0.5594269482311485</x:v>
      </x:c>
      <x:c r="X530" s="65" t="n">
        <x:v>30611622.959996615</x:v>
      </x:c>
      <x:c r="Y530" s="65" t="n">
        <x:v>67.24283040729523</x:v>
      </x:c>
      <x:c r="Z530" s="65" t="n">
        <x:v>1122101.8441350337</x:v>
      </x:c>
      <x:c r="AA530" s="65" t="n">
        <x:v>165294.25620175977</x:v>
      </x:c>
      <x:c r="AB530" s="65" t="n">
        <x:v>675.392172160791</x:v>
      </x:c>
      <x:c r="AC530" s="65" t="n">
        <x:v>0</x:v>
      </x:c>
      <x:c r="AD530" s="65" t="n">
        <x:v>1501.190769831424</x:v>
      </x:c>
      <x:c r="AE530" s="65" t="n">
        <x:v>111518.66570446418</x:v>
      </x:c>
      <x:c r="AF530" s="65" t="n">
        <x:v>178103.99954968394</x:v>
      </x:c>
      <x:c r="AG530" s="65" t="n">
        <x:v>0</x:v>
      </x:c>
      <x:c r="AH530" s="34" t="n">
        <x:v>0</x:v>
      </x:c>
    </x:row>
    <x:row r="531" ht="15" hidden="0" customHeight="1">
      <x:c r="A531" s="36" t="n">
        <x:v>132</x:v>
      </x:c>
      <x:c r="B531" s="36" t="str">
        <x:v>P2</x:v>
      </x:c>
      <x:c r="C531" s="36" t="str">
        <x:v>fast</x:v>
      </x:c>
      <x:c r="D531" s="75" t="n">
        <x:v>0.9463468295510027</x:v>
      </x:c>
      <x:c r="E531" s="75" t="n">
        <x:v>-0.03726711025032018</x:v>
      </x:c>
      <x:c r="F531" s="75" t="n">
        <x:v>0.8953941996603093</x:v>
      </x:c>
      <x:c r="G531" s="75" t="n">
        <x:v>1.0802062512094641</x:v>
      </x:c>
      <x:c r="H531" s="75" t="n">
        <x:v>0.7590306616655568</x:v>
      </x:c>
      <x:c r="I531" s="75" t="n">
        <x:v>1.041720995980889</x:v>
      </x:c>
      <x:c r="J531" s="75" t="n">
        <x:v>0.8354665271530639</x:v>
      </x:c>
      <x:c r="K531" s="75" t="n">
        <x:v>0.8689332951864973</x:v>
      </x:c>
      <x:c r="L531" s="75" t="n">
        <x:v>0.7841733442503197</x:v>
      </x:c>
      <x:c r="M531" s="75" t="n">
        <x:v>0.98383381141028</x:v>
      </x:c>
      <x:c r="N531" s="75" t="n">
        <x:v>0.8269951979868255</x:v>
      </x:c>
      <x:c r="O531" s="66" t="n">
        <x:v>455239.95308614394</x:v>
      </x:c>
      <x:c r="P531" s="66" t="n">
        <x:v>316597.9571599759</x:v>
      </x:c>
      <x:c r="Q531" s="66" t="n">
        <x:v>138641.995926168</x:v>
      </x:c>
      <x:c r="R531" s="66" t="n">
        <x:v>67963.5183820862</x:v>
      </x:c>
      <x:c r="S531" s="66" t="n">
        <x:v>70678.47754408179</x:v>
      </x:c>
      <x:c r="T531" s="66" t="n">
        <x:v>115341.21412973225</x:v>
      </x:c>
      <x:c r="U531" s="45" t="n">
        <x:v>0.9488164831788686</x:v>
      </x:c>
      <x:c r="V531" s="45" t="n">
        <x:v>0.9601633342022402</x:v>
      </x:c>
      <x:c r="W531" s="45" t="n">
        <x:v>0.8243086979221368</x:v>
      </x:c>
      <x:c r="X531" s="66" t="n">
        <x:v>16662005.650260728</x:v>
      </x:c>
      <x:c r="Y531" s="66" t="n">
        <x:v>36.600490658401895</x:v>
      </x:c>
      <x:c r="Z531" s="66" t="n">
        <x:v>721493.7652510505</x:v>
      </x:c>
      <x:c r="AA531" s="66" t="n">
        <x:v>94476.65690270117</x:v>
      </x:c>
      <x:c r="AB531" s="66" t="n">
        <x:v>0</x:v>
      </x:c>
      <x:c r="AC531" s="66" t="n">
        <x:v>0</x:v>
      </x:c>
      <x:c r="AD531" s="66" t="n">
        <x:v>1253.341311624575</x:v>
      </x:c>
      <x:c r="AE531" s="66" t="n">
        <x:v>57407.82573255055</x:v>
      </x:c>
      <x:c r="AF531" s="66" t="n">
        <x:v>115341.21412973222</x:v>
      </x:c>
      <x:c r="AG531" s="66" t="n">
        <x:v>2.9103830456733704e-11</x:v>
      </x:c>
      <x:c r="AH531" s="36" t="n">
        <x:v>0</x:v>
      </x:c>
    </x:row>
    <x:row r="532" ht="15" hidden="0" customHeight="1">
      <x:c r="A532" s="34" t="n">
        <x:v>132</x:v>
      </x:c>
      <x:c r="B532" s="34" t="str">
        <x:v>H3</x:v>
      </x:c>
      <x:c r="C532" s="34" t="str">
        <x:v>fast</x:v>
      </x:c>
      <x:c r="D532" s="74" t="n">
        <x:v>0.9463468295510027</x:v>
      </x:c>
      <x:c r="E532" s="74" t="n">
        <x:v>-0.03726711025032018</x:v>
      </x:c>
      <x:c r="F532" s="74" t="n">
        <x:v>0.8953941996603093</x:v>
      </x:c>
      <x:c r="G532" s="74" t="n">
        <x:v>1.0802062512094641</x:v>
      </x:c>
      <x:c r="H532" s="74" t="n">
        <x:v>0.7590306616655568</x:v>
      </x:c>
      <x:c r="I532" s="74" t="n">
        <x:v>1.041720995980889</x:v>
      </x:c>
      <x:c r="J532" s="74" t="n">
        <x:v>0.8354665271530639</x:v>
      </x:c>
      <x:c r="K532" s="74" t="n">
        <x:v>0.8689332951864973</x:v>
      </x:c>
      <x:c r="L532" s="74" t="n">
        <x:v>0.7841733442503197</x:v>
      </x:c>
      <x:c r="M532" s="74" t="n">
        <x:v>0.98383381141028</x:v>
      </x:c>
      <x:c r="N532" s="74" t="n">
        <x:v>0.8269951979868255</x:v>
      </x:c>
      <x:c r="O532" s="65" t="n">
        <x:v>455239.95308614394</x:v>
      </x:c>
      <x:c r="P532" s="65" t="n">
        <x:v>328424.81321615074</x:v>
      </x:c>
      <x:c r="Q532" s="65" t="n">
        <x:v>126815.13986999317</x:v>
      </x:c>
      <x:c r="R532" s="65" t="n">
        <x:v>67963.5183820862</x:v>
      </x:c>
      <x:c r="S532" s="65" t="n">
        <x:v>58851.62148790699</x:v>
      </x:c>
      <x:c r="T532" s="65" t="n">
        <x:v>125589.62130337606</x:v>
      </x:c>
      <x:c r="U532" s="43" t="n">
        <x:v>0.9973079722939316</x:v>
      </x:c>
      <x:c r="V532" s="43" t="n">
        <x:v>0.9983044295979611</x:v>
      </x:c>
      <x:c r="W532" s="43" t="n">
        <x:v>0.9730797229393169</x:v>
      </x:c>
      <x:c r="X532" s="65" t="n">
        <x:v>11334328.433570696</x:v>
      </x:c>
      <x:c r="Y532" s="65" t="n">
        <x:v>24.897481771389973</x:v>
      </x:c>
      <x:c r="Z532" s="65" t="n">
        <x:v>754731.5059243216</x:v>
      </x:c>
      <x:c r="AA532" s="65" t="n">
        <x:v>77258.80169614113</x:v>
      </x:c>
      <x:c r="AB532" s="65" t="n">
        <x:v>198.96301734419882</x:v>
      </x:c>
      <x:c r="AC532" s="65" t="n">
        <x:v>0</x:v>
      </x:c>
      <x:c r="AD532" s="65" t="n">
        <x:v>1225.5185666171346</x:v>
      </x:c>
      <x:c r="AE532" s="65" t="n">
        <x:v>55989.77857902563</x:v>
      </x:c>
      <x:c r="AF532" s="65" t="n">
        <x:v>125589.6213033761</x:v>
      </x:c>
      <x:c r="AG532" s="65" t="n">
        <x:v>0</x:v>
      </x:c>
      <x:c r="AH532" s="34" t="n">
        <x:v>1</x:v>
      </x:c>
    </x:row>
    <x:row r="533" ht="15" hidden="0" customHeight="1">
      <x:c r="A533" s="36" t="n">
        <x:v>133</x:v>
      </x:c>
      <x:c r="B533" s="36" t="str">
        <x:v>M0</x:v>
      </x:c>
      <x:c r="C533" s="36" t="str">
        <x:v>slow</x:v>
      </x:c>
      <x:c r="D533" s="75" t="n">
        <x:v>1.1055242528211235</x:v>
      </x:c>
      <x:c r="E533" s="75" t="n">
        <x:v>0.08158399302868949</x:v>
      </x:c>
      <x:c r="F533" s="75" t="n">
        <x:v>0.9229948518308954</x:v>
      </x:c>
      <x:c r="G533" s="75" t="n">
        <x:v>1.00739677593565</x:v>
      </x:c>
      <x:c r="H533" s="75" t="n">
        <x:v>0.8016023506472112</x:v>
      </x:c>
      <x:c r="I533" s="75" t="n">
        <x:v>0.9030854916096651</x:v>
      </x:c>
      <x:c r="J533" s="75" t="n">
        <x:v>0.7525137852051582</x:v>
      </x:c>
      <x:c r="K533" s="75" t="n">
        <x:v>0.7699154490789161</x:v>
      </x:c>
      <x:c r="L533" s="75" t="n">
        <x:v>0.9700652111436728</x:v>
      </x:c>
      <x:c r="M533" s="75" t="n">
        <x:v>0.9256774586148823</x:v>
      </x:c>
      <x:c r="N533" s="75" t="n">
        <x:v>0.9571618892845843</x:v>
      </x:c>
      <x:c r="O533" s="66" t="n">
        <x:v>531812.2207147509</x:v>
      </x:c>
      <x:c r="P533" s="66" t="n">
        <x:v>66928.85995057925</x:v>
      </x:c>
      <x:c r="Q533" s="66" t="n">
        <x:v>464883.3607641717</x:v>
      </x:c>
      <x:c r="R533" s="66" t="n">
        <x:v>142601.58682823693</x:v>
      </x:c>
      <x:c r="S533" s="66" t="n">
        <x:v>322281.7739359347</x:v>
      </x:c>
      <x:c r="T533" s="66" t="n">
        <x:v>276780.4804504765</x:v>
      </x:c>
      <x:c r="U533" s="45" t="n">
        <x:v>0.646298311721971</x:v>
      </x:c>
      <x:c r="V533" s="45" t="n">
        <x:v>0.6339455226729311</x:v>
      </x:c>
      <x:c r="W533" s="45" t="n">
        <x:v>0.06059633120191948</x:v>
      </x:c>
      <x:c r="X533" s="66" t="n">
        <x:v>61033040.37285264</x:v>
      </x:c>
      <x:c r="Y533" s="66" t="n">
        <x:v>114.76426828030534</x:v>
      </x:c>
      <x:c r="Z533" s="66" t="n">
        <x:v>3209293.496950139</x:v>
      </x:c>
      <x:c r="AA533" s="66" t="n">
        <x:v>342961.61800268467</x:v>
      </x:c>
      <x:c r="AB533" s="66" t="n">
        <x:v>19482.162659614456</x:v>
      </x:c>
      <x:c r="AC533" s="66" t="n">
        <x:v>1334.6845919125587</x:v>
      </x:c>
      <x:c r="AD533" s="66" t="n">
        <x:v>2962.503369441628</x:v>
      </x:c>
      <x:c r="AE533" s="66" t="n">
        <x:v>221647.95562768445</x:v>
      </x:c>
      <x:c r="AF533" s="66" t="n">
        <x:v>276780.48045047664</x:v>
      </x:c>
      <x:c r="AG533" s="66" t="n">
        <x:v>0</x:v>
      </x:c>
      <x:c r="AH533" s="36" t="n">
        <x:v>0</x:v>
      </x:c>
    </x:row>
    <x:row r="534" ht="15" hidden="0" customHeight="1">
      <x:c r="A534" s="34" t="n">
        <x:v>133</x:v>
      </x:c>
      <x:c r="B534" s="34" t="str">
        <x:v>B1</x:v>
      </x:c>
      <x:c r="C534" s="34" t="str">
        <x:v>slow</x:v>
      </x:c>
      <x:c r="D534" s="74" t="n">
        <x:v>1.1055242528211235</x:v>
      </x:c>
      <x:c r="E534" s="74" t="n">
        <x:v>0.08158399302868949</x:v>
      </x:c>
      <x:c r="F534" s="74" t="n">
        <x:v>0.9229948518308954</x:v>
      </x:c>
      <x:c r="G534" s="74" t="n">
        <x:v>1.00739677593565</x:v>
      </x:c>
      <x:c r="H534" s="74" t="n">
        <x:v>0.8016023506472112</x:v>
      </x:c>
      <x:c r="I534" s="74" t="n">
        <x:v>0.9030854916096651</x:v>
      </x:c>
      <x:c r="J534" s="74" t="n">
        <x:v>0.7525137852051582</x:v>
      </x:c>
      <x:c r="K534" s="74" t="n">
        <x:v>0.7699154490789161</x:v>
      </x:c>
      <x:c r="L534" s="74" t="n">
        <x:v>0.9700652111436728</x:v>
      </x:c>
      <x:c r="M534" s="74" t="n">
        <x:v>0.9256774586148823</x:v>
      </x:c>
      <x:c r="N534" s="74" t="n">
        <x:v>0.9571618892845843</x:v>
      </x:c>
      <x:c r="O534" s="65" t="n">
        <x:v>531812.2207147509</x:v>
      </x:c>
      <x:c r="P534" s="65" t="n">
        <x:v>226400.36291795323</x:v>
      </x:c>
      <x:c r="Q534" s="65" t="n">
        <x:v>305411.85779679776</x:v>
      </x:c>
      <x:c r="R534" s="65" t="n">
        <x:v>142601.58682823693</x:v>
      </x:c>
      <x:c r="S534" s="65" t="n">
        <x:v>162810.27096856077</x:v>
      </x:c>
      <x:c r="T534" s="65" t="n">
        <x:v>181568.3063675082</x:v>
      </x:c>
      <x:c r="U534" s="43" t="n">
        <x:v>0.7671291734085297</x:v>
      </x:c>
      <x:c r="V534" s="43" t="n">
        <x:v>0.7571422013909319</x:v>
      </x:c>
      <x:c r="W534" s="43" t="n">
        <x:v>0.2103224509296057</x:v>
      </x:c>
      <x:c r="X534" s="65" t="n">
        <x:v>41307817.87354081</x:v>
      </x:c>
      <x:c r="Y534" s="65" t="n">
        <x:v>77.67369057074971</x:v>
      </x:c>
      <x:c r="Z534" s="65" t="n">
        <x:v>1187069.9737432376</x:v>
      </x:c>
      <x:c r="AA534" s="65" t="n">
        <x:v>226605.85980349546</x:v>
      </x:c>
      <x:c r="AB534" s="65" t="n">
        <x:v>1778.7734964074432</x:v>
      </x:c>
      <x:c r="AC534" s="65" t="n">
        <x:v>720.1251746649763</x:v>
      </x:c>
      <x:c r="AD534" s="65" t="n">
        <x:v>2477.744074946416</x:v>
      </x:c>
      <x:c r="AE534" s="65" t="n">
        <x:v>98869.51913332017</x:v>
      </x:c>
      <x:c r="AF534" s="65" t="n">
        <x:v>181568.30636750796</x:v>
      </x:c>
      <x:c r="AG534" s="65" t="n">
        <x:v>2.3283064365386963e-10</x:v>
      </x:c>
      <x:c r="AH534" s="34" t="n">
        <x:v>0</x:v>
      </x:c>
    </x:row>
    <x:row r="535" ht="15" hidden="0" customHeight="1">
      <x:c r="A535" s="36" t="n">
        <x:v>133</x:v>
      </x:c>
      <x:c r="B535" s="36" t="str">
        <x:v>P2</x:v>
      </x:c>
      <x:c r="C535" s="36" t="str">
        <x:v>slow</x:v>
      </x:c>
      <x:c r="D535" s="75" t="n">
        <x:v>1.1055242528211235</x:v>
      </x:c>
      <x:c r="E535" s="75" t="n">
        <x:v>0.08158399302868949</x:v>
      </x:c>
      <x:c r="F535" s="75" t="n">
        <x:v>0.9229948518308954</x:v>
      </x:c>
      <x:c r="G535" s="75" t="n">
        <x:v>1.00739677593565</x:v>
      </x:c>
      <x:c r="H535" s="75" t="n">
        <x:v>0.8016023506472112</x:v>
      </x:c>
      <x:c r="I535" s="75" t="n">
        <x:v>0.9030854916096651</x:v>
      </x:c>
      <x:c r="J535" s="75" t="n">
        <x:v>0.7525137852051582</x:v>
      </x:c>
      <x:c r="K535" s="75" t="n">
        <x:v>0.7699154490789161</x:v>
      </x:c>
      <x:c r="L535" s="75" t="n">
        <x:v>0.9700652111436728</x:v>
      </x:c>
      <x:c r="M535" s="75" t="n">
        <x:v>0.9256774586148823</x:v>
      </x:c>
      <x:c r="N535" s="75" t="n">
        <x:v>0.9571618892845843</x:v>
      </x:c>
      <x:c r="O535" s="66" t="n">
        <x:v>531812.2207147509</x:v>
      </x:c>
      <x:c r="P535" s="66" t="n">
        <x:v>327986.0914829045</x:v>
      </x:c>
      <x:c r="Q535" s="66" t="n">
        <x:v>203826.12923184643</x:v>
      </x:c>
      <x:c r="R535" s="66" t="n">
        <x:v>142601.58682823693</x:v>
      </x:c>
      <x:c r="S535" s="66" t="n">
        <x:v>61224.54240360949</x:v>
      </x:c>
      <x:c r="T535" s="66" t="n">
        <x:v>109274.5563840598</x:v>
      </x:c>
      <x:c r="U535" s="45" t="n">
        <x:v>0.8222087248752763</x:v>
      </x:c>
      <x:c r="V535" s="45" t="n">
        <x:v>0.8159795361420692</x:v>
      </x:c>
      <x:c r="W535" s="45" t="n">
        <x:v>0.3090535839879015</x:v>
      </x:c>
      <x:c r="X535" s="66" t="n">
        <x:v>27066231.743134797</x:v>
      </x:c>
      <x:c r="Y535" s="66" t="n">
        <x:v>50.89433955985069</x:v>
      </x:c>
      <x:c r="Z535" s="66" t="n">
        <x:v>685454.8622730846</x:v>
      </x:c>
      <x:c r="AA535" s="66" t="n">
        <x:v>153574.06425510536</x:v>
      </x:c>
      <x:c r="AB535" s="66" t="n">
        <x:v>0</x:v>
      </x:c>
      <x:c r="AC535" s="66" t="n">
        <x:v>0</x:v>
      </x:c>
      <x:c r="AD535" s="66" t="n">
        <x:v>2183.644895646711</x:v>
      </x:c>
      <x:c r="AE535" s="66" t="n">
        <x:v>34615.92901986225</x:v>
      </x:c>
      <x:c r="AF535" s="66" t="n">
        <x:v>109274.5563840598</x:v>
      </x:c>
      <x:c r="AG535" s="66" t="n">
        <x:v>0</x:v>
      </x:c>
      <x:c r="AH535" s="36" t="n">
        <x:v>0</x:v>
      </x:c>
    </x:row>
    <x:row r="536" ht="15" hidden="0" customHeight="1">
      <x:c r="A536" s="34" t="n">
        <x:v>133</x:v>
      </x:c>
      <x:c r="B536" s="34" t="str">
        <x:v>H3</x:v>
      </x:c>
      <x:c r="C536" s="34" t="str">
        <x:v>slow</x:v>
      </x:c>
      <x:c r="D536" s="74" t="n">
        <x:v>1.1055242528211235</x:v>
      </x:c>
      <x:c r="E536" s="74" t="n">
        <x:v>0.08158399302868949</x:v>
      </x:c>
      <x:c r="F536" s="74" t="n">
        <x:v>0.9229948518308954</x:v>
      </x:c>
      <x:c r="G536" s="74" t="n">
        <x:v>1.00739677593565</x:v>
      </x:c>
      <x:c r="H536" s="74" t="n">
        <x:v>0.8016023506472112</x:v>
      </x:c>
      <x:c r="I536" s="74" t="n">
        <x:v>0.9030854916096651</x:v>
      </x:c>
      <x:c r="J536" s="74" t="n">
        <x:v>0.7525137852051582</x:v>
      </x:c>
      <x:c r="K536" s="74" t="n">
        <x:v>0.7699154490789161</x:v>
      </x:c>
      <x:c r="L536" s="74" t="n">
        <x:v>0.9700652111436728</x:v>
      </x:c>
      <x:c r="M536" s="74" t="n">
        <x:v>0.9256774586148823</x:v>
      </x:c>
      <x:c r="N536" s="74" t="n">
        <x:v>0.9571618892845843</x:v>
      </x:c>
      <x:c r="O536" s="65" t="n">
        <x:v>531812.2207147509</x:v>
      </x:c>
      <x:c r="P536" s="65" t="n">
        <x:v>340238.9805196889</x:v>
      </x:c>
      <x:c r="Q536" s="65" t="n">
        <x:v>191573.24019506195</x:v>
      </x:c>
      <x:c r="R536" s="65" t="n">
        <x:v>142601.58682823693</x:v>
      </x:c>
      <x:c r="S536" s="65" t="n">
        <x:v>48971.65336682502</x:v>
      </x:c>
      <x:c r="T536" s="65" t="n">
        <x:v>100559.71036179681</x:v>
      </x:c>
      <x:c r="U536" s="43" t="n">
        <x:v>0.828861529900641</x:v>
      </x:c>
      <x:c r="V536" s="43" t="n">
        <x:v>0.8232217443974857</x:v>
      </x:c>
      <x:c r="W536" s="43" t="n">
        <x:v>0.3214788316263212</x:v>
      </x:c>
      <x:c r="X536" s="65" t="n">
        <x:v>23262460.135790743</x:v>
      </x:c>
      <x:c r="Y536" s="65" t="n">
        <x:v>43.741868331882635</x:v>
      </x:c>
      <x:c r="Z536" s="65" t="n">
        <x:v>671291.9846838826</x:v>
      </x:c>
      <x:c r="AA536" s="65" t="n">
        <x:v>129800.91432287617</x:v>
      </x:c>
      <x:c r="AB536" s="65" t="n">
        <x:v>1584.734756172647</x:v>
      </x:c>
      <x:c r="AC536" s="65" t="n">
        <x:v>920.2091140331017</x:v>
      </x:c>
      <x:c r="AD536" s="65" t="n">
        <x:v>2150.4366197432355</x:v>
      </x:c>
      <x:c r="AE536" s="65" t="n">
        <x:v>15443.85919148069</x:v>
      </x:c>
      <x:c r="AF536" s="65" t="n">
        <x:v>100559.71036179685</x:v>
      </x:c>
      <x:c r="AG536" s="65" t="n">
        <x:v>0</x:v>
      </x:c>
      <x:c r="AH536" s="34" t="n">
        <x:v>0</x:v>
      </x:c>
    </x:row>
    <x:row r="537" ht="15" hidden="0" customHeight="1">
      <x:c r="A537" s="36" t="n">
        <x:v>134</x:v>
      </x:c>
      <x:c r="B537" s="36" t="str">
        <x:v>M0</x:v>
      </x:c>
      <x:c r="C537" s="36" t="str">
        <x:v>slow</x:v>
      </x:c>
      <x:c r="D537" s="75" t="n">
        <x:v>0.907381117272626</x:v>
      </x:c>
      <x:c r="E537" s="75" t="n">
        <x:v>0.06804317542856647</x:v>
      </x:c>
      <x:c r="F537" s="75" t="n">
        <x:v>0.812260666308278</x:v>
      </x:c>
      <x:c r="G537" s="75" t="n">
        <x:v>1.2693724803758641</x:v>
      </x:c>
      <x:c r="H537" s="75" t="n">
        <x:v>0.9342405843673425</x:v>
      </x:c>
      <x:c r="I537" s="75" t="n">
        <x:v>0.8656775091909622</x:v>
      </x:c>
      <x:c r="J537" s="75" t="n">
        <x:v>0.7633086721093439</x:v>
      </x:c>
      <x:c r="K537" s="75" t="n">
        <x:v>0.8308843513194116</x:v>
      </x:c>
      <x:c r="L537" s="75" t="n">
        <x:v>0.9173982083308769</x:v>
      </x:c>
      <x:c r="M537" s="75" t="n">
        <x:v>0.8013440502766254</x:v>
      </x:c>
      <x:c r="N537" s="75" t="n">
        <x:v>0.9842553237318861</x:v>
      </x:c>
      <x:c r="O537" s="66" t="n">
        <x:v>436495.50498777325</x:v>
      </x:c>
      <x:c r="P537" s="66" t="n">
        <x:v>49237.33620239011</x:v>
      </x:c>
      <x:c r="Q537" s="66" t="n">
        <x:v>387258.1687853832</x:v>
      </x:c>
      <x:c r="R537" s="66" t="n">
        <x:v>111132.59534565346</x:v>
      </x:c>
      <x:c r="S537" s="66" t="n">
        <x:v>276125.57343972975</x:v>
      </x:c>
      <x:c r="T537" s="66" t="n">
        <x:v>247797.1793370682</x:v>
      </x:c>
      <x:c r="U537" s="45" t="n">
        <x:v>0.6804984522069216</x:v>
      </x:c>
      <x:c r="V537" s="45" t="n">
        <x:v>0.6645006823594477</x:v>
      </x:c>
      <x:c r="W537" s="45" t="n">
        <x:v>0.05528639317617318</x:v>
      </x:c>
      <x:c r="X537" s="66" t="n">
        <x:v>46610919.94159672</x:v>
      </x:c>
      <x:c r="Y537" s="66" t="n">
        <x:v>106.7844213949061</x:v>
      </x:c>
      <x:c r="Z537" s="66" t="n">
        <x:v>3053140.795967533</x:v>
      </x:c>
      <x:c r="AA537" s="66" t="n">
        <x:v>253788.07716925512</x:v>
      </x:c>
      <x:c r="AB537" s="66" t="n">
        <x:v>24359.698807397857</x:v>
      </x:c>
      <x:c r="AC537" s="66" t="n">
        <x:v>1470.5533437781064</x:v>
      </x:c>
      <x:c r="AD537" s="66" t="n">
        <x:v>2446.8734150624227</x:v>
      </x:c>
      <x:c r="AE537" s="66" t="n">
        <x:v>219450.6260135899</x:v>
      </x:c>
      <x:c r="AF537" s="66" t="n">
        <x:v>247797.17933706823</x:v>
      </x:c>
      <x:c r="AG537" s="66" t="n">
        <x:v>0</x:v>
      </x:c>
      <x:c r="AH537" s="36" t="n">
        <x:v>0</x:v>
      </x:c>
    </x:row>
    <x:row r="538" ht="15" hidden="0" customHeight="1">
      <x:c r="A538" s="34" t="n">
        <x:v>134</x:v>
      </x:c>
      <x:c r="B538" s="34" t="str">
        <x:v>B1</x:v>
      </x:c>
      <x:c r="C538" s="34" t="str">
        <x:v>slow</x:v>
      </x:c>
      <x:c r="D538" s="74" t="n">
        <x:v>0.907381117272626</x:v>
      </x:c>
      <x:c r="E538" s="74" t="n">
        <x:v>0.06804317542856647</x:v>
      </x:c>
      <x:c r="F538" s="74" t="n">
        <x:v>0.812260666308278</x:v>
      </x:c>
      <x:c r="G538" s="74" t="n">
        <x:v>1.2693724803758641</x:v>
      </x:c>
      <x:c r="H538" s="74" t="n">
        <x:v>0.9342405843673425</x:v>
      </x:c>
      <x:c r="I538" s="74" t="n">
        <x:v>0.8656775091909622</x:v>
      </x:c>
      <x:c r="J538" s="74" t="n">
        <x:v>0.7633086721093439</x:v>
      </x:c>
      <x:c r="K538" s="74" t="n">
        <x:v>0.8308843513194116</x:v>
      </x:c>
      <x:c r="L538" s="74" t="n">
        <x:v>0.9173982083308769</x:v>
      </x:c>
      <x:c r="M538" s="74" t="n">
        <x:v>0.8013440502766254</x:v>
      </x:c>
      <x:c r="N538" s="74" t="n">
        <x:v>0.9842553237318861</x:v>
      </x:c>
      <x:c r="O538" s="65" t="n">
        <x:v>436495.50498777325</x:v>
      </x:c>
      <x:c r="P538" s="65" t="n">
        <x:v>166554.85837880816</x:v>
      </x:c>
      <x:c r="Q538" s="65" t="n">
        <x:v>269940.6466089652</x:v>
      </x:c>
      <x:c r="R538" s="65" t="n">
        <x:v>111132.59534565346</x:v>
      </x:c>
      <x:c r="S538" s="65" t="n">
        <x:v>158808.0512633117</x:v>
      </x:c>
      <x:c r="T538" s="65" t="n">
        <x:v>162949.59496024583</x:v>
      </x:c>
      <x:c r="U538" s="43" t="n">
        <x:v>0.7548862464191557</x:v>
      </x:c>
      <x:c r="V538" s="43" t="n">
        <x:v>0.744291603382612</x:v>
      </x:c>
      <x:c r="W538" s="43" t="n">
        <x:v>0.19189230577547306</x:v>
      </x:c>
      <x:c r="X538" s="65" t="n">
        <x:v>34009501.444761485</x:v>
      </x:c>
      <x:c r="Y538" s="65" t="n">
        <x:v>77.91489501298331</x:v>
      </x:c>
      <x:c r="Z538" s="65" t="n">
        <x:v>1496676.883227157</x:v>
      </x:c>
      <x:c r="AA538" s="65" t="n">
        <x:v>182914.20233188657</x:v>
      </x:c>
      <x:c r="AB538" s="65" t="n">
        <x:v>5295.956281362144</x:v>
      </x:c>
      <x:c r="AC538" s="65" t="n">
        <x:v>7747.348026794419</x:v>
      </x:c>
      <x:c r="AD538" s="65" t="n">
        <x:v>2083.862624386102</x:v>
      </x:c>
      <x:c r="AE538" s="65" t="n">
        <x:v>77909.93498981089</x:v>
      </x:c>
      <x:c r="AF538" s="65" t="n">
        <x:v>162949.59496024583</x:v>
      </x:c>
      <x:c r="AG538" s="65" t="n">
        <x:v>0</x:v>
      </x:c>
      <x:c r="AH538" s="34" t="n">
        <x:v>0</x:v>
      </x:c>
    </x:row>
    <x:row r="539" ht="15" hidden="0" customHeight="1">
      <x:c r="A539" s="36" t="n">
        <x:v>134</x:v>
      </x:c>
      <x:c r="B539" s="36" t="str">
        <x:v>P2</x:v>
      </x:c>
      <x:c r="C539" s="36" t="str">
        <x:v>slow</x:v>
      </x:c>
      <x:c r="D539" s="75" t="n">
        <x:v>0.907381117272626</x:v>
      </x:c>
      <x:c r="E539" s="75" t="n">
        <x:v>0.06804317542856647</x:v>
      </x:c>
      <x:c r="F539" s="75" t="n">
        <x:v>0.812260666308278</x:v>
      </x:c>
      <x:c r="G539" s="75" t="n">
        <x:v>1.2693724803758641</x:v>
      </x:c>
      <x:c r="H539" s="75" t="n">
        <x:v>0.9342405843673425</x:v>
      </x:c>
      <x:c r="I539" s="75" t="n">
        <x:v>0.8656775091909622</x:v>
      </x:c>
      <x:c r="J539" s="75" t="n">
        <x:v>0.7633086721093439</x:v>
      </x:c>
      <x:c r="K539" s="75" t="n">
        <x:v>0.8308843513194116</x:v>
      </x:c>
      <x:c r="L539" s="75" t="n">
        <x:v>0.9173982083308769</x:v>
      </x:c>
      <x:c r="M539" s="75" t="n">
        <x:v>0.8013440502766254</x:v>
      </x:c>
      <x:c r="N539" s="75" t="n">
        <x:v>0.9842553237318861</x:v>
      </x:c>
      <x:c r="O539" s="66" t="n">
        <x:v>436495.50498777325</x:v>
      </x:c>
      <x:c r="P539" s="66" t="n">
        <x:v>241287.64674848886</x:v>
      </x:c>
      <x:c r="Q539" s="66" t="n">
        <x:v>195207.85823928445</x:v>
      </x:c>
      <x:c r="R539" s="66" t="n">
        <x:v>111132.59534565346</x:v>
      </x:c>
      <x:c r="S539" s="66" t="n">
        <x:v>84075.26289363098</x:v>
      </x:c>
      <x:c r="T539" s="66" t="n">
        <x:v>109857.14828859552</x:v>
      </x:c>
      <x:c r="U539" s="45" t="n">
        <x:v>0.8044637138861724</x:v>
      </x:c>
      <x:c r="V539" s="45" t="n">
        <x:v>0.7972378482651297</x:v>
      </x:c>
      <x:c r="W539" s="45" t="n">
        <x:v>0.28197182268221804</x:v>
      </x:c>
      <x:c r="X539" s="66" t="n">
        <x:v>24336831.769012347</x:v>
      </x:c>
      <x:c r="Y539" s="66" t="n">
        <x:v>55.755057018729325</x:v>
      </x:c>
      <x:c r="Z539" s="66" t="n">
        <x:v>717503.1936136337</x:v>
      </x:c>
      <x:c r="AA539" s="66" t="n">
        <x:v>139154.27367014467</x:v>
      </x:c>
      <x:c r="AB539" s="66" t="n">
        <x:v>115.96390611829591</x:v>
      </x:c>
      <x:c r="AC539" s="66" t="n">
        <x:v>518.2576244802688</x:v>
      </x:c>
      <x:c r="AD539" s="66" t="n">
        <x:v>1863.627186247644</x:v>
      </x:c>
      <x:c r="AE539" s="66" t="n">
        <x:v>33085.2330375084</x:v>
      </x:c>
      <x:c r="AF539" s="66" t="n">
        <x:v>109857.1482885955</x:v>
      </x:c>
      <x:c r="AG539" s="66" t="n">
        <x:v>1.4551915228366852e-11</x:v>
      </x:c>
      <x:c r="AH539" s="36" t="n">
        <x:v>0</x:v>
      </x:c>
    </x:row>
    <x:row r="540" ht="15" hidden="0" customHeight="1">
      <x:c r="A540" s="34" t="n">
        <x:v>134</x:v>
      </x:c>
      <x:c r="B540" s="34" t="str">
        <x:v>H3</x:v>
      </x:c>
      <x:c r="C540" s="34" t="str">
        <x:v>slow</x:v>
      </x:c>
      <x:c r="D540" s="74" t="n">
        <x:v>0.907381117272626</x:v>
      </x:c>
      <x:c r="E540" s="74" t="n">
        <x:v>0.06804317542856647</x:v>
      </x:c>
      <x:c r="F540" s="74" t="n">
        <x:v>0.812260666308278</x:v>
      </x:c>
      <x:c r="G540" s="74" t="n">
        <x:v>1.2693724803758641</x:v>
      </x:c>
      <x:c r="H540" s="74" t="n">
        <x:v>0.9342405843673425</x:v>
      </x:c>
      <x:c r="I540" s="74" t="n">
        <x:v>0.8656775091909622</x:v>
      </x:c>
      <x:c r="J540" s="74" t="n">
        <x:v>0.7633086721093439</x:v>
      </x:c>
      <x:c r="K540" s="74" t="n">
        <x:v>0.8308843513194116</x:v>
      </x:c>
      <x:c r="L540" s="74" t="n">
        <x:v>0.9173982083308769</x:v>
      </x:c>
      <x:c r="M540" s="74" t="n">
        <x:v>0.8013440502766254</x:v>
      </x:c>
      <x:c r="N540" s="74" t="n">
        <x:v>0.9842553237318861</x:v>
      </x:c>
      <x:c r="O540" s="65" t="n">
        <x:v>436495.50498777325</x:v>
      </x:c>
      <x:c r="P540" s="65" t="n">
        <x:v>250301.60032778358</x:v>
      </x:c>
      <x:c r="Q540" s="65" t="n">
        <x:v>186193.90465998973</x:v>
      </x:c>
      <x:c r="R540" s="65" t="n">
        <x:v>111132.59534565346</x:v>
      </x:c>
      <x:c r="S540" s="65" t="n">
        <x:v>75061.30931433628</x:v>
      </x:c>
      <x:c r="T540" s="65" t="n">
        <x:v>103456.98853135231</x:v>
      </x:c>
      <x:c r="U540" s="43" t="n">
        <x:v>0.8104518484538462</x:v>
      </x:c>
      <x:c r="V540" s="43" t="n">
        <x:v>0.8037546771985596</x:v>
      </x:c>
      <x:c r="W540" s="43" t="n">
        <x:v>0.2933082701638308</x:v>
      </x:c>
      <x:c r="X540" s="65" t="n">
        <x:v>21726061.464734986</x:v>
      </x:c>
      <x:c r="Y540" s="65" t="n">
        <x:v>49.77384925268259</x:v>
      </x:c>
      <x:c r="Z540" s="65" t="n">
        <x:v>730943.6769311613</x:v>
      </x:c>
      <x:c r="AA540" s="65" t="n">
        <x:v>120062.10364035747</x:v>
      </x:c>
      <x:c r="AB540" s="65" t="n">
        <x:v>2530.0278046982758</x:v>
      </x:c>
      <x:c r="AC540" s="65" t="n">
        <x:v>2014.629721179341</x:v>
      </x:c>
      <x:c r="AD540" s="65" t="n">
        <x:v>1838.759251522904</x:v>
      </x:c>
      <x:c r="AE540" s="65" t="n">
        <x:v>13203.575129607256</x:v>
      </x:c>
      <x:c r="AF540" s="65" t="n">
        <x:v>103456.98853135221</x:v>
      </x:c>
      <x:c r="AG540" s="65" t="n">
        <x:v>1.0186340659856796e-10</x:v>
      </x:c>
      <x:c r="AH540" s="34" t="n">
        <x:v>0</x:v>
      </x:c>
    </x:row>
    <x:row r="541" ht="15" hidden="0" customHeight="1">
      <x:c r="A541" s="36" t="n">
        <x:v>135</x:v>
      </x:c>
      <x:c r="B541" s="36" t="str">
        <x:v>M0</x:v>
      </x:c>
      <x:c r="C541" s="36" t="str">
        <x:v>reference</x:v>
      </x:c>
      <x:c r="D541" s="75" t="n">
        <x:v>1.1033013899703614</x:v>
      </x:c>
      <x:c r="E541" s="75" t="n">
        <x:v>0.07711824537383136</x:v>
      </x:c>
      <x:c r="F541" s="75" t="n">
        <x:v>0.8215615486496952</x:v>
      </x:c>
      <x:c r="G541" s="75" t="n">
        <x:v>1.3218800299830793</x:v>
      </x:c>
      <x:c r="H541" s="75" t="n">
        <x:v>0.9485787826881793</x:v>
      </x:c>
      <x:c r="I541" s="75" t="n">
        <x:v>0.8411093501710019</x:v>
      </x:c>
      <x:c r="J541" s="75" t="n">
        <x:v>0.9392462756447828</x:v>
      </x:c>
      <x:c r="K541" s="75" t="n">
        <x:v>0.8538222089613985</x:v>
      </x:c>
      <x:c r="L541" s="75" t="n">
        <x:v>0.8341874453809568</x:v>
      </x:c>
      <x:c r="M541" s="75" t="n">
        <x:v>0.9570824479245472</x:v>
      </x:c>
      <x:c r="N541" s="75" t="n">
        <x:v>1.0152107444894154</x:v>
      </x:c>
      <x:c r="O541" s="66" t="n">
        <x:v>530742.9129849643</x:v>
      </x:c>
      <x:c r="P541" s="66" t="n">
        <x:v>59816.730953022365</x:v>
      </x:c>
      <x:c r="Q541" s="66" t="n">
        <x:v>470926.182031942</x:v>
      </x:c>
      <x:c r="R541" s="66" t="n">
        <x:v>139944.69580306445</x:v>
      </x:c>
      <x:c r="S541" s="66" t="n">
        <x:v>330981.48622887756</x:v>
      </x:c>
      <x:c r="T541" s="66" t="n">
        <x:v>255749.57360428217</x:v>
      </x:c>
      <x:c r="U541" s="45" t="n">
        <x:v>0.5945746930138366</x:v>
      </x:c>
      <x:c r="V541" s="45" t="n">
        <x:v>0.6251842171204351</x:v>
      </x:c>
      <x:c r="W541" s="45" t="n">
        <x:v>0.10989313555328618</x:v>
      </x:c>
      <x:c r="X541" s="66" t="n">
        <x:v>63210871.70059947</x:v>
      </x:c>
      <x:c r="Y541" s="66" t="n">
        <x:v>119.09885210731058</x:v>
      </x:c>
      <x:c r="Z541" s="66" t="n">
        <x:v>5266234.079794593</x:v>
      </x:c>
      <x:c r="AA541" s="66" t="n">
        <x:v>346496.3383645469</x:v>
      </x:c>
      <x:c r="AB541" s="66" t="n">
        <x:v>46849.95041821267</x:v>
      </x:c>
      <x:c r="AC541" s="66" t="n">
        <x:v>0</x:v>
      </x:c>
      <x:c r="AD541" s="66" t="n">
        <x:v>2291.2916510501723</x:v>
      </x:c>
      <x:c r="AE541" s="66" t="n">
        <x:v>197273.43472169185</x:v>
      </x:c>
      <x:c r="AF541" s="66" t="n">
        <x:v>255749.57360428202</x:v>
      </x:c>
      <x:c r="AG541" s="66" t="n">
        <x:v>1.4551915228366852e-10</x:v>
      </x:c>
      <x:c r="AH541" s="36" t="n">
        <x:v>0</x:v>
      </x:c>
    </x:row>
    <x:row r="542" ht="15" hidden="0" customHeight="1">
      <x:c r="A542" s="34" t="n">
        <x:v>135</x:v>
      </x:c>
      <x:c r="B542" s="34" t="str">
        <x:v>B1</x:v>
      </x:c>
      <x:c r="C542" s="34" t="str">
        <x:v>reference</x:v>
      </x:c>
      <x:c r="D542" s="74" t="n">
        <x:v>1.1033013899703614</x:v>
      </x:c>
      <x:c r="E542" s="74" t="n">
        <x:v>0.07711824537383136</x:v>
      </x:c>
      <x:c r="F542" s="74" t="n">
        <x:v>0.8215615486496952</x:v>
      </x:c>
      <x:c r="G542" s="74" t="n">
        <x:v>1.3218800299830793</x:v>
      </x:c>
      <x:c r="H542" s="74" t="n">
        <x:v>0.9485787826881793</x:v>
      </x:c>
      <x:c r="I542" s="74" t="n">
        <x:v>0.8411093501710019</x:v>
      </x:c>
      <x:c r="J542" s="74" t="n">
        <x:v>0.9392462756447828</x:v>
      </x:c>
      <x:c r="K542" s="74" t="n">
        <x:v>0.8538222089613985</x:v>
      </x:c>
      <x:c r="L542" s="74" t="n">
        <x:v>0.8341874453809568</x:v>
      </x:c>
      <x:c r="M542" s="74" t="n">
        <x:v>0.9570824479245472</x:v>
      </x:c>
      <x:c r="N542" s="74" t="n">
        <x:v>1.0152107444894154</x:v>
      </x:c>
      <x:c r="O542" s="65" t="n">
        <x:v>530742.9129849643</x:v>
      </x:c>
      <x:c r="P542" s="65" t="n">
        <x:v>202342.00723013014</x:v>
      </x:c>
      <x:c r="Q542" s="65" t="n">
        <x:v>328400.90575483424</x:v>
      </x:c>
      <x:c r="R542" s="65" t="n">
        <x:v>139944.69580306445</x:v>
      </x:c>
      <x:c r="S542" s="65" t="n">
        <x:v>188456.2099517698</x:v>
      </x:c>
      <x:c r="T542" s="65" t="n">
        <x:v>194875.06657696195</x:v>
      </x:c>
      <x:c r="U542" s="43" t="n">
        <x:v>0.7484171038160335</x:v>
      </x:c>
      <x:c r="V542" s="43" t="n">
        <x:v>0.7753024441013976</x:v>
      </x:c>
      <x:c r="W542" s="43" t="n">
        <x:v>0.39593166399270224</x:v>
      </x:c>
      <x:c r="X542" s="65" t="n">
        <x:v>44476509.22813646</x:v>
      </x:c>
      <x:c r="Y542" s="65" t="n">
        <x:v>83.80047691639446</x:v>
      </x:c>
      <x:c r="Z542" s="65" t="n">
        <x:v>2458978.914854511</x:v>
      </x:c>
      <x:c r="AA542" s="65" t="n">
        <x:v>242815.52842199538</x:v>
      </x:c>
      <x:c r="AB542" s="65" t="n">
        <x:v>15843.870911199965</x:v>
      </x:c>
      <x:c r="AC542" s="65" t="n">
        <x:v>0</x:v>
      </x:c>
      <x:c r="AD542" s="65" t="n">
        <x:v>1955.508851108787</x:v>
      </x:c>
      <x:c r="AE542" s="65" t="n">
        <x:v>137427.79289539286</x:v>
      </x:c>
      <x:c r="AF542" s="65" t="n">
        <x:v>194875.06657696195</x:v>
      </x:c>
      <x:c r="AG542" s="65" t="n">
        <x:v>0</x:v>
      </x:c>
      <x:c r="AH542" s="34" t="n">
        <x:v>0</x:v>
      </x:c>
    </x:row>
    <x:row r="543" ht="15" hidden="0" customHeight="1">
      <x:c r="A543" s="36" t="n">
        <x:v>135</x:v>
      </x:c>
      <x:c r="B543" s="36" t="str">
        <x:v>P2</x:v>
      </x:c>
      <x:c r="C543" s="36" t="str">
        <x:v>reference</x:v>
      </x:c>
      <x:c r="D543" s="75" t="n">
        <x:v>1.1033013899703614</x:v>
      </x:c>
      <x:c r="E543" s="75" t="n">
        <x:v>0.07711824537383136</x:v>
      </x:c>
      <x:c r="F543" s="75" t="n">
        <x:v>0.8215615486496952</x:v>
      </x:c>
      <x:c r="G543" s="75" t="n">
        <x:v>1.3218800299830793</x:v>
      </x:c>
      <x:c r="H543" s="75" t="n">
        <x:v>0.9485787826881793</x:v>
      </x:c>
      <x:c r="I543" s="75" t="n">
        <x:v>0.8411093501710019</x:v>
      </x:c>
      <x:c r="J543" s="75" t="n">
        <x:v>0.9392462756447828</x:v>
      </x:c>
      <x:c r="K543" s="75" t="n">
        <x:v>0.8538222089613985</x:v>
      </x:c>
      <x:c r="L543" s="75" t="n">
        <x:v>0.8341874453809568</x:v>
      </x:c>
      <x:c r="M543" s="75" t="n">
        <x:v>0.9570824479245472</x:v>
      </x:c>
      <x:c r="N543" s="75" t="n">
        <x:v>1.0152107444894154</x:v>
      </x:c>
      <x:c r="O543" s="66" t="n">
        <x:v>530742.9129849643</x:v>
      </x:c>
      <x:c r="P543" s="66" t="n">
        <x:v>293132.64509696834</x:v>
      </x:c>
      <x:c r="Q543" s="66" t="n">
        <x:v>237610.26788799604</x:v>
      </x:c>
      <x:c r="R543" s="66" t="n">
        <x:v>139944.69580306445</x:v>
      </x:c>
      <x:c r="S543" s="66" t="n">
        <x:v>97665.57208493158</x:v>
      </x:c>
      <x:c r="T543" s="66" t="n">
        <x:v>128072.65756594643</x:v>
      </x:c>
      <x:c r="U543" s="45" t="n">
        <x:v>0.793614558683419</x:v>
      </x:c>
      <x:c r="V543" s="45" t="n">
        <x:v>0.8300338920673004</x:v>
      </x:c>
      <x:c r="W543" s="45" t="n">
        <x:v>0.40401902931551376</x:v>
      </x:c>
      <x:c r="X543" s="66" t="n">
        <x:v>31094946.141694844</x:v>
      </x:c>
      <x:c r="Y543" s="66" t="n">
        <x:v>58.587586156945534</x:v>
      </x:c>
      <x:c r="Z543" s="66" t="n">
        <x:v>1065537.9990690453</x:v>
      </x:c>
      <x:c r="AA543" s="66" t="n">
        <x:v>178976.35142517288</x:v>
      </x:c>
      <x:c r="AB543" s="66" t="n">
        <x:v>1138.798498997417</x:v>
      </x:c>
      <x:c r="AC543" s="66" t="n">
        <x:v>21047.41569171777</x:v>
      </x:c>
      <x:c r="AD543" s="66" t="n">
        <x:v>1752.6183703477368</x:v>
      </x:c>
      <x:c r="AE543" s="66" t="n">
        <x:v>60455.86402108602</x:v>
      </x:c>
      <x:c r="AF543" s="66" t="n">
        <x:v>128072.65756594637</x:v>
      </x:c>
      <x:c r="AG543" s="66" t="n">
        <x:v>5.820766091346741e-11</x:v>
      </x:c>
      <x:c r="AH543" s="36" t="n">
        <x:v>0</x:v>
      </x:c>
    </x:row>
    <x:row r="544" ht="15" hidden="0" customHeight="1">
      <x:c r="A544" s="34" t="n">
        <x:v>135</x:v>
      </x:c>
      <x:c r="B544" s="34" t="str">
        <x:v>H3</x:v>
      </x:c>
      <x:c r="C544" s="34" t="str">
        <x:v>reference</x:v>
      </x:c>
      <x:c r="D544" s="74" t="n">
        <x:v>1.1033013899703614</x:v>
      </x:c>
      <x:c r="E544" s="74" t="n">
        <x:v>0.07711824537383136</x:v>
      </x:c>
      <x:c r="F544" s="74" t="n">
        <x:v>0.8215615486496952</x:v>
      </x:c>
      <x:c r="G544" s="74" t="n">
        <x:v>1.3218800299830793</x:v>
      </x:c>
      <x:c r="H544" s="74" t="n">
        <x:v>0.9485787826881793</x:v>
      </x:c>
      <x:c r="I544" s="74" t="n">
        <x:v>0.8411093501710019</x:v>
      </x:c>
      <x:c r="J544" s="74" t="n">
        <x:v>0.9392462756447828</x:v>
      </x:c>
      <x:c r="K544" s="74" t="n">
        <x:v>0.8538222089613985</x:v>
      </x:c>
      <x:c r="L544" s="74" t="n">
        <x:v>0.8341874453809568</x:v>
      </x:c>
      <x:c r="M544" s="74" t="n">
        <x:v>0.9570824479245472</x:v>
      </x:c>
      <x:c r="N544" s="74" t="n">
        <x:v>1.0152107444894154</x:v>
      </x:c>
      <x:c r="O544" s="65" t="n">
        <x:v>530742.9129849643</x:v>
      </x:c>
      <x:c r="P544" s="65" t="n">
        <x:v>304083.4567776367</x:v>
      </x:c>
      <x:c r="Q544" s="65" t="n">
        <x:v>226659.45620732763</x:v>
      </x:c>
      <x:c r="R544" s="65" t="n">
        <x:v>139944.69580306445</x:v>
      </x:c>
      <x:c r="S544" s="65" t="n">
        <x:v>86714.76040426317</x:v>
      </x:c>
      <x:c r="T544" s="65" t="n">
        <x:v>209998.7795053505</x:v>
      </x:c>
      <x:c r="U544" s="43" t="n">
        <x:v>0.9686087627467783</x:v>
      </x:c>
      <x:c r="V544" s="43" t="n">
        <x:v>0.9672519413193484</x:v>
      </x:c>
      <x:c r="W544" s="43" t="n">
        <x:v>0.719865073065993</x:v>
      </x:c>
      <x:c r="X544" s="65" t="n">
        <x:v>23630846.601699546</x:v>
      </x:c>
      <x:c r="Y544" s="65" t="n">
        <x:v>44.52409259465514</x:v>
      </x:c>
      <x:c r="Z544" s="65" t="n">
        <x:v>2234270.7271723896</x:v>
      </x:c>
      <x:c r="AA544" s="65" t="n">
        <x:v>144840.0051925261</x:v>
      </x:c>
      <x:c r="AB544" s="65" t="n">
        <x:v>14060.593954977412</x:v>
      </x:c>
      <x:c r="AC544" s="65" t="n">
        <x:v>3860.3256973791185</x:v>
      </x:c>
      <x:c r="AD544" s="65" t="n">
        <x:v>1729.8425686514486</x:v>
      </x:c>
      <x:c r="AE544" s="65" t="n">
        <x:v>78968.33252051019</x:v>
      </x:c>
      <x:c r="AF544" s="65" t="n">
        <x:v>209998.77950535057</x:v>
      </x:c>
      <x:c r="AG544" s="65" t="n">
        <x:v>0</x:v>
      </x:c>
      <x:c r="AH544" s="34" t="n">
        <x:v>0</x:v>
      </x:c>
    </x:row>
    <x:row r="545" ht="15" hidden="0" customHeight="1">
      <x:c r="A545" s="36" t="n">
        <x:v>136</x:v>
      </x:c>
      <x:c r="B545" s="36" t="str">
        <x:v>M0</x:v>
      </x:c>
      <x:c r="C545" s="36" t="str">
        <x:v>fast</x:v>
      </x:c>
      <x:c r="D545" s="75" t="n">
        <x:v>0.9441726133059737</x:v>
      </x:c>
      <x:c r="E545" s="75" t="n">
        <x:v>0.03081963958559355</x:v>
      </x:c>
      <x:c r="F545" s="75" t="n">
        <x:v>0.8796677666855477</x:v>
      </x:c>
      <x:c r="G545" s="75" t="n">
        <x:v>1.3044041750887971</x:v>
      </x:c>
      <x:c r="H545" s="75" t="n">
        <x:v>0.8959739337400674</x:v>
      </x:c>
      <x:c r="I545" s="75" t="n">
        <x:v>0.9004780189645987</x:v>
      </x:c>
      <x:c r="J545" s="75" t="n">
        <x:v>0.8223819610692229</x:v>
      </x:c>
      <x:c r="K545" s="75" t="n">
        <x:v>0.7971973887845323</x:v>
      </x:c>
      <x:c r="L545" s="75" t="n">
        <x:v>0.9364172420153213</x:v>
      </x:c>
      <x:c r="M545" s="75" t="n">
        <x:v>0.7936604521963916</x:v>
      </x:c>
      <x:c r="N545" s="75" t="n">
        <x:v>0.8562756192159666</x:v>
      </x:c>
      <x:c r="O545" s="66" t="n">
        <x:v>454194.04679631593</x:v>
      </x:c>
      <x:c r="P545" s="66" t="n">
        <x:v>58256.88103595318</x:v>
      </x:c>
      <x:c r="Q545" s="66" t="n">
        <x:v>395937.16576036275</x:v>
      </x:c>
      <x:c r="R545" s="66" t="n">
        <x:v>98731.96975982911</x:v>
      </x:c>
      <x:c r="S545" s="66" t="n">
        <x:v>297205.19600053364</x:v>
      </x:c>
      <x:c r="T545" s="66" t="n">
        <x:v>279940.6841575508</x:v>
      </x:c>
      <x:c r="U545" s="45" t="n">
        <x:v>0.7446102994502023</x:v>
      </x:c>
      <x:c r="V545" s="45" t="n">
        <x:v>0.7531296101284407</x:v>
      </x:c>
      <x:c r="W545" s="45" t="n">
        <x:v>0.13421225081118468</x:v>
      </x:c>
      <x:c r="X545" s="66" t="n">
        <x:v>49377102.720053084</x:v>
      </x:c>
      <x:c r="Y545" s="66" t="n">
        <x:v>108.71367220318572</x:v>
      </x:c>
      <x:c r="Z545" s="66" t="n">
        <x:v>5106985.837081878</x:v>
      </x:c>
      <x:c r="AA545" s="66" t="n">
        <x:v>268468.98664337525</x:v>
      </x:c>
      <x:c r="AB545" s="66" t="n">
        <x:v>37235.378219869046</x:v>
      </x:c>
      <x:c r="AC545" s="66" t="n">
        <x:v>608.6558939400636</x:v>
      </x:c>
      <x:c r="AD545" s="66" t="n">
        <x:v>1934.973535353555</x:v>
      </x:c>
      <x:c r="AE545" s="66" t="n">
        <x:v>255279.94632413096</x:v>
      </x:c>
      <x:c r="AF545" s="66" t="n">
        <x:v>279940.68415755086</x:v>
      </x:c>
      <x:c r="AG545" s="66" t="n">
        <x:v>0</x:v>
      </x:c>
      <x:c r="AH545" s="36" t="n">
        <x:v>0</x:v>
      </x:c>
    </x:row>
    <x:row r="546" ht="15" hidden="0" customHeight="1">
      <x:c r="A546" s="34" t="n">
        <x:v>136</x:v>
      </x:c>
      <x:c r="B546" s="34" t="str">
        <x:v>B1</x:v>
      </x:c>
      <x:c r="C546" s="34" t="str">
        <x:v>fast</x:v>
      </x:c>
      <x:c r="D546" s="74" t="n">
        <x:v>0.9441726133059737</x:v>
      </x:c>
      <x:c r="E546" s="74" t="n">
        <x:v>0.03081963958559355</x:v>
      </x:c>
      <x:c r="F546" s="74" t="n">
        <x:v>0.8796677666855477</x:v>
      </x:c>
      <x:c r="G546" s="74" t="n">
        <x:v>1.3044041750887971</x:v>
      </x:c>
      <x:c r="H546" s="74" t="n">
        <x:v>0.8959739337400674</x:v>
      </x:c>
      <x:c r="I546" s="74" t="n">
        <x:v>0.9004780189645987</x:v>
      </x:c>
      <x:c r="J546" s="74" t="n">
        <x:v>0.8223819610692229</x:v>
      </x:c>
      <x:c r="K546" s="74" t="n">
        <x:v>0.7971973887845323</x:v>
      </x:c>
      <x:c r="L546" s="74" t="n">
        <x:v>0.9364172420153213</x:v>
      </x:c>
      <x:c r="M546" s="74" t="n">
        <x:v>0.7936604521963916</x:v>
      </x:c>
      <x:c r="N546" s="74" t="n">
        <x:v>0.8562756192159666</x:v>
      </x:c>
      <x:c r="O546" s="65" t="n">
        <x:v>454194.04679631593</x:v>
      </x:c>
      <x:c r="P546" s="65" t="n">
        <x:v>197064.13118596576</x:v>
      </x:c>
      <x:c r="Q546" s="65" t="n">
        <x:v>257129.9156103502</x:v>
      </x:c>
      <x:c r="R546" s="65" t="n">
        <x:v>98731.96975982911</x:v>
      </x:c>
      <x:c r="S546" s="65" t="n">
        <x:v>158397.94585052106</x:v>
      </x:c>
      <x:c r="T546" s="65" t="n">
        <x:v>199010.17658186285</x:v>
      </x:c>
      <x:c r="U546" s="43" t="n">
        <x:v>0.8720376468198157</x:v>
      </x:c>
      <x:c r="V546" s="43" t="n">
        <x:v>0.8943725939714096</x:v>
      </x:c>
      <x:c r="W546" s="43" t="n">
        <x:v>0.5113122490710268</x:v>
      </x:c>
      <x:c r="X546" s="65" t="n">
        <x:v>32123317.774487395</x:v>
      </x:c>
      <x:c r="Y546" s="65" t="n">
        <x:v>70.72597714802974</x:v>
      </x:c>
      <x:c r="Z546" s="65" t="n">
        <x:v>2068380.0569850765</x:v>
      </x:c>
      <x:c r="AA546" s="65" t="n">
        <x:v>173806.26356501348</x:v>
      </x:c>
      <x:c r="AB546" s="65" t="n">
        <x:v>8940.31835935637</x:v>
      </x:c>
      <x:c r="AC546" s="65" t="n">
        <x:v>18752.64237134825</x:v>
      </x:c>
      <x:c r="AD546" s="65" t="n">
        <x:v>1589.0946530665599</x:v>
      </x:c>
      <x:c r="AE546" s="65" t="n">
        <x:v>125027.96308160338</x:v>
      </x:c>
      <x:c r="AF546" s="65" t="n">
        <x:v>199010.17658186273</x:v>
      </x:c>
      <x:c r="AG546" s="65" t="n">
        <x:v>1.1641532182693481e-10</x:v>
      </x:c>
      <x:c r="AH546" s="34" t="n">
        <x:v>0</x:v>
      </x:c>
    </x:row>
    <x:row r="547" ht="15" hidden="0" customHeight="1">
      <x:c r="A547" s="36" t="n">
        <x:v>136</x:v>
      </x:c>
      <x:c r="B547" s="36" t="str">
        <x:v>P2</x:v>
      </x:c>
      <x:c r="C547" s="36" t="str">
        <x:v>fast</x:v>
      </x:c>
      <x:c r="D547" s="75" t="n">
        <x:v>0.9441726133059737</x:v>
      </x:c>
      <x:c r="E547" s="75" t="n">
        <x:v>0.03081963958559355</x:v>
      </x:c>
      <x:c r="F547" s="75" t="n">
        <x:v>0.8796677666855477</x:v>
      </x:c>
      <x:c r="G547" s="75" t="n">
        <x:v>1.3044041750887971</x:v>
      </x:c>
      <x:c r="H547" s="75" t="n">
        <x:v>0.8959739337400674</x:v>
      </x:c>
      <x:c r="I547" s="75" t="n">
        <x:v>0.9004780189645987</x:v>
      </x:c>
      <x:c r="J547" s="75" t="n">
        <x:v>0.8223819610692229</x:v>
      </x:c>
      <x:c r="K547" s="75" t="n">
        <x:v>0.7971973887845323</x:v>
      </x:c>
      <x:c r="L547" s="75" t="n">
        <x:v>0.9364172420153213</x:v>
      </x:c>
      <x:c r="M547" s="75" t="n">
        <x:v>0.7936604521963916</x:v>
      </x:c>
      <x:c r="N547" s="75" t="n">
        <x:v>0.8562756192159666</x:v>
      </x:c>
      <x:c r="O547" s="66" t="n">
        <x:v>454194.04679631593</x:v>
      </x:c>
      <x:c r="P547" s="66" t="n">
        <x:v>285485.4715803717</x:v>
      </x:c>
      <x:c r="Q547" s="66" t="n">
        <x:v>168708.57521594426</x:v>
      </x:c>
      <x:c r="R547" s="66" t="n">
        <x:v>98731.96975982911</x:v>
      </x:c>
      <x:c r="S547" s="66" t="n">
        <x:v>69976.60545611515</x:v>
      </x:c>
      <x:c r="T547" s="66" t="n">
        <x:v>119579.56557650486</x:v>
      </x:c>
      <x:c r="U547" s="45" t="n">
        <x:v>0.891832554860695</x:v>
      </x:c>
      <x:c r="V547" s="45" t="n">
        <x:v>0.9091589777570801</x:v>
      </x:c>
      <x:c r="W547" s="45" t="n">
        <x:v>0.7127678402474585</x:v>
      </x:c>
      <x:c r="X547" s="66" t="n">
        <x:v>20155214.50801396</x:v>
      </x:c>
      <x:c r="Y547" s="66" t="n">
        <x:v>44.37577870115193</x:v>
      </x:c>
      <x:c r="Z547" s="66" t="n">
        <x:v>1050857.2203860849</x:v>
      </x:c>
      <x:c r="AA547" s="66" t="n">
        <x:v>115976.74180529753</x:v>
      </x:c>
      <x:c r="AB547" s="66" t="n">
        <x:v>0</x:v>
      </x:c>
      <x:c r="AC547" s="66" t="n">
        <x:v>22608.66921658274</x:v>
      </x:c>
      <x:c r="AD547" s="66" t="n">
        <x:v>1380.1038032536655</x:v>
      </x:c>
      <x:c r="AE547" s="66" t="n">
        <x:v>79740.28878078461</x:v>
      </x:c>
      <x:c r="AF547" s="66" t="n">
        <x:v>119579.56557650487</x:v>
      </x:c>
      <x:c r="AG547" s="66" t="n">
        <x:v>0</x:v>
      </x:c>
      <x:c r="AH547" s="36" t="n">
        <x:v>0</x:v>
      </x:c>
    </x:row>
    <x:row r="548" ht="15" hidden="0" customHeight="1">
      <x:c r="A548" s="34" t="n">
        <x:v>136</x:v>
      </x:c>
      <x:c r="B548" s="34" t="str">
        <x:v>H3</x:v>
      </x:c>
      <x:c r="C548" s="34" t="str">
        <x:v>fast</x:v>
      </x:c>
      <x:c r="D548" s="74" t="n">
        <x:v>0.9441726133059737</x:v>
      </x:c>
      <x:c r="E548" s="74" t="n">
        <x:v>0.03081963958559355</x:v>
      </x:c>
      <x:c r="F548" s="74" t="n">
        <x:v>0.8796677666855477</x:v>
      </x:c>
      <x:c r="G548" s="74" t="n">
        <x:v>1.3044041750887971</x:v>
      </x:c>
      <x:c r="H548" s="74" t="n">
        <x:v>0.8959739337400674</x:v>
      </x:c>
      <x:c r="I548" s="74" t="n">
        <x:v>0.9004780189645987</x:v>
      </x:c>
      <x:c r="J548" s="74" t="n">
        <x:v>0.8223819610692229</x:v>
      </x:c>
      <x:c r="K548" s="74" t="n">
        <x:v>0.7971973887845323</x:v>
      </x:c>
      <x:c r="L548" s="74" t="n">
        <x:v>0.9364172420153213</x:v>
      </x:c>
      <x:c r="M548" s="74" t="n">
        <x:v>0.7936604521963916</x:v>
      </x:c>
      <x:c r="N548" s="74" t="n">
        <x:v>0.8562756192159666</x:v>
      </x:c>
      <x:c r="O548" s="65" t="n">
        <x:v>454194.04679631593</x:v>
      </x:c>
      <x:c r="P548" s="65" t="n">
        <x:v>296150.37509991403</x:v>
      </x:c>
      <x:c r="Q548" s="65" t="n">
        <x:v>158043.6716964019</x:v>
      </x:c>
      <x:c r="R548" s="65" t="n">
        <x:v>98731.96975982911</x:v>
      </x:c>
      <x:c r="S548" s="65" t="n">
        <x:v>59311.701936572776</x:v>
      </x:c>
      <x:c r="T548" s="65" t="n">
        <x:v>156687.02850171807</x:v>
      </x:c>
      <x:c r="U548" s="43" t="n">
        <x:v>0.9970130757894055</x:v>
      </x:c>
      <x:c r="V548" s="43" t="n">
        <x:v>0.9981187136882873</x:v>
      </x:c>
      <x:c r="W548" s="43" t="n">
        <x:v>0.9701307578940545</x:v>
      </x:c>
      <x:c r="X548" s="65" t="n">
        <x:v>14332301.593097048</x:v>
      </x:c>
      <x:c r="Y548" s="65" t="n">
        <x:v>31.555458936969274</x:v>
      </x:c>
      <x:c r="Z548" s="65" t="n">
        <x:v>1287859.239502289</x:v>
      </x:c>
      <x:c r="AA548" s="65" t="n">
        <x:v>91709.05504905329</x:v>
      </x:c>
      <x:c r="AB548" s="65" t="n">
        <x:v>5447.644466489355</x:v>
      </x:c>
      <x:c r="AC548" s="65" t="n">
        <x:v>4161.271744989935</x:v>
      </x:c>
      <x:c r="AD548" s="65" t="n">
        <x:v>1356.643194683847</x:v>
      </x:c>
      <x:c r="AE548" s="65" t="n">
        <x:v>61952.702819009035</x:v>
      </x:c>
      <x:c r="AF548" s="65" t="n">
        <x:v>156687.02850171793</x:v>
      </x:c>
      <x:c r="AG548" s="65" t="n">
        <x:v>1.4551915228366852e-10</x:v>
      </x:c>
      <x:c r="AH548" s="34" t="n">
        <x:v>1</x:v>
      </x:c>
    </x:row>
    <x:row r="549" ht="15" hidden="0" customHeight="1">
      <x:c r="A549" s="36" t="n">
        <x:v>137</x:v>
      </x:c>
      <x:c r="B549" s="36" t="str">
        <x:v>M0</x:v>
      </x:c>
      <x:c r="C549" s="36" t="str">
        <x:v>slow</x:v>
      </x:c>
      <x:c r="D549" s="75" t="n">
        <x:v>0.9321657762446739</x:v>
      </x:c>
      <x:c r="E549" s="75" t="n">
        <x:v>0.007937073482155436</x:v>
      </x:c>
      <x:c r="F549" s="75" t="n">
        <x:v>0.8043636520034598</x:v>
      </x:c>
      <x:c r="G549" s="75" t="n">
        <x:v>1.0573002365422965</x:v>
      </x:c>
      <x:c r="H549" s="75" t="n">
        <x:v>0.74387059541337</x:v>
      </x:c>
      <x:c r="I549" s="75" t="n">
        <x:v>0.9133678914866925</x:v>
      </x:c>
      <x:c r="J549" s="75" t="n">
        <x:v>0.8345939232271162</x:v>
      </x:c>
      <x:c r="K549" s="75" t="n">
        <x:v>0.8737294305899441</x:v>
      </x:c>
      <x:c r="L549" s="75" t="n">
        <x:v>0.8285873760065621</x:v>
      </x:c>
      <x:c r="M549" s="75" t="n">
        <x:v>0.7816579005442126</x:v>
      </x:c>
      <x:c r="N549" s="75" t="n">
        <x:v>1.012889943864073</x:v>
      </x:c>
      <x:c r="O549" s="66" t="n">
        <x:v>448418.16022934514</x:v>
      </x:c>
      <x:c r="P549" s="66" t="n">
        <x:v>54130.38172587801</x:v>
      </x:c>
      <x:c r="Q549" s="66" t="n">
        <x:v>394287.7785034671</x:v>
      </x:c>
      <x:c r="R549" s="66" t="n">
        <x:v>87215.45865484336</x:v>
      </x:c>
      <x:c r="S549" s="66" t="n">
        <x:v>307072.31984862377</x:v>
      </x:c>
      <x:c r="T549" s="66" t="n">
        <x:v>252295.8668032948</x:v>
      </x:c>
      <x:c r="U549" s="45" t="n">
        <x:v>0.6833493281638059</x:v>
      </x:c>
      <x:c r="V549" s="45" t="n">
        <x:v>0.6674357741625407</x:v>
      </x:c>
      <x:c r="W549" s="45" t="n">
        <x:v>0.06336436580015181</x:v>
      </x:c>
      <x:c r="X549" s="66" t="n">
        <x:v>49936641.75657716</x:v>
      </x:c>
      <x:c r="Y549" s="66" t="n">
        <x:v>111.36177386535121</x:v>
      </x:c>
      <x:c r="Z549" s="66" t="n">
        <x:v>2395909.7561261915</x:v>
      </x:c>
      <x:c r="AA549" s="66" t="n">
        <x:v>282664.6486456633</x:v>
      </x:c>
      <x:c r="AB549" s="66" t="n">
        <x:v>12560.794733200513</x:v>
      </x:c>
      <x:c r="AC549" s="66" t="n">
        <x:v>0</x:v>
      </x:c>
      <x:c r="AD549" s="66" t="n">
        <x:v>2489.735109588599</x:v>
      </x:c>
      <x:c r="AE549" s="66" t="n">
        <x:v>223124.63642000948</x:v>
      </x:c>
      <x:c r="AF549" s="66" t="n">
        <x:v>252295.86680329463</x:v>
      </x:c>
      <x:c r="AG549" s="66" t="n">
        <x:v>1.7462298274040222e-10</x:v>
      </x:c>
      <x:c r="AH549" s="36" t="n">
        <x:v>0</x:v>
      </x:c>
    </x:row>
    <x:row r="550" ht="15" hidden="0" customHeight="1">
      <x:c r="A550" s="34" t="n">
        <x:v>137</x:v>
      </x:c>
      <x:c r="B550" s="34" t="str">
        <x:v>B1</x:v>
      </x:c>
      <x:c r="C550" s="34" t="str">
        <x:v>slow</x:v>
      </x:c>
      <x:c r="D550" s="74" t="n">
        <x:v>0.9321657762446739</x:v>
      </x:c>
      <x:c r="E550" s="74" t="n">
        <x:v>0.007937073482155436</x:v>
      </x:c>
      <x:c r="F550" s="74" t="n">
        <x:v>0.8043636520034598</x:v>
      </x:c>
      <x:c r="G550" s="74" t="n">
        <x:v>1.0573002365422965</x:v>
      </x:c>
      <x:c r="H550" s="74" t="n">
        <x:v>0.74387059541337</x:v>
      </x:c>
      <x:c r="I550" s="74" t="n">
        <x:v>0.9133678914866925</x:v>
      </x:c>
      <x:c r="J550" s="74" t="n">
        <x:v>0.8345939232271162</x:v>
      </x:c>
      <x:c r="K550" s="74" t="n">
        <x:v>0.8737294305899441</x:v>
      </x:c>
      <x:c r="L550" s="74" t="n">
        <x:v>0.8285873760065621</x:v>
      </x:c>
      <x:c r="M550" s="74" t="n">
        <x:v>0.7816579005442126</x:v>
      </x:c>
      <x:c r="N550" s="74" t="n">
        <x:v>1.012889943864073</x:v>
      </x:c>
      <x:c r="O550" s="65" t="n">
        <x:v>448418.16022934514</x:v>
      </x:c>
      <x:c r="P550" s="65" t="n">
        <x:v>183104.946214484</x:v>
      </x:c>
      <x:c r="Q550" s="65" t="n">
        <x:v>265313.2140148611</x:v>
      </x:c>
      <x:c r="R550" s="65" t="n">
        <x:v>87215.45865484336</x:v>
      </x:c>
      <x:c r="S550" s="65" t="n">
        <x:v>178097.75536001776</x:v>
      </x:c>
      <x:c r="T550" s="65" t="n">
        <x:v>159773.91484565733</x:v>
      </x:c>
      <x:c r="U550" s="43" t="n">
        <x:v>0.7646408898443691</x:v>
      </x:c>
      <x:c r="V550" s="43" t="n">
        <x:v>0.7543908256421357</x:v>
      </x:c>
      <x:c r="W550" s="43" t="n">
        <x:v>0.21992996031855258</x:v>
      </x:c>
      <x:c r="X550" s="65" t="n">
        <x:v>34998885.161439694</x:v>
      </x:c>
      <x:c r="Y550" s="65" t="n">
        <x:v>78.04966048551509</x:v>
      </x:c>
      <x:c r="Z550" s="65" t="n">
        <x:v>1012784.2479199691</x:v>
      </x:c>
      <x:c r="AA550" s="65" t="n">
        <x:v>192984.19182707887</x:v>
      </x:c>
      <x:c r="AB550" s="65" t="n">
        <x:v>1055.9932683463894</x:v>
      </x:c>
      <x:c r="AC550" s="65" t="n">
        <x:v>0</x:v>
      </x:c>
      <x:c r="AD550" s="65" t="n">
        <x:v>2062.3200833840697</x:v>
      </x:c>
      <x:c r="AE550" s="65" t="n">
        <x:v>72260.22369580141</x:v>
      </x:c>
      <x:c r="AF550" s="65" t="n">
        <x:v>159773.9148456573</x:v>
      </x:c>
      <x:c r="AG550" s="65" t="n">
        <x:v>2.9103830456733704e-11</x:v>
      </x:c>
      <x:c r="AH550" s="34" t="n">
        <x:v>0</x:v>
      </x:c>
    </x:row>
    <x:row r="551" ht="15" hidden="0" customHeight="1">
      <x:c r="A551" s="36" t="n">
        <x:v>137</x:v>
      </x:c>
      <x:c r="B551" s="36" t="str">
        <x:v>P2</x:v>
      </x:c>
      <x:c r="C551" s="36" t="str">
        <x:v>slow</x:v>
      </x:c>
      <x:c r="D551" s="75" t="n">
        <x:v>0.9321657762446739</x:v>
      </x:c>
      <x:c r="E551" s="75" t="n">
        <x:v>0.007937073482155436</x:v>
      </x:c>
      <x:c r="F551" s="75" t="n">
        <x:v>0.8043636520034598</x:v>
      </x:c>
      <x:c r="G551" s="75" t="n">
        <x:v>1.0573002365422965</x:v>
      </x:c>
      <x:c r="H551" s="75" t="n">
        <x:v>0.74387059541337</x:v>
      </x:c>
      <x:c r="I551" s="75" t="n">
        <x:v>0.9133678914866925</x:v>
      </x:c>
      <x:c r="J551" s="75" t="n">
        <x:v>0.8345939232271162</x:v>
      </x:c>
      <x:c r="K551" s="75" t="n">
        <x:v>0.8737294305899441</x:v>
      </x:c>
      <x:c r="L551" s="75" t="n">
        <x:v>0.8285873760065621</x:v>
      </x:c>
      <x:c r="M551" s="75" t="n">
        <x:v>0.7816579005442126</x:v>
      </x:c>
      <x:c r="N551" s="75" t="n">
        <x:v>1.012889943864073</x:v>
      </x:c>
      <x:c r="O551" s="66" t="n">
        <x:v>448418.16022934514</x:v>
      </x:c>
      <x:c r="P551" s="66" t="n">
        <x:v>265262.42463306966</x:v>
      </x:c>
      <x:c r="Q551" s="66" t="n">
        <x:v>183155.73559627542</x:v>
      </x:c>
      <x:c r="R551" s="66" t="n">
        <x:v>87215.45865484336</x:v>
      </x:c>
      <x:c r="S551" s="66" t="n">
        <x:v>95940.27694143206</x:v>
      </x:c>
      <x:c r="T551" s="66" t="n">
        <x:v>101811.71439195953</x:v>
      </x:c>
      <x:c r="U551" s="45" t="n">
        <x:v>0.8185978436673657</x:v>
      </x:c>
      <x:c r="V551" s="45" t="n">
        <x:v>0.8119555729207873</x:v>
      </x:c>
      <x:c r="W551" s="45" t="n">
        <x:v>0.32317112206682624</x:v>
      </x:c>
      <x:c r="X551" s="66" t="n">
        <x:v>23930470.49188191</x:v>
      </x:c>
      <x:c r="Y551" s="66" t="n">
        <x:v>53.366416916840706</x:v>
      </x:c>
      <x:c r="Z551" s="66" t="n">
        <x:v>638584.122647655</x:v>
      </x:c>
      <x:c r="AA551" s="66" t="n">
        <x:v>136856.17974949794</x:v>
      </x:c>
      <x:c r="AB551" s="66" t="n">
        <x:v>0</x:v>
      </x:c>
      <x:c r="AC551" s="66" t="n">
        <x:v>0</x:v>
      </x:c>
      <x:c r="AD551" s="66" t="n">
        <x:v>1803.0111648041582</x:v>
      </x:c>
      <x:c r="AE551" s="66" t="n">
        <x:v>22806.298770561843</x:v>
      </x:c>
      <x:c r="AF551" s="66" t="n">
        <x:v>101811.71439195955</x:v>
      </x:c>
      <x:c r="AG551" s="66" t="n">
        <x:v>0</x:v>
      </x:c>
      <x:c r="AH551" s="36" t="n">
        <x:v>0</x:v>
      </x:c>
    </x:row>
    <x:row r="552" ht="15" hidden="0" customHeight="1">
      <x:c r="A552" s="34" t="n">
        <x:v>137</x:v>
      </x:c>
      <x:c r="B552" s="34" t="str">
        <x:v>H3</x:v>
      </x:c>
      <x:c r="C552" s="34" t="str">
        <x:v>slow</x:v>
      </x:c>
      <x:c r="D552" s="74" t="n">
        <x:v>0.9321657762446739</x:v>
      </x:c>
      <x:c r="E552" s="74" t="n">
        <x:v>0.007937073482155436</x:v>
      </x:c>
      <x:c r="F552" s="74" t="n">
        <x:v>0.8043636520034598</x:v>
      </x:c>
      <x:c r="G552" s="74" t="n">
        <x:v>1.0573002365422965</x:v>
      </x:c>
      <x:c r="H552" s="74" t="n">
        <x:v>0.74387059541337</x:v>
      </x:c>
      <x:c r="I552" s="74" t="n">
        <x:v>0.9133678914866925</x:v>
      </x:c>
      <x:c r="J552" s="74" t="n">
        <x:v>0.8345939232271162</x:v>
      </x:c>
      <x:c r="K552" s="74" t="n">
        <x:v>0.8737294305899441</x:v>
      </x:c>
      <x:c r="L552" s="74" t="n">
        <x:v>0.8285873760065621</x:v>
      </x:c>
      <x:c r="M552" s="74" t="n">
        <x:v>0.7816579005442126</x:v>
      </x:c>
      <x:c r="N552" s="74" t="n">
        <x:v>1.012889943864073</x:v>
      </x:c>
      <x:c r="O552" s="65" t="n">
        <x:v>448418.16022934514</x:v>
      </x:c>
      <x:c r="P552" s="65" t="n">
        <x:v>275171.7592889846</x:v>
      </x:c>
      <x:c r="Q552" s="65" t="n">
        <x:v>173246.4009403605</x:v>
      </x:c>
      <x:c r="R552" s="65" t="n">
        <x:v>87215.45865484336</x:v>
      </x:c>
      <x:c r="S552" s="65" t="n">
        <x:v>86030.94228551714</x:v>
      </x:c>
      <x:c r="T552" s="65" t="n">
        <x:v>94824.57643221234</x:v>
      </x:c>
      <x:c r="U552" s="43" t="n">
        <x:v>0.8251145215259815</x:v>
      </x:c>
      <x:c r="V552" s="43" t="n">
        <x:v>0.8190397773973516</x:v>
      </x:c>
      <x:c r="W552" s="43" t="n">
        <x:v>0.3361639538258114</x:v>
      </x:c>
      <x:c r="X552" s="65" t="n">
        <x:v>20505114.139441084</x:v>
      </x:c>
      <x:c r="Y552" s="65" t="n">
        <x:v>45.72766216460472</x:v>
      </x:c>
      <x:c r="Z552" s="65" t="n">
        <x:v>617359.157459944</x:v>
      </x:c>
      <x:c r="AA552" s="65" t="n">
        <x:v>114122.62197036656</x:v>
      </x:c>
      <x:c r="AB552" s="65" t="n">
        <x:v>1117.9868553359565</x:v>
      </x:c>
      <x:c r="AC552" s="65" t="n">
        <x:v>0</x:v>
      </x:c>
      <x:c r="AD552" s="65" t="n">
        <x:v>1773.7312391241953</x:v>
      </x:c>
      <x:c r="AE552" s="65" t="n">
        <x:v>12739.480082751397</x:v>
      </x:c>
      <x:c r="AF552" s="65" t="n">
        <x:v>94824.57643221249</x:v>
      </x:c>
      <x:c r="AG552" s="65" t="n">
        <x:v>0</x:v>
      </x:c>
      <x:c r="AH552" s="34" t="n">
        <x:v>0</x:v>
      </x:c>
    </x:row>
    <x:row r="553" ht="15" hidden="0" customHeight="1">
      <x:c r="A553" s="36" t="n">
        <x:v>138</x:v>
      </x:c>
      <x:c r="B553" s="36" t="str">
        <x:v>M0</x:v>
      </x:c>
      <x:c r="C553" s="36" t="str">
        <x:v>reference</x:v>
      </x:c>
      <x:c r="D553" s="75" t="n">
        <x:v>0.967471518599363</x:v>
      </x:c>
      <x:c r="E553" s="75" t="n">
        <x:v>0.001611230530451431</x:v>
      </x:c>
      <x:c r="F553" s="75" t="n">
        <x:v>1.020354500033801</x:v>
      </x:c>
      <x:c r="G553" s="75" t="n">
        <x:v>1.2111886423536669</x:v>
      </x:c>
      <x:c r="H553" s="75" t="n">
        <x:v>0.8342210067463394</x:v>
      </x:c>
      <x:c r="I553" s="75" t="n">
        <x:v>1.047562325729731</x:v>
      </x:c>
      <x:c r="J553" s="75" t="n">
        <x:v>0.7286004392610003</x:v>
      </x:c>
      <x:c r="K553" s="75" t="n">
        <x:v>0.7312854713438</x:v>
      </x:c>
      <x:c r="L553" s="75" t="n">
        <x:v>1.0259639240513183</x:v>
      </x:c>
      <x:c r="M553" s="75" t="n">
        <x:v>0.867111378143103</x:v>
      </x:c>
      <x:c r="N553" s="75" t="n">
        <x:v>1.0032291494336736</x:v>
      </x:c>
      <x:c r="O553" s="66" t="n">
        <x:v>465401.98052791983</x:v>
      </x:c>
      <x:c r="P553" s="66" t="n">
        <x:v>71826.1712924962</x:v>
      </x:c>
      <x:c r="Q553" s="66" t="n">
        <x:v>393575.80923542357</x:v>
      </x:c>
      <x:c r="R553" s="66" t="n">
        <x:v>87574.68090557538</x:v>
      </x:c>
      <x:c r="S553" s="66" t="n">
        <x:v>306001.12832984823</x:v>
      </x:c>
      <x:c r="T553" s="66" t="n">
        <x:v>282095.1454028475</x:v>
      </x:c>
      <x:c r="U553" s="45" t="n">
        <x:v>0.760463709874805</x:v>
      </x:c>
      <x:c r="V553" s="45" t="n">
        <x:v>0.7830527382407955</x:v>
      </x:c>
      <x:c r="W553" s="45" t="n">
        <x:v>0.1803897219552526</x:v>
      </x:c>
      <x:c r="X553" s="66" t="n">
        <x:v>49112106.232403375</x:v>
      </x:c>
      <x:c r="Y553" s="66" t="n">
        <x:v>105.52620806790293</x:v>
      </x:c>
      <x:c r="Z553" s="66" t="n">
        <x:v>3624817.555191634</x:v>
      </x:c>
      <x:c r="AA553" s="66" t="n">
        <x:v>270089.17755296093</x:v>
      </x:c>
      <x:c r="AB553" s="66" t="n">
        <x:v>20865.834131470103</x:v>
      </x:c>
      <x:c r="AC553" s="66" t="n">
        <x:v>7915.091580925859</x:v>
      </x:c>
      <x:c r="AD553" s="66" t="n">
        <x:v>1945.0402507991237</x:v>
      </x:c>
      <x:c r="AE553" s="66" t="n">
        <x:v>224309.1463954679</x:v>
      </x:c>
      <x:c r="AF553" s="66" t="n">
        <x:v>282095.14540284756</x:v>
      </x:c>
      <x:c r="AG553" s="66" t="n">
        <x:v>0</x:v>
      </x:c>
      <x:c r="AH553" s="36" t="n">
        <x:v>0</x:v>
      </x:c>
    </x:row>
    <x:row r="554" ht="15" hidden="0" customHeight="1">
      <x:c r="A554" s="34" t="n">
        <x:v>138</x:v>
      </x:c>
      <x:c r="B554" s="34" t="str">
        <x:v>B1</x:v>
      </x:c>
      <x:c r="C554" s="34" t="str">
        <x:v>reference</x:v>
      </x:c>
      <x:c r="D554" s="74" t="n">
        <x:v>0.967471518599363</x:v>
      </x:c>
      <x:c r="E554" s="74" t="n">
        <x:v>0.001611230530451431</x:v>
      </x:c>
      <x:c r="F554" s="74" t="n">
        <x:v>1.020354500033801</x:v>
      </x:c>
      <x:c r="G554" s="74" t="n">
        <x:v>1.2111886423536669</x:v>
      </x:c>
      <x:c r="H554" s="74" t="n">
        <x:v>0.8342210067463394</x:v>
      </x:c>
      <x:c r="I554" s="74" t="n">
        <x:v>1.047562325729731</x:v>
      </x:c>
      <x:c r="J554" s="74" t="n">
        <x:v>0.7286004392610003</x:v>
      </x:c>
      <x:c r="K554" s="74" t="n">
        <x:v>0.7312854713438</x:v>
      </x:c>
      <x:c r="L554" s="74" t="n">
        <x:v>1.0259639240513183</x:v>
      </x:c>
      <x:c r="M554" s="74" t="n">
        <x:v>0.867111378143103</x:v>
      </x:c>
      <x:c r="N554" s="74" t="n">
        <x:v>1.0032291494336736</x:v>
      </x:c>
      <x:c r="O554" s="65" t="n">
        <x:v>465401.98052791983</x:v>
      </x:c>
      <x:c r="P554" s="65" t="n">
        <x:v>242963.66992995617</x:v>
      </x:c>
      <x:c r="Q554" s="65" t="n">
        <x:v>222438.31059796366</x:v>
      </x:c>
      <x:c r="R554" s="65" t="n">
        <x:v>87574.68090557538</x:v>
      </x:c>
      <x:c r="S554" s="65" t="n">
        <x:v>134863.62969238826</x:v>
      </x:c>
      <x:c r="T554" s="65" t="n">
        <x:v>182802.05114305037</x:v>
      </x:c>
      <x:c r="U554" s="43" t="n">
        <x:v>0.9148343558616732</x:v>
      </x:c>
      <x:c r="V554" s="43" t="n">
        <x:v>0.924889555327828</x:v>
      </x:c>
      <x:c r="W554" s="43" t="n">
        <x:v>0.5842939285321238</x:v>
      </x:c>
      <x:c r="X554" s="65" t="n">
        <x:v>27613379.29113703</x:v>
      </x:c>
      <x:c r="Y554" s="65" t="n">
        <x:v>59.33232011564351</x:v>
      </x:c>
      <x:c r="Z554" s="65" t="n">
        <x:v>1378007.886054709</x:v>
      </x:c>
      <x:c r="AA554" s="65" t="n">
        <x:v>145976.43075263733</x:v>
      </x:c>
      <x:c r="AB554" s="65" t="n">
        <x:v>1381.0809627903664</x:v>
      </x:c>
      <x:c r="AC554" s="65" t="n">
        <x:v>21606.672836242717</x:v>
      </x:c>
      <x:c r="AD554" s="65" t="n">
        <x:v>1505.2991676284678</x:v>
      </x:c>
      <x:c r="AE554" s="65" t="n">
        <x:v>105394.94036885812</x:v>
      </x:c>
      <x:c r="AF554" s="65" t="n">
        <x:v>182802.05114305046</x:v>
      </x:c>
      <x:c r="AG554" s="65" t="n">
        <x:v>0</x:v>
      </x:c>
      <x:c r="AH554" s="34" t="n">
        <x:v>0</x:v>
      </x:c>
    </x:row>
    <x:row r="555" ht="15" hidden="0" customHeight="1">
      <x:c r="A555" s="36" t="n">
        <x:v>138</x:v>
      </x:c>
      <x:c r="B555" s="36" t="str">
        <x:v>P2</x:v>
      </x:c>
      <x:c r="C555" s="36" t="str">
        <x:v>reference</x:v>
      </x:c>
      <x:c r="D555" s="75" t="n">
        <x:v>0.967471518599363</x:v>
      </x:c>
      <x:c r="E555" s="75" t="n">
        <x:v>0.001611230530451431</x:v>
      </x:c>
      <x:c r="F555" s="75" t="n">
        <x:v>1.020354500033801</x:v>
      </x:c>
      <x:c r="G555" s="75" t="n">
        <x:v>1.2111886423536669</x:v>
      </x:c>
      <x:c r="H555" s="75" t="n">
        <x:v>0.8342210067463394</x:v>
      </x:c>
      <x:c r="I555" s="75" t="n">
        <x:v>1.047562325729731</x:v>
      </x:c>
      <x:c r="J555" s="75" t="n">
        <x:v>0.7286004392610003</x:v>
      </x:c>
      <x:c r="K555" s="75" t="n">
        <x:v>0.7312854713438</x:v>
      </x:c>
      <x:c r="L555" s="75" t="n">
        <x:v>1.0259639240513183</x:v>
      </x:c>
      <x:c r="M555" s="75" t="n">
        <x:v>0.867111378143103</x:v>
      </x:c>
      <x:c r="N555" s="75" t="n">
        <x:v>1.0032291494336736</x:v>
      </x:c>
      <x:c r="O555" s="66" t="n">
        <x:v>465401.98052791983</x:v>
      </x:c>
      <x:c r="P555" s="66" t="n">
        <x:v>351979.03205870354</x:v>
      </x:c>
      <x:c r="Q555" s="66" t="n">
        <x:v>113422.94846921632</x:v>
      </x:c>
      <x:c r="R555" s="66" t="n">
        <x:v>87574.68090557538</x:v>
      </x:c>
      <x:c r="S555" s="66" t="n">
        <x:v>25848.267563640922</x:v>
      </x:c>
      <x:c r="T555" s="66" t="n">
        <x:v>107802.63729281655</x:v>
      </x:c>
      <x:c r="U555" s="45" t="n">
        <x:v>0.9879237489062155</x:v>
      </x:c>
      <x:c r="V555" s="45" t="n">
        <x:v>0.9890954402389811</x:v>
      </x:c>
      <x:c r="W555" s="45" t="n">
        <x:v>0.8792374890621549</x:v>
      </x:c>
      <x:c r="X555" s="66" t="n">
        <x:v>13499732.744023107</x:v>
      </x:c>
      <x:c r="Y555" s="66" t="n">
        <x:v>29.00660785480531</x:v>
      </x:c>
      <x:c r="Z555" s="66" t="n">
        <x:v>673100.1277914591</x:v>
      </x:c>
      <x:c r="AA555" s="66" t="n">
        <x:v>75320.05135447567</x:v>
      </x:c>
      <x:c r="AB555" s="66" t="n">
        <x:v>0</x:v>
      </x:c>
      <x:c r="AC555" s="66" t="n">
        <x:v>2634.933346448147</x:v>
      </x:c>
      <x:c r="AD555" s="66" t="n">
        <x:v>1239.5938373064453</x:v>
      </x:c>
      <x:c r="AE555" s="66" t="n">
        <x:v>56799.25479647809</x:v>
      </x:c>
      <x:c r="AF555" s="66" t="n">
        <x:v>107802.63729281661</x:v>
      </x:c>
      <x:c r="AG555" s="66" t="n">
        <x:v>0</x:v>
      </x:c>
      <x:c r="AH555" s="36" t="n">
        <x:v>1</x:v>
      </x:c>
    </x:row>
    <x:row r="556" ht="15" hidden="0" customHeight="1">
      <x:c r="A556" s="34" t="n">
        <x:v>138</x:v>
      </x:c>
      <x:c r="B556" s="34" t="str">
        <x:v>H3</x:v>
      </x:c>
      <x:c r="C556" s="34" t="str">
        <x:v>reference</x:v>
      </x:c>
      <x:c r="D556" s="74" t="n">
        <x:v>0.967471518599363</x:v>
      </x:c>
      <x:c r="E556" s="74" t="n">
        <x:v>0.001611230530451431</x:v>
      </x:c>
      <x:c r="F556" s="74" t="n">
        <x:v>1.020354500033801</x:v>
      </x:c>
      <x:c r="G556" s="74" t="n">
        <x:v>1.2111886423536669</x:v>
      </x:c>
      <x:c r="H556" s="74" t="n">
        <x:v>0.8342210067463394</x:v>
      </x:c>
      <x:c r="I556" s="74" t="n">
        <x:v>1.047562325729731</x:v>
      </x:c>
      <x:c r="J556" s="74" t="n">
        <x:v>0.7286004392610003</x:v>
      </x:c>
      <x:c r="K556" s="74" t="n">
        <x:v>0.7312854713438</x:v>
      </x:c>
      <x:c r="L556" s="74" t="n">
        <x:v>1.0259639240513183</x:v>
      </x:c>
      <x:c r="M556" s="74" t="n">
        <x:v>0.867111378143103</x:v>
      </x:c>
      <x:c r="N556" s="74" t="n">
        <x:v>1.0032291494336736</x:v>
      </x:c>
      <x:c r="O556" s="65" t="n">
        <x:v>465401.98052791983</x:v>
      </x:c>
      <x:c r="P556" s="65" t="n">
        <x:v>365127.78135742963</x:v>
      </x:c>
      <x:c r="Q556" s="65" t="n">
        <x:v>100274.19917049016</x:v>
      </x:c>
      <x:c r="R556" s="65" t="n">
        <x:v>87574.68090557538</x:v>
      </x:c>
      <x:c r="S556" s="65" t="n">
        <x:v>12699.518264914774</x:v>
      </x:c>
      <x:c r="T556" s="65" t="n">
        <x:v>99064.43251822641</x:v>
      </x:c>
      <x:c r="U556" s="43" t="n">
        <x:v>0.9974005984012112</x:v>
      </x:c>
      <x:c r="V556" s="43" t="n">
        <x:v>0.9983627624079772</x:v>
      </x:c>
      <x:c r="W556" s="43" t="n">
        <x:v>0.9740059840121118</x:v>
      </x:c>
      <x:c r="X556" s="65" t="n">
        <x:v>10808939.854922993</x:v>
      </x:c>
      <x:c r="Y556" s="65" t="n">
        <x:v>23.22495457080367</x:v>
      </x:c>
      <x:c r="Z556" s="65" t="n">
        <x:v>621489.3619801509</x:v>
      </x:c>
      <x:c r="AA556" s="65" t="n">
        <x:v>68941.13317781038</x:v>
      </x:c>
      <x:c r="AB556" s="65" t="n">
        <x:v>0</x:v>
      </x:c>
      <x:c r="AC556" s="65" t="n">
        <x:v>1252.6794068199915</x:v>
      </x:c>
      <x:c r="AD556" s="65" t="n">
        <x:v>1209.7666522637505</x:v>
      </x:c>
      <x:c r="AE556" s="65" t="n">
        <x:v>55279.046965218346</x:v>
      </x:c>
      <x:c r="AF556" s="65" t="n">
        <x:v>99064.43251822634</x:v>
      </x:c>
      <x:c r="AG556" s="65" t="n">
        <x:v>7.275957614183426e-11</x:v>
      </x:c>
      <x:c r="AH556" s="34" t="n">
        <x:v>1</x:v>
      </x:c>
    </x:row>
    <x:row r="557" ht="15" hidden="0" customHeight="1">
      <x:c r="A557" s="36" t="n">
        <x:v>139</x:v>
      </x:c>
      <x:c r="B557" s="36" t="str">
        <x:v>M0</x:v>
      </x:c>
      <x:c r="C557" s="36" t="str">
        <x:v>reference</x:v>
      </x:c>
      <x:c r="D557" s="75" t="n">
        <x:v>1.0009603075466516</x:v>
      </x:c>
      <x:c r="E557" s="75" t="n">
        <x:v>0.029599490853785708</x:v>
      </x:c>
      <x:c r="F557" s="75" t="n">
        <x:v>1.0180879628816752</x:v>
      </x:c>
      <x:c r="G557" s="75" t="n">
        <x:v>1.1986507838607563</x:v>
      </x:c>
      <x:c r="H557" s="75" t="n">
        <x:v>0.8888025409425981</x:v>
      </x:c>
      <x:c r="I557" s="75" t="n">
        <x:v>0.8813721009870877</x:v>
      </x:c>
      <x:c r="J557" s="75" t="n">
        <x:v>0.9103835083574419</x:v>
      </x:c>
      <x:c r="K557" s="75" t="n">
        <x:v>0.7730203638758684</x:v>
      </x:c>
      <x:c r="L557" s="75" t="n">
        <x:v>1.0122765581071929</x:v>
      </x:c>
      <x:c r="M557" s="75" t="n">
        <x:v>1.0209467662257063</x:v>
      </x:c>
      <x:c r="N557" s="75" t="n">
        <x:v>0.7902385987935939</x:v>
      </x:c>
      <x:c r="O557" s="66" t="n">
        <x:v>481511.7557532552</x:v>
      </x:c>
      <x:c r="P557" s="66" t="n">
        <x:v>71590.60002769681</x:v>
      </x:c>
      <x:c r="Q557" s="66" t="n">
        <x:v>409921.1557255584</x:v>
      </x:c>
      <x:c r="R557" s="66" t="n">
        <x:v>104082.73334029588</x:v>
      </x:c>
      <x:c r="S557" s="66" t="n">
        <x:v>305838.42238526256</x:v>
      </x:c>
      <x:c r="T557" s="66" t="n">
        <x:v>279747.3553249192</x:v>
      </x:c>
      <x:c r="U557" s="45" t="n">
        <x:v>0.7296560284452428</x:v>
      </x:c>
      <x:c r="V557" s="45" t="n">
        <x:v>0.737353509404565</x:v>
      </x:c>
      <x:c r="W557" s="45" t="n">
        <x:v>0.15482311111318509</x:v>
      </x:c>
      <x:c r="X557" s="66" t="n">
        <x:v>52203739.59461335</x:v>
      </x:c>
      <x:c r="Y557" s="66" t="n">
        <x:v>108.41633453569203</x:v>
      </x:c>
      <x:c r="Z557" s="66" t="n">
        <x:v>5498218.379880274</x:v>
      </x:c>
      <x:c r="AA557" s="66" t="n">
        <x:v>278819.16101732984</x:v>
      </x:c>
      <x:c r="AB557" s="66" t="n">
        <x:v>44550.26105039894</x:v>
      </x:c>
      <x:c r="AC557" s="66" t="n">
        <x:v>0</x:v>
      </x:c>
      <x:c r="AD557" s="66" t="n">
        <x:v>2025.3270301591017</x:v>
      </x:c>
      <x:c r="AE557" s="66" t="n">
        <x:v>211470.7403891527</x:v>
      </x:c>
      <x:c r="AF557" s="66" t="n">
        <x:v>279747.3553249193</x:v>
      </x:c>
      <x:c r="AG557" s="66" t="n">
        <x:v>0</x:v>
      </x:c>
      <x:c r="AH557" s="36" t="n">
        <x:v>0</x:v>
      </x:c>
    </x:row>
    <x:row r="558" ht="15" hidden="0" customHeight="1">
      <x:c r="A558" s="34" t="n">
        <x:v>139</x:v>
      </x:c>
      <x:c r="B558" s="34" t="str">
        <x:v>B1</x:v>
      </x:c>
      <x:c r="C558" s="34" t="str">
        <x:v>reference</x:v>
      </x:c>
      <x:c r="D558" s="74" t="n">
        <x:v>1.0009603075466516</x:v>
      </x:c>
      <x:c r="E558" s="74" t="n">
        <x:v>0.029599490853785708</x:v>
      </x:c>
      <x:c r="F558" s="74" t="n">
        <x:v>1.0180879628816752</x:v>
      </x:c>
      <x:c r="G558" s="74" t="n">
        <x:v>1.1986507838607563</x:v>
      </x:c>
      <x:c r="H558" s="74" t="n">
        <x:v>0.8888025409425981</x:v>
      </x:c>
      <x:c r="I558" s="74" t="n">
        <x:v>0.8813721009870877</x:v>
      </x:c>
      <x:c r="J558" s="74" t="n">
        <x:v>0.9103835083574419</x:v>
      </x:c>
      <x:c r="K558" s="74" t="n">
        <x:v>0.7730203638758684</x:v>
      </x:c>
      <x:c r="L558" s="74" t="n">
        <x:v>1.0122765581071929</x:v>
      </x:c>
      <x:c r="M558" s="74" t="n">
        <x:v>1.0209467662257063</x:v>
      </x:c>
      <x:c r="N558" s="74" t="n">
        <x:v>0.7902385987935939</x:v>
      </x:c>
      <x:c r="O558" s="65" t="n">
        <x:v>481511.7557532552</x:v>
      </x:c>
      <x:c r="P558" s="65" t="n">
        <x:v>242167.73557586246</x:v>
      </x:c>
      <x:c r="Q558" s="65" t="n">
        <x:v>239344.02017739275</x:v>
      </x:c>
      <x:c r="R558" s="65" t="n">
        <x:v>104082.73334029588</x:v>
      </x:c>
      <x:c r="S558" s="65" t="n">
        <x:v>135261.28683709685</x:v>
      </x:c>
      <x:c r="T558" s="65" t="n">
        <x:v>193203.64246794418</x:v>
      </x:c>
      <x:c r="U558" s="43" t="n">
        <x:v>0.9041760099142987</x:v>
      </x:c>
      <x:c r="V558" s="43" t="n">
        <x:v>0.9121224353618782</x:v>
      </x:c>
      <x:c r="W558" s="43" t="n">
        <x:v>0.5570668619125876</x:v>
      </x:c>
      <x:c r="X558" s="65" t="n">
        <x:v>29821623.435138702</x:v>
      </x:c>
      <x:c r="Y558" s="65" t="n">
        <x:v>61.93332370148908</x:v>
      </x:c>
      <x:c r="Z558" s="65" t="n">
        <x:v>1789397.5554716745</x:v>
      </x:c>
      <x:c r="AA558" s="65" t="n">
        <x:v>157672.00872070232</x:v>
      </x:c>
      <x:c r="AB558" s="65" t="n">
        <x:v>5322.131528951958</x:v>
      </x:c>
      <x:c r="AC558" s="65" t="n">
        <x:v>24144.26635567003</x:v>
      </x:c>
      <x:c r="AD558" s="65" t="n">
        <x:v>1599.7105511540715</x:v>
      </x:c>
      <x:c r="AE558" s="65" t="n">
        <x:v>107857.87379823609</x:v>
      </x:c>
      <x:c r="AF558" s="65" t="n">
        <x:v>193203.64246794413</x:v>
      </x:c>
      <x:c r="AG558" s="65" t="n">
        <x:v>5.820766091346741e-11</x:v>
      </x:c>
      <x:c r="AH558" s="34" t="n">
        <x:v>0</x:v>
      </x:c>
    </x:row>
    <x:row r="559" ht="15" hidden="0" customHeight="1">
      <x:c r="A559" s="36" t="n">
        <x:v>139</x:v>
      </x:c>
      <x:c r="B559" s="36" t="str">
        <x:v>P2</x:v>
      </x:c>
      <x:c r="C559" s="36" t="str">
        <x:v>reference</x:v>
      </x:c>
      <x:c r="D559" s="75" t="n">
        <x:v>1.0009603075466516</x:v>
      </x:c>
      <x:c r="E559" s="75" t="n">
        <x:v>0.029599490853785708</x:v>
      </x:c>
      <x:c r="F559" s="75" t="n">
        <x:v>1.0180879628816752</x:v>
      </x:c>
      <x:c r="G559" s="75" t="n">
        <x:v>1.1986507838607563</x:v>
      </x:c>
      <x:c r="H559" s="75" t="n">
        <x:v>0.8888025409425981</x:v>
      </x:c>
      <x:c r="I559" s="75" t="n">
        <x:v>0.8813721009870877</x:v>
      </x:c>
      <x:c r="J559" s="75" t="n">
        <x:v>0.9103835083574419</x:v>
      </x:c>
      <x:c r="K559" s="75" t="n">
        <x:v>0.7730203638758684</x:v>
      </x:c>
      <x:c r="L559" s="75" t="n">
        <x:v>1.0122765581071929</x:v>
      </x:c>
      <x:c r="M559" s="75" t="n">
        <x:v>1.0209467662257063</x:v>
      </x:c>
      <x:c r="N559" s="75" t="n">
        <x:v>0.7902385987935939</x:v>
      </x:c>
      <x:c r="O559" s="66" t="n">
        <x:v>481511.7557532552</x:v>
      </x:c>
      <x:c r="P559" s="66" t="n">
        <x:v>350826.7235661254</x:v>
      </x:c>
      <x:c r="Q559" s="66" t="n">
        <x:v>130685.03218712987</x:v>
      </x:c>
      <x:c r="R559" s="66" t="n">
        <x:v>104082.73334029588</x:v>
      </x:c>
      <x:c r="S559" s="66" t="n">
        <x:v>26602.29884683398</x:v>
      </x:c>
      <x:c r="T559" s="66" t="n">
        <x:v>115932.98503230955</x:v>
      </x:c>
      <x:c r="U559" s="45" t="n">
        <x:v>0.9693630592014459</x:v>
      </x:c>
      <x:c r="V559" s="45" t="n">
        <x:v>0.9703985559878539</x:v>
      </x:c>
      <x:c r="W559" s="45" t="n">
        <x:v>0.7463752631832815</x:v>
      </x:c>
      <x:c r="X559" s="66" t="n">
        <x:v>15244056.921835523</x:v>
      </x:c>
      <x:c r="Y559" s="66" t="n">
        <x:v>31.658742989542198</x:v>
      </x:c>
      <x:c r="Z559" s="66" t="n">
        <x:v>817060.7151549329</x:v>
      </x:c>
      <x:c r="AA559" s="66" t="n">
        <x:v>85476.33751556715</x:v>
      </x:c>
      <x:c r="AB559" s="66" t="n">
        <x:v>0</x:v>
      </x:c>
      <x:c r="AC559" s="66" t="n">
        <x:v>12424.324763258643</x:v>
      </x:c>
      <x:c r="AD559" s="66" t="n">
        <x:v>1342.5397488966896</x:v>
      </x:c>
      <x:c r="AE559" s="66" t="n">
        <x:v>60657.612658058075</x:v>
      </x:c>
      <x:c r="AF559" s="66" t="n">
        <x:v>115932.9850323096</x:v>
      </x:c>
      <x:c r="AG559" s="66" t="n">
        <x:v>0</x:v>
      </x:c>
      <x:c r="AH559" s="36" t="n">
        <x:v>0</x:v>
      </x:c>
    </x:row>
    <x:row r="560" ht="15" hidden="0" customHeight="1">
      <x:c r="A560" s="34" t="n">
        <x:v>139</x:v>
      </x:c>
      <x:c r="B560" s="34" t="str">
        <x:v>H3</x:v>
      </x:c>
      <x:c r="C560" s="34" t="str">
        <x:v>reference</x:v>
      </x:c>
      <x:c r="D560" s="74" t="n">
        <x:v>1.0009603075466516</x:v>
      </x:c>
      <x:c r="E560" s="74" t="n">
        <x:v>0.029599490853785708</x:v>
      </x:c>
      <x:c r="F560" s="74" t="n">
        <x:v>1.0180879628816752</x:v>
      </x:c>
      <x:c r="G560" s="74" t="n">
        <x:v>1.1986507838607563</x:v>
      </x:c>
      <x:c r="H560" s="74" t="n">
        <x:v>0.8888025409425981</x:v>
      </x:c>
      <x:c r="I560" s="74" t="n">
        <x:v>0.8813721009870877</x:v>
      </x:c>
      <x:c r="J560" s="74" t="n">
        <x:v>0.9103835083574419</x:v>
      </x:c>
      <x:c r="K560" s="74" t="n">
        <x:v>0.7730203638758684</x:v>
      </x:c>
      <x:c r="L560" s="74" t="n">
        <x:v>1.0122765581071929</x:v>
      </x:c>
      <x:c r="M560" s="74" t="n">
        <x:v>1.0209467662257063</x:v>
      </x:c>
      <x:c r="N560" s="74" t="n">
        <x:v>0.7902385987935939</x:v>
      </x:c>
      <x:c r="O560" s="65" t="n">
        <x:v>481511.7557532552</x:v>
      </x:c>
      <x:c r="P560" s="65" t="n">
        <x:v>363932.57856829115</x:v>
      </x:c>
      <x:c r="Q560" s="65" t="n">
        <x:v>117579.17718496402</x:v>
      </x:c>
      <x:c r="R560" s="65" t="n">
        <x:v>104082.73334029588</x:v>
      </x:c>
      <x:c r="S560" s="65" t="n">
        <x:v>13496.443844668147</x:v>
      </x:c>
      <x:c r="T560" s="65" t="n">
        <x:v>116265.50656374803</x:v>
      </x:c>
      <x:c r="U560" s="43" t="n">
        <x:v>0.9972717787146007</x:v>
      </x:c>
      <x:c r="V560" s="43" t="n">
        <x:v>0.9982816360978464</x:v>
      </x:c>
      <x:c r="W560" s="43" t="n">
        <x:v>0.9727177871460075</x:v>
      </x:c>
      <x:c r="X560" s="65" t="n">
        <x:v>12366667.567670463</x:v>
      </x:c>
      <x:c r="Y560" s="65" t="n">
        <x:v>25.683002377220483</x:v>
      </x:c>
      <x:c r="Z560" s="65" t="n">
        <x:v>777388.8677933236</x:v>
      </x:c>
      <x:c r="AA560" s="65" t="n">
        <x:v>77481.46934560544</x:v>
      </x:c>
      <x:c r="AB560" s="65" t="n">
        <x:v>2360.0492763456778</x:v>
      </x:c>
      <x:c r="AC560" s="65" t="n">
        <x:v>0</x:v>
      </x:c>
      <x:c r="AD560" s="65" t="n">
        <x:v>1313.6706212159888</x:v>
      </x:c>
      <x:c r="AE560" s="65" t="n">
        <x:v>42944.38658849464</x:v>
      </x:c>
      <x:c r="AF560" s="65" t="n">
        <x:v>116265.50656374799</x:v>
      </x:c>
      <x:c r="AG560" s="65" t="n">
        <x:v>4.3655745685100555e-11</x:v>
      </x:c>
      <x:c r="AH560" s="34" t="n">
        <x:v>1</x:v>
      </x:c>
    </x:row>
    <x:row r="561" ht="15" hidden="0" customHeight="1">
      <x:c r="A561" s="36" t="n">
        <x:v>140</x:v>
      </x:c>
      <x:c r="B561" s="36" t="str">
        <x:v>M0</x:v>
      </x:c>
      <x:c r="C561" s="36" t="str">
        <x:v>reference</x:v>
      </x:c>
      <x:c r="D561" s="75" t="n">
        <x:v>0.9769701548706615</x:v>
      </x:c>
      <x:c r="E561" s="75" t="n">
        <x:v>0.050006694022067</x:v>
      </x:c>
      <x:c r="F561" s="75" t="n">
        <x:v>0.9113750849381232</x:v>
      </x:c>
      <x:c r="G561" s="75" t="n">
        <x:v>1.165236089330389</x:v>
      </x:c>
      <x:c r="H561" s="75" t="n">
        <x:v>0.7755213656634614</x:v>
      </x:c>
      <x:c r="I561" s="75" t="n">
        <x:v>0.7899132416947791</x:v>
      </x:c>
      <x:c r="J561" s="75" t="n">
        <x:v>0.7949477941254289</x:v>
      </x:c>
      <x:c r="K561" s="75" t="n">
        <x:v>0.9640035344026345</x:v>
      </x:c>
      <x:c r="L561" s="75" t="n">
        <x:v>0.814626108455028</x:v>
      </x:c>
      <x:c r="M561" s="75" t="n">
        <x:v>1.0560607173636898</x:v>
      </x:c>
      <x:c r="N561" s="75" t="n">
        <x:v>0.7584798169856278</x:v>
      </x:c>
      <x:c r="O561" s="66" t="n">
        <x:v>469971.29760650074</x:v>
      </x:c>
      <x:c r="P561" s="66" t="n">
        <x:v>60921.903975821886</x:v>
      </x:c>
      <x:c r="Q561" s="66" t="n">
        <x:v>409049.3936306788</x:v>
      </x:c>
      <x:c r="R561" s="66" t="n">
        <x:v>111178.96797974913</x:v>
      </x:c>
      <x:c r="S561" s="66" t="n">
        <x:v>297870.4256509297</x:v>
      </x:c>
      <x:c r="T561" s="66" t="n">
        <x:v>235571.87449307897</x:v>
      </x:c>
      <x:c r="U561" s="45" t="n">
        <x:v>0.6308763534686116</x:v>
      </x:c>
      <x:c r="V561" s="45" t="n">
        <x:v>0.6604323885207997</x:v>
      </x:c>
      <x:c r="W561" s="45" t="n">
        <x:v>0.12985034289965205</x:v>
      </x:c>
      <x:c r="X561" s="66" t="n">
        <x:v>54213935.01205228</x:v>
      </x:c>
      <x:c r="Y561" s="66" t="n">
        <x:v>115.3558425549739</x:v>
      </x:c>
      <x:c r="Z561" s="66" t="n">
        <x:v>4875702.900134569</x:v>
      </x:c>
      <x:c r="AA561" s="66" t="n">
        <x:v>293103.25850932585</x:v>
      </x:c>
      <x:c r="AB561" s="66" t="n">
        <x:v>42231.655162782925</x:v>
      </x:c>
      <x:c r="AC561" s="66" t="n">
        <x:v>559.080731142415</x:v>
      </x:c>
      <x:c r="AD561" s="66" t="n">
        <x:v>2003.986643224826</x:v>
      </x:c>
      <x:c r="AE561" s="66" t="n">
        <x:v>170039.2183055207</x:v>
      </x:c>
      <x:c r="AF561" s="66" t="n">
        <x:v>235571.87449307885</x:v>
      </x:c>
      <x:c r="AG561" s="66" t="n">
        <x:v>1.1641532182693481e-10</x:v>
      </x:c>
      <x:c r="AH561" s="36" t="n">
        <x:v>0</x:v>
      </x:c>
    </x:row>
    <x:row r="562" ht="15" hidden="0" customHeight="1">
      <x:c r="A562" s="34" t="n">
        <x:v>140</x:v>
      </x:c>
      <x:c r="B562" s="34" t="str">
        <x:v>B1</x:v>
      </x:c>
      <x:c r="C562" s="34" t="str">
        <x:v>reference</x:v>
      </x:c>
      <x:c r="D562" s="74" t="n">
        <x:v>0.9769701548706615</x:v>
      </x:c>
      <x:c r="E562" s="74" t="n">
        <x:v>0.050006694022067</x:v>
      </x:c>
      <x:c r="F562" s="74" t="n">
        <x:v>0.9113750849381232</x:v>
      </x:c>
      <x:c r="G562" s="74" t="n">
        <x:v>1.165236089330389</x:v>
      </x:c>
      <x:c r="H562" s="74" t="n">
        <x:v>0.7755213656634614</x:v>
      </x:c>
      <x:c r="I562" s="74" t="n">
        <x:v>0.7899132416947791</x:v>
      </x:c>
      <x:c r="J562" s="74" t="n">
        <x:v>0.7949477941254289</x:v>
      </x:c>
      <x:c r="K562" s="74" t="n">
        <x:v>0.9640035344026345</x:v>
      </x:c>
      <x:c r="L562" s="74" t="n">
        <x:v>0.814626108455028</x:v>
      </x:c>
      <x:c r="M562" s="74" t="n">
        <x:v>1.0560607173636898</x:v>
      </x:c>
      <x:c r="N562" s="74" t="n">
        <x:v>0.7584798169856278</x:v>
      </x:c>
      <x:c r="O562" s="65" t="n">
        <x:v>469971.29760650074</x:v>
      </x:c>
      <x:c r="P562" s="65" t="n">
        <x:v>206079.61320267222</x:v>
      </x:c>
      <x:c r="Q562" s="65" t="n">
        <x:v>263891.68440382846</x:v>
      </x:c>
      <x:c r="R562" s="65" t="n">
        <x:v>111178.96797974913</x:v>
      </x:c>
      <x:c r="S562" s="65" t="n">
        <x:v>152712.71642407938</x:v>
      </x:c>
      <x:c r="T562" s="65" t="n">
        <x:v>176829.0912396955</x:v>
      </x:c>
      <x:c r="U562" s="43" t="n">
        <x:v>0.8147491270051367</x:v>
      </x:c>
      <x:c r="V562" s="43" t="n">
        <x:v>0.8369742366970992</x:v>
      </x:c>
      <x:c r="W562" s="43" t="n">
        <x:v>0.4786387919463317</x:v>
      </x:c>
      <x:c r="X562" s="65" t="n">
        <x:v>35076059.36436211</x:v>
      </x:c>
      <x:c r="Y562" s="65" t="n">
        <x:v>74.63447138793298</x:v>
      </x:c>
      <x:c r="Z562" s="65" t="n">
        <x:v>1766299.0300353176</x:v>
      </x:c>
      <x:c r="AA562" s="65" t="n">
        <x:v>188449.8707316367</x:v>
      </x:c>
      <x:c r="AB562" s="65" t="n">
        <x:v>8498.194991743438</x:v>
      </x:c>
      <x:c r="AC562" s="65" t="n">
        <x:v>159.4073147221933</x:v>
      </x:c>
      <x:c r="AD562" s="65" t="n">
        <x:v>1650.1651473283882</x:v>
      </x:c>
      <x:c r="AE562" s="65" t="n">
        <x:v>102954.7726744433</x:v>
      </x:c>
      <x:c r="AF562" s="65" t="n">
        <x:v>176829.0912396955</x:v>
      </x:c>
      <x:c r="AG562" s="65" t="n">
        <x:v>0</x:v>
      </x:c>
      <x:c r="AH562" s="34" t="n">
        <x:v>0</x:v>
      </x:c>
    </x:row>
    <x:row r="563" ht="15" hidden="0" customHeight="1">
      <x:c r="A563" s="36" t="n">
        <x:v>140</x:v>
      </x:c>
      <x:c r="B563" s="36" t="str">
        <x:v>P2</x:v>
      </x:c>
      <x:c r="C563" s="36" t="str">
        <x:v>reference</x:v>
      </x:c>
      <x:c r="D563" s="75" t="n">
        <x:v>0.9769701548706615</x:v>
      </x:c>
      <x:c r="E563" s="75" t="n">
        <x:v>0.050006694022067</x:v>
      </x:c>
      <x:c r="F563" s="75" t="n">
        <x:v>0.9113750849381232</x:v>
      </x:c>
      <x:c r="G563" s="75" t="n">
        <x:v>1.165236089330389</x:v>
      </x:c>
      <x:c r="H563" s="75" t="n">
        <x:v>0.7755213656634614</x:v>
      </x:c>
      <x:c r="I563" s="75" t="n">
        <x:v>0.7899132416947791</x:v>
      </x:c>
      <x:c r="J563" s="75" t="n">
        <x:v>0.7949477941254289</x:v>
      </x:c>
      <x:c r="K563" s="75" t="n">
        <x:v>0.9640035344026345</x:v>
      </x:c>
      <x:c r="L563" s="75" t="n">
        <x:v>0.814626108455028</x:v>
      </x:c>
      <x:c r="M563" s="75" t="n">
        <x:v>1.0560607173636898</x:v>
      </x:c>
      <x:c r="N563" s="75" t="n">
        <x:v>0.7584798169856278</x:v>
      </x:c>
      <x:c r="O563" s="66" t="n">
        <x:v>469971.29760650074</x:v>
      </x:c>
      <x:c r="P563" s="66" t="n">
        <x:v>298546.6075410909</x:v>
      </x:c>
      <x:c r="Q563" s="66" t="n">
        <x:v>171424.69006540984</x:v>
      </x:c>
      <x:c r="R563" s="66" t="n">
        <x:v>111178.96797974913</x:v>
      </x:c>
      <x:c r="S563" s="66" t="n">
        <x:v>60245.72208566072</x:v>
      </x:c>
      <x:c r="T563" s="66" t="n">
        <x:v>119329.89699309267</x:v>
      </x:c>
      <x:c r="U563" s="45" t="n">
        <x:v>0.8891532454479054</x:v>
      </x:c>
      <x:c r="V563" s="45" t="n">
        <x:v>0.9055114623151617</x:v>
      </x:c>
      <x:c r="W563" s="45" t="n">
        <x:v>0.6270478986394854</x:v>
      </x:c>
      <x:c r="X563" s="66" t="n">
        <x:v>21672935.710101888</x:v>
      </x:c>
      <x:c r="Y563" s="66" t="n">
        <x:v>46.11544539098275</x:v>
      </x:c>
      <x:c r="Z563" s="66" t="n">
        <x:v>745782.9036064781</x:v>
      </x:c>
      <x:c r="AA563" s="66" t="n">
        <x:v>124016.43633043609</x:v>
      </x:c>
      <x:c r="AB563" s="66" t="n">
        <x:v>6.691937532416745</x:v>
      </x:c>
      <x:c r="AC563" s="66" t="n">
        <x:v>0</x:v>
      </x:c>
      <x:c r="AD563" s="66" t="n">
        <x:v>1436.3751216970772</x:v>
      </x:c>
      <x:c r="AE563" s="66" t="n">
        <x:v>63123.19506359989</x:v>
      </x:c>
      <x:c r="AF563" s="66" t="n">
        <x:v>119329.89699309274</x:v>
      </x:c>
      <x:c r="AG563" s="66" t="n">
        <x:v>0</x:v>
      </x:c>
      <x:c r="AH563" s="36" t="n">
        <x:v>0</x:v>
      </x:c>
    </x:row>
    <x:row r="564" ht="15" hidden="0" customHeight="1">
      <x:c r="A564" s="34" t="n">
        <x:v>140</x:v>
      </x:c>
      <x:c r="B564" s="34" t="str">
        <x:v>H3</x:v>
      </x:c>
      <x:c r="C564" s="34" t="str">
        <x:v>reference</x:v>
      </x:c>
      <x:c r="D564" s="74" t="n">
        <x:v>0.9769701548706615</x:v>
      </x:c>
      <x:c r="E564" s="74" t="n">
        <x:v>0.050006694022067</x:v>
      </x:c>
      <x:c r="F564" s="74" t="n">
        <x:v>0.9113750849381232</x:v>
      </x:c>
      <x:c r="G564" s="74" t="n">
        <x:v>1.165236089330389</x:v>
      </x:c>
      <x:c r="H564" s="74" t="n">
        <x:v>0.7755213656634614</x:v>
      </x:c>
      <x:c r="I564" s="74" t="n">
        <x:v>0.7899132416947791</x:v>
      </x:c>
      <x:c r="J564" s="74" t="n">
        <x:v>0.7949477941254289</x:v>
      </x:c>
      <x:c r="K564" s="74" t="n">
        <x:v>0.9640035344026345</x:v>
      </x:c>
      <x:c r="L564" s="74" t="n">
        <x:v>0.814626108455028</x:v>
      </x:c>
      <x:c r="M564" s="74" t="n">
        <x:v>1.0560607173636898</x:v>
      </x:c>
      <x:c r="N564" s="74" t="n">
        <x:v>0.7584798169856278</x:v>
      </x:c>
      <x:c r="O564" s="65" t="n">
        <x:v>469971.29760650074</x:v>
      </x:c>
      <x:c r="P564" s="65" t="n">
        <x:v>309699.53143832984</x:v>
      </x:c>
      <x:c r="Q564" s="65" t="n">
        <x:v>160271.76616817096</x:v>
      </x:c>
      <x:c r="R564" s="65" t="n">
        <x:v>111178.96797974913</x:v>
      </x:c>
      <x:c r="S564" s="65" t="n">
        <x:v>49092.79818842182</x:v>
      </x:c>
      <x:c r="T564" s="65" t="n">
        <x:v>158859.3903943494</x:v>
      </x:c>
      <x:c r="U564" s="43" t="n">
        <x:v>0.9969947616354136</x:v>
      </x:c>
      <x:c r="V564" s="43" t="n">
        <x:v>0.9981071800494806</x:v>
      </x:c>
      <x:c r="W564" s="43" t="n">
        <x:v>0.9699476163541356</x:v>
      </x:c>
      <x:c r="X564" s="65" t="n">
        <x:v>16190794.803907065</x:v>
      </x:c>
      <x:c r="Y564" s="65" t="n">
        <x:v>34.450603444007236</x:v>
      </x:c>
      <x:c r="Z564" s="65" t="n">
        <x:v>1063018.106502169</x:v>
      </x:c>
      <x:c r="AA564" s="65" t="n">
        <x:v>98605.25329652081</x:v>
      </x:c>
      <x:c r="AB564" s="65" t="n">
        <x:v>2852.6041450361836</x:v>
      </x:c>
      <x:c r="AC564" s="65" t="n">
        <x:v>178.73587689091147</x:v>
      </x:c>
      <x:c r="AD564" s="65" t="n">
        <x:v>1412.3757738215218</x:v>
      </x:c>
      <x:c r="AE564" s="65" t="n">
        <x:v>48113.02725021361</x:v>
      </x:c>
      <x:c r="AF564" s="65" t="n">
        <x:v>158859.39039434947</x:v>
      </x:c>
      <x:c r="AG564" s="65" t="n">
        <x:v>0</x:v>
      </x:c>
      <x:c r="AH564" s="34" t="n">
        <x:v>1</x:v>
      </x:c>
    </x:row>
    <x:row r="565" ht="21.600000381469727" hidden="0" customHeight="1">
      <x:c r="A565" s="36" t="n">
        <x:v>141</x:v>
      </x:c>
      <x:c r="B565" s="36" t="str">
        <x:v>M0</x:v>
      </x:c>
      <x:c r="C565" s="36" t="str">
        <x:v>reference</x:v>
      </x:c>
      <x:c r="D565" s="75" t="n">
        <x:v>1.1120161218962272</x:v>
      </x:c>
      <x:c r="E565" s="75" t="n">
        <x:v>-0.014394117160469493</x:v>
      </x:c>
      <x:c r="F565" s="75" t="n">
        <x:v>0.795841995492935</x:v>
      </x:c>
      <x:c r="G565" s="75" t="n">
        <x:v>1.292037906501426</x:v>
      </x:c>
      <x:c r="H565" s="75" t="n">
        <x:v>0.8186368627429093</x:v>
      </x:c>
      <x:c r="I565" s="75" t="n">
        <x:v>0.8444611972701022</x:v>
      </x:c>
      <x:c r="J565" s="75" t="n">
        <x:v>0.9691691318943733</x:v>
      </x:c>
      <x:c r="K565" s="75" t="n">
        <x:v>0.7986028894375604</x:v>
      </x:c>
      <x:c r="L565" s="75" t="n">
        <x:v>1.023985646214641</x:v>
      </x:c>
      <x:c r="M565" s="75" t="n">
        <x:v>0.9370565836804187</x:v>
      </x:c>
      <x:c r="N565" s="75" t="n">
        <x:v>0.8430039677324814</x:v>
      </x:c>
      <x:c r="O565" s="66" t="n">
        <x:v>534935.1330349557</x:v>
      </x:c>
      <x:c r="P565" s="66" t="n">
        <x:v>65661.65360762764</x:v>
      </x:c>
      <x:c r="Q565" s="66" t="n">
        <x:v>469273.4794273281</x:v>
      </x:c>
      <x:c r="R565" s="66" t="n">
        <x:v>92096.90995677453</x:v>
      </x:c>
      <x:c r="S565" s="66" t="n">
        <x:v>377176.56947055354</x:v>
      </x:c>
      <x:c r="T565" s="66" t="n">
        <x:v>254608.74165405834</x:v>
      </x:c>
      <x:c r="U565" s="45" t="n">
        <x:v>0.598708844275438</x:v>
      </x:c>
      <x:c r="V565" s="45" t="n">
        <x:v>0.6252911963844866</x:v>
      </x:c>
      <x:c r="W565" s="45" t="n">
        <x:v>0.11894792275231944</x:v>
      </x:c>
      <x:c r="X565" s="66" t="n">
        <x:v>63179373.18249011</x:v>
      </x:c>
      <x:c r="Y565" s="66" t="n">
        <x:v>118.10660635438505</x:v>
      </x:c>
      <x:c r="Z565" s="66" t="n">
        <x:v>5215135.137601959</x:v>
      </x:c>
      <x:c r="AA565" s="66" t="n">
        <x:v>344337.70093199523</x:v>
      </x:c>
      <x:c r="AB565" s="66" t="n">
        <x:v>45645.28573168387</x:v>
      </x:c>
      <x:c r="AC565" s="66" t="n">
        <x:v>0</x:v>
      </x:c>
      <x:c r="AD565" s="66" t="n">
        <x:v>2278.537365693479</x:v>
      </x:c>
      <x:c r="AE565" s="66" t="n">
        <x:v>206051.7131126674</x:v>
      </x:c>
      <x:c r="AF565" s="66" t="n">
        <x:v>254608.74165405807</x:v>
      </x:c>
      <x:c r="AG565" s="66" t="n">
        <x:v>2.6193447411060333e-10</x:v>
      </x:c>
      <x:c r="AH565" s="36" t="n">
        <x:v>0</x:v>
      </x:c>
    </x:row>
    <x:row r="566" ht="21.600000381469727" hidden="0" customHeight="1">
      <x:c r="A566" s="34" t="n">
        <x:v>141</x:v>
      </x:c>
      <x:c r="B566" s="34" t="str">
        <x:v>B1</x:v>
      </x:c>
      <x:c r="C566" s="34" t="str">
        <x:v>reference</x:v>
      </x:c>
      <x:c r="D566" s="74" t="n">
        <x:v>1.1120161218962272</x:v>
      </x:c>
      <x:c r="E566" s="74" t="n">
        <x:v>-0.014394117160469493</x:v>
      </x:c>
      <x:c r="F566" s="74" t="n">
        <x:v>0.795841995492935</x:v>
      </x:c>
      <x:c r="G566" s="74" t="n">
        <x:v>1.292037906501426</x:v>
      </x:c>
      <x:c r="H566" s="74" t="n">
        <x:v>0.8186368627429093</x:v>
      </x:c>
      <x:c r="I566" s="74" t="n">
        <x:v>0.8444611972701022</x:v>
      </x:c>
      <x:c r="J566" s="74" t="n">
        <x:v>0.9691691318943733</x:v>
      </x:c>
      <x:c r="K566" s="74" t="n">
        <x:v>0.7986028894375604</x:v>
      </x:c>
      <x:c r="L566" s="74" t="n">
        <x:v>1.023985646214641</x:v>
      </x:c>
      <x:c r="M566" s="74" t="n">
        <x:v>0.9370565836804187</x:v>
      </x:c>
      <x:c r="N566" s="74" t="n">
        <x:v>0.8430039677324814</x:v>
      </x:c>
      <x:c r="O566" s="65" t="n">
        <x:v>534935.1330349557</x:v>
      </x:c>
      <x:c r="P566" s="65" t="n">
        <x:v>222110.73067646511</x:v>
      </x:c>
      <x:c r="Q566" s="65" t="n">
        <x:v>312824.4023584906</x:v>
      </x:c>
      <x:c r="R566" s="65" t="n">
        <x:v>92096.90995677453</x:v>
      </x:c>
      <x:c r="S566" s="65" t="n">
        <x:v>220727.49240171607</x:v>
      </x:c>
      <x:c r="T566" s="65" t="n">
        <x:v>187563.60793630927</x:v>
      </x:c>
      <x:c r="U566" s="43" t="n">
        <x:v>0.765839282771513</x:v>
      </x:c>
      <x:c r="V566" s="43" t="n">
        <x:v>0.7967932394931324</x:v>
      </x:c>
      <x:c r="W566" s="43" t="n">
        <x:v>0.43398605149385416</x:v>
      </x:c>
      <x:c r="X566" s="65" t="n">
        <x:v>42664050.27274342</x:v>
      </x:c>
      <x:c r="Y566" s="65" t="n">
        <x:v>79.7555584556371</x:v>
      </x:c>
      <x:c r="Z566" s="65" t="n">
        <x:v>1909143.0838959776</x:v>
      </x:c>
      <x:c r="AA566" s="65" t="n">
        <x:v>231752.96292326986</x:v>
      </x:c>
      <x:c r="AB566" s="65" t="n">
        <x:v>8586.319424953934</x:v>
      </x:c>
      <x:c r="AC566" s="65" t="n">
        <x:v>0</x:v>
      </x:c>
      <x:c r="AD566" s="65" t="n">
        <x:v>1870.2389561715324</x:v>
      </x:c>
      <x:c r="AE566" s="65" t="n">
        <x:v>131714.16482130793</x:v>
      </x:c>
      <x:c r="AF566" s="65" t="n">
        <x:v>187563.6079363093</x:v>
      </x:c>
      <x:c r="AG566" s="65" t="n">
        <x:v>0</x:v>
      </x:c>
      <x:c r="AH566" s="34" t="n">
        <x:v>0</x:v>
      </x:c>
    </x:row>
    <x:row r="567" ht="21.600000381469727" hidden="0" customHeight="1">
      <x:c r="A567" s="36" t="n">
        <x:v>141</x:v>
      </x:c>
      <x:c r="B567" s="36" t="str">
        <x:v>P2</x:v>
      </x:c>
      <x:c r="C567" s="36" t="str">
        <x:v>reference</x:v>
      </x:c>
      <x:c r="D567" s="75" t="n">
        <x:v>1.1120161218962272</x:v>
      </x:c>
      <x:c r="E567" s="75" t="n">
        <x:v>-0.014394117160469493</x:v>
      </x:c>
      <x:c r="F567" s="75" t="n">
        <x:v>0.795841995492935</x:v>
      </x:c>
      <x:c r="G567" s="75" t="n">
        <x:v>1.292037906501426</x:v>
      </x:c>
      <x:c r="H567" s="75" t="n">
        <x:v>0.8186368627429093</x:v>
      </x:c>
      <x:c r="I567" s="75" t="n">
        <x:v>0.8444611972701022</x:v>
      </x:c>
      <x:c r="J567" s="75" t="n">
        <x:v>0.9691691318943733</x:v>
      </x:c>
      <x:c r="K567" s="75" t="n">
        <x:v>0.7986028894375604</x:v>
      </x:c>
      <x:c r="L567" s="75" t="n">
        <x:v>1.023985646214641</x:v>
      </x:c>
      <x:c r="M567" s="75" t="n">
        <x:v>0.9370565836804187</x:v>
      </x:c>
      <x:c r="N567" s="75" t="n">
        <x:v>0.8430039677324814</x:v>
      </x:c>
      <x:c r="O567" s="66" t="n">
        <x:v>534935.1330349557</x:v>
      </x:c>
      <x:c r="P567" s="66" t="n">
        <x:v>321769.2138210349</x:v>
      </x:c>
      <x:c r="Q567" s="66" t="n">
        <x:v>213165.91921392083</x:v>
      </x:c>
      <x:c r="R567" s="66" t="n">
        <x:v>92096.90995677453</x:v>
      </x:c>
      <x:c r="S567" s="66" t="n">
        <x:v>121069.00925714627</x:v>
      </x:c>
      <x:c r="T567" s="66" t="n">
        <x:v>119784.3089902203</x:v>
      </x:c>
      <x:c r="U567" s="45" t="n">
        <x:v>0.8254337685881656</x:v>
      </x:c>
      <x:c r="V567" s="45" t="n">
        <x:v>0.8551322995335198</x:v>
      </x:c>
      <x:c r="W567" s="45" t="n">
        <x:v>0.49920350018047066</x:v>
      </x:c>
      <x:c r="X567" s="66" t="n">
        <x:v>28263735.119837753</x:v>
      </x:c>
      <x:c r="Y567" s="66" t="n">
        <x:v>52.835817605554126</x:v>
      </x:c>
      <x:c r="Z567" s="66" t="n">
        <x:v>843517.8952900377</x:v>
      </x:c>
      <x:c r="AA567" s="66" t="n">
        <x:v>161349.13045406723</x:v>
      </x:c>
      <x:c r="AB567" s="66" t="n">
        <x:v>0</x:v>
      </x:c>
      <x:c r="AC567" s="66" t="n">
        <x:v>12300.568621177334</x:v>
      </x:c>
      <x:c r="AD567" s="66" t="n">
        <x:v>1623.5322737079262</x:v>
      </x:c>
      <x:c r="AE567" s="66" t="n">
        <x:v>61411.08662936618</x:v>
      </x:c>
      <x:c r="AF567" s="66" t="n">
        <x:v>119784.30899022022</x:v>
      </x:c>
      <x:c r="AG567" s="66" t="n">
        <x:v>8.731149137020111e-11</x:v>
      </x:c>
      <x:c r="AH567" s="36" t="n">
        <x:v>0</x:v>
      </x:c>
    </x:row>
    <x:row r="568" ht="21.600000381469727" hidden="0" customHeight="1">
      <x:c r="A568" s="34" t="n">
        <x:v>141</x:v>
      </x:c>
      <x:c r="B568" s="34" t="str">
        <x:v>H3</x:v>
      </x:c>
      <x:c r="C568" s="34" t="str">
        <x:v>reference</x:v>
      </x:c>
      <x:c r="D568" s="74" t="n">
        <x:v>1.1120161218962272</x:v>
      </x:c>
      <x:c r="E568" s="74" t="n">
        <x:v>-0.014394117160469493</x:v>
      </x:c>
      <x:c r="F568" s="74" t="n">
        <x:v>0.795841995492935</x:v>
      </x:c>
      <x:c r="G568" s="74" t="n">
        <x:v>1.292037906501426</x:v>
      </x:c>
      <x:c r="H568" s="74" t="n">
        <x:v>0.8186368627429093</x:v>
      </x:c>
      <x:c r="I568" s="74" t="n">
        <x:v>0.8444611972701022</x:v>
      </x:c>
      <x:c r="J568" s="74" t="n">
        <x:v>0.9691691318943733</x:v>
      </x:c>
      <x:c r="K568" s="74" t="n">
        <x:v>0.7986028894375604</x:v>
      </x:c>
      <x:c r="L568" s="74" t="n">
        <x:v>1.023985646214641</x:v>
      </x:c>
      <x:c r="M568" s="74" t="n">
        <x:v>0.9370565836804187</x:v>
      </x:c>
      <x:c r="N568" s="74" t="n">
        <x:v>0.8430039677324814</x:v>
      </x:c>
      <x:c r="O568" s="65" t="n">
        <x:v>534935.1330349557</x:v>
      </x:c>
      <x:c r="P568" s="65" t="n">
        <x:v>333789.35070090427</x:v>
      </x:c>
      <x:c r="Q568" s="65" t="n">
        <x:v>201145.78233405144</x:v>
      </x:c>
      <x:c r="R568" s="65" t="n">
        <x:v>92096.90995677453</x:v>
      </x:c>
      <x:c r="S568" s="65" t="n">
        <x:v>109048.87237727692</x:v>
      </x:c>
      <x:c r="T568" s="65" t="n">
        <x:v>191003.44701131794</x:v>
      </x:c>
      <x:c r="U568" s="43" t="n">
        <x:v>0.9810400650538862</x:v>
      </x:c>
      <x:c r="V568" s="43" t="n">
        <x:v>0.9875446769722999</x:v>
      </x:c>
      <x:c r="W568" s="43" t="n">
        <x:v>0.8367042436673551</x:v>
      </x:c>
      <x:c r="X568" s="65" t="n">
        <x:v>20954724.35497061</x:v>
      </x:c>
      <x:c r="Y568" s="65" t="n">
        <x:v>39.172458604623586</x:v>
      </x:c>
      <x:c r="Z568" s="65" t="n">
        <x:v>1447744.1223525326</x:v>
      </x:c>
      <x:c r="AA568" s="65" t="n">
        <x:v>130225.33302350684</x:v>
      </x:c>
      <x:c r="AB568" s="65" t="n">
        <x:v>4657.623985950439</x:v>
      </x:c>
      <x:c r="AC568" s="65" t="n">
        <x:v>321.2536992182805</x:v>
      </x:c>
      <x:c r="AD568" s="65" t="n">
        <x:v>1595.837812854645</x:v>
      </x:c>
      <x:c r="AE568" s="65" t="n">
        <x:v>81750.1327931884</x:v>
      </x:c>
      <x:c r="AF568" s="65" t="n">
        <x:v>191003.44701131794</x:v>
      </x:c>
      <x:c r="AG568" s="65" t="n">
        <x:v>0</x:v>
      </x:c>
      <x:c r="AH568" s="34" t="n">
        <x:v>1</x:v>
      </x:c>
    </x:row>
    <x:row r="569" ht="15" hidden="0" customHeight="1">
      <x:c r="A569" s="36" t="n">
        <x:v>142</x:v>
      </x:c>
      <x:c r="B569" s="36" t="str">
        <x:v>M0</x:v>
      </x:c>
      <x:c r="C569" s="36" t="str">
        <x:v>reference</x:v>
      </x:c>
      <x:c r="D569" s="75" t="n">
        <x:v>0.9255414211707</x:v>
      </x:c>
      <x:c r="E569" s="75" t="n">
        <x:v>0.009830367913892413</x:v>
      </x:c>
      <x:c r="F569" s="75" t="n">
        <x:v>0.9678511931105047</x:v>
      </x:c>
      <x:c r="G569" s="75" t="n">
        <x:v>1.1237860223042413</x:v>
      </x:c>
      <x:c r="H569" s="75" t="n">
        <x:v>0.8605779474750264</x:v>
      </x:c>
      <x:c r="I569" s="75" t="n">
        <x:v>0.8407964251127867</x:v>
      </x:c>
      <x:c r="J569" s="75" t="n">
        <x:v>0.844338340344953</x:v>
      </x:c>
      <x:c r="K569" s="75" t="n">
        <x:v>0.9554103348463076</x:v>
      </x:c>
      <x:c r="L569" s="75" t="n">
        <x:v>0.8889147466301217</x:v>
      </x:c>
      <x:c r="M569" s="75" t="n">
        <x:v>0.7877549860578799</x:v>
      </x:c>
      <x:c r="N569" s="75" t="n">
        <x:v>0.7834090931512119</x:v>
      </x:c>
      <x:c r="O569" s="66" t="n">
        <x:v>445231.515545881</x:v>
      </x:c>
      <x:c r="P569" s="66" t="n">
        <x:v>64517.535307386504</x:v>
      </x:c>
      <x:c r="Q569" s="66" t="n">
        <x:v>380713.9802384945</x:v>
      </x:c>
      <x:c r="R569" s="66" t="n">
        <x:v>87438.62392706073</x:v>
      </x:c>
      <x:c r="S569" s="66" t="n">
        <x:v>293275.3563114337</x:v>
      </x:c>
      <x:c r="T569" s="66" t="n">
        <x:v>266824.4009396491</x:v>
      </x:c>
      <x:c r="U569" s="45" t="n">
        <x:v>0.7442014427949697</x:v>
      </x:c>
      <x:c r="V569" s="45" t="n">
        <x:v>0.7513986218284315</x:v>
      </x:c>
      <x:c r="W569" s="45" t="n">
        <x:v>0.15192788584414188</x:v>
      </x:c>
      <x:c r="X569" s="66" t="n">
        <x:v>47866765.67262556</x:v>
      </x:c>
      <x:c r="Y569" s="66" t="n">
        <x:v>107.50983252822519</x:v>
      </x:c>
      <x:c r="Z569" s="66" t="n">
        <x:v>5158974.954323592</x:v>
      </x:c>
      <x:c r="AA569" s="66" t="n">
        <x:v>256375.47605889334</x:v>
      </x:c>
      <x:c r="AB569" s="66" t="n">
        <x:v>41866.20440935286</x:v>
      </x:c>
      <x:c r="AC569" s="66" t="n">
        <x:v>0</x:v>
      </x:c>
      <x:c r="AD569" s="66" t="n">
        <x:v>1873.5321025233338</x:v>
      </x:c>
      <x:c r="AE569" s="66" t="n">
        <x:v>244262.21905689422</x:v>
      </x:c>
      <x:c r="AF569" s="66" t="n">
        <x:v>266824.40093964885</x:v>
      </x:c>
      <x:c r="AG569" s="66" t="n">
        <x:v>2.3283064365386963e-10</x:v>
      </x:c>
      <x:c r="AH569" s="36" t="n">
        <x:v>0</x:v>
      </x:c>
    </x:row>
    <x:row r="570" ht="15" hidden="0" customHeight="1">
      <x:c r="A570" s="34" t="n">
        <x:v>142</x:v>
      </x:c>
      <x:c r="B570" s="34" t="str">
        <x:v>B1</x:v>
      </x:c>
      <x:c r="C570" s="34" t="str">
        <x:v>reference</x:v>
      </x:c>
      <x:c r="D570" s="74" t="n">
        <x:v>0.9255414211707</x:v>
      </x:c>
      <x:c r="E570" s="74" t="n">
        <x:v>0.009830367913892413</x:v>
      </x:c>
      <x:c r="F570" s="74" t="n">
        <x:v>0.9678511931105047</x:v>
      </x:c>
      <x:c r="G570" s="74" t="n">
        <x:v>1.1237860223042413</x:v>
      </x:c>
      <x:c r="H570" s="74" t="n">
        <x:v>0.8605779474750264</x:v>
      </x:c>
      <x:c r="I570" s="74" t="n">
        <x:v>0.8407964251127867</x:v>
      </x:c>
      <x:c r="J570" s="74" t="n">
        <x:v>0.844338340344953</x:v>
      </x:c>
      <x:c r="K570" s="74" t="n">
        <x:v>0.9554103348463076</x:v>
      </x:c>
      <x:c r="L570" s="74" t="n">
        <x:v>0.8889147466301217</x:v>
      </x:c>
      <x:c r="M570" s="74" t="n">
        <x:v>0.7877549860578799</x:v>
      </x:c>
      <x:c r="N570" s="74" t="n">
        <x:v>0.7834090931512119</x:v>
      </x:c>
      <x:c r="O570" s="65" t="n">
        <x:v>445231.515545881</x:v>
      </x:c>
      <x:c r="P570" s="65" t="n">
        <x:v>218241.2621527951</x:v>
      </x:c>
      <x:c r="Q570" s="65" t="n">
        <x:v>226990.2533930859</x:v>
      </x:c>
      <x:c r="R570" s="65" t="n">
        <x:v>87438.62392706073</x:v>
      </x:c>
      <x:c r="S570" s="65" t="n">
        <x:v>139551.62946602516</x:v>
      </x:c>
      <x:c r="T570" s="65" t="n">
        <x:v>198330.35865657416</x:v>
      </x:c>
      <x:c r="U570" s="43" t="n">
        <x:v>0.9356292316787751</x:v>
      </x:c>
      <x:c r="V570" s="43" t="n">
        <x:v>0.9462944285180579</x:v>
      </x:c>
      <x:c r="W570" s="43" t="n">
        <x:v>0.6513749925748817</x:v>
      </x:c>
      <x:c r="X570" s="65" t="n">
        <x:v>27783208.00418271</x:v>
      </x:c>
      <x:c r="Y570" s="65" t="n">
        <x:v>62.40171019816242</x:v>
      </x:c>
      <x:c r="Z570" s="65" t="n">
        <x:v>1656170.5712759206</x:v>
      </x:c>
      <x:c r="AA570" s="65" t="n">
        <x:v>148223.53516857483</x:v>
      </x:c>
      <x:c r="AB570" s="65" t="n">
        <x:v>4910.618149251611</x:v>
      </x:c>
      <x:c r="AC570" s="65" t="n">
        <x:v>1267.5892555871992</x:v>
      </x:c>
      <x:c r="AD570" s="65" t="n">
        <x:v>1481.8104584629787</x:v>
      </x:c>
      <x:c r="AE570" s="65" t="n">
        <x:v>130643.81300830949</x:v>
      </x:c>
      <x:c r="AF570" s="65" t="n">
        <x:v>198330.35865657407</x:v>
      </x:c>
      <x:c r="AG570" s="65" t="n">
        <x:v>8.731149137020111e-11</x:v>
      </x:c>
      <x:c r="AH570" s="34" t="n">
        <x:v>0</x:v>
      </x:c>
    </x:row>
    <x:row r="571" ht="15" hidden="0" customHeight="1">
      <x:c r="A571" s="36" t="n">
        <x:v>142</x:v>
      </x:c>
      <x:c r="B571" s="36" t="str">
        <x:v>P2</x:v>
      </x:c>
      <x:c r="C571" s="36" t="str">
        <x:v>reference</x:v>
      </x:c>
      <x:c r="D571" s="75" t="n">
        <x:v>0.9255414211707</x:v>
      </x:c>
      <x:c r="E571" s="75" t="n">
        <x:v>0.009830367913892413</x:v>
      </x:c>
      <x:c r="F571" s="75" t="n">
        <x:v>0.9678511931105047</x:v>
      </x:c>
      <x:c r="G571" s="75" t="n">
        <x:v>1.1237860223042413</x:v>
      </x:c>
      <x:c r="H571" s="75" t="n">
        <x:v>0.8605779474750264</x:v>
      </x:c>
      <x:c r="I571" s="75" t="n">
        <x:v>0.8407964251127867</x:v>
      </x:c>
      <x:c r="J571" s="75" t="n">
        <x:v>0.844338340344953</x:v>
      </x:c>
      <x:c r="K571" s="75" t="n">
        <x:v>0.9554103348463076</x:v>
      </x:c>
      <x:c r="L571" s="75" t="n">
        <x:v>0.8889147466301217</x:v>
      </x:c>
      <x:c r="M571" s="75" t="n">
        <x:v>0.7877549860578799</x:v>
      </x:c>
      <x:c r="N571" s="75" t="n">
        <x:v>0.7834090931512119</x:v>
      </x:c>
      <x:c r="O571" s="66" t="n">
        <x:v>445231.515545881</x:v>
      </x:c>
      <x:c r="P571" s="66" t="n">
        <x:v>316164.1223807123</x:v>
      </x:c>
      <x:c r="Q571" s="66" t="n">
        <x:v>129067.3931651687</x:v>
      </x:c>
      <x:c r="R571" s="66" t="n">
        <x:v>87438.62392706073</x:v>
      </x:c>
      <x:c r="S571" s="66" t="n">
        <x:v>41628.76923810797</x:v>
      </x:c>
      <x:c r="T571" s="66" t="n">
        <x:v>122279.02704153261</x:v>
      </x:c>
      <x:c r="U571" s="45" t="n">
        <x:v>0.9847531769728538</x:v>
      </x:c>
      <x:c r="V571" s="45" t="n">
        <x:v>0.9855734410384797</x:v>
      </x:c>
      <x:c r="W571" s="45" t="n">
        <x:v>0.8475317697285384</x:v>
      </x:c>
      <x:c r="X571" s="66" t="n">
        <x:v>14726254.699070197</x:v>
      </x:c>
      <x:c r="Y571" s="66" t="n">
        <x:v>33.075499341089795</x:v>
      </x:c>
      <x:c r="Z571" s="66" t="n">
        <x:v>766933.6391308492</x:v>
      </x:c>
      <x:c r="AA571" s="66" t="n">
        <x:v>83935.80479171418</x:v>
      </x:c>
      <x:c r="AB571" s="66" t="n">
        <x:v>0</x:v>
      </x:c>
      <x:c r="AC571" s="66" t="n">
        <x:v>0</x:v>
      </x:c>
      <x:c r="AD571" s="66" t="n">
        <x:v>1245.1199766938466</x:v>
      </x:c>
      <x:c r="AE571" s="66" t="n">
        <x:v>67550.03732666618</x:v>
      </x:c>
      <x:c r="AF571" s="66" t="n">
        <x:v>122279.02704153262</x:v>
      </x:c>
      <x:c r="AG571" s="66" t="n">
        <x:v>0</x:v>
      </x:c>
      <x:c r="AH571" s="36" t="n">
        <x:v>1</x:v>
      </x:c>
    </x:row>
    <x:row r="572" ht="15" hidden="0" customHeight="1">
      <x:c r="A572" s="34" t="n">
        <x:v>142</x:v>
      </x:c>
      <x:c r="B572" s="34" t="str">
        <x:v>H3</x:v>
      </x:c>
      <x:c r="C572" s="34" t="str">
        <x:v>reference</x:v>
      </x:c>
      <x:c r="D572" s="74" t="n">
        <x:v>0.9255414211707</x:v>
      </x:c>
      <x:c r="E572" s="74" t="n">
        <x:v>0.009830367913892413</x:v>
      </x:c>
      <x:c r="F572" s="74" t="n">
        <x:v>0.9678511931105047</x:v>
      </x:c>
      <x:c r="G572" s="74" t="n">
        <x:v>1.1237860223042413</x:v>
      </x:c>
      <x:c r="H572" s="74" t="n">
        <x:v>0.8605779474750264</x:v>
      </x:c>
      <x:c r="I572" s="74" t="n">
        <x:v>0.8407964251127867</x:v>
      </x:c>
      <x:c r="J572" s="74" t="n">
        <x:v>0.844338340344953</x:v>
      </x:c>
      <x:c r="K572" s="74" t="n">
        <x:v>0.9554103348463076</x:v>
      </x:c>
      <x:c r="L572" s="74" t="n">
        <x:v>0.8889147466301217</x:v>
      </x:c>
      <x:c r="M572" s="74" t="n">
        <x:v>0.7877549860578799</x:v>
      </x:c>
      <x:c r="N572" s="74" t="n">
        <x:v>0.7834090931512119</x:v>
      </x:c>
      <x:c r="O572" s="65" t="n">
        <x:v>445231.515545881</x:v>
      </x:c>
      <x:c r="P572" s="65" t="n">
        <x:v>327974.98672207224</x:v>
      </x:c>
      <x:c r="Q572" s="65" t="n">
        <x:v>117256.52882380874</x:v>
      </x:c>
      <x:c r="R572" s="65" t="n">
        <x:v>87438.62392706073</x:v>
      </x:c>
      <x:c r="S572" s="65" t="n">
        <x:v>29817.90489674799</x:v>
      </x:c>
      <x:c r="T572" s="65" t="n">
        <x:v>116037.9789230295</x:v>
      </x:c>
      <x:c r="U572" s="43" t="n">
        <x:v>0.997263109509925</x:v>
      </x:c>
      <x:c r="V572" s="43" t="n">
        <x:v>0.9982761765240371</x:v>
      </x:c>
      <x:c r="W572" s="43" t="n">
        <x:v>0.9726310950992492</x:v>
      </x:c>
      <x:c r="X572" s="65" t="n">
        <x:v>12034452.423848268</x:v>
      </x:c>
      <x:c r="Y572" s="65" t="n">
        <x:v>27.029650875215548</x:v>
      </x:c>
      <x:c r="Z572" s="65" t="n">
        <x:v>781612.2660245757</x:v>
      </x:c>
      <x:c r="AA572" s="65" t="n">
        <x:v>74530.11509654915</x:v>
      </x:c>
      <x:c r="AB572" s="65" t="n">
        <x:v>2805.001792086487</x:v>
      </x:c>
      <x:c r="AC572" s="65" t="n">
        <x:v>0</x:v>
      </x:c>
      <x:c r="AD572" s="65" t="n">
        <x:v>1218.5499007792373</x:v>
      </x:c>
      <x:c r="AE572" s="65" t="n">
        <x:v>55667.27090649712</x:v>
      </x:c>
      <x:c r="AF572" s="65" t="n">
        <x:v>116037.97892302956</x:v>
      </x:c>
      <x:c r="AG572" s="65" t="n">
        <x:v>0</x:v>
      </x:c>
      <x:c r="AH572" s="34" t="n">
        <x:v>1</x:v>
      </x:c>
    </x:row>
    <x:row r="573" ht="21.600000381469727" hidden="0" customHeight="1">
      <x:c r="A573" s="36" t="n">
        <x:v>143</x:v>
      </x:c>
      <x:c r="B573" s="36" t="str">
        <x:v>M0</x:v>
      </x:c>
      <x:c r="C573" s="36" t="str">
        <x:v>reference</x:v>
      </x:c>
      <x:c r="D573" s="75" t="n">
        <x:v>1.0688431323324101</x:v>
      </x:c>
      <x:c r="E573" s="75" t="n">
        <x:v>-0.01714982933927054</x:v>
      </x:c>
      <x:c r="F573" s="75" t="n">
        <x:v>0.7282969889215307</x:v>
      </x:c>
      <x:c r="G573" s="75" t="n">
        <x:v>1.2714497544006655</x:v>
      </x:c>
      <x:c r="H573" s="75" t="n">
        <x:v>0.7782296300823004</x:v>
      </x:c>
      <x:c r="I573" s="75" t="n">
        <x:v>0.9759341629979398</x:v>
      </x:c>
      <x:c r="J573" s="75" t="n">
        <x:v>0.9527337741159421</x:v>
      </x:c>
      <x:c r="K573" s="75" t="n">
        <x:v>0.8722345720706162</x:v>
      </x:c>
      <x:c r="L573" s="75" t="n">
        <x:v>0.9219269710136944</x:v>
      </x:c>
      <x:c r="M573" s="75" t="n">
        <x:v>0.9595090026666651</x:v>
      </x:c>
      <x:c r="N573" s="75" t="n">
        <x:v>0.8006888874259805</x:v>
      </x:c>
      <x:c r="O573" s="66" t="n">
        <x:v>514166.7750398794</x:v>
      </x:c>
      <x:c r="P573" s="66" t="n">
        <x:v>57948.19518412277</x:v>
      </x:c>
      <x:c r="Q573" s="66" t="n">
        <x:v>456218.57985575666</x:v>
      </x:c>
      <x:c r="R573" s="66" t="n">
        <x:v>87104.43761560763</x:v>
      </x:c>
      <x:c r="S573" s="66" t="n">
        <x:v>369114.142240149</x:v>
      </x:c>
      <x:c r="T573" s="66" t="n">
        <x:v>263073.5215940691</x:v>
      </x:c>
      <x:c r="U573" s="45" t="n">
        <x:v>0.6243532883922596</x:v>
      </x:c>
      <x:c r="V573" s="45" t="n">
        <x:v>0.6601587169053811</x:v>
      </x:c>
      <x:c r="W573" s="45" t="n">
        <x:v>0.11491842072882107</x:v>
      </x:c>
      <x:c r="X573" s="66" t="n">
        <x:v>60207671.49190146</x:v>
      </x:c>
      <x:c r="Y573" s="66" t="n">
        <x:v>117.09755358508274</x:v>
      </x:c>
      <x:c r="Z573" s="66" t="n">
        <x:v>3659971.063471473</x:v>
      </x:c>
      <x:c r="AA573" s="66" t="n">
        <x:v>337000.3320700052</x:v>
      </x:c>
      <x:c r="AB573" s="66" t="n">
        <x:v>24301.025016142783</x:v>
      </x:c>
      <x:c r="AC573" s="66" t="n">
        <x:v>0</x:v>
      </x:c>
      <x:c r="AD573" s="66" t="n">
        <x:v>2203.843392794243</x:v>
      </x:c>
      <x:c r="AE573" s="66" t="n">
        <x:v>216953.84167833257</x:v>
      </x:c>
      <x:c r="AF573" s="66" t="n">
        <x:v>263073.52159406914</x:v>
      </x:c>
      <x:c r="AG573" s="66" t="n">
        <x:v>0</x:v>
      </x:c>
      <x:c r="AH573" s="36" t="n">
        <x:v>0</x:v>
      </x:c>
    </x:row>
    <x:row r="574" ht="21.600000381469727" hidden="0" customHeight="1">
      <x:c r="A574" s="34" t="n">
        <x:v>143</x:v>
      </x:c>
      <x:c r="B574" s="34" t="str">
        <x:v>B1</x:v>
      </x:c>
      <x:c r="C574" s="34" t="str">
        <x:v>reference</x:v>
      </x:c>
      <x:c r="D574" s="74" t="n">
        <x:v>1.0688431323324101</x:v>
      </x:c>
      <x:c r="E574" s="74" t="n">
        <x:v>-0.01714982933927054</x:v>
      </x:c>
      <x:c r="F574" s="74" t="n">
        <x:v>0.7282969889215307</x:v>
      </x:c>
      <x:c r="G574" s="74" t="n">
        <x:v>1.2714497544006655</x:v>
      </x:c>
      <x:c r="H574" s="74" t="n">
        <x:v>0.7782296300823004</x:v>
      </x:c>
      <x:c r="I574" s="74" t="n">
        <x:v>0.9759341629979398</x:v>
      </x:c>
      <x:c r="J574" s="74" t="n">
        <x:v>0.9527337741159421</x:v>
      </x:c>
      <x:c r="K574" s="74" t="n">
        <x:v>0.8722345720706162</x:v>
      </x:c>
      <x:c r="L574" s="74" t="n">
        <x:v>0.9219269710136944</x:v>
      </x:c>
      <x:c r="M574" s="74" t="n">
        <x:v>0.9595090026666651</x:v>
      </x:c>
      <x:c r="N574" s="74" t="n">
        <x:v>0.8006888874259805</x:v>
      </x:c>
      <x:c r="O574" s="65" t="n">
        <x:v>514166.7750398794</x:v>
      </x:c>
      <x:c r="P574" s="65" t="n">
        <x:v>196018.69269824793</x:v>
      </x:c>
      <x:c r="Q574" s="65" t="n">
        <x:v>318148.08234163147</x:v>
      </x:c>
      <x:c r="R574" s="65" t="n">
        <x:v>87104.43761560763</x:v>
      </x:c>
      <x:c r="S574" s="65" t="n">
        <x:v>231043.64472602383</x:v>
      </x:c>
      <x:c r="T574" s="65" t="n">
        <x:v>186344.43797456962</x:v>
      </x:c>
      <x:c r="U574" s="43" t="n">
        <x:v>0.7436558510478648</x:v>
      </x:c>
      <x:c r="V574" s="43" t="n">
        <x:v>0.7852172469164028</x:v>
      </x:c>
      <x:c r="W574" s="43" t="n">
        <x:v>0.39802782489802363</x:v>
      </x:c>
      <x:c r="X574" s="65" t="n">
        <x:v>43146119.27981731</x:v>
      </x:c>
      <x:c r="Y574" s="65" t="n">
        <x:v>83.91463893494645</x:v>
      </x:c>
      <x:c r="Z574" s="65" t="n">
        <x:v>1211104.5139138123</x:v>
      </x:c>
      <x:c r="AA574" s="65" t="n">
        <x:v>240832.81052562315</x:v>
      </x:c>
      <x:c r="AB574" s="65" t="n">
        <x:v>1630.5996264661992</x:v>
      </x:c>
      <x:c r="AC574" s="65" t="n">
        <x:v>0</x:v>
      </x:c>
      <x:c r="AD574" s="65" t="n">
        <x:v>1842.5735397114468</x:v>
      </x:c>
      <x:c r="AE574" s="65" t="n">
        <x:v>130656.17385520572</x:v>
      </x:c>
      <x:c r="AF574" s="65" t="n">
        <x:v>186344.43797456948</x:v>
      </x:c>
      <x:c r="AG574" s="65" t="n">
        <x:v>1.4551915228366852e-10</x:v>
      </x:c>
      <x:c r="AH574" s="34" t="n">
        <x:v>0</x:v>
      </x:c>
    </x:row>
    <x:row r="575" ht="21.600000381469727" hidden="0" customHeight="1">
      <x:c r="A575" s="36" t="n">
        <x:v>143</x:v>
      </x:c>
      <x:c r="B575" s="36" t="str">
        <x:v>P2</x:v>
      </x:c>
      <x:c r="C575" s="36" t="str">
        <x:v>reference</x:v>
      </x:c>
      <x:c r="D575" s="75" t="n">
        <x:v>1.0688431323324101</x:v>
      </x:c>
      <x:c r="E575" s="75" t="n">
        <x:v>-0.01714982933927054</x:v>
      </x:c>
      <x:c r="F575" s="75" t="n">
        <x:v>0.7282969889215307</x:v>
      </x:c>
      <x:c r="G575" s="75" t="n">
        <x:v>1.2714497544006655</x:v>
      </x:c>
      <x:c r="H575" s="75" t="n">
        <x:v>0.7782296300823004</x:v>
      </x:c>
      <x:c r="I575" s="75" t="n">
        <x:v>0.9759341629979398</x:v>
      </x:c>
      <x:c r="J575" s="75" t="n">
        <x:v>0.9527337741159421</x:v>
      </x:c>
      <x:c r="K575" s="75" t="n">
        <x:v>0.8722345720706162</x:v>
      </x:c>
      <x:c r="L575" s="75" t="n">
        <x:v>0.9219269710136944</x:v>
      </x:c>
      <x:c r="M575" s="75" t="n">
        <x:v>0.9595090026666651</x:v>
      </x:c>
      <x:c r="N575" s="75" t="n">
        <x:v>0.8006888874259805</x:v>
      </x:c>
      <x:c r="O575" s="66" t="n">
        <x:v>514166.7750398794</x:v>
      </x:c>
      <x:c r="P575" s="66" t="n">
        <x:v>283969.9284484689</x:v>
      </x:c>
      <x:c r="Q575" s="66" t="n">
        <x:v>230196.84659141058</x:v>
      </x:c>
      <x:c r="R575" s="66" t="n">
        <x:v>87104.43761560763</x:v>
      </x:c>
      <x:c r="S575" s="66" t="n">
        <x:v>143092.40897580294</x:v>
      </x:c>
      <x:c r="T575" s="66" t="n">
        <x:v>120538.69153796138</x:v>
      </x:c>
      <x:c r="U575" s="45" t="n">
        <x:v>0.7867264856914493</x:v>
      </x:c>
      <x:c r="V575" s="45" t="n">
        <x:v>0.8166277500712801</x:v>
      </x:c>
      <x:c r="W575" s="45" t="n">
        <x:v>0.49784860344287685</x:v>
      </x:c>
      <x:c r="X575" s="66" t="n">
        <x:v>31282990.020401735</x:v>
      </x:c>
      <x:c r="Y575" s="66" t="n">
        <x:v>60.8421071508858</x:v>
      </x:c>
      <x:c r="Z575" s="66" t="n">
        <x:v>754321.8127372937</x:v>
      </x:c>
      <x:c r="AA575" s="66" t="n">
        <x:v>179895.92862105777</x:v>
      </x:c>
      <x:c r="AB575" s="66" t="n">
        <x:v>0</x:v>
      </x:c>
      <x:c r="AC575" s="66" t="n">
        <x:v>0</x:v>
      </x:c>
      <x:c r="AD575" s="66" t="n">
        <x:v>1624.2829834672393</x:v>
      </x:c>
      <x:c r="AE575" s="66" t="n">
        <x:v>68641.9185383334</x:v>
      </x:c>
      <x:c r="AF575" s="66" t="n">
        <x:v>120538.69153796136</x:v>
      </x:c>
      <x:c r="AG575" s="66" t="n">
        <x:v>1.4551915228366852e-11</x:v>
      </x:c>
      <x:c r="AH575" s="36" t="n">
        <x:v>0</x:v>
      </x:c>
    </x:row>
    <x:row r="576" ht="21.600000381469727" hidden="0" customHeight="1">
      <x:c r="A576" s="34" t="n">
        <x:v>143</x:v>
      </x:c>
      <x:c r="B576" s="34" t="str">
        <x:v>H3</x:v>
      </x:c>
      <x:c r="C576" s="34" t="str">
        <x:v>reference</x:v>
      </x:c>
      <x:c r="D576" s="74" t="n">
        <x:v>1.0688431323324101</x:v>
      </x:c>
      <x:c r="E576" s="74" t="n">
        <x:v>-0.01714982933927054</x:v>
      </x:c>
      <x:c r="F576" s="74" t="n">
        <x:v>0.7282969889215307</x:v>
      </x:c>
      <x:c r="G576" s="74" t="n">
        <x:v>1.2714497544006655</x:v>
      </x:c>
      <x:c r="H576" s="74" t="n">
        <x:v>0.7782296300823004</x:v>
      </x:c>
      <x:c r="I576" s="74" t="n">
        <x:v>0.9759341629979398</x:v>
      </x:c>
      <x:c r="J576" s="74" t="n">
        <x:v>0.9527337741159421</x:v>
      </x:c>
      <x:c r="K576" s="74" t="n">
        <x:v>0.8722345720706162</x:v>
      </x:c>
      <x:c r="L576" s="74" t="n">
        <x:v>0.9219269710136944</x:v>
      </x:c>
      <x:c r="M576" s="74" t="n">
        <x:v>0.9595090026666651</x:v>
      </x:c>
      <x:c r="N576" s="74" t="n">
        <x:v>0.8006888874259805</x:v>
      </x:c>
      <x:c r="O576" s="65" t="n">
        <x:v>514166.7750398794</x:v>
      </x:c>
      <x:c r="P576" s="65" t="n">
        <x:v>294578.00919174193</x:v>
      </x:c>
      <x:c r="Q576" s="65" t="n">
        <x:v>219588.76584813753</x:v>
      </x:c>
      <x:c r="R576" s="65" t="n">
        <x:v>87104.43761560763</x:v>
      </x:c>
      <x:c r="S576" s="65" t="n">
        <x:v>132484.32823252986</x:v>
      </x:c>
      <x:c r="T576" s="65" t="n">
        <x:v>185781.30785899825</x:v>
      </x:c>
      <x:c r="U576" s="43" t="n">
        <x:v>0.9342480696335987</x:v>
      </x:c>
      <x:c r="V576" s="43" t="n">
        <x:v>0.9464579858822364</x:v>
      </x:c>
      <x:c r="W576" s="43" t="n">
        <x:v>0.6848660990288953</x:v>
      </x:c>
      <x:c r="X576" s="65" t="n">
        <x:v>24035230.36617841</x:v>
      </x:c>
      <x:c r="Y576" s="65" t="n">
        <x:v>46.74598113484522</x:v>
      </x:c>
      <x:c r="Z576" s="65" t="n">
        <x:v>1174962.4630278428</x:v>
      </x:c>
      <x:c r="AA576" s="65" t="n">
        <x:v>148999.0065905645</x:v>
      </x:c>
      <x:c r="AB576" s="65" t="n">
        <x:v>726.0998658128694</x:v>
      </x:c>
      <x:c r="AC576" s="65" t="n">
        <x:v>0</x:v>
      </x:c>
      <x:c r="AD576" s="65" t="n">
        <x:v>1599.7784211903827</x:v>
      </x:c>
      <x:c r="AE576" s="65" t="n">
        <x:v>82012.02804859096</x:v>
      </x:c>
      <x:c r="AF576" s="65" t="n">
        <x:v>185781.30785899845</x:v>
      </x:c>
      <x:c r="AG576" s="65" t="n">
        <x:v>0</x:v>
      </x:c>
      <x:c r="AH576" s="34" t="n">
        <x:v>0</x:v>
      </x:c>
    </x:row>
    <x:row r="577" ht="15" hidden="0" customHeight="1">
      <x:c r="A577" s="36" t="n">
        <x:v>144</x:v>
      </x:c>
      <x:c r="B577" s="36" t="str">
        <x:v>M0</x:v>
      </x:c>
      <x:c r="C577" s="36" t="str">
        <x:v>reference</x:v>
      </x:c>
      <x:c r="D577" s="75" t="n">
        <x:v>1.067987500387259</x:v>
      </x:c>
      <x:c r="E577" s="75" t="n">
        <x:v>0.01463241370518209</x:v>
      </x:c>
      <x:c r="F577" s="75" t="n">
        <x:v>0.9202302461902088</x:v>
      </x:c>
      <x:c r="G577" s="75" t="n">
        <x:v>1.1798932815661785</x:v>
      </x:c>
      <x:c r="H577" s="75" t="n">
        <x:v>0.8934039311189194</x:v>
      </x:c>
      <x:c r="I577" s="75" t="n">
        <x:v>0.9255697986430418</x:v>
      </x:c>
      <x:c r="J577" s="75" t="n">
        <x:v>0.8970861869514007</x:v>
      </x:c>
      <x:c r="K577" s="75" t="n">
        <x:v>0.874751809431513</x:v>
      </x:c>
      <x:c r="L577" s="75" t="n">
        <x:v>0.9283591557091573</x:v>
      </x:c>
      <x:c r="M577" s="75" t="n">
        <x:v>0.9850941199122037</x:v>
      </x:c>
      <x:c r="N577" s="75" t="n">
        <x:v>0.9082326494049006</x:v>
      </x:c>
      <x:c r="O577" s="66" t="n">
        <x:v>513755.1734637908</x:v>
      </x:c>
      <x:c r="P577" s="66" t="n">
        <x:v>70361.08884610055</x:v>
      </x:c>
      <x:c r="Q577" s="66" t="n">
        <x:v>443394.0846176903</x:v>
      </x:c>
      <x:c r="R577" s="66" t="n">
        <x:v>103363.00042585854</x:v>
      </x:c>
      <x:c r="S577" s="66" t="n">
        <x:v>340031.08419183176</x:v>
      </x:c>
      <x:c r="T577" s="66" t="n">
        <x:v>280527.4678529321</x:v>
      </x:c>
      <x:c r="U577" s="45" t="n">
        <x:v>0.6829878798753607</x:v>
      </x:c>
      <x:c r="V577" s="45" t="n">
        <x:v>0.7088295259131289</x:v>
      </x:c>
      <x:c r="W577" s="45" t="n">
        <x:v>0.1390411528978406</x:v>
      </x:c>
      <x:c r="X577" s="66" t="n">
        <x:v>57574362.2501033</x:v>
      </x:c>
      <x:c r="Y577" s="66" t="n">
        <x:v>112.06575665590084</x:v>
      </x:c>
      <x:c r="Z577" s="66" t="n">
        <x:v>5218738.067706157</x:v>
      </x:c>
      <x:c r="AA577" s="66" t="n">
        <x:v>311320.61160492554</x:v>
      </x:c>
      <x:c r="AB577" s="66" t="n">
        <x:v>41314.17650653706</x:v>
      </x:c>
      <x:c r="AC577" s="66" t="n">
        <x:v>0</x:v>
      </x:c>
      <x:c r="AD577" s="66" t="n">
        <x:v>2173.7714513122305</x:v>
      </x:c>
      <x:c r="AE577" s="66" t="n">
        <x:v>228213.26724720985</x:v>
      </x:c>
      <x:c r="AF577" s="66" t="n">
        <x:v>280527.46785293217</x:v>
      </x:c>
      <x:c r="AG577" s="66" t="n">
        <x:v>0</x:v>
      </x:c>
      <x:c r="AH577" s="36" t="n">
        <x:v>0</x:v>
      </x:c>
    </x:row>
    <x:row r="578" ht="15" hidden="0" customHeight="1">
      <x:c r="A578" s="34" t="n">
        <x:v>144</x:v>
      </x:c>
      <x:c r="B578" s="34" t="str">
        <x:v>B1</x:v>
      </x:c>
      <x:c r="C578" s="34" t="str">
        <x:v>reference</x:v>
      </x:c>
      <x:c r="D578" s="74" t="n">
        <x:v>1.067987500387259</x:v>
      </x:c>
      <x:c r="E578" s="74" t="n">
        <x:v>0.01463241370518209</x:v>
      </x:c>
      <x:c r="F578" s="74" t="n">
        <x:v>0.9202302461902088</x:v>
      </x:c>
      <x:c r="G578" s="74" t="n">
        <x:v>1.1798932815661785</x:v>
      </x:c>
      <x:c r="H578" s="74" t="n">
        <x:v>0.8934039311189194</x:v>
      </x:c>
      <x:c r="I578" s="74" t="n">
        <x:v>0.9255697986430418</x:v>
      </x:c>
      <x:c r="J578" s="74" t="n">
        <x:v>0.8970861869514007</x:v>
      </x:c>
      <x:c r="K578" s="74" t="n">
        <x:v>0.874751809431513</x:v>
      </x:c>
      <x:c r="L578" s="74" t="n">
        <x:v>0.9283591557091573</x:v>
      </x:c>
      <x:c r="M578" s="74" t="n">
        <x:v>0.9850941199122037</x:v>
      </x:c>
      <x:c r="N578" s="74" t="n">
        <x:v>0.9082326494049006</x:v>
      </x:c>
      <x:c r="O578" s="65" t="n">
        <x:v>513755.1734637908</x:v>
      </x:c>
      <x:c r="P578" s="65" t="n">
        <x:v>238008.20543270092</x:v>
      </x:c>
      <x:c r="Q578" s="65" t="n">
        <x:v>275746.96803108987</x:v>
      </x:c>
      <x:c r="R578" s="65" t="n">
        <x:v>103363.00042585854</x:v>
      </x:c>
      <x:c r="S578" s="65" t="n">
        <x:v>172383.9676052314</x:v>
      </x:c>
      <x:c r="T578" s="65" t="n">
        <x:v>207630.89593171712</x:v>
      </x:c>
      <x:c r="U578" s="43" t="n">
        <x:v>0.867415306710924</x:v>
      </x:c>
      <x:c r="V578" s="43" t="n">
        <x:v>0.8884737883664756</x:v>
      </x:c>
      <x:c r="W578" s="43" t="n">
        <x:v>0.5281325011840692</x:v>
      </x:c>
      <x:c r="X578" s="65" t="n">
        <x:v>35522897.781219795</x:v>
      </x:c>
      <x:c r="Y578" s="65" t="n">
        <x:v>69.14363030491883</x:v>
      </x:c>
      <x:c r="Z578" s="65" t="n">
        <x:v>1709323.0136617597</x:v>
      </x:c>
      <x:c r="AA578" s="65" t="n">
        <x:v>190785.68195337494</x:v>
      </x:c>
      <x:c r="AB578" s="65" t="n">
        <x:v>5076.080935069629</x:v>
      </x:c>
      <x:c r="AC578" s="65" t="n">
        <x:v>835.7400373701669</x:v>
      </x:c>
      <x:c r="AD578" s="65" t="n">
        <x:v>1748.6903394159106</x:v>
      </x:c>
      <x:c r="AE578" s="65" t="n">
        <x:v>129814.66604036707</x:v>
      </x:c>
      <x:c r="AF578" s="65" t="n">
        <x:v>207630.89593171707</x:v>
      </x:c>
      <x:c r="AG578" s="65" t="n">
        <x:v>5.820766091346741e-11</x:v>
      </x:c>
      <x:c r="AH578" s="34" t="n">
        <x:v>0</x:v>
      </x:c>
    </x:row>
    <x:row r="579" ht="15" hidden="0" customHeight="1">
      <x:c r="A579" s="36" t="n">
        <x:v>144</x:v>
      </x:c>
      <x:c r="B579" s="36" t="str">
        <x:v>P2</x:v>
      </x:c>
      <x:c r="C579" s="36" t="str">
        <x:v>reference</x:v>
      </x:c>
      <x:c r="D579" s="75" t="n">
        <x:v>1.067987500387259</x:v>
      </x:c>
      <x:c r="E579" s="75" t="n">
        <x:v>0.01463241370518209</x:v>
      </x:c>
      <x:c r="F579" s="75" t="n">
        <x:v>0.9202302461902088</x:v>
      </x:c>
      <x:c r="G579" s="75" t="n">
        <x:v>1.1798932815661785</x:v>
      </x:c>
      <x:c r="H579" s="75" t="n">
        <x:v>0.8934039311189194</x:v>
      </x:c>
      <x:c r="I579" s="75" t="n">
        <x:v>0.9255697986430418</x:v>
      </x:c>
      <x:c r="J579" s="75" t="n">
        <x:v>0.8970861869514007</x:v>
      </x:c>
      <x:c r="K579" s="75" t="n">
        <x:v>0.874751809431513</x:v>
      </x:c>
      <x:c r="L579" s="75" t="n">
        <x:v>0.9283591557091573</x:v>
      </x:c>
      <x:c r="M579" s="75" t="n">
        <x:v>0.9850941199122037</x:v>
      </x:c>
      <x:c r="N579" s="75" t="n">
        <x:v>0.9082326494049006</x:v>
      </x:c>
      <x:c r="O579" s="66" t="n">
        <x:v>513755.1734637908</x:v>
      </x:c>
      <x:c r="P579" s="66" t="n">
        <x:v>344800.438472356</x:v>
      </x:c>
      <x:c r="Q579" s="66" t="n">
        <x:v>168954.73499143482</x:v>
      </x:c>
      <x:c r="R579" s="66" t="n">
        <x:v>103363.00042585854</x:v>
      </x:c>
      <x:c r="S579" s="66" t="n">
        <x:v>65591.73456557628</x:v>
      </x:c>
      <x:c r="T579" s="66" t="n">
        <x:v>131164.81113472994</x:v>
      </x:c>
      <x:c r="U579" s="45" t="n">
        <x:v>0.9264437113072338</x:v>
      </x:c>
      <x:c r="V579" s="45" t="n">
        <x:v>0.9367927681519882</x:v>
      </x:c>
      <x:c r="W579" s="45" t="n">
        <x:v>0.6593665685462661</x:v>
      </x:c>
      <x:c r="X579" s="66" t="n">
        <x:v>20412074.687686972</x:v>
      </x:c>
      <x:c r="Y579" s="66" t="n">
        <x:v>39.73113214620622</x:v>
      </x:c>
      <x:c r="Z579" s="66" t="n">
        <x:v>879974.5180120394</x:v>
      </x:c>
      <x:c r="AA579" s="66" t="n">
        <x:v>116471.09568986815</x:v>
      </x:c>
      <x:c r="AB579" s="66" t="n">
        <x:v>0</x:v>
      </x:c>
      <x:c r="AC579" s="66" t="n">
        <x:v>10595.962101061448</x:v>
      </x:c>
      <x:c r="AD579" s="66" t="n">
        <x:v>1491.8430227274405</x:v>
      </x:c>
      <x:c r="AE579" s="66" t="n">
        <x:v>65226.07575670809</x:v>
      </x:c>
      <x:c r="AF579" s="66" t="n">
        <x:v>131164.8111347301</x:v>
      </x:c>
      <x:c r="AG579" s="66" t="n">
        <x:v>0</x:v>
      </x:c>
      <x:c r="AH579" s="36" t="n">
        <x:v>0</x:v>
      </x:c>
    </x:row>
    <x:row r="580" ht="15" hidden="0" customHeight="1">
      <x:c r="A580" s="34" t="n">
        <x:v>144</x:v>
      </x:c>
      <x:c r="B580" s="34" t="str">
        <x:v>H3</x:v>
      </x:c>
      <x:c r="C580" s="34" t="str">
        <x:v>reference</x:v>
      </x:c>
      <x:c r="D580" s="74" t="n">
        <x:v>1.067987500387259</x:v>
      </x:c>
      <x:c r="E580" s="74" t="n">
        <x:v>0.01463241370518209</x:v>
      </x:c>
      <x:c r="F580" s="74" t="n">
        <x:v>0.9202302461902088</x:v>
      </x:c>
      <x:c r="G580" s="74" t="n">
        <x:v>1.1798932815661785</x:v>
      </x:c>
      <x:c r="H580" s="74" t="n">
        <x:v>0.8934039311189194</x:v>
      </x:c>
      <x:c r="I580" s="74" t="n">
        <x:v>0.9255697986430418</x:v>
      </x:c>
      <x:c r="J580" s="74" t="n">
        <x:v>0.8970861869514007</x:v>
      </x:c>
      <x:c r="K580" s="74" t="n">
        <x:v>0.874751809431513</x:v>
      </x:c>
      <x:c r="L580" s="74" t="n">
        <x:v>0.9283591557091573</x:v>
      </x:c>
      <x:c r="M580" s="74" t="n">
        <x:v>0.9850941199122037</x:v>
      </x:c>
      <x:c r="N580" s="74" t="n">
        <x:v>0.9082326494049006</x:v>
      </x:c>
      <x:c r="O580" s="65" t="n">
        <x:v>513755.1734637908</x:v>
      </x:c>
      <x:c r="P580" s="65" t="n">
        <x:v>357681.08795715665</x:v>
      </x:c>
      <x:c r="Q580" s="65" t="n">
        <x:v>156074.08550663423</x:v>
      </x:c>
      <x:c r="R580" s="65" t="n">
        <x:v>103363.00042585854</x:v>
      </x:c>
      <x:c r="S580" s="65" t="n">
        <x:v>52711.08508077568</x:v>
      </x:c>
      <x:c r="T580" s="65" t="n">
        <x:v>154611.07529818756</x:v>
      </x:c>
      <x:c r="U580" s="43" t="n">
        <x:v>0.9971523202412098</x:v>
      </x:c>
      <x:c r="V580" s="43" t="n">
        <x:v>0.9982064051652527</x:v>
      </x:c>
      <x:c r="W580" s="43" t="n">
        <x:v>0.9715232024120963</x:v>
      </x:c>
      <x:c r="X580" s="65" t="n">
        <x:v>15729091.19047904</x:v>
      </x:c>
      <x:c r="Y580" s="65" t="n">
        <x:v>30.61592759140871</x:v>
      </x:c>
      <x:c r="Z580" s="65" t="n">
        <x:v>1009076.2974976061</x:v>
      </x:c>
      <x:c r="AA580" s="65" t="n">
        <x:v>94666.9511545109</x:v>
      </x:c>
      <x:c r="AB580" s="65" t="n">
        <x:v>2805.5322944158006</x:v>
      </x:c>
      <x:c r="AC580" s="65" t="n">
        <x:v>0</x:v>
      </x:c>
      <x:c r="AD580" s="65" t="n">
        <x:v>1463.0102084466662</x:v>
      </x:c>
      <x:c r="AE580" s="65" t="n">
        <x:v>66823.41813590511</x:v>
      </x:c>
      <x:c r="AF580" s="65" t="n">
        <x:v>154611.07529818756</x:v>
      </x:c>
      <x:c r="AG580" s="65" t="n">
        <x:v>0</x:v>
      </x:c>
      <x:c r="AH580" s="34" t="n">
        <x:v>1</x:v>
      </x:c>
    </x:row>
    <x:row r="581" ht="15" hidden="0" customHeight="1">
      <x:c r="A581" s="36" t="n">
        <x:v>145</x:v>
      </x:c>
      <x:c r="B581" s="36" t="str">
        <x:v>M0</x:v>
      </x:c>
      <x:c r="C581" s="36" t="str">
        <x:v>reference</x:v>
      </x:c>
      <x:c r="D581" s="75" t="n">
        <x:v>1.0948949870578009</x:v>
      </x:c>
      <x:c r="E581" s="75" t="n">
        <x:v>0.03639260924566765</x:v>
      </x:c>
      <x:c r="F581" s="75" t="n">
        <x:v>0.747972548041179</x:v>
      </x:c>
      <x:c r="G581" s="75" t="n">
        <x:v>1.2209805938721625</x:v>
      </x:c>
      <x:c r="H581" s="75" t="n">
        <x:v>0.8731504588949579</x:v>
      </x:c>
      <x:c r="I581" s="75" t="n">
        <x:v>0.8785952632076903</x:v>
      </x:c>
      <x:c r="J581" s="75" t="n">
        <x:v>0.8728745132697874</x:v>
      </x:c>
      <x:c r="K581" s="75" t="n">
        <x:v>0.8410788617805971</x:v>
      </x:c>
      <x:c r="L581" s="75" t="n">
        <x:v>0.8701413692735406</x:v>
      </x:c>
      <x:c r="M581" s="75" t="n">
        <x:v>0.998630389236439</x:v>
      </x:c>
      <x:c r="N581" s="75" t="n">
        <x:v>1.0014594669984813</x:v>
      </x:c>
      <x:c r="O581" s="66" t="n">
        <x:v>526699.0145451577</x:v>
      </x:c>
      <x:c r="P581" s="66" t="n">
        <x:v>57033.634083783785</x:v>
      </x:c>
      <x:c r="Q581" s="66" t="n">
        <x:v>469665.38046137395</x:v>
      </x:c>
      <x:c r="R581" s="66" t="n">
        <x:v>117428.26040359306</x:v>
      </x:c>
      <x:c r="S581" s="66" t="n">
        <x:v>352237.1200577809</x:v>
      </x:c>
      <x:c r="T581" s="66" t="n">
        <x:v>261512.37496974115</x:v>
      </x:c>
      <x:c r="U581" s="45" t="n">
        <x:v>0.6047970477571754</x:v>
      </x:c>
      <x:c r="V581" s="45" t="n">
        <x:v>0.6345473897306347</x:v>
      </x:c>
      <x:c r="W581" s="45" t="n">
        <x:v>0.10678593826848874</x:v>
      </x:c>
      <x:c r="X581" s="66" t="n">
        <x:v>62337025.16070817</x:v>
      </x:c>
      <x:c r="Y581" s="66" t="n">
        <x:v>118.35417086272822</x:v>
      </x:c>
      <x:c r="Z581" s="66" t="n">
        <x:v>5191391.302316603</x:v>
      </x:c>
      <x:c r="AA581" s="66" t="n">
        <x:v>342447.8070799714</x:v>
      </x:c>
      <x:c r="AB581" s="66" t="n">
        <x:v>44898.947762301344</x:v>
      </x:c>
      <x:c r="AC581" s="66" t="n">
        <x:v>0</x:v>
      </x:c>
      <x:c r="AD581" s="66" t="n">
        <x:v>2272.3820803659573</x:v>
      </x:c>
      <x:c r="AE581" s="66" t="n">
        <x:v>203828.30967062857</x:v>
      </x:c>
      <x:c r="AF581" s="66" t="n">
        <x:v>261512.37496974124</x:v>
      </x:c>
      <x:c r="AG581" s="66" t="n">
        <x:v>0</x:v>
      </x:c>
      <x:c r="AH581" s="36" t="n">
        <x:v>0</x:v>
      </x:c>
    </x:row>
    <x:row r="582" ht="15" hidden="0" customHeight="1">
      <x:c r="A582" s="34" t="n">
        <x:v>145</x:v>
      </x:c>
      <x:c r="B582" s="34" t="str">
        <x:v>B1</x:v>
      </x:c>
      <x:c r="C582" s="34" t="str">
        <x:v>reference</x:v>
      </x:c>
      <x:c r="D582" s="74" t="n">
        <x:v>1.0948949870578009</x:v>
      </x:c>
      <x:c r="E582" s="74" t="n">
        <x:v>0.03639260924566765</x:v>
      </x:c>
      <x:c r="F582" s="74" t="n">
        <x:v>0.747972548041179</x:v>
      </x:c>
      <x:c r="G582" s="74" t="n">
        <x:v>1.2209805938721625</x:v>
      </x:c>
      <x:c r="H582" s="74" t="n">
        <x:v>0.8731504588949579</x:v>
      </x:c>
      <x:c r="I582" s="74" t="n">
        <x:v>0.8785952632076903</x:v>
      </x:c>
      <x:c r="J582" s="74" t="n">
        <x:v>0.8728745132697874</x:v>
      </x:c>
      <x:c r="K582" s="74" t="n">
        <x:v>0.8410788617805971</x:v>
      </x:c>
      <x:c r="L582" s="74" t="n">
        <x:v>0.8701413692735406</x:v>
      </x:c>
      <x:c r="M582" s="74" t="n">
        <x:v>0.998630389236439</x:v>
      </x:c>
      <x:c r="N582" s="74" t="n">
        <x:v>1.0014594669984813</x:v>
      </x:c>
      <x:c r="O582" s="65" t="n">
        <x:v>526699.0145451577</x:v>
      </x:c>
      <x:c r="P582" s="65" t="n">
        <x:v>192926.43685941026</x:v>
      </x:c>
      <x:c r="Q582" s="65" t="n">
        <x:v>333772.5776857474</x:v>
      </x:c>
      <x:c r="R582" s="65" t="n">
        <x:v>117428.26040359306</x:v>
      </x:c>
      <x:c r="S582" s="65" t="n">
        <x:v>216344.31728215434</x:v>
      </x:c>
      <x:c r="T582" s="65" t="n">
        <x:v>195746.58525477754</x:v>
      </x:c>
      <x:c r="U582" s="43" t="n">
        <x:v>0.7379414264707421</x:v>
      </x:c>
      <x:c r="V582" s="43" t="n">
        <x:v>0.7740179270361841</x:v>
      </x:c>
      <x:c r="W582" s="43" t="n">
        <x:v>0.3852893096288197</x:v>
      </x:c>
      <x:c r="X582" s="65" t="n">
        <x:v>45076819.99010966</x:v>
      </x:c>
      <x:c r="Y582" s="65" t="n">
        <x:v>85.58364216617478</x:v>
      </x:c>
      <x:c r="Z582" s="65" t="n">
        <x:v>2112380.998630479</x:v>
      </x:c>
      <x:c r="AA582" s="65" t="n">
        <x:v>248439.96411162234</x:v>
      </x:c>
      <x:c r="AB582" s="65" t="n">
        <x:v>10064.917487429582</x:v>
      </x:c>
      <x:c r="AC582" s="65" t="n">
        <x:v>604.2076582539792</x:v>
      </x:c>
      <x:c r="AD582" s="65" t="n">
        <x:v>1935.8709300813496</x:v>
      </x:c>
      <x:c r="AE582" s="65" t="n">
        <x:v>138365.47974219316</x:v>
      </x:c>
      <x:c r="AF582" s="65" t="n">
        <x:v>195746.5852547774</x:v>
      </x:c>
      <x:c r="AG582" s="65" t="n">
        <x:v>1.4551915228366852e-10</x:v>
      </x:c>
      <x:c r="AH582" s="34" t="n">
        <x:v>0</x:v>
      </x:c>
    </x:row>
    <x:row r="583" ht="15" hidden="0" customHeight="1">
      <x:c r="A583" s="36" t="n">
        <x:v>145</x:v>
      </x:c>
      <x:c r="B583" s="36" t="str">
        <x:v>P2</x:v>
      </x:c>
      <x:c r="C583" s="36" t="str">
        <x:v>reference</x:v>
      </x:c>
      <x:c r="D583" s="75" t="n">
        <x:v>1.0948949870578009</x:v>
      </x:c>
      <x:c r="E583" s="75" t="n">
        <x:v>0.03639260924566765</x:v>
      </x:c>
      <x:c r="F583" s="75" t="n">
        <x:v>0.747972548041179</x:v>
      </x:c>
      <x:c r="G583" s="75" t="n">
        <x:v>1.2209805938721625</x:v>
      </x:c>
      <x:c r="H583" s="75" t="n">
        <x:v>0.8731504588949579</x:v>
      </x:c>
      <x:c r="I583" s="75" t="n">
        <x:v>0.8785952632076903</x:v>
      </x:c>
      <x:c r="J583" s="75" t="n">
        <x:v>0.8728745132697874</x:v>
      </x:c>
      <x:c r="K583" s="75" t="n">
        <x:v>0.8410788617805971</x:v>
      </x:c>
      <x:c r="L583" s="75" t="n">
        <x:v>0.8701413692735406</x:v>
      </x:c>
      <x:c r="M583" s="75" t="n">
        <x:v>0.998630389236439</x:v>
      </x:c>
      <x:c r="N583" s="75" t="n">
        <x:v>1.0014594669984813</x:v>
      </x:c>
      <x:c r="O583" s="66" t="n">
        <x:v>526699.0145451577</x:v>
      </x:c>
      <x:c r="P583" s="66" t="n">
        <x:v>279491.34693960584</x:v>
      </x:c>
      <x:c r="Q583" s="66" t="n">
        <x:v>247207.6676055518</x:v>
      </x:c>
      <x:c r="R583" s="66" t="n">
        <x:v>117428.26040359306</x:v>
      </x:c>
      <x:c r="S583" s="66" t="n">
        <x:v>129779.40720195876</x:v>
      </x:c>
      <x:c r="T583" s="66" t="n">
        <x:v>126156.19169742467</x:v>
      </x:c>
      <x:c r="U583" s="45" t="n">
        <x:v>0.7701695416828076</x:v>
      </x:c>
      <x:c r="V583" s="45" t="n">
        <x:v>0.8076203375261443</x:v>
      </x:c>
      <x:c r="W583" s="45" t="n">
        <x:v>0.4247444150588233</x:v>
      </x:c>
      <x:c r="X583" s="66" t="n">
        <x:v>33138900.74162796</x:v>
      </x:c>
      <x:c r="Y583" s="66" t="n">
        <x:v>62.91809900241749</x:v>
      </x:c>
      <x:c r="Z583" s="66" t="n">
        <x:v>912251.3124583822</x:v>
      </x:c>
      <x:c r="AA583" s="66" t="n">
        <x:v>191271.78124282893</x:v>
      </x:c>
      <x:c r="AB583" s="66" t="n">
        <x:v>335.634646813815</x:v>
      </x:c>
      <x:c r="AC583" s="66" t="n">
        <x:v>14252.7390581525</x:v>
      </x:c>
      <x:c r="AD583" s="66" t="n">
        <x:v>1732.5403572389757</x:v>
      </x:c>
      <x:c r="AE583" s="66" t="n">
        <x:v>64054.62512914678</x:v>
      </x:c>
      <x:c r="AF583" s="66" t="n">
        <x:v>126156.19169742464</x:v>
      </x:c>
      <x:c r="AG583" s="66" t="n">
        <x:v>2.9103830456733704e-11</x:v>
      </x:c>
      <x:c r="AH583" s="36" t="n">
        <x:v>0</x:v>
      </x:c>
    </x:row>
    <x:row r="584" ht="15" hidden="0" customHeight="1">
      <x:c r="A584" s="34" t="n">
        <x:v>145</x:v>
      </x:c>
      <x:c r="B584" s="34" t="str">
        <x:v>H3</x:v>
      </x:c>
      <x:c r="C584" s="34" t="str">
        <x:v>reference</x:v>
      </x:c>
      <x:c r="D584" s="74" t="n">
        <x:v>1.0948949870578009</x:v>
      </x:c>
      <x:c r="E584" s="74" t="n">
        <x:v>0.03639260924566765</x:v>
      </x:c>
      <x:c r="F584" s="74" t="n">
        <x:v>0.747972548041179</x:v>
      </x:c>
      <x:c r="G584" s="74" t="n">
        <x:v>1.2209805938721625</x:v>
      </x:c>
      <x:c r="H584" s="74" t="n">
        <x:v>0.8731504588949579</x:v>
      </x:c>
      <x:c r="I584" s="74" t="n">
        <x:v>0.8785952632076903</x:v>
      </x:c>
      <x:c r="J584" s="74" t="n">
        <x:v>0.8728745132697874</x:v>
      </x:c>
      <x:c r="K584" s="74" t="n">
        <x:v>0.8410788617805971</x:v>
      </x:c>
      <x:c r="L584" s="74" t="n">
        <x:v>0.8701413692735406</x:v>
      </x:c>
      <x:c r="M584" s="74" t="n">
        <x:v>0.998630389236439</x:v>
      </x:c>
      <x:c r="N584" s="74" t="n">
        <x:v>1.0014594669984813</x:v>
      </x:c>
      <x:c r="O584" s="65" t="n">
        <x:v>526699.0145451577</x:v>
      </x:c>
      <x:c r="P584" s="65" t="n">
        <x:v>289932.3527077308</x:v>
      </x:c>
      <x:c r="Q584" s="65" t="n">
        <x:v>236766.6618374269</x:v>
      </x:c>
      <x:c r="R584" s="65" t="n">
        <x:v>117428.26040359306</x:v>
      </x:c>
      <x:c r="S584" s="65" t="n">
        <x:v>119338.40143383383</x:v>
      </x:c>
      <x:c r="T584" s="65" t="n">
        <x:v>205155.07494115317</x:v>
      </x:c>
      <x:c r="U584" s="43" t="n">
        <x:v>0.9399816858902373</x:v>
      </x:c>
      <x:c r="V584" s="43" t="n">
        <x:v>0.9518718147935301</x:v>
      </x:c>
      <x:c r="W584" s="43" t="n">
        <x:v>0.6775730205487281</x:v>
      </x:c>
      <x:c r="X584" s="65" t="n">
        <x:v>25646174.51232246</x:v>
      </x:c>
      <x:c r="Y584" s="65" t="n">
        <x:v>48.69227738060184</x:v>
      </x:c>
      <x:c r="Z584" s="65" t="n">
        <x:v>1652502.494576516</x:v>
      </x:c>
      <x:c r="AA584" s="65" t="n">
        <x:v>158227.02225467793</x:v>
      </x:c>
      <x:c r="AB584" s="65" t="n">
        <x:v>4291.567935408972</x:v>
      </x:c>
      <x:c r="AC584" s="65" t="n">
        <x:v>6616.6197590215515</x:v>
      </x:c>
      <x:c r="AD584" s="65" t="n">
        <x:v>1709.7151522886031</x:v>
      </x:c>
      <x:c r="AE584" s="65" t="n">
        <x:v>78050.69140652951</x:v>
      </x:c>
      <x:c r="AF584" s="65" t="n">
        <x:v>205155.07494115294</x:v>
      </x:c>
      <x:c r="AG584" s="65" t="n">
        <x:v>2.3283064365386963e-10</x:v>
      </x:c>
      <x:c r="AH584" s="34" t="n">
        <x:v>0</x:v>
      </x:c>
    </x:row>
    <x:row r="585" ht="15" hidden="0" customHeight="1">
      <x:c r="A585" s="36" t="n">
        <x:v>146</x:v>
      </x:c>
      <x:c r="B585" s="36" t="str">
        <x:v>M0</x:v>
      </x:c>
      <x:c r="C585" s="36" t="str">
        <x:v>reference</x:v>
      </x:c>
      <x:c r="D585" s="75" t="n">
        <x:v>0.9027561822276301</x:v>
      </x:c>
      <x:c r="E585" s="75" t="n">
        <x:v>0.06988211985461917</x:v>
      </x:c>
      <x:c r="F585" s="75" t="n">
        <x:v>0.8563671884962452</x:v>
      </x:c>
      <x:c r="G585" s="75" t="n">
        <x:v>1.329601350699673</x:v>
      </x:c>
      <x:c r="H585" s="75" t="n">
        <x:v>1.0410172639073036</x:v>
      </x:c>
      <x:c r="I585" s="75" t="n">
        <x:v>1.0194309979642626</x:v>
      </x:c>
      <x:c r="J585" s="75" t="n">
        <x:v>0.7577003585905944</x:v>
      </x:c>
      <x:c r="K585" s="75" t="n">
        <x:v>0.8226248063074751</x:v>
      </x:c>
      <x:c r="L585" s="75" t="n">
        <x:v>0.7821484827161086</x:v>
      </x:c>
      <x:c r="M585" s="75" t="n">
        <x:v>1.0072994278864573</x:v>
      </x:c>
      <x:c r="N585" s="75" t="n">
        <x:v>0.9063994868395684</x:v>
      </x:c>
      <x:c r="O585" s="66" t="n">
        <x:v>434270.68090936507</x:v>
      </x:c>
      <x:c r="P585" s="66" t="n">
        <x:v>51518.93835676654</x:v>
      </x:c>
      <x:c r="Q585" s="66" t="n">
        <x:v>382751.7425525985</x:v>
      </x:c>
      <x:c r="R585" s="66" t="n">
        <x:v>111364.75050299753</x:v>
      </x:c>
      <x:c r="S585" s="66" t="n">
        <x:v>271386.9920496009</x:v>
      </x:c>
      <x:c r="T585" s="66" t="n">
        <x:v>272414.48204746</x:v>
      </x:c>
      <x:c r="U585" s="45" t="n">
        <x:v>0.7459251444880144</x:v>
      </x:c>
      <x:c r="V585" s="45" t="n">
        <x:v>0.7784112577044372</x:v>
      </x:c>
      <x:c r="W585" s="45" t="n">
        <x:v>0.14205903164178024</x:v>
      </x:c>
      <x:c r="X585" s="66" t="n">
        <x:v>47374709.50067597</x:v>
      </x:c>
      <x:c r="Y585" s="66" t="n">
        <x:v>109.09027844447864</x:v>
      </x:c>
      <x:c r="Z585" s="66" t="n">
        <x:v>3211239.582589011</x:v>
      </x:c>
      <x:c r="AA585" s="66" t="n">
        <x:v>267225.91493768943</x:v>
      </x:c>
      <x:c r="AB585" s="66" t="n">
        <x:v>17151.50510408252</x:v>
      </x:c>
      <x:c r="AC585" s="66" t="n">
        <x:v>4668.463003576593</x:v>
      </x:c>
      <x:c r="AD585" s="66" t="n">
        <x:v>1867.2128583066146</x:v>
      </x:c>
      <x:c r="AE585" s="66" t="n">
        <x:v>194101.5663845213</x:v>
      </x:c>
      <x:c r="AF585" s="66" t="n">
        <x:v>272414.4820474598</x:v>
      </x:c>
      <x:c r="AG585" s="66" t="n">
        <x:v>1.7462298274040222e-10</x:v>
      </x:c>
      <x:c r="AH585" s="36" t="n">
        <x:v>0</x:v>
      </x:c>
    </x:row>
    <x:row r="586" ht="15" hidden="0" customHeight="1">
      <x:c r="A586" s="34" t="n">
        <x:v>146</x:v>
      </x:c>
      <x:c r="B586" s="34" t="str">
        <x:v>B1</x:v>
      </x:c>
      <x:c r="C586" s="34" t="str">
        <x:v>reference</x:v>
      </x:c>
      <x:c r="D586" s="74" t="n">
        <x:v>0.9027561822276301</x:v>
      </x:c>
      <x:c r="E586" s="74" t="n">
        <x:v>0.06988211985461917</x:v>
      </x:c>
      <x:c r="F586" s="74" t="n">
        <x:v>0.8563671884962452</x:v>
      </x:c>
      <x:c r="G586" s="74" t="n">
        <x:v>1.329601350699673</x:v>
      </x:c>
      <x:c r="H586" s="74" t="n">
        <x:v>1.0410172639073036</x:v>
      </x:c>
      <x:c r="I586" s="74" t="n">
        <x:v>1.0194309979642626</x:v>
      </x:c>
      <x:c r="J586" s="74" t="n">
        <x:v>0.7577003585905944</x:v>
      </x:c>
      <x:c r="K586" s="74" t="n">
        <x:v>0.8226248063074751</x:v>
      </x:c>
      <x:c r="L586" s="74" t="n">
        <x:v>0.7821484827161086</x:v>
      </x:c>
      <x:c r="M586" s="74" t="n">
        <x:v>1.0072994278864573</x:v>
      </x:c>
      <x:c r="N586" s="74" t="n">
        <x:v>0.9063994868395684</x:v>
      </x:c>
      <x:c r="O586" s="65" t="n">
        <x:v>434270.68090936507</x:v>
      </x:c>
      <x:c r="P586" s="65" t="n">
        <x:v>174272.87121036407</x:v>
      </x:c>
      <x:c r="Q586" s="65" t="n">
        <x:v>259997.80969900094</x:v>
      </x:c>
      <x:c r="R586" s="65" t="n">
        <x:v>111364.75050299753</x:v>
      </x:c>
      <x:c r="S586" s="65" t="n">
        <x:v>148633.0591960034</x:v>
      </x:c>
      <x:c r="T586" s="65" t="n">
        <x:v>199039.54051700776</x:v>
      </x:c>
      <x:c r="U586" s="43" t="n">
        <x:v>0.8596307053141456</x:v>
      </x:c>
      <x:c r="V586" s="43" t="n">
        <x:v>0.8882413408402146</x:v>
      </x:c>
      <x:c r="W586" s="43" t="n">
        <x:v>0.4778274915311682</x:v>
      </x:c>
      <x:c r="X586" s="65" t="n">
        <x:v>32370641.675649814</x:v>
      </x:c>
      <x:c r="Y586" s="65" t="n">
        <x:v>74.54024206254385</x:v>
      </x:c>
      <x:c r="Z586" s="65" t="n">
        <x:v>1338631.98698292</x:v>
      </x:c>
      <x:c r="AA586" s="65" t="n">
        <x:v>181832.12550444048</x:v>
      </x:c>
      <x:c r="AB586" s="65" t="n">
        <x:v>1369.6512362461845</x:v>
      </x:c>
      <x:c r="AC586" s="65" t="n">
        <x:v>4928.206844606914</x:v>
      </x:c>
      <x:c r="AD586" s="65" t="n">
        <x:v>1575.267327494013</x:v>
      </x:c>
      <x:c r="AE586" s="65" t="n">
        <x:v>101148.39593833442</x:v>
      </x:c>
      <x:c r="AF586" s="65" t="n">
        <x:v>199039.54051700773</x:v>
      </x:c>
      <x:c r="AG586" s="65" t="n">
        <x:v>2.9103830456733704e-11</x:v>
      </x:c>
      <x:c r="AH586" s="34" t="n">
        <x:v>0</x:v>
      </x:c>
    </x:row>
    <x:row r="587" ht="15" hidden="0" customHeight="1">
      <x:c r="A587" s="36" t="n">
        <x:v>146</x:v>
      </x:c>
      <x:c r="B587" s="36" t="str">
        <x:v>P2</x:v>
      </x:c>
      <x:c r="C587" s="36" t="str">
        <x:v>reference</x:v>
      </x:c>
      <x:c r="D587" s="75" t="n">
        <x:v>0.9027561822276301</x:v>
      </x:c>
      <x:c r="E587" s="75" t="n">
        <x:v>0.06988211985461917</x:v>
      </x:c>
      <x:c r="F587" s="75" t="n">
        <x:v>0.8563671884962452</x:v>
      </x:c>
      <x:c r="G587" s="75" t="n">
        <x:v>1.329601350699673</x:v>
      </x:c>
      <x:c r="H587" s="75" t="n">
        <x:v>1.0410172639073036</x:v>
      </x:c>
      <x:c r="I587" s="75" t="n">
        <x:v>1.0194309979642626</x:v>
      </x:c>
      <x:c r="J587" s="75" t="n">
        <x:v>0.7577003585905944</x:v>
      </x:c>
      <x:c r="K587" s="75" t="n">
        <x:v>0.8226248063074751</x:v>
      </x:c>
      <x:c r="L587" s="75" t="n">
        <x:v>0.7821484827161086</x:v>
      </x:c>
      <x:c r="M587" s="75" t="n">
        <x:v>1.0072994278864573</x:v>
      </x:c>
      <x:c r="N587" s="75" t="n">
        <x:v>0.9063994868395684</x:v>
      </x:c>
      <x:c r="O587" s="66" t="n">
        <x:v>434270.68090936507</x:v>
      </x:c>
      <x:c r="P587" s="66" t="n">
        <x:v>252468.7553994104</x:v>
      </x:c>
      <x:c r="Q587" s="66" t="n">
        <x:v>181801.92550995463</x:v>
      </x:c>
      <x:c r="R587" s="66" t="n">
        <x:v>111364.75050299753</x:v>
      </x:c>
      <x:c r="S587" s="66" t="n">
        <x:v>70437.17500695708</x:v>
      </x:c>
      <x:c r="T587" s="66" t="n">
        <x:v>123393.52924361895</x:v>
      </x:c>
      <x:c r="U587" s="45" t="n">
        <x:v>0.8655023264659999</x:v>
      </x:c>
      <x:c r="V587" s="45" t="n">
        <x:v>0.8891795189842738</x:v>
      </x:c>
      <x:c r="W587" s="45" t="n">
        <x:v>0.45846114423365164</x:v>
      </x:c>
      <x:c r="X587" s="66" t="n">
        <x:v>21866308.4488846</x:v>
      </x:c>
      <x:c r="Y587" s="66" t="n">
        <x:v>50.35179534362402</x:v>
      </x:c>
      <x:c r="Z587" s="66" t="n">
        <x:v>1176099.4411450173</x:v>
      </x:c>
      <x:c r="AA587" s="66" t="n">
        <x:v>127194.6018212452</x:v>
      </x:c>
      <x:c r="AB587" s="66" t="n">
        <x:v>0</x:v>
      </x:c>
      <x:c r="AC587" s="66" t="n">
        <x:v>24958.872741997602</x:v>
      </x:c>
      <x:c r="AD587" s="66" t="n">
        <x:v>1398.8646972433019</x:v>
      </x:c>
      <x:c r="AE587" s="66" t="n">
        <x:v>51434.00382200934</x:v>
      </x:c>
      <x:c r="AF587" s="66" t="n">
        <x:v>123393.52924361893</x:v>
      </x:c>
      <x:c r="AG587" s="66" t="n">
        <x:v>1.4551915228366852e-11</x:v>
      </x:c>
      <x:c r="AH587" s="36" t="n">
        <x:v>0</x:v>
      </x:c>
    </x:row>
    <x:row r="588" ht="15" hidden="0" customHeight="1">
      <x:c r="A588" s="34" t="n">
        <x:v>146</x:v>
      </x:c>
      <x:c r="B588" s="34" t="str">
        <x:v>H3</x:v>
      </x:c>
      <x:c r="C588" s="34" t="str">
        <x:v>reference</x:v>
      </x:c>
      <x:c r="D588" s="74" t="n">
        <x:v>0.9027561822276301</x:v>
      </x:c>
      <x:c r="E588" s="74" t="n">
        <x:v>0.06988211985461917</x:v>
      </x:c>
      <x:c r="F588" s="74" t="n">
        <x:v>0.8563671884962452</x:v>
      </x:c>
      <x:c r="G588" s="74" t="n">
        <x:v>1.329601350699673</x:v>
      </x:c>
      <x:c r="H588" s="74" t="n">
        <x:v>1.0410172639073036</x:v>
      </x:c>
      <x:c r="I588" s="74" t="n">
        <x:v>1.0194309979642626</x:v>
      </x:c>
      <x:c r="J588" s="74" t="n">
        <x:v>0.7577003585905944</x:v>
      </x:c>
      <x:c r="K588" s="74" t="n">
        <x:v>0.8226248063074751</x:v>
      </x:c>
      <x:c r="L588" s="74" t="n">
        <x:v>0.7821484827161086</x:v>
      </x:c>
      <x:c r="M588" s="74" t="n">
        <x:v>1.0072994278864573</x:v>
      </x:c>
      <x:c r="N588" s="74" t="n">
        <x:v>0.9063994868395684</x:v>
      </x:c>
      <x:c r="O588" s="65" t="n">
        <x:v>434270.68090936507</x:v>
      </x:c>
      <x:c r="P588" s="65" t="n">
        <x:v>261900.41783175827</x:v>
      </x:c>
      <x:c r="Q588" s="65" t="n">
        <x:v>172370.26307760674</x:v>
      </x:c>
      <x:c r="R588" s="65" t="n">
        <x:v>111364.75050299753</x:v>
      </x:c>
      <x:c r="S588" s="65" t="n">
        <x:v>61005.51257460921</x:v>
      </x:c>
      <x:c r="T588" s="65" t="n">
        <x:v>170991.20074521675</x:v>
      </x:c>
      <x:c r="U588" s="43" t="n">
        <x:v>0.9968244175971027</x:v>
      </x:c>
      <x:c r="V588" s="43" t="n">
        <x:v>0.9979999030979169</x:v>
      </x:c>
      <x:c r="W588" s="43" t="n">
        <x:v>0.9682441759710274</x:v>
      </x:c>
      <x:c r="X588" s="65" t="n">
        <x:v>16741231.17319581</x:v>
      </x:c>
      <x:c r="Y588" s="65" t="n">
        <x:v>38.55022203695535</x:v>
      </x:c>
      <x:c r="Z588" s="65" t="n">
        <x:v>1475982.1625800792</x:v>
      </x:c>
      <x:c r="AA588" s="65" t="n">
        <x:v>97215.29217707066</x:v>
      </x:c>
      <x:c r="AB588" s="65" t="n">
        <x:v>2823.6502199484225</x:v>
      </x:c>
      <x:c r="AC588" s="65" t="n">
        <x:v>9801.836100336926</x:v>
      </x:c>
      <x:c r="AD588" s="65" t="n">
        <x:v>1379.0623323899915</x:v>
      </x:c>
      <x:c r="AE588" s="65" t="n">
        <x:v>43382.991435540665</x:v>
      </x:c>
      <x:c r="AF588" s="65" t="n">
        <x:v>170991.2007452166</x:v>
      </x:c>
      <x:c r="AG588" s="65" t="n">
        <x:v>1.4551915228366852e-10</x:v>
      </x:c>
      <x:c r="AH588" s="34" t="n">
        <x:v>1</x:v>
      </x:c>
    </x:row>
    <x:row r="589" ht="15" hidden="0" customHeight="1">
      <x:c r="A589" s="36" t="n">
        <x:v>147</x:v>
      </x:c>
      <x:c r="B589" s="36" t="str">
        <x:v>M0</x:v>
      </x:c>
      <x:c r="C589" s="36" t="str">
        <x:v>reference</x:v>
      </x:c>
      <x:c r="D589" s="75" t="n">
        <x:v>0.9519031500083239</x:v>
      </x:c>
      <x:c r="E589" s="75" t="n">
        <x:v>0.07884776323867848</x:v>
      </x:c>
      <x:c r="F589" s="75" t="n">
        <x:v>1.0010736223492467</x:v>
      </x:c>
      <x:c r="G589" s="75" t="n">
        <x:v>1.2411903075635944</x:v>
      </x:c>
      <x:c r="H589" s="75" t="n">
        <x:v>1.0156536574153172</x:v>
      </x:c>
      <x:c r="I589" s="75" t="n">
        <x:v>0.8477504069028267</x:v>
      </x:c>
      <x:c r="J589" s="75" t="n">
        <x:v>0.8684740669307457</x:v>
      </x:c>
      <x:c r="K589" s="75" t="n">
        <x:v>0.7879103613592177</x:v>
      </x:c>
      <x:c r="L589" s="75" t="n">
        <x:v>0.887351303034241</x:v>
      </x:c>
      <x:c r="M589" s="75" t="n">
        <x:v>0.8970226991703936</x:v>
      </x:c>
      <x:c r="N589" s="75" t="n">
        <x:v>1.0386523428782486</x:v>
      </x:c>
      <x:c r="O589" s="66" t="n">
        <x:v>457912.81993087416</x:v>
      </x:c>
      <x:c r="P589" s="66" t="n">
        <x:v>62737.27926362495</x:v>
      </x:c>
      <x:c r="Q589" s="66" t="n">
        <x:v>395175.54066724924</x:v>
      </x:c>
      <x:c r="R589" s="66" t="n">
        <x:v>121533.0442073596</x:v>
      </x:c>
      <x:c r="S589" s="66" t="n">
        <x:v>273642.4964598897</x:v>
      </x:c>
      <x:c r="T589" s="66" t="n">
        <x:v>278293.6499235105</x:v>
      </x:c>
      <x:c r="U589" s="45" t="n">
        <x:v>0.7447507786277242</x:v>
      </x:c>
      <x:c r="V589" s="45" t="n">
        <x:v>0.7496256001994417</x:v>
      </x:c>
      <x:c r="W589" s="45" t="n">
        <x:v>0.14319900857926846</x:v>
      </x:c>
      <x:c r="X589" s="66" t="n">
        <x:v>49516027.11602554</x:v>
      </x:c>
      <x:c r="Y589" s="66" t="n">
        <x:v>108.134179609779</x:v>
      </x:c>
      <x:c r="Z589" s="66" t="n">
        <x:v>5769121.052586451</x:v>
      </x:c>
      <x:c r="AA589" s="66" t="n">
        <x:v>266195.1365023888</x:v>
      </x:c>
      <x:c r="AB589" s="66" t="n">
        <x:v>48418.51864038131</x:v>
      </x:c>
      <x:c r="AC589" s="66" t="n">
        <x:v>708.3909317324444</x:v>
      </x:c>
      <x:c r="AD589" s="66" t="n">
        <x:v>1949.6423224681635</x:v>
      </x:c>
      <x:c r="AE589" s="66" t="n">
        <x:v>218467.27497372337</x:v>
      </x:c>
      <x:c r="AF589" s="66" t="n">
        <x:v>278293.6499235105</x:v>
      </x:c>
      <x:c r="AG589" s="66" t="n">
        <x:v>0</x:v>
      </x:c>
      <x:c r="AH589" s="36" t="n">
        <x:v>0</x:v>
      </x:c>
    </x:row>
    <x:row r="590" ht="15" hidden="0" customHeight="1">
      <x:c r="A590" s="34" t="n">
        <x:v>147</x:v>
      </x:c>
      <x:c r="B590" s="34" t="str">
        <x:v>B1</x:v>
      </x:c>
      <x:c r="C590" s="34" t="str">
        <x:v>reference</x:v>
      </x:c>
      <x:c r="D590" s="74" t="n">
        <x:v>0.9519031500083239</x:v>
      </x:c>
      <x:c r="E590" s="74" t="n">
        <x:v>0.07884776323867848</x:v>
      </x:c>
      <x:c r="F590" s="74" t="n">
        <x:v>1.0010736223492467</x:v>
      </x:c>
      <x:c r="G590" s="74" t="n">
        <x:v>1.2411903075635944</x:v>
      </x:c>
      <x:c r="H590" s="74" t="n">
        <x:v>1.0156536574153172</x:v>
      </x:c>
      <x:c r="I590" s="74" t="n">
        <x:v>0.8477504069028267</x:v>
      </x:c>
      <x:c r="J590" s="74" t="n">
        <x:v>0.8684740669307457</x:v>
      </x:c>
      <x:c r="K590" s="74" t="n">
        <x:v>0.7879103613592177</x:v>
      </x:c>
      <x:c r="L590" s="74" t="n">
        <x:v>0.887351303034241</x:v>
      </x:c>
      <x:c r="M590" s="74" t="n">
        <x:v>0.8970226991703936</x:v>
      </x:c>
      <x:c r="N590" s="74" t="n">
        <x:v>1.0386523428782486</x:v>
      </x:c>
      <x:c r="O590" s="65" t="n">
        <x:v>457912.81993087416</x:v>
      </x:c>
      <x:c r="P590" s="65" t="n">
        <x:v>212221.402474996</x:v>
      </x:c>
      <x:c r="Q590" s="65" t="n">
        <x:v>245691.41745587823</x:v>
      </x:c>
      <x:c r="R590" s="65" t="n">
        <x:v>121533.0442073596</x:v>
      </x:c>
      <x:c r="S590" s="65" t="n">
        <x:v>124158.37324851866</x:v>
      </x:c>
      <x:c r="T590" s="65" t="n">
        <x:v>196927.63412238273</x:v>
      </x:c>
      <x:c r="U590" s="43" t="n">
        <x:v>0.8935085867636184</x:v>
      </x:c>
      <x:c r="V590" s="43" t="n">
        <x:v>0.8913611753750402</x:v>
      </x:c>
      <x:c r="W590" s="43" t="n">
        <x:v>0.5128103632049683</x:v>
      </x:c>
      <x:c r="X590" s="65" t="n">
        <x:v>30028765.94637952</x:v>
      </x:c>
      <x:c r="Y590" s="65" t="n">
        <x:v>65.5774737883788</x:v>
      </x:c>
      <x:c r="Z590" s="65" t="n">
        <x:v>2590436.9433909487</x:v>
      </x:c>
      <x:c r="AA590" s="65" t="n">
        <x:v>160280.32330914674</x:v>
      </x:c>
      <x:c r="AB590" s="65" t="n">
        <x:v>14630.3596985902</x:v>
      </x:c>
      <x:c r="AC590" s="65" t="n">
        <x:v>25368.548624862276</x:v>
      </x:c>
      <x:c r="AD590" s="65" t="n">
        <x:v>1598.2729469803694</x:v>
      </x:c>
      <x:c r="AE590" s="65" t="n">
        <x:v>113805.69037504276</x:v>
      </x:c>
      <x:c r="AF590" s="65" t="n">
        <x:v>196927.63412238297</x:v>
      </x:c>
      <x:c r="AG590" s="65" t="n">
        <x:v>0</x:v>
      </x:c>
      <x:c r="AH590" s="34" t="n">
        <x:v>0</x:v>
      </x:c>
    </x:row>
    <x:row r="591" ht="15" hidden="0" customHeight="1">
      <x:c r="A591" s="36" t="n">
        <x:v>147</x:v>
      </x:c>
      <x:c r="B591" s="36" t="str">
        <x:v>P2</x:v>
      </x:c>
      <x:c r="C591" s="36" t="str">
        <x:v>reference</x:v>
      </x:c>
      <x:c r="D591" s="75" t="n">
        <x:v>0.9519031500083239</x:v>
      </x:c>
      <x:c r="E591" s="75" t="n">
        <x:v>0.07884776323867848</x:v>
      </x:c>
      <x:c r="F591" s="75" t="n">
        <x:v>1.0010736223492467</x:v>
      </x:c>
      <x:c r="G591" s="75" t="n">
        <x:v>1.2411903075635944</x:v>
      </x:c>
      <x:c r="H591" s="75" t="n">
        <x:v>1.0156536574153172</x:v>
      </x:c>
      <x:c r="I591" s="75" t="n">
        <x:v>0.8477504069028267</x:v>
      </x:c>
      <x:c r="J591" s="75" t="n">
        <x:v>0.8684740669307457</x:v>
      </x:c>
      <x:c r="K591" s="75" t="n">
        <x:v>0.7879103613592177</x:v>
      </x:c>
      <x:c r="L591" s="75" t="n">
        <x:v>0.887351303034241</x:v>
      </x:c>
      <x:c r="M591" s="75" t="n">
        <x:v>0.8970226991703936</x:v>
      </x:c>
      <x:c r="N591" s="75" t="n">
        <x:v>1.0386523428782486</x:v>
      </x:c>
      <x:c r="O591" s="66" t="n">
        <x:v>457912.81993087416</x:v>
      </x:c>
      <x:c r="P591" s="66" t="n">
        <x:v>307444.96222192445</x:v>
      </x:c>
      <x:c r="Q591" s="66" t="n">
        <x:v>150467.85770894974</x:v>
      </x:c>
      <x:c r="R591" s="66" t="n">
        <x:v>121533.0442073596</x:v>
      </x:c>
      <x:c r="S591" s="66" t="n">
        <x:v>28934.813501590128</x:v>
      </x:c>
      <x:c r="T591" s="66" t="n">
        <x:v>118186.52821671871</x:v>
      </x:c>
      <x:c r="U591" s="45" t="n">
        <x:v>0.929503328827736</x:v>
      </x:c>
      <x:c r="V591" s="45" t="n">
        <x:v>0.9431807858593989</x:v>
      </x:c>
      <x:c r="W591" s="45" t="n">
        <x:v>0.4916980653277685</x:v>
      </x:c>
      <x:c r="X591" s="66" t="n">
        <x:v>17094255.437981393</x:v>
      </x:c>
      <x:c r="Y591" s="66" t="n">
        <x:v>37.33080773008695</x:v>
      </x:c>
      <x:c r="Z591" s="66" t="n">
        <x:v>1263157.8325305195</x:v>
      </x:c>
      <x:c r="AA591" s="66" t="n">
        <x:v>97306.19626197002</x:v>
      </x:c>
      <x:c r="AB591" s="66" t="n">
        <x:v>0</x:v>
      </x:c>
      <x:c r="AC591" s="66" t="n">
        <x:v>30895.342128186512</x:v>
      </x:c>
      <x:c r="AD591" s="66" t="n">
        <x:v>1385.9645692734919</x:v>
      </x:c>
      <x:c r="AE591" s="66" t="n">
        <x:v>48081.438044568175</x:v>
      </x:c>
      <x:c r="AF591" s="66" t="n">
        <x:v>118186.52821671873</x:v>
      </x:c>
      <x:c r="AG591" s="66" t="n">
        <x:v>0</x:v>
      </x:c>
      <x:c r="AH591" s="36" t="n">
        <x:v>0</x:v>
      </x:c>
    </x:row>
    <x:row r="592" ht="15" hidden="0" customHeight="1">
      <x:c r="A592" s="34" t="n">
        <x:v>147</x:v>
      </x:c>
      <x:c r="B592" s="34" t="str">
        <x:v>H3</x:v>
      </x:c>
      <x:c r="C592" s="34" t="str">
        <x:v>reference</x:v>
      </x:c>
      <x:c r="D592" s="74" t="n">
        <x:v>0.9519031500083239</x:v>
      </x:c>
      <x:c r="E592" s="74" t="n">
        <x:v>0.07884776323867848</x:v>
      </x:c>
      <x:c r="F592" s="74" t="n">
        <x:v>1.0010736223492467</x:v>
      </x:c>
      <x:c r="G592" s="74" t="n">
        <x:v>1.2411903075635944</x:v>
      </x:c>
      <x:c r="H592" s="74" t="n">
        <x:v>1.0156536574153172</x:v>
      </x:c>
      <x:c r="I592" s="74" t="n">
        <x:v>0.8477504069028267</x:v>
      </x:c>
      <x:c r="J592" s="74" t="n">
        <x:v>0.8684740669307457</x:v>
      </x:c>
      <x:c r="K592" s="74" t="n">
        <x:v>0.7879103613592177</x:v>
      </x:c>
      <x:c r="L592" s="74" t="n">
        <x:v>0.887351303034241</x:v>
      </x:c>
      <x:c r="M592" s="74" t="n">
        <x:v>0.8970226991703936</x:v>
      </x:c>
      <x:c r="N592" s="74" t="n">
        <x:v>1.0386523428782486</x:v>
      </x:c>
      <x:c r="O592" s="65" t="n">
        <x:v>457912.81993087416</x:v>
      </x:c>
      <x:c r="P592" s="65" t="n">
        <x:v>318930.46129400795</x:v>
      </x:c>
      <x:c r="Q592" s="65" t="n">
        <x:v>138982.35863686627</x:v>
      </x:c>
      <x:c r="R592" s="65" t="n">
        <x:v>121533.0442073596</x:v>
      </x:c>
      <x:c r="S592" s="65" t="n">
        <x:v>17449.314429506678</x:v>
      </x:c>
      <x:c r="T592" s="65" t="n">
        <x:v>137620.22709066502</x:v>
      </x:c>
      <x:c r="U592" s="43" t="n">
        <x:v>0.9970253474309656</x:v>
      </x:c>
      <x:c r="V592" s="43" t="n">
        <x:v>0.9981264419557999</x:v>
      </x:c>
      <x:c r="W592" s="43" t="n">
        <x:v>0.9702534743096535</x:v>
      </x:c>
      <x:c r="X592" s="65" t="n">
        <x:v>13992746.734343288</x:v>
      </x:c>
      <x:c r="Y592" s="65" t="n">
        <x:v>30.55766540114691</x:v>
      </x:c>
      <x:c r="Z592" s="65" t="n">
        <x:v>1051780.6272904992</x:v>
      </x:c>
      <x:c r="AA592" s="65" t="n">
        <x:v>85866.21369167465</x:v>
      </x:c>
      <x:c r="AB592" s="65" t="n">
        <x:v>6311.876176030779</x:v>
      </x:c>
      <x:c r="AC592" s="65" t="n">
        <x:v>865.791684779786</x:v>
      </x:c>
      <x:c r="AD592" s="65" t="n">
        <x:v>1362.131546201269</x:v>
      </x:c>
      <x:c r="AE592" s="65" t="n">
        <x:v>62204.38276631232</x:v>
      </x:c>
      <x:c r="AF592" s="65" t="n">
        <x:v>137620.22709066505</x:v>
      </x:c>
      <x:c r="AG592" s="65" t="n">
        <x:v>0</x:v>
      </x:c>
      <x:c r="AH592" s="34" t="n">
        <x:v>1</x:v>
      </x:c>
    </x:row>
    <x:row r="593" ht="15" hidden="0" customHeight="1">
      <x:c r="A593" s="36" t="n">
        <x:v>148</x:v>
      </x:c>
      <x:c r="B593" s="36" t="str">
        <x:v>M0</x:v>
      </x:c>
      <x:c r="C593" s="36" t="str">
        <x:v>fast</x:v>
      </x:c>
      <x:c r="D593" s="75" t="n">
        <x:v>1.153399601654581</x:v>
      </x:c>
      <x:c r="E593" s="75" t="n">
        <x:v>0.007592634429492456</x:v>
      </x:c>
      <x:c r="F593" s="75" t="n">
        <x:v>0.8139030091055177</x:v>
      </x:c>
      <x:c r="G593" s="75" t="n">
        <x:v>1.102877804050375</x:v>
      </x:c>
      <x:c r="H593" s="75" t="n">
        <x:v>0.9261928445402301</x:v>
      </x:c>
      <x:c r="I593" s="75" t="n">
        <x:v>0.9539769026267663</x:v>
      </x:c>
      <x:c r="J593" s="75" t="n">
        <x:v>0.8645644762077225</x:v>
      </x:c>
      <x:c r="K593" s="75" t="n">
        <x:v>0.9836116285547404</x:v>
      </x:c>
      <x:c r="L593" s="75" t="n">
        <x:v>0.9371558604039358</x:v>
      </x:c>
      <x:c r="M593" s="75" t="n">
        <x:v>0.9654143622985502</x:v>
      </x:c>
      <x:c r="N593" s="75" t="n">
        <x:v>0.9546680487598974</x:v>
      </x:c>
      <x:c r="O593" s="66" t="n">
        <x:v>554842.6476960159</x:v>
      </x:c>
      <x:c r="P593" s="66" t="n">
        <x:v>67800.61793578534</x:v>
      </x:c>
      <x:c r="Q593" s="66" t="n">
        <x:v>487042.02976023057</x:v>
      </x:c>
      <x:c r="R593" s="66" t="n">
        <x:v>107723.46734521679</x:v>
      </x:c>
      <x:c r="S593" s="66" t="n">
        <x:v>379318.5624150138</x:v>
      </x:c>
      <x:c r="T593" s="66" t="n">
        <x:v>281882.78173723957</x:v>
      </x:c>
      <x:c r="U593" s="45" t="n">
        <x:v>0.630238863441888</x:v>
      </x:c>
      <x:c r="V593" s="45" t="n">
        <x:v>0.6558738266810441</x:v>
      </x:c>
      <x:c r="W593" s="45" t="n">
        <x:v>0.12355191880429832</x:v>
      </x:c>
      <x:c r="X593" s="66" t="n">
        <x:v>64385230.71095603</x:v>
      </x:c>
      <x:c r="Y593" s="66" t="n">
        <x:v>116.04232475336151</x:v>
      </x:c>
      <x:c r="Z593" s="66" t="n">
        <x:v>5378673.311761739</x:v>
      </x:c>
      <x:c r="AA593" s="66" t="n">
        <x:v>352184.20299559727</x:v>
      </x:c>
      <x:c r="AB593" s="66" t="n">
        <x:v>42816.82735046487</x:v>
      </x:c>
      <x:c r="AC593" s="66" t="n">
        <x:v>1574.0790993572573</x:v>
      </x:c>
      <x:c r="AD593" s="66" t="n">
        <x:v>2368.143884936102</x:v>
      </x:c>
      <x:c r="AE593" s="66" t="n">
        <x:v>226893.90212866943</x:v>
      </x:c>
      <x:c r="AF593" s="66" t="n">
        <x:v>281882.7817372397</x:v>
      </x:c>
      <x:c r="AG593" s="66" t="n">
        <x:v>0</x:v>
      </x:c>
      <x:c r="AH593" s="36" t="n">
        <x:v>0</x:v>
      </x:c>
    </x:row>
    <x:row r="594" ht="15" hidden="0" customHeight="1">
      <x:c r="A594" s="34" t="n">
        <x:v>148</x:v>
      </x:c>
      <x:c r="B594" s="34" t="str">
        <x:v>B1</x:v>
      </x:c>
      <x:c r="C594" s="34" t="str">
        <x:v>fast</x:v>
      </x:c>
      <x:c r="D594" s="74" t="n">
        <x:v>1.153399601654581</x:v>
      </x:c>
      <x:c r="E594" s="74" t="n">
        <x:v>0.007592634429492456</x:v>
      </x:c>
      <x:c r="F594" s="74" t="n">
        <x:v>0.8139030091055177</x:v>
      </x:c>
      <x:c r="G594" s="74" t="n">
        <x:v>1.102877804050375</x:v>
      </x:c>
      <x:c r="H594" s="74" t="n">
        <x:v>0.9261928445402301</x:v>
      </x:c>
      <x:c r="I594" s="74" t="n">
        <x:v>0.9539769026267663</x:v>
      </x:c>
      <x:c r="J594" s="74" t="n">
        <x:v>0.8645644762077225</x:v>
      </x:c>
      <x:c r="K594" s="74" t="n">
        <x:v>0.9836116285547404</x:v>
      </x:c>
      <x:c r="L594" s="74" t="n">
        <x:v>0.9371558604039358</x:v>
      </x:c>
      <x:c r="M594" s="74" t="n">
        <x:v>0.9654143622985502</x:v>
      </x:c>
      <x:c r="N594" s="74" t="n">
        <x:v>0.9546680487598974</x:v>
      </x:c>
      <x:c r="O594" s="65" t="n">
        <x:v>554842.6476960159</x:v>
      </x:c>
      <x:c r="P594" s="65" t="n">
        <x:v>229346.76485480124</x:v>
      </x:c>
      <x:c r="Q594" s="65" t="n">
        <x:v>325495.88284121465</x:v>
      </x:c>
      <x:c r="R594" s="65" t="n">
        <x:v>107723.46734521679</x:v>
      </x:c>
      <x:c r="S594" s="65" t="n">
        <x:v>217772.41549599794</x:v>
      </x:c>
      <x:c r="T594" s="65" t="n">
        <x:v>208899.52163255314</x:v>
      </x:c>
      <x:c r="U594" s="43" t="n">
        <x:v>0.7898568870060224</x:v>
      </x:c>
      <x:c r="V594" s="43" t="n">
        <x:v>0.8224699282543275</x:v>
      </x:c>
      <x:c r="W594" s="43" t="n">
        <x:v>0.45878770663756757</x:v>
      </x:c>
      <x:c r="X594" s="65" t="n">
        <x:v>43428910.28952149</x:v>
      </x:c>
      <x:c r="Y594" s="65" t="n">
        <x:v>78.27248044082415</x:v>
      </x:c>
      <x:c r="Z594" s="65" t="n">
        <x:v>2018272.168615694</x:v>
      </x:c>
      <x:c r="AA594" s="65" t="n">
        <x:v>236943.39330219483</x:v>
      </x:c>
      <x:c r="AB594" s="65" t="n">
        <x:v>7342.165733277331</x:v>
      </x:c>
      <x:c r="AC594" s="65" t="n">
        <x:v>730.6666294815363</x:v>
      </x:c>
      <x:c r="AD594" s="65" t="n">
        <x:v>1955.54519707285</x:v>
      </x:c>
      <x:c r="AE594" s="65" t="n">
        <x:v>148194.25687046576</x:v>
      </x:c>
      <x:c r="AF594" s="65" t="n">
        <x:v>208899.52163255317</x:v>
      </x:c>
      <x:c r="AG594" s="65" t="n">
        <x:v>0</x:v>
      </x:c>
      <x:c r="AH594" s="34" t="n">
        <x:v>0</x:v>
      </x:c>
    </x:row>
    <x:row r="595" ht="15" hidden="0" customHeight="1">
      <x:c r="A595" s="36" t="n">
        <x:v>148</x:v>
      </x:c>
      <x:c r="B595" s="36" t="str">
        <x:v>P2</x:v>
      </x:c>
      <x:c r="C595" s="36" t="str">
        <x:v>fast</x:v>
      </x:c>
      <x:c r="D595" s="75" t="n">
        <x:v>1.153399601654581</x:v>
      </x:c>
      <x:c r="E595" s="75" t="n">
        <x:v>0.007592634429492456</x:v>
      </x:c>
      <x:c r="F595" s="75" t="n">
        <x:v>0.8139030091055177</x:v>
      </x:c>
      <x:c r="G595" s="75" t="n">
        <x:v>1.102877804050375</x:v>
      </x:c>
      <x:c r="H595" s="75" t="n">
        <x:v>0.9261928445402301</x:v>
      </x:c>
      <x:c r="I595" s="75" t="n">
        <x:v>0.9539769026267663</x:v>
      </x:c>
      <x:c r="J595" s="75" t="n">
        <x:v>0.8645644762077225</x:v>
      </x:c>
      <x:c r="K595" s="75" t="n">
        <x:v>0.9836116285547404</x:v>
      </x:c>
      <x:c r="L595" s="75" t="n">
        <x:v>0.9371558604039358</x:v>
      </x:c>
      <x:c r="M595" s="75" t="n">
        <x:v>0.9654143622985502</x:v>
      </x:c>
      <x:c r="N595" s="75" t="n">
        <x:v>0.9546680487598974</x:v>
      </x:c>
      <x:c r="O595" s="66" t="n">
        <x:v>554842.6476960159</x:v>
      </x:c>
      <x:c r="P595" s="66" t="n">
        <x:v>332252.50659918226</x:v>
      </x:c>
      <x:c r="Q595" s="66" t="n">
        <x:v>222590.1410968337</x:v>
      </x:c>
      <x:c r="R595" s="66" t="n">
        <x:v>107723.46734521679</x:v>
      </x:c>
      <x:c r="S595" s="66" t="n">
        <x:v>114866.67375161688</x:v>
      </x:c>
      <x:c r="T595" s="66" t="n">
        <x:v>142643.09177621792</x:v>
      </x:c>
      <x:c r="U595" s="45" t="n">
        <x:v>0.8559104105414466</x:v>
      </x:c>
      <x:c r="V595" s="45" t="n">
        <x:v>0.8756837924810433</x:v>
      </x:c>
      <x:c r="W595" s="45" t="n">
        <x:v>0.6726582184953519</x:v>
      </x:c>
      <x:c r="X595" s="66" t="n">
        <x:v>28688906.959555138</x:v>
      </x:c>
      <x:c r="Y595" s="66" t="n">
        <x:v>51.70638392467815</x:v>
      </x:c>
      <x:c r="Z595" s="66" t="n">
        <x:v>891149.537854936</x:v>
      </x:c>
      <x:c r="AA595" s="66" t="n">
        <x:v>165191.38708174377</x:v>
      </x:c>
      <x:c r="AB595" s="66" t="n">
        <x:v>0</x:v>
      </x:c>
      <x:c r="AC595" s="66" t="n">
        <x:v>1367.1117338533718</x:v>
      </x:c>
      <x:c r="AD595" s="66" t="n">
        <x:v>1706.240151797849</x:v>
      </x:c>
      <x:c r="AE595" s="66" t="n">
        <x:v>87870.63503934207</x:v>
      </x:c>
      <x:c r="AF595" s="66" t="n">
        <x:v>142643.09177621795</x:v>
      </x:c>
      <x:c r="AG595" s="66" t="n">
        <x:v>0</x:v>
      </x:c>
      <x:c r="AH595" s="36" t="n">
        <x:v>0</x:v>
      </x:c>
    </x:row>
    <x:row r="596" ht="15" hidden="0" customHeight="1">
      <x:c r="A596" s="34" t="n">
        <x:v>148</x:v>
      </x:c>
      <x:c r="B596" s="34" t="str">
        <x:v>H3</x:v>
      </x:c>
      <x:c r="C596" s="34" t="str">
        <x:v>fast</x:v>
      </x:c>
      <x:c r="D596" s="74" t="n">
        <x:v>1.153399601654581</x:v>
      </x:c>
      <x:c r="E596" s="74" t="n">
        <x:v>0.007592634429492456</x:v>
      </x:c>
      <x:c r="F596" s="74" t="n">
        <x:v>0.8139030091055177</x:v>
      </x:c>
      <x:c r="G596" s="74" t="n">
        <x:v>1.102877804050375</x:v>
      </x:c>
      <x:c r="H596" s="74" t="n">
        <x:v>0.9261928445402301</x:v>
      </x:c>
      <x:c r="I596" s="74" t="n">
        <x:v>0.9539769026267663</x:v>
      </x:c>
      <x:c r="J596" s="74" t="n">
        <x:v>0.8645644762077225</x:v>
      </x:c>
      <x:c r="K596" s="74" t="n">
        <x:v>0.9836116285547404</x:v>
      </x:c>
      <x:c r="L596" s="74" t="n">
        <x:v>0.9371558604039358</x:v>
      </x:c>
      <x:c r="M596" s="74" t="n">
        <x:v>0.9654143622985502</x:v>
      </x:c>
      <x:c r="N596" s="74" t="n">
        <x:v>0.9546680487598974</x:v>
      </x:c>
      <x:c r="O596" s="65" t="n">
        <x:v>554842.6476960159</x:v>
      </x:c>
      <x:c r="P596" s="65" t="n">
        <x:v>344664.3693869143</x:v>
      </x:c>
      <x:c r="Q596" s="65" t="n">
        <x:v>210178.2783091016</x:v>
      </x:c>
      <x:c r="R596" s="65" t="n">
        <x:v>107723.46734521679</x:v>
      </x:c>
      <x:c r="S596" s="65" t="n">
        <x:v>102454.81096388481</x:v>
      </x:c>
      <x:c r="T596" s="65" t="n">
        <x:v>208500.0243016106</x:v>
      </x:c>
      <x:c r="U596" s="43" t="n">
        <x:v>0.9969752613385795</x:v>
      </x:c>
      <x:c r="V596" s="43" t="n">
        <x:v>0.9980948994177681</x:v>
      </x:c>
      <x:c r="W596" s="43" t="n">
        <x:v>0.9697526133857962</x:v>
      </x:c>
      <x:c r="X596" s="65" t="n">
        <x:v>21193179.597045247</x:v>
      </x:c>
      <x:c r="Y596" s="65" t="n">
        <x:v>38.19673863400718</x:v>
      </x:c>
      <x:c r="Z596" s="65" t="n">
        <x:v>1781745.4455298176</x:v>
      </x:c>
      <x:c r="AA596" s="65" t="n">
        <x:v>131877.02482291553</x:v>
      </x:c>
      <x:c r="AB596" s="65" t="n">
        <x:v>6628.518001072751</x:v>
      </x:c>
      <x:c r="AC596" s="65" t="n">
        <x:v>4915.129078626378</x:v>
      </x:c>
      <x:c r="AD596" s="65" t="n">
        <x:v>1678.2540074909857</x:v>
      </x:c>
      <x:c r="AE596" s="65" t="n">
        <x:v>84775.0451823279</x:v>
      </x:c>
      <x:c r="AF596" s="65" t="n">
        <x:v>208500.0243016107</x:v>
      </x:c>
      <x:c r="AG596" s="65" t="n">
        <x:v>0</x:v>
      </x:c>
      <x:c r="AH596" s="34" t="n">
        <x:v>1</x:v>
      </x:c>
    </x:row>
    <x:row r="597" ht="15" hidden="0" customHeight="1">
      <x:c r="A597" s="36" t="n">
        <x:v>149</x:v>
      </x:c>
      <x:c r="B597" s="36" t="str">
        <x:v>M0</x:v>
      </x:c>
      <x:c r="C597" s="36" t="str">
        <x:v>reference</x:v>
      </x:c>
      <x:c r="D597" s="75" t="n">
        <x:v>1.0165960744135702</x:v>
      </x:c>
      <x:c r="E597" s="75" t="n">
        <x:v>0.07992419032825943</x:v>
      </x:c>
      <x:c r="F597" s="75" t="n">
        <x:v>0.7838274768812706</x:v>
      </x:c>
      <x:c r="G597" s="75" t="n">
        <x:v>1.1711650953226065</x:v>
      </x:c>
      <x:c r="H597" s="75" t="n">
        <x:v>0.9922021090109632</x:v>
      </x:c>
      <x:c r="I597" s="75" t="n">
        <x:v>0.7997827407029131</x:v>
      </x:c>
      <x:c r="J597" s="75" t="n">
        <x:v>0.8241974147516163</x:v>
      </x:c>
      <x:c r="K597" s="75" t="n">
        <x:v>0.7215267538049421</x:v>
      </x:c>
      <x:c r="L597" s="75" t="n">
        <x:v>0.9736064969135192</x:v>
      </x:c>
      <x:c r="M597" s="75" t="n">
        <x:v>1.0988469127705276</x:v>
      </x:c>
      <x:c r="N597" s="75" t="n">
        <x:v>0.784715155524401</x:v>
      </x:c>
      <x:c r="O597" s="66" t="n">
        <x:v>489033.33827743307</x:v>
      </x:c>
      <x:c r="P597" s="66" t="n">
        <x:v>52384.02012035411</x:v>
      </x:c>
      <x:c r="Q597" s="66" t="n">
        <x:v>436649.31815707893</x:v>
      </x:c>
      <x:c r="R597" s="66" t="n">
        <x:v>130319.04115750754</x:v>
      </x:c>
      <x:c r="S597" s="66" t="n">
        <x:v>306330.2769995714</x:v>
      </x:c>
      <x:c r="T597" s="66" t="n">
        <x:v>280435.46939903323</x:v>
      </x:c>
      <x:c r="U597" s="45" t="n">
        <x:v>0.6805660544365093</x:v>
      </x:c>
      <x:c r="V597" s="45" t="n">
        <x:v>0.6920915122349832</x:v>
      </x:c>
      <x:c r="W597" s="45" t="n">
        <x:v>0.10733553423304289</x:v>
      </x:c>
      <x:c r="X597" s="66" t="n">
        <x:v>55531619.436265014</x:v>
      </x:c>
      <x:c r="Y597" s="66" t="n">
        <x:v>113.55385224219913</x:v>
      </x:c>
      <x:c r="Z597" s="66" t="n">
        <x:v>7011247.65761277</x:v>
      </x:c>
      <x:c r="AA597" s="66" t="n">
        <x:v>296987.0243350006</x:v>
      </x:c>
      <x:c r="AB597" s="66" t="n">
        <x:v>64786.11609662318</x:v>
      </x:c>
      <x:c r="AC597" s="66" t="n">
        <x:v>1531.9649110869345</x:v>
      </x:c>
      <x:c r="AD597" s="66" t="n">
        <x:v>2118.4820314081558</x:v>
      </x:c>
      <x:c r="AE597" s="66" t="n">
        <x:v>212636.079961725</x:v>
      </x:c>
      <x:c r="AF597" s="66" t="n">
        <x:v>280435.46939903335</x:v>
      </x:c>
      <x:c r="AG597" s="66" t="n">
        <x:v>0</x:v>
      </x:c>
      <x:c r="AH597" s="36" t="n">
        <x:v>0</x:v>
      </x:c>
    </x:row>
    <x:row r="598" ht="15" hidden="0" customHeight="1">
      <x:c r="A598" s="34" t="n">
        <x:v>149</x:v>
      </x:c>
      <x:c r="B598" s="34" t="str">
        <x:v>B1</x:v>
      </x:c>
      <x:c r="C598" s="34" t="str">
        <x:v>reference</x:v>
      </x:c>
      <x:c r="D598" s="74" t="n">
        <x:v>1.0165960744135702</x:v>
      </x:c>
      <x:c r="E598" s="74" t="n">
        <x:v>0.07992419032825943</x:v>
      </x:c>
      <x:c r="F598" s="74" t="n">
        <x:v>0.7838274768812706</x:v>
      </x:c>
      <x:c r="G598" s="74" t="n">
        <x:v>1.1711650953226065</x:v>
      </x:c>
      <x:c r="H598" s="74" t="n">
        <x:v>0.9922021090109632</x:v>
      </x:c>
      <x:c r="I598" s="74" t="n">
        <x:v>0.7997827407029131</x:v>
      </x:c>
      <x:c r="J598" s="74" t="n">
        <x:v>0.8241974147516163</x:v>
      </x:c>
      <x:c r="K598" s="74" t="n">
        <x:v>0.7215267538049421</x:v>
      </x:c>
      <x:c r="L598" s="74" t="n">
        <x:v>0.9736064969135192</x:v>
      </x:c>
      <x:c r="M598" s="74" t="n">
        <x:v>1.0988469127705276</x:v>
      </x:c>
      <x:c r="N598" s="74" t="n">
        <x:v>0.784715155524401</x:v>
      </x:c>
      <x:c r="O598" s="65" t="n">
        <x:v>489033.33827743307</x:v>
      </x:c>
      <x:c r="P598" s="65" t="n">
        <x:v>177199.4621634489</x:v>
      </x:c>
      <x:c r="Q598" s="65" t="n">
        <x:v>311833.87611398415</x:v>
      </x:c>
      <x:c r="R598" s="65" t="n">
        <x:v>130319.04115750754</x:v>
      </x:c>
      <x:c r="S598" s="65" t="n">
        <x:v>181514.83495647664</x:v>
      </x:c>
      <x:c r="T598" s="65" t="n">
        <x:v>180377.94955265973</x:v>
      </x:c>
      <x:c r="U598" s="43" t="n">
        <x:v>0.731192300663256</x:v>
      </x:c>
      <x:c r="V598" s="43" t="n">
        <x:v>0.7446386272702511</x:v>
      </x:c>
      <x:c r="W598" s="43" t="n">
        <x:v>0.3335871523405466</x:v>
      </x:c>
      <x:c r="X598" s="65" t="n">
        <x:v>40982379.90428681</x:v>
      </x:c>
      <x:c r="Y598" s="65" t="n">
        <x:v>83.80283448290622</x:v>
      </x:c>
      <x:c r="Z598" s="65" t="n">
        <x:v>3900788.982120118</x:v>
      </x:c>
      <x:c r="AA598" s="65" t="n">
        <x:v>217497.8657128745</x:v>
      </x:c>
      <x:c r="AB598" s="65" t="n">
        <x:v>29781.39422042916</x:v>
      </x:c>
      <x:c r="AC598" s="65" t="n">
        <x:v>33064.09532012054</x:v>
      </x:c>
      <x:c r="AD598" s="65" t="n">
        <x:v>1825.519113694661</x:v>
      </x:c>
      <x:c r="AE598" s="65" t="n">
        <x:v>96785.19105715367</x:v>
      </x:c>
      <x:c r="AF598" s="65" t="n">
        <x:v>180377.94955265985</x:v>
      </x:c>
      <x:c r="AG598" s="65" t="n">
        <x:v>0</x:v>
      </x:c>
      <x:c r="AH598" s="34" t="n">
        <x:v>0</x:v>
      </x:c>
    </x:row>
    <x:row r="599" ht="15" hidden="0" customHeight="1">
      <x:c r="A599" s="36" t="n">
        <x:v>149</x:v>
      </x:c>
      <x:c r="B599" s="36" t="str">
        <x:v>P2</x:v>
      </x:c>
      <x:c r="C599" s="36" t="str">
        <x:v>reference</x:v>
      </x:c>
      <x:c r="D599" s="75" t="n">
        <x:v>1.0165960744135702</x:v>
      </x:c>
      <x:c r="E599" s="75" t="n">
        <x:v>0.07992419032825943</x:v>
      </x:c>
      <x:c r="F599" s="75" t="n">
        <x:v>0.7838274768812706</x:v>
      </x:c>
      <x:c r="G599" s="75" t="n">
        <x:v>1.1711650953226065</x:v>
      </x:c>
      <x:c r="H599" s="75" t="n">
        <x:v>0.9922021090109632</x:v>
      </x:c>
      <x:c r="I599" s="75" t="n">
        <x:v>0.7997827407029131</x:v>
      </x:c>
      <x:c r="J599" s="75" t="n">
        <x:v>0.8241974147516163</x:v>
      </x:c>
      <x:c r="K599" s="75" t="n">
        <x:v>0.7215267538049421</x:v>
      </x:c>
      <x:c r="L599" s="75" t="n">
        <x:v>0.9736064969135192</x:v>
      </x:c>
      <x:c r="M599" s="75" t="n">
        <x:v>1.0988469127705276</x:v>
      </x:c>
      <x:c r="N599" s="75" t="n">
        <x:v>0.784715155524401</x:v>
      </x:c>
      <x:c r="O599" s="66" t="n">
        <x:v>489033.33827743307</x:v>
      </x:c>
      <x:c r="P599" s="66" t="n">
        <x:v>256708.73262874072</x:v>
      </x:c>
      <x:c r="Q599" s="66" t="n">
        <x:v>232324.60564869235</x:v>
      </x:c>
      <x:c r="R599" s="66" t="n">
        <x:v>130319.04115750754</x:v>
      </x:c>
      <x:c r="S599" s="66" t="n">
        <x:v>102005.56449118479</x:v>
      </x:c>
      <x:c r="T599" s="66" t="n">
        <x:v>108229.01306632436</x:v>
      </x:c>
      <x:c r="U599" s="45" t="n">
        <x:v>0.7462430822825266</x:v>
      </x:c>
      <x:c r="V599" s="45" t="n">
        <x:v>0.7804618151640484</x:v>
      </x:c>
      <x:c r="W599" s="45" t="n">
        <x:v>0.26496202748882264</x:v>
      </x:c>
      <x:c r="X599" s="66" t="n">
        <x:v>30262232.988254976</x:v>
      </x:c>
      <x:c r="Y599" s="66" t="n">
        <x:v>61.8817381548064</x:v>
      </x:c>
      <x:c r="Z599" s="66" t="n">
        <x:v>2024521.847886107</x:v>
      </x:c>
      <x:c r="AA599" s="66" t="n">
        <x:v>170847.24745614736</x:v>
      </x:c>
      <x:c r="AB599" s="66" t="n">
        <x:v>1284.0470353527057</x:v>
      </x:c>
      <x:c r="AC599" s="66" t="n">
        <x:v>50362.25921102679</x:v>
      </x:c>
      <x:c r="AD599" s="66" t="n">
        <x:v>1648.501746425025</x:v>
      </x:c>
      <x:c r="AE599" s="66" t="n">
        <x:v>34779.67450924034</x:v>
      </x:c>
      <x:c r="AF599" s="66" t="n">
        <x:v>108229.01306632446</x:v>
      </x:c>
      <x:c r="AG599" s="66" t="n">
        <x:v>0</x:v>
      </x:c>
      <x:c r="AH599" s="36" t="n">
        <x:v>0</x:v>
      </x:c>
    </x:row>
    <x:row r="600" ht="15" hidden="0" customHeight="1">
      <x:c r="A600" s="34" t="n">
        <x:v>149</x:v>
      </x:c>
      <x:c r="B600" s="34" t="str">
        <x:v>H3</x:v>
      </x:c>
      <x:c r="C600" s="34" t="str">
        <x:v>reference</x:v>
      </x:c>
      <x:c r="D600" s="74" t="n">
        <x:v>1.0165960744135702</x:v>
      </x:c>
      <x:c r="E600" s="74" t="n">
        <x:v>0.07992419032825943</x:v>
      </x:c>
      <x:c r="F600" s="74" t="n">
        <x:v>0.7838274768812706</x:v>
      </x:c>
      <x:c r="G600" s="74" t="n">
        <x:v>1.1711650953226065</x:v>
      </x:c>
      <x:c r="H600" s="74" t="n">
        <x:v>0.9922021090109632</x:v>
      </x:c>
      <x:c r="I600" s="74" t="n">
        <x:v>0.7997827407029131</x:v>
      </x:c>
      <x:c r="J600" s="74" t="n">
        <x:v>0.8241974147516163</x:v>
      </x:c>
      <x:c r="K600" s="74" t="n">
        <x:v>0.7215267538049421</x:v>
      </x:c>
      <x:c r="L600" s="74" t="n">
        <x:v>0.9736064969135192</x:v>
      </x:c>
      <x:c r="M600" s="74" t="n">
        <x:v>1.0988469127705276</x:v>
      </x:c>
      <x:c r="N600" s="74" t="n">
        <x:v>0.784715155524401</x:v>
      </x:c>
      <x:c r="O600" s="65" t="n">
        <x:v>489033.33827743307</x:v>
      </x:c>
      <x:c r="P600" s="65" t="n">
        <x:v>266298.83761158196</x:v>
      </x:c>
      <x:c r="Q600" s="65" t="n">
        <x:v>222734.5006658511</x:v>
      </x:c>
      <x:c r="R600" s="65" t="n">
        <x:v>130319.04115750754</x:v>
      </x:c>
      <x:c r="S600" s="65" t="n">
        <x:v>92415.45950834359</x:v>
      </x:c>
      <x:c r="T600" s="65" t="n">
        <x:v>180380.36236650537</x:v>
      </x:c>
      <x:c r="U600" s="43" t="n">
        <x:v>0.9133921248630337</x:v>
      </x:c>
      <x:c r="V600" s="43" t="n">
        <x:v>0.911241984176107</x:v>
      </x:c>
      <x:c r="W600" s="43" t="n">
        <x:v>0.51761109226818</x:v>
      </x:c>
      <x:c r="X600" s="65" t="n">
        <x:v>23385961.697639875</x:v>
      </x:c>
      <x:c r="Y600" s="65" t="n">
        <x:v>47.82079230020266</x:v>
      </x:c>
      <x:c r="Z600" s="65" t="n">
        <x:v>3059493.6246695668</x:v>
      </x:c>
      <x:c r="AA600" s="65" t="n">
        <x:v>138668.76168127268</x:v>
      </x:c>
      <x:c r="AB600" s="65" t="n">
        <x:v>19057.422718892944</x:v>
      </x:c>
      <x:c r="AC600" s="65" t="n">
        <x:v>30093.218517996484</x:v>
      </x:c>
      <x:c r="AD600" s="65" t="n">
        <x:v>1628.630373265431</x:v>
      </x:c>
      <x:c r="AE600" s="65" t="n">
        <x:v>61731.43085121609</x:v>
      </x:c>
      <x:c r="AF600" s="65" t="n">
        <x:v>180380.36236650523</x:v>
      </x:c>
      <x:c r="AG600" s="65" t="n">
        <x:v>1.4551915228366852e-10</x:v>
      </x:c>
      <x:c r="AH600" s="34" t="n">
        <x:v>0</x:v>
      </x:c>
    </x:row>
    <x:row r="601" ht="15" hidden="0" customHeight="1">
      <x:c r="A601" s="36" t="n">
        <x:v>150</x:v>
      </x:c>
      <x:c r="B601" s="36" t="str">
        <x:v>M0</x:v>
      </x:c>
      <x:c r="C601" s="36" t="str">
        <x:v>slow</x:v>
      </x:c>
      <x:c r="D601" s="75" t="n">
        <x:v>1.0573405439297108</x:v>
      </x:c>
      <x:c r="E601" s="75" t="n">
        <x:v>0.09329846621806975</x:v>
      </x:c>
      <x:c r="F601" s="75" t="n">
        <x:v>0.8762406256423655</x:v>
      </x:c>
      <x:c r="G601" s="75" t="n">
        <x:v>1.320435847776897</x:v>
      </x:c>
      <x:c r="H601" s="75" t="n">
        <x:v>0.7390313236750645</x:v>
      </x:c>
      <x:c r="I601" s="75" t="n">
        <x:v>0.761971864742314</x:v>
      </x:c>
      <x:c r="J601" s="75" t="n">
        <x:v>0.7380480319176141</x:v>
      </x:c>
      <x:c r="K601" s="75" t="n">
        <x:v>0.8854575620513424</x:v>
      </x:c>
      <x:c r="L601" s="75" t="n">
        <x:v>0.8795550117297292</x:v>
      </x:c>
      <x:c r="M601" s="75" t="n">
        <x:v>1.0010824725856446</x:v>
      </x:c>
      <x:c r="N601" s="75" t="n">
        <x:v>0.8040895297744781</x:v>
      </x:c>
      <x:c r="O601" s="66" t="n">
        <x:v>508633.45718927856</x:v>
      </x:c>
      <x:c r="P601" s="66" t="n">
        <x:v>59796.382775509876</x:v>
      </x:c>
      <x:c r="Q601" s="66" t="n">
        <x:v>448837.0744137687</x:v>
      </x:c>
      <x:c r="R601" s="66" t="n">
        <x:v>142344.74262928969</x:v>
      </x:c>
      <x:c r="S601" s="66" t="n">
        <x:v>306492.33178447897</x:v>
      </x:c>
      <x:c r="T601" s="66" t="n">
        <x:v>247266.43812315955</x:v>
      </x:c>
      <x:c r="U601" s="45" t="n">
        <x:v>0.6037015783340451</x:v>
      </x:c>
      <x:c r="V601" s="45" t="n">
        <x:v>0.5853504209044138</x:v>
      </x:c>
      <x:c r="W601" s="45" t="n">
        <x:v>0.05569765647927059</x:v>
      </x:c>
      <x:c r="X601" s="66" t="n">
        <x:v>59994495.00199791</x:v>
      </x:c>
      <x:c r="Y601" s="66" t="n">
        <x:v>117.95231743804078</x:v>
      </x:c>
      <x:c r="Z601" s="66" t="n">
        <x:v>3464307.934685398</x:v>
      </x:c>
      <x:c r="AA601" s="66" t="n">
        <x:v>335576.89806586015</x:v>
      </x:c>
      <x:c r="AB601" s="66" t="n">
        <x:v>26532.886119363953</x:v>
      </x:c>
      <x:c r="AC601" s="66" t="n">
        <x:v>0</x:v>
      </x:c>
      <x:c r="AD601" s="66" t="n">
        <x:v>2849.8744546409475</x:v>
      </x:c>
      <x:c r="AE601" s="66" t="n">
        <x:v>177793.1027506447</x:v>
      </x:c>
      <x:c r="AF601" s="66" t="n">
        <x:v>247266.4381231594</x:v>
      </x:c>
      <x:c r="AG601" s="66" t="n">
        <x:v>1.4551915228366852e-10</x:v>
      </x:c>
      <x:c r="AH601" s="36" t="n">
        <x:v>0</x:v>
      </x:c>
    </x:row>
    <x:row r="602" ht="15" hidden="0" customHeight="1">
      <x:c r="A602" s="34" t="n">
        <x:v>150</x:v>
      </x:c>
      <x:c r="B602" s="34" t="str">
        <x:v>B1</x:v>
      </x:c>
      <x:c r="C602" s="34" t="str">
        <x:v>slow</x:v>
      </x:c>
      <x:c r="D602" s="74" t="n">
        <x:v>1.0573405439297108</x:v>
      </x:c>
      <x:c r="E602" s="74" t="n">
        <x:v>0.09329846621806975</x:v>
      </x:c>
      <x:c r="F602" s="74" t="n">
        <x:v>0.8762406256423655</x:v>
      </x:c>
      <x:c r="G602" s="74" t="n">
        <x:v>1.320435847776897</x:v>
      </x:c>
      <x:c r="H602" s="74" t="n">
        <x:v>0.7390313236750645</x:v>
      </x:c>
      <x:c r="I602" s="74" t="n">
        <x:v>0.761971864742314</x:v>
      </x:c>
      <x:c r="J602" s="74" t="n">
        <x:v>0.7380480319176141</x:v>
      </x:c>
      <x:c r="K602" s="74" t="n">
        <x:v>0.8854575620513424</x:v>
      </x:c>
      <x:c r="L602" s="74" t="n">
        <x:v>0.8795550117297292</x:v>
      </x:c>
      <x:c r="M602" s="74" t="n">
        <x:v>1.0010824725856446</x:v>
      </x:c>
      <x:c r="N602" s="74" t="n">
        <x:v>0.8040895297744781</x:v>
      </x:c>
      <x:c r="O602" s="65" t="n">
        <x:v>508633.45718927856</x:v>
      </x:c>
      <x:c r="P602" s="65" t="n">
        <x:v>202273.7107133246</x:v>
      </x:c>
      <x:c r="Q602" s="65" t="n">
        <x:v>306359.74647595396</x:v>
      </x:c>
      <x:c r="R602" s="65" t="n">
        <x:v>142344.74262928969</x:v>
      </x:c>
      <x:c r="S602" s="65" t="n">
        <x:v>164015.00384666427</x:v>
      </x:c>
      <x:c r="T602" s="65" t="n">
        <x:v>177439.8455392341</x:v>
      </x:c>
      <x:c r="U602" s="43" t="n">
        <x:v>0.7465367267636414</x:v>
      </x:c>
      <x:c r="V602" s="43" t="n">
        <x:v>0.7400108861563197</x:v>
      </x:c>
      <x:c r="W602" s="43" t="n">
        <x:v>0.1933197503776328</x:v>
      </x:c>
      <x:c r="X602" s="65" t="n">
        <x:v>42108341.49486965</x:v>
      </x:c>
      <x:c r="Y602" s="65" t="n">
        <x:v>82.78720343636343</x:v>
      </x:c>
      <x:c r="Z602" s="65" t="n">
        <x:v>1292798.0024015924</x:v>
      </x:c>
      <x:c r="AA602" s="65" t="n">
        <x:v>233039.94828107822</x:v>
      </x:c>
      <x:c r="AB602" s="65" t="n">
        <x:v>4408.990793465483</x:v>
      </x:c>
      <x:c r="AC602" s="65" t="n">
        <x:v>350.8972190521515</x:v>
      </x:c>
      <x:c r="AD602" s="65" t="n">
        <x:v>2423.7236159370796</x:v>
      </x:c>
      <x:c r="AE602" s="65" t="n">
        <x:v>90598.17632359048</x:v>
      </x:c>
      <x:c r="AF602" s="65" t="n">
        <x:v>177439.8455392342</x:v>
      </x:c>
      <x:c r="AG602" s="65" t="n">
        <x:v>0</x:v>
      </x:c>
      <x:c r="AH602" s="34" t="n">
        <x:v>0</x:v>
      </x:c>
    </x:row>
    <x:row r="603" ht="15" hidden="0" customHeight="1">
      <x:c r="A603" s="36" t="n">
        <x:v>150</x:v>
      </x:c>
      <x:c r="B603" s="36" t="str">
        <x:v>P2</x:v>
      </x:c>
      <x:c r="C603" s="36" t="str">
        <x:v>slow</x:v>
      </x:c>
      <x:c r="D603" s="75" t="n">
        <x:v>1.0573405439297108</x:v>
      </x:c>
      <x:c r="E603" s="75" t="n">
        <x:v>0.09329846621806975</x:v>
      </x:c>
      <x:c r="F603" s="75" t="n">
        <x:v>0.8762406256423655</x:v>
      </x:c>
      <x:c r="G603" s="75" t="n">
        <x:v>1.320435847776897</x:v>
      </x:c>
      <x:c r="H603" s="75" t="n">
        <x:v>0.7390313236750645</x:v>
      </x:c>
      <x:c r="I603" s="75" t="n">
        <x:v>0.761971864742314</x:v>
      </x:c>
      <x:c r="J603" s="75" t="n">
        <x:v>0.7380480319176141</x:v>
      </x:c>
      <x:c r="K603" s="75" t="n">
        <x:v>0.8854575620513424</x:v>
      </x:c>
      <x:c r="L603" s="75" t="n">
        <x:v>0.8795550117297292</x:v>
      </x:c>
      <x:c r="M603" s="75" t="n">
        <x:v>1.0010824725856446</x:v>
      </x:c>
      <x:c r="N603" s="75" t="n">
        <x:v>0.8040895297744781</x:v>
      </x:c>
      <x:c r="O603" s="66" t="n">
        <x:v>508633.45718927856</x:v>
      </x:c>
      <x:c r="P603" s="66" t="n">
        <x:v>293034.1407242294</x:v>
      </x:c>
      <x:c r="Q603" s="66" t="n">
        <x:v>215599.31646504917</x:v>
      </x:c>
      <x:c r="R603" s="66" t="n">
        <x:v>142344.74262928969</x:v>
      </x:c>
      <x:c r="S603" s="66" t="n">
        <x:v>73254.57383575945</x:v>
      </x:c>
      <x:c r="T603" s="66" t="n">
        <x:v>114838.56541196471</x:v>
      </x:c>
      <x:c r="U603" s="45" t="n">
        <x:v>0.8018990893562312</x:v>
      </x:c>
      <x:c r="V603" s="45" t="n">
        <x:v>0.7974782876792894</x:v>
      </x:c>
      <x:c r="W603" s="45" t="n">
        <x:v>0.2840693489724062</x:v>
      </x:c>
      <x:c r="X603" s="66" t="n">
        <x:v>29331887.96596689</x:v>
      </x:c>
      <x:c r="Y603" s="66" t="n">
        <x:v>57.66802704654084</x:v>
      </x:c>
      <x:c r="Z603" s="66" t="n">
        <x:v>716970.2303284052</x:v>
      </x:c>
      <x:c r="AA603" s="66" t="n">
        <x:v>168160.6594843652</x:v>
      </x:c>
      <x:c r="AB603" s="66" t="n">
        <x:v>79.02583270427195</x:v>
      </x:c>
      <x:c r="AC603" s="66" t="n">
        <x:v>0</x:v>
      </x:c>
      <x:c r="AD603" s="66" t="n">
        <x:v>2165.1816687399705</x:v>
      </x:c>
      <x:c r="AE603" s="66" t="n">
        <x:v>39575.78542507351</x:v>
      </x:c>
      <x:c r="AF603" s="66" t="n">
        <x:v>114838.5654119648</x:v>
      </x:c>
      <x:c r="AG603" s="66" t="n">
        <x:v>0</x:v>
      </x:c>
      <x:c r="AH603" s="36" t="n">
        <x:v>0</x:v>
      </x:c>
    </x:row>
    <x:row r="604" ht="15" hidden="0" customHeight="1">
      <x:c r="A604" s="34" t="n">
        <x:v>150</x:v>
      </x:c>
      <x:c r="B604" s="34" t="str">
        <x:v>H3</x:v>
      </x:c>
      <x:c r="C604" s="34" t="str">
        <x:v>slow</x:v>
      </x:c>
      <x:c r="D604" s="74" t="n">
        <x:v>1.0573405439297108</x:v>
      </x:c>
      <x:c r="E604" s="74" t="n">
        <x:v>0.09329846621806975</x:v>
      </x:c>
      <x:c r="F604" s="74" t="n">
        <x:v>0.8762406256423655</x:v>
      </x:c>
      <x:c r="G604" s="74" t="n">
        <x:v>1.320435847776897</x:v>
      </x:c>
      <x:c r="H604" s="74" t="n">
        <x:v>0.7390313236750645</x:v>
      </x:c>
      <x:c r="I604" s="74" t="n">
        <x:v>0.761971864742314</x:v>
      </x:c>
      <x:c r="J604" s="74" t="n">
        <x:v>0.7380480319176141</x:v>
      </x:c>
      <x:c r="K604" s="74" t="n">
        <x:v>0.8854575620513424</x:v>
      </x:c>
      <x:c r="L604" s="74" t="n">
        <x:v>0.8795550117297292</x:v>
      </x:c>
      <x:c r="M604" s="74" t="n">
        <x:v>1.0010824725856446</x:v>
      </x:c>
      <x:c r="N604" s="74" t="n">
        <x:v>0.8040895297744781</x:v>
      </x:c>
      <x:c r="O604" s="65" t="n">
        <x:v>508633.45718927856</x:v>
      </x:c>
      <x:c r="P604" s="65" t="n">
        <x:v>303981.3606086368</x:v>
      </x:c>
      <x:c r="Q604" s="65" t="n">
        <x:v>204652.09658064175</x:v>
      </x:c>
      <x:c r="R604" s="65" t="n">
        <x:v>142344.74262928969</x:v>
      </x:c>
      <x:c r="S604" s="65" t="n">
        <x:v>62307.35395135203</x:v>
      </x:c>
      <x:c r="T604" s="65" t="n">
        <x:v>111099.02460044272</x:v>
      </x:c>
      <x:c r="U604" s="43" t="n">
        <x:v>0.8160697636817372</x:v>
      </x:c>
      <x:c r="V604" s="43" t="n">
        <x:v>0.8097642991979677</x:v>
      </x:c>
      <x:c r="W604" s="43" t="n">
        <x:v>0.2954901257902052</x:v>
      </x:c>
      <x:c r="X604" s="65" t="n">
        <x:v>24432564.392344613</x:v>
      </x:c>
      <x:c r="Y604" s="65" t="n">
        <x:v>48.03570045777088</x:v>
      </x:c>
      <x:c r="Z604" s="65" t="n">
        <x:v>752305.6802518717</x:v>
      </x:c>
      <x:c r="AA604" s="65" t="n">
        <x:v>138477.51217959585</x:v>
      </x:c>
      <x:c r="AB604" s="65" t="n">
        <x:v>1938.6665170702172</x:v>
      </x:c>
      <x:c r="AC604" s="65" t="n">
        <x:v>835.9569237410849</x:v>
      </x:c>
      <x:c r="AD604" s="65" t="n">
        <x:v>2135.988345808614</x:v>
      </x:c>
      <x:c r="AE604" s="65" t="n">
        <x:v>7.275957614183426e-11</x:v>
      </x:c>
      <x:c r="AF604" s="65" t="n">
        <x:v>111099.02460044264</x:v>
      </x:c>
      <x:c r="AG604" s="65" t="n">
        <x:v>7.275957614183426e-11</x:v>
      </x:c>
      <x:c r="AH604" s="34" t="n">
        <x:v>0</x:v>
      </x:c>
    </x:row>
    <x:row r="605" ht="15" hidden="0" customHeight="1">
      <x:c r="A605" s="36" t="n">
        <x:v>151</x:v>
      </x:c>
      <x:c r="B605" s="36" t="str">
        <x:v>M0</x:v>
      </x:c>
      <x:c r="C605" s="36" t="str">
        <x:v>slow</x:v>
      </x:c>
      <x:c r="D605" s="75" t="n">
        <x:v>1.1459845081775961</x:v>
      </x:c>
      <x:c r="E605" s="75" t="n">
        <x:v>0.03030136868884315</x:v>
      </x:c>
      <x:c r="F605" s="75" t="n">
        <x:v>0.9640786211817265</x:v>
      </x:c>
      <x:c r="G605" s="75" t="n">
        <x:v>1.2077017267757324</x:v>
      </x:c>
      <x:c r="H605" s="75" t="n">
        <x:v>0.9233308789874191</x:v>
      </x:c>
      <x:c r="I605" s="75" t="n">
        <x:v>0.9833660375335336</x:v>
      </x:c>
      <x:c r="J605" s="75" t="n">
        <x:v>0.7276901803696333</x:v>
      </x:c>
      <x:c r="K605" s="75" t="n">
        <x:v>0.9842560666773768</x:v>
      </x:c>
      <x:c r="L605" s="75" t="n">
        <x:v>0.9889246747940362</x:v>
      </x:c>
      <x:c r="M605" s="75" t="n">
        <x:v>0.8929929304403657</x:v>
      </x:c>
      <x:c r="N605" s="75" t="n">
        <x:v>0.8082335154031036</x:v>
      </x:c>
      <x:c r="O605" s="66" t="n">
        <x:v>551275.6184619309</x:v>
      </x:c>
      <x:c r="P605" s="66" t="n">
        <x:v>77545.37698138435</x:v>
      </x:c>
      <x:c r="Q605" s="66" t="n">
        <x:v>473730.24148054665</x:v>
      </x:c>
      <x:c r="R605" s="66" t="n">
        <x:v>119549.69520986549</x:v>
      </x:c>
      <x:c r="S605" s="66" t="n">
        <x:v>354180.54627068114</x:v>
      </x:c>
      <x:c r="T605" s="66" t="n">
        <x:v>296061.0384312195</x:v>
      </x:c>
      <x:c r="U605" s="45" t="n">
        <x:v>0.6777125686330417</x:v>
      </x:c>
      <x:c r="V605" s="45" t="n">
        <x:v>0.6658856680722881</x:v>
      </x:c>
      <x:c r="W605" s="45" t="n">
        <x:v>0.0721038685013417</x:v>
      </x:c>
      <x:c r="X605" s="66" t="n">
        <x:v>61078362.72796459</x:v>
      </x:c>
      <x:c r="Y605" s="66" t="n">
        <x:v>110.79460197854267</x:v>
      </x:c>
      <x:c r="Z605" s="66" t="n">
        <x:v>3907101.179369047</x:v>
      </x:c>
      <x:c r="AA605" s="66" t="n">
        <x:v>335863.79029022856</x:v>
      </x:c>
      <x:c r="AB605" s="66" t="n">
        <x:v>22747.010934863807</x:v>
      </x:c>
      <x:c r="AC605" s="66" t="n">
        <x:v>9037.394738911731</x:v>
      </x:c>
      <x:c r="AD605" s="66" t="n">
        <x:v>3028.940670859848</x:v>
      </x:c>
      <x:c r="AE605" s="66" t="n">
        <x:v>249506.78794400077</x:v>
      </x:c>
      <x:c r="AF605" s="66" t="n">
        <x:v>296061.03843121993</x:v>
      </x:c>
      <x:c r="AG605" s="66" t="n">
        <x:v>0</x:v>
      </x:c>
      <x:c r="AH605" s="36" t="n">
        <x:v>0</x:v>
      </x:c>
    </x:row>
    <x:row r="606" ht="15" hidden="0" customHeight="1">
      <x:c r="A606" s="34" t="n">
        <x:v>151</x:v>
      </x:c>
      <x:c r="B606" s="34" t="str">
        <x:v>B1</x:v>
      </x:c>
      <x:c r="C606" s="34" t="str">
        <x:v>slow</x:v>
      </x:c>
      <x:c r="D606" s="74" t="n">
        <x:v>1.1459845081775961</x:v>
      </x:c>
      <x:c r="E606" s="74" t="n">
        <x:v>0.03030136868884315</x:v>
      </x:c>
      <x:c r="F606" s="74" t="n">
        <x:v>0.9640786211817265</x:v>
      </x:c>
      <x:c r="G606" s="74" t="n">
        <x:v>1.2077017267757324</x:v>
      </x:c>
      <x:c r="H606" s="74" t="n">
        <x:v>0.9233308789874191</x:v>
      </x:c>
      <x:c r="I606" s="74" t="n">
        <x:v>0.9833660375335336</x:v>
      </x:c>
      <x:c r="J606" s="74" t="n">
        <x:v>0.7276901803696333</x:v>
      </x:c>
      <x:c r="K606" s="74" t="n">
        <x:v>0.9842560666773768</x:v>
      </x:c>
      <x:c r="L606" s="74" t="n">
        <x:v>0.9889246747940362</x:v>
      </x:c>
      <x:c r="M606" s="74" t="n">
        <x:v>0.8929929304403657</x:v>
      </x:c>
      <x:c r="N606" s="74" t="n">
        <x:v>0.8082335154031036</x:v>
      </x:c>
      <x:c r="O606" s="65" t="n">
        <x:v>551275.6184619309</x:v>
      </x:c>
      <x:c r="P606" s="65" t="n">
        <x:v>262310.83693489875</x:v>
      </x:c>
      <x:c r="Q606" s="65" t="n">
        <x:v>288964.7815270322</x:v>
      </x:c>
      <x:c r="R606" s="65" t="n">
        <x:v>119549.69520986549</x:v>
      </x:c>
      <x:c r="S606" s="65" t="n">
        <x:v>169415.0863171667</x:v>
      </x:c>
      <x:c r="T606" s="65" t="n">
        <x:v>169700.4462846534</x:v>
      </x:c>
      <x:c r="U606" s="43" t="n">
        <x:v>0.7836575185836653</x:v>
      </x:c>
      <x:c r="V606" s="43" t="n">
        <x:v>0.7743334939082377</x:v>
      </x:c>
      <x:c r="W606" s="43" t="n">
        <x:v>0.25026370481366395</x:v>
      </x:c>
      <x:c r="X606" s="65" t="n">
        <x:v>38886338.61961318</x:v>
      </x:c>
      <x:c r="Y606" s="65" t="n">
        <x:v>70.53883269517121</x:v>
      </x:c>
      <x:c r="Z606" s="65" t="n">
        <x:v>1764436.5101066155</x:v>
      </x:c>
      <x:c r="AA606" s="65" t="n">
        <x:v>201450.63618020248</x:v>
      </x:c>
      <x:c r="AB606" s="65" t="n">
        <x:v>2582.6057307744286</x:v>
      </x:c>
      <x:c r="AC606" s="65" t="n">
        <x:v>11989.248441166146</x:v>
      </x:c>
      <x:c r="AD606" s="65" t="n">
        <x:v>2431.012724379433</x:v>
      </x:c>
      <x:c r="AE606" s="65" t="n">
        <x:v>99869.07055382513</x:v>
      </x:c>
      <x:c r="AF606" s="65" t="n">
        <x:v>169700.44628465342</x:v>
      </x:c>
      <x:c r="AG606" s="65" t="n">
        <x:v>0</x:v>
      </x:c>
      <x:c r="AH606" s="34" t="n">
        <x:v>0</x:v>
      </x:c>
    </x:row>
    <x:row r="607" ht="15" hidden="0" customHeight="1">
      <x:c r="A607" s="36" t="n">
        <x:v>151</x:v>
      </x:c>
      <x:c r="B607" s="36" t="str">
        <x:v>P2</x:v>
      </x:c>
      <x:c r="C607" s="36" t="str">
        <x:v>slow</x:v>
      </x:c>
      <x:c r="D607" s="75" t="n">
        <x:v>1.1459845081775961</x:v>
      </x:c>
      <x:c r="E607" s="75" t="n">
        <x:v>0.03030136868884315</x:v>
      </x:c>
      <x:c r="F607" s="75" t="n">
        <x:v>0.9640786211817265</x:v>
      </x:c>
      <x:c r="G607" s="75" t="n">
        <x:v>1.2077017267757324</x:v>
      </x:c>
      <x:c r="H607" s="75" t="n">
        <x:v>0.9233308789874191</x:v>
      </x:c>
      <x:c r="I607" s="75" t="n">
        <x:v>0.9833660375335336</x:v>
      </x:c>
      <x:c r="J607" s="75" t="n">
        <x:v>0.7276901803696333</x:v>
      </x:c>
      <x:c r="K607" s="75" t="n">
        <x:v>0.9842560666773768</x:v>
      </x:c>
      <x:c r="L607" s="75" t="n">
        <x:v>0.9889246747940362</x:v>
      </x:c>
      <x:c r="M607" s="75" t="n">
        <x:v>0.8929929304403657</x:v>
      </x:c>
      <x:c r="N607" s="75" t="n">
        <x:v>0.8082335154031036</x:v>
      </x:c>
      <x:c r="O607" s="66" t="n">
        <x:v>551275.6184619309</x:v>
      </x:c>
      <x:c r="P607" s="66" t="n">
        <x:v>380007.9164054884</x:v>
      </x:c>
      <x:c r="Q607" s="66" t="n">
        <x:v>171267.70205644256</x:v>
      </x:c>
      <x:c r="R607" s="66" t="n">
        <x:v>119549.69520986549</x:v>
      </x:c>
      <x:c r="S607" s="66" t="n">
        <x:v>51718.00684657708</x:v>
      </x:c>
      <x:c r="T607" s="66" t="n">
        <x:v>86459.55218833461</x:v>
      </x:c>
      <x:c r="U607" s="45" t="n">
        <x:v>0.8461601655724876</x:v>
      </x:c>
      <x:c r="V607" s="45" t="n">
        <x:v>0.84103910220997</x:v>
      </x:c>
      <x:c r="W607" s="45" t="n">
        <x:v>0.3677443590681636</x:v>
      </x:c>
      <x:c r="X607" s="66" t="n">
        <x:v>22644607.504361782</x:v>
      </x:c>
      <x:c r="Y607" s="66" t="n">
        <x:v>41.0767440931646</x:v>
      </x:c>
      <x:c r="Z607" s="66" t="n">
        <x:v>578066.4288933154</x:v>
      </x:c>
      <x:c r="AA607" s="66" t="n">
        <x:v>119642.76204982941</x:v>
      </x:c>
      <x:c r="AB607" s="66" t="n">
        <x:v>0</x:v>
      </x:c>
      <x:c r="AC607" s="66" t="n">
        <x:v>831.7271603657871</x:v>
      </x:c>
      <x:c r="AD607" s="66" t="n">
        <x:v>2068.2551241907377</x:v>
      </x:c>
      <x:c r="AE607" s="66" t="n">
        <x:v>23417.337986892526</x:v>
      </x:c>
      <x:c r="AF607" s="66" t="n">
        <x:v>86459.55218833467</x:v>
      </x:c>
      <x:c r="AG607" s="66" t="n">
        <x:v>0</x:v>
      </x:c>
      <x:c r="AH607" s="36" t="n">
        <x:v>0</x:v>
      </x:c>
    </x:row>
    <x:row r="608" ht="15" hidden="0" customHeight="1">
      <x:c r="A608" s="34" t="n">
        <x:v>151</x:v>
      </x:c>
      <x:c r="B608" s="34" t="str">
        <x:v>H3</x:v>
      </x:c>
      <x:c r="C608" s="34" t="str">
        <x:v>slow</x:v>
      </x:c>
      <x:c r="D608" s="74" t="n">
        <x:v>1.1459845081775961</x:v>
      </x:c>
      <x:c r="E608" s="74" t="n">
        <x:v>0.03030136868884315</x:v>
      </x:c>
      <x:c r="F608" s="74" t="n">
        <x:v>0.9640786211817265</x:v>
      </x:c>
      <x:c r="G608" s="74" t="n">
        <x:v>1.2077017267757324</x:v>
      </x:c>
      <x:c r="H608" s="74" t="n">
        <x:v>0.9233308789874191</x:v>
      </x:c>
      <x:c r="I608" s="74" t="n">
        <x:v>0.9833660375335336</x:v>
      </x:c>
      <x:c r="J608" s="74" t="n">
        <x:v>0.7276901803696333</x:v>
      </x:c>
      <x:c r="K608" s="74" t="n">
        <x:v>0.9842560666773768</x:v>
      </x:c>
      <x:c r="L608" s="74" t="n">
        <x:v>0.9889246747940362</x:v>
      </x:c>
      <x:c r="M608" s="74" t="n">
        <x:v>0.8929929304403657</x:v>
      </x:c>
      <x:c r="N608" s="74" t="n">
        <x:v>0.8082335154031036</x:v>
      </x:c>
      <x:c r="O608" s="65" t="n">
        <x:v>551275.6184619309</x:v>
      </x:c>
      <x:c r="P608" s="65" t="n">
        <x:v>394203.8992646264</x:v>
      </x:c>
      <x:c r="Q608" s="65" t="n">
        <x:v>157071.71919730463</x:v>
      </x:c>
      <x:c r="R608" s="65" t="n">
        <x:v>119549.69520986549</x:v>
      </x:c>
      <x:c r="S608" s="65" t="n">
        <x:v>37522.02398743911</x:v>
      </x:c>
      <x:c r="T608" s="65" t="n">
        <x:v>76425.12748267099</x:v>
      </x:c>
      <x:c r="U608" s="43" t="n">
        <x:v>0.8537091265896377</x:v>
      </x:c>
      <x:c r="V608" s="43" t="n">
        <x:v>0.8492486683511472</x:v>
      </x:c>
      <x:c r="W608" s="43" t="n">
        <x:v>0.3825292215185297</x:v>
      </x:c>
      <x:c r="X608" s="65" t="n">
        <x:v>19981189.542174354</x:v>
      </x:c>
      <x:c r="Y608" s="65" t="n">
        <x:v>36.245371413163966</x:v>
      </x:c>
      <x:c r="Z608" s="65" t="n">
        <x:v>540652.156045661</x:v>
      </x:c>
      <x:c r="AA608" s="65" t="n">
        <x:v>110768.29344130983</x:v>
      </x:c>
      <x:c r="AB608" s="65" t="n">
        <x:v>1920.9541855664052</x:v>
      </x:c>
      <x:c r="AC608" s="65" t="n">
        <x:v>2309.8659452777338</x:v>
      </x:c>
      <x:c r="AD608" s="65" t="n">
        <x:v>2027.2942670342045</x:v>
      </x:c>
      <x:c r="AE608" s="65" t="n">
        <x:v>14564.686341637775</x:v>
      </x:c>
      <x:c r="AF608" s="65" t="n">
        <x:v>76425.12748267096</x:v>
      </x:c>
      <x:c r="AG608" s="65" t="n">
        <x:v>2.9103830456733704e-11</x:v>
      </x:c>
      <x:c r="AH608" s="34" t="n">
        <x:v>0</x:v>
      </x:c>
    </x:row>
    <x:row r="609" ht="15" hidden="0" customHeight="1">
      <x:c r="A609" s="36" t="n">
        <x:v>152</x:v>
      </x:c>
      <x:c r="B609" s="36" t="str">
        <x:v>M0</x:v>
      </x:c>
      <x:c r="C609" s="36" t="str">
        <x:v>reference</x:v>
      </x:c>
      <x:c r="D609" s="75" t="n">
        <x:v>1.0464020463518617</x:v>
      </x:c>
      <x:c r="E609" s="75" t="n">
        <x:v>0.04501257887242573</x:v>
      </x:c>
      <x:c r="F609" s="75" t="n">
        <x:v>0.8435833279773683</x:v>
      </x:c>
      <x:c r="G609" s="75" t="n">
        <x:v>1.0163079519803269</x:v>
      </x:c>
      <x:c r="H609" s="75" t="n">
        <x:v>1.0590723498648016</x:v>
      </x:c>
      <x:c r="I609" s="75" t="n">
        <x:v>1.012846008053771</x:v>
      </x:c>
      <x:c r="J609" s="75" t="n">
        <x:v>0.7735923934666066</x:v>
      </x:c>
      <x:c r="K609" s="75" t="n">
        <x:v>0.8615232751948931</x:v>
      </x:c>
      <x:c r="L609" s="75" t="n">
        <x:v>1.0379643544733352</x:v>
      </x:c>
      <x:c r="M609" s="75" t="n">
        <x:v>0.8811384153199797</x:v>
      </x:c>
      <x:c r="N609" s="75" t="n">
        <x:v>1.0469732594760552</x:v>
      </x:c>
      <x:c r="O609" s="66" t="n">
        <x:v>503371.4951171538</x:v>
      </x:c>
      <x:c r="P609" s="66" t="n">
        <x:v>60793.044576494125</x:v>
      </x:c>
      <x:c r="Q609" s="66" t="n">
        <x:v>442578.45054065966</x:v>
      </x:c>
      <x:c r="R609" s="66" t="n">
        <x:v>116566.40527372289</x:v>
      </x:c>
      <x:c r="S609" s="66" t="n">
        <x:v>326012.0452669368</x:v>
      </x:c>
      <x:c r="T609" s="66" t="n">
        <x:v>309803.0984604114</x:v>
      </x:c>
      <x:c r="U609" s="45" t="n">
        <x:v>0.7362279084767278</x:v>
      </x:c>
      <x:c r="V609" s="45" t="n">
        <x:v>0.7446386590419741</x:v>
      </x:c>
      <x:c r="W609" s="45" t="n">
        <x:v>0.12728475861605112</x:v>
      </x:c>
      <x:c r="X609" s="66" t="n">
        <x:v>54673964.20377823</x:v>
      </x:c>
      <x:c r="Y609" s="66" t="n">
        <x:v>108.61553491632161</x:v>
      </x:c>
      <x:c r="Z609" s="66" t="n">
        <x:v>6567085.584794011</x:v>
      </x:c>
      <x:c r="AA609" s="66" t="n">
        <x:v>293993.1150139868</x:v>
      </x:c>
      <x:c r="AB609" s="66" t="n">
        <x:v>51231.52050163636</x:v>
      </x:c>
      <x:c r="AC609" s="66" t="n">
        <x:v>14574.974352320167</x:v>
      </x:c>
      <x:c r="AD609" s="66" t="n">
        <x:v>2156.9217618680937</x:v>
      </x:c>
      <x:c r="AE609" s="66" t="n">
        <x:v>249497.43871459068</x:v>
      </x:c>
      <x:c r="AF609" s="66" t="n">
        <x:v>309803.0984604117</x:v>
      </x:c>
      <x:c r="AG609" s="66" t="n">
        <x:v>0</x:v>
      </x:c>
      <x:c r="AH609" s="36" t="n">
        <x:v>0</x:v>
      </x:c>
    </x:row>
    <x:row r="610" ht="15" hidden="0" customHeight="1">
      <x:c r="A610" s="34" t="n">
        <x:v>152</x:v>
      </x:c>
      <x:c r="B610" s="34" t="str">
        <x:v>B1</x:v>
      </x:c>
      <x:c r="C610" s="34" t="str">
        <x:v>reference</x:v>
      </x:c>
      <x:c r="D610" s="74" t="n">
        <x:v>1.0464020463518617</x:v>
      </x:c>
      <x:c r="E610" s="74" t="n">
        <x:v>0.04501257887242573</x:v>
      </x:c>
      <x:c r="F610" s="74" t="n">
        <x:v>0.8435833279773683</x:v>
      </x:c>
      <x:c r="G610" s="74" t="n">
        <x:v>1.0163079519803269</x:v>
      </x:c>
      <x:c r="H610" s="74" t="n">
        <x:v>1.0590723498648016</x:v>
      </x:c>
      <x:c r="I610" s="74" t="n">
        <x:v>1.012846008053771</x:v>
      </x:c>
      <x:c r="J610" s="74" t="n">
        <x:v>0.7735923934666066</x:v>
      </x:c>
      <x:c r="K610" s="74" t="n">
        <x:v>0.8615232751948931</x:v>
      </x:c>
      <x:c r="L610" s="74" t="n">
        <x:v>1.0379643544733352</x:v>
      </x:c>
      <x:c r="M610" s="74" t="n">
        <x:v>0.8811384153199797</x:v>
      </x:c>
      <x:c r="N610" s="74" t="n">
        <x:v>1.0469732594760552</x:v>
      </x:c>
      <x:c r="O610" s="65" t="n">
        <x:v>503371.4951171538</x:v>
      </x:c>
      <x:c r="P610" s="65" t="n">
        <x:v>205643.57062696884</x:v>
      </x:c>
      <x:c r="Q610" s="65" t="n">
        <x:v>297727.924490185</x:v>
      </x:c>
      <x:c r="R610" s="65" t="n">
        <x:v>116566.40527372289</x:v>
      </x:c>
      <x:c r="S610" s="65" t="n">
        <x:v>181161.5192164621</x:v>
      </x:c>
      <x:c r="T610" s="65" t="n">
        <x:v>214345.73490897333</x:v>
      </x:c>
      <x:c r="U610" s="43" t="n">
        <x:v>0.8343525797744955</x:v>
      </x:c>
      <x:c r="V610" s="43" t="n">
        <x:v>0.8511889793013523</x:v>
      </x:c>
      <x:c r="W610" s="43" t="n">
        <x:v>0.45820508729565707</x:v>
      </x:c>
      <x:c r="X610" s="65" t="n">
        <x:v>37927124.84756646</x:v>
      </x:c>
      <x:c r="Y610" s="65" t="n">
        <x:v>75.3461910645921</x:v>
      </x:c>
      <x:c r="Z610" s="65" t="n">
        <x:v>3788381.4148161933</x:v>
      </x:c>
      <x:c r="AA610" s="65" t="n">
        <x:v>199509.82034864585</x:v>
      </x:c>
      <x:c r="AB610" s="65" t="n">
        <x:v>12485.724717707075</x:v>
      </x:c>
      <x:c r="AC610" s="65" t="n">
        <x:v>33998.83889012739</x:v>
      </x:c>
      <x:c r="AD610" s="65" t="n">
        <x:v>1801.7641352945843</x:v>
      </x:c>
      <x:c r="AE610" s="65" t="n">
        <x:v>135636.89131925977</x:v>
      </x:c>
      <x:c r="AF610" s="65" t="n">
        <x:v>214345.73490897325</x:v>
      </x:c>
      <x:c r="AG610" s="65" t="n">
        <x:v>8.731149137020111e-11</x:v>
      </x:c>
      <x:c r="AH610" s="34" t="n">
        <x:v>0</x:v>
      </x:c>
    </x:row>
    <x:row r="611" ht="15" hidden="0" customHeight="1">
      <x:c r="A611" s="36" t="n">
        <x:v>152</x:v>
      </x:c>
      <x:c r="B611" s="36" t="str">
        <x:v>P2</x:v>
      </x:c>
      <x:c r="C611" s="36" t="str">
        <x:v>reference</x:v>
      </x:c>
      <x:c r="D611" s="75" t="n">
        <x:v>1.0464020463518617</x:v>
      </x:c>
      <x:c r="E611" s="75" t="n">
        <x:v>0.04501257887242573</x:v>
      </x:c>
      <x:c r="F611" s="75" t="n">
        <x:v>0.8435833279773683</x:v>
      </x:c>
      <x:c r="G611" s="75" t="n">
        <x:v>1.0163079519803269</x:v>
      </x:c>
      <x:c r="H611" s="75" t="n">
        <x:v>1.0590723498648016</x:v>
      </x:c>
      <x:c r="I611" s="75" t="n">
        <x:v>1.012846008053771</x:v>
      </x:c>
      <x:c r="J611" s="75" t="n">
        <x:v>0.7735923934666066</x:v>
      </x:c>
      <x:c r="K611" s="75" t="n">
        <x:v>0.8615232751948931</x:v>
      </x:c>
      <x:c r="L611" s="75" t="n">
        <x:v>1.0379643544733352</x:v>
      </x:c>
      <x:c r="M611" s="75" t="n">
        <x:v>0.8811384153199797</x:v>
      </x:c>
      <x:c r="N611" s="75" t="n">
        <x:v>1.0469732594760552</x:v>
      </x:c>
      <x:c r="O611" s="66" t="n">
        <x:v>503371.4951171538</x:v>
      </x:c>
      <x:c r="P611" s="66" t="n">
        <x:v>297914.7907579503</x:v>
      </x:c>
      <x:c r="Q611" s="66" t="n">
        <x:v>205456.70435920358</x:v>
      </x:c>
      <x:c r="R611" s="66" t="n">
        <x:v>116566.40527372289</x:v>
      </x:c>
      <x:c r="S611" s="66" t="n">
        <x:v>88890.29908548068</x:v>
      </x:c>
      <x:c r="T611" s="66" t="n">
        <x:v>129228.14117079608</x:v>
      </x:c>
      <x:c r="U611" s="45" t="n">
        <x:v>0.8485640050582003</x:v>
      </x:c>
      <x:c r="V611" s="45" t="n">
        <x:v>0.8677362389602464</x:v>
      </x:c>
      <x:c r="W611" s="45" t="n">
        <x:v>0.48091820743887886</x:v>
      </x:c>
      <x:c r="X611" s="66" t="n">
        <x:v>25679502.855772834</x:v>
      </x:c>
      <x:c r="Y611" s="66" t="n">
        <x:v>51.01501198393491</x:v>
      </x:c>
      <x:c r="Z611" s="66" t="n">
        <x:v>2317983.824886307</x:v>
      </x:c>
      <x:c r="AA611" s="66" t="n">
        <x:v>142652.64497735328</x:v>
      </x:c>
      <x:c r="AB611" s="66" t="n">
        <x:v>0</x:v>
      </x:c>
      <x:c r="AC611" s="66" t="n">
        <x:v>38766.34102513475</x:v>
      </x:c>
      <x:c r="AD611" s="66" t="n">
        <x:v>1587.1667776752201</x:v>
      </x:c>
      <x:c r="AE611" s="66" t="n">
        <x:v>58647.369729670216</x:v>
      </x:c>
      <x:c r="AF611" s="66" t="n">
        <x:v>129228.1411707961</x:v>
      </x:c>
      <x:c r="AG611" s="66" t="n">
        <x:v>0</x:v>
      </x:c>
      <x:c r="AH611" s="36" t="n">
        <x:v>0</x:v>
      </x:c>
    </x:row>
    <x:row r="612" ht="15" hidden="0" customHeight="1">
      <x:c r="A612" s="34" t="n">
        <x:v>152</x:v>
      </x:c>
      <x:c r="B612" s="34" t="str">
        <x:v>H3</x:v>
      </x:c>
      <x:c r="C612" s="34" t="str">
        <x:v>reference</x:v>
      </x:c>
      <x:c r="D612" s="74" t="n">
        <x:v>1.0464020463518617</x:v>
      </x:c>
      <x:c r="E612" s="74" t="n">
        <x:v>0.04501257887242573</x:v>
      </x:c>
      <x:c r="F612" s="74" t="n">
        <x:v>0.8435833279773683</x:v>
      </x:c>
      <x:c r="G612" s="74" t="n">
        <x:v>1.0163079519803269</x:v>
      </x:c>
      <x:c r="H612" s="74" t="n">
        <x:v>1.0590723498648016</x:v>
      </x:c>
      <x:c r="I612" s="74" t="n">
        <x:v>1.012846008053771</x:v>
      </x:c>
      <x:c r="J612" s="74" t="n">
        <x:v>0.7735923934666066</x:v>
      </x:c>
      <x:c r="K612" s="74" t="n">
        <x:v>0.8615232751948931</x:v>
      </x:c>
      <x:c r="L612" s="74" t="n">
        <x:v>1.0379643544733352</x:v>
      </x:c>
      <x:c r="M612" s="74" t="n">
        <x:v>0.8811384153199797</x:v>
      </x:c>
      <x:c r="N612" s="74" t="n">
        <x:v>1.0469732594760552</x:v>
      </x:c>
      <x:c r="O612" s="65" t="n">
        <x:v>503371.4951171538</x:v>
      </x:c>
      <x:c r="P612" s="65" t="n">
        <x:v>309044.08663218556</x:v>
      </x:c>
      <x:c r="Q612" s="65" t="n">
        <x:v>194327.40848496824</x:v>
      </x:c>
      <x:c r="R612" s="65" t="n">
        <x:v>116566.40527372289</x:v>
      </x:c>
      <x:c r="S612" s="65" t="n">
        <x:v>77761.00321124535</x:v>
      </x:c>
      <x:c r="T612" s="65" t="n">
        <x:v>192764.3316835371</x:v>
      </x:c>
      <x:c r="U612" s="43" t="n">
        <x:v>0.9968947848326865</x:v>
      </x:c>
      <x:c r="V612" s="43" t="n">
        <x:v>0.9980442180184641</x:v>
      </x:c>
      <x:c r="W612" s="43" t="n">
        <x:v>0.9689478483268635</x:v>
      </x:c>
      <x:c r="X612" s="65" t="n">
        <x:v>19416071.90090029</x:v>
      </x:c>
      <x:c r="Y612" s="65" t="n">
        <x:v>38.5720528262758</x:v>
      </x:c>
      <x:c r="Z612" s="65" t="n">
        <x:v>1991787.8797767116</x:v>
      </x:c>
      <x:c r="AA612" s="65" t="n">
        <x:v>112223.87947343325</x:v>
      </x:c>
      <x:c r="AB612" s="65" t="n">
        <x:v>4458.438236968865</x:v>
      </x:c>
      <x:c r="AC612" s="65" t="n">
        <x:v>14569.033834504065</x:v>
      </x:c>
      <x:c r="AD612" s="65" t="n">
        <x:v>1563.0768014311284</x:v>
      </x:c>
      <x:c r="AE612" s="65" t="n">
        <x:v>71368.6313451248</x:v>
      </x:c>
      <x:c r="AF612" s="65" t="n">
        <x:v>192764.3316835369</x:v>
      </x:c>
      <x:c r="AG612" s="65" t="n">
        <x:v>2.0372681319713593e-10</x:v>
      </x:c>
      <x:c r="AH612" s="34" t="n">
        <x:v>1</x:v>
      </x:c>
    </x:row>
    <x:row r="613" ht="15" hidden="0" customHeight="1">
      <x:c r="A613" s="36" t="n">
        <x:v>153</x:v>
      </x:c>
      <x:c r="B613" s="36" t="str">
        <x:v>M0</x:v>
      </x:c>
      <x:c r="C613" s="36" t="str">
        <x:v>slow</x:v>
      </x:c>
      <x:c r="D613" s="75" t="n">
        <x:v>1.0650279929208604</x:v>
      </x:c>
      <x:c r="E613" s="75" t="n">
        <x:v>0.0010035913211496952</x:v>
      </x:c>
      <x:c r="F613" s="75" t="n">
        <x:v>0.9096603974247999</x:v>
      </x:c>
      <x:c r="G613" s="75" t="n">
        <x:v>1.2821147037396625</x:v>
      </x:c>
      <x:c r="H613" s="75" t="n">
        <x:v>0.8646499112828763</x:v>
      </x:c>
      <x:c r="I613" s="75" t="n">
        <x:v>0.9121416053114173</x:v>
      </x:c>
      <x:c r="J613" s="75" t="n">
        <x:v>0.8630276317399086</x:v>
      </x:c>
      <x:c r="K613" s="75" t="n">
        <x:v>0.7679264386713373</x:v>
      </x:c>
      <x:c r="L613" s="75" t="n">
        <x:v>0.9794484070097882</x:v>
      </x:c>
      <x:c r="M613" s="75" t="n">
        <x:v>0.9630314541649875</x:v>
      </x:c>
      <x:c r="N613" s="75" t="n">
        <x:v>1.0279152013373514</x:v>
      </x:c>
      <x:c r="O613" s="66" t="n">
        <x:v>512331.50298898126</x:v>
      </x:c>
      <x:c r="P613" s="66" t="n">
        <x:v>70543.7844995795</x:v>
      </x:c>
      <x:c r="Q613" s="66" t="n">
        <x:v>441787.71848940174</x:v>
      </x:c>
      <x:c r="R613" s="66" t="n">
        <x:v>96094.09545248716</x:v>
      </x:c>
      <x:c r="S613" s="66" t="n">
        <x:v>345693.6230369146</x:v>
      </x:c>
      <x:c r="T613" s="66" t="n">
        <x:v>275732.5164015002</x:v>
      </x:c>
      <x:c r="U613" s="45" t="n">
        <x:v>0.675883288224279</x:v>
      </x:c>
      <x:c r="V613" s="45" t="n">
        <x:v>0.6640936811716768</x:v>
      </x:c>
      <x:c r="W613" s="45" t="n">
        <x:v>0.07278312793477258</x:v>
      </x:c>
      <x:c r="X613" s="66" t="n">
        <x:v>56456234.77920968</x:v>
      </x:c>
      <x:c r="Y613" s="66" t="n">
        <x:v>110.19473612268557</x:v>
      </x:c>
      <x:c r="Z613" s="66" t="n">
        <x:v>3321475.624804758</x:v>
      </x:c>
      <x:c r="AA613" s="66" t="n">
        <x:v>312763.18812692876</x:v>
      </x:c>
      <x:c r="AB613" s="66" t="n">
        <x:v>21690.9522549697</x:v>
      </x:c>
      <x:c r="AC613" s="66" t="n">
        <x:v>0</x:v>
      </x:c>
      <x:c r="AD613" s="66" t="n">
        <x:v>2812.662083590906</x:v>
      </x:c>
      <x:c r="AE613" s="66" t="n">
        <x:v>216524.60080446876</x:v>
      </x:c>
      <x:c r="AF613" s="66" t="n">
        <x:v>275732.51640150027</x:v>
      </x:c>
      <x:c r="AG613" s="66" t="n">
        <x:v>0</x:v>
      </x:c>
      <x:c r="AH613" s="36" t="n">
        <x:v>0</x:v>
      </x:c>
    </x:row>
    <x:row r="614" ht="15" hidden="0" customHeight="1">
      <x:c r="A614" s="34" t="n">
        <x:v>153</x:v>
      </x:c>
      <x:c r="B614" s="34" t="str">
        <x:v>B1</x:v>
      </x:c>
      <x:c r="C614" s="34" t="str">
        <x:v>slow</x:v>
      </x:c>
      <x:c r="D614" s="74" t="n">
        <x:v>1.0650279929208604</x:v>
      </x:c>
      <x:c r="E614" s="74" t="n">
        <x:v>0.0010035913211496952</x:v>
      </x:c>
      <x:c r="F614" s="74" t="n">
        <x:v>0.9096603974247999</x:v>
      </x:c>
      <x:c r="G614" s="74" t="n">
        <x:v>1.2821147037396625</x:v>
      </x:c>
      <x:c r="H614" s="74" t="n">
        <x:v>0.8646499112828763</x:v>
      </x:c>
      <x:c r="I614" s="74" t="n">
        <x:v>0.9121416053114173</x:v>
      </x:c>
      <x:c r="J614" s="74" t="n">
        <x:v>0.8630276317399086</x:v>
      </x:c>
      <x:c r="K614" s="74" t="n">
        <x:v>0.7679264386713373</x:v>
      </x:c>
      <x:c r="L614" s="74" t="n">
        <x:v>0.9794484070097882</x:v>
      </x:c>
      <x:c r="M614" s="74" t="n">
        <x:v>0.9630314541649875</x:v>
      </x:c>
      <x:c r="N614" s="74" t="n">
        <x:v>1.0279152013373514</x:v>
      </x:c>
      <x:c r="O614" s="65" t="n">
        <x:v>512331.50298898126</x:v>
      </x:c>
      <x:c r="P614" s="65" t="n">
        <x:v>238625.76961926217</x:v>
      </x:c>
      <x:c r="Q614" s="65" t="n">
        <x:v>273705.7333697191</x:v>
      </x:c>
      <x:c r="R614" s="65" t="n">
        <x:v>96094.09545248716</x:v>
      </x:c>
      <x:c r="S614" s="65" t="n">
        <x:v>177611.63791723197</x:v>
      </x:c>
      <x:c r="T614" s="65" t="n">
        <x:v>161901.68647947698</x:v>
      </x:c>
      <x:c r="U614" s="43" t="n">
        <x:v>0.7817740149923073</x:v>
      </x:c>
      <x:c r="V614" s="43" t="n">
        <x:v>0.7723022190770213</x:v>
      </x:c>
      <x:c r="W614" s="43" t="n">
        <x:v>0.2526213311917393</x:v>
      </x:c>
      <x:c r="X614" s="65" t="n">
        <x:v>36108217.00953844</x:v>
      </x:c>
      <x:c r="Y614" s="65" t="n">
        <x:v>70.47822903506876</x:v>
      </x:c>
      <x:c r="Z614" s="65" t="n">
        <x:v>1081756.631009726</x:v>
      </x:c>
      <x:c r="AA614" s="65" t="n">
        <x:v>191436.10190816518</x:v>
      </x:c>
      <x:c r="AB614" s="65" t="n">
        <x:v>2533.917332804387</x:v>
      </x:c>
      <x:c r="AC614" s="65" t="n">
        <x:v>231.8166835346291</x:v>
      </x:c>
      <x:c r="AD614" s="65" t="n">
        <x:v>2251.7390445728433</x:v>
      </x:c>
      <x:c r="AE614" s="65" t="n">
        <x:v>73089.81308392991</x:v>
      </x:c>
      <x:c r="AF614" s="65" t="n">
        <x:v>161901.6864794769</x:v>
      </x:c>
      <x:c r="AG614" s="65" t="n">
        <x:v>8.731149137020111e-11</x:v>
      </x:c>
      <x:c r="AH614" s="34" t="n">
        <x:v>0</x:v>
      </x:c>
    </x:row>
    <x:row r="615" ht="15" hidden="0" customHeight="1">
      <x:c r="A615" s="36" t="n">
        <x:v>153</x:v>
      </x:c>
      <x:c r="B615" s="36" t="str">
        <x:v>P2</x:v>
      </x:c>
      <x:c r="C615" s="36" t="str">
        <x:v>slow</x:v>
      </x:c>
      <x:c r="D615" s="75" t="n">
        <x:v>1.0650279929208604</x:v>
      </x:c>
      <x:c r="E615" s="75" t="n">
        <x:v>0.0010035913211496952</x:v>
      </x:c>
      <x:c r="F615" s="75" t="n">
        <x:v>0.9096603974247999</x:v>
      </x:c>
      <x:c r="G615" s="75" t="n">
        <x:v>1.2821147037396625</x:v>
      </x:c>
      <x:c r="H615" s="75" t="n">
        <x:v>0.8646499112828763</x:v>
      </x:c>
      <x:c r="I615" s="75" t="n">
        <x:v>0.9121416053114173</x:v>
      </x:c>
      <x:c r="J615" s="75" t="n">
        <x:v>0.8630276317399086</x:v>
      </x:c>
      <x:c r="K615" s="75" t="n">
        <x:v>0.7679264386713373</x:v>
      </x:c>
      <x:c r="L615" s="75" t="n">
        <x:v>0.9794484070097882</x:v>
      </x:c>
      <x:c r="M615" s="75" t="n">
        <x:v>0.9630314541649875</x:v>
      </x:c>
      <x:c r="N615" s="75" t="n">
        <x:v>1.0279152013373514</x:v>
      </x:c>
      <x:c r="O615" s="66" t="n">
        <x:v>512331.50298898126</x:v>
      </x:c>
      <x:c r="P615" s="66" t="n">
        <x:v>345694.7438266281</x:v>
      </x:c>
      <x:c r="Q615" s="66" t="n">
        <x:v>166636.7591623532</x:v>
      </x:c>
      <x:c r="R615" s="66" t="n">
        <x:v>96094.09545248716</x:v>
      </x:c>
      <x:c r="S615" s="66" t="n">
        <x:v>70542.66370986603</x:v>
      </x:c>
      <x:c r="T615" s="66" t="n">
        <x:v>86420.252519898</x:v>
      </x:c>
      <x:c r="U615" s="45" t="n">
        <x:v>0.8434285103015022</x:v>
      </x:c>
      <x:c r="V615" s="45" t="n">
        <x:v>0.8380722463031999</x:v>
      </x:c>
      <x:c r="W615" s="45" t="n">
        <x:v>0.3712087199988589</x:v>
      </x:c>
      <x:c r="X615" s="66" t="n">
        <x:v>21695884.728195187</x:v>
      </x:c>
      <x:c r="Y615" s="66" t="n">
        <x:v>42.34735635349326</x:v>
      </x:c>
      <x:c r="Z615" s="66" t="n">
        <x:v>550684.6950641011</x:v>
      </x:c>
      <x:c r="AA615" s="66" t="n">
        <x:v>116048.02082670786</x:v>
      </x:c>
      <x:c r="AB615" s="66" t="n">
        <x:v>0</x:v>
      </x:c>
      <x:c r="AC615" s="66" t="n">
        <x:v>0</x:v>
      </x:c>
      <x:c r="AD615" s="66" t="n">
        <x:v>1911.4319946641008</x:v>
      </x:c>
      <x:c r="AE615" s="66" t="n">
        <x:v>13761.618545093632</x:v>
      </x:c>
      <x:c r="AF615" s="66" t="n">
        <x:v>86420.25251989803</x:v>
      </x:c>
      <x:c r="AG615" s="66" t="n">
        <x:v>0</x:v>
      </x:c>
      <x:c r="AH615" s="36" t="n">
        <x:v>0</x:v>
      </x:c>
    </x:row>
    <x:row r="616" ht="15" hidden="0" customHeight="1">
      <x:c r="A616" s="34" t="n">
        <x:v>153</x:v>
      </x:c>
      <x:c r="B616" s="34" t="str">
        <x:v>H3</x:v>
      </x:c>
      <x:c r="C616" s="34" t="str">
        <x:v>slow</x:v>
      </x:c>
      <x:c r="D616" s="74" t="n">
        <x:v>1.0650279929208604</x:v>
      </x:c>
      <x:c r="E616" s="74" t="n">
        <x:v>0.0010035913211496952</x:v>
      </x:c>
      <x:c r="F616" s="74" t="n">
        <x:v>0.9096603974247999</x:v>
      </x:c>
      <x:c r="G616" s="74" t="n">
        <x:v>1.2821147037396625</x:v>
      </x:c>
      <x:c r="H616" s="74" t="n">
        <x:v>0.8646499112828763</x:v>
      </x:c>
      <x:c r="I616" s="74" t="n">
        <x:v>0.9121416053114173</x:v>
      </x:c>
      <x:c r="J616" s="74" t="n">
        <x:v>0.8630276317399086</x:v>
      </x:c>
      <x:c r="K616" s="74" t="n">
        <x:v>0.7679264386713373</x:v>
      </x:c>
      <x:c r="L616" s="74" t="n">
        <x:v>0.9794484070097882</x:v>
      </x:c>
      <x:c r="M616" s="74" t="n">
        <x:v>0.9630314541649875</x:v>
      </x:c>
      <x:c r="N616" s="74" t="n">
        <x:v>1.0279152013373514</x:v>
      </x:c>
      <x:c r="O616" s="65" t="n">
        <x:v>512331.50298898126</x:v>
      </x:c>
      <x:c r="P616" s="65" t="n">
        <x:v>358608.7301773986</x:v>
      </x:c>
      <x:c r="Q616" s="65" t="n">
        <x:v>153722.77281158266</x:v>
      </x:c>
      <x:c r="R616" s="65" t="n">
        <x:v>96094.09545248716</x:v>
      </x:c>
      <x:c r="S616" s="65" t="n">
        <x:v>57628.677359095505</x:v>
      </x:c>
      <x:c r="T616" s="65" t="n">
        <x:v>77321.24110709174</x:v>
      </x:c>
      <x:c r="U616" s="43" t="n">
        <x:v>0.8508748119942683</x:v>
      </x:c>
      <x:c r="V616" s="43" t="n">
        <x:v>0.8461661041598093</x:v>
      </x:c>
      <x:c r="W616" s="43" t="n">
        <x:v>0.38613286425892696</x:v>
      </x:c>
      <x:c r="X616" s="65" t="n">
        <x:v>19192216.795670465</x:v>
      </x:c>
      <x:c r="Y616" s="65" t="n">
        <x:v>37.46054397143568</x:v>
      </x:c>
      <x:c r="Z616" s="65" t="n">
        <x:v>521496.5696507823</x:v>
      </x:c>
      <x:c r="AA616" s="65" t="n">
        <x:v>105915.63721554776</x:v>
      </x:c>
      <x:c r="AB616" s="65" t="n">
        <x:v>1753.4272384561198</x:v>
      </x:c>
      <x:c r="AC616" s="65" t="n">
        <x:v>0</x:v>
      </x:c>
      <x:c r="AD616" s="65" t="n">
        <x:v>1873.0061465125464</x:v>
      </x:c>
      <x:c r="AE616" s="65" t="n">
        <x:v>13456.54830258622</x:v>
      </x:c>
      <x:c r="AF616" s="65" t="n">
        <x:v>77321.24110709174</x:v>
      </x:c>
      <x:c r="AG616" s="65" t="n">
        <x:v>0</x:v>
      </x:c>
      <x:c r="AH616" s="34" t="n">
        <x:v>0</x:v>
      </x:c>
    </x:row>
    <x:row r="617" ht="15" hidden="0" customHeight="1">
      <x:c r="A617" s="36" t="n">
        <x:v>154</x:v>
      </x:c>
      <x:c r="B617" s="36" t="str">
        <x:v>M0</x:v>
      </x:c>
      <x:c r="C617" s="36" t="str">
        <x:v>slow</x:v>
      </x:c>
      <x:c r="D617" s="75" t="n">
        <x:v>1.017275211007341</x:v>
      </x:c>
      <x:c r="E617" s="75" t="n">
        <x:v>0.027076842554627063</x:v>
      </x:c>
      <x:c r="F617" s="75" t="n">
        <x:v>0.9561727141052837</x:v>
      </x:c>
      <x:c r="G617" s="75" t="n">
        <x:v>1.2628481789768884</x:v>
      </x:c>
      <x:c r="H617" s="75" t="n">
        <x:v>0.7565162460714374</x:v>
      </x:c>
      <x:c r="I617" s="75" t="n">
        <x:v>0.9694878464726095</x:v>
      </x:c>
      <x:c r="J617" s="75" t="n">
        <x:v>0.8703195477305778</x:v>
      </x:c>
      <x:c r="K617" s="75" t="n">
        <x:v>0.9668395104883354</x:v>
      </x:c>
      <x:c r="L617" s="75" t="n">
        <x:v>0.8643838243491113</x:v>
      </x:c>
      <x:c r="M617" s="75" t="n">
        <x:v>0.9508274282230935</x:v>
      </x:c>
      <x:c r="N617" s="75" t="n">
        <x:v>0.8670031507081661</x:v>
      </x:c>
      <x:c r="O617" s="66" t="n">
        <x:v>489360.03680003923</x:v>
      </x:c>
      <x:c r="P617" s="66" t="n">
        <x:v>68552.6696067355</x:v>
      </x:c>
      <x:c r="Q617" s="66" t="n">
        <x:v>420807.3671933037</x:v>
      </x:c>
      <x:c r="R617" s="66" t="n">
        <x:v>104544.72068862549</x:v>
      </x:c>
      <x:c r="S617" s="66" t="n">
        <x:v>316262.64650467824</x:v>
      </x:c>
      <x:c r="T617" s="66" t="n">
        <x:v>268488.54361067555</x:v>
      </x:c>
      <x:c r="U617" s="45" t="n">
        <x:v>0.6887387360466701</x:v>
      </x:c>
      <x:c r="V617" s="45" t="n">
        <x:v>0.6730656899037469</x:v>
      </x:c>
      <x:c r="W617" s="45" t="n">
        <x:v>0.0720620102231185</x:v>
      </x:c>
      <x:c r="X617" s="66" t="n">
        <x:v>54157052.444780506</x:v>
      </x:c>
      <x:c r="Y617" s="66" t="n">
        <x:v>110.66913595747907</x:v>
      </x:c>
      <x:c r="Z617" s="66" t="n">
        <x:v>2163139.6224700045</x:v>
      </x:c>
      <x:c r="AA617" s="66" t="n">
        <x:v>306507.95653441537</x:v>
      </x:c>
      <x:c r="AB617" s="66" t="n">
        <x:v>8876.441428477621</x:v>
      </x:c>
      <x:c r="AC617" s="66" t="n">
        <x:v>0</x:v>
      </x:c>
      <x:c r="AD617" s="66" t="n">
        <x:v>2688.88592812035</x:v>
      </x:c>
      <x:c r="AE617" s="66" t="n">
        <x:v>218549.1621298852</x:v>
      </x:c>
      <x:c r="AF617" s="66" t="n">
        <x:v>268488.54361067555</x:v>
      </x:c>
      <x:c r="AG617" s="66" t="n">
        <x:v>0</x:v>
      </x:c>
      <x:c r="AH617" s="36" t="n">
        <x:v>0</x:v>
      </x:c>
    </x:row>
    <x:row r="618" ht="15" hidden="0" customHeight="1">
      <x:c r="A618" s="34" t="n">
        <x:v>154</x:v>
      </x:c>
      <x:c r="B618" s="34" t="str">
        <x:v>B1</x:v>
      </x:c>
      <x:c r="C618" s="34" t="str">
        <x:v>slow</x:v>
      </x:c>
      <x:c r="D618" s="74" t="n">
        <x:v>1.017275211007341</x:v>
      </x:c>
      <x:c r="E618" s="74" t="n">
        <x:v>0.027076842554627063</x:v>
      </x:c>
      <x:c r="F618" s="74" t="n">
        <x:v>0.9561727141052837</x:v>
      </x:c>
      <x:c r="G618" s="74" t="n">
        <x:v>1.2628481789768884</x:v>
      </x:c>
      <x:c r="H618" s="74" t="n">
        <x:v>0.7565162460714374</x:v>
      </x:c>
      <x:c r="I618" s="74" t="n">
        <x:v>0.9694878464726095</x:v>
      </x:c>
      <x:c r="J618" s="74" t="n">
        <x:v>0.8703195477305778</x:v>
      </x:c>
      <x:c r="K618" s="74" t="n">
        <x:v>0.9668395104883354</x:v>
      </x:c>
      <x:c r="L618" s="74" t="n">
        <x:v>0.8643838243491113</x:v>
      </x:c>
      <x:c r="M618" s="74" t="n">
        <x:v>0.9508274282230935</x:v>
      </x:c>
      <x:c r="N618" s="74" t="n">
        <x:v>0.8670031507081661</x:v>
      </x:c>
      <x:c r="O618" s="65" t="n">
        <x:v>489360.03680003923</x:v>
      </x:c>
      <x:c r="P618" s="65" t="n">
        <x:v>231891.32187811602</x:v>
      </x:c>
      <x:c r="Q618" s="65" t="n">
        <x:v>257468.71492192324</x:v>
      </x:c>
      <x:c r="R618" s="65" t="n">
        <x:v>104544.72068862549</x:v>
      </x:c>
      <x:c r="S618" s="65" t="n">
        <x:v>152923.9942332977</x:v>
      </x:c>
      <x:c r="T618" s="65" t="n">
        <x:v>151379.0113266078</x:v>
      </x:c>
      <x:c r="U618" s="43" t="n">
        <x:v>0.7832072592420016</x:v>
      </x:c>
      <x:c r="V618" s="43" t="n">
        <x:v>0.7738553195120288</x:v>
      </x:c>
      <x:c r="W618" s="43" t="n">
        <x:v>0.2501184198518027</x:v>
      </x:c>
      <x:c r="X618" s="65" t="n">
        <x:v>34623055.44022873</x:v>
      </x:c>
      <x:c r="Y618" s="65" t="n">
        <x:v>70.75170188933163</x:v>
      </x:c>
      <x:c r="Z618" s="65" t="n">
        <x:v>961165.3069070262</x:v>
      </x:c>
      <x:c r="AA618" s="65" t="n">
        <x:v>184444.7011049094</x:v>
      </x:c>
      <x:c r="AB618" s="65" t="n">
        <x:v>866.012893547196</x:v>
      </x:c>
      <x:c r="AC618" s="65" t="n">
        <x:v>0</x:v>
      </x:c>
      <x:c r="AD618" s="65" t="n">
        <x:v>2158.421368162749</x:v>
      </x:c>
      <x:c r="AE618" s="65" t="n">
        <x:v>76469.93910542227</x:v>
      </x:c>
      <x:c r="AF618" s="65" t="n">
        <x:v>151379.01132660767</x:v>
      </x:c>
      <x:c r="AG618" s="65" t="n">
        <x:v>1.4551915228366852e-10</x:v>
      </x:c>
      <x:c r="AH618" s="34" t="n">
        <x:v>0</x:v>
      </x:c>
    </x:row>
    <x:row r="619" ht="15" hidden="0" customHeight="1">
      <x:c r="A619" s="36" t="n">
        <x:v>154</x:v>
      </x:c>
      <x:c r="B619" s="36" t="str">
        <x:v>P2</x:v>
      </x:c>
      <x:c r="C619" s="36" t="str">
        <x:v>slow</x:v>
      </x:c>
      <x:c r="D619" s="75" t="n">
        <x:v>1.017275211007341</x:v>
      </x:c>
      <x:c r="E619" s="75" t="n">
        <x:v>0.027076842554627063</x:v>
      </x:c>
      <x:c r="F619" s="75" t="n">
        <x:v>0.9561727141052837</x:v>
      </x:c>
      <x:c r="G619" s="75" t="n">
        <x:v>1.2628481789768884</x:v>
      </x:c>
      <x:c r="H619" s="75" t="n">
        <x:v>0.7565162460714374</x:v>
      </x:c>
      <x:c r="I619" s="75" t="n">
        <x:v>0.9694878464726095</x:v>
      </x:c>
      <x:c r="J619" s="75" t="n">
        <x:v>0.8703195477305778</x:v>
      </x:c>
      <x:c r="K619" s="75" t="n">
        <x:v>0.9668395104883354</x:v>
      </x:c>
      <x:c r="L619" s="75" t="n">
        <x:v>0.8643838243491113</x:v>
      </x:c>
      <x:c r="M619" s="75" t="n">
        <x:v>0.9508274282230935</x:v>
      </x:c>
      <x:c r="N619" s="75" t="n">
        <x:v>0.8670031507081661</x:v>
      </x:c>
      <x:c r="O619" s="66" t="n">
        <x:v>489360.03680003923</x:v>
      </x:c>
      <x:c r="P619" s="66" t="n">
        <x:v>335939.28696938977</x:v>
      </x:c>
      <x:c r="Q619" s="66" t="n">
        <x:v>153420.74983064947</x:v>
      </x:c>
      <x:c r="R619" s="66" t="n">
        <x:v>104544.72068862549</x:v>
      </x:c>
      <x:c r="S619" s="66" t="n">
        <x:v>48876.029142024</x:v>
      </x:c>
      <x:c r="T619" s="66" t="n">
        <x:v>77818.23682566916</x:v>
      </x:c>
      <x:c r="U619" s="45" t="n">
        <x:v>0.8455073824594451</x:v>
      </x:c>
      <x:c r="V619" s="45" t="n">
        <x:v>0.8403412689931242</x:v>
      </x:c>
      <x:c r="W619" s="45" t="n">
        <x:v>0.3675308733562756</x:v>
      </x:c>
      <x:c r="X619" s="66" t="n">
        <x:v>20295167.002881613</x:v>
      </x:c>
      <x:c r="Y619" s="66" t="n">
        <x:v>41.472873705816234</x:v>
      </x:c>
      <x:c r="Z619" s="66" t="n">
        <x:v>495095.6852746282</x:v>
      </x:c>
      <x:c r="AA619" s="66" t="n">
        <x:v>108736.81611258727</x:v>
      </x:c>
      <x:c r="AB619" s="66" t="n">
        <x:v>0</x:v>
      </x:c>
      <x:c r="AC619" s="66" t="n">
        <x:v>0</x:v>
      </x:c>
      <x:c r="AD619" s="66" t="n">
        <x:v>1836.5932082848344</x:v>
      </x:c>
      <x:c r="AE619" s="66" t="n">
        <x:v>13222.046986729816</x:v>
      </x:c>
      <x:c r="AF619" s="66" t="n">
        <x:v>77818.23682566918</x:v>
      </x:c>
      <x:c r="AG619" s="66" t="n">
        <x:v>0</x:v>
      </x:c>
      <x:c r="AH619" s="36" t="n">
        <x:v>0</x:v>
      </x:c>
    </x:row>
    <x:row r="620" ht="15" hidden="0" customHeight="1">
      <x:c r="A620" s="34" t="n">
        <x:v>154</x:v>
      </x:c>
      <x:c r="B620" s="34" t="str">
        <x:v>H3</x:v>
      </x:c>
      <x:c r="C620" s="34" t="str">
        <x:v>slow</x:v>
      </x:c>
      <x:c r="D620" s="74" t="n">
        <x:v>1.017275211007341</x:v>
      </x:c>
      <x:c r="E620" s="74" t="n">
        <x:v>0.027076842554627063</x:v>
      </x:c>
      <x:c r="F620" s="74" t="n">
        <x:v>0.9561727141052837</x:v>
      </x:c>
      <x:c r="G620" s="74" t="n">
        <x:v>1.2628481789768884</x:v>
      </x:c>
      <x:c r="H620" s="74" t="n">
        <x:v>0.7565162460714374</x:v>
      </x:c>
      <x:c r="I620" s="74" t="n">
        <x:v>0.9694878464726095</x:v>
      </x:c>
      <x:c r="J620" s="74" t="n">
        <x:v>0.8703195477305778</x:v>
      </x:c>
      <x:c r="K620" s="74" t="n">
        <x:v>0.9668395104883354</x:v>
      </x:c>
      <x:c r="L620" s="74" t="n">
        <x:v>0.8643838243491113</x:v>
      </x:c>
      <x:c r="M620" s="74" t="n">
        <x:v>0.9508274282230935</x:v>
      </x:c>
      <x:c r="N620" s="74" t="n">
        <x:v>0.8670031507081661</x:v>
      </x:c>
      <x:c r="O620" s="65" t="n">
        <x:v>489360.03680003923</x:v>
      </x:c>
      <x:c r="P620" s="65" t="n">
        <x:v>348488.97755856696</x:v>
      </x:c>
      <x:c r="Q620" s="65" t="n">
        <x:v>140871.05924147222</x:v>
      </x:c>
      <x:c r="R620" s="65" t="n">
        <x:v>104544.72068862549</x:v>
      </x:c>
      <x:c r="S620" s="65" t="n">
        <x:v>36326.338552846726</x:v>
      </x:c>
      <x:c r="T620" s="65" t="n">
        <x:v>68950.72358794717</x:v>
      </x:c>
      <x:c r="U620" s="43" t="n">
        <x:v>0.853031857436056</x:v>
      </x:c>
      <x:c r="V620" s="43" t="n">
        <x:v>0.8485237360280279</x:v>
      </x:c>
      <x:c r="W620" s="43" t="n">
        <x:v>0.3823071527874668</x:v>
      </x:c>
      <x:c r="X620" s="65" t="n">
        <x:v>17855046.52159423</x:v>
      </x:c>
      <x:c r="Y620" s="65" t="n">
        <x:v>36.486523579550294</x:v>
      </x:c>
      <x:c r="Z620" s="65" t="n">
        <x:v>459270.2618537683</x:v>
      </x:c>
      <x:c r="AA620" s="65" t="n">
        <x:v>98940.85809644745</x:v>
      </x:c>
      <x:c r="AB620" s="65" t="n">
        <x:v>894.8339744138241</x:v>
      </x:c>
      <x:c r="AC620" s="65" t="n">
        <x:v>0</x:v>
      </x:c>
      <x:c r="AD620" s="65" t="n">
        <x:v>1800.253908215444</x:v>
      </x:c>
      <x:c r="AE620" s="65" t="n">
        <x:v>12933.54225311934</x:v>
      </x:c>
      <x:c r="AF620" s="65" t="n">
        <x:v>68950.72358794723</x:v>
      </x:c>
      <x:c r="AG620" s="65" t="n">
        <x:v>0</x:v>
      </x:c>
      <x:c r="AH620" s="34" t="n">
        <x:v>0</x:v>
      </x:c>
    </x:row>
    <x:row r="621" ht="15" hidden="0" customHeight="1">
      <x:c r="A621" s="36" t="n">
        <x:v>155</x:v>
      </x:c>
      <x:c r="B621" s="36" t="str">
        <x:v>M0</x:v>
      </x:c>
      <x:c r="C621" s="36" t="str">
        <x:v>slow</x:v>
      </x:c>
      <x:c r="D621" s="75" t="n">
        <x:v>0.9163729486694405</x:v>
      </x:c>
      <x:c r="E621" s="75" t="n">
        <x:v>0.028032688931817894</x:v>
      </x:c>
      <x:c r="F621" s="75" t="n">
        <x:v>0.9547503022050936</x:v>
      </x:c>
      <x:c r="G621" s="75" t="n">
        <x:v>0.9490940960730535</x:v>
      </x:c>
      <x:c r="H621" s="75" t="n">
        <x:v>0.7495362780967081</x:v>
      </x:c>
      <x:c r="I621" s="75" t="n">
        <x:v>1.0348820744627085</x:v>
      </x:c>
      <x:c r="J621" s="75" t="n">
        <x:v>0.8289473121968222</x:v>
      </x:c>
      <x:c r="K621" s="75" t="n">
        <x:v>0.8900515309726525</x:v>
      </x:c>
      <x:c r="L621" s="75" t="n">
        <x:v>0.9016502224439089</x:v>
      </x:c>
      <x:c r="M621" s="75" t="n">
        <x:v>0.8456250697078979</x:v>
      </x:c>
      <x:c r="N621" s="75" t="n">
        <x:v>0.7942524445729572</x:v>
      </x:c>
      <x:c r="O621" s="66" t="n">
        <x:v>440821.0236828446</x:v>
      </x:c>
      <x:c r="P621" s="66" t="n">
        <x:v>61586.18606354228</x:v>
      </x:c>
      <x:c r="Q621" s="66" t="n">
        <x:v>379234.8376193023</x:v>
      </x:c>
      <x:c r="R621" s="66" t="n">
        <x:v>94596.41711175915</x:v>
      </x:c>
      <x:c r="S621" s="66" t="n">
        <x:v>284638.4205075432</x:v>
      </x:c>
      <x:c r="T621" s="66" t="n">
        <x:v>241971.5945032107</x:v>
      </x:c>
      <x:c r="U621" s="45" t="n">
        <x:v>0.6886191090222418</x:v>
      </x:c>
      <x:c r="V621" s="45" t="n">
        <x:v>0.67294167389598</x:v>
      </x:c>
      <x:c r="W621" s="45" t="n">
        <x:v>0.07179218538721772</x:v>
      </x:c>
      <x:c r="X621" s="66" t="n">
        <x:v>47336196.20312602</x:v>
      </x:c>
      <x:c r="Y621" s="66" t="n">
        <x:v>107.38189346700209</x:v>
      </x:c>
      <x:c r="Z621" s="66" t="n">
        <x:v>1811654.965537559</x:v>
      </x:c>
      <x:c r="AA621" s="66" t="n">
        <x:v>267571.68143838</x:v>
      </x:c>
      <x:c r="AB621" s="66" t="n">
        <x:v>7515.391421109442</x:v>
      </x:c>
      <x:c r="AC621" s="66" t="n">
        <x:v>365.2916605902103</x:v>
      </x:c>
      <x:c r="AD621" s="66" t="n">
        <x:v>2422.9658853466144</x:v>
      </x:c>
      <x:c r="AE621" s="66" t="n">
        <x:v>196222.65369580835</x:v>
      </x:c>
      <x:c r="AF621" s="66" t="n">
        <x:v>241971.5945032112</x:v>
      </x:c>
      <x:c r="AG621" s="66" t="n">
        <x:v>0</x:v>
      </x:c>
      <x:c r="AH621" s="36" t="n">
        <x:v>0</x:v>
      </x:c>
    </x:row>
    <x:row r="622" ht="15" hidden="0" customHeight="1">
      <x:c r="A622" s="34" t="n">
        <x:v>155</x:v>
      </x:c>
      <x:c r="B622" s="34" t="str">
        <x:v>B1</x:v>
      </x:c>
      <x:c r="C622" s="34" t="str">
        <x:v>slow</x:v>
      </x:c>
      <x:c r="D622" s="74" t="n">
        <x:v>0.9163729486694405</x:v>
      </x:c>
      <x:c r="E622" s="74" t="n">
        <x:v>0.028032688931817894</x:v>
      </x:c>
      <x:c r="F622" s="74" t="n">
        <x:v>0.9547503022050936</x:v>
      </x:c>
      <x:c r="G622" s="74" t="n">
        <x:v>0.9490940960730535</x:v>
      </x:c>
      <x:c r="H622" s="74" t="n">
        <x:v>0.7495362780967081</x:v>
      </x:c>
      <x:c r="I622" s="74" t="n">
        <x:v>1.0348820744627085</x:v>
      </x:c>
      <x:c r="J622" s="74" t="n">
        <x:v>0.8289473121968222</x:v>
      </x:c>
      <x:c r="K622" s="74" t="n">
        <x:v>0.8900515309726525</x:v>
      </x:c>
      <x:c r="L622" s="74" t="n">
        <x:v>0.9016502224439089</x:v>
      </x:c>
      <x:c r="M622" s="74" t="n">
        <x:v>0.8456250697078979</x:v>
      </x:c>
      <x:c r="N622" s="74" t="n">
        <x:v>0.7942524445729572</x:v>
      </x:c>
      <x:c r="O622" s="65" t="n">
        <x:v>440821.0236828446</x:v>
      </x:c>
      <x:c r="P622" s="65" t="n">
        <x:v>208326.00822538292</x:v>
      </x:c>
      <x:c r="Q622" s="65" t="n">
        <x:v>232495.0154574617</x:v>
      </x:c>
      <x:c r="R622" s="65" t="n">
        <x:v>94596.41711175915</x:v>
      </x:c>
      <x:c r="S622" s="65" t="n">
        <x:v>137898.59834570257</x:v>
      </x:c>
      <x:c r="T622" s="65" t="n">
        <x:v>136747.1976038963</x:v>
      </x:c>
      <x:c r="U622" s="43" t="n">
        <x:v>0.7827966165187877</x:v>
      </x:c>
      <x:c r="V622" s="43" t="n">
        <x:v>0.7734276227039806</x:v>
      </x:c>
      <x:c r="W622" s="43" t="n">
        <x:v>0.24918189086262646</x:v>
      </x:c>
      <x:c r="X622" s="65" t="n">
        <x:v>30621724.79611001</x:v>
      </x:c>
      <x:c r="Y622" s="65" t="n">
        <x:v>69.46520957707607</x:v>
      </x:c>
      <x:c r="Z622" s="65" t="n">
        <x:v>869394.9887701017</x:v>
      </x:c>
      <x:c r="AA622" s="65" t="n">
        <x:v>161606.21572999912</x:v>
      </x:c>
      <x:c r="AB622" s="65" t="n">
        <x:v>525.4855762974771</x:v>
      </x:c>
      <x:c r="AC622" s="65" t="n">
        <x:v>0</x:v>
      </x:c>
      <x:c r="AD622" s="65" t="n">
        <x:v>1946.9066731566782</x:v>
      </x:c>
      <x:c r="AE622" s="65" t="n">
        <x:v>68123.78639279284</x:v>
      </x:c>
      <x:c r="AF622" s="65" t="n">
        <x:v>136747.19760389623</x:v>
      </x:c>
      <x:c r="AG622" s="65" t="n">
        <x:v>5.820766091346741e-11</x:v>
      </x:c>
      <x:c r="AH622" s="34" t="n">
        <x:v>0</x:v>
      </x:c>
    </x:row>
    <x:row r="623" ht="15" hidden="0" customHeight="1">
      <x:c r="A623" s="36" t="n">
        <x:v>155</x:v>
      </x:c>
      <x:c r="B623" s="36" t="str">
        <x:v>P2</x:v>
      </x:c>
      <x:c r="C623" s="36" t="str">
        <x:v>slow</x:v>
      </x:c>
      <x:c r="D623" s="75" t="n">
        <x:v>0.9163729486694405</x:v>
      </x:c>
      <x:c r="E623" s="75" t="n">
        <x:v>0.028032688931817894</x:v>
      </x:c>
      <x:c r="F623" s="75" t="n">
        <x:v>0.9547503022050936</x:v>
      </x:c>
      <x:c r="G623" s="75" t="n">
        <x:v>0.9490940960730535</x:v>
      </x:c>
      <x:c r="H623" s="75" t="n">
        <x:v>0.7495362780967081</x:v>
      </x:c>
      <x:c r="I623" s="75" t="n">
        <x:v>1.0348820744627085</x:v>
      </x:c>
      <x:c r="J623" s="75" t="n">
        <x:v>0.8289473121968222</x:v>
      </x:c>
      <x:c r="K623" s="75" t="n">
        <x:v>0.8900515309726525</x:v>
      </x:c>
      <x:c r="L623" s="75" t="n">
        <x:v>0.9016502224439089</x:v>
      </x:c>
      <x:c r="M623" s="75" t="n">
        <x:v>0.8456250697078979</x:v>
      </x:c>
      <x:c r="N623" s="75" t="n">
        <x:v>0.7942524445729572</x:v>
      </x:c>
      <x:c r="O623" s="66" t="n">
        <x:v>440821.0236828446</x:v>
      </x:c>
      <x:c r="P623" s="66" t="n">
        <x:v>301800.40970733657</x:v>
      </x:c>
      <x:c r="Q623" s="66" t="n">
        <x:v>139020.61397550808</x:v>
      </x:c>
      <x:c r="R623" s="66" t="n">
        <x:v>94596.41711175915</x:v>
      </x:c>
      <x:c r="S623" s="66" t="n">
        <x:v>44424.196863748904</x:v>
      </x:c>
      <x:c r="T623" s="66" t="n">
        <x:v>70654.69379914242</x:v>
      </x:c>
      <x:c r="U623" s="45" t="n">
        <x:v>0.8449122965932938</x:v>
      </x:c>
      <x:c r="V623" s="45" t="n">
        <x:v>0.839717772305826</x:v>
      </x:c>
      <x:c r="W623" s="45" t="n">
        <x:v>0.3661547119463345</x:v>
      </x:c>
      <x:c r="X623" s="66" t="n">
        <x:v>18272007.23846759</x:v>
      </x:c>
      <x:c r="Y623" s="66" t="n">
        <x:v>41.44994511789361</x:v>
      </x:c>
      <x:c r="Z623" s="66" t="n">
        <x:v>451809.372433005</x:v>
      </x:c>
      <x:c r="AA623" s="66" t="n">
        <x:v>96739.08604664532</x:v>
      </x:c>
      <x:c r="AB623" s="66" t="n">
        <x:v>0</x:v>
      </x:c>
      <x:c r="AC623" s="66" t="n">
        <x:v>0</x:v>
      </x:c>
      <x:c r="AD623" s="66" t="n">
        <x:v>1658.0857568936535</x:v>
      </x:c>
      <x:c r="AE623" s="66" t="n">
        <x:v>11936.677308196544</x:v>
      </x:c>
      <x:c r="AF623" s="66" t="n">
        <x:v>70654.69379914239</x:v>
      </x:c>
      <x:c r="AG623" s="66" t="n">
        <x:v>2.9103830456733704e-11</x:v>
      </x:c>
      <x:c r="AH623" s="36" t="n">
        <x:v>0</x:v>
      </x:c>
    </x:row>
    <x:row r="624" ht="15" hidden="0" customHeight="1">
      <x:c r="A624" s="34" t="n">
        <x:v>155</x:v>
      </x:c>
      <x:c r="B624" s="34" t="str">
        <x:v>H3</x:v>
      </x:c>
      <x:c r="C624" s="34" t="str">
        <x:v>slow</x:v>
      </x:c>
      <x:c r="D624" s="74" t="n">
        <x:v>0.9163729486694405</x:v>
      </x:c>
      <x:c r="E624" s="74" t="n">
        <x:v>0.028032688931817894</x:v>
      </x:c>
      <x:c r="F624" s="74" t="n">
        <x:v>0.9547503022050936</x:v>
      </x:c>
      <x:c r="G624" s="74" t="n">
        <x:v>0.9490940960730535</x:v>
      </x:c>
      <x:c r="H624" s="74" t="n">
        <x:v>0.7495362780967081</x:v>
      </x:c>
      <x:c r="I624" s="74" t="n">
        <x:v>1.0348820744627085</x:v>
      </x:c>
      <x:c r="J624" s="74" t="n">
        <x:v>0.8289473121968222</x:v>
      </x:c>
      <x:c r="K624" s="74" t="n">
        <x:v>0.8900515309726525</x:v>
      </x:c>
      <x:c r="L624" s="74" t="n">
        <x:v>0.9016502224439089</x:v>
      </x:c>
      <x:c r="M624" s="74" t="n">
        <x:v>0.8456250697078979</x:v>
      </x:c>
      <x:c r="N624" s="74" t="n">
        <x:v>0.7942524445729572</x:v>
      </x:c>
      <x:c r="O624" s="65" t="n">
        <x:v>440821.0236828446</x:v>
      </x:c>
      <x:c r="P624" s="65" t="n">
        <x:v>313074.7781861864</x:v>
      </x:c>
      <x:c r="Q624" s="65" t="n">
        <x:v>127746.24549665826</x:v>
      </x:c>
      <x:c r="R624" s="65" t="n">
        <x:v>94596.41711175915</x:v>
      </x:c>
      <x:c r="S624" s="65" t="n">
        <x:v>33149.8283848991</x:v>
      </x:c>
      <x:c r="T624" s="65" t="n">
        <x:v>62687.45538803444</x:v>
      </x:c>
      <x:c r="U624" s="43" t="n">
        <x:v>0.8524145024547846</x:v>
      </x:c>
      <x:c r="V624" s="43" t="n">
        <x:v>0.8478761613737784</x:v>
      </x:c>
      <x:c r="W624" s="43" t="n">
        <x:v>0.38087566392884065</x:v>
      </x:c>
      <x:c r="X624" s="65" t="n">
        <x:v>16148758.883195987</x:v>
      </x:c>
      <x:c r="Y624" s="65" t="n">
        <x:v>36.633368227951074</x:v>
      </x:c>
      <x:c r="Z624" s="65" t="n">
        <x:v>419992.4790777597</x:v>
      </x:c>
      <x:c r="AA624" s="65" t="n">
        <x:v>89564.09702680269</x:v>
      </x:c>
      <x:c r="AB624" s="65" t="n">
        <x:v>61.52170268025054</x:v>
      </x:c>
      <x:c r="AC624" s="65" t="n">
        <x:v>0</x:v>
      </x:c>
      <x:c r="AD624" s="65" t="n">
        <x:v>1625.4734772647362</x:v>
      </x:c>
      <x:c r="AE624" s="65" t="n">
        <x:v>11677.762110908581</x:v>
      </x:c>
      <x:c r="AF624" s="65" t="n">
        <x:v>62687.45538803447</x:v>
      </x:c>
      <x:c r="AG624" s="65" t="n">
        <x:v>0</x:v>
      </x:c>
      <x:c r="AH624" s="34" t="n">
        <x:v>0</x:v>
      </x:c>
    </x:row>
    <x:row r="625" ht="15" hidden="0" customHeight="1">
      <x:c r="A625" s="36" t="n">
        <x:v>156</x:v>
      </x:c>
      <x:c r="B625" s="36" t="str">
        <x:v>M0</x:v>
      </x:c>
      <x:c r="C625" s="36" t="str">
        <x:v>reference</x:v>
      </x:c>
      <x:c r="D625" s="75" t="n">
        <x:v>1.1983047137349492</x:v>
      </x:c>
      <x:c r="E625" s="75" t="n">
        <x:v>-0.0009518798662004405</x:v>
      </x:c>
      <x:c r="F625" s="75" t="n">
        <x:v>1.007024480408516</x:v>
      </x:c>
      <x:c r="G625" s="75" t="n">
        <x:v>0.9559930750269064</x:v>
      </x:c>
      <x:c r="H625" s="75" t="n">
        <x:v>0.9569802269575084</x:v>
      </x:c>
      <x:c r="I625" s="75" t="n">
        <x:v>0.9943704014724379</x:v>
      </x:c>
      <x:c r="J625" s="75" t="n">
        <x:v>1.0295591274765337</x:v>
      </x:c>
      <x:c r="K625" s="75" t="n">
        <x:v>0.9257874012591157</x:v>
      </x:c>
      <x:c r="L625" s="75" t="n">
        <x:v>1.0219204138718836</x:v>
      </x:c>
      <x:c r="M625" s="75" t="n">
        <x:v>0.8038863782320793</x:v>
      </x:c>
      <x:c r="N625" s="75" t="n">
        <x:v>0.8226455039803634</x:v>
      </x:c>
      <x:c r="O625" s="66" t="n">
        <x:v>576444.2428812545</x:v>
      </x:c>
      <x:c r="P625" s="66" t="n">
        <x:v>88078.51618872955</x:v>
      </x:c>
      <x:c r="Q625" s="66" t="n">
        <x:v>488365.72669252503</x:v>
      </x:c>
      <x:c r="R625" s="66" t="n">
        <x:v>106992.01084943028</x:v>
      </x:c>
      <x:c r="S625" s="66" t="n">
        <x:v>381373.71584309475</x:v>
      </x:c>
      <x:c r="T625" s="66" t="n">
        <x:v>297691.9662850392</x:v>
      </x:c>
      <x:c r="U625" s="45" t="n">
        <x:v>0.6692242783891176</x:v>
      </x:c>
      <x:c r="V625" s="45" t="n">
        <x:v>0.698134293483292</x:v>
      </x:c>
      <x:c r="W625" s="45" t="n">
        <x:v>0.15303105613435106</x:v>
      </x:c>
      <x:c r="X625" s="66" t="n">
        <x:v>64504801.51957819</x:v>
      </x:c>
      <x:c r="Y625" s="66" t="n">
        <x:v>111.90119827923401</x:v>
      </x:c>
      <x:c r="Z625" s="66" t="n">
        <x:v>5865911.34656469</x:v>
      </x:c>
      <x:c r="AA625" s="66" t="n">
        <x:v>345475.1787290758</x:v>
      </x:c>
      <x:c r="AB625" s="66" t="n">
        <x:v>48243.912544782375</x:v>
      </x:c>
      <x:c r="AC625" s="66" t="n">
        <x:v>0</x:v>
      </x:c>
      <x:c r="AD625" s="66" t="n">
        <x:v>2410.9011188240775</x:v>
      </x:c>
      <x:c r="AE625" s="66" t="n">
        <x:v>273999.7757704047</x:v>
      </x:c>
      <x:c r="AF625" s="66" t="n">
        <x:v>281865.6067720665</x:v>
      </x:c>
      <x:c r="AG625" s="66" t="n">
        <x:v>15826.359512972704</x:v>
      </x:c>
      <x:c r="AH625" s="36" t="n">
        <x:v>0</x:v>
      </x:c>
    </x:row>
    <x:row r="626" ht="15" hidden="0" customHeight="1">
      <x:c r="A626" s="34" t="n">
        <x:v>156</x:v>
      </x:c>
      <x:c r="B626" s="34" t="str">
        <x:v>B1</x:v>
      </x:c>
      <x:c r="C626" s="34" t="str">
        <x:v>reference</x:v>
      </x:c>
      <x:c r="D626" s="74" t="n">
        <x:v>1.1983047137349492</x:v>
      </x:c>
      <x:c r="E626" s="74" t="n">
        <x:v>-0.0009518798662004405</x:v>
      </x:c>
      <x:c r="F626" s="74" t="n">
        <x:v>1.007024480408516</x:v>
      </x:c>
      <x:c r="G626" s="74" t="n">
        <x:v>0.9559930750269064</x:v>
      </x:c>
      <x:c r="H626" s="74" t="n">
        <x:v>0.9569802269575084</x:v>
      </x:c>
      <x:c r="I626" s="74" t="n">
        <x:v>0.9943704014724379</x:v>
      </x:c>
      <x:c r="J626" s="74" t="n">
        <x:v>1.0295591274765337</x:v>
      </x:c>
      <x:c r="K626" s="74" t="n">
        <x:v>0.9257874012591157</x:v>
      </x:c>
      <x:c r="L626" s="74" t="n">
        <x:v>1.0219204138718836</x:v>
      </x:c>
      <x:c r="M626" s="74" t="n">
        <x:v>0.8038863782320793</x:v>
      </x:c>
      <x:c r="N626" s="74" t="n">
        <x:v>0.8226455039803634</x:v>
      </x:c>
      <x:c r="O626" s="65" t="n">
        <x:v>576444.2428812545</x:v>
      </x:c>
      <x:c r="P626" s="65" t="n">
        <x:v>297939.7614531665</x:v>
      </x:c>
      <x:c r="Q626" s="65" t="n">
        <x:v>278504.48142808804</x:v>
      </x:c>
      <x:c r="R626" s="65" t="n">
        <x:v>106992.01084943028</x:v>
      </x:c>
      <x:c r="S626" s="65" t="n">
        <x:v>171512.47057865778</x:v>
      </x:c>
      <x:c r="T626" s="65" t="n">
        <x:v>221190.54358922844</x:v>
      </x:c>
      <x:c r="U626" s="43" t="n">
        <x:v>0.9005733190214789</x:v>
      </x:c>
      <x:c r="V626" s="43" t="n">
        <x:v>0.9173806932689982</x:v>
      </x:c>
      <x:c r="W626" s="43" t="n">
        <x:v>0.5969291278486382</x:v>
      </x:c>
      <x:c r="X626" s="65" t="n">
        <x:v>36080987.65865777</x:v>
      </x:c>
      <x:c r="Y626" s="65" t="n">
        <x:v>62.59232892727549</x:v>
      </x:c>
      <x:c r="Z626" s="65" t="n">
        <x:v>1838479.3571969962</x:v>
      </x:c>
      <x:c r="AA626" s="65" t="n">
        <x:v>188951.88809802884</x:v>
      </x:c>
      <x:c r="AB626" s="65" t="n">
        <x:v>6495.698887464362</x:v>
      </x:c>
      <x:c r="AC626" s="65" t="n">
        <x:v>2521.319414947649</x:v>
      </x:c>
      <x:c r="AD626" s="65" t="n">
        <x:v>1870.283070885052</x:v>
      </x:c>
      <x:c r="AE626" s="65" t="n">
        <x:v>150113.97204532503</x:v>
      </x:c>
      <x:c r="AF626" s="65" t="n">
        <x:v>221190.54358922833</x:v>
      </x:c>
      <x:c r="AG626" s="65" t="n">
        <x:v>1.1641532182693481e-10</x:v>
      </x:c>
      <x:c r="AH626" s="34" t="n">
        <x:v>0</x:v>
      </x:c>
    </x:row>
    <x:row r="627" ht="15" hidden="0" customHeight="1">
      <x:c r="A627" s="36" t="n">
        <x:v>156</x:v>
      </x:c>
      <x:c r="B627" s="36" t="str">
        <x:v>P2</x:v>
      </x:c>
      <x:c r="C627" s="36" t="str">
        <x:v>reference</x:v>
      </x:c>
      <x:c r="D627" s="75" t="n">
        <x:v>1.1983047137349492</x:v>
      </x:c>
      <x:c r="E627" s="75" t="n">
        <x:v>-0.0009518798662004405</x:v>
      </x:c>
      <x:c r="F627" s="75" t="n">
        <x:v>1.007024480408516</x:v>
      </x:c>
      <x:c r="G627" s="75" t="n">
        <x:v>0.9559930750269064</x:v>
      </x:c>
      <x:c r="H627" s="75" t="n">
        <x:v>0.9569802269575084</x:v>
      </x:c>
      <x:c r="I627" s="75" t="n">
        <x:v>0.9943704014724379</x:v>
      </x:c>
      <x:c r="J627" s="75" t="n">
        <x:v>1.0295591274765337</x:v>
      </x:c>
      <x:c r="K627" s="75" t="n">
        <x:v>0.9257874012591157</x:v>
      </x:c>
      <x:c r="L627" s="75" t="n">
        <x:v>1.0219204138718836</x:v>
      </x:c>
      <x:c r="M627" s="75" t="n">
        <x:v>0.8038863782320793</x:v>
      </x:c>
      <x:c r="N627" s="75" t="n">
        <x:v>0.8226455039803634</x:v>
      </x:c>
      <x:c r="O627" s="66" t="n">
        <x:v>576444.2428812545</x:v>
      </x:c>
      <x:c r="P627" s="66" t="n">
        <x:v>431622.262794585</x:v>
      </x:c>
      <x:c r="Q627" s="66" t="n">
        <x:v>144821.9800866695</x:v>
      </x:c>
      <x:c r="R627" s="66" t="n">
        <x:v>106992.01084943028</x:v>
      </x:c>
      <x:c r="S627" s="66" t="n">
        <x:v>37829.96923723923</x:v>
      </x:c>
      <x:c r="T627" s="66" t="n">
        <x:v>132953.10339807026</x:v>
      </x:c>
      <x:c r="U627" s="45" t="n">
        <x:v>0.979410191297471</x:v>
      </x:c>
      <x:c r="V627" s="45" t="n">
        <x:v>0.9825771471735424</x:v>
      </x:c>
      <x:c r="W627" s="45" t="n">
        <x:v>0.8069090919441018</x:v>
      </x:c>
      <x:c r="X627" s="66" t="n">
        <x:v>17306262.059807688</x:v>
      </x:c>
      <x:c r="Y627" s="66" t="n">
        <x:v>30.02243889765539</x:v>
      </x:c>
      <x:c r="Z627" s="66" t="n">
        <x:v>835159.577422467</x:v>
      </x:c>
      <x:c r="AA627" s="66" t="n">
        <x:v>96550.14177877265</x:v>
      </x:c>
      <x:c r="AB627" s="66" t="n">
        <x:v>0</x:v>
      </x:c>
      <x:c r="AC627" s="66" t="n">
        <x:v>629.7641253690151</x:v>
      </x:c>
      <x:c r="AD627" s="66" t="n">
        <x:v>1543.6247200892506</x:v>
      </x:c>
      <x:c r="AE627" s="66" t="n">
        <x:v>78427.78604891512</x:v>
      </x:c>
      <x:c r="AF627" s="66" t="n">
        <x:v>132953.10339807023</x:v>
      </x:c>
      <x:c r="AG627" s="66" t="n">
        <x:v>2.9103830456733704e-11</x:v>
      </x:c>
      <x:c r="AH627" s="36" t="n">
        <x:v>1</x:v>
      </x:c>
    </x:row>
    <x:row r="628" ht="15" hidden="0" customHeight="1">
      <x:c r="A628" s="34" t="n">
        <x:v>156</x:v>
      </x:c>
      <x:c r="B628" s="34" t="str">
        <x:v>H3</x:v>
      </x:c>
      <x:c r="C628" s="34" t="str">
        <x:v>reference</x:v>
      </x:c>
      <x:c r="D628" s="74" t="n">
        <x:v>1.1983047137349492</x:v>
      </x:c>
      <x:c r="E628" s="74" t="n">
        <x:v>-0.0009518798662004405</x:v>
      </x:c>
      <x:c r="F628" s="74" t="n">
        <x:v>1.007024480408516</x:v>
      </x:c>
      <x:c r="G628" s="74" t="n">
        <x:v>0.9559930750269064</x:v>
      </x:c>
      <x:c r="H628" s="74" t="n">
        <x:v>0.9569802269575084</x:v>
      </x:c>
      <x:c r="I628" s="74" t="n">
        <x:v>0.9943704014724379</x:v>
      </x:c>
      <x:c r="J628" s="74" t="n">
        <x:v>1.0295591274765337</x:v>
      </x:c>
      <x:c r="K628" s="74" t="n">
        <x:v>0.9257874012591157</x:v>
      </x:c>
      <x:c r="L628" s="74" t="n">
        <x:v>1.0219204138718836</x:v>
      </x:c>
      <x:c r="M628" s="74" t="n">
        <x:v>0.8038863782320793</x:v>
      </x:c>
      <x:c r="N628" s="74" t="n">
        <x:v>0.8226455039803634</x:v>
      </x:c>
      <x:c r="O628" s="65" t="n">
        <x:v>576444.2428812545</x:v>
      </x:c>
      <x:c r="P628" s="65" t="n">
        <x:v>447746.19804142806</x:v>
      </x:c>
      <x:c r="Q628" s="65" t="n">
        <x:v>128698.04483982647</x:v>
      </x:c>
      <x:c r="R628" s="65" t="n">
        <x:v>106992.01084943028</x:v>
      </x:c>
      <x:c r="S628" s="65" t="n">
        <x:v>21706.033990396187</x:v>
      </x:c>
      <x:c r="T628" s="65" t="n">
        <x:v>127191.08968546674</x:v>
      </x:c>
      <x:c r="U628" s="43" t="n">
        <x:v>0.9973857746469503</x:v>
      </x:c>
      <x:c r="V628" s="43" t="n">
        <x:v>0.9983534269056398</x:v>
      </x:c>
      <x:c r="W628" s="43" t="n">
        <x:v>0.9738577464695024</x:v>
      </x:c>
      <x:c r="X628" s="65" t="n">
        <x:v>13846172.420664296</x:v>
      </x:c>
      <x:c r="Y628" s="65" t="n">
        <x:v>24.019968265198823</x:v>
      </x:c>
      <x:c r="Z628" s="65" t="n">
        <x:v>821798.9028757297</x:v>
      </x:c>
      <x:c r="AA628" s="65" t="n">
        <x:v>86883.12298890436</x:v>
      </x:c>
      <x:c r="AB628" s="65" t="n">
        <x:v>2309.765747815789</x:v>
      </x:c>
      <x:c r="AC628" s="65" t="n">
        <x:v>0</x:v>
      </x:c>
      <x:c r="AD628" s="65" t="n">
        <x:v>1506.955154359728</x:v>
      </x:c>
      <x:c r="AE628" s="65" t="n">
        <x:v>68856.93978376283</x:v>
      </x:c>
      <x:c r="AF628" s="65" t="n">
        <x:v>127191.08968546672</x:v>
      </x:c>
      <x:c r="AG628" s="65" t="n">
        <x:v>1.4551915228366852e-11</x:v>
      </x:c>
      <x:c r="AH628" s="34" t="n">
        <x:v>1</x:v>
      </x:c>
    </x:row>
    <x:row r="629" ht="15" hidden="0" customHeight="1">
      <x:c r="A629" s="36" t="n">
        <x:v>157</x:v>
      </x:c>
      <x:c r="B629" s="36" t="str">
        <x:v>M0</x:v>
      </x:c>
      <x:c r="C629" s="36" t="str">
        <x:v>slow</x:v>
      </x:c>
      <x:c r="D629" s="75" t="n">
        <x:v>1.1164761467243542</x:v>
      </x:c>
      <x:c r="E629" s="75" t="n">
        <x:v>0.02314196609597522</x:v>
      </x:c>
      <x:c r="F629" s="75" t="n">
        <x:v>0.9566213865039274</x:v>
      </x:c>
      <x:c r="G629" s="75" t="n">
        <x:v>1.3488220407606175</x:v>
      </x:c>
      <x:c r="H629" s="75" t="n">
        <x:v>0.7671486144024382</x:v>
      </x:c>
      <x:c r="I629" s="75" t="n">
        <x:v>0.8980893072440874</x:v>
      </x:c>
      <x:c r="J629" s="75" t="n">
        <x:v>1.0715703279901925</x:v>
      </x:c>
      <x:c r="K629" s="75" t="n">
        <x:v>0.9350749604302689</x:v>
      </x:c>
      <x:c r="L629" s="75" t="n">
        <x:v>0.9085829104511692</x:v>
      </x:c>
      <x:c r="M629" s="75" t="n">
        <x:v>0.7790956753424336</x:v>
      </x:c>
      <x:c r="N629" s="75" t="n">
        <x:v>0.8290697848208708</x:v>
      </x:c>
      <x:c r="O629" s="66" t="n">
        <x:v>537080.6270865212</x:v>
      </x:c>
      <x:c r="P629" s="66" t="n">
        <x:v>75649.70784147843</x:v>
      </x:c>
      <x:c r="Q629" s="66" t="n">
        <x:v>461430.91924504284</x:v>
      </x:c>
      <x:c r="R629" s="66" t="n">
        <x:v>112626.19128289552</x:v>
      </x:c>
      <x:c r="S629" s="66" t="n">
        <x:v>348804.7279621473</x:v>
      </x:c>
      <x:c r="T629" s="66" t="n">
        <x:v>268530.5142136897</x:v>
      </x:c>
      <x:c r="U629" s="45" t="n">
        <x:v>0.6408352949206679</x:v>
      </x:c>
      <x:c r="V629" s="45" t="n">
        <x:v>0.6346642317060801</x:v>
      </x:c>
      <x:c r="W629" s="45" t="n">
        <x:v>0.07276660389224958</x:v>
      </x:c>
      <x:c r="X629" s="66" t="n">
        <x:v>61377797.68193351</x:v>
      </x:c>
      <x:c r="Y629" s="66" t="n">
        <x:v>114.28041635924772</x:v>
      </x:c>
      <x:c r="Z629" s="66" t="n">
        <x:v>2817472.176483897</x:v>
      </x:c>
      <x:c r="AA629" s="66" t="n">
        <x:v>344056.6368631816</x:v>
      </x:c>
      <x:c r="AB629" s="66" t="n">
        <x:v>15051.167429151226</x:v>
      </x:c>
      <x:c r="AC629" s="66" t="n">
        <x:v>0</x:v>
      </x:c>
      <x:c r="AD629" s="66" t="n">
        <x:v>2948.5916810557574</x:v>
      </x:c>
      <x:c r="AE629" s="66" t="n">
        <x:v>244653.30441084865</x:v>
      </x:c>
      <x:c r="AF629" s="66" t="n">
        <x:v>268530.51421368954</x:v>
      </x:c>
      <x:c r="AG629" s="66" t="n">
        <x:v>1.7462298274040222e-10</x:v>
      </x:c>
      <x:c r="AH629" s="36" t="n">
        <x:v>0</x:v>
      </x:c>
    </x:row>
    <x:row r="630" ht="15" hidden="0" customHeight="1">
      <x:c r="A630" s="34" t="n">
        <x:v>157</x:v>
      </x:c>
      <x:c r="B630" s="34" t="str">
        <x:v>B1</x:v>
      </x:c>
      <x:c r="C630" s="34" t="str">
        <x:v>slow</x:v>
      </x:c>
      <x:c r="D630" s="74" t="n">
        <x:v>1.1164761467243542</x:v>
      </x:c>
      <x:c r="E630" s="74" t="n">
        <x:v>0.02314196609597522</x:v>
      </x:c>
      <x:c r="F630" s="74" t="n">
        <x:v>0.9566213865039274</x:v>
      </x:c>
      <x:c r="G630" s="74" t="n">
        <x:v>1.3488220407606175</x:v>
      </x:c>
      <x:c r="H630" s="74" t="n">
        <x:v>0.7671486144024382</x:v>
      </x:c>
      <x:c r="I630" s="74" t="n">
        <x:v>0.8980893072440874</x:v>
      </x:c>
      <x:c r="J630" s="74" t="n">
        <x:v>1.0715703279901925</x:v>
      </x:c>
      <x:c r="K630" s="74" t="n">
        <x:v>0.9350749604302689</x:v>
      </x:c>
      <x:c r="L630" s="74" t="n">
        <x:v>0.9085829104511692</x:v>
      </x:c>
      <x:c r="M630" s="74" t="n">
        <x:v>0.7790956753424336</x:v>
      </x:c>
      <x:c r="N630" s="74" t="n">
        <x:v>0.8290697848208708</x:v>
      </x:c>
      <x:c r="O630" s="65" t="n">
        <x:v>537080.6270865212</x:v>
      </x:c>
      <x:c r="P630" s="65" t="n">
        <x:v>255898.14692437684</x:v>
      </x:c>
      <x:c r="Q630" s="65" t="n">
        <x:v>281182.48016214446</x:v>
      </x:c>
      <x:c r="R630" s="65" t="n">
        <x:v>112626.19128289552</x:v>
      </x:c>
      <x:c r="S630" s="65" t="n">
        <x:v>168556.28887924895</x:v>
      </x:c>
      <x:c r="T630" s="65" t="n">
        <x:v>165234.99683638813</x:v>
      </x:c>
      <x:c r="U630" s="43" t="n">
        <x:v>0.7841153125281547</x:v>
      </x:c>
      <x:c r="V630" s="43" t="n">
        <x:v>0.7747971684592612</x:v>
      </x:c>
      <x:c r="W630" s="43" t="n">
        <x:v>0.25256397826205257</x:v>
      </x:c>
      <x:c r="X630" s="65" t="n">
        <x:v>38527737.05226018</x:v>
      </x:c>
      <x:c r="Y630" s="65" t="n">
        <x:v>71.73548087418453</x:v>
      </x:c>
      <x:c r="Z630" s="65" t="n">
        <x:v>1066047.7520897044</x:v>
      </x:c>
      <x:c r="AA630" s="65" t="n">
        <x:v>206182.62294712313</x:v>
      </x:c>
      <x:c r="AB630" s="65" t="n">
        <x:v>1541.0865540478785</x:v>
      </x:c>
      <x:c r="AC630" s="65" t="n">
        <x:v>0</x:v>
      </x:c>
      <x:c r="AD630" s="65" t="n">
        <x:v>2360.705712388959</x:v>
      </x:c>
      <x:c r="AE630" s="65" t="n">
        <x:v>93603.36742786494</x:v>
      </x:c>
      <x:c r="AF630" s="65" t="n">
        <x:v>165234.99683638802</x:v>
      </x:c>
      <x:c r="AG630" s="65" t="n">
        <x:v>1.1641532182693481e-10</x:v>
      </x:c>
      <x:c r="AH630" s="34" t="n">
        <x:v>0</x:v>
      </x:c>
    </x:row>
    <x:row r="631" ht="15" hidden="0" customHeight="1">
      <x:c r="A631" s="36" t="n">
        <x:v>157</x:v>
      </x:c>
      <x:c r="B631" s="36" t="str">
        <x:v>P2</x:v>
      </x:c>
      <x:c r="C631" s="36" t="str">
        <x:v>slow</x:v>
      </x:c>
      <x:c r="D631" s="75" t="n">
        <x:v>1.1164761467243542</x:v>
      </x:c>
      <x:c r="E631" s="75" t="n">
        <x:v>0.02314196609597522</x:v>
      </x:c>
      <x:c r="F631" s="75" t="n">
        <x:v>0.9566213865039274</x:v>
      </x:c>
      <x:c r="G631" s="75" t="n">
        <x:v>1.3488220407606175</x:v>
      </x:c>
      <x:c r="H631" s="75" t="n">
        <x:v>0.7671486144024382</x:v>
      </x:c>
      <x:c r="I631" s="75" t="n">
        <x:v>0.8980893072440874</x:v>
      </x:c>
      <x:c r="J631" s="75" t="n">
        <x:v>1.0715703279901925</x:v>
      </x:c>
      <x:c r="K631" s="75" t="n">
        <x:v>0.9350749604302689</x:v>
      </x:c>
      <x:c r="L631" s="75" t="n">
        <x:v>0.9085829104511692</x:v>
      </x:c>
      <x:c r="M631" s="75" t="n">
        <x:v>0.7790956753424336</x:v>
      </x:c>
      <x:c r="N631" s="75" t="n">
        <x:v>0.8290697848208708</x:v>
      </x:c>
      <x:c r="O631" s="66" t="n">
        <x:v>537080.6270865212</x:v>
      </x:c>
      <x:c r="P631" s="66" t="n">
        <x:v>370717.68677703134</x:v>
      </x:c>
      <x:c r="Q631" s="66" t="n">
        <x:v>166362.9403094899</x:v>
      </x:c>
      <x:c r="R631" s="66" t="n">
        <x:v>112626.19128289552</x:v>
      </x:c>
      <x:c r="S631" s="66" t="n">
        <x:v>53736.7490265944</x:v>
      </x:c>
      <x:c r="T631" s="66" t="n">
        <x:v>84094.6338346159</x:v>
      </x:c>
      <x:c r="U631" s="45" t="n">
        <x:v>0.8468231726749269</x:v>
      </x:c>
      <x:c r="V631" s="45" t="n">
        <x:v>0.8417139781965091</x:v>
      </x:c>
      <x:c r="W631" s="45" t="n">
        <x:v>0.3711244440293009</x:v>
      </x:c>
      <x:c r="X631" s="66" t="n">
        <x:v>22201387.46769874</x:v>
      </x:c>
      <x:c r="Y631" s="66" t="n">
        <x:v>41.337159353770915</x:v>
      </x:c>
      <x:c r="Z631" s="66" t="n">
        <x:v>533115.5844916833</x:v>
      </x:c>
      <x:c r="AA631" s="66" t="n">
        <x:v>120357.02618193891</x:v>
      </x:c>
      <x:c r="AB631" s="66" t="n">
        <x:v>0</x:v>
      </x:c>
      <x:c r="AC631" s="66" t="n">
        <x:v>0</x:v>
      </x:c>
      <x:c r="AD631" s="66" t="n">
        <x:v>2004.0404913811642</x:v>
      </x:c>
      <x:c r="AE631" s="66" t="n">
        <x:v>19427.190618587978</x:v>
      </x:c>
      <x:c r="AF631" s="66" t="n">
        <x:v>84094.63383461595</x:v>
      </x:c>
      <x:c r="AG631" s="66" t="n">
        <x:v>0</x:v>
      </x:c>
      <x:c r="AH631" s="36" t="n">
        <x:v>0</x:v>
      </x:c>
    </x:row>
    <x:row r="632" ht="15" hidden="0" customHeight="1">
      <x:c r="A632" s="34" t="n">
        <x:v>157</x:v>
      </x:c>
      <x:c r="B632" s="34" t="str">
        <x:v>H3</x:v>
      </x:c>
      <x:c r="C632" s="34" t="str">
        <x:v>slow</x:v>
      </x:c>
      <x:c r="D632" s="74" t="n">
        <x:v>1.1164761467243542</x:v>
      </x:c>
      <x:c r="E632" s="74" t="n">
        <x:v>0.02314196609597522</x:v>
      </x:c>
      <x:c r="F632" s="74" t="n">
        <x:v>0.9566213865039274</x:v>
      </x:c>
      <x:c r="G632" s="74" t="n">
        <x:v>1.3488220407606175</x:v>
      </x:c>
      <x:c r="H632" s="74" t="n">
        <x:v>0.7671486144024382</x:v>
      </x:c>
      <x:c r="I632" s="74" t="n">
        <x:v>0.8980893072440874</x:v>
      </x:c>
      <x:c r="J632" s="74" t="n">
        <x:v>1.0715703279901925</x:v>
      </x:c>
      <x:c r="K632" s="74" t="n">
        <x:v>0.9350749604302689</x:v>
      </x:c>
      <x:c r="L632" s="74" t="n">
        <x:v>0.9085829104511692</x:v>
      </x:c>
      <x:c r="M632" s="74" t="n">
        <x:v>0.7790956753424336</x:v>
      </x:c>
      <x:c r="N632" s="74" t="n">
        <x:v>0.8290697848208708</x:v>
      </x:c>
      <x:c r="O632" s="65" t="n">
        <x:v>537080.6270865212</x:v>
      </x:c>
      <x:c r="P632" s="65" t="n">
        <x:v>384566.5716043464</x:v>
      </x:c>
      <x:c r="Q632" s="65" t="n">
        <x:v>152514.0554821749</x:v>
      </x:c>
      <x:c r="R632" s="65" t="n">
        <x:v>112626.19128289552</x:v>
      </x:c>
      <x:c r="S632" s="65" t="n">
        <x:v>39887.864199279386</x:v>
      </x:c>
      <x:c r="T632" s="65" t="n">
        <x:v>74313.43091458379</x:v>
      </x:c>
      <x:c r="U632" s="43" t="n">
        <x:v>0.8543968621772811</x:v>
      </x:c>
      <x:c r="V632" s="43" t="n">
        <x:v>0.8499493920877804</x:v>
      </x:c>
      <x:c r="W632" s="43" t="n">
        <x:v>0.38604520004265075</x:v>
      </x:c>
      <x:c r="X632" s="65" t="n">
        <x:v>19405857.700344317</x:v>
      </x:c>
      <x:c r="Y632" s="65" t="n">
        <x:v>36.13211261336023</x:v>
      </x:c>
      <x:c r="Z632" s="65" t="n">
        <x:v>496969.4341199575</x:v>
      </x:c>
      <x:c r="AA632" s="65" t="n">
        <x:v>107449.62235891807</x:v>
      </x:c>
      <x:c r="AB632" s="65" t="n">
        <x:v>1356.920319107241</x:v>
      </x:c>
      <x:c r="AC632" s="65" t="n">
        <x:v>0</x:v>
      </x:c>
      <x:c r="AD632" s="65" t="n">
        <x:v>1963.7675566092826</x:v>
      </x:c>
      <x:c r="AE632" s="65" t="n">
        <x:v>14108.612484806217</x:v>
      </x:c>
      <x:c r="AF632" s="65" t="n">
        <x:v>74313.43091458383</x:v>
      </x:c>
      <x:c r="AG632" s="65" t="n">
        <x:v>0</x:v>
      </x:c>
      <x:c r="AH632" s="34" t="n">
        <x:v>0</x:v>
      </x:c>
    </x:row>
    <x:row r="633" ht="15" hidden="0" customHeight="1">
      <x:c r="A633" s="36" t="n">
        <x:v>158</x:v>
      </x:c>
      <x:c r="B633" s="36" t="str">
        <x:v>M0</x:v>
      </x:c>
      <x:c r="C633" s="36" t="str">
        <x:v>fast</x:v>
      </x:c>
      <x:c r="D633" s="75" t="n">
        <x:v>0.989329688460317</x:v>
      </x:c>
      <x:c r="E633" s="75" t="n">
        <x:v>0.06689795916984731</x:v>
      </x:c>
      <x:c r="F633" s="75" t="n">
        <x:v>0.8467656140152964</x:v>
      </x:c>
      <x:c r="G633" s="75" t="n">
        <x:v>1.232424028855307</x:v>
      </x:c>
      <x:c r="H633" s="75" t="n">
        <x:v>0.9519781944620858</x:v>
      </x:c>
      <x:c r="I633" s="75" t="n">
        <x:v>0.8268683177301404</x:v>
      </x:c>
      <x:c r="J633" s="75" t="n">
        <x:v>0.9667019257088499</x:v>
      </x:c>
      <x:c r="K633" s="75" t="n">
        <x:v>0.7894256076081073</x:v>
      </x:c>
      <x:c r="L633" s="75" t="n">
        <x:v>0.857458481782006</x:v>
      </x:c>
      <x:c r="M633" s="75" t="n">
        <x:v>1.0908572201923084</x:v>
      </x:c>
      <x:c r="N633" s="75" t="n">
        <x:v>1.0114394812405814</x:v>
      </x:c>
      <x:c r="O633" s="66" t="n">
        <x:v>475916.8487678978</x:v>
      </x:c>
      <x:c r="P633" s="66" t="n">
        <x:v>56050.631460329794</x:v>
      </x:c>
      <x:c r="Q633" s="66" t="n">
        <x:v>419866.217307568</x:v>
      </x:c>
      <x:c r="R633" s="66" t="n">
        <x:v>120624.31760197549</x:v>
      </x:c>
      <x:c r="S633" s="66" t="n">
        <x:v>299241.8997055925</x:v>
      </x:c>
      <x:c r="T633" s="66" t="n">
        <x:v>262012.24391877808</x:v>
      </x:c>
      <x:c r="U633" s="45" t="n">
        <x:v>0.6683160644607175</x:v>
      </x:c>
      <x:c r="V633" s="45" t="n">
        <x:v>0.6862898792156595</x:v>
      </x:c>
      <x:c r="W633" s="45" t="n">
        <x:v>0.11940492929894574</x:v>
      </x:c>
      <x:c r="X633" s="66" t="n">
        <x:v>54435264.22011254</x:v>
      </x:c>
      <x:c r="Y633" s="66" t="n">
        <x:v>114.37977949517887</x:v>
      </x:c>
      <x:c r="Z633" s="66" t="n">
        <x:v>5547337.048121573</x:v>
      </x:c>
      <x:c r="AA633" s="66" t="n">
        <x:v>296858.1017325348</x:v>
      </x:c>
      <x:c r="AB633" s="66" t="n">
        <x:v>46839.92007935092</x:v>
      </x:c>
      <x:c r="AC633" s="66" t="n">
        <x:v>0</x:v>
      </x:c>
      <x:c r="AD633" s="66" t="n">
        <x:v>2046.7642615052903</x:v>
      </x:c>
      <x:c r="AE633" s="66" t="n">
        <x:v>174623.87273959199</x:v>
      </x:c>
      <x:c r="AF633" s="66" t="n">
        <x:v>262012.2439187781</x:v>
      </x:c>
      <x:c r="AG633" s="66" t="n">
        <x:v>0</x:v>
      </x:c>
      <x:c r="AH633" s="36" t="n">
        <x:v>0</x:v>
      </x:c>
    </x:row>
    <x:row r="634" ht="15" hidden="0" customHeight="1">
      <x:c r="A634" s="34" t="n">
        <x:v>158</x:v>
      </x:c>
      <x:c r="B634" s="34" t="str">
        <x:v>B1</x:v>
      </x:c>
      <x:c r="C634" s="34" t="str">
        <x:v>fast</x:v>
      </x:c>
      <x:c r="D634" s="74" t="n">
        <x:v>0.989329688460317</x:v>
      </x:c>
      <x:c r="E634" s="74" t="n">
        <x:v>0.06689795916984731</x:v>
      </x:c>
      <x:c r="F634" s="74" t="n">
        <x:v>0.8467656140152964</x:v>
      </x:c>
      <x:c r="G634" s="74" t="n">
        <x:v>1.232424028855307</x:v>
      </x:c>
      <x:c r="H634" s="74" t="n">
        <x:v>0.9519781944620858</x:v>
      </x:c>
      <x:c r="I634" s="74" t="n">
        <x:v>0.8268683177301404</x:v>
      </x:c>
      <x:c r="J634" s="74" t="n">
        <x:v>0.9667019257088499</x:v>
      </x:c>
      <x:c r="K634" s="74" t="n">
        <x:v>0.7894256076081073</x:v>
      </x:c>
      <x:c r="L634" s="74" t="n">
        <x:v>0.857458481782006</x:v>
      </x:c>
      <x:c r="M634" s="74" t="n">
        <x:v>1.0908572201923084</x:v>
      </x:c>
      <x:c r="N634" s="74" t="n">
        <x:v>1.0114394812405814</x:v>
      </x:c>
      <x:c r="O634" s="65" t="n">
        <x:v>475916.8487678978</x:v>
      </x:c>
      <x:c r="P634" s="65" t="n">
        <x:v>189602.1198316123</x:v>
      </x:c>
      <x:c r="Q634" s="65" t="n">
        <x:v>286314.7289362855</x:v>
      </x:c>
      <x:c r="R634" s="65" t="n">
        <x:v>120624.31760197549</x:v>
      </x:c>
      <x:c r="S634" s="65" t="n">
        <x:v>165690.41133430996</x:v>
      </x:c>
      <x:c r="T634" s="65" t="n">
        <x:v>196320.17140368547</x:v>
      </x:c>
      <x:c r="U634" s="43" t="n">
        <x:v>0.8109027705877884</x:v>
      </x:c>
      <x:c r="V634" s="43" t="n">
        <x:v>0.8303233888526552</x:v>
      </x:c>
      <x:c r="W634" s="43" t="n">
        <x:v>0.44868619555895695</x:v>
      </x:c>
      <x:c r="X634" s="65" t="n">
        <x:v>37327157.719452545</x:v>
      </x:c>
      <x:c r="Y634" s="65" t="n">
        <x:v>78.43209967474131</x:v>
      </x:c>
      <x:c r="Z634" s="65" t="n">
        <x:v>2619343.607436581</x:v>
      </x:c>
      <x:c r="AA634" s="65" t="n">
        <x:v>202200.95030965115</x:v>
      </x:c>
      <x:c r="AB634" s="65" t="n">
        <x:v>16128.082979484496</x:v>
      </x:c>
      <x:c r="AC634" s="65" t="n">
        <x:v>8420.56527974202</x:v>
      </x:c>
      <x:c r="AD634" s="65" t="n">
        <x:v>1727.9250228381843</x:v>
      </x:c>
      <x:c r="AE634" s="65" t="n">
        <x:v>108778.94658529539</x:v>
      </x:c>
      <x:c r="AF634" s="65" t="n">
        <x:v>196320.17140368564</x:v>
      </x:c>
      <x:c r="AG634" s="65" t="n">
        <x:v>0</x:v>
      </x:c>
      <x:c r="AH634" s="34" t="n">
        <x:v>0</x:v>
      </x:c>
    </x:row>
    <x:row r="635" ht="15" hidden="0" customHeight="1">
      <x:c r="A635" s="36" t="n">
        <x:v>158</x:v>
      </x:c>
      <x:c r="B635" s="36" t="str">
        <x:v>P2</x:v>
      </x:c>
      <x:c r="C635" s="36" t="str">
        <x:v>fast</x:v>
      </x:c>
      <x:c r="D635" s="75" t="n">
        <x:v>0.989329688460317</x:v>
      </x:c>
      <x:c r="E635" s="75" t="n">
        <x:v>0.06689795916984731</x:v>
      </x:c>
      <x:c r="F635" s="75" t="n">
        <x:v>0.8467656140152964</x:v>
      </x:c>
      <x:c r="G635" s="75" t="n">
        <x:v>1.232424028855307</x:v>
      </x:c>
      <x:c r="H635" s="75" t="n">
        <x:v>0.9519781944620858</x:v>
      </x:c>
      <x:c r="I635" s="75" t="n">
        <x:v>0.8268683177301404</x:v>
      </x:c>
      <x:c r="J635" s="75" t="n">
        <x:v>0.9667019257088499</x:v>
      </x:c>
      <x:c r="K635" s="75" t="n">
        <x:v>0.7894256076081073</x:v>
      </x:c>
      <x:c r="L635" s="75" t="n">
        <x:v>0.857458481782006</x:v>
      </x:c>
      <x:c r="M635" s="75" t="n">
        <x:v>1.0908572201923084</x:v>
      </x:c>
      <x:c r="N635" s="75" t="n">
        <x:v>1.0114394812405814</x:v>
      </x:c>
      <x:c r="O635" s="66" t="n">
        <x:v>475916.8487678978</x:v>
      </x:c>
      <x:c r="P635" s="66" t="n">
        <x:v>274676.1346958487</x:v>
      </x:c>
      <x:c r="Q635" s="66" t="n">
        <x:v>201240.71407204913</x:v>
      </x:c>
      <x:c r="R635" s="66" t="n">
        <x:v>120624.31760197549</x:v>
      </x:c>
      <x:c r="S635" s="66" t="n">
        <x:v>80616.39647007361</x:v>
      </x:c>
      <x:c r="T635" s="66" t="n">
        <x:v>118413.83517899108</x:v>
      </x:c>
      <x:c r="U635" s="45" t="n">
        <x:v>0.8259635499195106</x:v>
      </x:c>
      <x:c r="V635" s="45" t="n">
        <x:v>0.8347300352648865</x:v>
      </x:c>
      <x:c r="W635" s="45" t="n">
        <x:v>0.6379795392859163</x:v>
      </x:c>
      <x:c r="X635" s="66" t="n">
        <x:v>25134952.164906044</x:v>
      </x:c>
      <x:c r="Y635" s="66" t="n">
        <x:v>52.8137472543323</x:v>
      </x:c>
      <x:c r="Z635" s="66" t="n">
        <x:v>1302146.4524121282</x:v>
      </x:c>
      <x:c r="AA635" s="66" t="n">
        <x:v>144293.6468494731</x:v>
      </x:c>
      <x:c r="AB635" s="66" t="n">
        <x:v>628.6182398377032</x:v>
      </x:c>
      <x:c r="AC635" s="66" t="n">
        <x:v>31240.847581683058</x:v>
      </x:c>
      <x:c r="AD635" s="66" t="n">
        <x:v>1535.2723722856585</x:v>
      </x:c>
      <x:c r="AE635" s="66" t="n">
        <x:v>70207.47749083526</x:v>
      </x:c>
      <x:c r="AF635" s="66" t="n">
        <x:v>118413.8351789912</x:v>
      </x:c>
      <x:c r="AG635" s="66" t="n">
        <x:v>0</x:v>
      </x:c>
      <x:c r="AH635" s="36" t="n">
        <x:v>0</x:v>
      </x:c>
    </x:row>
    <x:row r="636" ht="15" hidden="0" customHeight="1">
      <x:c r="A636" s="34" t="n">
        <x:v>158</x:v>
      </x:c>
      <x:c r="B636" s="34" t="str">
        <x:v>H3</x:v>
      </x:c>
      <x:c r="C636" s="34" t="str">
        <x:v>fast</x:v>
      </x:c>
      <x:c r="D636" s="74" t="n">
        <x:v>0.989329688460317</x:v>
      </x:c>
      <x:c r="E636" s="74" t="n">
        <x:v>0.06689795916984731</x:v>
      </x:c>
      <x:c r="F636" s="74" t="n">
        <x:v>0.8467656140152964</x:v>
      </x:c>
      <x:c r="G636" s="74" t="n">
        <x:v>1.232424028855307</x:v>
      </x:c>
      <x:c r="H636" s="74" t="n">
        <x:v>0.9519781944620858</x:v>
      </x:c>
      <x:c r="I636" s="74" t="n">
        <x:v>0.8268683177301404</x:v>
      </x:c>
      <x:c r="J636" s="74" t="n">
        <x:v>0.9667019257088499</x:v>
      </x:c>
      <x:c r="K636" s="74" t="n">
        <x:v>0.7894256076081073</x:v>
      </x:c>
      <x:c r="L636" s="74" t="n">
        <x:v>0.857458481782006</x:v>
      </x:c>
      <x:c r="M636" s="74" t="n">
        <x:v>1.0908572201923084</x:v>
      </x:c>
      <x:c r="N636" s="74" t="n">
        <x:v>1.0114394812405814</x:v>
      </x:c>
      <x:c r="O636" s="65" t="n">
        <x:v>475916.8487678978</x:v>
      </x:c>
      <x:c r="P636" s="65" t="n">
        <x:v>284937.4001054482</x:v>
      </x:c>
      <x:c r="Q636" s="65" t="n">
        <x:v>190979.44866244958</x:v>
      </x:c>
      <x:c r="R636" s="65" t="n">
        <x:v>120624.31760197549</x:v>
      </x:c>
      <x:c r="S636" s="65" t="n">
        <x:v>70355.13106047407</x:v>
      </x:c>
      <x:c r="T636" s="65" t="n">
        <x:v>189465.8028275391</x:v>
      </x:c>
      <x:c r="U636" s="43" t="n">
        <x:v>0.9968195161847513</x:v>
      </x:c>
      <x:c r="V636" s="43" t="n">
        <x:v>0.9979968163531112</x:v>
      </x:c>
      <x:c r="W636" s="43" t="n">
        <x:v>0.968195161847513</x:v>
      </x:c>
      <x:c r="X636" s="65" t="n">
        <x:v>18764485.786317173</x:v>
      </x:c>
      <x:c r="Y636" s="65" t="n">
        <x:v>39.42807621729845</x:v>
      </x:c>
      <x:c r="Z636" s="65" t="n">
        <x:v>2266843.0474002194</x:v>
      </x:c>
      <x:c r="AA636" s="65" t="n">
        <x:v>114754.27459296788</x:v>
      </x:c>
      <x:c r="AB636" s="65" t="n">
        <x:v>16111.455116006673</x:v>
      </x:c>
      <x:c r="AC636" s="65" t="n">
        <x:v>923.2603317884921</x:v>
      </x:c>
      <x:c r="AD636" s="65" t="n">
        <x:v>1513.6458349104707</x:v>
      </x:c>
      <x:c r="AE636" s="65" t="n">
        <x:v>47258.140839176835</x:v>
      </x:c>
      <x:c r="AF636" s="65" t="n">
        <x:v>189465.80282753892</x:v>
      </x:c>
      <x:c r="AG636" s="65" t="n">
        <x:v>1.7462298274040222e-10</x:v>
      </x:c>
      <x:c r="AH636" s="34" t="n">
        <x:v>1</x:v>
      </x:c>
    </x:row>
    <x:row r="637" ht="15" hidden="0" customHeight="1">
      <x:c r="A637" s="36" t="n">
        <x:v>159</x:v>
      </x:c>
      <x:c r="B637" s="36" t="str">
        <x:v>M0</x:v>
      </x:c>
      <x:c r="C637" s="36" t="str">
        <x:v>fast</x:v>
      </x:c>
      <x:c r="D637" s="75" t="n">
        <x:v>1.1753823791483136</x:v>
      </x:c>
      <x:c r="E637" s="75" t="n">
        <x:v>0.01634043868795989</x:v>
      </x:c>
      <x:c r="F637" s="75" t="n">
        <x:v>0.8794120323927407</x:v>
      </x:c>
      <x:c r="G637" s="75" t="n">
        <x:v>0.9899189414183047</x:v>
      </x:c>
      <x:c r="H637" s="75" t="n">
        <x:v>1.058165207230144</x:v>
      </x:c>
      <x:c r="I637" s="75" t="n">
        <x:v>0.9161317039172131</x:v>
      </x:c>
      <x:c r="J637" s="75" t="n">
        <x:v>0.7243932058918708</x:v>
      </x:c>
      <x:c r="K637" s="75" t="n">
        <x:v>0.7841487190734404</x:v>
      </x:c>
      <x:c r="L637" s="75" t="n">
        <x:v>0.7926247903358964</x:v>
      </x:c>
      <x:c r="M637" s="75" t="n">
        <x:v>0.7774506133511772</x:v>
      </x:c>
      <x:c r="N637" s="75" t="n">
        <x:v>1.023183474477656</x:v>
      </x:c>
      <x:c r="O637" s="66" t="n">
        <x:v>565417.4584128205</x:v>
      </x:c>
      <x:c r="P637" s="66" t="n">
        <x:v>73843.39779573557</x:v>
      </x:c>
      <x:c r="Q637" s="66" t="n">
        <x:v>491574.0606170848</x:v>
      </x:c>
      <x:c r="R637" s="66" t="n">
        <x:v>114722.74272036544</x:v>
      </x:c>
      <x:c r="S637" s="66" t="n">
        <x:v>376851.31789671944</x:v>
      </x:c>
      <x:c r="T637" s="66" t="n">
        <x:v>255242.01596661418</x:v>
      </x:c>
      <x:c r="U637" s="45" t="n">
        <x:v>0.5820220243749161</x:v>
      </x:c>
      <x:c r="V637" s="45" t="n">
        <x:v>0.6140251810026849</x:v>
      </x:c>
      <x:c r="W637" s="45" t="n">
        <x:v>0.12879284627473328</x:v>
      </x:c>
      <x:c r="X637" s="66" t="n">
        <x:v>67040076.67963811</x:v>
      </x:c>
      <x:c r="Y637" s="66" t="n">
        <x:v>118.56739773799319</x:v>
      </x:c>
      <x:c r="Z637" s="66" t="n">
        <x:v>4256728.667607331</x:v>
      </x:c>
      <x:c r="AA637" s="66" t="n">
        <x:v>371070.66749605094</x:v>
      </x:c>
      <x:c r="AB637" s="66" t="n">
        <x:v>31213.80735337511</x:v>
      </x:c>
      <x:c r="AC637" s="66" t="n">
        <x:v>5043.068578834045</x:v>
      </x:c>
      <x:c r="AD637" s="66" t="n">
        <x:v>2402.3005435898594</x:v>
      </x:c>
      <x:c r="AE637" s="66" t="n">
        <x:v>225774.33190165772</x:v>
      </x:c>
      <x:c r="AF637" s="66" t="n">
        <x:v>233557.76440291945</x:v>
      </x:c>
      <x:c r="AG637" s="66" t="n">
        <x:v>21684.251563694736</x:v>
      </x:c>
      <x:c r="AH637" s="36" t="n">
        <x:v>0</x:v>
      </x:c>
    </x:row>
    <x:row r="638" ht="15" hidden="0" customHeight="1">
      <x:c r="A638" s="34" t="n">
        <x:v>159</x:v>
      </x:c>
      <x:c r="B638" s="34" t="str">
        <x:v>B1</x:v>
      </x:c>
      <x:c r="C638" s="34" t="str">
        <x:v>fast</x:v>
      </x:c>
      <x:c r="D638" s="74" t="n">
        <x:v>1.1753823791483136</x:v>
      </x:c>
      <x:c r="E638" s="74" t="n">
        <x:v>0.01634043868795989</x:v>
      </x:c>
      <x:c r="F638" s="74" t="n">
        <x:v>0.8794120323927407</x:v>
      </x:c>
      <x:c r="G638" s="74" t="n">
        <x:v>0.9899189414183047</x:v>
      </x:c>
      <x:c r="H638" s="74" t="n">
        <x:v>1.058165207230144</x:v>
      </x:c>
      <x:c r="I638" s="74" t="n">
        <x:v>0.9161317039172131</x:v>
      </x:c>
      <x:c r="J638" s="74" t="n">
        <x:v>0.7243932058918708</x:v>
      </x:c>
      <x:c r="K638" s="74" t="n">
        <x:v>0.7841487190734404</x:v>
      </x:c>
      <x:c r="L638" s="74" t="n">
        <x:v>0.7926247903358964</x:v>
      </x:c>
      <x:c r="M638" s="74" t="n">
        <x:v>0.7774506133511772</x:v>
      </x:c>
      <x:c r="N638" s="74" t="n">
        <x:v>1.023183474477656</x:v>
      </x:c>
      <x:c r="O638" s="65" t="n">
        <x:v>565417.4584128205</x:v>
      </x:c>
      <x:c r="P638" s="65" t="n">
        <x:v>249787.75867453509</x:v>
      </x:c>
      <x:c r="Q638" s="65" t="n">
        <x:v>315629.69973828533</x:v>
      </x:c>
      <x:c r="R638" s="65" t="n">
        <x:v>114722.74272036544</x:v>
      </x:c>
      <x:c r="S638" s="65" t="n">
        <x:v>200906.95701791986</x:v>
      </x:c>
      <x:c r="T638" s="65" t="n">
        <x:v>194577.40943984909</x:v>
      </x:c>
      <x:c r="U638" s="43" t="n">
        <x:v>0.7859063449539719</x:v>
      </x:c>
      <x:c r="V638" s="43" t="n">
        <x:v>0.816978932663862</x:v>
      </x:c>
      <x:c r="W638" s="43" t="n">
        <x:v>0.4868712493235467</x:v>
      </x:c>
      <x:c r="X638" s="65" t="n">
        <x:v>43243943.33720756</x:v>
      </x:c>
      <x:c r="Y638" s="65" t="n">
        <x:v>76.48144338980502</x:v>
      </x:c>
      <x:c r="Z638" s="65" t="n">
        <x:v>1928784.9928117974</x:v>
      </x:c>
      <x:c r="AA638" s="65" t="n">
        <x:v>234437.45116554332</x:v>
      </x:c>
      <x:c r="AB638" s="65" t="n">
        <x:v>6930.266913858635</x:v>
      </x:c>
      <x:c r="AC638" s="65" t="n">
        <x:v>10437.64334917052</x:v>
      </x:c>
      <x:c r="AD638" s="65" t="n">
        <x:v>1956.9791620591366</x:v>
      </x:c>
      <x:c r="AE638" s="65" t="n">
        <x:v>146511.10420018085</x:v>
      </x:c>
      <x:c r="AF638" s="65" t="n">
        <x:v>194577.40943984906</x:v>
      </x:c>
      <x:c r="AG638" s="65" t="n">
        <x:v>2.9103830456733704e-11</x:v>
      </x:c>
      <x:c r="AH638" s="34" t="n">
        <x:v>0</x:v>
      </x:c>
    </x:row>
    <x:row r="639" ht="15" hidden="0" customHeight="1">
      <x:c r="A639" s="36" t="n">
        <x:v>159</x:v>
      </x:c>
      <x:c r="B639" s="36" t="str">
        <x:v>P2</x:v>
      </x:c>
      <x:c r="C639" s="36" t="str">
        <x:v>fast</x:v>
      </x:c>
      <x:c r="D639" s="75" t="n">
        <x:v>1.1753823791483136</x:v>
      </x:c>
      <x:c r="E639" s="75" t="n">
        <x:v>0.01634043868795989</x:v>
      </x:c>
      <x:c r="F639" s="75" t="n">
        <x:v>0.8794120323927407</x:v>
      </x:c>
      <x:c r="G639" s="75" t="n">
        <x:v>0.9899189414183047</x:v>
      </x:c>
      <x:c r="H639" s="75" t="n">
        <x:v>1.058165207230144</x:v>
      </x:c>
      <x:c r="I639" s="75" t="n">
        <x:v>0.9161317039172131</x:v>
      </x:c>
      <x:c r="J639" s="75" t="n">
        <x:v>0.7243932058918708</x:v>
      </x:c>
      <x:c r="K639" s="75" t="n">
        <x:v>0.7841487190734404</x:v>
      </x:c>
      <x:c r="L639" s="75" t="n">
        <x:v>0.7926247903358964</x:v>
      </x:c>
      <x:c r="M639" s="75" t="n">
        <x:v>0.7774506133511772</x:v>
      </x:c>
      <x:c r="N639" s="75" t="n">
        <x:v>1.023183474477656</x:v>
      </x:c>
      <x:c r="O639" s="66" t="n">
        <x:v>565417.4584128205</x:v>
      </x:c>
      <x:c r="P639" s="66" t="n">
        <x:v>361865.423266717</x:v>
      </x:c>
      <x:c r="Q639" s="66" t="n">
        <x:v>203552.03514610342</x:v>
      </x:c>
      <x:c r="R639" s="66" t="n">
        <x:v>114722.74272036544</x:v>
      </x:c>
      <x:c r="S639" s="66" t="n">
        <x:v>88829.29242573798</x:v>
      </x:c>
      <x:c r="T639" s="66" t="n">
        <x:v>117622.16681583913</x:v>
      </x:c>
      <x:c r="U639" s="45" t="n">
        <x:v>0.8480240271117954</x:v>
      </x:c>
      <x:c r="V639" s="45" t="n">
        <x:v>0.8521456186595309</x:v>
      </x:c>
      <x:c r="W639" s="45" t="n">
        <x:v>0.6665364044315627</x:v>
      </x:c>
      <x:c r="X639" s="66" t="n">
        <x:v>26364363.097229835</x:v>
      </x:c>
      <x:c r="Y639" s="66" t="n">
        <x:v>46.62813767943611</x:v>
      </x:c>
      <x:c r="Z639" s="66" t="n">
        <x:v>1529855.6771492767</x:v>
      </x:c>
      <x:c r="AA639" s="66" t="n">
        <x:v>147396.83959359984</x:v>
      </x:c>
      <x:c r="AB639" s="66" t="n">
        <x:v>0</x:v>
      </x:c>
      <x:c r="AC639" s="66" t="n">
        <x:v>30664.586514120227</x:v>
      </x:c>
      <x:c r="AD639" s="66" t="n">
        <x:v>1687.902040754188</x:v>
      </x:c>
      <x:c r="AE639" s="66" t="n">
        <x:v>85751.27781237249</x:v>
      </x:c>
      <x:c r="AF639" s="66" t="n">
        <x:v>117622.16681583908</x:v>
      </x:c>
      <x:c r="AG639" s="66" t="n">
        <x:v>4.3655745685100555e-11</x:v>
      </x:c>
      <x:c r="AH639" s="36" t="n">
        <x:v>0</x:v>
      </x:c>
    </x:row>
    <x:row r="640" ht="15" hidden="0" customHeight="1">
      <x:c r="A640" s="34" t="n">
        <x:v>159</x:v>
      </x:c>
      <x:c r="B640" s="34" t="str">
        <x:v>H3</x:v>
      </x:c>
      <x:c r="C640" s="34" t="str">
        <x:v>fast</x:v>
      </x:c>
      <x:c r="D640" s="74" t="n">
        <x:v>1.1753823791483136</x:v>
      </x:c>
      <x:c r="E640" s="74" t="n">
        <x:v>0.01634043868795989</x:v>
      </x:c>
      <x:c r="F640" s="74" t="n">
        <x:v>0.8794120323927407</x:v>
      </x:c>
      <x:c r="G640" s="74" t="n">
        <x:v>0.9899189414183047</x:v>
      </x:c>
      <x:c r="H640" s="74" t="n">
        <x:v>1.058165207230144</x:v>
      </x:c>
      <x:c r="I640" s="74" t="n">
        <x:v>0.9161317039172131</x:v>
      </x:c>
      <x:c r="J640" s="74" t="n">
        <x:v>0.7243932058918708</x:v>
      </x:c>
      <x:c r="K640" s="74" t="n">
        <x:v>0.7841487190734404</x:v>
      </x:c>
      <x:c r="L640" s="74" t="n">
        <x:v>0.7926247903358964</x:v>
      </x:c>
      <x:c r="M640" s="74" t="n">
        <x:v>0.7774506133511772</x:v>
      </x:c>
      <x:c r="N640" s="74" t="n">
        <x:v>1.023183474477656</x:v>
      </x:c>
      <x:c r="O640" s="65" t="n">
        <x:v>565417.4584128205</x:v>
      </x:c>
      <x:c r="P640" s="65" t="n">
        <x:v>375383.5759604156</x:v>
      </x:c>
      <x:c r="Q640" s="65" t="n">
        <x:v>190033.8824524048</x:v>
      </x:c>
      <x:c r="R640" s="65" t="n">
        <x:v>114722.74272036544</x:v>
      </x:c>
      <x:c r="S640" s="65" t="n">
        <x:v>75311.13973203936</x:v>
      </x:c>
      <x:c r="T640" s="65" t="n">
        <x:v>188269.31884620173</x:v>
      </x:c>
      <x:c r="U640" s="43" t="n">
        <x:v>0.9968791844327615</x:v>
      </x:c>
      <x:c r="V640" s="43" t="n">
        <x:v>0.9981040340313578</x:v>
      </x:c>
      <x:c r="W640" s="43" t="n">
        <x:v>0.9687918443276162</x:v>
      </x:c>
      <x:c r="X640" s="65" t="n">
        <x:v>19361480.506847396</x:v>
      </x:c>
      <x:c r="Y640" s="65" t="n">
        <x:v>34.24280629960892</x:v>
      </x:c>
      <x:c r="Z640" s="65" t="n">
        <x:v>3080113.5718487385</x:v>
      </x:c>
      <x:c r="AA640" s="65" t="n">
        <x:v>112516.8580095139</x:v>
      </x:c>
      <x:c r="AB640" s="65" t="n">
        <x:v>13593.746191274327</x:v>
      </x:c>
      <x:c r="AC640" s="65" t="n">
        <x:v>23892.050883236087</x:v>
      </x:c>
      <x:c r="AD640" s="65" t="n">
        <x:v>1657.6963498175724</x:v>
      </x:c>
      <x:c r="AE640" s="65" t="n">
        <x:v>75706.45974649648</x:v>
      </x:c>
      <x:c r="AF640" s="65" t="n">
        <x:v>188269.31884620187</x:v>
      </x:c>
      <x:c r="AG640" s="65" t="n">
        <x:v>0</x:v>
      </x:c>
      <x:c r="AH640" s="34" t="n">
        <x:v>1</x:v>
      </x:c>
    </x:row>
    <x:row r="641" ht="15" hidden="0" customHeight="1">
      <x:c r="A641" s="36" t="n">
        <x:v>160</x:v>
      </x:c>
      <x:c r="B641" s="36" t="str">
        <x:v>M0</x:v>
      </x:c>
      <x:c r="C641" s="36" t="str">
        <x:v>reference</x:v>
      </x:c>
      <x:c r="D641" s="75" t="n">
        <x:v>0.918013975495682</x:v>
      </x:c>
      <x:c r="E641" s="75" t="n">
        <x:v>0.044445283398842884</x:v>
      </x:c>
      <x:c r="F641" s="75" t="n">
        <x:v>0.7592376734095445</x:v>
      </x:c>
      <x:c r="G641" s="75" t="n">
        <x:v>1.2309851456323837</x:v>
      </x:c>
      <x:c r="H641" s="75" t="n">
        <x:v>1.018390668124119</x:v>
      </x:c>
      <x:c r="I641" s="75" t="n">
        <x:v>0.777180797502285</x:v>
      </x:c>
      <x:c r="J641" s="75" t="n">
        <x:v>0.9767160927489368</x:v>
      </x:c>
      <x:c r="K641" s="75" t="n">
        <x:v>0.7807738428959456</x:v>
      </x:c>
      <x:c r="L641" s="75" t="n">
        <x:v>0.9874946779790204</x:v>
      </x:c>
      <x:c r="M641" s="75" t="n">
        <x:v>0.7864861601949333</x:v>
      </x:c>
      <x:c r="N641" s="75" t="n">
        <x:v>0.7964060859842963</x:v>
      </x:c>
      <x:c r="O641" s="66" t="n">
        <x:v>441610.4393094027</x:v>
      </x:c>
      <x:c r="P641" s="66" t="n">
        <x:v>48036.895505227876</x:v>
      </x:c>
      <x:c r="Q641" s="66" t="n">
        <x:v>393573.5438041749</x:v>
      </x:c>
      <x:c r="R641" s="66" t="n">
        <x:v>102013.79199856456</x:v>
      </x:c>
      <x:c r="S641" s="66" t="n">
        <x:v>291559.75180561026</x:v>
      </x:c>
      <x:c r="T641" s="66" t="n">
        <x:v>290524.5096662501</x:v>
      </x:c>
      <x:c r="U641" s="45" t="n">
        <x:v>0.7666517252194617</x:v>
      </x:c>
      <x:c r="V641" s="45" t="n">
        <x:v>0.7592483936838875</x:v>
      </x:c>
      <x:c r="W641" s="45" t="n">
        <x:v>0.11223569179764514</x:v>
      </x:c>
      <x:c r="X641" s="66" t="n">
        <x:v>47930051.54165442</x:v>
      </x:c>
      <x:c r="Y641" s="66" t="n">
        <x:v>108.5346886649876</x:v>
      </x:c>
      <x:c r="Z641" s="66" t="n">
        <x:v>7278565.506757615</x:v>
      </x:c>
      <x:c r="AA641" s="66" t="n">
        <x:v>252972.52498882602</x:v>
      </x:c>
      <x:c r="AB641" s="66" t="n">
        <x:v>64924.24448331316</x:v>
      </x:c>
      <x:c r="AC641" s="66" t="n">
        <x:v>0</x:v>
      </x:c>
      <x:c r="AD641" s="66" t="n">
        <x:v>1905.863083621162</x:v>
      </x:c>
      <x:c r="AE641" s="66" t="n">
        <x:v>267588.01438990235</x:v>
      </x:c>
      <x:c r="AF641" s="66" t="n">
        <x:v>290524.50966625003</x:v>
      </x:c>
      <x:c r="AG641" s="66" t="n">
        <x:v>5.820766091346741e-11</x:v>
      </x:c>
      <x:c r="AH641" s="36" t="n">
        <x:v>0</x:v>
      </x:c>
    </x:row>
    <x:row r="642" ht="15" hidden="0" customHeight="1">
      <x:c r="A642" s="34" t="n">
        <x:v>160</x:v>
      </x:c>
      <x:c r="B642" s="34" t="str">
        <x:v>B1</x:v>
      </x:c>
      <x:c r="C642" s="34" t="str">
        <x:v>reference</x:v>
      </x:c>
      <x:c r="D642" s="74" t="n">
        <x:v>0.918013975495682</x:v>
      </x:c>
      <x:c r="E642" s="74" t="n">
        <x:v>0.044445283398842884</x:v>
      </x:c>
      <x:c r="F642" s="74" t="n">
        <x:v>0.7592376734095445</x:v>
      </x:c>
      <x:c r="G642" s="74" t="n">
        <x:v>1.2309851456323837</x:v>
      </x:c>
      <x:c r="H642" s="74" t="n">
        <x:v>1.018390668124119</x:v>
      </x:c>
      <x:c r="I642" s="74" t="n">
        <x:v>0.777180797502285</x:v>
      </x:c>
      <x:c r="J642" s="74" t="n">
        <x:v>0.9767160927489368</x:v>
      </x:c>
      <x:c r="K642" s="74" t="n">
        <x:v>0.7807738428959456</x:v>
      </x:c>
      <x:c r="L642" s="74" t="n">
        <x:v>0.9874946779790204</x:v>
      </x:c>
      <x:c r="M642" s="74" t="n">
        <x:v>0.7864861601949333</x:v>
      </x:c>
      <x:c r="N642" s="74" t="n">
        <x:v>0.7964060859842963</x:v>
      </x:c>
      <x:c r="O642" s="65" t="n">
        <x:v>441610.4393094027</x:v>
      </x:c>
      <x:c r="P642" s="65" t="n">
        <x:v>162493.55431937115</x:v>
      </x:c>
      <x:c r="Q642" s="65" t="n">
        <x:v>279116.88499003154</x:v>
      </x:c>
      <x:c r="R642" s="65" t="n">
        <x:v>102013.79199856456</x:v>
      </x:c>
      <x:c r="S642" s="65" t="n">
        <x:v>177103.092991467</x:v>
      </x:c>
      <x:c r="T642" s="65" t="n">
        <x:v>194994.44546491344</x:v>
      </x:c>
      <x:c r="U642" s="43" t="n">
        <x:v>0.8095098484160155</x:v>
      </x:c>
      <x:c r="V642" s="43" t="n">
        <x:v>0.8160771377629189</x:v>
      </x:c>
      <x:c r="W642" s="43" t="n">
        <x:v>0.3934685014935669</x:v>
      </x:c>
      <x:c r="X642" s="65" t="n">
        <x:v>34979239.06256099</x:v>
      </x:c>
      <x:c r="Y642" s="65" t="n">
        <x:v>79.20836091932534</x:v>
      </x:c>
      <x:c r="Z642" s="65" t="n">
        <x:v>3927738.8626193167</x:v>
      </x:c>
      <x:c r="AA642" s="65" t="n">
        <x:v>185170.83505414025</x:v>
      </x:c>
      <x:c r="AB642" s="65" t="n">
        <x:v>32457.759926747</x:v>
      </x:c>
      <x:c r="AC642" s="65" t="n">
        <x:v>22556.702523866807</x:v>
      </x:c>
      <x:c r="AD642" s="65" t="n">
        <x:v>1625.0421095057857</x:v>
      </x:c>
      <x:c r="AE642" s="65" t="n">
        <x:v>126184.95963587024</x:v>
      </x:c>
      <x:c r="AF642" s="65" t="n">
        <x:v>194994.44546491368</x:v>
      </x:c>
      <x:c r="AG642" s="65" t="n">
        <x:v>0</x:v>
      </x:c>
      <x:c r="AH642" s="34" t="n">
        <x:v>0</x:v>
      </x:c>
    </x:row>
    <x:row r="643" ht="15" hidden="0" customHeight="1">
      <x:c r="A643" s="36" t="n">
        <x:v>160</x:v>
      </x:c>
      <x:c r="B643" s="36" t="str">
        <x:v>P2</x:v>
      </x:c>
      <x:c r="C643" s="36" t="str">
        <x:v>reference</x:v>
      </x:c>
      <x:c r="D643" s="75" t="n">
        <x:v>0.918013975495682</x:v>
      </x:c>
      <x:c r="E643" s="75" t="n">
        <x:v>0.044445283398842884</x:v>
      </x:c>
      <x:c r="F643" s="75" t="n">
        <x:v>0.7592376734095445</x:v>
      </x:c>
      <x:c r="G643" s="75" t="n">
        <x:v>1.2309851456323837</x:v>
      </x:c>
      <x:c r="H643" s="75" t="n">
        <x:v>1.018390668124119</x:v>
      </x:c>
      <x:c r="I643" s="75" t="n">
        <x:v>0.777180797502285</x:v>
      </x:c>
      <x:c r="J643" s="75" t="n">
        <x:v>0.9767160927489368</x:v>
      </x:c>
      <x:c r="K643" s="75" t="n">
        <x:v>0.7807738428959456</x:v>
      </x:c>
      <x:c r="L643" s="75" t="n">
        <x:v>0.9874946779790204</x:v>
      </x:c>
      <x:c r="M643" s="75" t="n">
        <x:v>0.7864861601949333</x:v>
      </x:c>
      <x:c r="N643" s="75" t="n">
        <x:v>0.7964060859842963</x:v>
      </x:c>
      <x:c r="O643" s="66" t="n">
        <x:v>441610.4393094027</x:v>
      </x:c>
      <x:c r="P643" s="66" t="n">
        <x:v>235403.57141805463</x:v>
      </x:c>
      <x:c r="Q643" s="66" t="n">
        <x:v>206206.86789134805</x:v>
      </x:c>
      <x:c r="R643" s="66" t="n">
        <x:v>102013.79199856456</x:v>
      </x:c>
      <x:c r="S643" s="66" t="n">
        <x:v>104193.07589278351</x:v>
      </x:c>
      <x:c r="T643" s="66" t="n">
        <x:v>117116.07640072014</x:v>
      </x:c>
      <x:c r="U643" s="45" t="n">
        <x:v>0.7982593173523038</x:v>
      </x:c>
      <x:c r="V643" s="45" t="n">
        <x:v>0.8286775497781155</x:v>
      </x:c>
      <x:c r="W643" s="45" t="n">
        <x:v>0.29451872364819437</x:v>
      </x:c>
      <x:c r="X643" s="66" t="n">
        <x:v>25342786.09545294</x:v>
      </x:c>
      <x:c r="Y643" s="66" t="n">
        <x:v>57.38719885128708</x:v>
      </x:c>
      <x:c r="Z643" s="66" t="n">
        <x:v>1782587.687735776</x:v>
      </x:c>
      <x:c r="AA643" s="66" t="n">
        <x:v>145020.43880256033</x:v>
      </x:c>
      <x:c r="AB643" s="66" t="n">
        <x:v>1580.2046348968993</x:v>
      </x:c>
      <x:c r="AC643" s="66" t="n">
        <x:v>44764.671630508434</x:v>
      </x:c>
      <x:c r="AD643" s="66" t="n">
        <x:v>1455.361284710707</x:v>
      </x:c>
      <x:c r="AE643" s="66" t="n">
        <x:v>54996.40169394503</x:v>
      </x:c>
      <x:c r="AF643" s="66" t="n">
        <x:v>117116.07640072015</x:v>
      </x:c>
      <x:c r="AG643" s="66" t="n">
        <x:v>0</x:v>
      </x:c>
      <x:c r="AH643" s="36" t="n">
        <x:v>0</x:v>
      </x:c>
    </x:row>
    <x:row r="644" ht="15" hidden="0" customHeight="1">
      <x:c r="A644" s="34" t="n">
        <x:v>160</x:v>
      </x:c>
      <x:c r="B644" s="34" t="str">
        <x:v>H3</x:v>
      </x:c>
      <x:c r="C644" s="34" t="str">
        <x:v>reference</x:v>
      </x:c>
      <x:c r="D644" s="74" t="n">
        <x:v>0.918013975495682</x:v>
      </x:c>
      <x:c r="E644" s="74" t="n">
        <x:v>0.044445283398842884</x:v>
      </x:c>
      <x:c r="F644" s="74" t="n">
        <x:v>0.7592376734095445</x:v>
      </x:c>
      <x:c r="G644" s="74" t="n">
        <x:v>1.2309851456323837</x:v>
      </x:c>
      <x:c r="H644" s="74" t="n">
        <x:v>1.018390668124119</x:v>
      </x:c>
      <x:c r="I644" s="74" t="n">
        <x:v>0.777180797502285</x:v>
      </x:c>
      <x:c r="J644" s="74" t="n">
        <x:v>0.9767160927489368</x:v>
      </x:c>
      <x:c r="K644" s="74" t="n">
        <x:v>0.7807738428959456</x:v>
      </x:c>
      <x:c r="L644" s="74" t="n">
        <x:v>0.9874946779790204</x:v>
      </x:c>
      <x:c r="M644" s="74" t="n">
        <x:v>0.7864861601949333</x:v>
      </x:c>
      <x:c r="N644" s="74" t="n">
        <x:v>0.7964060859842963</x:v>
      </x:c>
      <x:c r="O644" s="65" t="n">
        <x:v>441610.4393094027</x:v>
      </x:c>
      <x:c r="P644" s="65" t="n">
        <x:v>244197.6139226629</x:v>
      </x:c>
      <x:c r="Q644" s="65" t="n">
        <x:v>197412.82538673986</x:v>
      </x:c>
      <x:c r="R644" s="65" t="n">
        <x:v>102013.79199856456</x:v>
      </x:c>
      <x:c r="S644" s="65" t="n">
        <x:v>95399.03338817527</x:v>
      </x:c>
      <x:c r="T644" s="65" t="n">
        <x:v>191242.97830232832</x:v>
      </x:c>
      <x:c r="U644" s="43" t="n">
        <x:v>0.9860287562629633</x:v>
      </x:c>
      <x:c r="V644" s="43" t="n">
        <x:v>0.9909830658961094</x:v>
      </x:c>
      <x:c r="W644" s="43" t="n">
        <x:v>0.8602875626296329</x:v>
      </x:c>
      <x:c r="X644" s="65" t="n">
        <x:v>19438599.682593077</x:v>
      </x:c>
      <x:c r="Y644" s="65" t="n">
        <x:v>44.0175275588853</x:v>
      </x:c>
      <x:c r="Z644" s="65" t="n">
        <x:v>2080791.2478227883</x:v>
      </x:c>
      <x:c r="AA644" s="65" t="n">
        <x:v>115677.31817938038</x:v>
      </x:c>
      <x:c r="AB644" s="65" t="n">
        <x:v>12825.50834410479</x:v>
      </x:c>
      <x:c r="AC644" s="65" t="n">
        <x:v>950.6148195205761</x:v>
      </x:c>
      <x:c r="AD644" s="65" t="n">
        <x:v>1436.3134870875804</x:v>
      </x:c>
      <x:c r="AE644" s="65" t="n">
        <x:v>88028.74955876348</x:v>
      </x:c>
      <x:c r="AF644" s="65" t="n">
        <x:v>191242.97830232818</x:v>
      </x:c>
      <x:c r="AG644" s="65" t="n">
        <x:v>1.4551915228366852e-10</x:v>
      </x:c>
      <x:c r="AH644" s="34" t="n">
        <x:v>1</x:v>
      </x:c>
    </x:row>
    <x:row r="645" ht="15" hidden="0" customHeight="1">
      <x:c r="A645" s="36" t="n">
        <x:v>161</x:v>
      </x:c>
      <x:c r="B645" s="36" t="str">
        <x:v>M0</x:v>
      </x:c>
      <x:c r="C645" s="36" t="str">
        <x:v>reference</x:v>
      </x:c>
      <x:c r="D645" s="75" t="n">
        <x:v>0.9418299190054727</x:v>
      </x:c>
      <x:c r="E645" s="75" t="n">
        <x:v>0.04238170460424286</x:v>
      </x:c>
      <x:c r="F645" s="75" t="n">
        <x:v>0.9882532162902082</x:v>
      </x:c>
      <x:c r="G645" s="75" t="n">
        <x:v>0.937493391723918</x:v>
      </x:c>
      <x:c r="H645" s="75" t="n">
        <x:v>0.7905836161592175</x:v>
      </x:c>
      <x:c r="I645" s="75" t="n">
        <x:v>0.782476983684351</x:v>
      </x:c>
      <x:c r="J645" s="75" t="n">
        <x:v>0.90717633355507</x:v>
      </x:c>
      <x:c r="K645" s="75" t="n">
        <x:v>0.8464223583605205</x:v>
      </x:c>
      <x:c r="L645" s="75" t="n">
        <x:v>0.9613661243880669</x:v>
      </x:c>
      <x:c r="M645" s="75" t="n">
        <x:v>0.9000010494274439</x:v>
      </x:c>
      <x:c r="N645" s="75" t="n">
        <x:v>0.9780774725648487</x:v>
      </x:c>
      <x:c r="O645" s="66" t="n">
        <x:v>453067.0941715989</x:v>
      </x:c>
      <x:c r="P645" s="66" t="n">
        <x:v>64320.986050912565</x:v>
      </x:c>
      <x:c r="Q645" s="66" t="n">
        <x:v>388746.10812068626</x:v>
      </x:c>
      <x:c r="R645" s="66" t="n">
        <x:v>103725.38581546869</x:v>
      </x:c>
      <x:c r="S645" s="66" t="n">
        <x:v>285020.7223052176</x:v>
      </x:c>
      <x:c r="T645" s="66" t="n">
        <x:v>246944.89825798527</x:v>
      </x:c>
      <x:c r="U645" s="45" t="n">
        <x:v>0.6870194024530196</x:v>
      </x:c>
      <x:c r="V645" s="45" t="n">
        <x:v>0.708810383550721</x:v>
      </x:c>
      <x:c r="W645" s="45" t="n">
        <x:v>0.14359817457221943</x:v>
      </x:c>
      <x:c r="X645" s="66" t="n">
        <x:v>50549315.3440612</x:v>
      </x:c>
      <x:c r="Y645" s="66" t="n">
        <x:v>111.57136767234674</x:v>
      </x:c>
      <x:c r="Z645" s="66" t="n">
        <x:v>5041454.778568152</x:v>
      </x:c>
      <x:c r="AA645" s="66" t="n">
        <x:v>270975.33365288004</x:v>
      </x:c>
      <x:c r="AB645" s="66" t="n">
        <x:v>41915.69455570927</x:v>
      </x:c>
      <x:c r="AC645" s="66" t="n">
        <x:v>0</x:v>
      </x:c>
      <x:c r="AD645" s="66" t="n">
        <x:v>1916.0859109660328</x:v>
      </x:c>
      <x:c r="AE645" s="66" t="n">
        <x:v>190607.63583825</x:v>
      </x:c>
      <x:c r="AF645" s="66" t="n">
        <x:v>246944.89825798533</x:v>
      </x:c>
      <x:c r="AG645" s="66" t="n">
        <x:v>0</x:v>
      </x:c>
      <x:c r="AH645" s="36" t="n">
        <x:v>0</x:v>
      </x:c>
    </x:row>
    <x:row r="646" ht="15" hidden="0" customHeight="1">
      <x:c r="A646" s="34" t="n">
        <x:v>161</x:v>
      </x:c>
      <x:c r="B646" s="34" t="str">
        <x:v>B1</x:v>
      </x:c>
      <x:c r="C646" s="34" t="str">
        <x:v>reference</x:v>
      </x:c>
      <x:c r="D646" s="74" t="n">
        <x:v>0.9418299190054727</x:v>
      </x:c>
      <x:c r="E646" s="74" t="n">
        <x:v>0.04238170460424286</x:v>
      </x:c>
      <x:c r="F646" s="74" t="n">
        <x:v>0.9882532162902082</x:v>
      </x:c>
      <x:c r="G646" s="74" t="n">
        <x:v>0.937493391723918</x:v>
      </x:c>
      <x:c r="H646" s="74" t="n">
        <x:v>0.7905836161592175</x:v>
      </x:c>
      <x:c r="I646" s="74" t="n">
        <x:v>0.782476983684351</x:v>
      </x:c>
      <x:c r="J646" s="74" t="n">
        <x:v>0.90717633355507</x:v>
      </x:c>
      <x:c r="K646" s="74" t="n">
        <x:v>0.8464223583605205</x:v>
      </x:c>
      <x:c r="L646" s="74" t="n">
        <x:v>0.9613661243880669</x:v>
      </x:c>
      <x:c r="M646" s="74" t="n">
        <x:v>0.9000010494274439</x:v>
      </x:c>
      <x:c r="N646" s="74" t="n">
        <x:v>0.9780774725648487</x:v>
      </x:c>
      <x:c r="O646" s="65" t="n">
        <x:v>453067.0941715989</x:v>
      </x:c>
      <x:c r="P646" s="65" t="n">
        <x:v>217577.39288671815</x:v>
      </x:c>
      <x:c r="Q646" s="65" t="n">
        <x:v>235489.70128488072</x:v>
      </x:c>
      <x:c r="R646" s="65" t="n">
        <x:v>103725.38581546869</x:v>
      </x:c>
      <x:c r="S646" s="65" t="n">
        <x:v>131764.31546941202</x:v>
      </x:c>
      <x:c r="T646" s="65" t="n">
        <x:v>179831.67320039333</x:v>
      </x:c>
      <x:c r="U646" s="43" t="n">
        <x:v>0.8771527908327702</x:v>
      </x:c>
      <x:c r="V646" s="43" t="n">
        <x:v>0.8922837491580548</x:v>
      </x:c>
      <x:c r="W646" s="43" t="n">
        <x:v>0.5439909855021713</x:v>
      </x:c>
      <x:c r="X646" s="65" t="n">
        <x:v>30386492.163128022</x:v>
      </x:c>
      <x:c r="Y646" s="65" t="n">
        <x:v>67.06841559236953</x:v>
      </x:c>
      <x:c r="Z646" s="65" t="n">
        <x:v>1759132.2478378317</x:v>
      </x:c>
      <x:c r="AA646" s="65" t="n">
        <x:v>161028.75151030507</x:v>
      </x:c>
      <x:c r="AB646" s="65" t="n">
        <x:v>7504.444861961383</x:v>
      </x:c>
      <x:c r="AC646" s="65" t="n">
        <x:v>0</x:v>
      </x:c>
      <x:c r="AD646" s="65" t="n">
        <x:v>1539.1674320009893</x:v>
      </x:c>
      <x:c r="AE646" s="65" t="n">
        <x:v>112944.23206924842</x:v>
      </x:c>
      <x:c r="AF646" s="65" t="n">
        <x:v>179831.67320039356</x:v>
      </x:c>
      <x:c r="AG646" s="65" t="n">
        <x:v>0</x:v>
      </x:c>
      <x:c r="AH646" s="34" t="n">
        <x:v>0</x:v>
      </x:c>
    </x:row>
    <x:row r="647" ht="15" hidden="0" customHeight="1">
      <x:c r="A647" s="36" t="n">
        <x:v>161</x:v>
      </x:c>
      <x:c r="B647" s="36" t="str">
        <x:v>P2</x:v>
      </x:c>
      <x:c r="C647" s="36" t="str">
        <x:v>reference</x:v>
      </x:c>
      <x:c r="D647" s="75" t="n">
        <x:v>0.9418299190054727</x:v>
      </x:c>
      <x:c r="E647" s="75" t="n">
        <x:v>0.04238170460424286</x:v>
      </x:c>
      <x:c r="F647" s="75" t="n">
        <x:v>0.9882532162902082</x:v>
      </x:c>
      <x:c r="G647" s="75" t="n">
        <x:v>0.937493391723918</x:v>
      </x:c>
      <x:c r="H647" s="75" t="n">
        <x:v>0.7905836161592175</x:v>
      </x:c>
      <x:c r="I647" s="75" t="n">
        <x:v>0.782476983684351</x:v>
      </x:c>
      <x:c r="J647" s="75" t="n">
        <x:v>0.90717633355507</x:v>
      </x:c>
      <x:c r="K647" s="75" t="n">
        <x:v>0.8464223583605205</x:v>
      </x:c>
      <x:c r="L647" s="75" t="n">
        <x:v>0.9613661243880669</x:v>
      </x:c>
      <x:c r="M647" s="75" t="n">
        <x:v>0.9000010494274439</x:v>
      </x:c>
      <x:c r="N647" s="75" t="n">
        <x:v>0.9780774725648487</x:v>
      </x:c>
      <x:c r="O647" s="66" t="n">
        <x:v>453067.0941715989</x:v>
      </x:c>
      <x:c r="P647" s="66" t="n">
        <x:v>315203.18977524916</x:v>
      </x:c>
      <x:c r="Q647" s="66" t="n">
        <x:v>137863.90439634968</x:v>
      </x:c>
      <x:c r="R647" s="66" t="n">
        <x:v>103725.38581546869</x:v>
      </x:c>
      <x:c r="S647" s="66" t="n">
        <x:v>34138.51858088097</x:v>
      </x:c>
      <x:c r="T647" s="66" t="n">
        <x:v>118529.07239812764</x:v>
      </x:c>
      <x:c r="U647" s="45" t="n">
        <x:v>0.9573245723493241</x:v>
      </x:c>
      <x:c r="V647" s="45" t="n">
        <x:v>0.9622470973561357</x:v>
      </x:c>
      <x:c r="W647" s="45" t="n">
        <x:v>0.7399963104515849</x:v>
      </x:c>
      <x:c r="X647" s="66" t="n">
        <x:v>16387393.632803723</x:v>
      </x:c>
      <x:c r="Y647" s="66" t="n">
        <x:v>36.169904730704204</x:v>
      </x:c>
      <x:c r="Z647" s="66" t="n">
        <x:v>742056.0694940258</x:v>
      </x:c>
      <x:c r="AA647" s="66" t="n">
        <x:v>93692.18100671105</x:v>
      </x:c>
      <x:c r="AB647" s="66" t="n">
        <x:v>0</x:v>
      </x:c>
      <x:c r="AC647" s="66" t="n">
        <x:v>0</x:v>
      </x:c>
      <x:c r="AD647" s="66" t="n">
        <x:v>1311.4214860553047</x:v>
      </x:c>
      <x:c r="AE647" s="66" t="n">
        <x:v>60035.69951788513</x:v>
      </x:c>
      <x:c r="AF647" s="66" t="n">
        <x:v>118529.07239812764</x:v>
      </x:c>
      <x:c r="AG647" s="66" t="n">
        <x:v>0</x:v>
      </x:c>
      <x:c r="AH647" s="36" t="n">
        <x:v>0</x:v>
      </x:c>
    </x:row>
    <x:row r="648" ht="15" hidden="0" customHeight="1">
      <x:c r="A648" s="34" t="n">
        <x:v>161</x:v>
      </x:c>
      <x:c r="B648" s="34" t="str">
        <x:v>H3</x:v>
      </x:c>
      <x:c r="C648" s="34" t="str">
        <x:v>reference</x:v>
      </x:c>
      <x:c r="D648" s="74" t="n">
        <x:v>0.9418299190054727</x:v>
      </x:c>
      <x:c r="E648" s="74" t="n">
        <x:v>0.04238170460424286</x:v>
      </x:c>
      <x:c r="F648" s="74" t="n">
        <x:v>0.9882532162902082</x:v>
      </x:c>
      <x:c r="G648" s="74" t="n">
        <x:v>0.937493391723918</x:v>
      </x:c>
      <x:c r="H648" s="74" t="n">
        <x:v>0.7905836161592175</x:v>
      </x:c>
      <x:c r="I648" s="74" t="n">
        <x:v>0.782476983684351</x:v>
      </x:c>
      <x:c r="J648" s="74" t="n">
        <x:v>0.90717633355507</x:v>
      </x:c>
      <x:c r="K648" s="74" t="n">
        <x:v>0.8464223583605205</x:v>
      </x:c>
      <x:c r="L648" s="74" t="n">
        <x:v>0.9613661243880669</x:v>
      </x:c>
      <x:c r="M648" s="74" t="n">
        <x:v>0.9000010494274439</x:v>
      </x:c>
      <x:c r="N648" s="74" t="n">
        <x:v>0.9780774725648487</x:v>
      </x:c>
      <x:c r="O648" s="65" t="n">
        <x:v>453067.0941715989</x:v>
      </x:c>
      <x:c r="P648" s="65" t="n">
        <x:v>326978.31997802894</x:v>
      </x:c>
      <x:c r="Q648" s="65" t="n">
        <x:v>126088.77419356992</x:v>
      </x:c>
      <x:c r="R648" s="65" t="n">
        <x:v>103725.38581546869</x:v>
      </x:c>
      <x:c r="S648" s="65" t="n">
        <x:v>22363.38837810122</x:v>
      </x:c>
      <x:c r="T648" s="65" t="n">
        <x:v>124802.9186999778</x:v>
      </x:c>
      <x:c r="U648" s="43" t="n">
        <x:v>0.9971618872565812</x:v>
      </x:c>
      <x:c r="V648" s="43" t="n">
        <x:v>0.9982124301500708</x:v>
      </x:c>
      <x:c r="W648" s="43" t="n">
        <x:v>0.9716188725658128</x:v>
      </x:c>
      <x:c r="X648" s="65" t="n">
        <x:v>12999377.366891224</x:v>
      </x:c>
      <x:c r="Y648" s="65" t="n">
        <x:v>28.69194769189686</x:v>
      </x:c>
      <x:c r="Z648" s="65" t="n">
        <x:v>852522.6122199186</x:v>
      </x:c>
      <x:c r="AA648" s="65" t="n">
        <x:v>79405.74154053649</x:v>
      </x:c>
      <x:c r="AB648" s="65" t="n">
        <x:v>2586.271390829853</x:v>
      </x:c>
      <x:c r="AC648" s="65" t="n">
        <x:v>0</x:v>
      </x:c>
      <x:c r="AD648" s="65" t="n">
        <x:v>1285.8554935921022</x:v>
      </x:c>
      <x:c r="AE648" s="65" t="n">
        <x:v>58732.672701882926</x:v>
      </x:c>
      <x:c r="AF648" s="65" t="n">
        <x:v>124802.91869997777</x:v>
      </x:c>
      <x:c r="AG648" s="65" t="n">
        <x:v>2.9103830456733704e-11</x:v>
      </x:c>
      <x:c r="AH648" s="34" t="n">
        <x:v>1</x:v>
      </x:c>
    </x:row>
    <x:row r="649" ht="21.600000381469727" hidden="0" customHeight="1">
      <x:c r="A649" s="36" t="n">
        <x:v>162</x:v>
      </x:c>
      <x:c r="B649" s="36" t="str">
        <x:v>M0</x:v>
      </x:c>
      <x:c r="C649" s="36" t="str">
        <x:v>fast</x:v>
      </x:c>
      <x:c r="D649" s="75" t="n">
        <x:v>0.9347380849601765</x:v>
      </x:c>
      <x:c r="E649" s="75" t="n">
        <x:v>-0.028808188842019643</x:v>
      </x:c>
      <x:c r="F649" s="75" t="n">
        <x:v>0.9760854954145566</x:v>
      </x:c>
      <x:c r="G649" s="75" t="n">
        <x:v>0.9876174818144889</x:v>
      </x:c>
      <x:c r="H649" s="75" t="n">
        <x:v>1.0774632015957077</x:v>
      </x:c>
      <x:c r="I649" s="75" t="n">
        <x:v>0.9388081554556226</x:v>
      </x:c>
      <x:c r="J649" s="75" t="n">
        <x:v>0.849713423046798</x:v>
      </x:c>
      <x:c r="K649" s="75" t="n">
        <x:v>0.7919335006951621</x:v>
      </x:c>
      <x:c r="L649" s="75" t="n">
        <x:v>0.9746310646636653</x:v>
      </x:c>
      <x:c r="M649" s="75" t="n">
        <x:v>1.0062307763213059</x:v>
      </x:c>
      <x:c r="N649" s="75" t="n">
        <x:v>0.9380568968264142</x:v>
      </x:c>
      <x:c r="O649" s="66" t="n">
        <x:v>449655.56882247597</x:v>
      </x:c>
      <x:c r="P649" s="66" t="n">
        <x:v>68873.12505399939</x:v>
      </x:c>
      <x:c r="Q649" s="66" t="n">
        <x:v>380782.4437684765</x:v>
      </x:c>
      <x:c r="R649" s="66" t="n">
        <x:v>70933.41762435457</x:v>
      </x:c>
      <x:c r="S649" s="66" t="n">
        <x:v>309849.02614412195</x:v>
      </x:c>
      <x:c r="T649" s="66" t="n">
        <x:v>305321.2790557581</x:v>
      </x:c>
      <x:c r="U649" s="45" t="n">
        <x:v>0.8321800730493999</x:v>
      </x:c>
      <x:c r="V649" s="45" t="n">
        <x:v>0.8118675269504281</x:v>
      </x:c>
      <x:c r="W649" s="45" t="n">
        <x:v>0.16859480509033417</x:v>
      </x:c>
      <x:c r="X649" s="66" t="n">
        <x:v>45682243.23744782</x:v>
      </x:c>
      <x:c r="Y649" s="66" t="n">
        <x:v>101.59385628666188</x:v>
      </x:c>
      <x:c r="Z649" s="66" t="n">
        <x:v>6121084.303761594</x:v>
      </x:c>
      <x:c r="AA649" s="66" t="n">
        <x:v>242983.73388299497</x:v>
      </x:c>
      <x:c r="AB649" s="66" t="n">
        <x:v>46445.47566453523</x:v>
      </x:c>
      <x:c r="AC649" s="66" t="n">
        <x:v>7275.73715188148</x:v>
      </x:c>
      <x:c r="AD649" s="66" t="n">
        <x:v>1875.1954849027602</x:v>
      </x:c>
      <x:c r="AE649" s="66" t="n">
        <x:v>224273.1631699558</x:v>
      </x:c>
      <x:c r="AF649" s="66" t="n">
        <x:v>305321.2790557578</x:v>
      </x:c>
      <x:c r="AG649" s="66" t="n">
        <x:v>2.9103830456733704e-10</x:v>
      </x:c>
      <x:c r="AH649" s="36" t="n">
        <x:v>0</x:v>
      </x:c>
    </x:row>
    <x:row r="650" ht="21.600000381469727" hidden="0" customHeight="1">
      <x:c r="A650" s="34" t="n">
        <x:v>162</x:v>
      </x:c>
      <x:c r="B650" s="34" t="str">
        <x:v>B1</x:v>
      </x:c>
      <x:c r="C650" s="34" t="str">
        <x:v>fast</x:v>
      </x:c>
      <x:c r="D650" s="74" t="n">
        <x:v>0.9347380849601765</x:v>
      </x:c>
      <x:c r="E650" s="74" t="n">
        <x:v>-0.028808188842019643</x:v>
      </x:c>
      <x:c r="F650" s="74" t="n">
        <x:v>0.9760854954145566</x:v>
      </x:c>
      <x:c r="G650" s="74" t="n">
        <x:v>0.9876174818144889</x:v>
      </x:c>
      <x:c r="H650" s="74" t="n">
        <x:v>1.0774632015957077</x:v>
      </x:c>
      <x:c r="I650" s="74" t="n">
        <x:v>0.9388081554556226</x:v>
      </x:c>
      <x:c r="J650" s="74" t="n">
        <x:v>0.849713423046798</x:v>
      </x:c>
      <x:c r="K650" s="74" t="n">
        <x:v>0.7919335006951621</x:v>
      </x:c>
      <x:c r="L650" s="74" t="n">
        <x:v>0.9746310646636653</x:v>
      </x:c>
      <x:c r="M650" s="74" t="n">
        <x:v>1.0062307763213059</x:v>
      </x:c>
      <x:c r="N650" s="74" t="n">
        <x:v>0.9380568968264142</x:v>
      </x:c>
      <x:c r="O650" s="65" t="n">
        <x:v>449655.56882247597</x:v>
      </x:c>
      <x:c r="P650" s="65" t="n">
        <x:v>232973.61345291312</x:v>
      </x:c>
      <x:c r="Q650" s="65" t="n">
        <x:v>216681.95536956284</x:v>
      </x:c>
      <x:c r="R650" s="65" t="n">
        <x:v>70933.41762435457</x:v>
      </x:c>
      <x:c r="S650" s="65" t="n">
        <x:v>145748.53774520825</x:v>
      </x:c>
      <x:c r="T650" s="65" t="n">
        <x:v>197973.55279991304</x:v>
      </x:c>
      <x:c r="U650" s="43" t="n">
        <x:v>0.9583939266700465</x:v>
      </x:c>
      <x:c r="V650" s="43" t="n">
        <x:v>0.9558030156478098</x:v>
      </x:c>
      <x:c r="W650" s="43" t="n">
        <x:v>0.6355756635269609</x:v>
      </x:c>
      <x:c r="X650" s="65" t="n">
        <x:v>25282743.441863127</x:v>
      </x:c>
      <x:c r="Y650" s="65" t="n">
        <x:v>56.22691053970857</x:v>
      </x:c>
      <x:c r="Z650" s="65" t="n">
        <x:v>2660607.1335683265</x:v>
      </x:c>
      <x:c r="AA650" s="65" t="n">
        <x:v>130045.46057478439</x:v>
      </x:c>
      <x:c r="AB650" s="65" t="n">
        <x:v>13586.860349461167</x:v>
      </x:c>
      <x:c r="AC650" s="65" t="n">
        <x:v>17267.209762370367</x:v>
      </x:c>
      <x:c r="AD650" s="65" t="n">
        <x:v>1441.192807279388</x:v>
      </x:c>
      <x:c r="AE650" s="65" t="n">
        <x:v>96663.40794266025</x:v>
      </x:c>
      <x:c r="AF650" s="65" t="n">
        <x:v>197973.5527999133</x:v>
      </x:c>
      <x:c r="AG650" s="65" t="n">
        <x:v>0</x:v>
      </x:c>
      <x:c r="AH650" s="34" t="n">
        <x:v>0</x:v>
      </x:c>
    </x:row>
    <x:row r="651" ht="21.600000381469727" hidden="0" customHeight="1">
      <x:c r="A651" s="36" t="n">
        <x:v>162</x:v>
      </x:c>
      <x:c r="B651" s="36" t="str">
        <x:v>P2</x:v>
      </x:c>
      <x:c r="C651" s="36" t="str">
        <x:v>fast</x:v>
      </x:c>
      <x:c r="D651" s="75" t="n">
        <x:v>0.9347380849601765</x:v>
      </x:c>
      <x:c r="E651" s="75" t="n">
        <x:v>-0.028808188842019643</x:v>
      </x:c>
      <x:c r="F651" s="75" t="n">
        <x:v>0.9760854954145566</x:v>
      </x:c>
      <x:c r="G651" s="75" t="n">
        <x:v>0.9876174818144889</x:v>
      </x:c>
      <x:c r="H651" s="75" t="n">
        <x:v>1.0774632015957077</x:v>
      </x:c>
      <x:c r="I651" s="75" t="n">
        <x:v>0.9388081554556226</x:v>
      </x:c>
      <x:c r="J651" s="75" t="n">
        <x:v>0.849713423046798</x:v>
      </x:c>
      <x:c r="K651" s="75" t="n">
        <x:v>0.7919335006951621</x:v>
      </x:c>
      <x:c r="L651" s="75" t="n">
        <x:v>0.9746310646636653</x:v>
      </x:c>
      <x:c r="M651" s="75" t="n">
        <x:v>1.0062307763213059</x:v>
      </x:c>
      <x:c r="N651" s="75" t="n">
        <x:v>0.9380568968264142</x:v>
      </x:c>
      <x:c r="O651" s="66" t="n">
        <x:v>449655.56882247597</x:v>
      </x:c>
      <x:c r="P651" s="66" t="n">
        <x:v>337505.80408586643</x:v>
      </x:c>
      <x:c r="Q651" s="66" t="n">
        <x:v>112149.76473660949</x:v>
      </x:c>
      <x:c r="R651" s="66" t="n">
        <x:v>70933.41762435457</x:v>
      </x:c>
      <x:c r="S651" s="66" t="n">
        <x:v>41216.34711225491</x:v>
      </x:c>
      <x:c r="T651" s="66" t="n">
        <x:v>110970.80993535649</x:v>
      </x:c>
      <x:c r="U651" s="45" t="n">
        <x:v>0.9973780936276617</x:v>
      </x:c>
      <x:c r="V651" s="45" t="n">
        <x:v>0.9983484466018232</x:v>
      </x:c>
      <x:c r="W651" s="45" t="n">
        <x:v>0.9737809362766182</x:v>
      </x:c>
      <x:c r="X651" s="66" t="n">
        <x:v>11355857.925638635</x:v>
      </x:c>
      <x:c r="Y651" s="66" t="n">
        <x:v>25.25456974852218</x:v>
      </x:c>
      <x:c r="Z651" s="66" t="n">
        <x:v>770754.6883924422</x:v>
      </x:c>
      <x:c r="AA651" s="66" t="n">
        <x:v>70717.31234170149</x:v>
      </x:c>
      <x:c r="AB651" s="66" t="n">
        <x:v>73.06233262469712</x:v>
      </x:c>
      <x:c r="AC651" s="66" t="n">
        <x:v>2655.641143341164</x:v>
      </x:c>
      <x:c r="AD651" s="66" t="n">
        <x:v>1178.9548012529922</x:v>
      </x:c>
      <x:c r="AE651" s="66" t="n">
        <x:v>54030.50347696284</x:v>
      </x:c>
      <x:c r="AF651" s="66" t="n">
        <x:v>110970.80993535648</x:v>
      </x:c>
      <x:c r="AG651" s="66" t="n">
        <x:v>1.4551915228366852e-11</x:v>
      </x:c>
      <x:c r="AH651" s="36" t="n">
        <x:v>1</x:v>
      </x:c>
    </x:row>
    <x:row r="652" ht="21.600000381469727" hidden="0" customHeight="1">
      <x:c r="A652" s="34" t="n">
        <x:v>162</x:v>
      </x:c>
      <x:c r="B652" s="34" t="str">
        <x:v>H3</x:v>
      </x:c>
      <x:c r="C652" s="34" t="str">
        <x:v>fast</x:v>
      </x:c>
      <x:c r="D652" s="74" t="n">
        <x:v>0.9347380849601765</x:v>
      </x:c>
      <x:c r="E652" s="74" t="n">
        <x:v>-0.028808188842019643</x:v>
      </x:c>
      <x:c r="F652" s="74" t="n">
        <x:v>0.9760854954145566</x:v>
      </x:c>
      <x:c r="G652" s="74" t="n">
        <x:v>0.9876174818144889</x:v>
      </x:c>
      <x:c r="H652" s="74" t="n">
        <x:v>1.0774632015957077</x:v>
      </x:c>
      <x:c r="I652" s="74" t="n">
        <x:v>0.9388081554556226</x:v>
      </x:c>
      <x:c r="J652" s="74" t="n">
        <x:v>0.849713423046798</x:v>
      </x:c>
      <x:c r="K652" s="74" t="n">
        <x:v>0.7919335006951621</x:v>
      </x:c>
      <x:c r="L652" s="74" t="n">
        <x:v>0.9746310646636653</x:v>
      </x:c>
      <x:c r="M652" s="74" t="n">
        <x:v>1.0062307763213059</x:v>
      </x:c>
      <x:c r="N652" s="74" t="n">
        <x:v>0.9380568968264142</x:v>
      </x:c>
      <x:c r="O652" s="65" t="n">
        <x:v>449655.56882247597</x:v>
      </x:c>
      <x:c r="P652" s="65" t="n">
        <x:v>350113.7344415682</x:v>
      </x:c>
      <x:c r="Q652" s="65" t="n">
        <x:v>99541.8343809077</x:v>
      </x:c>
      <x:c r="R652" s="65" t="n">
        <x:v>70933.41762435457</x:v>
      </x:c>
      <x:c r="S652" s="65" t="n">
        <x:v>28608.416756553117</x:v>
      </x:c>
      <x:c r="T652" s="65" t="n">
        <x:v>98392.31753455571</x:v>
      </x:c>
      <x:c r="U652" s="43" t="n">
        <x:v>0.9974435614144348</x:v>
      </x:c>
      <x:c r="V652" s="43" t="n">
        <x:v>0.998389819070097</x:v>
      </x:c>
      <x:c r="W652" s="43" t="n">
        <x:v>0.9744356141443494</x:v>
      </x:c>
      <x:c r="X652" s="65" t="n">
        <x:v>8395860.664832797</x:v>
      </x:c>
      <x:c r="Y652" s="65" t="n">
        <x:v>18.67175955769711</x:v>
      </x:c>
      <x:c r="Z652" s="65" t="n">
        <x:v>821653.6212393873</x:v>
      </x:c>
      <x:c r="AA652" s="65" t="n">
        <x:v>66171.18452085948</x:v>
      </x:c>
      <x:c r="AB652" s="65" t="n">
        <x:v>7481.168734676472</x:v>
      </x:c>
      <x:c r="AC652" s="65" t="n">
        <x:v>1690.1134505362647</x:v>
      </x:c>
      <x:c r="AD652" s="65" t="n">
        <x:v>1149.5168463519863</x:v>
      </x:c>
      <x:c r="AE652" s="65" t="n">
        <x:v>32268.104641151134</x:v>
      </x:c>
      <x:c r="AF652" s="65" t="n">
        <x:v>98392.3175345557</x:v>
      </x:c>
      <x:c r="AG652" s="65" t="n">
        <x:v>1.4551915228366852e-11</x:v>
      </x:c>
      <x:c r="AH652" s="34" t="n">
        <x:v>1</x:v>
      </x:c>
    </x:row>
    <x:row r="653" ht="15" hidden="0" customHeight="1">
      <x:c r="A653" s="36" t="n">
        <x:v>163</x:v>
      </x:c>
      <x:c r="B653" s="36" t="str">
        <x:v>M0</x:v>
      </x:c>
      <x:c r="C653" s="36" t="str">
        <x:v>reference</x:v>
      </x:c>
      <x:c r="D653" s="75" t="n">
        <x:v>1.0453290246917148</x:v>
      </x:c>
      <x:c r="E653" s="75" t="n">
        <x:v>0.0167926088495539</x:v>
      </x:c>
      <x:c r="F653" s="75" t="n">
        <x:v>0.8170348666511563</x:v>
      </x:c>
      <x:c r="G653" s="75" t="n">
        <x:v>1.1573849259123627</x:v>
      </x:c>
      <x:c r="H653" s="75" t="n">
        <x:v>0.8509630004979409</x:v>
      </x:c>
      <x:c r="I653" s="75" t="n">
        <x:v>0.8355534276714408</x:v>
      </x:c>
      <x:c r="J653" s="75" t="n">
        <x:v>0.9705013033328977</x:v>
      </x:c>
      <x:c r="K653" s="75" t="n">
        <x:v>0.9608243097020498</x:v>
      </x:c>
      <x:c r="L653" s="75" t="n">
        <x:v>0.9903170992005205</x:v>
      </x:c>
      <x:c r="M653" s="75" t="n">
        <x:v>0.83193707990665</x:v>
      </x:c>
      <x:c r="N653" s="75" t="n">
        <x:v>0.7543050945685504</x:v>
      </x:c>
      <x:c r="O653" s="66" t="n">
        <x:v>502855.3182621445</x:v>
      </x:c>
      <x:c r="P653" s="66" t="n">
        <x:v>60979.97106922702</x:v>
      </x:c>
      <x:c r="Q653" s="66" t="n">
        <x:v>441875.3471929175</x:v>
      </x:c>
      <x:c r="R653" s="66" t="n">
        <x:v>102256.31150706236</x:v>
      </x:c>
      <x:c r="S653" s="66" t="n">
        <x:v>339619.0356858551</x:v>
      </x:c>
      <x:c r="T653" s="66" t="n">
        <x:v>259591.70643435972</x:v>
      </x:c>
      <x:c r="U653" s="45" t="n">
        <x:v>0.6375028081864074</x:v>
      </x:c>
      <x:c r="V653" s="45" t="n">
        <x:v>0.6652996472730821</x:v>
      </x:c>
      <x:c r="W653" s="45" t="n">
        <x:v>0.11991197207906175</x:v>
      </x:c>
      <x:c r="X653" s="66" t="n">
        <x:v>58208773.23809935</x:v>
      </x:c>
      <x:c r="Y653" s="66" t="n">
        <x:v>115.75650316132167</x:v>
      </x:c>
      <x:c r="Z653" s="66" t="n">
        <x:v>5772827.370246281</x:v>
      </x:c>
      <x:c r="AA653" s="66" t="n">
        <x:v>313999.34944606695</x:v>
      </x:c>
      <x:c r="AB653" s="66" t="n">
        <x:v>50983.76734971926</x:v>
      </x:c>
      <x:c r="AC653" s="66" t="n">
        <x:v>0</x:v>
      </x:c>
      <x:c r="AD653" s="66" t="n">
        <x:v>2149.066735820529</x:v>
      </x:c>
      <x:c r="AE653" s="66" t="n">
        <x:v>237867.7197107855</x:v>
      </x:c>
      <x:c r="AF653" s="66" t="n">
        <x:v>259591.70643435948</x:v>
      </x:c>
      <x:c r="AG653" s="66" t="n">
        <x:v>2.3283064365386963e-10</x:v>
      </x:c>
      <x:c r="AH653" s="36" t="n">
        <x:v>0</x:v>
      </x:c>
    </x:row>
    <x:row r="654" ht="15" hidden="0" customHeight="1">
      <x:c r="A654" s="34" t="n">
        <x:v>163</x:v>
      </x:c>
      <x:c r="B654" s="34" t="str">
        <x:v>B1</x:v>
      </x:c>
      <x:c r="C654" s="34" t="str">
        <x:v>reference</x:v>
      </x:c>
      <x:c r="D654" s="74" t="n">
        <x:v>1.0453290246917148</x:v>
      </x:c>
      <x:c r="E654" s="74" t="n">
        <x:v>0.0167926088495539</x:v>
      </x:c>
      <x:c r="F654" s="74" t="n">
        <x:v>0.8170348666511563</x:v>
      </x:c>
      <x:c r="G654" s="74" t="n">
        <x:v>1.1573849259123627</x:v>
      </x:c>
      <x:c r="H654" s="74" t="n">
        <x:v>0.8509630004979409</x:v>
      </x:c>
      <x:c r="I654" s="74" t="n">
        <x:v>0.8355534276714408</x:v>
      </x:c>
      <x:c r="J654" s="74" t="n">
        <x:v>0.9705013033328977</x:v>
      </x:c>
      <x:c r="K654" s="74" t="n">
        <x:v>0.9608243097020498</x:v>
      </x:c>
      <x:c r="L654" s="74" t="n">
        <x:v>0.9903170992005205</x:v>
      </x:c>
      <x:c r="M654" s="74" t="n">
        <x:v>0.83193707990665</x:v>
      </x:c>
      <x:c r="N654" s="74" t="n">
        <x:v>0.7543050945685504</x:v>
      </x:c>
      <x:c r="O654" s="65" t="n">
        <x:v>502855.3182621445</x:v>
      </x:c>
      <x:c r="P654" s="65" t="n">
        <x:v>206275.0590122561</x:v>
      </x:c>
      <x:c r="Q654" s="65" t="n">
        <x:v>296580.25924988836</x:v>
      </x:c>
      <x:c r="R654" s="65" t="n">
        <x:v>102256.31150706236</x:v>
      </x:c>
      <x:c r="S654" s="65" t="n">
        <x:v>194323.94774282599</x:v>
      </x:c>
      <x:c r="T654" s="65" t="n">
        <x:v>190138.92886983967</x:v>
      </x:c>
      <x:c r="U654" s="43" t="n">
        <x:v>0.7883261317630937</x:v>
      </x:c>
      <x:c r="V654" s="43" t="n">
        <x:v>0.8105455388566982</x:v>
      </x:c>
      <x:c r="W654" s="43" t="n">
        <x:v>0.4413738288727758</x:v>
      </x:c>
      <x:c r="X654" s="65" t="n">
        <x:v>39537210.28651196</x:v>
      </x:c>
      <x:c r="Y654" s="65" t="n">
        <x:v>78.62541938136714</x:v>
      </x:c>
      <x:c r="Z654" s="65" t="n">
        <x:v>2240588.758211299</x:v>
      </x:c>
      <x:c r="AA654" s="65" t="n">
        <x:v>213536.21850864805</x:v>
      </x:c>
      <x:c r="AB654" s="65" t="n">
        <x:v>13999.145111130987</x:v>
      </x:c>
      <x:c r="AC654" s="65" t="n">
        <x:v>0</x:v>
      </x:c>
      <x:c r="AD654" s="65" t="n">
        <x:v>1781.4946695517308</x:v>
      </x:c>
      <x:c r="AE654" s="65" t="n">
        <x:v>130032.55240786643</x:v>
      </x:c>
      <x:c r="AF654" s="65" t="n">
        <x:v>190138.92886983967</x:v>
      </x:c>
      <x:c r="AG654" s="65" t="n">
        <x:v>0</x:v>
      </x:c>
      <x:c r="AH654" s="34" t="n">
        <x:v>0</x:v>
      </x:c>
    </x:row>
    <x:row r="655" ht="15" hidden="0" customHeight="1">
      <x:c r="A655" s="36" t="n">
        <x:v>163</x:v>
      </x:c>
      <x:c r="B655" s="36" t="str">
        <x:v>P2</x:v>
      </x:c>
      <x:c r="C655" s="36" t="str">
        <x:v>reference</x:v>
      </x:c>
      <x:c r="D655" s="75" t="n">
        <x:v>1.0453290246917148</x:v>
      </x:c>
      <x:c r="E655" s="75" t="n">
        <x:v>0.0167926088495539</x:v>
      </x:c>
      <x:c r="F655" s="75" t="n">
        <x:v>0.8170348666511563</x:v>
      </x:c>
      <x:c r="G655" s="75" t="n">
        <x:v>1.1573849259123627</x:v>
      </x:c>
      <x:c r="H655" s="75" t="n">
        <x:v>0.8509630004979409</x:v>
      </x:c>
      <x:c r="I655" s="75" t="n">
        <x:v>0.8355534276714408</x:v>
      </x:c>
      <x:c r="J655" s="75" t="n">
        <x:v>0.9705013033328977</x:v>
      </x:c>
      <x:c r="K655" s="75" t="n">
        <x:v>0.9608243097020498</x:v>
      </x:c>
      <x:c r="L655" s="75" t="n">
        <x:v>0.9903170992005205</x:v>
      </x:c>
      <x:c r="M655" s="75" t="n">
        <x:v>0.83193707990665</x:v>
      </x:c>
      <x:c r="N655" s="75" t="n">
        <x:v>0.7543050945685504</x:v>
      </x:c>
      <x:c r="O655" s="66" t="n">
        <x:v>502855.3182621445</x:v>
      </x:c>
      <x:c r="P655" s="66" t="n">
        <x:v>298828.95195053495</x:v>
      </x:c>
      <x:c r="Q655" s="66" t="n">
        <x:v>204026.36631160957</x:v>
      </x:c>
      <x:c r="R655" s="66" t="n">
        <x:v>102256.31150706236</x:v>
      </x:c>
      <x:c r="S655" s="66" t="n">
        <x:v>101770.0548045472</x:v>
      </x:c>
      <x:c r="T655" s="66" t="n">
        <x:v>131373.72039670538</x:v>
      </x:c>
      <x:c r="U655" s="45" t="n">
        <x:v>0.8555197821791167</x:v>
      </x:c>
      <x:c r="V655" s="45" t="n">
        <x:v>0.8758445831045638</x:v>
      </x:c>
      <x:c r="W655" s="45" t="n">
        <x:v>0.591311479766504</x:v>
      </x:c>
      <x:c r="X655" s="66" t="n">
        <x:v>26221723.346458077</x:v>
      </x:c>
      <x:c r="Y655" s="66" t="n">
        <x:v>52.14566177221651</x:v>
      </x:c>
      <x:c r="Z655" s="66" t="n">
        <x:v>821621.3193356295</x:v>
      </x:c>
      <x:c r="AA655" s="66" t="n">
        <x:v>150959.35848112733</x:v>
      </x:c>
      <x:c r="AB655" s="66" t="n">
        <x:v>154.13739086097638</x:v>
      </x:c>
      <x:c r="AC655" s="66" t="n">
        <x:v>0</x:v>
      </x:c>
      <x:c r="AD655" s="66" t="n">
        <x:v>1559.3961187843079</x:v>
      </x:c>
      <x:c r="AE655" s="66" t="n">
        <x:v>81561.79088611841</x:v>
      </x:c>
      <x:c r="AF655" s="66" t="n">
        <x:v>131373.7203967053</x:v>
      </x:c>
      <x:c r="AG655" s="66" t="n">
        <x:v>8.731149137020111e-11</x:v>
      </x:c>
      <x:c r="AH655" s="36" t="n">
        <x:v>0</x:v>
      </x:c>
    </x:row>
    <x:row r="656" ht="15" hidden="0" customHeight="1">
      <x:c r="A656" s="34" t="n">
        <x:v>163</x:v>
      </x:c>
      <x:c r="B656" s="34" t="str">
        <x:v>H3</x:v>
      </x:c>
      <x:c r="C656" s="34" t="str">
        <x:v>reference</x:v>
      </x:c>
      <x:c r="D656" s="74" t="n">
        <x:v>1.0453290246917148</x:v>
      </x:c>
      <x:c r="E656" s="74" t="n">
        <x:v>0.0167926088495539</x:v>
      </x:c>
      <x:c r="F656" s="74" t="n">
        <x:v>0.8170348666511563</x:v>
      </x:c>
      <x:c r="G656" s="74" t="n">
        <x:v>1.1573849259123627</x:v>
      </x:c>
      <x:c r="H656" s="74" t="n">
        <x:v>0.8509630004979409</x:v>
      </x:c>
      <x:c r="I656" s="74" t="n">
        <x:v>0.8355534276714408</x:v>
      </x:c>
      <x:c r="J656" s="74" t="n">
        <x:v>0.9705013033328977</x:v>
      </x:c>
      <x:c r="K656" s="74" t="n">
        <x:v>0.9608243097020498</x:v>
      </x:c>
      <x:c r="L656" s="74" t="n">
        <x:v>0.9903170992005205</x:v>
      </x:c>
      <x:c r="M656" s="74" t="n">
        <x:v>0.83193707990665</x:v>
      </x:c>
      <x:c r="N656" s="74" t="n">
        <x:v>0.7543050945685504</x:v>
      </x:c>
      <x:c r="O656" s="65" t="n">
        <x:v>502855.3182621445</x:v>
      </x:c>
      <x:c r="P656" s="65" t="n">
        <x:v>309992.26267559204</x:v>
      </x:c>
      <x:c r="Q656" s="65" t="n">
        <x:v>192863.05558655248</x:v>
      </x:c>
      <x:c r="R656" s="65" t="n">
        <x:v>102256.31150706236</x:v>
      </x:c>
      <x:c r="S656" s="65" t="n">
        <x:v>90606.74407949012</x:v>
      </x:c>
      <x:c r="T656" s="65" t="n">
        <x:v>191328.59150267852</x:v>
      </x:c>
      <x:c r="U656" s="43" t="n">
        <x:v>0.9969484978518731</x:v>
      </x:c>
      <x:c r="V656" s="43" t="n">
        <x:v>0.9980780446731258</x:v>
      </x:c>
      <x:c r="W656" s="43" t="n">
        <x:v>0.9694849785187313</x:v>
      </x:c>
      <x:c r="X656" s="65" t="n">
        <x:v>19442849.70074331</x:v>
      </x:c>
      <x:c r="Y656" s="65" t="n">
        <x:v>38.66489822149503</x:v>
      </x:c>
      <x:c r="Z656" s="65" t="n">
        <x:v>1343569.0009598047</x:v>
      </x:c>
      <x:c r="AA656" s="65" t="n">
        <x:v>121512.42933060591</x:v>
      </x:c>
      <x:c r="AB656" s="65" t="n">
        <x:v>3529.911344565524</x:v>
      </x:c>
      <x:c r="AC656" s="65" t="n">
        <x:v>0</x:v>
      </x:c>
      <x:c r="AD656" s="65" t="n">
        <x:v>1534.4640838739597</x:v>
      </x:c>
      <x:c r="AE656" s="65" t="n">
        <x:v>93570.65124659432</x:v>
      </x:c>
      <x:c r="AF656" s="65" t="n">
        <x:v>191328.59150267864</x:v>
      </x:c>
      <x:c r="AG656" s="65" t="n">
        <x:v>0</x:v>
      </x:c>
      <x:c r="AH656" s="34" t="n">
        <x:v>1</x:v>
      </x:c>
    </x:row>
    <x:row r="657" ht="21.600000381469727" hidden="0" customHeight="1">
      <x:c r="A657" s="36" t="n">
        <x:v>164</x:v>
      </x:c>
      <x:c r="B657" s="36" t="str">
        <x:v>M0</x:v>
      </x:c>
      <x:c r="C657" s="36" t="str">
        <x:v>reference</x:v>
      </x:c>
      <x:c r="D657" s="75" t="n">
        <x:v>1.1467641916493412</x:v>
      </x:c>
      <x:c r="E657" s="75" t="n">
        <x:v>-0.013550495767365237</x:v>
      </x:c>
      <x:c r="F657" s="75" t="n">
        <x:v>0.8476409216822387</x:v>
      </x:c>
      <x:c r="G657" s="75" t="n">
        <x:v>1.163031220416978</x:v>
      </x:c>
      <x:c r="H657" s="75" t="n">
        <x:v>1.0538330993268619</x:v>
      </x:c>
      <x:c r="I657" s="75" t="n">
        <x:v>0.96537388522297</x:v>
      </x:c>
      <x:c r="J657" s="75" t="n">
        <x:v>0.7866732663302497</x:v>
      </x:c>
      <x:c r="K657" s="75" t="n">
        <x:v>0.7413382345058879</x:v>
      </x:c>
      <x:c r="L657" s="75" t="n">
        <x:v>0.8437128350226961</x:v>
      </x:c>
      <x:c r="M657" s="75" t="n">
        <x:v>1.0457878175957884</x:v>
      </x:c>
      <x:c r="N657" s="75" t="n">
        <x:v>0.7663333536587346</x:v>
      </x:c>
      <x:c r="O657" s="66" t="n">
        <x:v>551650.6850400772</x:v>
      </x:c>
      <x:c r="P657" s="66" t="n">
        <x:v>72047.18804332448</x:v>
      </x:c>
      <x:c r="Q657" s="66" t="n">
        <x:v>479603.4969967528</x:v>
      </x:c>
      <x:c r="R657" s="66" t="n">
        <x:v>95440.121124395</x:v>
      </x:c>
      <x:c r="S657" s="66" t="n">
        <x:v>384163.37587235775</x:v>
      </x:c>
      <x:c r="T657" s="66" t="n">
        <x:v>272944.93938615255</x:v>
      </x:c>
      <x:c r="U657" s="45" t="n">
        <x:v>0.6253814901080263</x:v>
      </x:c>
      <x:c r="V657" s="45" t="n">
        <x:v>0.6575064304025557</x:v>
      </x:c>
      <x:c r="W657" s="45" t="n">
        <x:v>0.13003751736542565</x:v>
      </x:c>
      <x:c r="X657" s="66" t="n">
        <x:v>64136892.37712049</x:v>
      </x:c>
      <x:c r="Y657" s="66" t="n">
        <x:v>116.26359599727674</x:v>
      </x:c>
      <x:c r="Z657" s="66" t="n">
        <x:v>4550241.386315661</x:v>
      </x:c>
      <x:c r="AA657" s="66" t="n">
        <x:v>352717.967570364</x:v>
      </x:c>
      <x:c r="AB657" s="66" t="n">
        <x:v>35972.43600047949</x:v>
      </x:c>
      <x:c r="AC657" s="66" t="n">
        <x:v>2912.1135702040388</x:v>
      </x:c>
      <x:c r="AD657" s="66" t="n">
        <x:v>2337.9938555660574</x:v>
      </x:c>
      <x:c r="AE657" s="66" t="n">
        <x:v>206733.73763003788</x:v>
      </x:c>
      <x:c r="AF657" s="66" t="n">
        <x:v>272944.9393861524</x:v>
      </x:c>
      <x:c r="AG657" s="66" t="n">
        <x:v>1.7462298274040222e-10</x:v>
      </x:c>
      <x:c r="AH657" s="36" t="n">
        <x:v>0</x:v>
      </x:c>
    </x:row>
    <x:row r="658" ht="21.600000381469727" hidden="0" customHeight="1">
      <x:c r="A658" s="34" t="n">
        <x:v>164</x:v>
      </x:c>
      <x:c r="B658" s="34" t="str">
        <x:v>B1</x:v>
      </x:c>
      <x:c r="C658" s="34" t="str">
        <x:v>reference</x:v>
      </x:c>
      <x:c r="D658" s="74" t="n">
        <x:v>1.1467641916493412</x:v>
      </x:c>
      <x:c r="E658" s="74" t="n">
        <x:v>-0.013550495767365237</x:v>
      </x:c>
      <x:c r="F658" s="74" t="n">
        <x:v>0.8476409216822387</x:v>
      </x:c>
      <x:c r="G658" s="74" t="n">
        <x:v>1.163031220416978</x:v>
      </x:c>
      <x:c r="H658" s="74" t="n">
        <x:v>1.0538330993268619</x:v>
      </x:c>
      <x:c r="I658" s="74" t="n">
        <x:v>0.96537388522297</x:v>
      </x:c>
      <x:c r="J658" s="74" t="n">
        <x:v>0.7866732663302497</x:v>
      </x:c>
      <x:c r="K658" s="74" t="n">
        <x:v>0.7413382345058879</x:v>
      </x:c>
      <x:c r="L658" s="74" t="n">
        <x:v>0.8437128350226961</x:v>
      </x:c>
      <x:c r="M658" s="74" t="n">
        <x:v>1.0457878175957884</x:v>
      </x:c>
      <x:c r="N658" s="74" t="n">
        <x:v>0.7663333536587346</x:v>
      </x:c>
      <x:c r="O658" s="65" t="n">
        <x:v>551650.6850400772</x:v>
      </x:c>
      <x:c r="P658" s="65" t="n">
        <x:v>243710.8176576525</x:v>
      </x:c>
      <x:c r="Q658" s="65" t="n">
        <x:v>307939.86738242477</x:v>
      </x:c>
      <x:c r="R658" s="65" t="n">
        <x:v>95440.121124395</x:v>
      </x:c>
      <x:c r="S658" s="65" t="n">
        <x:v>212499.74625802977</x:v>
      </x:c>
      <x:c r="T658" s="65" t="n">
        <x:v>185334.331645098</x:v>
      </x:c>
      <x:c r="U658" s="43" t="n">
        <x:v>0.7777478773031535</x:v>
      </x:c>
      <x:c r="V658" s="43" t="n">
        <x:v>0.8042840080860613</x:v>
      </x:c>
      <x:c r="W658" s="43" t="n">
        <x:v>0.4012953300862817</x:v>
      </x:c>
      <x:c r="X658" s="65" t="n">
        <x:v>41073767.31656952</x:v>
      </x:c>
      <x:c r="Y658" s="65" t="n">
        <x:v>74.45611585452038</x:v>
      </x:c>
      <x:c r="Z658" s="65" t="n">
        <x:v>2005535.8341761562</x:v>
      </x:c>
      <x:c r="AA658" s="65" t="n">
        <x:v>221672.98264887097</x:v>
      </x:c>
      <x:c r="AB658" s="65" t="n">
        <x:v>5433.008284137923</x:v>
      </x:c>
      <x:c r="AC658" s="65" t="n">
        <x:v>35098.41607214935</x:v>
      </x:c>
      <x:c r="AD658" s="65" t="n">
        <x:v>1890.3463892098512</x:v>
      </x:c>
      <x:c r="AE658" s="65" t="n">
        <x:v>102570.32944995465</x:v>
      </x:c>
      <x:c r="AF658" s="65" t="n">
        <x:v>185334.331645098</x:v>
      </x:c>
      <x:c r="AG658" s="65" t="n">
        <x:v>0</x:v>
      </x:c>
      <x:c r="AH658" s="34" t="n">
        <x:v>0</x:v>
      </x:c>
    </x:row>
    <x:row r="659" ht="21.600000381469727" hidden="0" customHeight="1">
      <x:c r="A659" s="36" t="n">
        <x:v>164</x:v>
      </x:c>
      <x:c r="B659" s="36" t="str">
        <x:v>P2</x:v>
      </x:c>
      <x:c r="C659" s="36" t="str">
        <x:v>reference</x:v>
      </x:c>
      <x:c r="D659" s="75" t="n">
        <x:v>1.1467641916493412</x:v>
      </x:c>
      <x:c r="E659" s="75" t="n">
        <x:v>-0.013550495767365237</x:v>
      </x:c>
      <x:c r="F659" s="75" t="n">
        <x:v>0.8476409216822387</x:v>
      </x:c>
      <x:c r="G659" s="75" t="n">
        <x:v>1.163031220416978</x:v>
      </x:c>
      <x:c r="H659" s="75" t="n">
        <x:v>1.0538330993268619</x:v>
      </x:c>
      <x:c r="I659" s="75" t="n">
        <x:v>0.96537388522297</x:v>
      </x:c>
      <x:c r="J659" s="75" t="n">
        <x:v>0.7866732663302497</x:v>
      </x:c>
      <x:c r="K659" s="75" t="n">
        <x:v>0.7413382345058879</x:v>
      </x:c>
      <x:c r="L659" s="75" t="n">
        <x:v>0.8437128350226961</x:v>
      </x:c>
      <x:c r="M659" s="75" t="n">
        <x:v>1.0457878175957884</x:v>
      </x:c>
      <x:c r="N659" s="75" t="n">
        <x:v>0.7663333536587346</x:v>
      </x:c>
      <x:c r="O659" s="66" t="n">
        <x:v>551650.6850400772</x:v>
      </x:c>
      <x:c r="P659" s="66" t="n">
        <x:v>353061.02806513896</x:v>
      </x:c>
      <x:c r="Q659" s="66" t="n">
        <x:v>198589.6569749383</x:v>
      </x:c>
      <x:c r="R659" s="66" t="n">
        <x:v>95440.121124395</x:v>
      </x:c>
      <x:c r="S659" s="66" t="n">
        <x:v>103149.53585054327</x:v>
      </x:c>
      <x:c r="T659" s="66" t="n">
        <x:v>111200.73514826153</x:v>
      </x:c>
      <x:c r="U659" s="45" t="n">
        <x:v>0.8415864890653985</x:v>
      </x:c>
      <x:c r="V659" s="45" t="n">
        <x:v>0.8668257081375584</x:v>
      </x:c>
      <x:c r="W659" s="45" t="n">
        <x:v>0.3591299232606425</x:v>
      </x:c>
      <x:c r="X659" s="66" t="n">
        <x:v>25286098.463564985</x:v>
      </x:c>
      <x:c r="Y659" s="66" t="n">
        <x:v>45.83715592001478</x:v>
      </x:c>
      <x:c r="Z659" s="66" t="n">
        <x:v>1984733.9818345788</x:v>
      </x:c>
      <x:c r="AA659" s="66" t="n">
        <x:v>139469.8045376055</x:v>
      </x:c>
      <x:c r="AB659" s="66" t="n">
        <x:v>157.7530802536906</x:v>
      </x:c>
      <x:c r="AC659" s="66" t="n">
        <x:v>47110.89800020917</x:v>
      </x:c>
      <x:c r="AD659" s="66" t="n">
        <x:v>1619.863774625867</x:v>
      </x:c>
      <x:c r="AE659" s="66" t="n">
        <x:v>39471.933245803986</x:v>
      </x:c>
      <x:c r="AF659" s="66" t="n">
        <x:v>111200.73514826159</x:v>
      </x:c>
      <x:c r="AG659" s="66" t="n">
        <x:v>0</x:v>
      </x:c>
      <x:c r="AH659" s="36" t="n">
        <x:v>0</x:v>
      </x:c>
    </x:row>
    <x:row r="660" ht="21.600000381469727" hidden="0" customHeight="1">
      <x:c r="A660" s="34" t="n">
        <x:v>164</x:v>
      </x:c>
      <x:c r="B660" s="34" t="str">
        <x:v>H3</x:v>
      </x:c>
      <x:c r="C660" s="34" t="str">
        <x:v>reference</x:v>
      </x:c>
      <x:c r="D660" s="74" t="n">
        <x:v>1.1467641916493412</x:v>
      </x:c>
      <x:c r="E660" s="74" t="n">
        <x:v>-0.013550495767365237</x:v>
      </x:c>
      <x:c r="F660" s="74" t="n">
        <x:v>0.8476409216822387</x:v>
      </x:c>
      <x:c r="G660" s="74" t="n">
        <x:v>1.163031220416978</x:v>
      </x:c>
      <x:c r="H660" s="74" t="n">
        <x:v>1.0538330993268619</x:v>
      </x:c>
      <x:c r="I660" s="74" t="n">
        <x:v>0.96537388522297</x:v>
      </x:c>
      <x:c r="J660" s="74" t="n">
        <x:v>0.7866732663302497</x:v>
      </x:c>
      <x:c r="K660" s="74" t="n">
        <x:v>0.7413382345058879</x:v>
      </x:c>
      <x:c r="L660" s="74" t="n">
        <x:v>0.8437128350226961</x:v>
      </x:c>
      <x:c r="M660" s="74" t="n">
        <x:v>1.0457878175957884</x:v>
      </x:c>
      <x:c r="N660" s="74" t="n">
        <x:v>0.7663333536587346</x:v>
      </x:c>
      <x:c r="O660" s="65" t="n">
        <x:v>551650.6850400772</x:v>
      </x:c>
      <x:c r="P660" s="65" t="n">
        <x:v>366250.1185112212</x:v>
      </x:c>
      <x:c r="Q660" s="65" t="n">
        <x:v>185400.56652885603</x:v>
      </x:c>
      <x:c r="R660" s="65" t="n">
        <x:v>95440.121124395</x:v>
      </x:c>
      <x:c r="S660" s="65" t="n">
        <x:v>89960.44540446102</x:v>
      </x:c>
      <x:c r="T660" s="65" t="n">
        <x:v>183811.06622110622</x:v>
      </x:c>
      <x:c r="U660" s="43" t="n">
        <x:v>0.9971186470879951</x:v>
      </x:c>
      <x:c r="V660" s="43" t="n">
        <x:v>0.9981851989448165</x:v>
      </x:c>
      <x:c r="W660" s="43" t="n">
        <x:v>0.9711864708799497</x:v>
      </x:c>
      <x:c r="X660" s="65" t="n">
        <x:v>18684159.945157576</x:v>
      </x:c>
      <x:c r="Y660" s="65" t="n">
        <x:v>33.86954906763177</x:v>
      </x:c>
      <x:c r="Z660" s="65" t="n">
        <x:v>1671434.6923557355</x:v>
      </x:c>
      <x:c r="AA660" s="65" t="n">
        <x:v>108361.61172886504</x:v>
      </x:c>
      <x:c r="AB660" s="65" t="n">
        <x:v>4918.417699638081</x:v>
      </x:c>
      <x:c r="AC660" s="65" t="n">
        <x:v>9815.390271058066</x:v>
      </x:c>
      <x:c r="AD660" s="65" t="n">
        <x:v>1589.5003077497954</x:v>
      </x:c>
      <x:c r="AE660" s="65" t="n">
        <x:v>67941.46314790536</x:v>
      </x:c>
      <x:c r="AF660" s="65" t="n">
        <x:v>183811.06622110636</x:v>
      </x:c>
      <x:c r="AG660" s="65" t="n">
        <x:v>0</x:v>
      </x:c>
      <x:c r="AH660" s="34" t="n">
        <x:v>1</x:v>
      </x:c>
    </x:row>
    <x:row r="661" ht="15" hidden="0" customHeight="1">
      <x:c r="A661" s="36" t="n">
        <x:v>165</x:v>
      </x:c>
      <x:c r="B661" s="36" t="str">
        <x:v>M0</x:v>
      </x:c>
      <x:c r="C661" s="36" t="str">
        <x:v>reference</x:v>
      </x:c>
      <x:c r="D661" s="75" t="n">
        <x:v>1.1976366171688664</x:v>
      </x:c>
      <x:c r="E661" s="75" t="n">
        <x:v>0.04459930884504471</x:v>
      </x:c>
      <x:c r="F661" s="75" t="n">
        <x:v>0.838637482644401</x:v>
      </x:c>
      <x:c r="G661" s="75" t="n">
        <x:v>1.1219838814636542</x:v>
      </x:c>
      <x:c r="H661" s="75" t="n">
        <x:v>0.9790064174036077</x:v>
      </x:c>
      <x:c r="I661" s="75" t="n">
        <x:v>0.7962142311200703</x:v>
      </x:c>
      <x:c r="J661" s="75" t="n">
        <x:v>0.7425940508886669</x:v>
      </x:c>
      <x:c r="K661" s="75" t="n">
        <x:v>0.8200919733427228</x:v>
      </x:c>
      <x:c r="L661" s="75" t="n">
        <x:v>0.8547196903294159</x:v>
      </x:c>
      <x:c r="M661" s="75" t="n">
        <x:v>1.0606085570042714</x:v>
      </x:c>
      <x:c r="N661" s="75" t="n">
        <x:v>0.9754472053643396</x:v>
      </x:c>
      <x:c r="O661" s="66" t="n">
        <x:v>576122.8551617598</x:v>
      </x:c>
      <x:c r="P661" s="66" t="n">
        <x:v>69208.62363682105</x:v>
      </x:c>
      <x:c r="Q661" s="66" t="n">
        <x:v>506914.23152493866</x:v>
      </x:c>
      <x:c r="R661" s="66" t="n">
        <x:v>133175.43997753982</x:v>
      </x:c>
      <x:c r="S661" s="66" t="n">
        <x:v>373738.79154739884</x:v>
      </x:c>
      <x:c r="T661" s="66" t="n">
        <x:v>250668.45953855937</x:v>
      </x:c>
      <x:c r="U661" s="45" t="n">
        <x:v>0.555223734502891</x:v>
      </x:c>
      <x:c r="V661" s="45" t="n">
        <x:v>0.5774032551245553</x:v>
      </x:c>
      <x:c r="W661" s="45" t="n">
        <x:v>0.11257577868961527</x:v>
      </x:c>
      <x:c r="X661" s="66" t="n">
        <x:v>69921682.15308195</x:v>
      </x:c>
      <x:c r="Y661" s="66" t="n">
        <x:v>121.36592313014528</x:v>
      </x:c>
      <x:c r="Z661" s="66" t="n">
        <x:v>6146803.721416707</x:v>
      </x:c>
      <x:c r="AA661" s="66" t="n">
        <x:v>378475.62321826804</x:v>
      </x:c>
      <x:c r="AB661" s="66" t="n">
        <x:v>59831.15409521298</x:v>
      </x:c>
      <x:c r="AC661" s="66" t="n">
        <x:v>1202.8586740685507</x:v>
      </x:c>
      <x:c r="AD661" s="66" t="n">
        <x:v>2469.5280601500945</x:v>
      </x:c>
      <x:c r="AE661" s="66" t="n">
        <x:v>183049.43520374407</x:v>
      </x:c>
      <x:c r="AF661" s="66" t="n">
        <x:v>250668.45953855928</x:v>
      </x:c>
      <x:c r="AG661" s="66" t="n">
        <x:v>8.731149137020111e-11</x:v>
      </x:c>
      <x:c r="AH661" s="36" t="n">
        <x:v>0</x:v>
      </x:c>
    </x:row>
    <x:row r="662" ht="15" hidden="0" customHeight="1">
      <x:c r="A662" s="34" t="n">
        <x:v>165</x:v>
      </x:c>
      <x:c r="B662" s="34" t="str">
        <x:v>B1</x:v>
      </x:c>
      <x:c r="C662" s="34" t="str">
        <x:v>reference</x:v>
      </x:c>
      <x:c r="D662" s="74" t="n">
        <x:v>1.1976366171688664</x:v>
      </x:c>
      <x:c r="E662" s="74" t="n">
        <x:v>0.04459930884504471</x:v>
      </x:c>
      <x:c r="F662" s="74" t="n">
        <x:v>0.838637482644401</x:v>
      </x:c>
      <x:c r="G662" s="74" t="n">
        <x:v>1.1219838814636542</x:v>
      </x:c>
      <x:c r="H662" s="74" t="n">
        <x:v>0.9790064174036077</x:v>
      </x:c>
      <x:c r="I662" s="74" t="n">
        <x:v>0.7962142311200703</x:v>
      </x:c>
      <x:c r="J662" s="74" t="n">
        <x:v>0.7425940508886669</x:v>
      </x:c>
      <x:c r="K662" s="74" t="n">
        <x:v>0.8200919733427228</x:v>
      </x:c>
      <x:c r="L662" s="74" t="n">
        <x:v>0.8547196903294159</x:v>
      </x:c>
      <x:c r="M662" s="74" t="n">
        <x:v>1.0606085570042714</x:v>
      </x:c>
      <x:c r="N662" s="74" t="n">
        <x:v>0.9754472053643396</x:v>
      </x:c>
      <x:c r="O662" s="65" t="n">
        <x:v>576122.8551617598</x:v>
      </x:c>
      <x:c r="P662" s="65" t="n">
        <x:v>234110.7888026638</x:v>
      </x:c>
      <x:c r="Q662" s="65" t="n">
        <x:v>342012.066359096</x:v>
      </x:c>
      <x:c r="R662" s="65" t="n">
        <x:v>133175.43997753982</x:v>
      </x:c>
      <x:c r="S662" s="65" t="n">
        <x:v>208836.62638155615</x:v>
      </x:c>
      <x:c r="T662" s="65" t="n">
        <x:v>189824.2698545805</x:v>
      </x:c>
      <x:c r="U662" s="43" t="n">
        <x:v>0.7358414179527988</x:v>
      </x:c>
      <x:c r="V662" s="43" t="n">
        <x:v>0.7579821073955424</x:v>
      </x:c>
      <x:c r="W662" s="43" t="n">
        <x:v>0.4034516142289077</x:v>
      </x:c>
      <x:c r="X662" s="65" t="n">
        <x:v>47611626.7662552</x:v>
      </x:c>
      <x:c r="Y662" s="65" t="n">
        <x:v>82.64144763513528</x:v>
      </x:c>
      <x:c r="Z662" s="65" t="n">
        <x:v>3201628.2173372963</x:v>
      </x:c>
      <x:c r="AA662" s="65" t="n">
        <x:v>254064.03096352657</x:v>
      </x:c>
      <x:c r="AB662" s="65" t="n">
        <x:v>25628.483242051447</x:v>
      </x:c>
      <x:c r="AC662" s="65" t="n">
        <x:v>3308.7667076064313</x:v>
      </x:c>
      <x:c r="AD662" s="65" t="n">
        <x:v>2065.0109814334955</x:v>
      </x:c>
      <x:c r="AE662" s="65" t="n">
        <x:v>115706.34437208166</x:v>
      </x:c>
      <x:c r="AF662" s="65" t="n">
        <x:v>189824.26985458052</x:v>
      </x:c>
      <x:c r="AG662" s="65" t="n">
        <x:v>0</x:v>
      </x:c>
      <x:c r="AH662" s="34" t="n">
        <x:v>0</x:v>
      </x:c>
    </x:row>
    <x:row r="663" ht="15" hidden="0" customHeight="1">
      <x:c r="A663" s="36" t="n">
        <x:v>165</x:v>
      </x:c>
      <x:c r="B663" s="36" t="str">
        <x:v>P2</x:v>
      </x:c>
      <x:c r="C663" s="36" t="str">
        <x:v>reference</x:v>
      </x:c>
      <x:c r="D663" s="75" t="n">
        <x:v>1.1976366171688664</x:v>
      </x:c>
      <x:c r="E663" s="75" t="n">
        <x:v>0.04459930884504471</x:v>
      </x:c>
      <x:c r="F663" s="75" t="n">
        <x:v>0.838637482644401</x:v>
      </x:c>
      <x:c r="G663" s="75" t="n">
        <x:v>1.1219838814636542</x:v>
      </x:c>
      <x:c r="H663" s="75" t="n">
        <x:v>0.9790064174036077</x:v>
      </x:c>
      <x:c r="I663" s="75" t="n">
        <x:v>0.7962142311200703</x:v>
      </x:c>
      <x:c r="J663" s="75" t="n">
        <x:v>0.7425940508886669</x:v>
      </x:c>
      <x:c r="K663" s="75" t="n">
        <x:v>0.8200919733427228</x:v>
      </x:c>
      <x:c r="L663" s="75" t="n">
        <x:v>0.8547196903294159</x:v>
      </x:c>
      <x:c r="M663" s="75" t="n">
        <x:v>1.0606085570042714</x:v>
      </x:c>
      <x:c r="N663" s="75" t="n">
        <x:v>0.9754472053643396</x:v>
      </x:c>
      <x:c r="O663" s="66" t="n">
        <x:v>576122.8551617598</x:v>
      </x:c>
      <x:c r="P663" s="66" t="n">
        <x:v>339155.0927893294</x:v>
      </x:c>
      <x:c r="Q663" s="66" t="n">
        <x:v>236967.76237243036</x:v>
      </x:c>
      <x:c r="R663" s="66" t="n">
        <x:v>133175.43997753982</x:v>
      </x:c>
      <x:c r="S663" s="66" t="n">
        <x:v>103792.32239489054</x:v>
      </x:c>
      <x:c r="T663" s="66" t="n">
        <x:v>123013.48442769439</x:v>
      </x:c>
      <x:c r="U663" s="45" t="n">
        <x:v>0.8022048996602631</x:v>
      </x:c>
      <x:c r="V663" s="45" t="n">
        <x:v>0.8347771745463889</x:v>
      </x:c>
      <x:c r="W663" s="45" t="n">
        <x:v>0.40192145551659264</x:v>
      </x:c>
      <x:c r="X663" s="66" t="n">
        <x:v>31506603.78929579</x:v>
      </x:c>
      <x:c r="Y663" s="66" t="n">
        <x:v>54.68730064605679</x:v>
      </x:c>
      <x:c r="Z663" s="66" t="n">
        <x:v>1678859.306347904</x:v>
      </x:c>
      <x:c r="AA663" s="66" t="n">
        <x:v>176747.9951850619</x:v>
      </x:c>
      <x:c r="AB663" s="66" t="n">
        <x:v>1898.5442207415776</x:v>
      </x:c>
      <x:c r="AC663" s="66" t="n">
        <x:v>30799.04089582007</x:v>
      </x:c>
      <x:c r="AD663" s="66" t="n">
        <x:v>1820.5890974323102</x:v>
      </x:c>
      <x:c r="AE663" s="66" t="n">
        <x:v>57797.180546591946</x:v>
      </x:c>
      <x:c r="AF663" s="66" t="n">
        <x:v>123013.48442769442</x:v>
      </x:c>
      <x:c r="AG663" s="66" t="n">
        <x:v>0</x:v>
      </x:c>
      <x:c r="AH663" s="36" t="n">
        <x:v>0</x:v>
      </x:c>
    </x:row>
    <x:row r="664" ht="15" hidden="0" customHeight="1">
      <x:c r="A664" s="34" t="n">
        <x:v>165</x:v>
      </x:c>
      <x:c r="B664" s="34" t="str">
        <x:v>H3</x:v>
      </x:c>
      <x:c r="C664" s="34" t="str">
        <x:v>reference</x:v>
      </x:c>
      <x:c r="D664" s="74" t="n">
        <x:v>1.1976366171688664</x:v>
      </x:c>
      <x:c r="E664" s="74" t="n">
        <x:v>0.04459930884504471</x:v>
      </x:c>
      <x:c r="F664" s="74" t="n">
        <x:v>0.838637482644401</x:v>
      </x:c>
      <x:c r="G664" s="74" t="n">
        <x:v>1.1219838814636542</x:v>
      </x:c>
      <x:c r="H664" s="74" t="n">
        <x:v>0.9790064174036077</x:v>
      </x:c>
      <x:c r="I664" s="74" t="n">
        <x:v>0.7962142311200703</x:v>
      </x:c>
      <x:c r="J664" s="74" t="n">
        <x:v>0.7425940508886669</x:v>
      </x:c>
      <x:c r="K664" s="74" t="n">
        <x:v>0.8200919733427228</x:v>
      </x:c>
      <x:c r="L664" s="74" t="n">
        <x:v>0.8547196903294159</x:v>
      </x:c>
      <x:c r="M664" s="74" t="n">
        <x:v>1.0606085570042714</x:v>
      </x:c>
      <x:c r="N664" s="74" t="n">
        <x:v>0.9754472053643396</x:v>
      </x:c>
      <x:c r="O664" s="65" t="n">
        <x:v>576122.8551617598</x:v>
      </x:c>
      <x:c r="P664" s="65" t="n">
        <x:v>351825.01316753746</x:v>
      </x:c>
      <x:c r="Q664" s="65" t="n">
        <x:v>224297.84199422225</x:v>
      </x:c>
      <x:c r="R664" s="65" t="n">
        <x:v>133175.43997753982</x:v>
      </x:c>
      <x:c r="S664" s="65" t="n">
        <x:v>91122.40201668243</x:v>
      </x:c>
      <x:c r="T664" s="65" t="n">
        <x:v>195313.07365634642</x:v>
      </x:c>
      <x:c r="U664" s="43" t="n">
        <x:v>0.949689952276346</x:v>
      </x:c>
      <x:c r="V664" s="43" t="n">
        <x:v>0.9517178419366157</x:v>
      </x:c>
      <x:c r="W664" s="43" t="n">
        <x:v>0.6809894801818352</x:v>
      </x:c>
      <x:c r="X664" s="65" t="n">
        <x:v>24363047.51929061</x:v>
      </x:c>
      <x:c r="Y664" s="65" t="n">
        <x:v>42.287937895555494</x:v>
      </x:c>
      <x:c r="Z664" s="65" t="n">
        <x:v>3235626.6058540186</x:v>
      </x:c>
      <x:c r="AA664" s="65" t="n">
        <x:v>141936.71002491357</x:v>
      </x:c>
      <x:c r="AB664" s="65" t="n">
        <x:v>19481.557428481286</x:v>
      </x:c>
      <x:c r="AC664" s="65" t="n">
        <x:v>9337.82215924228</x:v>
      </x:c>
      <x:c r="AD664" s="65" t="n">
        <x:v>1793.1511203554041</x:v>
      </x:c>
      <x:c r="AE664" s="65" t="n">
        <x:v>60803.20362879694</x:v>
      </x:c>
      <x:c r="AF664" s="65" t="n">
        <x:v>195313.07365634645</x:v>
      </x:c>
      <x:c r="AG664" s="65" t="n">
        <x:v>0</x:v>
      </x:c>
      <x:c r="AH664" s="34" t="n">
        <x:v>0</x:v>
      </x:c>
    </x:row>
    <x:row r="665" ht="15" hidden="0" customHeight="1">
      <x:c r="A665" s="36" t="n">
        <x:v>166</x:v>
      </x:c>
      <x:c r="B665" s="36" t="str">
        <x:v>M0</x:v>
      </x:c>
      <x:c r="C665" s="36" t="str">
        <x:v>reference</x:v>
      </x:c>
      <x:c r="D665" s="75" t="n">
        <x:v>1.167522910096086</x:v>
      </x:c>
      <x:c r="E665" s="75" t="n">
        <x:v>0.010500660957346836</x:v>
      </x:c>
      <x:c r="F665" s="75" t="n">
        <x:v>0.8940409597854535</x:v>
      </x:c>
      <x:c r="G665" s="75" t="n">
        <x:v>0.9817407077832299</x:v>
      </x:c>
      <x:c r="H665" s="75" t="n">
        <x:v>0.8102020847214075</x:v>
      </x:c>
      <x:c r="I665" s="75" t="n">
        <x:v>1.0403101154062355</x:v>
      </x:c>
      <x:c r="J665" s="75" t="n">
        <x:v>0.7485529088520148</x:v>
      </x:c>
      <x:c r="K665" s="75" t="n">
        <x:v>0.7510463374144918</x:v>
      </x:c>
      <x:c r="L665" s="75" t="n">
        <x:v>1.0358594434206034</x:v>
      </x:c>
      <x:c r="M665" s="75" t="n">
        <x:v>1.0704921398271627</x:v>
      </x:c>
      <x:c r="N665" s="75" t="n">
        <x:v>0.9221020043066099</x:v>
      </x:c>
      <x:c r="O665" s="66" t="n">
        <x:v>561636.6623971402</x:v>
      </x:c>
      <x:c r="P665" s="66" t="n">
        <x:v>75116.2123656777</x:v>
      </x:c>
      <x:c r="Q665" s="66" t="n">
        <x:v>486520.4500314625</x:v>
      </x:c>
      <x:c r="R665" s="66" t="n">
        <x:v>110675.78900818789</x:v>
      </x:c>
      <x:c r="S665" s="66" t="n">
        <x:v>375844.66102327453</x:v>
      </x:c>
      <x:c r="T665" s="66" t="n">
        <x:v>275218.45456455945</x:v>
      </x:c>
      <x:c r="U665" s="45" t="n">
        <x:v>0.6237745688377286</x:v>
      </x:c>
      <x:c r="V665" s="45" t="n">
        <x:v>0.6567484261996281</x:v>
      </x:c>
      <x:c r="W665" s="45" t="n">
        <x:v>0.1358226614249735</x:v>
      </x:c>
      <x:c r="X665" s="66" t="n">
        <x:v>65202076.01345412</x:v>
      </x:c>
      <x:c r="Y665" s="66" t="n">
        <x:v>116.09298391448122</x:v>
      </x:c>
      <x:c r="Z665" s="66" t="n">
        <x:v>3785051.9366399418</x:v>
      </x:c>
      <x:c r="AA665" s="66" t="n">
        <x:v>361866.2573338209</x:v>
      </x:c>
      <x:c r="AB665" s="66" t="n">
        <x:v>25439.58895515363</x:v>
      </x:c>
      <x:c r="AC665" s="66" t="n">
        <x:v>1747.138243657714</x:v>
      </x:c>
      <x:c r="AD665" s="66" t="n">
        <x:v>2380.313111590749</x:v>
      </x:c>
      <x:c r="AE665" s="66" t="n">
        <x:v>195953.8348453003</x:v>
      </x:c>
      <x:c r="AF665" s="66" t="n">
        <x:v>275218.45456455916</x:v>
      </x:c>
      <x:c r="AG665" s="66" t="n">
        <x:v>2.9103830456733704e-10</x:v>
      </x:c>
      <x:c r="AH665" s="36" t="n">
        <x:v>0</x:v>
      </x:c>
    </x:row>
    <x:row r="666" ht="15" hidden="0" customHeight="1">
      <x:c r="A666" s="34" t="n">
        <x:v>166</x:v>
      </x:c>
      <x:c r="B666" s="34" t="str">
        <x:v>B1</x:v>
      </x:c>
      <x:c r="C666" s="34" t="str">
        <x:v>reference</x:v>
      </x:c>
      <x:c r="D666" s="74" t="n">
        <x:v>1.167522910096086</x:v>
      </x:c>
      <x:c r="E666" s="74" t="n">
        <x:v>0.010500660957346836</x:v>
      </x:c>
      <x:c r="F666" s="74" t="n">
        <x:v>0.8940409597854535</x:v>
      </x:c>
      <x:c r="G666" s="74" t="n">
        <x:v>0.9817407077832299</x:v>
      </x:c>
      <x:c r="H666" s="74" t="n">
        <x:v>0.8102020847214075</x:v>
      </x:c>
      <x:c r="I666" s="74" t="n">
        <x:v>1.0403101154062355</x:v>
      </x:c>
      <x:c r="J666" s="74" t="n">
        <x:v>0.7485529088520148</x:v>
      </x:c>
      <x:c r="K666" s="74" t="n">
        <x:v>0.7510463374144918</x:v>
      </x:c>
      <x:c r="L666" s="74" t="n">
        <x:v>1.0358594434206034</x:v>
      </x:c>
      <x:c r="M666" s="74" t="n">
        <x:v>1.0704921398271627</x:v>
      </x:c>
      <x:c r="N666" s="74" t="n">
        <x:v>0.9221020043066099</x:v>
      </x:c>
      <x:c r="O666" s="65" t="n">
        <x:v>561636.6623971402</x:v>
      </x:c>
      <x:c r="P666" s="65" t="n">
        <x:v>254093.06777582577</x:v>
      </x:c>
      <x:c r="Q666" s="65" t="n">
        <x:v>307543.5946213143</x:v>
      </x:c>
      <x:c r="R666" s="65" t="n">
        <x:v>110675.78900818789</x:v>
      </x:c>
      <x:c r="S666" s="65" t="n">
        <x:v>196867.80561312646</x:v>
      </x:c>
      <x:c r="T666" s="65" t="n">
        <x:v>187528.84856608126</x:v>
      </x:c>
      <x:c r="U666" s="43" t="n">
        <x:v>0.7863124790625416</x:v>
      </x:c>
      <x:c r="V666" s="43" t="n">
        <x:v>0.8150402738910318</x:v>
      </x:c>
      <x:c r="W666" s="43" t="n">
        <x:v>0.4607063557692038</x:v>
      </x:c>
      <x:c r="X666" s="65" t="n">
        <x:v>41883529.51038888</x:v>
      </x:c>
      <x:c r="Y666" s="65" t="n">
        <x:v>74.57406596575159</x:v>
      </x:c>
      <x:c r="Z666" s="65" t="n">
        <x:v>1279713.877390327</x:v>
      </x:c>
      <x:c r="AA666" s="65" t="n">
        <x:v>227309.20894460584</x:v>
      </x:c>
      <x:c r="AB666" s="65" t="n">
        <x:v>1548.4064725348326</x:v>
      </x:c>
      <x:c r="AC666" s="65" t="n">
        <x:v>14478.418727174132</x:v>
      </x:c>
      <x:c r="AD666" s="65" t="n">
        <x:v>1924.5553260975362</x:v>
      </x:c>
      <x:c r="AE666" s="65" t="n">
        <x:v>106970.69397277628</x:v>
      </x:c>
      <x:c r="AF666" s="65" t="n">
        <x:v>187528.84856608135</x:v>
      </x:c>
      <x:c r="AG666" s="65" t="n">
        <x:v>0</x:v>
      </x:c>
      <x:c r="AH666" s="34" t="n">
        <x:v>0</x:v>
      </x:c>
    </x:row>
    <x:row r="667" ht="15" hidden="0" customHeight="1">
      <x:c r="A667" s="36" t="n">
        <x:v>166</x:v>
      </x:c>
      <x:c r="B667" s="36" t="str">
        <x:v>P2</x:v>
      </x:c>
      <x:c r="C667" s="36" t="str">
        <x:v>reference</x:v>
      </x:c>
      <x:c r="D667" s="75" t="n">
        <x:v>1.167522910096086</x:v>
      </x:c>
      <x:c r="E667" s="75" t="n">
        <x:v>0.010500660957346836</x:v>
      </x:c>
      <x:c r="F667" s="75" t="n">
        <x:v>0.8940409597854535</x:v>
      </x:c>
      <x:c r="G667" s="75" t="n">
        <x:v>0.9817407077832299</x:v>
      </x:c>
      <x:c r="H667" s="75" t="n">
        <x:v>0.8102020847214075</x:v>
      </x:c>
      <x:c r="I667" s="75" t="n">
        <x:v>1.0403101154062355</x:v>
      </x:c>
      <x:c r="J667" s="75" t="n">
        <x:v>0.7485529088520148</x:v>
      </x:c>
      <x:c r="K667" s="75" t="n">
        <x:v>0.7510463374144918</x:v>
      </x:c>
      <x:c r="L667" s="75" t="n">
        <x:v>1.0358594434206034</x:v>
      </x:c>
      <x:c r="M667" s="75" t="n">
        <x:v>1.0704921398271627</x:v>
      </x:c>
      <x:c r="N667" s="75" t="n">
        <x:v>0.9221020043066099</x:v>
      </x:c>
      <x:c r="O667" s="66" t="n">
        <x:v>561636.6623971402</x:v>
      </x:c>
      <x:c r="P667" s="66" t="n">
        <x:v>368102.3242799843</x:v>
      </x:c>
      <x:c r="Q667" s="66" t="n">
        <x:v>193534.33811715586</x:v>
      </x:c>
      <x:c r="R667" s="66" t="n">
        <x:v>110675.78900818789</x:v>
      </x:c>
      <x:c r="S667" s="66" t="n">
        <x:v>82858.54910896796</x:v>
      </x:c>
      <x:c r="T667" s="66" t="n">
        <x:v>112656.70989113952</x:v>
      </x:c>
      <x:c r="U667" s="45" t="n">
        <x:v>0.8559965300683543</x:v>
      </x:c>
      <x:c r="V667" s="45" t="n">
        <x:v>0.8836950152377807</x:v>
      </x:c>
      <x:c r="W667" s="45" t="n">
        <x:v>0.48216183495678505</x:v>
      </x:c>
      <x:c r="X667" s="66" t="n">
        <x:v>25428394.16669036</x:v>
      </x:c>
      <x:c r="Y667" s="66" t="n">
        <x:v>45.27552396269607</x:v>
      </x:c>
      <x:c r="Z667" s="66" t="n">
        <x:v>916000.1362689716</x:v>
      </x:c>
      <x:c r="AA667" s="66" t="n">
        <x:v>142998.96260694752</x:v>
      </x:c>
      <x:c r="AB667" s="66" t="n">
        <x:v>0</x:v>
      </x:c>
      <x:c r="AC667" s="66" t="n">
        <x:v>18003.913224123942</x:v>
      </x:c>
      <x:c r="AD667" s="66" t="n">
        <x:v>1649.1722027646815</x:v>
      </x:c>
      <x:c r="AE667" s="66" t="n">
        <x:v>55588.062484705966</x:v>
      </x:c>
      <x:c r="AF667" s="66" t="n">
        <x:v>112656.70989113947</x:v>
      </x:c>
      <x:c r="AG667" s="66" t="n">
        <x:v>4.3655745685100555e-11</x:v>
      </x:c>
      <x:c r="AH667" s="36" t="n">
        <x:v>0</x:v>
      </x:c>
    </x:row>
    <x:row r="668" ht="15" hidden="0" customHeight="1">
      <x:c r="A668" s="34" t="n">
        <x:v>166</x:v>
      </x:c>
      <x:c r="B668" s="34" t="str">
        <x:v>H3</x:v>
      </x:c>
      <x:c r="C668" s="34" t="str">
        <x:v>reference</x:v>
      </x:c>
      <x:c r="D668" s="74" t="n">
        <x:v>1.167522910096086</x:v>
      </x:c>
      <x:c r="E668" s="74" t="n">
        <x:v>0.010500660957346836</x:v>
      </x:c>
      <x:c r="F668" s="74" t="n">
        <x:v>0.8940409597854535</x:v>
      </x:c>
      <x:c r="G668" s="74" t="n">
        <x:v>0.9817407077832299</x:v>
      </x:c>
      <x:c r="H668" s="74" t="n">
        <x:v>0.8102020847214075</x:v>
      </x:c>
      <x:c r="I668" s="74" t="n">
        <x:v>1.0403101154062355</x:v>
      </x:c>
      <x:c r="J668" s="74" t="n">
        <x:v>0.7485529088520148</x:v>
      </x:c>
      <x:c r="K668" s="74" t="n">
        <x:v>0.7510463374144918</x:v>
      </x:c>
      <x:c r="L668" s="74" t="n">
        <x:v>1.0358594434206034</x:v>
      </x:c>
      <x:c r="M668" s="74" t="n">
        <x:v>1.0704921398271627</x:v>
      </x:c>
      <x:c r="N668" s="74" t="n">
        <x:v>0.9221020043066099</x:v>
      </x:c>
      <x:c r="O668" s="65" t="n">
        <x:v>561636.6623971402</x:v>
      </x:c>
      <x:c r="P668" s="65" t="n">
        <x:v>381853.434856612</x:v>
      </x:c>
      <x:c r="Q668" s="65" t="n">
        <x:v>179783.2275405281</x:v>
      </x:c>
      <x:c r="R668" s="65" t="n">
        <x:v>110675.78900818789</x:v>
      </x:c>
      <x:c r="S668" s="65" t="n">
        <x:v>69107.43853234022</x:v>
      </x:c>
      <x:c r="T668" s="65" t="n">
        <x:v>176925.52963072032</x:v>
      </x:c>
      <x:c r="U668" s="43" t="n">
        <x:v>0.9949118387364335</x:v>
      </x:c>
      <x:c r="V668" s="43" t="n">
        <x:v>0.9972494335057357</x:v>
      </x:c>
      <x:c r="W668" s="43" t="n">
        <x:v>0.9491183873643363</x:v>
      </x:c>
      <x:c r="X668" s="65" t="n">
        <x:v>18466686.19799021</x:v>
      </x:c>
      <x:c r="Y668" s="65" t="n">
        <x:v>32.88012951143882</x:v>
      </x:c>
      <x:c r="Z668" s="65" t="n">
        <x:v>1073250.210979888</x:v>
      </x:c>
      <x:c r="AA668" s="65" t="n">
        <x:v>113955.39571895872</x:v>
      </x:c>
      <x:c r="AB668" s="65" t="n">
        <x:v>250.423278597977</x:v>
      </x:c>
      <x:c r="AC668" s="65" t="n">
        <x:v>31.898151488143412</x:v>
      </x:c>
      <x:c r="AD668" s="65" t="n">
        <x:v>1618.258621289559</x:v>
      </x:c>
      <x:c r="AE668" s="65" t="n">
        <x:v>53993.33497131025</x:v>
      </x:c>
      <x:c r="AF668" s="65" t="n">
        <x:v>176925.52963072038</x:v>
      </x:c>
      <x:c r="AG668" s="65" t="n">
        <x:v>0</x:v>
      </x:c>
      <x:c r="AH668" s="34" t="n">
        <x:v>1</x:v>
      </x:c>
    </x:row>
    <x:row r="669" ht="15" hidden="0" customHeight="1">
      <x:c r="A669" s="36" t="n">
        <x:v>167</x:v>
      </x:c>
      <x:c r="B669" s="36" t="str">
        <x:v>M0</x:v>
      </x:c>
      <x:c r="C669" s="36" t="str">
        <x:v>reference</x:v>
      </x:c>
      <x:c r="D669" s="75" t="n">
        <x:v>1.0718645462450584</x:v>
      </x:c>
      <x:c r="E669" s="75" t="n">
        <x:v>0.05163981196491179</x:v>
      </x:c>
      <x:c r="F669" s="75" t="n">
        <x:v>0.9978356777560464</x:v>
      </x:c>
      <x:c r="G669" s="75" t="n">
        <x:v>0.9738718740601614</x:v>
      </x:c>
      <x:c r="H669" s="75" t="n">
        <x:v>0.8381157356840875</x:v>
      </x:c>
      <x:c r="I669" s="75" t="n">
        <x:v>1.0266177224966289</x:v>
      </x:c>
      <x:c r="J669" s="75" t="n">
        <x:v>0.8380786260273989</x:v>
      </x:c>
      <x:c r="K669" s="75" t="n">
        <x:v>0.8653022044697732</x:v>
      </x:c>
      <x:c r="L669" s="75" t="n">
        <x:v>0.9206320024485138</x:v>
      </x:c>
      <x:c r="M669" s="75" t="n">
        <x:v>0.7554465022346748</x:v>
      </x:c>
      <x:c r="N669" s="75" t="n">
        <x:v>0.9962531773623328</x:v>
      </x:c>
      <x:c r="O669" s="66" t="n">
        <x:v>515620.2255982761</x:v>
      </x:c>
      <x:c r="P669" s="66" t="n">
        <x:v>73023.68469368905</x:v>
      </x:c>
      <x:c r="Q669" s="66" t="n">
        <x:v>442596.540904587</x:v>
      </x:c>
      <x:c r="R669" s="66" t="n">
        <x:v>122819.9954718115</x:v>
      </x:c>
      <x:c r="S669" s="66" t="n">
        <x:v>319776.5454327755</x:v>
      </x:c>
      <x:c r="T669" s="66" t="n">
        <x:v>275996.6406964681</x:v>
      </x:c>
      <x:c r="U669" s="45" t="n">
        <x:v>0.6768941714518424</x:v>
      </x:c>
      <x:c r="V669" s="45" t="n">
        <x:v>0.718464314327519</x:v>
      </x:c>
      <x:c r="W669" s="45" t="n">
        <x:v>0.14777303275750994</x:v>
      </x:c>
      <x:c r="X669" s="66" t="n">
        <x:v>57659726.076706976</x:v>
      </x:c>
      <x:c r="Y669" s="66" t="n">
        <x:v>111.82595874668061</x:v>
      </x:c>
      <x:c r="Z669" s="66" t="n">
        <x:v>4144820.495121791</x:v>
      </x:c>
      <x:c r="AA669" s="66" t="n">
        <x:v>316272.48674078926</x:v>
      </x:c>
      <x:c r="AB669" s="66" t="n">
        <x:v>30249.055228219764</x:v>
      </x:c>
      <x:c r="AC669" s="66" t="n">
        <x:v>2123.6881819378677</x:v>
      </x:c>
      <x:c r="AD669" s="66" t="n">
        <x:v>2183.1395588203086</x:v>
      </x:c>
      <x:c r="AE669" s="66" t="n">
        <x:v>247304.54918843292</x:v>
      </x:c>
      <x:c r="AF669" s="66" t="n">
        <x:v>262006.28557984767</x:v>
      </x:c>
      <x:c r="AG669" s="66" t="n">
        <x:v>13990.355116620456</x:v>
      </x:c>
      <x:c r="AH669" s="36" t="n">
        <x:v>0</x:v>
      </x:c>
    </x:row>
    <x:row r="670" ht="15" hidden="0" customHeight="1">
      <x:c r="A670" s="34" t="n">
        <x:v>167</x:v>
      </x:c>
      <x:c r="B670" s="34" t="str">
        <x:v>B1</x:v>
      </x:c>
      <x:c r="C670" s="34" t="str">
        <x:v>reference</x:v>
      </x:c>
      <x:c r="D670" s="74" t="n">
        <x:v>1.0718645462450584</x:v>
      </x:c>
      <x:c r="E670" s="74" t="n">
        <x:v>0.05163981196491179</x:v>
      </x:c>
      <x:c r="F670" s="74" t="n">
        <x:v>0.9978356777560464</x:v>
      </x:c>
      <x:c r="G670" s="74" t="n">
        <x:v>0.9738718740601614</x:v>
      </x:c>
      <x:c r="H670" s="74" t="n">
        <x:v>0.8381157356840875</x:v>
      </x:c>
      <x:c r="I670" s="74" t="n">
        <x:v>1.0266177224966289</x:v>
      </x:c>
      <x:c r="J670" s="74" t="n">
        <x:v>0.8380786260273989</x:v>
      </x:c>
      <x:c r="K670" s="74" t="n">
        <x:v>0.8653022044697732</x:v>
      </x:c>
      <x:c r="L670" s="74" t="n">
        <x:v>0.9206320024485138</x:v>
      </x:c>
      <x:c r="M670" s="74" t="n">
        <x:v>0.7554465022346748</x:v>
      </x:c>
      <x:c r="N670" s="74" t="n">
        <x:v>0.9962531773623328</x:v>
      </x:c>
      <x:c r="O670" s="65" t="n">
        <x:v>515620.2255982761</x:v>
      </x:c>
      <x:c r="P670" s="65" t="n">
        <x:v>247016.18594817954</x:v>
      </x:c>
      <x:c r="Q670" s="65" t="n">
        <x:v>268604.03965009656</x:v>
      </x:c>
      <x:c r="R670" s="65" t="n">
        <x:v>122819.9954718115</x:v>
      </x:c>
      <x:c r="S670" s="65" t="n">
        <x:v>145784.04417828505</x:v>
      </x:c>
      <x:c r="T670" s="65" t="n">
        <x:v>198480.2230446036</x:v>
      </x:c>
      <x:c r="U670" s="43" t="n">
        <x:v>0.8640010357931014</x:v>
      </x:c>
      <x:c r="V670" s="43" t="n">
        <x:v>0.8846351973656669</x:v>
      </x:c>
      <x:c r="W670" s="43" t="n">
        <x:v>0.5403816214804766</x:v>
      </x:c>
      <x:c r="X670" s="65" t="n">
        <x:v>34989612.12246493</x:v>
      </x:c>
      <x:c r="Y670" s="65" t="n">
        <x:v>67.85927003128388</x:v>
      </x:c>
      <x:c r="Z670" s="65" t="n">
        <x:v>1271974.451956562</x:v>
      </x:c>
      <x:c r="AA670" s="65" t="n">
        <x:v>188200.09302775972</x:v>
      </x:c>
      <x:c r="AB670" s="65" t="n">
        <x:v>1800.8479750296137</x:v>
      </x:c>
      <x:c r="AC670" s="65" t="n">
        <x:v>410.74580059746097</x:v>
      </x:c>
      <x:c r="AD670" s="65" t="n">
        <x:v>1759.859405922258</x:v>
      </x:c>
      <x:c r="AE670" s="65" t="n">
        <x:v>128089.59286611134</x:v>
      </x:c>
      <x:c r="AF670" s="65" t="n">
        <x:v>198480.2230446036</x:v>
      </x:c>
      <x:c r="AG670" s="65" t="n">
        <x:v>0</x:v>
      </x:c>
      <x:c r="AH670" s="34" t="n">
        <x:v>0</x:v>
      </x:c>
    </x:row>
    <x:row r="671" ht="15" hidden="0" customHeight="1">
      <x:c r="A671" s="36" t="n">
        <x:v>167</x:v>
      </x:c>
      <x:c r="B671" s="36" t="str">
        <x:v>P2</x:v>
      </x:c>
      <x:c r="C671" s="36" t="str">
        <x:v>reference</x:v>
      </x:c>
      <x:c r="D671" s="75" t="n">
        <x:v>1.0718645462450584</x:v>
      </x:c>
      <x:c r="E671" s="75" t="n">
        <x:v>0.05163981196491179</x:v>
      </x:c>
      <x:c r="F671" s="75" t="n">
        <x:v>0.9978356777560464</x:v>
      </x:c>
      <x:c r="G671" s="75" t="n">
        <x:v>0.9738718740601614</x:v>
      </x:c>
      <x:c r="H671" s="75" t="n">
        <x:v>0.8381157356840875</x:v>
      </x:c>
      <x:c r="I671" s="75" t="n">
        <x:v>1.0266177224966289</x:v>
      </x:c>
      <x:c r="J671" s="75" t="n">
        <x:v>0.8380786260273989</x:v>
      </x:c>
      <x:c r="K671" s="75" t="n">
        <x:v>0.8653022044697732</x:v>
      </x:c>
      <x:c r="L671" s="75" t="n">
        <x:v>0.9206320024485138</x:v>
      </x:c>
      <x:c r="M671" s="75" t="n">
        <x:v>0.7554465022346748</x:v>
      </x:c>
      <x:c r="N671" s="75" t="n">
        <x:v>0.9962531773623328</x:v>
      </x:c>
      <x:c r="O671" s="66" t="n">
        <x:v>515620.2255982761</x:v>
      </x:c>
      <x:c r="P671" s="66" t="n">
        <x:v>357851.2851926803</x:v>
      </x:c>
      <x:c r="Q671" s="66" t="n">
        <x:v>157768.94040559587</x:v>
      </x:c>
      <x:c r="R671" s="66" t="n">
        <x:v>122819.9954718115</x:v>
      </x:c>
      <x:c r="S671" s="66" t="n">
        <x:v>34948.94493378434</x:v>
      </x:c>
      <x:c r="T671" s="66" t="n">
        <x:v>127006.55353451161</x:v>
      </x:c>
      <x:c r="U671" s="45" t="n">
        <x:v>0.9403390609136976</x:v>
      </x:c>
      <x:c r="V671" s="45" t="n">
        <x:v>0.947433966277126</x:v>
      </x:c>
      <x:c r="W671" s="45" t="n">
        <x:v>0.7063518639665483</x:v>
      </x:c>
      <x:c r="X671" s="66" t="n">
        <x:v>19287421.18758109</x:v>
      </x:c>
      <x:c r="Y671" s="66" t="n">
        <x:v>37.4062541189144</x:v>
      </x:c>
      <x:c r="Z671" s="66" t="n">
        <x:v>793935.261310661</x:v>
      </x:c>
      <x:c r="AA671" s="66" t="n">
        <x:v>109421.06636965847</x:v>
      </x:c>
      <x:c r="AB671" s="66" t="n">
        <x:v>0</x:v>
      </x:c>
      <x:c r="AC671" s="66" t="n">
        <x:v>2750.5836538724498</x:v>
      </x:c>
      <x:c r="AD671" s="66" t="n">
        <x:v>1504.1002850468362</x:v>
      </x:c>
      <x:c r="AE671" s="66" t="n">
        <x:v>70616.92402214307</x:v>
      </x:c>
      <x:c r="AF671" s="66" t="n">
        <x:v>127006.55353451152</x:v>
      </x:c>
      <x:c r="AG671" s="66" t="n">
        <x:v>8.731149137020111e-11</x:v>
      </x:c>
      <x:c r="AH671" s="36" t="n">
        <x:v>0</x:v>
      </x:c>
    </x:row>
    <x:row r="672" ht="15" hidden="0" customHeight="1">
      <x:c r="A672" s="34" t="n">
        <x:v>167</x:v>
      </x:c>
      <x:c r="B672" s="34" t="str">
        <x:v>H3</x:v>
      </x:c>
      <x:c r="C672" s="34" t="str">
        <x:v>reference</x:v>
      </x:c>
      <x:c r="D672" s="74" t="n">
        <x:v>1.0718645462450584</x:v>
      </x:c>
      <x:c r="E672" s="74" t="n">
        <x:v>0.05163981196491179</x:v>
      </x:c>
      <x:c r="F672" s="74" t="n">
        <x:v>0.9978356777560464</x:v>
      </x:c>
      <x:c r="G672" s="74" t="n">
        <x:v>0.9738718740601614</x:v>
      </x:c>
      <x:c r="H672" s="74" t="n">
        <x:v>0.8381157356840875</x:v>
      </x:c>
      <x:c r="I672" s="74" t="n">
        <x:v>1.0266177224966289</x:v>
      </x:c>
      <x:c r="J672" s="74" t="n">
        <x:v>0.8380786260273989</x:v>
      </x:c>
      <x:c r="K672" s="74" t="n">
        <x:v>0.8653022044697732</x:v>
      </x:c>
      <x:c r="L672" s="74" t="n">
        <x:v>0.9206320024485138</x:v>
      </x:c>
      <x:c r="M672" s="74" t="n">
        <x:v>0.7554465022346748</x:v>
      </x:c>
      <x:c r="N672" s="74" t="n">
        <x:v>0.9962531773623328</x:v>
      </x:c>
      <x:c r="O672" s="65" t="n">
        <x:v>515620.2255982761</x:v>
      </x:c>
      <x:c r="P672" s="65" t="n">
        <x:v>371219.687331161</x:v>
      </x:c>
      <x:c r="Q672" s="65" t="n">
        <x:v>144400.53826711513</x:v>
      </x:c>
      <x:c r="R672" s="65" t="n">
        <x:v>122819.9954718115</x:v>
      </x:c>
      <x:c r="S672" s="65" t="n">
        <x:v>21580.542795303627</x:v>
      </x:c>
      <x:c r="T672" s="65" t="n">
        <x:v>142925.14863915398</x:v>
      </x:c>
      <x:c r="U672" s="43" t="n">
        <x:v>0.9971386118024186</x:v>
      </x:c>
      <x:c r="V672" s="43" t="n">
        <x:v>0.998197772051122</x:v>
      </x:c>
      <x:c r="W672" s="43" t="n">
        <x:v>0.9713861180241857</x:v>
      </x:c>
      <x:c r="X672" s="65" t="n">
        <x:v>14903823.798045633</x:v>
      </x:c>
      <x:c r="Y672" s="65" t="n">
        <x:v>28.904653188793496</x:v>
      </x:c>
      <x:c r="Z672" s="65" t="n">
        <x:v>873402.8536104002</x:v>
      </x:c>
      <x:c r="AA672" s="65" t="n">
        <x:v>91290.27133704144</x:v>
      </x:c>
      <x:c r="AB672" s="65" t="n">
        <x:v>1422.8276241399108</x:v>
      </x:c>
      <x:c r="AC672" s="65" t="n">
        <x:v>0</x:v>
      </x:c>
      <x:c r="AD672" s="65" t="n">
        <x:v>1475.3896279611743</x:v>
      </x:c>
      <x:c r="AE672" s="65" t="n">
        <x:v>67387.46912036368</x:v>
      </x:c>
      <x:c r="AF672" s="65" t="n">
        <x:v>142925.14863915398</x:v>
      </x:c>
      <x:c r="AG672" s="65" t="n">
        <x:v>0</x:v>
      </x:c>
      <x:c r="AH672" s="34" t="n">
        <x:v>1</x:v>
      </x:c>
    </x:row>
    <x:row r="673" ht="15" hidden="0" customHeight="1">
      <x:c r="A673" s="36" t="n">
        <x:v>168</x:v>
      </x:c>
      <x:c r="B673" s="36" t="str">
        <x:v>M0</x:v>
      </x:c>
      <x:c r="C673" s="36" t="str">
        <x:v>slow</x:v>
      </x:c>
      <x:c r="D673" s="75" t="n">
        <x:v>0.9724388987822344</x:v>
      </x:c>
      <x:c r="E673" s="75" t="n">
        <x:v>0.06112983875750098</x:v>
      </x:c>
      <x:c r="F673" s="75" t="n">
        <x:v>1.0053490809256802</x:v>
      </x:c>
      <x:c r="G673" s="75" t="n">
        <x:v>1.0492905899225777</x:v>
      </x:c>
      <x:c r="H673" s="75" t="n">
        <x:v>1.0316536707007062</x:v>
      </x:c>
      <x:c r="I673" s="75" t="n">
        <x:v>0.9718590604422215</x:v>
      </x:c>
      <x:c r="J673" s="75" t="n">
        <x:v>1.0278083830162497</x:v>
      </x:c>
      <x:c r="K673" s="75" t="n">
        <x:v>0.9063498119491635</x:v>
      </x:c>
      <x:c r="L673" s="75" t="n">
        <x:v>0.9159202803386333</x:v>
      </x:c>
      <x:c r="M673" s="75" t="n">
        <x:v>0.7914726210931431</x:v>
      </x:c>
      <x:c r="N673" s="75" t="n">
        <x:v>0.9697567000979845</x:v>
      </x:c>
      <x:c r="O673" s="66" t="n">
        <x:v>467791.53777141415</x:v>
      </x:c>
      <x:c r="P673" s="66" t="n">
        <x:v>65917.20584782009</x:v>
      </x:c>
      <x:c r="Q673" s="66" t="n">
        <x:v>401874.331923594</x:v>
      </x:c>
      <x:c r="R673" s="66" t="n">
        <x:v>115866.62511046465</x:v>
      </x:c>
      <x:c r="S673" s="66" t="n">
        <x:v>286007.7068131294</x:v>
      </x:c>
      <x:c r="T673" s="66" t="n">
        <x:v>256190.6695396125</x:v>
      </x:c>
      <x:c r="U673" s="45" t="n">
        <x:v>0.6885714028132555</x:v>
      </x:c>
      <x:c r="V673" s="45" t="n">
        <x:v>0.6729171664189049</x:v>
      </x:c>
      <x:c r="W673" s="45" t="n">
        <x:v>0.0696674743194526</x:v>
      </x:c>
      <x:c r="X673" s="66" t="n">
        <x:v>48737272.9782742</x:v>
      </x:c>
      <x:c r="Y673" s="66" t="n">
        <x:v>104.18587991236733</x:v>
      </x:c>
      <x:c r="Z673" s="66" t="n">
        <x:v>2672131.7901913663</x:v>
      </x:c>
      <x:c r="AA673" s="66" t="n">
        <x:v>266101.58471754787</x:v>
      </x:c>
      <x:c r="AB673" s="66" t="n">
        <x:v>19911.10987953021</x:v>
      </x:c>
      <x:c r="AC673" s="66" t="n">
        <x:v>0</x:v>
      </x:c>
      <x:c r="AD673" s="66" t="n">
        <x:v>2577.786938670978</x:v>
      </x:c>
      <x:c r="AE673" s="66" t="n">
        <x:v>228261.67657679057</x:v>
      </x:c>
      <x:c r="AF673" s="66" t="n">
        <x:v>256190.66953961263</x:v>
      </x:c>
      <x:c r="AG673" s="66" t="n">
        <x:v>0</x:v>
      </x:c>
      <x:c r="AH673" s="36" t="n">
        <x:v>0</x:v>
      </x:c>
    </x:row>
    <x:row r="674" ht="15" hidden="0" customHeight="1">
      <x:c r="A674" s="34" t="n">
        <x:v>168</x:v>
      </x:c>
      <x:c r="B674" s="34" t="str">
        <x:v>B1</x:v>
      </x:c>
      <x:c r="C674" s="34" t="str">
        <x:v>slow</x:v>
      </x:c>
      <x:c r="D674" s="74" t="n">
        <x:v>0.9724388987822344</x:v>
      </x:c>
      <x:c r="E674" s="74" t="n">
        <x:v>0.06112983875750098</x:v>
      </x:c>
      <x:c r="F674" s="74" t="n">
        <x:v>1.0053490809256802</x:v>
      </x:c>
      <x:c r="G674" s="74" t="n">
        <x:v>1.0492905899225777</x:v>
      </x:c>
      <x:c r="H674" s="74" t="n">
        <x:v>1.0316536707007062</x:v>
      </x:c>
      <x:c r="I674" s="74" t="n">
        <x:v>0.9718590604422215</x:v>
      </x:c>
      <x:c r="J674" s="74" t="n">
        <x:v>1.0278083830162497</x:v>
      </x:c>
      <x:c r="K674" s="74" t="n">
        <x:v>0.9063498119491635</x:v>
      </x:c>
      <x:c r="L674" s="74" t="n">
        <x:v>0.9159202803386333</x:v>
      </x:c>
      <x:c r="M674" s="74" t="n">
        <x:v>0.7914726210931431</x:v>
      </x:c>
      <x:c r="N674" s="74" t="n">
        <x:v>0.9697567000979845</x:v>
      </x:c>
      <x:c r="O674" s="65" t="n">
        <x:v>467791.53777141415</x:v>
      </x:c>
      <x:c r="P674" s="65" t="n">
        <x:v>222977.52059910024</x:v>
      </x:c>
      <x:c r="Q674" s="65" t="n">
        <x:v>244814.01717231385</x:v>
      </x:c>
      <x:c r="R674" s="65" t="n">
        <x:v>115866.62511046465</x:v>
      </x:c>
      <x:c r="S674" s="65" t="n">
        <x:v>128947.39206184918</x:v>
      </x:c>
      <x:c r="T674" s="65" t="n">
        <x:v>143149.56616805965</x:v>
      </x:c>
      <x:c r="U674" s="43" t="n">
        <x:v>0.7826714619751577</x:v>
      </x:c>
      <x:c r="V674" s="43" t="n">
        <x:v>0.7733713766034997</x:v>
      </x:c>
      <x:c r="W674" s="43" t="n">
        <x:v>0.24180727872974744</x:v>
      </x:c>
      <x:c r="X674" s="65" t="n">
        <x:v>31221087.75780958</x:v>
      </x:c>
      <x:c r="Y674" s="65" t="n">
        <x:v>66.74145476540393</x:v>
      </x:c>
      <x:c r="Z674" s="65" t="n">
        <x:v>989837.1975426447</x:v>
      </x:c>
      <x:c r="AA674" s="65" t="n">
        <x:v>154516.6686637688</x:v>
      </x:c>
      <x:c r="AB674" s="65" t="n">
        <x:v>3320.21059756004</x:v>
      </x:c>
      <x:c r="AC674" s="65" t="n">
        <x:v>0</x:v>
      </x:c>
      <x:c r="AD674" s="65" t="n">
        <x:v>2087.5523739081736</x:v>
      </x:c>
      <x:c r="AE674" s="65" t="n">
        <x:v>59362.58727959376</x:v>
      </x:c>
      <x:c r="AF674" s="65" t="n">
        <x:v>143149.5661680596</x:v>
      </x:c>
      <x:c r="AG674" s="65" t="n">
        <x:v>5.820766091346741e-11</x:v>
      </x:c>
      <x:c r="AH674" s="34" t="n">
        <x:v>0</x:v>
      </x:c>
    </x:row>
    <x:row r="675" ht="15" hidden="0" customHeight="1">
      <x:c r="A675" s="36" t="n">
        <x:v>168</x:v>
      </x:c>
      <x:c r="B675" s="36" t="str">
        <x:v>P2</x:v>
      </x:c>
      <x:c r="C675" s="36" t="str">
        <x:v>slow</x:v>
      </x:c>
      <x:c r="D675" s="75" t="n">
        <x:v>0.9724388987822344</x:v>
      </x:c>
      <x:c r="E675" s="75" t="n">
        <x:v>0.06112983875750098</x:v>
      </x:c>
      <x:c r="F675" s="75" t="n">
        <x:v>1.0053490809256802</x:v>
      </x:c>
      <x:c r="G675" s="75" t="n">
        <x:v>1.0492905899225777</x:v>
      </x:c>
      <x:c r="H675" s="75" t="n">
        <x:v>1.0316536707007062</x:v>
      </x:c>
      <x:c r="I675" s="75" t="n">
        <x:v>0.9718590604422215</x:v>
      </x:c>
      <x:c r="J675" s="75" t="n">
        <x:v>1.0278083830162497</x:v>
      </x:c>
      <x:c r="K675" s="75" t="n">
        <x:v>0.9063498119491635</x:v>
      </x:c>
      <x:c r="L675" s="75" t="n">
        <x:v>0.9159202803386333</x:v>
      </x:c>
      <x:c r="M675" s="75" t="n">
        <x:v>0.7914726210931431</x:v>
      </x:c>
      <x:c r="N675" s="75" t="n">
        <x:v>0.9697567000979845</x:v>
      </x:c>
      <x:c r="O675" s="66" t="n">
        <x:v>467791.53777141415</x:v>
      </x:c>
      <x:c r="P675" s="66" t="n">
        <x:v>323026.83543213294</x:v>
      </x:c>
      <x:c r="Q675" s="66" t="n">
        <x:v>144764.7023392812</x:v>
      </x:c>
      <x:c r="R675" s="66" t="n">
        <x:v>115866.62511046465</x:v>
      </x:c>
      <x:c r="S675" s="66" t="n">
        <x:v>28898.07722881656</x:v>
      </x:c>
      <x:c r="T675" s="66" t="n">
        <x:v>72132.2222307025</x:v>
      </x:c>
      <x:c r="U675" s="45" t="n">
        <x:v>0.8447332321259934</x:v>
      </x:c>
      <x:c r="V675" s="45" t="n">
        <x:v>0.8396418098428632</x:v>
      </x:c>
      <x:c r="W675" s="45" t="n">
        <x:v>0.35531825440167747</x:v>
      </x:c>
      <x:c r="X675" s="66" t="n">
        <x:v>19141162.65910709</x:v>
      </x:c>
      <x:c r="Y675" s="66" t="n">
        <x:v>40.918146468182584</x:v>
      </x:c>
      <x:c r="Z675" s="66" t="n">
        <x:v>464752.936048859</x:v>
      </x:c>
      <x:c r="AA675" s="66" t="n">
        <x:v>100291.55305098055</x:v>
      </x:c>
      <x:c r="AB675" s="66" t="n">
        <x:v>0</x:v>
      </x:c>
      <x:c r="AC675" s="66" t="n">
        <x:v>0</x:v>
      </x:c>
      <x:c r="AD675" s="66" t="n">
        <x:v>1790.1313965317133</x:v>
      </x:c>
      <x:c r="AE675" s="66" t="n">
        <x:v>12885.161767151381</x:v>
      </x:c>
      <x:c r="AF675" s="66" t="n">
        <x:v>72132.22223070246</x:v>
      </x:c>
      <x:c r="AG675" s="66" t="n">
        <x:v>2.9103830456733704e-11</x:v>
      </x:c>
      <x:c r="AH675" s="36" t="n">
        <x:v>0</x:v>
      </x:c>
    </x:row>
    <x:row r="676" ht="15" hidden="0" customHeight="1">
      <x:c r="A676" s="34" t="n">
        <x:v>168</x:v>
      </x:c>
      <x:c r="B676" s="34" t="str">
        <x:v>H3</x:v>
      </x:c>
      <x:c r="C676" s="34" t="str">
        <x:v>slow</x:v>
      </x:c>
      <x:c r="D676" s="74" t="n">
        <x:v>0.9724388987822344</x:v>
      </x:c>
      <x:c r="E676" s="74" t="n">
        <x:v>0.06112983875750098</x:v>
      </x:c>
      <x:c r="F676" s="74" t="n">
        <x:v>1.0053490809256802</x:v>
      </x:c>
      <x:c r="G676" s="74" t="n">
        <x:v>1.0492905899225777</x:v>
      </x:c>
      <x:c r="H676" s="74" t="n">
        <x:v>1.0316536707007062</x:v>
      </x:c>
      <x:c r="I676" s="74" t="n">
        <x:v>0.9718590604422215</x:v>
      </x:c>
      <x:c r="J676" s="74" t="n">
        <x:v>1.0278083830162497</x:v>
      </x:c>
      <x:c r="K676" s="74" t="n">
        <x:v>0.9063498119491635</x:v>
      </x:c>
      <x:c r="L676" s="74" t="n">
        <x:v>0.9159202803386333</x:v>
      </x:c>
      <x:c r="M676" s="74" t="n">
        <x:v>0.7914726210931431</x:v>
      </x:c>
      <x:c r="N676" s="74" t="n">
        <x:v>0.9697567000979845</x:v>
      </x:c>
      <x:c r="O676" s="65" t="n">
        <x:v>467791.53777141415</x:v>
      </x:c>
      <x:c r="P676" s="65" t="n">
        <x:v>335094.33855265507</x:v>
      </x:c>
      <x:c r="Q676" s="65" t="n">
        <x:v>132697.19921875905</x:v>
      </x:c>
      <x:c r="R676" s="65" t="n">
        <x:v>115866.62511046465</x:v>
      </x:c>
      <x:c r="S676" s="65" t="n">
        <x:v>16830.574108294393</x:v>
      </x:c>
      <x:c r="T676" s="65" t="n">
        <x:v>63571.27031885619</x:v>
      </x:c>
      <x:c r="U676" s="43" t="n">
        <x:v>0.852229201859395</x:v>
      </x:c>
      <x:c r="V676" s="43" t="n">
        <x:v>0.8477984751418529</x:v>
      </x:c>
      <x:c r="W676" s="43" t="n">
        <x:v>0.36960353543425273</x:v>
      </x:c>
      <x:c r="X676" s="65" t="n">
        <x:v>16939650.86654052</x:v>
      </x:c>
      <x:c r="Y676" s="65" t="n">
        <x:v>36.21196515704836</x:v>
      </x:c>
      <x:c r="Z676" s="65" t="n">
        <x:v>453967.5571630992</x:v>
      </x:c>
      <x:c r="AA676" s="65" t="n">
        <x:v>94560.07269224424</x:v>
      </x:c>
      <x:c r="AB676" s="65" t="n">
        <x:v>1554.4744639889618</x:v>
      </x:c>
      <x:c r="AC676" s="65" t="n">
        <x:v>0</x:v>
      </x:c>
      <x:c r="AD676" s="65" t="n">
        <x:v>1756.5480390408252</x:v>
      </x:c>
      <x:c r="AE676" s="65" t="n">
        <x:v>12618.536994848218</x:v>
      </x:c>
      <x:c r="AF676" s="65" t="n">
        <x:v>63571.27031885627</x:v>
      </x:c>
      <x:c r="AG676" s="65" t="n">
        <x:v>0</x:v>
      </x:c>
      <x:c r="AH676" s="34" t="n">
        <x:v>0</x:v>
      </x:c>
    </x:row>
    <x:row r="677" ht="21.600000381469727" hidden="0" customHeight="1">
      <x:c r="A677" s="36" t="n">
        <x:v>169</x:v>
      </x:c>
      <x:c r="B677" s="36" t="str">
        <x:v>M0</x:v>
      </x:c>
      <x:c r="C677" s="36" t="str">
        <x:v>reference</x:v>
      </x:c>
      <x:c r="D677" s="75" t="n">
        <x:v>1.0104410783312536</x:v>
      </x:c>
      <x:c r="E677" s="75" t="n">
        <x:v>-0.03514158791224783</x:v>
      </x:c>
      <x:c r="F677" s="75" t="n">
        <x:v>0.9626968475808249</x:v>
      </x:c>
      <x:c r="G677" s="75" t="n">
        <x:v>1.0196741052056757</x:v>
      </x:c>
      <x:c r="H677" s="75" t="n">
        <x:v>0.7289108626690846</x:v>
      </x:c>
      <x:c r="I677" s="75" t="n">
        <x:v>0.8307392779399163</x:v>
      </x:c>
      <x:c r="J677" s="75" t="n">
        <x:v>1.056676162059905</x:v>
      </x:c>
      <x:c r="K677" s="75" t="n">
        <x:v>0.8804381043049445</x:v>
      </x:c>
      <x:c r="L677" s="75" t="n">
        <x:v>0.9382731980654886</x:v>
      </x:c>
      <x:c r="M677" s="75" t="n">
        <x:v>0.9177589011750351</x:v>
      </x:c>
      <x:c r="N677" s="75" t="n">
        <x:v>0.9324381659020464</x:v>
      </x:c>
      <x:c r="O677" s="66" t="n">
        <x:v>486072.4786430339</x:v>
      </x:c>
      <x:c r="P677" s="66" t="n">
        <x:v>73982.09606532863</x:v>
      </x:c>
      <x:c r="Q677" s="66" t="n">
        <x:v>412090.38257770526</x:v>
      </x:c>
      <x:c r="R677" s="66" t="n">
        <x:v>73599.71454439242</x:v>
      </x:c>
      <x:c r="S677" s="66" t="n">
        <x:v>338490.66803331283</x:v>
      </x:c>
      <x:c r="T677" s="66" t="n">
        <x:v>236000.55392265623</x:v>
      </x:c>
      <x:c r="U677" s="45" t="n">
        <x:v>0.6377292762045731</x:v>
      </x:c>
      <x:c r="V677" s="45" t="n">
        <x:v>0.6664681449672231</x:v>
      </x:c>
      <x:c r="W677" s="45" t="n">
        <x:v>0.15242394024138747</x:v>
      </x:c>
      <x:c r="X677" s="66" t="n">
        <x:v>55375468.37903124</x:v>
      </x:c>
      <x:c r="Y677" s="66" t="n">
        <x:v>113.92430308669739</x:v>
      </x:c>
      <x:c r="Z677" s="66" t="n">
        <x:v>4007447.0799385346</x:v>
      </x:c>
      <x:c r="AA677" s="66" t="n">
        <x:v>301057.184789574</x:v>
      </x:c>
      <x:c r="AB677" s="66" t="n">
        <x:v>32249.013030025228</x:v>
      </x:c>
      <x:c r="AC677" s="66" t="n">
        <x:v>0</x:v>
      </x:c>
      <x:c r="AD677" s="66" t="n">
        <x:v>2027.2036261095564</x:v>
      </x:c>
      <x:c r="AE677" s="66" t="n">
        <x:v>182292.1155666983</x:v>
      </x:c>
      <x:c r="AF677" s="66" t="n">
        <x:v>236000.55392265628</x:v>
      </x:c>
      <x:c r="AG677" s="66" t="n">
        <x:v>0</x:v>
      </x:c>
      <x:c r="AH677" s="36" t="n">
        <x:v>0</x:v>
      </x:c>
    </x:row>
    <x:row r="678" ht="21.600000381469727" hidden="0" customHeight="1">
      <x:c r="A678" s="34" t="n">
        <x:v>169</x:v>
      </x:c>
      <x:c r="B678" s="34" t="str">
        <x:v>B1</x:v>
      </x:c>
      <x:c r="C678" s="34" t="str">
        <x:v>reference</x:v>
      </x:c>
      <x:c r="D678" s="74" t="n">
        <x:v>1.0104410783312536</x:v>
      </x:c>
      <x:c r="E678" s="74" t="n">
        <x:v>-0.03514158791224783</x:v>
      </x:c>
      <x:c r="F678" s="74" t="n">
        <x:v>0.9626968475808249</x:v>
      </x:c>
      <x:c r="G678" s="74" t="n">
        <x:v>1.0196741052056757</x:v>
      </x:c>
      <x:c r="H678" s="74" t="n">
        <x:v>0.7289108626690846</x:v>
      </x:c>
      <x:c r="I678" s="74" t="n">
        <x:v>0.8307392779399163</x:v>
      </x:c>
      <x:c r="J678" s="74" t="n">
        <x:v>1.056676162059905</x:v>
      </x:c>
      <x:c r="K678" s="74" t="n">
        <x:v>0.8804381043049445</x:v>
      </x:c>
      <x:c r="L678" s="74" t="n">
        <x:v>0.9382731980654886</x:v>
      </x:c>
      <x:c r="M678" s="74" t="n">
        <x:v>0.9177589011750351</x:v>
      </x:c>
      <x:c r="N678" s="74" t="n">
        <x:v>0.9324381659020464</x:v>
      </x:c>
      <x:c r="O678" s="65" t="n">
        <x:v>486072.4786430339</x:v>
      </x:c>
      <x:c r="P678" s="65" t="n">
        <x:v>250255.27726767602</x:v>
      </x:c>
      <x:c r="Q678" s="65" t="n">
        <x:v>235817.20137535786</x:v>
      </x:c>
      <x:c r="R678" s="65" t="n">
        <x:v>73599.71454439242</x:v>
      </x:c>
      <x:c r="S678" s="65" t="n">
        <x:v>162217.4868309655</x:v>
      </x:c>
      <x:c r="T678" s="65" t="n">
        <x:v>172887.31827649524</x:v>
      </x:c>
      <x:c r="U678" s="43" t="n">
        <x:v>0.8705339514910538</x:v>
      </x:c>
      <x:c r="V678" s="43" t="n">
        <x:v>0.8914350704153254</x:v>
      </x:c>
      <x:c r="W678" s="43" t="n">
        <x:v>0.5693329343093508</x:v>
      </x:c>
      <x:c r="X678" s="65" t="n">
        <x:v>31495401.667357262</x:v>
      </x:c>
      <x:c r="Y678" s="65" t="n">
        <x:v>64.79569004869977</x:v>
      </x:c>
      <x:c r="Z678" s="65" t="n">
        <x:v>1187224.4335813762</x:v>
      </x:c>
      <x:c r="AA678" s="65" t="n">
        <x:v>165721.84498131502</x:v>
      </x:c>
      <x:c r="AB678" s="65" t="n">
        <x:v>2608.0782988022906</x:v>
      </x:c>
      <x:c r="AC678" s="65" t="n">
        <x:v>0</x:v>
      </x:c>
      <x:c r="AD678" s="65" t="n">
        <x:v>1558.3663963592453</x:v>
      </x:c>
      <x:c r="AE678" s="65" t="n">
        <x:v>112334.79282778686</x:v>
      </x:c>
      <x:c r="AF678" s="65" t="n">
        <x:v>172887.3182764952</x:v>
      </x:c>
      <x:c r="AG678" s="65" t="n">
        <x:v>2.9103830456733704e-11</x:v>
      </x:c>
      <x:c r="AH678" s="34" t="n">
        <x:v>0</x:v>
      </x:c>
    </x:row>
    <x:row r="679" ht="21.600000381469727" hidden="0" customHeight="1">
      <x:c r="A679" s="36" t="n">
        <x:v>169</x:v>
      </x:c>
      <x:c r="B679" s="36" t="str">
        <x:v>P2</x:v>
      </x:c>
      <x:c r="C679" s="36" t="str">
        <x:v>reference</x:v>
      </x:c>
      <x:c r="D679" s="75" t="n">
        <x:v>1.0104410783312536</x:v>
      </x:c>
      <x:c r="E679" s="75" t="n">
        <x:v>-0.03514158791224783</x:v>
      </x:c>
      <x:c r="F679" s="75" t="n">
        <x:v>0.9626968475808249</x:v>
      </x:c>
      <x:c r="G679" s="75" t="n">
        <x:v>1.0196741052056757</x:v>
      </x:c>
      <x:c r="H679" s="75" t="n">
        <x:v>0.7289108626690846</x:v>
      </x:c>
      <x:c r="I679" s="75" t="n">
        <x:v>0.8307392779399163</x:v>
      </x:c>
      <x:c r="J679" s="75" t="n">
        <x:v>1.056676162059905</x:v>
      </x:c>
      <x:c r="K679" s="75" t="n">
        <x:v>0.8804381043049445</x:v>
      </x:c>
      <x:c r="L679" s="75" t="n">
        <x:v>0.9382731980654886</x:v>
      </x:c>
      <x:c r="M679" s="75" t="n">
        <x:v>0.9177589011750351</x:v>
      </x:c>
      <x:c r="N679" s="75" t="n">
        <x:v>0.9324381659020464</x:v>
      </x:c>
      <x:c r="O679" s="66" t="n">
        <x:v>486072.4786430339</x:v>
      </x:c>
      <x:c r="P679" s="66" t="n">
        <x:v>362541.3658412609</x:v>
      </x:c>
      <x:c r="Q679" s="66" t="n">
        <x:v>123531.11280177304</x:v>
      </x:c>
      <x:c r="R679" s="66" t="n">
        <x:v>73599.71454439242</x:v>
      </x:c>
      <x:c r="S679" s="66" t="n">
        <x:v>49931.398257380635</x:v>
      </x:c>
      <x:c r="T679" s="66" t="n">
        <x:v>108261.331227146</x:v>
      </x:c>
      <x:c r="U679" s="45" t="n">
        <x:v>0.9685853813051593</x:v>
      </x:c>
      <x:c r="V679" s="45" t="n">
        <x:v>0.969234473215895</x:v>
      </x:c>
      <x:c r="W679" s="45" t="n">
        <x:v>0.7707189646091118</x:v>
      </x:c>
      <x:c r="X679" s="66" t="n">
        <x:v>15081311.474548312</x:v>
      </x:c>
      <x:c r="Y679" s="66" t="n">
        <x:v>31.026877959951022</x:v>
      </x:c>
      <x:c r="Z679" s="66" t="n">
        <x:v>677285.459630455</x:v>
      </x:c>
      <x:c r="AA679" s="66" t="n">
        <x:v>84145.97385604389</x:v>
      </x:c>
      <x:c r="AB679" s="66" t="n">
        <x:v>0</x:v>
      </x:c>
      <x:c r="AC679" s="66" t="n">
        <x:v>0</x:v>
      </x:c>
      <x:c r="AD679" s="66" t="n">
        <x:v>1275.0802633014343</x:v>
      </x:c>
      <x:c r="AE679" s="66" t="n">
        <x:v>58224.10695584265</x:v>
      </x:c>
      <x:c r="AF679" s="66" t="n">
        <x:v>108261.33122714599</x:v>
      </x:c>
      <x:c r="AG679" s="66" t="n">
        <x:v>1.4551915228366852e-11</x:v>
      </x:c>
      <x:c r="AH679" s="36" t="n">
        <x:v>0</x:v>
      </x:c>
    </x:row>
    <x:row r="680" ht="21.600000381469727" hidden="0" customHeight="1">
      <x:c r="A680" s="34" t="n">
        <x:v>169</x:v>
      </x:c>
      <x:c r="B680" s="34" t="str">
        <x:v>H3</x:v>
      </x:c>
      <x:c r="C680" s="34" t="str">
        <x:v>reference</x:v>
      </x:c>
      <x:c r="D680" s="74" t="n">
        <x:v>1.0104410783312536</x:v>
      </x:c>
      <x:c r="E680" s="74" t="n">
        <x:v>-0.03514158791224783</x:v>
      </x:c>
      <x:c r="F680" s="74" t="n">
        <x:v>0.9626968475808249</x:v>
      </x:c>
      <x:c r="G680" s="74" t="n">
        <x:v>1.0196741052056757</x:v>
      </x:c>
      <x:c r="H680" s="74" t="n">
        <x:v>0.7289108626690846</x:v>
      </x:c>
      <x:c r="I680" s="74" t="n">
        <x:v>0.8307392779399163</x:v>
      </x:c>
      <x:c r="J680" s="74" t="n">
        <x:v>1.056676162059905</x:v>
      </x:c>
      <x:c r="K680" s="74" t="n">
        <x:v>0.8804381043049445</x:v>
      </x:c>
      <x:c r="L680" s="74" t="n">
        <x:v>0.9382731980654886</x:v>
      </x:c>
      <x:c r="M680" s="74" t="n">
        <x:v>0.9177589011750351</x:v>
      </x:c>
      <x:c r="N680" s="74" t="n">
        <x:v>0.9324381659020464</x:v>
      </x:c>
      <x:c r="O680" s="65" t="n">
        <x:v>486072.4786430339</x:v>
      </x:c>
      <x:c r="P680" s="65" t="n">
        <x:v>376084.4976956262</x:v>
      </x:c>
      <x:c r="Q680" s="65" t="n">
        <x:v>109987.98094740766</x:v>
      </x:c>
      <x:c r="R680" s="65" t="n">
        <x:v>73599.71454439242</x:v>
      </x:c>
      <x:c r="S680" s="65" t="n">
        <x:v>36388.26640301525</x:v>
      </x:c>
      <x:c r="T680" s="65" t="n">
        <x:v>108744.70143082255</x:v>
      </x:c>
      <x:c r="U680" s="43" t="n">
        <x:v>0.997442193147705</x:v>
      </x:c>
      <x:c r="V680" s="43" t="n">
        <x:v>0.9983889573816855</x:v>
      </x:c>
      <x:c r="W680" s="43" t="n">
        <x:v>0.9744219314770508</x:v>
      </x:c>
      <x:c r="X680" s="65" t="n">
        <x:v>11789891.134410929</x:v>
      </x:c>
      <x:c r="Y680" s="65" t="n">
        <x:v>24.25541797248984</x:v>
      </x:c>
      <x:c r="Z680" s="65" t="n">
        <x:v>672600.0002420193</x:v>
      </x:c>
      <x:c r="AA680" s="65" t="n">
        <x:v>72921.15422265242</x:v>
      </x:c>
      <x:c r="AB680" s="65" t="n">
        <x:v>1231.6561086238735</x:v>
      </x:c>
      <x:c r="AC680" s="65" t="n">
        <x:v>0</x:v>
      </x:c>
      <x:c r="AD680" s="65" t="n">
        <x:v>1243.2795165851219</x:v>
      </x:c>
      <x:c r="AE680" s="65" t="n">
        <x:v>56814.715460786225</x:v>
      </x:c>
      <x:c r="AF680" s="65" t="n">
        <x:v>108744.70143082248</x:v>
      </x:c>
      <x:c r="AG680" s="65" t="n">
        <x:v>7.275957614183426e-11</x:v>
      </x:c>
      <x:c r="AH680" s="34" t="n">
        <x:v>1</x:v>
      </x:c>
    </x:row>
    <x:row r="681" ht="15" hidden="0" customHeight="1">
      <x:c r="A681" s="36" t="n">
        <x:v>170</x:v>
      </x:c>
      <x:c r="B681" s="36" t="str">
        <x:v>M0</x:v>
      </x:c>
      <x:c r="C681" s="36" t="str">
        <x:v>slow</x:v>
      </x:c>
      <x:c r="D681" s="75" t="n">
        <x:v>0.9398954932892689</x:v>
      </x:c>
      <x:c r="E681" s="75" t="n">
        <x:v>0.0012208040023221206</x:v>
      </x:c>
      <x:c r="F681" s="75" t="n">
        <x:v>0.9893976312800894</x:v>
      </x:c>
      <x:c r="G681" s="75" t="n">
        <x:v>0.9845657564632858</x:v>
      </x:c>
      <x:c r="H681" s="75" t="n">
        <x:v>0.9223325360579211</x:v>
      </x:c>
      <x:c r="I681" s="75" t="n">
        <x:v>0.7801556771953242</x:v>
      </x:c>
      <x:c r="J681" s="75" t="n">
        <x:v>0.7835167103488025</x:v>
      </x:c>
      <x:c r="K681" s="75" t="n">
        <x:v>0.8512211645662409</x:v>
      </x:c>
      <x:c r="L681" s="75" t="n">
        <x:v>0.7969912190361526</x:v>
      </x:c>
      <x:c r="M681" s="75" t="n">
        <x:v>0.8887516199043654</x:v>
      </x:c>
      <x:c r="N681" s="75" t="n">
        <x:v>0.7685915961232775</x:v>
      </x:c>
      <x:c r="O681" s="66" t="n">
        <x:v>452136.5390677042</x:v>
      </x:c>
      <x:c r="P681" s="66" t="n">
        <x:v>67694.3975878223</x:v>
      </x:c>
      <x:c r="Q681" s="66" t="n">
        <x:v>384442.14147988183</x:v>
      </x:c>
      <x:c r="R681" s="66" t="n">
        <x:v>84901.99696530453</x:v>
      </x:c>
      <x:c r="S681" s="66" t="n">
        <x:v>299540.14451457735</x:v>
      </x:c>
      <x:c r="T681" s="66" t="n">
        <x:v>240328.99964472133</x:v>
      </x:c>
      <x:c r="U681" s="45" t="n">
        <x:v>0.6812618990442164</x:v>
      </x:c>
      <x:c r="V681" s="45" t="n">
        <x:v>0.6715121608989177</x:v>
      </x:c>
      <x:c r="W681" s="45" t="n">
        <x:v>0.0791247121755371</x:v>
      </x:c>
      <x:c r="X681" s="66" t="n">
        <x:v>48665711.37473658</x:v>
      </x:c>
      <x:c r="Y681" s="66" t="n">
        <x:v>107.63498892410738</x:v>
      </x:c>
      <x:c r="Z681" s="66" t="n">
        <x:v>3189904.718808218</x:v>
      </x:c>
      <x:c r="AA681" s="66" t="n">
        <x:v>263673.7632305108</x:v>
      </x:c>
      <x:c r="AB681" s="66" t="n">
        <x:v>24312.857005281276</x:v>
      </x:c>
      <x:c r="AC681" s="66" t="n">
        <x:v>0</x:v>
      </x:c>
      <x:c r="AD681" s="66" t="n">
        <x:v>2463.219867582093</x:v>
      </x:c>
      <x:c r="AE681" s="66" t="n">
        <x:v>196058.12370802058</x:v>
      </x:c>
      <x:c r="AF681" s="66" t="n">
        <x:v>240328.9996447214</x:v>
      </x:c>
      <x:c r="AG681" s="66" t="n">
        <x:v>0</x:v>
      </x:c>
      <x:c r="AH681" s="36" t="n">
        <x:v>0</x:v>
      </x:c>
    </x:row>
    <x:row r="682" ht="15" hidden="0" customHeight="1">
      <x:c r="A682" s="34" t="n">
        <x:v>170</x:v>
      </x:c>
      <x:c r="B682" s="34" t="str">
        <x:v>B1</x:v>
      </x:c>
      <x:c r="C682" s="34" t="str">
        <x:v>slow</x:v>
      </x:c>
      <x:c r="D682" s="74" t="n">
        <x:v>0.9398954932892689</x:v>
      </x:c>
      <x:c r="E682" s="74" t="n">
        <x:v>0.0012208040023221206</x:v>
      </x:c>
      <x:c r="F682" s="74" t="n">
        <x:v>0.9893976312800894</x:v>
      </x:c>
      <x:c r="G682" s="74" t="n">
        <x:v>0.9845657564632858</x:v>
      </x:c>
      <x:c r="H682" s="74" t="n">
        <x:v>0.9223325360579211</x:v>
      </x:c>
      <x:c r="I682" s="74" t="n">
        <x:v>0.7801556771953242</x:v>
      </x:c>
      <x:c r="J682" s="74" t="n">
        <x:v>0.7835167103488025</x:v>
      </x:c>
      <x:c r="K682" s="74" t="n">
        <x:v>0.8512211645662409</x:v>
      </x:c>
      <x:c r="L682" s="74" t="n">
        <x:v>0.7969912190361526</x:v>
      </x:c>
      <x:c r="M682" s="74" t="n">
        <x:v>0.8887516199043654</x:v>
      </x:c>
      <x:c r="N682" s="74" t="n">
        <x:v>0.7685915961232775</x:v>
      </x:c>
      <x:c r="O682" s="65" t="n">
        <x:v>452136.5390677042</x:v>
      </x:c>
      <x:c r="P682" s="65" t="n">
        <x:v>228987.2637114225</x:v>
      </x:c>
      <x:c r="Q682" s="65" t="n">
        <x:v>223149.2753562816</x:v>
      </x:c>
      <x:c r="R682" s="65" t="n">
        <x:v>84901.99696530453</x:v>
      </x:c>
      <x:c r="S682" s="65" t="n">
        <x:v>138247.27839097707</x:v>
      </x:c>
      <x:c r="T682" s="65" t="n">
        <x:v>129898.07980897356</x:v>
      </x:c>
      <x:c r="U682" s="43" t="n">
        <x:v>0.7937543474376346</x:v>
      </x:c>
      <x:c r="V682" s="43" t="n">
        <x:v>0.7848356258147422</x:v>
      </x:c>
      <x:c r="W682" s="43" t="n">
        <x:v>0.27463219412417883</x:v>
      </x:c>
      <x:c r="X682" s="65" t="n">
        <x:v>29218892.48251847</x:v>
      </x:c>
      <x:c r="Y682" s="65" t="n">
        <x:v>64.6240459635649</x:v>
      </x:c>
      <x:c r="Z682" s="65" t="n">
        <x:v>1033166.3890295392</x:v>
      </x:c>
      <x:c r="AA682" s="65" t="n">
        <x:v>143867.67044935186</x:v>
      </x:c>
      <x:c r="AB682" s="65" t="n">
        <x:v>4855.6496381449115</x:v>
      </x:c>
      <x:c r="AC682" s="65" t="n">
        <x:v>560.9091605961088</x:v>
      </x:c>
      <x:c r="AD682" s="65" t="n">
        <x:v>1925.0699847844419</x:v>
      </x:c>
      <x:c r="AE682" s="65" t="n">
        <x:v>63491.76590392235</x:v>
      </x:c>
      <x:c r="AF682" s="65" t="n">
        <x:v>129898.07980897353</x:v>
      </x:c>
      <x:c r="AG682" s="65" t="n">
        <x:v>2.9103830456733704e-11</x:v>
      </x:c>
      <x:c r="AH682" s="34" t="n">
        <x:v>0</x:v>
      </x:c>
    </x:row>
    <x:row r="683" ht="15" hidden="0" customHeight="1">
      <x:c r="A683" s="36" t="n">
        <x:v>170</x:v>
      </x:c>
      <x:c r="B683" s="36" t="str">
        <x:v>P2</x:v>
      </x:c>
      <x:c r="C683" s="36" t="str">
        <x:v>slow</x:v>
      </x:c>
      <x:c r="D683" s="75" t="n">
        <x:v>0.9398954932892689</x:v>
      </x:c>
      <x:c r="E683" s="75" t="n">
        <x:v>0.0012208040023221206</x:v>
      </x:c>
      <x:c r="F683" s="75" t="n">
        <x:v>0.9893976312800894</x:v>
      </x:c>
      <x:c r="G683" s="75" t="n">
        <x:v>0.9845657564632858</x:v>
      </x:c>
      <x:c r="H683" s="75" t="n">
        <x:v>0.9223325360579211</x:v>
      </x:c>
      <x:c r="I683" s="75" t="n">
        <x:v>0.7801556771953242</x:v>
      </x:c>
      <x:c r="J683" s="75" t="n">
        <x:v>0.7835167103488025</x:v>
      </x:c>
      <x:c r="K683" s="75" t="n">
        <x:v>0.8512211645662409</x:v>
      </x:c>
      <x:c r="L683" s="75" t="n">
        <x:v>0.7969912190361526</x:v>
      </x:c>
      <x:c r="M683" s="75" t="n">
        <x:v>0.8887516199043654</x:v>
      </x:c>
      <x:c r="N683" s="75" t="n">
        <x:v>0.7685915961232775</x:v>
      </x:c>
      <x:c r="O683" s="66" t="n">
        <x:v>452136.5390677042</x:v>
      </x:c>
      <x:c r="P683" s="66" t="n">
        <x:v>331731.5429394781</x:v>
      </x:c>
      <x:c r="Q683" s="66" t="n">
        <x:v>120404.99612822605</x:v>
      </x:c>
      <x:c r="R683" s="66" t="n">
        <x:v>84901.99696530453</x:v>
      </x:c>
      <x:c r="S683" s="66" t="n">
        <x:v>35502.99916292152</x:v>
      </x:c>
      <x:c r="T683" s="66" t="n">
        <x:v>57463.80191138601</x:v>
      </x:c>
      <x:c r="U683" s="45" t="n">
        <x:v>0.8607916220471288</x:v>
      </x:c>
      <x:c r="V683" s="45" t="n">
        <x:v>0.8563479755506826</x:v>
      </x:c>
      <x:c r="W683" s="45" t="n">
        <x:v>0.4035520863198117</x:v>
      </x:c>
      <x:c r="X683" s="66" t="n">
        <x:v>16555418.780001136</x:v>
      </x:c>
      <x:c r="Y683" s="66" t="n">
        <x:v>36.61597183483125</x:v>
      </x:c>
      <x:c r="Z683" s="66" t="n">
        <x:v>374682.8983762204</x:v>
      </x:c>
      <x:c r="AA683" s="66" t="n">
        <x:v>85777.51905055404</x:v>
      </x:c>
      <x:c r="AB683" s="66" t="n">
        <x:v>365.1789391099351</x:v>
      </x:c>
      <x:c r="AC683" s="66" t="n">
        <x:v>0</x:v>
      </x:c>
      <x:c r="AD683" s="66" t="n">
        <x:v>1598.5792074681858</x:v>
      </x:c>
      <x:c r="AE683" s="66" t="n">
        <x:v>11515.361832046008</x:v>
      </x:c>
      <x:c r="AF683" s="66" t="n">
        <x:v>57463.80191138606</x:v>
      </x:c>
      <x:c r="AG683" s="66" t="n">
        <x:v>0</x:v>
      </x:c>
      <x:c r="AH683" s="36" t="n">
        <x:v>0</x:v>
      </x:c>
    </x:row>
    <x:row r="684" ht="15" hidden="0" customHeight="1">
      <x:c r="A684" s="34" t="n">
        <x:v>170</x:v>
      </x:c>
      <x:c r="B684" s="34" t="str">
        <x:v>H3</x:v>
      </x:c>
      <x:c r="C684" s="34" t="str">
        <x:v>slow</x:v>
      </x:c>
      <x:c r="D684" s="74" t="n">
        <x:v>0.9398954932892689</x:v>
      </x:c>
      <x:c r="E684" s="74" t="n">
        <x:v>0.0012208040023221206</x:v>
      </x:c>
      <x:c r="F684" s="74" t="n">
        <x:v>0.9893976312800894</x:v>
      </x:c>
      <x:c r="G684" s="74" t="n">
        <x:v>0.9845657564632858</x:v>
      </x:c>
      <x:c r="H684" s="74" t="n">
        <x:v>0.9223325360579211</x:v>
      </x:c>
      <x:c r="I684" s="74" t="n">
        <x:v>0.7801556771953242</x:v>
      </x:c>
      <x:c r="J684" s="74" t="n">
        <x:v>0.7835167103488025</x:v>
      </x:c>
      <x:c r="K684" s="74" t="n">
        <x:v>0.8512211645662409</x:v>
      </x:c>
      <x:c r="L684" s="74" t="n">
        <x:v>0.7969912190361526</x:v>
      </x:c>
      <x:c r="M684" s="74" t="n">
        <x:v>0.8887516199043654</x:v>
      </x:c>
      <x:c r="N684" s="74" t="n">
        <x:v>0.7685915961232775</x:v>
      </x:c>
      <x:c r="O684" s="65" t="n">
        <x:v>452136.5390677042</x:v>
      </x:c>
      <x:c r="P684" s="65" t="n">
        <x:v>344123.9124103622</x:v>
      </x:c>
      <x:c r="Q684" s="65" t="n">
        <x:v>108012.62665734194</x:v>
      </x:c>
      <x:c r="R684" s="65" t="n">
        <x:v>84901.99696530453</x:v>
      </x:c>
      <x:c r="S684" s="65" t="n">
        <x:v>23110.629692037415</x:v>
      </x:c>
      <x:c r="T684" s="65" t="n">
        <x:v>48732.113800565225</x:v>
      </x:c>
      <x:c r="U684" s="43" t="n">
        <x:v>0.868888028870633</x:v>
      </x:c>
      <x:c r="V684" s="43" t="n">
        <x:v>0.865148505287955</x:v>
      </x:c>
      <x:c r="W684" s="43" t="n">
        <x:v>0.41977656928106033</x:v>
      </x:c>
      <x:c r="X684" s="65" t="n">
        <x:v>14324011.166503599</x:v>
      </x:c>
      <x:c r="Y684" s="65" t="n">
        <x:v>31.68072015599403</x:v>
      </x:c>
      <x:c r="Z684" s="65" t="n">
        <x:v>358754.11763865914</x:v>
      </x:c>
      <x:c r="AA684" s="65" t="n">
        <x:v>79940.29304314878</x:v>
      </x:c>
      <x:c r="AB684" s="65" t="n">
        <x:v>1890.3947855309457</x:v>
      </x:c>
      <x:c r="AC684" s="65" t="n">
        <x:v>0</x:v>
      </x:c>
      <x:c r="AD684" s="65" t="n">
        <x:v>1561.7134268873785</x:v>
      </x:c>
      <x:c r="AE684" s="65" t="n">
        <x:v>11222.677267800267</x:v>
      </x:c>
      <x:c r="AF684" s="65" t="n">
        <x:v>48732.11380056521</x:v>
      </x:c>
      <x:c r="AG684" s="65" t="n">
        <x:v>1.4551915228366852e-11</x:v>
      </x:c>
      <x:c r="AH684" s="34" t="n">
        <x:v>0</x:v>
      </x:c>
    </x:row>
    <x:row r="685" ht="15" hidden="0" customHeight="1">
      <x:c r="A685" s="36" t="n">
        <x:v>171</x:v>
      </x:c>
      <x:c r="B685" s="36" t="str">
        <x:v>M0</x:v>
      </x:c>
      <x:c r="C685" s="36" t="str">
        <x:v>fast</x:v>
      </x:c>
      <x:c r="D685" s="75" t="n">
        <x:v>1.0621633136936581</x:v>
      </x:c>
      <x:c r="E685" s="75" t="n">
        <x:v>-0.03872427005372039</x:v>
      </x:c>
      <x:c r="F685" s="75" t="n">
        <x:v>0.7296003306046857</x:v>
      </x:c>
      <x:c r="G685" s="75" t="n">
        <x:v>1.3468251740347181</x:v>
      </x:c>
      <x:c r="H685" s="75" t="n">
        <x:v>0.9310498800412732</x:v>
      </x:c>
      <x:c r="I685" s="75" t="n">
        <x:v>0.9822647886754605</x:v>
      </x:c>
      <x:c r="J685" s="75" t="n">
        <x:v>0.9907127101142448</x:v>
      </x:c>
      <x:c r="K685" s="75" t="n">
        <x:v>0.8093612564258524</x:v>
      </x:c>
      <x:c r="L685" s="75" t="n">
        <x:v>0.9535553747897787</x:v>
      </x:c>
      <x:c r="M685" s="75" t="n">
        <x:v>0.9559496844501439</x:v>
      </x:c>
      <x:c r="N685" s="75" t="n">
        <x:v>1.042347155508438</x:v>
      </x:c>
      <x:c r="O685" s="66" t="n">
        <x:v>510953.4496196715</x:v>
      </x:c>
      <x:c r="P685" s="66" t="n">
        <x:v>59187.833982958036</x:v>
      </x:c>
      <x:c r="Q685" s="66" t="n">
        <x:v>451765.61563671345</x:v>
      </x:c>
      <x:c r="R685" s="66" t="n">
        <x:v>75536.53672267188</x:v>
      </x:c>
      <x:c r="S685" s="66" t="n">
        <x:v>376229.0789140416</x:v>
      </x:c>
      <x:c r="T685" s="66" t="n">
        <x:v>292441.167206523</x:v>
      </x:c>
      <x:c r="U685" s="45" t="n">
        <x:v>0.6881820671750357</x:v>
      </x:c>
      <x:c r="V685" s="45" t="n">
        <x:v>0.7153891969085651</x:v>
      </x:c>
      <x:c r="W685" s="45" t="n">
        <x:v>0.11916055475246917</x:v>
      </x:c>
      <x:c r="X685" s="66" t="n">
        <x:v>57658679.98584378</x:v>
      </x:c>
      <x:c r="Y685" s="66" t="n">
        <x:v>112.8452700119004</x:v>
      </x:c>
      <x:c r="Z685" s="66" t="n">
        <x:v>5156846.27128476</x:v>
      </x:c>
      <x:c r="AA685" s="66" t="n">
        <x:v>317782.0147405553</x:v>
      </x:c>
      <x:c r="AB685" s="66" t="n">
        <x:v>38012.847508360566</x:v>
      </x:c>
      <x:c r="AC685" s="66" t="n">
        <x:v>0</x:v>
      </x:c>
      <x:c r="AD685" s="66" t="n">
        <x:v>2182.4513625031936</x:v>
      </x:c>
      <x:c r="AE685" s="66" t="n">
        <x:v>232401.971049237</x:v>
      </x:c>
      <x:c r="AF685" s="66" t="n">
        <x:v>292441.16720652295</x:v>
      </x:c>
      <x:c r="AG685" s="66" t="n">
        <x:v>5.820766091346741e-11</x:v>
      </x:c>
      <x:c r="AH685" s="36" t="n">
        <x:v>0</x:v>
      </x:c>
    </x:row>
    <x:row r="686" ht="15" hidden="0" customHeight="1">
      <x:c r="A686" s="34" t="n">
        <x:v>171</x:v>
      </x:c>
      <x:c r="B686" s="34" t="str">
        <x:v>B1</x:v>
      </x:c>
      <x:c r="C686" s="34" t="str">
        <x:v>fast</x:v>
      </x:c>
      <x:c r="D686" s="74" t="n">
        <x:v>1.0621633136936581</x:v>
      </x:c>
      <x:c r="E686" s="74" t="n">
        <x:v>-0.03872427005372039</x:v>
      </x:c>
      <x:c r="F686" s="74" t="n">
        <x:v>0.7296003306046857</x:v>
      </x:c>
      <x:c r="G686" s="74" t="n">
        <x:v>1.3468251740347181</x:v>
      </x:c>
      <x:c r="H686" s="74" t="n">
        <x:v>0.9310498800412732</x:v>
      </x:c>
      <x:c r="I686" s="74" t="n">
        <x:v>0.9822647886754605</x:v>
      </x:c>
      <x:c r="J686" s="74" t="n">
        <x:v>0.9907127101142448</x:v>
      </x:c>
      <x:c r="K686" s="74" t="n">
        <x:v>0.8093612564258524</x:v>
      </x:c>
      <x:c r="L686" s="74" t="n">
        <x:v>0.9535553747897787</x:v>
      </x:c>
      <x:c r="M686" s="74" t="n">
        <x:v>0.9559496844501439</x:v>
      </x:c>
      <x:c r="N686" s="74" t="n">
        <x:v>1.042347155508438</x:v>
      </x:c>
      <x:c r="O686" s="65" t="n">
        <x:v>510953.4496196715</x:v>
      </x:c>
      <x:c r="P686" s="65" t="n">
        <x:v>200211.4326089059</x:v>
      </x:c>
      <x:c r="Q686" s="65" t="n">
        <x:v>310742.0170107656</x:v>
      </x:c>
      <x:c r="R686" s="65" t="n">
        <x:v>75536.53672267188</x:v>
      </x:c>
      <x:c r="S686" s="65" t="n">
        <x:v>235205.48028809376</x:v>
      </x:c>
      <x:c r="T686" s="65" t="n">
        <x:v>202323.70772530718</x:v>
      </x:c>
      <x:c r="U686" s="43" t="n">
        <x:v>0.7878117676548427</x:v>
      </x:c>
      <x:c r="V686" s="43" t="n">
        <x:v>0.8223741568007126</x:v>
      </x:c>
      <x:c r="W686" s="43" t="n">
        <x:v>0.4338713113622538</x:v>
      </x:c>
      <x:c r="X686" s="65" t="n">
        <x:v>40300960.752026</x:v>
      </x:c>
      <x:c r="Y686" s="65" t="n">
        <x:v>78.87403594598302</x:v>
      </x:c>
      <x:c r="Z686" s="65" t="n">
        <x:v>1981650.7786399662</x:v>
      </x:c>
      <x:c r="AA686" s="65" t="n">
        <x:v>222190.23413012337</x:v>
      </x:c>
      <x:c r="AB686" s="65" t="n">
        <x:v>5883.55360135351</x:v>
      </x:c>
      <x:c r="AC686" s="65" t="n">
        <x:v>25262.585040074213</x:v>
      </x:c>
      <x:c r="AD686" s="65" t="n">
        <x:v>1806.1868424745726</x:v>
      </x:c>
      <x:c r="AE686" s="65" t="n">
        <x:v>138717.16640740604</x:v>
      </x:c>
      <x:c r="AF686" s="65" t="n">
        <x:v>202323.7077253072</x:v>
      </x:c>
      <x:c r="AG686" s="65" t="n">
        <x:v>0</x:v>
      </x:c>
      <x:c r="AH686" s="34" t="n">
        <x:v>0</x:v>
      </x:c>
    </x:row>
    <x:row r="687" ht="15" hidden="0" customHeight="1">
      <x:c r="A687" s="36" t="n">
        <x:v>171</x:v>
      </x:c>
      <x:c r="B687" s="36" t="str">
        <x:v>P2</x:v>
      </x:c>
      <x:c r="C687" s="36" t="str">
        <x:v>fast</x:v>
      </x:c>
      <x:c r="D687" s="75" t="n">
        <x:v>1.0621633136936581</x:v>
      </x:c>
      <x:c r="E687" s="75" t="n">
        <x:v>-0.03872427005372039</x:v>
      </x:c>
      <x:c r="F687" s="75" t="n">
        <x:v>0.7296003306046857</x:v>
      </x:c>
      <x:c r="G687" s="75" t="n">
        <x:v>1.3468251740347181</x:v>
      </x:c>
      <x:c r="H687" s="75" t="n">
        <x:v>0.9310498800412732</x:v>
      </x:c>
      <x:c r="I687" s="75" t="n">
        <x:v>0.9822647886754605</x:v>
      </x:c>
      <x:c r="J687" s="75" t="n">
        <x:v>0.9907127101142448</x:v>
      </x:c>
      <x:c r="K687" s="75" t="n">
        <x:v>0.8093612564258524</x:v>
      </x:c>
      <x:c r="L687" s="75" t="n">
        <x:v>0.9535553747897787</x:v>
      </x:c>
      <x:c r="M687" s="75" t="n">
        <x:v>0.9559496844501439</x:v>
      </x:c>
      <x:c r="N687" s="75" t="n">
        <x:v>1.042347155508438</x:v>
      </x:c>
      <x:c r="O687" s="66" t="n">
        <x:v>510953.4496196715</x:v>
      </x:c>
      <x:c r="P687" s="66" t="n">
        <x:v>290043.4686690503</x:v>
      </x:c>
      <x:c r="Q687" s="66" t="n">
        <x:v>220909.98095062113</x:v>
      </x:c>
      <x:c r="R687" s="66" t="n">
        <x:v>75536.53672267188</x:v>
      </x:c>
      <x:c r="S687" s="66" t="n">
        <x:v>145373.44422794928</x:v>
      </x:c>
      <x:c r="T687" s="66" t="n">
        <x:v>121404.17478968255</x:v>
      </x:c>
      <x:c r="U687" s="45" t="n">
        <x:v>0.8052546543427668</x:v>
      </x:c>
      <x:c r="V687" s="45" t="n">
        <x:v>0.8180991146990771</x:v>
      </x:c>
      <x:c r="W687" s="45" t="n">
        <x:v>0.6108744751333035</x:v>
      </x:c>
      <x:c r="X687" s="66" t="n">
        <x:v>28440302.206600923</x:v>
      </x:c>
      <x:c r="Y687" s="66" t="n">
        <x:v>55.66123925334192</x:v>
      </x:c>
      <x:c r="Z687" s="66" t="n">
        <x:v>1204732.5276933988</x:v>
      </x:c>
      <x:c r="AA687" s="66" t="n">
        <x:v>163164.18197210133</x:v>
      </x:c>
      <x:c r="AB687" s="66" t="n">
        <x:v>0</x:v>
      </x:c>
      <x:c r="AC687" s="66" t="n">
        <x:v>27711.453440435238</x:v>
      </x:c>
      <x:c r="AD687" s="66" t="n">
        <x:v>1578.8360389930995</x:v>
      </x:c>
      <x:c r="AE687" s="66" t="n">
        <x:v>72515.02065522259</x:v>
      </x:c>
      <x:c r="AF687" s="66" t="n">
        <x:v>121404.1747896826</x:v>
      </x:c>
      <x:c r="AG687" s="66" t="n">
        <x:v>0</x:v>
      </x:c>
      <x:c r="AH687" s="36" t="n">
        <x:v>0</x:v>
      </x:c>
    </x:row>
    <x:row r="688" ht="15" hidden="0" customHeight="1">
      <x:c r="A688" s="34" t="n">
        <x:v>171</x:v>
      </x:c>
      <x:c r="B688" s="34" t="str">
        <x:v>H3</x:v>
      </x:c>
      <x:c r="C688" s="34" t="str">
        <x:v>fast</x:v>
      </x:c>
      <x:c r="D688" s="74" t="n">
        <x:v>1.0621633136936581</x:v>
      </x:c>
      <x:c r="E688" s="74" t="n">
        <x:v>-0.03872427005372039</x:v>
      </x:c>
      <x:c r="F688" s="74" t="n">
        <x:v>0.7296003306046857</x:v>
      </x:c>
      <x:c r="G688" s="74" t="n">
        <x:v>1.3468251740347181</x:v>
      </x:c>
      <x:c r="H688" s="74" t="n">
        <x:v>0.9310498800412732</x:v>
      </x:c>
      <x:c r="I688" s="74" t="n">
        <x:v>0.9822647886754605</x:v>
      </x:c>
      <x:c r="J688" s="74" t="n">
        <x:v>0.9907127101142448</x:v>
      </x:c>
      <x:c r="K688" s="74" t="n">
        <x:v>0.8093612564258524</x:v>
      </x:c>
      <x:c r="L688" s="74" t="n">
        <x:v>0.9535553747897787</x:v>
      </x:c>
      <x:c r="M688" s="74" t="n">
        <x:v>0.9559496844501439</x:v>
      </x:c>
      <x:c r="N688" s="74" t="n">
        <x:v>1.042347155508438</x:v>
      </x:c>
      <x:c r="O688" s="65" t="n">
        <x:v>510953.4496196715</x:v>
      </x:c>
      <x:c r="P688" s="65" t="n">
        <x:v>300878.3475982099</x:v>
      </x:c>
      <x:c r="Q688" s="65" t="n">
        <x:v>210075.1020214616</x:v>
      </x:c>
      <x:c r="R688" s="65" t="n">
        <x:v>75536.53672267188</x:v>
      </x:c>
      <x:c r="S688" s="65" t="n">
        <x:v>134538.5652987897</x:v>
      </x:c>
      <x:c r="T688" s="65" t="n">
        <x:v>202328.97163252952</x:v>
      </x:c>
      <x:c r="U688" s="43" t="n">
        <x:v>0.9848398510770446</x:v>
      </x:c>
      <x:c r="V688" s="43" t="n">
        <x:v>0.991730648503198</x:v>
      </x:c>
      <x:c r="W688" s="43" t="n">
        <x:v>0.8490893817677688</x:v>
      </x:c>
      <x:c r="X688" s="65" t="n">
        <x:v>20713414.117024235</x:v>
      </x:c>
      <x:c r="Y688" s="65" t="n">
        <x:v>40.53874992417074</x:v>
      </x:c>
      <x:c r="Z688" s="65" t="n">
        <x:v>1612263.0083689927</x:v>
      </x:c>
      <x:c r="AA688" s="65" t="n">
        <x:v>130458.4424586276</x:v>
      </x:c>
      <x:c r="AB688" s="65" t="n">
        <x:v>5159.59855230971</x:v>
      </x:c>
      <x:c r="AC688" s="65" t="n">
        <x:v>6300.472227036795</x:v>
      </x:c>
      <x:c r="AD688" s="65" t="n">
        <x:v>1553.3144038914302</x:v>
      </x:c>
      <x:c r="AE688" s="65" t="n">
        <x:v>70928.86390861723</x:v>
      </x:c>
      <x:c r="AF688" s="65" t="n">
        <x:v>202328.97163252943</x:v>
      </x:c>
      <x:c r="AG688" s="65" t="n">
        <x:v>8.731149137020111e-11</x:v>
      </x:c>
      <x:c r="AH688" s="34" t="n">
        <x:v>1</x:v>
      </x:c>
    </x:row>
    <x:row r="689" ht="15" hidden="0" customHeight="1">
      <x:c r="A689" s="36" t="n">
        <x:v>172</x:v>
      </x:c>
      <x:c r="B689" s="36" t="str">
        <x:v>M0</x:v>
      </x:c>
      <x:c r="C689" s="36" t="str">
        <x:v>reference</x:v>
      </x:c>
      <x:c r="D689" s="75" t="n">
        <x:v>1.1259319881777017</x:v>
      </x:c>
      <x:c r="E689" s="75" t="n">
        <x:v>0.013874787694579685</x:v>
      </x:c>
      <x:c r="F689" s="75" t="n">
        <x:v>0.9088300796890433</x:v>
      </x:c>
      <x:c r="G689" s="75" t="n">
        <x:v>1.0899548483189418</x:v>
      </x:c>
      <x:c r="H689" s="75" t="n">
        <x:v>1.0527412581586097</x:v>
      </x:c>
      <x:c r="I689" s="75" t="n">
        <x:v>0.8776276267767547</x:v>
      </x:c>
      <x:c r="J689" s="75" t="n">
        <x:v>0.9446127281039628</x:v>
      </x:c>
      <x:c r="K689" s="75" t="n">
        <x:v>0.7651478974392207</x:v>
      </x:c>
      <x:c r="L689" s="75" t="n">
        <x:v>0.8336843777054885</x:v>
      </x:c>
      <x:c r="M689" s="75" t="n">
        <x:v>0.9197802582947933</x:v>
      </x:c>
      <x:c r="N689" s="75" t="n">
        <x:v>0.935553788898692</x:v>
      </x:c>
      <x:c r="O689" s="66" t="n">
        <x:v>541629.3577264857</x:v>
      </x:c>
      <x:c r="P689" s="66" t="n">
        <x:v>73329.12715771733</x:v>
      </x:c>
      <x:c r="Q689" s="66" t="n">
        <x:v>468300.2305687684</x:v>
      </x:c>
      <x:c r="R689" s="66" t="n">
        <x:v>108560.68746300763</x:v>
      </x:c>
      <x:c r="S689" s="66" t="n">
        <x:v>359739.54310576076</x:v>
      </x:c>
      <x:c r="T689" s="66" t="n">
        <x:v>260923.60592510452</x:v>
      </x:c>
      <x:c r="U689" s="45" t="n">
        <x:v>0.6171244750946722</x:v>
      </x:c>
      <x:c r="V689" s="45" t="n">
        <x:v>0.6508080211210366</x:v>
      </x:c>
      <x:c r="W689" s="45" t="n">
        <x:v>0.1328611918318275</x:v>
      </x:c>
      <x:c r="X689" s="66" t="n">
        <x:v>63050096.988218926</x:v>
      </x:c>
      <x:c r="Y689" s="66" t="n">
        <x:v>116.40819702402142</x:v>
      </x:c>
      <x:c r="Z689" s="66" t="n">
        <x:v>5031512.269527512</x:v>
      </x:c>
      <x:c r="AA689" s="66" t="n">
        <x:v>343096.7503385873</x:v>
      </x:c>
      <x:c r="AB689" s="66" t="n">
        <x:v>43984.095441082034</x:v>
      </x:c>
      <x:c r="AC689" s="66" t="n">
        <x:v>0</x:v>
      </x:c>
      <x:c r="AD689" s="66" t="n">
        <x:v>2293.82272128652</x:v>
      </x:c>
      <x:c r="AE689" s="66" t="n">
        <x:v>207035.7076845399</x:v>
      </x:c>
      <x:c r="AF689" s="66" t="n">
        <x:v>260923.60592510455</x:v>
      </x:c>
      <x:c r="AG689" s="66" t="n">
        <x:v>0</x:v>
      </x:c>
      <x:c r="AH689" s="36" t="n">
        <x:v>0</x:v>
      </x:c>
    </x:row>
    <x:row r="690" ht="15" hidden="0" customHeight="1">
      <x:c r="A690" s="34" t="n">
        <x:v>172</x:v>
      </x:c>
      <x:c r="B690" s="34" t="str">
        <x:v>B1</x:v>
      </x:c>
      <x:c r="C690" s="34" t="str">
        <x:v>reference</x:v>
      </x:c>
      <x:c r="D690" s="74" t="n">
        <x:v>1.1259319881777017</x:v>
      </x:c>
      <x:c r="E690" s="74" t="n">
        <x:v>0.013874787694579685</x:v>
      </x:c>
      <x:c r="F690" s="74" t="n">
        <x:v>0.9088300796890433</x:v>
      </x:c>
      <x:c r="G690" s="74" t="n">
        <x:v>1.0899548483189418</x:v>
      </x:c>
      <x:c r="H690" s="74" t="n">
        <x:v>1.0527412581586097</x:v>
      </x:c>
      <x:c r="I690" s="74" t="n">
        <x:v>0.8776276267767547</x:v>
      </x:c>
      <x:c r="J690" s="74" t="n">
        <x:v>0.9446127281039628</x:v>
      </x:c>
      <x:c r="K690" s="74" t="n">
        <x:v>0.7651478974392207</x:v>
      </x:c>
      <x:c r="L690" s="74" t="n">
        <x:v>0.8336843777054885</x:v>
      </x:c>
      <x:c r="M690" s="74" t="n">
        <x:v>0.9197802582947933</x:v>
      </x:c>
      <x:c r="N690" s="74" t="n">
        <x:v>0.935553788898692</x:v>
      </x:c>
      <x:c r="O690" s="65" t="n">
        <x:v>541629.3577264857</x:v>
      </x:c>
      <x:c r="P690" s="65" t="n">
        <x:v>248048.06821067515</x:v>
      </x:c>
      <x:c r="Q690" s="65" t="n">
        <x:v>293581.28951581067</x:v>
      </x:c>
      <x:c r="R690" s="65" t="n">
        <x:v>108560.68746300763</x:v>
      </x:c>
      <x:c r="S690" s="65" t="n">
        <x:v>185020.60205280298</x:v>
      </x:c>
      <x:c r="T690" s="65" t="n">
        <x:v>191204.0347436046</x:v>
      </x:c>
      <x:c r="U690" s="43" t="n">
        <x:v>0.810982818209967</x:v>
      </x:c>
      <x:c r="V690" s="43" t="n">
        <x:v>0.8332037289520129</x:v>
      </x:c>
      <x:c r="W690" s="43" t="n">
        <x:v>0.4669957153593318</x:v>
      </x:c>
      <x:c r="X690" s="65" t="n">
        <x:v>39178106.484380975</x:v>
      </x:c>
      <x:c r="Y690" s="65" t="n">
        <x:v>72.33379418138058</x:v>
      </x:c>
      <x:c r="Z690" s="65" t="n">
        <x:v>2218434.851696004</x:v>
      </x:c>
      <x:c r="AA690" s="65" t="n">
        <x:v>209109.4902725991</x:v>
      </x:c>
      <x:c r="AB690" s="65" t="n">
        <x:v>11960.45884719076</x:v>
      </x:c>
      <x:c r="AC690" s="65" t="n">
        <x:v>19086.790100228838</x:v>
      </x:c>
      <x:c r="AD690" s="65" t="n">
        <x:v>1850.4600892882136</x:v>
      </x:c>
      <x:c r="AE690" s="65" t="n">
        <x:v>124316.93829882533</x:v>
      </x:c>
      <x:c r="AF690" s="65" t="n">
        <x:v>191204.03474360463</x:v>
      </x:c>
      <x:c r="AG690" s="65" t="n">
        <x:v>0</x:v>
      </x:c>
      <x:c r="AH690" s="34" t="n">
        <x:v>0</x:v>
      </x:c>
    </x:row>
    <x:row r="691" ht="15" hidden="0" customHeight="1">
      <x:c r="A691" s="36" t="n">
        <x:v>172</x:v>
      </x:c>
      <x:c r="B691" s="36" t="str">
        <x:v>P2</x:v>
      </x:c>
      <x:c r="C691" s="36" t="str">
        <x:v>reference</x:v>
      </x:c>
      <x:c r="D691" s="75" t="n">
        <x:v>1.1259319881777017</x:v>
      </x:c>
      <x:c r="E691" s="75" t="n">
        <x:v>0.013874787694579685</x:v>
      </x:c>
      <x:c r="F691" s="75" t="n">
        <x:v>0.9088300796890433</x:v>
      </x:c>
      <x:c r="G691" s="75" t="n">
        <x:v>1.0899548483189418</x:v>
      </x:c>
      <x:c r="H691" s="75" t="n">
        <x:v>1.0527412581586097</x:v>
      </x:c>
      <x:c r="I691" s="75" t="n">
        <x:v>0.8776276267767547</x:v>
      </x:c>
      <x:c r="J691" s="75" t="n">
        <x:v>0.9446127281039628</x:v>
      </x:c>
      <x:c r="K691" s="75" t="n">
        <x:v>0.7651478974392207</x:v>
      </x:c>
      <x:c r="L691" s="75" t="n">
        <x:v>0.8336843777054885</x:v>
      </x:c>
      <x:c r="M691" s="75" t="n">
        <x:v>0.9197802582947933</x:v>
      </x:c>
      <x:c r="N691" s="75" t="n">
        <x:v>0.935553788898692</x:v>
      </x:c>
      <x:c r="O691" s="66" t="n">
        <x:v>541629.3577264857</x:v>
      </x:c>
      <x:c r="P691" s="66" t="n">
        <x:v>359345.08043872134</x:v>
      </x:c>
      <x:c r="Q691" s="66" t="n">
        <x:v>182284.27728776436</x:v>
      </x:c>
      <x:c r="R691" s="66" t="n">
        <x:v>108560.68746300763</x:v>
      </x:c>
      <x:c r="S691" s="66" t="n">
        <x:v>73723.58982475675</x:v>
      </x:c>
      <x:c r="T691" s="66" t="n">
        <x:v>114772.18459052694</x:v>
      </x:c>
      <x:c r="U691" s="45" t="n">
        <x:v>0.875353705012183</x:v>
      </x:c>
      <x:c r="V691" s="45" t="n">
        <x:v>0.8975001453006367</x:v>
      </x:c>
      <x:c r="W691" s="45" t="n">
        <x:v>0.38171026859098095</x:v>
      </x:c>
      <x:c r="X691" s="66" t="n">
        <x:v>22424762.407805674</x:v>
      </x:c>
      <x:c r="Y691" s="66" t="n">
        <x:v>41.40241308546245</x:v>
      </x:c>
      <x:c r="Z691" s="66" t="n">
        <x:v>1563675.976148249</x:v>
      </x:c>
      <x:c r="AA691" s="66" t="n">
        <x:v>125247.17166633371</x:v>
      </x:c>
      <x:c r="AB691" s="66" t="n">
        <x:v>453.32474075870016</x:v>
      </x:c>
      <x:c r="AC691" s="66" t="n">
        <x:v>41050.27379323574</x:v>
      </x:c>
      <x:c r="AD691" s="66" t="n">
        <x:v>1582.5665057773147</x:v>
      </x:c>
      <x:c r="AE691" s="66" t="n">
        <x:v>41798.989056429025</x:v>
      </x:c>
      <x:c r="AF691" s="66" t="n">
        <x:v>114772.1845905269</x:v>
      </x:c>
      <x:c r="AG691" s="66" t="n">
        <x:v>4.3655745685100555e-11</x:v>
      </x:c>
      <x:c r="AH691" s="36" t="n">
        <x:v>0</x:v>
      </x:c>
    </x:row>
    <x:row r="692" ht="15" hidden="0" customHeight="1">
      <x:c r="A692" s="34" t="n">
        <x:v>172</x:v>
      </x:c>
      <x:c r="B692" s="34" t="str">
        <x:v>H3</x:v>
      </x:c>
      <x:c r="C692" s="34" t="str">
        <x:v>reference</x:v>
      </x:c>
      <x:c r="D692" s="74" t="n">
        <x:v>1.1259319881777017</x:v>
      </x:c>
      <x:c r="E692" s="74" t="n">
        <x:v>0.013874787694579685</x:v>
      </x:c>
      <x:c r="F692" s="74" t="n">
        <x:v>0.9088300796890433</x:v>
      </x:c>
      <x:c r="G692" s="74" t="n">
        <x:v>1.0899548483189418</x:v>
      </x:c>
      <x:c r="H692" s="74" t="n">
        <x:v>1.0527412581586097</x:v>
      </x:c>
      <x:c r="I692" s="74" t="n">
        <x:v>0.8776276267767547</x:v>
      </x:c>
      <x:c r="J692" s="74" t="n">
        <x:v>0.9446127281039628</x:v>
      </x:c>
      <x:c r="K692" s="74" t="n">
        <x:v>0.7651478974392207</x:v>
      </x:c>
      <x:c r="L692" s="74" t="n">
        <x:v>0.8336843777054885</x:v>
      </x:c>
      <x:c r="M692" s="74" t="n">
        <x:v>0.9197802582947933</x:v>
      </x:c>
      <x:c r="N692" s="74" t="n">
        <x:v>0.935553788898692</x:v>
      </x:c>
      <x:c r="O692" s="65" t="n">
        <x:v>541629.3577264857</x:v>
      </x:c>
      <x:c r="P692" s="65" t="n">
        <x:v>372769.0673609808</x:v>
      </x:c>
      <x:c r="Q692" s="65" t="n">
        <x:v>168860.290365505</x:v>
      </x:c>
      <x:c r="R692" s="65" t="n">
        <x:v>108560.68746300763</x:v>
      </x:c>
      <x:c r="S692" s="65" t="n">
        <x:v>60299.60290249737</x:v>
      </x:c>
      <x:c r="T692" s="65" t="n">
        <x:v>167307.7966906997</x:v>
      </x:c>
      <x:c r="U692" s="43" t="n">
        <x:v>0.9971336604032656</x:v>
      </x:c>
      <x:c r="V692" s="43" t="n">
        <x:v>0.9981946538263085</x:v>
      </x:c>
      <x:c r="W692" s="43" t="n">
        <x:v>0.9713366040326546</x:v>
      </x:c>
      <x:c r="X692" s="65" t="n">
        <x:v>17004653.565831818</x:v>
      </x:c>
      <x:c r="Y692" s="65" t="n">
        <x:v>31.3953690346654</x:v>
      </x:c>
      <x:c r="Z692" s="65" t="n">
        <x:v>1287488.2823556075</x:v>
      </x:c>
      <x:c r="AA692" s="65" t="n">
        <x:v>101267.52243767277</x:v>
      </x:c>
      <x:c r="AB692" s="65" t="n">
        <x:v>6804.084424725465</x:v>
      </x:c>
      <x:c r="AC692" s="65" t="n">
        <x:v>852.3448176734969</x:v>
      </x:c>
      <x:c r="AD692" s="65" t="n">
        <x:v>1552.4936748053274</x:v>
      </x:c>
      <x:c r="AE692" s="65" t="n">
        <x:v>70908.62463272402</x:v>
      </x:c>
      <x:c r="AF692" s="65" t="n">
        <x:v>167307.79669069962</x:v>
      </x:c>
      <x:c r="AG692" s="65" t="n">
        <x:v>8.731149137020111e-11</x:v>
      </x:c>
      <x:c r="AH692" s="34" t="n">
        <x:v>1</x:v>
      </x:c>
    </x:row>
    <x:row r="693" ht="15" hidden="0" customHeight="1">
      <x:c r="A693" s="36" t="n">
        <x:v>173</x:v>
      </x:c>
      <x:c r="B693" s="36" t="str">
        <x:v>M0</x:v>
      </x:c>
      <x:c r="C693" s="36" t="str">
        <x:v>reference</x:v>
      </x:c>
      <x:c r="D693" s="75" t="n">
        <x:v>0.9206422107925941</x:v>
      </x:c>
      <x:c r="E693" s="75" t="n">
        <x:v>0.01713661942942691</x:v>
      </x:c>
      <x:c r="F693" s="75" t="n">
        <x:v>1.0135161603686165</x:v>
      </x:c>
      <x:c r="G693" s="75" t="n">
        <x:v>1.1088780136447225</x:v>
      </x:c>
      <x:c r="H693" s="75" t="n">
        <x:v>0.9326416255095287</x:v>
      </x:c>
      <x:c r="I693" s="75" t="n">
        <x:v>0.8220803055033608</x:v>
      </x:c>
      <x:c r="J693" s="75" t="n">
        <x:v>1.059548513494026</x:v>
      </x:c>
      <x:c r="K693" s="75" t="n">
        <x:v>0.8399836323624974</x:v>
      </x:c>
      <x:c r="L693" s="75" t="n">
        <x:v>0.7942188868061981</x:v>
      </x:c>
      <x:c r="M693" s="75" t="n">
        <x:v>1.023523661859333</x:v>
      </x:c>
      <x:c r="N693" s="75" t="n">
        <x:v>0.9035967468031414</x:v>
      </x:c>
      <x:c r="O693" s="66" t="n">
        <x:v>442874.75137333525</x:v>
      </x:c>
      <x:c r="P693" s="66" t="n">
        <x:v>66592.84376440263</x:v>
      </x:c>
      <x:c r="Q693" s="66" t="n">
        <x:v>376281.9076089326</x:v>
      </x:c>
      <x:c r="R693" s="66" t="n">
        <x:v>90211.53541708812</x:v>
      </x:c>
      <x:c r="S693" s="66" t="n">
        <x:v>286070.3721918445</x:v>
      </x:c>
      <x:c r="T693" s="66" t="n">
        <x:v>253869.82429775756</x:v>
      </x:c>
      <x:c r="U693" s="45" t="n">
        <x:v>0.7235966084506272</x:v>
      </x:c>
      <x:c r="V693" s="45" t="n">
        <x:v>0.7388512745378475</x:v>
      </x:c>
      <x:c r="W693" s="45" t="n">
        <x:v>0.1579855407452396</x:v>
      </x:c>
      <x:c r="X693" s="66" t="n">
        <x:v>48223506.04213197</x:v>
      </x:c>
      <x:c r="Y693" s="66" t="n">
        <x:v>108.88745834480964</x:v>
      </x:c>
      <x:c r="Z693" s="66" t="n">
        <x:v>4763054.569509955</x:v>
      </x:c>
      <x:c r="AA693" s="66" t="n">
        <x:v>259783.94490841337</x:v>
      </x:c>
      <x:c r="AB693" s="66" t="n">
        <x:v>38631.03820914081</x:v>
      </x:c>
      <x:c r="AC693" s="66" t="n">
        <x:v>0</x:v>
      </x:c>
      <x:c r="AD693" s="66" t="n">
        <x:v>1858.4870447389485</x:v>
      </x:c>
      <x:c r="AE693" s="66" t="n">
        <x:v>175799.0653739661</x:v>
      </x:c>
      <x:c r="AF693" s="66" t="n">
        <x:v>253869.82429775727</x:v>
      </x:c>
      <x:c r="AG693" s="66" t="n">
        <x:v>2.9103830456733704e-10</x:v>
      </x:c>
      <x:c r="AH693" s="36" t="n">
        <x:v>0</x:v>
      </x:c>
    </x:row>
    <x:row r="694" ht="15" hidden="0" customHeight="1">
      <x:c r="A694" s="34" t="n">
        <x:v>173</x:v>
      </x:c>
      <x:c r="B694" s="34" t="str">
        <x:v>B1</x:v>
      </x:c>
      <x:c r="C694" s="34" t="str">
        <x:v>reference</x:v>
      </x:c>
      <x:c r="D694" s="74" t="n">
        <x:v>0.9206422107925941</x:v>
      </x:c>
      <x:c r="E694" s="74" t="n">
        <x:v>0.01713661942942691</x:v>
      </x:c>
      <x:c r="F694" s="74" t="n">
        <x:v>1.0135161603686165</x:v>
      </x:c>
      <x:c r="G694" s="74" t="n">
        <x:v>1.1088780136447225</x:v>
      </x:c>
      <x:c r="H694" s="74" t="n">
        <x:v>0.9326416255095287</x:v>
      </x:c>
      <x:c r="I694" s="74" t="n">
        <x:v>0.8220803055033608</x:v>
      </x:c>
      <x:c r="J694" s="74" t="n">
        <x:v>1.059548513494026</x:v>
      </x:c>
      <x:c r="K694" s="74" t="n">
        <x:v>0.8399836323624974</x:v>
      </x:c>
      <x:c r="L694" s="74" t="n">
        <x:v>0.7942188868061981</x:v>
      </x:c>
      <x:c r="M694" s="74" t="n">
        <x:v>1.023523661859333</x:v>
      </x:c>
      <x:c r="N694" s="74" t="n">
        <x:v>0.9035967468031414</x:v>
      </x:c>
      <x:c r="O694" s="65" t="n">
        <x:v>442874.75137333525</x:v>
      </x:c>
      <x:c r="P694" s="65" t="n">
        <x:v>225261.5601877457</x:v>
      </x:c>
      <x:c r="Q694" s="65" t="n">
        <x:v>217613.19118558953</x:v>
      </x:c>
      <x:c r="R694" s="65" t="n">
        <x:v>90211.53541708812</x:v>
      </x:c>
      <x:c r="S694" s="65" t="n">
        <x:v>127401.65576850143</x:v>
      </x:c>
      <x:c r="T694" s="65" t="n">
        <x:v>196499.79000827967</x:v>
      </x:c>
      <x:c r="U694" s="43" t="n">
        <x:v>0.9523264735416995</x:v>
      </x:c>
      <x:c r="V694" s="43" t="n">
        <x:v>0.9582826127575094</x:v>
      </x:c>
      <x:c r="W694" s="43" t="n">
        <x:v>0.6981846144963538</x:v>
      </x:c>
      <x:c r="X694" s="65" t="n">
        <x:v>26498443.564839795</x:v>
      </x:c>
      <x:c r="Y694" s="65" t="n">
        <x:v>59.83281612390248</x:v>
      </x:c>
      <x:c r="Z694" s="65" t="n">
        <x:v>1736929.463372128</x:v>
      </x:c>
      <x:c r="AA694" s="65" t="n">
        <x:v>141399.38508497018</x:v>
      </x:c>
      <x:c r="AB694" s="65" t="n">
        <x:v>7029.476925989406</x:v>
      </x:c>
      <x:c r="AC694" s="65" t="n">
        <x:v>0</x:v>
      </x:c>
      <x:c r="AD694" s="65" t="n">
        <x:v>1457.227431456204</x:v>
      </x:c>
      <x:c r="AE694" s="65" t="n">
        <x:v>98911.3413535404</x:v>
      </x:c>
      <x:c r="AF694" s="65" t="n">
        <x:v>196499.79000827952</x:v>
      </x:c>
      <x:c r="AG694" s="65" t="n">
        <x:v>1.4551915228366852e-10</x:v>
      </x:c>
      <x:c r="AH694" s="34" t="n">
        <x:v>0</x:v>
      </x:c>
    </x:row>
    <x:row r="695" ht="15" hidden="0" customHeight="1">
      <x:c r="A695" s="36" t="n">
        <x:v>173</x:v>
      </x:c>
      <x:c r="B695" s="36" t="str">
        <x:v>P2</x:v>
      </x:c>
      <x:c r="C695" s="36" t="str">
        <x:v>reference</x:v>
      </x:c>
      <x:c r="D695" s="75" t="n">
        <x:v>0.9206422107925941</x:v>
      </x:c>
      <x:c r="E695" s="75" t="n">
        <x:v>0.01713661942942691</x:v>
      </x:c>
      <x:c r="F695" s="75" t="n">
        <x:v>1.0135161603686165</x:v>
      </x:c>
      <x:c r="G695" s="75" t="n">
        <x:v>1.1088780136447225</x:v>
      </x:c>
      <x:c r="H695" s="75" t="n">
        <x:v>0.9326416255095287</x:v>
      </x:c>
      <x:c r="I695" s="75" t="n">
        <x:v>0.8220803055033608</x:v>
      </x:c>
      <x:c r="J695" s="75" t="n">
        <x:v>1.059548513494026</x:v>
      </x:c>
      <x:c r="K695" s="75" t="n">
        <x:v>0.8399836323624974</x:v>
      </x:c>
      <x:c r="L695" s="75" t="n">
        <x:v>0.7942188868061981</x:v>
      </x:c>
      <x:c r="M695" s="75" t="n">
        <x:v>1.023523661859333</x:v>
      </x:c>
      <x:c r="N695" s="75" t="n">
        <x:v>0.9035967468031414</x:v>
      </x:c>
      <x:c r="O695" s="66" t="n">
        <x:v>442874.75137333525</x:v>
      </x:c>
      <x:c r="P695" s="66" t="n">
        <x:v>326334.54597388214</x:v>
      </x:c>
      <x:c r="Q695" s="66" t="n">
        <x:v>116540.20539945312</x:v>
      </x:c>
      <x:c r="R695" s="66" t="n">
        <x:v>90211.53541708812</x:v>
      </x:c>
      <x:c r="S695" s="66" t="n">
        <x:v>26328.669982365</x:v>
      </x:c>
      <x:c r="T695" s="66" t="n">
        <x:v>114607.07221237794</x:v>
      </x:c>
      <x:c r="U695" s="45" t="n">
        <x:v>0.9956350341014458</x:v>
      </x:c>
      <x:c r="V695" s="45" t="n">
        <x:v>0.9975626035194384</x:v>
      </x:c>
      <x:c r="W695" s="45" t="n">
        <x:v>0.9563503410144605</x:v>
      </x:c>
      <x:c r="X695" s="66" t="n">
        <x:v>13437096.177468862</x:v>
      </x:c>
      <x:c r="Y695" s="66" t="n">
        <x:v>30.3406236995923</x:v>
      </x:c>
      <x:c r="Z695" s="66" t="n">
        <x:v>691952.5895363692</x:v>
      </x:c>
      <x:c r="AA695" s="66" t="n">
        <x:v>74940.03524725951</x:v>
      </x:c>
      <x:c r="AB695" s="66" t="n">
        <x:v>0</x:v>
      </x:c>
      <x:c r="AC695" s="66" t="n">
        <x:v>0</x:v>
      </x:c>
      <x:c r="AD695" s="66" t="n">
        <x:v>1214.7738100582628</x:v>
      </x:c>
      <x:c r="AE695" s="66" t="n">
        <x:v>55643.57629338821</x:v>
      </x:c>
      <x:c r="AF695" s="66" t="n">
        <x:v>114607.07221237783</x:v>
      </x:c>
      <x:c r="AG695" s="66" t="n">
        <x:v>1.1641532182693481e-10</x:v>
      </x:c>
      <x:c r="AH695" s="36" t="n">
        <x:v>1</x:v>
      </x:c>
    </x:row>
    <x:row r="696" ht="15" hidden="0" customHeight="1">
      <x:c r="A696" s="34" t="n">
        <x:v>173</x:v>
      </x:c>
      <x:c r="B696" s="34" t="str">
        <x:v>H3</x:v>
      </x:c>
      <x:c r="C696" s="34" t="str">
        <x:v>reference</x:v>
      </x:c>
      <x:c r="D696" s="74" t="n">
        <x:v>0.9206422107925941</x:v>
      </x:c>
      <x:c r="E696" s="74" t="n">
        <x:v>0.01713661942942691</x:v>
      </x:c>
      <x:c r="F696" s="74" t="n">
        <x:v>1.0135161603686165</x:v>
      </x:c>
      <x:c r="G696" s="74" t="n">
        <x:v>1.1088780136447225</x:v>
      </x:c>
      <x:c r="H696" s="74" t="n">
        <x:v>0.9326416255095287</x:v>
      </x:c>
      <x:c r="I696" s="74" t="n">
        <x:v>0.8220803055033608</x:v>
      </x:c>
      <x:c r="J696" s="74" t="n">
        <x:v>1.059548513494026</x:v>
      </x:c>
      <x:c r="K696" s="74" t="n">
        <x:v>0.8399836323624974</x:v>
      </x:c>
      <x:c r="L696" s="74" t="n">
        <x:v>0.7942188868061981</x:v>
      </x:c>
      <x:c r="M696" s="74" t="n">
        <x:v>1.023523661859333</x:v>
      </x:c>
      <x:c r="N696" s="74" t="n">
        <x:v>0.9035967468031414</x:v>
      </x:c>
      <x:c r="O696" s="65" t="n">
        <x:v>442874.75137333525</x:v>
      </x:c>
      <x:c r="P696" s="65" t="n">
        <x:v>338525.3810130914</x:v>
      </x:c>
      <x:c r="Q696" s="65" t="n">
        <x:v>104349.37036024377</x:v>
      </x:c>
      <x:c r="R696" s="65" t="n">
        <x:v>90211.53541708812</x:v>
      </x:c>
      <x:c r="S696" s="65" t="n">
        <x:v>14137.834943155669</x:v>
      </x:c>
      <x:c r="T696" s="65" t="n">
        <x:v>103161.81357673497</x:v>
      </x:c>
      <x:c r="U696" s="43" t="n">
        <x:v>0.997318526784771</x:v>
      </x:c>
      <x:c r="V696" s="43" t="n">
        <x:v>0.9983110764616482</x:v>
      </x:c>
      <x:c r="W696" s="43" t="n">
        <x:v>0.97318526784771</x:v>
      </x:c>
      <x:c r="X696" s="65" t="n">
        <x:v>10991262.785085341</x:v>
      </x:c>
      <x:c r="Y696" s="65" t="n">
        <x:v>24.817993690093903</x:v>
      </x:c>
      <x:c r="Z696" s="65" t="n">
        <x:v>734043.2787130517</x:v>
      </x:c>
      <x:c r="AA696" s="65" t="n">
        <x:v>69415.25052576193</x:v>
      </x:c>
      <x:c r="AB696" s="65" t="n">
        <x:v>4431.606787941149</x:v>
      </x:c>
      <x:c r="AC696" s="65" t="n">
        <x:v>0</x:v>
      </x:c>
      <x:c r="AD696" s="65" t="n">
        <x:v>1187.5567835088013</x:v>
      </x:c>
      <x:c r="AE696" s="65" t="n">
        <x:v>34738.71117713755</x:v>
      </x:c>
      <x:c r="AF696" s="65" t="n">
        <x:v>103161.81357673494</x:v>
      </x:c>
      <x:c r="AG696" s="65" t="n">
        <x:v>2.9103830456733704e-11</x:v>
      </x:c>
      <x:c r="AH696" s="34" t="n">
        <x:v>1</x:v>
      </x:c>
    </x:row>
    <x:row r="697" ht="15" hidden="0" customHeight="1">
      <x:c r="A697" s="36" t="n">
        <x:v>174</x:v>
      </x:c>
      <x:c r="B697" s="36" t="str">
        <x:v>M0</x:v>
      </x:c>
      <x:c r="C697" s="36" t="str">
        <x:v>reference</x:v>
      </x:c>
      <x:c r="D697" s="75" t="n">
        <x:v>1.0848690071639833</x:v>
      </x:c>
      <x:c r="E697" s="75" t="n">
        <x:v>0.034880383934781316</x:v>
      </x:c>
      <x:c r="F697" s="75" t="n">
        <x:v>1.015259448837834</x:v>
      </x:c>
      <x:c r="G697" s="75" t="n">
        <x:v>0.901027935466291</x:v>
      </x:c>
      <x:c r="H697" s="75" t="n">
        <x:v>0.7427062257035985</x:v>
      </x:c>
      <x:c r="I697" s="75" t="n">
        <x:v>0.9688633597736804</x:v>
      </x:c>
      <x:c r="J697" s="75" t="n">
        <x:v>0.9369332636837315</x:v>
      </x:c>
      <x:c r="K697" s="75" t="n">
        <x:v>0.9066846891373267</x:v>
      </x:c>
      <x:c r="L697" s="75" t="n">
        <x:v>1.0005377589329507</x:v>
      </x:c>
      <x:c r="M697" s="75" t="n">
        <x:v>0.8270434084773888</x:v>
      </x:c>
      <x:c r="N697" s="75" t="n">
        <x:v>0.8771503403848216</x:v>
      </x:c>
      <x:c r="O697" s="66" t="n">
        <x:v>521876.0189224327</x:v>
      </x:c>
      <x:c r="P697" s="66" t="n">
        <x:v>76854.94052150297</x:v>
      </x:c>
      <x:c r="Q697" s="66" t="n">
        <x:v>445021.07840092975</x:v>
      </x:c>
      <x:c r="R697" s="66" t="n">
        <x:v>115563.77285626098</x:v>
      </x:c>
      <x:c r="S697" s="66" t="n">
        <x:v>329457.3055446688</x:v>
      </x:c>
      <x:c r="T697" s="66" t="n">
        <x:v>254920.06347992911</x:v>
      </x:c>
      <x:c r="U697" s="45" t="n">
        <x:v>0.6357352933872679</x:v>
      </x:c>
      <x:c r="V697" s="45" t="n">
        <x:v>0.6708676015587213</x:v>
      </x:c>
      <x:c r="W697" s="45" t="n">
        <x:v>0.15035519694687893</x:v>
      </x:c>
      <x:c r="X697" s="66" t="n">
        <x:v>59798163.16721237</x:v>
      </x:c>
      <x:c r="Y697" s="66" t="n">
        <x:v>114.58308295269698</x:v>
      </x:c>
      <x:c r="Z697" s="66" t="n">
        <x:v>3300257.4727695296</x:v>
      </x:c>
      <x:c r="AA697" s="66" t="n">
        <x:v>330763.1716849878</x:v>
      </x:c>
      <x:c r="AB697" s="66" t="n">
        <x:v>21901.012749916652</x:v>
      </x:c>
      <x:c r="AC697" s="66" t="n">
        <x:v>0</x:v>
      </x:c>
      <x:c r="AD697" s="66" t="n">
        <x:v>2198.224389257665</x:v>
      </x:c>
      <x:c r="AE697" s="66" t="n">
        <x:v>229658.13367684625</x:v>
      </x:c>
      <x:c r="AF697" s="66" t="n">
        <x:v>254920.06347992926</x:v>
      </x:c>
      <x:c r="AG697" s="66" t="n">
        <x:v>0</x:v>
      </x:c>
      <x:c r="AH697" s="36" t="n">
        <x:v>0</x:v>
      </x:c>
    </x:row>
    <x:row r="698" ht="15" hidden="0" customHeight="1">
      <x:c r="A698" s="34" t="n">
        <x:v>174</x:v>
      </x:c>
      <x:c r="B698" s="34" t="str">
        <x:v>B1</x:v>
      </x:c>
      <x:c r="C698" s="34" t="str">
        <x:v>reference</x:v>
      </x:c>
      <x:c r="D698" s="74" t="n">
        <x:v>1.0848690071639833</x:v>
      </x:c>
      <x:c r="E698" s="74" t="n">
        <x:v>0.034880383934781316</x:v>
      </x:c>
      <x:c r="F698" s="74" t="n">
        <x:v>1.015259448837834</x:v>
      </x:c>
      <x:c r="G698" s="74" t="n">
        <x:v>0.901027935466291</x:v>
      </x:c>
      <x:c r="H698" s="74" t="n">
        <x:v>0.7427062257035985</x:v>
      </x:c>
      <x:c r="I698" s="74" t="n">
        <x:v>0.9688633597736804</x:v>
      </x:c>
      <x:c r="J698" s="74" t="n">
        <x:v>0.9369332636837315</x:v>
      </x:c>
      <x:c r="K698" s="74" t="n">
        <x:v>0.9066846891373267</x:v>
      </x:c>
      <x:c r="L698" s="74" t="n">
        <x:v>1.0005377589329507</x:v>
      </x:c>
      <x:c r="M698" s="74" t="n">
        <x:v>0.8270434084773888</x:v>
      </x:c>
      <x:c r="N698" s="74" t="n">
        <x:v>0.8771503403848216</x:v>
      </x:c>
      <x:c r="O698" s="65" t="n">
        <x:v>521876.0189224327</x:v>
      </x:c>
      <x:c r="P698" s="65" t="n">
        <x:v>259975.48383560567</x:v>
      </x:c>
      <x:c r="Q698" s="65" t="n">
        <x:v>261900.53508682706</x:v>
      </x:c>
      <x:c r="R698" s="65" t="n">
        <x:v>115563.77285626098</x:v>
      </x:c>
      <x:c r="S698" s="65" t="n">
        <x:v>146336.76223056606</x:v>
      </x:c>
      <x:c r="T698" s="65" t="n">
        <x:v>177015.05327488092</x:v>
      </x:c>
      <x:c r="U698" s="43" t="n">
        <x:v>0.8373455021228657</x:v>
      </x:c>
      <x:c r="V698" s="43" t="n">
        <x:v>0.8650409120700272</x:v>
      </x:c>
      <x:c r="W698" s="43" t="n">
        <x:v>0.5319616317061454</x:v>
      </x:c>
      <x:c r="X698" s="65" t="n">
        <x:v>35574339.310682245</x:v>
      </x:c>
      <x:c r="Y698" s="65" t="n">
        <x:v>68.16626558954746</x:v>
      </x:c>
      <x:c r="Z698" s="65" t="n">
        <x:v>1118587.5869637483</x:v>
      </x:c>
      <x:c r="AA698" s="65" t="n">
        <x:v>189132.15980894145</x:v>
      </x:c>
      <x:c r="AB698" s="65" t="n">
        <x:v>1143.885165565127</x:v>
      </x:c>
      <x:c r="AC698" s="65" t="n">
        <x:v>0</x:v>
      </x:c>
      <x:c r="AD698" s="65" t="n">
        <x:v>1743.989340973091</x:v>
      </x:c>
      <x:c r="AE698" s="65" t="n">
        <x:v>119431.65249456356</x:v>
      </x:c>
      <x:c r="AF698" s="65" t="n">
        <x:v>177015.05327488104</x:v>
      </x:c>
      <x:c r="AG698" s="65" t="n">
        <x:v>0</x:v>
      </x:c>
      <x:c r="AH698" s="34" t="n">
        <x:v>0</x:v>
      </x:c>
    </x:row>
    <x:row r="699" ht="15" hidden="0" customHeight="1">
      <x:c r="A699" s="36" t="n">
        <x:v>174</x:v>
      </x:c>
      <x:c r="B699" s="36" t="str">
        <x:v>P2</x:v>
      </x:c>
      <x:c r="C699" s="36" t="str">
        <x:v>reference</x:v>
      </x:c>
      <x:c r="D699" s="75" t="n">
        <x:v>1.0848690071639833</x:v>
      </x:c>
      <x:c r="E699" s="75" t="n">
        <x:v>0.034880383934781316</x:v>
      </x:c>
      <x:c r="F699" s="75" t="n">
        <x:v>1.015259448837834</x:v>
      </x:c>
      <x:c r="G699" s="75" t="n">
        <x:v>0.901027935466291</x:v>
      </x:c>
      <x:c r="H699" s="75" t="n">
        <x:v>0.7427062257035985</x:v>
      </x:c>
      <x:c r="I699" s="75" t="n">
        <x:v>0.9688633597736804</x:v>
      </x:c>
      <x:c r="J699" s="75" t="n">
        <x:v>0.9369332636837315</x:v>
      </x:c>
      <x:c r="K699" s="75" t="n">
        <x:v>0.9066846891373267</x:v>
      </x:c>
      <x:c r="L699" s="75" t="n">
        <x:v>1.0005377589329507</x:v>
      </x:c>
      <x:c r="M699" s="75" t="n">
        <x:v>0.8270434084773888</x:v>
      </x:c>
      <x:c r="N699" s="75" t="n">
        <x:v>0.8771503403848216</x:v>
      </x:c>
      <x:c r="O699" s="66" t="n">
        <x:v>521876.0189224327</x:v>
      </x:c>
      <x:c r="P699" s="66" t="n">
        <x:v>376624.8444775927</x:v>
      </x:c>
      <x:c r="Q699" s="66" t="n">
        <x:v>145251.17444484006</x:v>
      </x:c>
      <x:c r="R699" s="66" t="n">
        <x:v>115563.77285626098</x:v>
      </x:c>
      <x:c r="S699" s="66" t="n">
        <x:v>29687.40158857906</x:v>
      </x:c>
      <x:c r="T699" s="66" t="n">
        <x:v>112499.64998525</x:v>
      </x:c>
      <x:c r="U699" s="45" t="n">
        <x:v>0.9372427103908412</x:v>
      </x:c>
      <x:c r="V699" s="45" t="n">
        <x:v>0.9483171352087247</x:v>
      </x:c>
      <x:c r="W699" s="45" t="n">
        <x:v>0.6775011527959771</x:v>
      </x:c>
      <x:c r="X699" s="66" t="n">
        <x:v>18348882.015285958</x:v>
      </x:c>
      <x:c r="Y699" s="66" t="n">
        <x:v>35.15946575428518</x:v>
      </x:c>
      <x:c r="Z699" s="66" t="n">
        <x:v>704665.6787453435</x:v>
      </x:c>
      <x:c r="AA699" s="66" t="n">
        <x:v>102411.36089030076</x:v>
      </x:c>
      <x:c r="AB699" s="66" t="n">
        <x:v>0</x:v>
      </x:c>
      <x:c r="AC699" s="66" t="n">
        <x:v>0</x:v>
      </x:c>
      <x:c r="AD699" s="66" t="n">
        <x:v>1469.5263031371337</x:v>
      </x:c>
      <x:c r="AE699" s="66" t="n">
        <x:v>65361.58377605675</x:v>
      </x:c>
      <x:c r="AF699" s="66" t="n">
        <x:v>112499.64998524993</x:v>
      </x:c>
      <x:c r="AG699" s="66" t="n">
        <x:v>7.275957614183426e-11</x:v>
      </x:c>
      <x:c r="AH699" s="36" t="n">
        <x:v>0</x:v>
      </x:c>
    </x:row>
    <x:row r="700" ht="15" hidden="0" customHeight="1">
      <x:c r="A700" s="34" t="n">
        <x:v>174</x:v>
      </x:c>
      <x:c r="B700" s="34" t="str">
        <x:v>H3</x:v>
      </x:c>
      <x:c r="C700" s="34" t="str">
        <x:v>reference</x:v>
      </x:c>
      <x:c r="D700" s="74" t="n">
        <x:v>1.0848690071639833</x:v>
      </x:c>
      <x:c r="E700" s="74" t="n">
        <x:v>0.034880383934781316</x:v>
      </x:c>
      <x:c r="F700" s="74" t="n">
        <x:v>1.015259448837834</x:v>
      </x:c>
      <x:c r="G700" s="74" t="n">
        <x:v>0.901027935466291</x:v>
      </x:c>
      <x:c r="H700" s="74" t="n">
        <x:v>0.7427062257035985</x:v>
      </x:c>
      <x:c r="I700" s="74" t="n">
        <x:v>0.9688633597736804</x:v>
      </x:c>
      <x:c r="J700" s="74" t="n">
        <x:v>0.9369332636837315</x:v>
      </x:c>
      <x:c r="K700" s="74" t="n">
        <x:v>0.9066846891373267</x:v>
      </x:c>
      <x:c r="L700" s="74" t="n">
        <x:v>1.0005377589329507</x:v>
      </x:c>
      <x:c r="M700" s="74" t="n">
        <x:v>0.8270434084773888</x:v>
      </x:c>
      <x:c r="N700" s="74" t="n">
        <x:v>0.8771503403848216</x:v>
      </x:c>
      <x:c r="O700" s="65" t="n">
        <x:v>521876.0189224327</x:v>
      </x:c>
      <x:c r="P700" s="65" t="n">
        <x:v>390694.4735508901</x:v>
      </x:c>
      <x:c r="Q700" s="65" t="n">
        <x:v>131181.54537154263</x:v>
      </x:c>
      <x:c r="R700" s="65" t="n">
        <x:v>115563.77285626098</x:v>
      </x:c>
      <x:c r="S700" s="65" t="n">
        <x:v>15617.772515281635</x:v>
      </x:c>
      <x:c r="T700" s="65" t="n">
        <x:v>129742.82936418311</x:v>
      </x:c>
      <x:c r="U700" s="43" t="n">
        <x:v>0.997243184290533</x:v>
      </x:c>
      <x:c r="V700" s="43" t="n">
        <x:v>0.9982636282903755</x:v>
      </x:c>
      <x:c r="W700" s="43" t="n">
        <x:v>0.9724318429053292</x:v>
      </x:c>
      <x:c r="X700" s="65" t="n">
        <x:v>13992213.2418914</x:v>
      </x:c>
      <x:c r="Y700" s="65" t="n">
        <x:v>26.811374224058927</x:v>
      </x:c>
      <x:c r="Z700" s="65" t="n">
        <x:v>781988.4011523352</x:v>
      </x:c>
      <x:c r="AA700" s="65" t="n">
        <x:v>86223.90661756531</x:v>
      </x:c>
      <x:c r="AB700" s="65" t="n">
        <x:v>401.64942041111374</x:v>
      </x:c>
      <x:c r="AC700" s="65" t="n">
        <x:v>0</x:v>
      </x:c>
      <x:c r="AD700" s="65" t="n">
        <x:v>1438.7160073595082</x:v>
      </x:c>
      <x:c r="AE700" s="65" t="n">
        <x:v>65723.04902082056</x:v>
      </x:c>
      <x:c r="AF700" s="65" t="n">
        <x:v>129742.82936418304</x:v>
      </x:c>
      <x:c r="AG700" s="65" t="n">
        <x:v>7.275957614183426e-11</x:v>
      </x:c>
      <x:c r="AH700" s="34" t="n">
        <x:v>1</x:v>
      </x:c>
    </x:row>
    <x:row r="701" ht="15" hidden="0" customHeight="1">
      <x:c r="A701" s="36" t="n">
        <x:v>175</x:v>
      </x:c>
      <x:c r="B701" s="36" t="str">
        <x:v>M0</x:v>
      </x:c>
      <x:c r="C701" s="36" t="str">
        <x:v>reference</x:v>
      </x:c>
      <x:c r="D701" s="75" t="n">
        <x:v>1.1964326131962697</x:v>
      </x:c>
      <x:c r="E701" s="75" t="n">
        <x:v>0.035835741425107225</x:v>
      </x:c>
      <x:c r="F701" s="75" t="n">
        <x:v>0.8091571915658268</x:v>
      </x:c>
      <x:c r="G701" s="75" t="n">
        <x:v>1.1719488661081598</x:v>
      </x:c>
      <x:c r="H701" s="75" t="n">
        <x:v>0.9656515981924166</x:v>
      </x:c>
      <x:c r="I701" s="75" t="n">
        <x:v>0.9070744952809926</x:v>
      </x:c>
      <x:c r="J701" s="75" t="n">
        <x:v>0.7328719705880004</x:v>
      </x:c>
      <x:c r="K701" s="75" t="n">
        <x:v>0.8147565452642596</x:v>
      </x:c>
      <x:c r="L701" s="75" t="n">
        <x:v>0.8286740009610981</x:v>
      </x:c>
      <x:c r="M701" s="75" t="n">
        <x:v>1.075044861777177</x:v>
      </x:c>
      <x:c r="N701" s="75" t="n">
        <x:v>0.9708727509156105</x:v>
      </x:c>
      <x:c r="O701" s="66" t="n">
        <x:v>575543.6692915428</x:v>
      </x:c>
      <x:c r="P701" s="66" t="n">
        <x:v>67469.15080608077</x:v>
      </x:c>
      <x:c r="Q701" s="66" t="n">
        <x:v>508074.5184854621</x:v>
      </x:c>
      <x:c r="R701" s="66" t="n">
        <x:v>127997.74074799797</x:v>
      </x:c>
      <x:c r="S701" s="66" t="n">
        <x:v>380076.7777374642</x:v>
      </x:c>
      <x:c r="T701" s="66" t="n">
        <x:v>258815.04191128598</x:v>
      </x:c>
      <x:c r="U701" s="45" t="n">
        <x:v>0.566914745355468</x:v>
      </x:c>
      <x:c r="V701" s="45" t="n">
        <x:v>0.5891542036187845</x:v>
      </x:c>
      <x:c r="W701" s="45" t="n">
        <x:v>0.11207938301962055</x:v>
      </x:c>
      <x:c r="X701" s="66" t="n">
        <x:v>69599854.459689</x:v>
      </x:c>
      <x:c r="Y701" s="66" t="n">
        <x:v>120.92888545774805</x:v>
      </x:c>
      <x:c r="Z701" s="66" t="n">
        <x:v>4996841.09439477</x:v>
      </x:c>
      <x:c r="AA701" s="66" t="n">
        <x:v>383599.56527248</x:v>
      </x:c>
      <x:c r="AB701" s="66" t="n">
        <x:v>42425.75958296329</x:v>
      </x:c>
      <x:c r="AC701" s="66" t="n">
        <x:v>2434.5333769826857</x:v>
      </x:c>
      <x:c r="AD701" s="66" t="n">
        <x:v>2469.5965849537592</x:v>
      </x:c>
      <x:c r="AE701" s="66" t="n">
        <x:v>190157.90299586946</x:v>
      </x:c>
      <x:c r="AF701" s="66" t="n">
        <x:v>258815.04191128587</x:v>
      </x:c>
      <x:c r="AG701" s="66" t="n">
        <x:v>1.1641532182693481e-10</x:v>
      </x:c>
      <x:c r="AH701" s="36" t="n">
        <x:v>0</x:v>
      </x:c>
    </x:row>
    <x:row r="702" ht="15" hidden="0" customHeight="1">
      <x:c r="A702" s="34" t="n">
        <x:v>175</x:v>
      </x:c>
      <x:c r="B702" s="34" t="str">
        <x:v>B1</x:v>
      </x:c>
      <x:c r="C702" s="34" t="str">
        <x:v>reference</x:v>
      </x:c>
      <x:c r="D702" s="74" t="n">
        <x:v>1.1964326131962697</x:v>
      </x:c>
      <x:c r="E702" s="74" t="n">
        <x:v>0.035835741425107225</x:v>
      </x:c>
      <x:c r="F702" s="74" t="n">
        <x:v>0.8091571915658268</x:v>
      </x:c>
      <x:c r="G702" s="74" t="n">
        <x:v>1.1719488661081598</x:v>
      </x:c>
      <x:c r="H702" s="74" t="n">
        <x:v>0.9656515981924166</x:v>
      </x:c>
      <x:c r="I702" s="74" t="n">
        <x:v>0.9070744952809926</x:v>
      </x:c>
      <x:c r="J702" s="74" t="n">
        <x:v>0.7328719705880004</x:v>
      </x:c>
      <x:c r="K702" s="74" t="n">
        <x:v>0.8147565452642596</x:v>
      </x:c>
      <x:c r="L702" s="74" t="n">
        <x:v>0.8286740009610981</x:v>
      </x:c>
      <x:c r="M702" s="74" t="n">
        <x:v>1.075044861777177</x:v>
      </x:c>
      <x:c r="N702" s="74" t="n">
        <x:v>0.9708727509156105</x:v>
      </x:c>
      <x:c r="O702" s="65" t="n">
        <x:v>575543.6692915428</x:v>
      </x:c>
      <x:c r="P702" s="65" t="n">
        <x:v>228226.41467214984</x:v>
      </x:c>
      <x:c r="Q702" s="65" t="n">
        <x:v>347317.25461939303</x:v>
      </x:c>
      <x:c r="R702" s="65" t="n">
        <x:v>127997.74074799797</x:v>
      </x:c>
      <x:c r="S702" s="65" t="n">
        <x:v>219319.5138713951</x:v>
      </x:c>
      <x:c r="T702" s="65" t="n">
        <x:v>196228.78260588675</x:v>
      </x:c>
      <x:c r="U702" s="43" t="n">
        <x:v>0.737485650394719</x:v>
      </x:c>
      <x:c r="V702" s="43" t="n">
        <x:v>0.7722396502001209</x:v>
      </x:c>
      <x:c r="W702" s="43" t="n">
        <x:v>0.40301476213947013</x:v>
      </x:c>
      <x:c r="X702" s="65" t="n">
        <x:v>47891137.47202407</x:v>
      </x:c>
      <x:c r="Y702" s="65" t="n">
        <x:v>83.21025845176088</x:v>
      </x:c>
      <x:c r="Z702" s="65" t="n">
        <x:v>2185519.362118793</x:v>
      </x:c>
      <x:c r="AA702" s="65" t="n">
        <x:v>261773.70875448655</x:v>
      </x:c>
      <x:c r="AB702" s="65" t="n">
        <x:v>10107.484237658096</x:v>
      </x:c>
      <x:c r="AC702" s="65" t="n">
        <x:v>6146.984634829577</x:v>
      </x:c>
      <x:c r="AD702" s="65" t="n">
        <x:v>2071.2631134680814</x:v>
      </x:c>
      <x:c r="AE702" s="65" t="n">
        <x:v>119642.20007545676</x:v>
      </x:c>
      <x:c r="AF702" s="65" t="n">
        <x:v>196228.78260588678</x:v>
      </x:c>
      <x:c r="AG702" s="65" t="n">
        <x:v>0</x:v>
      </x:c>
      <x:c r="AH702" s="34" t="n">
        <x:v>0</x:v>
      </x:c>
    </x:row>
    <x:row r="703" ht="15" hidden="0" customHeight="1">
      <x:c r="A703" s="36" t="n">
        <x:v>175</x:v>
      </x:c>
      <x:c r="B703" s="36" t="str">
        <x:v>P2</x:v>
      </x:c>
      <x:c r="C703" s="36" t="str">
        <x:v>reference</x:v>
      </x:c>
      <x:c r="D703" s="75" t="n">
        <x:v>1.1964326131962697</x:v>
      </x:c>
      <x:c r="E703" s="75" t="n">
        <x:v>0.035835741425107225</x:v>
      </x:c>
      <x:c r="F703" s="75" t="n">
        <x:v>0.8091571915658268</x:v>
      </x:c>
      <x:c r="G703" s="75" t="n">
        <x:v>1.1719488661081598</x:v>
      </x:c>
      <x:c r="H703" s="75" t="n">
        <x:v>0.9656515981924166</x:v>
      </x:c>
      <x:c r="I703" s="75" t="n">
        <x:v>0.9070744952809926</x:v>
      </x:c>
      <x:c r="J703" s="75" t="n">
        <x:v>0.7328719705880004</x:v>
      </x:c>
      <x:c r="K703" s="75" t="n">
        <x:v>0.8147565452642596</x:v>
      </x:c>
      <x:c r="L703" s="75" t="n">
        <x:v>0.8286740009610981</x:v>
      </x:c>
      <x:c r="M703" s="75" t="n">
        <x:v>1.075044861777177</x:v>
      </x:c>
      <x:c r="N703" s="75" t="n">
        <x:v>0.9708727509156105</x:v>
      </x:c>
      <x:c r="O703" s="66" t="n">
        <x:v>575543.6692915428</x:v>
      </x:c>
      <x:c r="P703" s="66" t="n">
        <x:v>330630.193617378</x:v>
      </x:c>
      <x:c r="Q703" s="66" t="n">
        <x:v>244913.4756741649</x:v>
      </x:c>
      <x:c r="R703" s="66" t="n">
        <x:v>127997.74074799797</x:v>
      </x:c>
      <x:c r="S703" s="66" t="n">
        <x:v>116915.73492616692</x:v>
      </x:c>
      <x:c r="T703" s="66" t="n">
        <x:v>122213.39436584432</x:v>
      </x:c>
      <x:c r="U703" s="45" t="n">
        <x:v>0.7868101277886413</x:v>
      </x:c>
      <x:c r="V703" s="45" t="n">
        <x:v>0.8206226571178312</x:v>
      </x:c>
      <x:c r="W703" s="45" t="n">
        <x:v>0.39546164544801454</x:v>
      </x:c>
      <x:c r="X703" s="66" t="n">
        <x:v>32893598.979026724</x:v>
      </x:c>
      <x:c r="Y703" s="66" t="n">
        <x:v>57.15222099396319</x:v>
      </x:c>
      <x:c r="Z703" s="66" t="n">
        <x:v>1519608.0661018367</x:v>
      </x:c>
      <x:c r="AA703" s="66" t="n">
        <x:v>185705.9968004378</x:v>
      </x:c>
      <x:c r="AB703" s="66" t="n">
        <x:v>774.9615978962054</x:v>
      </x:c>
      <x:c r="AC703" s="66" t="n">
        <x:v>28187.171634659633</x:v>
      </x:c>
      <x:c r="AD703" s="66" t="n">
        <x:v>1830.577558558613</x:v>
      </x:c>
      <x:c r="AE703" s="66" t="n">
        <x:v>58479.039574088776</x:v>
      </x:c>
      <x:c r="AF703" s="66" t="n">
        <x:v>122213.3943658444</x:v>
      </x:c>
      <x:c r="AG703" s="66" t="n">
        <x:v>0</x:v>
      </x:c>
      <x:c r="AH703" s="36" t="n">
        <x:v>0</x:v>
      </x:c>
    </x:row>
    <x:row r="704" ht="15" hidden="0" customHeight="1">
      <x:c r="A704" s="34" t="n">
        <x:v>175</x:v>
      </x:c>
      <x:c r="B704" s="34" t="str">
        <x:v>H3</x:v>
      </x:c>
      <x:c r="C704" s="34" t="str">
        <x:v>reference</x:v>
      </x:c>
      <x:c r="D704" s="74" t="n">
        <x:v>1.1964326131962697</x:v>
      </x:c>
      <x:c r="E704" s="74" t="n">
        <x:v>0.035835741425107225</x:v>
      </x:c>
      <x:c r="F704" s="74" t="n">
        <x:v>0.8091571915658268</x:v>
      </x:c>
      <x:c r="G704" s="74" t="n">
        <x:v>1.1719488661081598</x:v>
      </x:c>
      <x:c r="H704" s="74" t="n">
        <x:v>0.9656515981924166</x:v>
      </x:c>
      <x:c r="I704" s="74" t="n">
        <x:v>0.9070744952809926</x:v>
      </x:c>
      <x:c r="J704" s="74" t="n">
        <x:v>0.7328719705880004</x:v>
      </x:c>
      <x:c r="K704" s="74" t="n">
        <x:v>0.8147565452642596</x:v>
      </x:c>
      <x:c r="L704" s="74" t="n">
        <x:v>0.8286740009610981</x:v>
      </x:c>
      <x:c r="M704" s="74" t="n">
        <x:v>1.075044861777177</x:v>
      </x:c>
      <x:c r="N704" s="74" t="n">
        <x:v>0.9708727509156105</x:v>
      </x:c>
      <x:c r="O704" s="65" t="n">
        <x:v>575543.6692915428</x:v>
      </x:c>
      <x:c r="P704" s="65" t="n">
        <x:v>342981.5989728851</x:v>
      </x:c>
      <x:c r="Q704" s="65" t="n">
        <x:v>232562.07031865782</x:v>
      </x:c>
      <x:c r="R704" s="65" t="n">
        <x:v>127997.74074799797</x:v>
      </x:c>
      <x:c r="S704" s="65" t="n">
        <x:v>104564.32957065984</x:v>
      </x:c>
      <x:c r="T704" s="65" t="n">
        <x:v>194747.44639798236</x:v>
      </x:c>
      <x:c r="U704" s="43" t="n">
        <x:v>0.9342975590936085</x:v>
      </x:c>
      <x:c r="V704" s="43" t="n">
        <x:v>0.9391924178918162</x:v>
      </x:c>
      <x:c r="W704" s="43" t="n">
        <x:v>0.6627967306411149</x:v>
      </x:c>
      <x:c r="X704" s="65" t="n">
        <x:v>25660258.475037217</x:v>
      </x:c>
      <x:c r="Y704" s="65" t="n">
        <x:v>44.584381419090825</x:v>
      </x:c>
      <x:c r="Z704" s="65" t="n">
        <x:v>3478888.1633354053</x:v>
      </x:c>
      <x:c r="AA704" s="65" t="n">
        <x:v>149246.36444718705</x:v>
      </x:c>
      <x:c r="AB704" s="65" t="n">
        <x:v>9744.785659514537</x:v>
      </x:c>
      <x:c r="AC704" s="65" t="n">
        <x:v>24075.618840752028</x:v>
      </x:c>
      <x:c r="AD704" s="65" t="n">
        <x:v>1803.5590091953472</x:v>
      </x:c>
      <x:c r="AE704" s="65" t="n">
        <x:v>61375.036734629655</x:v>
      </x:c>
      <x:c r="AF704" s="65" t="n">
        <x:v>194747.44639798228</x:v>
      </x:c>
      <x:c r="AG704" s="65" t="n">
        <x:v>8.731149137020111e-11</x:v>
      </x:c>
      <x:c r="AH704" s="34" t="n">
        <x:v>0</x:v>
      </x:c>
    </x:row>
    <x:row r="705" ht="15" hidden="0" customHeight="1">
      <x:c r="A705" s="36" t="n">
        <x:v>176</x:v>
      </x:c>
      <x:c r="B705" s="36" t="str">
        <x:v>M0</x:v>
      </x:c>
      <x:c r="C705" s="36" t="str">
        <x:v>reference</x:v>
      </x:c>
      <x:c r="D705" s="75" t="n">
        <x:v>0.910504771551437</x:v>
      </x:c>
      <x:c r="E705" s="75" t="n">
        <x:v>0.0846398240667865</x:v>
      </x:c>
      <x:c r="F705" s="75" t="n">
        <x:v>0.7234203477096651</x:v>
      </x:c>
      <x:c r="G705" s="75" t="n">
        <x:v>0.9143573662234773</x:v>
      </x:c>
      <x:c r="H705" s="75" t="n">
        <x:v>0.8269264592861612</x:v>
      </x:c>
      <x:c r="I705" s="75" t="n">
        <x:v>1.0201426766746293</x:v>
      </x:c>
      <x:c r="J705" s="75" t="n">
        <x:v>0.865254100785533</x:v>
      </x:c>
      <x:c r="K705" s="75" t="n">
        <x:v>0.7503723733649792</x:v>
      </x:c>
      <x:c r="L705" s="75" t="n">
        <x:v>0.8607664164216768</x:v>
      </x:c>
      <x:c r="M705" s="75" t="n">
        <x:v>1.0587700546048144</x:v>
      </x:c>
      <x:c r="N705" s="75" t="n">
        <x:v>0.8230412801897002</x:v>
      </x:c>
      <x:c r="O705" s="66" t="n">
        <x:v>437998.1382538645</x:v>
      </x:c>
      <x:c r="P705" s="66" t="n">
        <x:v>43023.057789264625</x:v>
      </x:c>
      <x:c r="Q705" s="66" t="n">
        <x:v>394975.0804645998</x:v>
      </x:c>
      <x:c r="R705" s="66" t="n">
        <x:v>118784.46987091744</x:v>
      </x:c>
      <x:c r="S705" s="66" t="n">
        <x:v>276190.61059368245</x:v>
      </x:c>
      <x:c r="T705" s="66" t="n">
        <x:v>281228.1587480812</x:v>
      </x:c>
      <x:c r="U705" s="45" t="n">
        <x:v>0.7403027278381015</x:v>
      </x:c>
      <x:c r="V705" s="45" t="n">
        <x:v>0.7745229983969922</x:v>
      </x:c>
      <x:c r="W705" s="45" t="n">
        <x:v>0.12163966031260881</x:v>
      </x:c>
      <x:c r="X705" s="66" t="n">
        <x:v>48369614.90485403</x:v>
      </x:c>
      <x:c r="Y705" s="66" t="n">
        <x:v>110.43338014559988</x:v>
      </x:c>
      <x:c r="Z705" s="66" t="n">
        <x:v>3540570.583134287</x:v>
      </x:c>
      <x:c r="AA705" s="66" t="n">
        <x:v>273602.69418140716</x:v>
      </x:c>
      <x:c r="AB705" s="66" t="n">
        <x:v>20800.68920407957</x:v>
      </x:c>
      <x:c r="AC705" s="66" t="n">
        <x:v>605.9548265418453</x:v>
      </x:c>
      <x:c r="AD705" s="66" t="n">
        <x:v>1907.6914903079683</x:v>
      </x:c>
      <x:c r="AE705" s="66" t="n">
        <x:v>210117.39213969107</x:v>
      </x:c>
      <x:c r="AF705" s="66" t="n">
        <x:v>281228.1587480812</x:v>
      </x:c>
      <x:c r="AG705" s="66" t="n">
        <x:v>0</x:v>
      </x:c>
      <x:c r="AH705" s="36" t="n">
        <x:v>0</x:v>
      </x:c>
    </x:row>
    <x:row r="706" ht="15" hidden="0" customHeight="1">
      <x:c r="A706" s="34" t="n">
        <x:v>176</x:v>
      </x:c>
      <x:c r="B706" s="34" t="str">
        <x:v>B1</x:v>
      </x:c>
      <x:c r="C706" s="34" t="str">
        <x:v>reference</x:v>
      </x:c>
      <x:c r="D706" s="74" t="n">
        <x:v>0.910504771551437</x:v>
      </x:c>
      <x:c r="E706" s="74" t="n">
        <x:v>0.0846398240667865</x:v>
      </x:c>
      <x:c r="F706" s="74" t="n">
        <x:v>0.7234203477096651</x:v>
      </x:c>
      <x:c r="G706" s="74" t="n">
        <x:v>0.9143573662234773</x:v>
      </x:c>
      <x:c r="H706" s="74" t="n">
        <x:v>0.8269264592861612</x:v>
      </x:c>
      <x:c r="I706" s="74" t="n">
        <x:v>1.0201426766746293</x:v>
      </x:c>
      <x:c r="J706" s="74" t="n">
        <x:v>0.865254100785533</x:v>
      </x:c>
      <x:c r="K706" s="74" t="n">
        <x:v>0.7503723733649792</x:v>
      </x:c>
      <x:c r="L706" s="74" t="n">
        <x:v>0.8607664164216768</x:v>
      </x:c>
      <x:c r="M706" s="74" t="n">
        <x:v>1.0587700546048144</x:v>
      </x:c>
      <x:c r="N706" s="74" t="n">
        <x:v>0.8230412801897002</x:v>
      </x:c>
      <x:c r="O706" s="65" t="n">
        <x:v>437998.1382538645</x:v>
      </x:c>
      <x:c r="P706" s="65" t="n">
        <x:v>145534.23954778502</x:v>
      </x:c>
      <x:c r="Q706" s="65" t="n">
        <x:v>292463.89870607946</x:v>
      </x:c>
      <x:c r="R706" s="65" t="n">
        <x:v>118784.46987091744</x:v>
      </x:c>
      <x:c r="S706" s="65" t="n">
        <x:v>173679.42883516202</x:v>
      </x:c>
      <x:c r="T706" s="65" t="n">
        <x:v>187543.68149542794</x:v>
      </x:c>
      <x:c r="U706" s="43" t="n">
        <x:v>0.7604551068894281</x:v>
      </x:c>
      <x:c r="V706" s="43" t="n">
        <x:v>0.7997403515935039</x:v>
      </x:c>
      <x:c r="W706" s="43" t="n">
        <x:v>0.3551542278793282</x:v>
      </x:c>
      <x:c r="X706" s="65" t="n">
        <x:v>37337942.134673476</x:v>
      </x:c>
      <x:c r="Y706" s="65" t="n">
        <x:v>85.24680557667654</x:v>
      </x:c>
      <x:c r="Z706" s="65" t="n">
        <x:v>1314253.611842755</x:v>
      </x:c>
      <x:c r="AA706" s="65" t="n">
        <x:v>211788.43017036634</x:v>
      </x:c>
      <x:c r="AB706" s="65" t="n">
        <x:v>1832.2392949214404</x:v>
      </x:c>
      <x:c r="AC706" s="65" t="n">
        <x:v>16167.141884991746</x:v>
      </x:c>
      <x:c r="AD706" s="65" t="n">
        <x:v>1668.6093162988454</x:v>
      </x:c>
      <x:c r="AE706" s="65" t="n">
        <x:v>101740.82698689356</x:v>
      </x:c>
      <x:c r="AF706" s="65" t="n">
        <x:v>187543.6814954277</x:v>
      </x:c>
      <x:c r="AG706" s="65" t="n">
        <x:v>2.3283064365386963e-10</x:v>
      </x:c>
      <x:c r="AH706" s="34" t="n">
        <x:v>0</x:v>
      </x:c>
    </x:row>
    <x:row r="707" ht="15" hidden="0" customHeight="1">
      <x:c r="A707" s="36" t="n">
        <x:v>176</x:v>
      </x:c>
      <x:c r="B707" s="36" t="str">
        <x:v>P2</x:v>
      </x:c>
      <x:c r="C707" s="36" t="str">
        <x:v>reference</x:v>
      </x:c>
      <x:c r="D707" s="75" t="n">
        <x:v>0.910504771551437</x:v>
      </x:c>
      <x:c r="E707" s="75" t="n">
        <x:v>0.0846398240667865</x:v>
      </x:c>
      <x:c r="F707" s="75" t="n">
        <x:v>0.7234203477096651</x:v>
      </x:c>
      <x:c r="G707" s="75" t="n">
        <x:v>0.9143573662234773</x:v>
      </x:c>
      <x:c r="H707" s="75" t="n">
        <x:v>0.8269264592861612</x:v>
      </x:c>
      <x:c r="I707" s="75" t="n">
        <x:v>1.0201426766746293</x:v>
      </x:c>
      <x:c r="J707" s="75" t="n">
        <x:v>0.865254100785533</x:v>
      </x:c>
      <x:c r="K707" s="75" t="n">
        <x:v>0.7503723733649792</x:v>
      </x:c>
      <x:c r="L707" s="75" t="n">
        <x:v>0.8607664164216768</x:v>
      </x:c>
      <x:c r="M707" s="75" t="n">
        <x:v>1.0587700546048144</x:v>
      </x:c>
      <x:c r="N707" s="75" t="n">
        <x:v>0.8230412801897002</x:v>
      </x:c>
      <x:c r="O707" s="66" t="n">
        <x:v>437998.1382538645</x:v>
      </x:c>
      <x:c r="P707" s="66" t="n">
        <x:v>210835.43836984437</x:v>
      </x:c>
      <x:c r="Q707" s="66" t="n">
        <x:v>227162.6998840201</x:v>
      </x:c>
      <x:c r="R707" s="66" t="n">
        <x:v>118784.46987091744</x:v>
      </x:c>
      <x:c r="S707" s="66" t="n">
        <x:v>108378.2300131027</x:v>
      </x:c>
      <x:c r="T707" s="66" t="n">
        <x:v>112555.66151065573</x:v>
      </x:c>
      <x:c r="U707" s="45" t="n">
        <x:v>0.7383389828316167</x:v>
      </x:c>
      <x:c r="V707" s="45" t="n">
        <x:v>0.7820573700427658</x:v>
      </x:c>
      <x:c r="W707" s="45" t="n">
        <x:v>0.34796107186512987</x:v>
      </x:c>
      <x:c r="X707" s="66" t="n">
        <x:v>30029118.919909075</x:v>
      </x:c>
      <x:c r="Y707" s="66" t="n">
        <x:v>68.55992365543834</x:v>
      </x:c>
      <x:c r="Z707" s="66" t="n">
        <x:v>970202.4327173212</x:v>
      </x:c>
      <x:c r="AA707" s="66" t="n">
        <x:v>174573.3989730463</x:v>
      </x:c>
      <x:c r="AB707" s="66" t="n">
        <x:v>0</x:v>
      </x:c>
      <x:c r="AC707" s="66" t="n">
        <x:v>20322.19132850912</x:v>
      </x:c>
      <x:c r="AD707" s="66" t="n">
        <x:v>1524.1483813296466</x:v>
      </x:c>
      <x:c r="AE707" s="66" t="n">
        <x:v>52102.678005458794</x:v>
      </x:c>
      <x:c r="AF707" s="66" t="n">
        <x:v>112555.66151065566</x:v>
      </x:c>
      <x:c r="AG707" s="66" t="n">
        <x:v>7.275957614183426e-11</x:v>
      </x:c>
      <x:c r="AH707" s="36" t="n">
        <x:v>0</x:v>
      </x:c>
    </x:row>
    <x:row r="708" ht="15" hidden="0" customHeight="1">
      <x:c r="A708" s="34" t="n">
        <x:v>176</x:v>
      </x:c>
      <x:c r="B708" s="34" t="str">
        <x:v>H3</x:v>
      </x:c>
      <x:c r="C708" s="34" t="str">
        <x:v>reference</x:v>
      </x:c>
      <x:c r="D708" s="74" t="n">
        <x:v>0.910504771551437</x:v>
      </x:c>
      <x:c r="E708" s="74" t="n">
        <x:v>0.0846398240667865</x:v>
      </x:c>
      <x:c r="F708" s="74" t="n">
        <x:v>0.7234203477096651</x:v>
      </x:c>
      <x:c r="G708" s="74" t="n">
        <x:v>0.9143573662234773</x:v>
      </x:c>
      <x:c r="H708" s="74" t="n">
        <x:v>0.8269264592861612</x:v>
      </x:c>
      <x:c r="I708" s="74" t="n">
        <x:v>1.0201426766746293</x:v>
      </x:c>
      <x:c r="J708" s="74" t="n">
        <x:v>0.865254100785533</x:v>
      </x:c>
      <x:c r="K708" s="74" t="n">
        <x:v>0.7503723733649792</x:v>
      </x:c>
      <x:c r="L708" s="74" t="n">
        <x:v>0.8607664164216768</x:v>
      </x:c>
      <x:c r="M708" s="74" t="n">
        <x:v>1.0587700546048144</x:v>
      </x:c>
      <x:c r="N708" s="74" t="n">
        <x:v>0.8230412801897002</x:v>
      </x:c>
      <x:c r="O708" s="65" t="n">
        <x:v>437998.1382538645</x:v>
      </x:c>
      <x:c r="P708" s="65" t="n">
        <x:v>218711.83070083917</x:v>
      </x:c>
      <x:c r="Q708" s="65" t="n">
        <x:v>219286.30755302528</x:v>
      </x:c>
      <x:c r="R708" s="65" t="n">
        <x:v>118784.46987091744</x:v>
      </x:c>
      <x:c r="S708" s="65" t="n">
        <x:v>100501.83768210787</x:v>
      </x:c>
      <x:c r="T708" s="65" t="n">
        <x:v>187561.8819668926</x:v>
      </x:c>
      <x:c r="U708" s="43" t="n">
        <x:v>0.9275694967275291</x:v>
      </x:c>
      <x:c r="V708" s="43" t="n">
        <x:v>0.9350541241362905</x:v>
      </x:c>
      <x:c r="W708" s="43" t="n">
        <x:v>0.6077358493977936</x:v>
      </x:c>
      <x:c r="X708" s="65" t="n">
        <x:v>23080653.608975478</x:v>
      </x:c>
      <x:c r="Y708" s="65" t="n">
        <x:v>52.695780171553814</x:v>
      </x:c>
      <x:c r="Z708" s="65" t="n">
        <x:v>1310052.458897359</x:v>
      </x:c>
      <x:c r="AA708" s="65" t="n">
        <x:v>145176.56155468285</x:v>
      </x:c>
      <x:c r="AB708" s="65" t="n">
        <x:v>1300.0290434312037</x:v>
      </x:c>
      <x:c r="AC708" s="65" t="n">
        <x:v>17567.45356197486</x:v>
      </x:c>
      <x:c r="AD708" s="65" t="n">
        <x:v>1507.9316835556695</x:v>
      </x:c>
      <x:c r="AE708" s="65" t="n">
        <x:v>63118.04040221</x:v>
      </x:c>
      <x:c r="AF708" s="65" t="n">
        <x:v>187561.88196689243</x:v>
      </x:c>
      <x:c r="AG708" s="65" t="n">
        <x:v>1.7462298274040222e-10</x:v>
      </x:c>
      <x:c r="AH708" s="34" t="n">
        <x:v>0</x:v>
      </x:c>
    </x:row>
    <x:row r="709" ht="15" hidden="0" customHeight="1">
      <x:c r="A709" s="36" t="n">
        <x:v>177</x:v>
      </x:c>
      <x:c r="B709" s="36" t="str">
        <x:v>M0</x:v>
      </x:c>
      <x:c r="C709" s="36" t="str">
        <x:v>reference</x:v>
      </x:c>
      <x:c r="D709" s="75" t="n">
        <x:v>1.0860307119318469</x:v>
      </x:c>
      <x:c r="E709" s="75" t="n">
        <x:v>0.09583466649076336</x:v>
      </x:c>
      <x:c r="F709" s="75" t="n">
        <x:v>0.7815804936061126</x:v>
      </x:c>
      <x:c r="G709" s="75" t="n">
        <x:v>0.9799347000244842</x:v>
      </x:c>
      <x:c r="H709" s="75" t="n">
        <x:v>0.78180973290765</x:v>
      </x:c>
      <x:c r="I709" s="75" t="n">
        <x:v>0.9303348935850412</x:v>
      </x:c>
      <x:c r="J709" s="75" t="n">
        <x:v>0.9009685694558508</x:v>
      </x:c>
      <x:c r="K709" s="75" t="n">
        <x:v>0.996597917142864</x:v>
      </x:c>
      <x:c r="L709" s="75" t="n">
        <x:v>0.8403410679473766</x:v>
      </x:c>
      <x:c r="M709" s="75" t="n">
        <x:v>0.8248055088432366</x:v>
      </x:c>
      <x:c r="N709" s="75" t="n">
        <x:v>0.8657255223838727</x:v>
      </x:c>
      <x:c r="O709" s="66" t="n">
        <x:v>522434.8567686725</x:v>
      </x:c>
      <x:c r="P709" s="66" t="n">
        <x:v>54590.86053316489</x:v>
      </x:c>
      <x:c r="Q709" s="66" t="n">
        <x:v>467843.99623550766</x:v>
      </x:c>
      <x:c r="R709" s="66" t="n">
        <x:v>147532.16330066242</x:v>
      </x:c>
      <x:c r="S709" s="66" t="n">
        <x:v>320311.83293484524</x:v>
      </x:c>
      <x:c r="T709" s="66" t="n">
        <x:v>256023.7853839106</x:v>
      </x:c>
      <x:c r="U709" s="45" t="n">
        <x:v>0.5945519176080007</x:v>
      </x:c>
      <x:c r="V709" s="45" t="n">
        <x:v>0.6236469607965685</x:v>
      </x:c>
      <x:c r="W709" s="45" t="n">
        <x:v>0.1045608854279793</x:v>
      </x:c>
      <x:c r="X709" s="66" t="n">
        <x:v>62479488.0213988</x:v>
      </x:c>
      <x:c r="Y709" s="66" t="n">
        <x:v>119.59287787159256</x:v>
      </x:c>
      <x:c r="Z709" s="66" t="n">
        <x:v>4063039.31887096</x:v>
      </x:c>
      <x:c r="AA709" s="66" t="n">
        <x:v>348756.56260836375</x:v>
      </x:c>
      <x:c r="AB709" s="66" t="n">
        <x:v>29938.161678713823</x:v>
      </x:c>
      <x:c r="AC709" s="66" t="n">
        <x:v>0</x:v>
      </x:c>
      <x:c r="AD709" s="66" t="n">
        <x:v>2269.498013972595</x:v>
      </x:c>
      <x:c r="AE709" s="66" t="n">
        <x:v>231090.89033925507</x:v>
      </x:c>
      <x:c r="AF709" s="66" t="n">
        <x:v>256023.78538391052</x:v>
      </x:c>
      <x:c r="AG709" s="66" t="n">
        <x:v>8.731149137020111e-11</x:v>
      </x:c>
      <x:c r="AH709" s="36" t="n">
        <x:v>0</x:v>
      </x:c>
    </x:row>
    <x:row r="710" ht="15" hidden="0" customHeight="1">
      <x:c r="A710" s="34" t="n">
        <x:v>177</x:v>
      </x:c>
      <x:c r="B710" s="34" t="str">
        <x:v>B1</x:v>
      </x:c>
      <x:c r="C710" s="34" t="str">
        <x:v>reference</x:v>
      </x:c>
      <x:c r="D710" s="74" t="n">
        <x:v>1.0860307119318469</x:v>
      </x:c>
      <x:c r="E710" s="74" t="n">
        <x:v>0.09583466649076336</x:v>
      </x:c>
      <x:c r="F710" s="74" t="n">
        <x:v>0.7815804936061126</x:v>
      </x:c>
      <x:c r="G710" s="74" t="n">
        <x:v>0.9799347000244842</x:v>
      </x:c>
      <x:c r="H710" s="74" t="n">
        <x:v>0.78180973290765</x:v>
      </x:c>
      <x:c r="I710" s="74" t="n">
        <x:v>0.9303348935850412</x:v>
      </x:c>
      <x:c r="J710" s="74" t="n">
        <x:v>0.9009685694558508</x:v>
      </x:c>
      <x:c r="K710" s="74" t="n">
        <x:v>0.996597917142864</x:v>
      </x:c>
      <x:c r="L710" s="74" t="n">
        <x:v>0.8403410679473766</x:v>
      </x:c>
      <x:c r="M710" s="74" t="n">
        <x:v>0.8248055088432366</x:v>
      </x:c>
      <x:c r="N710" s="74" t="n">
        <x:v>0.8657255223838727</x:v>
      </x:c>
      <x:c r="O710" s="65" t="n">
        <x:v>522434.8567686725</x:v>
      </x:c>
      <x:c r="P710" s="65" t="n">
        <x:v>184665.02684776176</x:v>
      </x:c>
      <x:c r="Q710" s="65" t="n">
        <x:v>337769.82992091076</x:v>
      </x:c>
      <x:c r="R710" s="65" t="n">
        <x:v>147532.16330066242</x:v>
      </x:c>
      <x:c r="S710" s="65" t="n">
        <x:v>190237.66662024838</x:v>
      </x:c>
      <x:c r="T710" s="65" t="n">
        <x:v>186749.82036657337</x:v>
      </x:c>
      <x:c r="U710" s="43" t="n">
        <x:v>0.7109304488440611</x:v>
      </x:c>
      <x:c r="V710" s="43" t="n">
        <x:v>0.7530181645784875</x:v>
      </x:c>
      <x:c r="W710" s="43" t="n">
        <x:v>0.3649712035630531</x:v>
      </x:c>
      <x:c r="X710" s="65" t="n">
        <x:v>46271887.06774555</x:v>
      </x:c>
      <x:c r="Y710" s="65" t="n">
        <x:v>88.56967805315134</x:v>
      </x:c>
      <x:c r="Z710" s="65" t="n">
        <x:v>1301585.8828804644</x:v>
      </x:c>
      <x:c r="AA710" s="65" t="n">
        <x:v>259922.4617637889</x:v>
      </x:c>
      <x:c r="AB710" s="65" t="n">
        <x:v>3365.5362617585533</x:v>
      </x:c>
      <x:c r="AC710" s="65" t="n">
        <x:v>0</x:v>
      </x:c>
      <x:c r="AD710" s="65" t="n">
        <x:v>1970.8394927398745</x:v>
      </x:c>
      <x:c r="AE710" s="65" t="n">
        <x:v>135073.12933815876</x:v>
      </x:c>
      <x:c r="AF710" s="65" t="n">
        <x:v>186749.8203665734</x:v>
      </x:c>
      <x:c r="AG710" s="65" t="n">
        <x:v>0</x:v>
      </x:c>
      <x:c r="AH710" s="34" t="n">
        <x:v>0</x:v>
      </x:c>
    </x:row>
    <x:row r="711" ht="15" hidden="0" customHeight="1">
      <x:c r="A711" s="36" t="n">
        <x:v>177</x:v>
      </x:c>
      <x:c r="B711" s="36" t="str">
        <x:v>P2</x:v>
      </x:c>
      <x:c r="C711" s="36" t="str">
        <x:v>reference</x:v>
      </x:c>
      <x:c r="D711" s="75" t="n">
        <x:v>1.0860307119318469</x:v>
      </x:c>
      <x:c r="E711" s="75" t="n">
        <x:v>0.09583466649076336</x:v>
      </x:c>
      <x:c r="F711" s="75" t="n">
        <x:v>0.7815804936061126</x:v>
      </x:c>
      <x:c r="G711" s="75" t="n">
        <x:v>0.9799347000244842</x:v>
      </x:c>
      <x:c r="H711" s="75" t="n">
        <x:v>0.78180973290765</x:v>
      </x:c>
      <x:c r="I711" s="75" t="n">
        <x:v>0.9303348935850412</x:v>
      </x:c>
      <x:c r="J711" s="75" t="n">
        <x:v>0.9009685694558508</x:v>
      </x:c>
      <x:c r="K711" s="75" t="n">
        <x:v>0.996597917142864</x:v>
      </x:c>
      <x:c r="L711" s="75" t="n">
        <x:v>0.8403410679473766</x:v>
      </x:c>
      <x:c r="M711" s="75" t="n">
        <x:v>0.8248055088432366</x:v>
      </x:c>
      <x:c r="N711" s="75" t="n">
        <x:v>0.8657255223838727</x:v>
      </x:c>
      <x:c r="O711" s="66" t="n">
        <x:v>522434.8567686725</x:v>
      </x:c>
      <x:c r="P711" s="66" t="n">
        <x:v>267524.48572831927</x:v>
      </x:c>
      <x:c r="Q711" s="66" t="n">
        <x:v>254910.37104035326</x:v>
      </x:c>
      <x:c r="R711" s="66" t="n">
        <x:v>147532.16330066242</x:v>
      </x:c>
      <x:c r="S711" s="66" t="n">
        <x:v>107378.20773969084</x:v>
      </x:c>
      <x:c r="T711" s="66" t="n">
        <x:v>121521.12163121713</x:v>
      </x:c>
      <x:c r="U711" s="45" t="n">
        <x:v>0.7446777379400642</x:v>
      </x:c>
      <x:c r="V711" s="45" t="n">
        <x:v>0.7775720009178072</x:v>
      </x:c>
      <x:c r="W711" s="45" t="n">
        <x:v>0.4203608535920945</x:v>
      </x:c>
      <x:c r="X711" s="66" t="n">
        <x:v>35217242.88898028</x:v>
      </x:c>
      <x:c r="Y711" s="66" t="n">
        <x:v>67.40982618733273</x:v>
      </x:c>
      <x:c r="Z711" s="66" t="n">
        <x:v>760299.7857367301</x:v>
      </x:c>
      <x:c r="AA711" s="66" t="n">
        <x:v>203734.2850445544</x:v>
      </x:c>
      <x:c r="AB711" s="66" t="n">
        <x:v>0</x:v>
      </x:c>
      <x:c r="AC711" s="66" t="n">
        <x:v>0</x:v>
      </x:c>
      <x:c r="AD711" s="66" t="n">
        <x:v>1790.3806635000544</x:v>
      </x:c>
      <x:c r="AE711" s="66" t="n">
        <x:v>85195.21764450258</x:v>
      </x:c>
      <x:c r="AF711" s="66" t="n">
        <x:v>121521.12163121716</x:v>
      </x:c>
      <x:c r="AG711" s="66" t="n">
        <x:v>0</x:v>
      </x:c>
      <x:c r="AH711" s="36" t="n">
        <x:v>0</x:v>
      </x:c>
    </x:row>
    <x:row r="712" ht="15" hidden="0" customHeight="1">
      <x:c r="A712" s="34" t="n">
        <x:v>177</x:v>
      </x:c>
      <x:c r="B712" s="34" t="str">
        <x:v>H3</x:v>
      </x:c>
      <x:c r="C712" s="34" t="str">
        <x:v>reference</x:v>
      </x:c>
      <x:c r="D712" s="74" t="n">
        <x:v>1.0860307119318469</x:v>
      </x:c>
      <x:c r="E712" s="74" t="n">
        <x:v>0.09583466649076336</x:v>
      </x:c>
      <x:c r="F712" s="74" t="n">
        <x:v>0.7815804936061126</x:v>
      </x:c>
      <x:c r="G712" s="74" t="n">
        <x:v>0.9799347000244842</x:v>
      </x:c>
      <x:c r="H712" s="74" t="n">
        <x:v>0.78180973290765</x:v>
      </x:c>
      <x:c r="I712" s="74" t="n">
        <x:v>0.9303348935850412</x:v>
      </x:c>
      <x:c r="J712" s="74" t="n">
        <x:v>0.9009685694558508</x:v>
      </x:c>
      <x:c r="K712" s="74" t="n">
        <x:v>0.996597917142864</x:v>
      </x:c>
      <x:c r="L712" s="74" t="n">
        <x:v>0.8403410679473766</x:v>
      </x:c>
      <x:c r="M712" s="74" t="n">
        <x:v>0.8248055088432366</x:v>
      </x:c>
      <x:c r="N712" s="74" t="n">
        <x:v>0.8657255223838727</x:v>
      </x:c>
      <x:c r="O712" s="65" t="n">
        <x:v>522434.8567686725</x:v>
      </x:c>
      <x:c r="P712" s="65" t="n">
        <x:v>277518.7244677188</x:v>
      </x:c>
      <x:c r="Q712" s="65" t="n">
        <x:v>244916.13230095373</x:v>
      </x:c>
      <x:c r="R712" s="65" t="n">
        <x:v>147532.16330066242</x:v>
      </x:c>
      <x:c r="S712" s="65" t="n">
        <x:v>97383.96900029136</x:v>
      </x:c>
      <x:c r="T712" s="65" t="n">
        <x:v>187778.31817357588</x:v>
      </x:c>
      <x:c r="U712" s="43" t="n">
        <x:v>0.890631696206523</x:v>
      </x:c>
      <x:c r="V712" s="43" t="n">
        <x:v>0.908295885230911</x:v>
      </x:c>
      <x:c r="W712" s="43" t="n">
        <x:v>0.5988783698191843</x:v>
      </x:c>
      <x:c r="X712" s="65" t="n">
        <x:v>28033283.422541708</x:v>
      </x:c>
      <x:c r="Y712" s="65" t="n">
        <x:v>53.65890705672131</x:v>
      </x:c>
      <x:c r="Z712" s="65" t="n">
        <x:v>1214105.528353767</x:v>
      </x:c>
      <x:c r="AA712" s="65" t="n">
        <x:v>172388.80197987845</x:v>
      </x:c>
      <x:c r="AB712" s="65" t="n">
        <x:v>1967.4714876261155</x:v>
      </x:c>
      <x:c r="AC712" s="65" t="n">
        <x:v>0</x:v>
      </x:c>
      <x:c r="AD712" s="65" t="n">
        <x:v>1770.1229634162783</x:v>
      </x:c>
      <x:c r="AE712" s="65" t="n">
        <x:v>80795.64441416958</x:v>
      </x:c>
      <x:c r="AF712" s="65" t="n">
        <x:v>187778.31817357594</x:v>
      </x:c>
      <x:c r="AG712" s="65" t="n">
        <x:v>0</x:v>
      </x:c>
      <x:c r="AH712" s="34" t="n">
        <x:v>0</x:v>
      </x:c>
    </x:row>
    <x:row r="713" ht="21.600000381469727" hidden="0" customHeight="1">
      <x:c r="A713" s="36" t="n">
        <x:v>178</x:v>
      </x:c>
      <x:c r="B713" s="36" t="str">
        <x:v>M0</x:v>
      </x:c>
      <x:c r="C713" s="36" t="str">
        <x:v>reference</x:v>
      </x:c>
      <x:c r="D713" s="75" t="n">
        <x:v>1.17288270242158</x:v>
      </x:c>
      <x:c r="E713" s="75" t="n">
        <x:v>-0.0013366371307904357</x:v>
      </x:c>
      <x:c r="F713" s="75" t="n">
        <x:v>0.9710475450634133</x:v>
      </x:c>
      <x:c r="G713" s="75" t="n">
        <x:v>0.9660540525402188</x:v>
      </x:c>
      <x:c r="H713" s="75" t="n">
        <x:v>0.9246148043781549</x:v>
      </x:c>
      <x:c r="I713" s="75" t="n">
        <x:v>0.8670185270334843</x:v>
      </x:c>
      <x:c r="J713" s="75" t="n">
        <x:v>1.0187228374149766</x:v>
      </x:c>
      <x:c r="K713" s="75" t="n">
        <x:v>0.915209633968717</x:v>
      </x:c>
      <x:c r="L713" s="75" t="n">
        <x:v>0.8863555595029083</x:v>
      </x:c>
      <x:c r="M713" s="75" t="n">
        <x:v>0.9522146008983823</x:v>
      </x:c>
      <x:c r="N713" s="75" t="n">
        <x:v>0.9861359458581886</x:v>
      </x:c>
      <x:c r="O713" s="66" t="n">
        <x:v>564214.9894233606</x:v>
      </x:c>
      <x:c r="P713" s="66" t="n">
        <x:v>83169.27973721236</x:v>
      </x:c>
      <x:c r="Q713" s="66" t="n">
        <x:v>481045.7096861482</x:v>
      </x:c>
      <x:c r="R713" s="66" t="n">
        <x:v>104505.0915937018</x:v>
      </x:c>
      <x:c r="S713" s="66" t="n">
        <x:v>376540.6180924464</x:v>
      </x:c>
      <x:c r="T713" s="66" t="n">
        <x:v>264391.9865703436</x:v>
      </x:c>
      <x:c r="U713" s="45" t="n">
        <x:v>0.6160085655696081</x:v>
      </x:c>
      <x:c r="V713" s="45" t="n">
        <x:v>0.6413766475082687</x:v>
      </x:c>
      <x:c r="W713" s="45" t="n">
        <x:v>0.14219067430830054</x:v>
      </x:c>
      <x:c r="X713" s="66" t="n">
        <x:v>65218191.544900246</x:v>
      </x:c>
      <x:c r="Y713" s="66" t="n">
        <x:v>115.5910296030146</x:v>
      </x:c>
      <x:c r="Z713" s="66" t="n">
        <x:v>5653732.73545606</x:v>
      </x:c>
      <x:c r="AA713" s="66" t="n">
        <x:v>350558.8595575852</x:v>
      </x:c>
      <x:c r="AB713" s="66" t="n">
        <x:v>50995.59720297401</x:v>
      </x:c>
      <x:c r="AC713" s="66" t="n">
        <x:v>0</x:v>
      </x:c>
      <x:c r="AD713" s="66" t="n">
        <x:v>2367.9100894342214</x:v>
      </x:c>
      <x:c r="AE713" s="66" t="n">
        <x:v>207590.55608891186</x:v>
      </x:c>
      <x:c r="AF713" s="66" t="n">
        <x:v>264391.98657034384</x:v>
      </x:c>
      <x:c r="AG713" s="66" t="n">
        <x:v>0</x:v>
      </x:c>
      <x:c r="AH713" s="36" t="n">
        <x:v>0</x:v>
      </x:c>
    </x:row>
    <x:row r="714" ht="21.600000381469727" hidden="0" customHeight="1">
      <x:c r="A714" s="34" t="n">
        <x:v>178</x:v>
      </x:c>
      <x:c r="B714" s="34" t="str">
        <x:v>B1</x:v>
      </x:c>
      <x:c r="C714" s="34" t="str">
        <x:v>reference</x:v>
      </x:c>
      <x:c r="D714" s="74" t="n">
        <x:v>1.17288270242158</x:v>
      </x:c>
      <x:c r="E714" s="74" t="n">
        <x:v>-0.0013366371307904357</x:v>
      </x:c>
      <x:c r="F714" s="74" t="n">
        <x:v>0.9710475450634133</x:v>
      </x:c>
      <x:c r="G714" s="74" t="n">
        <x:v>0.9660540525402188</x:v>
      </x:c>
      <x:c r="H714" s="74" t="n">
        <x:v>0.9246148043781549</x:v>
      </x:c>
      <x:c r="I714" s="74" t="n">
        <x:v>0.8670185270334843</x:v>
      </x:c>
      <x:c r="J714" s="74" t="n">
        <x:v>1.0187228374149766</x:v>
      </x:c>
      <x:c r="K714" s="74" t="n">
        <x:v>0.915209633968717</x:v>
      </x:c>
      <x:c r="L714" s="74" t="n">
        <x:v>0.8863555595029083</x:v>
      </x:c>
      <x:c r="M714" s="74" t="n">
        <x:v>0.9522146008983823</x:v>
      </x:c>
      <x:c r="N714" s="74" t="n">
        <x:v>0.9861359458581886</x:v>
      </x:c>
      <x:c r="O714" s="65" t="n">
        <x:v>564214.9894233606</x:v>
      </x:c>
      <x:c r="P714" s="65" t="n">
        <x:v>281333.46463361103</x:v>
      </x:c>
      <x:c r="Q714" s="65" t="n">
        <x:v>282881.5247897495</x:v>
      </x:c>
      <x:c r="R714" s="65" t="n">
        <x:v>104505.0915937018</x:v>
      </x:c>
      <x:c r="S714" s="65" t="n">
        <x:v>178376.43319604773</x:v>
      </x:c>
      <x:c r="T714" s="65" t="n">
        <x:v>201143.82186096458</x:v>
      </x:c>
      <x:c r="U714" s="43" t="n">
        <x:v>0.855130217273521</x:v>
      </x:c>
      <x:c r="V714" s="43" t="n">
        <x:v>0.8668574782001595</x:v>
      </x:c>
      <x:c r="W714" s="43" t="n">
        <x:v>0.5452584422085055</x:v>
      </x:c>
      <x:c r="X714" s="65" t="n">
        <x:v>37871125.64457232</x:v>
      </x:c>
      <x:c r="Y714" s="65" t="n">
        <x:v>67.12179994238969</x:v>
      </x:c>
      <x:c r="Z714" s="65" t="n">
        <x:v>2349153.448031322</x:v>
      </x:c>
      <x:c r="AA714" s="65" t="n">
        <x:v>196314.68961639577</x:v>
      </x:c>
      <x:c r="AB714" s="65" t="n">
        <x:v>13638.339975916551</x:v>
      </x:c>
      <x:c r="AC714" s="65" t="n">
        <x:v>0</x:v>
      </x:c>
      <x:c r="AD714" s="65" t="n">
        <x:v>1857.2302570600355</x:v>
      </x:c>
      <x:c r="AE714" s="65" t="n">
        <x:v>132581.7229606622</x:v>
      </x:c>
      <x:c r="AF714" s="65" t="n">
        <x:v>201143.82186096456</x:v>
      </x:c>
      <x:c r="AG714" s="65" t="n">
        <x:v>2.9103830456733704e-11</x:v>
      </x:c>
      <x:c r="AH714" s="34" t="n">
        <x:v>0</x:v>
      </x:c>
    </x:row>
    <x:row r="715" ht="21.600000381469727" hidden="0" customHeight="1">
      <x:c r="A715" s="36" t="n">
        <x:v>178</x:v>
      </x:c>
      <x:c r="B715" s="36" t="str">
        <x:v>P2</x:v>
      </x:c>
      <x:c r="C715" s="36" t="str">
        <x:v>reference</x:v>
      </x:c>
      <x:c r="D715" s="75" t="n">
        <x:v>1.17288270242158</x:v>
      </x:c>
      <x:c r="E715" s="75" t="n">
        <x:v>-0.0013366371307904357</x:v>
      </x:c>
      <x:c r="F715" s="75" t="n">
        <x:v>0.9710475450634133</x:v>
      </x:c>
      <x:c r="G715" s="75" t="n">
        <x:v>0.9660540525402188</x:v>
      </x:c>
      <x:c r="H715" s="75" t="n">
        <x:v>0.9246148043781549</x:v>
      </x:c>
      <x:c r="I715" s="75" t="n">
        <x:v>0.8670185270334843</x:v>
      </x:c>
      <x:c r="J715" s="75" t="n">
        <x:v>1.0187228374149766</x:v>
      </x:c>
      <x:c r="K715" s="75" t="n">
        <x:v>0.915209633968717</x:v>
      </x:c>
      <x:c r="L715" s="75" t="n">
        <x:v>0.8863555595029083</x:v>
      </x:c>
      <x:c r="M715" s="75" t="n">
        <x:v>0.9522146008983823</x:v>
      </x:c>
      <x:c r="N715" s="75" t="n">
        <x:v>0.9861359458581886</x:v>
      </x:c>
      <x:c r="O715" s="66" t="n">
        <x:v>564214.9894233606</x:v>
      </x:c>
      <x:c r="P715" s="66" t="n">
        <x:v>407564.8801417177</x:v>
      </x:c>
      <x:c r="Q715" s="66" t="n">
        <x:v>156650.1092816429</x:v>
      </x:c>
      <x:c r="R715" s="66" t="n">
        <x:v>104505.0915937018</x:v>
      </x:c>
      <x:c r="S715" s="66" t="n">
        <x:v>52145.01768794107</x:v>
      </x:c>
      <x:c r="T715" s="66" t="n">
        <x:v>136914.58737762852</x:v>
      </x:c>
      <x:c r="U715" s="45" t="n">
        <x:v>0.9650212733196181</x:v>
      </x:c>
      <x:c r="V715" s="45" t="n">
        <x:v>0.9677949929309768</x:v>
      </x:c>
      <x:c r="W715" s="45" t="n">
        <x:v>0.7606004788278607</x:v>
      </x:c>
      <x:c r="X715" s="66" t="n">
        <x:v>18799673.946288858</x:v>
      </x:c>
      <x:c r="Y715" s="66" t="n">
        <x:v>33.32005405510852</x:v>
      </x:c>
      <x:c r="Z715" s="66" t="n">
        <x:v>859606.8962884262</x:v>
      </x:c>
      <x:c r="AA715" s="66" t="n">
        <x:v>106106.39174646018</x:v>
      </x:c>
      <x:c r="AB715" s="66" t="n">
        <x:v>308.26674988537223</x:v>
      </x:c>
      <x:c r="AC715" s="66" t="n">
        <x:v>5679.5994213543345</x:v>
      </x:c>
      <x:c r="AD715" s="66" t="n">
        <x:v>1548.661513445241</x:v>
      </x:c>
      <x:c r="AE715" s="66" t="n">
        <x:v>70937.00096528417</x:v>
      </x:c>
      <x:c r="AF715" s="66" t="n">
        <x:v>136914.5873776285</x:v>
      </x:c>
      <x:c r="AG715" s="66" t="n">
        <x:v>2.9103830456733704e-11</x:v>
      </x:c>
      <x:c r="AH715" s="36" t="n">
        <x:v>0</x:v>
      </x:c>
    </x:row>
    <x:row r="716" ht="21.600000381469727" hidden="0" customHeight="1">
      <x:c r="A716" s="34" t="n">
        <x:v>178</x:v>
      </x:c>
      <x:c r="B716" s="34" t="str">
        <x:v>H3</x:v>
      </x:c>
      <x:c r="C716" s="34" t="str">
        <x:v>reference</x:v>
      </x:c>
      <x:c r="D716" s="74" t="n">
        <x:v>1.17288270242158</x:v>
      </x:c>
      <x:c r="E716" s="74" t="n">
        <x:v>-0.0013366371307904357</x:v>
      </x:c>
      <x:c r="F716" s="74" t="n">
        <x:v>0.9710475450634133</x:v>
      </x:c>
      <x:c r="G716" s="74" t="n">
        <x:v>0.9660540525402188</x:v>
      </x:c>
      <x:c r="H716" s="74" t="n">
        <x:v>0.9246148043781549</x:v>
      </x:c>
      <x:c r="I716" s="74" t="n">
        <x:v>0.8670185270334843</x:v>
      </x:c>
      <x:c r="J716" s="74" t="n">
        <x:v>1.0187228374149766</x:v>
      </x:c>
      <x:c r="K716" s="74" t="n">
        <x:v>0.915209633968717</x:v>
      </x:c>
      <x:c r="L716" s="74" t="n">
        <x:v>0.8863555595029083</x:v>
      </x:c>
      <x:c r="M716" s="74" t="n">
        <x:v>0.9522146008983823</x:v>
      </x:c>
      <x:c r="N716" s="74" t="n">
        <x:v>0.9861359458581886</x:v>
      </x:c>
      <x:c r="O716" s="65" t="n">
        <x:v>564214.9894233606</x:v>
      </x:c>
      <x:c r="P716" s="65" t="n">
        <x:v>422790.1113161497</x:v>
      </x:c>
      <x:c r="Q716" s="65" t="n">
        <x:v>141424.8781072108</x:v>
      </x:c>
      <x:c r="R716" s="65" t="n">
        <x:v>104505.0915937018</x:v>
      </x:c>
      <x:c r="S716" s="65" t="n">
        <x:v>36919.78651350901</x:v>
      </x:c>
      <x:c r="T716" s="65" t="n">
        <x:v>139910.85548114896</x:v>
      </x:c>
      <x:c r="U716" s="43" t="n">
        <x:v>0.9973165856022203</x:v>
      </x:c>
      <x:c r="V716" s="43" t="n">
        <x:v>0.9983098539701039</x:v>
      </x:c>
      <x:c r="W716" s="43" t="n">
        <x:v>0.9731658560222014</x:v>
      </x:c>
      <x:c r="X716" s="65" t="n">
        <x:v>14917141.072940823</x:v>
      </x:c>
      <x:c r="Y716" s="65" t="n">
        <x:v>26.43875358254209</x:v>
      </x:c>
      <x:c r="Z716" s="65" t="n">
        <x:v>1004099.2543021236</x:v>
      </x:c>
      <x:c r="AA716" s="65" t="n">
        <x:v>91221.54270835602</x:v>
      </x:c>
      <x:c r="AB716" s="65" t="n">
        <x:v>4182.523150584046</x:v>
      </x:c>
      <x:c r="AC716" s="65" t="n">
        <x:v>0</x:v>
      </x:c>
      <x:c r="AD716" s="65" t="n">
        <x:v>1514.0226260618535</x:v>
      </x:c>
      <x:c r="AE716" s="65" t="n">
        <x:v>69171.55418272736</x:v>
      </x:c>
      <x:c r="AF716" s="65" t="n">
        <x:v>139910.8554811488</x:v>
      </x:c>
      <x:c r="AG716" s="65" t="n">
        <x:v>1.4551915228366852e-10</x:v>
      </x:c>
      <x:c r="AH716" s="34" t="n">
        <x:v>1</x:v>
      </x:c>
    </x:row>
    <x:row r="717" ht="15" hidden="0" customHeight="1">
      <x:c r="A717" s="36" t="n">
        <x:v>179</x:v>
      </x:c>
      <x:c r="B717" s="36" t="str">
        <x:v>M0</x:v>
      </x:c>
      <x:c r="C717" s="36" t="str">
        <x:v>fast</x:v>
      </x:c>
      <x:c r="D717" s="75" t="n">
        <x:v>0.9458633092340905</x:v>
      </x:c>
      <x:c r="E717" s="75" t="n">
        <x:v>0.06372441756338901</x:v>
      </x:c>
      <x:c r="F717" s="75" t="n">
        <x:v>0.7834680750114699</x:v>
      </x:c>
      <x:c r="G717" s="75" t="n">
        <x:v>1.2191861280990919</x:v>
      </x:c>
      <x:c r="H717" s="75" t="n">
        <x:v>0.9044471132083136</x:v>
      </x:c>
      <x:c r="I717" s="75" t="n">
        <x:v>1.010651118143468</x:v>
      </x:c>
      <x:c r="J717" s="75" t="n">
        <x:v>0.8271758585878758</x:v>
      </x:c>
      <x:c r="K717" s="75" t="n">
        <x:v>0.7757067549941655</x:v>
      </x:c>
      <x:c r="L717" s="75" t="n">
        <x:v>1.0288204609360752</x:v>
      </x:c>
      <x:c r="M717" s="75" t="n">
        <x:v>1.015356319250078</x:v>
      </x:c>
      <x:c r="N717" s="75" t="n">
        <x:v>1.0472280087790398</x:v>
      </x:c>
      <x:c r="O717" s="66" t="n">
        <x:v>455007.3557343973</x:v>
      </x:c>
      <x:c r="P717" s="66" t="n">
        <x:v>49793.03235483615</x:v>
      </x:c>
      <x:c r="Q717" s="66" t="n">
        <x:v>405214.32337956125</x:v>
      </x:c>
      <x:c r="R717" s="66" t="n">
        <x:v>113880.68156448961</x:v>
      </x:c>
      <x:c r="S717" s="66" t="n">
        <x:v>291333.6418150716</x:v>
      </x:c>
      <x:c r="T717" s="66" t="n">
        <x:v>297606.0442408899</x:v>
      </x:c>
      <x:c r="U717" s="45" t="n">
        <x:v>0.7635021109384311</x:v>
      </x:c>
      <x:c r="V717" s="45" t="n">
        <x:v>0.7810646466154423</x:v>
      </x:c>
      <x:c r="W717" s="45" t="n">
        <x:v>0.12061131331082749</x:v>
      </x:c>
      <x:c r="X717" s="66" t="n">
        <x:v>49250923.82535608</x:v>
      </x:c>
      <x:c r="Y717" s="66" t="n">
        <x:v>108.24203873773297</x:v>
      </x:c>
      <x:c r="Z717" s="66" t="n">
        <x:v>4495505.322874083</x:v>
      </x:c>
      <x:c r="AA717" s="66" t="n">
        <x:v>273960.1988741128</x:v>
      </x:c>
      <x:c r="AB717" s="66" t="n">
        <x:v>29163.300663533486</x:v>
      </x:c>
      <x:c r="AC717" s="66" t="n">
        <x:v>2598.829658775484</x:v>
      </x:c>
      <x:c r="AD717" s="66" t="n">
        <x:v>1965.870489338109</x:v>
      </x:c>
      <x:c r="AE717" s="66" t="n">
        <x:v>207125.54428238075</x:v>
      </x:c>
      <x:c r="AF717" s="66" t="n">
        <x:v>297606.04424088984</x:v>
      </x:c>
      <x:c r="AG717" s="66" t="n">
        <x:v>5.820766091346741e-11</x:v>
      </x:c>
      <x:c r="AH717" s="36" t="n">
        <x:v>0</x:v>
      </x:c>
    </x:row>
    <x:row r="718" ht="15" hidden="0" customHeight="1">
      <x:c r="A718" s="34" t="n">
        <x:v>179</x:v>
      </x:c>
      <x:c r="B718" s="34" t="str">
        <x:v>B1</x:v>
      </x:c>
      <x:c r="C718" s="34" t="str">
        <x:v>fast</x:v>
      </x:c>
      <x:c r="D718" s="74" t="n">
        <x:v>0.9458633092340905</x:v>
      </x:c>
      <x:c r="E718" s="74" t="n">
        <x:v>0.06372441756338901</x:v>
      </x:c>
      <x:c r="F718" s="74" t="n">
        <x:v>0.7834680750114699</x:v>
      </x:c>
      <x:c r="G718" s="74" t="n">
        <x:v>1.2191861280990919</x:v>
      </x:c>
      <x:c r="H718" s="74" t="n">
        <x:v>0.9044471132083136</x:v>
      </x:c>
      <x:c r="I718" s="74" t="n">
        <x:v>1.010651118143468</x:v>
      </x:c>
      <x:c r="J718" s="74" t="n">
        <x:v>0.8271758585878758</x:v>
      </x:c>
      <x:c r="K718" s="74" t="n">
        <x:v>0.7757067549941655</x:v>
      </x:c>
      <x:c r="L718" s="74" t="n">
        <x:v>1.0288204609360752</x:v>
      </x:c>
      <x:c r="M718" s="74" t="n">
        <x:v>1.015356319250078</x:v>
      </x:c>
      <x:c r="N718" s="74" t="n">
        <x:v>1.0472280087790398</x:v>
      </x:c>
      <x:c r="O718" s="65" t="n">
        <x:v>455007.3557343973</x:v>
      </x:c>
      <x:c r="P718" s="65" t="n">
        <x:v>168434.495726722</x:v>
      </x:c>
      <x:c r="Q718" s="65" t="n">
        <x:v>286572.86000767536</x:v>
      </x:c>
      <x:c r="R718" s="65" t="n">
        <x:v>113880.68156448961</x:v>
      </x:c>
      <x:c r="S718" s="65" t="n">
        <x:v>172692.17844318575</x:v>
      </x:c>
      <x:c r="T718" s="65" t="n">
        <x:v>193925.04275449348</x:v>
      </x:c>
      <x:c r="U718" s="43" t="n">
        <x:v>0.7963817154040398</x:v>
      </x:c>
      <x:c r="V718" s="43" t="n">
        <x:v>0.8372620761458403</x:v>
      </x:c>
      <x:c r="W718" s="43" t="n">
        <x:v>0.4232204586067555</x:v>
      </x:c>
      <x:c r="X718" s="65" t="n">
        <x:v>35836006.8634243</x:v>
      </x:c>
      <x:c r="Y718" s="65" t="n">
        <x:v>78.75918138858167</x:v>
      </x:c>
      <x:c r="Z718" s="65" t="n">
        <x:v>1783479.3394683066</x:v>
      </x:c>
      <x:c r="AA718" s="65" t="n">
        <x:v>199657.57052364663</x:v>
      </x:c>
      <x:c r="AB718" s="65" t="n">
        <x:v>3615.3164154021997</x:v>
      </x:c>
      <x:c r="AC718" s="65" t="n">
        <x:v>29610.66387764827</x:v>
      </x:c>
      <x:c r="AD718" s="65" t="n">
        <x:v>1681.489878938613</x:v>
      </x:c>
      <x:c r="AE718" s="65" t="n">
        <x:v>105905.01577117284</x:v>
      </x:c>
      <x:c r="AF718" s="65" t="n">
        <x:v>193925.0427544935</x:v>
      </x:c>
      <x:c r="AG718" s="65" t="n">
        <x:v>0</x:v>
      </x:c>
      <x:c r="AH718" s="34" t="n">
        <x:v>0</x:v>
      </x:c>
    </x:row>
    <x:row r="719" ht="15" hidden="0" customHeight="1">
      <x:c r="A719" s="36" t="n">
        <x:v>179</x:v>
      </x:c>
      <x:c r="B719" s="36" t="str">
        <x:v>P2</x:v>
      </x:c>
      <x:c r="C719" s="36" t="str">
        <x:v>fast</x:v>
      </x:c>
      <x:c r="D719" s="75" t="n">
        <x:v>0.9458633092340905</x:v>
      </x:c>
      <x:c r="E719" s="75" t="n">
        <x:v>0.06372441756338901</x:v>
      </x:c>
      <x:c r="F719" s="75" t="n">
        <x:v>0.7834680750114699</x:v>
      </x:c>
      <x:c r="G719" s="75" t="n">
        <x:v>1.2191861280990919</x:v>
      </x:c>
      <x:c r="H719" s="75" t="n">
        <x:v>0.9044471132083136</x:v>
      </x:c>
      <x:c r="I719" s="75" t="n">
        <x:v>1.010651118143468</x:v>
      </x:c>
      <x:c r="J719" s="75" t="n">
        <x:v>0.8271758585878758</x:v>
      </x:c>
      <x:c r="K719" s="75" t="n">
        <x:v>0.7757067549941655</x:v>
      </x:c>
      <x:c r="L719" s="75" t="n">
        <x:v>1.0288204609360752</x:v>
      </x:c>
      <x:c r="M719" s="75" t="n">
        <x:v>1.015356319250078</x:v>
      </x:c>
      <x:c r="N719" s="75" t="n">
        <x:v>1.0472280087790398</x:v>
      </x:c>
      <x:c r="O719" s="66" t="n">
        <x:v>455007.3557343973</x:v>
      </x:c>
      <x:c r="P719" s="66" t="n">
        <x:v>244010.5810233212</x:v>
      </x:c>
      <x:c r="Q719" s="66" t="n">
        <x:v>210996.77471107617</x:v>
      </x:c>
      <x:c r="R719" s="66" t="n">
        <x:v>113880.68156448961</x:v>
      </x:c>
      <x:c r="S719" s="66" t="n">
        <x:v>97116.09314658656</x:v>
      </x:c>
      <x:c r="T719" s="66" t="n">
        <x:v>116356.00516121366</x:v>
      </x:c>
      <x:c r="U719" s="45" t="n">
        <x:v>0.792001671276041</x:v>
      </x:c>
      <x:c r="V719" s="45" t="n">
        <x:v>0.8054554957745652</x:v>
      </x:c>
      <x:c r="W719" s="45" t="n">
        <x:v>0.586059369587106</x:v>
      </x:c>
      <x:c r="X719" s="66" t="n">
        <x:v>26828323.51775442</x:v>
      </x:c>
      <x:c r="Y719" s="66" t="n">
        <x:v>58.96239517810123</x:v>
      </x:c>
      <x:c r="Z719" s="66" t="n">
        <x:v>1211184.9973284432</x:v>
      </x:c>
      <x:c r="AA719" s="66" t="n">
        <x:v>154869.59545751548</x:v>
      </x:c>
      <x:c r="AB719" s="66" t="n">
        <x:v>0</x:v>
      </x:c>
      <x:c r="AC719" s="66" t="n">
        <x:v>28626.461831329572</x:v>
      </x:c>
      <x:c r="AD719" s="66" t="n">
        <x:v>1509.6582104518807</x:v>
      </x:c>
      <x:c r="AE719" s="66" t="n">
        <x:v>69018.08046415407</x:v>
      </x:c>
      <x:c r="AF719" s="66" t="n">
        <x:v>116356.00516121363</x:v>
      </x:c>
      <x:c r="AG719" s="66" t="n">
        <x:v>2.9103830456733704e-11</x:v>
      </x:c>
      <x:c r="AH719" s="36" t="n">
        <x:v>0</x:v>
      </x:c>
    </x:row>
    <x:row r="720" ht="15" hidden="0" customHeight="1">
      <x:c r="A720" s="34" t="n">
        <x:v>179</x:v>
      </x:c>
      <x:c r="B720" s="34" t="str">
        <x:v>H3</x:v>
      </x:c>
      <x:c r="C720" s="34" t="str">
        <x:v>fast</x:v>
      </x:c>
      <x:c r="D720" s="74" t="n">
        <x:v>0.9458633092340905</x:v>
      </x:c>
      <x:c r="E720" s="74" t="n">
        <x:v>0.06372441756338901</x:v>
      </x:c>
      <x:c r="F720" s="74" t="n">
        <x:v>0.7834680750114699</x:v>
      </x:c>
      <x:c r="G720" s="74" t="n">
        <x:v>1.2191861280990919</x:v>
      </x:c>
      <x:c r="H720" s="74" t="n">
        <x:v>0.9044471132083136</x:v>
      </x:c>
      <x:c r="I720" s="74" t="n">
        <x:v>1.010651118143468</x:v>
      </x:c>
      <x:c r="J720" s="74" t="n">
        <x:v>0.8271758585878758</x:v>
      </x:c>
      <x:c r="K720" s="74" t="n">
        <x:v>0.7757067549941655</x:v>
      </x:c>
      <x:c r="L720" s="74" t="n">
        <x:v>1.0288204609360752</x:v>
      </x:c>
      <x:c r="M720" s="74" t="n">
        <x:v>1.015356319250078</x:v>
      </x:c>
      <x:c r="N720" s="74" t="n">
        <x:v>1.0472280087790398</x:v>
      </x:c>
      <x:c r="O720" s="65" t="n">
        <x:v>455007.3557343973</x:v>
      </x:c>
      <x:c r="P720" s="65" t="n">
        <x:v>253126.2386040969</x:v>
      </x:c>
      <x:c r="Q720" s="65" t="n">
        <x:v>201881.11713030044</x:v>
      </x:c>
      <x:c r="R720" s="65" t="n">
        <x:v>113880.68156448961</x:v>
      </x:c>
      <x:c r="S720" s="65" t="n">
        <x:v>88000.43556581083</x:v>
      </x:c>
      <x:c r="T720" s="65" t="n">
        <x:v>193920.9064704399</x:v>
      </x:c>
      <x:c r="U720" s="43" t="n">
        <x:v>0.9825053143437374</x:v>
      </x:c>
      <x:c r="V720" s="43" t="n">
        <x:v>0.989430606820849</x:v>
      </x:c>
      <x:c r="W720" s="43" t="n">
        <x:v>0.8292688253985113</x:v>
      </x:c>
      <x:c r="X720" s="65" t="n">
        <x:v>19590051.631450832</x:v>
      </x:c>
      <x:c r="Y720" s="65" t="n">
        <x:v>43.05436249449599</x:v>
      </x:c>
      <x:c r="Z720" s="65" t="n">
        <x:v>1446491.8691728064</x:v>
      </x:c>
      <x:c r="AA720" s="65" t="n">
        <x:v>124843.21215524251</x:v>
      </x:c>
      <x:c r="AB720" s="65" t="n">
        <x:v>2342.464338033817</x:v>
      </x:c>
      <x:c r="AC720" s="65" t="n">
        <x:v>6508.79458488972</x:v>
      </x:c>
      <x:c r="AD720" s="65" t="n">
        <x:v>1490.3689663635623</x:v>
      </x:c>
      <x:c r="AE720" s="65" t="n">
        <x:v>45414.83689058488</x:v>
      </x:c>
      <x:c r="AF720" s="65" t="n">
        <x:v>193920.9064704401</x:v>
      </x:c>
      <x:c r="AG720" s="65" t="n">
        <x:v>0</x:v>
      </x:c>
      <x:c r="AH720" s="34" t="n">
        <x:v>1</x:v>
      </x:c>
    </x:row>
    <x:row r="721" ht="21.600000381469727" hidden="0" customHeight="1">
      <x:c r="A721" s="36" t="n">
        <x:v>180</x:v>
      </x:c>
      <x:c r="B721" s="36" t="str">
        <x:v>M0</x:v>
      </x:c>
      <x:c r="C721" s="36" t="str">
        <x:v>reference</x:v>
      </x:c>
      <x:c r="D721" s="75" t="n">
        <x:v>0.997716693237159</x:v>
      </x:c>
      <x:c r="E721" s="75" t="n">
        <x:v>-0.008697070830094612</x:v>
      </x:c>
      <x:c r="F721" s="75" t="n">
        <x:v>0.9491038246291061</x:v>
      </x:c>
      <x:c r="G721" s="75" t="n">
        <x:v>1.1806729228820283</x:v>
      </x:c>
      <x:c r="H721" s="75" t="n">
        <x:v>0.7791475552145967</x:v>
      </x:c>
      <x:c r="I721" s="75" t="n">
        <x:v>0.9473763122536196</x:v>
      </x:c>
      <x:c r="J721" s="75" t="n">
        <x:v>0.8123293319796624</x:v>
      </x:c>
      <x:c r="K721" s="75" t="n">
        <x:v>0.8824821902831991</x:v>
      </x:c>
      <x:c r="L721" s="75" t="n">
        <x:v>1.016437053827171</x:v>
      </x:c>
      <x:c r="M721" s="75" t="n">
        <x:v>0.7807072798234421</x:v>
      </x:c>
      <x:c r="N721" s="75" t="n">
        <x:v>0.895027880323092</x:v>
      </x:c>
      <x:c r="O721" s="66" t="n">
        <x:v>479951.41573839664</x:v>
      </x:c>
      <x:c r="P721" s="66" t="n">
        <x:v>69774.25474998815</x:v>
      </x:c>
      <x:c r="Q721" s="66" t="n">
        <x:v>410177.1609884085</x:v>
      </x:c>
      <x:c r="R721" s="66" t="n">
        <x:v>85364.96399183679</x:v>
      </x:c>
      <x:c r="S721" s="66" t="n">
        <x:v>324812.1969965717</x:v>
      </x:c>
      <x:c r="T721" s="66" t="n">
        <x:v>257941.51800388828</x:v>
      </x:c>
      <x:c r="U721" s="45" t="n">
        <x:v>0.6828103053924565</x:v>
      </x:c>
      <x:c r="V721" s="45" t="n">
        <x:v>0.7221794634823427</x:v>
      </x:c>
      <x:c r="W721" s="45" t="n">
        <x:v>0.15067044534049728</x:v>
      </x:c>
      <x:c r="X721" s="66" t="n">
        <x:v>53491322.15920641</x:v>
      </x:c>
      <x:c r="Y721" s="66" t="n">
        <x:v>111.45153531198773</x:v>
      </x:c>
      <x:c r="Z721" s="66" t="n">
        <x:v>3942221.420721012</x:v>
      </x:c>
      <x:c r="AA721" s="66" t="n">
        <x:v>292806.35654966626</x:v>
      </x:c>
      <x:c r="AB721" s="66" t="n">
        <x:v>28797.82854262519</x:v>
      </x:c>
      <x:c r="AC721" s="66" t="n">
        <x:v>845.9309206206818</x:v>
      </x:c>
      <x:c r="AD721" s="66" t="n">
        <x:v>2015.5482104273888</x:v>
      </x:c>
      <x:c r="AE721" s="66" t="n">
        <x:v>232164.71505058324</x:v>
      </x:c>
      <x:c r="AF721" s="66" t="n">
        <x:v>257941.51800388843</x:v>
      </x:c>
      <x:c r="AG721" s="66" t="n">
        <x:v>0</x:v>
      </x:c>
      <x:c r="AH721" s="36" t="n">
        <x:v>0</x:v>
      </x:c>
    </x:row>
    <x:row r="722" ht="21.600000381469727" hidden="0" customHeight="1">
      <x:c r="A722" s="34" t="n">
        <x:v>180</x:v>
      </x:c>
      <x:c r="B722" s="34" t="str">
        <x:v>B1</x:v>
      </x:c>
      <x:c r="C722" s="34" t="str">
        <x:v>reference</x:v>
      </x:c>
      <x:c r="D722" s="74" t="n">
        <x:v>0.997716693237159</x:v>
      </x:c>
      <x:c r="E722" s="74" t="n">
        <x:v>-0.008697070830094612</x:v>
      </x:c>
      <x:c r="F722" s="74" t="n">
        <x:v>0.9491038246291061</x:v>
      </x:c>
      <x:c r="G722" s="74" t="n">
        <x:v>1.1806729228820283</x:v>
      </x:c>
      <x:c r="H722" s="74" t="n">
        <x:v>0.7791475552145967</x:v>
      </x:c>
      <x:c r="I722" s="74" t="n">
        <x:v>0.9473763122536196</x:v>
      </x:c>
      <x:c r="J722" s="74" t="n">
        <x:v>0.8123293319796624</x:v>
      </x:c>
      <x:c r="K722" s="74" t="n">
        <x:v>0.8824821902831991</x:v>
      </x:c>
      <x:c r="L722" s="74" t="n">
        <x:v>1.016437053827171</x:v>
      </x:c>
      <x:c r="M722" s="74" t="n">
        <x:v>0.7807072798234421</x:v>
      </x:c>
      <x:c r="N722" s="74" t="n">
        <x:v>0.895027880323092</x:v>
      </x:c>
      <x:c r="O722" s="65" t="n">
        <x:v>479951.41573839664</x:v>
      </x:c>
      <x:c r="P722" s="65" t="n">
        <x:v>236022.41343035363</x:v>
      </x:c>
      <x:c r="Q722" s="65" t="n">
        <x:v>243929.002308043</x:v>
      </x:c>
      <x:c r="R722" s="65" t="n">
        <x:v>85364.96399183679</x:v>
      </x:c>
      <x:c r="S722" s="65" t="n">
        <x:v>158564.03831620625</x:v>
      </x:c>
      <x:c r="T722" s="65" t="n">
        <x:v>184451.04254111822</x:v>
      </x:c>
      <x:c r="U722" s="43" t="n">
        <x:v>0.8760750404800474</x:v>
      </x:c>
      <x:c r="V722" s="43" t="n">
        <x:v>0.8965264708588039</x:v>
      </x:c>
      <x:c r="W722" s="43" t="n">
        <x:v>0.560002137495456</x:v>
      </x:c>
      <x:c r="X722" s="65" t="n">
        <x:v>31700963.047047406</x:v>
      </x:c>
      <x:c r="Y722" s="65" t="n">
        <x:v>66.05035844779422</x:v>
      </x:c>
      <x:c r="Z722" s="65" t="n">
        <x:v>1182888.257789877</x:v>
      </x:c>
      <x:c r="AA722" s="65" t="n">
        <x:v>169612.7859924615</x:v>
      </x:c>
      <x:c r="AB722" s="65" t="n">
        <x:v>1568.1359582646137</x:v>
      </x:c>
      <x:c r="AC722" s="65" t="n">
        <x:v>0</x:v>
      </x:c>
      <x:c r="AD722" s="65" t="n">
        <x:v>1584.0291620375813</x:v>
      </x:c>
      <x:c r="AE722" s="65" t="n">
        <x:v>116602.68553572806</x:v>
      </x:c>
      <x:c r="AF722" s="65" t="n">
        <x:v>184451.04254111822</x:v>
      </x:c>
      <x:c r="AG722" s="65" t="n">
        <x:v>0</x:v>
      </x:c>
      <x:c r="AH722" s="34" t="n">
        <x:v>0</x:v>
      </x:c>
    </x:row>
    <x:row r="723" ht="21.600000381469727" hidden="0" customHeight="1">
      <x:c r="A723" s="36" t="n">
        <x:v>180</x:v>
      </x:c>
      <x:c r="B723" s="36" t="str">
        <x:v>P2</x:v>
      </x:c>
      <x:c r="C723" s="36" t="str">
        <x:v>reference</x:v>
      </x:c>
      <x:c r="D723" s="75" t="n">
        <x:v>0.997716693237159</x:v>
      </x:c>
      <x:c r="E723" s="75" t="n">
        <x:v>-0.008697070830094612</x:v>
      </x:c>
      <x:c r="F723" s="75" t="n">
        <x:v>0.9491038246291061</x:v>
      </x:c>
      <x:c r="G723" s="75" t="n">
        <x:v>1.1806729228820283</x:v>
      </x:c>
      <x:c r="H723" s="75" t="n">
        <x:v>0.7791475552145967</x:v>
      </x:c>
      <x:c r="I723" s="75" t="n">
        <x:v>0.9473763122536196</x:v>
      </x:c>
      <x:c r="J723" s="75" t="n">
        <x:v>0.8123293319796624</x:v>
      </x:c>
      <x:c r="K723" s="75" t="n">
        <x:v>0.8824821902831991</x:v>
      </x:c>
      <x:c r="L723" s="75" t="n">
        <x:v>1.016437053827171</x:v>
      </x:c>
      <x:c r="M723" s="75" t="n">
        <x:v>0.7807072798234421</x:v>
      </x:c>
      <x:c r="N723" s="75" t="n">
        <x:v>0.895027880323092</x:v>
      </x:c>
      <x:c r="O723" s="66" t="n">
        <x:v>479951.41573839664</x:v>
      </x:c>
      <x:c r="P723" s="66" t="n">
        <x:v>341923.0454584643</x:v>
      </x:c>
      <x:c r="Q723" s="66" t="n">
        <x:v>138028.37027993234</x:v>
      </x:c>
      <x:c r="R723" s="66" t="n">
        <x:v>85364.96399183679</x:v>
      </x:c>
      <x:c r="S723" s="66" t="n">
        <x:v>52663.406288095546</x:v>
      </x:c>
      <x:c r="T723" s="66" t="n">
        <x:v>117019.68874282867</x:v>
      </x:c>
      <x:c r="U723" s="45" t="n">
        <x:v>0.9562274829322418</x:v>
      </x:c>
      <x:c r="V723" s="45" t="n">
        <x:v>0.9606214056010823</x:v>
      </x:c>
      <x:c r="W723" s="45" t="n">
        <x:v>0.7470132965241845</x:v>
      </x:c>
      <x:c r="X723" s="66" t="n">
        <x:v>16676062.245890213</x:v>
      </x:c>
      <x:c r="Y723" s="66" t="n">
        <x:v>34.74531316932234</x:v>
      </x:c>
      <x:c r="Z723" s="66" t="n">
        <x:v>732221.5290258648</x:v>
      </x:c>
      <x:c r="AA723" s="66" t="n">
        <x:v>94302.12705782395</x:v>
      </x:c>
      <x:c r="AB723" s="66" t="n">
        <x:v>0</x:v>
      </x:c>
      <x:c r="AC723" s="66" t="n">
        <x:v>0</x:v>
      </x:c>
      <x:c r="AD723" s="66" t="n">
        <x:v>1323.2918425541473</x:v>
      </x:c>
      <x:c r="AE723" s="66" t="n">
        <x:v>63884.14559289214</x:v>
      </x:c>
      <x:c r="AF723" s="66" t="n">
        <x:v>117019.68874282864</x:v>
      </x:c>
      <x:c r="AG723" s="66" t="n">
        <x:v>2.9103830456733704e-11</x:v>
      </x:c>
      <x:c r="AH723" s="36" t="n">
        <x:v>0</x:v>
      </x:c>
    </x:row>
    <x:row r="724" ht="21.600000381469727" hidden="0" customHeight="1">
      <x:c r="A724" s="34" t="n">
        <x:v>180</x:v>
      </x:c>
      <x:c r="B724" s="34" t="str">
        <x:v>H3</x:v>
      </x:c>
      <x:c r="C724" s="34" t="str">
        <x:v>reference</x:v>
      </x:c>
      <x:c r="D724" s="74" t="n">
        <x:v>0.997716693237159</x:v>
      </x:c>
      <x:c r="E724" s="74" t="n">
        <x:v>-0.008697070830094612</x:v>
      </x:c>
      <x:c r="F724" s="74" t="n">
        <x:v>0.9491038246291061</x:v>
      </x:c>
      <x:c r="G724" s="74" t="n">
        <x:v>1.1806729228820283</x:v>
      </x:c>
      <x:c r="H724" s="74" t="n">
        <x:v>0.7791475552145967</x:v>
      </x:c>
      <x:c r="I724" s="74" t="n">
        <x:v>0.9473763122536196</x:v>
      </x:c>
      <x:c r="J724" s="74" t="n">
        <x:v>0.8123293319796624</x:v>
      </x:c>
      <x:c r="K724" s="74" t="n">
        <x:v>0.8824821902831991</x:v>
      </x:c>
      <x:c r="L724" s="74" t="n">
        <x:v>1.016437053827171</x:v>
      </x:c>
      <x:c r="M724" s="74" t="n">
        <x:v>0.7807072798234421</x:v>
      </x:c>
      <x:c r="N724" s="74" t="n">
        <x:v>0.895027880323092</x:v>
      </x:c>
      <x:c r="O724" s="65" t="n">
        <x:v>479951.41573839664</x:v>
      </x:c>
      <x:c r="P724" s="65" t="n">
        <x:v>354696.0849784218</x:v>
      </x:c>
      <x:c r="Q724" s="65" t="n">
        <x:v>125255.3307599749</x:v>
      </x:c>
      <x:c r="R724" s="65" t="n">
        <x:v>85364.96399183679</x:v>
      </x:c>
      <x:c r="S724" s="65" t="n">
        <x:v>39890.366768138105</x:v>
      </x:c>
      <x:c r="T724" s="65" t="n">
        <x:v>123961.30841030725</x:v>
      </x:c>
      <x:c r="U724" s="43" t="n">
        <x:v>0.9973038472077913</x:v>
      </x:c>
      <x:c r="V724" s="43" t="n">
        <x:v>0.9983018317573179</x:v>
      </x:c>
      <x:c r="W724" s="43" t="n">
        <x:v>0.9730384720779123</x:v>
      </x:c>
      <x:c r="X724" s="65" t="n">
        <x:v>12966249.051713597</x:v>
      </x:c>
      <x:c r="Y724" s="65" t="n">
        <x:v>27.015753316958666</x:v>
      </x:c>
      <x:c r="Z724" s="65" t="n">
        <x:v>755511.7144121137</x:v>
      </x:c>
      <x:c r="AA724" s="65" t="n">
        <x:v>79387.79344383342</x:v>
      </x:c>
      <x:c r="AB724" s="65" t="n">
        <x:v>1152.8997874956615</x:v>
      </x:c>
      <x:c r="AC724" s="65" t="n">
        <x:v>0</x:v>
      </x:c>
      <x:c r="AD724" s="65" t="n">
        <x:v>1294.0223496676358</x:v>
      </x:c>
      <x:c r="AE724" s="65" t="n">
        <x:v>59119.07396616178</x:v>
      </x:c>
      <x:c r="AF724" s="65" t="n">
        <x:v>123961.30841030726</x:v>
      </x:c>
      <x:c r="AG724" s="65" t="n">
        <x:v>0</x:v>
      </x:c>
      <x:c r="AH724" s="34" t="n">
        <x:v>1</x:v>
      </x:c>
    </x:row>
    <x:row r="725" ht="15" hidden="0" customHeight="1">
      <x:c r="A725" s="36" t="n">
        <x:v>181</x:v>
      </x:c>
      <x:c r="B725" s="36" t="str">
        <x:v>M0</x:v>
      </x:c>
      <x:c r="C725" s="36" t="str">
        <x:v>fast</x:v>
      </x:c>
      <x:c r="D725" s="75" t="n">
        <x:v>1.114614385797832</x:v>
      </x:c>
      <x:c r="E725" s="75" t="n">
        <x:v>0.027605274636341486</x:v>
      </x:c>
      <x:c r="F725" s="75" t="n">
        <x:v>1.0280089114401012</x:v>
      </x:c>
      <x:c r="G725" s="75" t="n">
        <x:v>1.0654373158078771</x:v>
      </x:c>
      <x:c r="H725" s="75" t="n">
        <x:v>0.8059604737384999</x:v>
      </x:c>
      <x:c r="I725" s="75" t="n">
        <x:v>0.7719783074454201</x:v>
      </x:c>
      <x:c r="J725" s="75" t="n">
        <x:v>0.9722108913539665</x:v>
      </x:c>
      <x:c r="K725" s="75" t="n">
        <x:v>0.7342768323462754</x:v>
      </x:c>
      <x:c r="L725" s="75" t="n">
        <x:v>1.0470922643552052</x:v>
      </x:c>
      <x:c r="M725" s="75" t="n">
        <x:v>1.0327213631648031</x:v>
      </x:c>
      <x:c r="N725" s="75" t="n">
        <x:v>0.8882829892652617</x:v>
      </x:c>
      <x:c r="O725" s="66" t="n">
        <x:v>536185.02736517</x:v>
      </x:c>
      <x:c r="P725" s="66" t="n">
        <x:v>80701.03224457629</x:v>
      </x:c>
      <x:c r="Q725" s="66" t="n">
        <x:v>455483.9951205936</x:v>
      </x:c>
      <x:c r="R725" s="66" t="n">
        <x:v>114831.54259321302</x:v>
      </x:c>
      <x:c r="S725" s="66" t="n">
        <x:v>340652.4525273806</x:v>
      </x:c>
      <x:c r="T725" s="66" t="n">
        <x:v>242071.515570704</x:v>
      </x:c>
      <x:c r="U725" s="45" t="n">
        <x:v>0.6019797856001214</x:v>
      </x:c>
      <x:c r="V725" s="45" t="n">
        <x:v>0.6306270183371289</x:v>
      </x:c>
      <x:c r="W725" s="45" t="n">
        <x:v>0.14654489964230985</x:v>
      </x:c>
      <x:c r="X725" s="66" t="n">
        <x:v>62324913.07742417</x:v>
      </x:c>
      <x:c r="Y725" s="66" t="n">
        <x:v>116.23769761660587</x:v>
      </x:c>
      <x:c r="Z725" s="66" t="n">
        <x:v>5688232.356900056</x:v>
      </x:c>
      <x:c r="AA725" s="66" t="n">
        <x:v>332314.76663229475</x:v>
      </x:c>
      <x:c r="AB725" s="66" t="n">
        <x:v>53079.70657155539</x:v>
      </x:c>
      <x:c r="AC725" s="66" t="n">
        <x:v>0</x:v>
      </x:c>
      <x:c r="AD725" s="66" t="n">
        <x:v>2252.250788711677</x:v>
      </x:c>
      <x:c r="AE725" s="66" t="n">
        <x:v>178538.51769321767</x:v>
      </x:c>
      <x:c r="AF725" s="66" t="n">
        <x:v>242071.51557070384</x:v>
      </x:c>
      <x:c r="AG725" s="66" t="n">
        <x:v>1.7462298274040222e-10</x:v>
      </x:c>
      <x:c r="AH725" s="36" t="n">
        <x:v>0</x:v>
      </x:c>
    </x:row>
    <x:row r="726" ht="15" hidden="0" customHeight="1">
      <x:c r="A726" s="34" t="n">
        <x:v>181</x:v>
      </x:c>
      <x:c r="B726" s="34" t="str">
        <x:v>B1</x:v>
      </x:c>
      <x:c r="C726" s="34" t="str">
        <x:v>fast</x:v>
      </x:c>
      <x:c r="D726" s="74" t="n">
        <x:v>1.114614385797832</x:v>
      </x:c>
      <x:c r="E726" s="74" t="n">
        <x:v>0.027605274636341486</x:v>
      </x:c>
      <x:c r="F726" s="74" t="n">
        <x:v>1.0280089114401012</x:v>
      </x:c>
      <x:c r="G726" s="74" t="n">
        <x:v>1.0654373158078771</x:v>
      </x:c>
      <x:c r="H726" s="74" t="n">
        <x:v>0.8059604737384999</x:v>
      </x:c>
      <x:c r="I726" s="74" t="n">
        <x:v>0.7719783074454201</x:v>
      </x:c>
      <x:c r="J726" s="74" t="n">
        <x:v>0.9722108913539665</x:v>
      </x:c>
      <x:c r="K726" s="74" t="n">
        <x:v>0.7342768323462754</x:v>
      </x:c>
      <x:c r="L726" s="74" t="n">
        <x:v>1.0470922643552052</x:v>
      </x:c>
      <x:c r="M726" s="74" t="n">
        <x:v>1.0327213631648031</x:v>
      </x:c>
      <x:c r="N726" s="74" t="n">
        <x:v>0.8882829892652617</x:v>
      </x:c>
      <x:c r="O726" s="65" t="n">
        <x:v>536185.02736517</x:v>
      </x:c>
      <x:c r="P726" s="65" t="n">
        <x:v>272985.29056868976</x:v>
      </x:c>
      <x:c r="Q726" s="65" t="n">
        <x:v>263199.73679648014</x:v>
      </x:c>
      <x:c r="R726" s="65" t="n">
        <x:v>114831.54259321302</x:v>
      </x:c>
      <x:c r="S726" s="65" t="n">
        <x:v>148368.1942032671</x:v>
      </x:c>
      <x:c r="T726" s="65" t="n">
        <x:v>178798.1933547762</x:v>
      </x:c>
      <x:c r="U726" s="43" t="n">
        <x:v>0.842588772281733</x:v>
      </x:c>
      <x:c r="V726" s="43" t="n">
        <x:v>0.8591015061465257</x:v>
      </x:c>
      <x:c r="W726" s="43" t="n">
        <x:v>0.5646691110315927</x:v>
      </x:c>
      <x:c r="X726" s="65" t="n">
        <x:v>36121238.580279365</x:v>
      </x:c>
      <x:c r="Y726" s="65" t="n">
        <x:v>67.36711533662226</x:v>
      </x:c>
      <x:c r="Z726" s="65" t="n">
        <x:v>2342144.741683614</x:v>
      </x:c>
      <x:c r="AA726" s="65" t="n">
        <x:v>185184.2676857797</x:v>
      </x:c>
      <x:c r="AB726" s="65" t="n">
        <x:v>14369.474072558443</x:v>
      </x:c>
      <x:c r="AC726" s="65" t="n">
        <x:v>5087.952210084321</x:v>
      </x:c>
      <x:c r="AD726" s="65" t="n">
        <x:v>1771.4191326538703</x:v>
      </x:c>
      <x:c r="AE726" s="65" t="n">
        <x:v>109451.85456637957</x:v>
      </x:c>
      <x:c r="AF726" s="65" t="n">
        <x:v>178798.1933547763</x:v>
      </x:c>
      <x:c r="AG726" s="65" t="n">
        <x:v>0</x:v>
      </x:c>
      <x:c r="AH726" s="34" t="n">
        <x:v>0</x:v>
      </x:c>
    </x:row>
    <x:row r="727" ht="15" hidden="0" customHeight="1">
      <x:c r="A727" s="36" t="n">
        <x:v>181</x:v>
      </x:c>
      <x:c r="B727" s="36" t="str">
        <x:v>P2</x:v>
      </x:c>
      <x:c r="C727" s="36" t="str">
        <x:v>fast</x:v>
      </x:c>
      <x:c r="D727" s="75" t="n">
        <x:v>1.114614385797832</x:v>
      </x:c>
      <x:c r="E727" s="75" t="n">
        <x:v>0.027605274636341486</x:v>
      </x:c>
      <x:c r="F727" s="75" t="n">
        <x:v>1.0280089114401012</x:v>
      </x:c>
      <x:c r="G727" s="75" t="n">
        <x:v>1.0654373158078771</x:v>
      </x:c>
      <x:c r="H727" s="75" t="n">
        <x:v>0.8059604737384999</x:v>
      </x:c>
      <x:c r="I727" s="75" t="n">
        <x:v>0.7719783074454201</x:v>
      </x:c>
      <x:c r="J727" s="75" t="n">
        <x:v>0.9722108913539665</x:v>
      </x:c>
      <x:c r="K727" s="75" t="n">
        <x:v>0.7342768323462754</x:v>
      </x:c>
      <x:c r="L727" s="75" t="n">
        <x:v>1.0470922643552052</x:v>
      </x:c>
      <x:c r="M727" s="75" t="n">
        <x:v>1.0327213631648031</x:v>
      </x:c>
      <x:c r="N727" s="75" t="n">
        <x:v>0.8882829892652617</x:v>
      </x:c>
      <x:c r="O727" s="66" t="n">
        <x:v>536185.02736517</x:v>
      </x:c>
      <x:c r="P727" s="66" t="n">
        <x:v>395471.8398005253</x:v>
      </x:c>
      <x:c r="Q727" s="66" t="n">
        <x:v>140713.18756464456</x:v>
      </x:c>
      <x:c r="R727" s="66" t="n">
        <x:v>114831.54259321302</x:v>
      </x:c>
      <x:c r="S727" s="66" t="n">
        <x:v>25881.64497143153</x:v>
      </x:c>
      <x:c r="T727" s="66" t="n">
        <x:v>110140.37439651025</x:v>
      </x:c>
      <x:c r="U727" s="45" t="n">
        <x:v>0.942980852489727</x:v>
      </x:c>
      <x:c r="V727" s="45" t="n">
        <x:v>0.9518798718046133</x:v>
      </x:c>
      <x:c r="W727" s="45" t="n">
        <x:v>0.8359900481154595</x:v>
      </x:c>
      <x:c r="X727" s="66" t="n">
        <x:v>17328169.184305478</x:v>
      </x:c>
      <x:c r="Y727" s="66" t="n">
        <x:v>32.317517834201084</x:v>
      </x:c>
      <x:c r="Z727" s="66" t="n">
        <x:v>846346.4747376078</x:v>
      </x:c>
      <x:c r="AA727" s="66" t="n">
        <x:v>96475.96559426203</x:v>
      </x:c>
      <x:c r="AB727" s="66" t="n">
        <x:v>49.002414447681446</x:v>
      </x:c>
      <x:c r="AC727" s="66" t="n">
        <x:v>15421.094558491955</x:v>
      </x:c>
      <x:c r="AD727" s="66" t="n">
        <x:v>1480.8855916871205</x:v>
      </x:c>
      <x:c r="AE727" s="66" t="n">
        <x:v>67827.8501514178</x:v>
      </x:c>
      <x:c r="AF727" s="66" t="n">
        <x:v>110140.37439651016</x:v>
      </x:c>
      <x:c r="AG727" s="66" t="n">
        <x:v>8.731149137020111e-11</x:v>
      </x:c>
      <x:c r="AH727" s="36" t="n">
        <x:v>0</x:v>
      </x:c>
    </x:row>
    <x:row r="728" ht="15" hidden="0" customHeight="1">
      <x:c r="A728" s="34" t="n">
        <x:v>181</x:v>
      </x:c>
      <x:c r="B728" s="34" t="str">
        <x:v>H3</x:v>
      </x:c>
      <x:c r="C728" s="34" t="str">
        <x:v>fast</x:v>
      </x:c>
      <x:c r="D728" s="74" t="n">
        <x:v>1.114614385797832</x:v>
      </x:c>
      <x:c r="E728" s="74" t="n">
        <x:v>0.027605274636341486</x:v>
      </x:c>
      <x:c r="F728" s="74" t="n">
        <x:v>1.0280089114401012</x:v>
      </x:c>
      <x:c r="G728" s="74" t="n">
        <x:v>1.0654373158078771</x:v>
      </x:c>
      <x:c r="H728" s="74" t="n">
        <x:v>0.8059604737384999</x:v>
      </x:c>
      <x:c r="I728" s="74" t="n">
        <x:v>0.7719783074454201</x:v>
      </x:c>
      <x:c r="J728" s="74" t="n">
        <x:v>0.9722108913539665</x:v>
      </x:c>
      <x:c r="K728" s="74" t="n">
        <x:v>0.7342768323462754</x:v>
      </x:c>
      <x:c r="L728" s="74" t="n">
        <x:v>1.0470922643552052</x:v>
      </x:c>
      <x:c r="M728" s="74" t="n">
        <x:v>1.0327213631648031</x:v>
      </x:c>
      <x:c r="N728" s="74" t="n">
        <x:v>0.8882829892652617</x:v>
      </x:c>
      <x:c r="O728" s="65" t="n">
        <x:v>536185.02736517</x:v>
      </x:c>
      <x:c r="P728" s="65" t="n">
        <x:v>410245.49247622455</x:v>
      </x:c>
      <x:c r="Q728" s="65" t="n">
        <x:v>125939.5348889453</x:v>
      </x:c>
      <x:c r="R728" s="65" t="n">
        <x:v>114831.54259321302</x:v>
      </x:c>
      <x:c r="S728" s="65" t="n">
        <x:v>11107.992295732296</x:v>
      </x:c>
      <x:c r="T728" s="65" t="n">
        <x:v>124491.26361356498</x:v>
      </x:c>
      <x:c r="U728" s="43" t="n">
        <x:v>0.9972989337608004</x:v>
      </x:c>
      <x:c r="V728" s="43" t="n">
        <x:v>0.9982987374335007</x:v>
      </x:c>
      <x:c r="W728" s="43" t="n">
        <x:v>0.9729893376080049</x:v>
      </x:c>
      <x:c r="X728" s="65" t="n">
        <x:v>11679223.550613547</x:v>
      </x:c>
      <x:c r="Y728" s="65" t="n">
        <x:v>21.782076996826298</x:v>
      </x:c>
      <x:c r="Z728" s="65" t="n">
        <x:v>1070960.5542461502</x:v>
      </x:c>
      <x:c r="AA728" s="65" t="n">
        <x:v>83525.05231332201</x:v>
      </x:c>
      <x:c r="AB728" s="65" t="n">
        <x:v>6882.671382848417</x:v>
      </x:c>
      <x:c r="AC728" s="65" t="n">
        <x:v>0</x:v>
      </x:c>
      <x:c r="AD728" s="65" t="n">
        <x:v>1448.2712753803228</x:v>
      </x:c>
      <x:c r="AE728" s="65" t="n">
        <x:v>46978.67750109098</x:v>
      </x:c>
      <x:c r="AF728" s="65" t="n">
        <x:v>124491.263613565</x:v>
      </x:c>
      <x:c r="AG728" s="65" t="n">
        <x:v>0</x:v>
      </x:c>
      <x:c r="AH728" s="34" t="n">
        <x:v>1</x:v>
      </x:c>
    </x:row>
    <x:row r="729" ht="15" hidden="0" customHeight="1">
      <x:c r="A729" s="36" t="n">
        <x:v>182</x:v>
      </x:c>
      <x:c r="B729" s="36" t="str">
        <x:v>M0</x:v>
      </x:c>
      <x:c r="C729" s="36" t="str">
        <x:v>fast</x:v>
      </x:c>
      <x:c r="D729" s="75" t="n">
        <x:v>0.980177844640819</x:v>
      </x:c>
      <x:c r="E729" s="75" t="n">
        <x:v>0.02671856784730319</x:v>
      </x:c>
      <x:c r="F729" s="75" t="n">
        <x:v>0.8333592714838063</x:v>
      </x:c>
      <x:c r="G729" s="75" t="n">
        <x:v>1.1920256860898253</x:v>
      </x:c>
      <x:c r="H729" s="75" t="n">
        <x:v>0.773890577712238</x:v>
      </x:c>
      <x:c r="I729" s="75" t="n">
        <x:v>1.039767593513304</x:v>
      </x:c>
      <x:c r="J729" s="75" t="n">
        <x:v>0.8613241675720528</x:v>
      </x:c>
      <x:c r="K729" s="75" t="n">
        <x:v>0.8111875972379436</x:v>
      </x:c>
      <x:c r="L729" s="75" t="n">
        <x:v>0.8739571752390651</x:v>
      </x:c>
      <x:c r="M729" s="75" t="n">
        <x:v>0.9863116344992643</x:v>
      </x:c>
      <x:c r="N729" s="75" t="n">
        <x:v>0.849045435129669</x:v>
      </x:c>
      <x:c r="O729" s="66" t="n">
        <x:v>471514.35612889705</x:v>
      </x:c>
      <x:c r="P729" s="66" t="n">
        <x:v>57594.9729544584</x:v>
      </x:c>
      <x:c r="Q729" s="66" t="n">
        <x:v>413919.3831744386</x:v>
      </x:c>
      <x:c r="R729" s="66" t="n">
        <x:v>100563.3164831582</x:v>
      </x:c>
      <x:c r="S729" s="66" t="n">
        <x:v>313356.06669128046</x:v>
      </x:c>
      <x:c r="T729" s="66" t="n">
        <x:v>271041.3805556601</x:v>
      </x:c>
      <x:c r="U729" s="45" t="n">
        <x:v>0.6969805886891804</x:v>
      </x:c>
      <x:c r="V729" s="45" t="n">
        <x:v>0.7508845796332277</x:v>
      </x:c>
      <x:c r="W729" s="45" t="n">
        <x:v>0.13329863249244767</x:v>
      </x:c>
      <x:c r="X729" s="66" t="n">
        <x:v>52639859.6515298</x:v>
      </x:c>
      <x:c r="Y729" s="66" t="n">
        <x:v>111.63999349606172</x:v>
      </x:c>
      <x:c r="Z729" s="66" t="n">
        <x:v>2748077.36126934</x:v>
      </x:c>
      <x:c r="AA729" s="66" t="n">
        <x:v>297872.4307547105</x:v>
      </x:c>
      <x:c r="AB729" s="66" t="n">
        <x:v>11614.131901027558</x:v>
      </x:c>
      <x:c r="AC729" s="66" t="n">
        <x:v>0</x:v>
      </x:c>
      <x:c r="AD729" s="66" t="n">
        <x:v>2015.640051103859</x:v>
      </x:c>
      <x:c r="AE729" s="66" t="n">
        <x:v>222136.36349219107</x:v>
      </x:c>
      <x:c r="AF729" s="66" t="n">
        <x:v>271041.38055566035</x:v>
      </x:c>
      <x:c r="AG729" s="66" t="n">
        <x:v>0</x:v>
      </x:c>
      <x:c r="AH729" s="36" t="n">
        <x:v>0</x:v>
      </x:c>
    </x:row>
    <x:row r="730" ht="15" hidden="0" customHeight="1">
      <x:c r="A730" s="34" t="n">
        <x:v>182</x:v>
      </x:c>
      <x:c r="B730" s="34" t="str">
        <x:v>B1</x:v>
      </x:c>
      <x:c r="C730" s="34" t="str">
        <x:v>fast</x:v>
      </x:c>
      <x:c r="D730" s="74" t="n">
        <x:v>0.980177844640819</x:v>
      </x:c>
      <x:c r="E730" s="74" t="n">
        <x:v>0.02671856784730319</x:v>
      </x:c>
      <x:c r="F730" s="74" t="n">
        <x:v>0.8333592714838063</x:v>
      </x:c>
      <x:c r="G730" s="74" t="n">
        <x:v>1.1920256860898253</x:v>
      </x:c>
      <x:c r="H730" s="74" t="n">
        <x:v>0.773890577712238</x:v>
      </x:c>
      <x:c r="I730" s="74" t="n">
        <x:v>1.039767593513304</x:v>
      </x:c>
      <x:c r="J730" s="74" t="n">
        <x:v>0.8613241675720528</x:v>
      </x:c>
      <x:c r="K730" s="74" t="n">
        <x:v>0.8111875972379436</x:v>
      </x:c>
      <x:c r="L730" s="74" t="n">
        <x:v>0.8739571752390651</x:v>
      </x:c>
      <x:c r="M730" s="74" t="n">
        <x:v>0.9863116344992643</x:v>
      </x:c>
      <x:c r="N730" s="74" t="n">
        <x:v>0.849045435129669</x:v>
      </x:c>
      <x:c r="O730" s="65" t="n">
        <x:v>471514.35612889705</x:v>
      </x:c>
      <x:c r="P730" s="65" t="n">
        <x:v>194824.99832364367</x:v>
      </x:c>
      <x:c r="Q730" s="65" t="n">
        <x:v>276689.35780525336</x:v>
      </x:c>
      <x:c r="R730" s="65" t="n">
        <x:v>100563.3164831582</x:v>
      </x:c>
      <x:c r="S730" s="65" t="n">
        <x:v>176126.0413220952</x:v>
      </x:c>
      <x:c r="T730" s="65" t="n">
        <x:v>184167.7822104056</x:v>
      </x:c>
      <x:c r="U730" s="43" t="n">
        <x:v>0.8037778184434424</x:v>
      </x:c>
      <x:c r="V730" s="43" t="n">
        <x:v>0.8461659098910534</x:v>
      </x:c>
      <x:c r="W730" s="43" t="n">
        <x:v>0.46399255428793695</x:v>
      </x:c>
      <x:c r="X730" s="65" t="n">
        <x:v>36310986.54063553</x:v>
      </x:c>
      <x:c r="Y730" s="65" t="n">
        <x:v>77.00929159134502</x:v>
      </x:c>
      <x:c r="Z730" s="65" t="n">
        <x:v>1169389.0426962657</x:v>
      </x:c>
      <x:c r="AA730" s="65" t="n">
        <x:v>200742.42466738494</x:v>
      </x:c>
      <x:c r="AB730" s="65" t="n">
        <x:v>1468.0406040018183</x:v>
      </x:c>
      <x:c r="AC730" s="65" t="n">
        <x:v>0</x:v>
      </x:c>
      <x:c r="AD730" s="65" t="n">
        <x:v>1672.1458468649057</x:v>
      </x:c>
      <x:c r="AE730" s="65" t="n">
        <x:v>126401.76792310443</x:v>
      </x:c>
      <x:c r="AF730" s="65" t="n">
        <x:v>184167.7822104055</x:v>
      </x:c>
      <x:c r="AG730" s="65" t="n">
        <x:v>8.731149137020111e-11</x:v>
      </x:c>
      <x:c r="AH730" s="34" t="n">
        <x:v>0</x:v>
      </x:c>
    </x:row>
    <x:row r="731" ht="15" hidden="0" customHeight="1">
      <x:c r="A731" s="36" t="n">
        <x:v>182</x:v>
      </x:c>
      <x:c r="B731" s="36" t="str">
        <x:v>P2</x:v>
      </x:c>
      <x:c r="C731" s="36" t="str">
        <x:v>fast</x:v>
      </x:c>
      <x:c r="D731" s="75" t="n">
        <x:v>0.980177844640819</x:v>
      </x:c>
      <x:c r="E731" s="75" t="n">
        <x:v>0.02671856784730319</x:v>
      </x:c>
      <x:c r="F731" s="75" t="n">
        <x:v>0.8333592714838063</x:v>
      </x:c>
      <x:c r="G731" s="75" t="n">
        <x:v>1.1920256860898253</x:v>
      </x:c>
      <x:c r="H731" s="75" t="n">
        <x:v>0.773890577712238</x:v>
      </x:c>
      <x:c r="I731" s="75" t="n">
        <x:v>1.039767593513304</x:v>
      </x:c>
      <x:c r="J731" s="75" t="n">
        <x:v>0.8613241675720528</x:v>
      </x:c>
      <x:c r="K731" s="75" t="n">
        <x:v>0.8111875972379436</x:v>
      </x:c>
      <x:c r="L731" s="75" t="n">
        <x:v>0.8739571752390651</x:v>
      </x:c>
      <x:c r="M731" s="75" t="n">
        <x:v>0.9863116344992643</x:v>
      </x:c>
      <x:c r="N731" s="75" t="n">
        <x:v>0.849045435129669</x:v>
      </x:c>
      <x:c r="O731" s="66" t="n">
        <x:v>471514.35612889705</x:v>
      </x:c>
      <x:c r="P731" s="66" t="n">
        <x:v>282241.56315708475</x:v>
      </x:c>
      <x:c r="Q731" s="66" t="n">
        <x:v>189272.7929718123</x:v>
      </x:c>
      <x:c r="R731" s="66" t="n">
        <x:v>100563.3164831582</x:v>
      </x:c>
      <x:c r="S731" s="66" t="n">
        <x:v>88709.4764886541</x:v>
      </x:c>
      <x:c r="T731" s="66" t="n">
        <x:v>119744.53282773372</x:v>
      </x:c>
      <x:c r="U731" s="45" t="n">
        <x:v>0.8525426442687744</x:v>
      </x:c>
      <x:c r="V731" s="45" t="n">
        <x:v>0.8702697520901427</x:v>
      </x:c>
      <x:c r="W731" s="45" t="n">
        <x:v>0.6738959782898299</x:v>
      </x:c>
      <x:c r="X731" s="66" t="n">
        <x:v>24493968.52960806</x:v>
      </x:c>
      <x:c r="Y731" s="66" t="n">
        <x:v>51.947450191552996</x:v>
      </x:c>
      <x:c r="Z731" s="66" t="n">
        <x:v>748073.4470293463</x:v>
      </x:c>
      <x:c r="AA731" s="66" t="n">
        <x:v>140762.01962076966</x:v>
      </x:c>
      <x:c r="AB731" s="66" t="n">
        <x:v>0</x:v>
      </x:c>
      <x:c r="AC731" s="66" t="n">
        <x:v>3144.5591942101582</x:v>
      </x:c>
      <x:c r="AD731" s="66" t="n">
        <x:v>1464.5958941906144</x:v>
      </x:c>
      <x:c r="AE731" s="66" t="n">
        <x:v>74167.8441200945</x:v>
      </x:c>
      <x:c r="AF731" s="66" t="n">
        <x:v>119744.53282773368</x:v>
      </x:c>
      <x:c r="AG731" s="66" t="n">
        <x:v>4.3655745685100555e-11</x:v>
      </x:c>
      <x:c r="AH731" s="36" t="n">
        <x:v>0</x:v>
      </x:c>
    </x:row>
    <x:row r="732" ht="15" hidden="0" customHeight="1">
      <x:c r="A732" s="34" t="n">
        <x:v>182</x:v>
      </x:c>
      <x:c r="B732" s="34" t="str">
        <x:v>H3</x:v>
      </x:c>
      <x:c r="C732" s="34" t="str">
        <x:v>fast</x:v>
      </x:c>
      <x:c r="D732" s="74" t="n">
        <x:v>0.980177844640819</x:v>
      </x:c>
      <x:c r="E732" s="74" t="n">
        <x:v>0.02671856784730319</x:v>
      </x:c>
      <x:c r="F732" s="74" t="n">
        <x:v>0.8333592714838063</x:v>
      </x:c>
      <x:c r="G732" s="74" t="n">
        <x:v>1.1920256860898253</x:v>
      </x:c>
      <x:c r="H732" s="74" t="n">
        <x:v>0.773890577712238</x:v>
      </x:c>
      <x:c r="I732" s="74" t="n">
        <x:v>1.039767593513304</x:v>
      </x:c>
      <x:c r="J732" s="74" t="n">
        <x:v>0.8613241675720528</x:v>
      </x:c>
      <x:c r="K732" s="74" t="n">
        <x:v>0.8111875972379436</x:v>
      </x:c>
      <x:c r="L732" s="74" t="n">
        <x:v>0.8739571752390651</x:v>
      </x:c>
      <x:c r="M732" s="74" t="n">
        <x:v>0.9863116344992643</x:v>
      </x:c>
      <x:c r="N732" s="74" t="n">
        <x:v>0.849045435129669</x:v>
      </x:c>
      <x:c r="O732" s="65" t="n">
        <x:v>471514.35612889705</x:v>
      </x:c>
      <x:c r="P732" s="65" t="n">
        <x:v>292785.26520472724</x:v>
      </x:c>
      <x:c r="Q732" s="65" t="n">
        <x:v>178729.0909241698</x:v>
      </x:c>
      <x:c r="R732" s="65" t="n">
        <x:v>100563.3164831582</x:v>
      </x:c>
      <x:c r="S732" s="65" t="n">
        <x:v>78165.7744410116</x:v>
      </x:c>
      <x:c r="T732" s="65" t="n">
        <x:v>177287.79388829158</x:v>
      </x:c>
      <x:c r="U732" s="43" t="n">
        <x:v>0.9969432594847988</x:v>
      </x:c>
      <x:c r="V732" s="43" t="n">
        <x:v>0.9980747457255577</x:v>
      </x:c>
      <x:c r="W732" s="43" t="n">
        <x:v>0.9694325948479876</x:v>
      </x:c>
      <x:c r="X732" s="65" t="n">
        <x:v>17749079.236626673</x:v>
      </x:c>
      <x:c r="Y732" s="65" t="n">
        <x:v>37.64271226510575</x:v>
      </x:c>
      <x:c r="Z732" s="65" t="n">
        <x:v>1071530.895498316</x:v>
      </x:c>
      <x:c r="AA732" s="65" t="n">
        <x:v>112961.87423310886</x:v>
      </x:c>
      <x:c r="AB732" s="65" t="n">
        <x:v>696.6966985477466</x:v>
      </x:c>
      <x:c r="AC732" s="65" t="n">
        <x:v>0</x:v>
      </x:c>
      <x:c r="AD732" s="65" t="n">
        <x:v>1441.297035878228</x:v>
      </x:c>
      <x:c r="AE732" s="65" t="n">
        <x:v>67251.50549548643</x:v>
      </x:c>
      <x:c r="AF732" s="65" t="n">
        <x:v>177287.79388829155</x:v>
      </x:c>
      <x:c r="AG732" s="65" t="n">
        <x:v>2.9103830456733704e-11</x:v>
      </x:c>
      <x:c r="AH732" s="34" t="n">
        <x:v>1</x:v>
      </x:c>
    </x:row>
    <x:row r="733" ht="15" hidden="0" customHeight="1">
      <x:c r="A733" s="36" t="n">
        <x:v>183</x:v>
      </x:c>
      <x:c r="B733" s="36" t="str">
        <x:v>M0</x:v>
      </x:c>
      <x:c r="C733" s="36" t="str">
        <x:v>reference</x:v>
      </x:c>
      <x:c r="D733" s="75" t="n">
        <x:v>1.199938864120162</x:v>
      </x:c>
      <x:c r="E733" s="75" t="n">
        <x:v>0.07225999648843742</x:v>
      </x:c>
      <x:c r="F733" s="75" t="n">
        <x:v>0.9525501588693027</x:v>
      </x:c>
      <x:c r="G733" s="75" t="n">
        <x:v>1.1405959064929279</x:v>
      </x:c>
      <x:c r="H733" s="75" t="n">
        <x:v>0.7723334461982377</x:v>
      </x:c>
      <x:c r="I733" s="75" t="n">
        <x:v>1.0425449123481247</x:v>
      </x:c>
      <x:c r="J733" s="75" t="n">
        <x:v>0.9947651839595072</x:v>
      </x:c>
      <x:c r="K733" s="75" t="n">
        <x:v>0.8331415471830331</x:v>
      </x:c>
      <x:c r="L733" s="75" t="n">
        <x:v>0.8387093302871294</x:v>
      </x:c>
      <x:c r="M733" s="75" t="n">
        <x:v>1.0973443225676436</x:v>
      </x:c>
      <x:c r="N733" s="75" t="n">
        <x:v>0.7990875688520033</x:v>
      </x:c>
      <x:c r="O733" s="66" t="n">
        <x:v>577230.3505972311</x:v>
      </x:c>
      <x:c r="P733" s="66" t="n">
        <x:v>75926.26216988651</x:v>
      </x:c>
      <x:c r="Q733" s="66" t="n">
        <x:v>501304.0884273446</x:v>
      </x:c>
      <x:c r="R733" s="66" t="n">
        <x:v>149398.03489705158</x:v>
      </x:c>
      <x:c r="S733" s="66" t="n">
        <x:v>351906.05353029305</x:v>
      </x:c>
      <x:c r="T733" s="66" t="n">
        <x:v>261844.38361605725</x:v>
      </x:c>
      <x:c r="U733" s="45" t="n">
        <x:v>0.5851574599923055</x:v>
      </x:c>
      <x:c r="V733" s="45" t="n">
        <x:v>0.6267118983375164</x:v>
      </x:c>
      <x:c r="W733" s="45" t="n">
        <x:v>0.12993304760915625</x:v>
      </x:c>
      <x:c r="X733" s="66" t="n">
        <x:v>68496781.04487456</x:v>
      </x:c>
      <x:c r="Y733" s="66" t="n">
        <x:v>118.66455215669863</x:v>
      </x:c>
      <x:c r="Z733" s="66" t="n">
        <x:v>3381955.225786602</x:v>
      </x:c>
      <x:c r="AA733" s="66" t="n">
        <x:v>382291.63958011265</x:v>
      </x:c>
      <x:c r="AB733" s="66" t="n">
        <x:v>21975.77211493697</x:v>
      </x:c>
      <x:c r="AC733" s="66" t="n">
        <x:v>0</x:v>
      </x:c>
      <x:c r="AD733" s="66" t="n">
        <x:v>2463.8347255503045</x:v>
      </x:c>
      <x:c r="AE733" s="66" t="n">
        <x:v>193158.34448113863</x:v>
      </x:c>
      <x:c r="AF733" s="66" t="n">
        <x:v>261844.38361605702</x:v>
      </x:c>
      <x:c r="AG733" s="66" t="n">
        <x:v>2.3283064365386963e-10</x:v>
      </x:c>
      <x:c r="AH733" s="36" t="n">
        <x:v>0</x:v>
      </x:c>
    </x:row>
    <x:row r="734" ht="15" hidden="0" customHeight="1">
      <x:c r="A734" s="34" t="n">
        <x:v>183</x:v>
      </x:c>
      <x:c r="B734" s="34" t="str">
        <x:v>B1</x:v>
      </x:c>
      <x:c r="C734" s="34" t="str">
        <x:v>reference</x:v>
      </x:c>
      <x:c r="D734" s="74" t="n">
        <x:v>1.199938864120162</x:v>
      </x:c>
      <x:c r="E734" s="74" t="n">
        <x:v>0.07225999648843742</x:v>
      </x:c>
      <x:c r="F734" s="74" t="n">
        <x:v>0.9525501588693027</x:v>
      </x:c>
      <x:c r="G734" s="74" t="n">
        <x:v>1.1405959064929279</x:v>
      </x:c>
      <x:c r="H734" s="74" t="n">
        <x:v>0.7723334461982377</x:v>
      </x:c>
      <x:c r="I734" s="74" t="n">
        <x:v>1.0425449123481247</x:v>
      </x:c>
      <x:c r="J734" s="74" t="n">
        <x:v>0.9947651839595072</x:v>
      </x:c>
      <x:c r="K734" s="74" t="n">
        <x:v>0.8331415471830331</x:v>
      </x:c>
      <x:c r="L734" s="74" t="n">
        <x:v>0.8387093302871294</x:v>
      </x:c>
      <x:c r="M734" s="74" t="n">
        <x:v>1.0973443225676436</x:v>
      </x:c>
      <x:c r="N734" s="74" t="n">
        <x:v>0.7990875688520033</x:v>
      </x:c>
      <x:c r="O734" s="65" t="n">
        <x:v>577230.3505972311</x:v>
      </x:c>
      <x:c r="P734" s="65" t="n">
        <x:v>256835.50712775718</x:v>
      </x:c>
      <x:c r="Q734" s="65" t="n">
        <x:v>320394.8434694739</x:v>
      </x:c>
      <x:c r="R734" s="65" t="n">
        <x:v>149398.03489705158</x:v>
      </x:c>
      <x:c r="S734" s="65" t="n">
        <x:v>170996.80857242236</x:v>
      </x:c>
      <x:c r="T734" s="65" t="n">
        <x:v>185047.43677874358</x:v>
      </x:c>
      <x:c r="U734" s="43" t="n">
        <x:v>0.7655227128118036</x:v>
      </x:c>
      <x:c r="V734" s="43" t="n">
        <x:v>0.796452432099998</x:v>
      </x:c>
      <x:c r="W734" s="43" t="n">
        <x:v>0.4532654149828241</x:v>
      </x:c>
      <x:c r="X734" s="65" t="n">
        <x:v>44656537.37941818</x:v>
      </x:c>
      <x:c r="Y734" s="65" t="n">
        <x:v>77.36346041613078</x:v>
      </x:c>
      <x:c r="Z734" s="65" t="n">
        <x:v>1176294.2796885497</x:v>
      </x:c>
      <x:c r="AA734" s="65" t="n">
        <x:v>243207.43005321457</x:v>
      </x:c>
      <x:c r="AB734" s="65" t="n">
        <x:v>1108.1710467686892</x:v>
      </x:c>
      <x:c r="AC734" s="65" t="n">
        <x:v>0</x:v>
      </x:c>
      <x:c r="AD734" s="65" t="n">
        <x:v>2034.89823327662</x:v>
      </x:c>
      <x:c r="AE734" s="65" t="n">
        <x:v>116224.1910101894</x:v>
      </x:c>
      <x:c r="AF734" s="65" t="n">
        <x:v>185047.43677874352</x:v>
      </x:c>
      <x:c r="AG734" s="65" t="n">
        <x:v>5.820766091346741e-11</x:v>
      </x:c>
      <x:c r="AH734" s="34" t="n">
        <x:v>0</x:v>
      </x:c>
    </x:row>
    <x:row r="735" ht="15" hidden="0" customHeight="1">
      <x:c r="A735" s="36" t="n">
        <x:v>183</x:v>
      </x:c>
      <x:c r="B735" s="36" t="str">
        <x:v>P2</x:v>
      </x:c>
      <x:c r="C735" s="36" t="str">
        <x:v>reference</x:v>
      </x:c>
      <x:c r="D735" s="75" t="n">
        <x:v>1.199938864120162</x:v>
      </x:c>
      <x:c r="E735" s="75" t="n">
        <x:v>0.07225999648843742</x:v>
      </x:c>
      <x:c r="F735" s="75" t="n">
        <x:v>0.9525501588693027</x:v>
      </x:c>
      <x:c r="G735" s="75" t="n">
        <x:v>1.1405959064929279</x:v>
      </x:c>
      <x:c r="H735" s="75" t="n">
        <x:v>0.7723334461982377</x:v>
      </x:c>
      <x:c r="I735" s="75" t="n">
        <x:v>1.0425449123481247</x:v>
      </x:c>
      <x:c r="J735" s="75" t="n">
        <x:v>0.9947651839595072</x:v>
      </x:c>
      <x:c r="K735" s="75" t="n">
        <x:v>0.8331415471830331</x:v>
      </x:c>
      <x:c r="L735" s="75" t="n">
        <x:v>0.8387093302871294</x:v>
      </x:c>
      <x:c r="M735" s="75" t="n">
        <x:v>1.0973443225676436</x:v>
      </x:c>
      <x:c r="N735" s="75" t="n">
        <x:v>0.7990875688520033</x:v>
      </x:c>
      <x:c r="O735" s="66" t="n">
        <x:v>577230.3505972311</x:v>
      </x:c>
      <x:c r="P735" s="66" t="n">
        <x:v>372077.15716812643</x:v>
      </x:c>
      <x:c r="Q735" s="66" t="n">
        <x:v>205153.19342910466</x:v>
      </x:c>
      <x:c r="R735" s="66" t="n">
        <x:v>149398.03489705158</x:v>
      </x:c>
      <x:c r="S735" s="66" t="n">
        <x:v>55755.15853205309</x:v>
      </x:c>
      <x:c r="T735" s="66" t="n">
        <x:v>120053.10384097588</x:v>
      </x:c>
      <x:c r="U735" s="45" t="n">
        <x:v>0.8525716994955654</x:v>
      </x:c>
      <x:c r="V735" s="45" t="n">
        <x:v>0.8768053503573912</x:v>
      </x:c>
      <x:c r="W735" s="45" t="n">
        <x:v>0.5286304141296241</x:v>
      </x:c>
      <x:c r="X735" s="66" t="n">
        <x:v>27596945.70920842</x:v>
      </x:c>
      <x:c r="Y735" s="66" t="n">
        <x:v>47.80924232527838</x:v>
      </x:c>
      <x:c r="Z735" s="66" t="n">
        <x:v>751116.3951868863</x:v>
      </x:c>
      <x:c r="AA735" s="66" t="n">
        <x:v>155836.19678294632</x:v>
      </x:c>
      <x:c r="AB735" s="66" t="n">
        <x:v>0</x:v>
      </x:c>
      <x:c r="AC735" s="66" t="n">
        <x:v>401.3938259868</x:v>
      </x:c>
      <x:c r="AD735" s="66" t="n">
        <x:v>1775.7213750558954</x:v>
      </x:c>
      <x:c r="AE735" s="66" t="n">
        <x:v>68117.75404351464</x:v>
      </x:c>
      <x:c r="AF735" s="66" t="n">
        <x:v>120053.10384097586</x:v>
      </x:c>
      <x:c r="AG735" s="66" t="n">
        <x:v>1.4551915228366852e-11</x:v>
      </x:c>
      <x:c r="AH735" s="36" t="n">
        <x:v>0</x:v>
      </x:c>
    </x:row>
    <x:row r="736" ht="15" hidden="0" customHeight="1">
      <x:c r="A736" s="34" t="n">
        <x:v>183</x:v>
      </x:c>
      <x:c r="B736" s="34" t="str">
        <x:v>H3</x:v>
      </x:c>
      <x:c r="C736" s="34" t="str">
        <x:v>reference</x:v>
      </x:c>
      <x:c r="D736" s="74" t="n">
        <x:v>1.199938864120162</x:v>
      </x:c>
      <x:c r="E736" s="74" t="n">
        <x:v>0.07225999648843742</x:v>
      </x:c>
      <x:c r="F736" s="74" t="n">
        <x:v>0.9525501588693027</x:v>
      </x:c>
      <x:c r="G736" s="74" t="n">
        <x:v>1.1405959064929279</x:v>
      </x:c>
      <x:c r="H736" s="74" t="n">
        <x:v>0.7723334461982377</x:v>
      </x:c>
      <x:c r="I736" s="74" t="n">
        <x:v>1.0425449123481247</x:v>
      </x:c>
      <x:c r="J736" s="74" t="n">
        <x:v>0.9947651839595072</x:v>
      </x:c>
      <x:c r="K736" s="74" t="n">
        <x:v>0.8331415471830331</x:v>
      </x:c>
      <x:c r="L736" s="74" t="n">
        <x:v>0.8387093302871294</x:v>
      </x:c>
      <x:c r="M736" s="74" t="n">
        <x:v>1.0973443225676436</x:v>
      </x:c>
      <x:c r="N736" s="74" t="n">
        <x:v>0.7990875688520033</x:v>
      </x:c>
      <x:c r="O736" s="65" t="n">
        <x:v>577230.3505972311</x:v>
      </x:c>
      <x:c r="P736" s="65" t="n">
        <x:v>385977.13514322694</x:v>
      </x:c>
      <x:c r="Q736" s="65" t="n">
        <x:v>191253.21545400418</x:v>
      </x:c>
      <x:c r="R736" s="65" t="n">
        <x:v>149398.03489705158</x:v>
      </x:c>
      <x:c r="S736" s="65" t="n">
        <x:v>41855.1805569526</x:v>
      </x:c>
      <x:c r="T736" s="65" t="n">
        <x:v>180369.06644476467</x:v>
      </x:c>
      <x:c r="U736" s="43" t="n">
        <x:v>0.9811441844698945</x:v>
      </x:c>
      <x:c r="V736" s="43" t="n">
        <x:v>0.9824108199335082</x:v>
      </x:c>
      <x:c r="W736" s="43" t="n">
        <x:v>0.8114418446989446</x:v>
      </x:c>
      <x:c r="X736" s="65" t="n">
        <x:v>20173309.15119329</x:v>
      </x:c>
      <x:c r="Y736" s="65" t="n">
        <x:v>34.948455378898544</x:v>
      </x:c>
      <x:c r="Z736" s="65" t="n">
        <x:v>1129641.746782842</x:v>
      </x:c>
      <x:c r="AA736" s="65" t="n">
        <x:v>126035.40806790107</x:v>
      </x:c>
      <x:c r="AB736" s="65" t="n">
        <x:v>116.36732383285823</x:v>
      </x:c>
      <x:c r="AC736" s="65" t="n">
        <x:v>0</x:v>
      </x:c>
      <x:c r="AD736" s="65" t="n">
        <x:v>1746.6270542924963</x:v>
      </x:c>
      <x:c r="AE736" s="65" t="n">
        <x:v>62497.28879032779</x:v>
      </x:c>
      <x:c r="AF736" s="65" t="n">
        <x:v>180369.06644476458</x:v>
      </x:c>
      <x:c r="AG736" s="65" t="n">
        <x:v>8.731149137020111e-11</x:v>
      </x:c>
      <x:c r="AH736" s="34" t="n">
        <x:v>1</x:v>
      </x:c>
    </x:row>
    <x:row r="737" ht="15" hidden="0" customHeight="1">
      <x:c r="A737" s="36" t="n">
        <x:v>184</x:v>
      </x:c>
      <x:c r="B737" s="36" t="str">
        <x:v>M0</x:v>
      </x:c>
      <x:c r="C737" s="36" t="str">
        <x:v>fast</x:v>
      </x:c>
      <x:c r="D737" s="75" t="n">
        <x:v>1.0320994640789514</x:v>
      </x:c>
      <x:c r="E737" s="75" t="n">
        <x:v>0.05744845489445443</x:v>
      </x:c>
      <x:c r="F737" s="75" t="n">
        <x:v>0.8746739130885334</x:v>
      </x:c>
      <x:c r="G737" s="75" t="n">
        <x:v>1.1153842577034616</x:v>
      </x:c>
      <x:c r="H737" s="75" t="n">
        <x:v>1.0684142435140014</x:v>
      </x:c>
      <x:c r="I737" s="75" t="n">
        <x:v>0.8690960415913619</x:v>
      </x:c>
      <x:c r="J737" s="75" t="n">
        <x:v>1.0749773873862165</x:v>
      </x:c>
      <x:c r="K737" s="75" t="n">
        <x:v>0.7823845175563199</x:v>
      </x:c>
      <x:c r="L737" s="75" t="n">
        <x:v>0.8763177291302726</x:v>
      </x:c>
      <x:c r="M737" s="75" t="n">
        <x:v>0.8287691756965341</x:v>
      </x:c>
      <x:c r="N737" s="75" t="n">
        <x:v>0.8105272514092257</x:v>
      </x:c>
      <x:c r="O737" s="66" t="n">
        <x:v>496491.2407752867</x:v>
      </x:c>
      <x:c r="P737" s="66" t="n">
        <x:v>61165.67051301246</x:v>
      </x:c>
      <x:c r="Q737" s="66" t="n">
        <x:v>435325.57026227424</x:v>
      </x:c>
      <x:c r="R737" s="66" t="n">
        <x:v>121147.4391595855</x:v>
      </x:c>
      <x:c r="S737" s="66" t="n">
        <x:v>314178.1311026888</x:v>
      </x:c>
      <x:c r="T737" s="66" t="n">
        <x:v>272642.57824196934</x:v>
      </x:c>
      <x:c r="U737" s="45" t="n">
        <x:v>0.672334618096645</x:v>
      </x:c>
      <x:c r="V737" s="45" t="n">
        <x:v>0.6906518300087086</x:v>
      </x:c>
      <x:c r="W737" s="45" t="n">
        <x:v>0.12486342484924318</x:v>
      </x:c>
      <x:c r="X737" s="66" t="n">
        <x:v>56524177.80392023</x:v>
      </x:c>
      <x:c r="Y737" s="66" t="n">
        <x:v>113.84728100269393</x:v>
      </x:c>
      <x:c r="Z737" s="66" t="n">
        <x:v>5622923.02164924</x:v>
      </x:c>
      <x:c r="AA737" s="66" t="n">
        <x:v>308098.79595358914</x:v>
      </x:c>
      <x:c r="AB737" s="66" t="n">
        <x:v>46046.817079437475</x:v>
      </x:c>
      <x:c r="AC737" s="66" t="n">
        <x:v>0</x:v>
      </x:c>
      <x:c r="AD737" s="66" t="n">
        <x:v>2126.664112940094</x:v>
      </x:c>
      <x:c r="AE737" s="66" t="n">
        <x:v>249299.39340138366</x:v>
      </x:c>
      <x:c r="AF737" s="66" t="n">
        <x:v>272642.57824196963</x:v>
      </x:c>
      <x:c r="AG737" s="66" t="n">
        <x:v>0</x:v>
      </x:c>
      <x:c r="AH737" s="36" t="n">
        <x:v>0</x:v>
      </x:c>
    </x:row>
    <x:row r="738" ht="15" hidden="0" customHeight="1">
      <x:c r="A738" s="34" t="n">
        <x:v>184</x:v>
      </x:c>
      <x:c r="B738" s="34" t="str">
        <x:v>B1</x:v>
      </x:c>
      <x:c r="C738" s="34" t="str">
        <x:v>fast</x:v>
      </x:c>
      <x:c r="D738" s="74" t="n">
        <x:v>1.0320994640789514</x:v>
      </x:c>
      <x:c r="E738" s="74" t="n">
        <x:v>0.05744845489445443</x:v>
      </x:c>
      <x:c r="F738" s="74" t="n">
        <x:v>0.8746739130885334</x:v>
      </x:c>
      <x:c r="G738" s="74" t="n">
        <x:v>1.1153842577034616</x:v>
      </x:c>
      <x:c r="H738" s="74" t="n">
        <x:v>1.0684142435140014</x:v>
      </x:c>
      <x:c r="I738" s="74" t="n">
        <x:v>0.8690960415913619</x:v>
      </x:c>
      <x:c r="J738" s="74" t="n">
        <x:v>1.0749773873862165</x:v>
      </x:c>
      <x:c r="K738" s="74" t="n">
        <x:v>0.7823845175563199</x:v>
      </x:c>
      <x:c r="L738" s="74" t="n">
        <x:v>0.8763177291302726</x:v>
      </x:c>
      <x:c r="M738" s="74" t="n">
        <x:v>0.8287691756965341</x:v>
      </x:c>
      <x:c r="N738" s="74" t="n">
        <x:v>0.8105272514092257</x:v>
      </x:c>
      <x:c r="O738" s="65" t="n">
        <x:v>496491.2407752867</x:v>
      </x:c>
      <x:c r="P738" s="65" t="n">
        <x:v>206904.4299706155</x:v>
      </x:c>
      <x:c r="Q738" s="65" t="n">
        <x:v>289586.81080467126</x:v>
      </x:c>
      <x:c r="R738" s="65" t="n">
        <x:v>121147.4391595855</x:v>
      </x:c>
      <x:c r="S738" s="65" t="n">
        <x:v>168439.37164508575</x:v>
      </x:c>
      <x:c r="T738" s="65" t="n">
        <x:v>195561.5118010692</x:v>
      </x:c>
      <x:c r="U738" s="43" t="n">
        <x:v>0.8106204273477644</x:v>
      </x:c>
      <x:c r="V738" s="43" t="n">
        <x:v>0.8259557768103581</x:v>
      </x:c>
      <x:c r="W738" s="43" t="n">
        <x:v>0.465598431370313</x:v>
      </x:c>
      <x:c r="X738" s="65" t="n">
        <x:v>37650544.16660369</x:v>
      </x:c>
      <x:c r="Y738" s="65" t="n">
        <x:v>75.83324956108225</x:v>
      </x:c>
      <x:c r="Z738" s="65" t="n">
        <x:v>2813327.313872268</x:v>
      </x:c>
      <x:c r="AA738" s="65" t="n">
        <x:v>203072.37603082485</x:v>
      </x:c>
      <x:c r="AB738" s="65" t="n">
        <x:v>16901.18442228488</x:v>
      </x:c>
      <x:c r="AC738" s="65" t="n">
        <x:v>22473.24948937091</x:v>
      </x:c>
      <x:c r="AD738" s="65" t="n">
        <x:v>1774.6034843207538</x:v>
      </x:c>
      <x:c r="AE738" s="65" t="n">
        <x:v>133381.9165736413</x:v>
      </x:c>
      <x:c r="AF738" s="65" t="n">
        <x:v>195561.51180106925</x:v>
      </x:c>
      <x:c r="AG738" s="65" t="n">
        <x:v>0</x:v>
      </x:c>
      <x:c r="AH738" s="34" t="n">
        <x:v>0</x:v>
      </x:c>
    </x:row>
    <x:row r="739" ht="15" hidden="0" customHeight="1">
      <x:c r="A739" s="36" t="n">
        <x:v>184</x:v>
      </x:c>
      <x:c r="B739" s="36" t="str">
        <x:v>P2</x:v>
      </x:c>
      <x:c r="C739" s="36" t="str">
        <x:v>fast</x:v>
      </x:c>
      <x:c r="D739" s="75" t="n">
        <x:v>1.0320994640789514</x:v>
      </x:c>
      <x:c r="E739" s="75" t="n">
        <x:v>0.05744845489445443</x:v>
      </x:c>
      <x:c r="F739" s="75" t="n">
        <x:v>0.8746739130885334</x:v>
      </x:c>
      <x:c r="G739" s="75" t="n">
        <x:v>1.1153842577034616</x:v>
      </x:c>
      <x:c r="H739" s="75" t="n">
        <x:v>1.0684142435140014</x:v>
      </x:c>
      <x:c r="I739" s="75" t="n">
        <x:v>0.8690960415913619</x:v>
      </x:c>
      <x:c r="J739" s="75" t="n">
        <x:v>1.0749773873862165</x:v>
      </x:c>
      <x:c r="K739" s="75" t="n">
        <x:v>0.7823845175563199</x:v>
      </x:c>
      <x:c r="L739" s="75" t="n">
        <x:v>0.8763177291302726</x:v>
      </x:c>
      <x:c r="M739" s="75" t="n">
        <x:v>0.8287691756965341</x:v>
      </x:c>
      <x:c r="N739" s="75" t="n">
        <x:v>0.8105272514092257</x:v>
      </x:c>
      <x:c r="O739" s="66" t="n">
        <x:v>496491.2407752867</x:v>
      </x:c>
      <x:c r="P739" s="66" t="n">
        <x:v>299741.704640618</x:v>
      </x:c>
      <x:c r="Q739" s="66" t="n">
        <x:v>196749.53613466874</x:v>
      </x:c>
      <x:c r="R739" s="66" t="n">
        <x:v>121147.4391595855</x:v>
      </x:c>
      <x:c r="S739" s="66" t="n">
        <x:v>75602.09697508326</x:v>
      </x:c>
      <x:c r="T739" s="66" t="n">
        <x:v>117357.67753724192</x:v>
      </x:c>
      <x:c r="U739" s="45" t="n">
        <x:v>0.8400941404858343</x:v>
      </x:c>
      <x:c r="V739" s="45" t="n">
        <x:v>0.8536367261306647</x:v>
      </x:c>
      <x:c r="W739" s="45" t="n">
        <x:v>0.6398164537193036</x:v>
      </x:c>
      <x:c r="X739" s="66" t="n">
        <x:v>24148698.976498295</x:v>
      </x:c>
      <x:c r="Y739" s="66" t="n">
        <x:v>48.63872107550043</x:v>
      </x:c>
      <x:c r="Z739" s="66" t="n">
        <x:v>1697210.3029874156</x:v>
      </x:c>
      <x:c r="AA739" s="66" t="n">
        <x:v>136314.10809628316</x:v>
      </x:c>
      <x:c r="AB739" s="66" t="n">
        <x:v>1103.3536947395357</x:v>
      </x:c>
      <x:c r="AC739" s="66" t="n">
        <x:v>43513.64298030596</x:v>
      </x:c>
      <x:c r="AD739" s="66" t="n">
        <x:v>1561.8774298293254</x:v>
      </x:c>
      <x:c r="AE739" s="66" t="n">
        <x:v>84751.93527135302</x:v>
      </x:c>
      <x:c r="AF739" s="66" t="n">
        <x:v>117357.67753724197</x:v>
      </x:c>
      <x:c r="AG739" s="66" t="n">
        <x:v>0</x:v>
      </x:c>
      <x:c r="AH739" s="36" t="n">
        <x:v>0</x:v>
      </x:c>
    </x:row>
    <x:row r="740" ht="15" hidden="0" customHeight="1">
      <x:c r="A740" s="34" t="n">
        <x:v>184</x:v>
      </x:c>
      <x:c r="B740" s="34" t="str">
        <x:v>H3</x:v>
      </x:c>
      <x:c r="C740" s="34" t="str">
        <x:v>fast</x:v>
      </x:c>
      <x:c r="D740" s="74" t="n">
        <x:v>1.0320994640789514</x:v>
      </x:c>
      <x:c r="E740" s="74" t="n">
        <x:v>0.05744845489445443</x:v>
      </x:c>
      <x:c r="F740" s="74" t="n">
        <x:v>0.8746739130885334</x:v>
      </x:c>
      <x:c r="G740" s="74" t="n">
        <x:v>1.1153842577034616</x:v>
      </x:c>
      <x:c r="H740" s="74" t="n">
        <x:v>1.0684142435140014</x:v>
      </x:c>
      <x:c r="I740" s="74" t="n">
        <x:v>0.8690960415913619</x:v>
      </x:c>
      <x:c r="J740" s="74" t="n">
        <x:v>1.0749773873862165</x:v>
      </x:c>
      <x:c r="K740" s="74" t="n">
        <x:v>0.7823845175563199</x:v>
      </x:c>
      <x:c r="L740" s="74" t="n">
        <x:v>0.8763177291302726</x:v>
      </x:c>
      <x:c r="M740" s="74" t="n">
        <x:v>0.8287691756965341</x:v>
      </x:c>
      <x:c r="N740" s="74" t="n">
        <x:v>0.8105272514092257</x:v>
      </x:c>
      <x:c r="O740" s="65" t="n">
        <x:v>496491.2407752867</x:v>
      </x:c>
      <x:c r="P740" s="65" t="n">
        <x:v>310939.31234086</x:v>
      </x:c>
      <x:c r="Q740" s="65" t="n">
        <x:v>185551.9284344267</x:v>
      </x:c>
      <x:c r="R740" s="65" t="n">
        <x:v>121147.4391595855</x:v>
      </x:c>
      <x:c r="S740" s="65" t="n">
        <x:v>64404.489274841195</x:v>
      </x:c>
      <x:c r="T740" s="65" t="n">
        <x:v>184013.930914658</x:v>
      </x:c>
      <x:c r="U740" s="43" t="n">
        <x:v>0.9969022665588883</x:v>
      </x:c>
      <x:c r="V740" s="43" t="n">
        <x:v>0.9980489297582307</x:v>
      </x:c>
      <x:c r="W740" s="43" t="n">
        <x:v>0.9690226655888818</x:v>
      </x:c>
      <x:c r="X740" s="65" t="n">
        <x:v>17470400.259362556</x:v>
      </x:c>
      <x:c r="Y740" s="65" t="n">
        <x:v>35.187731070707265</x:v>
      </x:c>
      <x:c r="Z740" s="65" t="n">
        <x:v>2312246.1892163777</x:v>
      </x:c>
      <x:c r="AA740" s="65" t="n">
        <x:v>105893.58371103175</x:v>
      </x:c>
      <x:c r="AB740" s="65" t="n">
        <x:v>19022.143517446275</x:v>
      </x:c>
      <x:c r="AC740" s="65" t="n">
        <x:v>518.1466619924785</x:v>
      </x:c>
      <x:c r="AD740" s="65" t="n">
        <x:v>1537.9975197687017</x:v>
      </x:c>
      <x:c r="AE740" s="65" t="n">
        <x:v>78969.59913202249</x:v>
      </x:c>
      <x:c r="AF740" s="65" t="n">
        <x:v>184013.9309146579</x:v>
      </x:c>
      <x:c r="AG740" s="65" t="n">
        <x:v>1.1641532182693481e-10</x:v>
      </x:c>
      <x:c r="AH740" s="34" t="n">
        <x:v>1</x:v>
      </x:c>
    </x:row>
    <x:row r="741" ht="15" hidden="0" customHeight="1">
      <x:c r="A741" s="36" t="n">
        <x:v>185</x:v>
      </x:c>
      <x:c r="B741" s="36" t="str">
        <x:v>M0</x:v>
      </x:c>
      <x:c r="C741" s="36" t="str">
        <x:v>fast</x:v>
      </x:c>
      <x:c r="D741" s="75" t="n">
        <x:v>1.1708806301035477</x:v>
      </x:c>
      <x:c r="E741" s="75" t="n">
        <x:v>0.09074311326261114</x:v>
      </x:c>
      <x:c r="F741" s="75" t="n">
        <x:v>0.8924775778313778</x:v>
      </x:c>
      <x:c r="G741" s="75" t="n">
        <x:v>0.9033529129232026</x:v>
      </x:c>
      <x:c r="H741" s="75" t="n">
        <x:v>0.7545527970475928</x:v>
      </x:c>
      <x:c r="I741" s="75" t="n">
        <x:v>0.9561129000567472</x:v>
      </x:c>
      <x:c r="J741" s="75" t="n">
        <x:v>0.8148690619193958</x:v>
      </x:c>
      <x:c r="K741" s="75" t="n">
        <x:v>0.8882088253133416</x:v>
      </x:c>
      <x:c r="L741" s="75" t="n">
        <x:v>0.8818567635685504</x:v>
      </x:c>
      <x:c r="M741" s="75" t="n">
        <x:v>0.8238934175478266</x:v>
      </x:c>
      <x:c r="N741" s="75" t="n">
        <x:v>0.9246054507417899</x:v>
      </x:c>
      <x:c r="O741" s="66" t="n">
        <x:v>563251.8929351857</x:v>
      </x:c>
      <x:c r="P741" s="66" t="n">
        <x:v>67683.87627260145</x:v>
      </x:c>
      <x:c r="Q741" s="66" t="n">
        <x:v>495568.01666258415</x:v>
      </x:c>
      <x:c r="R741" s="66" t="n">
        <x:v>156190.79853881558</x:v>
      </x:c>
      <x:c r="S741" s="66" t="n">
        <x:v>339377.2181237686</x:v>
      </x:c>
      <x:c r="T741" s="66" t="n">
        <x:v>254202.6615562658</x:v>
      </x:c>
      <x:c r="U741" s="45" t="n">
        <x:v>0.57147883898174</x:v>
      </x:c>
      <x:c r="V741" s="45" t="n">
        <x:v>0.6041391929572413</x:v>
      </x:c>
      <x:c r="W741" s="45" t="n">
        <x:v>0.12070279605614853</x:v>
      </x:c>
      <x:c r="X741" s="66" t="n">
        <x:v>67552836.0923748</x:v>
      </x:c>
      <x:c r="Y741" s="66" t="n">
        <x:v>119.93361574045916</x:v>
      </x:c>
      <x:c r="Z741" s="66" t="n">
        <x:v>3486589.997461256</x:v>
      </x:c>
      <x:c r="AA741" s="66" t="n">
        <x:v>378070.8128157773</x:v>
      </x:c>
      <x:c r="AB741" s="66" t="n">
        <x:v>21613.93027274863</x:v>
      </x:c>
      <x:c r="AC741" s="66" t="n">
        <x:v>419.76360747575586</x:v>
      </x:c>
      <x:c r="AD741" s="66" t="n">
        <x:v>2424.300099385033</x:v>
      </x:c>
      <x:c r="AE741" s="66" t="n">
        <x:v>227574.02457490226</x:v>
      </x:c>
      <x:c r="AF741" s="66" t="n">
        <x:v>254202.66155626596</x:v>
      </x:c>
      <x:c r="AG741" s="66" t="n">
        <x:v>0</x:v>
      </x:c>
      <x:c r="AH741" s="36" t="n">
        <x:v>0</x:v>
      </x:c>
    </x:row>
    <x:row r="742" ht="15" hidden="0" customHeight="1">
      <x:c r="A742" s="34" t="n">
        <x:v>185</x:v>
      </x:c>
      <x:c r="B742" s="34" t="str">
        <x:v>B1</x:v>
      </x:c>
      <x:c r="C742" s="34" t="str">
        <x:v>fast</x:v>
      </x:c>
      <x:c r="D742" s="74" t="n">
        <x:v>1.1708806301035477</x:v>
      </x:c>
      <x:c r="E742" s="74" t="n">
        <x:v>0.09074311326261114</x:v>
      </x:c>
      <x:c r="F742" s="74" t="n">
        <x:v>0.8924775778313778</x:v>
      </x:c>
      <x:c r="G742" s="74" t="n">
        <x:v>0.9033529129232026</x:v>
      </x:c>
      <x:c r="H742" s="74" t="n">
        <x:v>0.7545527970475928</x:v>
      </x:c>
      <x:c r="I742" s="74" t="n">
        <x:v>0.9561129000567472</x:v>
      </x:c>
      <x:c r="J742" s="74" t="n">
        <x:v>0.8148690619193958</x:v>
      </x:c>
      <x:c r="K742" s="74" t="n">
        <x:v>0.8882088253133416</x:v>
      </x:c>
      <x:c r="L742" s="74" t="n">
        <x:v>0.8818567635685504</x:v>
      </x:c>
      <x:c r="M742" s="74" t="n">
        <x:v>0.8238934175478266</x:v>
      </x:c>
      <x:c r="N742" s="74" t="n">
        <x:v>0.9246054507417899</x:v>
      </x:c>
      <x:c r="O742" s="65" t="n">
        <x:v>563251.8929351857</x:v>
      </x:c>
      <x:c r="P742" s="65" t="n">
        <x:v>228954.70167796343</x:v>
      </x:c>
      <x:c r="Q742" s="65" t="n">
        <x:v>334297.1912572221</x:v>
      </x:c>
      <x:c r="R742" s="65" t="n">
        <x:v>156190.79853881558</x:v>
      </x:c>
      <x:c r="S742" s="65" t="n">
        <x:v>178106.39271840657</x:v>
      </x:c>
      <x:c r="T742" s="65" t="n">
        <x:v>180814.57696401438</x:v>
      </x:c>
      <x:c r="U742" s="43" t="n">
        <x:v>0.7275062610204679</x:v>
      </x:c>
      <x:c r="V742" s="43" t="n">
        <x:v>0.752845029610101</x:v>
      </x:c>
      <x:c r="W742" s="43" t="n">
        <x:v>0.4448783757790381</x:v>
      </x:c>
      <x:c r="X742" s="65" t="n">
        <x:v>46807434.06673036</x:v>
      </x:c>
      <x:c r="Y742" s="65" t="n">
        <x:v>83.10213361700423</x:v>
      </x:c>
      <x:c r="Z742" s="65" t="n">
        <x:v>1231111.7460008743</x:v>
      </x:c>
      <x:c r="AA742" s="65" t="n">
        <x:v>258621.14447724193</x:v>
      </x:c>
      <x:c r="AB742" s="65" t="n">
        <x:v>3071.552186583569</x:v>
      </x:c>
      <x:c r="AC742" s="65" t="n">
        <x:v>0</x:v>
      </x:c>
      <x:c r="AD742" s="65" t="n">
        <x:v>2051.335098077854</x:v>
      </x:c>
      <x:c r="AE742" s="65" t="n">
        <x:v>154038.6642207246</x:v>
      </x:c>
      <x:c r="AF742" s="65" t="n">
        <x:v>180814.57696401436</x:v>
      </x:c>
      <x:c r="AG742" s="65" t="n">
        <x:v>2.9103830456733704e-11</x:v>
      </x:c>
      <x:c r="AH742" s="34" t="n">
        <x:v>0</x:v>
      </x:c>
    </x:row>
    <x:row r="743" ht="15" hidden="0" customHeight="1">
      <x:c r="A743" s="36" t="n">
        <x:v>185</x:v>
      </x:c>
      <x:c r="B743" s="36" t="str">
        <x:v>P2</x:v>
      </x:c>
      <x:c r="C743" s="36" t="str">
        <x:v>fast</x:v>
      </x:c>
      <x:c r="D743" s="75" t="n">
        <x:v>1.1708806301035477</x:v>
      </x:c>
      <x:c r="E743" s="75" t="n">
        <x:v>0.09074311326261114</x:v>
      </x:c>
      <x:c r="F743" s="75" t="n">
        <x:v>0.8924775778313778</x:v>
      </x:c>
      <x:c r="G743" s="75" t="n">
        <x:v>0.9033529129232026</x:v>
      </x:c>
      <x:c r="H743" s="75" t="n">
        <x:v>0.7545527970475928</x:v>
      </x:c>
      <x:c r="I743" s="75" t="n">
        <x:v>0.9561129000567472</x:v>
      </x:c>
      <x:c r="J743" s="75" t="n">
        <x:v>0.8148690619193958</x:v>
      </x:c>
      <x:c r="K743" s="75" t="n">
        <x:v>0.8882088253133416</x:v>
      </x:c>
      <x:c r="L743" s="75" t="n">
        <x:v>0.8818567635685504</x:v>
      </x:c>
      <x:c r="M743" s="75" t="n">
        <x:v>0.8238934175478266</x:v>
      </x:c>
      <x:c r="N743" s="75" t="n">
        <x:v>0.9246054507417899</x:v>
      </x:c>
      <x:c r="O743" s="66" t="n">
        <x:v>563251.8929351857</x:v>
      </x:c>
      <x:c r="P743" s="66" t="n">
        <x:v>331686.8412875618</x:v>
      </x:c>
      <x:c r="Q743" s="66" t="n">
        <x:v>231565.05164762377</x:v>
      </x:c>
      <x:c r="R743" s="66" t="n">
        <x:v>156190.79853881558</x:v>
      </x:c>
      <x:c r="S743" s="66" t="n">
        <x:v>75374.25310880822</x:v>
      </x:c>
      <x:c r="T743" s="66" t="n">
        <x:v>117861.65490172297</x:v>
      </x:c>
      <x:c r="U743" s="45" t="n">
        <x:v>0.7981304667200028</x:v>
      </x:c>
      <x:c r="V743" s="45" t="n">
        <x:v>0.8182180480982315</x:v>
      </x:c>
      <x:c r="W743" s="45" t="n">
        <x:v>0.5913532784109645</x:v>
      </x:c>
      <x:c r="X743" s="66" t="n">
        <x:v>31949801.26012718</x:v>
      </x:c>
      <x:c r="Y743" s="66" t="n">
        <x:v>56.72382403125575</x:v>
      </x:c>
      <x:c r="Z743" s="66" t="n">
        <x:v>736904.1869979489</x:v>
      </x:c>
      <x:c r="AA743" s="66" t="n">
        <x:v>182236.77075642964</x:v>
      </x:c>
      <x:c r="AB743" s="66" t="n">
        <x:v>0</x:v>
      </x:c>
      <x:c r="AC743" s="66" t="n">
        <x:v>0</x:v>
      </x:c>
      <x:c r="AD743" s="66" t="n">
        <x:v>1825.9779671126335</x:v>
      </x:c>
      <x:c r="AE743" s="66" t="n">
        <x:v>90658.23045704918</x:v>
      </x:c>
      <x:c r="AF743" s="66" t="n">
        <x:v>117861.65490172296</x:v>
      </x:c>
      <x:c r="AG743" s="66" t="n">
        <x:v>1.4551915228366852e-11</x:v>
      </x:c>
      <x:c r="AH743" s="36" t="n">
        <x:v>0</x:v>
      </x:c>
    </x:row>
    <x:row r="744" ht="15" hidden="0" customHeight="1">
      <x:c r="A744" s="34" t="n">
        <x:v>185</x:v>
      </x:c>
      <x:c r="B744" s="34" t="str">
        <x:v>H3</x:v>
      </x:c>
      <x:c r="C744" s="34" t="str">
        <x:v>fast</x:v>
      </x:c>
      <x:c r="D744" s="74" t="n">
        <x:v>1.1708806301035477</x:v>
      </x:c>
      <x:c r="E744" s="74" t="n">
        <x:v>0.09074311326261114</x:v>
      </x:c>
      <x:c r="F744" s="74" t="n">
        <x:v>0.8924775778313778</x:v>
      </x:c>
      <x:c r="G744" s="74" t="n">
        <x:v>0.9033529129232026</x:v>
      </x:c>
      <x:c r="H744" s="74" t="n">
        <x:v>0.7545527970475928</x:v>
      </x:c>
      <x:c r="I744" s="74" t="n">
        <x:v>0.9561129000567472</x:v>
      </x:c>
      <x:c r="J744" s="74" t="n">
        <x:v>0.8148690619193958</x:v>
      </x:c>
      <x:c r="K744" s="74" t="n">
        <x:v>0.8882088253133416</x:v>
      </x:c>
      <x:c r="L744" s="74" t="n">
        <x:v>0.8818567635685504</x:v>
      </x:c>
      <x:c r="M744" s="74" t="n">
        <x:v>0.8238934175478266</x:v>
      </x:c>
      <x:c r="N744" s="74" t="n">
        <x:v>0.9246054507417899</x:v>
      </x:c>
      <x:c r="O744" s="65" t="n">
        <x:v>563251.8929351857</x:v>
      </x:c>
      <x:c r="P744" s="65" t="n">
        <x:v>344078.0393658449</x:v>
      </x:c>
      <x:c r="Q744" s="65" t="n">
        <x:v>219173.85356934066</x:v>
      </x:c>
      <x:c r="R744" s="65" t="n">
        <x:v>156190.79853881558</x:v>
      </x:c>
      <x:c r="S744" s="65" t="n">
        <x:v>62983.05503052509</x:v>
      </x:c>
      <x:c r="T744" s="65" t="n">
        <x:v>180800.36925989494</x:v>
      </x:c>
      <x:c r="U744" s="43" t="n">
        <x:v>0.9318715395531542</x:v>
      </x:c>
      <x:c r="V744" s="43" t="n">
        <x:v>0.9491993791735328</x:v>
      </x:c>
      <x:c r="W744" s="43" t="n">
        <x:v>0.7548068029056122</x:v>
      </x:c>
      <x:c r="X744" s="65" t="n">
        <x:v>24440477.932738718</x:v>
      </x:c>
      <x:c r="Y744" s="65" t="n">
        <x:v>43.391736875265366</x:v>
      </x:c>
      <x:c r="Z744" s="65" t="n">
        <x:v>1158688.5047334314</x:v>
      </x:c>
      <x:c r="AA744" s="65" t="n">
        <x:v>150199.90881782497</x:v>
      </x:c>
      <x:c r="AB744" s="65" t="n">
        <x:v>1492.80401803007</x:v>
      </x:c>
      <x:c r="AC744" s="65" t="n">
        <x:v>0</x:v>
      </x:c>
      <x:c r="AD744" s="65" t="n">
        <x:v>1800.6801349696202</x:v>
      </x:c>
      <x:c r="AE744" s="65" t="n">
        <x:v>82208.11104273373</x:v>
      </x:c>
      <x:c r="AF744" s="65" t="n">
        <x:v>180800.3692598949</x:v>
      </x:c>
      <x:c r="AG744" s="65" t="n">
        <x:v>2.9103830456733704e-11</x:v>
      </x:c>
      <x:c r="AH744" s="34" t="n">
        <x:v>0</x:v>
      </x:c>
    </x:row>
    <x:row r="745" ht="15" hidden="0" customHeight="1">
      <x:c r="A745" s="36" t="n">
        <x:v>186</x:v>
      </x:c>
      <x:c r="B745" s="36" t="str">
        <x:v>M0</x:v>
      </x:c>
      <x:c r="C745" s="36" t="str">
        <x:v>slow</x:v>
      </x:c>
      <x:c r="D745" s="75" t="n">
        <x:v>1.1317441256241494</x:v>
      </x:c>
      <x:c r="E745" s="75" t="n">
        <x:v>0.028604337484288804</x:v>
      </x:c>
      <x:c r="F745" s="75" t="n">
        <x:v>0.768776621382531</x:v>
      </x:c>
      <x:c r="G745" s="75" t="n">
        <x:v>1.2330567284890566</x:v>
      </x:c>
      <x:c r="H745" s="75" t="n">
        <x:v>0.9078266351919805</x:v>
      </x:c>
      <x:c r="I745" s="75" t="n">
        <x:v>0.8114268275535065</x:v>
      </x:c>
      <x:c r="J745" s="75" t="n">
        <x:v>0.9320299153291559</x:v>
      </x:c>
      <x:c r="K745" s="75" t="n">
        <x:v>0.9673707829351639</x:v>
      </x:c>
      <x:c r="L745" s="75" t="n">
        <x:v>0.947139465604464</x:v>
      </x:c>
      <x:c r="M745" s="75" t="n">
        <x:v>1.0486939380604836</x:v>
      </x:c>
      <x:c r="N745" s="75" t="n">
        <x:v>0.9012127531281539</x:v>
      </x:c>
      <x:c r="O745" s="66" t="n">
        <x:v>544425.285282672</x:v>
      </x:c>
      <x:c r="P745" s="66" t="n">
        <x:v>61200.2773891424</x:v>
      </x:c>
      <x:c r="Q745" s="66" t="n">
        <x:v>483225.00789352955</x:v>
      </x:c>
      <x:c r="R745" s="66" t="n">
        <x:v>117140.22445631897</x:v>
      </x:c>
      <x:c r="S745" s="66" t="n">
        <x:v>366084.78343721054</x:v>
      </x:c>
      <x:c r="T745" s="66" t="n">
        <x:v>278987.512344901</x:v>
      </x:c>
      <x:c r="U745" s="45" t="n">
        <x:v>0.624856704731144</x:v>
      </x:c>
      <x:c r="V745" s="45" t="n">
        <x:v>0.6068268146770663</x:v>
      </x:c>
      <x:c r="W745" s="45" t="n">
        <x:v>0.05772963208441034</x:v>
      </x:c>
      <x:c r="X745" s="66" t="n">
        <x:v>62994813.971718654</x:v>
      </x:c>
      <x:c r="Y745" s="66" t="n">
        <x:v>115.70883218440342</x:v>
      </x:c>
      <x:c r="Z745" s="66" t="n">
        <x:v>4826404.0427103685</x:v>
      </x:c>
      <x:c r="AA745" s="66" t="n">
        <x:v>346955.0215569781</x:v>
      </x:c>
      <x:c r="AB745" s="66" t="n">
        <x:v>38759.768103259106</x:v>
      </x:c>
      <x:c r="AC745" s="66" t="n">
        <x:v>0</x:v>
      </x:c>
      <x:c r="AD745" s="66" t="n">
        <x:v>3043.094631580233</x:v>
      </x:c>
      <x:c r="AE745" s="66" t="n">
        <x:v>201122.73047462845</x:v>
      </x:c>
      <x:c r="AF745" s="66" t="n">
        <x:v>278987.5123449008</x:v>
      </x:c>
      <x:c r="AG745" s="66" t="n">
        <x:v>1.7462298274040222e-10</x:v>
      </x:c>
      <x:c r="AH745" s="36" t="n">
        <x:v>0</x:v>
      </x:c>
    </x:row>
    <x:row r="746" ht="15" hidden="0" customHeight="1">
      <x:c r="A746" s="34" t="n">
        <x:v>186</x:v>
      </x:c>
      <x:c r="B746" s="34" t="str">
        <x:v>B1</x:v>
      </x:c>
      <x:c r="C746" s="34" t="str">
        <x:v>slow</x:v>
      </x:c>
      <x:c r="D746" s="74" t="n">
        <x:v>1.1317441256241494</x:v>
      </x:c>
      <x:c r="E746" s="74" t="n">
        <x:v>0.028604337484288804</x:v>
      </x:c>
      <x:c r="F746" s="74" t="n">
        <x:v>0.768776621382531</x:v>
      </x:c>
      <x:c r="G746" s="74" t="n">
        <x:v>1.2330567284890566</x:v>
      </x:c>
      <x:c r="H746" s="74" t="n">
        <x:v>0.9078266351919805</x:v>
      </x:c>
      <x:c r="I746" s="74" t="n">
        <x:v>0.8114268275535065</x:v>
      </x:c>
      <x:c r="J746" s="74" t="n">
        <x:v>0.9320299153291559</x:v>
      </x:c>
      <x:c r="K746" s="74" t="n">
        <x:v>0.9673707829351639</x:v>
      </x:c>
      <x:c r="L746" s="74" t="n">
        <x:v>0.947139465604464</x:v>
      </x:c>
      <x:c r="M746" s="74" t="n">
        <x:v>1.0486939380604836</x:v>
      </x:c>
      <x:c r="N746" s="74" t="n">
        <x:v>0.9012127531281539</x:v>
      </x:c>
      <x:c r="O746" s="65" t="n">
        <x:v>544425.285282672</x:v>
      </x:c>
      <x:c r="P746" s="65" t="n">
        <x:v>207020.6215226798</x:v>
      </x:c>
      <x:c r="Q746" s="65" t="n">
        <x:v>337404.6637599921</x:v>
      </x:c>
      <x:c r="R746" s="65" t="n">
        <x:v>117140.22445631897</x:v>
      </x:c>
      <x:c r="S746" s="65" t="n">
        <x:v>220264.43930367316</x:v>
      </x:c>
      <x:c r="T746" s="65" t="n">
        <x:v>204439.43960142185</x:v>
      </x:c>
      <x:c r="U746" s="43" t="n">
        <x:v>0.7557695651671775</x:v>
      </x:c>
      <x:c r="V746" s="43" t="n">
        <x:v>0.7451440184346917</x:v>
      </x:c>
      <x:c r="W746" s="43" t="n">
        <x:v>0.20037248906701105</x:v>
      </x:c>
      <x:c r="X746" s="65" t="n">
        <x:v>45300657.438853286</x:v>
      </x:c>
      <x:c r="Y746" s="65" t="n">
        <x:v>83.20821729529452</x:v>
      </x:c>
      <x:c r="Z746" s="65" t="n">
        <x:v>2092307.9833651134</x:v>
      </x:c>
      <x:c r="AA746" s="65" t="n">
        <x:v>248611.8963012534</x:v>
      </x:c>
      <x:c r="AB746" s="65" t="n">
        <x:v>10178.496916179109</x:v>
      </x:c>
      <x:c r="AC746" s="65" t="n">
        <x:v>198.25311145840354</x:v>
      </x:c>
      <x:c r="AD746" s="65" t="n">
        <x:v>2570.3151955573935</x:v>
      </x:c>
      <x:c r="AE746" s="65" t="n">
        <x:v>107108.46226358118</x:v>
      </x:c>
      <x:c r="AF746" s="65" t="n">
        <x:v>204439.43960142176</x:v>
      </x:c>
      <x:c r="AG746" s="65" t="n">
        <x:v>8.731149137020111e-11</x:v>
      </x:c>
      <x:c r="AH746" s="34" t="n">
        <x:v>0</x:v>
      </x:c>
    </x:row>
    <x:row r="747" ht="15" hidden="0" customHeight="1">
      <x:c r="A747" s="36" t="n">
        <x:v>186</x:v>
      </x:c>
      <x:c r="B747" s="36" t="str">
        <x:v>P2</x:v>
      </x:c>
      <x:c r="C747" s="36" t="str">
        <x:v>slow</x:v>
      </x:c>
      <x:c r="D747" s="75" t="n">
        <x:v>1.1317441256241494</x:v>
      </x:c>
      <x:c r="E747" s="75" t="n">
        <x:v>0.028604337484288804</x:v>
      </x:c>
      <x:c r="F747" s="75" t="n">
        <x:v>0.768776621382531</x:v>
      </x:c>
      <x:c r="G747" s="75" t="n">
        <x:v>1.2330567284890566</x:v>
      </x:c>
      <x:c r="H747" s="75" t="n">
        <x:v>0.9078266351919805</x:v>
      </x:c>
      <x:c r="I747" s="75" t="n">
        <x:v>0.8114268275535065</x:v>
      </x:c>
      <x:c r="J747" s="75" t="n">
        <x:v>0.9320299153291559</x:v>
      </x:c>
      <x:c r="K747" s="75" t="n">
        <x:v>0.9673707829351639</x:v>
      </x:c>
      <x:c r="L747" s="75" t="n">
        <x:v>0.947139465604464</x:v>
      </x:c>
      <x:c r="M747" s="75" t="n">
        <x:v>1.0486939380604836</x:v>
      </x:c>
      <x:c r="N747" s="75" t="n">
        <x:v>0.9012127531281539</x:v>
      </x:c>
      <x:c r="O747" s="66" t="n">
        <x:v>544425.285282672</x:v>
      </x:c>
      <x:c r="P747" s="66" t="n">
        <x:v>299909.3188388664</x:v>
      </x:c>
      <x:c r="Q747" s="66" t="n">
        <x:v>244515.9664438055</x:v>
      </x:c>
      <x:c r="R747" s="66" t="n">
        <x:v>117140.22445631897</x:v>
      </x:c>
      <x:c r="S747" s="66" t="n">
        <x:v>127375.74198748653</x:v>
      </x:c>
      <x:c r="T747" s="66" t="n">
        <x:v>138756.82523742376</x:v>
      </x:c>
      <x:c r="U747" s="45" t="n">
        <x:v>0.8057416801435473</x:v>
      </x:c>
      <x:c r="V747" s="45" t="n">
        <x:v>0.7984749969936296</x:v>
      </x:c>
      <x:c r="W747" s="45" t="n">
        <x:v>0.2944328368418588</x:v>
      </x:c>
      <x:c r="X747" s="66" t="n">
        <x:v>32388448.429916028</x:v>
      </x:c>
      <x:c r="Y747" s="66" t="n">
        <x:v>59.491080420887435</x:v>
      </x:c>
      <x:c r="Z747" s="66" t="n">
        <x:v>868588.9087387088</x:v>
      </x:c>
      <x:c r="AA747" s="66" t="n">
        <x:v>187230.97891459556</x:v>
      </x:c>
      <x:c r="AB747" s="66" t="n">
        <x:v>516.3394869613675</x:v>
      </x:c>
      <x:c r="AC747" s="66" t="n">
        <x:v>0</x:v>
      </x:c>
      <x:c r="AD747" s="66" t="n">
        <x:v>2283.4840905057954</x:v>
      </x:c>
      <x:c r="AE747" s="66" t="n">
        <x:v>54403.31154462857</x:v>
      </x:c>
      <x:c r="AF747" s="66" t="n">
        <x:v>138756.82523742385</x:v>
      </x:c>
      <x:c r="AG747" s="66" t="n">
        <x:v>0</x:v>
      </x:c>
      <x:c r="AH747" s="36" t="n">
        <x:v>0</x:v>
      </x:c>
    </x:row>
    <x:row r="748" ht="15" hidden="0" customHeight="1">
      <x:c r="A748" s="34" t="n">
        <x:v>186</x:v>
      </x:c>
      <x:c r="B748" s="34" t="str">
        <x:v>H3</x:v>
      </x:c>
      <x:c r="C748" s="34" t="str">
        <x:v>slow</x:v>
      </x:c>
      <x:c r="D748" s="74" t="n">
        <x:v>1.1317441256241494</x:v>
      </x:c>
      <x:c r="E748" s="74" t="n">
        <x:v>0.028604337484288804</x:v>
      </x:c>
      <x:c r="F748" s="74" t="n">
        <x:v>0.768776621382531</x:v>
      </x:c>
      <x:c r="G748" s="74" t="n">
        <x:v>1.2330567284890566</x:v>
      </x:c>
      <x:c r="H748" s="74" t="n">
        <x:v>0.9078266351919805</x:v>
      </x:c>
      <x:c r="I748" s="74" t="n">
        <x:v>0.8114268275535065</x:v>
      </x:c>
      <x:c r="J748" s="74" t="n">
        <x:v>0.9320299153291559</x:v>
      </x:c>
      <x:c r="K748" s="74" t="n">
        <x:v>0.9673707829351639</x:v>
      </x:c>
      <x:c r="L748" s="74" t="n">
        <x:v>0.947139465604464</x:v>
      </x:c>
      <x:c r="M748" s="74" t="n">
        <x:v>1.0486939380604836</x:v>
      </x:c>
      <x:c r="N748" s="74" t="n">
        <x:v>0.9012127531281539</x:v>
      </x:c>
      <x:c r="O748" s="65" t="n">
        <x:v>544425.285282672</x:v>
      </x:c>
      <x:c r="P748" s="65" t="n">
        <x:v>311113.0445107618</x:v>
      </x:c>
      <x:c r="Q748" s="65" t="n">
        <x:v>233312.24077191012</x:v>
      </x:c>
      <x:c r="R748" s="65" t="n">
        <x:v>117140.22445631897</x:v>
      </x:c>
      <x:c r="S748" s="65" t="n">
        <x:v>116172.01631559111</x:v>
      </x:c>
      <x:c r="T748" s="65" t="n">
        <x:v>130838.997064771</x:v>
      </x:c>
      <x:c r="U748" s="43" t="n">
        <x:v>0.8117772144731781</x:v>
      </x:c>
      <x:c r="V748" s="43" t="n">
        <x:v>0.8050384983636346</x:v>
      </x:c>
      <x:c r="W748" s="43" t="n">
        <x:v>0.30627026924900286</x:v>
      </x:c>
      <x:c r="X748" s="65" t="n">
        <x:v>27371719.40573171</x:v>
      </x:c>
      <x:c r="Y748" s="65" t="n">
        <x:v>50.27635590349187</x:v>
      </x:c>
      <x:c r="Z748" s="65" t="n">
        <x:v>1019398.862892147</x:v>
      </x:c>
      <x:c r="AA748" s="65" t="n">
        <x:v>153069.32574202033</x:v>
      </x:c>
      <x:c r="AB748" s="65" t="n">
        <x:v>5379.237205621019</x:v>
      </x:c>
      <x:c r="AC748" s="65" t="n">
        <x:v>0</x:v>
      </x:c>
      <x:c r="AD748" s="65" t="n">
        <x:v>2251.096490863617</x:v>
      </x:c>
      <x:c r="AE748" s="65" t="n">
        <x:v>5.820766091346741e-11</x:v>
      </x:c>
      <x:c r="AF748" s="65" t="n">
        <x:v>130838.99706477094</x:v>
      </x:c>
      <x:c r="AG748" s="65" t="n">
        <x:v>5.820766091346741e-11</x:v>
      </x:c>
      <x:c r="AH748" s="34" t="n">
        <x:v>0</x:v>
      </x:c>
    </x:row>
    <x:row r="749" ht="21.600000381469727" hidden="0" customHeight="1">
      <x:c r="A749" s="36" t="n">
        <x:v>187</x:v>
      </x:c>
      <x:c r="B749" s="36" t="str">
        <x:v>M0</x:v>
      </x:c>
      <x:c r="C749" s="36" t="str">
        <x:v>slow</x:v>
      </x:c>
      <x:c r="D749" s="75" t="n">
        <x:v>1.0520101815820613</x:v>
      </x:c>
      <x:c r="E749" s="75" t="n">
        <x:v>-0.01867318443842482</x:v>
      </x:c>
      <x:c r="F749" s="75" t="n">
        <x:v>0.8103059947754043</x:v>
      </x:c>
      <x:c r="G749" s="75" t="n">
        <x:v>1.195493158868039</x:v>
      </x:c>
      <x:c r="H749" s="75" t="n">
        <x:v>1.003073188025404</x:v>
      </x:c>
      <x:c r="I749" s="75" t="n">
        <x:v>1.032686071372011</x:v>
      </x:c>
      <x:c r="J749" s="75" t="n">
        <x:v>0.9880936497427462</x:v>
      </x:c>
      <x:c r="K749" s="75" t="n">
        <x:v>0.8228104948362548</x:v>
      </x:c>
      <x:c r="L749" s="75" t="n">
        <x:v>0.9773401861025734</x:v>
      </x:c>
      <x:c r="M749" s="75" t="n">
        <x:v>0.7536338264643331</x:v>
      </x:c>
      <x:c r="N749" s="75" t="n">
        <x:v>0.897723333164534</x:v>
      </x:c>
      <x:c r="O749" s="66" t="n">
        <x:v>506069.28744801425</x:v>
      </x:c>
      <x:c r="P749" s="66" t="n">
        <x:v>63574.41342231877</x:v>
      </x:c>
      <x:c r="Q749" s="66" t="n">
        <x:v>442494.8740256955</x:v>
      </x:c>
      <x:c r="R749" s="66" t="n">
        <x:v>84961.72776538605</x:v>
      </x:c>
      <x:c r="S749" s="66" t="n">
        <x:v>357533.14626030944</x:v>
      </x:c>
      <x:c r="T749" s="66" t="n">
        <x:v>283091.94315493404</x:v>
      </x:c>
      <x:c r="U749" s="45" t="n">
        <x:v>0.6850175760030962</x:v>
      </x:c>
      <x:c r="V749" s="45" t="n">
        <x:v>0.6691584534409154</x:v>
      </x:c>
      <x:c r="W749" s="45" t="n">
        <x:v>0.06767491490424003</x:v>
      </x:c>
      <x:c r="X749" s="66" t="n">
        <x:v>53968268.28032096</x:v>
      </x:c>
      <x:c r="Y749" s="66" t="n">
        <x:v>106.64205400108345</x:v>
      </x:c>
      <x:c r="Z749" s="66" t="n">
        <x:v>2940327.7991854004</x:v>
      </x:c>
      <x:c r="AA749" s="66" t="n">
        <x:v>297398.96552792477</x:v>
      </x:c>
      <x:c r="AB749" s="66" t="n">
        <x:v>18748.42262521102</x:v>
      </x:c>
      <x:c r="AC749" s="66" t="n">
        <x:v>0</x:v>
      </x:c>
      <x:c r="AD749" s="66" t="n">
        <x:v>2795.3919368437264</x:v>
      </x:c>
      <x:c r="AE749" s="66" t="n">
        <x:v>257237.51115979545</x:v>
      </x:c>
      <x:c r="AF749" s="66" t="n">
        <x:v>283091.9431549338</x:v>
      </x:c>
      <x:c r="AG749" s="66" t="n">
        <x:v>2.3283064365386963e-10</x:v>
      </x:c>
      <x:c r="AH749" s="36" t="n">
        <x:v>0</x:v>
      </x:c>
    </x:row>
    <x:row r="750" ht="21.600000381469727" hidden="0" customHeight="1">
      <x:c r="A750" s="34" t="n">
        <x:v>187</x:v>
      </x:c>
      <x:c r="B750" s="34" t="str">
        <x:v>B1</x:v>
      </x:c>
      <x:c r="C750" s="34" t="str">
        <x:v>slow</x:v>
      </x:c>
      <x:c r="D750" s="74" t="n">
        <x:v>1.0520101815820613</x:v>
      </x:c>
      <x:c r="E750" s="74" t="n">
        <x:v>-0.01867318443842482</x:v>
      </x:c>
      <x:c r="F750" s="74" t="n">
        <x:v>0.8103059947754043</x:v>
      </x:c>
      <x:c r="G750" s="74" t="n">
        <x:v>1.195493158868039</x:v>
      </x:c>
      <x:c r="H750" s="74" t="n">
        <x:v>1.003073188025404</x:v>
      </x:c>
      <x:c r="I750" s="74" t="n">
        <x:v>1.032686071372011</x:v>
      </x:c>
      <x:c r="J750" s="74" t="n">
        <x:v>0.9880936497427462</x:v>
      </x:c>
      <x:c r="K750" s="74" t="n">
        <x:v>0.8228104948362548</x:v>
      </x:c>
      <x:c r="L750" s="74" t="n">
        <x:v>0.9773401861025734</x:v>
      </x:c>
      <x:c r="M750" s="74" t="n">
        <x:v>0.7536338264643331</x:v>
      </x:c>
      <x:c r="N750" s="74" t="n">
        <x:v>0.897723333164534</x:v>
      </x:c>
      <x:c r="O750" s="65" t="n">
        <x:v>506069.28744801425</x:v>
      </x:c>
      <x:c r="P750" s="65" t="n">
        <x:v>215050.20107470977</x:v>
      </x:c>
      <x:c r="Q750" s="65" t="n">
        <x:v>291019.08637330454</x:v>
      </x:c>
      <x:c r="R750" s="65" t="n">
        <x:v>84961.72776538605</x:v>
      </x:c>
      <x:c r="S750" s="65" t="n">
        <x:v>206057.35860791843</x:v>
      </x:c>
      <x:c r="T750" s="65" t="n">
        <x:v>174803.810685256</x:v>
      </x:c>
      <x:c r="U750" s="43" t="n">
        <x:v>0.7703569875301183</x:v>
      </x:c>
      <x:c r="V750" s="43" t="n">
        <x:v>0.7603241911524651</x:v>
      </x:c>
      <x:c r="W750" s="43" t="n">
        <x:v>0.23489134881257295</x:v>
      </x:c>
      <x:c r="X750" s="65" t="n">
        <x:v>36922405.28318438</x:v>
      </x:c>
      <x:c r="Y750" s="65" t="n">
        <x:v>72.9591899745096</x:v>
      </x:c>
      <x:c r="Z750" s="65" t="n">
        <x:v>1159597.4800155365</x:v>
      </x:c>
      <x:c r="AA750" s="65" t="n">
        <x:v>197523.804509402</x:v>
      </x:c>
      <x:c r="AB750" s="65" t="n">
        <x:v>2465.2786005253806</x:v>
      </x:c>
      <x:c r="AC750" s="65" t="n">
        <x:v>863.5395358964756</x:v>
      </x:c>
      <x:c r="AD750" s="65" t="n">
        <x:v>2280.2116922326095</x:v>
      </x:c>
      <x:c r="AE750" s="65" t="n">
        <x:v>97240.51469984028</x:v>
      </x:c>
      <x:c r="AF750" s="65" t="n">
        <x:v>174803.81068525597</x:v>
      </x:c>
      <x:c r="AG750" s="65" t="n">
        <x:v>2.9103830456733704e-11</x:v>
      </x:c>
      <x:c r="AH750" s="34" t="n">
        <x:v>0</x:v>
      </x:c>
    </x:row>
    <x:row r="751" ht="21.600000381469727" hidden="0" customHeight="1">
      <x:c r="A751" s="36" t="n">
        <x:v>187</x:v>
      </x:c>
      <x:c r="B751" s="36" t="str">
        <x:v>P2</x:v>
      </x:c>
      <x:c r="C751" s="36" t="str">
        <x:v>slow</x:v>
      </x:c>
      <x:c r="D751" s="75" t="n">
        <x:v>1.0520101815820613</x:v>
      </x:c>
      <x:c r="E751" s="75" t="n">
        <x:v>-0.01867318443842482</x:v>
      </x:c>
      <x:c r="F751" s="75" t="n">
        <x:v>0.8103059947754043</x:v>
      </x:c>
      <x:c r="G751" s="75" t="n">
        <x:v>1.195493158868039</x:v>
      </x:c>
      <x:c r="H751" s="75" t="n">
        <x:v>1.003073188025404</x:v>
      </x:c>
      <x:c r="I751" s="75" t="n">
        <x:v>1.032686071372011</x:v>
      </x:c>
      <x:c r="J751" s="75" t="n">
        <x:v>0.9880936497427462</x:v>
      </x:c>
      <x:c r="K751" s="75" t="n">
        <x:v>0.8228104948362548</x:v>
      </x:c>
      <x:c r="L751" s="75" t="n">
        <x:v>0.9773401861025734</x:v>
      </x:c>
      <x:c r="M751" s="75" t="n">
        <x:v>0.7536338264643331</x:v>
      </x:c>
      <x:c r="N751" s="75" t="n">
        <x:v>0.897723333164534</x:v>
      </x:c>
      <x:c r="O751" s="66" t="n">
        <x:v>506069.28744801425</x:v>
      </x:c>
      <x:c r="P751" s="66" t="n">
        <x:v>311540.6127728198</x:v>
      </x:c>
      <x:c r="Q751" s="66" t="n">
        <x:v>194528.67467519443</x:v>
      </x:c>
      <x:c r="R751" s="66" t="n">
        <x:v>84961.72776538605</x:v>
      </x:c>
      <x:c r="S751" s="66" t="n">
        <x:v>109566.94690980838</x:v>
      </x:c>
      <x:c r="T751" s="66" t="n">
        <x:v>106918.33524223916</x:v>
      </x:c>
      <x:c r="U751" s="45" t="n">
        <x:v>0.8268807422107095</x:v>
      </x:c>
      <x:c r="V751" s="45" t="n">
        <x:v>0.8206035987969518</x:v>
      </x:c>
      <x:c r="W751" s="45" t="n">
        <x:v>0.3451557970983091</x:v>
      </x:c>
      <x:c r="X751" s="66" t="n">
        <x:v>24396078.661961246</x:v>
      </x:c>
      <x:c r="Y751" s="66" t="n">
        <x:v>48.206993127334016</x:v>
      </x:c>
      <x:c r="Z751" s="66" t="n">
        <x:v>675481.4618105281</x:v>
      </x:c>
      <x:c r="AA751" s="66" t="n">
        <x:v>135473.20767375518</x:v>
      </x:c>
      <x:c r="AB751" s="66" t="n">
        <x:v>0</x:v>
      </x:c>
      <x:c r="AC751" s="66" t="n">
        <x:v>0</x:v>
      </x:c>
      <x:c r="AD751" s="66" t="n">
        <x:v>1967.6563913810292</x:v>
      </x:c>
      <x:c r="AE751" s="66" t="n">
        <x:v>36895.915255405576</x:v>
      </x:c>
      <x:c r="AF751" s="66" t="n">
        <x:v>106918.33524223915</x:v>
      </x:c>
      <x:c r="AG751" s="66" t="n">
        <x:v>1.4551915228366852e-11</x:v>
      </x:c>
      <x:c r="AH751" s="36" t="n">
        <x:v>0</x:v>
      </x:c>
    </x:row>
    <x:row r="752" ht="21.600000381469727" hidden="0" customHeight="1">
      <x:c r="A752" s="34" t="n">
        <x:v>187</x:v>
      </x:c>
      <x:c r="B752" s="34" t="str">
        <x:v>H3</x:v>
      </x:c>
      <x:c r="C752" s="34" t="str">
        <x:v>slow</x:v>
      </x:c>
      <x:c r="D752" s="74" t="n">
        <x:v>1.0520101815820613</x:v>
      </x:c>
      <x:c r="E752" s="74" t="n">
        <x:v>-0.01867318443842482</x:v>
      </x:c>
      <x:c r="F752" s="74" t="n">
        <x:v>0.8103059947754043</x:v>
      </x:c>
      <x:c r="G752" s="74" t="n">
        <x:v>1.195493158868039</x:v>
      </x:c>
      <x:c r="H752" s="74" t="n">
        <x:v>1.003073188025404</x:v>
      </x:c>
      <x:c r="I752" s="74" t="n">
        <x:v>1.032686071372011</x:v>
      </x:c>
      <x:c r="J752" s="74" t="n">
        <x:v>0.9880936497427462</x:v>
      </x:c>
      <x:c r="K752" s="74" t="n">
        <x:v>0.8228104948362548</x:v>
      </x:c>
      <x:c r="L752" s="74" t="n">
        <x:v>0.9773401861025734</x:v>
      </x:c>
      <x:c r="M752" s="74" t="n">
        <x:v>0.7536338264643331</x:v>
      </x:c>
      <x:c r="N752" s="74" t="n">
        <x:v>0.897723333164534</x:v>
      </x:c>
      <x:c r="O752" s="65" t="n">
        <x:v>506069.28744801425</x:v>
      </x:c>
      <x:c r="P752" s="65" t="n">
        <x:v>323178.62695117097</x:v>
      </x:c>
      <x:c r="Q752" s="65" t="n">
        <x:v>182890.66049684334</x:v>
      </x:c>
      <x:c r="R752" s="65" t="n">
        <x:v>84961.72776538605</x:v>
      </x:c>
      <x:c r="S752" s="65" t="n">
        <x:v>97928.93273145726</x:v>
      </x:c>
      <x:c r="T752" s="65" t="n">
        <x:v>98735.00895795983</x:v>
      </x:c>
      <x:c r="U752" s="43" t="n">
        <x:v>0.8337072538757289</x:v>
      </x:c>
      <x:c r="V752" s="43" t="n">
        <x:v>0.8280214410813521</x:v>
      </x:c>
      <x:c r="W752" s="43" t="n">
        <x:v>0.3590325048117212</x:v>
      </x:c>
      <x:c r="X752" s="65" t="n">
        <x:v>21812103.003084846</x:v>
      </x:c>
      <x:c r="Y752" s="65" t="n">
        <x:v>43.101021034250145</x:v>
      </x:c>
      <x:c r="Z752" s="65" t="n">
        <x:v>663342.0127056548</x:v>
      </x:c>
      <x:c r="AA752" s="65" t="n">
        <x:v>119363.70020479572</x:v>
      </x:c>
      <x:c r="AB752" s="65" t="n">
        <x:v>1927.596319188996</x:v>
      </x:c>
      <x:c r="AC752" s="65" t="n">
        <x:v>0</x:v>
      </x:c>
      <x:c r="AD752" s="65" t="n">
        <x:v>1932.3641383033837</x:v>
      </x:c>
      <x:c r="AE752" s="65" t="n">
        <x:v>13880.65887419907</x:v>
      </x:c>
      <x:c r="AF752" s="65" t="n">
        <x:v>98735.0089579597</x:v>
      </x:c>
      <x:c r="AG752" s="65" t="n">
        <x:v>1.3096723705530167e-10</x:v>
      </x:c>
      <x:c r="AH752" s="34" t="n">
        <x:v>0</x:v>
      </x:c>
    </x:row>
    <x:row r="753" ht="21.600000381469727" hidden="0" customHeight="1">
      <x:c r="A753" s="36" t="n">
        <x:v>188</x:v>
      </x:c>
      <x:c r="B753" s="36" t="str">
        <x:v>M0</x:v>
      </x:c>
      <x:c r="C753" s="36" t="str">
        <x:v>slow</x:v>
      </x:c>
      <x:c r="D753" s="75" t="n">
        <x:v>0.9983525114680099</x:v>
      </x:c>
      <x:c r="E753" s="75" t="n">
        <x:v>-0.028690157110225392</x:v>
      </x:c>
      <x:c r="F753" s="75" t="n">
        <x:v>1.0103084468649755</x:v>
      </x:c>
      <x:c r="G753" s="75" t="n">
        <x:v>1.1083643775922645</x:v>
      </x:c>
      <x:c r="H753" s="75" t="n">
        <x:v>0.7254348720316816</x:v>
      </x:c>
      <x:c r="I753" s="75" t="n">
        <x:v>0.7751027257489111</x:v>
      </x:c>
      <x:c r="J753" s="75" t="n">
        <x:v>0.902927879928692</x:v>
      </x:c>
      <x:c r="K753" s="75" t="n">
        <x:v>0.7574223406345575</x:v>
      </x:c>
      <x:c r="L753" s="75" t="n">
        <x:v>0.8998299784820836</x:v>
      </x:c>
      <x:c r="M753" s="75" t="n">
        <x:v>1.0365574976814194</x:v>
      </x:c>
      <x:c r="N753" s="75" t="n">
        <x:v>1.0322055911439567</x:v>
      </x:c>
      <x:c r="O753" s="66" t="n">
        <x:v>480257.27597118384</x:v>
      </x:c>
      <x:c r="P753" s="66" t="n">
        <x:v>76128.8052475432</x:v>
      </x:c>
      <x:c r="Q753" s="66" t="n">
        <x:v>404128.47072364064</x:v>
      </x:c>
      <x:c r="R753" s="66" t="n">
        <x:v>75817.5396508131</x:v>
      </x:c>
      <x:c r="S753" s="66" t="n">
        <x:v>328310.93107282754</x:v>
      </x:c>
      <x:c r="T753" s="66" t="n">
        <x:v>242472.7397358407</x:v>
      </x:c>
      <x:c r="U753" s="45" t="n">
        <x:v>0.6633976431467962</x:v>
      </x:c>
      <x:c r="V753" s="45" t="n">
        <x:v>0.6515793653734201</x:v>
      </x:c>
      <x:c r="W753" s="45" t="n">
        <x:v>0.08618209404485376</x:v>
      </x:c>
      <x:c r="X753" s="66" t="n">
        <x:v>53380558.33515623</x:v>
      </x:c>
      <x:c r="Y753" s="66" t="n">
        <x:v>111.14992110678432</x:v>
      </x:c>
      <x:c r="Z753" s="66" t="n">
        <x:v>2960299.5464586797</x:v>
      </x:c>
      <x:c r="AA753" s="66" t="n">
        <x:v>294485.887022348</x:v>
      </x:c>
      <x:c r="AB753" s="66" t="n">
        <x:v>20473.955163035487</x:v>
      </x:c>
      <x:c r="AC753" s="66" t="n">
        <x:v>0</x:v>
      </x:c>
      <x:c r="AD753" s="66" t="n">
        <x:v>2593.9887061485356</x:v>
      </x:c>
      <x:c r="AE753" s="66" t="n">
        <x:v>153290.17666100277</x:v>
      </x:c>
      <x:c r="AF753" s="66" t="n">
        <x:v>242472.7397358408</x:v>
      </x:c>
      <x:c r="AG753" s="66" t="n">
        <x:v>0</x:v>
      </x:c>
      <x:c r="AH753" s="36" t="n">
        <x:v>0</x:v>
      </x:c>
    </x:row>
    <x:row r="754" ht="21.600000381469727" hidden="0" customHeight="1">
      <x:c r="A754" s="34" t="n">
        <x:v>188</x:v>
      </x:c>
      <x:c r="B754" s="34" t="str">
        <x:v>B1</x:v>
      </x:c>
      <x:c r="C754" s="34" t="str">
        <x:v>slow</x:v>
      </x:c>
      <x:c r="D754" s="74" t="n">
        <x:v>0.9983525114680099</x:v>
      </x:c>
      <x:c r="E754" s="74" t="n">
        <x:v>-0.028690157110225392</x:v>
      </x:c>
      <x:c r="F754" s="74" t="n">
        <x:v>1.0103084468649755</x:v>
      </x:c>
      <x:c r="G754" s="74" t="n">
        <x:v>1.1083643775922645</x:v>
      </x:c>
      <x:c r="H754" s="74" t="n">
        <x:v>0.7254348720316816</x:v>
      </x:c>
      <x:c r="I754" s="74" t="n">
        <x:v>0.7751027257489111</x:v>
      </x:c>
      <x:c r="J754" s="74" t="n">
        <x:v>0.902927879928692</x:v>
      </x:c>
      <x:c r="K754" s="74" t="n">
        <x:v>0.7574223406345575</x:v>
      </x:c>
      <x:c r="L754" s="74" t="n">
        <x:v>0.8998299784820836</x:v>
      </x:c>
      <x:c r="M754" s="74" t="n">
        <x:v>1.0365574976814194</x:v>
      </x:c>
      <x:c r="N754" s="74" t="n">
        <x:v>1.0322055911439567</x:v>
      </x:c>
      <x:c r="O754" s="65" t="n">
        <x:v>480257.27597118384</x:v>
      </x:c>
      <x:c r="P754" s="65" t="n">
        <x:v>257517.03713756474</x:v>
      </x:c>
      <x:c r="Q754" s="65" t="n">
        <x:v>222740.2388336191</x:v>
      </x:c>
      <x:c r="R754" s="65" t="n">
        <x:v>75817.5396508131</x:v>
      </x:c>
      <x:c r="S754" s="65" t="n">
        <x:v>146922.69918280604</x:v>
      </x:c>
      <x:c r="T754" s="65" t="n">
        <x:v>128453.90671977203</x:v>
      </x:c>
      <x:c r="U754" s="43" t="n">
        <x:v>0.8036753697834567</x:v>
      </x:c>
      <x:c r="V754" s="43" t="n">
        <x:v>0.7951491329165348</x:v>
      </x:c>
      <x:c r="W754" s="43" t="n">
        <x:v>0.29912750303908264</x:v>
      </x:c>
      <x:c r="X754" s="65" t="n">
        <x:v>30435743.57866035</x:v>
      </x:c>
      <x:c r="Y754" s="65" t="n">
        <x:v>63.373831280562506</x:v>
      </x:c>
      <x:c r="Z754" s="65" t="n">
        <x:v>849451.3058253429</x:v>
      </x:c>
      <x:c r="AA754" s="65" t="n">
        <x:v>154475.33197176535</x:v>
      </x:c>
      <x:c r="AB754" s="65" t="n">
        <x:v>1968.4098979292805</x:v>
      </x:c>
      <x:c r="AC754" s="65" t="n">
        <x:v>0</x:v>
      </x:c>
      <x:c r="AD754" s="65" t="n">
        <x:v>1971.3838600849786</x:v>
      </x:c>
      <x:c r="AE754" s="65" t="n">
        <x:v>16975.70287622443</x:v>
      </x:c>
      <x:c r="AF754" s="65" t="n">
        <x:v>128453.90671977229</x:v>
      </x:c>
      <x:c r="AG754" s="65" t="n">
        <x:v>0</x:v>
      </x:c>
      <x:c r="AH754" s="34" t="n">
        <x:v>0</x:v>
      </x:c>
    </x:row>
    <x:row r="755" ht="21.600000381469727" hidden="0" customHeight="1">
      <x:c r="A755" s="36" t="n">
        <x:v>188</x:v>
      </x:c>
      <x:c r="B755" s="36" t="str">
        <x:v>P2</x:v>
      </x:c>
      <x:c r="C755" s="36" t="str">
        <x:v>slow</x:v>
      </x:c>
      <x:c r="D755" s="75" t="n">
        <x:v>0.9983525114680099</x:v>
      </x:c>
      <x:c r="E755" s="75" t="n">
        <x:v>-0.028690157110225392</x:v>
      </x:c>
      <x:c r="F755" s="75" t="n">
        <x:v>1.0103084468649755</x:v>
      </x:c>
      <x:c r="G755" s="75" t="n">
        <x:v>1.1083643775922645</x:v>
      </x:c>
      <x:c r="H755" s="75" t="n">
        <x:v>0.7254348720316816</x:v>
      </x:c>
      <x:c r="I755" s="75" t="n">
        <x:v>0.7751027257489111</x:v>
      </x:c>
      <x:c r="J755" s="75" t="n">
        <x:v>0.902927879928692</x:v>
      </x:c>
      <x:c r="K755" s="75" t="n">
        <x:v>0.7574223406345575</x:v>
      </x:c>
      <x:c r="L755" s="75" t="n">
        <x:v>0.8998299784820836</x:v>
      </x:c>
      <x:c r="M755" s="75" t="n">
        <x:v>1.0365574976814194</x:v>
      </x:c>
      <x:c r="N755" s="75" t="n">
        <x:v>1.0322055911439567</x:v>
      </x:c>
      <x:c r="O755" s="66" t="n">
        <x:v>480257.27597118384</x:v>
      </x:c>
      <x:c r="P755" s="66" t="n">
        <x:v>373061.54161908105</x:v>
      </x:c>
      <x:c r="Q755" s="66" t="n">
        <x:v>107195.73435210277</x:v>
      </x:c>
      <x:c r="R755" s="66" t="n">
        <x:v>75817.5396508131</x:v>
      </x:c>
      <x:c r="S755" s="66" t="n">
        <x:v>31378.19470128967</x:v>
      </x:c>
      <x:c r="T755" s="66" t="n">
        <x:v>47244.323255732175</x:v>
      </x:c>
      <x:c r="U755" s="45" t="n">
        <x:v>0.8751681357140588</x:v>
      </x:c>
      <x:c r="V755" s="45" t="n">
        <x:v>0.8713814223755745</x:v>
      </x:c>
      <x:c r="W755" s="45" t="n">
        <x:v>0.43954616578009525</x:v>
      </x:c>
      <x:c r="X755" s="66" t="n">
        <x:v>15634733.45762749</x:v>
      </x:c>
      <x:c r="Y755" s="66" t="n">
        <x:v>32.55491221035785</x:v>
      </x:c>
      <x:c r="Z755" s="66" t="n">
        <x:v>310450.1740568315</x:v>
      </x:c>
      <x:c r="AA755" s="66" t="n">
        <x:v>80249.90149766568</x:v>
      </x:c>
      <x:c r="AB755" s="66" t="n">
        <x:v>0</x:v>
      </x:c>
      <x:c r="AC755" s="66" t="n">
        <x:v>0</x:v>
      </x:c>
      <x:c r="AD755" s="66" t="n">
        <x:v>1593.6550030323572</x:v>
      </x:c>
      <x:c r="AE755" s="66" t="n">
        <x:v>11487.586728262897</x:v>
      </x:c>
      <x:c r="AF755" s="66" t="n">
        <x:v>47244.323255732146</x:v>
      </x:c>
      <x:c r="AG755" s="66" t="n">
        <x:v>2.9103830456733704e-11</x:v>
      </x:c>
      <x:c r="AH755" s="36" t="n">
        <x:v>0</x:v>
      </x:c>
    </x:row>
    <x:row r="756" ht="21.600000381469727" hidden="0" customHeight="1">
      <x:c r="A756" s="34" t="n">
        <x:v>188</x:v>
      </x:c>
      <x:c r="B756" s="34" t="str">
        <x:v>H3</x:v>
      </x:c>
      <x:c r="C756" s="34" t="str">
        <x:v>slow</x:v>
      </x:c>
      <x:c r="D756" s="74" t="n">
        <x:v>0.9983525114680099</x:v>
      </x:c>
      <x:c r="E756" s="74" t="n">
        <x:v>-0.028690157110225392</x:v>
      </x:c>
      <x:c r="F756" s="74" t="n">
        <x:v>1.0103084468649755</x:v>
      </x:c>
      <x:c r="G756" s="74" t="n">
        <x:v>1.1083643775922645</x:v>
      </x:c>
      <x:c r="H756" s="74" t="n">
        <x:v>0.7254348720316816</x:v>
      </x:c>
      <x:c r="I756" s="74" t="n">
        <x:v>0.7751027257489111</x:v>
      </x:c>
      <x:c r="J756" s="74" t="n">
        <x:v>0.902927879928692</x:v>
      </x:c>
      <x:c r="K756" s="74" t="n">
        <x:v>0.7574223406345575</x:v>
      </x:c>
      <x:c r="L756" s="74" t="n">
        <x:v>0.8998299784820836</x:v>
      </x:c>
      <x:c r="M756" s="74" t="n">
        <x:v>1.0365574976814194</x:v>
      </x:c>
      <x:c r="N756" s="74" t="n">
        <x:v>1.0322055911439567</x:v>
      </x:c>
      <x:c r="O756" s="65" t="n">
        <x:v>480257.27597118384</x:v>
      </x:c>
      <x:c r="P756" s="65" t="n">
        <x:v>386997.6994115264</x:v>
      </x:c>
      <x:c r="Q756" s="65" t="n">
        <x:v>93259.57655965745</x:v>
      </x:c>
      <x:c r="R756" s="65" t="n">
        <x:v>75817.5396508131</x:v>
      </x:c>
      <x:c r="S756" s="65" t="n">
        <x:v>17442.03690884438</x:v>
      </x:c>
      <x:c r="T756" s="65" t="n">
        <x:v>37454.84012269783</x:v>
      </x:c>
      <x:c r="U756" s="43" t="n">
        <x:v>0.8838024133541539</x:v>
      </x:c>
      <x:c r="V756" s="43" t="n">
        <x:v>0.8807621893278407</x:v>
      </x:c>
      <x:c r="W756" s="43" t="n">
        <x:v>0.4572177613910017</x:v>
      </x:c>
      <x:c r="X756" s="65" t="n">
        <x:v>13129864.998492539</x:v>
      </x:c>
      <x:c r="Y756" s="65" t="n">
        <x:v>27.339231814741627</x:v>
      </x:c>
      <x:c r="Z756" s="65" t="n">
        <x:v>269158.2755077288</x:v>
      </x:c>
      <x:c r="AA756" s="65" t="n">
        <x:v>73577.51604434833</x:v>
      </x:c>
      <x:c r="AB756" s="65" t="n">
        <x:v>1340.006303648911</x:v>
      </x:c>
      <x:c r="AC756" s="65" t="n">
        <x:v>0</x:v>
      </x:c>
      <x:c r="AD756" s="65" t="n">
        <x:v>1551.003662992659</x:v>
      </x:c>
      <x:c r="AE756" s="65" t="n">
        <x:v>0</x:v>
      </x:c>
      <x:c r="AF756" s="65" t="n">
        <x:v>37454.84012269784</x:v>
      </x:c>
      <x:c r="AG756" s="65" t="n">
        <x:v>0</x:v>
      </x:c>
      <x:c r="AH756" s="34" t="n">
        <x:v>0</x:v>
      </x:c>
    </x:row>
    <x:row r="757" ht="15" hidden="0" customHeight="1">
      <x:c r="A757" s="36" t="n">
        <x:v>189</x:v>
      </x:c>
      <x:c r="B757" s="36" t="str">
        <x:v>M0</x:v>
      </x:c>
      <x:c r="C757" s="36" t="str">
        <x:v>reference</x:v>
      </x:c>
      <x:c r="D757" s="75" t="n">
        <x:v>1.1741184751127813</x:v>
      </x:c>
      <x:c r="E757" s="75" t="n">
        <x:v>0.08551296913296985</x:v>
      </x:c>
      <x:c r="F757" s="75" t="n">
        <x:v>0.7729305199134278</x:v>
      </x:c>
      <x:c r="G757" s="75" t="n">
        <x:v>1.317224694805173</x:v>
      </x:c>
      <x:c r="H757" s="75" t="n">
        <x:v>0.786797515393256</x:v>
      </x:c>
      <x:c r="I757" s="75" t="n">
        <x:v>0.9762828772846694</x:v>
      </x:c>
      <x:c r="J757" s="75" t="n">
        <x:v>1.0470331409979918</x:v>
      </x:c>
      <x:c r="K757" s="75" t="n">
        <x:v>0.9533655376899837</x:v>
      </x:c>
      <x:c r="L757" s="75" t="n">
        <x:v>0.847275675854724</x:v>
      </x:c>
      <x:c r="M757" s="75" t="n">
        <x:v>0.8940163079589917</x:v>
      </x:c>
      <x:c r="N757" s="75" t="n">
        <x:v>0.9437752549979113</x:v>
      </x:c>
      <x:c r="O757" s="66" t="n">
        <x:v>564809.4576293085</x:v>
      </x:c>
      <x:c r="P757" s="66" t="n">
        <x:v>59205.216898345294</x:v>
      </x:c>
      <x:c r="Q757" s="66" t="n">
        <x:v>505604.2407309631</x:v>
      </x:c>
      <x:c r="R757" s="66" t="n">
        <x:v>153668.67925908862</x:v>
      </x:c>
      <x:c r="S757" s="66" t="n">
        <x:v>351935.5614718745</x:v>
      </x:c>
      <x:c r="T757" s="66" t="n">
        <x:v>257667.2071940883</x:v>
      </x:c>
      <x:c r="U757" s="45" t="n">
        <x:v>0.561025350783699</x:v>
      </x:c>
      <x:c r="V757" s="45" t="n">
        <x:v>0.5975512268131296</x:v>
      </x:c>
      <x:c r="W757" s="45" t="n">
        <x:v>0.10248904440620848</x:v>
      </x:c>
      <x:c r="X757" s="66" t="n">
        <x:v>68770444.10740514</x:v>
      </x:c>
      <x:c r="Y757" s="66" t="n">
        <x:v>121.75866246301429</x:v>
      </x:c>
      <x:c r="Z757" s="66" t="n">
        <x:v>4058502.2148306957</x:v>
      </x:c>
      <x:c r="AA757" s="66" t="n">
        <x:v>384766.1878183391</x:v>
      </x:c>
      <x:c r="AB757" s="66" t="n">
        <x:v>29902.101077036707</x:v>
      </x:c>
      <x:c r="AC757" s="66" t="n">
        <x:v>0</x:v>
      </x:c>
      <x:c r="AD757" s="66" t="n">
        <x:v>2451.0450806399194</x:v>
      </x:c>
      <x:c r="AE757" s="66" t="n">
        <x:v>203305.75250620864</x:v>
      </x:c>
      <x:c r="AF757" s="66" t="n">
        <x:v>257667.20719408855</x:v>
      </x:c>
      <x:c r="AG757" s="66" t="n">
        <x:v>0</x:v>
      </x:c>
      <x:c r="AH757" s="36" t="n">
        <x:v>0</x:v>
      </x:c>
    </x:row>
    <x:row r="758" ht="15" hidden="0" customHeight="1">
      <x:c r="A758" s="34" t="n">
        <x:v>189</x:v>
      </x:c>
      <x:c r="B758" s="34" t="str">
        <x:v>B1</x:v>
      </x:c>
      <x:c r="C758" s="34" t="str">
        <x:v>reference</x:v>
      </x:c>
      <x:c r="D758" s="74" t="n">
        <x:v>1.1741184751127813</x:v>
      </x:c>
      <x:c r="E758" s="74" t="n">
        <x:v>0.08551296913296985</x:v>
      </x:c>
      <x:c r="F758" s="74" t="n">
        <x:v>0.7729305199134278</x:v>
      </x:c>
      <x:c r="G758" s="74" t="n">
        <x:v>1.317224694805173</x:v>
      </x:c>
      <x:c r="H758" s="74" t="n">
        <x:v>0.786797515393256</x:v>
      </x:c>
      <x:c r="I758" s="74" t="n">
        <x:v>0.9762828772846694</x:v>
      </x:c>
      <x:c r="J758" s="74" t="n">
        <x:v>1.0470331409979918</x:v>
      </x:c>
      <x:c r="K758" s="74" t="n">
        <x:v>0.9533655376899837</x:v>
      </x:c>
      <x:c r="L758" s="74" t="n">
        <x:v>0.847275675854724</x:v>
      </x:c>
      <x:c r="M758" s="74" t="n">
        <x:v>0.8940163079589917</x:v>
      </x:c>
      <x:c r="N758" s="74" t="n">
        <x:v>0.9437752549979113</x:v>
      </x:c>
      <x:c r="O758" s="65" t="n">
        <x:v>564809.4576293085</x:v>
      </x:c>
      <x:c r="P758" s="65" t="n">
        <x:v>200273.7111471368</x:v>
      </x:c>
      <x:c r="Q758" s="65" t="n">
        <x:v>364535.74648217164</x:v>
      </x:c>
      <x:c r="R758" s="65" t="n">
        <x:v>153668.67925908862</x:v>
      </x:c>
      <x:c r="S758" s="65" t="n">
        <x:v>210867.067223083</x:v>
      </x:c>
      <x:c r="T758" s="65" t="n">
        <x:v>188607.65578108275</x:v>
      </x:c>
      <x:c r="U758" s="43" t="n">
        <x:v>0.688517803084394</x:v>
      </x:c>
      <x:c r="V758" s="43" t="n">
        <x:v>0.7240401160559404</x:v>
      </x:c>
      <x:c r="W758" s="43" t="n">
        <x:v>0.3578837294332731</x:v>
      </x:c>
      <x:c r="X758" s="65" t="n">
        <x:v>50856137.87572131</x:v>
      </x:c>
      <x:c r="Y758" s="65" t="n">
        <x:v>90.04122928320162</x:v>
      </x:c>
      <x:c r="Z758" s="65" t="n">
        <x:v>1277492.0152951833</x:v>
      </x:c>
      <x:c r="AA758" s="65" t="n">
        <x:v>285559.05052514107</x:v>
      </x:c>
      <x:c r="AB758" s="65" t="n">
        <x:v>3463.988242961635</x:v>
      </x:c>
      <x:c r="AC758" s="65" t="n">
        <x:v>0</x:v>
      </x:c>
      <x:c r="AD758" s="65" t="n">
        <x:v>2122.4299921242255</x:v>
      </x:c>
      <x:c r="AE758" s="65" t="n">
        <x:v>141341.04661652155</x:v>
      </x:c>
      <x:c r="AF758" s="65" t="n">
        <x:v>188607.6557810828</x:v>
      </x:c>
      <x:c r="AG758" s="65" t="n">
        <x:v>0</x:v>
      </x:c>
      <x:c r="AH758" s="34" t="n">
        <x:v>0</x:v>
      </x:c>
    </x:row>
    <x:row r="759" ht="15" hidden="0" customHeight="1">
      <x:c r="A759" s="36" t="n">
        <x:v>189</x:v>
      </x:c>
      <x:c r="B759" s="36" t="str">
        <x:v>P2</x:v>
      </x:c>
      <x:c r="C759" s="36" t="str">
        <x:v>reference</x:v>
      </x:c>
      <x:c r="D759" s="75" t="n">
        <x:v>1.1741184751127813</x:v>
      </x:c>
      <x:c r="E759" s="75" t="n">
        <x:v>0.08551296913296985</x:v>
      </x:c>
      <x:c r="F759" s="75" t="n">
        <x:v>0.7729305199134278</x:v>
      </x:c>
      <x:c r="G759" s="75" t="n">
        <x:v>1.317224694805173</x:v>
      </x:c>
      <x:c r="H759" s="75" t="n">
        <x:v>0.786797515393256</x:v>
      </x:c>
      <x:c r="I759" s="75" t="n">
        <x:v>0.9762828772846694</x:v>
      </x:c>
      <x:c r="J759" s="75" t="n">
        <x:v>1.0470331409979918</x:v>
      </x:c>
      <x:c r="K759" s="75" t="n">
        <x:v>0.9533655376899837</x:v>
      </x:c>
      <x:c r="L759" s="75" t="n">
        <x:v>0.847275675854724</x:v>
      </x:c>
      <x:c r="M759" s="75" t="n">
        <x:v>0.8940163079589917</x:v>
      </x:c>
      <x:c r="N759" s="75" t="n">
        <x:v>0.9437752549979113</x:v>
      </x:c>
      <x:c r="O759" s="66" t="n">
        <x:v>564809.4576293085</x:v>
      </x:c>
      <x:c r="P759" s="66" t="n">
        <x:v>290136.5287583907</x:v>
      </x:c>
      <x:c r="Q759" s="66" t="n">
        <x:v>274672.92887091776</x:v>
      </x:c>
      <x:c r="R759" s="66" t="n">
        <x:v>153668.67925908862</x:v>
      </x:c>
      <x:c r="S759" s="66" t="n">
        <x:v>121004.24961182913</x:v>
      </x:c>
      <x:c r="T759" s="66" t="n">
        <x:v>122596.45801578862</x:v>
      </x:c>
      <x:c r="U759" s="45" t="n">
        <x:v>0.7307473010571667</x:v>
      </x:c>
      <x:c r="V759" s="45" t="n">
        <x:v>0.7652387036337039</x:v>
      </x:c>
      <x:c r="W759" s="45" t="n">
        <x:v>0.4040022995611215</x:v>
      </x:c>
      <x:c r="X759" s="66" t="n">
        <x:v>38555644.77329745</x:v>
      </x:c>
      <x:c r="Y759" s="66" t="n">
        <x:v>68.26310050672346</x:v>
      </x:c>
      <x:c r="Z759" s="66" t="n">
        <x:v>766941.4342026736</x:v>
      </x:c>
      <x:c r="AA759" s="66" t="n">
        <x:v>222769.14648934227</x:v>
      </x:c>
      <x:c r="AB759" s="66" t="n">
        <x:v>0</x:v>
      </x:c>
      <x:c r="AC759" s="66" t="n">
        <x:v>0</x:v>
      </x:c>
      <x:c r="AD759" s="66" t="n">
        <x:v>1923.8704670207283</x:v>
      </x:c>
      <x:c r="AE759" s="66" t="n">
        <x:v>72461.78083633783</x:v>
      </x:c>
      <x:c r="AF759" s="66" t="n">
        <x:v>122596.45801578854</x:v>
      </x:c>
      <x:c r="AG759" s="66" t="n">
        <x:v>8.731149137020111e-11</x:v>
      </x:c>
      <x:c r="AH759" s="36" t="n">
        <x:v>0</x:v>
      </x:c>
    </x:row>
    <x:row r="760" ht="15" hidden="0" customHeight="1">
      <x:c r="A760" s="34" t="n">
        <x:v>189</x:v>
      </x:c>
      <x:c r="B760" s="34" t="str">
        <x:v>H3</x:v>
      </x:c>
      <x:c r="C760" s="34" t="str">
        <x:v>reference</x:v>
      </x:c>
      <x:c r="D760" s="74" t="n">
        <x:v>1.1741184751127813</x:v>
      </x:c>
      <x:c r="E760" s="74" t="n">
        <x:v>0.08551296913296985</x:v>
      </x:c>
      <x:c r="F760" s="74" t="n">
        <x:v>0.7729305199134278</x:v>
      </x:c>
      <x:c r="G760" s="74" t="n">
        <x:v>1.317224694805173</x:v>
      </x:c>
      <x:c r="H760" s="74" t="n">
        <x:v>0.786797515393256</x:v>
      </x:c>
      <x:c r="I760" s="74" t="n">
        <x:v>0.9762828772846694</x:v>
      </x:c>
      <x:c r="J760" s="74" t="n">
        <x:v>1.0470331409979918</x:v>
      </x:c>
      <x:c r="K760" s="74" t="n">
        <x:v>0.9533655376899837</x:v>
      </x:c>
      <x:c r="L760" s="74" t="n">
        <x:v>0.847275675854724</x:v>
      </x:c>
      <x:c r="M760" s="74" t="n">
        <x:v>0.8940163079589917</x:v>
      </x:c>
      <x:c r="N760" s="74" t="n">
        <x:v>0.9437752549979113</x:v>
      </x:c>
      <x:c r="O760" s="65" t="n">
        <x:v>564809.4576293085</x:v>
      </x:c>
      <x:c r="P760" s="65" t="n">
        <x:v>300975.45669138455</x:v>
      </x:c>
      <x:c r="Q760" s="65" t="n">
        <x:v>263834.0009379239</x:v>
      </x:c>
      <x:c r="R760" s="65" t="n">
        <x:v>153668.67925908862</x:v>
      </x:c>
      <x:c r="S760" s="65" t="n">
        <x:v>110165.32167883527</x:v>
      </x:c>
      <x:c r="T760" s="65" t="n">
        <x:v>189212.30689388214</x:v>
      </x:c>
      <x:c r="U760" s="43" t="n">
        <x:v>0.8678816492251145</x:v>
      </x:c>
      <x:c r="V760" s="43" t="n">
        <x:v>0.890136284004669</x:v>
      </x:c>
      <x:c r="W760" s="43" t="n">
        <x:v>0.5812445796774685</x:v>
      </x:c>
      <x:c r="X760" s="65" t="n">
        <x:v>31132990.44283396</x:v>
      </x:c>
      <x:c r="Y760" s="65" t="n">
        <x:v>55.12122720733004</x:v>
      </x:c>
      <x:c r="Z760" s="65" t="n">
        <x:v>1217258.6043952093</x:v>
      </x:c>
      <x:c r="AA760" s="65" t="n">
        <x:v>190226.8458222577</x:v>
      </x:c>
      <x:c r="AB760" s="65" t="n">
        <x:v>1457.3134172628743</x:v>
      </x:c>
      <x:c r="AC760" s="65" t="n">
        <x:v>0</x:v>
      </x:c>
      <x:c r="AD760" s="65" t="n">
        <x:v>1901.580843812666</x:v>
      </x:c>
      <x:c r="AE760" s="65" t="n">
        <x:v>86797.91114077323</x:v>
      </x:c>
      <x:c r="AF760" s="65" t="n">
        <x:v>189212.30689388234</x:v>
      </x:c>
      <x:c r="AG760" s="65" t="n">
        <x:v>0</x:v>
      </x:c>
      <x:c r="AH760" s="34" t="n">
        <x:v>0</x:v>
      </x:c>
    </x:row>
    <x:row r="761" ht="15" hidden="0" customHeight="1">
      <x:c r="A761" s="36" t="n">
        <x:v>190</x:v>
      </x:c>
      <x:c r="B761" s="36" t="str">
        <x:v>M0</x:v>
      </x:c>
      <x:c r="C761" s="36" t="str">
        <x:v>fast</x:v>
      </x:c>
      <x:c r="D761" s="75" t="n">
        <x:v>0.9929711450058885</x:v>
      </x:c>
      <x:c r="E761" s="75" t="n">
        <x:v>0.06521910234075151</x:v>
      </x:c>
      <x:c r="F761" s="75" t="n">
        <x:v>0.8777819965033447</x:v>
      </x:c>
      <x:c r="G761" s="75" t="n">
        <x:v>1.0978641860308054</x:v>
      </x:c>
      <x:c r="H761" s="75" t="n">
        <x:v>1.0004107336668708</x:v>
      </x:c>
      <x:c r="I761" s="75" t="n">
        <x:v>0.8968516673720633</x:v>
      </x:c>
      <x:c r="J761" s="75" t="n">
        <x:v>0.806381549689358</x:v>
      </x:c>
      <x:c r="K761" s="75" t="n">
        <x:v>0.7403285446875288</x:v>
      </x:c>
      <x:c r="L761" s="75" t="n">
        <x:v>0.9434321987479715</x:v>
      </x:c>
      <x:c r="M761" s="75" t="n">
        <x:v>0.8481639751952401</x:v>
      </x:c>
      <x:c r="N761" s="75" t="n">
        <x:v>0.909543216994549</x:v>
      </x:c>
      <x:c r="O761" s="66" t="n">
        <x:v>477668.5707108536</x:v>
      </x:c>
      <x:c r="P761" s="66" t="n">
        <x:v>58448.76132279639</x:v>
      </x:c>
      <x:c r="Q761" s="66" t="n">
        <x:v>419219.8093880572</x:v>
      </x:c>
      <x:c r="R761" s="66" t="n">
        <x:v>120266.366136366</x:v>
      </x:c>
      <x:c r="S761" s="66" t="n">
        <x:v>298953.44325169123</x:v>
      </x:c>
      <x:c r="T761" s="66" t="n">
        <x:v>287065.0659878171</x:v>
      </x:c>
      <x:c r="U761" s="45" t="n">
        <x:v>0.7233338102953457</x:v>
      </x:c>
      <x:c r="V761" s="45" t="n">
        <x:v>0.7312475389897467</x:v>
      </x:c>
      <x:c r="W761" s="45" t="n">
        <x:v>0.12753122437499742</x:v>
      </x:c>
      <x:c r="X761" s="66" t="n">
        <x:v>52746080.30627698</x:v>
      </x:c>
      <x:c r="Y761" s="66" t="n">
        <x:v>110.4240126742726</x:v>
      </x:c>
      <x:c r="Z761" s="66" t="n">
        <x:v>5899418.281431217</x:v>
      </x:c>
      <x:c r="AA761" s="66" t="n">
        <x:v>286866.19843602274</x:v>
      </x:c>
      <x:c r="AB761" s="66" t="n">
        <x:v>46817.80583272411</x:v>
      </x:c>
      <x:c r="AC761" s="66" t="n">
        <x:v>4190.855704131578</x:v>
      </x:c>
      <x:c r="AD761" s="66" t="n">
        <x:v>2048.4793196215537</x:v>
      </x:c>
      <x:c r="AE761" s="66" t="n">
        <x:v>234675.3766889311</x:v>
      </x:c>
      <x:c r="AF761" s="66" t="n">
        <x:v>287065.06598781707</x:v>
      </x:c>
      <x:c r="AG761" s="66" t="n">
        <x:v>5.820766091346741e-11</x:v>
      </x:c>
      <x:c r="AH761" s="36" t="n">
        <x:v>0</x:v>
      </x:c>
    </x:row>
    <x:row r="762" ht="15" hidden="0" customHeight="1">
      <x:c r="A762" s="34" t="n">
        <x:v>190</x:v>
      </x:c>
      <x:c r="B762" s="34" t="str">
        <x:v>B1</x:v>
      </x:c>
      <x:c r="C762" s="34" t="str">
        <x:v>fast</x:v>
      </x:c>
      <x:c r="D762" s="74" t="n">
        <x:v>0.9929711450058885</x:v>
      </x:c>
      <x:c r="E762" s="74" t="n">
        <x:v>0.06521910234075151</x:v>
      </x:c>
      <x:c r="F762" s="74" t="n">
        <x:v>0.8777819965033447</x:v>
      </x:c>
      <x:c r="G762" s="74" t="n">
        <x:v>1.0978641860308054</x:v>
      </x:c>
      <x:c r="H762" s="74" t="n">
        <x:v>1.0004107336668708</x:v>
      </x:c>
      <x:c r="I762" s="74" t="n">
        <x:v>0.8968516673720633</x:v>
      </x:c>
      <x:c r="J762" s="74" t="n">
        <x:v>0.806381549689358</x:v>
      </x:c>
      <x:c r="K762" s="74" t="n">
        <x:v>0.7403285446875288</x:v>
      </x:c>
      <x:c r="L762" s="74" t="n">
        <x:v>0.9434321987479715</x:v>
      </x:c>
      <x:c r="M762" s="74" t="n">
        <x:v>0.8481639751952401</x:v>
      </x:c>
      <x:c r="N762" s="74" t="n">
        <x:v>0.909543216994549</x:v>
      </x:c>
      <x:c r="O762" s="65" t="n">
        <x:v>477668.5707108536</x:v>
      </x:c>
      <x:c r="P762" s="65" t="n">
        <x:v>197714.20715846083</x:v>
      </x:c>
      <x:c r="Q762" s="65" t="n">
        <x:v>279954.3635523928</x:v>
      </x:c>
      <x:c r="R762" s="65" t="n">
        <x:v>120266.366136366</x:v>
      </x:c>
      <x:c r="S762" s="65" t="n">
        <x:v>159687.99741602677</x:v>
      </x:c>
      <x:c r="T762" s="65" t="n">
        <x:v>185081.98177447554</x:v>
      </x:c>
      <x:c r="U762" s="43" t="n">
        <x:v>0.8013845004775367</x:v>
      </x:c>
      <x:c r="V762" s="43" t="n">
        <x:v>0.8136578183401574</x:v>
      </x:c>
      <x:c r="W762" s="43" t="n">
        <x:v>0.46304980766529885</x:v>
      </x:c>
      <x:c r="X762" s="65" t="n">
        <x:v>35651933.59123684</x:v>
      </x:c>
      <x:c r="Y762" s="65" t="n">
        <x:v>74.6373862073039</x:v>
      </x:c>
      <x:c r="Z762" s="65" t="n">
        <x:v>3086165.609511247</x:v>
      </x:c>
      <x:c r="AA762" s="65" t="n">
        <x:v>190140.3222558911</x:v>
      </x:c>
      <x:c r="AB762" s="65" t="n">
        <x:v>15904.904535379792</x:v>
      </x:c>
      <x:c r="AC762" s="65" t="n">
        <x:v>41944.649580534475</x:v>
      </x:c>
      <x:c r="AD762" s="65" t="n">
        <x:v>1715.2909422776472</x:v>
      </x:c>
      <x:c r="AE762" s="65" t="n">
        <x:v>128919.67238782009</x:v>
      </x:c>
      <x:c r="AF762" s="65" t="n">
        <x:v>185081.9817744757</x:v>
      </x:c>
      <x:c r="AG762" s="65" t="n">
        <x:v>0</x:v>
      </x:c>
      <x:c r="AH762" s="34" t="n">
        <x:v>0</x:v>
      </x:c>
    </x:row>
    <x:row r="763" ht="15" hidden="0" customHeight="1">
      <x:c r="A763" s="36" t="n">
        <x:v>190</x:v>
      </x:c>
      <x:c r="B763" s="36" t="str">
        <x:v>P2</x:v>
      </x:c>
      <x:c r="C763" s="36" t="str">
        <x:v>fast</x:v>
      </x:c>
      <x:c r="D763" s="75" t="n">
        <x:v>0.9929711450058885</x:v>
      </x:c>
      <x:c r="E763" s="75" t="n">
        <x:v>0.06521910234075151</x:v>
      </x:c>
      <x:c r="F763" s="75" t="n">
        <x:v>0.8777819965033447</x:v>
      </x:c>
      <x:c r="G763" s="75" t="n">
        <x:v>1.0978641860308054</x:v>
      </x:c>
      <x:c r="H763" s="75" t="n">
        <x:v>1.0004107336668708</x:v>
      </x:c>
      <x:c r="I763" s="75" t="n">
        <x:v>0.8968516673720633</x:v>
      </x:c>
      <x:c r="J763" s="75" t="n">
        <x:v>0.806381549689358</x:v>
      </x:c>
      <x:c r="K763" s="75" t="n">
        <x:v>0.7403285446875288</x:v>
      </x:c>
      <x:c r="L763" s="75" t="n">
        <x:v>0.9434321987479715</x:v>
      </x:c>
      <x:c r="M763" s="75" t="n">
        <x:v>0.8481639751952401</x:v>
      </x:c>
      <x:c r="N763" s="75" t="n">
        <x:v>0.909543216994549</x:v>
      </x:c>
      <x:c r="O763" s="66" t="n">
        <x:v>477668.5707108536</x:v>
      </x:c>
      <x:c r="P763" s="66" t="n">
        <x:v>286428.05403716554</x:v>
      </x:c>
      <x:c r="Q763" s="66" t="n">
        <x:v>191240.5166736881</x:v>
      </x:c>
      <x:c r="R763" s="66" t="n">
        <x:v>120266.366136366</x:v>
      </x:c>
      <x:c r="S763" s="66" t="n">
        <x:v>70974.15053732207</x:v>
      </x:c>
      <x:c r="T763" s="66" t="n">
        <x:v>111049.28148116454</x:v>
      </x:c>
      <x:c r="U763" s="45" t="n">
        <x:v>0.8321195068932732</x:v>
      </x:c>
      <x:c r="V763" s="45" t="n">
        <x:v>0.8436527820467902</x:v>
      </x:c>
      <x:c r="W763" s="45" t="n">
        <x:v>0.6276409325569343</x:v>
      </x:c>
      <x:c r="X763" s="66" t="n">
        <x:v>23559952.14841371</x:v>
      </x:c>
      <x:c r="Y763" s="66" t="n">
        <x:v>49.32280160981163</x:v>
      </x:c>
      <x:c r="Z763" s="66" t="n">
        <x:v>1862490.6557231431</x:v>
      </x:c>
      <x:c r="AA763" s="66" t="n">
        <x:v>132632.3650681493</x:v>
      </x:c>
      <x:c r="AB763" s="66" t="n">
        <x:v>469.5049416594087</x:v>
      </x:c>
      <x:c r="AC763" s="66" t="n">
        <x:v>46737.060913272755</x:v>
      </x:c>
      <x:c r="AD763" s="66" t="n">
        <x:v>1513.9680928788694</x:v>
      </x:c>
      <x:c r="AE763" s="66" t="n">
        <x:v>69244.88223627984</x:v>
      </x:c>
      <x:c r="AF763" s="66" t="n">
        <x:v>111049.2814811645</x:v>
      </x:c>
      <x:c r="AG763" s="66" t="n">
        <x:v>4.3655745685100555e-11</x:v>
      </x:c>
      <x:c r="AH763" s="36" t="n">
        <x:v>0</x:v>
      </x:c>
    </x:row>
    <x:row r="764" ht="15" hidden="0" customHeight="1">
      <x:c r="A764" s="34" t="n">
        <x:v>190</x:v>
      </x:c>
      <x:c r="B764" s="34" t="str">
        <x:v>H3</x:v>
      </x:c>
      <x:c r="C764" s="34" t="str">
        <x:v>fast</x:v>
      </x:c>
      <x:c r="D764" s="74" t="n">
        <x:v>0.9929711450058885</x:v>
      </x:c>
      <x:c r="E764" s="74" t="n">
        <x:v>0.06521910234075151</x:v>
      </x:c>
      <x:c r="F764" s="74" t="n">
        <x:v>0.8777819965033447</x:v>
      </x:c>
      <x:c r="G764" s="74" t="n">
        <x:v>1.0978641860308054</x:v>
      </x:c>
      <x:c r="H764" s="74" t="n">
        <x:v>1.0004107336668708</x:v>
      </x:c>
      <x:c r="I764" s="74" t="n">
        <x:v>0.8968516673720633</x:v>
      </x:c>
      <x:c r="J764" s="74" t="n">
        <x:v>0.806381549689358</x:v>
      </x:c>
      <x:c r="K764" s="74" t="n">
        <x:v>0.7403285446875288</x:v>
      </x:c>
      <x:c r="L764" s="74" t="n">
        <x:v>0.9434321987479715</x:v>
      </x:c>
      <x:c r="M764" s="74" t="n">
        <x:v>0.8481639751952401</x:v>
      </x:c>
      <x:c r="N764" s="74" t="n">
        <x:v>0.909543216994549</x:v>
      </x:c>
      <x:c r="O764" s="65" t="n">
        <x:v>477668.5707108536</x:v>
      </x:c>
      <x:c r="P764" s="65" t="n">
        <x:v>297128.33550207474</x:v>
      </x:c>
      <x:c r="Q764" s="65" t="n">
        <x:v>180540.23520877887</x:v>
      </x:c>
      <x:c r="R764" s="65" t="n">
        <x:v>120266.366136366</x:v>
      </x:c>
      <x:c r="S764" s="65" t="n">
        <x:v>60273.86907241286</x:v>
      </x:c>
      <x:c r="T764" s="65" t="n">
        <x:v>179048.86694058194</x:v>
      </x:c>
      <x:c r="U764" s="43" t="n">
        <x:v>0.9968778178853646</x:v>
      </x:c>
      <x:c r="V764" s="43" t="n">
        <x:v>0.9980335328051502</x:v>
      </x:c>
      <x:c r="W764" s="43" t="n">
        <x:v>0.9687781788536455</x:v>
      </x:c>
      <x:c r="X764" s="65" t="n">
        <x:v>17012272.353235703</x:v>
      </x:c>
      <x:c r="Y764" s="65" t="n">
        <x:v>35.61522234531465</x:v>
      </x:c>
      <x:c r="Z764" s="65" t="n">
        <x:v>2113487.727499943</x:v>
      </x:c>
      <x:c r="AA764" s="65" t="n">
        <x:v>103711.8877170221</x:v>
      </x:c>
      <x:c r="AB764" s="65" t="n">
        <x:v>13364.347142367882</x:v>
      </x:c>
      <x:c r="AC764" s="65" t="n">
        <x:v>9290.279947890553</x:v>
      </x:c>
      <x:c r="AD764" s="65" t="n">
        <x:v>1491.3682681969096</x:v>
      </x:c>
      <x:c r="AE764" s="65" t="n">
        <x:v>68093.0326595451</x:v>
      </x:c>
      <x:c r="AF764" s="65" t="n">
        <x:v>179048.8669405819</x:v>
      </x:c>
      <x:c r="AG764" s="65" t="n">
        <x:v>2.9103830456733704e-11</x:v>
      </x:c>
      <x:c r="AH764" s="34" t="n">
        <x:v>1</x:v>
      </x:c>
    </x:row>
    <x:row r="765" ht="15" hidden="0" customHeight="1">
      <x:c r="A765" s="36" t="n">
        <x:v>191</x:v>
      </x:c>
      <x:c r="B765" s="36" t="str">
        <x:v>M0</x:v>
      </x:c>
      <x:c r="C765" s="36" t="str">
        <x:v>reference</x:v>
      </x:c>
      <x:c r="D765" s="75" t="n">
        <x:v>1.0157463758140428</x:v>
      </x:c>
      <x:c r="E765" s="75" t="n">
        <x:v>0.09408118218732262</x:v>
      </x:c>
      <x:c r="F765" s="75" t="n">
        <x:v>0.7249760634077917</x:v>
      </x:c>
      <x:c r="G765" s="75" t="n">
        <x:v>1.0337417056695841</x:v>
      </x:c>
      <x:c r="H765" s="75" t="n">
        <x:v>1.0057433693229845</x:v>
      </x:c>
      <x:c r="I765" s="75" t="n">
        <x:v>1.0055273590738105</x:v>
      </x:c>
      <x:c r="J765" s="75" t="n">
        <x:v>0.93244394367927</x:v>
      </x:c>
      <x:c r="K765" s="75" t="n">
        <x:v>0.9182516425925429</x:v>
      </x:c>
      <x:c r="L765" s="75" t="n">
        <x:v>0.8934150256701149</x:v>
      </x:c>
      <x:c r="M765" s="75" t="n">
        <x:v>0.842441485357701</x:v>
      </x:c>
      <x:c r="N765" s="75" t="n">
        <x:v>1.0296491359600068</x:v>
      </x:c>
      <x:c r="O765" s="66" t="n">
        <x:v>488624.59093607013</x:v>
      </x:c>
      <x:c r="P765" s="66" t="n">
        <x:v>47475.89992051686</x:v>
      </x:c>
      <x:c r="Q765" s="66" t="n">
        <x:v>441148.69101555325</x:v>
      </x:c>
      <x:c r="R765" s="66" t="n">
        <x:v>137127.57132077267</x:v>
      </x:c>
      <x:c r="S765" s="66" t="n">
        <x:v>304021.1196947806</x:v>
      </x:c>
      <x:c r="T765" s="66" t="n">
        <x:v>293923.4014996312</x:v>
      </x:c>
      <x:c r="U765" s="45" t="n">
        <x:v>0.698694473739279</x:v>
      </x:c>
      <x:c r="V765" s="45" t="n">
        <x:v>0.7231081223519078</x:v>
      </x:c>
      <x:c r="W765" s="45" t="n">
        <x:v>0.10327888891199144</x:v>
      </x:c>
      <x:c r="X765" s="66" t="n">
        <x:v>55416676.26412217</x:v>
      </x:c>
      <x:c r="Y765" s="66" t="n">
        <x:v>113.41360482483921</x:v>
      </x:c>
      <x:c r="Z765" s="66" t="n">
        <x:v>4670474.030740173</x:v>
      </x:c>
      <x:c r="AA765" s="66" t="n">
        <x:v>309439.9509750644</x:v>
      </x:c>
      <x:c r="AB765" s="66" t="n">
        <x:v>33215.66630471693</x:v>
      </x:c>
      <x:c r="AC765" s="66" t="n">
        <x:v>965.0710765182632</x:v>
      </x:c>
      <x:c r="AD765" s="66" t="n">
        <x:v>2130.990902459497</x:v>
      </x:c>
      <x:c r="AE765" s="66" t="n">
        <x:v>234615.61126833482</x:v>
      </x:c>
      <x:c r="AF765" s="66" t="n">
        <x:v>293923.40149963106</x:v>
      </x:c>
      <x:c r="AG765" s="66" t="n">
        <x:v>1.1641532182693481e-10</x:v>
      </x:c>
      <x:c r="AH765" s="36" t="n">
        <x:v>0</x:v>
      </x:c>
    </x:row>
    <x:row r="766" ht="15" hidden="0" customHeight="1">
      <x:c r="A766" s="34" t="n">
        <x:v>191</x:v>
      </x:c>
      <x:c r="B766" s="34" t="str">
        <x:v>B1</x:v>
      </x:c>
      <x:c r="C766" s="34" t="str">
        <x:v>reference</x:v>
      </x:c>
      <x:c r="D766" s="74" t="n">
        <x:v>1.0157463758140428</x:v>
      </x:c>
      <x:c r="E766" s="74" t="n">
        <x:v>0.09408118218732262</x:v>
      </x:c>
      <x:c r="F766" s="74" t="n">
        <x:v>0.7249760634077917</x:v>
      </x:c>
      <x:c r="G766" s="74" t="n">
        <x:v>1.0337417056695841</x:v>
      </x:c>
      <x:c r="H766" s="74" t="n">
        <x:v>1.0057433693229845</x:v>
      </x:c>
      <x:c r="I766" s="74" t="n">
        <x:v>1.0055273590738105</x:v>
      </x:c>
      <x:c r="J766" s="74" t="n">
        <x:v>0.93244394367927</x:v>
      </x:c>
      <x:c r="K766" s="74" t="n">
        <x:v>0.9182516425925429</x:v>
      </x:c>
      <x:c r="L766" s="74" t="n">
        <x:v>0.8934150256701149</x:v>
      </x:c>
      <x:c r="M766" s="74" t="n">
        <x:v>0.842441485357701</x:v>
      </x:c>
      <x:c r="N766" s="74" t="n">
        <x:v>1.0296491359600068</x:v>
      </x:c>
      <x:c r="O766" s="65" t="n">
        <x:v>488624.59093607013</x:v>
      </x:c>
      <x:c r="P766" s="65" t="n">
        <x:v>160597.13412251062</x:v>
      </x:c>
      <x:c r="Q766" s="65" t="n">
        <x:v>328027.4568135595</x:v>
      </x:c>
      <x:c r="R766" s="65" t="n">
        <x:v>137127.57132077267</x:v>
      </x:c>
      <x:c r="S766" s="65" t="n">
        <x:v>190899.88549278682</x:v>
      </x:c>
      <x:c r="T766" s="65" t="n">
        <x:v>218772.80218652342</x:v>
      </x:c>
      <x:c r="U766" s="43" t="n">
        <x:v>0.7764036918041021</x:v>
      </x:c>
      <x:c r="V766" s="43" t="n">
        <x:v>0.8073020042648682</x:v>
      </x:c>
      <x:c r="W766" s="43" t="n">
        <x:v>0.3701471204880783</x:v>
      </x:c>
      <x:c r="X766" s="65" t="n">
        <x:v>41988218.7775654</x:v>
      </x:c>
      <x:c r="Y766" s="65" t="n">
        <x:v>85.93144830702757</x:v>
      </x:c>
      <x:c r="Z766" s="65" t="n">
        <x:v>1793560.881858482</x:v>
      </x:c>
      <x:c r="AA766" s="65" t="n">
        <x:v>236991.0622142182</x:v>
      </x:c>
      <x:c r="AB766" s="65" t="n">
        <x:v>5868.032503580716</x:v>
      </x:c>
      <x:c r="AC766" s="65" t="n">
        <x:v>1265.3603124418978</x:v>
      </x:c>
      <x:c r="AD766" s="65" t="n">
        <x:v>1870.6077133816011</x:v>
      </x:c>
      <x:c r="AE766" s="65" t="n">
        <x:v>144568.73772610404</x:v>
      </x:c>
      <x:c r="AF766" s="65" t="n">
        <x:v>218772.8021865234</x:v>
      </x:c>
      <x:c r="AG766" s="65" t="n">
        <x:v>2.9103830456733704e-11</x:v>
      </x:c>
      <x:c r="AH766" s="34" t="n">
        <x:v>0</x:v>
      </x:c>
    </x:row>
    <x:row r="767" ht="15" hidden="0" customHeight="1">
      <x:c r="A767" s="36" t="n">
        <x:v>191</x:v>
      </x:c>
      <x:c r="B767" s="36" t="str">
        <x:v>P2</x:v>
      </x:c>
      <x:c r="C767" s="36" t="str">
        <x:v>reference</x:v>
      </x:c>
      <x:c r="D767" s="75" t="n">
        <x:v>1.0157463758140428</x:v>
      </x:c>
      <x:c r="E767" s="75" t="n">
        <x:v>0.09408118218732262</x:v>
      </x:c>
      <x:c r="F767" s="75" t="n">
        <x:v>0.7249760634077917</x:v>
      </x:c>
      <x:c r="G767" s="75" t="n">
        <x:v>1.0337417056695841</x:v>
      </x:c>
      <x:c r="H767" s="75" t="n">
        <x:v>1.0057433693229845</x:v>
      </x:c>
      <x:c r="I767" s="75" t="n">
        <x:v>1.0055273590738105</x:v>
      </x:c>
      <x:c r="J767" s="75" t="n">
        <x:v>0.93244394367927</x:v>
      </x:c>
      <x:c r="K767" s="75" t="n">
        <x:v>0.9182516425925429</x:v>
      </x:c>
      <x:c r="L767" s="75" t="n">
        <x:v>0.8934150256701149</x:v>
      </x:c>
      <x:c r="M767" s="75" t="n">
        <x:v>0.842441485357701</x:v>
      </x:c>
      <x:c r="N767" s="75" t="n">
        <x:v>1.0296491359600068</x:v>
      </x:c>
      <x:c r="O767" s="66" t="n">
        <x:v>488624.59093607013</x:v>
      </x:c>
      <x:c r="P767" s="66" t="n">
        <x:v>232657.25687835144</x:v>
      </x:c>
      <x:c r="Q767" s="66" t="n">
        <x:v>255967.3340577187</x:v>
      </x:c>
      <x:c r="R767" s="66" t="n">
        <x:v>137127.57132077267</x:v>
      </x:c>
      <x:c r="S767" s="66" t="n">
        <x:v>118839.76273694602</x:v>
      </x:c>
      <x:c r="T767" s="66" t="n">
        <x:v>137736.81700148075</x:v>
      </x:c>
      <x:c r="U767" s="45" t="n">
        <x:v>0.758034042392871</x:v>
      </x:c>
      <x:c r="V767" s="45" t="n">
        <x:v>0.7984532011458745</x:v>
      </x:c>
      <x:c r="W767" s="45" t="n">
        <x:v>0.3806488319053095</x:v>
      </x:c>
      <x:c r="X767" s="66" t="n">
        <x:v>33182943.307968434</x:v>
      </x:c>
      <x:c r="Y767" s="66" t="n">
        <x:v>67.91091550345236</x:v>
      </x:c>
      <x:c r="Z767" s="66" t="n">
        <x:v>1070524.5074925404</x:v>
      </x:c>
      <x:c r="AA767" s="66" t="n">
        <x:v>193846.1238247762</x:v>
      </x:c>
      <x:c r="AB767" s="66" t="n">
        <x:v>0</x:v>
      </x:c>
      <x:c r="AC767" s="66" t="n">
        <x:v>18909.427055972526</x:v>
      </x:c>
      <x:c r="AD767" s="66" t="n">
        <x:v>1713.276038193558</x:v>
      </x:c>
      <x:c r="AE767" s="66" t="n">
        <x:v>64255.294000507056</x:v>
      </x:c>
      <x:c r="AF767" s="66" t="n">
        <x:v>137736.81700148087</x:v>
      </x:c>
      <x:c r="AG767" s="66" t="n">
        <x:v>0</x:v>
      </x:c>
      <x:c r="AH767" s="36" t="n">
        <x:v>0</x:v>
      </x:c>
    </x:row>
    <x:row r="768" ht="15" hidden="0" customHeight="1">
      <x:c r="A768" s="34" t="n">
        <x:v>191</x:v>
      </x:c>
      <x:c r="B768" s="34" t="str">
        <x:v>H3</x:v>
      </x:c>
      <x:c r="C768" s="34" t="str">
        <x:v>reference</x:v>
      </x:c>
      <x:c r="D768" s="74" t="n">
        <x:v>1.0157463758140428</x:v>
      </x:c>
      <x:c r="E768" s="74" t="n">
        <x:v>0.09408118218732262</x:v>
      </x:c>
      <x:c r="F768" s="74" t="n">
        <x:v>0.7249760634077917</x:v>
      </x:c>
      <x:c r="G768" s="74" t="n">
        <x:v>1.0337417056695841</x:v>
      </x:c>
      <x:c r="H768" s="74" t="n">
        <x:v>1.0057433693229845</x:v>
      </x:c>
      <x:c r="I768" s="74" t="n">
        <x:v>1.0055273590738105</x:v>
      </x:c>
      <x:c r="J768" s="74" t="n">
        <x:v>0.93244394367927</x:v>
      </x:c>
      <x:c r="K768" s="74" t="n">
        <x:v>0.9182516425925429</x:v>
      </x:c>
      <x:c r="L768" s="74" t="n">
        <x:v>0.8934150256701149</x:v>
      </x:c>
      <x:c r="M768" s="74" t="n">
        <x:v>0.842441485357701</x:v>
      </x:c>
      <x:c r="N768" s="74" t="n">
        <x:v>1.0296491359600068</x:v>
      </x:c>
      <x:c r="O768" s="65" t="n">
        <x:v>488624.59093607013</x:v>
      </x:c>
      <x:c r="P768" s="65" t="n">
        <x:v>241348.91020442062</x:v>
      </x:c>
      <x:c r="Q768" s="65" t="n">
        <x:v>247275.6807316495</x:v>
      </x:c>
      <x:c r="R768" s="65" t="n">
        <x:v>137127.57132077267</x:v>
      </x:c>
      <x:c r="S768" s="65" t="n">
        <x:v>110148.10941087683</x:v>
      </x:c>
      <x:c r="T768" s="65" t="n">
        <x:v>229296.8908389704</x:v>
      </x:c>
      <x:c r="U768" s="43" t="n">
        <x:v>0.9632053109356681</x:v>
      </x:c>
      <x:c r="V768" s="43" t="n">
        <x:v>0.9712882893587839</x:v>
      </x:c>
      <x:c r="W768" s="43" t="n">
        <x:v>0.7350406307468439</x:v>
      </x:c>
      <x:c r="X768" s="65" t="n">
        <x:v>25163313.371317375</x:v>
      </x:c>
      <x:c r="Y768" s="65" t="n">
        <x:v>51.498254156859765</x:v>
      </x:c>
      <x:c r="Z768" s="65" t="n">
        <x:v>1825733.106028032</x:v>
      </x:c>
      <x:c r="AA768" s="65" t="n">
        <x:v>158483.01387480972</x:v>
      </x:c>
      <x:c r="AB768" s="65" t="n">
        <x:v>4164.84311173379</x:v>
      </x:c>
      <x:c r="AC768" s="65" t="n">
        <x:v>16036.146834220068</x:v>
      </x:c>
      <x:c r="AD768" s="65" t="n">
        <x:v>1695.6145144927593</x:v>
      </x:c>
      <x:c r="AE768" s="65" t="n">
        <x:v>95854.36281855355</x:v>
      </x:c>
      <x:c r="AF768" s="65" t="n">
        <x:v>229296.89083897037</x:v>
      </x:c>
      <x:c r="AG768" s="65" t="n">
        <x:v>2.9103830456733704e-11</x:v>
      </x:c>
      <x:c r="AH768" s="34" t="n">
        <x:v>0</x:v>
      </x:c>
    </x:row>
    <x:row r="769" ht="15" hidden="0" customHeight="1">
      <x:c r="A769" s="36" t="n">
        <x:v>192</x:v>
      </x:c>
      <x:c r="B769" s="36" t="str">
        <x:v>M0</x:v>
      </x:c>
      <x:c r="C769" s="36" t="str">
        <x:v>slow</x:v>
      </x:c>
      <x:c r="D769" s="75" t="n">
        <x:v>0.9236548315913372</x:v>
      </x:c>
      <x:c r="E769" s="75" t="n">
        <x:v>0.021014455708947513</x:v>
      </x:c>
      <x:c r="F769" s="75" t="n">
        <x:v>0.7611659856108497</x:v>
      </x:c>
      <x:c r="G769" s="75" t="n">
        <x:v>1.2907715712384964</x:v>
      </x:c>
      <x:c r="H769" s="75" t="n">
        <x:v>0.9469766058455827</x:v>
      </x:c>
      <x:c r="I769" s="75" t="n">
        <x:v>0.7851351945296199</x:v>
      </x:c>
      <x:c r="J769" s="75" t="n">
        <x:v>0.9403351702072678</x:v>
      </x:c>
      <x:c r="K769" s="75" t="n">
        <x:v>0.7425545208295679</x:v>
      </x:c>
      <x:c r="L769" s="75" t="n">
        <x:v>1.0142312286771955</x:v>
      </x:c>
      <x:c r="M769" s="75" t="n">
        <x:v>0.9407720726397684</x:v>
      </x:c>
      <x:c r="N769" s="75" t="n">
        <x:v>0.9178121246844552</x:v>
      </x:c>
      <x:c r="O769" s="66" t="n">
        <x:v>444323.97200604645</x:v>
      </x:c>
      <x:c r="P769" s="66" t="n">
        <x:v>49931.49691321816</x:v>
      </x:c>
      <x:c r="Q769" s="66" t="n">
        <x:v>394392.4750928283</x:v>
      </x:c>
      <x:c r="R769" s="66" t="n">
        <x:v>92229.75056555035</x:v>
      </x:c>
      <x:c r="S769" s="66" t="n">
        <x:v>302162.724527278</x:v>
      </x:c>
      <x:c r="T769" s="66" t="n">
        <x:v>247112.9322305078</x:v>
      </x:c>
      <x:c r="U769" s="45" t="n">
        <x:v>0.6685311796314329</x:v>
      </x:c>
      <x:c r="V769" s="45" t="n">
        <x:v>0.65961182719873</x:v>
      </x:c>
      <x:c r="W769" s="45" t="n">
        <x:v>0.05818761963379305</x:v>
      </x:c>
      <x:c r="X769" s="66" t="n">
        <x:v>48062996.408888176</x:v>
      </x:c>
      <x:c r="Y769" s="66" t="n">
        <x:v>108.17106309140152</x:v>
      </x:c>
      <x:c r="Z769" s="66" t="n">
        <x:v>3853595.342862904</x:v>
      </x:c>
      <x:c r="AA769" s="66" t="n">
        <x:v>257395.17857494834</x:v>
      </x:c>
      <x:c r="AB769" s="66" t="n">
        <x:v>33270.85807567193</x:v>
      </x:c>
      <x:c r="AC769" s="66" t="n">
        <x:v>0</x:v>
      </x:c>
      <x:c r="AD769" s="66" t="n">
        <x:v>2482.226133259758</x:v>
      </x:c>
      <x:c r="AE769" s="66" t="n">
        <x:v>194246.95384868316</x:v>
      </x:c>
      <x:c r="AF769" s="66" t="n">
        <x:v>247112.9322305077</x:v>
      </x:c>
      <x:c r="AG769" s="66" t="n">
        <x:v>1.1641532182693481e-10</x:v>
      </x:c>
      <x:c r="AH769" s="36" t="n">
        <x:v>0</x:v>
      </x:c>
    </x:row>
    <x:row r="770" ht="15" hidden="0" customHeight="1">
      <x:c r="A770" s="34" t="n">
        <x:v>192</x:v>
      </x:c>
      <x:c r="B770" s="34" t="str">
        <x:v>B1</x:v>
      </x:c>
      <x:c r="C770" s="34" t="str">
        <x:v>slow</x:v>
      </x:c>
      <x:c r="D770" s="74" t="n">
        <x:v>0.9236548315913372</x:v>
      </x:c>
      <x:c r="E770" s="74" t="n">
        <x:v>0.021014455708947513</x:v>
      </x:c>
      <x:c r="F770" s="74" t="n">
        <x:v>0.7611659856108497</x:v>
      </x:c>
      <x:c r="G770" s="74" t="n">
        <x:v>1.2907715712384964</x:v>
      </x:c>
      <x:c r="H770" s="74" t="n">
        <x:v>0.9469766058455827</x:v>
      </x:c>
      <x:c r="I770" s="74" t="n">
        <x:v>0.7851351945296199</x:v>
      </x:c>
      <x:c r="J770" s="74" t="n">
        <x:v>0.9403351702072678</x:v>
      </x:c>
      <x:c r="K770" s="74" t="n">
        <x:v>0.7425545208295679</x:v>
      </x:c>
      <x:c r="L770" s="74" t="n">
        <x:v>1.0142312286771955</x:v>
      </x:c>
      <x:c r="M770" s="74" t="n">
        <x:v>0.9407720726397684</x:v>
      </x:c>
      <x:c r="N770" s="74" t="n">
        <x:v>0.9178121246844552</x:v>
      </x:c>
      <x:c r="O770" s="65" t="n">
        <x:v>444323.97200604645</x:v>
      </x:c>
      <x:c r="P770" s="65" t="n">
        <x:v>168901.82571293513</x:v>
      </x:c>
      <x:c r="Q770" s="65" t="n">
        <x:v>275422.1462931114</x:v>
      </x:c>
      <x:c r="R770" s="65" t="n">
        <x:v>92229.75056555035</x:v>
      </x:c>
      <x:c r="S770" s="65" t="n">
        <x:v>183192.39572756097</x:v>
      </x:c>
      <x:c r="T770" s="65" t="n">
        <x:v>166990.35944369424</x:v>
      </x:c>
      <x:c r="U770" s="43" t="n">
        <x:v>0.7559623300091909</x:v>
      </x:c>
      <x:c r="V770" s="43" t="n">
        <x:v>0.7453327675082634</x:v>
      </x:c>
      <x:c r="W770" s="43" t="n">
        <x:v>0.201962107810767</x:v>
      </x:c>
      <x:c r="X770" s="65" t="n">
        <x:v>34890864.39483818</x:v>
      </x:c>
      <x:c r="Y770" s="65" t="n">
        <x:v>78.52573030735189</x:v>
      </x:c>
      <x:c r="Z770" s="65" t="n">
        <x:v>1731755.7865502483</x:v>
      </x:c>
      <x:c r="AA770" s="65" t="n">
        <x:v>187019.17054994768</x:v>
      </x:c>
      <x:c r="AB770" s="65" t="n">
        <x:v>10891.894513161758</x:v>
      </x:c>
      <x:c r="AC770" s="65" t="n">
        <x:v>18.272045962396334</x:v>
      </x:c>
      <x:c r="AD770" s="65" t="n">
        <x:v>2093.3136913053168</x:v>
      </x:c>
      <x:c r="AE770" s="65" t="n">
        <x:v>87691.39187095739</x:v>
      </x:c>
      <x:c r="AF770" s="65" t="n">
        <x:v>166990.35944369395</x:v>
      </x:c>
      <x:c r="AG770" s="65" t="n">
        <x:v>2.9103830456733704e-10</x:v>
      </x:c>
      <x:c r="AH770" s="34" t="n">
        <x:v>0</x:v>
      </x:c>
    </x:row>
    <x:row r="771" ht="15" hidden="0" customHeight="1">
      <x:c r="A771" s="36" t="n">
        <x:v>192</x:v>
      </x:c>
      <x:c r="B771" s="36" t="str">
        <x:v>P2</x:v>
      </x:c>
      <x:c r="C771" s="36" t="str">
        <x:v>slow</x:v>
      </x:c>
      <x:c r="D771" s="75" t="n">
        <x:v>0.9236548315913372</x:v>
      </x:c>
      <x:c r="E771" s="75" t="n">
        <x:v>0.021014455708947513</x:v>
      </x:c>
      <x:c r="F771" s="75" t="n">
        <x:v>0.7611659856108497</x:v>
      </x:c>
      <x:c r="G771" s="75" t="n">
        <x:v>1.2907715712384964</x:v>
      </x:c>
      <x:c r="H771" s="75" t="n">
        <x:v>0.9469766058455827</x:v>
      </x:c>
      <x:c r="I771" s="75" t="n">
        <x:v>0.7851351945296199</x:v>
      </x:c>
      <x:c r="J771" s="75" t="n">
        <x:v>0.9403351702072678</x:v>
      </x:c>
      <x:c r="K771" s="75" t="n">
        <x:v>0.7425545208295679</x:v>
      </x:c>
      <x:c r="L771" s="75" t="n">
        <x:v>1.0142312286771955</x:v>
      </x:c>
      <x:c r="M771" s="75" t="n">
        <x:v>0.9407720726397684</x:v>
      </x:c>
      <x:c r="N771" s="75" t="n">
        <x:v>0.9178121246844552</x:v>
      </x:c>
      <x:c r="O771" s="66" t="n">
        <x:v>444323.97200604645</x:v>
      </x:c>
      <x:c r="P771" s="66" t="n">
        <x:v>244686.74151865707</x:v>
      </x:c>
      <x:c r="Q771" s="66" t="n">
        <x:v>199637.23048738937</x:v>
      </x:c>
      <x:c r="R771" s="66" t="n">
        <x:v>92229.75056555035</x:v>
      </x:c>
      <x:c r="S771" s="66" t="n">
        <x:v>107407.47992183901</x:v>
      </x:c>
      <x:c r="T771" s="66" t="n">
        <x:v>111383.17801012867</x:v>
      </x:c>
      <x:c r="U771" s="45" t="n">
        <x:v>0.8013745419163211</x:v>
      </x:c>
      <x:c r="V771" s="45" t="n">
        <x:v>0.7959347136050698</x:v>
      </x:c>
      <x:c r="W771" s="45" t="n">
        <x:v>0.29676866626834514</x:v>
      </x:c>
      <x:c r="X771" s="66" t="n">
        <x:v>24940279.482466858</x:v>
      </x:c>
      <x:c r="Y771" s="66" t="n">
        <x:v>56.13084382970781</x:v>
      </x:c>
      <x:c r="Z771" s="66" t="n">
        <x:v>797994.7141829077</x:v>
      </x:c>
      <x:c r="AA771" s="66" t="n">
        <x:v>142619.36690480716</x:v>
      </x:c>
      <x:c r="AB771" s="66" t="n">
        <x:v>662.8824348243211</x:v>
      </x:c>
      <x:c r="AC771" s="66" t="n">
        <x:v>7443.052599433668</x:v>
      </x:c>
      <x:c r="AD771" s="66" t="n">
        <x:v>1857.3639502748733</x:v>
      </x:c>
      <x:c r="AE771" s="66" t="n">
        <x:v>39793.83228474115</x:v>
      </x:c>
      <x:c r="AF771" s="66" t="n">
        <x:v>111383.17801012871</x:v>
      </x:c>
      <x:c r="AG771" s="66" t="n">
        <x:v>0</x:v>
      </x:c>
      <x:c r="AH771" s="36" t="n">
        <x:v>0</x:v>
      </x:c>
    </x:row>
    <x:row r="772" ht="15" hidden="0" customHeight="1">
      <x:c r="A772" s="34" t="n">
        <x:v>192</x:v>
      </x:c>
      <x:c r="B772" s="34" t="str">
        <x:v>H3</x:v>
      </x:c>
      <x:c r="C772" s="34" t="str">
        <x:v>slow</x:v>
      </x:c>
      <x:c r="D772" s="74" t="n">
        <x:v>0.9236548315913372</x:v>
      </x:c>
      <x:c r="E772" s="74" t="n">
        <x:v>0.021014455708947513</x:v>
      </x:c>
      <x:c r="F772" s="74" t="n">
        <x:v>0.7611659856108497</x:v>
      </x:c>
      <x:c r="G772" s="74" t="n">
        <x:v>1.2907715712384964</x:v>
      </x:c>
      <x:c r="H772" s="74" t="n">
        <x:v>0.9469766058455827</x:v>
      </x:c>
      <x:c r="I772" s="74" t="n">
        <x:v>0.7851351945296199</x:v>
      </x:c>
      <x:c r="J772" s="74" t="n">
        <x:v>0.9403351702072678</x:v>
      </x:c>
      <x:c r="K772" s="74" t="n">
        <x:v>0.7425545208295679</x:v>
      </x:c>
      <x:c r="L772" s="74" t="n">
        <x:v>1.0142312286771955</x:v>
      </x:c>
      <x:c r="M772" s="74" t="n">
        <x:v>0.9407720726397684</x:v>
      </x:c>
      <x:c r="N772" s="74" t="n">
        <x:v>0.9178121246844552</x:v>
      </x:c>
      <x:c r="O772" s="65" t="n">
        <x:v>444323.97200604645</x:v>
      </x:c>
      <x:c r="P772" s="65" t="n">
        <x:v>253827.48550284922</x:v>
      </x:c>
      <x:c r="Q772" s="65" t="n">
        <x:v>190496.4865031972</x:v>
      </x:c>
      <x:c r="R772" s="65" t="n">
        <x:v>92229.75056555035</x:v>
      </x:c>
      <x:c r="S772" s="65" t="n">
        <x:v>98266.73593764688</x:v>
      </x:c>
      <x:c r="T772" s="65" t="n">
        <x:v>106993.15019308485</x:v>
      </x:c>
      <x:c r="U772" s="43" t="n">
        <x:v>0.8120665515004533</x:v>
      </x:c>
      <x:c r="V772" s="43" t="n">
        <x:v>0.8053230701426227</x:v>
      </x:c>
      <x:c r="W772" s="43" t="n">
        <x:v>0.3087000087951866</x:v>
      </x:c>
      <x:c r="X772" s="65" t="n">
        <x:v>22114716.98331303</x:v>
      </x:c>
      <x:c r="Y772" s="65" t="n">
        <x:v>49.77160445219483</x:v>
      </x:c>
      <x:c r="Z772" s="65" t="n">
        <x:v>765596.36971879</x:v>
      </x:c>
      <x:c r="AA772" s="65" t="n">
        <x:v>122022.94418224064</x:v>
      </x:c>
      <x:c r="AB772" s="65" t="n">
        <x:v>3074.7906839241414</x:v>
      </x:c>
      <x:c r="AC772" s="65" t="n">
        <x:v>0</x:v>
      </x:c>
      <x:c r="AD772" s="65" t="n">
        <x:v>1830.7216314552493</x:v>
      </x:c>
      <x:c r="AE772" s="65" t="n">
        <x:v>13146.874172896889</x:v>
      </x:c>
      <x:c r="AF772" s="65" t="n">
        <x:v>106993.15019308485</x:v>
      </x:c>
      <x:c r="AG772" s="65" t="n">
        <x:v>0</x:v>
      </x:c>
      <x:c r="AH772" s="34" t="n">
        <x:v>0</x:v>
      </x:c>
    </x:row>
    <x:row r="773" ht="15" hidden="0" customHeight="1">
      <x:c r="A773" s="36" t="n">
        <x:v>193</x:v>
      </x:c>
      <x:c r="B773" s="36" t="str">
        <x:v>M0</x:v>
      </x:c>
      <x:c r="C773" s="36" t="str">
        <x:v>reference</x:v>
      </x:c>
      <x:c r="D773" s="75" t="n">
        <x:v>1.0299701826484144</x:v>
      </x:c>
      <x:c r="E773" s="75" t="n">
        <x:v>0.05008522190422087</x:v>
      </x:c>
      <x:c r="F773" s="75" t="n">
        <x:v>1.0092907313421502</x:v>
      </x:c>
      <x:c r="G773" s="75" t="n">
        <x:v>1.2097552370587636</x:v>
      </x:c>
      <x:c r="H773" s="75" t="n">
        <x:v>0.750550765896893</x:v>
      </x:c>
      <x:c r="I773" s="75" t="n">
        <x:v>0.9810340096410101</x:v>
      </x:c>
      <x:c r="J773" s="75" t="n">
        <x:v>0.9433164966816159</x:v>
      </x:c>
      <x:c r="K773" s="75" t="n">
        <x:v>0.7750063242142037</x:v>
      </x:c>
      <x:c r="L773" s="75" t="n">
        <x:v>0.9553586447852228</x:v>
      </x:c>
      <x:c r="M773" s="75" t="n">
        <x:v>0.8570316124630004</x:v>
      </x:c>
      <x:c r="N773" s="75" t="n">
        <x:v>0.7519245158245302</x:v>
      </x:c>
      <x:c r="O773" s="66" t="n">
        <x:v>495466.9503689832</x:v>
      </x:c>
      <x:c r="P773" s="66" t="n">
        <x:v>71119.92224713435</x:v>
      </x:c>
      <x:c r="Q773" s="66" t="n">
        <x:v>424347.0281218489</x:v>
      </x:c>
      <x:c r="R773" s="66" t="n">
        <x:v>117249.26632757671</x:v>
      </x:c>
      <x:c r="S773" s="66" t="n">
        <x:v>307097.76179427217</x:v>
      </x:c>
      <x:c r="T773" s="66" t="n">
        <x:v>257406.54422478582</x:v>
      </x:c>
      <x:c r="U773" s="45" t="n">
        <x:v>0.6630643400680116</x:v>
      </x:c>
      <x:c r="V773" s="45" t="n">
        <x:v>0.7056388321467756</x:v>
      </x:c>
      <x:c r="W773" s="45" t="n">
        <x:v>0.1493708928107287</x:v>
      </x:c>
      <x:c r="X773" s="66" t="n">
        <x:v>55890471.42134852</x:v>
      </x:c>
      <x:c r="Y773" s="66" t="n">
        <x:v>112.80363176540004</x:v>
      </x:c>
      <x:c r="Z773" s="66" t="n">
        <x:v>3224294.573785214</x:v>
      </x:c>
      <x:c r="AA773" s="66" t="n">
        <x:v>310012.6430161623</x:v>
      </x:c>
      <x:c r="AB773" s="66" t="n">
        <x:v>20486.503474354282</x:v>
      </x:c>
      <x:c r="AC773" s="66" t="n">
        <x:v>0</x:v>
      </x:c>
      <x:c r="AD773" s="66" t="n">
        <x:v>2095.039414431752</x:v>
      </x:c>
      <x:c r="AE773" s="66" t="n">
        <x:v>214095.6921132929</x:v>
      </x:c>
      <x:c r="AF773" s="66" t="n">
        <x:v>257406.54422478544</x:v>
      </x:c>
      <x:c r="AG773" s="66" t="n">
        <x:v>3.7834979593753815e-10</x:v>
      </x:c>
      <x:c r="AH773" s="36" t="n">
        <x:v>0</x:v>
      </x:c>
    </x:row>
    <x:row r="774" ht="15" hidden="0" customHeight="1">
      <x:c r="A774" s="34" t="n">
        <x:v>193</x:v>
      </x:c>
      <x:c r="B774" s="34" t="str">
        <x:v>B1</x:v>
      </x:c>
      <x:c r="C774" s="34" t="str">
        <x:v>reference</x:v>
      </x:c>
      <x:c r="D774" s="74" t="n">
        <x:v>1.0299701826484144</x:v>
      </x:c>
      <x:c r="E774" s="74" t="n">
        <x:v>0.05008522190422087</x:v>
      </x:c>
      <x:c r="F774" s="74" t="n">
        <x:v>1.0092907313421502</x:v>
      </x:c>
      <x:c r="G774" s="74" t="n">
        <x:v>1.2097552370587636</x:v>
      </x:c>
      <x:c r="H774" s="74" t="n">
        <x:v>0.750550765896893</x:v>
      </x:c>
      <x:c r="I774" s="74" t="n">
        <x:v>0.9810340096410101</x:v>
      </x:c>
      <x:c r="J774" s="74" t="n">
        <x:v>0.9433164966816159</x:v>
      </x:c>
      <x:c r="K774" s="74" t="n">
        <x:v>0.7750063242142037</x:v>
      </x:c>
      <x:c r="L774" s="74" t="n">
        <x:v>0.9553586447852228</x:v>
      </x:c>
      <x:c r="M774" s="74" t="n">
        <x:v>0.8570316124630004</x:v>
      </x:c>
      <x:c r="N774" s="74" t="n">
        <x:v>0.7519245158245302</x:v>
      </x:c>
      <x:c r="O774" s="65" t="n">
        <x:v>495466.9503689832</x:v>
      </x:c>
      <x:c r="P774" s="65" t="n">
        <x:v>240576.29986044162</x:v>
      </x:c>
      <x:c r="Q774" s="65" t="n">
        <x:v>254890.6505085416</x:v>
      </x:c>
      <x:c r="R774" s="65" t="n">
        <x:v>117249.26632757671</x:v>
      </x:c>
      <x:c r="S774" s="65" t="n">
        <x:v>137641.3841809649</x:v>
      </x:c>
      <x:c r="T774" s="65" t="n">
        <x:v>178497.26588015925</x:v>
      </x:c>
      <x:c r="U774" s="43" t="n">
        <x:v>0.8458153776523523</x:v>
      </x:c>
      <x:c r="V774" s="43" t="n">
        <x:v>0.8728223422808474</x:v>
      </x:c>
      <x:c r="W774" s="43" t="n">
        <x:v>0.5306434732733761</x:v>
      </x:c>
      <x:c r="X774" s="65" t="n">
        <x:v>33970329.317180924</x:v>
      </x:c>
      <x:c r="Y774" s="65" t="n">
        <x:v>68.56225080579563</x:v>
      </x:c>
      <x:c r="Z774" s="65" t="n">
        <x:v>1124137.5302929964</x:v>
      </x:c>
      <x:c r="AA774" s="65" t="n">
        <x:v>181810.4270908948</x:v>
      </x:c>
      <x:c r="AB774" s="65" t="n">
        <x:v>868.2087154656176</x:v>
      </x:c>
      <x:c r="AC774" s="65" t="n">
        <x:v>0</x:v>
      </x:c>
      <x:c r="AD774" s="65" t="n">
        <x:v>1682.0285913990965</x:v>
      </x:c>
      <x:c r="AE774" s="65" t="n">
        <x:v>118275.37192999547</x:v>
      </x:c>
      <x:c r="AF774" s="65" t="n">
        <x:v>178497.26588015922</x:v>
      </x:c>
      <x:c r="AG774" s="65" t="n">
        <x:v>2.9103830456733704e-11</x:v>
      </x:c>
      <x:c r="AH774" s="34" t="n">
        <x:v>0</x:v>
      </x:c>
    </x:row>
    <x:row r="775" ht="15" hidden="0" customHeight="1">
      <x:c r="A775" s="36" t="n">
        <x:v>193</x:v>
      </x:c>
      <x:c r="B775" s="36" t="str">
        <x:v>P2</x:v>
      </x:c>
      <x:c r="C775" s="36" t="str">
        <x:v>reference</x:v>
      </x:c>
      <x:c r="D775" s="75" t="n">
        <x:v>1.0299701826484144</x:v>
      </x:c>
      <x:c r="E775" s="75" t="n">
        <x:v>0.05008522190422087</x:v>
      </x:c>
      <x:c r="F775" s="75" t="n">
        <x:v>1.0092907313421502</x:v>
      </x:c>
      <x:c r="G775" s="75" t="n">
        <x:v>1.2097552370587636</x:v>
      </x:c>
      <x:c r="H775" s="75" t="n">
        <x:v>0.750550765896893</x:v>
      </x:c>
      <x:c r="I775" s="75" t="n">
        <x:v>0.9810340096410101</x:v>
      </x:c>
      <x:c r="J775" s="75" t="n">
        <x:v>0.9433164966816159</x:v>
      </x:c>
      <x:c r="K775" s="75" t="n">
        <x:v>0.7750063242142037</x:v>
      </x:c>
      <x:c r="L775" s="75" t="n">
        <x:v>0.9553586447852228</x:v>
      </x:c>
      <x:c r="M775" s="75" t="n">
        <x:v>0.8570316124630004</x:v>
      </x:c>
      <x:c r="N775" s="75" t="n">
        <x:v>0.7519245158245302</x:v>
      </x:c>
      <x:c r="O775" s="66" t="n">
        <x:v>495466.9503689832</x:v>
      </x:c>
      <x:c r="P775" s="66" t="n">
        <x:v>348521.80443570926</x:v>
      </x:c>
      <x:c r="Q775" s="66" t="n">
        <x:v>146945.145933274</x:v>
      </x:c>
      <x:c r="R775" s="66" t="n">
        <x:v>117249.26632757671</x:v>
      </x:c>
      <x:c r="S775" s="66" t="n">
        <x:v>29695.879605697257</x:v>
      </x:c>
      <x:c r="T775" s="66" t="n">
        <x:v>114122.3124296153</x:v>
      </x:c>
      <x:c r="U775" s="45" t="n">
        <x:v>0.9337537378038738</x:v>
      </x:c>
      <x:c r="V775" s="45" t="n">
        <x:v>0.9444676571403336</x:v>
      </x:c>
      <x:c r="W775" s="45" t="n">
        <x:v>0.6779246545516571</x:v>
      </x:c>
      <x:c r="X775" s="66" t="n">
        <x:v>18328574.145705797</x:v>
      </x:c>
      <x:c r="Y775" s="66" t="n">
        <x:v>36.992526205948096</x:v>
      </x:c>
      <x:c r="Z775" s="66" t="n">
        <x:v>713986.4649543035</x:v>
      </x:c>
      <x:c r="AA775" s="66" t="n">
        <x:v>103163.56693021304</x:v>
      </x:c>
      <x:c r="AB775" s="66" t="n">
        <x:v>0</x:v>
      </x:c>
      <x:c r="AC775" s="66" t="n">
        <x:v>2842.2805857519356</x:v>
      </x:c>
      <x:c r="AD775" s="66" t="n">
        <x:v>1432.474521151186</x:v>
      </x:c>
      <x:c r="AE775" s="66" t="n">
        <x:v>61751.19432303492</x:v>
      </x:c>
      <x:c r="AF775" s="66" t="n">
        <x:v>114122.3124296153</x:v>
      </x:c>
      <x:c r="AG775" s="66" t="n">
        <x:v>0</x:v>
      </x:c>
      <x:c r="AH775" s="36" t="n">
        <x:v>0</x:v>
      </x:c>
    </x:row>
    <x:row r="776" ht="15" hidden="0" customHeight="1">
      <x:c r="A776" s="34" t="n">
        <x:v>193</x:v>
      </x:c>
      <x:c r="B776" s="34" t="str">
        <x:v>H3</x:v>
      </x:c>
      <x:c r="C776" s="34" t="str">
        <x:v>reference</x:v>
      </x:c>
      <x:c r="D776" s="74" t="n">
        <x:v>1.0299701826484144</x:v>
      </x:c>
      <x:c r="E776" s="74" t="n">
        <x:v>0.05008522190422087</x:v>
      </x:c>
      <x:c r="F776" s="74" t="n">
        <x:v>1.0092907313421502</x:v>
      </x:c>
      <x:c r="G776" s="74" t="n">
        <x:v>1.2097552370587636</x:v>
      </x:c>
      <x:c r="H776" s="74" t="n">
        <x:v>0.750550765896893</x:v>
      </x:c>
      <x:c r="I776" s="74" t="n">
        <x:v>0.9810340096410101</x:v>
      </x:c>
      <x:c r="J776" s="74" t="n">
        <x:v>0.9433164966816159</x:v>
      </x:c>
      <x:c r="K776" s="74" t="n">
        <x:v>0.7750063242142037</x:v>
      </x:c>
      <x:c r="L776" s="74" t="n">
        <x:v>0.9553586447852228</x:v>
      </x:c>
      <x:c r="M776" s="74" t="n">
        <x:v>0.8570316124630004</x:v>
      </x:c>
      <x:c r="N776" s="74" t="n">
        <x:v>0.7519245158245302</x:v>
      </x:c>
      <x:c r="O776" s="65" t="n">
        <x:v>495466.9503689832</x:v>
      </x:c>
      <x:c r="P776" s="65" t="n">
        <x:v>361541.6720255106</x:v>
      </x:c>
      <x:c r="Q776" s="65" t="n">
        <x:v>133925.27834347266</x:v>
      </x:c>
      <x:c r="R776" s="65" t="n">
        <x:v>117249.26632757671</x:v>
      </x:c>
      <x:c r="S776" s="65" t="n">
        <x:v>16676.012015895925</x:v>
      </x:c>
      <x:c r="T776" s="65" t="n">
        <x:v>132520.81792133267</x:v>
      </x:c>
      <x:c r="U776" s="43" t="n">
        <x:v>0.9971653802113459</x:v>
      </x:c>
      <x:c r="V776" s="43" t="n">
        <x:v>0.9982146298956138</x:v>
      </x:c>
      <x:c r="W776" s="43" t="n">
        <x:v>0.9716538021134594</x:v>
      </x:c>
      <x:c r="X776" s="65" t="n">
        <x:v>14015486.687281705</x:v>
      </x:c>
      <x:c r="Y776" s="65" t="n">
        <x:v>28.28743002301994</x:v>
      </x:c>
      <x:c r="Z776" s="65" t="n">
        <x:v>799633.9225610561</x:v>
      </x:c>
      <x:c r="AA776" s="65" t="n">
        <x:v>86077.26868174506</x:v>
      </x:c>
      <x:c r="AB776" s="65" t="n">
        <x:v>577.8747795230155</x:v>
      </x:c>
      <x:c r="AC776" s="65" t="n">
        <x:v>0</x:v>
      </x:c>
      <x:c r="AD776" s="65" t="n">
        <x:v>1404.4604221399964</x:v>
      </x:c>
      <x:c r="AE776" s="65" t="n">
        <x:v>64150.40528954721</x:v>
      </x:c>
      <x:c r="AF776" s="65" t="n">
        <x:v>132520.81792133267</x:v>
      </x:c>
      <x:c r="AG776" s="65" t="n">
        <x:v>0</x:v>
      </x:c>
      <x:c r="AH776" s="34" t="n">
        <x:v>1</x:v>
      </x:c>
    </x:row>
    <x:row r="777" ht="21.600000381469727" hidden="0" customHeight="1">
      <x:c r="A777" s="36" t="n">
        <x:v>194</x:v>
      </x:c>
      <x:c r="B777" s="36" t="str">
        <x:v>M0</x:v>
      </x:c>
      <x:c r="C777" s="36" t="str">
        <x:v>reference</x:v>
      </x:c>
      <x:c r="D777" s="75" t="n">
        <x:v>1.1777754866252244</x:v>
      </x:c>
      <x:c r="E777" s="75" t="n">
        <x:v>-0.035347564909885644</x:v>
      </x:c>
      <x:c r="F777" s="75" t="n">
        <x:v>0.7597833381994616</x:v>
      </x:c>
      <x:c r="G777" s="75" t="n">
        <x:v>1.0135323446159115</x:v>
      </x:c>
      <x:c r="H777" s="75" t="n">
        <x:v>0.8093936141583198</x:v>
      </x:c>
      <x:c r="I777" s="75" t="n">
        <x:v>0.7547083302480003</x:v>
      </x:c>
      <x:c r="J777" s="75" t="n">
        <x:v>0.968179633254149</x:v>
      </x:c>
      <x:c r="K777" s="75" t="n">
        <x:v>0.7635002076473462</x:v>
      </x:c>
      <x:c r="L777" s="75" t="n">
        <x:v>1.03094047097053</x:v>
      </x:c>
      <x:c r="M777" s="75" t="n">
        <x:v>1.05008566084053</x:v>
      </x:c>
      <x:c r="N777" s="75" t="n">
        <x:v>0.9813842647157568</x:v>
      </x:c>
      <x:c r="O777" s="66" t="n">
        <x:v>566568.6622859668</x:v>
      </x:c>
      <x:c r="P777" s="66" t="n">
        <x:v>68074.39451142763</x:v>
      </x:c>
      <x:c r="Q777" s="66" t="n">
        <x:v>498494.2677745392</x:v>
      </x:c>
      <x:c r="R777" s="66" t="n">
        <x:v>85671.51799582347</x:v>
      </x:c>
      <x:c r="S777" s="66" t="n">
        <x:v>412822.7497787158</x:v>
      </x:c>
      <x:c r="T777" s="66" t="n">
        <x:v>241094.59099530842</x:v>
      </x:c>
      <x:c r="U777" s="45" t="n">
        <x:v>0.5456867032837897</x:v>
      </x:c>
      <x:c r="V777" s="45" t="n">
        <x:v>0.5667609783733012</x:v>
      </x:c>
      <x:c r="W777" s="45" t="n">
        <x:v>0.11057449289220869</x:v>
      </x:c>
      <x:c r="X777" s="66" t="n">
        <x:v>69148535.57886778</x:v>
      </x:c>
      <x:c r="Y777" s="66" t="n">
        <x:v>122.04793554918878</x:v>
      </x:c>
      <x:c r="Z777" s="66" t="n">
        <x:v>6070253.860876689</x:v>
      </x:c>
      <x:c r="AA777" s="66" t="n">
        <x:v>373433.3245168864</x:v>
      </x:c>
      <x:c r="AB777" s="66" t="n">
        <x:v>58992.00323022912</x:v>
      </x:c>
      <x:c r="AC777" s="66" t="n">
        <x:v>0</x:v>
      </x:c>
      <x:c r="AD777" s="66" t="n">
        <x:v>2413.705747447333</x:v>
      </x:c>
      <x:c r="AE777" s="66" t="n">
        <x:v>178227.84243125014</x:v>
      </x:c>
      <x:c r="AF777" s="66" t="n">
        <x:v>241094.59099530842</x:v>
      </x:c>
      <x:c r="AG777" s="66" t="n">
        <x:v>0</x:v>
      </x:c>
      <x:c r="AH777" s="36" t="n">
        <x:v>0</x:v>
      </x:c>
    </x:row>
    <x:row r="778" ht="21.600000381469727" hidden="0" customHeight="1">
      <x:c r="A778" s="34" t="n">
        <x:v>194</x:v>
      </x:c>
      <x:c r="B778" s="34" t="str">
        <x:v>B1</x:v>
      </x:c>
      <x:c r="C778" s="34" t="str">
        <x:v>reference</x:v>
      </x:c>
      <x:c r="D778" s="74" t="n">
        <x:v>1.1777754866252244</x:v>
      </x:c>
      <x:c r="E778" s="74" t="n">
        <x:v>-0.035347564909885644</x:v>
      </x:c>
      <x:c r="F778" s="74" t="n">
        <x:v>0.7597833381994616</x:v>
      </x:c>
      <x:c r="G778" s="74" t="n">
        <x:v>1.0135323446159115</x:v>
      </x:c>
      <x:c r="H778" s="74" t="n">
        <x:v>0.8093936141583198</x:v>
      </x:c>
      <x:c r="I778" s="74" t="n">
        <x:v>0.7547083302480003</x:v>
      </x:c>
      <x:c r="J778" s="74" t="n">
        <x:v>0.968179633254149</x:v>
      </x:c>
      <x:c r="K778" s="74" t="n">
        <x:v>0.7635002076473462</x:v>
      </x:c>
      <x:c r="L778" s="74" t="n">
        <x:v>1.03094047097053</x:v>
      </x:c>
      <x:c r="M778" s="74" t="n">
        <x:v>1.05008566084053</x:v>
      </x:c>
      <x:c r="N778" s="74" t="n">
        <x:v>0.9813842647157568</x:v>
      </x:c>
      <x:c r="O778" s="65" t="n">
        <x:v>566568.6622859668</x:v>
      </x:c>
      <x:c r="P778" s="65" t="n">
        <x:v>230271.60565682861</x:v>
      </x:c>
      <x:c r="Q778" s="65" t="n">
        <x:v>336297.0566291382</x:v>
      </x:c>
      <x:c r="R778" s="65" t="n">
        <x:v>85671.51799582347</x:v>
      </x:c>
      <x:c r="S778" s="65" t="n">
        <x:v>250625.53863331478</x:v>
      </x:c>
      <x:c r="T778" s="65" t="n">
        <x:v>172592.05840555124</x:v>
      </x:c>
      <x:c r="U778" s="43" t="n">
        <x:v>0.7110588546089417</x:v>
      </x:c>
      <x:c r="V778" s="43" t="n">
        <x:v>0.7352130825131674</x:v>
      </x:c>
      <x:c r="W778" s="43" t="n">
        <x:v>0.3975703269188459</x:v>
      </x:c>
      <x:c r="X778" s="65" t="n">
        <x:v>47704934.76754998</x:v>
      </x:c>
      <x:c r="Y778" s="65" t="n">
        <x:v>84.19974125478836</x:v>
      </x:c>
      <x:c r="Z778" s="65" t="n">
        <x:v>2734723.122726111</x:v>
      </x:c>
      <x:c r="AA778" s="65" t="n">
        <x:v>255679.99593062152</x:v>
      </x:c>
      <x:c r="AB778" s="65" t="n">
        <x:v>21394.89343365527</x:v>
      </x:c>
      <x:c r="AC778" s="65" t="n">
        <x:v>0</x:v>
      </x:c>
      <x:c r="AD778" s="65" t="n">
        <x:v>1982.2282274965564</x:v>
      </x:c>
      <x:c r="AE778" s="65" t="n">
        <x:v>107923.34782209889</x:v>
      </x:c>
      <x:c r="AF778" s="65" t="n">
        <x:v>172592.05840555122</x:v>
      </x:c>
      <x:c r="AG778" s="65" t="n">
        <x:v>2.9103830456733704e-11</x:v>
      </x:c>
      <x:c r="AH778" s="34" t="n">
        <x:v>0</x:v>
      </x:c>
    </x:row>
    <x:row r="779" ht="21.600000381469727" hidden="0" customHeight="1">
      <x:c r="A779" s="36" t="n">
        <x:v>194</x:v>
      </x:c>
      <x:c r="B779" s="36" t="str">
        <x:v>P2</x:v>
      </x:c>
      <x:c r="C779" s="36" t="str">
        <x:v>reference</x:v>
      </x:c>
      <x:c r="D779" s="75" t="n">
        <x:v>1.1777754866252244</x:v>
      </x:c>
      <x:c r="E779" s="75" t="n">
        <x:v>-0.035347564909885644</x:v>
      </x:c>
      <x:c r="F779" s="75" t="n">
        <x:v>0.7597833381994616</x:v>
      </x:c>
      <x:c r="G779" s="75" t="n">
        <x:v>1.0135323446159115</x:v>
      </x:c>
      <x:c r="H779" s="75" t="n">
        <x:v>0.8093936141583198</x:v>
      </x:c>
      <x:c r="I779" s="75" t="n">
        <x:v>0.7547083302480003</x:v>
      </x:c>
      <x:c r="J779" s="75" t="n">
        <x:v>0.968179633254149</x:v>
      </x:c>
      <x:c r="K779" s="75" t="n">
        <x:v>0.7635002076473462</x:v>
      </x:c>
      <x:c r="L779" s="75" t="n">
        <x:v>1.03094047097053</x:v>
      </x:c>
      <x:c r="M779" s="75" t="n">
        <x:v>1.05008566084053</x:v>
      </x:c>
      <x:c r="N779" s="75" t="n">
        <x:v>0.9813842647157568</x:v>
      </x:c>
      <x:c r="O779" s="66" t="n">
        <x:v>566568.6622859668</x:v>
      </x:c>
      <x:c r="P779" s="66" t="n">
        <x:v>333591.2919590008</x:v>
      </x:c>
      <x:c r="Q779" s="66" t="n">
        <x:v>232977.370326966</x:v>
      </x:c>
      <x:c r="R779" s="66" t="n">
        <x:v>85671.51799582347</x:v>
      </x:c>
      <x:c r="S779" s="66" t="n">
        <x:v>147305.85233114258</x:v>
      </x:c>
      <x:c r="T779" s="66" t="n">
        <x:v>114524.38640305551</x:v>
      </x:c>
      <x:c r="U779" s="45" t="n">
        <x:v>0.7909291639146058</x:v>
      </x:c>
      <x:c r="V779" s="45" t="n">
        <x:v>0.8249189028566029</x:v>
      </x:c>
      <x:c r="W779" s="45" t="n">
        <x:v>0.44406017660490177</x:v>
      </x:c>
      <x:c r="X779" s="66" t="n">
        <x:v>31784850.18598005</x:v>
      </x:c>
      <x:c r="Y779" s="66" t="n">
        <x:v>56.10061463289535</x:v>
      </x:c>
      <x:c r="Z779" s="66" t="n">
        <x:v>900883.6432263481</x:v>
      </x:c>
      <x:c r="AA779" s="66" t="n">
        <x:v>180844.67005626805</x:v>
      </x:c>
      <x:c r="AB779" s="66" t="n">
        <x:v>915.1876955406512</x:v>
      </x:c>
      <x:c r="AC779" s="66" t="n">
        <x:v>16320.325784369976</x:v>
      </x:c>
      <x:c r="AD779" s="66" t="n">
        <x:v>1721.5160007962006</x:v>
      </x:c>
      <x:c r="AE779" s="66" t="n">
        <x:v>58341.57648749826</x:v>
      </x:c>
      <x:c r="AF779" s="66" t="n">
        <x:v>114524.38640305554</x:v>
      </x:c>
      <x:c r="AG779" s="66" t="n">
        <x:v>0</x:v>
      </x:c>
      <x:c r="AH779" s="36" t="n">
        <x:v>0</x:v>
      </x:c>
    </x:row>
    <x:row r="780" ht="21.600000381469727" hidden="0" customHeight="1">
      <x:c r="A780" s="34" t="n">
        <x:v>194</x:v>
      </x:c>
      <x:c r="B780" s="34" t="str">
        <x:v>H3</x:v>
      </x:c>
      <x:c r="C780" s="34" t="str">
        <x:v>reference</x:v>
      </x:c>
      <x:c r="D780" s="74" t="n">
        <x:v>1.1777754866252244</x:v>
      </x:c>
      <x:c r="E780" s="74" t="n">
        <x:v>-0.035347564909885644</x:v>
      </x:c>
      <x:c r="F780" s="74" t="n">
        <x:v>0.7597833381994616</x:v>
      </x:c>
      <x:c r="G780" s="74" t="n">
        <x:v>1.0135323446159115</x:v>
      </x:c>
      <x:c r="H780" s="74" t="n">
        <x:v>0.8093936141583198</x:v>
      </x:c>
      <x:c r="I780" s="74" t="n">
        <x:v>0.7547083302480003</x:v>
      </x:c>
      <x:c r="J780" s="74" t="n">
        <x:v>0.968179633254149</x:v>
      </x:c>
      <x:c r="K780" s="74" t="n">
        <x:v>0.7635002076473462</x:v>
      </x:c>
      <x:c r="L780" s="74" t="n">
        <x:v>1.03094047097053</x:v>
      </x:c>
      <x:c r="M780" s="74" t="n">
        <x:v>1.05008566084053</x:v>
      </x:c>
      <x:c r="N780" s="74" t="n">
        <x:v>0.9813842647157568</x:v>
      </x:c>
      <x:c r="O780" s="65" t="n">
        <x:v>566568.6622859668</x:v>
      </x:c>
      <x:c r="P780" s="65" t="n">
        <x:v>346052.9609913143</x:v>
      </x:c>
      <x:c r="Q780" s="65" t="n">
        <x:v>220515.70129465254</x:v>
      </x:c>
      <x:c r="R780" s="65" t="n">
        <x:v>85671.51799582347</x:v>
      </x:c>
      <x:c r="S780" s="65" t="n">
        <x:v>134844.18329882907</x:v>
      </x:c>
      <x:c r="T780" s="65" t="n">
        <x:v>183047.5614203121</x:v>
      </x:c>
      <x:c r="U780" s="43" t="n">
        <x:v>0.9338683157604136</x:v>
      </x:c>
      <x:c r="V780" s="43" t="n">
        <x:v>0.9359968180639072</x:v>
      </x:c>
      <x:c r="W780" s="43" t="n">
        <x:v>0.6743801157897727</x:v>
      </x:c>
      <x:c r="X780" s="65" t="n">
        <x:v>24565585.158481427</x:v>
      </x:c>
      <x:c r="Y780" s="65" t="n">
        <x:v>43.35853144324161</x:v>
      </x:c>
      <x:c r="Z780" s="65" t="n">
        <x:v>1935230.0771351168</x:v>
      </x:c>
      <x:c r="AA780" s="65" t="n">
        <x:v>147734.5201818823</x:v>
      </x:c>
      <x:c r="AB780" s="65" t="n">
        <x:v>10403.124862498951</x:v>
      </x:c>
      <x:c r="AC780" s="65" t="n">
        <x:v>2473.8733768713614</x:v>
      </x:c>
      <x:c r="AD780" s="65" t="n">
        <x:v>1692.249324740963</x:v>
      </x:c>
      <x:c r="AE780" s="65" t="n">
        <x:v>56080.6593069169</x:v>
      </x:c>
      <x:c r="AF780" s="65" t="n">
        <x:v>183047.5614203124</x:v>
      </x:c>
      <x:c r="AG780" s="65" t="n">
        <x:v>0</x:v>
      </x:c>
      <x:c r="AH780" s="34" t="n">
        <x:v>0</x:v>
      </x:c>
    </x:row>
    <x:row r="781" ht="15" hidden="0" customHeight="1">
      <x:c r="A781" s="36" t="n">
        <x:v>195</x:v>
      </x:c>
      <x:c r="B781" s="36" t="str">
        <x:v>M0</x:v>
      </x:c>
      <x:c r="C781" s="36" t="str">
        <x:v>slow</x:v>
      </x:c>
      <x:c r="D781" s="75" t="n">
        <x:v>1.0900126065341664</x:v>
      </x:c>
      <x:c r="E781" s="75" t="n">
        <x:v>0.03876984251749232</x:v>
      </x:c>
      <x:c r="F781" s="75" t="n">
        <x:v>0.9171996945124861</x:v>
      </x:c>
      <x:c r="G781" s="75" t="n">
        <x:v>1.1905653784241141</x:v>
      </x:c>
      <x:c r="H781" s="75" t="n">
        <x:v>1.0679704579086458</x:v>
      </x:c>
      <x:c r="I781" s="75" t="n">
        <x:v>0.90693156603405</x:v>
      </x:c>
      <x:c r="J781" s="75" t="n">
        <x:v>1.0252892731291483</x:v>
      </x:c>
      <x:c r="K781" s="75" t="n">
        <x:v>0.8437372203320456</x:v>
      </x:c>
      <x:c r="L781" s="75" t="n">
        <x:v>0.8888531092619318</x:v>
      </x:c>
      <x:c r="M781" s="75" t="n">
        <x:v>0.7519618416767324</x:v>
      </x:c>
      <x:c r="N781" s="75" t="n">
        <x:v>1.0066097377703904</x:v>
      </x:c>
      <x:c r="O781" s="66" t="n">
        <x:v>524350.3463707394</x:v>
      </x:c>
      <x:c r="P781" s="66" t="n">
        <x:v>69412.45471870076</x:v>
      </x:c>
      <x:c r="Q781" s="66" t="n">
        <x:v>454937.89165203867</x:v>
      </x:c>
      <x:c r="R781" s="66" t="n">
        <x:v>118151.12473475377</x:v>
      </x:c>
      <x:c r="S781" s="66" t="n">
        <x:v>336786.7669172849</x:v>
      </x:c>
      <x:c r="T781" s="66" t="n">
        <x:v>280713.8761568802</x:v>
      </x:c>
      <x:c r="U781" s="45" t="n">
        <x:v>0.6677335741245526</x:v>
      </x:c>
      <x:c r="V781" s="45" t="n">
        <x:v>0.6595247175060237</x:v>
      </x:c>
      <x:c r="W781" s="45" t="n">
        <x:v>0.06721364041643878</x:v>
      </x:c>
      <x:c r="X781" s="66" t="n">
        <x:v>57958761.25082563</x:v>
      </x:c>
      <x:c r="Y781" s="66" t="n">
        <x:v>110.53441969092582</x:v>
      </x:c>
      <x:c r="Z781" s="66" t="n">
        <x:v>3740999.1243666555</x:v>
      </x:c>
      <x:c r="AA781" s="66" t="n">
        <x:v>318557.81877898995</x:v>
      </x:c>
      <x:c r="AB781" s="66" t="n">
        <x:v>27906.85976739095</x:v>
      </x:c>
      <x:c r="AC781" s="66" t="n">
        <x:v>0</x:v>
      </x:c>
      <x:c r="AD781" s="66" t="n">
        <x:v>2897.9723938141133</x:v>
      </x:c>
      <x:c r="AE781" s="66" t="n">
        <x:v>251723.51570909293</x:v>
      </x:c>
      <x:c r="AF781" s="66" t="n">
        <x:v>280713.87615688005</x:v>
      </x:c>
      <x:c r="AG781" s="66" t="n">
        <x:v>1.1641532182693481e-10</x:v>
      </x:c>
      <x:c r="AH781" s="36" t="n">
        <x:v>0</x:v>
      </x:c>
    </x:row>
    <x:row r="782" ht="15" hidden="0" customHeight="1">
      <x:c r="A782" s="34" t="n">
        <x:v>195</x:v>
      </x:c>
      <x:c r="B782" s="34" t="str">
        <x:v>B1</x:v>
      </x:c>
      <x:c r="C782" s="34" t="str">
        <x:v>slow</x:v>
      </x:c>
      <x:c r="D782" s="74" t="n">
        <x:v>1.0900126065341664</x:v>
      </x:c>
      <x:c r="E782" s="74" t="n">
        <x:v>0.03876984251749232</x:v>
      </x:c>
      <x:c r="F782" s="74" t="n">
        <x:v>0.9171996945124861</x:v>
      </x:c>
      <x:c r="G782" s="74" t="n">
        <x:v>1.1905653784241141</x:v>
      </x:c>
      <x:c r="H782" s="74" t="n">
        <x:v>1.0679704579086458</x:v>
      </x:c>
      <x:c r="I782" s="74" t="n">
        <x:v>0.90693156603405</x:v>
      </x:c>
      <x:c r="J782" s="74" t="n">
        <x:v>1.0252892731291483</x:v>
      </x:c>
      <x:c r="K782" s="74" t="n">
        <x:v>0.8437372203320456</x:v>
      </x:c>
      <x:c r="L782" s="74" t="n">
        <x:v>0.8888531092619318</x:v>
      </x:c>
      <x:c r="M782" s="74" t="n">
        <x:v>0.7519618416767324</x:v>
      </x:c>
      <x:c r="N782" s="74" t="n">
        <x:v>1.0066097377703904</x:v>
      </x:c>
      <x:c r="O782" s="65" t="n">
        <x:v>524350.3463707394</x:v>
      </x:c>
      <x:c r="P782" s="65" t="n">
        <x:v>234800.0853143612</x:v>
      </x:c>
      <x:c r="Q782" s="65" t="n">
        <x:v>289550.26105637825</x:v>
      </x:c>
      <x:c r="R782" s="65" t="n">
        <x:v>118151.12473475377</x:v>
      </x:c>
      <x:c r="S782" s="65" t="n">
        <x:v>171399.13632162445</x:v>
      </x:c>
      <x:c r="T782" s="65" t="n">
        <x:v>171652.1168710064</x:v>
      </x:c>
      <x:c r="U782" s="43" t="n">
        <x:v>0.7751538737384329</x:v>
      </x:c>
      <x:c r="V782" s="43" t="n">
        <x:v>0.7654513894836926</x:v>
      </x:c>
      <x:c r="W782" s="43" t="n">
        <x:v>0.23329032150776186</x:v>
      </x:c>
      <x:c r="X782" s="65" t="n">
        <x:v>37619239.345575176</x:v>
      </x:c>
      <x:c r="Y782" s="65" t="n">
        <x:v>71.74447314844849</x:v>
      </x:c>
      <x:c r="Z782" s="65" t="n">
        <x:v>1375560.0807217087</x:v>
      </x:c>
      <x:c r="AA782" s="65" t="n">
        <x:v>199169.730775274</x:v>
      </x:c>
      <x:c r="AB782" s="65" t="n">
        <x:v>5737.441017594778</x:v>
      </x:c>
      <x:c r="AC782" s="65" t="n">
        <x:v>657.7430354185606</x:v>
      </x:c>
      <x:c r="AD782" s="65" t="n">
        <x:v>2367.8203028686626</x:v>
      </x:c>
      <x:c r="AE782" s="65" t="n">
        <x:v>84681.03552764455</x:v>
      </x:c>
      <x:c r="AF782" s="65" t="n">
        <x:v>171652.11687100644</x:v>
      </x:c>
      <x:c r="AG782" s="65" t="n">
        <x:v>0</x:v>
      </x:c>
      <x:c r="AH782" s="34" t="n">
        <x:v>0</x:v>
      </x:c>
    </x:row>
    <x:row r="783" ht="15" hidden="0" customHeight="1">
      <x:c r="A783" s="36" t="n">
        <x:v>195</x:v>
      </x:c>
      <x:c r="B783" s="36" t="str">
        <x:v>P2</x:v>
      </x:c>
      <x:c r="C783" s="36" t="str">
        <x:v>slow</x:v>
      </x:c>
      <x:c r="D783" s="75" t="n">
        <x:v>1.0900126065341664</x:v>
      </x:c>
      <x:c r="E783" s="75" t="n">
        <x:v>0.03876984251749232</x:v>
      </x:c>
      <x:c r="F783" s="75" t="n">
        <x:v>0.9171996945124861</x:v>
      </x:c>
      <x:c r="G783" s="75" t="n">
        <x:v>1.1905653784241141</x:v>
      </x:c>
      <x:c r="H783" s="75" t="n">
        <x:v>1.0679704579086458</x:v>
      </x:c>
      <x:c r="I783" s="75" t="n">
        <x:v>0.90693156603405</x:v>
      </x:c>
      <x:c r="J783" s="75" t="n">
        <x:v>1.0252892731291483</x:v>
      </x:c>
      <x:c r="K783" s="75" t="n">
        <x:v>0.8437372203320456</x:v>
      </x:c>
      <x:c r="L783" s="75" t="n">
        <x:v>0.8888531092619318</x:v>
      </x:c>
      <x:c r="M783" s="75" t="n">
        <x:v>0.7519618416767324</x:v>
      </x:c>
      <x:c r="N783" s="75" t="n">
        <x:v>1.0066097377703904</x:v>
      </x:c>
      <x:c r="O783" s="66" t="n">
        <x:v>524350.3463707394</x:v>
      </x:c>
      <x:c r="P783" s="66" t="n">
        <x:v>340153.51048829313</x:v>
      </x:c>
      <x:c r="Q783" s="66" t="n">
        <x:v>184196.8358824463</x:v>
      </x:c>
      <x:c r="R783" s="66" t="n">
        <x:v>118151.12473475377</x:v>
      </x:c>
      <x:c r="S783" s="66" t="n">
        <x:v>66045.71114769252</x:v>
      </x:c>
      <x:c r="T783" s="66" t="n">
        <x:v>97068.82156879427</x:v>
      </x:c>
      <x:c r="U783" s="45" t="n">
        <x:v>0.8338362605904553</x:v>
      </x:c>
      <x:c r="V783" s="45" t="n">
        <x:v>0.8280887047218093</x:v>
      </x:c>
      <x:c r="W783" s="45" t="n">
        <x:v>0.34280320361897565</x:v>
      </x:c>
      <x:c r="X783" s="66" t="n">
        <x:v>23479879.50770724</x:v>
      </x:c>
      <x:c r="Y783" s="66" t="n">
        <x:v>44.77899112725274</x:v>
      </x:c>
      <x:c r="Z783" s="66" t="n">
        <x:v>620455.2062387279</x:v>
      </x:c>
      <x:c r="AA783" s="66" t="n">
        <x:v>124961.29955602935</x:v>
      </x:c>
      <x:c r="AB783" s="66" t="n">
        <x:v>608.7206607869962</x:v>
      </x:c>
      <x:c r="AC783" s="66" t="n">
        <x:v>0</x:v>
      </x:c>
      <x:c r="AD783" s="66" t="n">
        <x:v>2046.1817151785824</x:v>
      </x:c>
      <x:c r="AE783" s="66" t="n">
        <x:v>18553.2620227038</x:v>
      </x:c>
      <x:c r="AF783" s="66" t="n">
        <x:v>97068.82156879429</x:v>
      </x:c>
      <x:c r="AG783" s="66" t="n">
        <x:v>0</x:v>
      </x:c>
      <x:c r="AH783" s="36" t="n">
        <x:v>0</x:v>
      </x:c>
    </x:row>
    <x:row r="784" ht="15" hidden="0" customHeight="1">
      <x:c r="A784" s="34" t="n">
        <x:v>195</x:v>
      </x:c>
      <x:c r="B784" s="34" t="str">
        <x:v>H3</x:v>
      </x:c>
      <x:c r="C784" s="34" t="str">
        <x:v>slow</x:v>
      </x:c>
      <x:c r="D784" s="74" t="n">
        <x:v>1.0900126065341664</x:v>
      </x:c>
      <x:c r="E784" s="74" t="n">
        <x:v>0.03876984251749232</x:v>
      </x:c>
      <x:c r="F784" s="74" t="n">
        <x:v>0.9171996945124861</x:v>
      </x:c>
      <x:c r="G784" s="74" t="n">
        <x:v>1.1905653784241141</x:v>
      </x:c>
      <x:c r="H784" s="74" t="n">
        <x:v>1.0679704579086458</x:v>
      </x:c>
      <x:c r="I784" s="74" t="n">
        <x:v>0.90693156603405</x:v>
      </x:c>
      <x:c r="J784" s="74" t="n">
        <x:v>1.0252892731291483</x:v>
      </x:c>
      <x:c r="K784" s="74" t="n">
        <x:v>0.8437372203320456</x:v>
      </x:c>
      <x:c r="L784" s="74" t="n">
        <x:v>0.8888531092619318</x:v>
      </x:c>
      <x:c r="M784" s="74" t="n">
        <x:v>0.7519618416767324</x:v>
      </x:c>
      <x:c r="N784" s="74" t="n">
        <x:v>1.0066097377703904</x:v>
      </x:c>
      <x:c r="O784" s="65" t="n">
        <x:v>524350.3463707394</x:v>
      </x:c>
      <x:c r="P784" s="65" t="n">
        <x:v>352860.69625229907</x:v>
      </x:c>
      <x:c r="Q784" s="65" t="n">
        <x:v>171489.65011844033</x:v>
      </x:c>
      <x:c r="R784" s="65" t="n">
        <x:v>118151.12473475377</x:v>
      </x:c>
      <x:c r="S784" s="65" t="n">
        <x:v>53338.52538368659</x:v>
      </x:c>
      <x:c r="T784" s="65" t="n">
        <x:v>88078.03236332575</x:v>
      </x:c>
      <x:c r="U784" s="43" t="n">
        <x:v>0.8409238816519465</x:v>
      </x:c>
      <x:c r="V784" s="43" t="n">
        <x:v>0.8357977441282094</x:v>
      </x:c>
      <x:c r="W784" s="43" t="n">
        <x:v>0.3565853272275991</x:v>
      </x:c>
      <x:c r="X784" s="65" t="n">
        <x:v>21078821.36665312</x:v>
      </x:c>
      <x:c r="Y784" s="65" t="n">
        <x:v>40.19988069531938</x:v>
      </x:c>
      <x:c r="Z784" s="65" t="n">
        <x:v>621794.4900021428</x:v>
      </x:c>
      <x:c r="AA784" s="65" t="n">
        <x:v>116363.07673157967</x:v>
      </x:c>
      <x:c r="AB784" s="65" t="n">
        <x:v>2593.550196033143</x:v>
      </x:c>
      <x:c r="AC784" s="65" t="n">
        <x:v>0</x:v>
      </x:c>
      <x:c r="AD784" s="65" t="n">
        <x:v>2009.8638206960152</x:v>
      </x:c>
      <x:c r="AE784" s="65" t="n">
        <x:v>14437.148580819616</x:v>
      </x:c>
      <x:c r="AF784" s="65" t="n">
        <x:v>88078.03236332578</x:v>
      </x:c>
      <x:c r="AG784" s="65" t="n">
        <x:v>0</x:v>
      </x:c>
      <x:c r="AH784" s="34" t="n">
        <x:v>0</x:v>
      </x:c>
    </x:row>
    <x:row r="785" ht="15" hidden="0" customHeight="1">
      <x:c r="A785" s="36" t="n">
        <x:v>196</x:v>
      </x:c>
      <x:c r="B785" s="36" t="str">
        <x:v>M0</x:v>
      </x:c>
      <x:c r="C785" s="36" t="str">
        <x:v>fast</x:v>
      </x:c>
      <x:c r="D785" s="75" t="n">
        <x:v>1.1449215821813563</x:v>
      </x:c>
      <x:c r="E785" s="75" t="n">
        <x:v>0.06222787049401455</x:v>
      </x:c>
      <x:c r="F785" s="75" t="n">
        <x:v>0.7966098374436408</x:v>
      </x:c>
      <x:c r="G785" s="75" t="n">
        <x:v>0.9599541556642053</x:v>
      </x:c>
      <x:c r="H785" s="75" t="n">
        <x:v>1.0268410566514794</x:v>
      </x:c>
      <x:c r="I785" s="75" t="n">
        <x:v>0.944525403776151</x:v>
      </x:c>
      <x:c r="J785" s="75" t="n">
        <x:v>0.9754621128460761</x:v>
      </x:c>
      <x:c r="K785" s="75" t="n">
        <x:v>0.9482966671893069</x:v>
      </x:c>
      <x:c r="L785" s="75" t="n">
        <x:v>0.9349170810412476</x:v>
      </x:c>
      <x:c r="M785" s="75" t="n">
        <x:v>1.0163355568993044</x:v>
      </x:c>
      <x:c r="N785" s="75" t="n">
        <x:v>0.947577539225704</x:v>
      </x:c>
      <x:c r="O785" s="66" t="n">
        <x:v>550764.298124025</x:v>
      </x:c>
      <x:c r="P785" s="66" t="n">
        <x:v>61405.39457542128</x:v>
      </x:c>
      <x:c r="Q785" s="66" t="n">
        <x:v>489358.90354860376</x:v>
      </x:c>
      <x:c r="R785" s="66" t="n">
        <x:v>137022.78757975902</x:v>
      </x:c>
      <x:c r="S785" s="66" t="n">
        <x:v>352336.11596884474</x:v>
      </x:c>
      <x:c r="T785" s="66" t="n">
        <x:v>284468.9861030198</x:v>
      </x:c>
      <x:c r="U785" s="45" t="n">
        <x:v>0.6279898349557774</x:v>
      </x:c>
      <x:c r="V785" s="45" t="n">
        <x:v>0.652792513983211</x:v>
      </x:c>
      <x:c r="W785" s="45" t="n">
        <x:v>0.11250243608982143</x:v>
      </x:c>
      <x:c r="X785" s="66" t="n">
        <x:v>64358514.13972123</x:v>
      </x:c>
      <x:c r="Y785" s="66" t="n">
        <x:v>116.8530973393423</x:v>
      </x:c>
      <x:c r="Z785" s="66" t="n">
        <x:v>5700862.908666025</x:v>
      </x:c>
      <x:c r="AA785" s="66" t="n">
        <x:v>353043.3329515773</x:v>
      </x:c>
      <x:c r="AB785" s="66" t="n">
        <x:v>46917.150720374906</x:v>
      </x:c>
      <x:c r="AC785" s="66" t="n">
        <x:v>544.8776479865711</x:v>
      </x:c>
      <x:c r="AD785" s="66" t="n">
        <x:v>2376.4419799114303</x:v>
      </x:c>
      <x:c r="AE785" s="66" t="n">
        <x:v>202598.28671391902</x:v>
      </x:c>
      <x:c r="AF785" s="66" t="n">
        <x:v>284468.9861030196</x:v>
      </x:c>
      <x:c r="AG785" s="66" t="n">
        <x:v>1.7462298274040222e-10</x:v>
      </x:c>
      <x:c r="AH785" s="36" t="n">
        <x:v>0</x:v>
      </x:c>
    </x:row>
    <x:row r="786" ht="15" hidden="0" customHeight="1">
      <x:c r="A786" s="34" t="n">
        <x:v>196</x:v>
      </x:c>
      <x:c r="B786" s="34" t="str">
        <x:v>B1</x:v>
      </x:c>
      <x:c r="C786" s="34" t="str">
        <x:v>fast</x:v>
      </x:c>
      <x:c r="D786" s="74" t="n">
        <x:v>1.1449215821813563</x:v>
      </x:c>
      <x:c r="E786" s="74" t="n">
        <x:v>0.06222787049401455</x:v>
      </x:c>
      <x:c r="F786" s="74" t="n">
        <x:v>0.7966098374436408</x:v>
      </x:c>
      <x:c r="G786" s="74" t="n">
        <x:v>0.9599541556642053</x:v>
      </x:c>
      <x:c r="H786" s="74" t="n">
        <x:v>1.0268410566514794</x:v>
      </x:c>
      <x:c r="I786" s="74" t="n">
        <x:v>0.944525403776151</x:v>
      </x:c>
      <x:c r="J786" s="74" t="n">
        <x:v>0.9754621128460761</x:v>
      </x:c>
      <x:c r="K786" s="74" t="n">
        <x:v>0.9482966671893069</x:v>
      </x:c>
      <x:c r="L786" s="74" t="n">
        <x:v>0.9349170810412476</x:v>
      </x:c>
      <x:c r="M786" s="74" t="n">
        <x:v>1.0163355568993044</x:v>
      </x:c>
      <x:c r="N786" s="74" t="n">
        <x:v>0.947577539225704</x:v>
      </x:c>
      <x:c r="O786" s="65" t="n">
        <x:v>550764.298124025</x:v>
      </x:c>
      <x:c r="P786" s="65" t="n">
        <x:v>207715.49346890306</x:v>
      </x:c>
      <x:c r="Q786" s="65" t="n">
        <x:v>343048.80465512193</x:v>
      </x:c>
      <x:c r="R786" s="65" t="n">
        <x:v>137022.78757975902</x:v>
      </x:c>
      <x:c r="S786" s="65" t="n">
        <x:v>206026.01707536294</x:v>
      </x:c>
      <x:c r="T786" s="65" t="n">
        <x:v>215128.74788718458</x:v>
      </x:c>
      <x:c r="U786" s="43" t="n">
        <x:v>0.7677408335949701</x:v>
      </x:c>
      <x:c r="V786" s="43" t="n">
        <x:v>0.7952200050826297</x:v>
      </x:c>
      <x:c r="W786" s="43" t="n">
        <x:v>0.4196487714074206</x:v>
      </x:c>
      <x:c r="X786" s="65" t="n">
        <x:v>45555946.83314433</x:v>
      </x:c>
      <x:c r="Y786" s="65" t="n">
        <x:v>82.71405206966723</x:v>
      </x:c>
      <x:c r="Z786" s="65" t="n">
        <x:v>2592915.711010547</x:v>
      </x:c>
      <x:c r="AA786" s="65" t="n">
        <x:v>250331.55742645013</x:v>
      </x:c>
      <x:c r="AB786" s="65" t="n">
        <x:v>14137.656767857981</x:v>
      </x:c>
      <x:c r="AC786" s="65" t="n">
        <x:v>0</x:v>
      </x:c>
      <x:c r="AD786" s="65" t="n">
        <x:v>2025.083013067902</x:v>
      </x:c>
      <x:c r="AE786" s="65" t="n">
        <x:v>133954.84688673902</x:v>
      </x:c>
      <x:c r="AF786" s="65" t="n">
        <x:v>215128.74788718452</x:v>
      </x:c>
      <x:c r="AG786" s="65" t="n">
        <x:v>5.820766091346741e-11</x:v>
      </x:c>
      <x:c r="AH786" s="34" t="n">
        <x:v>0</x:v>
      </x:c>
    </x:row>
    <x:row r="787" ht="15" hidden="0" customHeight="1">
      <x:c r="A787" s="36" t="n">
        <x:v>196</x:v>
      </x:c>
      <x:c r="B787" s="36" t="str">
        <x:v>P2</x:v>
      </x:c>
      <x:c r="C787" s="36" t="str">
        <x:v>fast</x:v>
      </x:c>
      <x:c r="D787" s="75" t="n">
        <x:v>1.1449215821813563</x:v>
      </x:c>
      <x:c r="E787" s="75" t="n">
        <x:v>0.06222787049401455</x:v>
      </x:c>
      <x:c r="F787" s="75" t="n">
        <x:v>0.7966098374436408</x:v>
      </x:c>
      <x:c r="G787" s="75" t="n">
        <x:v>0.9599541556642053</x:v>
      </x:c>
      <x:c r="H787" s="75" t="n">
        <x:v>1.0268410566514794</x:v>
      </x:c>
      <x:c r="I787" s="75" t="n">
        <x:v>0.944525403776151</x:v>
      </x:c>
      <x:c r="J787" s="75" t="n">
        <x:v>0.9754621128460761</x:v>
      </x:c>
      <x:c r="K787" s="75" t="n">
        <x:v>0.9482966671893069</x:v>
      </x:c>
      <x:c r="L787" s="75" t="n">
        <x:v>0.9349170810412476</x:v>
      </x:c>
      <x:c r="M787" s="75" t="n">
        <x:v>1.0163355568993044</x:v>
      </x:c>
      <x:c r="N787" s="75" t="n">
        <x:v>0.947577539225704</x:v>
      </x:c>
      <x:c r="O787" s="66" t="n">
        <x:v>550764.298124025</x:v>
      </x:c>
      <x:c r="P787" s="66" t="n">
        <x:v>300916.8131044916</x:v>
      </x:c>
      <x:c r="Q787" s="66" t="n">
        <x:v>249847.48501953343</x:v>
      </x:c>
      <x:c r="R787" s="66" t="n">
        <x:v>137022.78757975902</x:v>
      </x:c>
      <x:c r="S787" s="66" t="n">
        <x:v>112824.6974397744</x:v>
      </x:c>
      <x:c r="T787" s="66" t="n">
        <x:v>142244.13872230062</x:v>
      </x:c>
      <x:c r="U787" s="45" t="n">
        <x:v>0.8046290461024003</x:v>
      </x:c>
      <x:c r="V787" s="45" t="n">
        <x:v>0.8141293008008182</x:v>
      </x:c>
      <x:c r="W787" s="45" t="n">
        <x:v>0.6088337853367095</x:v>
      </x:c>
      <x:c r="X787" s="66" t="n">
        <x:v>32217155.301672976</x:v>
      </x:c>
      <x:c r="Y787" s="66" t="n">
        <x:v>58.49535892469575</x:v>
      </x:c>
      <x:c r="Z787" s="66" t="n">
        <x:v>1099441.4886175317</x:v>
      </x:c>
      <x:c r="AA787" s="66" t="n">
        <x:v>186898.41844953015</x:v>
      </x:c>
      <x:c r="AB787" s="66" t="n">
        <x:v>125.07268103846536</x:v>
      </x:c>
      <x:c r="AC787" s="66" t="n">
        <x:v>19252.31613839641</x:v>
      </x:c>
      <x:c r="AD787" s="66" t="n">
        <x:v>1812.7809245897745</x:v>
      </x:c>
      <x:c r="AE787" s="66" t="n">
        <x:v>82882.27522308884</x:v>
      </x:c>
      <x:c r="AF787" s="66" t="n">
        <x:v>142244.13872230056</x:v>
      </x:c>
      <x:c r="AG787" s="66" t="n">
        <x:v>5.820766091346741e-11</x:v>
      </x:c>
      <x:c r="AH787" s="36" t="n">
        <x:v>0</x:v>
      </x:c>
    </x:row>
    <x:row r="788" ht="15" hidden="0" customHeight="1">
      <x:c r="A788" s="34" t="n">
        <x:v>196</x:v>
      </x:c>
      <x:c r="B788" s="34" t="str">
        <x:v>H3</x:v>
      </x:c>
      <x:c r="C788" s="34" t="str">
        <x:v>fast</x:v>
      </x:c>
      <x:c r="D788" s="74" t="n">
        <x:v>1.1449215821813563</x:v>
      </x:c>
      <x:c r="E788" s="74" t="n">
        <x:v>0.06222787049401455</x:v>
      </x:c>
      <x:c r="F788" s="74" t="n">
        <x:v>0.7966098374436408</x:v>
      </x:c>
      <x:c r="G788" s="74" t="n">
        <x:v>0.9599541556642053</x:v>
      </x:c>
      <x:c r="H788" s="74" t="n">
        <x:v>1.0268410566514794</x:v>
      </x:c>
      <x:c r="I788" s="74" t="n">
        <x:v>0.944525403776151</x:v>
      </x:c>
      <x:c r="J788" s="74" t="n">
        <x:v>0.9754621128460761</x:v>
      </x:c>
      <x:c r="K788" s="74" t="n">
        <x:v>0.9482966671893069</x:v>
      </x:c>
      <x:c r="L788" s="74" t="n">
        <x:v>0.9349170810412476</x:v>
      </x:c>
      <x:c r="M788" s="74" t="n">
        <x:v>1.0163355568993044</x:v>
      </x:c>
      <x:c r="N788" s="74" t="n">
        <x:v>0.947577539225704</x:v>
      </x:c>
      <x:c r="O788" s="65" t="n">
        <x:v>550764.298124025</x:v>
      </x:c>
      <x:c r="P788" s="65" t="n">
        <x:v>312158.34490311705</x:v>
      </x:c>
      <x:c r="Q788" s="65" t="n">
        <x:v>238605.95322090798</x:v>
      </x:c>
      <x:c r="R788" s="65" t="n">
        <x:v>137022.78757975902</x:v>
      </x:c>
      <x:c r="S788" s="65" t="n">
        <x:v>101583.16564114895</x:v>
      </x:c>
      <x:c r="T788" s="65" t="n">
        <x:v>229288.91854784382</x:v>
      </x:c>
      <x:c r="U788" s="43" t="n">
        <x:v>0.9830834447606732</x:v>
      </x:c>
      <x:c r="V788" s="43" t="n">
        <x:v>0.9820001021488013</x:v>
      </x:c>
      <x:c r="W788" s="43" t="n">
        <x:v>0.8308344476067318</x:v>
      </x:c>
      <x:c r="X788" s="65" t="n">
        <x:v>24711562.382045172</x:v>
      </x:c>
      <x:c r="Y788" s="65" t="n">
        <x:v>44.86776369894704</x:v>
      </x:c>
      <x:c r="Z788" s="65" t="n">
        <x:v>2678471.127700086</x:v>
      </x:c>
      <x:c r="AA788" s="65" t="n">
        <x:v>150505.80309335084</x:v>
      </x:c>
      <x:c r="AB788" s="65" t="n">
        <x:v>15805.799086262623</x:v>
      </x:c>
      <x:c r="AC788" s="65" t="n">
        <x:v>4617.3577257873485</x:v>
      </x:c>
      <x:c r="AD788" s="65" t="n">
        <x:v>1788.9486075251784</x:v>
      </x:c>
      <x:c r="AE788" s="65" t="n">
        <x:v>86015.1946169174</x:v>
      </x:c>
      <x:c r="AF788" s="65" t="n">
        <x:v>229288.91854784393</x:v>
      </x:c>
      <x:c r="AG788" s="65" t="n">
        <x:v>0</x:v>
      </x:c>
      <x:c r="AH788" s="34" t="n">
        <x:v>1</x:v>
      </x:c>
    </x:row>
    <x:row r="789" ht="15" hidden="0" customHeight="1">
      <x:c r="A789" s="36" t="n">
        <x:v>197</x:v>
      </x:c>
      <x:c r="B789" s="36" t="str">
        <x:v>M0</x:v>
      </x:c>
      <x:c r="C789" s="36" t="str">
        <x:v>fast</x:v>
      </x:c>
      <x:c r="D789" s="75" t="n">
        <x:v>1.1205190298528693</x:v>
      </x:c>
      <x:c r="E789" s="75" t="n">
        <x:v>0.07408137948235999</x:v>
      </x:c>
      <x:c r="F789" s="75" t="n">
        <x:v>0.9799165876360725</x:v>
      </x:c>
      <x:c r="G789" s="75" t="n">
        <x:v>1.1779921932253252</x:v>
      </x:c>
      <x:c r="H789" s="75" t="n">
        <x:v>0.9970572548146743</x:v>
      </x:c>
      <x:c r="I789" s="75" t="n">
        <x:v>0.8809765887440411</x:v>
      </x:c>
      <x:c r="J789" s="75" t="n">
        <x:v>0.9185047477451871</x:v>
      </x:c>
      <x:c r="K789" s="75" t="n">
        <x:v>0.9592784700424359</x:v>
      </x:c>
      <x:c r="L789" s="75" t="n">
        <x:v>0.8195775897428546</x:v>
      </x:c>
      <x:c r="M789" s="75" t="n">
        <x:v>1.0243019288778106</x:v>
      </x:c>
      <x:c r="N789" s="75" t="n">
        <x:v>0.760417360782329</x:v>
      </x:c>
      <x:c r="O789" s="66" t="n">
        <x:v>539025.4552069169</x:v>
      </x:c>
      <x:c r="P789" s="66" t="n">
        <x:v>72758.6484295428</x:v>
      </x:c>
      <x:c r="Q789" s="66" t="n">
        <x:v>466266.806777374</x:v>
      </x:c>
      <x:c r="R789" s="66" t="n">
        <x:v>140491.66361803183</x:v>
      </x:c>
      <x:c r="S789" s="66" t="n">
        <x:v>325775.14315934223</x:v>
      </x:c>
      <x:c r="T789" s="66" t="n">
        <x:v>257404.10898938178</x:v>
      </x:c>
      <x:c r="U789" s="45" t="n">
        <x:v>0.6125179325569778</x:v>
      </x:c>
      <x:c r="V789" s="45" t="n">
        <x:v>0.6380885504972359</x:v>
      </x:c>
      <x:c r="W789" s="45" t="n">
        <x:v>0.13560940991486792</x:v>
      </x:c>
      <x:c r="X789" s="66" t="n">
        <x:v>62794432.86694411</x:v>
      </x:c>
      <x:c r="Y789" s="66" t="n">
        <x:v>116.49622900061199</x:v>
      </x:c>
      <x:c r="Z789" s="66" t="n">
        <x:v>4838283.370284265</x:v>
      </x:c>
      <x:c r="AA789" s="66" t="n">
        <x:v>343877.26878883666</x:v>
      </x:c>
      <x:c r="AB789" s="66" t="n">
        <x:v>39254.4184535937</x:v>
      </x:c>
      <x:c r="AC789" s="66" t="n">
        <x:v>0</x:v>
      </x:c>
      <x:c r="AD789" s="66" t="n">
        <x:v>2296.5574693551316</x:v>
      </x:c>
      <x:c r="AE789" s="66" t="n">
        <x:v>191704.04901778855</x:v>
      </x:c>
      <x:c r="AF789" s="66" t="n">
        <x:v>257404.10898938167</x:v>
      </x:c>
      <x:c r="AG789" s="66" t="n">
        <x:v>1.1641532182693481e-10</x:v>
      </x:c>
      <x:c r="AH789" s="36" t="n">
        <x:v>0</x:v>
      </x:c>
    </x:row>
    <x:row r="790" ht="15" hidden="0" customHeight="1">
      <x:c r="A790" s="34" t="n">
        <x:v>197</x:v>
      </x:c>
      <x:c r="B790" s="34" t="str">
        <x:v>B1</x:v>
      </x:c>
      <x:c r="C790" s="34" t="str">
        <x:v>fast</x:v>
      </x:c>
      <x:c r="D790" s="74" t="n">
        <x:v>1.1205190298528693</x:v>
      </x:c>
      <x:c r="E790" s="74" t="n">
        <x:v>0.07408137948235999</x:v>
      </x:c>
      <x:c r="F790" s="74" t="n">
        <x:v>0.9799165876360725</x:v>
      </x:c>
      <x:c r="G790" s="74" t="n">
        <x:v>1.1779921932253252</x:v>
      </x:c>
      <x:c r="H790" s="74" t="n">
        <x:v>0.9970572548146743</x:v>
      </x:c>
      <x:c r="I790" s="74" t="n">
        <x:v>0.8809765887440411</x:v>
      </x:c>
      <x:c r="J790" s="74" t="n">
        <x:v>0.9185047477451871</x:v>
      </x:c>
      <x:c r="K790" s="74" t="n">
        <x:v>0.9592784700424359</x:v>
      </x:c>
      <x:c r="L790" s="74" t="n">
        <x:v>0.8195775897428546</x:v>
      </x:c>
      <x:c r="M790" s="74" t="n">
        <x:v>1.0243019288778106</x:v>
      </x:c>
      <x:c r="N790" s="74" t="n">
        <x:v>0.760417360782329</x:v>
      </x:c>
      <x:c r="O790" s="65" t="n">
        <x:v>539025.4552069169</x:v>
      </x:c>
      <x:c r="P790" s="65" t="n">
        <x:v>246120.501910695</x:v>
      </x:c>
      <x:c r="Q790" s="65" t="n">
        <x:v>292904.9532962218</x:v>
      </x:c>
      <x:c r="R790" s="65" t="n">
        <x:v>140491.66361803183</x:v>
      </x:c>
      <x:c r="S790" s="65" t="n">
        <x:v>152413.28967818996</x:v>
      </x:c>
      <x:c r="T790" s="65" t="n">
        <x:v>196730.62153477024</x:v>
      </x:c>
      <x:c r="U790" s="43" t="n">
        <x:v>0.8215773840874862</x:v>
      </x:c>
      <x:c r="V790" s="43" t="n">
        <x:v>0.8471723281689209</x:v>
      </x:c>
      <x:c r="W790" s="43" t="n">
        <x:v>0.5125318883348243</x:v>
      </x:c>
      <x:c r="X790" s="65" t="n">
        <x:v>39339878.2739803</x:v>
      </x:c>
      <x:c r="Y790" s="65" t="n">
        <x:v>72.98334038580573</x:v>
      </x:c>
      <x:c r="Z790" s="65" t="n">
        <x:v>2191305.38721269</x:v>
      </x:c>
      <x:c r="AA790" s="65" t="n">
        <x:v>210373.0201426299</x:v>
      </x:c>
      <x:c r="AB790" s="65" t="n">
        <x:v>11165.615937609295</x:v>
      </x:c>
      <x:c r="AC790" s="65" t="n">
        <x:v>305.9666574501594</x:v>
      </x:c>
      <x:c r="AD790" s="65" t="n">
        <x:v>1886.490086343998</x:v>
      </x:c>
      <x:c r="AE790" s="65" t="n">
        <x:v>122695.57796664156</x:v>
      </x:c>
      <x:c r="AF790" s="65" t="n">
        <x:v>196730.62153477</x:v>
      </x:c>
      <x:c r="AG790" s="65" t="n">
        <x:v>2.3283064365386963e-10</x:v>
      </x:c>
      <x:c r="AH790" s="34" t="n">
        <x:v>0</x:v>
      </x:c>
    </x:row>
    <x:row r="791" ht="15" hidden="0" customHeight="1">
      <x:c r="A791" s="36" t="n">
        <x:v>197</x:v>
      </x:c>
      <x:c r="B791" s="36" t="str">
        <x:v>P2</x:v>
      </x:c>
      <x:c r="C791" s="36" t="str">
        <x:v>fast</x:v>
      </x:c>
      <x:c r="D791" s="75" t="n">
        <x:v>1.1205190298528693</x:v>
      </x:c>
      <x:c r="E791" s="75" t="n">
        <x:v>0.07408137948235999</x:v>
      </x:c>
      <x:c r="F791" s="75" t="n">
        <x:v>0.9799165876360725</x:v>
      </x:c>
      <x:c r="G791" s="75" t="n">
        <x:v>1.1779921932253252</x:v>
      </x:c>
      <x:c r="H791" s="75" t="n">
        <x:v>0.9970572548146743</x:v>
      </x:c>
      <x:c r="I791" s="75" t="n">
        <x:v>0.8809765887440411</x:v>
      </x:c>
      <x:c r="J791" s="75" t="n">
        <x:v>0.9185047477451871</x:v>
      </x:c>
      <x:c r="K791" s="75" t="n">
        <x:v>0.9592784700424359</x:v>
      </x:c>
      <x:c r="L791" s="75" t="n">
        <x:v>0.8195775897428546</x:v>
      </x:c>
      <x:c r="M791" s="75" t="n">
        <x:v>1.0243019288778106</x:v>
      </x:c>
      <x:c r="N791" s="75" t="n">
        <x:v>0.760417360782329</x:v>
      </x:c>
      <x:c r="O791" s="66" t="n">
        <x:v>539025.4552069169</x:v>
      </x:c>
      <x:c r="P791" s="66" t="n">
        <x:v>356554.405430682</x:v>
      </x:c>
      <x:c r="Q791" s="66" t="n">
        <x:v>182471.04977623475</x:v>
      </x:c>
      <x:c r="R791" s="66" t="n">
        <x:v>140491.66361803183</x:v>
      </x:c>
      <x:c r="S791" s="66" t="n">
        <x:v>41979.386158202935</x:v>
      </x:c>
      <x:c r="T791" s="66" t="n">
        <x:v>143484.56728401236</x:v>
      </x:c>
      <x:c r="U791" s="45" t="n">
        <x:v>0.9276722794524487</x:v>
      </x:c>
      <x:c r="V791" s="45" t="n">
        <x:v>0.9419306159134687</x:v>
      </x:c>
      <x:c r="W791" s="45" t="n">
        <x:v>0.7746991698427099</x:v>
      </x:c>
      <x:c r="X791" s="66" t="n">
        <x:v>22092777.34703247</x:v>
      </x:c>
      <x:c r="Y791" s="66" t="n">
        <x:v>40.986519530050145</x:v>
      </x:c>
      <x:c r="Z791" s="66" t="n">
        <x:v>904188.2409376538</x:v>
      </x:c>
      <x:c r="AA791" s="66" t="n">
        <x:v>126364.11139308053</x:v>
      </x:c>
      <x:c r="AB791" s="66" t="n">
        <x:v>472.2840723305235</x:v>
      </x:c>
      <x:c r="AC791" s="66" t="n">
        <x:v>6181.437523842331</x:v>
      </x:c>
      <x:c r="AD791" s="66" t="n">
        <x:v>1638.7145347133667</x:v>
      </x:c>
      <x:c r="AE791" s="66" t="n">
        <x:v>74981.10371702987</x:v>
      </x:c>
      <x:c r="AF791" s="66" t="n">
        <x:v>143484.56728401233</x:v>
      </x:c>
      <x:c r="AG791" s="66" t="n">
        <x:v>2.9103830456733704e-11</x:v>
      </x:c>
      <x:c r="AH791" s="36" t="n">
        <x:v>0</x:v>
      </x:c>
    </x:row>
    <x:row r="792" ht="15" hidden="0" customHeight="1">
      <x:c r="A792" s="34" t="n">
        <x:v>197</x:v>
      </x:c>
      <x:c r="B792" s="34" t="str">
        <x:v>H3</x:v>
      </x:c>
      <x:c r="C792" s="34" t="str">
        <x:v>fast</x:v>
      </x:c>
      <x:c r="D792" s="74" t="n">
        <x:v>1.1205190298528693</x:v>
      </x:c>
      <x:c r="E792" s="74" t="n">
        <x:v>0.07408137948235999</x:v>
      </x:c>
      <x:c r="F792" s="74" t="n">
        <x:v>0.9799165876360725</x:v>
      </x:c>
      <x:c r="G792" s="74" t="n">
        <x:v>1.1779921932253252</x:v>
      </x:c>
      <x:c r="H792" s="74" t="n">
        <x:v>0.9970572548146743</x:v>
      </x:c>
      <x:c r="I792" s="74" t="n">
        <x:v>0.8809765887440411</x:v>
      </x:c>
      <x:c r="J792" s="74" t="n">
        <x:v>0.9185047477451871</x:v>
      </x:c>
      <x:c r="K792" s="74" t="n">
        <x:v>0.9592784700424359</x:v>
      </x:c>
      <x:c r="L792" s="74" t="n">
        <x:v>0.8195775897428546</x:v>
      </x:c>
      <x:c r="M792" s="74" t="n">
        <x:v>1.0243019288778106</x:v>
      </x:c>
      <x:c r="N792" s="74" t="n">
        <x:v>0.760417360782329</x:v>
      </x:c>
      <x:c r="O792" s="65" t="n">
        <x:v>539025.4552069169</x:v>
      </x:c>
      <x:c r="P792" s="65" t="n">
        <x:v>369874.4994818493</x:v>
      </x:c>
      <x:c r="Q792" s="65" t="n">
        <x:v>169150.95572506753</x:v>
      </x:c>
      <x:c r="R792" s="65" t="n">
        <x:v>140491.66361803183</x:v>
      </x:c>
      <x:c r="S792" s="65" t="n">
        <x:v>28659.292107035686</x:v>
      </x:c>
      <x:c r="T792" s="65" t="n">
        <x:v>167540.05563885838</x:v>
      </x:c>
      <x:c r="U792" s="43" t="n">
        <x:v>0.9970114582332836</x:v>
      </x:c>
      <x:c r="V792" s="43" t="n">
        <x:v>0.9981176950057934</x:v>
      </x:c>
      <x:c r="W792" s="43" t="n">
        <x:v>0.9701145823328371</x:v>
      </x:c>
      <x:c r="X792" s="65" t="n">
        <x:v>15895184.634099312</x:v>
      </x:c>
      <x:c r="Y792" s="65" t="n">
        <x:v>29.48874581071054</x:v>
      </x:c>
      <x:c r="Z792" s="65" t="n">
        <x:v>1797779.46402595</x:v>
      </x:c>
      <x:c r="AA792" s="65" t="n">
        <x:v>102430.5301930655</x:v>
      </x:c>
      <x:c r="AB792" s="65" t="n">
        <x:v>13913.281466595918</x:v>
      </x:c>
      <x:c r="AC792" s="65" t="n">
        <x:v>3350.920916820067</x:v>
      </x:c>
      <x:c r="AD792" s="65" t="n">
        <x:v>1610.9000862091316</x:v>
      </x:c>
      <x:c r="AE792" s="65" t="n">
        <x:v>57138.46442006853</x:v>
      </x:c>
      <x:c r="AF792" s="65" t="n">
        <x:v>167540.05563885835</x:v>
      </x:c>
      <x:c r="AG792" s="65" t="n">
        <x:v>2.9103830456733704e-11</x:v>
      </x:c>
      <x:c r="AH792" s="34" t="n">
        <x:v>1</x:v>
      </x:c>
    </x:row>
    <x:row r="793" ht="15" hidden="0" customHeight="1">
      <x:c r="A793" s="36" t="n">
        <x:v>198</x:v>
      </x:c>
      <x:c r="B793" s="36" t="str">
        <x:v>M0</x:v>
      </x:c>
      <x:c r="C793" s="36" t="str">
        <x:v>reference</x:v>
      </x:c>
      <x:c r="D793" s="75" t="n">
        <x:v>1.157848730366668</x:v>
      </x:c>
      <x:c r="E793" s="75" t="n">
        <x:v>0.06913531115460889</x:v>
      </x:c>
      <x:c r="F793" s="75" t="n">
        <x:v>0.8543173635285936</x:v>
      </x:c>
      <x:c r="G793" s="75" t="n">
        <x:v>1.3337041266384995</x:v>
      </x:c>
      <x:c r="H793" s="75" t="n">
        <x:v>0.880547416378427</x:v>
      </x:c>
      <x:c r="I793" s="75" t="n">
        <x:v>0.7631632500381168</x:v>
      </x:c>
      <x:c r="J793" s="75" t="n">
        <x:v>0.9970779219918624</x:v>
      </x:c>
      <x:c r="K793" s="75" t="n">
        <x:v>0.9400848216152463</x:v>
      </x:c>
      <x:c r="L793" s="75" t="n">
        <x:v>1.0343936014788162</x:v>
      </x:c>
      <x:c r="M793" s="75" t="n">
        <x:v>1.0934168135746931</x:v>
      </x:c>
      <x:c r="N793" s="75" t="n">
        <x:v>0.8152812148361567</x:v>
      </x:c>
      <x:c r="O793" s="66" t="n">
        <x:v>556982.9001731395</x:v>
      </x:c>
      <x:c r="P793" s="66" t="n">
        <x:v>65984.74367844101</x:v>
      </x:c>
      <x:c r="Q793" s="66" t="n">
        <x:v>490998.15649469855</x:v>
      </x:c>
      <x:c r="R793" s="66" t="n">
        <x:v>142417.21889019094</x:v>
      </x:c>
      <x:c r="S793" s="66" t="n">
        <x:v>348580.93760450766</x:v>
      </x:c>
      <x:c r="T793" s="66" t="n">
        <x:v>255422.27844996014</x:v>
      </x:c>
      <x:c r="U793" s="45" t="n">
        <x:v>0.5770500710676953</x:v>
      </x:c>
      <x:c r="V793" s="45" t="n">
        <x:v>0.5999220497397765</x:v>
      </x:c>
      <x:c r="W793" s="45" t="n">
        <x:v>0.1105380022859104</x:v>
      </x:c>
      <x:c r="X793" s="66" t="n">
        <x:v>66655969.66760313</x:v>
      </x:c>
      <x:c r="Y793" s="66" t="n">
        <x:v>119.67327838409932</x:v>
      </x:c>
      <x:c r="Z793" s="66" t="n">
        <x:v>6767558.001262781</x:v>
      </x:c>
      <x:c r="AA793" s="66" t="n">
        <x:v>357183.7779990181</x:v>
      </x:c>
      <x:c r="AB793" s="66" t="n">
        <x:v>66803.1760326059</x:v>
      </x:c>
      <x:c r="AC793" s="66" t="n">
        <x:v>0</x:v>
      </x:c>
      <x:c r="AD793" s="66" t="n">
        <x:v>2394.9044218253234</x:v>
      </x:c>
      <x:c r="AE793" s="66" t="n">
        <x:v>184981.9814881162</x:v>
      </x:c>
      <x:c r="AF793" s="66" t="n">
        <x:v>255422.27844996014</x:v>
      </x:c>
      <x:c r="AG793" s="66" t="n">
        <x:v>0</x:v>
      </x:c>
      <x:c r="AH793" s="36" t="n">
        <x:v>0</x:v>
      </x:c>
    </x:row>
    <x:row r="794" ht="15" hidden="0" customHeight="1">
      <x:c r="A794" s="34" t="n">
        <x:v>198</x:v>
      </x:c>
      <x:c r="B794" s="34" t="str">
        <x:v>B1</x:v>
      </x:c>
      <x:c r="C794" s="34" t="str">
        <x:v>reference</x:v>
      </x:c>
      <x:c r="D794" s="74" t="n">
        <x:v>1.157848730366668</x:v>
      </x:c>
      <x:c r="E794" s="74" t="n">
        <x:v>0.06913531115460889</x:v>
      </x:c>
      <x:c r="F794" s="74" t="n">
        <x:v>0.8543173635285936</x:v>
      </x:c>
      <x:c r="G794" s="74" t="n">
        <x:v>1.3337041266384995</x:v>
      </x:c>
      <x:c r="H794" s="74" t="n">
        <x:v>0.880547416378427</x:v>
      </x:c>
      <x:c r="I794" s="74" t="n">
        <x:v>0.7631632500381168</x:v>
      </x:c>
      <x:c r="J794" s="74" t="n">
        <x:v>0.9970779219918624</x:v>
      </x:c>
      <x:c r="K794" s="74" t="n">
        <x:v>0.9400848216152463</x:v>
      </x:c>
      <x:c r="L794" s="74" t="n">
        <x:v>1.0343936014788162</x:v>
      </x:c>
      <x:c r="M794" s="74" t="n">
        <x:v>1.0934168135746931</x:v>
      </x:c>
      <x:c r="N794" s="74" t="n">
        <x:v>0.8152812148361567</x:v>
      </x:c>
      <x:c r="O794" s="65" t="n">
        <x:v>556982.9001731395</x:v>
      </x:c>
      <x:c r="P794" s="65" t="n">
        <x:v>223206.2569233062</x:v>
      </x:c>
      <x:c r="Q794" s="65" t="n">
        <x:v>333776.6432498334</x:v>
      </x:c>
      <x:c r="R794" s="65" t="n">
        <x:v>142417.21889019094</x:v>
      </x:c>
      <x:c r="S794" s="65" t="n">
        <x:v>191359.42435964243</x:v>
      </x:c>
      <x:c r="T794" s="65" t="n">
        <x:v>183245.07847940188</x:v>
      </x:c>
      <x:c r="U794" s="43" t="n">
        <x:v>0.729737547196443</x:v>
      </x:c>
      <x:c r="V794" s="43" t="n">
        <x:v>0.7513856971679828</x:v>
      </x:c>
      <x:c r="W794" s="43" t="n">
        <x:v>0.39640706840754053</x:v>
      </x:c>
      <x:c r="X794" s="65" t="n">
        <x:v>46410635.48998632</x:v>
      </x:c>
      <x:c r="Y794" s="65" t="n">
        <x:v>83.32506343652464</x:v>
      </x:c>
      <x:c r="Z794" s="65" t="n">
        <x:v>3300813.45457135</x:v>
      </x:c>
      <x:c r="AA794" s="65" t="n">
        <x:v>246658.0229051844</x:v>
      </x:c>
      <x:c r="AB794" s="65" t="n">
        <x:v>27474.482789330912</x:v>
      </x:c>
      <x:c r="AC794" s="65" t="n">
        <x:v>0</x:v>
      </x:c>
      <x:c r="AD794" s="65" t="n">
        <x:v>2020.6259831032855</x:v>
      </x:c>
      <x:c r="AE794" s="65" t="n">
        <x:v>115253.42957129893</x:v>
      </x:c>
      <x:c r="AF794" s="65" t="n">
        <x:v>183245.07847940185</x:v>
      </x:c>
      <x:c r="AG794" s="65" t="n">
        <x:v>2.9103830456733704e-11</x:v>
      </x:c>
      <x:c r="AH794" s="34" t="n">
        <x:v>0</x:v>
      </x:c>
    </x:row>
    <x:row r="795" ht="15" hidden="0" customHeight="1">
      <x:c r="A795" s="36" t="n">
        <x:v>198</x:v>
      </x:c>
      <x:c r="B795" s="36" t="str">
        <x:v>P2</x:v>
      </x:c>
      <x:c r="C795" s="36" t="str">
        <x:v>reference</x:v>
      </x:c>
      <x:c r="D795" s="75" t="n">
        <x:v>1.157848730366668</x:v>
      </x:c>
      <x:c r="E795" s="75" t="n">
        <x:v>0.06913531115460889</x:v>
      </x:c>
      <x:c r="F795" s="75" t="n">
        <x:v>0.8543173635285936</x:v>
      </x:c>
      <x:c r="G795" s="75" t="n">
        <x:v>1.3337041266384995</x:v>
      </x:c>
      <x:c r="H795" s="75" t="n">
        <x:v>0.880547416378427</x:v>
      </x:c>
      <x:c r="I795" s="75" t="n">
        <x:v>0.7631632500381168</x:v>
      </x:c>
      <x:c r="J795" s="75" t="n">
        <x:v>0.9970779219918624</x:v>
      </x:c>
      <x:c r="K795" s="75" t="n">
        <x:v>0.9400848216152463</x:v>
      </x:c>
      <x:c r="L795" s="75" t="n">
        <x:v>1.0343936014788162</x:v>
      </x:c>
      <x:c r="M795" s="75" t="n">
        <x:v>1.0934168135746931</x:v>
      </x:c>
      <x:c r="N795" s="75" t="n">
        <x:v>0.8152812148361567</x:v>
      </x:c>
      <x:c r="O795" s="66" t="n">
        <x:v>556982.9001731395</x:v>
      </x:c>
      <x:c r="P795" s="66" t="n">
        <x:v>323358.43081843626</x:v>
      </x:c>
      <x:c r="Q795" s="66" t="n">
        <x:v>233624.46935470332</x:v>
      </x:c>
      <x:c r="R795" s="66" t="n">
        <x:v>142417.21889019094</x:v>
      </x:c>
      <x:c r="S795" s="66" t="n">
        <x:v>91207.25046451241</x:v>
      </x:c>
      <x:c r="T795" s="66" t="n">
        <x:v>136312.67170919135</x:v>
      </x:c>
      <x:c r="U795" s="45" t="n">
        <x:v>0.825287638785208</x:v>
      </x:c>
      <x:c r="V795" s="45" t="n">
        <x:v>0.8518720396095303</x:v>
      </x:c>
      <x:c r="W795" s="45" t="n">
        <x:v>0.5269457698664822</x:v>
      </x:c>
      <x:c r="X795" s="66" t="n">
        <x:v>30949059.500337273</x:v>
      </x:c>
      <x:c r="Y795" s="66" t="n">
        <x:v>55.56554696870708</x:v>
      </x:c>
      <x:c r="Z795" s="66" t="n">
        <x:v>883341.9181589666</x:v>
      </x:c>
      <x:c r="AA795" s="66" t="n">
        <x:v>177694.05950219586</x:v>
      </x:c>
      <x:c r="AB795" s="66" t="n">
        <x:v>1519.434126590696</x:v>
      </x:c>
      <x:c r="AC795" s="66" t="n">
        <x:v>1315.9408749610998</x:v>
      </x:c>
      <x:c r="AD795" s="66" t="n">
        <x:v>1794.4752321295446</x:v>
      </x:c>
      <x:c r="AE795" s="66" t="n">
        <x:v>74148.04567229672</x:v>
      </x:c>
      <x:c r="AF795" s="66" t="n">
        <x:v>136312.6717091913</x:v>
      </x:c>
      <x:c r="AG795" s="66" t="n">
        <x:v>5.820766091346741e-11</x:v>
      </x:c>
      <x:c r="AH795" s="36" t="n">
        <x:v>0</x:v>
      </x:c>
    </x:row>
    <x:row r="796" ht="15" hidden="0" customHeight="1">
      <x:c r="A796" s="34" t="n">
        <x:v>198</x:v>
      </x:c>
      <x:c r="B796" s="34" t="str">
        <x:v>H3</x:v>
      </x:c>
      <x:c r="C796" s="34" t="str">
        <x:v>reference</x:v>
      </x:c>
      <x:c r="D796" s="74" t="n">
        <x:v>1.157848730366668</x:v>
      </x:c>
      <x:c r="E796" s="74" t="n">
        <x:v>0.06913531115460889</x:v>
      </x:c>
      <x:c r="F796" s="74" t="n">
        <x:v>0.8543173635285936</x:v>
      </x:c>
      <x:c r="G796" s="74" t="n">
        <x:v>1.3337041266384995</x:v>
      </x:c>
      <x:c r="H796" s="74" t="n">
        <x:v>0.880547416378427</x:v>
      </x:c>
      <x:c r="I796" s="74" t="n">
        <x:v>0.7631632500381168</x:v>
      </x:c>
      <x:c r="J796" s="74" t="n">
        <x:v>0.9970779219918624</x:v>
      </x:c>
      <x:c r="K796" s="74" t="n">
        <x:v>0.9400848216152463</x:v>
      </x:c>
      <x:c r="L796" s="74" t="n">
        <x:v>1.0343936014788162</x:v>
      </x:c>
      <x:c r="M796" s="74" t="n">
        <x:v>1.0934168135746931</x:v>
      </x:c>
      <x:c r="N796" s="74" t="n">
        <x:v>0.8152812148361567</x:v>
      </x:c>
      <x:c r="O796" s="65" t="n">
        <x:v>556982.9001731395</x:v>
      </x:c>
      <x:c r="P796" s="65" t="n">
        <x:v>335438.36710078147</x:v>
      </x:c>
      <x:c r="Q796" s="65" t="n">
        <x:v>221544.53307235808</x:v>
      </x:c>
      <x:c r="R796" s="65" t="n">
        <x:v>142417.21889019094</x:v>
      </x:c>
      <x:c r="S796" s="65" t="n">
        <x:v>79127.31418216715</x:v>
      </x:c>
      <x:c r="T796" s="65" t="n">
        <x:v>191986.6894178268</x:v>
      </x:c>
      <x:c r="U796" s="43" t="n">
        <x:v>0.946932224229248</x:v>
      </x:c>
      <x:c r="V796" s="43" t="n">
        <x:v>0.9468549983965351</x:v>
      </x:c>
      <x:c r="W796" s="43" t="n">
        <x:v>0.6688684791133279</x:v>
      </x:c>
      <x:c r="X796" s="65" t="n">
        <x:v>24064515.331095193</x:v>
      </x:c>
      <x:c r="Y796" s="65" t="n">
        <x:v>43.205124113531454</x:v>
      </x:c>
      <x:c r="Z796" s="65" t="n">
        <x:v>2378895.5344220633</x:v>
      </x:c>
      <x:c r="AA796" s="65" t="n">
        <x:v>144609.74812629295</x:v>
      </x:c>
      <x:c r="AB796" s="65" t="n">
        <x:v>16150.56099175533</x:v>
      </x:c>
      <x:c r="AC796" s="65" t="n">
        <x:v>0</x:v>
      </x:c>
      <x:c r="AD796" s="65" t="n">
        <x:v>1769.0883108786122</x:v>
      </x:c>
      <x:c r="AE796" s="65" t="n">
        <x:v>68716.16973460006</x:v>
      </x:c>
      <x:c r="AF796" s="65" t="n">
        <x:v>191986.68941782656</x:v>
      </x:c>
      <x:c r="AG796" s="65" t="n">
        <x:v>2.3283064365386963e-10</x:v>
      </x:c>
      <x:c r="AH796" s="34" t="n">
        <x:v>0</x:v>
      </x:c>
    </x:row>
    <x:row r="797" ht="15" hidden="0" customHeight="1">
      <x:c r="A797" s="36" t="n">
        <x:v>199</x:v>
      </x:c>
      <x:c r="B797" s="36" t="str">
        <x:v>M0</x:v>
      </x:c>
      <x:c r="C797" s="36" t="str">
        <x:v>fast</x:v>
      </x:c>
      <x:c r="D797" s="75" t="n">
        <x:v>0.9387466169634643</x:v>
      </x:c>
      <x:c r="E797" s="75" t="n">
        <x:v>0.06670614211486961</x:v>
      </x:c>
      <x:c r="F797" s="75" t="n">
        <x:v>0.8409022208484903</x:v>
      </x:c>
      <x:c r="G797" s="75" t="n">
        <x:v>1.249798043357115</x:v>
      </x:c>
      <x:c r="H797" s="75" t="n">
        <x:v>1.0117870882899715</x:v>
      </x:c>
      <x:c r="I797" s="75" t="n">
        <x:v>0.8560308599671835</x:v>
      </x:c>
      <x:c r="J797" s="75" t="n">
        <x:v>1.0266846231767548</x:v>
      </x:c>
      <x:c r="K797" s="75" t="n">
        <x:v>0.7830157541438532</x:v>
      </x:c>
      <x:c r="L797" s="75" t="n">
        <x:v>0.9051725850021866</x:v>
      </x:c>
      <x:c r="M797" s="75" t="n">
        <x:v>0.9870651082871893</x:v>
      </x:c>
      <x:c r="N797" s="75" t="n">
        <x:v>0.8920570743815024</x:v>
      </x:c>
      <x:c r="O797" s="66" t="n">
        <x:v>451583.8723409511</x:v>
      </x:c>
      <x:c r="P797" s="66" t="n">
        <x:v>52830.136720949165</x:v>
      </x:c>
      <x:c r="Q797" s="66" t="n">
        <x:v>398753.7356200019</x:v>
      </x:c>
      <x:c r="R797" s="66" t="n">
        <x:v>114370.34002110575</x:v>
      </x:c>
      <x:c r="S797" s="66" t="n">
        <x:v>284383.3955988962</x:v>
      </x:c>
      <x:c r="T797" s="66" t="n">
        <x:v>281401.4597239093</x:v>
      </x:c>
      <x:c r="U797" s="45" t="n">
        <x:v>0.7401318269234153</x:v>
      </x:c>
      <x:c r="V797" s="45" t="n">
        <x:v>0.7381800366040985</x:v>
      </x:c>
      <x:c r="W797" s="45" t="n">
        <x:v>0.12206906691784407</x:v>
      </x:c>
      <x:c r="X797" s="66" t="n">
        <x:v>49659648.550018705</x:v>
      </x:c>
      <x:c r="Y797" s="66" t="n">
        <x:v>109.96771937976804</x:v>
      </x:c>
      <x:c r="Z797" s="66" t="n">
        <x:v>5806860.333637938</x:v>
      </x:c>
      <x:c r="AA797" s="66" t="n">
        <x:v>270810.52484382037</x:v>
      </x:c>
      <x:c r="AB797" s="66" t="n">
        <x:v>48387.986887361694</x:v>
      </x:c>
      <x:c r="AC797" s="66" t="n">
        <x:v>0</x:v>
      </x:c>
      <x:c r="AD797" s="66" t="n">
        <x:v>1942.9747194127945</x:v>
      </x:c>
      <x:c r="AE797" s="66" t="n">
        <x:v>230018.97223953478</x:v>
      </x:c>
      <x:c r="AF797" s="66" t="n">
        <x:v>281401.4597239095</x:v>
      </x:c>
      <x:c r="AG797" s="66" t="n">
        <x:v>0</x:v>
      </x:c>
      <x:c r="AH797" s="36" t="n">
        <x:v>0</x:v>
      </x:c>
    </x:row>
    <x:row r="798" ht="15" hidden="0" customHeight="1">
      <x:c r="A798" s="34" t="n">
        <x:v>199</x:v>
      </x:c>
      <x:c r="B798" s="34" t="str">
        <x:v>B1</x:v>
      </x:c>
      <x:c r="C798" s="34" t="str">
        <x:v>fast</x:v>
      </x:c>
      <x:c r="D798" s="74" t="n">
        <x:v>0.9387466169634643</x:v>
      </x:c>
      <x:c r="E798" s="74" t="n">
        <x:v>0.06670614211486961</x:v>
      </x:c>
      <x:c r="F798" s="74" t="n">
        <x:v>0.8409022208484903</x:v>
      </x:c>
      <x:c r="G798" s="74" t="n">
        <x:v>1.249798043357115</x:v>
      </x:c>
      <x:c r="H798" s="74" t="n">
        <x:v>1.0117870882899715</x:v>
      </x:c>
      <x:c r="I798" s="74" t="n">
        <x:v>0.8560308599671835</x:v>
      </x:c>
      <x:c r="J798" s="74" t="n">
        <x:v>1.0266846231767548</x:v>
      </x:c>
      <x:c r="K798" s="74" t="n">
        <x:v>0.7830157541438532</x:v>
      </x:c>
      <x:c r="L798" s="74" t="n">
        <x:v>0.9051725850021866</x:v>
      </x:c>
      <x:c r="M798" s="74" t="n">
        <x:v>0.9870651082871893</x:v>
      </x:c>
      <x:c r="N798" s="74" t="n">
        <x:v>0.8920570743815024</x:v>
      </x:c>
      <x:c r="O798" s="65" t="n">
        <x:v>451583.8723409511</x:v>
      </x:c>
      <x:c r="P798" s="65" t="n">
        <x:v>178708.16712367622</x:v>
      </x:c>
      <x:c r="Q798" s="65" t="n">
        <x:v>272875.70521727484</x:v>
      </x:c>
      <x:c r="R798" s="65" t="n">
        <x:v>114370.34002110575</x:v>
      </x:c>
      <x:c r="S798" s="65" t="n">
        <x:v>158505.3651961691</x:v>
      </x:c>
      <x:c r="T798" s="65" t="n">
        <x:v>195721.9689012713</x:v>
      </x:c>
      <x:c r="U798" s="43" t="n">
        <x:v>0.8291486010869945</x:v>
      </x:c>
      <x:c r="V798" s="43" t="n">
        <x:v>0.8459296345804861</x:v>
      </x:c>
      <x:c r="W798" s="43" t="n">
        <x:v>0.45123723903153057</x:v>
      </x:c>
      <x:c r="X798" s="65" t="n">
        <x:v>34314086.56216371</x:v>
      </x:c>
      <x:c r="Y798" s="65" t="n">
        <x:v>75.9860762615016</x:v>
      </x:c>
      <x:c r="Z798" s="65" t="n">
        <x:v>2867201.9457752076</x:v>
      </x:c>
      <x:c r="AA798" s="65" t="n">
        <x:v>185769.60297461308</x:v>
      </x:c>
      <x:c r="AB798" s="65" t="n">
        <x:v>16787.850878629404</x:v>
      </x:c>
      <x:c r="AC798" s="65" t="n">
        <x:v>24649.44215078134</x:v>
      </x:c>
      <x:c r="AD798" s="65" t="n">
        <x:v>1642.3817720655366</x:v>
      </x:c>
      <x:c r="AE798" s="65" t="n">
        <x:v>124289.4365120874</x:v>
      </x:c>
      <x:c r="AF798" s="65" t="n">
        <x:v>195721.96890127138</x:v>
      </x:c>
      <x:c r="AG798" s="65" t="n">
        <x:v>0</x:v>
      </x:c>
      <x:c r="AH798" s="34" t="n">
        <x:v>0</x:v>
      </x:c>
    </x:row>
    <x:row r="799" ht="15" hidden="0" customHeight="1">
      <x:c r="A799" s="36" t="n">
        <x:v>199</x:v>
      </x:c>
      <x:c r="B799" s="36" t="str">
        <x:v>P2</x:v>
      </x:c>
      <x:c r="C799" s="36" t="str">
        <x:v>fast</x:v>
      </x:c>
      <x:c r="D799" s="75" t="n">
        <x:v>0.9387466169634643</x:v>
      </x:c>
      <x:c r="E799" s="75" t="n">
        <x:v>0.06670614211486961</x:v>
      </x:c>
      <x:c r="F799" s="75" t="n">
        <x:v>0.8409022208484903</x:v>
      </x:c>
      <x:c r="G799" s="75" t="n">
        <x:v>1.249798043357115</x:v>
      </x:c>
      <x:c r="H799" s="75" t="n">
        <x:v>1.0117870882899715</x:v>
      </x:c>
      <x:c r="I799" s="75" t="n">
        <x:v>0.8560308599671835</x:v>
      </x:c>
      <x:c r="J799" s="75" t="n">
        <x:v>1.0266846231767548</x:v>
      </x:c>
      <x:c r="K799" s="75" t="n">
        <x:v>0.7830157541438532</x:v>
      </x:c>
      <x:c r="L799" s="75" t="n">
        <x:v>0.9051725850021866</x:v>
      </x:c>
      <x:c r="M799" s="75" t="n">
        <x:v>0.9870651082871893</x:v>
      </x:c>
      <x:c r="N799" s="75" t="n">
        <x:v>0.8920570743815024</x:v>
      </x:c>
      <x:c r="O799" s="66" t="n">
        <x:v>451583.8723409511</x:v>
      </x:c>
      <x:c r="P799" s="66" t="n">
        <x:v>258894.0872748748</x:v>
      </x:c>
      <x:c r="Q799" s="66" t="n">
        <x:v>192689.78506607632</x:v>
      </x:c>
      <x:c r="R799" s="66" t="n">
        <x:v>114370.34002110575</x:v>
      </x:c>
      <x:c r="S799" s="66" t="n">
        <x:v>78319.44504497056</x:v>
      </x:c>
      <x:c r="T799" s="66" t="n">
        <x:v>117452.36232594609</x:v>
      </x:c>
      <x:c r="U799" s="45" t="n">
        <x:v>0.833392139648147</x:v>
      </x:c>
      <x:c r="V799" s="45" t="n">
        <x:v>0.8460162225842018</x:v>
      </x:c>
      <x:c r="W799" s="45" t="n">
        <x:v>0.6356672427095907</x:v>
      </x:c>
      <x:c r="X799" s="66" t="n">
        <x:v>23350408.148982234</x:v>
      </x:c>
      <x:c r="Y799" s="66" t="n">
        <x:v>51.7077991026048</x:v>
      </x:c>
      <x:c r="Z799" s="66" t="n">
        <x:v>1615416.0528971485</x:v>
      </x:c>
      <x:c r="AA799" s="66" t="n">
        <x:v>133692.73347730393</x:v>
      </x:c>
      <x:c r="AB799" s="66" t="n">
        <x:v>968.0217099483426</x:v>
      </x:c>
      <x:c r="AC799" s="66" t="n">
        <x:v>40892.351089794145</x:v>
      </x:c>
      <x:c r="AD799" s="66" t="n">
        <x:v>1460.7541020022925</x:v>
      </x:c>
      <x:c r="AE799" s="66" t="n">
        <x:v>70235.83247966878</x:v>
      </x:c>
      <x:c r="AF799" s="66" t="n">
        <x:v>117452.36232594616</x:v>
      </x:c>
      <x:c r="AG799" s="66" t="n">
        <x:v>0</x:v>
      </x:c>
      <x:c r="AH799" s="36" t="n">
        <x:v>0</x:v>
      </x:c>
    </x:row>
    <x:row r="800" ht="15" hidden="0" customHeight="1">
      <x:c r="A800" s="34" t="n">
        <x:v>199</x:v>
      </x:c>
      <x:c r="B800" s="34" t="str">
        <x:v>H3</x:v>
      </x:c>
      <x:c r="C800" s="34" t="str">
        <x:v>fast</x:v>
      </x:c>
      <x:c r="D800" s="74" t="n">
        <x:v>0.9387466169634643</x:v>
      </x:c>
      <x:c r="E800" s="74" t="n">
        <x:v>0.06670614211486961</x:v>
      </x:c>
      <x:c r="F800" s="74" t="n">
        <x:v>0.8409022208484903</x:v>
      </x:c>
      <x:c r="G800" s="74" t="n">
        <x:v>1.249798043357115</x:v>
      </x:c>
      <x:c r="H800" s="74" t="n">
        <x:v>1.0117870882899715</x:v>
      </x:c>
      <x:c r="I800" s="74" t="n">
        <x:v>0.8560308599671835</x:v>
      </x:c>
      <x:c r="J800" s="74" t="n">
        <x:v>1.0266846231767548</x:v>
      </x:c>
      <x:c r="K800" s="74" t="n">
        <x:v>0.7830157541438532</x:v>
      </x:c>
      <x:c r="L800" s="74" t="n">
        <x:v>0.9051725850021866</x:v>
      </x:c>
      <x:c r="M800" s="74" t="n">
        <x:v>0.9870651082871893</x:v>
      </x:c>
      <x:c r="N800" s="74" t="n">
        <x:v>0.8920570743815024</x:v>
      </x:c>
      <x:c r="O800" s="65" t="n">
        <x:v>451583.8723409511</x:v>
      </x:c>
      <x:c r="P800" s="65" t="n">
        <x:v>268565.77099910297</x:v>
      </x:c>
      <x:c r="Q800" s="65" t="n">
        <x:v>183018.10134184812</x:v>
      </x:c>
      <x:c r="R800" s="65" t="n">
        <x:v>114370.34002110575</x:v>
      </x:c>
      <x:c r="S800" s="65" t="n">
        <x:v>68647.76132074237</x:v>
      </x:c>
      <x:c r="T800" s="65" t="n">
        <x:v>181577.73615006183</x:v>
      </x:c>
      <x:c r="U800" s="43" t="n">
        <x:v>0.9968104148974151</x:v>
      </x:c>
      <x:c r="V800" s="43" t="n">
        <x:v>0.9979910846681612</x:v>
      </x:c>
      <x:c r="W800" s="43" t="n">
        <x:v>0.9681041489741511</x:v>
      </x:c>
      <x:c r="X800" s="65" t="n">
        <x:v>17146893.66462181</x:v>
      </x:c>
      <x:c r="Y800" s="65" t="n">
        <x:v>37.97056253522647</x:v>
      </x:c>
      <x:c r="Z800" s="65" t="n">
        <x:v>2146462.581087527</x:v>
      </x:c>
      <x:c r="AA800" s="65" t="n">
        <x:v>104758.07925914135</x:v>
      </x:c>
      <x:c r="AB800" s="65" t="n">
        <x:v>16581.581995786193</x:v>
      </x:c>
      <x:c r="AC800" s="65" t="n">
        <x:v>476.4987106582886</x:v>
      </x:c>
      <x:c r="AD800" s="65" t="n">
        <x:v>1440.3651917862867</x:v>
      </x:c>
      <x:c r="AE800" s="65" t="n">
        <x:v>65967.13931021909</x:v>
      </x:c>
      <x:c r="AF800" s="65" t="n">
        <x:v>181577.73615006177</x:v>
      </x:c>
      <x:c r="AG800" s="65" t="n">
        <x:v>5.820766091346741e-11</x:v>
      </x:c>
      <x:c r="AH800" s="34" t="n">
        <x:v>1</x:v>
      </x:c>
    </x:row>
    <x:row r="801" ht="15" hidden="0" customHeight="1">
      <x:c r="A801" s="36" t="n">
        <x:v>200</x:v>
      </x:c>
      <x:c r="B801" s="36" t="str">
        <x:v>M0</x:v>
      </x:c>
      <x:c r="C801" s="36" t="str">
        <x:v>reference</x:v>
      </x:c>
      <x:c r="D801" s="75" t="n">
        <x:v>1.0378920017894258</x:v>
      </x:c>
      <x:c r="E801" s="75" t="n">
        <x:v>0.061477612458696464</x:v>
      </x:c>
      <x:c r="F801" s="75" t="n">
        <x:v>0.9853091072044129</x:v>
      </x:c>
      <x:c r="G801" s="75" t="n">
        <x:v>0.960030080136216</x:v>
      </x:c>
      <x:c r="H801" s="75" t="n">
        <x:v>0.9006181272164775</x:v>
      </x:c>
      <x:c r="I801" s="75" t="n">
        <x:v>1.0018478906697423</x:v>
      </x:c>
      <x:c r="J801" s="75" t="n">
        <x:v>0.8209579423755742</x:v>
      </x:c>
      <x:c r="K801" s="75" t="n">
        <x:v>0.9327848622017093</x:v>
      </x:c>
      <x:c r="L801" s="75" t="n">
        <x:v>0.7974469979683321</x:v>
      </x:c>
      <x:c r="M801" s="75" t="n">
        <x:v>1.0276275083650575</x:v>
      </x:c>
      <x:c r="N801" s="75" t="n">
        <x:v>0.819945863040651</x:v>
      </x:c>
      <x:c r="O801" s="66" t="n">
        <x:v>499277.73988240294</x:v>
      </x:c>
      <x:c r="P801" s="66" t="n">
        <x:v>68919.70252649931</x:v>
      </x:c>
      <x:c r="Q801" s="66" t="n">
        <x:v>430358.03735590354</x:v>
      </x:c>
      <x:c r="R801" s="66" t="n">
        <x:v>123839.03369621249</x:v>
      </x:c>
      <x:c r="S801" s="66" t="n">
        <x:v>306519.0036596911</x:v>
      </x:c>
      <x:c r="T801" s="66" t="n">
        <x:v>265603.457728115</x:v>
      </x:c>
      <x:c r="U801" s="45" t="n">
        <x:v>0.6700141695349888</x:v>
      </x:c>
      <x:c r="V801" s="45" t="n">
        <x:v>0.7139419257769507</x:v>
      </x:c>
      <x:c r="W801" s="45" t="n">
        <x:v>0.14455843107769858</x:v>
      </x:c>
      <x:c r="X801" s="66" t="n">
        <x:v>56248717.36359765</x:v>
      </x:c>
      <x:c r="Y801" s="66" t="n">
        <x:v>112.6601746291476</x:v>
      </x:c>
      <x:c r="Z801" s="66" t="n">
        <x:v>3591709.4784147916</x:v>
      </x:c>
      <x:c r="AA801" s="66" t="n">
        <x:v>311893.5129643993</x:v>
      </x:c>
      <x:c r="AB801" s="66" t="n">
        <x:v>24907.2139156512</x:v>
      </x:c>
      <x:c r="AC801" s="66" t="n">
        <x:v>1950.1889476126753</x:v>
      </x:c>
      <x:c r="AD801" s="66" t="n">
        <x:v>2120.631485904794</x:v>
      </x:c>
      <x:c r="AE801" s="66" t="n">
        <x:v>194760.13516140287</x:v>
      </x:c>
      <x:c r="AF801" s="66" t="n">
        <x:v>265603.457728115</x:v>
      </x:c>
      <x:c r="AG801" s="66" t="n">
        <x:v>0</x:v>
      </x:c>
      <x:c r="AH801" s="36" t="n">
        <x:v>0</x:v>
      </x:c>
    </x:row>
    <x:row r="802" ht="15" hidden="0" customHeight="1">
      <x:c r="A802" s="34" t="n">
        <x:v>200</x:v>
      </x:c>
      <x:c r="B802" s="34" t="str">
        <x:v>B1</x:v>
      </x:c>
      <x:c r="C802" s="34" t="str">
        <x:v>reference</x:v>
      </x:c>
      <x:c r="D802" s="74" t="n">
        <x:v>1.0378920017894258</x:v>
      </x:c>
      <x:c r="E802" s="74" t="n">
        <x:v>0.061477612458696464</x:v>
      </x:c>
      <x:c r="F802" s="74" t="n">
        <x:v>0.9853091072044129</x:v>
      </x:c>
      <x:c r="G802" s="74" t="n">
        <x:v>0.960030080136216</x:v>
      </x:c>
      <x:c r="H802" s="74" t="n">
        <x:v>0.9006181272164775</x:v>
      </x:c>
      <x:c r="I802" s="74" t="n">
        <x:v>1.0018478906697423</x:v>
      </x:c>
      <x:c r="J802" s="74" t="n">
        <x:v>0.8209579423755742</x:v>
      </x:c>
      <x:c r="K802" s="74" t="n">
        <x:v>0.9327848622017093</x:v>
      </x:c>
      <x:c r="L802" s="74" t="n">
        <x:v>0.7974469979683321</x:v>
      </x:c>
      <x:c r="M802" s="74" t="n">
        <x:v>1.0276275083650575</x:v>
      </x:c>
      <x:c r="N802" s="74" t="n">
        <x:v>0.819945863040651</x:v>
      </x:c>
      <x:c r="O802" s="65" t="n">
        <x:v>499277.73988240294</x:v>
      </x:c>
      <x:c r="P802" s="65" t="n">
        <x:v>233134.05068355</x:v>
      </x:c>
      <x:c r="Q802" s="65" t="n">
        <x:v>266143.68919885287</x:v>
      </x:c>
      <x:c r="R802" s="65" t="n">
        <x:v>123839.03369621249</x:v>
      </x:c>
      <x:c r="S802" s="65" t="n">
        <x:v>142304.65550264038</x:v>
      </x:c>
      <x:c r="T802" s="65" t="n">
        <x:v>198185.92778131773</x:v>
      </x:c>
      <x:c r="U802" s="43" t="n">
        <x:v>0.863887860425058</x:v>
      </x:c>
      <x:c r="V802" s="43" t="n">
        <x:v>0.8841202740006279</x:v>
      </x:c>
      <x:c r="W802" s="43" t="n">
        <x:v>0.5327309966486939</x:v>
      </x:c>
      <x:c r="X802" s="65" t="n">
        <x:v>34375656.447569154</x:v>
      </x:c>
      <x:c r="Y802" s="65" t="n">
        <x:v>68.85076922449177</x:v>
      </x:c>
      <x:c r="Z802" s="65" t="n">
        <x:v>1270321.5970844824</x:v>
      </x:c>
      <x:c r="AA802" s="65" t="n">
        <x:v>186420.19171921728</x:v>
      </x:c>
      <x:c r="AB802" s="65" t="n">
        <x:v>1934.65679804922</x:v>
      </x:c>
      <x:c r="AC802" s="65" t="n">
        <x:v>1197.9241811771399</x:v>
      </x:c>
      <x:c r="AD802" s="65" t="n">
        <x:v>1725.9072856259554</x:v>
      </x:c>
      <x:c r="AE802" s="65" t="n">
        <x:v>109631.77457292742</x:v>
      </x:c>
      <x:c r="AF802" s="65" t="n">
        <x:v>198185.92778131764</x:v>
      </x:c>
      <x:c r="AG802" s="65" t="n">
        <x:v>8.731149137020111e-11</x:v>
      </x:c>
      <x:c r="AH802" s="34" t="n">
        <x:v>0</x:v>
      </x:c>
    </x:row>
    <x:row r="803" ht="15" hidden="0" customHeight="1">
      <x:c r="A803" s="36" t="n">
        <x:v>200</x:v>
      </x:c>
      <x:c r="B803" s="36" t="str">
        <x:v>P2</x:v>
      </x:c>
      <x:c r="C803" s="36" t="str">
        <x:v>reference</x:v>
      </x:c>
      <x:c r="D803" s="75" t="n">
        <x:v>1.0378920017894258</x:v>
      </x:c>
      <x:c r="E803" s="75" t="n">
        <x:v>0.061477612458696464</x:v>
      </x:c>
      <x:c r="F803" s="75" t="n">
        <x:v>0.9853091072044129</x:v>
      </x:c>
      <x:c r="G803" s="75" t="n">
        <x:v>0.960030080136216</x:v>
      </x:c>
      <x:c r="H803" s="75" t="n">
        <x:v>0.9006181272164775</x:v>
      </x:c>
      <x:c r="I803" s="75" t="n">
        <x:v>1.0018478906697423</x:v>
      </x:c>
      <x:c r="J803" s="75" t="n">
        <x:v>0.8209579423755742</x:v>
      </x:c>
      <x:c r="K803" s="75" t="n">
        <x:v>0.9327848622017093</x:v>
      </x:c>
      <x:c r="L803" s="75" t="n">
        <x:v>0.7974469979683321</x:v>
      </x:c>
      <x:c r="M803" s="75" t="n">
        <x:v>1.0276275083650575</x:v>
      </x:c>
      <x:c r="N803" s="75" t="n">
        <x:v>0.819945863040651</x:v>
      </x:c>
      <x:c r="O803" s="66" t="n">
        <x:v>499277.73988240294</x:v>
      </x:c>
      <x:c r="P803" s="66" t="n">
        <x:v>337740.5788825321</x:v>
      </x:c>
      <x:c r="Q803" s="66" t="n">
        <x:v>161537.16099987074</x:v>
      </x:c>
      <x:c r="R803" s="66" t="n">
        <x:v>123839.03369621249</x:v>
      </x:c>
      <x:c r="S803" s="66" t="n">
        <x:v>37698.127303658286</x:v>
      </x:c>
      <x:c r="T803" s="66" t="n">
        <x:v>133661.29931412035</x:v>
      </x:c>
      <x:c r="U803" s="45" t="n">
        <x:v>0.9441676256339484</x:v>
      </x:c>
      <x:c r="V803" s="45" t="n">
        <x:v>0.9510185503841723</x:v>
      </x:c>
      <x:c r="W803" s="45" t="n">
        <x:v>0.7126429733407725</x:v>
      </x:c>
      <x:c r="X803" s="66" t="n">
        <x:v>19315688.817316137</x:v>
      </x:c>
      <x:c r="Y803" s="66" t="n">
        <x:v>38.687262167677744</x:v>
      </x:c>
      <x:c r="Z803" s="66" t="n">
        <x:v>836770.6449484597</x:v>
      </x:c>
      <x:c r="AA803" s="66" t="n">
        <x:v>110387.50339202175</x:v>
      </x:c>
      <x:c r="AB803" s="66" t="n">
        <x:v>0</x:v>
      </x:c>
      <x:c r="AC803" s="66" t="n">
        <x:v>0</x:v>
      </x:c>
      <x:c r="AD803" s="66" t="n">
        <x:v>1487.4025653824688</x:v>
      </x:c>
      <x:c r="AE803" s="66" t="n">
        <x:v>68071.63159604705</x:v>
      </x:c>
      <x:c r="AF803" s="66" t="n">
        <x:v>133661.29931412032</x:v>
      </x:c>
      <x:c r="AG803" s="66" t="n">
        <x:v>2.9103830456733704e-11</x:v>
      </x:c>
      <x:c r="AH803" s="36" t="n">
        <x:v>0</x:v>
      </x:c>
    </x:row>
    <x:row r="804" ht="15" hidden="0" customHeight="1">
      <x:c r="A804" s="34" t="n">
        <x:v>200</x:v>
      </x:c>
      <x:c r="B804" s="34" t="str">
        <x:v>H3</x:v>
      </x:c>
      <x:c r="C804" s="34" t="str">
        <x:v>reference</x:v>
      </x:c>
      <x:c r="D804" s="74" t="n">
        <x:v>1.0378920017894258</x:v>
      </x:c>
      <x:c r="E804" s="74" t="n">
        <x:v>0.061477612458696464</x:v>
      </x:c>
      <x:c r="F804" s="74" t="n">
        <x:v>0.9853091072044129</x:v>
      </x:c>
      <x:c r="G804" s="74" t="n">
        <x:v>0.960030080136216</x:v>
      </x:c>
      <x:c r="H804" s="74" t="n">
        <x:v>0.9006181272164775</x:v>
      </x:c>
      <x:c r="I804" s="74" t="n">
        <x:v>1.0018478906697423</x:v>
      </x:c>
      <x:c r="J804" s="74" t="n">
        <x:v>0.8209579423755742</x:v>
      </x:c>
      <x:c r="K804" s="74" t="n">
        <x:v>0.9327848622017093</x:v>
      </x:c>
      <x:c r="L804" s="74" t="n">
        <x:v>0.7974469979683321</x:v>
      </x:c>
      <x:c r="M804" s="74" t="n">
        <x:v>1.0276275083650575</x:v>
      </x:c>
      <x:c r="N804" s="74" t="n">
        <x:v>0.819945863040651</x:v>
      </x:c>
      <x:c r="O804" s="65" t="n">
        <x:v>499277.73988240294</x:v>
      </x:c>
      <x:c r="P804" s="65" t="n">
        <x:v>350357.7540007889</x:v>
      </x:c>
      <x:c r="Q804" s="65" t="n">
        <x:v>148919.985881614</x:v>
      </x:c>
      <x:c r="R804" s="65" t="n">
        <x:v>123839.03369621249</x:v>
      </x:c>
      <x:c r="S804" s="65" t="n">
        <x:v>25080.95218540151</x:v>
      </x:c>
      <x:c r="T804" s="65" t="n">
        <x:v>147459.3570524439</x:v>
      </x:c>
      <x:c r="U804" s="43" t="n">
        <x:v>0.9970745164214327</x:v>
      </x:c>
      <x:c r="V804" s="43" t="n">
        <x:v>0.9981574069338591</x:v>
      </x:c>
      <x:c r="W804" s="43" t="n">
        <x:v>0.9707451642143281</x:v>
      </x:c>
      <x:c r="X804" s="65" t="n">
        <x:v>15103241.17213614</x:v>
      </x:c>
      <x:c r="Y804" s="65" t="n">
        <x:v>30.250179340447808</x:v>
      </x:c>
      <x:c r="Z804" s="65" t="n">
        <x:v>939109.7023113243</x:v>
      </x:c>
      <x:c r="AA804" s="65" t="n">
        <x:v>92041.68533482656</x:v>
      </x:c>
      <x:c r="AB804" s="65" t="n">
        <x:v>1914.2768590272876</x:v>
      </x:c>
      <x:c r="AC804" s="65" t="n">
        <x:v>927.2832964370812</x:v>
      </x:c>
      <x:c r="AD804" s="65" t="n">
        <x:v>1460.6288291701132</x:v>
      </x:c>
      <x:c r="AE804" s="65" t="n">
        <x:v>48996.21883225981</x:v>
      </x:c>
      <x:c r="AF804" s="65" t="n">
        <x:v>147459.3570524437</x:v>
      </x:c>
      <x:c r="AG804" s="65" t="n">
        <x:v>2.0372681319713593e-10</x:v>
      </x:c>
      <x:c r="AH804" s="34" t="n">
        <x:v>1</x:v>
      </x:c>
    </x:row>
    <x:row r="805" ht="15" hidden="0" customHeight="1">
      <x:c r="A805" s="36" t="n">
        <x:v>201</x:v>
      </x:c>
      <x:c r="B805" s="36" t="str">
        <x:v>M0</x:v>
      </x:c>
      <x:c r="C805" s="36" t="str">
        <x:v>slow</x:v>
      </x:c>
      <x:c r="D805" s="75" t="n">
        <x:v>0.9050150879278789</x:v>
      </x:c>
      <x:c r="E805" s="75" t="n">
        <x:v>0.09168964097151877</x:v>
      </x:c>
      <x:c r="F805" s="75" t="n">
        <x:v>1.0482696399329603</x:v>
      </x:c>
      <x:c r="G805" s="75" t="n">
        <x:v>1.1479882665567034</x:v>
      </x:c>
      <x:c r="H805" s="75" t="n">
        <x:v>0.8361054898821458</x:v>
      </x:c>
      <x:c r="I805" s="75" t="n">
        <x:v>0.8640326365708972</x:v>
      </x:c>
      <x:c r="J805" s="75" t="n">
        <x:v>0.8877089961630387</x:v>
      </x:c>
      <x:c r="K805" s="75" t="n">
        <x:v>0.7379009515208322</x:v>
      </x:c>
      <x:c r="L805" s="75" t="n">
        <x:v>0.8600952230886008</x:v>
      </x:c>
      <x:c r="M805" s="75" t="n">
        <x:v>1.0711270682664003</x:v>
      </x:c>
      <x:c r="N805" s="75" t="n">
        <x:v>0.934922164888955</x:v>
      </x:c>
      <x:c r="O805" s="66" t="n">
        <x:v>435357.3270446886</x:v>
      </x:c>
      <x:c r="P805" s="66" t="n">
        <x:v>61366.9899131782</x:v>
      </x:c>
      <x:c r="Q805" s="66" t="n">
        <x:v>373990.3371315104</x:v>
      </x:c>
      <x:c r="R805" s="66" t="n">
        <x:v>121137.4750844322</x:v>
      </x:c>
      <x:c r="S805" s="66" t="n">
        <x:v>252852.86204707815</x:v>
      </x:c>
      <x:c r="T805" s="66" t="n">
        <x:v>238241.04635270918</x:v>
      </x:c>
      <x:c r="U805" s="45" t="n">
        <x:v>0.6881887995309499</x:v>
      </x:c>
      <x:c r="V805" s="45" t="n">
        <x:v>0.672543672582109</x:v>
      </x:c>
      <x:c r="W805" s="45" t="n">
        <x:v>0.06693309892764131</x:v>
      </x:c>
      <x:c r="X805" s="66" t="n">
        <x:v>46037519.01497589</x:v>
      </x:c>
      <x:c r="Y805" s="66" t="n">
        <x:v>105.7465124739941</x:v>
      </x:c>
      <x:c r="Z805" s="66" t="n">
        <x:v>2517055.911540168</x:v>
      </x:c>
      <x:c r="AA805" s="66" t="n">
        <x:v>251737.8961349538</x:v>
      </x:c>
      <x:c r="AB805" s="66" t="n">
        <x:v>16239.23146571982</x:v>
      </x:c>
      <x:c r="AC805" s="66" t="n">
        <x:v>0</x:v>
      </x:c>
      <x:c r="AD805" s="66" t="n">
        <x:v>2406.9353073363623</x:v>
      </x:c>
      <x:c r="AE805" s="66" t="n">
        <x:v>157463.7713063035</x:v>
      </x:c>
      <x:c r="AF805" s="66" t="n">
        <x:v>238241.04635270915</x:v>
      </x:c>
      <x:c r="AG805" s="66" t="n">
        <x:v>2.9103830456733704e-11</x:v>
      </x:c>
      <x:c r="AH805" s="36" t="n">
        <x:v>0</x:v>
      </x:c>
    </x:row>
    <x:row r="806" ht="15" hidden="0" customHeight="1">
      <x:c r="A806" s="34" t="n">
        <x:v>201</x:v>
      </x:c>
      <x:c r="B806" s="34" t="str">
        <x:v>B1</x:v>
      </x:c>
      <x:c r="C806" s="34" t="str">
        <x:v>slow</x:v>
      </x:c>
      <x:c r="D806" s="74" t="n">
        <x:v>0.9050150879278789</x:v>
      </x:c>
      <x:c r="E806" s="74" t="n">
        <x:v>0.09168964097151877</x:v>
      </x:c>
      <x:c r="F806" s="74" t="n">
        <x:v>1.0482696399329603</x:v>
      </x:c>
      <x:c r="G806" s="74" t="n">
        <x:v>1.1479882665567034</x:v>
      </x:c>
      <x:c r="H806" s="74" t="n">
        <x:v>0.8361054898821458</x:v>
      </x:c>
      <x:c r="I806" s="74" t="n">
        <x:v>0.8640326365708972</x:v>
      </x:c>
      <x:c r="J806" s="74" t="n">
        <x:v>0.8877089961630387</x:v>
      </x:c>
      <x:c r="K806" s="74" t="n">
        <x:v>0.7379009515208322</x:v>
      </x:c>
      <x:c r="L806" s="74" t="n">
        <x:v>0.8600952230886008</x:v>
      </x:c>
      <x:c r="M806" s="74" t="n">
        <x:v>1.0711270682664003</x:v>
      </x:c>
      <x:c r="N806" s="74" t="n">
        <x:v>0.934922164888955</x:v>
      </x:c>
      <x:c r="O806" s="65" t="n">
        <x:v>435357.3270446886</x:v>
      </x:c>
      <x:c r="P806" s="65" t="n">
        <x:v>207586.56054026177</x:v>
      </x:c>
      <x:c r="Q806" s="65" t="n">
        <x:v>227770.76650442678</x:v>
      </x:c>
      <x:c r="R806" s="65" t="n">
        <x:v>121137.4750844322</x:v>
      </x:c>
      <x:c r="S806" s="65" t="n">
        <x:v>106633.29141999457</x:v>
      </x:c>
      <x:c r="T806" s="65" t="n">
        <x:v>132599.0078784074</x:v>
      </x:c>
      <x:c r="U806" s="43" t="n">
        <x:v>0.7813939200884283</x:v>
      </x:c>
      <x:c r="V806" s="43" t="n">
        <x:v>0.7721095309284136</x:v>
      </x:c>
      <x:c r="W806" s="43" t="n">
        <x:v>0.23231659632768914</x:v>
      </x:c>
      <x:c r="X806" s="65" t="n">
        <x:v>29399679.803582285</x:v>
      </x:c>
      <x:c r="Y806" s="65" t="n">
        <x:v>67.52999887047834</x:v>
      </x:c>
      <x:c r="Z806" s="65" t="n">
        <x:v>881049.5407503443</x:v>
      </x:c>
      <x:c r="AA806" s="65" t="n">
        <x:v>151157.2119113555</x:v>
      </x:c>
      <x:c r="AB806" s="65" t="n">
        <x:v>1964.526723134706</x:v>
      </x:c>
      <x:c r="AC806" s="65" t="n">
        <x:v>0</x:v>
      </x:c>
      <x:c r="AD806" s="65" t="n">
        <x:v>1968.5981448148268</x:v>
      </x:c>
      <x:c r="AE806" s="65" t="n">
        <x:v>31627.41407040025</x:v>
      </x:c>
      <x:c r="AF806" s="65" t="n">
        <x:v>132599.00787840737</x:v>
      </x:c>
      <x:c r="AG806" s="65" t="n">
        <x:v>2.9103830456733704e-11</x:v>
      </x:c>
      <x:c r="AH806" s="34" t="n">
        <x:v>0</x:v>
      </x:c>
    </x:row>
    <x:row r="807" ht="15" hidden="0" customHeight="1">
      <x:c r="A807" s="36" t="n">
        <x:v>201</x:v>
      </x:c>
      <x:c r="B807" s="36" t="str">
        <x:v>P2</x:v>
      </x:c>
      <x:c r="C807" s="36" t="str">
        <x:v>slow</x:v>
      </x:c>
      <x:c r="D807" s="75" t="n">
        <x:v>0.9050150879278789</x:v>
      </x:c>
      <x:c r="E807" s="75" t="n">
        <x:v>0.09168964097151877</x:v>
      </x:c>
      <x:c r="F807" s="75" t="n">
        <x:v>1.0482696399329603</x:v>
      </x:c>
      <x:c r="G807" s="75" t="n">
        <x:v>1.1479882665567034</x:v>
      </x:c>
      <x:c r="H807" s="75" t="n">
        <x:v>0.8361054898821458</x:v>
      </x:c>
      <x:c r="I807" s="75" t="n">
        <x:v>0.8640326365708972</x:v>
      </x:c>
      <x:c r="J807" s="75" t="n">
        <x:v>0.8877089961630387</x:v>
      </x:c>
      <x:c r="K807" s="75" t="n">
        <x:v>0.7379009515208322</x:v>
      </x:c>
      <x:c r="L807" s="75" t="n">
        <x:v>0.8600952230886008</x:v>
      </x:c>
      <x:c r="M807" s="75" t="n">
        <x:v>1.0711270682664003</x:v>
      </x:c>
      <x:c r="N807" s="75" t="n">
        <x:v>0.934922164888955</x:v>
      </x:c>
      <x:c r="O807" s="66" t="n">
        <x:v>435357.3270446886</x:v>
      </x:c>
      <x:c r="P807" s="66" t="n">
        <x:v>300730.82647849794</x:v>
      </x:c>
      <x:c r="Q807" s="66" t="n">
        <x:v>134626.50056619057</x:v>
      </x:c>
      <x:c r="R807" s="66" t="n">
        <x:v>121137.4750844322</x:v>
      </x:c>
      <x:c r="S807" s="66" t="n">
        <x:v>13489.025481758375</x:v>
      </x:c>
      <x:c r="T807" s="66" t="n">
        <x:v>66224.90346121162</x:v>
      </x:c>
      <x:c r="U807" s="45" t="n">
        <x:v>0.842884010774998</x:v>
      </x:c>
      <x:c r="V807" s="45" t="n">
        <x:v>0.8378078877036235</x:v>
      </x:c>
      <x:c r="W807" s="45" t="n">
        <x:v>0.34137238510487694</x:v>
      </x:c>
      <x:c r="X807" s="66" t="n">
        <x:v>17933069.112749767</x:v>
      </x:c>
      <x:c r="Y807" s="66" t="n">
        <x:v>41.191609739254424</x:v>
      </x:c>
      <x:c r="Z807" s="66" t="n">
        <x:v>427312.85801061464</x:v>
      </x:c>
      <x:c r="AA807" s="66" t="n">
        <x:v>94739.11183923355</x:v>
      </x:c>
      <x:c r="AB807" s="66" t="n">
        <x:v>0</x:v>
      </x:c>
      <x:c r="AC807" s="66" t="n">
        <x:v>0</x:v>
      </x:c>
      <x:c r="AD807" s="66" t="n">
        <x:v>1702.6628626695174</x:v>
      </x:c>
      <x:c r="AE807" s="66" t="n">
        <x:v>12253.075728697237</x:v>
      </x:c>
      <x:c r="AF807" s="66" t="n">
        <x:v>66224.90346121164</x:v>
      </x:c>
      <x:c r="AG807" s="66" t="n">
        <x:v>0</x:v>
      </x:c>
      <x:c r="AH807" s="36" t="n">
        <x:v>0</x:v>
      </x:c>
    </x:row>
    <x:row r="808" ht="15" hidden="0" customHeight="1">
      <x:c r="A808" s="34" t="n">
        <x:v>201</x:v>
      </x:c>
      <x:c r="B808" s="34" t="str">
        <x:v>H3</x:v>
      </x:c>
      <x:c r="C808" s="34" t="str">
        <x:v>slow</x:v>
      </x:c>
      <x:c r="D808" s="74" t="n">
        <x:v>0.9050150879278789</x:v>
      </x:c>
      <x:c r="E808" s="74" t="n">
        <x:v>0.09168964097151877</x:v>
      </x:c>
      <x:c r="F808" s="74" t="n">
        <x:v>1.0482696399329603</x:v>
      </x:c>
      <x:c r="G808" s="74" t="n">
        <x:v>1.1479882665567034</x:v>
      </x:c>
      <x:c r="H808" s="74" t="n">
        <x:v>0.8361054898821458</x:v>
      </x:c>
      <x:c r="I808" s="74" t="n">
        <x:v>0.8640326365708972</x:v>
      </x:c>
      <x:c r="J808" s="74" t="n">
        <x:v>0.8877089961630387</x:v>
      </x:c>
      <x:c r="K808" s="74" t="n">
        <x:v>0.7379009515208322</x:v>
      </x:c>
      <x:c r="L808" s="74" t="n">
        <x:v>0.8600952230886008</x:v>
      </x:c>
      <x:c r="M808" s="74" t="n">
        <x:v>1.0711270682664003</x:v>
      </x:c>
      <x:c r="N808" s="74" t="n">
        <x:v>0.934922164888955</x:v>
      </x:c>
      <x:c r="O808" s="65" t="n">
        <x:v>435357.3270446886</x:v>
      </x:c>
      <x:c r="P808" s="65" t="n">
        <x:v>307929.10969969904</x:v>
      </x:c>
      <x:c r="Q808" s="65" t="n">
        <x:v>127428.21734498949</x:v>
      </x:c>
      <x:c r="R808" s="65" t="n">
        <x:v>121137.4750844322</x:v>
      </x:c>
      <x:c r="S808" s="65" t="n">
        <x:v>6290.742260557289</x:v>
      </x:c>
      <x:c r="T808" s="65" t="n">
        <x:v>61106.72518052301</x:v>
      </x:c>
      <x:c r="U808" s="43" t="n">
        <x:v>0.8476619364266292</x:v>
      </x:c>
      <x:c r="V808" s="43" t="n">
        <x:v>0.8432684734435975</x:v>
      </x:c>
      <x:c r="W808" s="43" t="n">
        <x:v>0.35113235447519386</x:v>
      </x:c>
      <x:c r="X808" s="65" t="n">
        <x:v>16235716.416921418</x:v>
      </x:c>
      <x:c r="Y808" s="65" t="n">
        <x:v>37.292852120196095</x:v>
      </x:c>
      <x:c r="Z808" s="65" t="n">
        <x:v>425018.3150891314</x:v>
      </x:c>
      <x:c r="AA808" s="65" t="n">
        <x:v>90762.19413461388</x:v>
      </x:c>
      <x:c r="AB808" s="65" t="n">
        <x:v>1716.7602046877635</x:v>
      </x:c>
      <x:c r="AC808" s="65" t="n">
        <x:v>0</x:v>
      </x:c>
      <x:c r="AD808" s="65" t="n">
        <x:v>1686.8892478189205</x:v>
      </x:c>
      <x:c r="AE808" s="65" t="n">
        <x:v>3.637978807091713e-11</x:v>
      </x:c>
      <x:c r="AF808" s="65" t="n">
        <x:v>61106.725180522975</x:v>
      </x:c>
      <x:c r="AG808" s="65" t="n">
        <x:v>3.637978807091713e-11</x:v>
      </x:c>
      <x:c r="AH808" s="34" t="n">
        <x:v>0</x:v>
      </x:c>
    </x:row>
    <x:row r="809" ht="15" hidden="0" customHeight="1">
      <x:c r="A809" s="36" t="n">
        <x:v>202</x:v>
      </x:c>
      <x:c r="B809" s="36" t="str">
        <x:v>M0</x:v>
      </x:c>
      <x:c r="C809" s="36" t="str">
        <x:v>reference</x:v>
      </x:c>
      <x:c r="D809" s="75" t="n">
        <x:v>0.9622059363380133</x:v>
      </x:c>
      <x:c r="E809" s="75" t="n">
        <x:v>0.018426917115239826</x:v>
      </x:c>
      <x:c r="F809" s="75" t="n">
        <x:v>0.733975367244676</x:v>
      </x:c>
      <x:c r="G809" s="75" t="n">
        <x:v>1.0149912084278272</x:v>
      </x:c>
      <x:c r="H809" s="75" t="n">
        <x:v>0.9398725862020172</x:v>
      </x:c>
      <x:c r="I809" s="75" t="n">
        <x:v>0.7764538382776316</x:v>
      </x:c>
      <x:c r="J809" s="75" t="n">
        <x:v>0.9928140584375638</x:v>
      </x:c>
      <x:c r="K809" s="75" t="n">
        <x:v>0.8979820207045816</x:v>
      </x:c>
      <x:c r="L809" s="75" t="n">
        <x:v>0.8401428477836519</x:v>
      </x:c>
      <x:c r="M809" s="75" t="n">
        <x:v>0.8868786302992339</x:v>
      </x:c>
      <x:c r="N809" s="75" t="n">
        <x:v>0.8787870347459188</x:v>
      </x:c>
      <x:c r="O809" s="66" t="n">
        <x:v>462868.97323421406</x:v>
      </x:c>
      <x:c r="P809" s="66" t="n">
        <x:v>50321.2129025108</x:v>
      </x:c>
      <x:c r="Q809" s="66" t="n">
        <x:v>412547.76033170323</x:v>
      </x:c>
      <x:c r="R809" s="66" t="n">
        <x:v>94881.50456002452</x:v>
      </x:c>
      <x:c r="S809" s="66" t="n">
        <x:v>317666.2557716787</x:v>
      </x:c>
      <x:c r="T809" s="66" t="n">
        <x:v>255973.98617605137</x:v>
      </x:c>
      <x:c r="U809" s="45" t="n">
        <x:v>0.66173197338845</x:v>
      </x:c>
      <x:c r="V809" s="45" t="n">
        <x:v>0.6846330010241628</x:v>
      </x:c>
      <x:c r="W809" s="45" t="n">
        <x:v>0.10821421484913467</x:v>
      </x:c>
      <x:c r="X809" s="66" t="n">
        <x:v>53352643.125072114</x:v>
      </x:c>
      <x:c r="Y809" s="66" t="n">
        <x:v>115.26511002083392</x:v>
      </x:c>
      <x:c r="Z809" s="66" t="n">
        <x:v>5738752.823255828</x:v>
      </x:c>
      <x:c r="AA809" s="66" t="n">
        <x:v>288852.58732450334</x:v>
      </x:c>
      <x:c r="AB809" s="66" t="n">
        <x:v>50218.36354317155</x:v>
      </x:c>
      <x:c r="AC809" s="66" t="n">
        <x:v>0</x:v>
      </x:c>
      <x:c r="AD809" s="66" t="n">
        <x:v>1993.8720925996881</x:v>
      </x:c>
      <x:c r="AE809" s="66" t="n">
        <x:v>205355.85297468648</x:v>
      </x:c>
      <x:c r="AF809" s="66" t="n">
        <x:v>255973.98617605134</x:v>
      </x:c>
      <x:c r="AG809" s="66" t="n">
        <x:v>2.9103830456733704e-11</x:v>
      </x:c>
      <x:c r="AH809" s="36" t="n">
        <x:v>0</x:v>
      </x:c>
    </x:row>
    <x:row r="810" ht="15" hidden="0" customHeight="1">
      <x:c r="A810" s="34" t="n">
        <x:v>202</x:v>
      </x:c>
      <x:c r="B810" s="34" t="str">
        <x:v>B1</x:v>
      </x:c>
      <x:c r="C810" s="34" t="str">
        <x:v>reference</x:v>
      </x:c>
      <x:c r="D810" s="74" t="n">
        <x:v>0.9622059363380133</x:v>
      </x:c>
      <x:c r="E810" s="74" t="n">
        <x:v>0.018426917115239826</x:v>
      </x:c>
      <x:c r="F810" s="74" t="n">
        <x:v>0.733975367244676</x:v>
      </x:c>
      <x:c r="G810" s="74" t="n">
        <x:v>1.0149912084278272</x:v>
      </x:c>
      <x:c r="H810" s="74" t="n">
        <x:v>0.9398725862020172</x:v>
      </x:c>
      <x:c r="I810" s="74" t="n">
        <x:v>0.7764538382776316</x:v>
      </x:c>
      <x:c r="J810" s="74" t="n">
        <x:v>0.9928140584375638</x:v>
      </x:c>
      <x:c r="K810" s="74" t="n">
        <x:v>0.8979820207045816</x:v>
      </x:c>
      <x:c r="L810" s="74" t="n">
        <x:v>0.8401428477836519</x:v>
      </x:c>
      <x:c r="M810" s="74" t="n">
        <x:v>0.8868786302992339</x:v>
      </x:c>
      <x:c r="N810" s="74" t="n">
        <x:v>0.8787870347459188</x:v>
      </x:c>
      <x:c r="O810" s="65" t="n">
        <x:v>462868.97323421406</x:v>
      </x:c>
      <x:c r="P810" s="65" t="n">
        <x:v>170220.0460536406</x:v>
      </x:c>
      <x:c r="Q810" s="65" t="n">
        <x:v>292648.92718057346</x:v>
      </x:c>
      <x:c r="R810" s="65" t="n">
        <x:v>94881.50456002452</x:v>
      </x:c>
      <x:c r="S810" s="65" t="n">
        <x:v>197767.42262054887</x:v>
      </x:c>
      <x:c r="T810" s="65" t="n">
        <x:v>186790.77808877482</x:v>
      </x:c>
      <x:c r="U810" s="43" t="n">
        <x:v>0.7712999677810898</x:v>
      </x:c>
      <x:c r="V810" s="43" t="n">
        <x:v>0.7921510519225914</x:v>
      </x:c>
      <x:c r="W810" s="43" t="n">
        <x:v>0.39301764554130764</x:v>
      </x:c>
      <x:c r="X810" s="65" t="n">
        <x:v>38534091.628151864</x:v>
      </x:c>
      <x:c r="Y810" s="65" t="n">
        <x:v>83.2505392593109</x:v>
      </x:c>
      <x:c r="Z810" s="65" t="n">
        <x:v>2981281.1582518136</x:v>
      </x:c>
      <x:c r="AA810" s="65" t="n">
        <x:v>207770.23953706876</x:v>
      </x:c>
      <x:c r="AB810" s="65" t="n">
        <x:v>23075.23925827969</x:v>
      </x:c>
      <x:c r="AC810" s="65" t="n">
        <x:v>0</x:v>
      </x:c>
      <x:c r="AD810" s="65" t="n">
        <x:v>1691.0713685385813</x:v>
      </x:c>
      <x:c r="AE810" s="65" t="n">
        <x:v>125770.7694174692</x:v>
      </x:c>
      <x:c r="AF810" s="65" t="n">
        <x:v>186790.77808877497</x:v>
      </x:c>
      <x:c r="AG810" s="65" t="n">
        <x:v>0</x:v>
      </x:c>
      <x:c r="AH810" s="34" t="n">
        <x:v>0</x:v>
      </x:c>
    </x:row>
    <x:row r="811" ht="15" hidden="0" customHeight="1">
      <x:c r="A811" s="36" t="n">
        <x:v>202</x:v>
      </x:c>
      <x:c r="B811" s="36" t="str">
        <x:v>P2</x:v>
      </x:c>
      <x:c r="C811" s="36" t="str">
        <x:v>reference</x:v>
      </x:c>
      <x:c r="D811" s="75" t="n">
        <x:v>0.9622059363380133</x:v>
      </x:c>
      <x:c r="E811" s="75" t="n">
        <x:v>0.018426917115239826</x:v>
      </x:c>
      <x:c r="F811" s="75" t="n">
        <x:v>0.733975367244676</x:v>
      </x:c>
      <x:c r="G811" s="75" t="n">
        <x:v>1.0149912084278272</x:v>
      </x:c>
      <x:c r="H811" s="75" t="n">
        <x:v>0.9398725862020172</x:v>
      </x:c>
      <x:c r="I811" s="75" t="n">
        <x:v>0.7764538382776316</x:v>
      </x:c>
      <x:c r="J811" s="75" t="n">
        <x:v>0.9928140584375638</x:v>
      </x:c>
      <x:c r="K811" s="75" t="n">
        <x:v>0.8979820207045816</x:v>
      </x:c>
      <x:c r="L811" s="75" t="n">
        <x:v>0.8401428477836519</x:v>
      </x:c>
      <x:c r="M811" s="75" t="n">
        <x:v>0.8868786302992339</x:v>
      </x:c>
      <x:c r="N811" s="75" t="n">
        <x:v>0.8787870347459188</x:v>
      </x:c>
      <x:c r="O811" s="66" t="n">
        <x:v>462868.97323421406</x:v>
      </x:c>
      <x:c r="P811" s="66" t="n">
        <x:v>246596.38745208405</x:v>
      </x:c>
      <x:c r="Q811" s="66" t="n">
        <x:v>216272.58578213002</x:v>
      </x:c>
      <x:c r="R811" s="66" t="n">
        <x:v>94881.50456002452</x:v>
      </x:c>
      <x:c r="S811" s="66" t="n">
        <x:v>121391.0812221055</x:v>
      </x:c>
      <x:c r="T811" s="66" t="n">
        <x:v>134680.30059950842</x:v>
      </x:c>
      <x:c r="U811" s="45" t="n">
        <x:v>0.8237248770153892</x:v>
      </x:c>
      <x:c r="V811" s="45" t="n">
        <x:v>0.8496913143855511</x:v>
      </x:c>
      <x:c r="W811" s="45" t="n">
        <x:v>0.5114269708008582</x:v>
      </x:c>
      <x:c r="X811" s="66" t="n">
        <x:v>27261724.339755315</x:v>
      </x:c>
      <x:c r="Y811" s="66" t="n">
        <x:v>58.89728177127298</x:v>
      </x:c>
      <x:c r="Z811" s="66" t="n">
        <x:v>954141.0876906757</x:v>
      </x:c>
      <x:c r="AA811" s="66" t="n">
        <x:v>158768.7067466341</x:v>
      </x:c>
      <x:c r="AB811" s="66" t="n">
        <x:v>1095.500515716226</x:v>
      </x:c>
      <x:c r="AC811" s="66" t="n">
        <x:v>13331.031932151891</x:v>
      </x:c>
      <x:c r="AD811" s="66" t="n">
        <x:v>1508.1096906614648</x:v>
      </x:c>
      <x:c r="AE811" s="66" t="n">
        <x:v>66134.91188932674</x:v>
      </x:c>
      <x:c r="AF811" s="66" t="n">
        <x:v>134680.3005995085</x:v>
      </x:c>
      <x:c r="AG811" s="66" t="n">
        <x:v>0</x:v>
      </x:c>
      <x:c r="AH811" s="36" t="n">
        <x:v>0</x:v>
      </x:c>
    </x:row>
    <x:row r="812" ht="15" hidden="0" customHeight="1">
      <x:c r="A812" s="34" t="n">
        <x:v>202</x:v>
      </x:c>
      <x:c r="B812" s="34" t="str">
        <x:v>H3</x:v>
      </x:c>
      <x:c r="C812" s="34" t="str">
        <x:v>reference</x:v>
      </x:c>
      <x:c r="D812" s="74" t="n">
        <x:v>0.9622059363380133</x:v>
      </x:c>
      <x:c r="E812" s="74" t="n">
        <x:v>0.018426917115239826</x:v>
      </x:c>
      <x:c r="F812" s="74" t="n">
        <x:v>0.733975367244676</x:v>
      </x:c>
      <x:c r="G812" s="74" t="n">
        <x:v>1.0149912084278272</x:v>
      </x:c>
      <x:c r="H812" s="74" t="n">
        <x:v>0.9398725862020172</x:v>
      </x:c>
      <x:c r="I812" s="74" t="n">
        <x:v>0.7764538382776316</x:v>
      </x:c>
      <x:c r="J812" s="74" t="n">
        <x:v>0.9928140584375638</x:v>
      </x:c>
      <x:c r="K812" s="74" t="n">
        <x:v>0.8979820207045816</x:v>
      </x:c>
      <x:c r="L812" s="74" t="n">
        <x:v>0.8401428477836519</x:v>
      </x:c>
      <x:c r="M812" s="74" t="n">
        <x:v>0.8868786302992339</x:v>
      </x:c>
      <x:c r="N812" s="74" t="n">
        <x:v>0.8787870347459188</x:v>
      </x:c>
      <x:c r="O812" s="65" t="n">
        <x:v>462868.97323421406</x:v>
      </x:c>
      <x:c r="P812" s="65" t="n">
        <x:v>255808.45995287268</x:v>
      </x:c>
      <x:c r="Q812" s="65" t="n">
        <x:v>207060.51328134135</x:v>
      </x:c>
      <x:c r="R812" s="65" t="n">
        <x:v>94881.50456002452</x:v>
      </x:c>
      <x:c r="S812" s="65" t="n">
        <x:v>112179.00872131682</x:v>
      </x:c>
      <x:c r="T812" s="65" t="n">
        <x:v>195642.62091959122</x:v>
      </x:c>
      <x:c r="U812" s="43" t="n">
        <x:v>0.9753323445251262</x:v>
      </x:c>
      <x:c r="V812" s="43" t="n">
        <x:v>0.9779627861470287</x:v>
      </x:c>
      <x:c r="W812" s="43" t="n">
        <x:v>0.7533234452512628</x:v>
      </x:c>
      <x:c r="X812" s="65" t="n">
        <x:v>21045672.515805453</x:v>
      </x:c>
      <x:c r="Y812" s="65" t="n">
        <x:v>45.46788342444425</x:v>
      </x:c>
      <x:c r="Z812" s="65" t="n">
        <x:v>2253862.9517243016</x:v>
      </x:c>
      <x:c r="AA812" s="65" t="n">
        <x:v>127789.89889131527</x:v>
      </x:c>
      <x:c r="AB812" s="65" t="n">
        <x:v>14386.160988516782</x:v>
      </x:c>
      <x:c r="AC812" s="65" t="n">
        <x:v>0</x:v>
      </x:c>
      <x:c r="AD812" s="65" t="n">
        <x:v>1487.5710292234394</x:v>
      </x:c>
      <x:c r="AE812" s="65" t="n">
        <x:v>81751.82121652008</x:v>
      </x:c>
      <x:c r="AF812" s="65" t="n">
        <x:v>195642.62091959125</x:v>
      </x:c>
      <x:c r="AG812" s="65" t="n">
        <x:v>0</x:v>
      </x:c>
      <x:c r="AH812" s="34" t="n">
        <x:v>0</x:v>
      </x:c>
    </x:row>
    <x:row r="813" ht="15" hidden="0" customHeight="1">
      <x:c r="A813" s="36" t="n">
        <x:v>203</x:v>
      </x:c>
      <x:c r="B813" s="36" t="str">
        <x:v>M0</x:v>
      </x:c>
      <x:c r="C813" s="36" t="str">
        <x:v>slow</x:v>
      </x:c>
      <x:c r="D813" s="75" t="n">
        <x:v>1.0344315152698849</x:v>
      </x:c>
      <x:c r="E813" s="75" t="n">
        <x:v>0.0758395132151897</x:v>
      </x:c>
      <x:c r="F813" s="75" t="n">
        <x:v>0.7874870879770215</x:v>
      </x:c>
      <x:c r="G813" s="75" t="n">
        <x:v>1.1597101769849152</x:v>
      </x:c>
      <x:c r="H813" s="75" t="n">
        <x:v>0.8078822882974677</x:v>
      </x:c>
      <x:c r="I813" s="75" t="n">
        <x:v>0.9275142077090407</x:v>
      </x:c>
      <x:c r="J813" s="75" t="n">
        <x:v>1.0035494669619465</x:v>
      </x:c>
      <x:c r="K813" s="75" t="n">
        <x:v>0.8504174462002891</x:v>
      </x:c>
      <x:c r="L813" s="75" t="n">
        <x:v>0.8104924522975002</x:v>
      </x:c>
      <x:c r="M813" s="75" t="n">
        <x:v>0.8612816982900265</x:v>
      </x:c>
      <x:c r="N813" s="75" t="n">
        <x:v>0.7863721334623612</x:v>
      </x:c>
      <x:c r="O813" s="66" t="n">
        <x:v>497613.07353427506</x:v>
      </x:c>
      <x:c r="P813" s="66" t="n">
        <x:v>53850.19815855546</x:v>
      </x:c>
      <x:c r="Q813" s="66" t="n">
        <x:v>443762.8753757196</x:v>
      </x:c>
      <x:c r="R813" s="66" t="n">
        <x:v>130572.80549028495</x:v>
      </x:c>
      <x:c r="S813" s="66" t="n">
        <x:v>313190.0698854346</x:v>
      </x:c>
      <x:c r="T813" s="66" t="n">
        <x:v>274895.17255103576</x:v>
      </x:c>
      <x:c r="U813" s="45" t="n">
        <x:v>0.6606445613952455</x:v>
      </x:c>
      <x:c r="V813" s="45" t="n">
        <x:v>0.6499093616317627</x:v>
      </x:c>
      <x:c r="W813" s="45" t="n">
        <x:v>0.05250611970095341</x:v>
      </x:c>
      <x:c r="X813" s="66" t="n">
        <x:v>56803597.29648565</x:v>
      </x:c>
      <x:c r="Y813" s="66" t="n">
        <x:v>114.15214012172265</x:v>
      </x:c>
      <x:c r="Z813" s="66" t="n">
        <x:v>2820482.948279583</x:v>
      </x:c>
      <x:c r="AA813" s="66" t="n">
        <x:v>322741.7529138402</x:v>
      </x:c>
      <x:c r="AB813" s="66" t="n">
        <x:v>16581.56177395163</x:v>
      </x:c>
      <x:c r="AC813" s="66" t="n">
        <x:v>0</x:v>
      </x:c>
      <x:c r="AD813" s="66" t="n">
        <x:v>2798.6380271938024</x:v>
      </x:c>
      <x:c r="AE813" s="66" t="n">
        <x:v>229600.13766360376</x:v>
      </x:c>
      <x:c r="AF813" s="66" t="n">
        <x:v>274895.1725510359</x:v>
      </x:c>
      <x:c r="AG813" s="66" t="n">
        <x:v>0</x:v>
      </x:c>
      <x:c r="AH813" s="36" t="n">
        <x:v>0</x:v>
      </x:c>
    </x:row>
    <x:row r="814" ht="15" hidden="0" customHeight="1">
      <x:c r="A814" s="34" t="n">
        <x:v>203</x:v>
      </x:c>
      <x:c r="B814" s="34" t="str">
        <x:v>B1</x:v>
      </x:c>
      <x:c r="C814" s="34" t="str">
        <x:v>slow</x:v>
      </x:c>
      <x:c r="D814" s="74" t="n">
        <x:v>1.0344315152698849</x:v>
      </x:c>
      <x:c r="E814" s="74" t="n">
        <x:v>0.0758395132151897</x:v>
      </x:c>
      <x:c r="F814" s="74" t="n">
        <x:v>0.7874870879770215</x:v>
      </x:c>
      <x:c r="G814" s="74" t="n">
        <x:v>1.1597101769849152</x:v>
      </x:c>
      <x:c r="H814" s="74" t="n">
        <x:v>0.8078822882974677</x:v>
      </x:c>
      <x:c r="I814" s="74" t="n">
        <x:v>0.9275142077090407</x:v>
      </x:c>
      <x:c r="J814" s="74" t="n">
        <x:v>1.0035494669619465</x:v>
      </x:c>
      <x:c r="K814" s="74" t="n">
        <x:v>0.8504174462002891</x:v>
      </x:c>
      <x:c r="L814" s="74" t="n">
        <x:v>0.8104924522975002</x:v>
      </x:c>
      <x:c r="M814" s="74" t="n">
        <x:v>0.8612816982900265</x:v>
      </x:c>
      <x:c r="N814" s="74" t="n">
        <x:v>0.7863721334623612</x:v>
      </x:c>
      <x:c r="O814" s="65" t="n">
        <x:v>497613.07353427506</x:v>
      </x:c>
      <x:c r="P814" s="65" t="n">
        <x:v>182158.9843978988</x:v>
      </x:c>
      <x:c r="Q814" s="65" t="n">
        <x:v>315454.0891363763</x:v>
      </x:c>
      <x:c r="R814" s="65" t="n">
        <x:v>130572.80549028495</x:v>
      </x:c>
      <x:c r="S814" s="65" t="n">
        <x:v>184881.2836460913</x:v>
      </x:c>
      <x:c r="T814" s="65" t="n">
        <x:v>191123.5291669115</x:v>
      </x:c>
      <x:c r="U814" s="43" t="n">
        <x:v>0.7501461143566578</x:v>
      </x:c>
      <x:c r="V814" s="43" t="n">
        <x:v>0.7393424808073957</x:v>
      </x:c>
      <x:c r="W814" s="43" t="n">
        <x:v>0.1822423167420732</x:v>
      </x:c>
      <x:c r="X814" s="65" t="n">
        <x:v>42002081.43409108</x:v>
      </x:c>
      <x:c r="Y814" s="65" t="n">
        <x:v>84.40710999767981</x:v>
      </x:c>
      <x:c r="Z814" s="65" t="n">
        <x:v>1229150.6841744178</x:v>
      </x:c>
      <x:c r="AA814" s="65" t="n">
        <x:v>235835.338725667</x:v>
      </x:c>
      <x:c r="AB814" s="65" t="n">
        <x:v>1660.6452895563375</x:v>
      </x:c>
      <x:c r="AC814" s="65" t="n">
        <x:v>0</x:v>
      </x:c>
      <x:c r="AD814" s="65" t="n">
        <x:v>2405.6102842720184</x:v>
      </x:c>
      <x:c r="AE814" s="65" t="n">
        <x:v>123180.97683576349</x:v>
      </x:c>
      <x:c r="AF814" s="65" t="n">
        <x:v>191123.52916691152</x:v>
      </x:c>
      <x:c r="AG814" s="65" t="n">
        <x:v>0</x:v>
      </x:c>
      <x:c r="AH814" s="34" t="n">
        <x:v>0</x:v>
      </x:c>
    </x:row>
    <x:row r="815" ht="15" hidden="0" customHeight="1">
      <x:c r="A815" s="36" t="n">
        <x:v>203</x:v>
      </x:c>
      <x:c r="B815" s="36" t="str">
        <x:v>P2</x:v>
      </x:c>
      <x:c r="C815" s="36" t="str">
        <x:v>slow</x:v>
      </x:c>
      <x:c r="D815" s="75" t="n">
        <x:v>1.0344315152698849</x:v>
      </x:c>
      <x:c r="E815" s="75" t="n">
        <x:v>0.0758395132151897</x:v>
      </x:c>
      <x:c r="F815" s="75" t="n">
        <x:v>0.7874870879770215</x:v>
      </x:c>
      <x:c r="G815" s="75" t="n">
        <x:v>1.1597101769849152</x:v>
      </x:c>
      <x:c r="H815" s="75" t="n">
        <x:v>0.8078822882974677</x:v>
      </x:c>
      <x:c r="I815" s="75" t="n">
        <x:v>0.9275142077090407</x:v>
      </x:c>
      <x:c r="J815" s="75" t="n">
        <x:v>1.0035494669619465</x:v>
      </x:c>
      <x:c r="K815" s="75" t="n">
        <x:v>0.8504174462002891</x:v>
      </x:c>
      <x:c r="L815" s="75" t="n">
        <x:v>0.8104924522975002</x:v>
      </x:c>
      <x:c r="M815" s="75" t="n">
        <x:v>0.8612816982900265</x:v>
      </x:c>
      <x:c r="N815" s="75" t="n">
        <x:v>0.7863721334623612</x:v>
      </x:c>
      <x:c r="O815" s="66" t="n">
        <x:v>497613.07353427506</x:v>
      </x:c>
      <x:c r="P815" s="66" t="n">
        <x:v>263893.4915957824</x:v>
      </x:c>
      <x:c r="Q815" s="66" t="n">
        <x:v>233719.58193849266</x:v>
      </x:c>
      <x:c r="R815" s="66" t="n">
        <x:v>130572.80549028495</x:v>
      </x:c>
      <x:c r="S815" s="66" t="n">
        <x:v>103146.77644820767</x:v>
      </x:c>
      <x:c r="T815" s="66" t="n">
        <x:v>125116.44849605976</x:v>
      </x:c>
      <x:c r="U815" s="45" t="n">
        <x:v>0.7817518485374914</x:v>
      </x:c>
      <x:c r="V815" s="45" t="n">
        <x:v>0.7788398249039595</x:v>
      </x:c>
      <x:c r="W815" s="45" t="n">
        <x:v>0.2677918638474175</x:v>
      </x:c>
      <x:c r="X815" s="66" t="n">
        <x:v>31459818.357553348</x:v>
      </x:c>
      <x:c r="Y815" s="66" t="n">
        <x:v>63.221446603304386</x:v>
      </x:c>
      <x:c r="Z815" s="66" t="n">
        <x:v>777584.6247021626</x:v>
      </x:c>
      <x:c r="AA815" s="66" t="n">
        <x:v>182082.93015349336</x:v>
      </x:c>
      <x:c r="AB815" s="66" t="n">
        <x:v>0</x:v>
      </x:c>
      <x:c r="AC815" s="66" t="n">
        <x:v>2290.3589662997397</x:v>
      </x:c>
      <x:c r="AD815" s="66" t="n">
        <x:v>2167.1638265188412</x:v>
      </x:c>
      <x:c r="AE815" s="66" t="n">
        <x:v>63779.42208599562</x:v>
      </x:c>
      <x:c r="AF815" s="66" t="n">
        <x:v>125116.44849605967</x:v>
      </x:c>
      <x:c r="AG815" s="66" t="n">
        <x:v>8.731149137020111e-11</x:v>
      </x:c>
      <x:c r="AH815" s="36" t="n">
        <x:v>0</x:v>
      </x:c>
    </x:row>
    <x:row r="816" ht="15" hidden="0" customHeight="1">
      <x:c r="A816" s="34" t="n">
        <x:v>203</x:v>
      </x:c>
      <x:c r="B816" s="34" t="str">
        <x:v>H3</x:v>
      </x:c>
      <x:c r="C816" s="34" t="str">
        <x:v>slow</x:v>
      </x:c>
      <x:c r="D816" s="74" t="n">
        <x:v>1.0344315152698849</x:v>
      </x:c>
      <x:c r="E816" s="74" t="n">
        <x:v>0.0758395132151897</x:v>
      </x:c>
      <x:c r="F816" s="74" t="n">
        <x:v>0.7874870879770215</x:v>
      </x:c>
      <x:c r="G816" s="74" t="n">
        <x:v>1.1597101769849152</x:v>
      </x:c>
      <x:c r="H816" s="74" t="n">
        <x:v>0.8078822882974677</x:v>
      </x:c>
      <x:c r="I816" s="74" t="n">
        <x:v>0.9275142077090407</x:v>
      </x:c>
      <x:c r="J816" s="74" t="n">
        <x:v>1.0035494669619465</x:v>
      </x:c>
      <x:c r="K816" s="74" t="n">
        <x:v>0.8504174462002891</x:v>
      </x:c>
      <x:c r="L816" s="74" t="n">
        <x:v>0.8104924522975002</x:v>
      </x:c>
      <x:c r="M816" s="74" t="n">
        <x:v>0.8612816982900265</x:v>
      </x:c>
      <x:c r="N816" s="74" t="n">
        <x:v>0.7863721334623612</x:v>
      </x:c>
      <x:c r="O816" s="65" t="n">
        <x:v>497613.07353427506</x:v>
      </x:c>
      <x:c r="P816" s="65" t="n">
        <x:v>273751.9846149198</x:v>
      </x:c>
      <x:c r="Q816" s="65" t="n">
        <x:v>223861.08891935527</x:v>
      </x:c>
      <x:c r="R816" s="65" t="n">
        <x:v>130572.80549028495</x:v>
      </x:c>
      <x:c r="S816" s="65" t="n">
        <x:v>93288.28342907029</x:v>
      </x:c>
      <x:c r="T816" s="65" t="n">
        <x:v>125993.10115402614</x:v>
      </x:c>
      <x:c r="U816" s="43" t="n">
        <x:v>0.8033251275529679</x:v>
      </x:c>
      <x:c r="V816" s="43" t="n">
        <x:v>0.7962599993822449</x:v>
      </x:c>
      <x:c r="W816" s="43" t="n">
        <x:v>0.2785582176328124</x:v>
      </x:c>
      <x:c r="X816" s="65" t="n">
        <x:v>26191601.796259373</x:v>
      </x:c>
      <x:c r="Y816" s="65" t="n">
        <x:v>52.63447282490926</x:v>
      </x:c>
      <x:c r="Z816" s="65" t="n">
        <x:v>824617.9051825837</x:v>
      </x:c>
      <x:c r="AA816" s="65" t="n">
        <x:v>151358.1740993959</x:v>
      </x:c>
      <x:c r="AB816" s="65" t="n">
        <x:v>1515.9096086125396</x:v>
      </x:c>
      <x:c r="AC816" s="65" t="n">
        <x:v>0</x:v>
      </x:c>
      <x:c r="AD816" s="65" t="n">
        <x:v>2140.2395903610636</x:v>
      </x:c>
      <x:c r="AE816" s="65" t="n">
        <x:v>24079.272657304085</x:v>
      </x:c>
      <x:c r="AF816" s="65" t="n">
        <x:v>125993.10115402618</x:v>
      </x:c>
      <x:c r="AG816" s="65" t="n">
        <x:v>0</x:v>
      </x:c>
      <x:c r="AH816" s="34" t="n">
        <x:v>0</x:v>
      </x:c>
    </x:row>
    <x:row r="817" ht="15" hidden="0" customHeight="1">
      <x:c r="A817" s="36" t="n">
        <x:v>204</x:v>
      </x:c>
      <x:c r="B817" s="36" t="str">
        <x:v>M0</x:v>
      </x:c>
      <x:c r="C817" s="36" t="str">
        <x:v>slow</x:v>
      </x:c>
      <x:c r="D817" s="75" t="n">
        <x:v>1.0018111386975568</x:v>
      </x:c>
      <x:c r="E817" s="75" t="n">
        <x:v>0.025605457769297103</x:v>
      </x:c>
      <x:c r="F817" s="75" t="n">
        <x:v>0.8052950814999923</x:v>
      </x:c>
      <x:c r="G817" s="75" t="n">
        <x:v>1.2739832971768608</x:v>
      </x:c>
      <x:c r="H817" s="75" t="n">
        <x:v>0.8426774913336442</x:v>
      </x:c>
      <x:c r="I817" s="75" t="n">
        <x:v>0.8108103672303062</x:v>
      </x:c>
      <x:c r="J817" s="75" t="n">
        <x:v>0.749164295354839</x:v>
      </x:c>
      <x:c r="K817" s="75" t="n">
        <x:v>0.7471996074811605</x:v>
      </x:c>
      <x:c r="L817" s="75" t="n">
        <x:v>1.0455743162277973</x:v>
      </x:c>
      <x:c r="M817" s="75" t="n">
        <x:v>1.0634630483868932</x:v>
      </x:c>
      <x:c r="N817" s="75" t="n">
        <x:v>0.7939841593594191</x:v>
      </x:c>
      <x:c r="O817" s="66" t="n">
        <x:v>481921.04790823197</x:v>
      </x:c>
      <x:c r="P817" s="66" t="n">
        <x:v>56964.2628779669</x:v>
      </x:c>
      <x:c r="Q817" s="66" t="n">
        <x:v>424956.785030265</x:v>
      </x:c>
      <x:c r="R817" s="66" t="n">
        <x:v>102246.39660243032</x:v>
      </x:c>
      <x:c r="S817" s="66" t="n">
        <x:v>322710.3884278347</x:v>
      </x:c>
      <x:c r="T817" s="66" t="n">
        <x:v>258595.04264951096</x:v>
      </x:c>
      <x:c r="U817" s="45" t="n">
        <x:v>0.6547946118916288</x:v>
      </x:c>
      <x:c r="V817" s="45" t="n">
        <x:v>0.6461234636990046</x:v>
      </x:c>
      <x:c r="W817" s="45" t="n">
        <x:v>0.06090225838830401</x:v>
      </x:c>
      <x:c r="X817" s="66" t="n">
        <x:v>54165376.07695535</x:v>
      </x:c>
      <x:c r="Y817" s="66" t="n">
        <x:v>112.39470928289812</x:v>
      </x:c>
      <x:c r="Z817" s="66" t="n">
        <x:v>3763200.636735072</x:v>
      </x:c>
      <x:c r="AA817" s="66" t="n">
        <x:v>299504.30707323435</x:v>
      </x:c>
      <x:c r="AB817" s="66" t="n">
        <x:v>28019.40284954483</x:v>
      </x:c>
      <x:c r="AC817" s="66" t="n">
        <x:v>1852.6432745642178</x:v>
      </x:c>
      <x:c r="AD817" s="66" t="n">
        <x:v>2683.6047706615514</x:v>
      </x:c>
      <x:c r="AE817" s="66" t="n">
        <x:v>189994.81128085713</x:v>
      </x:c>
      <x:c r="AF817" s="66" t="n">
        <x:v>258595.04264951096</x:v>
      </x:c>
      <x:c r="AG817" s="66" t="n">
        <x:v>0</x:v>
      </x:c>
      <x:c r="AH817" s="36" t="n">
        <x:v>0</x:v>
      </x:c>
    </x:row>
    <x:row r="818" ht="15" hidden="0" customHeight="1">
      <x:c r="A818" s="34" t="n">
        <x:v>204</x:v>
      </x:c>
      <x:c r="B818" s="34" t="str">
        <x:v>B1</x:v>
      </x:c>
      <x:c r="C818" s="34" t="str">
        <x:v>slow</x:v>
      </x:c>
      <x:c r="D818" s="74" t="n">
        <x:v>1.0018111386975568</x:v>
      </x:c>
      <x:c r="E818" s="74" t="n">
        <x:v>0.025605457769297103</x:v>
      </x:c>
      <x:c r="F818" s="74" t="n">
        <x:v>0.8052950814999923</x:v>
      </x:c>
      <x:c r="G818" s="74" t="n">
        <x:v>1.2739832971768608</x:v>
      </x:c>
      <x:c r="H818" s="74" t="n">
        <x:v>0.8426774913336442</x:v>
      </x:c>
      <x:c r="I818" s="74" t="n">
        <x:v>0.8108103672303062</x:v>
      </x:c>
      <x:c r="J818" s="74" t="n">
        <x:v>0.749164295354839</x:v>
      </x:c>
      <x:c r="K818" s="74" t="n">
        <x:v>0.7471996074811605</x:v>
      </x:c>
      <x:c r="L818" s="74" t="n">
        <x:v>1.0455743162277973</x:v>
      </x:c>
      <x:c r="M818" s="74" t="n">
        <x:v>1.0634630483868932</x:v>
      </x:c>
      <x:c r="N818" s="74" t="n">
        <x:v>0.7939841593594191</x:v>
      </x:c>
      <x:c r="O818" s="65" t="n">
        <x:v>481921.04790823197</x:v>
      </x:c>
      <x:c r="P818" s="65" t="n">
        <x:v>192691.4819478474</x:v>
      </x:c>
      <x:c r="Q818" s="65" t="n">
        <x:v>289229.56596038456</x:v>
      </x:c>
      <x:c r="R818" s="65" t="n">
        <x:v>102246.39660243032</x:v>
      </x:c>
      <x:c r="S818" s="65" t="n">
        <x:v>186983.16935795426</x:v>
      </x:c>
      <x:c r="T818" s="65" t="n">
        <x:v>174336.46955724212</x:v>
      </x:c>
      <x:c r="U818" s="43" t="n">
        <x:v>0.761593528853256</x:v>
      </x:c>
      <x:c r="V818" s="43" t="n">
        <x:v>0.7512335879381948</x:v>
      </x:c>
      <x:c r="W818" s="43" t="n">
        <x:v>0.2113842867597651</x:v>
      </x:c>
      <x:c r="X818" s="65" t="n">
        <x:v>38040574.28938675</x:v>
      </x:c>
      <x:c r="Y818" s="65" t="n">
        <x:v>78.93528297736952</x:v>
      </x:c>
      <x:c r="Z818" s="65" t="n">
        <x:v>1487789.9556532677</x:v>
      </x:c>
      <x:c r="AA818" s="65" t="n">
        <x:v>207836.82650584454</x:v>
      </x:c>
      <x:c r="AB818" s="65" t="n">
        <x:v>5809.654783159401</x:v>
      </x:c>
      <x:c r="AC818" s="65" t="n">
        <x:v>3966.814985769868</x:v>
      </x:c>
      <x:c r="AD818" s="65" t="n">
        <x:v>2242.1046839477963</x:v>
      </x:c>
      <x:c r="AE818" s="65" t="n">
        <x:v>88586.18034642498</x:v>
      </x:c>
      <x:c r="AF818" s="65" t="n">
        <x:v>174336.46955724197</x:v>
      </x:c>
      <x:c r="AG818" s="65" t="n">
        <x:v>1.4551915228366852e-10</x:v>
      </x:c>
      <x:c r="AH818" s="34" t="n">
        <x:v>0</x:v>
      </x:c>
    </x:row>
    <x:row r="819" ht="15" hidden="0" customHeight="1">
      <x:c r="A819" s="36" t="n">
        <x:v>204</x:v>
      </x:c>
      <x:c r="B819" s="36" t="str">
        <x:v>P2</x:v>
      </x:c>
      <x:c r="C819" s="36" t="str">
        <x:v>slow</x:v>
      </x:c>
      <x:c r="D819" s="75" t="n">
        <x:v>1.0018111386975568</x:v>
      </x:c>
      <x:c r="E819" s="75" t="n">
        <x:v>0.025605457769297103</x:v>
      </x:c>
      <x:c r="F819" s="75" t="n">
        <x:v>0.8052950814999923</x:v>
      </x:c>
      <x:c r="G819" s="75" t="n">
        <x:v>1.2739832971768608</x:v>
      </x:c>
      <x:c r="H819" s="75" t="n">
        <x:v>0.8426774913336442</x:v>
      </x:c>
      <x:c r="I819" s="75" t="n">
        <x:v>0.8108103672303062</x:v>
      </x:c>
      <x:c r="J819" s="75" t="n">
        <x:v>0.749164295354839</x:v>
      </x:c>
      <x:c r="K819" s="75" t="n">
        <x:v>0.7471996074811605</x:v>
      </x:c>
      <x:c r="L819" s="75" t="n">
        <x:v>1.0455743162277973</x:v>
      </x:c>
      <x:c r="M819" s="75" t="n">
        <x:v>1.0634630483868932</x:v>
      </x:c>
      <x:c r="N819" s="75" t="n">
        <x:v>0.7939841593594191</x:v>
      </x:c>
      <x:c r="O819" s="66" t="n">
        <x:v>481921.04790823197</x:v>
      </x:c>
      <x:c r="P819" s="66" t="n">
        <x:v>279150.7289602442</x:v>
      </x:c>
      <x:c r="Q819" s="66" t="n">
        <x:v>202770.31894798775</x:v>
      </x:c>
      <x:c r="R819" s="66" t="n">
        <x:v>102246.39660243032</x:v>
      </x:c>
      <x:c r="S819" s="66" t="n">
        <x:v>100523.92234555742</x:v>
      </x:c>
      <x:c r="T819" s="66" t="n">
        <x:v>112079.92385941894</x:v>
      </x:c>
      <x:c r="U819" s="45" t="n">
        <x:v>0.8118148284201145</x:v>
      </x:c>
      <x:c r="V819" s="45" t="n">
        <x:v>0.8061685399577944</x:v>
      </x:c>
      <x:c r="W819" s="45" t="n">
        <x:v>0.3106138747103951</x:v>
      </x:c>
      <x:c r="X819" s="66" t="n">
        <x:v>26278219.167270537</x:v>
      </x:c>
      <x:c r="Y819" s="66" t="n">
        <x:v>54.52805865469165</x:v>
      </x:c>
      <x:c r="Z819" s="66" t="n">
        <x:v>740130.3035350139</x:v>
      </x:c>
      <x:c r="AA819" s="66" t="n">
        <x:v>150535.91863582417</x:v>
      </x:c>
      <x:c r="AB819" s="66" t="n">
        <x:v>118.54331603936322</x:v>
      </x:c>
      <x:c r="AC819" s="66" t="n">
        <x:v>6369.738111530547</x:v>
      </x:c>
      <x:c r="AD819" s="66" t="n">
        <x:v>1974.2504836513917</x:v>
      </x:c>
      <x:c r="AE819" s="66" t="n">
        <x:v>37763.00654337733</x:v>
      </x:c>
      <x:c r="AF819" s="66" t="n">
        <x:v>112079.92385941895</x:v>
      </x:c>
      <x:c r="AG819" s="66" t="n">
        <x:v>0</x:v>
      </x:c>
      <x:c r="AH819" s="36" t="n">
        <x:v>0</x:v>
      </x:c>
    </x:row>
    <x:row r="820" ht="15" hidden="0" customHeight="1">
      <x:c r="A820" s="34" t="n">
        <x:v>204</x:v>
      </x:c>
      <x:c r="B820" s="34" t="str">
        <x:v>H3</x:v>
      </x:c>
      <x:c r="C820" s="34" t="str">
        <x:v>slow</x:v>
      </x:c>
      <x:c r="D820" s="74" t="n">
        <x:v>1.0018111386975568</x:v>
      </x:c>
      <x:c r="E820" s="74" t="n">
        <x:v>0.025605457769297103</x:v>
      </x:c>
      <x:c r="F820" s="74" t="n">
        <x:v>0.8052950814999923</x:v>
      </x:c>
      <x:c r="G820" s="74" t="n">
        <x:v>1.2739832971768608</x:v>
      </x:c>
      <x:c r="H820" s="74" t="n">
        <x:v>0.8426774913336442</x:v>
      </x:c>
      <x:c r="I820" s="74" t="n">
        <x:v>0.8108103672303062</x:v>
      </x:c>
      <x:c r="J820" s="74" t="n">
        <x:v>0.749164295354839</x:v>
      </x:c>
      <x:c r="K820" s="74" t="n">
        <x:v>0.7471996074811605</x:v>
      </x:c>
      <x:c r="L820" s="74" t="n">
        <x:v>1.0455743162277973</x:v>
      </x:c>
      <x:c r="M820" s="74" t="n">
        <x:v>1.0634630483868932</x:v>
      </x:c>
      <x:c r="N820" s="74" t="n">
        <x:v>0.7939841593594191</x:v>
      </x:c>
      <x:c r="O820" s="65" t="n">
        <x:v>481921.04790823197</x:v>
      </x:c>
      <x:c r="P820" s="65" t="n">
        <x:v>289578.96173086495</x:v>
      </x:c>
      <x:c r="Q820" s="65" t="n">
        <x:v>192342.08617736702</x:v>
      </x:c>
      <x:c r="R820" s="65" t="n">
        <x:v>102246.39660243032</x:v>
      </x:c>
      <x:c r="S820" s="65" t="n">
        <x:v>90095.68957493671</x:v>
      </x:c>
      <x:c r="T820" s="65" t="n">
        <x:v>105853.54745960826</x:v>
      </x:c>
      <x:c r="U820" s="43" t="n">
        <x:v>0.8205338009344884</x:v>
      </x:c>
      <x:c r="V820" s="43" t="n">
        <x:v>0.8142610945541613</x:v>
      </x:c>
      <x:c r="W820" s="43" t="n">
        <x:v>0.323101852566548</x:v>
      </x:c>
      <x:c r="X820" s="65" t="n">
        <x:v>22684940.99800527</x:v>
      </x:c>
      <x:c r="Y820" s="65" t="n">
        <x:v>47.07190336771713</x:v>
      </x:c>
      <x:c r="Z820" s="65" t="n">
        <x:v>727509.4837607543</x:v>
      </x:c>
      <x:c r="AA820" s="65" t="n">
        <x:v>126074.27696671286</x:v>
      </x:c>
      <x:c r="AB820" s="65" t="n">
        <x:v>2629.4051863380737</x:v>
      </x:c>
      <x:c r="AC820" s="65" t="n">
        <x:v>972.6627820485555</x:v>
      </x:c>
      <x:c r="AD820" s="65" t="n">
        <x:v>1944.0056655375568</x:v>
      </x:c>
      <x:c r="AE820" s="65" t="n">
        <x:v>0</x:v>
      </x:c>
      <x:c r="AF820" s="65" t="n">
        <x:v>105853.5474596083</x:v>
      </x:c>
      <x:c r="AG820" s="65" t="n">
        <x:v>0</x:v>
      </x:c>
      <x:c r="AH820" s="34" t="n">
        <x:v>0</x:v>
      </x:c>
    </x:row>
    <x:row r="821" ht="15" hidden="0" customHeight="1">
      <x:c r="A821" s="36" t="n">
        <x:v>205</x:v>
      </x:c>
      <x:c r="B821" s="36" t="str">
        <x:v>M0</x:v>
      </x:c>
      <x:c r="C821" s="36" t="str">
        <x:v>fast</x:v>
      </x:c>
      <x:c r="D821" s="75" t="n">
        <x:v>0.9860144242201402</x:v>
      </x:c>
      <x:c r="E821" s="75" t="n">
        <x:v>0.053255152611235985</x:v>
      </x:c>
      <x:c r="F821" s="75" t="n">
        <x:v>1.0242787088820173</x:v>
      </x:c>
      <x:c r="G821" s="75" t="n">
        <x:v>0.9331191861368314</x:v>
      </x:c>
      <x:c r="H821" s="75" t="n">
        <x:v>0.8523404012226851</x:v>
      </x:c>
      <x:c r="I821" s="75" t="n">
        <x:v>0.7536607976353672</x:v>
      </x:c>
      <x:c r="J821" s="75" t="n">
        <x:v>0.8798763311970492</x:v>
      </x:c>
      <x:c r="K821" s="75" t="n">
        <x:v>0.8105153506670237</x:v>
      </x:c>
      <x:c r="L821" s="75" t="n">
        <x:v>0.904625888123876</x:v>
      </x:c>
      <x:c r="M821" s="75" t="n">
        <x:v>1.0136974324822203</x:v>
      </x:c>
      <x:c r="N821" s="75" t="n">
        <x:v>0.9800951614535027</x:v>
      </x:c>
      <x:c r="O821" s="66" t="n">
        <x:v>474322.0415682136</x:v>
      </x:c>
      <x:c r="P821" s="66" t="n">
        <x:v>68808.83007356033</x:v>
      </x:c>
      <x:c r="Q821" s="66" t="n">
        <x:v>405513.21149465325</x:v>
      </x:c>
      <x:c r="R821" s="66" t="n">
        <x:v>113749.01916021266</x:v>
      </x:c>
      <x:c r="S821" s="66" t="n">
        <x:v>291764.19233444065</x:v>
      </x:c>
      <x:c r="T821" s="66" t="n">
        <x:v>252447.0687094248</x:v>
      </x:c>
      <x:c r="U821" s="45" t="n">
        <x:v>0.6772948980419339</x:v>
      </x:c>
      <x:c r="V821" s="45" t="n">
        <x:v>0.6890535290930002</x:v>
      </x:c>
      <x:c r="W821" s="45" t="n">
        <x:v>0.14606388548612634</x:v>
      </x:c>
      <x:c r="X821" s="66" t="n">
        <x:v>53202980.55050901</x:v>
      </x:c>
      <x:c r="Y821" s="66" t="n">
        <x:v>112.16636775851316</x:v>
      </x:c>
      <x:c r="Z821" s="66" t="n">
        <x:v>6025107.3488879725</x:v>
      </x:c>
      <x:c r="AA821" s="66" t="n">
        <x:v>281925.69342513604</x:v>
      </x:c>
      <x:c r="AB821" s="66" t="n">
        <x:v>52604.630385583</x:v>
      </x:c>
      <x:c r="AC821" s="66" t="n">
        <x:v>0</x:v>
      </x:c>
      <x:c r="AD821" s="66" t="n">
        <x:v>2004.4416414444509</x:v>
      </x:c>
      <x:c r="AE821" s="66" t="n">
        <x:v>167766.84675984216</x:v>
      </x:c>
      <x:c r="AF821" s="66" t="n">
        <x:v>252447.068709425</x:v>
      </x:c>
      <x:c r="AG821" s="66" t="n">
        <x:v>0</x:v>
      </x:c>
      <x:c r="AH821" s="36" t="n">
        <x:v>0</x:v>
      </x:c>
    </x:row>
    <x:row r="822" ht="15" hidden="0" customHeight="1">
      <x:c r="A822" s="34" t="n">
        <x:v>205</x:v>
      </x:c>
      <x:c r="B822" s="34" t="str">
        <x:v>B1</x:v>
      </x:c>
      <x:c r="C822" s="34" t="str">
        <x:v>fast</x:v>
      </x:c>
      <x:c r="D822" s="74" t="n">
        <x:v>0.9860144242201402</x:v>
      </x:c>
      <x:c r="E822" s="74" t="n">
        <x:v>0.053255152611235985</x:v>
      </x:c>
      <x:c r="F822" s="74" t="n">
        <x:v>1.0242787088820173</x:v>
      </x:c>
      <x:c r="G822" s="74" t="n">
        <x:v>0.9331191861368314</x:v>
      </x:c>
      <x:c r="H822" s="74" t="n">
        <x:v>0.8523404012226851</x:v>
      </x:c>
      <x:c r="I822" s="74" t="n">
        <x:v>0.7536607976353672</x:v>
      </x:c>
      <x:c r="J822" s="74" t="n">
        <x:v>0.8798763311970492</x:v>
      </x:c>
      <x:c r="K822" s="74" t="n">
        <x:v>0.8105153506670237</x:v>
      </x:c>
      <x:c r="L822" s="74" t="n">
        <x:v>0.904625888123876</x:v>
      </x:c>
      <x:c r="M822" s="74" t="n">
        <x:v>1.0136974324822203</x:v>
      </x:c>
      <x:c r="N822" s="74" t="n">
        <x:v>0.9800951614535027</x:v>
      </x:c>
      <x:c r="O822" s="65" t="n">
        <x:v>474322.0415682136</x:v>
      </x:c>
      <x:c r="P822" s="65" t="n">
        <x:v>232758.71310755383</x:v>
      </x:c>
      <x:c r="Q822" s="65" t="n">
        <x:v>241563.32846065977</x:v>
      </x:c>
      <x:c r="R822" s="65" t="n">
        <x:v>113749.01916021266</x:v>
      </x:c>
      <x:c r="S822" s="65" t="n">
        <x:v>127814.30930044712</x:v>
      </x:c>
      <x:c r="T822" s="65" t="n">
        <x:v>182761.4235947654</x:v>
      </x:c>
      <x:c r="U822" s="43" t="n">
        <x:v>0.8760295754515598</x:v>
      </x:c>
      <x:c r="V822" s="43" t="n">
        <x:v>0.8858066592306404</x:v>
      </x:c>
      <x:c r="W822" s="43" t="n">
        <x:v>0.5550434946179715</x:v>
      </x:c>
      <x:c r="X822" s="65" t="n">
        <x:v>31631684.192352403</x:v>
      </x:c>
      <x:c r="Y822" s="65" t="n">
        <x:v>66.68820215010683</x:v>
      </x:c>
      <x:c r="Z822" s="65" t="n">
        <x:v>2697731.8337430255</x:v>
      </x:c>
      <x:c r="AA822" s="65" t="n">
        <x:v>162651.43228923867</x:v>
      </x:c>
      <x:c r="AB822" s="65" t="n">
        <x:v>17839.3808995544</x:v>
      </x:c>
      <x:c r="AC822" s="65" t="n">
        <x:v>99.26616049235287</x:v>
      </x:c>
      <x:c r="AD822" s="65" t="n">
        <x:v>1606.3658646983183</x:v>
      </x:c>
      <x:c r="AE822" s="65" t="n">
        <x:v>95943.3510548069</x:v>
      </x:c>
      <x:c r="AF822" s="65" t="n">
        <x:v>182761.42359476513</x:v>
      </x:c>
      <x:c r="AG822" s="65" t="n">
        <x:v>2.6193447411060333e-10</x:v>
      </x:c>
      <x:c r="AH822" s="34" t="n">
        <x:v>0</x:v>
      </x:c>
    </x:row>
    <x:row r="823" ht="15" hidden="0" customHeight="1">
      <x:c r="A823" s="36" t="n">
        <x:v>205</x:v>
      </x:c>
      <x:c r="B823" s="36" t="str">
        <x:v>P2</x:v>
      </x:c>
      <x:c r="C823" s="36" t="str">
        <x:v>fast</x:v>
      </x:c>
      <x:c r="D823" s="75" t="n">
        <x:v>0.9860144242201402</x:v>
      </x:c>
      <x:c r="E823" s="75" t="n">
        <x:v>0.053255152611235985</x:v>
      </x:c>
      <x:c r="F823" s="75" t="n">
        <x:v>1.0242787088820173</x:v>
      </x:c>
      <x:c r="G823" s="75" t="n">
        <x:v>0.9331191861368314</x:v>
      </x:c>
      <x:c r="H823" s="75" t="n">
        <x:v>0.8523404012226851</x:v>
      </x:c>
      <x:c r="I823" s="75" t="n">
        <x:v>0.7536607976353672</x:v>
      </x:c>
      <x:c r="J823" s="75" t="n">
        <x:v>0.8798763311970492</x:v>
      </x:c>
      <x:c r="K823" s="75" t="n">
        <x:v>0.8105153506670237</x:v>
      </x:c>
      <x:c r="L823" s="75" t="n">
        <x:v>0.904625888123876</x:v>
      </x:c>
      <x:c r="M823" s="75" t="n">
        <x:v>1.0136974324822203</x:v>
      </x:c>
      <x:c r="N823" s="75" t="n">
        <x:v>0.9800951614535027</x:v>
      </x:c>
      <x:c r="O823" s="66" t="n">
        <x:v>474322.0415682136</x:v>
      </x:c>
      <x:c r="P823" s="66" t="n">
        <x:v>337196.59160361846</x:v>
      </x:c>
      <x:c r="Q823" s="66" t="n">
        <x:v>137125.4499645951</x:v>
      </x:c>
      <x:c r="R823" s="66" t="n">
        <x:v>113749.01916021266</x:v>
      </x:c>
      <x:c r="S823" s="66" t="n">
        <x:v>23376.430804382435</x:v>
      </x:c>
      <x:c r="T823" s="66" t="n">
        <x:v>121533.80067174853</x:v>
      </x:c>
      <x:c r="U823" s="45" t="n">
        <x:v>0.9671285583918953</x:v>
      </x:c>
      <x:c r="V823" s="45" t="n">
        <x:v>0.9772928150775242</x:v>
      </x:c>
      <x:c r="W823" s="45" t="n">
        <x:v>0.8531640350171693</x:v>
      </x:c>
      <x:c r="X823" s="66" t="n">
        <x:v>15931042.937281672</x:v>
      </x:c>
      <x:c r="Y823" s="66" t="n">
        <x:v>33.58697581206667</x:v>
      </x:c>
      <x:c r="Z823" s="66" t="n">
        <x:v>823263.5839793545</x:v>
      </x:c>
      <x:c r="AA823" s="66" t="n">
        <x:v>91275.48959312527</x:v>
      </x:c>
      <x:c r="AB823" s="66" t="n">
        <x:v>220.1460312548652</x:v>
      </x:c>
      <x:c r="AC823" s="66" t="n">
        <x:v>10458.420691885065</x:v>
      </x:c>
      <x:c r="AD823" s="66" t="n">
        <x:v>1365.8360170186577</x:v>
      </x:c>
      <x:c r="AE823" s="66" t="n">
        <x:v>62530.16978626542</x:v>
      </x:c>
      <x:c r="AF823" s="66" t="n">
        <x:v>121533.80067174853</x:v>
      </x:c>
      <x:c r="AG823" s="66" t="n">
        <x:v>0</x:v>
      </x:c>
      <x:c r="AH823" s="36" t="n">
        <x:v>1</x:v>
      </x:c>
    </x:row>
    <x:row r="824" ht="15" hidden="0" customHeight="1">
      <x:c r="A824" s="34" t="n">
        <x:v>205</x:v>
      </x:c>
      <x:c r="B824" s="34" t="str">
        <x:v>H3</x:v>
      </x:c>
      <x:c r="C824" s="34" t="str">
        <x:v>fast</x:v>
      </x:c>
      <x:c r="D824" s="74" t="n">
        <x:v>0.9860144242201402</x:v>
      </x:c>
      <x:c r="E824" s="74" t="n">
        <x:v>0.053255152611235985</x:v>
      </x:c>
      <x:c r="F824" s="74" t="n">
        <x:v>1.0242787088820173</x:v>
      </x:c>
      <x:c r="G824" s="74" t="n">
        <x:v>0.9331191861368314</x:v>
      </x:c>
      <x:c r="H824" s="74" t="n">
        <x:v>0.8523404012226851</x:v>
      </x:c>
      <x:c r="I824" s="74" t="n">
        <x:v>0.7536607976353672</x:v>
      </x:c>
      <x:c r="J824" s="74" t="n">
        <x:v>0.8798763311970492</x:v>
      </x:c>
      <x:c r="K824" s="74" t="n">
        <x:v>0.8105153506670237</x:v>
      </x:c>
      <x:c r="L824" s="74" t="n">
        <x:v>0.904625888123876</x:v>
      </x:c>
      <x:c r="M824" s="74" t="n">
        <x:v>1.0136974324822203</x:v>
      </x:c>
      <x:c r="N824" s="74" t="n">
        <x:v>0.9800951614535027</x:v>
      </x:c>
      <x:c r="O824" s="65" t="n">
        <x:v>474322.0415682136</x:v>
      </x:c>
      <x:c r="P824" s="65" t="n">
        <x:v>349793.3968680282</x:v>
      </x:c>
      <x:c r="Q824" s="65" t="n">
        <x:v>124528.64470018538</x:v>
      </x:c>
      <x:c r="R824" s="65" t="n">
        <x:v>113749.01916021266</x:v>
      </x:c>
      <x:c r="S824" s="65" t="n">
        <x:v>10779.625539972727</x:v>
      </x:c>
      <x:c r="T824" s="65" t="n">
        <x:v>123189.80975336106</x:v>
      </x:c>
      <x:c r="U824" s="43" t="n">
        <x:v>0.9971773714280747</x:v>
      </x:c>
      <x:c r="V824" s="43" t="n">
        <x:v>0.9982221815609905</x:v>
      </x:c>
      <x:c r="W824" s="43" t="n">
        <x:v>0.971773714280748</x:v>
      </x:c>
      <x:c r="X824" s="65" t="n">
        <x:v>11175339.23530611</x:v>
      </x:c>
      <x:c r="Y824" s="65" t="n">
        <x:v>23.560657645927577</x:v>
      </x:c>
      <x:c r="Z824" s="65" t="n">
        <x:v>1202790.5026089195</x:v>
      </x:c>
      <x:c r="AA824" s="65" t="n">
        <x:v>79089.1755062327</x:v>
      </x:c>
      <x:c r="AB824" s="65" t="n">
        <x:v>9845.920257248243</x:v>
      </x:c>
      <x:c r="AC824" s="65" t="n">
        <x:v>307.51051201523137</x:v>
      </x:c>
      <x:c r="AD824" s="65" t="n">
        <x:v>1338.8349468243282</x:v>
      </x:c>
      <x:c r="AE824" s="65" t="n">
        <x:v>39983.94560232457</x:v>
      </x:c>
      <x:c r="AF824" s="65" t="n">
        <x:v>123189.80975336101</x:v>
      </x:c>
      <x:c r="AG824" s="65" t="n">
        <x:v>4.3655745685100555e-11</x:v>
      </x:c>
      <x:c r="AH824" s="34" t="n">
        <x:v>1</x:v>
      </x:c>
    </x:row>
    <x:row r="825" ht="15" hidden="0" customHeight="1">
      <x:c r="A825" s="36" t="n">
        <x:v>206</x:v>
      </x:c>
      <x:c r="B825" s="36" t="str">
        <x:v>M0</x:v>
      </x:c>
      <x:c r="C825" s="36" t="str">
        <x:v>reference</x:v>
      </x:c>
      <x:c r="D825" s="75" t="n">
        <x:v>0.9791715186575177</x:v>
      </x:c>
      <x:c r="E825" s="75" t="n">
        <x:v>0.02142972633841049</x:v>
      </x:c>
      <x:c r="F825" s="75" t="n">
        <x:v>0.7726981248684798</x:v>
      </x:c>
      <x:c r="G825" s="75" t="n">
        <x:v>1.2759915256781298</x:v>
      </x:c>
      <x:c r="H825" s="75" t="n">
        <x:v>0.7849550688812158</x:v>
      </x:c>
      <x:c r="I825" s="75" t="n">
        <x:v>0.9367042112777284</x:v>
      </x:c>
      <x:c r="J825" s="75" t="n">
        <x:v>0.9627254949914749</x:v>
      </x:c>
      <x:c r="K825" s="75" t="n">
        <x:v>0.7252552596176519</x:v>
      </x:c>
      <x:c r="L825" s="75" t="n">
        <x:v>0.9226802501581276</x:v>
      </x:c>
      <x:c r="M825" s="75" t="n">
        <x:v>0.762666664522037</x:v>
      </x:c>
      <x:c r="N825" s="75" t="n">
        <x:v>0.7701491994306914</x:v>
      </x:c>
      <x:c r="O825" s="66" t="n">
        <x:v>471030.26321589516</x:v>
      </x:c>
      <x:c r="P825" s="66" t="n">
        <x:v>53706.44960254332</x:v>
      </x:c>
      <x:c r="Q825" s="66" t="n">
        <x:v>417323.81361335184</x:v>
      </x:c>
      <x:c r="R825" s="66" t="n">
        <x:v>97968.86603778106</x:v>
      </x:c>
      <x:c r="S825" s="66" t="n">
        <x:v>319354.9475755708</x:v>
      </x:c>
      <x:c r="T825" s="66" t="n">
        <x:v>258499.79895372895</x:v>
      </x:c>
      <x:c r="U825" s="45" t="n">
        <x:v>0.6628156892186214</x:v>
      </x:c>
      <x:c r="V825" s="45" t="n">
        <x:v>0.702051437614655</x:v>
      </x:c>
      <x:c r="W825" s="45" t="n">
        <x:v>0.11827394635026824</x:v>
      </x:c>
      <x:c r="X825" s="66" t="n">
        <x:v>53903313.33665373</x:v>
      </x:c>
      <x:c r="Y825" s="66" t="n">
        <x:v>114.43704905208463</x:v>
      </x:c>
      <x:c r="Z825" s="66" t="n">
        <x:v>4061933.203624538</x:v>
      </x:c>
      <x:c r="AA825" s="66" t="n">
        <x:v>298944.17177172645</x:v>
      </x:c>
      <x:c r="AB825" s="66" t="n">
        <x:v>30177.865113848755</x:v>
      </x:c>
      <x:c r="AC825" s="66" t="n">
        <x:v>0</x:v>
      </x:c>
      <x:c r="AD825" s="66" t="n">
        <x:v>2022.845541970417</x:v>
      </x:c>
      <x:c r="AE825" s="66" t="n">
        <x:v>236319.50201012503</x:v>
      </x:c>
      <x:c r="AF825" s="66" t="n">
        <x:v>232406.32149162935</x:v>
      </x:c>
      <x:c r="AG825" s="66" t="n">
        <x:v>26093.477462099603</x:v>
      </x:c>
      <x:c r="AH825" s="36" t="n">
        <x:v>0</x:v>
      </x:c>
    </x:row>
    <x:row r="826" ht="15" hidden="0" customHeight="1">
      <x:c r="A826" s="34" t="n">
        <x:v>206</x:v>
      </x:c>
      <x:c r="B826" s="34" t="str">
        <x:v>B1</x:v>
      </x:c>
      <x:c r="C826" s="34" t="str">
        <x:v>reference</x:v>
      </x:c>
      <x:c r="D826" s="74" t="n">
        <x:v>0.9791715186575177</x:v>
      </x:c>
      <x:c r="E826" s="74" t="n">
        <x:v>0.02142972633841049</x:v>
      </x:c>
      <x:c r="F826" s="74" t="n">
        <x:v>0.7726981248684798</x:v>
      </x:c>
      <x:c r="G826" s="74" t="n">
        <x:v>1.2759915256781298</x:v>
      </x:c>
      <x:c r="H826" s="74" t="n">
        <x:v>0.7849550688812158</x:v>
      </x:c>
      <x:c r="I826" s="74" t="n">
        <x:v>0.9367042112777284</x:v>
      </x:c>
      <x:c r="J826" s="74" t="n">
        <x:v>0.9627254949914749</x:v>
      </x:c>
      <x:c r="K826" s="74" t="n">
        <x:v>0.7252552596176519</x:v>
      </x:c>
      <x:c r="L826" s="74" t="n">
        <x:v>0.9226802501581276</x:v>
      </x:c>
      <x:c r="M826" s="74" t="n">
        <x:v>0.762666664522037</x:v>
      </x:c>
      <x:c r="N826" s="74" t="n">
        <x:v>0.7701491994306914</x:v>
      </x:c>
      <x:c r="O826" s="65" t="n">
        <x:v>471030.26321589516</x:v>
      </x:c>
      <x:c r="P826" s="65" t="n">
        <x:v>181671.25905879788</x:v>
      </x:c>
      <x:c r="Q826" s="65" t="n">
        <x:v>289359.0041570973</x:v>
      </x:c>
      <x:c r="R826" s="65" t="n">
        <x:v>97968.86603778106</x:v>
      </x:c>
      <x:c r="S826" s="65" t="n">
        <x:v>191390.1381193162</x:v>
      </x:c>
      <x:c r="T826" s="65" t="n">
        <x:v>181188.8988447322</x:v>
      </x:c>
      <x:c r="U826" s="43" t="n">
        <x:v>0.7703542346221062</x:v>
      </x:c>
      <x:c r="V826" s="43" t="n">
        <x:v>0.8076739046265127</x:v>
      </x:c>
      <x:c r="W826" s="43" t="n">
        <x:v>0.40505363322214666</x:v>
      </x:c>
      <x:c r="X826" s="65" t="n">
        <x:v>38078214.688391685</x:v>
      </x:c>
      <x:c r="Y826" s="65" t="n">
        <x:v>80.84027219061859</x:v>
      </x:c>
      <x:c r="Z826" s="65" t="n">
        <x:v>1272537.428093226</x:v>
      </x:c>
      <x:c r="AA826" s="65" t="n">
        <x:v>212112.93672795652</x:v>
      </x:c>
      <x:c r="AB826" s="65" t="n">
        <x:v>2133.55091112818</x:v>
      </x:c>
      <x:c r="AC826" s="65" t="n">
        <x:v>14144.050589349888</x:v>
      </x:c>
      <x:c r="AD826" s="65" t="n">
        <x:v>1700.7062367170288</x:v>
      </x:c>
      <x:c r="AE826" s="65" t="n">
        <x:v>119210.29864400267</x:v>
      </x:c>
      <x:c r="AF826" s="65" t="n">
        <x:v>181188.89884473218</x:v>
      </x:c>
      <x:c r="AG826" s="65" t="n">
        <x:v>2.9103830456733704e-11</x:v>
      </x:c>
      <x:c r="AH826" s="34" t="n">
        <x:v>0</x:v>
      </x:c>
    </x:row>
    <x:row r="827" ht="15" hidden="0" customHeight="1">
      <x:c r="A827" s="36" t="n">
        <x:v>206</x:v>
      </x:c>
      <x:c r="B827" s="36" t="str">
        <x:v>P2</x:v>
      </x:c>
      <x:c r="C827" s="36" t="str">
        <x:v>reference</x:v>
      </x:c>
      <x:c r="D827" s="75" t="n">
        <x:v>0.9791715186575177</x:v>
      </x:c>
      <x:c r="E827" s="75" t="n">
        <x:v>0.02142972633841049</x:v>
      </x:c>
      <x:c r="F827" s="75" t="n">
        <x:v>0.7726981248684798</x:v>
      </x:c>
      <x:c r="G827" s="75" t="n">
        <x:v>1.2759915256781298</x:v>
      </x:c>
      <x:c r="H827" s="75" t="n">
        <x:v>0.7849550688812158</x:v>
      </x:c>
      <x:c r="I827" s="75" t="n">
        <x:v>0.9367042112777284</x:v>
      </x:c>
      <x:c r="J827" s="75" t="n">
        <x:v>0.9627254949914749</x:v>
      </x:c>
      <x:c r="K827" s="75" t="n">
        <x:v>0.7252552596176519</x:v>
      </x:c>
      <x:c r="L827" s="75" t="n">
        <x:v>0.9226802501581276</x:v>
      </x:c>
      <x:c r="M827" s="75" t="n">
        <x:v>0.762666664522037</x:v>
      </x:c>
      <x:c r="N827" s="75" t="n">
        <x:v>0.7701491994306914</x:v>
      </x:c>
      <x:c r="O827" s="66" t="n">
        <x:v>471030.26321589516</x:v>
      </x:c>
      <x:c r="P827" s="66" t="n">
        <x:v>263185.7273039812</x:v>
      </x:c>
      <x:c r="Q827" s="66" t="n">
        <x:v>207844.53591191396</x:v>
      </x:c>
      <x:c r="R827" s="66" t="n">
        <x:v>97968.86603778106</x:v>
      </x:c>
      <x:c r="S827" s="66" t="n">
        <x:v>109875.6698741329</x:v>
      </x:c>
      <x:c r="T827" s="66" t="n">
        <x:v>108788.11197720002</x:v>
      </x:c>
      <x:c r="U827" s="45" t="n">
        <x:v>0.789702633418032</x:v>
      </x:c>
      <x:c r="V827" s="45" t="n">
        <x:v>0.8258493746759827</x:v>
      </x:c>
      <x:c r="W827" s="45" t="n">
        <x:v>0.4198333875148335</x:v>
      </x:c>
      <x:c r="X827" s="66" t="n">
        <x:v>27517166.86762759</x:v>
      </x:c>
      <x:c r="Y827" s="66" t="n">
        <x:v>58.41910598218864</x:v>
      </x:c>
      <x:c r="Z827" s="66" t="n">
        <x:v>890843.559992636</x:v>
      </x:c>
      <x:c r="AA827" s="66" t="n">
        <x:v>158127.9324438688</x:v>
      </x:c>
      <x:c r="AB827" s="66" t="n">
        <x:v>0</x:v>
      </x:c>
      <x:c r="AC827" s="66" t="n">
        <x:v>17610.76599213839</x:v>
      </x:c>
      <x:c r="AD827" s="66" t="n">
        <x:v>1506.0595826111607</x:v>
      </x:c>
      <x:c r="AE827" s="66" t="n">
        <x:v>64981.50624224096</x:v>
      </x:c>
      <x:c r="AF827" s="66" t="n">
        <x:v>108788.11197720005</x:v>
      </x:c>
      <x:c r="AG827" s="66" t="n">
        <x:v>0</x:v>
      </x:c>
      <x:c r="AH827" s="36" t="n">
        <x:v>0</x:v>
      </x:c>
    </x:row>
    <x:row r="828" ht="15" hidden="0" customHeight="1">
      <x:c r="A828" s="34" t="n">
        <x:v>206</x:v>
      </x:c>
      <x:c r="B828" s="34" t="str">
        <x:v>H3</x:v>
      </x:c>
      <x:c r="C828" s="34" t="str">
        <x:v>reference</x:v>
      </x:c>
      <x:c r="D828" s="74" t="n">
        <x:v>0.9791715186575177</x:v>
      </x:c>
      <x:c r="E828" s="74" t="n">
        <x:v>0.02142972633841049</x:v>
      </x:c>
      <x:c r="F828" s="74" t="n">
        <x:v>0.7726981248684798</x:v>
      </x:c>
      <x:c r="G828" s="74" t="n">
        <x:v>1.2759915256781298</x:v>
      </x:c>
      <x:c r="H828" s="74" t="n">
        <x:v>0.7849550688812158</x:v>
      </x:c>
      <x:c r="I828" s="74" t="n">
        <x:v>0.9367042112777284</x:v>
      </x:c>
      <x:c r="J828" s="74" t="n">
        <x:v>0.9627254949914749</x:v>
      </x:c>
      <x:c r="K828" s="74" t="n">
        <x:v>0.7252552596176519</x:v>
      </x:c>
      <x:c r="L828" s="74" t="n">
        <x:v>0.9226802501581276</x:v>
      </x:c>
      <x:c r="M828" s="74" t="n">
        <x:v>0.762666664522037</x:v>
      </x:c>
      <x:c r="N828" s="74" t="n">
        <x:v>0.7701491994306914</x:v>
      </x:c>
      <x:c r="O828" s="65" t="n">
        <x:v>471030.26321589516</x:v>
      </x:c>
      <x:c r="P828" s="65" t="n">
        <x:v>273017.53820864914</x:v>
      </x:c>
      <x:c r="Q828" s="65" t="n">
        <x:v>198012.72500724607</x:v>
      </x:c>
      <x:c r="R828" s="65" t="n">
        <x:v>97968.86603778106</x:v>
      </x:c>
      <x:c r="S828" s="65" t="n">
        <x:v>100043.85896946499</x:v>
      </x:c>
      <x:c r="T828" s="65" t="n">
        <x:v>181034.29634728408</x:v>
      </x:c>
      <x:c r="U828" s="43" t="n">
        <x:v>0.9639546967873274</x:v>
      </x:c>
      <x:c r="V828" s="43" t="n">
        <x:v>0.9708329070522781</x:v>
      </x:c>
      <x:c r="W828" s="43" t="n">
        <x:v>0.7390537320869904</x:v>
      </x:c>
      <x:c r="X828" s="65" t="n">
        <x:v>20455618.037389517</x:v>
      </x:c>
      <x:c r="Y828" s="65" t="n">
        <x:v>43.4273965705124</x:v>
      </x:c>
      <x:c r="Z828" s="65" t="n">
        <x:v>1215064.841039251</x:v>
      </x:c>
      <x:c r="AA828" s="65" t="n">
        <x:v>128557.69566994293</x:v>
      </x:c>
      <x:c r="AB828" s="65" t="n">
        <x:v>1117.6520315343632</x:v>
      </x:c>
      <x:c r="AC828" s="65" t="n">
        <x:v>12810.443875323483</x:v>
      </x:c>
      <x:c r="AD828" s="65" t="n">
        <x:v>1484.2092051162085</x:v>
      </x:c>
      <x:c r="AE828" s="65" t="n">
        <x:v>81222.96010106654</x:v>
      </x:c>
      <x:c r="AF828" s="65" t="n">
        <x:v>181034.29634728385</x:v>
      </x:c>
      <x:c r="AG828" s="65" t="n">
        <x:v>2.3283064365386963e-10</x:v>
      </x:c>
      <x:c r="AH828" s="34" t="n">
        <x:v>0</x:v>
      </x:c>
    </x:row>
    <x:row r="829" ht="15" hidden="0" customHeight="1">
      <x:c r="A829" s="36" t="n">
        <x:v>207</x:v>
      </x:c>
      <x:c r="B829" s="36" t="str">
        <x:v>M0</x:v>
      </x:c>
      <x:c r="C829" s="36" t="str">
        <x:v>reference</x:v>
      </x:c>
      <x:c r="D829" s="75" t="n">
        <x:v>0.9171829598198727</x:v>
      </x:c>
      <x:c r="E829" s="75" t="n">
        <x:v>0.01894499079103313</x:v>
      </x:c>
      <x:c r="F829" s="75" t="n">
        <x:v>0.8312525676963111</x:v>
      </x:c>
      <x:c r="G829" s="75" t="n">
        <x:v>1.0926209637304711</x:v>
      </x:c>
      <x:c r="H829" s="75" t="n">
        <x:v>0.7474494285134858</x:v>
      </x:c>
      <x:c r="I829" s="75" t="n">
        <x:v>0.9575732098635674</x:v>
      </x:c>
      <x:c r="J829" s="75" t="n">
        <x:v>0.8885845788744072</x:v>
      </x:c>
      <x:c r="K829" s="75" t="n">
        <x:v>0.7789085246686009</x:v>
      </x:c>
      <x:c r="L829" s="75" t="n">
        <x:v>0.9809446868400061</x:v>
      </x:c>
      <x:c r="M829" s="75" t="n">
        <x:v>0.8544871178119422</x:v>
      </x:c>
      <x:c r="N829" s="75" t="n">
        <x:v>0.8413386155350776</x:v>
      </x:c>
      <x:c r="O829" s="66" t="n">
        <x:v>441210.6793847578</x:v>
      </x:c>
      <x:c r="P829" s="66" t="n">
        <x:v>54288.44538423138</x:v>
      </x:c>
      <x:c r="Q829" s="66" t="n">
        <x:v>386922.2340005264</x:v>
      </x:c>
      <x:c r="R829" s="66" t="n">
        <x:v>90670.44441818769</x:v>
      </x:c>
      <x:c r="S829" s="66" t="n">
        <x:v>296251.78958233877</x:v>
      </x:c>
      <x:c r="T829" s="66" t="n">
        <x:v>255828.90587036955</x:v>
      </x:c>
      <x:c r="U829" s="45" t="n">
        <x:v>0.7028781617141299</x:v>
      </x:c>
      <x:c r="V829" s="45" t="n">
        <x:v>0.7445526692292814</x:v>
      </x:c>
      <x:c r="W829" s="45" t="n">
        <x:v>0.13019871774070876</x:v>
      </x:c>
      <x:c r="X829" s="66" t="n">
        <x:v>49168096.62491443</x:v>
      </x:c>
      <x:c r="Y829" s="66" t="n">
        <x:v>111.43904470643464</x:v>
      </x:c>
      <x:c r="Z829" s="66" t="n">
        <x:v>3273504.4971373365</x:v>
      </x:c>
      <x:c r="AA829" s="66" t="n">
        <x:v>274666.66523637687</x:v>
      </x:c>
      <x:c r="AB829" s="66" t="n">
        <x:v>20677.12215910443</x:v>
      </x:c>
      <x:c r="AC829" s="66" t="n">
        <x:v>0</x:v>
      </x:c>
      <x:c r="AD829" s="66" t="n">
        <x:v>1883.8558482097778</x:v>
      </x:c>
      <x:c r="AE829" s="66" t="n">
        <x:v>207367.80161554908</x:v>
      </x:c>
      <x:c r="AF829" s="66" t="n">
        <x:v>255828.90587036975</x:v>
      </x:c>
      <x:c r="AG829" s="66" t="n">
        <x:v>0</x:v>
      </x:c>
      <x:c r="AH829" s="36" t="n">
        <x:v>0</x:v>
      </x:c>
    </x:row>
    <x:row r="830" ht="15" hidden="0" customHeight="1">
      <x:c r="A830" s="34" t="n">
        <x:v>207</x:v>
      </x:c>
      <x:c r="B830" s="34" t="str">
        <x:v>B1</x:v>
      </x:c>
      <x:c r="C830" s="34" t="str">
        <x:v>reference</x:v>
      </x:c>
      <x:c r="D830" s="74" t="n">
        <x:v>0.9171829598198727</x:v>
      </x:c>
      <x:c r="E830" s="74" t="n">
        <x:v>0.01894499079103313</x:v>
      </x:c>
      <x:c r="F830" s="74" t="n">
        <x:v>0.8312525676963111</x:v>
      </x:c>
      <x:c r="G830" s="74" t="n">
        <x:v>1.0926209637304711</x:v>
      </x:c>
      <x:c r="H830" s="74" t="n">
        <x:v>0.7474494285134858</x:v>
      </x:c>
      <x:c r="I830" s="74" t="n">
        <x:v>0.9575732098635674</x:v>
      </x:c>
      <x:c r="J830" s="74" t="n">
        <x:v>0.8885845788744072</x:v>
      </x:c>
      <x:c r="K830" s="74" t="n">
        <x:v>0.7789085246686009</x:v>
      </x:c>
      <x:c r="L830" s="74" t="n">
        <x:v>0.9809446868400061</x:v>
      </x:c>
      <x:c r="M830" s="74" t="n">
        <x:v>0.8544871178119422</x:v>
      </x:c>
      <x:c r="N830" s="74" t="n">
        <x:v>0.8413386155350776</x:v>
      </x:c>
      <x:c r="O830" s="65" t="n">
        <x:v>441210.6793847578</x:v>
      </x:c>
      <x:c r="P830" s="65" t="n">
        <x:v>183639.8965316338</x:v>
      </x:c>
      <x:c r="Q830" s="65" t="n">
        <x:v>257570.78285312402</x:v>
      </x:c>
      <x:c r="R830" s="65" t="n">
        <x:v>90670.44441818769</x:v>
      </x:c>
      <x:c r="S830" s="65" t="n">
        <x:v>166900.33843493633</x:v>
      </x:c>
      <x:c r="T830" s="65" t="n">
        <x:v>177849.7045947723</x:v>
      </x:c>
      <x:c r="U830" s="43" t="n">
        <x:v>0.8193128997477621</x:v>
      </x:c>
      <x:c r="V830" s="43" t="n">
        <x:v>0.8484138606482331</x:v>
      </x:c>
      <x:c r="W830" s="43" t="n">
        <x:v>0.4630865065005451</x:v>
      </x:c>
      <x:c r="X830" s="65" t="n">
        <x:v>33452541.171090774</x:v>
      </x:c>
      <x:c r="Y830" s="65" t="n">
        <x:v>75.81988091888067</x:v>
      </x:c>
      <x:c r="Z830" s="65" t="n">
        <x:v>1122628.6703633473</x:v>
      </x:c>
      <x:c r="AA830" s="65" t="n">
        <x:v>184744.45355078852</x:v>
      </x:c>
      <x:c r="AB830" s="65" t="n">
        <x:v>992.3211031455482</x:v>
      </x:c>
      <x:c r="AC830" s="65" t="n">
        <x:v>0</x:v>
      </x:c>
      <x:c r="AD830" s="65" t="n">
        <x:v>1557.3622155291926</x:v>
      </x:c>
      <x:c r="AE830" s="65" t="n">
        <x:v>116435.24615773908</x:v>
      </x:c>
      <x:c r="AF830" s="65" t="n">
        <x:v>177849.70459477228</x:v>
      </x:c>
      <x:c r="AG830" s="65" t="n">
        <x:v>2.9103830456733704e-11</x:v>
      </x:c>
      <x:c r="AH830" s="34" t="n">
        <x:v>0</x:v>
      </x:c>
    </x:row>
    <x:row r="831" ht="15" hidden="0" customHeight="1">
      <x:c r="A831" s="36" t="n">
        <x:v>207</x:v>
      </x:c>
      <x:c r="B831" s="36" t="str">
        <x:v>P2</x:v>
      </x:c>
      <x:c r="C831" s="36" t="str">
        <x:v>reference</x:v>
      </x:c>
      <x:c r="D831" s="75" t="n">
        <x:v>0.9171829598198727</x:v>
      </x:c>
      <x:c r="E831" s="75" t="n">
        <x:v>0.01894499079103313</x:v>
      </x:c>
      <x:c r="F831" s="75" t="n">
        <x:v>0.8312525676963111</x:v>
      </x:c>
      <x:c r="G831" s="75" t="n">
        <x:v>1.0926209637304711</x:v>
      </x:c>
      <x:c r="H831" s="75" t="n">
        <x:v>0.7474494285134858</x:v>
      </x:c>
      <x:c r="I831" s="75" t="n">
        <x:v>0.9575732098635674</x:v>
      </x:c>
      <x:c r="J831" s="75" t="n">
        <x:v>0.8885845788744072</x:v>
      </x:c>
      <x:c r="K831" s="75" t="n">
        <x:v>0.7789085246686009</x:v>
      </x:c>
      <x:c r="L831" s="75" t="n">
        <x:v>0.9809446868400061</x:v>
      </x:c>
      <x:c r="M831" s="75" t="n">
        <x:v>0.8544871178119422</x:v>
      </x:c>
      <x:c r="N831" s="75" t="n">
        <x:v>0.8413386155350776</x:v>
      </x:c>
      <x:c r="O831" s="66" t="n">
        <x:v>441210.6793847578</x:v>
      </x:c>
      <x:c r="P831" s="66" t="n">
        <x:v>266037.6256542367</x:v>
      </x:c>
      <x:c r="Q831" s="66" t="n">
        <x:v>175173.05373052112</x:v>
      </x:c>
      <x:c r="R831" s="66" t="n">
        <x:v>90670.44441818769</x:v>
      </x:c>
      <x:c r="S831" s="66" t="n">
        <x:v>84502.60931233343</x:v>
      </x:c>
      <x:c r="T831" s="66" t="n">
        <x:v>115388.27658525981</x:v>
      </x:c>
      <x:c r="U831" s="45" t="n">
        <x:v>0.8644983452607548</x:v>
      </x:c>
      <x:c r="V831" s="45" t="n">
        <x:v>0.8827991362809147</x:v>
      </x:c>
      <x:c r="W831" s="45" t="n">
        <x:v>0.6047246425302204</x:v>
      </x:c>
      <x:c r="X831" s="66" t="n">
        <x:v>22377274.369516812</x:v>
      </x:c>
      <x:c r="Y831" s="66" t="n">
        <x:v>50.717889242210994</x:v>
      </x:c>
      <x:c r="Z831" s="66" t="n">
        <x:v>720744.7519652575</x:v>
      </x:c>
      <x:c r="AA831" s="66" t="n">
        <x:v>128704.80580217448</x:v>
      </x:c>
      <x:c r="AB831" s="66" t="n">
        <x:v>0</x:v>
      </x:c>
      <x:c r="AC831" s="66" t="n">
        <x:v>3320.197625612628</x:v>
      </x:c>
      <x:c r="AD831" s="66" t="n">
        <x:v>1360.0845404620088</x:v>
      </x:c>
      <x:c r="AE831" s="66" t="n">
        <x:v>60453.49121590248</x:v>
      </x:c>
      <x:c r="AF831" s="66" t="n">
        <x:v>115388.27658525975</x:v>
      </x:c>
      <x:c r="AG831" s="66" t="n">
        <x:v>5.820766091346741e-11</x:v>
      </x:c>
      <x:c r="AH831" s="36" t="n">
        <x:v>0</x:v>
      </x:c>
    </x:row>
    <x:row r="832" ht="15" hidden="0" customHeight="1">
      <x:c r="A832" s="34" t="n">
        <x:v>207</x:v>
      </x:c>
      <x:c r="B832" s="34" t="str">
        <x:v>H3</x:v>
      </x:c>
      <x:c r="C832" s="34" t="str">
        <x:v>reference</x:v>
      </x:c>
      <x:c r="D832" s="74" t="n">
        <x:v>0.9171829598198727</x:v>
      </x:c>
      <x:c r="E832" s="74" t="n">
        <x:v>0.01894499079103313</x:v>
      </x:c>
      <x:c r="F832" s="74" t="n">
        <x:v>0.8312525676963111</x:v>
      </x:c>
      <x:c r="G832" s="74" t="n">
        <x:v>1.0926209637304711</x:v>
      </x:c>
      <x:c r="H832" s="74" t="n">
        <x:v>0.7474494285134858</x:v>
      </x:c>
      <x:c r="I832" s="74" t="n">
        <x:v>0.9575732098635674</x:v>
      </x:c>
      <x:c r="J832" s="74" t="n">
        <x:v>0.8885845788744072</x:v>
      </x:c>
      <x:c r="K832" s="74" t="n">
        <x:v>0.7789085246686009</x:v>
      </x:c>
      <x:c r="L832" s="74" t="n">
        <x:v>0.9809446868400061</x:v>
      </x:c>
      <x:c r="M832" s="74" t="n">
        <x:v>0.8544871178119422</x:v>
      </x:c>
      <x:c r="N832" s="74" t="n">
        <x:v>0.8413386155350776</x:v>
      </x:c>
      <x:c r="O832" s="65" t="n">
        <x:v>441210.6793847578</x:v>
      </x:c>
      <x:c r="P832" s="65" t="n">
        <x:v>275975.96437468193</x:v>
      </x:c>
      <x:c r="Q832" s="65" t="n">
        <x:v>165234.71501007586</x:v>
      </x:c>
      <x:c r="R832" s="65" t="n">
        <x:v>90670.44441818769</x:v>
      </x:c>
      <x:c r="S832" s="65" t="n">
        <x:v>74564.2705918882</x:v>
      </x:c>
      <x:c r="T832" s="65" t="n">
        <x:v>163896.77619665625</x:v>
      </x:c>
      <x:c r="U832" s="43" t="n">
        <x:v>0.9969675738237221</x:v>
      </x:c>
      <x:c r="V832" s="43" t="n">
        <x:v>0.9980900580792206</x:v>
      </x:c>
      <x:c r="W832" s="43" t="n">
        <x:v>0.9696757382372229</x:v>
      </x:c>
      <x:c r="X832" s="65" t="n">
        <x:v>16466253.960397853</x:v>
      </x:c>
      <x:c r="Y832" s="65" t="n">
        <x:v>37.32061513868855</x:v>
      </x:c>
      <x:c r="Z832" s="65" t="n">
        <x:v>993973.8356215954</x:v>
      </x:c>
      <x:c r="AA832" s="65" t="n">
        <x:v>103350.70517334295</x:v>
      </x:c>
      <x:c r="AB832" s="65" t="n">
        <x:v>1172.1088993458106</x:v>
      </x:c>
      <x:c r="AC832" s="65" t="n">
        <x:v>0</x:v>
      </x:c>
      <x:c r="AD832" s="65" t="n">
        <x:v>1337.9388134196115</x:v>
      </x:c>
      <x:c r="AE832" s="65" t="n">
        <x:v>61094.80139263904</x:v>
      </x:c>
      <x:c r="AF832" s="65" t="n">
        <x:v>163896.77619665625</x:v>
      </x:c>
      <x:c r="AG832" s="65" t="n">
        <x:v>0</x:v>
      </x:c>
      <x:c r="AH832" s="34" t="n">
        <x:v>1</x:v>
      </x:c>
    </x:row>
    <x:row r="833" ht="21.600000381469727" hidden="0" customHeight="1">
      <x:c r="A833" s="36" t="n">
        <x:v>208</x:v>
      </x:c>
      <x:c r="B833" s="36" t="str">
        <x:v>M0</x:v>
      </x:c>
      <x:c r="C833" s="36" t="str">
        <x:v>slow</x:v>
      </x:c>
      <x:c r="D833" s="75" t="n">
        <x:v>1.0258588963132729</x:v>
      </x:c>
      <x:c r="E833" s="75" t="n">
        <x:v>-0.020481664786842012</x:v>
      </x:c>
      <x:c r="F833" s="75" t="n">
        <x:v>0.8967393696474446</x:v>
      </x:c>
      <x:c r="G833" s="75" t="n">
        <x:v>1.1521920536984058</x:v>
      </x:c>
      <x:c r="H833" s="75" t="n">
        <x:v>0.8395290514927897</x:v>
      </x:c>
      <x:c r="I833" s="75" t="n">
        <x:v>0.9216964821922496</x:v>
      </x:c>
      <x:c r="J833" s="75" t="n">
        <x:v>1.0717397229741195</x:v>
      </x:c>
      <x:c r="K833" s="75" t="n">
        <x:v>0.8952478216018454</x:v>
      </x:c>
      <x:c r="L833" s="75" t="n">
        <x:v>0.9686996056232026</x:v>
      </x:c>
      <x:c r="M833" s="75" t="n">
        <x:v>0.8434400110080688</x:v>
      </x:c>
      <x:c r="N833" s="75" t="n">
        <x:v>0.8358026080443226</x:v>
      </x:c>
      <x:c r="O833" s="66" t="n">
        <x:v>493489.2168997207</x:v>
      </x:c>
      <x:c r="P833" s="66" t="n">
        <x:v>68755.94512032362</x:v>
      </x:c>
      <x:c r="Q833" s="66" t="n">
        <x:v>424733.27177939704</x:v>
      </x:c>
      <x:c r="R833" s="66" t="n">
        <x:v>81957.24997483232</x:v>
      </x:c>
      <x:c r="S833" s="66" t="n">
        <x:v>342776.0218045647</x:v>
      </x:c>
      <x:c r="T833" s="66" t="n">
        <x:v>270417.05831922713</x:v>
      </x:c>
      <x:c r="U833" s="45" t="n">
        <x:v>0.687295672984223</x:v>
      </x:c>
      <x:c r="V833" s="45" t="n">
        <x:v>0.6728621054524576</x:v>
      </x:c>
      <x:c r="W833" s="45" t="n">
        <x:v>0.07518262775942666</x:v>
      </x:c>
      <x:c r="X833" s="66" t="n">
        <x:v>53886422.658492476</x:v>
      </x:c>
      <x:c r="Y833" s="66" t="n">
        <x:v>109.19473174515674</x:v>
      </x:c>
      <x:c r="Z833" s="66" t="n">
        <x:v>2912605.778018662</x:v>
      </x:c>
      <x:c r="AA833" s="66" t="n">
        <x:v>299671.59938970185</x:v>
      </x:c>
      <x:c r="AB833" s="66" t="n">
        <x:v>19233.647712090933</x:v>
      </x:c>
      <x:c r="AC833" s="66" t="n">
        <x:v>0</x:v>
      </x:c>
      <x:c r="AD833" s="66" t="n">
        <x:v>2701.3824517348503</x:v>
      </x:c>
      <x:c r="AE833" s="66" t="n">
        <x:v>222274.82809587417</x:v>
      </x:c>
      <x:c r="AF833" s="66" t="n">
        <x:v>270417.05831922696</x:v>
      </x:c>
      <x:c r="AG833" s="66" t="n">
        <x:v>1.7462298274040222e-10</x:v>
      </x:c>
      <x:c r="AH833" s="36" t="n">
        <x:v>0</x:v>
      </x:c>
    </x:row>
    <x:row r="834" ht="21.600000381469727" hidden="0" customHeight="1">
      <x:c r="A834" s="34" t="n">
        <x:v>208</x:v>
      </x:c>
      <x:c r="B834" s="34" t="str">
        <x:v>B1</x:v>
      </x:c>
      <x:c r="C834" s="34" t="str">
        <x:v>slow</x:v>
      </x:c>
      <x:c r="D834" s="74" t="n">
        <x:v>1.0258588963132729</x:v>
      </x:c>
      <x:c r="E834" s="74" t="n">
        <x:v>-0.020481664786842012</x:v>
      </x:c>
      <x:c r="F834" s="74" t="n">
        <x:v>0.8967393696474446</x:v>
      </x:c>
      <x:c r="G834" s="74" t="n">
        <x:v>1.1521920536984058</x:v>
      </x:c>
      <x:c r="H834" s="74" t="n">
        <x:v>0.8395290514927897</x:v>
      </x:c>
      <x:c r="I834" s="74" t="n">
        <x:v>0.9216964821922496</x:v>
      </x:c>
      <x:c r="J834" s="74" t="n">
        <x:v>1.0717397229741195</x:v>
      </x:c>
      <x:c r="K834" s="74" t="n">
        <x:v>0.8952478216018454</x:v>
      </x:c>
      <x:c r="L834" s="74" t="n">
        <x:v>0.9686996056232026</x:v>
      </x:c>
      <x:c r="M834" s="74" t="n">
        <x:v>0.8434400110080688</x:v>
      </x:c>
      <x:c r="N834" s="74" t="n">
        <x:v>0.8358026080443226</x:v>
      </x:c>
      <x:c r="O834" s="65" t="n">
        <x:v>493489.2168997207</x:v>
      </x:c>
      <x:c r="P834" s="65" t="n">
        <x:v>232577.4739496332</x:v>
      </x:c>
      <x:c r="Q834" s="65" t="n">
        <x:v>260911.74295008744</x:v>
      </x:c>
      <x:c r="R834" s="65" t="n">
        <x:v>81957.24997483232</x:v>
      </x:c>
      <x:c r="S834" s="65" t="n">
        <x:v>178954.49297525513</x:v>
      </x:c>
      <x:c r="T834" s="65" t="n">
        <x:v>154386.98148830616</x:v>
      </x:c>
      <x:c r="U834" s="43" t="n">
        <x:v>0.7841396370704738</x:v>
      </x:c>
      <x:c r="V834" s="43" t="n">
        <x:v>0.7747354236639231</x:v>
      </x:c>
      <x:c r="W834" s="43" t="n">
        <x:v>0.26094970147615054</x:v>
      </x:c>
      <x:c r="X834" s="65" t="n">
        <x:v>34355918.97633395</x:v>
      </x:c>
      <x:c r="Y834" s="65" t="n">
        <x:v>69.61837827414016</x:v>
      </x:c>
      <x:c r="Z834" s="65" t="n">
        <x:v>1010794.6247480407</x:v>
      </x:c>
      <x:c r="AA834" s="65" t="n">
        <x:v>181404.72980369546</x:v>
      </x:c>
      <x:c r="AB834" s="65" t="n">
        <x:v>1941.896663205657</x:v>
      </x:c>
      <x:c r="AC834" s="65" t="n">
        <x:v>0</x:v>
      </x:c>
      <x:c r="AD834" s="65" t="n">
        <x:v>2143.2764798795674</x:v>
      </x:c>
      <x:c r="AE834" s="65" t="n">
        <x:v>82173.63615327672</x:v>
      </x:c>
      <x:c r="AF834" s="65" t="n">
        <x:v>154386.9814883061</x:v>
      </x:c>
      <x:c r="AG834" s="65" t="n">
        <x:v>5.820766091346741e-11</x:v>
      </x:c>
      <x:c r="AH834" s="34" t="n">
        <x:v>0</x:v>
      </x:c>
    </x:row>
    <x:row r="835" ht="21.600000381469727" hidden="0" customHeight="1">
      <x:c r="A835" s="36" t="n">
        <x:v>208</x:v>
      </x:c>
      <x:c r="B835" s="36" t="str">
        <x:v>P2</x:v>
      </x:c>
      <x:c r="C835" s="36" t="str">
        <x:v>slow</x:v>
      </x:c>
      <x:c r="D835" s="75" t="n">
        <x:v>1.0258588963132729</x:v>
      </x:c>
      <x:c r="E835" s="75" t="n">
        <x:v>-0.020481664786842012</x:v>
      </x:c>
      <x:c r="F835" s="75" t="n">
        <x:v>0.8967393696474446</x:v>
      </x:c>
      <x:c r="G835" s="75" t="n">
        <x:v>1.1521920536984058</x:v>
      </x:c>
      <x:c r="H835" s="75" t="n">
        <x:v>0.8395290514927897</x:v>
      </x:c>
      <x:c r="I835" s="75" t="n">
        <x:v>0.9216964821922496</x:v>
      </x:c>
      <x:c r="J835" s="75" t="n">
        <x:v>1.0717397229741195</x:v>
      </x:c>
      <x:c r="K835" s="75" t="n">
        <x:v>0.8952478216018454</x:v>
      </x:c>
      <x:c r="L835" s="75" t="n">
        <x:v>0.9686996056232026</x:v>
      </x:c>
      <x:c r="M835" s="75" t="n">
        <x:v>0.8434400110080688</x:v>
      </x:c>
      <x:c r="N835" s="75" t="n">
        <x:v>0.8358026080443226</x:v>
      </x:c>
      <x:c r="O835" s="66" t="n">
        <x:v>493489.2168997207</x:v>
      </x:c>
      <x:c r="P835" s="66" t="n">
        <x:v>336932.11708923</x:v>
      </x:c>
      <x:c r="Q835" s="66" t="n">
        <x:v>156557.09981049068</x:v>
      </x:c>
      <x:c r="R835" s="66" t="n">
        <x:v>81957.24997483232</x:v>
      </x:c>
      <x:c r="S835" s="66" t="n">
        <x:v>74599.84983565836</x:v>
      </x:c>
      <x:c r="T835" s="66" t="n">
        <x:v>80982.04665308376</x:v>
      </x:c>
      <x:c r="U835" s="45" t="n">
        <x:v>0.8468557152429854</x:v>
      </x:c>
      <x:c r="V835" s="45" t="n">
        <x:v>0.8416168772617861</x:v>
      </x:c>
      <x:c r="W835" s="45" t="n">
        <x:v>0.3834466559576648</x:v>
      </x:c>
      <x:c r="X835" s="66" t="n">
        <x:v>20422395.320004504</x:v>
      </x:c>
      <x:c r="Y835" s="66" t="n">
        <x:v>41.38367084959919</x:v>
      </x:c>
      <x:c r="Z835" s="66" t="n">
        <x:v>517122.2467148497</x:v>
      </x:c>
      <x:c r="AA835" s="66" t="n">
        <x:v>107971.24798391048</x:v>
      </x:c>
      <x:c r="AB835" s="66" t="n">
        <x:v>0</x:v>
      </x:c>
      <x:c r="AC835" s="66" t="n">
        <x:v>0</x:v>
      </x:c>
      <x:c r="AD835" s="66" t="n">
        <x:v>1804.6785197191061</x:v>
      </x:c>
      <x:c r="AE835" s="66" t="n">
        <x:v>15789.443225626586</x:v>
      </x:c>
      <x:c r="AF835" s="66" t="n">
        <x:v>80982.04665308376</x:v>
      </x:c>
      <x:c r="AG835" s="66" t="n">
        <x:v>0</x:v>
      </x:c>
      <x:c r="AH835" s="36" t="n">
        <x:v>0</x:v>
      </x:c>
    </x:row>
    <x:row r="836" ht="21.600000381469727" hidden="0" customHeight="1">
      <x:c r="A836" s="34" t="n">
        <x:v>208</x:v>
      </x:c>
      <x:c r="B836" s="34" t="str">
        <x:v>H3</x:v>
      </x:c>
      <x:c r="C836" s="34" t="str">
        <x:v>slow</x:v>
      </x:c>
      <x:c r="D836" s="74" t="n">
        <x:v>1.0258588963132729</x:v>
      </x:c>
      <x:c r="E836" s="74" t="n">
        <x:v>-0.020481664786842012</x:v>
      </x:c>
      <x:c r="F836" s="74" t="n">
        <x:v>0.8967393696474446</x:v>
      </x:c>
      <x:c r="G836" s="74" t="n">
        <x:v>1.1521920536984058</x:v>
      </x:c>
      <x:c r="H836" s="74" t="n">
        <x:v>0.8395290514927897</x:v>
      </x:c>
      <x:c r="I836" s="74" t="n">
        <x:v>0.9216964821922496</x:v>
      </x:c>
      <x:c r="J836" s="74" t="n">
        <x:v>1.0717397229741195</x:v>
      </x:c>
      <x:c r="K836" s="74" t="n">
        <x:v>0.8952478216018454</x:v>
      </x:c>
      <x:c r="L836" s="74" t="n">
        <x:v>0.9686996056232026</x:v>
      </x:c>
      <x:c r="M836" s="74" t="n">
        <x:v>0.8434400110080688</x:v>
      </x:c>
      <x:c r="N836" s="74" t="n">
        <x:v>0.8358026080443226</x:v>
      </x:c>
      <x:c r="O836" s="65" t="n">
        <x:v>493489.2168997207</x:v>
      </x:c>
      <x:c r="P836" s="65" t="n">
        <x:v>349518.65604803263</x:v>
      </x:c>
      <x:c r="Q836" s="65" t="n">
        <x:v>143970.56085168803</x:v>
      </x:c>
      <x:c r="R836" s="65" t="n">
        <x:v>81957.24997483232</x:v>
      </x:c>
      <x:c r="S836" s="65" t="n">
        <x:v>62013.31087685573</x:v>
      </x:c>
      <x:c r="T836" s="65" t="n">
        <x:v>72133.37325656578</x:v>
      </x:c>
      <x:c r="U836" s="43" t="n">
        <x:v>0.8544300764129564</x:v>
      </x:c>
      <x:c r="V836" s="43" t="n">
        <x:v>0.8498471198429564</x:v>
      </x:c>
      <x:c r="W836" s="43" t="n">
        <x:v>0.3988628164658838</x:v>
      </x:c>
      <x:c r="X836" s="65" t="n">
        <x:v>18037325.157189697</x:v>
      </x:c>
      <x:c r="Y836" s="65" t="n">
        <x:v>36.55059632408334</x:v>
      </x:c>
      <x:c r="Z836" s="65" t="n">
        <x:v>487144.3018666418</x:v>
      </x:c>
      <x:c r="AA836" s="65" t="n">
        <x:v>99474.56237025256</x:v>
      </x:c>
      <x:c r="AB836" s="65" t="n">
        <x:v>1340.8587794731582</x:v>
      </x:c>
      <x:c r="AC836" s="65" t="n">
        <x:v>0</x:v>
      </x:c>
      <x:c r="AD836" s="65" t="n">
        <x:v>1766.4456538262573</x:v>
      </x:c>
      <x:c r="AE836" s="65" t="n">
        <x:v>12692.04219313078</x:v>
      </x:c>
      <x:c r="AF836" s="65" t="n">
        <x:v>72133.37325656581</x:v>
      </x:c>
      <x:c r="AG836" s="65" t="n">
        <x:v>0</x:v>
      </x:c>
      <x:c r="AH836" s="34" t="n">
        <x:v>0</x:v>
      </x:c>
    </x:row>
    <x:row r="837" ht="15" hidden="0" customHeight="1">
      <x:c r="A837" s="36" t="n">
        <x:v>209</x:v>
      </x:c>
      <x:c r="B837" s="36" t="str">
        <x:v>M0</x:v>
      </x:c>
      <x:c r="C837" s="36" t="str">
        <x:v>reference</x:v>
      </x:c>
      <x:c r="D837" s="75" t="n">
        <x:v>0.9356221743125619</x:v>
      </x:c>
      <x:c r="E837" s="75" t="n">
        <x:v>0.07016687806719082</x:v>
      </x:c>
      <x:c r="F837" s="75" t="n">
        <x:v>0.7854803235134882</x:v>
      </x:c>
      <x:c r="G837" s="75" t="n">
        <x:v>1.2010852774691767</x:v>
      </x:c>
      <x:c r="H837" s="75" t="n">
        <x:v>0.8914463380950075</x:v>
      </x:c>
      <x:c r="I837" s="75" t="n">
        <x:v>0.8823382817760878</x:v>
      </x:c>
      <x:c r="J837" s="75" t="n">
        <x:v>0.8192785691932073</x:v>
      </x:c>
      <x:c r="K837" s="75" t="n">
        <x:v>0.9265955347222479</x:v>
      </x:c>
      <x:c r="L837" s="75" t="n">
        <x:v>1.0067033888954708</x:v>
      </x:c>
      <x:c r="M837" s="75" t="n">
        <x:v>0.9775633608478954</x:v>
      </x:c>
      <x:c r="N837" s="75" t="n">
        <x:v>0.9116271379607452</x:v>
      </x:c>
      <x:c r="O837" s="66" t="n">
        <x:v>450080.859828623</x:v>
      </x:c>
      <x:c r="P837" s="66" t="n">
        <x:v>48955.9908751467</x:v>
      </x:c>
      <x:c r="Q837" s="66" t="n">
        <x:v>401124.8689534763</x:v>
      </x:c>
      <x:c r="R837" s="66" t="n">
        <x:v>115547.29073467459</x:v>
      </x:c>
      <x:c r="S837" s="66" t="n">
        <x:v>285577.57821880176</x:v>
      </x:c>
      <x:c r="T837" s="66" t="n">
        <x:v>280004.88033457677</x:v>
      </x:c>
      <x:c r="U837" s="45" t="n">
        <x:v>0.730892825202524</x:v>
      </x:c>
      <x:c r="V837" s="45" t="n">
        <x:v>0.7396374446837541</x:v>
      </x:c>
      <x:c r="W837" s="45" t="n">
        <x:v>0.11507583781878616</x:v>
      </x:c>
      <x:c r="X837" s="66" t="n">
        <x:v>49639752.7776229</x:v>
      </x:c>
      <x:c r="Y837" s="66" t="n">
        <x:v>110.29074374885481</x:v>
      </x:c>
      <x:c r="Z837" s="66" t="n">
        <x:v>5445504.319634956</x:v>
      </x:c>
      <x:c r="AA837" s="66" t="n">
        <x:v>270170.6612996983</x:v>
      </x:c>
      <x:c r="AB837" s="66" t="n">
        <x:v>44003.12312406594</x:v>
      </x:c>
      <x:c r="AC837" s="66" t="n">
        <x:v>862.3390697820837</x:v>
      </x:c>
      <x:c r="AD837" s="66" t="n">
        <x:v>1946.343608334395</x:v>
      </x:c>
      <x:c r="AE837" s="66" t="n">
        <x:v>227495.15718803782</x:v>
      </x:c>
      <x:c r="AF837" s="66" t="n">
        <x:v>280004.88033457665</x:v>
      </x:c>
      <x:c r="AG837" s="66" t="n">
        <x:v>1.1641532182693481e-10</x:v>
      </x:c>
      <x:c r="AH837" s="36" t="n">
        <x:v>0</x:v>
      </x:c>
    </x:row>
    <x:row r="838" ht="15" hidden="0" customHeight="1">
      <x:c r="A838" s="34" t="n">
        <x:v>209</x:v>
      </x:c>
      <x:c r="B838" s="34" t="str">
        <x:v>B1</x:v>
      </x:c>
      <x:c r="C838" s="34" t="str">
        <x:v>reference</x:v>
      </x:c>
      <x:c r="D838" s="74" t="n">
        <x:v>0.9356221743125619</x:v>
      </x:c>
      <x:c r="E838" s="74" t="n">
        <x:v>0.07016687806719082</x:v>
      </x:c>
      <x:c r="F838" s="74" t="n">
        <x:v>0.7854803235134882</x:v>
      </x:c>
      <x:c r="G838" s="74" t="n">
        <x:v>1.2010852774691767</x:v>
      </x:c>
      <x:c r="H838" s="74" t="n">
        <x:v>0.8914463380950075</x:v>
      </x:c>
      <x:c r="I838" s="74" t="n">
        <x:v>0.8823382817760878</x:v>
      </x:c>
      <x:c r="J838" s="74" t="n">
        <x:v>0.8192785691932073</x:v>
      </x:c>
      <x:c r="K838" s="74" t="n">
        <x:v>0.9265955347222479</x:v>
      </x:c>
      <x:c r="L838" s="74" t="n">
        <x:v>1.0067033888954708</x:v>
      </x:c>
      <x:c r="M838" s="74" t="n">
        <x:v>0.9775633608478954</x:v>
      </x:c>
      <x:c r="N838" s="74" t="n">
        <x:v>0.9116271379607452</x:v>
      </x:c>
      <x:c r="O838" s="65" t="n">
        <x:v>450080.859828623</x:v>
      </x:c>
      <x:c r="P838" s="65" t="n">
        <x:v>165603.20818116952</x:v>
      </x:c>
      <x:c r="Q838" s="65" t="n">
        <x:v>284477.65164745343</x:v>
      </x:c>
      <x:c r="R838" s="65" t="n">
        <x:v>115547.29073467459</x:v>
      </x:c>
      <x:c r="S838" s="65" t="n">
        <x:v>168930.36091277894</x:v>
      </x:c>
      <x:c r="T838" s="65" t="n">
        <x:v>202627.52045498948</x:v>
      </x:c>
      <x:c r="U838" s="43" t="n">
        <x:v>0.8181434970959885</x:v>
      </x:c>
      <x:c r="V838" s="43" t="n">
        <x:v>0.8434108751583167</x:v>
      </x:c>
      <x:c r="W838" s="43" t="n">
        <x:v>0.41687748055576357</x:v>
      </x:c>
      <x:c r="X838" s="65" t="n">
        <x:v>36014307.62199477</x:v>
      </x:c>
      <x:c r="Y838" s="65" t="n">
        <x:v>80.01741650535398</x:v>
      </x:c>
      <x:c r="Z838" s="65" t="n">
        <x:v>2080327.9221188214</x:v>
      </x:c>
      <x:c r="AA838" s="65" t="n">
        <x:v>198760.47152898562</x:v>
      </x:c>
      <x:c r="AB838" s="65" t="n">
        <x:v>9687.632242798745</x:v>
      </x:c>
      <x:c r="AC838" s="65" t="n">
        <x:v>1703.4239999162987</x:v>
      </x:c>
      <x:c r="AD838" s="65" t="n">
        <x:v>1669.023288810328</x:v>
      </x:c>
      <x:c r="AE838" s="65" t="n">
        <x:v>127568.78051435972</x:v>
      </x:c>
      <x:c r="AF838" s="65" t="n">
        <x:v>202627.52045498975</x:v>
      </x:c>
      <x:c r="AG838" s="65" t="n">
        <x:v>0</x:v>
      </x:c>
      <x:c r="AH838" s="34" t="n">
        <x:v>0</x:v>
      </x:c>
    </x:row>
    <x:row r="839" ht="15" hidden="0" customHeight="1">
      <x:c r="A839" s="36" t="n">
        <x:v>209</x:v>
      </x:c>
      <x:c r="B839" s="36" t="str">
        <x:v>P2</x:v>
      </x:c>
      <x:c r="C839" s="36" t="str">
        <x:v>reference</x:v>
      </x:c>
      <x:c r="D839" s="75" t="n">
        <x:v>0.9356221743125619</x:v>
      </x:c>
      <x:c r="E839" s="75" t="n">
        <x:v>0.07016687806719082</x:v>
      </x:c>
      <x:c r="F839" s="75" t="n">
        <x:v>0.7854803235134882</x:v>
      </x:c>
      <x:c r="G839" s="75" t="n">
        <x:v>1.2010852774691767</x:v>
      </x:c>
      <x:c r="H839" s="75" t="n">
        <x:v>0.8914463380950075</x:v>
      </x:c>
      <x:c r="I839" s="75" t="n">
        <x:v>0.8823382817760878</x:v>
      </x:c>
      <x:c r="J839" s="75" t="n">
        <x:v>0.8192785691932073</x:v>
      </x:c>
      <x:c r="K839" s="75" t="n">
        <x:v>0.9265955347222479</x:v>
      </x:c>
      <x:c r="L839" s="75" t="n">
        <x:v>1.0067033888954708</x:v>
      </x:c>
      <x:c r="M839" s="75" t="n">
        <x:v>0.9775633608478954</x:v>
      </x:c>
      <x:c r="N839" s="75" t="n">
        <x:v>0.9116271379607452</x:v>
      </x:c>
      <x:c r="O839" s="66" t="n">
        <x:v>450080.859828623</x:v>
      </x:c>
      <x:c r="P839" s="66" t="n">
        <x:v>239909.03817333592</x:v>
      </x:c>
      <x:c r="Q839" s="66" t="n">
        <x:v>210171.82165528712</x:v>
      </x:c>
      <x:c r="R839" s="66" t="n">
        <x:v>115547.29073467459</x:v>
      </x:c>
      <x:c r="S839" s="66" t="n">
        <x:v>94624.53092061252</x:v>
      </x:c>
      <x:c r="T839" s="66" t="n">
        <x:v>137220.11093892105</x:v>
      </x:c>
      <x:c r="U839" s="45" t="n">
        <x:v>0.8379142122503414</x:v>
      </x:c>
      <x:c r="V839" s="45" t="n">
        <x:v>0.8617010135908899</x:v>
      </x:c>
      <x:c r="W839" s="45" t="n">
        <x:v>0.5605806618493424</x:v>
      </x:c>
      <x:c r="X839" s="66" t="n">
        <x:v>26489243.727741953</x:v>
      </x:c>
      <x:c r="Y839" s="66" t="n">
        <x:v>58.85441060041577</x:v>
      </x:c>
      <x:c r="Z839" s="66" t="n">
        <x:v>858698.3821726033</x:v>
      </x:c>
      <x:c r="AA839" s="66" t="n">
        <x:v>154861.68953983235</x:v>
      </x:c>
      <x:c r="AB839" s="66" t="n">
        <x:v>181.30393358472958</x:v>
      </x:c>
      <x:c r="AC839" s="66" t="n">
        <x:v>4105.48623118327</x:v>
      </x:c>
      <x:c r="AD839" s="66" t="n">
        <x:v>1501.4576691214465</x:v>
      </x:c>
      <x:c r="AE839" s="66" t="n">
        <x:v>68639.75032261362</x:v>
      </x:c>
      <x:c r="AF839" s="66" t="n">
        <x:v>137220.11093892102</x:v>
      </x:c>
      <x:c r="AG839" s="66" t="n">
        <x:v>2.9103830456733704e-11</x:v>
      </x:c>
      <x:c r="AH839" s="36" t="n">
        <x:v>0</x:v>
      </x:c>
    </x:row>
    <x:row r="840" ht="15" hidden="0" customHeight="1">
      <x:c r="A840" s="34" t="n">
        <x:v>209</x:v>
      </x:c>
      <x:c r="B840" s="34" t="str">
        <x:v>H3</x:v>
      </x:c>
      <x:c r="C840" s="34" t="str">
        <x:v>reference</x:v>
      </x:c>
      <x:c r="D840" s="74" t="n">
        <x:v>0.9356221743125619</x:v>
      </x:c>
      <x:c r="E840" s="74" t="n">
        <x:v>0.07016687806719082</x:v>
      </x:c>
      <x:c r="F840" s="74" t="n">
        <x:v>0.7854803235134882</x:v>
      </x:c>
      <x:c r="G840" s="74" t="n">
        <x:v>1.2010852774691767</x:v>
      </x:c>
      <x:c r="H840" s="74" t="n">
        <x:v>0.8914463380950075</x:v>
      </x:c>
      <x:c r="I840" s="74" t="n">
        <x:v>0.8823382817760878</x:v>
      </x:c>
      <x:c r="J840" s="74" t="n">
        <x:v>0.8192785691932073</x:v>
      </x:c>
      <x:c r="K840" s="74" t="n">
        <x:v>0.9265955347222479</x:v>
      </x:c>
      <x:c r="L840" s="74" t="n">
        <x:v>1.0067033888954708</x:v>
      </x:c>
      <x:c r="M840" s="74" t="n">
        <x:v>0.9775633608478954</x:v>
      </x:c>
      <x:c r="N840" s="74" t="n">
        <x:v>0.9116271379607452</x:v>
      </x:c>
      <x:c r="O840" s="65" t="n">
        <x:v>450080.859828623</x:v>
      </x:c>
      <x:c r="P840" s="65" t="n">
        <x:v>248871.49915781512</x:v>
      </x:c>
      <x:c r="Q840" s="65" t="n">
        <x:v>201209.3606708079</x:v>
      </x:c>
      <x:c r="R840" s="65" t="n">
        <x:v>115547.29073467459</x:v>
      </x:c>
      <x:c r="S840" s="65" t="n">
        <x:v>85662.06993613328</x:v>
      </x:c>
      <x:c r="T840" s="65" t="n">
        <x:v>199726.71335351188</x:v>
      </x:c>
      <x:c r="U840" s="43" t="n">
        <x:v>0.9967058201100564</x:v>
      </x:c>
      <x:c r="V840" s="43" t="n">
        <x:v>0.9979252143855929</x:v>
      </x:c>
      <x:c r="W840" s="43" t="n">
        <x:v>0.9670582011005635</x:v>
      </x:c>
      <x:c r="X840" s="65" t="n">
        <x:v>19869962.968834024</x:v>
      </x:c>
      <x:c r="Y840" s="65" t="n">
        <x:v>44.14754045839651</x:v>
      </x:c>
      <x:c r="Z840" s="65" t="n">
        <x:v>1435566.9506536643</x:v>
      </x:c>
      <x:c r="AA840" s="65" t="n">
        <x:v>125608.17521514927</x:v>
      </x:c>
      <x:c r="AB840" s="65" t="n">
        <x:v>3713.0992394864666</x:v>
      </x:c>
      <x:c r="AC840" s="65" t="n">
        <x:v>1601.2916612588192</x:v>
      </x:c>
      <x:c r="AD840" s="65" t="n">
        <x:v>1482.6473172959984</x:v>
      </x:c>
      <x:c r="AE840" s="65" t="n">
        <x:v>81579.83627379911</x:v>
      </x:c>
      <x:c r="AF840" s="65" t="n">
        <x:v>199726.71335351208</x:v>
      </x:c>
      <x:c r="AG840" s="65" t="n">
        <x:v>0</x:v>
      </x:c>
      <x:c r="AH840" s="34" t="n">
        <x:v>1</x:v>
      </x:c>
    </x:row>
    <x:row r="841" ht="21.600000381469727" hidden="0" customHeight="1">
      <x:c r="A841" s="36" t="n">
        <x:v>210</x:v>
      </x:c>
      <x:c r="B841" s="36" t="str">
        <x:v>M0</x:v>
      </x:c>
      <x:c r="C841" s="36" t="str">
        <x:v>reference</x:v>
      </x:c>
      <x:c r="D841" s="75" t="n">
        <x:v>0.9298241410502006</x:v>
      </x:c>
      <x:c r="E841" s="75" t="n">
        <x:v>-0.030844931816976527</x:v>
      </x:c>
      <x:c r="F841" s="75" t="n">
        <x:v>0.7669317932599944</x:v>
      </x:c>
      <x:c r="G841" s="75" t="n">
        <x:v>1.2516693618427621</x:v>
      </x:c>
      <x:c r="H841" s="75" t="n">
        <x:v>0.8898905084192869</x:v>
      </x:c>
      <x:c r="I841" s="75" t="n">
        <x:v>0.8522949795664001</x:v>
      </x:c>
      <x:c r="J841" s="75" t="n">
        <x:v>0.8480311819950009</x:v>
      </x:c>
      <x:c r="K841" s="75" t="n">
        <x:v>0.8317428709085002</x:v>
      </x:c>
      <x:c r="L841" s="75" t="n">
        <x:v>1.0336213544283073</x:v>
      </x:c>
      <x:c r="M841" s="75" t="n">
        <x:v>0.7642564692212293</x:v>
      </x:c>
      <x:c r="N841" s="75" t="n">
        <x:v>1.0401759857961312</x:v>
      </x:c>
      <x:c r="O841" s="66" t="n">
        <x:v>447291.7170873708</x:v>
      </x:c>
      <x:c r="P841" s="66" t="n">
        <x:v>53960.83864759868</x:v>
      </x:c>
      <x:c r="Q841" s="66" t="n">
        <x:v>393330.8784397721</x:v>
      </x:c>
      <x:c r="R841" s="66" t="n">
        <x:v>69649.5004277155</x:v>
      </x:c>
      <x:c r="S841" s="66" t="n">
        <x:v>323681.3780120566</x:v>
      </x:c>
      <x:c r="T841" s="66" t="n">
        <x:v>278195.529943817</x:v>
      </x:c>
      <x:c r="U841" s="45" t="n">
        <x:v>0.7425944990761691</x:v>
      </x:c>
      <x:c r="V841" s="45" t="n">
        <x:v>0.7465215377974147</x:v>
      </x:c>
      <x:c r="W841" s="45" t="n">
        <x:v>0.12544899715719177</x:v>
      </x:c>
      <x:c r="X841" s="66" t="n">
        <x:v>48774795.25912798</x:v>
      </x:c>
      <x:c r="Y841" s="66" t="n">
        <x:v>109.04470929337745</x:v>
      </x:c>
      <x:c r="Z841" s="66" t="n">
        <x:v>5593130.825173452</x:v>
      </x:c>
      <x:c r="AA841" s="66" t="n">
        <x:v>262883.46315828804</x:v>
      </x:c>
      <x:c r="AB841" s="66" t="n">
        <x:v>46221.98268052342</x:v>
      </x:c>
      <x:c r="AC841" s="66" t="n">
        <x:v>0</x:v>
      </x:c>
      <x:c r="AD841" s="66" t="n">
        <x:v>1905.5533761586048</x:v>
      </x:c>
      <x:c r="AE841" s="66" t="n">
        <x:v>248238.46155288842</x:v>
      </x:c>
      <x:c r="AF841" s="66" t="n">
        <x:v>278195.52994381706</x:v>
      </x:c>
      <x:c r="AG841" s="66" t="n">
        <x:v>0</x:v>
      </x:c>
      <x:c r="AH841" s="36" t="n">
        <x:v>0</x:v>
      </x:c>
    </x:row>
    <x:row r="842" ht="21.600000381469727" hidden="0" customHeight="1">
      <x:c r="A842" s="34" t="n">
        <x:v>210</x:v>
      </x:c>
      <x:c r="B842" s="34" t="str">
        <x:v>B1</x:v>
      </x:c>
      <x:c r="C842" s="34" t="str">
        <x:v>reference</x:v>
      </x:c>
      <x:c r="D842" s="74" t="n">
        <x:v>0.9298241410502006</x:v>
      </x:c>
      <x:c r="E842" s="74" t="n">
        <x:v>-0.030844931816976527</x:v>
      </x:c>
      <x:c r="F842" s="74" t="n">
        <x:v>0.7669317932599944</x:v>
      </x:c>
      <x:c r="G842" s="74" t="n">
        <x:v>1.2516693618427621</x:v>
      </x:c>
      <x:c r="H842" s="74" t="n">
        <x:v>0.8898905084192869</x:v>
      </x:c>
      <x:c r="I842" s="74" t="n">
        <x:v>0.8522949795664001</x:v>
      </x:c>
      <x:c r="J842" s="74" t="n">
        <x:v>0.8480311819950009</x:v>
      </x:c>
      <x:c r="K842" s="74" t="n">
        <x:v>0.8317428709085002</x:v>
      </x:c>
      <x:c r="L842" s="74" t="n">
        <x:v>1.0336213544283073</x:v>
      </x:c>
      <x:c r="M842" s="74" t="n">
        <x:v>0.7642564692212293</x:v>
      </x:c>
      <x:c r="N842" s="74" t="n">
        <x:v>1.0401759857961312</x:v>
      </x:c>
      <x:c r="O842" s="65" t="n">
        <x:v>447291.7170873708</x:v>
      </x:c>
      <x:c r="P842" s="65" t="n">
        <x:v>182530.53614750627</x:v>
      </x:c>
      <x:c r="Q842" s="65" t="n">
        <x:v>264761.18093986454</x:v>
      </x:c>
      <x:c r="R842" s="65" t="n">
        <x:v>69649.5004277155</x:v>
      </x:c>
      <x:c r="S842" s="65" t="n">
        <x:v>195111.68051214906</x:v>
      </x:c>
      <x:c r="T842" s="65" t="n">
        <x:v>200303.39983321796</x:v>
      </x:c>
      <x:c r="U842" s="43" t="n">
        <x:v>0.8558931930902358</x:v>
      </x:c>
      <x:c r="V842" s="43" t="n">
        <x:v>0.8745816969133496</x:v>
      </x:c>
      <x:c r="W842" s="43" t="n">
        <x:v>0.46998237637508933</x:v>
      </x:c>
      <x:c r="X842" s="65" t="n">
        <x:v>33239141.704001673</x:v>
      </x:c>
      <x:c r="Y842" s="65" t="n">
        <x:v>74.31199915894926</x:v>
      </x:c>
      <x:c r="Z842" s="65" t="n">
        <x:v>2162596.9109462695</x:v>
      </x:c>
      <x:c r="AA842" s="65" t="n">
        <x:v>180730.16775176843</x:v>
      </x:c>
      <x:c r="AB842" s="65" t="n">
        <x:v>11412.585313988906</x:v>
      </x:c>
      <x:c r="AC842" s="65" t="n">
        <x:v>4307.63981022832</x:v>
      </x:c>
      <x:c r="AD842" s="65" t="n">
        <x:v>1564.897688206621</x:v>
      </x:c>
      <x:c r="AE842" s="65" t="n">
        <x:v>119394.06023092454</x:v>
      </x:c>
      <x:c r="AF842" s="65" t="n">
        <x:v>200303.39983321796</x:v>
      </x:c>
      <x:c r="AG842" s="65" t="n">
        <x:v>0</x:v>
      </x:c>
      <x:c r="AH842" s="34" t="n">
        <x:v>0</x:v>
      </x:c>
    </x:row>
    <x:row r="843" ht="21.600000381469727" hidden="0" customHeight="1">
      <x:c r="A843" s="36" t="n">
        <x:v>210</x:v>
      </x:c>
      <x:c r="B843" s="36" t="str">
        <x:v>P2</x:v>
      </x:c>
      <x:c r="C843" s="36" t="str">
        <x:v>reference</x:v>
      </x:c>
      <x:c r="D843" s="75" t="n">
        <x:v>0.9298241410502006</x:v>
      </x:c>
      <x:c r="E843" s="75" t="n">
        <x:v>-0.030844931816976527</x:v>
      </x:c>
      <x:c r="F843" s="75" t="n">
        <x:v>0.7669317932599944</x:v>
      </x:c>
      <x:c r="G843" s="75" t="n">
        <x:v>1.2516693618427621</x:v>
      </x:c>
      <x:c r="H843" s="75" t="n">
        <x:v>0.8898905084192869</x:v>
      </x:c>
      <x:c r="I843" s="75" t="n">
        <x:v>0.8522949795664001</x:v>
      </x:c>
      <x:c r="J843" s="75" t="n">
        <x:v>0.8480311819950009</x:v>
      </x:c>
      <x:c r="K843" s="75" t="n">
        <x:v>0.8317428709085002</x:v>
      </x:c>
      <x:c r="L843" s="75" t="n">
        <x:v>1.0336213544283073</x:v>
      </x:c>
      <x:c r="M843" s="75" t="n">
        <x:v>0.7642564692212293</x:v>
      </x:c>
      <x:c r="N843" s="75" t="n">
        <x:v>1.0401759857961312</x:v>
      </x:c>
      <x:c r="O843" s="66" t="n">
        <x:v>447291.7170873708</x:v>
      </x:c>
      <x:c r="P843" s="66" t="n">
        <x:v>264429.54565436486</x:v>
      </x:c>
      <x:c r="Q843" s="66" t="n">
        <x:v>182862.1714330059</x:v>
      </x:c>
      <x:c r="R843" s="66" t="n">
        <x:v>69649.5004277155</x:v>
      </x:c>
      <x:c r="S843" s="66" t="n">
        <x:v>113212.6710052904</x:v>
      </x:c>
      <x:c r="T843" s="66" t="n">
        <x:v>124760.25039771579</x:v>
      </x:c>
      <x:c r="U843" s="45" t="n">
        <x:v>0.8701028460494812</x:v>
      </x:c>
      <x:c r="V843" s="45" t="n">
        <x:v>0.8893813173083639</x:v>
      </x:c>
      <x:c r="W843" s="45" t="n">
        <x:v>0.548155138350646</x:v>
      </x:c>
      <x:c r="X843" s="66" t="n">
        <x:v>22303560.515197955</x:v>
      </x:c>
      <x:c r="Y843" s="66" t="n">
        <x:v>49.863567026083196</x:v>
      </x:c>
      <x:c r="Z843" s="66" t="n">
        <x:v>952854.2282308489</x:v>
      </x:c>
      <x:c r="AA843" s="66" t="n">
        <x:v>129264.82407372705</x:v>
      </x:c>
      <x:c r="AB843" s="66" t="n">
        <x:v>71.22631564520879</x:v>
      </x:c>
      <x:c r="AC843" s="66" t="n">
        <x:v>17077.8389816589</x:v>
      </x:c>
      <x:c r="AD843" s="66" t="n">
        <x:v>1359.062855944131</x:v>
      </x:c>
      <x:c r="AE843" s="66" t="n">
        <x:v>62066.28209154705</x:v>
      </x:c>
      <x:c r="AF843" s="66" t="n">
        <x:v>124760.25039771578</x:v>
      </x:c>
      <x:c r="AG843" s="66" t="n">
        <x:v>1.4551915228366852e-11</x:v>
      </x:c>
      <x:c r="AH843" s="36" t="n">
        <x:v>0</x:v>
      </x:c>
    </x:row>
    <x:row r="844" ht="21.600000381469727" hidden="0" customHeight="1">
      <x:c r="A844" s="34" t="n">
        <x:v>210</x:v>
      </x:c>
      <x:c r="B844" s="34" t="str">
        <x:v>H3</x:v>
      </x:c>
      <x:c r="C844" s="34" t="str">
        <x:v>reference</x:v>
      </x:c>
      <x:c r="D844" s="74" t="n">
        <x:v>0.9298241410502006</x:v>
      </x:c>
      <x:c r="E844" s="74" t="n">
        <x:v>-0.030844931816976527</x:v>
      </x:c>
      <x:c r="F844" s="74" t="n">
        <x:v>0.7669317932599944</x:v>
      </x:c>
      <x:c r="G844" s="74" t="n">
        <x:v>1.2516693618427621</x:v>
      </x:c>
      <x:c r="H844" s="74" t="n">
        <x:v>0.8898905084192869</x:v>
      </x:c>
      <x:c r="I844" s="74" t="n">
        <x:v>0.8522949795664001</x:v>
      </x:c>
      <x:c r="J844" s="74" t="n">
        <x:v>0.8480311819950009</x:v>
      </x:c>
      <x:c r="K844" s="74" t="n">
        <x:v>0.8317428709085002</x:v>
      </x:c>
      <x:c r="L844" s="74" t="n">
        <x:v>1.0336213544283073</x:v>
      </x:c>
      <x:c r="M844" s="74" t="n">
        <x:v>0.7642564692212293</x:v>
      </x:c>
      <x:c r="N844" s="74" t="n">
        <x:v>1.0401759857961312</x:v>
      </x:c>
      <x:c r="O844" s="65" t="n">
        <x:v>447291.7170873708</x:v>
      </x:c>
      <x:c r="P844" s="65" t="n">
        <x:v>274307.6180790975</x:v>
      </x:c>
      <x:c r="Q844" s="65" t="n">
        <x:v>172984.09900827333</x:v>
      </x:c>
      <x:c r="R844" s="65" t="n">
        <x:v>69649.5004277155</x:v>
      </x:c>
      <x:c r="S844" s="65" t="n">
        <x:v>103334.59858055784</x:v>
      </x:c>
      <x:c r="T844" s="65" t="n">
        <x:v>171648.14247700354</x:v>
      </x:c>
      <x:c r="U844" s="43" t="n">
        <x:v>0.9970132321251796</x:v>
      </x:c>
      <x:c r="V844" s="43" t="n">
        <x:v>0.9981188121433047</x:v>
      </x:c>
      <x:c r="W844" s="43" t="n">
        <x:v>0.9701323212517969</x:v>
      </x:c>
      <x:c r="X844" s="65" t="n">
        <x:v>16776018.230200358</x:v>
      </x:c>
      <x:c r="Y844" s="65" t="n">
        <x:v>37.5057654531158</x:v>
      </x:c>
      <x:c r="Z844" s="65" t="n">
        <x:v>1214283.1527669732</x:v>
      </x:c>
      <x:c r="AA844" s="65" t="n">
        <x:v>102135.81496911705</x:v>
      </x:c>
      <x:c r="AB844" s="65" t="n">
        <x:v>3795.8036420103867</x:v>
      </x:c>
      <x:c r="AC844" s="65" t="n">
        <x:v>1127.2853033208894</x:v>
      </x:c>
      <x:c r="AD844" s="65" t="n">
        <x:v>1335.9565312697835</x:v>
      </x:c>
      <x:c r="AE844" s="65" t="n">
        <x:v>61008.03510952873</x:v>
      </x:c>
      <x:c r="AF844" s="65" t="n">
        <x:v>171648.14247700362</x:v>
      </x:c>
      <x:c r="AG844" s="65" t="n">
        <x:v>0</x:v>
      </x:c>
      <x:c r="AH844" s="34" t="n">
        <x:v>1</x:v>
      </x:c>
    </x:row>
    <x:row r="845" ht="15" hidden="0" customHeight="1">
      <x:c r="A845" s="36" t="n">
        <x:v>211</x:v>
      </x:c>
      <x:c r="B845" s="36" t="str">
        <x:v>M0</x:v>
      </x:c>
      <x:c r="C845" s="36" t="str">
        <x:v>slow</x:v>
      </x:c>
      <x:c r="D845" s="75" t="n">
        <x:v>0.9480061982715243</x:v>
      </x:c>
      <x:c r="E845" s="75" t="n">
        <x:v>0.017807144882324398</x:v>
      </x:c>
      <x:c r="F845" s="75" t="n">
        <x:v>0.9584053122939936</x:v>
      </x:c>
      <x:c r="G845" s="75" t="n">
        <x:v>1.1430466215267523</x:v>
      </x:c>
      <x:c r="H845" s="75" t="n">
        <x:v>0.8289416610823171</x:v>
      </x:c>
      <x:c r="I845" s="75" t="n">
        <x:v>0.760584063915002</x:v>
      </x:c>
      <x:c r="J845" s="75" t="n">
        <x:v>0.9090437359502315</x:v>
      </x:c>
      <x:c r="K845" s="75" t="n">
        <x:v>0.7611124935122543</x:v>
      </x:c>
      <x:c r="L845" s="75" t="n">
        <x:v>1.0399836578573831</x:v>
      </x:c>
      <x:c r="M845" s="75" t="n">
        <x:v>0.8697606601153661</x:v>
      </x:c>
      <x:c r="N845" s="75" t="n">
        <x:v>0.9264544184086684</x:v>
      </x:c>
      <x:c r="O845" s="66" t="n">
        <x:v>456038.1920772771</x:v>
      </x:c>
      <x:c r="P845" s="66" t="n">
        <x:v>64788.87960580811</x:v>
      </x:c>
      <x:c r="Q845" s="66" t="n">
        <x:v>391249.31247146893</x:v>
      </x:c>
      <x:c r="R845" s="66" t="n">
        <x:v>93198.65252946215</x:v>
      </x:c>
      <x:c r="S845" s="66" t="n">
        <x:v>298050.6599420068</x:v>
      </x:c>
      <x:c r="T845" s="66" t="n">
        <x:v>241204.01320890023</x:v>
      </x:c>
      <x:c r="U845" s="45" t="n">
        <x:v>0.6709808479436671</x:v>
      </x:c>
      <x:c r="V845" s="45" t="n">
        <x:v>0.6622532694452032</x:v>
      </x:c>
      <x:c r="W845" s="45" t="n">
        <x:v>0.07381342476889219</x:v>
      </x:c>
      <x:c r="X845" s="66" t="n">
        <x:v>49572249.33007616</x:v>
      </x:c>
      <x:c r="Y845" s="66" t="n">
        <x:v>108.70196880720022</x:v>
      </x:c>
      <x:c r="Z845" s="66" t="n">
        <x:v>3482734.3705601883</x:v>
      </x:c>
      <x:c r="AA845" s="66" t="n">
        <x:v>269106.12001377763</x:v>
      </x:c>
      <x:c r="AB845" s="66" t="n">
        <x:v>25987.933689191</x:v>
      </x:c>
      <x:c r="AC845" s="66" t="n">
        <x:v>0</x:v>
      </x:c>
      <x:c r="AD845" s="66" t="n">
        <x:v>2500.5063422571156</x:v>
      </x:c>
      <x:c r="AE845" s="66" t="n">
        <x:v>187840.2387085609</x:v>
      </x:c>
      <x:c r="AF845" s="66" t="n">
        <x:v>241204.01320890026</x:v>
      </x:c>
      <x:c r="AG845" s="66" t="n">
        <x:v>0</x:v>
      </x:c>
      <x:c r="AH845" s="36" t="n">
        <x:v>0</x:v>
      </x:c>
    </x:row>
    <x:row r="846" ht="15" hidden="0" customHeight="1">
      <x:c r="A846" s="34" t="n">
        <x:v>211</x:v>
      </x:c>
      <x:c r="B846" s="34" t="str">
        <x:v>B1</x:v>
      </x:c>
      <x:c r="C846" s="34" t="str">
        <x:v>slow</x:v>
      </x:c>
      <x:c r="D846" s="74" t="n">
        <x:v>0.9480061982715243</x:v>
      </x:c>
      <x:c r="E846" s="74" t="n">
        <x:v>0.017807144882324398</x:v>
      </x:c>
      <x:c r="F846" s="74" t="n">
        <x:v>0.9584053122939936</x:v>
      </x:c>
      <x:c r="G846" s="74" t="n">
        <x:v>1.1430466215267523</x:v>
      </x:c>
      <x:c r="H846" s="74" t="n">
        <x:v>0.8289416610823171</x:v>
      </x:c>
      <x:c r="I846" s="74" t="n">
        <x:v>0.760584063915002</x:v>
      </x:c>
      <x:c r="J846" s="74" t="n">
        <x:v>0.9090437359502315</x:v>
      </x:c>
      <x:c r="K846" s="74" t="n">
        <x:v>0.7611124935122543</x:v>
      </x:c>
      <x:c r="L846" s="74" t="n">
        <x:v>1.0399836578573831</x:v>
      </x:c>
      <x:c r="M846" s="74" t="n">
        <x:v>0.8697606601153661</x:v>
      </x:c>
      <x:c r="N846" s="74" t="n">
        <x:v>0.9264544184086684</x:v>
      </x:c>
      <x:c r="O846" s="65" t="n">
        <x:v>456038.1920772771</x:v>
      </x:c>
      <x:c r="P846" s="65" t="n">
        <x:v>219159.36634083732</x:v>
      </x:c>
      <x:c r="Q846" s="65" t="n">
        <x:v>236878.8257364398</x:v>
      </x:c>
      <x:c r="R846" s="65" t="n">
        <x:v>93198.65252946215</x:v>
      </x:c>
      <x:c r="S846" s="65" t="n">
        <x:v>143680.17320697763</x:v>
      </x:c>
      <x:c r="T846" s="65" t="n">
        <x:v>139068.03477046813</x:v>
      </x:c>
      <x:c r="U846" s="43" t="n">
        <x:v>0.7855206150159517</x:v>
      </x:c>
      <x:c r="V846" s="43" t="n">
        <x:v>0.7762563552800879</x:v>
      </x:c>
      <x:c r="W846" s="43" t="n">
        <x:v>0.25619736543405963</x:v>
      </x:c>
      <x:c r="X846" s="65" t="n">
        <x:v>31105641.411124602</x:v>
      </x:c>
      <x:c r="Y846" s="65" t="n">
        <x:v>68.20841313627007</x:v>
      </x:c>
      <x:c r="Z846" s="65" t="n">
        <x:v>1169900.3425348767</x:v>
      </x:c>
      <x:c r="AA846" s="65" t="n">
        <x:v>160020.24137320335</x:v>
      </x:c>
      <x:c r="AB846" s="65" t="n">
        <x:v>6097.797786505174</x:v>
      </x:c>
      <x:c r="AC846" s="65" t="n">
        <x:v>0</x:v>
      </x:c>
      <x:c r="AD846" s="65" t="n">
        <x:v>1994.1478797903846</x:v>
      </x:c>
      <x:c r="AE846" s="65" t="n">
        <x:v>59022.37301995921</x:v>
      </x:c>
      <x:c r="AF846" s="65" t="n">
        <x:v>139068.0347704681</x:v>
      </x:c>
      <x:c r="AG846" s="65" t="n">
        <x:v>2.9103830456733704e-11</x:v>
      </x:c>
      <x:c r="AH846" s="34" t="n">
        <x:v>0</x:v>
      </x:c>
    </x:row>
    <x:row r="847" ht="15" hidden="0" customHeight="1">
      <x:c r="A847" s="36" t="n">
        <x:v>211</x:v>
      </x:c>
      <x:c r="B847" s="36" t="str">
        <x:v>P2</x:v>
      </x:c>
      <x:c r="C847" s="36" t="str">
        <x:v>slow</x:v>
      </x:c>
      <x:c r="D847" s="75" t="n">
        <x:v>0.9480061982715243</x:v>
      </x:c>
      <x:c r="E847" s="75" t="n">
        <x:v>0.017807144882324398</x:v>
      </x:c>
      <x:c r="F847" s="75" t="n">
        <x:v>0.9584053122939936</x:v>
      </x:c>
      <x:c r="G847" s="75" t="n">
        <x:v>1.1430466215267523</x:v>
      </x:c>
      <x:c r="H847" s="75" t="n">
        <x:v>0.8289416610823171</x:v>
      </x:c>
      <x:c r="I847" s="75" t="n">
        <x:v>0.760584063915002</x:v>
      </x:c>
      <x:c r="J847" s="75" t="n">
        <x:v>0.9090437359502315</x:v>
      </x:c>
      <x:c r="K847" s="75" t="n">
        <x:v>0.7611124935122543</x:v>
      </x:c>
      <x:c r="L847" s="75" t="n">
        <x:v>1.0399836578573831</x:v>
      </x:c>
      <x:c r="M847" s="75" t="n">
        <x:v>0.8697606601153661</x:v>
      </x:c>
      <x:c r="N847" s="75" t="n">
        <x:v>0.9264544184086684</x:v>
      </x:c>
      <x:c r="O847" s="66" t="n">
        <x:v>456038.1920772771</x:v>
      </x:c>
      <x:c r="P847" s="66" t="n">
        <x:v>317494.36498598894</x:v>
      </x:c>
      <x:c r="Q847" s="66" t="n">
        <x:v>138543.8270912882</x:v>
      </x:c>
      <x:c r="R847" s="66" t="n">
        <x:v>93198.65252946215</x:v>
      </x:c>
      <x:c r="S847" s="66" t="n">
        <x:v>45345.174561826054</x:v>
      </x:c>
      <x:c r="T847" s="66" t="n">
        <x:v>69618.00390500945</x:v>
      </x:c>
      <x:c r="U847" s="45" t="n">
        <x:v>0.8488595376796884</x:v>
      </x:c>
      <x:c r="V847" s="45" t="n">
        <x:v>0.8438408171214822</x:v>
      </x:c>
      <x:c r="W847" s="45" t="n">
        <x:v>0.3764634428977589</x:v>
      </x:c>
      <x:c r="X847" s="66" t="n">
        <x:v>18361451.125506844</x:v>
      </x:c>
      <x:c r="Y847" s="66" t="n">
        <x:v>40.262967980531414</x:v>
      </x:c>
      <x:c r="Z847" s="66" t="n">
        <x:v>449574.36823261686</x:v>
      </x:c>
      <x:c r="AA847" s="66" t="n">
        <x:v>96525.21153395124</x:v>
      </x:c>
      <x:c r="AB847" s="66" t="n">
        <x:v>170.33797497687866</x:v>
      </x:c>
      <x:c r="AC847" s="66" t="n">
        <x:v>0</x:v>
      </x:c>
      <x:c r="AD847" s="66" t="n">
        <x:v>1686.9446761921968</x:v>
      </x:c>
      <x:c r="AE847" s="66" t="n">
        <x:v>12146.402192528389</x:v>
      </x:c>
      <x:c r="AF847" s="66" t="n">
        <x:v>69618.00390500948</x:v>
      </x:c>
      <x:c r="AG847" s="66" t="n">
        <x:v>0</x:v>
      </x:c>
      <x:c r="AH847" s="36" t="n">
        <x:v>0</x:v>
      </x:c>
    </x:row>
    <x:row r="848" ht="15" hidden="0" customHeight="1">
      <x:c r="A848" s="34" t="n">
        <x:v>211</x:v>
      </x:c>
      <x:c r="B848" s="34" t="str">
        <x:v>H3</x:v>
      </x:c>
      <x:c r="C848" s="34" t="str">
        <x:v>slow</x:v>
      </x:c>
      <x:c r="D848" s="74" t="n">
        <x:v>0.9480061982715243</x:v>
      </x:c>
      <x:c r="E848" s="74" t="n">
        <x:v>0.017807144882324398</x:v>
      </x:c>
      <x:c r="F848" s="74" t="n">
        <x:v>0.9584053122939936</x:v>
      </x:c>
      <x:c r="G848" s="74" t="n">
        <x:v>1.1430466215267523</x:v>
      </x:c>
      <x:c r="H848" s="74" t="n">
        <x:v>0.8289416610823171</x:v>
      </x:c>
      <x:c r="I848" s="74" t="n">
        <x:v>0.760584063915002</x:v>
      </x:c>
      <x:c r="J848" s="74" t="n">
        <x:v>0.9090437359502315</x:v>
      </x:c>
      <x:c r="K848" s="74" t="n">
        <x:v>0.7611124935122543</x:v>
      </x:c>
      <x:c r="L848" s="74" t="n">
        <x:v>1.0399836578573831</x:v>
      </x:c>
      <x:c r="M848" s="74" t="n">
        <x:v>0.8697606601153661</x:v>
      </x:c>
      <x:c r="N848" s="74" t="n">
        <x:v>0.9264544184086684</x:v>
      </x:c>
      <x:c r="O848" s="65" t="n">
        <x:v>456038.1920772771</x:v>
      </x:c>
      <x:c r="P848" s="65" t="n">
        <x:v>329354.9619034104</x:v>
      </x:c>
      <x:c r="Q848" s="65" t="n">
        <x:v>126683.23017386676</x:v>
      </x:c>
      <x:c r="R848" s="65" t="n">
        <x:v>93198.65252946215</x:v>
      </x:c>
      <x:c r="S848" s="65" t="n">
        <x:v>33484.577644404606</x:v>
      </x:c>
      <x:c r="T848" s="65" t="n">
        <x:v>61246.037876444214</x:v>
      </x:c>
      <x:c r="U848" s="43" t="n">
        <x:v>0.8565094033038049</x:v>
      </x:c>
      <x:c r="V848" s="43" t="n">
        <x:v>0.852158291397353</x:v>
      </x:c>
      <x:c r="W848" s="43" t="n">
        <x:v>0.391598849012317</x:v>
      </x:c>
      <x:c r="X848" s="65" t="n">
        <x:v>16167550.043160975</x:v>
      </x:c>
      <x:c r="Y848" s="65" t="n">
        <x:v>35.45218432148624</x:v>
      </x:c>
      <x:c r="Z848" s="65" t="n">
        <x:v>435007.1943864042</x:v>
      </x:c>
      <x:c r="AA848" s="65" t="n">
        <x:v>89725.5700973354</x:v>
      </x:c>
      <x:c r="AB848" s="65" t="n">
        <x:v>2286.8936915933646</x:v>
      </x:c>
      <x:c r="AC848" s="65" t="n">
        <x:v>0</x:v>
      </x:c>
      <x:c r="AD848" s="65" t="n">
        <x:v>1652.2567563965283</x:v>
      </x:c>
      <x:c r="AE848" s="65" t="n">
        <x:v>11871.008086394293</x:v>
      </x:c>
      <x:c r="AF848" s="65" t="n">
        <x:v>61246.037876444185</x:v>
      </x:c>
      <x:c r="AG848" s="65" t="n">
        <x:v>2.9103830456733704e-11</x:v>
      </x:c>
      <x:c r="AH848" s="34" t="n">
        <x:v>0</x:v>
      </x:c>
    </x:row>
    <x:row r="849" ht="15" hidden="0" customHeight="1">
      <x:c r="A849" s="36" t="n">
        <x:v>212</x:v>
      </x:c>
      <x:c r="B849" s="36" t="str">
        <x:v>M0</x:v>
      </x:c>
      <x:c r="C849" s="36" t="str">
        <x:v>reference</x:v>
      </x:c>
      <x:c r="D849" s="75" t="n">
        <x:v>1.1342600209115254</x:v>
      </x:c>
      <x:c r="E849" s="75" t="n">
        <x:v>0.07304196477867342</x:v>
      </x:c>
      <x:c r="F849" s="75" t="n">
        <x:v>0.8414043056237598</x:v>
      </x:c>
      <x:c r="G849" s="75" t="n">
        <x:v>1.2165866343300697</x:v>
      </x:c>
      <x:c r="H849" s="75" t="n">
        <x:v>0.8370933800870887</x:v>
      </x:c>
      <x:c r="I849" s="75" t="n">
        <x:v>1.0031120954714696</x:v>
      </x:c>
      <x:c r="J849" s="75" t="n">
        <x:v>0.7403152071722002</x:v>
      </x:c>
      <x:c r="K849" s="75" t="n">
        <x:v>0.9856418131347484</x:v>
      </x:c>
      <x:c r="L849" s="75" t="n">
        <x:v>0.923306548356319</x:v>
      </x:c>
      <x:c r="M849" s="75" t="n">
        <x:v>1.0390626945083161</x:v>
      </x:c>
      <x:c r="N849" s="75" t="n">
        <x:v>0.9565259286028619</x:v>
      </x:c>
      <x:c r="O849" s="66" t="n">
        <x:v>545635.5562074851</x:v>
      </x:c>
      <x:c r="P849" s="66" t="n">
        <x:v>63329.18113217106</x:v>
      </x:c>
      <x:c r="Q849" s="66" t="n">
        <x:v>482306.3750753141</x:v>
      </x:c>
      <x:c r="R849" s="66" t="n">
        <x:v>141647.37956866244</x:v>
      </x:c>
      <x:c r="S849" s="66" t="n">
        <x:v>340658.99550665164</x:v>
      </x:c>
      <x:c r="T849" s="66" t="n">
        <x:v>275370.52136501356</x:v>
      </x:c>
      <x:c r="U849" s="45" t="n">
        <x:v>0.6207434589698725</x:v>
      </x:c>
      <x:c r="V849" s="45" t="n">
        <x:v>0.6530027626569551</x:v>
      </x:c>
      <x:c r="W849" s="45" t="n">
        <x:v>0.11896484374305193</x:v>
      </x:c>
      <x:c r="X849" s="66" t="n">
        <x:v>63837782.829972036</x:v>
      </x:c>
      <x:c r="Y849" s="66" t="n">
        <x:v>116.99710934105049</x:v>
      </x:c>
      <x:c r="Z849" s="66" t="n">
        <x:v>4240322.944197456</x:v>
      </x:c>
      <x:c r="AA849" s="66" t="n">
        <x:v>354804.622781075</x:v>
      </x:c>
      <x:c r="AB849" s="66" t="n">
        <x:v>30345.032158185677</x:v>
      </x:c>
      <x:c r="AC849" s="66" t="n">
        <x:v>2407.270341746298</x:v>
      </x:c>
      <x:c r="AD849" s="66" t="n">
        <x:v>2350.1965107064243</x:v>
      </x:c>
      <x:c r="AE849" s="66" t="n">
        <x:v>192726.68113372626</x:v>
      </x:c>
      <x:c r="AF849" s="66" t="n">
        <x:v>275370.5213650137</x:v>
      </x:c>
      <x:c r="AG849" s="66" t="n">
        <x:v>0</x:v>
      </x:c>
      <x:c r="AH849" s="36" t="n">
        <x:v>0</x:v>
      </x:c>
    </x:row>
    <x:row r="850" ht="15" hidden="0" customHeight="1">
      <x:c r="A850" s="34" t="n">
        <x:v>212</x:v>
      </x:c>
      <x:c r="B850" s="34" t="str">
        <x:v>B1</x:v>
      </x:c>
      <x:c r="C850" s="34" t="str">
        <x:v>reference</x:v>
      </x:c>
      <x:c r="D850" s="74" t="n">
        <x:v>1.1342600209115254</x:v>
      </x:c>
      <x:c r="E850" s="74" t="n">
        <x:v>0.07304196477867342</x:v>
      </x:c>
      <x:c r="F850" s="74" t="n">
        <x:v>0.8414043056237598</x:v>
      </x:c>
      <x:c r="G850" s="74" t="n">
        <x:v>1.2165866343300697</x:v>
      </x:c>
      <x:c r="H850" s="74" t="n">
        <x:v>0.8370933800870887</x:v>
      </x:c>
      <x:c r="I850" s="74" t="n">
        <x:v>1.0031120954714696</x:v>
      </x:c>
      <x:c r="J850" s="74" t="n">
        <x:v>0.7403152071722002</x:v>
      </x:c>
      <x:c r="K850" s="74" t="n">
        <x:v>0.9856418131347484</x:v>
      </x:c>
      <x:c r="L850" s="74" t="n">
        <x:v>0.923306548356319</x:v>
      </x:c>
      <x:c r="M850" s="74" t="n">
        <x:v>1.0390626945083161</x:v>
      </x:c>
      <x:c r="N850" s="74" t="n">
        <x:v>0.9565259286028619</x:v>
      </x:c>
      <x:c r="O850" s="65" t="n">
        <x:v>545635.5562074851</x:v>
      </x:c>
      <x:c r="P850" s="65" t="n">
        <x:v>214223.43069605168</x:v>
      </x:c>
      <x:c r="Q850" s="65" t="n">
        <x:v>331412.1255114334</x:v>
      </x:c>
      <x:c r="R850" s="65" t="n">
        <x:v>141647.37956866244</x:v>
      </x:c>
      <x:c r="S850" s="65" t="n">
        <x:v>189764.74594277097</x:v>
      </x:c>
      <x:c r="T850" s="65" t="n">
        <x:v>199577.61936282107</x:v>
      </x:c>
      <x:c r="U850" s="43" t="n">
        <x:v>0.758383586537237</x:v>
      </x:c>
      <x:c r="V850" s="43" t="n">
        <x:v>0.7980503561189448</x:v>
      </x:c>
      <x:c r="W850" s="43" t="n">
        <x:v>0.41340744029314946</x:v>
      </x:c>
      <x:c r="X850" s="65" t="n">
        <x:v>44765718.07962055</x:v>
      </x:c>
      <x:c r="Y850" s="65" t="n">
        <x:v>82.04325684119785</x:v>
      </x:c>
      <x:c r="Z850" s="65" t="n">
        <x:v>1403345.687588945</x:v>
      </x:c>
      <x:c r="AA850" s="65" t="n">
        <x:v>248258.29379783326</x:v>
      </x:c>
      <x:c r="AB850" s="65" t="n">
        <x:v>2538.8493818258144</x:v>
      </x:c>
      <x:c r="AC850" s="65" t="n">
        <x:v>1512.3939548282942</x:v>
      </x:c>
      <x:c r="AD850" s="65" t="n">
        <x:v>1992.789224030613</x:v>
      </x:c>
      <x:c r="AE850" s="65" t="n">
        <x:v>118058.46739048701</x:v>
      </x:c>
      <x:c r="AF850" s="65" t="n">
        <x:v>199577.6193628211</x:v>
      </x:c>
      <x:c r="AG850" s="65" t="n">
        <x:v>0</x:v>
      </x:c>
      <x:c r="AH850" s="34" t="n">
        <x:v>0</x:v>
      </x:c>
    </x:row>
    <x:row r="851" ht="15" hidden="0" customHeight="1">
      <x:c r="A851" s="36" t="n">
        <x:v>212</x:v>
      </x:c>
      <x:c r="B851" s="36" t="str">
        <x:v>P2</x:v>
      </x:c>
      <x:c r="C851" s="36" t="str">
        <x:v>reference</x:v>
      </x:c>
      <x:c r="D851" s="75" t="n">
        <x:v>1.1342600209115254</x:v>
      </x:c>
      <x:c r="E851" s="75" t="n">
        <x:v>0.07304196477867342</x:v>
      </x:c>
      <x:c r="F851" s="75" t="n">
        <x:v>0.8414043056237598</x:v>
      </x:c>
      <x:c r="G851" s="75" t="n">
        <x:v>1.2165866343300697</x:v>
      </x:c>
      <x:c r="H851" s="75" t="n">
        <x:v>0.8370933800870887</x:v>
      </x:c>
      <x:c r="I851" s="75" t="n">
        <x:v>1.0031120954714696</x:v>
      </x:c>
      <x:c r="J851" s="75" t="n">
        <x:v>0.7403152071722002</x:v>
      </x:c>
      <x:c r="K851" s="75" t="n">
        <x:v>0.9856418131347484</x:v>
      </x:c>
      <x:c r="L851" s="75" t="n">
        <x:v>0.923306548356319</x:v>
      </x:c>
      <x:c r="M851" s="75" t="n">
        <x:v>1.0390626945083161</x:v>
      </x:c>
      <x:c r="N851" s="75" t="n">
        <x:v>0.9565259286028619</x:v>
      </x:c>
      <x:c r="O851" s="66" t="n">
        <x:v>545635.5562074851</x:v>
      </x:c>
      <x:c r="P851" s="66" t="n">
        <x:v>310345.13697457424</x:v>
      </x:c>
      <x:c r="Q851" s="66" t="n">
        <x:v>235290.4192329109</x:v>
      </x:c>
      <x:c r="R851" s="66" t="n">
        <x:v>141647.37956866244</x:v>
      </x:c>
      <x:c r="S851" s="66" t="n">
        <x:v>93643.03966424846</x:v>
      </x:c>
      <x:c r="T851" s="66" t="n">
        <x:v>129741.81469498349</x:v>
      </x:c>
      <x:c r="U851" s="45" t="n">
        <x:v>0.8065584191918183</x:v>
      </x:c>
      <x:c r="V851" s="45" t="n">
        <x:v>0.8353441400165863</x:v>
      </x:c>
      <x:c r="W851" s="45" t="n">
        <x:v>0.4999702995389054</x:v>
      </x:c>
      <x:c r="X851" s="66" t="n">
        <x:v>31596153.997867968</x:v>
      </x:c>
      <x:c r="Y851" s="66" t="n">
        <x:v>57.90706569322823</x:v>
      </x:c>
      <x:c r="Z851" s="66" t="n">
        <x:v>811839.2936906624</x:v>
      </x:c>
      <x:c r="AA851" s="66" t="n">
        <x:v>181579.4770831657</x:v>
      </x:c>
      <x:c r="AB851" s="66" t="n">
        <x:v>0</x:v>
      </x:c>
      <x:c r="AC851" s="66" t="n">
        <x:v>0</x:v>
      </x:c>
      <x:c r="AD851" s="66" t="n">
        <x:v>1776.8325513427446</x:v>
      </x:c>
      <x:c r="AE851" s="66" t="n">
        <x:v>71574.64132042191</x:v>
      </x:c>
      <x:c r="AF851" s="66" t="n">
        <x:v>129741.81469498358</x:v>
      </x:c>
      <x:c r="AG851" s="66" t="n">
        <x:v>0</x:v>
      </x:c>
      <x:c r="AH851" s="36" t="n">
        <x:v>0</x:v>
      </x:c>
    </x:row>
    <x:row r="852" ht="15" hidden="0" customHeight="1">
      <x:c r="A852" s="34" t="n">
        <x:v>212</x:v>
      </x:c>
      <x:c r="B852" s="34" t="str">
        <x:v>H3</x:v>
      </x:c>
      <x:c r="C852" s="34" t="str">
        <x:v>reference</x:v>
      </x:c>
      <x:c r="D852" s="74" t="n">
        <x:v>1.1342600209115254</x:v>
      </x:c>
      <x:c r="E852" s="74" t="n">
        <x:v>0.07304196477867342</x:v>
      </x:c>
      <x:c r="F852" s="74" t="n">
        <x:v>0.8414043056237598</x:v>
      </x:c>
      <x:c r="G852" s="74" t="n">
        <x:v>1.2165866343300697</x:v>
      </x:c>
      <x:c r="H852" s="74" t="n">
        <x:v>0.8370933800870887</x:v>
      </x:c>
      <x:c r="I852" s="74" t="n">
        <x:v>1.0031120954714696</x:v>
      </x:c>
      <x:c r="J852" s="74" t="n">
        <x:v>0.7403152071722002</x:v>
      </x:c>
      <x:c r="K852" s="74" t="n">
        <x:v>0.9856418131347484</x:v>
      </x:c>
      <x:c r="L852" s="74" t="n">
        <x:v>0.923306548356319</x:v>
      </x:c>
      <x:c r="M852" s="74" t="n">
        <x:v>1.0390626945083161</x:v>
      </x:c>
      <x:c r="N852" s="74" t="n">
        <x:v>0.9565259286028619</x:v>
      </x:c>
      <x:c r="O852" s="65" t="n">
        <x:v>545635.5562074851</x:v>
      </x:c>
      <x:c r="P852" s="65" t="n">
        <x:v>321938.9478469726</x:v>
      </x:c>
      <x:c r="Q852" s="65" t="n">
        <x:v>223696.60836051247</x:v>
      </x:c>
      <x:c r="R852" s="65" t="n">
        <x:v>141647.37956866244</x:v>
      </x:c>
      <x:c r="S852" s="65" t="n">
        <x:v>82049.22879185004</x:v>
      </x:c>
      <x:c r="T852" s="65" t="n">
        <x:v>195761.52706077666</x:v>
      </x:c>
      <x:c r="U852" s="43" t="n">
        <x:v>0.9488026742723615</x:v>
      </x:c>
      <x:c r="V852" s="43" t="n">
        <x:v>0.9566419469973522</x:v>
      </x:c>
      <x:c r="W852" s="43" t="n">
        <x:v>0.6986234407391225</x:v>
      </x:c>
      <x:c r="X852" s="65" t="n">
        <x:v>24094420.858450823</x:v>
      </x:c>
      <x:c r="Y852" s="65" t="n">
        <x:v>44.15845079071167</x:v>
      </x:c>
      <x:c r="Z852" s="65" t="n">
        <x:v>1498122.9982609686</x:v>
      </x:c>
      <x:c r="AA852" s="65" t="n">
        <x:v>148731.4431725912</x:v>
      </x:c>
      <x:c r="AB852" s="65" t="n">
        <x:v>1050.2995446672426</x:v>
      </x:c>
      <x:c r="AC852" s="65" t="n">
        <x:v>3596.2923083134374</x:v>
      </x:c>
      <x:c r="AD852" s="65" t="n">
        <x:v>1752.5899829695054</x:v>
      </x:c>
      <x:c r="AE852" s="65" t="n">
        <x:v>59350.21327341453</x:v>
      </x:c>
      <x:c r="AF852" s="65" t="n">
        <x:v>195761.52706077654</x:v>
      </x:c>
      <x:c r="AG852" s="65" t="n">
        <x:v>1.1641532182693481e-10</x:v>
      </x:c>
      <x:c r="AH852" s="34" t="n">
        <x:v>0</x:v>
      </x:c>
    </x:row>
    <x:row r="853" ht="15" hidden="0" customHeight="1">
      <x:c r="A853" s="36" t="n">
        <x:v>213</x:v>
      </x:c>
      <x:c r="B853" s="36" t="str">
        <x:v>M0</x:v>
      </x:c>
      <x:c r="C853" s="36" t="str">
        <x:v>fast</x:v>
      </x:c>
      <x:c r="D853" s="75" t="n">
        <x:v>0.9564410122718194</x:v>
      </x:c>
      <x:c r="E853" s="75" t="n">
        <x:v>0.046676246037107606</x:v>
      </x:c>
      <x:c r="F853" s="75" t="n">
        <x:v>0.9763876283597122</x:v>
      </x:c>
      <x:c r="G853" s="75" t="n">
        <x:v>1.2893894222749178</x:v>
      </x:c>
      <x:c r="H853" s="75" t="n">
        <x:v>0.8941049253483258</x:v>
      </x:c>
      <x:c r="I853" s="75" t="n">
        <x:v>0.7724714152141758</x:v>
      </x:c>
      <x:c r="J853" s="75" t="n">
        <x:v>0.7700104083384364</x:v>
      </x:c>
      <x:c r="K853" s="75" t="n">
        <x:v>0.7598148041596925</x:v>
      </x:c>
      <x:c r="L853" s="75" t="n">
        <x:v>0.9343939246459367</x:v>
      </x:c>
      <x:c r="M853" s="75" t="n">
        <x:v>0.7658950723939172</x:v>
      </x:c>
      <x:c r="N853" s="75" t="n">
        <x:v>0.8311470018712841</x:v>
      </x:c>
      <x:c r="O853" s="66" t="n">
        <x:v>460095.75766515627</x:v>
      </x:c>
      <x:c r="P853" s="66" t="n">
        <x:v>64175.06549800529</x:v>
      </x:c>
      <x:c r="Q853" s="66" t="n">
        <x:v>395920.69216715096</x:v>
      </x:c>
      <x:c r="R853" s="66" t="n">
        <x:v>107310.43151461173</x:v>
      </x:c>
      <x:c r="S853" s="66" t="n">
        <x:v>288610.2606525392</x:v>
      </x:c>
      <x:c r="T853" s="66" t="n">
        <x:v>263375.71905470703</x:v>
      </x:c>
      <x:c r="U853" s="45" t="n">
        <x:v>0.7119187236477278</x:v>
      </x:c>
      <x:c r="V853" s="45" t="n">
        <x:v>0.712324814159499</x:v>
      </x:c>
      <x:c r="W853" s="45" t="n">
        <x:v>0.14291733660500963</x:v>
      </x:c>
      <x:c r="X853" s="66" t="n">
        <x:v>50757754.5243514</x:v>
      </x:c>
      <x:c r="Y853" s="66" t="n">
        <x:v>110.31997943630542</x:v>
      </x:c>
      <x:c r="Z853" s="66" t="n">
        <x:v>6202162.2241405165</x:v>
      </x:c>
      <x:c r="AA853" s="66" t="n">
        <x:v>268736.6823284866</x:v>
      </x:c>
      <x:c r="AB853" s="66" t="n">
        <x:v>53564.19594525644</x:v>
      </x:c>
      <x:c r="AC853" s="66" t="n">
        <x:v>505.9620632179688</x:v>
      </x:c>
      <x:c r="AD853" s="66" t="n">
        <x:v>1949.600200060896</x:v>
      </x:c>
      <x:c r="AE853" s="66" t="n">
        <x:v>239438.68540081405</x:v>
      </x:c>
      <x:c r="AF853" s="66" t="n">
        <x:v>245829.35458624372</x:v>
      </x:c>
      <x:c r="AG853" s="66" t="n">
        <x:v>17546.36446846332</x:v>
      </x:c>
      <x:c r="AH853" s="36" t="n">
        <x:v>0</x:v>
      </x:c>
    </x:row>
    <x:row r="854" ht="15" hidden="0" customHeight="1">
      <x:c r="A854" s="34" t="n">
        <x:v>213</x:v>
      </x:c>
      <x:c r="B854" s="34" t="str">
        <x:v>B1</x:v>
      </x:c>
      <x:c r="C854" s="34" t="str">
        <x:v>fast</x:v>
      </x:c>
      <x:c r="D854" s="74" t="n">
        <x:v>0.9564410122718194</x:v>
      </x:c>
      <x:c r="E854" s="74" t="n">
        <x:v>0.046676246037107606</x:v>
      </x:c>
      <x:c r="F854" s="74" t="n">
        <x:v>0.9763876283597122</x:v>
      </x:c>
      <x:c r="G854" s="74" t="n">
        <x:v>1.2893894222749178</x:v>
      </x:c>
      <x:c r="H854" s="74" t="n">
        <x:v>0.8941049253483258</x:v>
      </x:c>
      <x:c r="I854" s="74" t="n">
        <x:v>0.7724714152141758</x:v>
      </x:c>
      <x:c r="J854" s="74" t="n">
        <x:v>0.7700104083384364</x:v>
      </x:c>
      <x:c r="K854" s="74" t="n">
        <x:v>0.7598148041596925</x:v>
      </x:c>
      <x:c r="L854" s="74" t="n">
        <x:v>0.9343939246459367</x:v>
      </x:c>
      <x:c r="M854" s="74" t="n">
        <x:v>0.7658950723939172</x:v>
      </x:c>
      <x:c r="N854" s="74" t="n">
        <x:v>0.8311470018712841</x:v>
      </x:c>
      <x:c r="O854" s="65" t="n">
        <x:v>460095.75766515627</x:v>
      </x:c>
      <x:c r="P854" s="65" t="n">
        <x:v>217083.92691276016</x:v>
      </x:c>
      <x:c r="Q854" s="65" t="n">
        <x:v>243011.83075239608</x:v>
      </x:c>
      <x:c r="R854" s="65" t="n">
        <x:v>107310.43151461173</x:v>
      </x:c>
      <x:c r="S854" s="65" t="n">
        <x:v>135701.39923778438</x:v>
      </x:c>
      <x:c r="T854" s="65" t="n">
        <x:v>189417.8275026902</x:v>
      </x:c>
      <x:c r="U854" s="43" t="n">
        <x:v>0.8835155457166594</x:v>
      </x:c>
      <x:c r="V854" s="43" t="n">
        <x:v>0.8877681121601625</x:v>
      </x:c>
      <x:c r="W854" s="43" t="n">
        <x:v>0.5341779327272556</x:v>
      </x:c>
      <x:c r="X854" s="65" t="n">
        <x:v>31095699.429436106</x:v>
      </x:c>
      <x:c r="Y854" s="65" t="n">
        <x:v>67.58527743710825</x:v>
      </x:c>
      <x:c r="Z854" s="65" t="n">
        <x:v>2903595.182543605</x:v>
      </x:c>
      <x:c r="AA854" s="65" t="n">
        <x:v>161289.57173947198</x:v>
      </x:c>
      <x:c r="AB854" s="65" t="n">
        <x:v>19189.653798232193</x:v>
      </x:c>
      <x:c r="AC854" s="65" t="n">
        <x:v>11187.709964576432</x:v>
      </x:c>
      <x:c r="AD854" s="65" t="n">
        <x:v>1575.4144008140843</x:v>
      </x:c>
      <x:c r="AE854" s="65" t="n">
        <x:v>117606.72654101124</x:v>
      </x:c>
      <x:c r="AF854" s="65" t="n">
        <x:v>189417.82750269043</x:v>
      </x:c>
      <x:c r="AG854" s="65" t="n">
        <x:v>0</x:v>
      </x:c>
      <x:c r="AH854" s="34" t="n">
        <x:v>0</x:v>
      </x:c>
    </x:row>
    <x:row r="855" ht="15" hidden="0" customHeight="1">
      <x:c r="A855" s="36" t="n">
        <x:v>213</x:v>
      </x:c>
      <x:c r="B855" s="36" t="str">
        <x:v>P2</x:v>
      </x:c>
      <x:c r="C855" s="36" t="str">
        <x:v>fast</x:v>
      </x:c>
      <x:c r="D855" s="75" t="n">
        <x:v>0.9564410122718194</x:v>
      </x:c>
      <x:c r="E855" s="75" t="n">
        <x:v>0.046676246037107606</x:v>
      </x:c>
      <x:c r="F855" s="75" t="n">
        <x:v>0.9763876283597122</x:v>
      </x:c>
      <x:c r="G855" s="75" t="n">
        <x:v>1.2893894222749178</x:v>
      </x:c>
      <x:c r="H855" s="75" t="n">
        <x:v>0.8941049253483258</x:v>
      </x:c>
      <x:c r="I855" s="75" t="n">
        <x:v>0.7724714152141758</x:v>
      </x:c>
      <x:c r="J855" s="75" t="n">
        <x:v>0.7700104083384364</x:v>
      </x:c>
      <x:c r="K855" s="75" t="n">
        <x:v>0.7598148041596925</x:v>
      </x:c>
      <x:c r="L855" s="75" t="n">
        <x:v>0.9343939246459367</x:v>
      </x:c>
      <x:c r="M855" s="75" t="n">
        <x:v>0.7658950723939172</x:v>
      </x:c>
      <x:c r="N855" s="75" t="n">
        <x:v>0.8311470018712841</x:v>
      </x:c>
      <x:c r="O855" s="66" t="n">
        <x:v>460095.75766515627</x:v>
      </x:c>
      <x:c r="P855" s="66" t="n">
        <x:v>314488.41986486374</x:v>
      </x:c>
      <x:c r="Q855" s="66" t="n">
        <x:v>145607.3378002925</x:v>
      </x:c>
      <x:c r="R855" s="66" t="n">
        <x:v>107310.43151461173</x:v>
      </x:c>
      <x:c r="S855" s="66" t="n">
        <x:v>38296.90628568076</x:v>
      </x:c>
      <x:c r="T855" s="66" t="n">
        <x:v>113972.19937716878</x:v>
      </x:c>
      <x:c r="U855" s="45" t="n">
        <x:v>0.9312422731657813</x:v>
      </x:c>
      <x:c r="V855" s="45" t="n">
        <x:v>0.9433634646861102</x:v>
      </x:c>
      <x:c r="W855" s="45" t="n">
        <x:v>0.7901656550533961</x:v>
      </x:c>
      <x:c r="X855" s="66" t="n">
        <x:v>16894596.723586123</x:v>
      </x:c>
      <x:c r="Y855" s="66" t="n">
        <x:v>36.71974027606988</x:v>
      </x:c>
      <x:c r="Z855" s="66" t="n">
        <x:v>1101760.1172498052</x:v>
      </x:c>
      <x:c r="AA855" s="66" t="n">
        <x:v>96432.61358714593</x:v>
      </x:c>
      <x:c r="AB855" s="66" t="n">
        <x:v>354.3062803309408</x:v>
      </x:c>
      <x:c r="AC855" s="66" t="n">
        <x:v>25374.793365342863</x:v>
      </x:c>
      <x:c r="AD855" s="66" t="n">
        <x:v>1349.3196255117282</x:v>
      </x:c>
      <x:c r="AE855" s="66" t="n">
        <x:v>74535.73005642006</x:v>
      </x:c>
      <x:c r="AF855" s="66" t="n">
        <x:v>113972.19937716883</x:v>
      </x:c>
      <x:c r="AG855" s="66" t="n">
        <x:v>0</x:v>
      </x:c>
      <x:c r="AH855" s="36" t="n">
        <x:v>0</x:v>
      </x:c>
    </x:row>
    <x:row r="856" ht="15" hidden="0" customHeight="1">
      <x:c r="A856" s="34" t="n">
        <x:v>213</x:v>
      </x:c>
      <x:c r="B856" s="34" t="str">
        <x:v>H3</x:v>
      </x:c>
      <x:c r="C856" s="34" t="str">
        <x:v>fast</x:v>
      </x:c>
      <x:c r="D856" s="74" t="n">
        <x:v>0.9564410122718194</x:v>
      </x:c>
      <x:c r="E856" s="74" t="n">
        <x:v>0.046676246037107606</x:v>
      </x:c>
      <x:c r="F856" s="74" t="n">
        <x:v>0.9763876283597122</x:v>
      </x:c>
      <x:c r="G856" s="74" t="n">
        <x:v>1.2893894222749178</x:v>
      </x:c>
      <x:c r="H856" s="74" t="n">
        <x:v>0.8941049253483258</x:v>
      </x:c>
      <x:c r="I856" s="74" t="n">
        <x:v>0.7724714152141758</x:v>
      </x:c>
      <x:c r="J856" s="74" t="n">
        <x:v>0.7700104083384364</x:v>
      </x:c>
      <x:c r="K856" s="74" t="n">
        <x:v>0.7598148041596925</x:v>
      </x:c>
      <x:c r="L856" s="74" t="n">
        <x:v>0.9343939246459367</x:v>
      </x:c>
      <x:c r="M856" s="74" t="n">
        <x:v>0.7658950723939172</x:v>
      </x:c>
      <x:c r="N856" s="74" t="n">
        <x:v>0.8311470018712841</x:v>
      </x:c>
      <x:c r="O856" s="65" t="n">
        <x:v>460095.75766515627</x:v>
      </x:c>
      <x:c r="P856" s="65" t="n">
        <x:v>326236.87072828354</x:v>
      </x:c>
      <x:c r="Q856" s="65" t="n">
        <x:v>133858.88693687273</x:v>
      </x:c>
      <x:c r="R856" s="65" t="n">
        <x:v>107310.43151461173</x:v>
      </x:c>
      <x:c r="S856" s="65" t="n">
        <x:v>26548.45542226098</x:v>
      </x:c>
      <x:c r="T856" s="65" t="n">
        <x:v>132534.94794897168</x:v>
      </x:c>
      <x:c r="U856" s="43" t="n">
        <x:v>0.997122470777345</x:v>
      </x:c>
      <x:c r="V856" s="43" t="n">
        <x:v>0.9981876069758887</x:v>
      </x:c>
      <x:c r="W856" s="43" t="n">
        <x:v>0.9712247077734507</x:v>
      </x:c>
      <x:c r="X856" s="65" t="n">
        <x:v>12015771.47754549</x:v>
      </x:c>
      <x:c r="Y856" s="65" t="n">
        <x:v>26.115805845552273</x:v>
      </x:c>
      <x:c r="Z856" s="65" t="n">
        <x:v>1410646.7015590682</x:v>
      </x:c>
      <x:c r="AA856" s="65" t="n">
        <x:v>81584.53578749747</x:v>
      </x:c>
      <x:c r="AB856" s="65" t="n">
        <x:v>12090.337373446633</x:v>
      </x:c>
      <x:c r="AC856" s="65" t="n">
        <x:v>1791.4555056114448</x:v>
      </x:c>
      <x:c r="AD856" s="65" t="n">
        <x:v>1323.938987901046</x:v>
      </x:c>
      <x:c r="AE856" s="65" t="n">
        <x:v>60468.6131787308</x:v>
      </x:c>
      <x:c r="AF856" s="65" t="n">
        <x:v>132534.94794897173</x:v>
      </x:c>
      <x:c r="AG856" s="65" t="n">
        <x:v>0</x:v>
      </x:c>
      <x:c r="AH856" s="34" t="n">
        <x:v>1</x:v>
      </x:c>
    </x:row>
    <x:row r="857" ht="21.600000381469727" hidden="0" customHeight="1">
      <x:c r="A857" s="36" t="n">
        <x:v>214</x:v>
      </x:c>
      <x:c r="B857" s="36" t="str">
        <x:v>M0</x:v>
      </x:c>
      <x:c r="C857" s="36" t="str">
        <x:v>slow</x:v>
      </x:c>
      <x:c r="D857" s="75" t="n">
        <x:v>1.1329789084404702</x:v>
      </x:c>
      <x:c r="E857" s="75" t="n">
        <x:v>-0.021652902778562428</x:v>
      </x:c>
      <x:c r="F857" s="75" t="n">
        <x:v>0.7570701508616938</x:v>
      </x:c>
      <x:c r="G857" s="75" t="n">
        <x:v>0.9535074657876008</x:v>
      </x:c>
      <x:c r="H857" s="75" t="n">
        <x:v>0.9185866610306659</x:v>
      </x:c>
      <x:c r="I857" s="75" t="n">
        <x:v>0.9809600169709403</x:v>
      </x:c>
      <x:c r="J857" s="75" t="n">
        <x:v>0.7810203178886815</x:v>
      </x:c>
      <x:c r="K857" s="75" t="n">
        <x:v>0.904974236986956</x:v>
      </x:c>
      <x:c r="L857" s="75" t="n">
        <x:v>0.7881444504609262</x:v>
      </x:c>
      <x:c r="M857" s="75" t="n">
        <x:v>1.0859132581448132</x:v>
      </x:c>
      <x:c r="N857" s="75" t="n">
        <x:v>0.9670853843948609</x:v>
      </x:c>
      <x:c r="O857" s="66" t="n">
        <x:v>545019.2773095064</x:v>
      </x:c>
      <x:c r="P857" s="66" t="n">
        <x:v>64198.36749197007</x:v>
      </x:c>
      <x:c r="Q857" s="66" t="n">
        <x:v>480820.9098175365</x:v>
      </x:c>
      <x:c r="R857" s="66" t="n">
        <x:v>89876.86484621918</x:v>
      </x:c>
      <x:c r="S857" s="66" t="n">
        <x:v>390944.0449713173</x:v>
      </x:c>
      <x:c r="T857" s="66" t="n">
        <x:v>287626.9564566781</x:v>
      </x:c>
      <x:c r="U857" s="45" t="n">
        <x:v>0.6455282200024882</x:v>
      </x:c>
      <x:c r="V857" s="45" t="n">
        <x:v>0.6346823973904384</x:v>
      </x:c>
      <x:c r="W857" s="45" t="n">
        <x:v>0.06363077252556998</x:v>
      </x:c>
      <x:c r="X857" s="66" t="n">
        <x:v>63061470.55837257</x:v>
      </x:c>
      <x:c r="Y857" s="66" t="n">
        <x:v>115.70502766374834</x:v>
      </x:c>
      <x:c r="Z857" s="66" t="n">
        <x:v>2715431.2612772747</x:v>
      </x:c>
      <x:c r="AA857" s="66" t="n">
        <x:v>359089.210307792</x:v>
      </x:c>
      <x:c r="AB857" s="66" t="n">
        <x:v>11058.807824118807</x:v>
      </x:c>
      <x:c r="AC857" s="66" t="n">
        <x:v>4005.846162356007</x:v>
      </x:c>
      <x:c r="AD857" s="66" t="n">
        <x:v>3025.1288691669415</x:v>
      </x:c>
      <x:c r="AE857" s="66" t="n">
        <x:v>204070.77924496215</x:v>
      </x:c>
      <x:c r="AF857" s="66" t="n">
        <x:v>287626.9564566782</x:v>
      </x:c>
      <x:c r="AG857" s="66" t="n">
        <x:v>0</x:v>
      </x:c>
      <x:c r="AH857" s="36" t="n">
        <x:v>0</x:v>
      </x:c>
    </x:row>
    <x:row r="858" ht="21.600000381469727" hidden="0" customHeight="1">
      <x:c r="A858" s="34" t="n">
        <x:v>214</x:v>
      </x:c>
      <x:c r="B858" s="34" t="str">
        <x:v>B1</x:v>
      </x:c>
      <x:c r="C858" s="34" t="str">
        <x:v>slow</x:v>
      </x:c>
      <x:c r="D858" s="74" t="n">
        <x:v>1.1329789084404702</x:v>
      </x:c>
      <x:c r="E858" s="74" t="n">
        <x:v>-0.021652902778562428</x:v>
      </x:c>
      <x:c r="F858" s="74" t="n">
        <x:v>0.7570701508616938</x:v>
      </x:c>
      <x:c r="G858" s="74" t="n">
        <x:v>0.9535074657876008</x:v>
      </x:c>
      <x:c r="H858" s="74" t="n">
        <x:v>0.9185866610306659</x:v>
      </x:c>
      <x:c r="I858" s="74" t="n">
        <x:v>0.9809600169709403</x:v>
      </x:c>
      <x:c r="J858" s="74" t="n">
        <x:v>0.7810203178886815</x:v>
      </x:c>
      <x:c r="K858" s="74" t="n">
        <x:v>0.904974236986956</x:v>
      </x:c>
      <x:c r="L858" s="74" t="n">
        <x:v>0.7881444504609262</x:v>
      </x:c>
      <x:c r="M858" s="74" t="n">
        <x:v>1.0859132581448132</x:v>
      </x:c>
      <x:c r="N858" s="74" t="n">
        <x:v>0.9670853843948609</x:v>
      </x:c>
      <x:c r="O858" s="65" t="n">
        <x:v>545019.2773095064</x:v>
      </x:c>
      <x:c r="P858" s="65" t="n">
        <x:v>217160.74063486705</x:v>
      </x:c>
      <x:c r="Q858" s="65" t="n">
        <x:v>327858.53667463944</x:v>
      </x:c>
      <x:c r="R858" s="65" t="n">
        <x:v>89876.86484621918</x:v>
      </x:c>
      <x:c r="S858" s="65" t="n">
        <x:v>237981.67182842025</x:v>
      </x:c>
      <x:c r="T858" s="65" t="n">
        <x:v>198469.27240741978</x:v>
      </x:c>
      <x:c r="U858" s="43" t="n">
        <x:v>0.7625969031665244</x:v>
      </x:c>
      <x:c r="V858" s="43" t="n">
        <x:v>0.7522035561684794</x:v>
      </x:c>
      <x:c r="W858" s="43" t="n">
        <x:v>0.22085462546448972</x:v>
      </x:c>
      <x:c r="X858" s="65" t="n">
        <x:v>43988192.21825771</x:v>
      </x:c>
      <x:c r="Y858" s="65" t="n">
        <x:v>80.70942450954377</x:v>
      </x:c>
      <x:c r="Z858" s="65" t="n">
        <x:v>1302558.5842479307</x:v>
      </x:c>
      <x:c r="AA858" s="65" t="n">
        <x:v>244159.3082069708</x:v>
      </x:c>
      <x:c r="AB858" s="65" t="n">
        <x:v>2238.7695701502666</x:v>
      </x:c>
      <x:c r="AC858" s="65" t="n">
        <x:v>2214.821561161629</x:v>
      </x:c>
      <x:c r="AD858" s="65" t="n">
        <x:v>2503.453225441209</x:v>
      </x:c>
      <x:c r="AE858" s="65" t="n">
        <x:v>94024.05089277477</x:v>
      </x:c>
      <x:c r="AF858" s="65" t="n">
        <x:v>198469.27240741983</x:v>
      </x:c>
      <x:c r="AG858" s="65" t="n">
        <x:v>0</x:v>
      </x:c>
      <x:c r="AH858" s="34" t="n">
        <x:v>0</x:v>
      </x:c>
    </x:row>
    <x:row r="859" ht="21.600000381469727" hidden="0" customHeight="1">
      <x:c r="A859" s="36" t="n">
        <x:v>214</x:v>
      </x:c>
      <x:c r="B859" s="36" t="str">
        <x:v>P2</x:v>
      </x:c>
      <x:c r="C859" s="36" t="str">
        <x:v>slow</x:v>
      </x:c>
      <x:c r="D859" s="75" t="n">
        <x:v>1.1329789084404702</x:v>
      </x:c>
      <x:c r="E859" s="75" t="n">
        <x:v>-0.021652902778562428</x:v>
      </x:c>
      <x:c r="F859" s="75" t="n">
        <x:v>0.7570701508616938</x:v>
      </x:c>
      <x:c r="G859" s="75" t="n">
        <x:v>0.9535074657876008</x:v>
      </x:c>
      <x:c r="H859" s="75" t="n">
        <x:v>0.9185866610306659</x:v>
      </x:c>
      <x:c r="I859" s="75" t="n">
        <x:v>0.9809600169709403</x:v>
      </x:c>
      <x:c r="J859" s="75" t="n">
        <x:v>0.7810203178886815</x:v>
      </x:c>
      <x:c r="K859" s="75" t="n">
        <x:v>0.904974236986956</x:v>
      </x:c>
      <x:c r="L859" s="75" t="n">
        <x:v>0.7881444504609262</x:v>
      </x:c>
      <x:c r="M859" s="75" t="n">
        <x:v>1.0859132581448132</x:v>
      </x:c>
      <x:c r="N859" s="75" t="n">
        <x:v>0.9670853843948609</x:v>
      </x:c>
      <x:c r="O859" s="66" t="n">
        <x:v>545019.2773095064</x:v>
      </x:c>
      <x:c r="P859" s="66" t="n">
        <x:v>314598.0598983539</x:v>
      </x:c>
      <x:c r="Q859" s="66" t="n">
        <x:v>230421.21741115267</x:v>
      </x:c>
      <x:c r="R859" s="66" t="n">
        <x:v>89876.86484621918</x:v>
      </x:c>
      <x:c r="S859" s="66" t="n">
        <x:v>140544.35256493348</x:v>
      </x:c>
      <x:c r="T859" s="66" t="n">
        <x:v>129938.17695739592</x:v>
      </x:c>
      <x:c r="U859" s="45" t="n">
        <x:v>0.8156339699582879</x:v>
      </x:c>
      <x:c r="V859" s="45" t="n">
        <x:v>0.8087622159394268</x:v>
      </x:c>
      <x:c r="W859" s="45" t="n">
        <x:v>0.3245298504197788</x:v>
      </x:c>
      <x:c r="X859" s="66" t="n">
        <x:v>30204174.97839952</x:v>
      </x:c>
      <x:c r="Y859" s="66" t="n">
        <x:v>55.41854432654704</x:v>
      </x:c>
      <x:c r="Z859" s="66" t="n">
        <x:v>805383.8891525209</x:v>
      </x:c>
      <x:c r="AA859" s="66" t="n">
        <x:v>173280.75104092335</x:v>
      </x:c>
      <x:c r="AB859" s="66" t="n">
        <x:v>0</x:v>
      </x:c>
      <x:c r="AC859" s="66" t="n">
        <x:v>0</x:v>
      </x:c>
      <x:c r="AD859" s="66" t="n">
        <x:v>2186.9572233580584</x:v>
      </x:c>
      <x:c r="AE859" s="66" t="n">
        <x:v>39418.98497803694</x:v>
      </x:c>
      <x:c r="AF859" s="66" t="n">
        <x:v>129938.17695739595</x:v>
      </x:c>
      <x:c r="AG859" s="66" t="n">
        <x:v>0</x:v>
      </x:c>
      <x:c r="AH859" s="36" t="n">
        <x:v>0</x:v>
      </x:c>
    </x:row>
    <x:row r="860" ht="21.600000381469727" hidden="0" customHeight="1">
      <x:c r="A860" s="34" t="n">
        <x:v>214</x:v>
      </x:c>
      <x:c r="B860" s="34" t="str">
        <x:v>H3</x:v>
      </x:c>
      <x:c r="C860" s="34" t="str">
        <x:v>slow</x:v>
      </x:c>
      <x:c r="D860" s="74" t="n">
        <x:v>1.1329789084404702</x:v>
      </x:c>
      <x:c r="E860" s="74" t="n">
        <x:v>-0.021652902778562428</x:v>
      </x:c>
      <x:c r="F860" s="74" t="n">
        <x:v>0.7570701508616938</x:v>
      </x:c>
      <x:c r="G860" s="74" t="n">
        <x:v>0.9535074657876008</x:v>
      </x:c>
      <x:c r="H860" s="74" t="n">
        <x:v>0.9185866610306659</x:v>
      </x:c>
      <x:c r="I860" s="74" t="n">
        <x:v>0.9809600169709403</x:v>
      </x:c>
      <x:c r="J860" s="74" t="n">
        <x:v>0.7810203178886815</x:v>
      </x:c>
      <x:c r="K860" s="74" t="n">
        <x:v>0.904974236986956</x:v>
      </x:c>
      <x:c r="L860" s="74" t="n">
        <x:v>0.7881444504609262</x:v>
      </x:c>
      <x:c r="M860" s="74" t="n">
        <x:v>1.0859132581448132</x:v>
      </x:c>
      <x:c r="N860" s="74" t="n">
        <x:v>0.9670853843948609</x:v>
      </x:c>
      <x:c r="O860" s="65" t="n">
        <x:v>545019.2773095064</x:v>
      </x:c>
      <x:c r="P860" s="65" t="n">
        <x:v>326350.2757888051</x:v>
      </x:c>
      <x:c r="Q860" s="65" t="n">
        <x:v>218669.0015207014</x:v>
      </x:c>
      <x:c r="R860" s="65" t="n">
        <x:v>89876.86484621918</x:v>
      </x:c>
      <x:c r="S860" s="65" t="n">
        <x:v>128792.13667448223</x:v>
      </x:c>
      <x:c r="T860" s="65" t="n">
        <x:v>121677.02671675691</x:v>
      </x:c>
      <x:c r="U860" s="43" t="n">
        <x:v>0.8220393684371197</x:v>
      </x:c>
      <x:c r="V860" s="43" t="n">
        <x:v>0.8157221472649219</x:v>
      </x:c>
      <x:c r="W860" s="43" t="n">
        <x:v>0.33757730874559083</x:v>
      </x:c>
      <x:c r="X860" s="65" t="n">
        <x:v>25666572.056859024</x:v>
      </x:c>
      <x:c r="Y860" s="65" t="n">
        <x:v>47.092961892214774</x:v>
      </x:c>
      <x:c r="Z860" s="65" t="n">
        <x:v>828365.3637223837</x:v>
      </x:c>
      <x:c r="AA860" s="65" t="n">
        <x:v>142676.128806244</x:v>
      </x:c>
      <x:c r="AB860" s="65" t="n">
        <x:v>1948.479821645914</x:v>
      </x:c>
      <x:c r="AC860" s="65" t="n">
        <x:v>1651.4744314392306</x:v>
      </x:c>
      <x:c r="AD860" s="65" t="n">
        <x:v>2151.2200051021255</x:v>
      </x:c>
      <x:c r="AE860" s="65" t="n">
        <x:v>0</x:v>
      </x:c>
      <x:c r="AF860" s="65" t="n">
        <x:v>121677.02671675707</x:v>
      </x:c>
      <x:c r="AG860" s="65" t="n">
        <x:v>0</x:v>
      </x:c>
      <x:c r="AH860" s="34" t="n">
        <x:v>0</x:v>
      </x:c>
    </x:row>
    <x:row r="861" ht="21.600000381469727" hidden="0" customHeight="1">
      <x:c r="A861" s="36" t="n">
        <x:v>215</x:v>
      </x:c>
      <x:c r="B861" s="36" t="str">
        <x:v>M0</x:v>
      </x:c>
      <x:c r="C861" s="36" t="str">
        <x:v>fast</x:v>
      </x:c>
      <x:c r="D861" s="75" t="n">
        <x:v>0.9709218967504294</x:v>
      </x:c>
      <x:c r="E861" s="75" t="n">
        <x:v>-0.0036716282495181593</x:v>
      </x:c>
      <x:c r="F861" s="75" t="n">
        <x:v>0.902038653298149</x:v>
      </x:c>
      <x:c r="G861" s="75" t="n">
        <x:v>1.1870913457566348</x:v>
      </x:c>
      <x:c r="H861" s="75" t="n">
        <x:v>0.7317368259148552</x:v>
      </x:c>
      <x:c r="I861" s="75" t="n">
        <x:v>0.845220403854357</x:v>
      </x:c>
      <x:c r="J861" s="75" t="n">
        <x:v>0.8928060188955315</x:v>
      </x:c>
      <x:c r="K861" s="75" t="n">
        <x:v>0.8850242317027048</x:v>
      </x:c>
      <x:c r="L861" s="75" t="n">
        <x:v>0.8523010526607093</x:v>
      </x:c>
      <x:c r="M861" s="75" t="n">
        <x:v>0.7631875704631206</x:v>
      </x:c>
      <x:c r="N861" s="75" t="n">
        <x:v>0.812508664131492</x:v>
      </x:c>
      <x:c r="O861" s="66" t="n">
        <x:v>467061.7842474147</x:v>
      </x:c>
      <x:c r="P861" s="66" t="n">
        <x:v>64138.73053998935</x:v>
      </x:c>
      <x:c r="Q861" s="66" t="n">
        <x:v>402923.05370742537</x:v>
      </x:c>
      <x:c r="R861" s="66" t="n">
        <x:v>85419.58468892812</x:v>
      </x:c>
      <x:c r="S861" s="66" t="n">
        <x:v>317503.4690184973</x:v>
      </x:c>
      <x:c r="T861" s="66" t="n">
        <x:v>239160.80483908247</x:v>
      </x:c>
      <x:c r="U861" s="45" t="n">
        <x:v>0.6493777603059175</x:v>
      </x:c>
      <x:c r="V861" s="45" t="n">
        <x:v>0.680199597077606</x:v>
      </x:c>
      <x:c r="W861" s="45" t="n">
        <x:v>0.14012816873621584</x:v>
      </x:c>
      <x:c r="X861" s="66" t="n">
        <x:v>53210147.383699454</x:v>
      </x:c>
      <x:c r="Y861" s="66" t="n">
        <x:v>113.92528607202996</x:v>
      </x:c>
      <x:c r="Z861" s="66" t="n">
        <x:v>3824583.519166959</x:v>
      </x:c>
      <x:c r="AA861" s="66" t="n">
        <x:v>292278.1837135866</x:v>
      </x:c>
      <x:c r="AB861" s="66" t="n">
        <x:v>27270.85522143299</x:v>
      </x:c>
      <x:c r="AC861" s="66" t="n">
        <x:v>0</x:v>
      </x:c>
      <x:c r="AD861" s="66" t="n">
        <x:v>1972.5455658447731</x:v>
      </x:c>
      <x:c r="AE861" s="66" t="n">
        <x:v>215760.5553120955</x:v>
      </x:c>
      <x:c r="AF861" s="66" t="n">
        <x:v>218932.82857058977</x:v>
      </x:c>
      <x:c r="AG861" s="66" t="n">
        <x:v>20227.976268492697</x:v>
      </x:c>
      <x:c r="AH861" s="36" t="n">
        <x:v>0</x:v>
      </x:c>
    </x:row>
    <x:row r="862" ht="21.600000381469727" hidden="0" customHeight="1">
      <x:c r="A862" s="34" t="n">
        <x:v>215</x:v>
      </x:c>
      <x:c r="B862" s="34" t="str">
        <x:v>B1</x:v>
      </x:c>
      <x:c r="C862" s="34" t="str">
        <x:v>fast</x:v>
      </x:c>
      <x:c r="D862" s="74" t="n">
        <x:v>0.9709218967504294</x:v>
      </x:c>
      <x:c r="E862" s="74" t="n">
        <x:v>-0.0036716282495181593</x:v>
      </x:c>
      <x:c r="F862" s="74" t="n">
        <x:v>0.902038653298149</x:v>
      </x:c>
      <x:c r="G862" s="74" t="n">
        <x:v>1.1870913457566348</x:v>
      </x:c>
      <x:c r="H862" s="74" t="n">
        <x:v>0.7317368259148552</x:v>
      </x:c>
      <x:c r="I862" s="74" t="n">
        <x:v>0.845220403854357</x:v>
      </x:c>
      <x:c r="J862" s="74" t="n">
        <x:v>0.8928060188955315</x:v>
      </x:c>
      <x:c r="K862" s="74" t="n">
        <x:v>0.8850242317027048</x:v>
      </x:c>
      <x:c r="L862" s="74" t="n">
        <x:v>0.8523010526607093</x:v>
      </x:c>
      <x:c r="M862" s="74" t="n">
        <x:v>0.7631875704631206</x:v>
      </x:c>
      <x:c r="N862" s="74" t="n">
        <x:v>0.812508664131492</x:v>
      </x:c>
      <x:c r="O862" s="65" t="n">
        <x:v>467061.7842474147</x:v>
      </x:c>
      <x:c r="P862" s="65" t="n">
        <x:v>216959.505349686</x:v>
      </x:c>
      <x:c r="Q862" s="65" t="n">
        <x:v>250102.2788977287</x:v>
      </x:c>
      <x:c r="R862" s="65" t="n">
        <x:v>85419.58468892812</x:v>
      </x:c>
      <x:c r="S862" s="65" t="n">
        <x:v>164682.6942088006</x:v>
      </x:c>
      <x:c r="T862" s="65" t="n">
        <x:v>173934.06346112397</x:v>
      </x:c>
      <x:c r="U862" s="43" t="n">
        <x:v>0.8369204717544254</x:v>
      </x:c>
      <x:c r="V862" s="43" t="n">
        <x:v>0.8739387195904892</x:v>
      </x:c>
      <x:c r="W862" s="43" t="n">
        <x:v>0.5222000016254239</x:v>
      </x:c>
      <x:c r="X862" s="65" t="n">
        <x:v>33141702.774638128</x:v>
      </x:c>
      <x:c r="Y862" s="65" t="n">
        <x:v>70.95785588204346</x:v>
      </x:c>
      <x:c r="Z862" s="65" t="n">
        <x:v>1210468.9088111452</x:v>
      </x:c>
      <x:c r="AA862" s="65" t="n">
        <x:v>178741.44445506588</x:v>
      </x:c>
      <x:c r="AB862" s="65" t="n">
        <x:v>3139.3185881787017</x:v>
      </x:c>
      <x:c r="AC862" s="65" t="n">
        <x:v>0</x:v>
      </x:c>
      <x:c r="AD862" s="65" t="n">
        <x:v>1577.8119560787022</x:v>
      </x:c>
      <x:c r="AE862" s="65" t="n">
        <x:v>117387.59654551034</x:v>
      </x:c>
      <x:c r="AF862" s="65" t="n">
        <x:v>173934.06346112382</x:v>
      </x:c>
      <x:c r="AG862" s="65" t="n">
        <x:v>1.4551915228366852e-10</x:v>
      </x:c>
      <x:c r="AH862" s="34" t="n">
        <x:v>0</x:v>
      </x:c>
    </x:row>
    <x:row r="863" ht="21.600000381469727" hidden="0" customHeight="1">
      <x:c r="A863" s="36" t="n">
        <x:v>215</x:v>
      </x:c>
      <x:c r="B863" s="36" t="str">
        <x:v>P2</x:v>
      </x:c>
      <x:c r="C863" s="36" t="str">
        <x:v>fast</x:v>
      </x:c>
      <x:c r="D863" s="75" t="n">
        <x:v>0.9709218967504294</x:v>
      </x:c>
      <x:c r="E863" s="75" t="n">
        <x:v>-0.0036716282495181593</x:v>
      </x:c>
      <x:c r="F863" s="75" t="n">
        <x:v>0.902038653298149</x:v>
      </x:c>
      <x:c r="G863" s="75" t="n">
        <x:v>1.1870913457566348</x:v>
      </x:c>
      <x:c r="H863" s="75" t="n">
        <x:v>0.7317368259148552</x:v>
      </x:c>
      <x:c r="I863" s="75" t="n">
        <x:v>0.845220403854357</x:v>
      </x:c>
      <x:c r="J863" s="75" t="n">
        <x:v>0.8928060188955315</x:v>
      </x:c>
      <x:c r="K863" s="75" t="n">
        <x:v>0.8850242317027048</x:v>
      </x:c>
      <x:c r="L863" s="75" t="n">
        <x:v>0.8523010526607093</x:v>
      </x:c>
      <x:c r="M863" s="75" t="n">
        <x:v>0.7631875704631206</x:v>
      </x:c>
      <x:c r="N863" s="75" t="n">
        <x:v>0.812508664131492</x:v>
      </x:c>
      <x:c r="O863" s="66" t="n">
        <x:v>467061.7842474147</x:v>
      </x:c>
      <x:c r="P863" s="66" t="n">
        <x:v>314306.9373630721</x:v>
      </x:c>
      <x:c r="Q863" s="66" t="n">
        <x:v>152754.84688434258</x:v>
      </x:c>
      <x:c r="R863" s="66" t="n">
        <x:v>85419.58468892812</x:v>
      </x:c>
      <x:c r="S863" s="66" t="n">
        <x:v>67335.26219541449</x:v>
      </x:c>
      <x:c r="T863" s="66" t="n">
        <x:v>112301.54489507391</x:v>
      </x:c>
      <x:c r="U863" s="45" t="n">
        <x:v>0.9133876858402111</x:v>
      </x:c>
      <x:c r="V863" s="45" t="n">
        <x:v>0.9300204414143646</x:v>
      </x:c>
      <x:c r="W863" s="45" t="n">
        <x:v>0.7595344813767821</x:v>
      </x:c>
      <x:c r="X863" s="66" t="n">
        <x:v>19159499.724604327</x:v>
      </x:c>
      <x:c r="Y863" s="66" t="n">
        <x:v>41.02133886949536</x:v>
      </x:c>
      <x:c r="Z863" s="66" t="n">
        <x:v>702286.940747041</x:v>
      </x:c>
      <x:c r="AA863" s="66" t="n">
        <x:v>108524.0326325275</x:v>
      </x:c>
      <x:c r="AB863" s="66" t="n">
        <x:v>0</x:v>
      </x:c>
      <x:c r="AC863" s="66" t="n">
        <x:v>0</x:v>
      </x:c>
      <x:c r="AD863" s="66" t="n">
        <x:v>1339.3015503284278</x:v>
      </x:c>
      <x:c r="AE863" s="66" t="n">
        <x:v>75699.07332419217</x:v>
      </x:c>
      <x:c r="AF863" s="66" t="n">
        <x:v>112301.54489507395</x:v>
      </x:c>
      <x:c r="AG863" s="66" t="n">
        <x:v>0</x:v>
      </x:c>
      <x:c r="AH863" s="36" t="n">
        <x:v>0</x:v>
      </x:c>
    </x:row>
    <x:row r="864" ht="21.600000381469727" hidden="0" customHeight="1">
      <x:c r="A864" s="34" t="n">
        <x:v>215</x:v>
      </x:c>
      <x:c r="B864" s="34" t="str">
        <x:v>H3</x:v>
      </x:c>
      <x:c r="C864" s="34" t="str">
        <x:v>fast</x:v>
      </x:c>
      <x:c r="D864" s="74" t="n">
        <x:v>0.9709218967504294</x:v>
      </x:c>
      <x:c r="E864" s="74" t="n">
        <x:v>-0.0036716282495181593</x:v>
      </x:c>
      <x:c r="F864" s="74" t="n">
        <x:v>0.902038653298149</x:v>
      </x:c>
      <x:c r="G864" s="74" t="n">
        <x:v>1.1870913457566348</x:v>
      </x:c>
      <x:c r="H864" s="74" t="n">
        <x:v>0.7317368259148552</x:v>
      </x:c>
      <x:c r="I864" s="74" t="n">
        <x:v>0.845220403854357</x:v>
      </x:c>
      <x:c r="J864" s="74" t="n">
        <x:v>0.8928060188955315</x:v>
      </x:c>
      <x:c r="K864" s="74" t="n">
        <x:v>0.8850242317027048</x:v>
      </x:c>
      <x:c r="L864" s="74" t="n">
        <x:v>0.8523010526607093</x:v>
      </x:c>
      <x:c r="M864" s="74" t="n">
        <x:v>0.7631875704631206</x:v>
      </x:c>
      <x:c r="N864" s="74" t="n">
        <x:v>0.812508664131492</x:v>
      </x:c>
      <x:c r="O864" s="65" t="n">
        <x:v>467061.7842474147</x:v>
      </x:c>
      <x:c r="P864" s="65" t="n">
        <x:v>326048.35961690854</x:v>
      </x:c>
      <x:c r="Q864" s="65" t="n">
        <x:v>141013.42463050617</x:v>
      </x:c>
      <x:c r="R864" s="65" t="n">
        <x:v>85419.58468892812</x:v>
      </x:c>
      <x:c r="S864" s="65" t="n">
        <x:v>55593.83994157806</x:v>
      </x:c>
      <x:c r="T864" s="65" t="n">
        <x:v>139700.89745462593</x:v>
      </x:c>
      <x:c r="U864" s="43" t="n">
        <x:v>0.9971898210897405</x:v>
      </x:c>
      <x:c r="V864" s="43" t="n">
        <x:v>0.9982300219395839</x:v>
      </x:c>
      <x:c r="W864" s="43" t="n">
        <x:v>0.9718982108974054</x:v>
      </x:c>
      <x:c r="X864" s="65" t="n">
        <x:v>13290189.85215467</x:v>
      </x:c>
      <x:c r="Y864" s="65" t="n">
        <x:v>28.454886056604696</x:v>
      </x:c>
      <x:c r="Z864" s="65" t="n">
        <x:v>879930.2682102412</x:v>
      </x:c>
      <x:c r="AA864" s="65" t="n">
        <x:v>85905.14448271494</x:v>
      </x:c>
      <x:c r="AB864" s="65" t="n">
        <x:v>1458.6497020226102</x:v>
      </x:c>
      <x:c r="AC864" s="65" t="n">
        <x:v>0</x:v>
      </x:c>
      <x:c r="AD864" s="65" t="n">
        <x:v>1312.5271758802387</x:v>
      </x:c>
      <x:c r="AE864" s="65" t="n">
        <x:v>59953.48780370809</x:v>
      </x:c>
      <x:c r="AF864" s="65" t="n">
        <x:v>139700.897454626</x:v>
      </x:c>
      <x:c r="AG864" s="65" t="n">
        <x:v>0</x:v>
      </x:c>
      <x:c r="AH864" s="34" t="n">
        <x:v>1</x:v>
      </x:c>
    </x:row>
    <x:row r="865" ht="15" hidden="0" customHeight="1">
      <x:c r="A865" s="36" t="n">
        <x:v>216</x:v>
      </x:c>
      <x:c r="B865" s="36" t="str">
        <x:v>M0</x:v>
      </x:c>
      <x:c r="C865" s="36" t="str">
        <x:v>reference</x:v>
      </x:c>
      <x:c r="D865" s="75" t="n">
        <x:v>1.0729165132047305</x:v>
      </x:c>
      <x:c r="E865" s="75" t="n">
        <x:v>0.07506734702261855</x:v>
      </x:c>
      <x:c r="F865" s="75" t="n">
        <x:v>0.8372485206414277</x:v>
      </x:c>
      <x:c r="G865" s="75" t="n">
        <x:v>1.0766619920120464</x:v>
      </x:c>
      <x:c r="H865" s="75" t="n">
        <x:v>1.0094404530689145</x:v>
      </x:c>
      <x:c r="I865" s="75" t="n">
        <x:v>1.0253292104224272</x:v>
      </x:c>
      <x:c r="J865" s="75" t="n">
        <x:v>0.9418173349729517</x:v>
      </x:c>
      <x:c r="K865" s="75" t="n">
        <x:v>0.7861859398620086</x:v>
      </x:c>
      <x:c r="L865" s="75" t="n">
        <x:v>0.9693763508468418</x:v>
      </x:c>
      <x:c r="M865" s="75" t="n">
        <x:v>0.7973611496153666</x:v>
      </x:c>
      <x:c r="N865" s="75" t="n">
        <x:v>1.0082640300557908</x:v>
      </x:c>
      <x:c r="O865" s="66" t="n">
        <x:v>516126.274093833</x:v>
      </x:c>
      <x:c r="P865" s="66" t="n">
        <x:v>59445.22022168865</x:v>
      </x:c>
      <x:c r="Q865" s="66" t="n">
        <x:v>456681.0538721443</x:v>
      </x:c>
      <x:c r="R865" s="66" t="n">
        <x:v>135032.10187550337</x:v>
      </x:c>
      <x:c r="S865" s="66" t="n">
        <x:v>321648.95199664094</x:v>
      </x:c>
      <x:c r="T865" s="66" t="n">
        <x:v>306518.2162442277</x:v>
      </x:c>
      <x:c r="U865" s="45" t="n">
        <x:v>0.709057947318108</x:v>
      </x:c>
      <x:c r="V865" s="45" t="n">
        <x:v>0.7300665578121</x:v>
      </x:c>
      <x:c r="W865" s="45" t="n">
        <x:v>0.1228831547624247</x:v>
      </x:c>
      <x:c r="X865" s="66" t="n">
        <x:v>57480599.24226734</x:v>
      </x:c>
      <x:c r="Y865" s="66" t="n">
        <x:v>111.36925618287208</x:v>
      </x:c>
      <x:c r="Z865" s="66" t="n">
        <x:v>5456975.863657876</x:v>
      </x:c>
      <x:c r="AA865" s="66" t="n">
        <x:v>315701.56335605367</x:v>
      </x:c>
      <x:c r="AB865" s="66" t="n">
        <x:v>42599.50579794753</x:v>
      </x:c>
      <x:c r="AC865" s="66" t="n">
        <x:v>1521.3952427174113</x:v>
      </x:c>
      <x:c r="AD865" s="66" t="n">
        <x:v>2224.6278677226755</x:v>
      </x:c>
      <x:c r="AE865" s="66" t="n">
        <x:v>277480.212178621</x:v>
      </x:c>
      <x:c r="AF865" s="66" t="n">
        <x:v>306518.21624422754</x:v>
      </x:c>
      <x:c r="AG865" s="66" t="n">
        <x:v>1.7462298274040222e-10</x:v>
      </x:c>
      <x:c r="AH865" s="36" t="n">
        <x:v>0</x:v>
      </x:c>
    </x:row>
    <x:row r="866" ht="15" hidden="0" customHeight="1">
      <x:c r="A866" s="34" t="n">
        <x:v>216</x:v>
      </x:c>
      <x:c r="B866" s="34" t="str">
        <x:v>B1</x:v>
      </x:c>
      <x:c r="C866" s="34" t="str">
        <x:v>reference</x:v>
      </x:c>
      <x:c r="D866" s="74" t="n">
        <x:v>1.0729165132047305</x:v>
      </x:c>
      <x:c r="E866" s="74" t="n">
        <x:v>0.07506734702261855</x:v>
      </x:c>
      <x:c r="F866" s="74" t="n">
        <x:v>0.8372485206414277</x:v>
      </x:c>
      <x:c r="G866" s="74" t="n">
        <x:v>1.0766619920120464</x:v>
      </x:c>
      <x:c r="H866" s="74" t="n">
        <x:v>1.0094404530689145</x:v>
      </x:c>
      <x:c r="I866" s="74" t="n">
        <x:v>1.0253292104224272</x:v>
      </x:c>
      <x:c r="J866" s="74" t="n">
        <x:v>0.9418173349729517</x:v>
      </x:c>
      <x:c r="K866" s="74" t="n">
        <x:v>0.7861859398620086</x:v>
      </x:c>
      <x:c r="L866" s="74" t="n">
        <x:v>0.9693763508468418</x:v>
      </x:c>
      <x:c r="M866" s="74" t="n">
        <x:v>0.7973611496153666</x:v>
      </x:c>
      <x:c r="N866" s="74" t="n">
        <x:v>1.0082640300557908</x:v>
      </x:c>
      <x:c r="O866" s="65" t="n">
        <x:v>516126.274093833</x:v>
      </x:c>
      <x:c r="P866" s="65" t="n">
        <x:v>201085.2324005852</x:v>
      </x:c>
      <x:c r="Q866" s="65" t="n">
        <x:v>315041.04169324774</x:v>
      </x:c>
      <x:c r="R866" s="65" t="n">
        <x:v>135032.10187550337</x:v>
      </x:c>
      <x:c r="S866" s="65" t="n">
        <x:v>180008.9398177444</x:v>
      </x:c>
      <x:c r="T866" s="65" t="n">
        <x:v>196546.3832533656</x:v>
      </x:c>
      <x:c r="U866" s="43" t="n">
        <x:v>0.770415372385519</x:v>
      </x:c>
      <x:c r="V866" s="43" t="n">
        <x:v>0.7992953223224293</x:v>
      </x:c>
      <x:c r="W866" s="43" t="n">
        <x:v>0.3430763329775907</x:v>
      </x:c>
      <x:c r="X866" s="65" t="n">
        <x:v>40216524.331308685</x:v>
      </x:c>
      <x:c r="Y866" s="65" t="n">
        <x:v>77.91993229160278</x:v>
      </x:c>
      <x:c r="Z866" s="65" t="n">
        <x:v>2352575.953959531</x:v>
      </x:c>
      <x:c r="AA866" s="65" t="n">
        <x:v>219795.31572819856</x:v>
      </x:c>
      <x:c r="AB866" s="65" t="n">
        <x:v>5583.27210317753</x:v>
      </x:c>
      <x:c r="AC866" s="65" t="n">
        <x:v>46501.511738220965</x:v>
      </x:c>
      <x:c r="AD866" s="65" t="n">
        <x:v>1890.0273368196613</x:v>
      </x:c>
      <x:c r="AE866" s="65" t="n">
        <x:v>113666.66254031917</x:v>
      </x:c>
      <x:c r="AF866" s="65" t="n">
        <x:v>196546.3832533656</x:v>
      </x:c>
      <x:c r="AG866" s="65" t="n">
        <x:v>0</x:v>
      </x:c>
      <x:c r="AH866" s="34" t="n">
        <x:v>0</x:v>
      </x:c>
    </x:row>
    <x:row r="867" ht="15" hidden="0" customHeight="1">
      <x:c r="A867" s="36" t="n">
        <x:v>216</x:v>
      </x:c>
      <x:c r="B867" s="36" t="str">
        <x:v>P2</x:v>
      </x:c>
      <x:c r="C867" s="36" t="str">
        <x:v>reference</x:v>
      </x:c>
      <x:c r="D867" s="75" t="n">
        <x:v>1.0729165132047305</x:v>
      </x:c>
      <x:c r="E867" s="75" t="n">
        <x:v>0.07506734702261855</x:v>
      </x:c>
      <x:c r="F867" s="75" t="n">
        <x:v>0.8372485206414277</x:v>
      </x:c>
      <x:c r="G867" s="75" t="n">
        <x:v>1.0766619920120464</x:v>
      </x:c>
      <x:c r="H867" s="75" t="n">
        <x:v>1.0094404530689145</x:v>
      </x:c>
      <x:c r="I867" s="75" t="n">
        <x:v>1.0253292104224272</x:v>
      </x:c>
      <x:c r="J867" s="75" t="n">
        <x:v>0.9418173349729517</x:v>
      </x:c>
      <x:c r="K867" s="75" t="n">
        <x:v>0.7861859398620086</x:v>
      </x:c>
      <x:c r="L867" s="75" t="n">
        <x:v>0.9693763508468418</x:v>
      </x:c>
      <x:c r="M867" s="75" t="n">
        <x:v>0.7973611496153666</x:v>
      </x:c>
      <x:c r="N867" s="75" t="n">
        <x:v>1.0082640300557908</x:v>
      </x:c>
      <x:c r="O867" s="66" t="n">
        <x:v>516126.274093833</x:v>
      </x:c>
      <x:c r="P867" s="66" t="n">
        <x:v>291311.9031014646</x:v>
      </x:c>
      <x:c r="Q867" s="66" t="n">
        <x:v>224814.37099236838</x:v>
      </x:c>
      <x:c r="R867" s="66" t="n">
        <x:v>135032.10187550337</x:v>
      </x:c>
      <x:c r="S867" s="66" t="n">
        <x:v>89782.269116865</x:v>
      </x:c>
      <x:c r="T867" s="66" t="n">
        <x:v>117927.89091553948</x:v>
      </x:c>
      <x:c r="U867" s="45" t="n">
        <x:v>0.7929063381543782</x:v>
      </x:c>
      <x:c r="V867" s="45" t="n">
        <x:v>0.8263209123050629</x:v>
      </x:c>
      <x:c r="W867" s="45" t="n">
        <x:v>0.2924687444918696</x:v>
      </x:c>
      <x:c r="X867" s="66" t="n">
        <x:v>28692664.44454923</x:v>
      </x:c>
      <x:c r="Y867" s="66" t="n">
        <x:v>55.592334443591675</x:v>
      </x:c>
      <x:c r="Z867" s="66" t="n">
        <x:v>1687599.6396588008</x:v>
      </x:c>
      <x:c r="AA867" s="66" t="n">
        <x:v>162778.70917276817</x:v>
      </x:c>
      <x:c r="AB867" s="66" t="n">
        <x:v>50.524709460474185</x:v>
      </x:c>
      <x:c r="AC867" s="66" t="n">
        <x:v>43003.80820042587</x:v>
      </x:c>
      <x:c r="AD867" s="66" t="n">
        <x:v>1687.8512200273012</x:v>
      </x:c>
      <x:c r="AE867" s="66" t="n">
        <x:v>53423.913139462406</x:v>
      </x:c>
      <x:c r="AF867" s="66" t="n">
        <x:v>117927.89091553952</x:v>
      </x:c>
      <x:c r="AG867" s="66" t="n">
        <x:v>0</x:v>
      </x:c>
      <x:c r="AH867" s="36" t="n">
        <x:v>0</x:v>
      </x:c>
    </x:row>
    <x:row r="868" ht="15" hidden="0" customHeight="1">
      <x:c r="A868" s="34" t="n">
        <x:v>216</x:v>
      </x:c>
      <x:c r="B868" s="34" t="str">
        <x:v>H3</x:v>
      </x:c>
      <x:c r="C868" s="34" t="str">
        <x:v>reference</x:v>
      </x:c>
      <x:c r="D868" s="74" t="n">
        <x:v>1.0729165132047305</x:v>
      </x:c>
      <x:c r="E868" s="74" t="n">
        <x:v>0.07506734702261855</x:v>
      </x:c>
      <x:c r="F868" s="74" t="n">
        <x:v>0.8372485206414277</x:v>
      </x:c>
      <x:c r="G868" s="74" t="n">
        <x:v>1.0766619920120464</x:v>
      </x:c>
      <x:c r="H868" s="74" t="n">
        <x:v>1.0094404530689145</x:v>
      </x:c>
      <x:c r="I868" s="74" t="n">
        <x:v>1.0253292104224272</x:v>
      </x:c>
      <x:c r="J868" s="74" t="n">
        <x:v>0.9418173349729517</x:v>
      </x:c>
      <x:c r="K868" s="74" t="n">
        <x:v>0.7861859398620086</x:v>
      </x:c>
      <x:c r="L868" s="74" t="n">
        <x:v>0.9693763508468418</x:v>
      </x:c>
      <x:c r="M868" s="74" t="n">
        <x:v>0.7973611496153666</x:v>
      </x:c>
      <x:c r="N868" s="74" t="n">
        <x:v>1.0082640300557908</x:v>
      </x:c>
      <x:c r="O868" s="65" t="n">
        <x:v>516126.274093833</x:v>
      </x:c>
      <x:c r="P868" s="65" t="n">
        <x:v>302194.68490729586</x:v>
      </x:c>
      <x:c r="Q868" s="65" t="n">
        <x:v>213931.58918653708</x:v>
      </x:c>
      <x:c r="R868" s="65" t="n">
        <x:v>135032.10187550337</x:v>
      </x:c>
      <x:c r="S868" s="65" t="n">
        <x:v>78899.48731103372</x:v>
      </x:c>
      <x:c r="T868" s="65" t="n">
        <x:v>196544.26454925677</x:v>
      </x:c>
      <x:c r="U868" s="43" t="n">
        <x:v>0.9663118784878615</x:v>
      </x:c>
      <x:c r="V868" s="43" t="n">
        <x:v>0.967555025840648</x:v>
      </x:c>
      <x:c r="W868" s="43" t="n">
        <x:v>0.6631187848786152</x:v>
      </x:c>
      <x:c r="X868" s="65" t="n">
        <x:v>21147589.202369176</x:v>
      </x:c>
      <x:c r="Y868" s="65" t="n">
        <x:v>40.97367304057165</x:v>
      </x:c>
      <x:c r="Z868" s="65" t="n">
        <x:v>1622405.113146063</x:v>
      </x:c>
      <x:c r="AA868" s="65" t="n">
        <x:v>131105.20072412633</x:v>
      </x:c>
      <x:c r="AB868" s="65" t="n">
        <x:v>3737.1421668797325</x:v>
      </x:c>
      <x:c r="AC868" s="65" t="n">
        <x:v>15722.16902685734</x:v>
      </x:c>
      <x:c r="AD868" s="65" t="n">
        <x:v>1665.1556104229676</x:v>
      </x:c>
      <x:c r="AE868" s="65" t="n">
        <x:v>76018.24818722995</x:v>
      </x:c>
      <x:c r="AF868" s="65" t="n">
        <x:v>196544.2645492566</x:v>
      </x:c>
      <x:c r="AG868" s="65" t="n">
        <x:v>1.7462298274040222e-10</x:v>
      </x:c>
      <x:c r="AH868" s="34" t="n">
        <x:v>0</x:v>
      </x:c>
    </x:row>
    <x:row r="869" ht="21.600000381469727" hidden="0" customHeight="1">
      <x:c r="A869" s="36" t="n">
        <x:v>217</x:v>
      </x:c>
      <x:c r="B869" s="36" t="str">
        <x:v>M0</x:v>
      </x:c>
      <x:c r="C869" s="36" t="str">
        <x:v>reference</x:v>
      </x:c>
      <x:c r="D869" s="75" t="n">
        <x:v>1.0824158496679894</x:v>
      </x:c>
      <x:c r="E869" s="75" t="n">
        <x:v>-0.019635118523883013</x:v>
      </x:c>
      <x:c r="F869" s="75" t="n">
        <x:v>1.043301399139793</x:v>
      </x:c>
      <x:c r="G869" s="75" t="n">
        <x:v>1.1277258957182077</x:v>
      </x:c>
      <x:c r="H869" s="75" t="n">
        <x:v>0.7400274289669516</x:v>
      </x:c>
      <x:c r="I869" s="75" t="n">
        <x:v>0.8743682723746405</x:v>
      </x:c>
      <x:c r="J869" s="75" t="n">
        <x:v>1.0086075950640279</x:v>
      </x:c>
      <x:c r="K869" s="75" t="n">
        <x:v>0.7376504706017796</x:v>
      </x:c>
      <x:c r="L869" s="75" t="n">
        <x:v>1.0175015690098093</x:v>
      </x:c>
      <x:c r="M869" s="75" t="n">
        <x:v>0.9222969093552255</x:v>
      </x:c>
      <x:c r="N869" s="75" t="n">
        <x:v>0.9001838426148749</x:v>
      </x:c>
      <x:c r="O869" s="66" t="n">
        <x:v>520695.92799961637</x:v>
      </x:c>
      <x:c r="P869" s="66" t="n">
        <x:v>84317.77745495923</x:v>
      </x:c>
      <x:c r="Q869" s="66" t="n">
        <x:v>436378.15054465714</x:v>
      </x:c>
      <x:c r="R869" s="66" t="n">
        <x:v>86916.45440306692</x:v>
      </x:c>
      <x:c r="S869" s="66" t="n">
        <x:v>349461.69614159025</x:v>
      </x:c>
      <x:c r="T869" s="66" t="n">
        <x:v>243412.14879126748</x:v>
      </x:c>
      <x:c r="U869" s="45" t="n">
        <x:v>0.62940750757411</x:v>
      </x:c>
      <x:c r="V869" s="45" t="n">
        <x:v>0.6540714543687228</x:v>
      </x:c>
      <x:c r="W869" s="45" t="n">
        <x:v>0.16045930316222948</x:v>
      </x:c>
      <x:c r="X869" s="66" t="n">
        <x:v>59404956.332913786</x:v>
      </x:c>
      <x:c r="Y869" s="66" t="n">
        <x:v>114.08761455295566</x:v>
      </x:c>
      <x:c r="Z869" s="66" t="n">
        <x:v>3911785.748475666</x:v>
      </x:c>
      <x:c r="AA869" s="66" t="n">
        <x:v>322823.6643391856</x:v>
      </x:c>
      <x:c r="AB869" s="66" t="n">
        <x:v>28854.04702818725</x:v>
      </x:c>
      <x:c r="AC869" s="66" t="n">
        <x:v>0</x:v>
      </x:c>
      <x:c r="AD869" s="66" t="n">
        <x:v>2160.715847618525</x:v>
      </x:c>
      <x:c r="AE869" s="66" t="n">
        <x:v>191561.5594566507</x:v>
      </x:c>
      <x:c r="AF869" s="66" t="n">
        <x:v>243412.14879126765</x:v>
      </x:c>
      <x:c r="AG869" s="66" t="n">
        <x:v>0</x:v>
      </x:c>
      <x:c r="AH869" s="36" t="n">
        <x:v>0</x:v>
      </x:c>
    </x:row>
    <x:row r="870" ht="21.600000381469727" hidden="0" customHeight="1">
      <x:c r="A870" s="34" t="n">
        <x:v>217</x:v>
      </x:c>
      <x:c r="B870" s="34" t="str">
        <x:v>B1</x:v>
      </x:c>
      <x:c r="C870" s="34" t="str">
        <x:v>reference</x:v>
      </x:c>
      <x:c r="D870" s="74" t="n">
        <x:v>1.0824158496679894</x:v>
      </x:c>
      <x:c r="E870" s="74" t="n">
        <x:v>-0.019635118523883013</x:v>
      </x:c>
      <x:c r="F870" s="74" t="n">
        <x:v>1.043301399139793</x:v>
      </x:c>
      <x:c r="G870" s="74" t="n">
        <x:v>1.1277258957182077</x:v>
      </x:c>
      <x:c r="H870" s="74" t="n">
        <x:v>0.7400274289669516</x:v>
      </x:c>
      <x:c r="I870" s="74" t="n">
        <x:v>0.8743682723746405</x:v>
      </x:c>
      <x:c r="J870" s="74" t="n">
        <x:v>1.0086075950640279</x:v>
      </x:c>
      <x:c r="K870" s="74" t="n">
        <x:v>0.7376504706017796</x:v>
      </x:c>
      <x:c r="L870" s="74" t="n">
        <x:v>1.0175015690098093</x:v>
      </x:c>
      <x:c r="M870" s="74" t="n">
        <x:v>0.9222969093552255</x:v>
      </x:c>
      <x:c r="N870" s="74" t="n">
        <x:v>0.9001838426148749</x:v>
      </x:c>
      <x:c r="O870" s="65" t="n">
        <x:v>520695.92799961637</x:v>
      </x:c>
      <x:c r="P870" s="65" t="n">
        <x:v>285217.7761121144</x:v>
      </x:c>
      <x:c r="Q870" s="65" t="n">
        <x:v>235478.15188750197</x:v>
      </x:c>
      <x:c r="R870" s="65" t="n">
        <x:v>86916.45440306692</x:v>
      </x:c>
      <x:c r="S870" s="65" t="n">
        <x:v>148561.69748443505</x:v>
      </x:c>
      <x:c r="T870" s="65" t="n">
        <x:v>175396.90190903886</x:v>
      </x:c>
      <x:c r="U870" s="43" t="n">
        <x:v>0.8846135589934796</x:v>
      </x:c>
      <x:c r="V870" s="43" t="n">
        <x:v>0.9030391924116954</x:v>
      </x:c>
      <x:c r="W870" s="43" t="n">
        <x:v>0.603304576577261</x:v>
      </x:c>
      <x:c r="X870" s="65" t="n">
        <x:v>31825090.481192876</x:v>
      </x:c>
      <x:c r="Y870" s="65" t="n">
        <x:v>61.12029837348051</x:v>
      </x:c>
      <x:c r="Z870" s="65" t="n">
        <x:v>1142400.6281849716</x:v>
      </x:c>
      <x:c r="AA870" s="65" t="n">
        <x:v>164737.93457026687</x:v>
      </x:c>
      <x:c r="AB870" s="65" t="n">
        <x:v>2017.681509439502</x:v>
      </x:c>
      <x:c r="AC870" s="65" t="n">
        <x:v>0</x:v>
      </x:c>
      <x:c r="AD870" s="65" t="n">
        <x:v>1633.8287782311963</x:v>
      </x:c>
      <x:c r="AE870" s="65" t="n">
        <x:v>114360.25983588854</x:v>
      </x:c>
      <x:c r="AF870" s="65" t="n">
        <x:v>175396.90190903886</x:v>
      </x:c>
      <x:c r="AG870" s="65" t="n">
        <x:v>0</x:v>
      </x:c>
      <x:c r="AH870" s="34" t="n">
        <x:v>0</x:v>
      </x:c>
    </x:row>
    <x:row r="871" ht="21.600000381469727" hidden="0" customHeight="1">
      <x:c r="A871" s="36" t="n">
        <x:v>217</x:v>
      </x:c>
      <x:c r="B871" s="36" t="str">
        <x:v>P2</x:v>
      </x:c>
      <x:c r="C871" s="36" t="str">
        <x:v>reference</x:v>
      </x:c>
      <x:c r="D871" s="75" t="n">
        <x:v>1.0824158496679894</x:v>
      </x:c>
      <x:c r="E871" s="75" t="n">
        <x:v>-0.019635118523883013</x:v>
      </x:c>
      <x:c r="F871" s="75" t="n">
        <x:v>1.043301399139793</x:v>
      </x:c>
      <x:c r="G871" s="75" t="n">
        <x:v>1.1277258957182077</x:v>
      </x:c>
      <x:c r="H871" s="75" t="n">
        <x:v>0.7400274289669516</x:v>
      </x:c>
      <x:c r="I871" s="75" t="n">
        <x:v>0.8743682723746405</x:v>
      </x:c>
      <x:c r="J871" s="75" t="n">
        <x:v>1.0086075950640279</x:v>
      </x:c>
      <x:c r="K871" s="75" t="n">
        <x:v>0.7376504706017796</x:v>
      </x:c>
      <x:c r="L871" s="75" t="n">
        <x:v>1.0175015690098093</x:v>
      </x:c>
      <x:c r="M871" s="75" t="n">
        <x:v>0.9222969093552255</x:v>
      </x:c>
      <x:c r="N871" s="75" t="n">
        <x:v>0.9001838426148749</x:v>
      </x:c>
      <x:c r="O871" s="66" t="n">
        <x:v>520695.92799961637</x:v>
      </x:c>
      <x:c r="P871" s="66" t="n">
        <x:v>413191.4979735932</x:v>
      </x:c>
      <x:c r="Q871" s="66" t="n">
        <x:v>107504.43002602323</x:v>
      </x:c>
      <x:c r="R871" s="66" t="n">
        <x:v>86916.45440306692</x:v>
      </x:c>
      <x:c r="S871" s="66" t="n">
        <x:v>20587.975622956306</x:v>
      </x:c>
      <x:c r="T871" s="66" t="n">
        <x:v>96008.68491794179</x:v>
      </x:c>
      <x:c r="U871" s="45" t="n">
        <x:v>0.9779223449043568</x:v>
      </x:c>
      <x:c r="V871" s="45" t="n">
        <x:v>0.978805494657525</x:v>
      </x:c>
      <x:c r="W871" s="45" t="n">
        <x:v>0.8090304059851642</x:v>
      </x:c>
      <x:c r="X871" s="66" t="n">
        <x:v>13762758.422621071</x:v>
      </x:c>
      <x:c r="Y871" s="66" t="n">
        <x:v>26.43146927515671</x:v>
      </x:c>
      <x:c r="Z871" s="66" t="n">
        <x:v>604418.5782039342</x:v>
      </x:c>
      <x:c r="AA871" s="66" t="n">
        <x:v>75960.54582150778</x:v>
      </x:c>
      <x:c r="AB871" s="66" t="n">
        <x:v>0</x:v>
      </x:c>
      <x:c r="AC871" s="66" t="n">
        <x:v>0</x:v>
      </x:c>
      <x:c r="AD871" s="66" t="n">
        <x:v>1315.4671145800608</x:v>
      </x:c>
      <x:c r="AE871" s="66" t="n">
        <x:v>59432.144490326915</x:v>
      </x:c>
      <x:c r="AF871" s="66" t="n">
        <x:v>96008.68491794184</x:v>
      </x:c>
      <x:c r="AG871" s="66" t="n">
        <x:v>0</x:v>
      </x:c>
      <x:c r="AH871" s="36" t="n">
        <x:v>1</x:v>
      </x:c>
    </x:row>
    <x:row r="872" ht="21.600000381469727" hidden="0" customHeight="1">
      <x:c r="A872" s="34" t="n">
        <x:v>217</x:v>
      </x:c>
      <x:c r="B872" s="34" t="str">
        <x:v>H3</x:v>
      </x:c>
      <x:c r="C872" s="34" t="str">
        <x:v>reference</x:v>
      </x:c>
      <x:c r="D872" s="74" t="n">
        <x:v>1.0824158496679894</x:v>
      </x:c>
      <x:c r="E872" s="74" t="n">
        <x:v>-0.019635118523883013</x:v>
      </x:c>
      <x:c r="F872" s="74" t="n">
        <x:v>1.043301399139793</x:v>
      </x:c>
      <x:c r="G872" s="74" t="n">
        <x:v>1.1277258957182077</x:v>
      </x:c>
      <x:c r="H872" s="74" t="n">
        <x:v>0.7400274289669516</x:v>
      </x:c>
      <x:c r="I872" s="74" t="n">
        <x:v>0.8743682723746405</x:v>
      </x:c>
      <x:c r="J872" s="74" t="n">
        <x:v>1.0086075950640279</x:v>
      </x:c>
      <x:c r="K872" s="74" t="n">
        <x:v>0.7376504706017796</x:v>
      </x:c>
      <x:c r="L872" s="74" t="n">
        <x:v>1.0175015690098093</x:v>
      </x:c>
      <x:c r="M872" s="74" t="n">
        <x:v>0.9222969093552255</x:v>
      </x:c>
      <x:c r="N872" s="74" t="n">
        <x:v>0.9001838426148749</x:v>
      </x:c>
      <x:c r="O872" s="65" t="n">
        <x:v>520695.92799961637</x:v>
      </x:c>
      <x:c r="P872" s="65" t="n">
        <x:v>425049.65211647976</x:v>
      </x:c>
      <x:c r="Q872" s="65" t="n">
        <x:v>95646.27588313662</x:v>
      </x:c>
      <x:c r="R872" s="65" t="n">
        <x:v>86916.45440306692</x:v>
      </x:c>
      <x:c r="S872" s="65" t="n">
        <x:v>8729.821480069699</x:v>
      </x:c>
      <x:c r="T872" s="65" t="n">
        <x:v>94354.42169592867</x:v>
      </x:c>
      <x:c r="U872" s="43" t="n">
        <x:v>0.99751898542366</x:v>
      </x:c>
      <x:c r="V872" s="43" t="n">
        <x:v>0.998437420662275</x:v>
      </x:c>
      <x:c r="W872" s="43" t="n">
        <x:v>0.9751898542365998</x:v>
      </x:c>
      <x:c r="X872" s="65" t="n">
        <x:v>10924197.966893796</x:v>
      </x:c>
      <x:c r="Y872" s="65" t="n">
        <x:v>20.979995001808128</x:v>
      </x:c>
      <x:c r="Z872" s="65" t="n">
        <x:v>573401.2848055558</x:v>
      </x:c>
      <x:c r="AA872" s="65" t="n">
        <x:v>70826.1205609231</x:v>
      </x:c>
      <x:c r="AB872" s="65" t="n">
        <x:v>801.7051900324997</x:v>
      </x:c>
      <x:c r="AC872" s="65" t="n">
        <x:v>0</x:v>
      </x:c>
      <x:c r="AD872" s="65" t="n">
        <x:v>1291.8541872079468</x:v>
      </x:c>
      <x:c r="AE872" s="65" t="n">
        <x:v>58914.61338886592</x:v>
      </x:c>
      <x:c r="AF872" s="65" t="n">
        <x:v>94354.42169592869</x:v>
      </x:c>
      <x:c r="AG872" s="65" t="n">
        <x:v>0</x:v>
      </x:c>
      <x:c r="AH872" s="34" t="n">
        <x:v>1</x:v>
      </x:c>
    </x:row>
    <x:row r="873" ht="21.600000381469727" hidden="0" customHeight="1">
      <x:c r="A873" s="36" t="n">
        <x:v>218</x:v>
      </x:c>
      <x:c r="B873" s="36" t="str">
        <x:v>M0</x:v>
      </x:c>
      <x:c r="C873" s="36" t="str">
        <x:v>reference</x:v>
      </x:c>
      <x:c r="D873" s="75" t="n">
        <x:v>1.0507336126116873</x:v>
      </x:c>
      <x:c r="E873" s="75" t="n">
        <x:v>-0.032432604394806656</x:v>
      </x:c>
      <x:c r="F873" s="75" t="n">
        <x:v>1.0104601582434658</x:v>
      </x:c>
      <x:c r="G873" s="75" t="n">
        <x:v>1.3436196386886503</x:v>
      </x:c>
      <x:c r="H873" s="75" t="n">
        <x:v>1.0757229832169548</x:v>
      </x:c>
      <x:c r="I873" s="75" t="n">
        <x:v>0.9622282648978794</x:v>
      </x:c>
      <x:c r="J873" s="75" t="n">
        <x:v>0.8810274467725852</x:v>
      </x:c>
      <x:c r="K873" s="75" t="n">
        <x:v>0.9192281590507074</x:v>
      </x:c>
      <x:c r="L873" s="75" t="n">
        <x:v>1.0236513910777012</x:v>
      </x:c>
      <x:c r="M873" s="75" t="n">
        <x:v>0.8708553216012149</x:v>
      </x:c>
      <x:c r="N873" s="75" t="n">
        <x:v>0.9618114125369779</x:v>
      </x:c>
      <x:c r="O873" s="66" t="n">
        <x:v>505455.1942001296</x:v>
      </x:c>
      <x:c r="P873" s="66" t="n">
        <x:v>80491.31396750693</x:v>
      </x:c>
      <x:c r="Q873" s="66" t="n">
        <x:v>424963.88023262273</x:v>
      </x:c>
      <x:c r="R873" s="66" t="n">
        <x:v>77903.86008795907</x:v>
      </x:c>
      <x:c r="S873" s="66" t="n">
        <x:v>347060.02014466363</x:v>
      </x:c>
      <x:c r="T873" s="66" t="n">
        <x:v>312217.8814607419</x:v>
      </x:c>
      <x:c r="U873" s="45" t="n">
        <x:v>0.7769416556292422</x:v>
      </x:c>
      <x:c r="V873" s="45" t="n">
        <x:v>0.7768921356905835</x:v>
      </x:c>
      <x:c r="W873" s="45" t="n">
        <x:v>0.16799919059012067</x:v>
      </x:c>
      <x:c r="X873" s="66" t="n">
        <x:v>52857062.70198879</x:v>
      </x:c>
      <x:c r="Y873" s="66" t="n">
        <x:v>104.57319127095684</x:v>
      </x:c>
      <x:c r="Z873" s="66" t="n">
        <x:v>6708154.531112386</x:v>
      </x:c>
      <x:c r="AA873" s="66" t="n">
        <x:v>278287.8500867319</x:v>
      </x:c>
      <x:c r="AB873" s="66" t="n">
        <x:v>55520.29571488516</x:v>
      </x:c>
      <x:c r="AC873" s="66" t="n">
        <x:v>8157.6590846914605</x:v>
      </x:c>
      <x:c r="AD873" s="66" t="n">
        <x:v>2098.620648849053</x:v>
      </x:c>
      <x:c r="AE873" s="66" t="n">
        <x:v>256817.54409861198</x:v>
      </x:c>
      <x:c r="AF873" s="66" t="n">
        <x:v>312217.88146074204</x:v>
      </x:c>
      <x:c r="AG873" s="66" t="n">
        <x:v>0</x:v>
      </x:c>
      <x:c r="AH873" s="36" t="n">
        <x:v>0</x:v>
      </x:c>
    </x:row>
    <x:row r="874" ht="21.600000381469727" hidden="0" customHeight="1">
      <x:c r="A874" s="34" t="n">
        <x:v>218</x:v>
      </x:c>
      <x:c r="B874" s="34" t="str">
        <x:v>B1</x:v>
      </x:c>
      <x:c r="C874" s="34" t="str">
        <x:v>reference</x:v>
      </x:c>
      <x:c r="D874" s="74" t="n">
        <x:v>1.0507336126116873</x:v>
      </x:c>
      <x:c r="E874" s="74" t="n">
        <x:v>-0.032432604394806656</x:v>
      </x:c>
      <x:c r="F874" s="74" t="n">
        <x:v>1.0104601582434658</x:v>
      </x:c>
      <x:c r="G874" s="74" t="n">
        <x:v>1.3436196386886503</x:v>
      </x:c>
      <x:c r="H874" s="74" t="n">
        <x:v>1.0757229832169548</x:v>
      </x:c>
      <x:c r="I874" s="74" t="n">
        <x:v>0.9622282648978794</x:v>
      </x:c>
      <x:c r="J874" s="74" t="n">
        <x:v>0.8810274467725852</x:v>
      </x:c>
      <x:c r="K874" s="74" t="n">
        <x:v>0.9192281590507074</x:v>
      </x:c>
      <x:c r="L874" s="74" t="n">
        <x:v>1.0236513910777012</x:v>
      </x:c>
      <x:c r="M874" s="74" t="n">
        <x:v>0.8708553216012149</x:v>
      </x:c>
      <x:c r="N874" s="74" t="n">
        <x:v>0.9618114125369779</x:v>
      </x:c>
      <x:c r="O874" s="65" t="n">
        <x:v>505455.1942001296</x:v>
      </x:c>
      <x:c r="P874" s="65" t="n">
        <x:v>272273.7494368004</x:v>
      </x:c>
      <x:c r="Q874" s="65" t="n">
        <x:v>233181.4447633292</x:v>
      </x:c>
      <x:c r="R874" s="65" t="n">
        <x:v>77903.86008795907</x:v>
      </x:c>
      <x:c r="S874" s="65" t="n">
        <x:v>155277.58467537016</x:v>
      </x:c>
      <x:c r="T874" s="65" t="n">
        <x:v>229188.3793212113</x:v>
      </x:c>
      <x:c r="U874" s="43" t="n">
        <x:v>0.9921000605237883</x:v>
      </x:c>
      <x:c r="V874" s="43" t="n">
        <x:v>0.9958860037636482</x:v>
      </x:c>
      <x:c r="W874" s="43" t="n">
        <x:v>0.9210006052378817</x:v>
      </x:c>
      <x:c r="X874" s="65" t="n">
        <x:v>27474218.596928466</x:v>
      </x:c>
      <x:c r="Y874" s="65" t="n">
        <x:v>54.35539868257906</x:v>
      </x:c>
      <x:c r="Z874" s="65" t="n">
        <x:v>2073440.9431951703</x:v>
      </x:c>
      <x:c r="AA874" s="65" t="n">
        <x:v>142728.33031350962</x:v>
      </x:c>
      <x:c r="AB874" s="65" t="n">
        <x:v>9560.882993557461</x:v>
      </x:c>
      <x:c r="AC874" s="65" t="n">
        <x:v>4959.3053236577125</x:v>
      </x:c>
      <x:c r="AD874" s="65" t="n">
        <x:v>1589.7568997735552</x:v>
      </x:c>
      <x:c r="AE874" s="65" t="n">
        <x:v>146087.8732780165</x:v>
      </x:c>
      <x:c r="AF874" s="65" t="n">
        <x:v>229188.379321211</x:v>
      </x:c>
      <x:c r="AG874" s="65" t="n">
        <x:v>3.2014213502407074e-10</x:v>
      </x:c>
      <x:c r="AH874" s="34" t="n">
        <x:v>1</x:v>
      </x:c>
    </x:row>
    <x:row r="875" ht="21.600000381469727" hidden="0" customHeight="1">
      <x:c r="A875" s="36" t="n">
        <x:v>218</x:v>
      </x:c>
      <x:c r="B875" s="36" t="str">
        <x:v>P2</x:v>
      </x:c>
      <x:c r="C875" s="36" t="str">
        <x:v>reference</x:v>
      </x:c>
      <x:c r="D875" s="75" t="n">
        <x:v>1.0507336126116873</x:v>
      </x:c>
      <x:c r="E875" s="75" t="n">
        <x:v>-0.032432604394806656</x:v>
      </x:c>
      <x:c r="F875" s="75" t="n">
        <x:v>1.0104601582434658</x:v>
      </x:c>
      <x:c r="G875" s="75" t="n">
        <x:v>1.3436196386886503</x:v>
      </x:c>
      <x:c r="H875" s="75" t="n">
        <x:v>1.0757229832169548</x:v>
      </x:c>
      <x:c r="I875" s="75" t="n">
        <x:v>0.9622282648978794</x:v>
      </x:c>
      <x:c r="J875" s="75" t="n">
        <x:v>0.8810274467725852</x:v>
      </x:c>
      <x:c r="K875" s="75" t="n">
        <x:v>0.9192281590507074</x:v>
      </x:c>
      <x:c r="L875" s="75" t="n">
        <x:v>1.0236513910777012</x:v>
      </x:c>
      <x:c r="M875" s="75" t="n">
        <x:v>0.8708553216012149</x:v>
      </x:c>
      <x:c r="N875" s="75" t="n">
        <x:v>0.9618114125369779</x:v>
      </x:c>
      <x:c r="O875" s="66" t="n">
        <x:v>505455.1942001296</x:v>
      </x:c>
      <x:c r="P875" s="66" t="n">
        <x:v>394439.29525117355</x:v>
      </x:c>
      <x:c r="Q875" s="66" t="n">
        <x:v>111015.89894895612</x:v>
      </x:c>
      <x:c r="R875" s="66" t="n">
        <x:v>77903.86008795907</x:v>
      </x:c>
      <x:c r="S875" s="66" t="n">
        <x:v>33112.038860997054</x:v>
      </x:c>
      <x:c r="T875" s="66" t="n">
        <x:v>109733.61345840848</x:v>
      </x:c>
      <x:c r="U875" s="45" t="n">
        <x:v>0.9974631075013942</x:v>
      </x:c>
      <x:c r="V875" s="45" t="n">
        <x:v>0.998401979323929</x:v>
      </x:c>
      <x:c r="W875" s="45" t="n">
        <x:v>0.974631075013942</x:v>
      </x:c>
      <x:c r="X875" s="66" t="n">
        <x:v>13312716.463346995</x:v>
      </x:c>
      <x:c r="Y875" s="66" t="n">
        <x:v>26.3380743062974</x:v>
      </x:c>
      <x:c r="Z875" s="66" t="n">
        <x:v>661905.4212995099</x:v>
      </x:c>
      <x:c r="AA875" s="66" t="n">
        <x:v>74409.27013884668</x:v>
      </x:c>
      <x:c r="AB875" s="66" t="n">
        <x:v>119.44459127508327</x:v>
      </x:c>
      <x:c r="AC875" s="66" t="n">
        <x:v>101.28886001878325</x:v>
      </x:c>
      <x:c r="AD875" s="66" t="n">
        <x:v>1282.2854905476493</x:v>
      </x:c>
      <x:c r="AE875" s="66" t="n">
        <x:v>58788.896642077816</x:v>
      </x:c>
      <x:c r="AF875" s="66" t="n">
        <x:v>109733.6134584085</x:v>
      </x:c>
      <x:c r="AG875" s="66" t="n">
        <x:v>0</x:v>
      </x:c>
      <x:c r="AH875" s="36" t="n">
        <x:v>1</x:v>
      </x:c>
    </x:row>
    <x:row r="876" ht="21.600000381469727" hidden="0" customHeight="1">
      <x:c r="A876" s="34" t="n">
        <x:v>218</x:v>
      </x:c>
      <x:c r="B876" s="34" t="str">
        <x:v>H3</x:v>
      </x:c>
      <x:c r="C876" s="34" t="str">
        <x:v>reference</x:v>
      </x:c>
      <x:c r="D876" s="74" t="n">
        <x:v>1.0507336126116873</x:v>
      </x:c>
      <x:c r="E876" s="74" t="n">
        <x:v>-0.032432604394806656</x:v>
      </x:c>
      <x:c r="F876" s="74" t="n">
        <x:v>1.0104601582434658</x:v>
      </x:c>
      <x:c r="G876" s="74" t="n">
        <x:v>1.3436196386886503</x:v>
      </x:c>
      <x:c r="H876" s="74" t="n">
        <x:v>1.0757229832169548</x:v>
      </x:c>
      <x:c r="I876" s="74" t="n">
        <x:v>0.9622282648978794</x:v>
      </x:c>
      <x:c r="J876" s="74" t="n">
        <x:v>0.8810274467725852</x:v>
      </x:c>
      <x:c r="K876" s="74" t="n">
        <x:v>0.9192281590507074</x:v>
      </x:c>
      <x:c r="L876" s="74" t="n">
        <x:v>1.0236513910777012</x:v>
      </x:c>
      <x:c r="M876" s="74" t="n">
        <x:v>0.8708553216012149</x:v>
      </x:c>
      <x:c r="N876" s="74" t="n">
        <x:v>0.9618114125369779</x:v>
      </x:c>
      <x:c r="O876" s="65" t="n">
        <x:v>505455.1942001296</x:v>
      </x:c>
      <x:c r="P876" s="65" t="n">
        <x:v>409174.0240460984</x:v>
      </x:c>
      <x:c r="Q876" s="65" t="n">
        <x:v>96281.17015403126</x:v>
      </x:c>
      <x:c r="R876" s="65" t="n">
        <x:v>77903.86008795907</x:v>
      </x:c>
      <x:c r="S876" s="65" t="n">
        <x:v>18377.310066072205</x:v>
      </x:c>
      <x:c r="T876" s="65" t="n">
        <x:v>95033.40036780616</x:v>
      </x:c>
      <x:c r="U876" s="43" t="n">
        <x:v>0.9975313938791357</x:v>
      </x:c>
      <x:c r="V876" s="43" t="n">
        <x:v>0.998445133005089</x:v>
      </x:c>
      <x:c r="W876" s="43" t="n">
        <x:v>0.9753139387913564</x:v>
      </x:c>
      <x:c r="X876" s="65" t="n">
        <x:v>10626649.225105071</x:v>
      </x:c>
      <x:c r="Y876" s="65" t="n">
        <x:v>21.023919324682147</x:v>
      </x:c>
      <x:c r="Z876" s="65" t="n">
        <x:v>687028.2491329149</x:v>
      </x:c>
      <x:c r="AA876" s="65" t="n">
        <x:v>69424.33586753035</x:v>
      </x:c>
      <x:c r="AB876" s="65" t="n">
        <x:v>4256.285815627254</x:v>
      </x:c>
      <x:c r="AC876" s="65" t="n">
        <x:v>1251.2695138053634</x:v>
      </x:c>
      <x:c r="AD876" s="65" t="n">
        <x:v>1247.7697862251034</x:v>
      </x:c>
      <x:c r="AE876" s="65" t="n">
        <x:v>57029.72815408692</x:v>
      </x:c>
      <x:c r="AF876" s="65" t="n">
        <x:v>95033.40036780617</x:v>
      </x:c>
      <x:c r="AG876" s="65" t="n">
        <x:v>0</x:v>
      </x:c>
      <x:c r="AH876" s="34" t="n">
        <x:v>1</x:v>
      </x:c>
    </x:row>
    <x:row r="877" ht="15" hidden="0" customHeight="1">
      <x:c r="A877" s="36" t="n">
        <x:v>219</x:v>
      </x:c>
      <x:c r="B877" s="36" t="str">
        <x:v>M0</x:v>
      </x:c>
      <x:c r="C877" s="36" t="str">
        <x:v>slow</x:v>
      </x:c>
      <x:c r="D877" s="75" t="n">
        <x:v>0.9610486158348808</x:v>
      </x:c>
      <x:c r="E877" s="75" t="n">
        <x:v>0.037363230387746964</x:v>
      </x:c>
      <x:c r="F877" s="75" t="n">
        <x:v>0.9075552339679054</x:v>
      </x:c>
      <x:c r="G877" s="75" t="n">
        <x:v>1.0849466988715657</x:v>
      </x:c>
      <x:c r="H877" s="75" t="n">
        <x:v>0.7990637207069454</x:v>
      </x:c>
      <x:c r="I877" s="75" t="n">
        <x:v>0.843047137204515</x:v>
      </x:c>
      <x:c r="J877" s="75" t="n">
        <x:v>0.7982188550041005</x:v>
      </x:c>
      <x:c r="K877" s="75" t="n">
        <x:v>0.7276720474865098</x:v>
      </x:c>
      <x:c r="L877" s="75" t="n">
        <x:v>0.8353468844759955</x:v>
      </x:c>
      <x:c r="M877" s="75" t="n">
        <x:v>1.0721296456632232</x:v>
      </x:c>
      <x:c r="N877" s="75" t="n">
        <x:v>0.884787632484371</x:v>
      </x:c>
      <x:c r="O877" s="66" t="n">
        <x:v>462312.24443764624</x:v>
      </x:c>
      <x:c r="P877" s="66" t="n">
        <x:v>60666.4265857124</x:v>
      </x:c>
      <x:c r="Q877" s="66" t="n">
        <x:v>401645.8178519338</x:v>
      </x:c>
      <x:c r="R877" s="66" t="n">
        <x:v>103521.87262749333</x:v>
      </x:c>
      <x:c r="S877" s="66" t="n">
        <x:v>298123.9452244405</x:v>
      </x:c>
      <x:c r="T877" s="66" t="n">
        <x:v>253079.04424993764</x:v>
      </x:c>
      <x:c r="U877" s="45" t="n">
        <x:v>0.6786440865681332</x:v>
      </x:c>
      <x:c r="V877" s="45" t="n">
        <x:v>0.6665695785197117</x:v>
      </x:c>
      <x:c r="W877" s="45" t="n">
        <x:v>0.06673436792382685</x:v>
      </x:c>
      <x:c r="X877" s="66" t="n">
        <x:v>50880801.87410659</x:v>
      </x:c>
      <x:c r="Y877" s="66" t="n">
        <x:v>110.05722319986936</x:v>
      </x:c>
      <x:c r="Z877" s="66" t="n">
        <x:v>2902592.9602602855</x:v>
      </x:c>
      <x:c r="AA877" s="66" t="n">
        <x:v>282724.3003027501</x:v>
      </x:c>
      <x:c r="AB877" s="66" t="n">
        <x:v>20230.422264766505</x:v>
      </x:c>
      <x:c r="AC877" s="66" t="n">
        <x:v>929.327234032527</x:v>
      </x:c>
      <x:c r="AD877" s="66" t="n">
        <x:v>2556.567485627164</x:v>
      </x:c>
      <x:c r="AE877" s="66" t="n">
        <x:v>176633.392803288</x:v>
      </x:c>
      <x:c r="AF877" s="66" t="n">
        <x:v>253079.0442499377</x:v>
      </x:c>
      <x:c r="AG877" s="66" t="n">
        <x:v>0</x:v>
      </x:c>
      <x:c r="AH877" s="36" t="n">
        <x:v>0</x:v>
      </x:c>
    </x:row>
    <x:row r="878" ht="15" hidden="0" customHeight="1">
      <x:c r="A878" s="34" t="n">
        <x:v>219</x:v>
      </x:c>
      <x:c r="B878" s="34" t="str">
        <x:v>B1</x:v>
      </x:c>
      <x:c r="C878" s="34" t="str">
        <x:v>slow</x:v>
      </x:c>
      <x:c r="D878" s="74" t="n">
        <x:v>0.9610486158348808</x:v>
      </x:c>
      <x:c r="E878" s="74" t="n">
        <x:v>0.037363230387746964</x:v>
      </x:c>
      <x:c r="F878" s="74" t="n">
        <x:v>0.9075552339679054</x:v>
      </x:c>
      <x:c r="G878" s="74" t="n">
        <x:v>1.0849466988715657</x:v>
      </x:c>
      <x:c r="H878" s="74" t="n">
        <x:v>0.7990637207069454</x:v>
      </x:c>
      <x:c r="I878" s="74" t="n">
        <x:v>0.843047137204515</x:v>
      </x:c>
      <x:c r="J878" s="74" t="n">
        <x:v>0.7982188550041005</x:v>
      </x:c>
      <x:c r="K878" s="74" t="n">
        <x:v>0.7276720474865098</x:v>
      </x:c>
      <x:c r="L878" s="74" t="n">
        <x:v>0.8353468844759955</x:v>
      </x:c>
      <x:c r="M878" s="74" t="n">
        <x:v>1.0721296456632232</x:v>
      </x:c>
      <x:c r="N878" s="74" t="n">
        <x:v>0.884787632484371</x:v>
      </x:c>
      <x:c r="O878" s="65" t="n">
        <x:v>462312.24443764624</x:v>
      </x:c>
      <x:c r="P878" s="65" t="n">
        <x:v>205215.03389704946</x:v>
      </x:c>
      <x:c r="Q878" s="65" t="n">
        <x:v>257097.21054059674</x:v>
      </x:c>
      <x:c r="R878" s="65" t="n">
        <x:v>103521.87262749333</x:v>
      </x:c>
      <x:c r="S878" s="65" t="n">
        <x:v>153575.33791310343</x:v>
      </x:c>
      <x:c r="T878" s="65" t="n">
        <x:v>152645.36636418512</x:v>
      </x:c>
      <x:c r="U878" s="43" t="n">
        <x:v>0.7740664552299146</x:v>
      </x:c>
      <x:c r="V878" s="43" t="n">
        <x:v>0.7643102748582381</x:v>
      </x:c>
      <x:c r="W878" s="43" t="n">
        <x:v>0.23162682533051976</x:v>
      </x:c>
      <x:c r="X878" s="65" t="n">
        <x:v>33677867.83809993</x:v>
      </x:c>
      <x:c r="Y878" s="65" t="n">
        <x:v>72.84658419347183</x:v>
      </x:c>
      <x:c r="Z878" s="65" t="n">
        <x:v>1009738.0704456081</x:v>
      </x:c>
      <x:c r="AA878" s="65" t="n">
        <x:v>180752.77157343912</x:v>
      </x:c>
      <x:c r="AB878" s="65" t="n">
        <x:v>2330.205050259162</x:v>
      </x:c>
      <x:c r="AC878" s="65" t="n">
        <x:v>286.87245711757294</x:v>
      </x:c>
      <x:c r="AD878" s="65" t="n">
        <x:v>2092.47295686335</x:v>
      </x:c>
      <x:c r="AE878" s="65" t="n">
        <x:v>57088.30205587308</x:v>
      </x:c>
      <x:c r="AF878" s="65" t="n">
        <x:v>152645.36636418506</x:v>
      </x:c>
      <x:c r="AG878" s="65" t="n">
        <x:v>5.820766091346741e-11</x:v>
      </x:c>
      <x:c r="AH878" s="34" t="n">
        <x:v>0</x:v>
      </x:c>
    </x:row>
    <x:row r="879" ht="15" hidden="0" customHeight="1">
      <x:c r="A879" s="36" t="n">
        <x:v>219</x:v>
      </x:c>
      <x:c r="B879" s="36" t="str">
        <x:v>P2</x:v>
      </x:c>
      <x:c r="C879" s="36" t="str">
        <x:v>slow</x:v>
      </x:c>
      <x:c r="D879" s="75" t="n">
        <x:v>0.9610486158348808</x:v>
      </x:c>
      <x:c r="E879" s="75" t="n">
        <x:v>0.037363230387746964</x:v>
      </x:c>
      <x:c r="F879" s="75" t="n">
        <x:v>0.9075552339679054</x:v>
      </x:c>
      <x:c r="G879" s="75" t="n">
        <x:v>1.0849466988715657</x:v>
      </x:c>
      <x:c r="H879" s="75" t="n">
        <x:v>0.7990637207069454</x:v>
      </x:c>
      <x:c r="I879" s="75" t="n">
        <x:v>0.843047137204515</x:v>
      </x:c>
      <x:c r="J879" s="75" t="n">
        <x:v>0.7982188550041005</x:v>
      </x:c>
      <x:c r="K879" s="75" t="n">
        <x:v>0.7276720474865098</x:v>
      </x:c>
      <x:c r="L879" s="75" t="n">
        <x:v>0.8353468844759955</x:v>
      </x:c>
      <x:c r="M879" s="75" t="n">
        <x:v>1.0721296456632232</x:v>
      </x:c>
      <x:c r="N879" s="75" t="n">
        <x:v>0.884787632484371</x:v>
      </x:c>
      <x:c r="O879" s="66" t="n">
        <x:v>462312.24443764624</x:v>
      </x:c>
      <x:c r="P879" s="66" t="n">
        <x:v>297293.7855410597</x:v>
      </x:c>
      <x:c r="Q879" s="66" t="n">
        <x:v>165018.45889658658</x:v>
      </x:c>
      <x:c r="R879" s="66" t="n">
        <x:v>103521.87262749333</x:v>
      </x:c>
      <x:c r="S879" s="66" t="n">
        <x:v>61496.58626909324</x:v>
      </x:c>
      <x:c r="T879" s="66" t="n">
        <x:v>87470.27459180017</x:v>
      </x:c>
      <x:c r="U879" s="45" t="n">
        <x:v>0.8322601548243319</x:v>
      </x:c>
      <x:c r="V879" s="45" t="n">
        <x:v>0.8264244921887386</x:v>
      </x:c>
      <x:c r="W879" s="45" t="n">
        <x:v>0.3403588166633535</x:v>
      </x:c>
      <x:c r="X879" s="66" t="n">
        <x:v>21262020.258243546</x:v>
      </x:c>
      <x:c r="Y879" s="66" t="n">
        <x:v>45.990605946650916</x:v>
      </x:c>
      <x:c r="Z879" s="66" t="n">
        <x:v>553908.6955383451</x:v>
      </x:c>
      <x:c r="AA879" s="66" t="n">
        <x:v>117433.47051771222</x:v>
      </x:c>
      <x:c r="AB879" s="66" t="n">
        <x:v>0</x:v>
      </x:c>
      <x:c r="AC879" s="66" t="n">
        <x:v>0</x:v>
      </x:c>
      <x:c r="AD879" s="66" t="n">
        <x:v>1810.9109082820019</x:v>
      </x:c>
      <x:c r="AE879" s="66" t="n">
        <x:v>13031.885438663958</x:v>
      </x:c>
      <x:c r="AF879" s="66" t="n">
        <x:v>87470.27459180028</x:v>
      </x:c>
      <x:c r="AG879" s="66" t="n">
        <x:v>0</x:v>
      </x:c>
      <x:c r="AH879" s="36" t="n">
        <x:v>0</x:v>
      </x:c>
    </x:row>
    <x:row r="880" ht="15" hidden="0" customHeight="1">
      <x:c r="A880" s="34" t="n">
        <x:v>219</x:v>
      </x:c>
      <x:c r="B880" s="34" t="str">
        <x:v>H3</x:v>
      </x:c>
      <x:c r="C880" s="34" t="str">
        <x:v>slow</x:v>
      </x:c>
      <x:c r="D880" s="74" t="n">
        <x:v>0.9610486158348808</x:v>
      </x:c>
      <x:c r="E880" s="74" t="n">
        <x:v>0.037363230387746964</x:v>
      </x:c>
      <x:c r="F880" s="74" t="n">
        <x:v>0.9075552339679054</x:v>
      </x:c>
      <x:c r="G880" s="74" t="n">
        <x:v>1.0849466988715657</x:v>
      </x:c>
      <x:c r="H880" s="74" t="n">
        <x:v>0.7990637207069454</x:v>
      </x:c>
      <x:c r="I880" s="74" t="n">
        <x:v>0.843047137204515</x:v>
      </x:c>
      <x:c r="J880" s="74" t="n">
        <x:v>0.7982188550041005</x:v>
      </x:c>
      <x:c r="K880" s="74" t="n">
        <x:v>0.7276720474865098</x:v>
      </x:c>
      <x:c r="L880" s="74" t="n">
        <x:v>0.8353468844759955</x:v>
      </x:c>
      <x:c r="M880" s="74" t="n">
        <x:v>1.0721296456632232</x:v>
      </x:c>
      <x:c r="N880" s="74" t="n">
        <x:v>0.884787632484371</x:v>
      </x:c>
      <x:c r="O880" s="65" t="n">
        <x:v>462312.24443764624</x:v>
      </x:c>
      <x:c r="P880" s="65" t="n">
        <x:v>308399.84475036943</x:v>
      </x:c>
      <x:c r="Q880" s="65" t="n">
        <x:v>153912.39968727677</x:v>
      </x:c>
      <x:c r="R880" s="65" t="n">
        <x:v>103521.87262749333</x:v>
      </x:c>
      <x:c r="S880" s="65" t="n">
        <x:v>50390.527059783446</x:v>
      </x:c>
      <x:c r="T880" s="65" t="n">
        <x:v>79613.61721330299</x:v>
      </x:c>
      <x:c r="U880" s="43" t="n">
        <x:v>0.8392887418235043</x:v>
      </x:c>
      <x:c r="V880" s="43" t="n">
        <x:v>0.8340691243113603</x:v>
      </x:c>
      <x:c r="W880" s="43" t="n">
        <x:v>0.3540426656852343</x:v>
      </x:c>
      <x:c r="X880" s="65" t="n">
        <x:v>18847267.526668433</x:v>
      </x:c>
      <x:c r="Y880" s="65" t="n">
        <x:v>40.76739855677873</x:v>
      </x:c>
      <x:c r="Z880" s="65" t="n">
        <x:v>533542.6552842036</x:v>
      </x:c>
      <x:c r="AA880" s="65" t="n">
        <x:v>103880.62567367559</x:v>
      </x:c>
      <x:c r="AB880" s="65" t="n">
        <x:v>1802.865470119399</x:v>
      </x:c>
      <x:c r="AC880" s="65" t="n">
        <x:v>0</x:v>
      </x:c>
      <x:c r="AD880" s="65" t="n">
        <x:v>1779.118265352833</x:v>
      </x:c>
      <x:c r="AE880" s="65" t="n">
        <x:v>0</x:v>
      </x:c>
      <x:c r="AF880" s="65" t="n">
        <x:v>79613.617213303</x:v>
      </x:c>
      <x:c r="AG880" s="65" t="n">
        <x:v>0</x:v>
      </x:c>
      <x:c r="AH880" s="34" t="n">
        <x:v>0</x:v>
      </x:c>
    </x:row>
    <x:row r="881" ht="21.600000381469727" hidden="0" customHeight="1">
      <x:c r="A881" s="36" t="n">
        <x:v>220</x:v>
      </x:c>
      <x:c r="B881" s="36" t="str">
        <x:v>M0</x:v>
      </x:c>
      <x:c r="C881" s="36" t="str">
        <x:v>slow</x:v>
      </x:c>
      <x:c r="D881" s="75" t="n">
        <x:v>1.0701708175846836</x:v>
      </x:c>
      <x:c r="E881" s="75" t="n">
        <x:v>-0.015646098878005117</x:v>
      </x:c>
      <x:c r="F881" s="75" t="n">
        <x:v>0.7300976918962797</x:v>
      </x:c>
      <x:c r="G881" s="75" t="n">
        <x:v>1.1893334471065757</x:v>
      </x:c>
      <x:c r="H881" s="75" t="n">
        <x:v>0.9267635360085233</x:v>
      </x:c>
      <x:c r="I881" s="75" t="n">
        <x:v>0.8246601467079563</x:v>
      </x:c>
      <x:c r="J881" s="75" t="n">
        <x:v>1.0398556817751854</x:v>
      </x:c>
      <x:c r="K881" s="75" t="n">
        <x:v>0.8632090852712553</x:v>
      </x:c>
      <x:c r="L881" s="75" t="n">
        <x:v>0.9264621633517989</x:v>
      </x:c>
      <x:c r="M881" s="75" t="n">
        <x:v>0.8296857904335871</x:v>
      </x:c>
      <x:c r="N881" s="75" t="n">
        <x:v>0.8539157446952976</x:v>
      </x:c>
      <x:c r="O881" s="66" t="n">
        <x:v>514805.45776494854</x:v>
      </x:c>
      <x:c r="P881" s="66" t="n">
        <x:v>58058.31008803996</x:v>
      </x:c>
      <x:c r="Q881" s="66" t="n">
        <x:v>456747.1476769085</x:v>
      </x:c>
      <x:c r="R881" s="66" t="n">
        <x:v>87986.76481419984</x:v>
      </x:c>
      <x:c r="S881" s="66" t="n">
        <x:v>368760.3828627087</x:v>
      </x:c>
      <x:c r="T881" s="66" t="n">
        <x:v>273812.67917601095</x:v>
      </x:c>
      <x:c r="U881" s="45" t="n">
        <x:v>0.6446532068732993</x:v>
      </x:c>
      <x:c r="V881" s="45" t="n">
        <x:v>0.6366034508432019</x:v>
      </x:c>
      <x:c r="W881" s="45" t="n">
        <x:v>0.06058226482600388</x:v>
      </x:c>
      <x:c r="X881" s="66" t="n">
        <x:v>58164646.986066535</x:v>
      </x:c>
      <x:c r="Y881" s="66" t="n">
        <x:v>112.98374193348884</x:v>
      </x:c>
      <x:c r="Z881" s="66" t="n">
        <x:v>4312704.622175491</x:v>
      </x:c>
      <x:c r="AA881" s="66" t="n">
        <x:v>319471.52866331197</x:v>
      </x:c>
      <x:c r="AB881" s="66" t="n">
        <x:v>32948.68479285797</x:v>
      </x:c>
      <x:c r="AC881" s="66" t="n">
        <x:v>0</x:v>
      </x:c>
      <x:c r="AD881" s="66" t="n">
        <x:v>2867.8137345903174</x:v>
      </x:c>
      <x:c r="AE881" s="66" t="n">
        <x:v>249219.90572878637</x:v>
      </x:c>
      <x:c r="AF881" s="66" t="n">
        <x:v>273812.6791760108</x:v>
      </x:c>
      <x:c r="AG881" s="66" t="n">
        <x:v>1.7462298274040222e-10</x:v>
      </x:c>
      <x:c r="AH881" s="36" t="n">
        <x:v>0</x:v>
      </x:c>
    </x:row>
    <x:row r="882" ht="21.600000381469727" hidden="0" customHeight="1">
      <x:c r="A882" s="34" t="n">
        <x:v>220</x:v>
      </x:c>
      <x:c r="B882" s="34" t="str">
        <x:v>B1</x:v>
      </x:c>
      <x:c r="C882" s="34" t="str">
        <x:v>slow</x:v>
      </x:c>
      <x:c r="D882" s="74" t="n">
        <x:v>1.0701708175846836</x:v>
      </x:c>
      <x:c r="E882" s="74" t="n">
        <x:v>-0.015646098878005117</x:v>
      </x:c>
      <x:c r="F882" s="74" t="n">
        <x:v>0.7300976918962797</x:v>
      </x:c>
      <x:c r="G882" s="74" t="n">
        <x:v>1.1893334471065757</x:v>
      </x:c>
      <x:c r="H882" s="74" t="n">
        <x:v>0.9267635360085233</x:v>
      </x:c>
      <x:c r="I882" s="74" t="n">
        <x:v>0.8246601467079563</x:v>
      </x:c>
      <x:c r="J882" s="74" t="n">
        <x:v>1.0398556817751854</x:v>
      </x:c>
      <x:c r="K882" s="74" t="n">
        <x:v>0.8632090852712553</x:v>
      </x:c>
      <x:c r="L882" s="74" t="n">
        <x:v>0.9264621633517989</x:v>
      </x:c>
      <x:c r="M882" s="74" t="n">
        <x:v>0.8296857904335871</x:v>
      </x:c>
      <x:c r="N882" s="74" t="n">
        <x:v>0.8539157446952976</x:v>
      </x:c>
      <x:c r="O882" s="65" t="n">
        <x:v>514805.45776494854</x:v>
      </x:c>
      <x:c r="P882" s="65" t="n">
        <x:v>196391.2105038319</x:v>
      </x:c>
      <x:c r="Q882" s="65" t="n">
        <x:v>318414.24726111663</x:v>
      </x:c>
      <x:c r="R882" s="65" t="n">
        <x:v>87986.76481419984</x:v>
      </x:c>
      <x:c r="S882" s="65" t="n">
        <x:v>230427.48244691675</x:v>
      </x:c>
      <x:c r="T882" s="65" t="n">
        <x:v>193527.11362482456</x:v>
      </x:c>
      <x:c r="U882" s="43" t="n">
        <x:v>0.757409072198855</x:v>
      </x:c>
      <x:c r="V882" s="43" t="n">
        <x:v>0.7467872005024496</x:v>
      </x:c>
      <x:c r="W882" s="43" t="n">
        <x:v>0.2102736282599889</x:v>
      </x:c>
      <x:c r="X882" s="65" t="n">
        <x:v>41899534.41456053</x:v>
      </x:c>
      <x:c r="Y882" s="65" t="n">
        <x:v>81.38906412622211</x:v>
      </x:c>
      <x:c r="Z882" s="65" t="n">
        <x:v>1941371.3042240217</x:v>
      </x:c>
      <x:c r="AA882" s="65" t="n">
        <x:v>228871.38072621915</x:v>
      </x:c>
      <x:c r="AB882" s="65" t="n">
        <x:v>10928.687631624107</x:v>
      </x:c>
      <x:c r="AC882" s="65" t="n">
        <x:v>0</x:v>
      </x:c>
      <x:c r="AD882" s="65" t="n">
        <x:v>2398.6654326702715</x:v>
      </x:c>
      <x:c r="AE882" s="65" t="n">
        <x:v>119748.79328315082</x:v>
      </x:c>
      <x:c r="AF882" s="65" t="n">
        <x:v>193527.11362482462</x:v>
      </x:c>
      <x:c r="AG882" s="65" t="n">
        <x:v>0</x:v>
      </x:c>
      <x:c r="AH882" s="34" t="n">
        <x:v>0</x:v>
      </x:c>
    </x:row>
    <x:row r="883" ht="21.600000381469727" hidden="0" customHeight="1">
      <x:c r="A883" s="36" t="n">
        <x:v>220</x:v>
      </x:c>
      <x:c r="B883" s="36" t="str">
        <x:v>P2</x:v>
      </x:c>
      <x:c r="C883" s="36" t="str">
        <x:v>slow</x:v>
      </x:c>
      <x:c r="D883" s="75" t="n">
        <x:v>1.0701708175846836</x:v>
      </x:c>
      <x:c r="E883" s="75" t="n">
        <x:v>-0.015646098878005117</x:v>
      </x:c>
      <x:c r="F883" s="75" t="n">
        <x:v>0.7300976918962797</x:v>
      </x:c>
      <x:c r="G883" s="75" t="n">
        <x:v>1.1893334471065757</x:v>
      </x:c>
      <x:c r="H883" s="75" t="n">
        <x:v>0.9267635360085233</x:v>
      </x:c>
      <x:c r="I883" s="75" t="n">
        <x:v>0.8246601467079563</x:v>
      </x:c>
      <x:c r="J883" s="75" t="n">
        <x:v>1.0398556817751854</x:v>
      </x:c>
      <x:c r="K883" s="75" t="n">
        <x:v>0.8632090852712553</x:v>
      </x:c>
      <x:c r="L883" s="75" t="n">
        <x:v>0.9264621633517989</x:v>
      </x:c>
      <x:c r="M883" s="75" t="n">
        <x:v>0.8296857904335871</x:v>
      </x:c>
      <x:c r="N883" s="75" t="n">
        <x:v>0.8539157446952976</x:v>
      </x:c>
      <x:c r="O883" s="66" t="n">
        <x:v>514805.45776494854</x:v>
      </x:c>
      <x:c r="P883" s="66" t="n">
        <x:v>284509.620867226</x:v>
      </x:c>
      <x:c r="Q883" s="66" t="n">
        <x:v>230295.83689772253</x:v>
      </x:c>
      <x:c r="R883" s="66" t="n">
        <x:v>87986.76481419984</x:v>
      </x:c>
      <x:c r="S883" s="66" t="n">
        <x:v>142309.0720835227</x:v>
      </x:c>
      <x:c r="T883" s="66" t="n">
        <x:v>129480.43206061146</x:v>
      </x:c>
      <x:c r="U883" s="45" t="n">
        <x:v>0.804167956426092</x:v>
      </x:c>
      <x:c r="V883" s="45" t="n">
        <x:v>0.7986842023952756</x:v>
      </x:c>
      <x:c r="W883" s="45" t="n">
        <x:v>0.3089818426166964</x:v>
      </x:c>
      <x:c r="X883" s="66" t="n">
        <x:v>29884956.6744499</x:v>
      </x:c>
      <x:c r="Y883" s="66" t="n">
        <x:v>58.05097095162279</x:v>
      </x:c>
      <x:c r="Z883" s="66" t="n">
        <x:v>859577.1945286236</x:v>
      </x:c>
      <x:c r="AA883" s="66" t="n">
        <x:v>172612.36097736185</x:v>
      </x:c>
      <x:c r="AB883" s="66" t="n">
        <x:v>533.301365045244</x:v>
      </x:c>
      <x:c r="AC883" s="66" t="n">
        <x:v>7453.888701119101</x:v>
      </x:c>
      <x:c r="AD883" s="66" t="n">
        <x:v>2114.0373045841197</x:v>
      </x:c>
      <x:c r="AE883" s="66" t="n">
        <x:v>62875.003974378225</x:v>
      </x:c>
      <x:c r="AF883" s="66" t="n">
        <x:v>129480.43206061158</x:v>
      </x:c>
      <x:c r="AG883" s="66" t="n">
        <x:v>0</x:v>
      </x:c>
      <x:c r="AH883" s="36" t="n">
        <x:v>0</x:v>
      </x:c>
    </x:row>
    <x:row r="884" ht="21.600000381469727" hidden="0" customHeight="1">
      <x:c r="A884" s="34" t="n">
        <x:v>220</x:v>
      </x:c>
      <x:c r="B884" s="34" t="str">
        <x:v>H3</x:v>
      </x:c>
      <x:c r="C884" s="34" t="str">
        <x:v>slow</x:v>
      </x:c>
      <x:c r="D884" s="74" t="n">
        <x:v>1.0701708175846836</x:v>
      </x:c>
      <x:c r="E884" s="74" t="n">
        <x:v>-0.015646098878005117</x:v>
      </x:c>
      <x:c r="F884" s="74" t="n">
        <x:v>0.7300976918962797</x:v>
      </x:c>
      <x:c r="G884" s="74" t="n">
        <x:v>1.1893334471065757</x:v>
      </x:c>
      <x:c r="H884" s="74" t="n">
        <x:v>0.9267635360085233</x:v>
      </x:c>
      <x:c r="I884" s="74" t="n">
        <x:v>0.8246601467079563</x:v>
      </x:c>
      <x:c r="J884" s="74" t="n">
        <x:v>1.0398556817751854</x:v>
      </x:c>
      <x:c r="K884" s="74" t="n">
        <x:v>0.8632090852712553</x:v>
      </x:c>
      <x:c r="L884" s="74" t="n">
        <x:v>0.9264621633517989</x:v>
      </x:c>
      <x:c r="M884" s="74" t="n">
        <x:v>0.8296857904335871</x:v>
      </x:c>
      <x:c r="N884" s="74" t="n">
        <x:v>0.8539157446952976</x:v>
      </x:c>
      <x:c r="O884" s="65" t="n">
        <x:v>514805.45776494854</x:v>
      </x:c>
      <x:c r="P884" s="65" t="n">
        <x:v>295137.8686731515</x:v>
      </x:c>
      <x:c r="Q884" s="65" t="n">
        <x:v>219667.589091797</x:v>
      </x:c>
      <x:c r="R884" s="65" t="n">
        <x:v>87986.76481419984</x:v>
      </x:c>
      <x:c r="S884" s="65" t="n">
        <x:v>131680.82427759713</x:v>
      </x:c>
      <x:c r="T884" s="65" t="n">
        <x:v>124037.09379723854</x:v>
      </x:c>
      <x:c r="U884" s="43" t="n">
        <x:v>0.8142395465080292</x:v>
      </x:c>
      <x:c r="V884" s="43" t="n">
        <x:v>0.807519938065343</x:v>
      </x:c>
      <x:c r="W884" s="43" t="n">
        <x:v>0.3214042059517158</x:v>
      </x:c>
      <x:c r="X884" s="65" t="n">
        <x:v>25558918.608987756</x:v>
      </x:c>
      <x:c r="Y884" s="65" t="n">
        <x:v>49.64772269500205</x:v>
      </x:c>
      <x:c r="Z884" s="65" t="n">
        <x:v>914531.4927162582</x:v>
      </x:c>
      <x:c r="AA884" s="65" t="n">
        <x:v>141861.2331473013</x:v>
      </x:c>
      <x:c r="AB884" s="65" t="n">
        <x:v>4009.4091905126793</x:v>
      </x:c>
      <x:c r="AC884" s="65" t="n">
        <x:v>0</x:v>
      </x:c>
      <x:c r="AD884" s="65" t="n">
        <x:v>2081.8984545884095</x:v>
      </x:c>
      <x:c r="AE884" s="65" t="n">
        <x:v>14951.630528313646</x:v>
      </x:c>
      <x:c r="AF884" s="65" t="n">
        <x:v>124037.09379723863</x:v>
      </x:c>
      <x:c r="AG884" s="65" t="n">
        <x:v>0</x:v>
      </x:c>
      <x:c r="AH884" s="34" t="n">
        <x:v>0</x:v>
      </x:c>
    </x:row>
    <x:row r="885" ht="15" hidden="0" customHeight="1">
      <x:c r="A885" s="36" t="n">
        <x:v>221</x:v>
      </x:c>
      <x:c r="B885" s="36" t="str">
        <x:v>M0</x:v>
      </x:c>
      <x:c r="C885" s="36" t="str">
        <x:v>slow</x:v>
      </x:c>
      <x:c r="D885" s="75" t="n">
        <x:v>0.9715676376476121</x:v>
      </x:c>
      <x:c r="E885" s="75" t="n">
        <x:v>0.045928221712633645</x:v>
      </x:c>
      <x:c r="F885" s="75" t="n">
        <x:v>0.7462544382385848</x:v>
      </x:c>
      <x:c r="G885" s="75" t="n">
        <x:v>1.1316602540274439</x:v>
      </x:c>
      <x:c r="H885" s="75" t="n">
        <x:v>0.9688840193495508</x:v>
      </x:c>
      <x:c r="I885" s="75" t="n">
        <x:v>0.9880974614397984</x:v>
      </x:c>
      <x:c r="J885" s="75" t="n">
        <x:v>0.8298357727581185</x:v>
      </x:c>
      <x:c r="K885" s="75" t="n">
        <x:v>0.8590347358367729</x:v>
      </x:c>
      <x:c r="L885" s="75" t="n">
        <x:v>0.8613939255317002</x:v>
      </x:c>
      <x:c r="M885" s="75" t="n">
        <x:v>0.7744459756163923</x:v>
      </x:c>
      <x:c r="N885" s="75" t="n">
        <x:v>0.7645132325366278</x:v>
      </x:c>
      <x:c r="O885" s="66" t="n">
        <x:v>467372.4177768563</x:v>
      </x:c>
      <x:c r="P885" s="66" t="n">
        <x:v>49873.447102913124</x:v>
      </x:c>
      <x:c r="Q885" s="66" t="n">
        <x:v>417498.9706739431</x:v>
      </x:c>
      <x:c r="R885" s="66" t="n">
        <x:v>108657.99735875372</x:v>
      </x:c>
      <x:c r="S885" s="66" t="n">
        <x:v>308840.97331518936</x:v>
      </x:c>
      <x:c r="T885" s="66" t="n">
        <x:v>267460.12287185097</x:v>
      </x:c>
      <x:c r="U885" s="45" t="n">
        <x:v>0.6789736790292851</x:v>
      </x:c>
      <x:c r="V885" s="45" t="n">
        <x:v>0.6628966221249283</x:v>
      </x:c>
      <x:c r="W885" s="45" t="n">
        <x:v>0.05373459831945821</x:v>
      </x:c>
      <x:c r="X885" s="66" t="n">
        <x:v>50970145.01783557</x:v>
      </x:c>
      <x:c r="Y885" s="66" t="n">
        <x:v>109.05681011362317</x:v>
      </x:c>
      <x:c r="Z885" s="66" t="n">
        <x:v>2616857.736418299</x:v>
      </x:c>
      <x:c r="AA885" s="66" t="n">
        <x:v>286369.93022775894</x:v>
      </x:c>
      <x:c r="AB885" s="66" t="n">
        <x:v>15876.641651252747</x:v>
      </x:c>
      <x:c r="AC885" s="66" t="n">
        <x:v>1506.2276395582207</x:v>
      </x:c>
      <x:c r="AD885" s="66" t="n">
        <x:v>2624.760879113698</x:v>
      </x:c>
      <x:c r="AE885" s="66" t="n">
        <x:v>245442.1417747961</x:v>
      </x:c>
      <x:c r="AF885" s="66" t="n">
        <x:v>267460.122871851</x:v>
      </x:c>
      <x:c r="AG885" s="66" t="n">
        <x:v>0</x:v>
      </x:c>
      <x:c r="AH885" s="36" t="n">
        <x:v>0</x:v>
      </x:c>
    </x:row>
    <x:row r="886" ht="15" hidden="0" customHeight="1">
      <x:c r="A886" s="34" t="n">
        <x:v>221</x:v>
      </x:c>
      <x:c r="B886" s="34" t="str">
        <x:v>B1</x:v>
      </x:c>
      <x:c r="C886" s="34" t="str">
        <x:v>slow</x:v>
      </x:c>
      <x:c r="D886" s="74" t="n">
        <x:v>0.9715676376476121</x:v>
      </x:c>
      <x:c r="E886" s="74" t="n">
        <x:v>0.045928221712633645</x:v>
      </x:c>
      <x:c r="F886" s="74" t="n">
        <x:v>0.7462544382385848</x:v>
      </x:c>
      <x:c r="G886" s="74" t="n">
        <x:v>1.1316602540274439</x:v>
      </x:c>
      <x:c r="H886" s="74" t="n">
        <x:v>0.9688840193495508</x:v>
      </x:c>
      <x:c r="I886" s="74" t="n">
        <x:v>0.9880974614397984</x:v>
      </x:c>
      <x:c r="J886" s="74" t="n">
        <x:v>0.8298357727581185</x:v>
      </x:c>
      <x:c r="K886" s="74" t="n">
        <x:v>0.8590347358367729</x:v>
      </x:c>
      <x:c r="L886" s="74" t="n">
        <x:v>0.8613939255317002</x:v>
      </x:c>
      <x:c r="M886" s="74" t="n">
        <x:v>0.7744459756163923</x:v>
      </x:c>
      <x:c r="N886" s="74" t="n">
        <x:v>0.7645132325366278</x:v>
      </x:c>
      <x:c r="O886" s="65" t="n">
        <x:v>467372.4177768563</x:v>
      </x:c>
      <x:c r="P886" s="65" t="n">
        <x:v>168706.06158930447</x:v>
      </x:c>
      <x:c r="Q886" s="65" t="n">
        <x:v>298666.35618755175</x:v>
      </x:c>
      <x:c r="R886" s="65" t="n">
        <x:v>108657.99735875372</x:v>
      </x:c>
      <x:c r="S886" s="65" t="n">
        <x:v>190008.35882879805</x:v>
      </x:c>
      <x:c r="T886" s="65" t="n">
        <x:v>181643.802229604</x:v>
      </x:c>
      <x:c r="U886" s="43" t="n">
        <x:v>0.7496160459905031</x:v>
      </x:c>
      <x:c r="V886" s="43" t="n">
        <x:v>0.738733189180645</x:v>
      </x:c>
      <x:c r="W886" s="43" t="n">
        <x:v>0.18650621570812734</x:v>
      </x:c>
      <x:c r="X886" s="65" t="n">
        <x:v>37798685.92482855</x:v>
      </x:c>
      <x:c r="Y886" s="65" t="n">
        <x:v>80.87487512554767</x:v>
      </x:c>
      <x:c r="Z886" s="65" t="n">
        <x:v>1265665.7753409783</x:v>
      </x:c>
      <x:c r="AA886" s="65" t="n">
        <x:v>209537.5925884577</x:v>
      </x:c>
      <x:c r="AB886" s="65" t="n">
        <x:v>2318.5692744324015</x:v>
      </x:c>
      <x:c r="AC886" s="65" t="n">
        <x:v>1912.67576835269</x:v>
      </x:c>
      <x:c r="AD886" s="65" t="n">
        <x:v>2246.981205878363</x:v>
      </x:c>
      <x:c r="AE886" s="65" t="n">
        <x:v>115589.85893843936</x:v>
      </x:c>
      <x:c r="AF886" s="65" t="n">
        <x:v>181643.80222960378</x:v>
      </x:c>
      <x:c r="AG886" s="65" t="n">
        <x:v>2.3283064365386963e-10</x:v>
      </x:c>
      <x:c r="AH886" s="34" t="n">
        <x:v>0</x:v>
      </x:c>
    </x:row>
    <x:row r="887" ht="15" hidden="0" customHeight="1">
      <x:c r="A887" s="36" t="n">
        <x:v>221</x:v>
      </x:c>
      <x:c r="B887" s="36" t="str">
        <x:v>P2</x:v>
      </x:c>
      <x:c r="C887" s="36" t="str">
        <x:v>slow</x:v>
      </x:c>
      <x:c r="D887" s="75" t="n">
        <x:v>0.9715676376476121</x:v>
      </x:c>
      <x:c r="E887" s="75" t="n">
        <x:v>0.045928221712633645</x:v>
      </x:c>
      <x:c r="F887" s="75" t="n">
        <x:v>0.7462544382385848</x:v>
      </x:c>
      <x:c r="G887" s="75" t="n">
        <x:v>1.1316602540274439</x:v>
      </x:c>
      <x:c r="H887" s="75" t="n">
        <x:v>0.9688840193495508</x:v>
      </x:c>
      <x:c r="I887" s="75" t="n">
        <x:v>0.9880974614397984</x:v>
      </x:c>
      <x:c r="J887" s="75" t="n">
        <x:v>0.8298357727581185</x:v>
      </x:c>
      <x:c r="K887" s="75" t="n">
        <x:v>0.8590347358367729</x:v>
      </x:c>
      <x:c r="L887" s="75" t="n">
        <x:v>0.8613939255317002</x:v>
      </x:c>
      <x:c r="M887" s="75" t="n">
        <x:v>0.7744459756163923</x:v>
      </x:c>
      <x:c r="N887" s="75" t="n">
        <x:v>0.7645132325366278</x:v>
      </x:c>
      <x:c r="O887" s="66" t="n">
        <x:v>467372.4177768563</x:v>
      </x:c>
      <x:c r="P887" s="66" t="n">
        <x:v>244403.6285489693</x:v>
      </x:c>
      <x:c r="Q887" s="66" t="n">
        <x:v>222968.78922788694</x:v>
      </x:c>
      <x:c r="R887" s="66" t="n">
        <x:v>108657.99735875372</x:v>
      </x:c>
      <x:c r="S887" s="66" t="n">
        <x:v>114310.79186913325</x:v>
      </x:c>
      <x:c r="T887" s="66" t="n">
        <x:v>128010.02851216902</x:v>
      </x:c>
      <x:c r="U887" s="45" t="n">
        <x:v>0.7968242089094454</x:v>
      </x:c>
      <x:c r="V887" s="45" t="n">
        <x:v>0.7891291431835584</x:v>
      </x:c>
      <x:c r="W887" s="45" t="n">
        <x:v>0.2740573540573162</x:v>
      </x:c>
      <x:c r="X887" s="66" t="n">
        <x:v>28152314.04545251</x:v>
      </x:c>
      <x:c r="Y887" s="66" t="n">
        <x:v>60.2352919741482</x:v>
      </x:c>
      <x:c r="Z887" s="66" t="n">
        <x:v>798368.0079651936</x:v>
      </x:c>
      <x:c r="AA887" s="66" t="n">
        <x:v>163415.82946033787</x:v>
      </x:c>
      <x:c r="AB887" s="66" t="n">
        <x:v>0</x:v>
      </x:c>
      <x:c r="AC887" s="66" t="n">
        <x:v>4309.567097560199</x:v>
      </x:c>
      <x:c r="AD887" s="66" t="n">
        <x:v>2017.7856172299428</x:v>
      </x:c>
      <x:c r="AE887" s="66" t="n">
        <x:v>68377.99637431202</x:v>
      </x:c>
      <x:c r="AF887" s="66" t="n">
        <x:v>128010.02851216926</x:v>
      </x:c>
      <x:c r="AG887" s="66" t="n">
        <x:v>0</x:v>
      </x:c>
      <x:c r="AH887" s="36" t="n">
        <x:v>0</x:v>
      </x:c>
    </x:row>
    <x:row r="888" ht="15" hidden="0" customHeight="1">
      <x:c r="A888" s="34" t="n">
        <x:v>221</x:v>
      </x:c>
      <x:c r="B888" s="34" t="str">
        <x:v>H3</x:v>
      </x:c>
      <x:c r="C888" s="34" t="str">
        <x:v>slow</x:v>
      </x:c>
      <x:c r="D888" s="74" t="n">
        <x:v>0.9715676376476121</x:v>
      </x:c>
      <x:c r="E888" s="74" t="n">
        <x:v>0.045928221712633645</x:v>
      </x:c>
      <x:c r="F888" s="74" t="n">
        <x:v>0.7462544382385848</x:v>
      </x:c>
      <x:c r="G888" s="74" t="n">
        <x:v>1.1316602540274439</x:v>
      </x:c>
      <x:c r="H888" s="74" t="n">
        <x:v>0.9688840193495508</x:v>
      </x:c>
      <x:c r="I888" s="74" t="n">
        <x:v>0.9880974614397984</x:v>
      </x:c>
      <x:c r="J888" s="74" t="n">
        <x:v>0.8298357727581185</x:v>
      </x:c>
      <x:c r="K888" s="74" t="n">
        <x:v>0.8590347358367729</x:v>
      </x:c>
      <x:c r="L888" s="74" t="n">
        <x:v>0.8613939255317002</x:v>
      </x:c>
      <x:c r="M888" s="74" t="n">
        <x:v>0.7744459756163923</x:v>
      </x:c>
      <x:c r="N888" s="74" t="n">
        <x:v>0.7645132325366278</x:v>
      </x:c>
      <x:c r="O888" s="65" t="n">
        <x:v>467372.4177768563</x:v>
      </x:c>
      <x:c r="P888" s="65" t="n">
        <x:v>253533.89496484253</x:v>
      </x:c>
      <x:c r="Q888" s="65" t="n">
        <x:v>213838.52281201375</x:v>
      </x:c>
      <x:c r="R888" s="65" t="n">
        <x:v>108657.99735875372</x:v>
      </x:c>
      <x:c r="S888" s="65" t="n">
        <x:v>105180.52545326002</x:v>
      </x:c>
      <x:c r="T888" s="65" t="n">
        <x:v>121544.6338812898</x:v>
      </x:c>
      <x:c r="U888" s="43" t="n">
        <x:v>0.802526025455809</x:v>
      </x:c>
      <x:c r="V888" s="43" t="n">
        <x:v>0.7953317011735755</x:v>
      </x:c>
      <x:c r="W888" s="43" t="n">
        <x:v>0.2850756067737301</x:v>
      </x:c>
      <x:c r="X888" s="65" t="n">
        <x:v>24590338.519272048</x:v>
      </x:c>
      <x:c r="Y888" s="65" t="n">
        <x:v>52.614013116650234</x:v>
      </x:c>
      <x:c r="Z888" s="65" t="n">
        <x:v>830679.2067989139</x:v>
      </x:c>
      <x:c r="AA888" s="65" t="n">
        <x:v>136799.67117598874</x:v>
      </x:c>
      <x:c r="AB888" s="65" t="n">
        <x:v>2098.4443444304716</x:v>
      </x:c>
      <x:c r="AC888" s="65" t="n">
        <x:v>1628.3796270299367</x:v>
      </x:c>
      <x:c r="AD888" s="65" t="n">
        <x:v>1991.9059450669006</x:v>
      </x:c>
      <x:c r="AE888" s="65" t="n">
        <x:v>22463.71894454272</x:v>
      </x:c>
      <x:c r="AF888" s="65" t="n">
        <x:v>121544.63388128995</x:v>
      </x:c>
      <x:c r="AG888" s="65" t="n">
        <x:v>0</x:v>
      </x:c>
      <x:c r="AH888" s="34" t="n">
        <x:v>0</x:v>
      </x:c>
    </x:row>
    <x:row r="889" ht="15" hidden="0" customHeight="1">
      <x:c r="A889" s="36" t="n">
        <x:v>222</x:v>
      </x:c>
      <x:c r="B889" s="36" t="str">
        <x:v>M0</x:v>
      </x:c>
      <x:c r="C889" s="36" t="str">
        <x:v>slow</x:v>
      </x:c>
      <x:c r="D889" s="75" t="n">
        <x:v>1.0781176447811764</x:v>
      </x:c>
      <x:c r="E889" s="75" t="n">
        <x:v>-0.0234091896987993</x:v>
      </x:c>
      <x:c r="F889" s="75" t="n">
        <x:v>0.8660745494220373</x:v>
      </x:c>
      <x:c r="G889" s="75" t="n">
        <x:v>1.244027406421326</x:v>
      </x:c>
      <x:c r="H889" s="75" t="n">
        <x:v>0.9024902723327244</x:v>
      </x:c>
      <x:c r="I889" s="75" t="n">
        <x:v>0.9928218132435551</x:v>
      </x:c>
      <x:c r="J889" s="75" t="n">
        <x:v>1.0153045771455846</x:v>
      </x:c>
      <x:c r="K889" s="75" t="n">
        <x:v>0.8458344733150753</x:v>
      </x:c>
      <x:c r="L889" s="75" t="n">
        <x:v>0.8363427421550325</x:v>
      </x:c>
      <x:c r="M889" s="75" t="n">
        <x:v>0.7754345116064846</x:v>
      </x:c>
      <x:c r="N889" s="75" t="n">
        <x:v>0.8600177627435971</x:v>
      </x:c>
      <x:c r="O889" s="66" t="n">
        <x:v>518628.27739845595</x:v>
      </x:c>
      <x:c r="P889" s="66" t="n">
        <x:v>70032.56569048719</x:v>
      </x:c>
      <x:c r="Q889" s="66" t="n">
        <x:v>448595.7117079688</x:v>
      </x:c>
      <x:c r="R889" s="66" t="n">
        <x:v>84613.9746270222</x:v>
      </x:c>
      <x:c r="S889" s="66" t="n">
        <x:v>363981.73708094656</x:v>
      </x:c>
      <x:c r="T889" s="66" t="n">
        <x:v>285042.922310067</x:v>
      </x:c>
      <x:c r="U889" s="45" t="n">
        <x:v>0.6846435172831001</x:v>
      </x:c>
      <x:c r="V889" s="45" t="n">
        <x:v>0.6707590107380755</x:v>
      </x:c>
      <x:c r="W889" s="45" t="n">
        <x:v>0.07306350821021654</x:v>
      </x:c>
      <x:c r="X889" s="66" t="n">
        <x:v>57253772.53290614</x:v>
      </x:c>
      <x:c r="Y889" s="66" t="n">
        <x:v>110.39462178981564</x:v>
      </x:c>
      <x:c r="Z889" s="66" t="n">
        <x:v>2925818.4542493606</x:v>
      </x:c>
      <x:c r="AA889" s="66" t="n">
        <x:v>319441.6685690618</x:v>
      </x:c>
      <x:c r="AB889" s="66" t="n">
        <x:v>17202.16616206629</x:v>
      </x:c>
      <x:c r="AC889" s="66" t="n">
        <x:v>0</x:v>
      </x:c>
      <x:c r="AD889" s="66" t="n">
        <x:v>2846.2685262950886</x:v>
      </x:c>
      <x:c r="AE889" s="66" t="n">
        <x:v>260274.4107430514</x:v>
      </x:c>
      <x:c r="AF889" s="66" t="n">
        <x:v>285042.92231006705</x:v>
      </x:c>
      <x:c r="AG889" s="66" t="n">
        <x:v>0</x:v>
      </x:c>
      <x:c r="AH889" s="36" t="n">
        <x:v>0</x:v>
      </x:c>
    </x:row>
    <x:row r="890" ht="15" hidden="0" customHeight="1">
      <x:c r="A890" s="34" t="n">
        <x:v>222</x:v>
      </x:c>
      <x:c r="B890" s="34" t="str">
        <x:v>B1</x:v>
      </x:c>
      <x:c r="C890" s="34" t="str">
        <x:v>slow</x:v>
      </x:c>
      <x:c r="D890" s="74" t="n">
        <x:v>1.0781176447811764</x:v>
      </x:c>
      <x:c r="E890" s="74" t="n">
        <x:v>-0.0234091896987993</x:v>
      </x:c>
      <x:c r="F890" s="74" t="n">
        <x:v>0.8660745494220373</x:v>
      </x:c>
      <x:c r="G890" s="74" t="n">
        <x:v>1.244027406421326</x:v>
      </x:c>
      <x:c r="H890" s="74" t="n">
        <x:v>0.9024902723327244</x:v>
      </x:c>
      <x:c r="I890" s="74" t="n">
        <x:v>0.9928218132435551</x:v>
      </x:c>
      <x:c r="J890" s="74" t="n">
        <x:v>1.0153045771455846</x:v>
      </x:c>
      <x:c r="K890" s="74" t="n">
        <x:v>0.8458344733150753</x:v>
      </x:c>
      <x:c r="L890" s="74" t="n">
        <x:v>0.8363427421550325</x:v>
      </x:c>
      <x:c r="M890" s="74" t="n">
        <x:v>0.7754345116064846</x:v>
      </x:c>
      <x:c r="N890" s="74" t="n">
        <x:v>0.8600177627435971</x:v>
      </x:c>
      <x:c r="O890" s="65" t="n">
        <x:v>518628.27739845595</x:v>
      </x:c>
      <x:c r="P890" s="65" t="n">
        <x:v>236895.7516168526</x:v>
      </x:c>
      <x:c r="Q890" s="65" t="n">
        <x:v>281732.5257816034</x:v>
      </x:c>
      <x:c r="R890" s="65" t="n">
        <x:v>84613.9746270222</x:v>
      </x:c>
      <x:c r="S890" s="65" t="n">
        <x:v>197118.5511545812</x:v>
      </x:c>
      <x:c r="T890" s="65" t="n">
        <x:v>167600.11597213836</x:v>
      </x:c>
      <x:c r="U890" s="43" t="n">
        <x:v>0.7799340784463659</x:v>
      </x:c>
      <x:c r="V890" s="43" t="n">
        <x:v>0.7703318316441908</x:v>
      </x:c>
      <x:c r="W890" s="43" t="n">
        <x:v>0.25359449681998814</x:v>
      </x:c>
      <x:c r="X890" s="65" t="n">
        <x:v>36962673.3341098</x:v>
      </x:c>
      <x:c r="Y890" s="65" t="n">
        <x:v>71.27006942144</x:v>
      </x:c>
      <x:c r="Z890" s="65" t="n">
        <x:v>1083509.6933816823</x:v>
      </x:c>
      <x:c r="AA890" s="65" t="n">
        <x:v>196513.96339333337</x:v>
      </x:c>
      <x:c r="AB890" s="65" t="n">
        <x:v>1857.905561380804</x:v>
      </x:c>
      <x:c r="AC890" s="65" t="n">
        <x:v>0</x:v>
      </x:c>
      <x:c r="AD890" s="65" t="n">
        <x:v>2276.264117394823</x:v>
      </x:c>
      <x:c r="AE890" s="65" t="n">
        <x:v>93294.58127109165</x:v>
      </x:c>
      <x:c r="AF890" s="65" t="n">
        <x:v>167600.11597213842</x:v>
      </x:c>
      <x:c r="AG890" s="65" t="n">
        <x:v>0</x:v>
      </x:c>
      <x:c r="AH890" s="34" t="n">
        <x:v>0</x:v>
      </x:c>
    </x:row>
    <x:row r="891" ht="15" hidden="0" customHeight="1">
      <x:c r="A891" s="36" t="n">
        <x:v>222</x:v>
      </x:c>
      <x:c r="B891" s="36" t="str">
        <x:v>P2</x:v>
      </x:c>
      <x:c r="C891" s="36" t="str">
        <x:v>slow</x:v>
      </x:c>
      <x:c r="D891" s="75" t="n">
        <x:v>1.0781176447811764</x:v>
      </x:c>
      <x:c r="E891" s="75" t="n">
        <x:v>-0.0234091896987993</x:v>
      </x:c>
      <x:c r="F891" s="75" t="n">
        <x:v>0.8660745494220373</x:v>
      </x:c>
      <x:c r="G891" s="75" t="n">
        <x:v>1.244027406421326</x:v>
      </x:c>
      <x:c r="H891" s="75" t="n">
        <x:v>0.9024902723327244</x:v>
      </x:c>
      <x:c r="I891" s="75" t="n">
        <x:v>0.9928218132435551</x:v>
      </x:c>
      <x:c r="J891" s="75" t="n">
        <x:v>1.0153045771455846</x:v>
      </x:c>
      <x:c r="K891" s="75" t="n">
        <x:v>0.8458344733150753</x:v>
      </x:c>
      <x:c r="L891" s="75" t="n">
        <x:v>0.8363427421550325</x:v>
      </x:c>
      <x:c r="M891" s="75" t="n">
        <x:v>0.7754345116064846</x:v>
      </x:c>
      <x:c r="N891" s="75" t="n">
        <x:v>0.8600177627435971</x:v>
      </x:c>
      <x:c r="O891" s="66" t="n">
        <x:v>518628.27739845595</x:v>
      </x:c>
      <x:c r="P891" s="66" t="n">
        <x:v>343187.88235580456</x:v>
      </x:c>
      <x:c r="Q891" s="66" t="n">
        <x:v>175440.39504265136</x:v>
      </x:c>
      <x:c r="R891" s="66" t="n">
        <x:v>84613.9746270222</x:v>
      </x:c>
      <x:c r="S891" s="66" t="n">
        <x:v>90826.42041562915</x:v>
      </x:c>
      <x:c r="T891" s="66" t="n">
        <x:v>92854.27335937056</x:v>
      </x:c>
      <x:c r="U891" s="45" t="n">
        <x:v>0.8407604728042416</x:v>
      </x:c>
      <x:c r="V891" s="45" t="n">
        <x:v>0.8351954148697004</x:v>
      </x:c>
      <x:c r="W891" s="45" t="n">
        <x:v>0.37263871629214484</x:v>
      </x:c>
      <x:c r="X891" s="66" t="n">
        <x:v>22596502.35752389</x:v>
      </x:c>
      <x:c r="Y891" s="66" t="n">
        <x:v>43.56974608263263</x:v>
      </x:c>
      <x:c r="Z891" s="66" t="n">
        <x:v>586561.5313795492</x:v>
      </x:c>
      <x:c r="AA891" s="66" t="n">
        <x:v>122457.50974681525</x:v>
      </x:c>
      <x:c r="AB891" s="66" t="n">
        <x:v>0</x:v>
      </x:c>
      <x:c r="AC891" s="66" t="n">
        <x:v>0</x:v>
      </x:c>
      <x:c r="AD891" s="66" t="n">
        <x:v>1930.4474806465878</x:v>
      </x:c>
      <x:c r="AE891" s="66" t="n">
        <x:v>25772.88786537017</x:v>
      </x:c>
      <x:c r="AF891" s="66" t="n">
        <x:v>92854.27335937042</x:v>
      </x:c>
      <x:c r="AG891" s="66" t="n">
        <x:v>1.4551915228366852e-10</x:v>
      </x:c>
      <x:c r="AH891" s="36" t="n">
        <x:v>0</x:v>
      </x:c>
    </x:row>
    <x:row r="892" ht="15" hidden="0" customHeight="1">
      <x:c r="A892" s="34" t="n">
        <x:v>222</x:v>
      </x:c>
      <x:c r="B892" s="34" t="str">
        <x:v>H3</x:v>
      </x:c>
      <x:c r="C892" s="34" t="str">
        <x:v>slow</x:v>
      </x:c>
      <x:c r="D892" s="74" t="n">
        <x:v>1.0781176447811764</x:v>
      </x:c>
      <x:c r="E892" s="74" t="n">
        <x:v>-0.0234091896987993</x:v>
      </x:c>
      <x:c r="F892" s="74" t="n">
        <x:v>0.8660745494220373</x:v>
      </x:c>
      <x:c r="G892" s="74" t="n">
        <x:v>1.244027406421326</x:v>
      </x:c>
      <x:c r="H892" s="74" t="n">
        <x:v>0.9024902723327244</x:v>
      </x:c>
      <x:c r="I892" s="74" t="n">
        <x:v>0.9928218132435551</x:v>
      </x:c>
      <x:c r="J892" s="74" t="n">
        <x:v>1.0153045771455846</x:v>
      </x:c>
      <x:c r="K892" s="74" t="n">
        <x:v>0.8458344733150753</x:v>
      </x:c>
      <x:c r="L892" s="74" t="n">
        <x:v>0.8363427421550325</x:v>
      </x:c>
      <x:c r="M892" s="74" t="n">
        <x:v>0.7754345116064846</x:v>
      </x:c>
      <x:c r="N892" s="74" t="n">
        <x:v>0.8600177627435971</x:v>
      </x:c>
      <x:c r="O892" s="65" t="n">
        <x:v>518628.27739845595</x:v>
      </x:c>
      <x:c r="P892" s="65" t="n">
        <x:v>356008.0994030525</x:v>
      </x:c>
      <x:c r="Q892" s="65" t="n">
        <x:v>162620.17799540347</x:v>
      </x:c>
      <x:c r="R892" s="65" t="n">
        <x:v>84613.9746270222</x:v>
      </x:c>
      <x:c r="S892" s="65" t="n">
        <x:v>78006.2033683813</x:v>
      </x:c>
      <x:c r="T892" s="65" t="n">
        <x:v>83843.9620453486</x:v>
      </x:c>
      <x:c r="U892" s="43" t="n">
        <x:v>0.8481065931360082</x:v>
      </x:c>
      <x:c r="V892" s="43" t="n">
        <x:v>0.8431772941782634</x:v>
      </x:c>
      <x:c r="W892" s="43" t="n">
        <x:v>0.38762035238853737</x:v>
      </x:c>
      <x:c r="X892" s="65" t="n">
        <x:v>20015636.55557803</x:v>
      </x:c>
      <x:c r="Y892" s="65" t="n">
        <x:v>38.59341541494903</x:v>
      </x:c>
      <x:c r="Z892" s="65" t="n">
        <x:v>561477.7841812563</x:v>
      </x:c>
      <x:c r="AA892" s="65" t="n">
        <x:v>110026.71858701285</x:v>
      </x:c>
      <x:c r="AB892" s="65" t="n">
        <x:v>1344.3023810270333</x:v>
      </x:c>
      <x:c r="AC892" s="65" t="n">
        <x:v>0</x:v>
      </x:c>
      <x:c r="AD892" s="65" t="n">
        <x:v>1891.3995162405245</x:v>
      </x:c>
      <x:c r="AE892" s="65" t="n">
        <x:v>13588.826735593597</x:v>
      </x:c>
      <x:c r="AF892" s="65" t="n">
        <x:v>83843.96204534866</x:v>
      </x:c>
      <x:c r="AG892" s="65" t="n">
        <x:v>0</x:v>
      </x:c>
      <x:c r="AH892" s="34" t="n">
        <x:v>0</x:v>
      </x:c>
    </x:row>
    <x:row r="893" ht="15" hidden="0" customHeight="1">
      <x:c r="A893" s="36" t="n">
        <x:v>223</x:v>
      </x:c>
      <x:c r="B893" s="36" t="str">
        <x:v>M0</x:v>
      </x:c>
      <x:c r="C893" s="36" t="str">
        <x:v>reference</x:v>
      </x:c>
      <x:c r="D893" s="75" t="n">
        <x:v>1.16646206797332</x:v>
      </x:c>
      <x:c r="E893" s="75" t="n">
        <x:v>0.019831818180919822</x:v>
      </x:c>
      <x:c r="F893" s="75" t="n">
        <x:v>0.9039949647834801</x:v>
      </x:c>
      <x:c r="G893" s="75" t="n">
        <x:v>1.3245785985460203</x:v>
      </x:c>
      <x:c r="H893" s="75" t="n">
        <x:v>0.8546186611234504</x:v>
      </x:c>
      <x:c r="I893" s="75" t="n">
        <x:v>0.7839388879623953</x:v>
      </x:c>
      <x:c r="J893" s="75" t="n">
        <x:v>0.8830916673796266</x:v>
      </x:c>
      <x:c r="K893" s="75" t="n">
        <x:v>0.9634725320471631</x:v>
      </x:c>
      <x:c r="L893" s="75" t="n">
        <x:v>0.9558748206511581</x:v>
      </x:c>
      <x:c r="M893" s="75" t="n">
        <x:v>0.946500312949887</x:v>
      </x:c>
      <x:c r="N893" s="75" t="n">
        <x:v>0.7698946530487603</x:v>
      </x:c>
      <x:c r="O893" s="66" t="n">
        <x:v>561126.344506152</x:v>
      </x:c>
      <x:c r="P893" s="66" t="n">
        <x:v>75001.49695259376</x:v>
      </x:c>
      <x:c r="Q893" s="66" t="n">
        <x:v>486124.8475535582</x:v>
      </x:c>
      <x:c r="R893" s="66" t="n">
        <x:v>115811.1842088421</x:v>
      </x:c>
      <x:c r="S893" s="66" t="n">
        <x:v>370313.6633447161</x:v>
      </x:c>
      <x:c r="T893" s="66" t="n">
        <x:v>253528.7565323927</x:v>
      </x:c>
      <x:c r="U893" s="45" t="n">
        <x:v>0.5854835665827209</x:v>
      </x:c>
      <x:c r="V893" s="45" t="n">
        <x:v>0.6081619859705137</x:v>
      </x:c>
      <x:c r="W893" s="45" t="n">
        <x:v>0.12615177643976733</x:v>
      </x:c>
      <x:c r="X893" s="66" t="n">
        <x:v>66447527.62491742</x:v>
      </x:c>
      <x:c r="Y893" s="66" t="n">
        <x:v>118.4181214720866</x:v>
      </x:c>
      <x:c r="Z893" s="66" t="n">
        <x:v>6217258.3751742905</x:v>
      </x:c>
      <x:c r="AA893" s="66" t="n">
        <x:v>355852.69927545363</x:v>
      </x:c>
      <x:c r="AB893" s="66" t="n">
        <x:v>59200.26101393545</x:v>
      </x:c>
      <x:c r="AC893" s="66" t="n">
        <x:v>0</x:v>
      </x:c>
      <x:c r="AD893" s="66" t="n">
        <x:v>2380.2283233395465</x:v>
      </x:c>
      <x:c r="AE893" s="66" t="n">
        <x:v>209182.8245167841</x:v>
      </x:c>
      <x:c r="AF893" s="66" t="n">
        <x:v>253528.7565323928</x:v>
      </x:c>
      <x:c r="AG893" s="66" t="n">
        <x:v>0</x:v>
      </x:c>
      <x:c r="AH893" s="36" t="n">
        <x:v>0</x:v>
      </x:c>
    </x:row>
    <x:row r="894" ht="15" hidden="0" customHeight="1">
      <x:c r="A894" s="34" t="n">
        <x:v>223</x:v>
      </x:c>
      <x:c r="B894" s="34" t="str">
        <x:v>B1</x:v>
      </x:c>
      <x:c r="C894" s="34" t="str">
        <x:v>reference</x:v>
      </x:c>
      <x:c r="D894" s="74" t="n">
        <x:v>1.16646206797332</x:v>
      </x:c>
      <x:c r="E894" s="74" t="n">
        <x:v>0.019831818180919822</x:v>
      </x:c>
      <x:c r="F894" s="74" t="n">
        <x:v>0.9039949647834801</x:v>
      </x:c>
      <x:c r="G894" s="74" t="n">
        <x:v>1.3245785985460203</x:v>
      </x:c>
      <x:c r="H894" s="74" t="n">
        <x:v>0.8546186611234504</x:v>
      </x:c>
      <x:c r="I894" s="74" t="n">
        <x:v>0.7839388879623953</x:v>
      </x:c>
      <x:c r="J894" s="74" t="n">
        <x:v>0.8830916673796266</x:v>
      </x:c>
      <x:c r="K894" s="74" t="n">
        <x:v>0.9634725320471631</x:v>
      </x:c>
      <x:c r="L894" s="74" t="n">
        <x:v>0.9558748206511581</x:v>
      </x:c>
      <x:c r="M894" s="74" t="n">
        <x:v>0.946500312949887</x:v>
      </x:c>
      <x:c r="N894" s="74" t="n">
        <x:v>0.7698946530487603</x:v>
      </x:c>
      <x:c r="O894" s="65" t="n">
        <x:v>561126.344506152</x:v>
      </x:c>
      <x:c r="P894" s="65" t="n">
        <x:v>253705.34599976637</x:v>
      </x:c>
      <x:c r="Q894" s="65" t="n">
        <x:v>307420.9985063856</x:v>
      </x:c>
      <x:c r="R894" s="65" t="n">
        <x:v>115811.1842088421</x:v>
      </x:c>
      <x:c r="S894" s="65" t="n">
        <x:v>191609.8142975435</x:v>
      </x:c>
      <x:c r="T894" s="65" t="n">
        <x:v>184899.98709567223</x:v>
      </x:c>
      <x:c r="U894" s="43" t="n">
        <x:v>0.7816516500957654</x:v>
      </x:c>
      <x:c r="V894" s="43" t="n">
        <x:v>0.8025217259033411</x:v>
      </x:c>
      <x:c r="W894" s="43" t="n">
        <x:v>0.4622868053284928</x:v>
      </x:c>
      <x:c r="X894" s="65" t="n">
        <x:v>42483693.40794119</x:v>
      </x:c>
      <x:c r="Y894" s="65" t="n">
        <x:v>75.71145754229583</x:v>
      </x:c>
      <x:c r="Z894" s="65" t="n">
        <x:v>2658668.1815997427</x:v>
      </x:c>
      <x:c r="AA894" s="65" t="n">
        <x:v>223534.35636892435</x:v>
      </x:c>
      <x:c r="AB894" s="65" t="n">
        <x:v>19104.672937546515</x:v>
      </x:c>
      <x:c r="AC894" s="65" t="n">
        <x:v>0</x:v>
      </x:c>
      <x:c r="AD894" s="65" t="n">
        <x:v>1929.5901701924877</x:v>
      </x:c>
      <x:c r="AE894" s="65" t="n">
        <x:v>130965.47808313419</x:v>
      </x:c>
      <x:c r="AF894" s="65" t="n">
        <x:v>184899.9870956723</x:v>
      </x:c>
      <x:c r="AG894" s="65" t="n">
        <x:v>0</x:v>
      </x:c>
      <x:c r="AH894" s="34" t="n">
        <x:v>0</x:v>
      </x:c>
    </x:row>
    <x:row r="895" ht="15" hidden="0" customHeight="1">
      <x:c r="A895" s="36" t="n">
        <x:v>223</x:v>
      </x:c>
      <x:c r="B895" s="36" t="str">
        <x:v>P2</x:v>
      </x:c>
      <x:c r="C895" s="36" t="str">
        <x:v>reference</x:v>
      </x:c>
      <x:c r="D895" s="75" t="n">
        <x:v>1.16646206797332</x:v>
      </x:c>
      <x:c r="E895" s="75" t="n">
        <x:v>0.019831818180919822</x:v>
      </x:c>
      <x:c r="F895" s="75" t="n">
        <x:v>0.9039949647834801</x:v>
      </x:c>
      <x:c r="G895" s="75" t="n">
        <x:v>1.3245785985460203</x:v>
      </x:c>
      <x:c r="H895" s="75" t="n">
        <x:v>0.8546186611234504</x:v>
      </x:c>
      <x:c r="I895" s="75" t="n">
        <x:v>0.7839388879623953</x:v>
      </x:c>
      <x:c r="J895" s="75" t="n">
        <x:v>0.8830916673796266</x:v>
      </x:c>
      <x:c r="K895" s="75" t="n">
        <x:v>0.9634725320471631</x:v>
      </x:c>
      <x:c r="L895" s="75" t="n">
        <x:v>0.9558748206511581</x:v>
      </x:c>
      <x:c r="M895" s="75" t="n">
        <x:v>0.946500312949887</x:v>
      </x:c>
      <x:c r="N895" s="75" t="n">
        <x:v>0.7698946530487603</x:v>
      </x:c>
      <x:c r="O895" s="66" t="n">
        <x:v>561126.344506152</x:v>
      </x:c>
      <x:c r="P895" s="66" t="n">
        <x:v>367540.8981210814</x:v>
      </x:c>
      <x:c r="Q895" s="66" t="n">
        <x:v>193585.4463850706</x:v>
      </x:c>
      <x:c r="R895" s="66" t="n">
        <x:v>115811.1842088421</x:v>
      </x:c>
      <x:c r="S895" s="66" t="n">
        <x:v>77774.26217622847</x:v>
      </x:c>
      <x:c r="T895" s="66" t="n">
        <x:v>131697.78208691036</x:v>
      </x:c>
      <x:c r="U895" s="45" t="n">
        <x:v>0.8897081470080902</x:v>
      </x:c>
      <x:c r="V895" s="45" t="n">
        <x:v>0.907299065359498</x:v>
      </x:c>
      <x:c r="W895" s="45" t="n">
        <x:v>0.6254127951289626</x:v>
      </x:c>
      <x:c r="X895" s="66" t="n">
        <x:v>24868049.91313444</x:v>
      </x:c>
      <x:c r="Y895" s="66" t="n">
        <x:v>44.31809369959424</x:v>
      </x:c>
      <x:c r="Z895" s="66" t="n">
        <x:v>830480.9988273027</x:v>
      </x:c>
      <x:c r="AA895" s="66" t="n">
        <x:v>141047.5086586486</x:v>
      </x:c>
      <x:c r="AB895" s="66" t="n">
        <x:v>545.180883793178</x:v>
      </x:c>
      <x:c r="AC895" s="66" t="n">
        <x:v>0</x:v>
      </x:c>
      <x:c r="AD895" s="66" t="n">
        <x:v>1657.3004890139441</x:v>
      </x:c>
      <x:c r="AE895" s="66" t="n">
        <x:v>71645.99914910713</x:v>
      </x:c>
      <x:c r="AF895" s="66" t="n">
        <x:v>131697.78208691024</x:v>
      </x:c>
      <x:c r="AG895" s="66" t="n">
        <x:v>1.1641532182693481e-10</x:v>
      </x:c>
      <x:c r="AH895" s="36" t="n">
        <x:v>0</x:v>
      </x:c>
    </x:row>
    <x:row r="896" ht="15" hidden="0" customHeight="1">
      <x:c r="A896" s="34" t="n">
        <x:v>223</x:v>
      </x:c>
      <x:c r="B896" s="34" t="str">
        <x:v>H3</x:v>
      </x:c>
      <x:c r="C896" s="34" t="str">
        <x:v>reference</x:v>
      </x:c>
      <x:c r="D896" s="74" t="n">
        <x:v>1.16646206797332</x:v>
      </x:c>
      <x:c r="E896" s="74" t="n">
        <x:v>0.019831818180919822</x:v>
      </x:c>
      <x:c r="F896" s="74" t="n">
        <x:v>0.9039949647834801</x:v>
      </x:c>
      <x:c r="G896" s="74" t="n">
        <x:v>1.3245785985460203</x:v>
      </x:c>
      <x:c r="H896" s="74" t="n">
        <x:v>0.8546186611234504</x:v>
      </x:c>
      <x:c r="I896" s="74" t="n">
        <x:v>0.7839388879623953</x:v>
      </x:c>
      <x:c r="J896" s="74" t="n">
        <x:v>0.8830916673796266</x:v>
      </x:c>
      <x:c r="K896" s="74" t="n">
        <x:v>0.9634725320471631</x:v>
      </x:c>
      <x:c r="L896" s="74" t="n">
        <x:v>0.9558748206511581</x:v>
      </x:c>
      <x:c r="M896" s="74" t="n">
        <x:v>0.946500312949887</x:v>
      </x:c>
      <x:c r="N896" s="74" t="n">
        <x:v>0.7698946530487603</x:v>
      </x:c>
      <x:c r="O896" s="65" t="n">
        <x:v>561126.344506152</x:v>
      </x:c>
      <x:c r="P896" s="65" t="n">
        <x:v>381271.0886738497</x:v>
      </x:c>
      <x:c r="Q896" s="65" t="n">
        <x:v>179855.25583230227</x:v>
      </x:c>
      <x:c r="R896" s="65" t="n">
        <x:v>115811.1842088421</x:v>
      </x:c>
      <x:c r="S896" s="65" t="n">
        <x:v>64044.07162346018</x:v>
      </x:c>
      <x:c r="T896" s="65" t="n">
        <x:v>175496.8669619923</x:v>
      </x:c>
      <x:c r="U896" s="43" t="n">
        <x:v>0.9922327851597382</x:v>
      </x:c>
      <x:c r="V896" s="43" t="n">
        <x:v>0.9925372605342081</x:v>
      </x:c>
      <x:c r="W896" s="43" t="n">
        <x:v>0.9223278515973823</x:v>
      </x:c>
      <x:c r="X896" s="65" t="n">
        <x:v>18598204.94882945</x:v>
      </x:c>
      <x:c r="Y896" s="65" t="n">
        <x:v>33.14441592507612</x:v>
      </x:c>
      <x:c r="Z896" s="65" t="n">
        <x:v>1370622.2438429664</x:v>
      </x:c>
      <x:c r="AA896" s="65" t="n">
        <x:v>111802.76311896724</x:v>
      </x:c>
      <x:c r="AB896" s="65" t="n">
        <x:v>5700.696609113305</x:v>
      </x:c>
      <x:c r="AC896" s="65" t="n">
        <x:v>155.9441918402577</x:v>
      </x:c>
      <x:c r="AD896" s="65" t="n">
        <x:v>1626.734166931185</x:v>
      </x:c>
      <x:c r="AE896" s="65" t="n">
        <x:v>75718.51992687295</x:v>
      </x:c>
      <x:c r="AF896" s="65" t="n">
        <x:v>175496.86696199232</x:v>
      </x:c>
      <x:c r="AG896" s="65" t="n">
        <x:v>0</x:v>
      </x:c>
      <x:c r="AH896" s="34" t="n">
        <x:v>1</x:v>
      </x:c>
    </x:row>
    <x:row r="897" ht="21.600000381469727" hidden="0" customHeight="1">
      <x:c r="A897" s="36" t="n">
        <x:v>224</x:v>
      </x:c>
      <x:c r="B897" s="36" t="str">
        <x:v>M0</x:v>
      </x:c>
      <x:c r="C897" s="36" t="str">
        <x:v>slow</x:v>
      </x:c>
      <x:c r="D897" s="75" t="n">
        <x:v>1.0515508710465375</x:v>
      </x:c>
      <x:c r="E897" s="75" t="n">
        <x:v>-0.0393495525745034</x:v>
      </x:c>
      <x:c r="F897" s="75" t="n">
        <x:v>0.9130703346248776</x:v>
      </x:c>
      <x:c r="G897" s="75" t="n">
        <x:v>1.3399999714874016</x:v>
      </x:c>
      <x:c r="H897" s="75" t="n">
        <x:v>0.7962188120528741</x:v>
      </x:c>
      <x:c r="I897" s="75" t="n">
        <x:v>0.8661977774894085</x:v>
      </x:c>
      <x:c r="J897" s="75" t="n">
        <x:v>0.7838940039906885</x:v>
      </x:c>
      <x:c r="K897" s="75" t="n">
        <x:v>0.9617484938316146</x:v>
      </x:c>
      <x:c r="L897" s="75" t="n">
        <x:v>0.8082515252806821</x:v>
      </x:c>
      <x:c r="M897" s="75" t="n">
        <x:v>1.096221908327796</x:v>
      </x:c>
      <x:c r="N897" s="75" t="n">
        <x:v>0.9982097685497306</x:v>
      </x:c>
      <x:c r="O897" s="66" t="n">
        <x:v>505848.3362067627</x:v>
      </x:c>
      <x:c r="P897" s="66" t="n">
        <x:v>73385.33049903327</x:v>
      </x:c>
      <x:c r="Q897" s="66" t="n">
        <x:v>432463.0057077294</x:v>
      </x:c>
      <x:c r="R897" s="66" t="n">
        <x:v>74465.52682118982</x:v>
      </x:c>
      <x:c r="S897" s="66" t="n">
        <x:v>357997.4788865396</x:v>
      </x:c>
      <x:c r="T897" s="66" t="n">
        <x:v>263810.94851439283</x:v>
      </x:c>
      <x:c r="U897" s="45" t="n">
        <x:v>0.6665956075727784</x:v>
      </x:c>
      <x:c r="V897" s="45" t="n">
        <x:v>0.6558100758972414</x:v>
      </x:c>
      <x:c r="W897" s="45" t="n">
        <x:v>0.07962179960726812</x:v>
      </x:c>
      <x:c r="X897" s="66" t="n">
        <x:v>56459848.05794664</x:v>
      </x:c>
      <x:c r="Y897" s="66" t="n">
        <x:v>111.61418159704886</x:v>
      </x:c>
      <x:c r="Z897" s="66" t="n">
        <x:v>3157324.264936365</x:v>
      </x:c>
      <x:c r="AA897" s="66" t="n">
        <x:v>312909.84016387496</x:v>
      </x:c>
      <x:c r="AB897" s="66" t="n">
        <x:v>21011.64563818961</x:v>
      </x:c>
      <x:c r="AC897" s="66" t="n">
        <x:v>363.2788707782556</x:v>
      </x:c>
      <x:c r="AD897" s="66" t="n">
        <x:v>2754.1751932354246</x:v>
      </x:c>
      <x:c r="AE897" s="66" t="n">
        <x:v>177565.6245116961</x:v>
      </x:c>
      <x:c r="AF897" s="66" t="n">
        <x:v>263810.9485143927</x:v>
      </x:c>
      <x:c r="AG897" s="66" t="n">
        <x:v>1.1641532182693481e-10</x:v>
      </x:c>
      <x:c r="AH897" s="36" t="n">
        <x:v>0</x:v>
      </x:c>
    </x:row>
    <x:row r="898" ht="21.600000381469727" hidden="0" customHeight="1">
      <x:c r="A898" s="34" t="n">
        <x:v>224</x:v>
      </x:c>
      <x:c r="B898" s="34" t="str">
        <x:v>B1</x:v>
      </x:c>
      <x:c r="C898" s="34" t="str">
        <x:v>slow</x:v>
      </x:c>
      <x:c r="D898" s="74" t="n">
        <x:v>1.0515508710465375</x:v>
      </x:c>
      <x:c r="E898" s="74" t="n">
        <x:v>-0.0393495525745034</x:v>
      </x:c>
      <x:c r="F898" s="74" t="n">
        <x:v>0.9130703346248776</x:v>
      </x:c>
      <x:c r="G898" s="74" t="n">
        <x:v>1.3399999714874016</x:v>
      </x:c>
      <x:c r="H898" s="74" t="n">
        <x:v>0.7962188120528741</x:v>
      </x:c>
      <x:c r="I898" s="74" t="n">
        <x:v>0.8661977774894085</x:v>
      </x:c>
      <x:c r="J898" s="74" t="n">
        <x:v>0.7838940039906885</x:v>
      </x:c>
      <x:c r="K898" s="74" t="n">
        <x:v>0.9617484938316146</x:v>
      </x:c>
      <x:c r="L898" s="74" t="n">
        <x:v>0.8082515252806821</x:v>
      </x:c>
      <x:c r="M898" s="74" t="n">
        <x:v>1.096221908327796</x:v>
      </x:c>
      <x:c r="N898" s="74" t="n">
        <x:v>0.9982097685497306</x:v>
      </x:c>
      <x:c r="O898" s="65" t="n">
        <x:v>505848.3362067627</x:v>
      </x:c>
      <x:c r="P898" s="65" t="n">
        <x:v>248236.50515200256</x:v>
      </x:c>
      <x:c r="Q898" s="65" t="n">
        <x:v>257611.83105476008</x:v>
      </x:c>
      <x:c r="R898" s="65" t="n">
        <x:v>74465.52682118982</x:v>
      </x:c>
      <x:c r="S898" s="65" t="n">
        <x:v>183146.30423357026</x:v>
      </x:c>
      <x:c r="T898" s="65" t="n">
        <x:v>151656.79327230284</x:v>
      </x:c>
      <x:c r="U898" s="43" t="n">
        <x:v>0.7905399104858404</x:v>
      </x:c>
      <x:c r="V898" s="43" t="n">
        <x:v>0.7813930232077468</x:v>
      </x:c>
      <x:c r="W898" s="43" t="n">
        <x:v>0.2763575237752363</x:v>
      </x:c>
      <x:c r="X898" s="65" t="n">
        <x:v>34586863.1478572</x:v>
      </x:c>
      <x:c r="Y898" s="65" t="n">
        <x:v>68.37397827027745</x:v>
      </x:c>
      <x:c r="Z898" s="65" t="n">
        <x:v>994174.2803846612</x:v>
      </x:c>
      <x:c r="AA898" s="65" t="n">
        <x:v>181476.6622313033</x:v>
      </x:c>
      <x:c r="AB898" s="65" t="n">
        <x:v>1906.3169785748776</x:v>
      </x:c>
      <x:c r="AC898" s="65" t="n">
        <x:v>294.4676988597403</x:v>
      </x:c>
      <x:c r="AD898" s="65" t="n">
        <x:v>2148.313050733576</x:v>
      </x:c>
      <x:c r="AE898" s="65" t="n">
        <x:v>43850.13826893199</x:v>
      </x:c>
      <x:c r="AF898" s="65" t="n">
        <x:v>151656.79327230275</x:v>
      </x:c>
      <x:c r="AG898" s="65" t="n">
        <x:v>8.731149137020111e-11</x:v>
      </x:c>
      <x:c r="AH898" s="34" t="n">
        <x:v>0</x:v>
      </x:c>
    </x:row>
    <x:row r="899" ht="21.600000381469727" hidden="0" customHeight="1">
      <x:c r="A899" s="36" t="n">
        <x:v>224</x:v>
      </x:c>
      <x:c r="B899" s="36" t="str">
        <x:v>P2</x:v>
      </x:c>
      <x:c r="C899" s="36" t="str">
        <x:v>slow</x:v>
      </x:c>
      <x:c r="D899" s="75" t="n">
        <x:v>1.0515508710465375</x:v>
      </x:c>
      <x:c r="E899" s="75" t="n">
        <x:v>-0.0393495525745034</x:v>
      </x:c>
      <x:c r="F899" s="75" t="n">
        <x:v>0.9130703346248776</x:v>
      </x:c>
      <x:c r="G899" s="75" t="n">
        <x:v>1.3399999714874016</x:v>
      </x:c>
      <x:c r="H899" s="75" t="n">
        <x:v>0.7962188120528741</x:v>
      </x:c>
      <x:c r="I899" s="75" t="n">
        <x:v>0.8661977774894085</x:v>
      </x:c>
      <x:c r="J899" s="75" t="n">
        <x:v>0.7838940039906885</x:v>
      </x:c>
      <x:c r="K899" s="75" t="n">
        <x:v>0.9617484938316146</x:v>
      </x:c>
      <x:c r="L899" s="75" t="n">
        <x:v>0.8082515252806821</x:v>
      </x:c>
      <x:c r="M899" s="75" t="n">
        <x:v>1.096221908327796</x:v>
      </x:c>
      <x:c r="N899" s="75" t="n">
        <x:v>0.9982097685497306</x:v>
      </x:c>
      <x:c r="O899" s="66" t="n">
        <x:v>505848.3362067627</x:v>
      </x:c>
      <x:c r="P899" s="66" t="n">
        <x:v>359616.6964130494</x:v>
      </x:c>
      <x:c r="Q899" s="66" t="n">
        <x:v>146231.6397937133</x:v>
      </x:c>
      <x:c r="R899" s="66" t="n">
        <x:v>74465.52682118982</x:v>
      </x:c>
      <x:c r="S899" s="66" t="n">
        <x:v>71766.11297252344</x:v>
      </x:c>
      <x:c r="T899" s="66" t="n">
        <x:v>73455.46933596877</x:v>
      </x:c>
      <x:c r="U899" s="45" t="n">
        <x:v>0.8561304540339583</x:v>
      </x:c>
      <x:c r="V899" s="45" t="n">
        <x:v>0.8513216399769289</x:v>
      </x:c>
      <x:c r="W899" s="45" t="n">
        <x:v>0.406087333079552</x:v>
      </x:c>
      <x:c r="X899" s="66" t="n">
        <x:v>19558616.700363547</x:v>
      </x:c>
      <x:c r="Y899" s="66" t="n">
        <x:v>38.664981775029645</x:v>
      </x:c>
      <x:c r="Z899" s="66" t="n">
        <x:v>468960.2921724872</x:v>
      </x:c>
      <x:c r="AA899" s="66" t="n">
        <x:v>102391.6806190049</x:v>
      </x:c>
      <x:c r="AB899" s="66" t="n">
        <x:v>0</x:v>
      </x:c>
      <x:c r="AC899" s="66" t="n">
        <x:v>0</x:v>
      </x:c>
      <x:c r="AD899" s="66" t="n">
        <x:v>1780.7418439471228</x:v>
      </x:c>
      <x:c r="AE899" s="66" t="n">
        <x:v>12828.140968749722</x:v>
      </x:c>
      <x:c r="AF899" s="66" t="n">
        <x:v>73455.46933596875</x:v>
      </x:c>
      <x:c r="AG899" s="66" t="n">
        <x:v>1.4551915228366852e-11</x:v>
      </x:c>
      <x:c r="AH899" s="36" t="n">
        <x:v>0</x:v>
      </x:c>
    </x:row>
    <x:row r="900" ht="21.600000381469727" hidden="0" customHeight="1">
      <x:c r="A900" s="34" t="n">
        <x:v>224</x:v>
      </x:c>
      <x:c r="B900" s="34" t="str">
        <x:v>H3</x:v>
      </x:c>
      <x:c r="C900" s="34" t="str">
        <x:v>slow</x:v>
      </x:c>
      <x:c r="D900" s="74" t="n">
        <x:v>1.0515508710465375</x:v>
      </x:c>
      <x:c r="E900" s="74" t="n">
        <x:v>-0.0393495525745034</x:v>
      </x:c>
      <x:c r="F900" s="74" t="n">
        <x:v>0.9130703346248776</x:v>
      </x:c>
      <x:c r="G900" s="74" t="n">
        <x:v>1.3399999714874016</x:v>
      </x:c>
      <x:c r="H900" s="74" t="n">
        <x:v>0.7962188120528741</x:v>
      </x:c>
      <x:c r="I900" s="74" t="n">
        <x:v>0.8661977774894085</x:v>
      </x:c>
      <x:c r="J900" s="74" t="n">
        <x:v>0.7838940039906885</x:v>
      </x:c>
      <x:c r="K900" s="74" t="n">
        <x:v>0.9617484938316146</x:v>
      </x:c>
      <x:c r="L900" s="74" t="n">
        <x:v>0.8082515252806821</x:v>
      </x:c>
      <x:c r="M900" s="74" t="n">
        <x:v>1.096221908327796</x:v>
      </x:c>
      <x:c r="N900" s="74" t="n">
        <x:v>0.9982097685497306</x:v>
      </x:c>
      <x:c r="O900" s="65" t="n">
        <x:v>505848.3362067627</x:v>
      </x:c>
      <x:c r="P900" s="65" t="n">
        <x:v>373050.5534138788</x:v>
      </x:c>
      <x:c r="Q900" s="65" t="n">
        <x:v>132797.78279288387</x:v>
      </x:c>
      <x:c r="R900" s="65" t="n">
        <x:v>74465.52682118982</x:v>
      </x:c>
      <x:c r="S900" s="65" t="n">
        <x:v>58332.255971694045</x:v>
      </x:c>
      <x:c r="T900" s="65" t="n">
        <x:v>64028.63142265103</x:v>
      </x:c>
      <x:c r="U900" s="43" t="n">
        <x:v>0.8640518383713258</x:v>
      </x:c>
      <x:c r="V900" s="43" t="n">
        <x:v>0.8599265191266695</x:v>
      </x:c>
      <x:c r="W900" s="43" t="n">
        <x:v>0.4224137435719677</x:v>
      </x:c>
      <x:c r="X900" s="65" t="n">
        <x:v>17053595.055074252</x:v>
      </x:c>
      <x:c r="Y900" s="65" t="n">
        <x:v>33.71286180944102</x:v>
      </x:c>
      <x:c r="Z900" s="65" t="n">
        <x:v>436595.4137105217</x:v>
      </x:c>
      <x:c r="AA900" s="65" t="n">
        <x:v>94226.30794566001</x:v>
      </x:c>
      <x:c r="AB900" s="65" t="n">
        <x:v>1516.5801270564687</x:v>
      </x:c>
      <x:c r="AC900" s="65" t="n">
        <x:v>0</x:v>
      </x:c>
      <x:c r="AD900" s="65" t="n">
        <x:v>1739.2374573038035</x:v>
      </x:c>
      <x:c r="AE900" s="65" t="n">
        <x:v>0</x:v>
      </x:c>
      <x:c r="AF900" s="65" t="n">
        <x:v>64028.631422651044</x:v>
      </x:c>
      <x:c r="AG900" s="65" t="n">
        <x:v>0</x:v>
      </x:c>
      <x:c r="AH900" s="34" t="n">
        <x:v>0</x:v>
      </x:c>
    </x:row>
    <x:row r="901" ht="15" hidden="0" customHeight="1">
      <x:c r="A901" s="36" t="n">
        <x:v>225</x:v>
      </x:c>
      <x:c r="B901" s="36" t="str">
        <x:v>M0</x:v>
      </x:c>
      <x:c r="C901" s="36" t="str">
        <x:v>reference</x:v>
      </x:c>
      <x:c r="D901" s="75" t="n">
        <x:v>0.9193354070931258</x:v>
      </x:c>
      <x:c r="E901" s="75" t="n">
        <x:v>0.08327494250117348</x:v>
      </x:c>
      <x:c r="F901" s="75" t="n">
        <x:v>0.80039714598282</x:v>
      </x:c>
      <x:c r="G901" s="75" t="n">
        <x:v>1.2477440683496166</x:v>
      </x:c>
      <x:c r="H901" s="75" t="n">
        <x:v>0.8134779413921516</x:v>
      </x:c>
      <x:c r="I901" s="75" t="n">
        <x:v>0.7590558855014309</x:v>
      </x:c>
      <x:c r="J901" s="75" t="n">
        <x:v>0.7930581232993401</x:v>
      </x:c>
      <x:c r="K901" s="75" t="n">
        <x:v>0.9894998159677577</x:v>
      </x:c>
      <x:c r="L901" s="75" t="n">
        <x:v>0.8443951345155993</x:v>
      </x:c>
      <x:c r="M901" s="75" t="n">
        <x:v>0.988127099236105</x:v>
      </x:c>
      <x:c r="N901" s="75" t="n">
        <x:v>0.8802926167657834</x:v>
      </x:c>
      <x:c r="O901" s="66" t="n">
        <x:v>442246.11371506675</x:v>
      </x:c>
      <x:c r="P901" s="66" t="n">
        <x:v>48152.694038268055</x:v>
      </x:c>
      <x:c r="Q901" s="66" t="n">
        <x:v>394093.4196767987</x:v>
      </x:c>
      <x:c r="R901" s="66" t="n">
        <x:v>119332.90118411926</x:v>
      </x:c>
      <x:c r="S901" s="66" t="n">
        <x:v>274760.5184926794</x:v>
      </x:c>
      <x:c r="T901" s="66" t="n">
        <x:v>247693.60984431012</x:v>
      </x:c>
      <x:c r="U901" s="45" t="n">
        <x:v>0.6689630382443292</x:v>
      </x:c>
      <x:c r="V901" s="45" t="n">
        <x:v>0.6917500875766999</x:v>
      </x:c>
      <x:c r="W901" s="45" t="n">
        <x:v>0.11031761142020825</x:v>
      </x:c>
      <x:c r="X901" s="66" t="n">
        <x:v>50677943.936592124</x:v>
      </x:c>
      <x:c r="Y901" s="66" t="n">
        <x:v>114.59217473020746</x:v>
      </x:c>
      <x:c r="Z901" s="66" t="n">
        <x:v>5387545.689122645</x:v>
      </x:c>
      <x:c r="AA901" s="66" t="n">
        <x:v>274373.13966822834</x:v>
      </x:c>
      <x:c r="AB901" s="66" t="n">
        <x:v>46185.03640040594</x:v>
      </x:c>
      <x:c r="AC901" s="66" t="n">
        <x:v>0</x:v>
      </x:c>
      <x:c r="AD901" s="66" t="n">
        <x:v>1914.4092066760302</x:v>
      </x:c>
      <x:c r="AE901" s="66" t="n">
        <x:v>196988.755118601</x:v>
      </x:c>
      <x:c r="AF901" s="66" t="n">
        <x:v>247693.60984431038</x:v>
      </x:c>
      <x:c r="AG901" s="66" t="n">
        <x:v>0</x:v>
      </x:c>
      <x:c r="AH901" s="36" t="n">
        <x:v>0</x:v>
      </x:c>
    </x:row>
    <x:row r="902" ht="15" hidden="0" customHeight="1">
      <x:c r="A902" s="34" t="n">
        <x:v>225</x:v>
      </x:c>
      <x:c r="B902" s="34" t="str">
        <x:v>B1</x:v>
      </x:c>
      <x:c r="C902" s="34" t="str">
        <x:v>reference</x:v>
      </x:c>
      <x:c r="D902" s="74" t="n">
        <x:v>0.9193354070931258</x:v>
      </x:c>
      <x:c r="E902" s="74" t="n">
        <x:v>0.08327494250117348</x:v>
      </x:c>
      <x:c r="F902" s="74" t="n">
        <x:v>0.80039714598282</x:v>
      </x:c>
      <x:c r="G902" s="74" t="n">
        <x:v>1.2477440683496166</x:v>
      </x:c>
      <x:c r="H902" s="74" t="n">
        <x:v>0.8134779413921516</x:v>
      </x:c>
      <x:c r="I902" s="74" t="n">
        <x:v>0.7590558855014309</x:v>
      </x:c>
      <x:c r="J902" s="74" t="n">
        <x:v>0.7930581232993401</x:v>
      </x:c>
      <x:c r="K902" s="74" t="n">
        <x:v>0.9894998159677577</x:v>
      </x:c>
      <x:c r="L902" s="74" t="n">
        <x:v>0.8443951345155993</x:v>
      </x:c>
      <x:c r="M902" s="74" t="n">
        <x:v>0.988127099236105</x:v>
      </x:c>
      <x:c r="N902" s="74" t="n">
        <x:v>0.8802926167657834</x:v>
      </x:c>
      <x:c r="O902" s="65" t="n">
        <x:v>442246.11371506675</x:v>
      </x:c>
      <x:c r="P902" s="65" t="n">
        <x:v>162886.24078385616</x:v>
      </x:c>
      <x:c r="Q902" s="65" t="n">
        <x:v>279359.87293121056</x:v>
      </x:c>
      <x:c r="R902" s="65" t="n">
        <x:v>119332.90118411926</x:v>
      </x:c>
      <x:c r="S902" s="65" t="n">
        <x:v>160026.97174709127</x:v>
      </x:c>
      <x:c r="T902" s="65" t="n">
        <x:v>176360.45597856073</x:v>
      </x:c>
      <x:c r="U902" s="43" t="n">
        <x:v>0.7670993282735526</x:v>
      </x:c>
      <x:c r="V902" s="43" t="n">
        <x:v>0.7878651035039701</x:v>
      </x:c>
      <x:c r="W902" s="43" t="n">
        <x:v>0.3966189702517459</x:v>
      </x:c>
      <x:c r="X902" s="65" t="n">
        <x:v>36852475.59254597</x:v>
      </x:c>
      <x:c r="Y902" s="65" t="n">
        <x:v>83.33024180352555</x:v>
      </x:c>
      <x:c r="Z902" s="65" t="n">
        <x:v>2425193.1106536468</x:v>
      </x:c>
      <x:c r="AA902" s="65" t="n">
        <x:v>200177.180709008</x:v>
      </x:c>
      <x:c r="AB902" s="65" t="n">
        <x:v>16786.368927886935</x:v>
      </x:c>
      <x:c r="AC902" s="65" t="n">
        <x:v>304.0362375024124</x:v>
      </x:c>
      <x:c r="AD902" s="65" t="n">
        <x:v>1646.3238171162084</x:v>
      </x:c>
      <x:c r="AE902" s="65" t="n">
        <x:v>120614.02845265818</x:v>
      </x:c>
      <x:c r="AF902" s="65" t="n">
        <x:v>176360.45597856052</x:v>
      </x:c>
      <x:c r="AG902" s="65" t="n">
        <x:v>2.0372681319713593e-10</x:v>
      </x:c>
      <x:c r="AH902" s="34" t="n">
        <x:v>0</x:v>
      </x:c>
    </x:row>
    <x:row r="903" ht="15" hidden="0" customHeight="1">
      <x:c r="A903" s="36" t="n">
        <x:v>225</x:v>
      </x:c>
      <x:c r="B903" s="36" t="str">
        <x:v>P2</x:v>
      </x:c>
      <x:c r="C903" s="36" t="str">
        <x:v>reference</x:v>
      </x:c>
      <x:c r="D903" s="75" t="n">
        <x:v>0.9193354070931258</x:v>
      </x:c>
      <x:c r="E903" s="75" t="n">
        <x:v>0.08327494250117348</x:v>
      </x:c>
      <x:c r="F903" s="75" t="n">
        <x:v>0.80039714598282</x:v>
      </x:c>
      <x:c r="G903" s="75" t="n">
        <x:v>1.2477440683496166</x:v>
      </x:c>
      <x:c r="H903" s="75" t="n">
        <x:v>0.8134779413921516</x:v>
      </x:c>
      <x:c r="I903" s="75" t="n">
        <x:v>0.7590558855014309</x:v>
      </x:c>
      <x:c r="J903" s="75" t="n">
        <x:v>0.7930581232993401</x:v>
      </x:c>
      <x:c r="K903" s="75" t="n">
        <x:v>0.9894998159677577</x:v>
      </x:c>
      <x:c r="L903" s="75" t="n">
        <x:v>0.8443951345155993</x:v>
      </x:c>
      <x:c r="M903" s="75" t="n">
        <x:v>0.988127099236105</x:v>
      </x:c>
      <x:c r="N903" s="75" t="n">
        <x:v>0.8802926167657834</x:v>
      </x:c>
      <x:c r="O903" s="66" t="n">
        <x:v>442246.11371506675</x:v>
      </x:c>
      <x:c r="P903" s="66" t="n">
        <x:v>235973.2512756668</x:v>
      </x:c>
      <x:c r="Q903" s="66" t="n">
        <x:v>206272.86243939993</x:v>
      </x:c>
      <x:c r="R903" s="66" t="n">
        <x:v>119332.90118411926</x:v>
      </x:c>
      <x:c r="S903" s="66" t="n">
        <x:v>86939.96125528068</x:v>
      </x:c>
      <x:c r="T903" s="66" t="n">
        <x:v>125532.49252724161</x:v>
      </x:c>
      <x:c r="U903" s="45" t="n">
        <x:v>0.8174311375313107</x:v>
      </x:c>
      <x:c r="V903" s="45" t="n">
        <x:v>0.8423281675409431</x:v>
      </x:c>
      <x:c r="W903" s="45" t="n">
        <x:v>0.532888856405039</x:v>
      </x:c>
      <x:c r="X903" s="66" t="n">
        <x:v>26661014.834979963</x:v>
      </x:c>
      <x:c r="Y903" s="66" t="n">
        <x:v>60.285470031642376</x:v>
      </x:c>
      <x:c r="Z903" s="66" t="n">
        <x:v>786411.023583517</x:v>
      </x:c>
      <x:c r="AA903" s="66" t="n">
        <x:v>155158.52394596452</x:v>
      </x:c>
      <x:c r="AB903" s="66" t="n">
        <x:v>365.7383540174558</x:v>
      </x:c>
      <x:c r="AC903" s="66" t="n">
        <x:v>0</x:v>
      </x:c>
      <x:c r="AD903" s="66" t="n">
        <x:v>1484.3382312484973</x:v>
      </x:c>
      <x:c r="AE903" s="66" t="n">
        <x:v>65839.6376032886</x:v>
      </x:c>
      <x:c r="AF903" s="66" t="n">
        <x:v>125532.49252724154</x:v>
      </x:c>
      <x:c r="AG903" s="66" t="n">
        <x:v>7.275957614183426e-11</x:v>
      </x:c>
      <x:c r="AH903" s="36" t="n">
        <x:v>0</x:v>
      </x:c>
    </x:row>
    <x:row r="904" ht="15" hidden="0" customHeight="1">
      <x:c r="A904" s="34" t="n">
        <x:v>225</x:v>
      </x:c>
      <x:c r="B904" s="34" t="str">
        <x:v>H3</x:v>
      </x:c>
      <x:c r="C904" s="34" t="str">
        <x:v>reference</x:v>
      </x:c>
      <x:c r="D904" s="74" t="n">
        <x:v>0.9193354070931258</x:v>
      </x:c>
      <x:c r="E904" s="74" t="n">
        <x:v>0.08327494250117348</x:v>
      </x:c>
      <x:c r="F904" s="74" t="n">
        <x:v>0.80039714598282</x:v>
      </x:c>
      <x:c r="G904" s="74" t="n">
        <x:v>1.2477440683496166</x:v>
      </x:c>
      <x:c r="H904" s="74" t="n">
        <x:v>0.8134779413921516</x:v>
      </x:c>
      <x:c r="I904" s="74" t="n">
        <x:v>0.7590558855014309</x:v>
      </x:c>
      <x:c r="J904" s="74" t="n">
        <x:v>0.7930581232993401</x:v>
      </x:c>
      <x:c r="K904" s="74" t="n">
        <x:v>0.9894998159677577</x:v>
      </x:c>
      <x:c r="L904" s="74" t="n">
        <x:v>0.8443951345155993</x:v>
      </x:c>
      <x:c r="M904" s="74" t="n">
        <x:v>0.988127099236105</x:v>
      </x:c>
      <x:c r="N904" s="74" t="n">
        <x:v>0.8802926167657834</x:v>
      </x:c>
      <x:c r="O904" s="65" t="n">
        <x:v>442246.11371506675</x:v>
      </x:c>
      <x:c r="P904" s="65" t="n">
        <x:v>244788.73629807864</x:v>
      </x:c>
      <x:c r="Q904" s="65" t="n">
        <x:v>197457.37741698808</x:v>
      </x:c>
      <x:c r="R904" s="65" t="n">
        <x:v>119332.90118411926</x:v>
      </x:c>
      <x:c r="S904" s="65" t="n">
        <x:v>78124.47623286884</x:v>
      </x:c>
      <x:c r="T904" s="65" t="n">
        <x:v>184857.5852502479</x:v>
      </x:c>
      <x:c r="U904" s="43" t="n">
        <x:v>0.9715095468880522</x:v>
      </x:c>
      <x:c r="V904" s="43" t="n">
        <x:v>0.9729293325058246</x:v>
      </x:c>
      <x:c r="W904" s="43" t="n">
        <x:v>0.7616120708235776</x:v>
      </x:c>
      <x:c r="X904" s="65" t="n">
        <x:v>20384471.29673402</x:v>
      </x:c>
      <x:c r="Y904" s="65" t="n">
        <x:v>46.09304788570163</x:v>
      </x:c>
      <x:c r="Z904" s="65" t="n">
        <x:v>1701066.1290730117</x:v>
      </x:c>
      <x:c r="AA904" s="65" t="n">
        <x:v>126496.68536611543</x:v>
      </x:c>
      <x:c r="AB904" s="65" t="n">
        <x:v>8435.196950306072</x:v>
      </x:c>
      <x:c r="AC904" s="65" t="n">
        <x:v>1073.267109973514</x:v>
      </x:c>
      <x:c r="AD904" s="65" t="n">
        <x:v>1466.1542752169416</x:v>
      </x:c>
      <x:c r="AE904" s="65" t="n">
        <x:v>70771.66211740229</x:v>
      </x:c>
      <x:c r="AF904" s="65" t="n">
        <x:v>184857.58525024797</x:v>
      </x:c>
      <x:c r="AG904" s="65" t="n">
        <x:v>0</x:v>
      </x:c>
      <x:c r="AH904" s="34" t="n">
        <x:v>0</x:v>
      </x:c>
    </x:row>
    <x:row r="905" ht="15" hidden="0" customHeight="1">
      <x:c r="A905" s="36" t="n">
        <x:v>226</x:v>
      </x:c>
      <x:c r="B905" s="36" t="str">
        <x:v>M0</x:v>
      </x:c>
      <x:c r="C905" s="36" t="str">
        <x:v>slow</x:v>
      </x:c>
      <x:c r="D905" s="75" t="n">
        <x:v>1.0731045865745483</x:v>
      </x:c>
      <x:c r="E905" s="75" t="n">
        <x:v>0.0648051777633144</x:v>
      </x:c>
      <x:c r="F905" s="75" t="n">
        <x:v>1.018836106469663</x:v>
      </x:c>
      <x:c r="G905" s="75" t="n">
        <x:v>1.1491093222983964</x:v>
      </x:c>
      <x:c r="H905" s="75" t="n">
        <x:v>0.8621991974738746</x:v>
      </x:c>
      <x:c r="I905" s="75" t="n">
        <x:v>0.7738268602027878</x:v>
      </x:c>
      <x:c r="J905" s="75" t="n">
        <x:v>0.9483276032189148</x:v>
      </x:c>
      <x:c r="K905" s="75" t="n">
        <x:v>0.881083649463863</x:v>
      </x:c>
      <x:c r="L905" s="75" t="n">
        <x:v>1.0281705188557713</x:v>
      </x:c>
      <x:c r="M905" s="75" t="n">
        <x:v>0.819133375979708</x:v>
      </x:c>
      <x:c r="N905" s="75" t="n">
        <x:v>1.010298276865826</x:v>
      </x:c>
      <x:c r="O905" s="66" t="n">
        <x:v>516216.7467507692</x:v>
      </x:c>
      <x:c r="P905" s="66" t="n">
        <x:v>73356.50496350467</x:v>
      </x:c>
      <x:c r="Q905" s="66" t="n">
        <x:v>442860.2417872645</x:v>
      </x:c>
      <x:c r="R905" s="66" t="n">
        <x:v>129758.26825384324</x:v>
      </x:c>
      <x:c r="S905" s="66" t="n">
        <x:v>313101.9735334212</x:v>
      </x:c>
      <x:c r="T905" s="66" t="n">
        <x:v>260488.6918075172</x:v>
      </x:c>
      <x:c r="U905" s="45" t="n">
        <x:v>0.6467151615524849</x:v>
      </x:c>
      <x:c r="V905" s="45" t="n">
        <x:v>0.638080578079814</x:v>
      </x:c>
      <x:c r="W905" s="45" t="n">
        <x:v>0.06993479867754669</x:v>
      </x:c>
      <x:c r="X905" s="66" t="n">
        <x:v>57763958.05108605</x:v>
      </x:c>
      <x:c r="Y905" s="66" t="n">
        <x:v>111.8986519028501</x:v>
      </x:c>
      <x:c r="Z905" s="66" t="n">
        <x:v>4293259.562548554</x:v>
      </x:c>
      <x:c r="AA905" s="66" t="n">
        <x:v>314089.94271454756</x:v>
      </x:c>
      <x:c r="AB905" s="66" t="n">
        <x:v>33115.87896129867</x:v>
      </x:c>
      <x:c r="AC905" s="66" t="n">
        <x:v>0</x:v>
      </x:c>
      <x:c r="AD905" s="66" t="n">
        <x:v>2843.7229925450274</x:v>
      </x:c>
      <x:c r="AE905" s="66" t="n">
        <x:v>231392.1014337814</x:v>
      </x:c>
      <x:c r="AF905" s="66" t="n">
        <x:v>260488.69180751723</x:v>
      </x:c>
      <x:c r="AG905" s="66" t="n">
        <x:v>0</x:v>
      </x:c>
      <x:c r="AH905" s="36" t="n">
        <x:v>0</x:v>
      </x:c>
    </x:row>
    <x:row r="906" ht="15" hidden="0" customHeight="1">
      <x:c r="A906" s="34" t="n">
        <x:v>226</x:v>
      </x:c>
      <x:c r="B906" s="34" t="str">
        <x:v>B1</x:v>
      </x:c>
      <x:c r="C906" s="34" t="str">
        <x:v>slow</x:v>
      </x:c>
      <x:c r="D906" s="74" t="n">
        <x:v>1.0731045865745483</x:v>
      </x:c>
      <x:c r="E906" s="74" t="n">
        <x:v>0.0648051777633144</x:v>
      </x:c>
      <x:c r="F906" s="74" t="n">
        <x:v>1.018836106469663</x:v>
      </x:c>
      <x:c r="G906" s="74" t="n">
        <x:v>1.1491093222983964</x:v>
      </x:c>
      <x:c r="H906" s="74" t="n">
        <x:v>0.8621991974738746</x:v>
      </x:c>
      <x:c r="I906" s="74" t="n">
        <x:v>0.7738268602027878</x:v>
      </x:c>
      <x:c r="J906" s="74" t="n">
        <x:v>0.9483276032189148</x:v>
      </x:c>
      <x:c r="K906" s="74" t="n">
        <x:v>0.881083649463863</x:v>
      </x:c>
      <x:c r="L906" s="74" t="n">
        <x:v>1.0281705188557713</x:v>
      </x:c>
      <x:c r="M906" s="74" t="n">
        <x:v>0.819133375979708</x:v>
      </x:c>
      <x:c r="N906" s="74" t="n">
        <x:v>1.010298276865826</x:v>
      </x:c>
      <x:c r="O906" s="65" t="n">
        <x:v>516216.7467507692</x:v>
      </x:c>
      <x:c r="P906" s="65" t="n">
        <x:v>248142.50911595044</x:v>
      </x:c>
      <x:c r="Q906" s="65" t="n">
        <x:v>268074.23763481865</x:v>
      </x:c>
      <x:c r="R906" s="65" t="n">
        <x:v>129758.26825384324</x:v>
      </x:c>
      <x:c r="S906" s="65" t="n">
        <x:v>138315.9693809754</x:v>
      </x:c>
      <x:c r="T906" s="65" t="n">
        <x:v>156409.22159889783</x:v>
      </x:c>
      <x:c r="U906" s="43" t="n">
        <x:v>0.7836857933440251</x:v>
      </x:c>
      <x:c r="V906" s="43" t="n">
        <x:v>0.7744423163440104</x:v>
      </x:c>
      <x:c r="W906" s="43" t="n">
        <x:v>0.24273512886641974</x:v>
      </x:c>
      <x:c r="X906" s="65" t="n">
        <x:v>35948241.50306068</x:v>
      </x:c>
      <x:c r="Y906" s="65" t="n">
        <x:v>69.63788317471341</x:v>
      </x:c>
      <x:c r="Z906" s="65" t="n">
        <x:v>1434053.6553090208</x:v>
      </x:c>
      <x:c r="AA906" s="65" t="n">
        <x:v>186594.83509344264</x:v>
      </x:c>
      <x:c r="AB906" s="65" t="n">
        <x:v>8068.737795512787</x:v>
      </x:c>
      <x:c r="AC906" s="65" t="n">
        <x:v>0</x:v>
      </x:c>
      <x:c r="AD906" s="65" t="n">
        <x:v>2300.664112422376</x:v>
      </x:c>
      <x:c r="AE906" s="65" t="n">
        <x:v>69119.45047769045</x:v>
      </x:c>
      <x:c r="AF906" s="65" t="n">
        <x:v>156409.22159889783</x:v>
      </x:c>
      <x:c r="AG906" s="65" t="n">
        <x:v>0</x:v>
      </x:c>
      <x:c r="AH906" s="34" t="n">
        <x:v>0</x:v>
      </x:c>
    </x:row>
    <x:row r="907" ht="15" hidden="0" customHeight="1">
      <x:c r="A907" s="36" t="n">
        <x:v>226</x:v>
      </x:c>
      <x:c r="B907" s="36" t="str">
        <x:v>P2</x:v>
      </x:c>
      <x:c r="C907" s="36" t="str">
        <x:v>slow</x:v>
      </x:c>
      <x:c r="D907" s="75" t="n">
        <x:v>1.0731045865745483</x:v>
      </x:c>
      <x:c r="E907" s="75" t="n">
        <x:v>0.0648051777633144</x:v>
      </x:c>
      <x:c r="F907" s="75" t="n">
        <x:v>1.018836106469663</x:v>
      </x:c>
      <x:c r="G907" s="75" t="n">
        <x:v>1.1491093222983964</x:v>
      </x:c>
      <x:c r="H907" s="75" t="n">
        <x:v>0.8621991974738746</x:v>
      </x:c>
      <x:c r="I907" s="75" t="n">
        <x:v>0.7738268602027878</x:v>
      </x:c>
      <x:c r="J907" s="75" t="n">
        <x:v>0.9483276032189148</x:v>
      </x:c>
      <x:c r="K907" s="75" t="n">
        <x:v>0.881083649463863</x:v>
      </x:c>
      <x:c r="L907" s="75" t="n">
        <x:v>1.0281705188557713</x:v>
      </x:c>
      <x:c r="M907" s="75" t="n">
        <x:v>0.819133375979708</x:v>
      </x:c>
      <x:c r="N907" s="75" t="n">
        <x:v>1.010298276865826</x:v>
      </x:c>
      <x:c r="O907" s="66" t="n">
        <x:v>516216.7467507692</x:v>
      </x:c>
      <x:c r="P907" s="66" t="n">
        <x:v>359483.39002177183</x:v>
      </x:c>
      <x:c r="Q907" s="66" t="n">
        <x:v>156733.3567289973</x:v>
      </x:c>
      <x:c r="R907" s="66" t="n">
        <x:v>129758.26825384324</x:v>
      </x:c>
      <x:c r="S907" s="66" t="n">
        <x:v>26975.088475154073</x:v>
      </x:c>
      <x:c r="T907" s="66" t="n">
        <x:v>77341.08362031325</x:v>
      </x:c>
      <x:c r="U907" s="45" t="n">
        <x:v>0.8462036080611408</x:v>
      </x:c>
      <x:c r="V907" s="45" t="n">
        <x:v>0.8412042055878421</x:v>
      </x:c>
      <x:c r="W907" s="45" t="n">
        <x:v>0.35668166286746306</x:v>
      </x:c>
      <x:c r="X907" s="66" t="n">
        <x:v>20951550.116443116</x:v>
      </x:c>
      <x:c r="Y907" s="66" t="n">
        <x:v>40.58673076439068</x:v>
      </x:c>
      <x:c r="Z907" s="66" t="n">
        <x:v>499123.29311081604</x:v>
      </x:c>
      <x:c r="AA907" s="66" t="n">
        <x:v>110799.65087594003</x:v>
      </x:c>
      <x:c r="AB907" s="66" t="n">
        <x:v>360.4373067536957</x:v>
      </x:c>
      <x:c r="AC907" s="66" t="n">
        <x:v>0</x:v>
      </x:c>
      <x:c r="AD907" s="66" t="n">
        <x:v>1971.195089818486</x:v>
      </x:c>
      <x:c r="AE907" s="66" t="n">
        <x:v>14188.727110997992</x:v>
      </x:c>
      <x:c r="AF907" s="66" t="n">
        <x:v>77341.08362031316</x:v>
      </x:c>
      <x:c r="AG907" s="66" t="n">
        <x:v>8.731149137020111e-11</x:v>
      </x:c>
      <x:c r="AH907" s="36" t="n">
        <x:v>0</x:v>
      </x:c>
    </x:row>
    <x:row r="908" ht="15" hidden="0" customHeight="1">
      <x:c r="A908" s="34" t="n">
        <x:v>226</x:v>
      </x:c>
      <x:c r="B908" s="34" t="str">
        <x:v>H3</x:v>
      </x:c>
      <x:c r="C908" s="34" t="str">
        <x:v>slow</x:v>
      </x:c>
      <x:c r="D908" s="74" t="n">
        <x:v>1.0731045865745483</x:v>
      </x:c>
      <x:c r="E908" s="74" t="n">
        <x:v>0.0648051777633144</x:v>
      </x:c>
      <x:c r="F908" s="74" t="n">
        <x:v>1.018836106469663</x:v>
      </x:c>
      <x:c r="G908" s="74" t="n">
        <x:v>1.1491093222983964</x:v>
      </x:c>
      <x:c r="H908" s="74" t="n">
        <x:v>0.8621991974738746</x:v>
      </x:c>
      <x:c r="I908" s="74" t="n">
        <x:v>0.7738268602027878</x:v>
      </x:c>
      <x:c r="J908" s="74" t="n">
        <x:v>0.9483276032189148</x:v>
      </x:c>
      <x:c r="K908" s="74" t="n">
        <x:v>0.881083649463863</x:v>
      </x:c>
      <x:c r="L908" s="74" t="n">
        <x:v>1.0281705188557713</x:v>
      </x:c>
      <x:c r="M908" s="74" t="n">
        <x:v>0.819133375979708</x:v>
      </x:c>
      <x:c r="N908" s="74" t="n">
        <x:v>1.010298276865826</x:v>
      </x:c>
      <x:c r="O908" s="65" t="n">
        <x:v>516216.7467507692</x:v>
      </x:c>
      <x:c r="P908" s="65" t="n">
        <x:v>372912.8451716802</x:v>
      </x:c>
      <x:c r="Q908" s="65" t="n">
        <x:v>143303.90157908894</x:v>
      </x:c>
      <x:c r="R908" s="65" t="n">
        <x:v>129758.26825384324</x:v>
      </x:c>
      <x:c r="S908" s="65" t="n">
        <x:v>13545.633325245697</x:v>
      </x:c>
      <x:c r="T908" s="65" t="n">
        <x:v>67809.62474977036</x:v>
      </x:c>
      <x:c r="U908" s="43" t="n">
        <x:v>0.8537546925695388</x:v>
      </x:c>
      <x:c r="V908" s="43" t="n">
        <x:v>0.8494214433364818</x:v>
      </x:c>
      <x:c r="W908" s="43" t="n">
        <x:v>0.37102175862699</x:v>
      </x:c>
      <x:c r="X908" s="65" t="n">
        <x:v>18467735.262695625</x:v>
      </x:c>
      <x:c r="Y908" s="65" t="n">
        <x:v>35.77515719692816</x:v>
      </x:c>
      <x:c r="Z908" s="65" t="n">
        <x:v>480731.26999479526</x:v>
      </x:c>
      <x:c r="AA908" s="65" t="n">
        <x:v>102949.76592146754</x:v>
      </x:c>
      <x:c r="AB908" s="65" t="n">
        <x:v>2817.0863580672035</x:v>
      </x:c>
      <x:c r="AC908" s="65" t="n">
        <x:v>0</x:v>
      </x:c>
      <x:c r="AD908" s="65" t="n">
        <x:v>1933.9930199918012</x:v>
      </x:c>
      <x:c r="AE908" s="65" t="n">
        <x:v>13893.372681369088</x:v>
      </x:c>
      <x:c r="AF908" s="65" t="n">
        <x:v>67809.62474977034</x:v>
      </x:c>
      <x:c r="AG908" s="65" t="n">
        <x:v>1.4551915228366852e-11</x:v>
      </x:c>
      <x:c r="AH908" s="34" t="n">
        <x:v>0</x:v>
      </x:c>
    </x:row>
    <x:row r="909" ht="15" hidden="0" customHeight="1">
      <x:c r="A909" s="36" t="n">
        <x:v>227</x:v>
      </x:c>
      <x:c r="B909" s="36" t="str">
        <x:v>M0</x:v>
      </x:c>
      <x:c r="C909" s="36" t="str">
        <x:v>fast</x:v>
      </x:c>
      <x:c r="D909" s="75" t="n">
        <x:v>1.0767122893764123</x:v>
      </x:c>
      <x:c r="E909" s="75" t="n">
        <x:v>0.0113153789741645</x:v>
      </x:c>
      <x:c r="F909" s="75" t="n">
        <x:v>0.8854803439120422</x:v>
      </x:c>
      <x:c r="G909" s="75" t="n">
        <x:v>0.9627925749065575</x:v>
      </x:c>
      <x:c r="H909" s="75" t="n">
        <x:v>0.7607532444384194</x:v>
      </x:c>
      <x:c r="I909" s="75" t="n">
        <x:v>1.0110911857363387</x:v>
      </x:c>
      <x:c r="J909" s="75" t="n">
        <x:v>0.7598613909078636</x:v>
      </x:c>
      <x:c r="K909" s="75" t="n">
        <x:v>0.946178504199291</x:v>
      </x:c>
      <x:c r="L909" s="75" t="n">
        <x:v>1.019020980330506</x:v>
      </x:c>
      <x:c r="M909" s="75" t="n">
        <x:v>0.9583545803719402</x:v>
      </x:c>
      <x:c r="N909" s="75" t="n">
        <x:v>0.9641049785872386</x:v>
      </x:c>
      <x:c r="O909" s="66" t="n">
        <x:v>517952.23146206525</x:v>
      </x:c>
      <x:c r="P909" s="66" t="n">
        <x:v>68540.69078830144</x:v>
      </x:c>
      <x:c r="Q909" s="66" t="n">
        <x:v>449411.5406737638</x:v>
      </x:c>
      <x:c r="R909" s="66" t="n">
        <x:v>102489.34586150615</x:v>
      </x:c>
      <x:c r="S909" s="66" t="n">
        <x:v>346922.19481225766</x:v>
      </x:c>
      <x:c r="T909" s="66" t="n">
        <x:v>265351.6146991499</x:v>
      </x:c>
      <x:c r="U909" s="45" t="n">
        <x:v>0.644639187179379</x:v>
      </x:c>
      <x:c r="V909" s="45" t="n">
        <x:v>0.6877772243214869</x:v>
      </x:c>
      <x:c r="W909" s="45" t="n">
        <x:v>0.13628820722438958</x:v>
      </x:c>
      <x:c r="X909" s="66" t="n">
        <x:v>59235335.850805864</x:v>
      </x:c>
      <x:c r="Y909" s="66" t="n">
        <x:v>114.36447659197748</x:v>
      </x:c>
      <x:c r="Z909" s="66" t="n">
        <x:v>2954619.0467290496</x:v>
      </x:c>
      <x:c r="AA909" s="66" t="n">
        <x:v>332228.48637088545</x:v>
      </x:c>
      <x:c r="AB909" s="66" t="n">
        <x:v>15467.826003656712</x:v>
      </x:c>
      <x:c r="AC909" s="66" t="n">
        <x:v>235.3276675412264</x:v>
      </x:c>
      <x:c r="AD909" s="66" t="n">
        <x:v>2197.2890356901944</x:v>
      </x:c>
      <x:c r="AE909" s="66" t="n">
        <x:v>209819.167932525</x:v>
      </x:c>
      <x:c r="AF909" s="66" t="n">
        <x:v>265351.6146991498</x:v>
      </x:c>
      <x:c r="AG909" s="66" t="n">
        <x:v>1.1641532182693481e-10</x:v>
      </x:c>
      <x:c r="AH909" s="36" t="n">
        <x:v>0</x:v>
      </x:c>
    </x:row>
    <x:row r="910" ht="15" hidden="0" customHeight="1">
      <x:c r="A910" s="34" t="n">
        <x:v>227</x:v>
      </x:c>
      <x:c r="B910" s="34" t="str">
        <x:v>B1</x:v>
      </x:c>
      <x:c r="C910" s="34" t="str">
        <x:v>fast</x:v>
      </x:c>
      <x:c r="D910" s="74" t="n">
        <x:v>1.0767122893764123</x:v>
      </x:c>
      <x:c r="E910" s="74" t="n">
        <x:v>0.0113153789741645</x:v>
      </x:c>
      <x:c r="F910" s="74" t="n">
        <x:v>0.8854803439120422</x:v>
      </x:c>
      <x:c r="G910" s="74" t="n">
        <x:v>0.9627925749065575</x:v>
      </x:c>
      <x:c r="H910" s="74" t="n">
        <x:v>0.7607532444384194</x:v>
      </x:c>
      <x:c r="I910" s="74" t="n">
        <x:v>1.0110911857363387</x:v>
      </x:c>
      <x:c r="J910" s="74" t="n">
        <x:v>0.7598613909078636</x:v>
      </x:c>
      <x:c r="K910" s="74" t="n">
        <x:v>0.946178504199291</x:v>
      </x:c>
      <x:c r="L910" s="74" t="n">
        <x:v>1.019020980330506</x:v>
      </x:c>
      <x:c r="M910" s="74" t="n">
        <x:v>0.9583545803719402</x:v>
      </x:c>
      <x:c r="N910" s="74" t="n">
        <x:v>0.9641049785872386</x:v>
      </x:c>
      <x:c r="O910" s="65" t="n">
        <x:v>517952.23146206525</x:v>
      </x:c>
      <x:c r="P910" s="65" t="n">
        <x:v>231850.2990474227</x:v>
      </x:c>
      <x:c r="Q910" s="65" t="n">
        <x:v>286101.93241464254</x:v>
      </x:c>
      <x:c r="R910" s="65" t="n">
        <x:v>102489.34586150615</x:v>
      </x:c>
      <x:c r="S910" s="65" t="n">
        <x:v>183612.58655313638</x:v>
      </x:c>
      <x:c r="T910" s="65" t="n">
        <x:v>182220.9371246578</x:v>
      </x:c>
      <x:c r="U910" s="43" t="n">
        <x:v>0.7994390428693559</x:v>
      </x:c>
      <x:c r="V910" s="43" t="n">
        <x:v>0.8391315261229887</x:v>
      </x:c>
      <x:c r="W910" s="43" t="n">
        <x:v>0.4965187674945012</x:v>
      </x:c>
      <x:c r="X910" s="65" t="n">
        <x:v>38658462.65932928</x:v>
      </x:c>
      <x:c r="Y910" s="65" t="n">
        <x:v>74.63711962434246</x:v>
      </x:c>
      <x:c r="Z910" s="65" t="n">
        <x:v>1151937.4196531253</x:v>
      </x:c>
      <x:c r="AA910" s="65" t="n">
        <x:v>210684.95872246032</x:v>
      </x:c>
      <x:c r="AB910" s="65" t="n">
        <x:v>898.9006424292875</x:v>
      </x:c>
      <x:c r="AC910" s="65" t="n">
        <x:v>0</x:v>
      </x:c>
      <x:c r="AD910" s="65" t="n">
        <x:v>1781.7765798942949</x:v>
      </x:c>
      <x:c r="AE910" s="65" t="n">
        <x:v>133179.84156590424</x:v>
      </x:c>
      <x:c r="AF910" s="65" t="n">
        <x:v>182220.93712465794</x:v>
      </x:c>
      <x:c r="AG910" s="65" t="n">
        <x:v>0</x:v>
      </x:c>
      <x:c r="AH910" s="34" t="n">
        <x:v>0</x:v>
      </x:c>
    </x:row>
    <x:row r="911" ht="15" hidden="0" customHeight="1">
      <x:c r="A911" s="36" t="n">
        <x:v>227</x:v>
      </x:c>
      <x:c r="B911" s="36" t="str">
        <x:v>P2</x:v>
      </x:c>
      <x:c r="C911" s="36" t="str">
        <x:v>fast</x:v>
      </x:c>
      <x:c r="D911" s="75" t="n">
        <x:v>1.0767122893764123</x:v>
      </x:c>
      <x:c r="E911" s="75" t="n">
        <x:v>0.0113153789741645</x:v>
      </x:c>
      <x:c r="F911" s="75" t="n">
        <x:v>0.8854803439120422</x:v>
      </x:c>
      <x:c r="G911" s="75" t="n">
        <x:v>0.9627925749065575</x:v>
      </x:c>
      <x:c r="H911" s="75" t="n">
        <x:v>0.7607532444384194</x:v>
      </x:c>
      <x:c r="I911" s="75" t="n">
        <x:v>1.0110911857363387</x:v>
      </x:c>
      <x:c r="J911" s="75" t="n">
        <x:v>0.7598613909078636</x:v>
      </x:c>
      <x:c r="K911" s="75" t="n">
        <x:v>0.946178504199291</x:v>
      </x:c>
      <x:c r="L911" s="75" t="n">
        <x:v>1.019020980330506</x:v>
      </x:c>
      <x:c r="M911" s="75" t="n">
        <x:v>0.9583545803719402</x:v>
      </x:c>
      <x:c r="N911" s="75" t="n">
        <x:v>0.9641049785872386</x:v>
      </x:c>
      <x:c r="O911" s="66" t="n">
        <x:v>517952.23146206525</x:v>
      </x:c>
      <x:c r="P911" s="66" t="n">
        <x:v>335879.44757475914</x:v>
      </x:c>
      <x:c r="Q911" s="66" t="n">
        <x:v>182072.78388730605</x:v>
      </x:c>
      <x:c r="R911" s="66" t="n">
        <x:v>102489.34586150615</x:v>
      </x:c>
      <x:c r="S911" s="66" t="n">
        <x:v>79583.43802579993</x:v>
      </x:c>
      <x:c r="T911" s="66" t="n">
        <x:v>118078.74957178702</x:v>
      </x:c>
      <x:c r="U911" s="45" t="n">
        <x:v>0.8764479995869929</x:v>
      </x:c>
      <x:c r="V911" s="45" t="n">
        <x:v>0.8864945788138269</x:v>
      </x:c>
      <x:c r="W911" s="45" t="n">
        <x:v>0.728223551092039</x:v>
      </x:c>
      <x:c r="X911" s="66" t="n">
        <x:v>23720742.059847016</x:v>
      </x:c>
      <x:c r="Y911" s="66" t="n">
        <x:v>45.7971616279914</x:v>
      </x:c>
      <x:c r="Z911" s="66" t="n">
        <x:v>737242.832158678</x:v>
      </x:c>
      <x:c r="AA911" s="66" t="n">
        <x:v>134435.94163359175</x:v>
      </x:c>
      <x:c r="AB911" s="66" t="n">
        <x:v>0</x:v>
      </x:c>
      <x:c r="AC911" s="66" t="n">
        <x:v>0</x:v>
      </x:c>
      <x:c r="AD911" s="66" t="n">
        <x:v>1530.7109448071174</x:v>
      </x:c>
      <x:c r="AE911" s="66" t="n">
        <x:v>72273.33588649344</x:v>
      </x:c>
      <x:c r="AF911" s="66" t="n">
        <x:v>118078.74957178705</x:v>
      </x:c>
      <x:c r="AG911" s="66" t="n">
        <x:v>0</x:v>
      </x:c>
      <x:c r="AH911" s="36" t="n">
        <x:v>0</x:v>
      </x:c>
    </x:row>
    <x:row r="912" ht="15" hidden="0" customHeight="1">
      <x:c r="A912" s="34" t="n">
        <x:v>227</x:v>
      </x:c>
      <x:c r="B912" s="34" t="str">
        <x:v>H3</x:v>
      </x:c>
      <x:c r="C912" s="34" t="str">
        <x:v>fast</x:v>
      </x:c>
      <x:c r="D912" s="74" t="n">
        <x:v>1.0767122893764123</x:v>
      </x:c>
      <x:c r="E912" s="74" t="n">
        <x:v>0.0113153789741645</x:v>
      </x:c>
      <x:c r="F912" s="74" t="n">
        <x:v>0.8854803439120422</x:v>
      </x:c>
      <x:c r="G912" s="74" t="n">
        <x:v>0.9627925749065575</x:v>
      </x:c>
      <x:c r="H912" s="74" t="n">
        <x:v>0.7607532444384194</x:v>
      </x:c>
      <x:c r="I912" s="74" t="n">
        <x:v>1.0110911857363387</x:v>
      </x:c>
      <x:c r="J912" s="74" t="n">
        <x:v>0.7598613909078636</x:v>
      </x:c>
      <x:c r="K912" s="74" t="n">
        <x:v>0.946178504199291</x:v>
      </x:c>
      <x:c r="L912" s="74" t="n">
        <x:v>1.019020980330506</x:v>
      </x:c>
      <x:c r="M912" s="74" t="n">
        <x:v>0.9583545803719402</x:v>
      </x:c>
      <x:c r="N912" s="74" t="n">
        <x:v>0.9641049785872386</x:v>
      </x:c>
      <x:c r="O912" s="65" t="n">
        <x:v>517952.23146206525</x:v>
      </x:c>
      <x:c r="P912" s="65" t="n">
        <x:v>348426.8200324532</x:v>
      </x:c>
      <x:c r="Q912" s="65" t="n">
        <x:v>169525.41142961202</x:v>
      </x:c>
      <x:c r="R912" s="65" t="n">
        <x:v>102489.34586150615</x:v>
      </x:c>
      <x:c r="S912" s="65" t="n">
        <x:v>67036.06556810589</x:v>
      </x:c>
      <x:c r="T912" s="65" t="n">
        <x:v>168022.8842669915</x:v>
      </x:c>
      <x:c r="U912" s="43" t="n">
        <x:v>0.9970991008989781</x:v>
      </x:c>
      <x:c r="V912" s="43" t="n">
        <x:v>0.998172889411749</x:v>
      </x:c>
      <x:c r="W912" s="43" t="n">
        <x:v>0.970991008989782</x:v>
      </x:c>
      <x:c r="X912" s="65" t="n">
        <x:v>16864134.674121574</x:v>
      </x:c>
      <x:c r="Y912" s="65" t="n">
        <x:v>32.55924706901605</x:v>
      </x:c>
      <x:c r="Z912" s="65" t="n">
        <x:v>1017067.0037403281</x:v>
      </x:c>
      <x:c r="AA912" s="65" t="n">
        <x:v>106994.76077471339</x:v>
      </x:c>
      <x:c r="AB912" s="65" t="n">
        <x:v>803.2926854693424</x:v>
      </x:c>
      <x:c r="AC912" s="65" t="n">
        <x:v>0</x:v>
      </x:c>
      <x:c r="AD912" s="65" t="n">
        <x:v>1502.5271626205456</x:v>
      </x:c>
      <x:c r="AE912" s="65" t="n">
        <x:v>68622.97464353892</x:v>
      </x:c>
      <x:c r="AF912" s="65" t="n">
        <x:v>168022.8842669918</x:v>
      </x:c>
      <x:c r="AG912" s="65" t="n">
        <x:v>0</x:v>
      </x:c>
      <x:c r="AH912" s="34" t="n">
        <x:v>1</x:v>
      </x:c>
    </x:row>
    <x:row r="913" ht="15" hidden="0" customHeight="1">
      <x:c r="A913" s="36" t="n">
        <x:v>228</x:v>
      </x:c>
      <x:c r="B913" s="36" t="str">
        <x:v>M0</x:v>
      </x:c>
      <x:c r="C913" s="36" t="str">
        <x:v>reference</x:v>
      </x:c>
      <x:c r="D913" s="75" t="n">
        <x:v>0.981671882984835</x:v>
      </x:c>
      <x:c r="E913" s="75" t="n">
        <x:v>0.09527167218994995</x:v>
      </x:c>
      <x:c r="F913" s="75" t="n">
        <x:v>0.9818055704972226</x:v>
      </x:c>
      <x:c r="G913" s="75" t="n">
        <x:v>1.168759854234191</x:v>
      </x:c>
      <x:c r="H913" s="75" t="n">
        <x:v>0.9874888322230855</x:v>
      </x:c>
      <x:c r="I913" s="75" t="n">
        <x:v>0.78472780195919</x:v>
      </x:c>
      <x:c r="J913" s="75" t="n">
        <x:v>0.8429107603431651</x:v>
      </x:c>
      <x:c r="K913" s="75" t="n">
        <x:v>0.7204938708880821</x:v>
      </x:c>
      <x:c r="L913" s="75" t="n">
        <x:v>0.8851480566230097</x:v>
      </x:c>
      <x:c r="M913" s="75" t="n">
        <x:v>0.9957909507980727</x:v>
      </x:c>
      <x:c r="N913" s="75" t="n">
        <x:v>0.8399551719152957</x:v>
      </x:c>
      <x:c r="O913" s="66" t="n">
        <x:v>472233.06297547824</x:v>
      </x:c>
      <x:c r="P913" s="66" t="n">
        <x:v>62034.97721580461</x:v>
      </x:c>
      <x:c r="Q913" s="66" t="n">
        <x:v>410198.0857596737</x:v>
      </x:c>
      <x:c r="R913" s="66" t="n">
        <x:v>133089.64279082598</x:v>
      </x:c>
      <x:c r="S913" s="66" t="n">
        <x:v>277108.4429688477</x:v>
      </x:c>
      <x:c r="T913" s="66" t="n">
        <x:v>266556.5959894316</x:v>
      </x:c>
      <x:c r="U913" s="45" t="n">
        <x:v>0.6958250045746989</x:v>
      </x:c>
      <x:c r="V913" s="45" t="n">
        <x:v>0.7082014737507984</x:v>
      </x:c>
      <x:c r="W913" s="45" t="n">
        <x:v>0.13290201937097149</x:v>
      </x:c>
      <x:c r="X913" s="66" t="n">
        <x:v>52689652.01738202</x:v>
      </x:c>
      <x:c r="Y913" s="66" t="n">
        <x:v>111.57552519806951</x:v>
      </x:c>
      <x:c r="Z913" s="66" t="n">
        <x:v>6304178.445126</x:v>
      </x:c>
      <x:c r="AA913" s="66" t="n">
        <x:v>280888.57424934243</x:v>
      </x:c>
      <x:c r="AB913" s="66" t="n">
        <x:v>57604.44870786002</x:v>
      </x:c>
      <x:c r="AC913" s="66" t="n">
        <x:v>699.8155230973857</x:v>
      </x:c>
      <x:c r="AD913" s="66" t="n">
        <x:v>2020.638113494731</x:v>
      </x:c>
      <x:c r="AE913" s="66" t="n">
        <x:v>218175.17808711054</x:v>
      </x:c>
      <x:c r="AF913" s="66" t="n">
        <x:v>266556.5959894318</x:v>
      </x:c>
      <x:c r="AG913" s="66" t="n">
        <x:v>0</x:v>
      </x:c>
      <x:c r="AH913" s="36" t="n">
        <x:v>0</x:v>
      </x:c>
    </x:row>
    <x:row r="914" ht="15" hidden="0" customHeight="1">
      <x:c r="A914" s="34" t="n">
        <x:v>228</x:v>
      </x:c>
      <x:c r="B914" s="34" t="str">
        <x:v>B1</x:v>
      </x:c>
      <x:c r="C914" s="34" t="str">
        <x:v>reference</x:v>
      </x:c>
      <x:c r="D914" s="74" t="n">
        <x:v>0.981671882984835</x:v>
      </x:c>
      <x:c r="E914" s="74" t="n">
        <x:v>0.09527167218994995</x:v>
      </x:c>
      <x:c r="F914" s="74" t="n">
        <x:v>0.9818055704972226</x:v>
      </x:c>
      <x:c r="G914" s="74" t="n">
        <x:v>1.168759854234191</x:v>
      </x:c>
      <x:c r="H914" s="74" t="n">
        <x:v>0.9874888322230855</x:v>
      </x:c>
      <x:c r="I914" s="74" t="n">
        <x:v>0.78472780195919</x:v>
      </x:c>
      <x:c r="J914" s="74" t="n">
        <x:v>0.8429107603431651</x:v>
      </x:c>
      <x:c r="K914" s="74" t="n">
        <x:v>0.7204938708880821</x:v>
      </x:c>
      <x:c r="L914" s="74" t="n">
        <x:v>0.8851480566230097</x:v>
      </x:c>
      <x:c r="M914" s="74" t="n">
        <x:v>0.9957909507980727</x:v>
      </x:c>
      <x:c r="N914" s="74" t="n">
        <x:v>0.8399551719152957</x:v>
      </x:c>
      <x:c r="O914" s="65" t="n">
        <x:v>472233.06297547824</x:v>
      </x:c>
      <x:c r="P914" s="65" t="n">
        <x:v>209846.29177705204</x:v>
      </x:c>
      <x:c r="Q914" s="65" t="n">
        <x:v>262386.7711984262</x:v>
      </x:c>
      <x:c r="R914" s="65" t="n">
        <x:v>133089.64279082598</x:v>
      </x:c>
      <x:c r="S914" s="65" t="n">
        <x:v>129297.12840760025</x:v>
      </x:c>
      <x:c r="T914" s="65" t="n">
        <x:v>180116.4601911655</x:v>
      </x:c>
      <x:c r="U914" s="43" t="n">
        <x:v>0.8257845173125186</x:v>
      </x:c>
      <x:c r="V914" s="43" t="n">
        <x:v>0.8347547581795499</x:v>
      </x:c>
      <x:c r="W914" s="43" t="n">
        <x:v>0.4424849825241218</x:v>
      </x:c>
      <x:c r="X914" s="65" t="n">
        <x:v>33602855.399421275</x:v>
      </x:c>
      <x:c r="Y914" s="65" t="n">
        <x:v>71.15735435315375</x:v>
      </x:c>
      <x:c r="Z914" s="65" t="n">
        <x:v>3284719.1292064236</x:v>
      </x:c>
      <x:c r="AA914" s="65" t="n">
        <x:v>175772.25652464334</x:v>
      </x:c>
      <x:c r="AB914" s="65" t="n">
        <x:v>23211.014685369664</x:v>
      </x:c>
      <x:c r="AC914" s="65" t="n">
        <x:v>29245.762542693843</x:v>
      </x:c>
      <x:c r="AD914" s="65" t="n">
        <x:v>1680.9809659638645</x:v>
      </x:c>
      <x:c r="AE914" s="65" t="n">
        <x:v>107544.33333768394</x:v>
      </x:c>
      <x:c r="AF914" s="65" t="n">
        <x:v>180116.46019116536</x:v>
      </x:c>
      <x:c r="AG914" s="65" t="n">
        <x:v>1.4551915228366852e-10</x:v>
      </x:c>
      <x:c r="AH914" s="34" t="n">
        <x:v>0</x:v>
      </x:c>
    </x:row>
    <x:row r="915" ht="15" hidden="0" customHeight="1">
      <x:c r="A915" s="36" t="n">
        <x:v>228</x:v>
      </x:c>
      <x:c r="B915" s="36" t="str">
        <x:v>P2</x:v>
      </x:c>
      <x:c r="C915" s="36" t="str">
        <x:v>reference</x:v>
      </x:c>
      <x:c r="D915" s="75" t="n">
        <x:v>0.981671882984835</x:v>
      </x:c>
      <x:c r="E915" s="75" t="n">
        <x:v>0.09527167218994995</x:v>
      </x:c>
      <x:c r="F915" s="75" t="n">
        <x:v>0.9818055704972226</x:v>
      </x:c>
      <x:c r="G915" s="75" t="n">
        <x:v>1.168759854234191</x:v>
      </x:c>
      <x:c r="H915" s="75" t="n">
        <x:v>0.9874888322230855</x:v>
      </x:c>
      <x:c r="I915" s="75" t="n">
        <x:v>0.78472780195919</x:v>
      </x:c>
      <x:c r="J915" s="75" t="n">
        <x:v>0.8429107603431651</x:v>
      </x:c>
      <x:c r="K915" s="75" t="n">
        <x:v>0.7204938708880821</x:v>
      </x:c>
      <x:c r="L915" s="75" t="n">
        <x:v>0.8851480566230097</x:v>
      </x:c>
      <x:c r="M915" s="75" t="n">
        <x:v>0.9957909507980727</x:v>
      </x:c>
      <x:c r="N915" s="75" t="n">
        <x:v>0.8399551719152957</x:v>
      </x:c>
      <x:c r="O915" s="66" t="n">
        <x:v>472233.06297547824</x:v>
      </x:c>
      <x:c r="P915" s="66" t="n">
        <x:v>304004.6036471802</x:v>
      </x:c>
      <x:c r="Q915" s="66" t="n">
        <x:v>168228.45932829808</x:v>
      </x:c>
      <x:c r="R915" s="66" t="n">
        <x:v>133089.64279082598</x:v>
      </x:c>
      <x:c r="S915" s="66" t="n">
        <x:v>35138.81653747209</x:v>
      </x:c>
      <x:c r="T915" s="66" t="n">
        <x:v>108074.08063261736</x:v>
      </x:c>
      <x:c r="U915" s="45" t="n">
        <x:v>0.8726171811929985</x:v>
      </x:c>
      <x:c r="V915" s="45" t="n">
        <x:v>0.8908082453288415</x:v>
      </x:c>
      <x:c r="W915" s="45" t="n">
        <x:v>0.31829641707418455</x:v>
      </x:c>
      <x:c r="X915" s="66" t="n">
        <x:v>20162096.196614172</x:v>
      </x:c>
      <x:c r="Y915" s="66" t="n">
        <x:v>42.69522356095836</x:v>
      </x:c>
      <x:c r="Z915" s="66" t="n">
        <x:v>1721670.4400394245</x:v>
      </x:c>
      <x:c r="AA915" s="66" t="n">
        <x:v>112739.07204773792</x:v>
      </x:c>
      <x:c r="AB915" s="66" t="n">
        <x:v>930.6617266513447</x:v>
      </x:c>
      <x:c r="AC915" s="66" t="n">
        <x:v>44320.78317550617</x:v>
      </x:c>
      <x:c r="AD915" s="66" t="n">
        <x:v>1475.7494830871533</x:v>
      </x:c>
      <x:c r="AE915" s="66" t="n">
        <x:v>42557.57722322433</x:v>
      </x:c>
      <x:c r="AF915" s="66" t="n">
        <x:v>108074.08063261733</x:v>
      </x:c>
      <x:c r="AG915" s="66" t="n">
        <x:v>2.9103830456733704e-11</x:v>
      </x:c>
      <x:c r="AH915" s="36" t="n">
        <x:v>0</x:v>
      </x:c>
    </x:row>
    <x:row r="916" ht="15" hidden="0" customHeight="1">
      <x:c r="A916" s="34" t="n">
        <x:v>228</x:v>
      </x:c>
      <x:c r="B916" s="34" t="str">
        <x:v>H3</x:v>
      </x:c>
      <x:c r="C916" s="34" t="str">
        <x:v>reference</x:v>
      </x:c>
      <x:c r="D916" s="74" t="n">
        <x:v>0.981671882984835</x:v>
      </x:c>
      <x:c r="E916" s="74" t="n">
        <x:v>0.09527167218994995</x:v>
      </x:c>
      <x:c r="F916" s="74" t="n">
        <x:v>0.9818055704972226</x:v>
      </x:c>
      <x:c r="G916" s="74" t="n">
        <x:v>1.168759854234191</x:v>
      </x:c>
      <x:c r="H916" s="74" t="n">
        <x:v>0.9874888322230855</x:v>
      </x:c>
      <x:c r="I916" s="74" t="n">
        <x:v>0.78472780195919</x:v>
      </x:c>
      <x:c r="J916" s="74" t="n">
        <x:v>0.8429107603431651</x:v>
      </x:c>
      <x:c r="K916" s="74" t="n">
        <x:v>0.7204938708880821</x:v>
      </x:c>
      <x:c r="L916" s="74" t="n">
        <x:v>0.8851480566230097</x:v>
      </x:c>
      <x:c r="M916" s="74" t="n">
        <x:v>0.9957909507980727</x:v>
      </x:c>
      <x:c r="N916" s="74" t="n">
        <x:v>0.8399551719152957</x:v>
      </x:c>
      <x:c r="O916" s="65" t="n">
        <x:v>472233.06297547824</x:v>
      </x:c>
      <x:c r="P916" s="65" t="n">
        <x:v>315361.67140456825</x:v>
      </x:c>
      <x:c r="Q916" s="65" t="n">
        <x:v>156871.39157090997</x:v>
      </x:c>
      <x:c r="R916" s="65" t="n">
        <x:v>133089.64279082598</x:v>
      </x:c>
      <x:c r="S916" s="65" t="n">
        <x:v>23781.748780084017</x:v>
      </x:c>
      <x:c r="T916" s="65" t="n">
        <x:v>155418.68068252824</x:v>
      </x:c>
      <x:c r="U916" s="43" t="n">
        <x:v>0.996923741681219</x:v>
      </x:c>
      <x:c r="V916" s="43" t="n">
        <x:v>0.9980624540686844</x:v>
      </x:c>
      <x:c r="W916" s="43" t="n">
        <x:v>0.9692374168121894</x:v>
      </x:c>
      <x:c r="X916" s="65" t="n">
        <x:v>15755171.220936658</x:v>
      </x:c>
      <x:c r="Y916" s="65" t="n">
        <x:v>33.363126083687156</x:v>
      </x:c>
      <x:c r="Z916" s="65" t="n">
        <x:v>1283639.6682167721</x:v>
      </x:c>
      <x:c r="AA916" s="65" t="n">
        <x:v>94378.02499652088</x:v>
      </x:c>
      <x:c r="AB916" s="65" t="n">
        <x:v>7881.12278887657</x:v>
      </x:c>
      <x:c r="AC916" s="65" t="n">
        <x:v>631.046911439213</x:v>
      </x:c>
      <x:c r="AD916" s="65" t="n">
        <x:v>1452.7108883817652</x:v>
      </x:c>
      <x:c r="AE916" s="65" t="n">
        <x:v>66331.87947680283</x:v>
      </x:c>
      <x:c r="AF916" s="65" t="n">
        <x:v>155418.68068252812</x:v>
      </x:c>
      <x:c r="AG916" s="65" t="n">
        <x:v>1.1641532182693481e-10</x:v>
      </x:c>
      <x:c r="AH916" s="34" t="n">
        <x:v>1</x:v>
      </x:c>
    </x:row>
    <x:row r="917" ht="15" hidden="0" customHeight="1">
      <x:c r="A917" s="36" t="n">
        <x:v>229</x:v>
      </x:c>
      <x:c r="B917" s="36" t="str">
        <x:v>M0</x:v>
      </x:c>
      <x:c r="C917" s="36" t="str">
        <x:v>reference</x:v>
      </x:c>
      <x:c r="D917" s="75" t="n">
        <x:v>0.974839122278026</x:v>
      </x:c>
      <x:c r="E917" s="75" t="n">
        <x:v>0.0630902709301139</x:v>
      </x:c>
      <x:c r="F917" s="75" t="n">
        <x:v>1.0196642107552385</x:v>
      </x:c>
      <x:c r="G917" s="75" t="n">
        <x:v>0.9114312209493413</x:v>
      </x:c>
      <x:c r="H917" s="75" t="n">
        <x:v>0.9423355802095226</x:v>
      </x:c>
      <x:c r="I917" s="75" t="n">
        <x:v>0.9938584538316888</x:v>
      </x:c>
      <x:c r="J917" s="75" t="n">
        <x:v>1.0238790134427749</x:v>
      </x:c>
      <x:c r="K917" s="75" t="n">
        <x:v>0.9826232913425073</x:v>
      </x:c>
      <x:c r="L917" s="75" t="n">
        <x:v>0.8558956218823294</x:v>
      </x:c>
      <x:c r="M917" s="75" t="n">
        <x:v>0.7614861353096012</x:v>
      </x:c>
      <x:c r="N917" s="75" t="n">
        <x:v>1.0054143760031777</x:v>
      </x:c>
      <x:c r="O917" s="66" t="n">
        <x:v>468946.16480401997</x:v>
      </x:c>
      <x:c r="P917" s="66" t="n">
        <x:v>66846.13226533317</x:v>
      </x:c>
      <x:c r="Q917" s="66" t="n">
        <x:v>402100.03253868676</x:v>
      </x:c>
      <x:c r="R917" s="66" t="n">
        <x:v>117071.95019765783</x:v>
      </x:c>
      <x:c r="S917" s="66" t="n">
        <x:v>285028.08234102896</x:v>
      </x:c>
      <x:c r="T917" s="66" t="n">
        <x:v>285009.9949575153</x:v>
      </x:c>
      <x:c r="U917" s="45" t="n">
        <x:v>0.7503124103166398</x:v>
      </x:c>
      <x:c r="V917" s="45" t="n">
        <x:v>0.7667695390383396</x:v>
      </x:c>
      <x:c r="W917" s="45" t="n">
        <x:v>0.16387389560598015</x:v>
      </x:c>
      <x:c r="X917" s="66" t="n">
        <x:v>50381034.69179904</x:v>
      </x:c>
      <x:c r="Y917" s="66" t="n">
        <x:v>107.4345809243457</x:v>
      </x:c>
      <x:c r="Z917" s="66" t="n">
        <x:v>4254375.301402387</x:v>
      </x:c>
      <x:c r="AA917" s="66" t="n">
        <x:v>276940.1596607617</x:v>
      </x:c>
      <x:c r="AB917" s="66" t="n">
        <x:v>29465.995681561682</x:v>
      </x:c>
      <x:c r="AC917" s="66" t="n">
        <x:v>0</x:v>
      </x:c>
      <x:c r="AD917" s="66" t="n">
        <x:v>1986.7957863675463</x:v>
      </x:c>
      <x:c r="AE917" s="66" t="n">
        <x:v>256054.06092862377</x:v>
      </x:c>
      <x:c r="AF917" s="66" t="n">
        <x:v>280814.60405545804</x:v>
      </x:c>
      <x:c r="AG917" s="66" t="n">
        <x:v>4195.390902057232</x:v>
      </x:c>
      <x:c r="AH917" s="36" t="n">
        <x:v>0</x:v>
      </x:c>
    </x:row>
    <x:row r="918" ht="15" hidden="0" customHeight="1">
      <x:c r="A918" s="34" t="n">
        <x:v>229</x:v>
      </x:c>
      <x:c r="B918" s="34" t="str">
        <x:v>B1</x:v>
      </x:c>
      <x:c r="C918" s="34" t="str">
        <x:v>reference</x:v>
      </x:c>
      <x:c r="D918" s="74" t="n">
        <x:v>0.974839122278026</x:v>
      </x:c>
      <x:c r="E918" s="74" t="n">
        <x:v>0.0630902709301139</x:v>
      </x:c>
      <x:c r="F918" s="74" t="n">
        <x:v>1.0196642107552385</x:v>
      </x:c>
      <x:c r="G918" s="74" t="n">
        <x:v>0.9114312209493413</x:v>
      </x:c>
      <x:c r="H918" s="74" t="n">
        <x:v>0.9423355802095226</x:v>
      </x:c>
      <x:c r="I918" s="74" t="n">
        <x:v>0.9938584538316888</x:v>
      </x:c>
      <x:c r="J918" s="74" t="n">
        <x:v>1.0238790134427749</x:v>
      </x:c>
      <x:c r="K918" s="74" t="n">
        <x:v>0.9826232913425073</x:v>
      </x:c>
      <x:c r="L918" s="74" t="n">
        <x:v>0.8558956218823294</x:v>
      </x:c>
      <x:c r="M918" s="74" t="n">
        <x:v>0.7614861353096012</x:v>
      </x:c>
      <x:c r="N918" s="74" t="n">
        <x:v>1.0054143760031777</x:v>
      </x:c>
      <x:c r="O918" s="65" t="n">
        <x:v>468946.16480401997</x:v>
      </x:c>
      <x:c r="P918" s="65" t="n">
        <x:v>226119.85947165635</x:v>
      </x:c>
      <x:c r="Q918" s="65" t="n">
        <x:v>242826.3053323636</x:v>
      </x:c>
      <x:c r="R918" s="65" t="n">
        <x:v>117071.95019765783</x:v>
      </x:c>
      <x:c r="S918" s="65" t="n">
        <x:v>125754.35513470578</x:v>
      </x:c>
      <x:c r="T918" s="65" t="n">
        <x:v>211340.90573810408</x:v>
      </x:c>
      <x:c r="U918" s="43" t="n">
        <x:v>0.932859244925443</x:v>
      </x:c>
      <x:c r="V918" s="43" t="n">
        <x:v>0.94644026842779</x:v>
      </x:c>
      <x:c r="W918" s="43" t="n">
        <x:v>0.6428969059745245</x:v>
      </x:c>
      <x:c r="X918" s="65" t="n">
        <x:v>29448447.69290816</x:v>
      </x:c>
      <x:c r="Y918" s="65" t="n">
        <x:v>62.797075449407146</x:v>
      </x:c>
      <x:c r="Z918" s="65" t="n">
        <x:v>1392850.2245273094</x:v>
      </x:c>
      <x:c r="AA918" s="65" t="n">
        <x:v>160230.59773044544</x:v>
      </x:c>
      <x:c r="AB918" s="65" t="n">
        <x:v>2595.704974403944</x:v>
      </x:c>
      <x:c r="AC918" s="65" t="n">
        <x:v>32.37859243299033</x:v>
      </x:c>
      <x:c r="AD918" s="65" t="n">
        <x:v>1604.7170937060623</x:v>
      </x:c>
      <x:c r="AE918" s="65" t="n">
        <x:v>124473.10365142957</x:v>
      </x:c>
      <x:c r="AF918" s="65" t="n">
        <x:v>211340.90573810384</x:v>
      </x:c>
      <x:c r="AG918" s="65" t="n">
        <x:v>2.3283064365386963e-10</x:v>
      </x:c>
      <x:c r="AH918" s="34" t="n">
        <x:v>0</x:v>
      </x:c>
    </x:row>
    <x:row r="919" ht="15" hidden="0" customHeight="1">
      <x:c r="A919" s="36" t="n">
        <x:v>229</x:v>
      </x:c>
      <x:c r="B919" s="36" t="str">
        <x:v>P2</x:v>
      </x:c>
      <x:c r="C919" s="36" t="str">
        <x:v>reference</x:v>
      </x:c>
      <x:c r="D919" s="75" t="n">
        <x:v>0.974839122278026</x:v>
      </x:c>
      <x:c r="E919" s="75" t="n">
        <x:v>0.0630902709301139</x:v>
      </x:c>
      <x:c r="F919" s="75" t="n">
        <x:v>1.0196642107552385</x:v>
      </x:c>
      <x:c r="G919" s="75" t="n">
        <x:v>0.9114312209493413</x:v>
      </x:c>
      <x:c r="H919" s="75" t="n">
        <x:v>0.9423355802095226</x:v>
      </x:c>
      <x:c r="I919" s="75" t="n">
        <x:v>0.9938584538316888</x:v>
      </x:c>
      <x:c r="J919" s="75" t="n">
        <x:v>1.0238790134427749</x:v>
      </x:c>
      <x:c r="K919" s="75" t="n">
        <x:v>0.9826232913425073</x:v>
      </x:c>
      <x:c r="L919" s="75" t="n">
        <x:v>0.8558956218823294</x:v>
      </x:c>
      <x:c r="M919" s="75" t="n">
        <x:v>0.7614861353096012</x:v>
      </x:c>
      <x:c r="N919" s="75" t="n">
        <x:v>1.0054143760031777</x:v>
      </x:c>
      <x:c r="O919" s="66" t="n">
        <x:v>468946.16480401997</x:v>
      </x:c>
      <x:c r="P919" s="66" t="n">
        <x:v>327579.1874742622</x:v>
      </x:c>
      <x:c r="Q919" s="66" t="n">
        <x:v>141366.97732975773</x:v>
      </x:c>
      <x:c r="R919" s="66" t="n">
        <x:v>117071.95019765783</x:v>
      </x:c>
      <x:c r="S919" s="66" t="n">
        <x:v>24295.02713209991</x:v>
      </x:c>
      <x:c r="T919" s="66" t="n">
        <x:v>132862.63909382702</x:v>
      </x:c>
      <x:c r="U919" s="45" t="n">
        <x:v>0.9818650009868729</x:v>
      </x:c>
      <x:c r="V919" s="45" t="n">
        <x:v>0.9839898504156185</x:v>
      </x:c>
      <x:c r="W919" s="45" t="n">
        <x:v>0.8186500098687273</x:v>
      </x:c>
      <x:c r="X919" s="66" t="n">
        <x:v>16089906.506883068</x:v>
      </x:c>
      <x:c r="Y919" s="66" t="n">
        <x:v>34.31077533944071</x:v>
      </x:c>
      <x:c r="Z919" s="66" t="n">
        <x:v>833791.1617217789</x:v>
      </x:c>
      <x:c r="AA919" s="66" t="n">
        <x:v>92178.68844050921</x:v>
      </x:c>
      <x:c r="AB919" s="66" t="n">
        <x:v>0</x:v>
      </x:c>
      <x:c r="AC919" s="66" t="n">
        <x:v>0</x:v>
      </x:c>
      <x:c r="AD919" s="66" t="n">
        <x:v>1373.853185083661</x:v>
      </x:c>
      <x:c r="AE919" s="66" t="n">
        <x:v>71003.41332045742</x:v>
      </x:c>
      <x:c r="AF919" s="66" t="n">
        <x:v>132862.6390938271</x:v>
      </x:c>
      <x:c r="AG919" s="66" t="n">
        <x:v>0</x:v>
      </x:c>
      <x:c r="AH919" s="36" t="n">
        <x:v>1</x:v>
      </x:c>
    </x:row>
    <x:row r="920" ht="15" hidden="0" customHeight="1">
      <x:c r="A920" s="34" t="n">
        <x:v>229</x:v>
      </x:c>
      <x:c r="B920" s="34" t="str">
        <x:v>H3</x:v>
      </x:c>
      <x:c r="C920" s="34" t="str">
        <x:v>reference</x:v>
      </x:c>
      <x:c r="D920" s="74" t="n">
        <x:v>0.974839122278026</x:v>
      </x:c>
      <x:c r="E920" s="74" t="n">
        <x:v>0.0630902709301139</x:v>
      </x:c>
      <x:c r="F920" s="74" t="n">
        <x:v>1.0196642107552385</x:v>
      </x:c>
      <x:c r="G920" s="74" t="n">
        <x:v>0.9114312209493413</x:v>
      </x:c>
      <x:c r="H920" s="74" t="n">
        <x:v>0.9423355802095226</x:v>
      </x:c>
      <x:c r="I920" s="74" t="n">
        <x:v>0.9938584538316888</x:v>
      </x:c>
      <x:c r="J920" s="74" t="n">
        <x:v>1.0238790134427749</x:v>
      </x:c>
      <x:c r="K920" s="74" t="n">
        <x:v>0.9826232913425073</x:v>
      </x:c>
      <x:c r="L920" s="74" t="n">
        <x:v>0.8558956218823294</x:v>
      </x:c>
      <x:c r="M920" s="74" t="n">
        <x:v>0.7614861353096012</x:v>
      </x:c>
      <x:c r="N920" s="74" t="n">
        <x:v>1.0054143760031777</x:v>
      </x:c>
      <x:c r="O920" s="65" t="n">
        <x:v>468946.16480401997</x:v>
      </x:c>
      <x:c r="P920" s="65" t="n">
        <x:v>339816.76669361664</x:v>
      </x:c>
      <x:c r="Q920" s="65" t="n">
        <x:v>129129.39811040334</x:v>
      </x:c>
      <x:c r="R920" s="65" t="n">
        <x:v>117071.95019765783</x:v>
      </x:c>
      <x:c r="S920" s="65" t="n">
        <x:v>12057.447912745507</x:v>
      </x:c>
      <x:c r="T920" s="65" t="n">
        <x:v>127781.46092976646</x:v>
      </x:c>
      <x:c r="U920" s="43" t="n">
        <x:v>0.9971256035728531</x:v>
      </x:c>
      <x:c r="V920" s="43" t="n">
        <x:v>0.9981895799052339</x:v>
      </x:c>
      <x:c r="W920" s="43" t="n">
        <x:v>0.9712560357285318</x:v>
      </x:c>
      <x:c r="X920" s="65" t="n">
        <x:v>13158312.637505816</x:v>
      </x:c>
      <x:c r="Y920" s="65" t="n">
        <x:v>28.059324555953847</x:v>
      </x:c>
      <x:c r="Z920" s="65" t="n">
        <x:v>807111.7090635526</x:v>
      </x:c>
      <x:c r="AA920" s="65" t="n">
        <x:v>82248.1190060123</x:v>
      </x:c>
      <x:c r="AB920" s="65" t="n">
        <x:v>1598.5863062839699</x:v>
      </x:c>
      <x:c r="AC920" s="65" t="n">
        <x:v>0</x:v>
      </x:c>
      <x:c r="AD920" s="65" t="n">
        <x:v>1347.9371806368754</x:v>
      </x:c>
      <x:c r="AE920" s="65" t="n">
        <x:v>61564.973326393156</x:v>
      </x:c>
      <x:c r="AF920" s="65" t="n">
        <x:v>127781.46092976647</x:v>
      </x:c>
      <x:c r="AG920" s="65" t="n">
        <x:v>0</x:v>
      </x:c>
      <x:c r="AH920" s="34" t="n">
        <x:v>1</x:v>
      </x:c>
    </x:row>
    <x:row r="921" ht="21.600000381469727" hidden="0" customHeight="1">
      <x:c r="A921" s="36" t="n">
        <x:v>230</x:v>
      </x:c>
      <x:c r="B921" s="36" t="str">
        <x:v>M0</x:v>
      </x:c>
      <x:c r="C921" s="36" t="str">
        <x:v>fast</x:v>
      </x:c>
      <x:c r="D921" s="75" t="n">
        <x:v>1.0428079312297487</x:v>
      </x:c>
      <x:c r="E921" s="75" t="n">
        <x:v>-0.02372260868745747</x:v>
      </x:c>
      <x:c r="F921" s="75" t="n">
        <x:v>0.7531900230595345</x:v>
      </x:c>
      <x:c r="G921" s="75" t="n">
        <x:v>0.9868623203428587</x:v>
      </x:c>
      <x:c r="H921" s="75" t="n">
        <x:v>1.0333224077638055</x:v>
      </x:c>
      <x:c r="I921" s="75" t="n">
        <x:v>0.8043066723254672</x:v>
      </x:c>
      <x:c r="J921" s="75" t="n">
        <x:v>1.0663852752520033</x:v>
      </x:c>
      <x:c r="K921" s="75" t="n">
        <x:v>0.8170263382994737</x:v>
      </x:c>
      <x:c r="L921" s="75" t="n">
        <x:v>1.0227294361350465</x:v>
      </x:c>
      <x:c r="M921" s="75" t="n">
        <x:v>0.997463001648855</x:v>
      </x:c>
      <x:c r="N921" s="75" t="n">
        <x:v>0.9219543196603481</x:v>
      </x:c>
      <x:c r="O921" s="66" t="n">
        <x:v>501642.5467564844</x:v>
      </x:c>
      <x:c r="P921" s="66" t="n">
        <x:v>58931.85924822659</x:v>
      </x:c>
      <x:c r="Q921" s="66" t="n">
        <x:v>442710.6875082578</x:v>
      </x:c>
      <x:c r="R921" s="66" t="n">
        <x:v>81685.53586760105</x:v>
      </x:c>
      <x:c r="S921" s="66" t="n">
        <x:v>361025.1516406567</x:v>
      </x:c>
      <x:c r="T921" s="66" t="n">
        <x:v>290108.95344684535</x:v>
      </x:c>
      <x:c r="U921" s="45" t="n">
        <x:v>0.6957958708883382</x:v>
      </x:c>
      <x:c r="V921" s="45" t="n">
        <x:v>0.6955745177449473</x:v>
      </x:c>
      <x:c r="W921" s="45" t="n">
        <x:v>0.1173389938386843</x:v>
      </x:c>
      <x:c r="X921" s="66" t="n">
        <x:v>56552582.94012876</x:v>
      </x:c>
      <x:c r="Y921" s="66" t="n">
        <x:v>112.73482144962766</x:v>
      </x:c>
      <x:c r="Z921" s="66" t="n">
        <x:v>7532267.521702224</x:v>
      </x:c>
      <x:c r="AA921" s="66" t="n">
        <x:v>300288.86258802784</x:v>
      </x:c>
      <x:c r="AB921" s="66" t="n">
        <x:v>69878.6722398483</x:v>
      </x:c>
      <x:c r="AC921" s="66" t="n">
        <x:v>0</x:v>
      </x:c>
      <x:c r="AD921" s="66" t="n">
        <x:v>2142.5762988285232</x:v>
      </x:c>
      <x:c r="AE921" s="66" t="n">
        <x:v>237004.38463440933</x:v>
      </x:c>
      <x:c r="AF921" s="66" t="n">
        <x:v>290108.9534468453</x:v>
      </x:c>
      <x:c r="AG921" s="66" t="n">
        <x:v>5.820766091346741e-11</x:v>
      </x:c>
      <x:c r="AH921" s="36" t="n">
        <x:v>0</x:v>
      </x:c>
    </x:row>
    <x:row r="922" ht="21.600000381469727" hidden="0" customHeight="1">
      <x:c r="A922" s="34" t="n">
        <x:v>230</x:v>
      </x:c>
      <x:c r="B922" s="34" t="str">
        <x:v>B1</x:v>
      </x:c>
      <x:c r="C922" s="34" t="str">
        <x:v>fast</x:v>
      </x:c>
      <x:c r="D922" s="74" t="n">
        <x:v>1.0428079312297487</x:v>
      </x:c>
      <x:c r="E922" s="74" t="n">
        <x:v>-0.02372260868745747</x:v>
      </x:c>
      <x:c r="F922" s="74" t="n">
        <x:v>0.7531900230595345</x:v>
      </x:c>
      <x:c r="G922" s="74" t="n">
        <x:v>0.9868623203428587</x:v>
      </x:c>
      <x:c r="H922" s="74" t="n">
        <x:v>1.0333224077638055</x:v>
      </x:c>
      <x:c r="I922" s="74" t="n">
        <x:v>0.8043066723254672</x:v>
      </x:c>
      <x:c r="J922" s="74" t="n">
        <x:v>1.0663852752520033</x:v>
      </x:c>
      <x:c r="K922" s="74" t="n">
        <x:v>0.8170263382994737</x:v>
      </x:c>
      <x:c r="L922" s="74" t="n">
        <x:v>1.0227294361350465</x:v>
      </x:c>
      <x:c r="M922" s="74" t="n">
        <x:v>0.997463001648855</x:v>
      </x:c>
      <x:c r="N922" s="74" t="n">
        <x:v>0.9219543196603481</x:v>
      </x:c>
      <x:c r="O922" s="65" t="n">
        <x:v>501642.5467564844</x:v>
      </x:c>
      <x:c r="P922" s="65" t="n">
        <x:v>199345.92445022578</x:v>
      </x:c>
      <x:c r="Q922" s="65" t="n">
        <x:v>302296.6223062586</x:v>
      </x:c>
      <x:c r="R922" s="65" t="n">
        <x:v>81685.53586760105</x:v>
      </x:c>
      <x:c r="S922" s="65" t="n">
        <x:v>220611.0864386575</x:v>
      </x:c>
      <x:c r="T922" s="65" t="n">
        <x:v>203951.92897787964</x:v>
      </x:c>
      <x:c r="U922" s="43" t="n">
        <x:v>0.8039546406813873</x:v>
      </x:c>
      <x:c r="V922" s="43" t="n">
        <x:v>0.8145516553212154</x:v>
      </x:c>
      <x:c r="W922" s="43" t="n">
        <x:v>0.4356332829338255</x:v>
      </x:c>
      <x:c r="X922" s="65" t="n">
        <x:v>39372144.156112745</x:v>
      </x:c>
      <x:c r="Y922" s="65" t="n">
        <x:v>78.48645297470237</x:v>
      </x:c>
      <x:c r="Z922" s="65" t="n">
        <x:v>4066658.723535959</x:v>
      </x:c>
      <x:c r="AA922" s="65" t="n">
        <x:v>206625.31044006062</x:v>
      </x:c>
      <x:c r="AB922" s="65" t="n">
        <x:v>31414.988280346726</x:v>
      </x:c>
      <x:c r="AC922" s="65" t="n">
        <x:v>15741.9276069816</x:v>
      </x:c>
      <x:c r="AD922" s="65" t="n">
        <x:v>1772.9302751322948</x:v>
      </x:c>
      <x:c r="AE922" s="65" t="n">
        <x:v>135664.93940271705</x:v>
      </x:c>
      <x:c r="AF922" s="65" t="n">
        <x:v>203951.92897787978</x:v>
      </x:c>
      <x:c r="AG922" s="65" t="n">
        <x:v>0</x:v>
      </x:c>
      <x:c r="AH922" s="34" t="n">
        <x:v>0</x:v>
      </x:c>
    </x:row>
    <x:row r="923" ht="21.600000381469727" hidden="0" customHeight="1">
      <x:c r="A923" s="36" t="n">
        <x:v>230</x:v>
      </x:c>
      <x:c r="B923" s="36" t="str">
        <x:v>P2</x:v>
      </x:c>
      <x:c r="C923" s="36" t="str">
        <x:v>fast</x:v>
      </x:c>
      <x:c r="D923" s="75" t="n">
        <x:v>1.0428079312297487</x:v>
      </x:c>
      <x:c r="E923" s="75" t="n">
        <x:v>-0.02372260868745747</x:v>
      </x:c>
      <x:c r="F923" s="75" t="n">
        <x:v>0.7531900230595345</x:v>
      </x:c>
      <x:c r="G923" s="75" t="n">
        <x:v>0.9868623203428587</x:v>
      </x:c>
      <x:c r="H923" s="75" t="n">
        <x:v>1.0333224077638055</x:v>
      </x:c>
      <x:c r="I923" s="75" t="n">
        <x:v>0.8043066723254672</x:v>
      </x:c>
      <x:c r="J923" s="75" t="n">
        <x:v>1.0663852752520033</x:v>
      </x:c>
      <x:c r="K923" s="75" t="n">
        <x:v>0.8170263382994737</x:v>
      </x:c>
      <x:c r="L923" s="75" t="n">
        <x:v>1.0227294361350465</x:v>
      </x:c>
      <x:c r="M923" s="75" t="n">
        <x:v>0.997463001648855</x:v>
      </x:c>
      <x:c r="N923" s="75" t="n">
        <x:v>0.9219543196603481</x:v>
      </x:c>
      <x:c r="O923" s="66" t="n">
        <x:v>501642.5467564844</x:v>
      </x:c>
      <x:c r="P923" s="66" t="n">
        <x:v>288789.9158452521</x:v>
      </x:c>
      <x:c r="Q923" s="66" t="n">
        <x:v>212852.63091123226</x:v>
      </x:c>
      <x:c r="R923" s="66" t="n">
        <x:v>81685.53586760105</x:v>
      </x:c>
      <x:c r="S923" s="66" t="n">
        <x:v>131167.09504363118</x:v>
      </x:c>
      <x:c r="T923" s="66" t="n">
        <x:v>122553.95071470094</x:v>
      </x:c>
      <x:c r="U923" s="45" t="n">
        <x:v>0.8199939762279262</x:v>
      </x:c>
      <x:c r="V923" s="45" t="n">
        <x:v>0.8312377545197114</x:v>
      </x:c>
      <x:c r="W923" s="45" t="n">
        <x:v>0.6243098515054235</x:v>
      </x:c>
      <x:c r="X923" s="66" t="n">
        <x:v>26466777.583292466</x:v>
      </x:c>
      <x:c r="Y923" s="66" t="n">
        <x:v>52.760232867848046</x:v>
      </x:c>
      <x:c r="Z923" s="66" t="n">
        <x:v>1693258.5100373428</x:v>
      </x:c>
      <x:c r="AA923" s="66" t="n">
        <x:v>150744.25701243803</x:v>
      </x:c>
      <x:c r="AB923" s="66" t="n">
        <x:v>1934.015078684245</x:v>
      </x:c>
      <x:c r="AC923" s="66" t="n">
        <x:v>41837.55795705639</x:v>
      </x:c>
      <x:c r="AD923" s="66" t="n">
        <x:v>1549.5785743536067</x:v>
      </x:c>
      <x:c r="AE923" s="66" t="n">
        <x:v>75099.70435174805</x:v>
      </x:c>
      <x:c r="AF923" s="66" t="n">
        <x:v>122553.95071470091</x:v>
      </x:c>
      <x:c r="AG923" s="66" t="n">
        <x:v>2.9103830456733704e-11</x:v>
      </x:c>
      <x:c r="AH923" s="36" t="n">
        <x:v>0</x:v>
      </x:c>
    </x:row>
    <x:row r="924" ht="21.600000381469727" hidden="0" customHeight="1">
      <x:c r="A924" s="34" t="n">
        <x:v>230</x:v>
      </x:c>
      <x:c r="B924" s="34" t="str">
        <x:v>H3</x:v>
      </x:c>
      <x:c r="C924" s="34" t="str">
        <x:v>fast</x:v>
      </x:c>
      <x:c r="D924" s="74" t="n">
        <x:v>1.0428079312297487</x:v>
      </x:c>
      <x:c r="E924" s="74" t="n">
        <x:v>-0.02372260868745747</x:v>
      </x:c>
      <x:c r="F924" s="74" t="n">
        <x:v>0.7531900230595345</x:v>
      </x:c>
      <x:c r="G924" s="74" t="n">
        <x:v>0.9868623203428587</x:v>
      </x:c>
      <x:c r="H924" s="74" t="n">
        <x:v>1.0333224077638055</x:v>
      </x:c>
      <x:c r="I924" s="74" t="n">
        <x:v>0.8043066723254672</x:v>
      </x:c>
      <x:c r="J924" s="74" t="n">
        <x:v>1.0663852752520033</x:v>
      </x:c>
      <x:c r="K924" s="74" t="n">
        <x:v>0.8170263382994737</x:v>
      </x:c>
      <x:c r="L924" s="74" t="n">
        <x:v>1.0227294361350465</x:v>
      </x:c>
      <x:c r="M924" s="74" t="n">
        <x:v>0.997463001648855</x:v>
      </x:c>
      <x:c r="N924" s="74" t="n">
        <x:v>0.9219543196603481</x:v>
      </x:c>
      <x:c r="O924" s="65" t="n">
        <x:v>501642.5467564844</x:v>
      </x:c>
      <x:c r="P924" s="65" t="n">
        <x:v>299578.02683517104</x:v>
      </x:c>
      <x:c r="Q924" s="65" t="n">
        <x:v>202064.51992131327</x:v>
      </x:c>
      <x:c r="R924" s="65" t="n">
        <x:v>81685.53586760105</x:v>
      </x:c>
      <x:c r="S924" s="65" t="n">
        <x:v>120378.98405371219</x:v>
      </x:c>
      <x:c r="T924" s="65" t="n">
        <x:v>196577.37851946097</x:v>
      </x:c>
      <x:c r="U924" s="43" t="n">
        <x:v>0.9890616506966344</x:v>
      </x:c>
      <x:c r="V924" s="43" t="n">
        <x:v>0.9933955842657994</x:v>
      </x:c>
      <x:c r="W924" s="43" t="n">
        <x:v>0.8906165069663449</x:v>
      </x:c>
      <x:c r="X924" s="65" t="n">
        <x:v>20109067.93316072</x:v>
      </x:c>
      <x:c r="Y924" s="65" t="n">
        <x:v>40.086448135593244</x:v>
      </x:c>
      <x:c r="Z924" s="65" t="n">
        <x:v>2981912.0714306394</x:v>
      </x:c>
      <x:c r="AA924" s="65" t="n">
        <x:v>118796.09958226146</x:v>
      </x:c>
      <x:c r="AB924" s="65" t="n">
        <x:v>23944.185350633175</x:v>
      </x:c>
      <x:c r="AC924" s="65" t="n">
        <x:v>197.32678593413874</x:v>
      </x:c>
      <x:c r="AD924" s="65" t="n">
        <x:v>1524.5058650456958</x:v>
      </x:c>
      <x:c r="AE924" s="65" t="n">
        <x:v>77092.09869147983</x:v>
      </x:c>
      <x:c r="AF924" s="65" t="n">
        <x:v>196577.378519461</x:v>
      </x:c>
      <x:c r="AG924" s="65" t="n">
        <x:v>0</x:v>
      </x:c>
      <x:c r="AH924" s="34" t="n">
        <x:v>1</x:v>
      </x:c>
    </x:row>
    <x:row r="925" ht="15" hidden="0" customHeight="1">
      <x:c r="A925" s="36" t="n">
        <x:v>231</x:v>
      </x:c>
      <x:c r="B925" s="36" t="str">
        <x:v>M0</x:v>
      </x:c>
      <x:c r="C925" s="36" t="str">
        <x:v>fast</x:v>
      </x:c>
      <x:c r="D925" s="75" t="n">
        <x:v>1.110429307838589</x:v>
      </x:c>
      <x:c r="E925" s="75" t="n">
        <x:v>0.019473593409922038</x:v>
      </x:c>
      <x:c r="F925" s="75" t="n">
        <x:v>0.8027466108167632</x:v>
      </x:c>
      <x:c r="G925" s="75" t="n">
        <x:v>0.9476092204429206</x:v>
      </x:c>
      <x:c r="H925" s="75" t="n">
        <x:v>0.884025363286534</x:v>
      </x:c>
      <x:c r="I925" s="75" t="n">
        <x:v>0.9990499740637367</x:v>
      </x:c>
      <x:c r="J925" s="75" t="n">
        <x:v>0.8313039166617332</x:v>
      </x:c>
      <x:c r="K925" s="75" t="n">
        <x:v>0.8564785941005804</x:v>
      </x:c>
      <x:c r="L925" s="75" t="n">
        <x:v>0.9092960088214711</x:v>
      </x:c>
      <x:c r="M925" s="75" t="n">
        <x:v>0.7847518792687235</x:v>
      </x:c>
      <x:c r="N925" s="75" t="n">
        <x:v>0.8523507322379908</x:v>
      </x:c>
      <x:c r="O925" s="66" t="n">
        <x:v>534171.7964498916</x:v>
      </x:c>
      <x:c r="P925" s="66" t="n">
        <x:v>63430.586017806054</x:v>
      </x:c>
      <x:c r="Q925" s="66" t="n">
        <x:v>470741.21043208556</x:v>
      </x:c>
      <x:c r="R925" s="66" t="n">
        <x:v>110056.66619206822</x:v>
      </x:c>
      <x:c r="S925" s="66" t="n">
        <x:v>360684.5442400173</x:v>
      </x:c>
      <x:c r="T925" s="66" t="n">
        <x:v>281489.696322893</x:v>
      </x:c>
      <x:c r="U925" s="45" t="n">
        <x:v>0.6457103962302783</x:v>
      </x:c>
      <x:c r="V925" s="45" t="n">
        <x:v>0.6778319332384342</x:v>
      </x:c>
      <x:c r="W925" s="45" t="n">
        <x:v>0.12197241702858426</x:v>
      </x:c>
      <x:c r="X925" s="66" t="n">
        <x:v>61479072.864107974</x:v>
      </x:c>
      <x:c r="Y925" s="66" t="n">
        <x:v>115.09232286821991</x:v>
      </x:c>
      <x:c r="Z925" s="66" t="n">
        <x:v>4474249.582237705</x:v>
      </x:c>
      <x:c r="AA925" s="66" t="n">
        <x:v>340673.76420185453</x:v>
      </x:c>
      <x:c r="AB925" s="66" t="n">
        <x:v>31297.57934776858</x:v>
      </x:c>
      <x:c r="AC925" s="66" t="n">
        <x:v>2057.3954087644033</x:v>
      </x:c>
      <x:c r="AD925" s="66" t="n">
        <x:v>2286.968842367265</x:v>
      </x:c>
      <x:c r="AE925" s="66" t="n">
        <x:v>256941.9952344389</x:v>
      </x:c>
      <x:c r="AF925" s="66" t="n">
        <x:v>274930.1477756467</x:v>
      </x:c>
      <x:c r="AG925" s="66" t="n">
        <x:v>6559.548547246319</x:v>
      </x:c>
      <x:c r="AH925" s="36" t="n">
        <x:v>0</x:v>
      </x:c>
    </x:row>
    <x:row r="926" ht="15" hidden="0" customHeight="1">
      <x:c r="A926" s="34" t="n">
        <x:v>231</x:v>
      </x:c>
      <x:c r="B926" s="34" t="str">
        <x:v>B1</x:v>
      </x:c>
      <x:c r="C926" s="34" t="str">
        <x:v>fast</x:v>
      </x:c>
      <x:c r="D926" s="74" t="n">
        <x:v>1.110429307838589</x:v>
      </x:c>
      <x:c r="E926" s="74" t="n">
        <x:v>0.019473593409922038</x:v>
      </x:c>
      <x:c r="F926" s="74" t="n">
        <x:v>0.8027466108167632</x:v>
      </x:c>
      <x:c r="G926" s="74" t="n">
        <x:v>0.9476092204429206</x:v>
      </x:c>
      <x:c r="H926" s="74" t="n">
        <x:v>0.884025363286534</x:v>
      </x:c>
      <x:c r="I926" s="74" t="n">
        <x:v>0.9990499740637367</x:v>
      </x:c>
      <x:c r="J926" s="74" t="n">
        <x:v>0.8313039166617332</x:v>
      </x:c>
      <x:c r="K926" s="74" t="n">
        <x:v>0.8564785941005804</x:v>
      </x:c>
      <x:c r="L926" s="74" t="n">
        <x:v>0.9092960088214711</x:v>
      </x:c>
      <x:c r="M926" s="74" t="n">
        <x:v>0.7847518792687235</x:v>
      </x:c>
      <x:c r="N926" s="74" t="n">
        <x:v>0.8523507322379908</x:v>
      </x:c>
      <x:c r="O926" s="65" t="n">
        <x:v>534171.7964498916</x:v>
      </x:c>
      <x:c r="P926" s="65" t="n">
        <x:v>214564.75714620634</x:v>
      </x:c>
      <x:c r="Q926" s="65" t="n">
        <x:v>319607.0393036853</x:v>
      </x:c>
      <x:c r="R926" s="65" t="n">
        <x:v>110056.66619206822</x:v>
      </x:c>
      <x:c r="S926" s="65" t="n">
        <x:v>209550.37311161708</x:v>
      </x:c>
      <x:c r="T926" s="65" t="n">
        <x:v>206111.33140869453</x:v>
      </x:c>
      <x:c r="U926" s="43" t="n">
        <x:v>0.7875295763473777</x:v>
      </x:c>
      <x:c r="V926" s="43" t="n">
        <x:v>0.8324291668703234</x:v>
      </x:c>
      <x:c r="W926" s="43" t="n">
        <x:v>0.44886201807891746</x:v>
      </x:c>
      <x:c r="X926" s="65" t="n">
        <x:v>42304166.11252697</x:v>
      </x:c>
      <x:c r="Y926" s="65" t="n">
        <x:v>79.19580628120141</x:v>
      </x:c>
      <x:c r="Z926" s="65" t="n">
        <x:v>1453465.9273134663</x:v>
      </x:c>
      <x:c r="AA926" s="65" t="n">
        <x:v>234389.37971681915</x:v>
      </x:c>
      <x:c r="AB926" s="65" t="n">
        <x:v>3911.305407655375</x:v>
      </x:c>
      <x:c r="AC926" s="65" t="n">
        <x:v>1452.0996916546121</x:v>
      </x:c>
      <x:c r="AD926" s="65" t="n">
        <x:v>1905.707973632021</x:v>
      </x:c>
      <x:c r="AE926" s="65" t="n">
        <x:v>144820.77955654918</x:v>
      </x:c>
      <x:c r="AF926" s="65" t="n">
        <x:v>206111.33140869427</x:v>
      </x:c>
      <x:c r="AG926" s="65" t="n">
        <x:v>2.6193447411060333e-10</x:v>
      </x:c>
      <x:c r="AH926" s="34" t="n">
        <x:v>0</x:v>
      </x:c>
    </x:row>
    <x:row r="927" ht="15" hidden="0" customHeight="1">
      <x:c r="A927" s="36" t="n">
        <x:v>231</x:v>
      </x:c>
      <x:c r="B927" s="36" t="str">
        <x:v>P2</x:v>
      </x:c>
      <x:c r="C927" s="36" t="str">
        <x:v>fast</x:v>
      </x:c>
      <x:c r="D927" s="75" t="n">
        <x:v>1.110429307838589</x:v>
      </x:c>
      <x:c r="E927" s="75" t="n">
        <x:v>0.019473593409922038</x:v>
      </x:c>
      <x:c r="F927" s="75" t="n">
        <x:v>0.8027466108167632</x:v>
      </x:c>
      <x:c r="G927" s="75" t="n">
        <x:v>0.9476092204429206</x:v>
      </x:c>
      <x:c r="H927" s="75" t="n">
        <x:v>0.884025363286534</x:v>
      </x:c>
      <x:c r="I927" s="75" t="n">
        <x:v>0.9990499740637367</x:v>
      </x:c>
      <x:c r="J927" s="75" t="n">
        <x:v>0.8313039166617332</x:v>
      </x:c>
      <x:c r="K927" s="75" t="n">
        <x:v>0.8564785941005804</x:v>
      </x:c>
      <x:c r="L927" s="75" t="n">
        <x:v>0.9092960088214711</x:v>
      </x:c>
      <x:c r="M927" s="75" t="n">
        <x:v>0.7847518792687235</x:v>
      </x:c>
      <x:c r="N927" s="75" t="n">
        <x:v>0.8523507322379908</x:v>
      </x:c>
      <x:c r="O927" s="66" t="n">
        <x:v>534171.7964498916</x:v>
      </x:c>
      <x:c r="P927" s="66" t="n">
        <x:v>310838.23262041784</x:v>
      </x:c>
      <x:c r="Q927" s="66" t="n">
        <x:v>223333.56382947377</x:v>
      </x:c>
      <x:c r="R927" s="66" t="n">
        <x:v>110056.66619206822</x:v>
      </x:c>
      <x:c r="S927" s="66" t="n">
        <x:v>113276.89763740555</x:v>
      </x:c>
      <x:c r="T927" s="66" t="n">
        <x:v>128470.22178158296</x:v>
      </x:c>
      <x:c r="U927" s="45" t="n">
        <x:v>0.8224104254879179</x:v>
      </x:c>
      <x:c r="V927" s="45" t="n">
        <x:v>0.831627602667297</x:v>
      </x:c>
      <x:c r="W927" s="45" t="n">
        <x:v>0.6426906830359177</x:v>
      </x:c>
      <x:c r="X927" s="66" t="n">
        <x:v>29215085.980399586</x:v>
      </x:c>
      <x:c r="Y927" s="66" t="n">
        <x:v>54.69230343976075</x:v>
      </x:c>
      <x:c r="Z927" s="66" t="n">
        <x:v>908753.8487215551</x:v>
      </x:c>
      <x:c r="AA927" s="66" t="n">
        <x:v>168062.23166537422</x:v>
      </x:c>
      <x:c r="AB927" s="66" t="n">
        <x:v>0</x:v>
      </x:c>
      <x:c r="AC927" s="66" t="n">
        <x:v>13181.159320348484</x:v>
      </x:c>
      <x:c r="AD927" s="66" t="n">
        <x:v>1675.3382198311342</x:v>
      </x:c>
      <x:c r="AE927" s="66" t="n">
        <x:v>99763.71098609976</x:v>
      </x:c>
      <x:c r="AF927" s="66" t="n">
        <x:v>128470.22178158289</x:v>
      </x:c>
      <x:c r="AG927" s="66" t="n">
        <x:v>7.275957614183426e-11</x:v>
      </x:c>
      <x:c r="AH927" s="36" t="n">
        <x:v>0</x:v>
      </x:c>
    </x:row>
    <x:row r="928" ht="15" hidden="0" customHeight="1">
      <x:c r="A928" s="34" t="n">
        <x:v>231</x:v>
      </x:c>
      <x:c r="B928" s="34" t="str">
        <x:v>H3</x:v>
      </x:c>
      <x:c r="C928" s="34" t="str">
        <x:v>fast</x:v>
      </x:c>
      <x:c r="D928" s="74" t="n">
        <x:v>1.110429307838589</x:v>
      </x:c>
      <x:c r="E928" s="74" t="n">
        <x:v>0.019473593409922038</x:v>
      </x:c>
      <x:c r="F928" s="74" t="n">
        <x:v>0.8027466108167632</x:v>
      </x:c>
      <x:c r="G928" s="74" t="n">
        <x:v>0.9476092204429206</x:v>
      </x:c>
      <x:c r="H928" s="74" t="n">
        <x:v>0.884025363286534</x:v>
      </x:c>
      <x:c r="I928" s="74" t="n">
        <x:v>0.9990499740637367</x:v>
      </x:c>
      <x:c r="J928" s="74" t="n">
        <x:v>0.8313039166617332</x:v>
      </x:c>
      <x:c r="K928" s="74" t="n">
        <x:v>0.8564785941005804</x:v>
      </x:c>
      <x:c r="L928" s="74" t="n">
        <x:v>0.9092960088214711</x:v>
      </x:c>
      <x:c r="M928" s="74" t="n">
        <x:v>0.7847518792687235</x:v>
      </x:c>
      <x:c r="N928" s="74" t="n">
        <x:v>0.8523507322379908</x:v>
      </x:c>
      <x:c r="O928" s="65" t="n">
        <x:v>534171.7964498916</x:v>
      </x:c>
      <x:c r="P928" s="65" t="n">
        <x:v>322450.185322028</x:v>
      </x:c>
      <x:c r="Q928" s="65" t="n">
        <x:v>211721.61112786364</x:v>
      </x:c>
      <x:c r="R928" s="65" t="n">
        <x:v>110056.66619206822</x:v>
      </x:c>
      <x:c r="S928" s="65" t="n">
        <x:v>101664.9449357954</x:v>
      </x:c>
      <x:c r="T928" s="65" t="n">
        <x:v>208655.71241078392</x:v>
      </x:c>
      <x:c r="U928" s="43" t="n">
        <x:v>0.9942604631366619</x:v>
      </x:c>
      <x:c r="V928" s="43" t="n">
        <x:v>0.9957505647658413</x:v>
      </x:c>
      <x:c r="W928" s="43" t="n">
        <x:v>0.9426046313666182</x:v>
      </x:c>
      <x:c r="X928" s="65" t="n">
        <x:v>21423980.446972754</x:v>
      </x:c>
      <x:c r="Y928" s="65" t="n">
        <x:v>40.10691052832934</x:v>
      </x:c>
      <x:c r="Z928" s="65" t="n">
        <x:v>1403960.6876893283</x:v>
      </x:c>
      <x:c r="AA928" s="65" t="n">
        <x:v>134977.70904132072</x:v>
      </x:c>
      <x:c r="AB928" s="65" t="n">
        <x:v>3019.506374718916</x:v>
      </x:c>
      <x:c r="AC928" s="65" t="n">
        <x:v>2021.6206129820375</x:v>
      </x:c>
      <x:c r="AD928" s="65" t="n">
        <x:v>1649.4776875394732</x:v>
      </x:c>
      <x:c r="AE928" s="65" t="n">
        <x:v>98191.0575127403</x:v>
      </x:c>
      <x:c r="AF928" s="65" t="n">
        <x:v>208655.71241078383</x:v>
      </x:c>
      <x:c r="AG928" s="65" t="n">
        <x:v>8.731149137020111e-11</x:v>
      </x:c>
      <x:c r="AH928" s="34" t="n">
        <x:v>1</x:v>
      </x:c>
    </x:row>
    <x:row r="929" ht="15" hidden="0" customHeight="1">
      <x:c r="A929" s="36" t="n">
        <x:v>232</x:v>
      </x:c>
      <x:c r="B929" s="36" t="str">
        <x:v>M0</x:v>
      </x:c>
      <x:c r="C929" s="36" t="str">
        <x:v>reference</x:v>
      </x:c>
      <x:c r="D929" s="75" t="n">
        <x:v>0.9425375261450335</x:v>
      </x:c>
      <x:c r="E929" s="75" t="n">
        <x:v>-0.024236229807677295</x:v>
      </x:c>
      <x:c r="F929" s="75" t="n">
        <x:v>0.7757729356143845</x:v>
      </x:c>
      <x:c r="G929" s="75" t="n">
        <x:v>0.9183282756879637</x:v>
      </x:c>
      <x:c r="H929" s="75" t="n">
        <x:v>1.0505714361024754</x:v>
      </x:c>
      <x:c r="I929" s="75" t="n">
        <x:v>0.8177149065438918</x:v>
      </x:c>
      <x:c r="J929" s="75" t="n">
        <x:v>0.9303315874041278</x:v>
      </x:c>
      <x:c r="K929" s="75" t="n">
        <x:v>0.8122013789036481</x:v>
      </x:c>
      <x:c r="L929" s="75" t="n">
        <x:v>0.8465788006676157</x:v>
      </x:c>
      <x:c r="M929" s="75" t="n">
        <x:v>0.8107136912149588</x:v>
      </x:c>
      <x:c r="N929" s="75" t="n">
        <x:v>0.8948891860089095</x:v>
      </x:c>
      <x:c r="O929" s="66" t="n">
        <x:v>453407.4884445631</x:v>
      </x:c>
      <x:c r="P929" s="66" t="n">
        <x:v>54896.03154256792</x:v>
      </x:c>
      <x:c r="Q929" s="66" t="n">
        <x:v>398511.45690199523</x:v>
      </x:c>
      <x:c r="R929" s="66" t="n">
        <x:v>73598.24550747375</x:v>
      </x:c>
      <x:c r="S929" s="66" t="n">
        <x:v>324913.21139452147</x:v>
      </x:c>
      <x:c r="T929" s="66" t="n">
        <x:v>264739.48830552225</x:v>
      </x:c>
      <x:c r="U929" s="45" t="n">
        <x:v>0.7049630365493424</x:v>
      </x:c>
      <x:c r="V929" s="45" t="n">
        <x:v>0.7208777004927268</x:v>
      </x:c>
      <x:c r="W929" s="45" t="n">
        <x:v>0.12332373481774708</x:v>
      </x:c>
      <x:c r="X929" s="66" t="n">
        <x:v>50679769.353543565</x:v>
      </x:c>
      <x:c r="Y929" s="66" t="n">
        <x:v>111.77532494534448</x:v>
      </x:c>
      <x:c r="Z929" s="66" t="n">
        <x:v>5555324.099188748</x:v>
      </x:c>
      <x:c r="AA929" s="66" t="n">
        <x:v>274563.44736191945</x:v>
      </x:c>
      <x:c r="AB929" s="66" t="n">
        <x:v>48731.15083161704</x:v>
      </x:c>
      <x:c r="AC929" s="66" t="n">
        <x:v>0</x:v>
      </x:c>
      <x:c r="AD929" s="66" t="n">
        <x:v>1931.9698928241412</x:v>
      </x:c>
      <x:c r="AE929" s="66" t="n">
        <x:v>238966.67974846566</x:v>
      </x:c>
      <x:c r="AF929" s="66" t="n">
        <x:v>264739.48830552207</x:v>
      </x:c>
      <x:c r="AG929" s="66" t="n">
        <x:v>1.7462298274040222e-10</x:v>
      </x:c>
      <x:c r="AH929" s="36" t="n">
        <x:v>0</x:v>
      </x:c>
    </x:row>
    <x:row r="930" ht="15" hidden="0" customHeight="1">
      <x:c r="A930" s="34" t="n">
        <x:v>232</x:v>
      </x:c>
      <x:c r="B930" s="34" t="str">
        <x:v>B1</x:v>
      </x:c>
      <x:c r="C930" s="34" t="str">
        <x:v>reference</x:v>
      </x:c>
      <x:c r="D930" s="74" t="n">
        <x:v>0.9425375261450335</x:v>
      </x:c>
      <x:c r="E930" s="74" t="n">
        <x:v>-0.024236229807677295</x:v>
      </x:c>
      <x:c r="F930" s="74" t="n">
        <x:v>0.7757729356143845</x:v>
      </x:c>
      <x:c r="G930" s="74" t="n">
        <x:v>0.9183282756879637</x:v>
      </x:c>
      <x:c r="H930" s="74" t="n">
        <x:v>1.0505714361024754</x:v>
      </x:c>
      <x:c r="I930" s="74" t="n">
        <x:v>0.8177149065438918</x:v>
      </x:c>
      <x:c r="J930" s="74" t="n">
        <x:v>0.9303315874041278</x:v>
      </x:c>
      <x:c r="K930" s="74" t="n">
        <x:v>0.8122013789036481</x:v>
      </x:c>
      <x:c r="L930" s="74" t="n">
        <x:v>0.8465788006676157</x:v>
      </x:c>
      <x:c r="M930" s="74" t="n">
        <x:v>0.8107136912149588</x:v>
      </x:c>
      <x:c r="N930" s="74" t="n">
        <x:v>0.8948891860089095</x:v>
      </x:c>
      <x:c r="O930" s="65" t="n">
        <x:v>453407.4884445631</x:v>
      </x:c>
      <x:c r="P930" s="65" t="n">
        <x:v>185694.11522171414</x:v>
      </x:c>
      <x:c r="Q930" s="65" t="n">
        <x:v>267713.373222849</x:v>
      </x:c>
      <x:c r="R930" s="65" t="n">
        <x:v>73598.24550747375</x:v>
      </x:c>
      <x:c r="S930" s="65" t="n">
        <x:v>194115.12771537522</x:v>
      </x:c>
      <x:c r="T930" s="65" t="n">
        <x:v>199535.39579942502</x:v>
      </x:c>
      <x:c r="U930" s="43" t="n">
        <x:v>0.8496319995567081</x:v>
      </x:c>
      <x:c r="V930" s="43" t="n">
        <x:v>0.8614316492114895</x:v>
      </x:c>
      <x:c r="W930" s="43" t="n">
        <x:v>0.4568450588204286</x:v>
      </x:c>
      <x:c r="X930" s="65" t="n">
        <x:v>33864408.26695881</x:v>
      </x:c>
      <x:c r="Y930" s="65" t="n">
        <x:v>74.68868320444452</x:v>
      </x:c>
      <x:c r="Z930" s="65" t="n">
        <x:v>2608551.5298810424</x:v>
      </x:c>
      <x:c r="AA930" s="65" t="n">
        <x:v>183985.8766187101</x:v>
      </x:c>
      <x:c r="AB930" s="65" t="n">
        <x:v>17090.452240849198</x:v>
      </x:c>
      <x:c r="AC930" s="65" t="n">
        <x:v>9111.011622546943</x:v>
      </x:c>
      <x:c r="AD930" s="65" t="n">
        <x:v>1587.4763814566418</x:v>
      </x:c>
      <x:c r="AE930" s="65" t="n">
        <x:v>122216.97012825515</x:v>
      </x:c>
      <x:c r="AF930" s="65" t="n">
        <x:v>199535.3957994252</x:v>
      </x:c>
      <x:c r="AG930" s="65" t="n">
        <x:v>0</x:v>
      </x:c>
      <x:c r="AH930" s="34" t="n">
        <x:v>0</x:v>
      </x:c>
    </x:row>
    <x:row r="931" ht="15" hidden="0" customHeight="1">
      <x:c r="A931" s="36" t="n">
        <x:v>232</x:v>
      </x:c>
      <x:c r="B931" s="36" t="str">
        <x:v>P2</x:v>
      </x:c>
      <x:c r="C931" s="36" t="str">
        <x:v>reference</x:v>
      </x:c>
      <x:c r="D931" s="75" t="n">
        <x:v>0.9425375261450335</x:v>
      </x:c>
      <x:c r="E931" s="75" t="n">
        <x:v>-0.024236229807677295</x:v>
      </x:c>
      <x:c r="F931" s="75" t="n">
        <x:v>0.7757729356143845</x:v>
      </x:c>
      <x:c r="G931" s="75" t="n">
        <x:v>0.9183282756879637</x:v>
      </x:c>
      <x:c r="H931" s="75" t="n">
        <x:v>1.0505714361024754</x:v>
      </x:c>
      <x:c r="I931" s="75" t="n">
        <x:v>0.8177149065438918</x:v>
      </x:c>
      <x:c r="J931" s="75" t="n">
        <x:v>0.9303315874041278</x:v>
      </x:c>
      <x:c r="K931" s="75" t="n">
        <x:v>0.8122013789036481</x:v>
      </x:c>
      <x:c r="L931" s="75" t="n">
        <x:v>0.8465788006676157</x:v>
      </x:c>
      <x:c r="M931" s="75" t="n">
        <x:v>0.8107136912149588</x:v>
      </x:c>
      <x:c r="N931" s="75" t="n">
        <x:v>0.8948891860089095</x:v>
      </x:c>
      <x:c r="O931" s="66" t="n">
        <x:v>453407.4884445631</x:v>
      </x:c>
      <x:c r="P931" s="66" t="n">
        <x:v>269012.7031061482</x:v>
      </x:c>
      <x:c r="Q931" s="66" t="n">
        <x:v>184394.78533841495</x:v>
      </x:c>
      <x:c r="R931" s="66" t="n">
        <x:v>73598.24550747375</x:v>
      </x:c>
      <x:c r="S931" s="66" t="n">
        <x:v>110796.53983094118</x:v>
      </x:c>
      <x:c r="T931" s="66" t="n">
        <x:v>121830.20570569712</x:v>
      </x:c>
      <x:c r="U931" s="45" t="n">
        <x:v>0.8620124695175444</x:v>
      </x:c>
      <x:c r="V931" s="45" t="n">
        <x:v>0.8858372732346045</x:v>
      </x:c>
      <x:c r="W931" s="45" t="n">
        <x:v>0.4226863262442341</x:v>
      </x:c>
      <x:c r="X931" s="66" t="n">
        <x:v>21933772.536550403</x:v>
      </x:c>
      <x:c r="Y931" s="66" t="n">
        <x:v>48.37540864575329</x:v>
      </x:c>
      <x:c r="Z931" s="66" t="n">
        <x:v>1426105.6628296778</x:v>
      </x:c>
      <x:c r="AA931" s="66" t="n">
        <x:v>125990.13056259762</x:v>
      </x:c>
      <x:c r="AB931" s="66" t="n">
        <x:v>808.4416466941736</x:v>
      </x:c>
      <x:c r="AC931" s="66" t="n">
        <x:v>35257.8488114552</x:v>
      </x:c>
      <x:c r="AD931" s="66" t="n">
        <x:v>1379.3226161279376</x:v>
      </x:c>
      <x:c r="AE931" s="66" t="n">
        <x:v>52028.84919700217</x:v>
      </x:c>
      <x:c r="AF931" s="66" t="n">
        <x:v>121830.20570569714</x:v>
      </x:c>
      <x:c r="AG931" s="66" t="n">
        <x:v>0</x:v>
      </x:c>
      <x:c r="AH931" s="36" t="n">
        <x:v>0</x:v>
      </x:c>
    </x:row>
    <x:row r="932" ht="15" hidden="0" customHeight="1">
      <x:c r="A932" s="34" t="n">
        <x:v>232</x:v>
      </x:c>
      <x:c r="B932" s="34" t="str">
        <x:v>H3</x:v>
      </x:c>
      <x:c r="C932" s="34" t="str">
        <x:v>reference</x:v>
      </x:c>
      <x:c r="D932" s="74" t="n">
        <x:v>0.9425375261450335</x:v>
      </x:c>
      <x:c r="E932" s="74" t="n">
        <x:v>-0.024236229807677295</x:v>
      </x:c>
      <x:c r="F932" s="74" t="n">
        <x:v>0.7757729356143845</x:v>
      </x:c>
      <x:c r="G932" s="74" t="n">
        <x:v>0.9183282756879637</x:v>
      </x:c>
      <x:c r="H932" s="74" t="n">
        <x:v>1.0505714361024754</x:v>
      </x:c>
      <x:c r="I932" s="74" t="n">
        <x:v>0.8177149065438918</x:v>
      </x:c>
      <x:c r="J932" s="74" t="n">
        <x:v>0.9303315874041278</x:v>
      </x:c>
      <x:c r="K932" s="74" t="n">
        <x:v>0.8122013789036481</x:v>
      </x:c>
      <x:c r="L932" s="74" t="n">
        <x:v>0.8465788006676157</x:v>
      </x:c>
      <x:c r="M932" s="74" t="n">
        <x:v>0.8107136912149588</x:v>
      </x:c>
      <x:c r="N932" s="74" t="n">
        <x:v>0.8948891860089095</x:v>
      </x:c>
      <x:c r="O932" s="65" t="n">
        <x:v>453407.4884445631</x:v>
      </x:c>
      <x:c r="P932" s="65" t="n">
        <x:v>279062.0094663882</x:v>
      </x:c>
      <x:c r="Q932" s="65" t="n">
        <x:v>174345.47897817488</x:v>
      </x:c>
      <x:c r="R932" s="65" t="n">
        <x:v>73598.24550747375</x:v>
      </x:c>
      <x:c r="S932" s="65" t="n">
        <x:v>100747.23347070112</x:v>
      </x:c>
      <x:c r="T932" s="65" t="n">
        <x:v>172989.52300233327</x:v>
      </x:c>
      <x:c r="U932" s="43" t="n">
        <x:v>0.9970094098346428</x:v>
      </x:c>
      <x:c r="V932" s="43" t="n">
        <x:v>0.9981164049931582</x:v>
      </x:c>
      <x:c r="W932" s="43" t="n">
        <x:v>0.9700940983464281</x:v>
      </x:c>
      <x:c r="X932" s="65" t="n">
        <x:v>16792108.114399087</x:v>
      </x:c>
      <x:c r="Y932" s="65" t="n">
        <x:v>37.03535680896063</x:v>
      </x:c>
      <x:c r="Z932" s="65" t="n">
        <x:v>1441129.1014537544</x:v>
      </x:c>
      <x:c r="AA932" s="65" t="n">
        <x:v>97162.21082189713</x:v>
      </x:c>
      <x:c r="AB932" s="65" t="n">
        <x:v>7711.778247414639</x:v>
      </x:c>
      <x:c r="AC932" s="65" t="n">
        <x:v>740.83368193868</x:v>
      </x:c>
      <x:c r="AD932" s="65" t="n">
        <x:v>1355.9559758416158</x:v>
      </x:c>
      <x:c r="AE932" s="65" t="n">
        <x:v>61921.01019017304</x:v>
      </x:c>
      <x:c r="AF932" s="65" t="n">
        <x:v>172989.52300233336</x:v>
      </x:c>
      <x:c r="AG932" s="65" t="n">
        <x:v>0</x:v>
      </x:c>
      <x:c r="AH932" s="34" t="n">
        <x:v>1</x:v>
      </x:c>
    </x:row>
    <x:row r="933" ht="15" hidden="0" customHeight="1">
      <x:c r="A933" s="36" t="n">
        <x:v>233</x:v>
      </x:c>
      <x:c r="B933" s="36" t="str">
        <x:v>M0</x:v>
      </x:c>
      <x:c r="C933" s="36" t="str">
        <x:v>fast</x:v>
      </x:c>
      <x:c r="D933" s="75" t="n">
        <x:v>1.0227922835425194</x:v>
      </x:c>
      <x:c r="E933" s="75" t="n">
        <x:v>0.08868153995505093</x:v>
      </x:c>
      <x:c r="F933" s="75" t="n">
        <x:v>0.8062515762292244</x:v>
      </x:c>
      <x:c r="G933" s="75" t="n">
        <x:v>1.1262728706650398</x:v>
      </x:c>
      <x:c r="H933" s="75" t="n">
        <x:v>0.9419577654606278</x:v>
      </x:c>
      <x:c r="I933" s="75" t="n">
        <x:v>0.9091703933584967</x:v>
      </x:c>
      <x:c r="J933" s="75" t="n">
        <x:v>0.9127974570721049</x:v>
      </x:c>
      <x:c r="K933" s="75" t="n">
        <x:v>0.8068167156284481</x:v>
      </x:c>
      <x:c r="L933" s="75" t="n">
        <x:v>0.8263997774141557</x:v>
      </x:c>
      <x:c r="M933" s="75" t="n">
        <x:v>0.85089176001591</x:v>
      </x:c>
      <x:c r="N933" s="75" t="n">
        <x:v>0.9903959062945376</x:v>
      </x:c>
      <x:c r="O933" s="66" t="n">
        <x:v>492014.02343967225</x:v>
      </x:c>
      <x:c r="P933" s="66" t="n">
        <x:v>53563.71285887187</x:v>
      </x:c>
      <x:c r="Q933" s="66" t="n">
        <x:v>438450.31058080035</x:v>
      </x:c>
      <x:c r="R933" s="66" t="n">
        <x:v>135422.08172373736</x:v>
      </x:c>
      <x:c r="S933" s="66" t="n">
        <x:v>303028.228857063</x:v>
      </x:c>
      <x:c r="T933" s="66" t="n">
        <x:v>262813.5687590896</x:v>
      </x:c>
      <x:c r="U933" s="45" t="n">
        <x:v>0.643024927229038</x:v>
      </x:c>
      <x:c r="V933" s="45" t="n">
        <x:v>0.6715549613234569</x:v>
      </x:c>
      <x:c r="W933" s="45" t="n">
        <x:v>0.11268426783194374</x:v>
      </x:c>
      <x:c r="X933" s="66" t="n">
        <x:v>57048739.265093684</x:v>
      </x:c>
      <x:c r="Y933" s="66" t="n">
        <x:v>115.94941718584704</x:v>
      </x:c>
      <x:c r="Z933" s="66" t="n">
        <x:v>4420392.807885708</x:v>
      </x:c>
      <x:c r="AA933" s="66" t="n">
        <x:v>317416.5893888351</x:v>
      </x:c>
      <x:c r="AB933" s="66" t="n">
        <x:v>32446.838994554695</x:v>
      </x:c>
      <x:c r="AC933" s="66" t="n">
        <x:v>0</x:v>
      </x:c>
      <x:c r="AD933" s="66" t="n">
        <x:v>2130.8387742459176</x:v>
      </x:c>
      <x:c r="AE933" s="66" t="n">
        <x:v>205766.76455652426</x:v>
      </x:c>
      <x:c r="AF933" s="66" t="n">
        <x:v>262813.56875908957</x:v>
      </x:c>
      <x:c r="AG933" s="66" t="n">
        <x:v>5.820766091346741e-11</x:v>
      </x:c>
      <x:c r="AH933" s="36" t="n">
        <x:v>0</x:v>
      </x:c>
    </x:row>
    <x:row r="934" ht="15" hidden="0" customHeight="1">
      <x:c r="A934" s="34" t="n">
        <x:v>233</x:v>
      </x:c>
      <x:c r="B934" s="34" t="str">
        <x:v>B1</x:v>
      </x:c>
      <x:c r="C934" s="34" t="str">
        <x:v>fast</x:v>
      </x:c>
      <x:c r="D934" s="74" t="n">
        <x:v>1.0227922835425194</x:v>
      </x:c>
      <x:c r="E934" s="74" t="n">
        <x:v>0.08868153995505093</x:v>
      </x:c>
      <x:c r="F934" s="74" t="n">
        <x:v>0.8062515762292244</x:v>
      </x:c>
      <x:c r="G934" s="74" t="n">
        <x:v>1.1262728706650398</x:v>
      </x:c>
      <x:c r="H934" s="74" t="n">
        <x:v>0.9419577654606278</x:v>
      </x:c>
      <x:c r="I934" s="74" t="n">
        <x:v>0.9091703933584967</x:v>
      </x:c>
      <x:c r="J934" s="74" t="n">
        <x:v>0.9127974570721049</x:v>
      </x:c>
      <x:c r="K934" s="74" t="n">
        <x:v>0.8068167156284481</x:v>
      </x:c>
      <x:c r="L934" s="74" t="n">
        <x:v>0.8263997774141557</x:v>
      </x:c>
      <x:c r="M934" s="74" t="n">
        <x:v>0.85089176001591</x:v>
      </x:c>
      <x:c r="N934" s="74" t="n">
        <x:v>0.9903959062945376</x:v>
      </x:c>
      <x:c r="O934" s="65" t="n">
        <x:v>492014.02343967225</x:v>
      </x:c>
      <x:c r="P934" s="65" t="n">
        <x:v>181190.26846360546</x:v>
      </x:c>
      <x:c r="Q934" s="65" t="n">
        <x:v>310823.75497606676</x:v>
      </x:c>
      <x:c r="R934" s="65" t="n">
        <x:v>135422.08172373736</x:v>
      </x:c>
      <x:c r="S934" s="65" t="n">
        <x:v>175401.67325232943</x:v>
      </x:c>
      <x:c r="T934" s="65" t="n">
        <x:v>198515.37557686685</x:v>
      </x:c>
      <x:c r="U934" s="43" t="n">
        <x:v>0.7717374423313148</x:v>
      </x:c>
      <x:c r="V934" s="43" t="n">
        <x:v>0.8103600242252944</x:v>
      </x:c>
      <x:c r="W934" s="43" t="n">
        <x:v>0.41432466124687994</x:v>
      </x:c>
      <x:c r="X934" s="65" t="n">
        <x:v>40937101.811017215</x:v>
      </x:c>
      <x:c r="Y934" s="65" t="n">
        <x:v>83.20311995342277</x:v>
      </x:c>
      <x:c r="Z934" s="65" t="n">
        <x:v>1905649.3661287315</x:v>
      </x:c>
      <x:c r="AA934" s="65" t="n">
        <x:v>228174.54052599458</x:v>
      </x:c>
      <x:c r="AB934" s="65" t="n">
        <x:v>7856.339429858342</x:v>
      </x:c>
      <x:c r="AC934" s="65" t="n">
        <x:v>6958.975959138128</x:v>
      </x:c>
      <x:c r="AD934" s="65" t="n">
        <x:v>1834.8322982931033</x:v>
      </x:c>
      <x:c r="AE934" s="65" t="n">
        <x:v>139875.59876721818</x:v>
      </x:c>
      <x:c r="AF934" s="65" t="n">
        <x:v>198515.3755768669</x:v>
      </x:c>
      <x:c r="AG934" s="65" t="n">
        <x:v>0</x:v>
      </x:c>
      <x:c r="AH934" s="34" t="n">
        <x:v>0</x:v>
      </x:c>
    </x:row>
    <x:row r="935" ht="15" hidden="0" customHeight="1">
      <x:c r="A935" s="36" t="n">
        <x:v>233</x:v>
      </x:c>
      <x:c r="B935" s="36" t="str">
        <x:v>P2</x:v>
      </x:c>
      <x:c r="C935" s="36" t="str">
        <x:v>fast</x:v>
      </x:c>
      <x:c r="D935" s="75" t="n">
        <x:v>1.0227922835425194</x:v>
      </x:c>
      <x:c r="E935" s="75" t="n">
        <x:v>0.08868153995505093</x:v>
      </x:c>
      <x:c r="F935" s="75" t="n">
        <x:v>0.8062515762292244</x:v>
      </x:c>
      <x:c r="G935" s="75" t="n">
        <x:v>1.1262728706650398</x:v>
      </x:c>
      <x:c r="H935" s="75" t="n">
        <x:v>0.9419577654606278</x:v>
      </x:c>
      <x:c r="I935" s="75" t="n">
        <x:v>0.9091703933584967</x:v>
      </x:c>
      <x:c r="J935" s="75" t="n">
        <x:v>0.9127974570721049</x:v>
      </x:c>
      <x:c r="K935" s="75" t="n">
        <x:v>0.8068167156284481</x:v>
      </x:c>
      <x:c r="L935" s="75" t="n">
        <x:v>0.8263997774141557</x:v>
      </x:c>
      <x:c r="M935" s="75" t="n">
        <x:v>0.85089176001591</x:v>
      </x:c>
      <x:c r="N935" s="75" t="n">
        <x:v>0.9903959062945376</x:v>
      </x:c>
      <x:c r="O935" s="66" t="n">
        <x:v>492014.02343967225</x:v>
      </x:c>
      <x:c r="P935" s="66" t="n">
        <x:v>262490.4220147863</x:v>
      </x:c>
      <x:c r="Q935" s="66" t="n">
        <x:v>229523.60142488597</x:v>
      </x:c>
      <x:c r="R935" s="66" t="n">
        <x:v>135422.08172373736</x:v>
      </x:c>
      <x:c r="S935" s="66" t="n">
        <x:v>94101.51970114859</x:v>
      </x:c>
      <x:c r="T935" s="66" t="n">
        <x:v>121022.45588740357</x:v>
      </x:c>
      <x:c r="U935" s="45" t="n">
        <x:v>0.7794755019807151</x:v>
      </x:c>
      <x:c r="V935" s="45" t="n">
        <x:v>0.7972652079044427</x:v>
      </x:c>
      <x:c r="W935" s="45" t="n">
        <x:v>0.5629131571673748</x:v>
      </x:c>
      <x:c r="X935" s="66" t="n">
        <x:v>29806976.78018988</x:v>
      </x:c>
      <x:c r="Y935" s="66" t="n">
        <x:v>60.581559386883264</x:v>
      </x:c>
      <x:c r="Z935" s="66" t="n">
        <x:v>1160745.406056055</x:v>
      </x:c>
      <x:c r="AA935" s="66" t="n">
        <x:v>172294.34952402755</x:v>
      </x:c>
      <x:c r="AB935" s="66" t="n">
        <x:v>0</x:v>
      </x:c>
      <x:c r="AC935" s="66" t="n">
        <x:v>25613.070069621932</x:v>
      </x:c>
      <x:c r="AD935" s="66" t="n">
        <x:v>1655.9759178443892</x:v>
      </x:c>
      <x:c r="AE935" s="66" t="n">
        <x:v>75697.50466380565</x:v>
      </x:c>
      <x:c r="AF935" s="66" t="n">
        <x:v>121022.45588740354</x:v>
      </x:c>
      <x:c r="AG935" s="66" t="n">
        <x:v>2.9103830456733704e-11</x:v>
      </x:c>
      <x:c r="AH935" s="36" t="n">
        <x:v>0</x:v>
      </x:c>
    </x:row>
    <x:row r="936" ht="15" hidden="0" customHeight="1">
      <x:c r="A936" s="34" t="n">
        <x:v>233</x:v>
      </x:c>
      <x:c r="B936" s="34" t="str">
        <x:v>H3</x:v>
      </x:c>
      <x:c r="C936" s="34" t="str">
        <x:v>fast</x:v>
      </x:c>
      <x:c r="D936" s="74" t="n">
        <x:v>1.0227922835425194</x:v>
      </x:c>
      <x:c r="E936" s="74" t="n">
        <x:v>0.08868153995505093</x:v>
      </x:c>
      <x:c r="F936" s="74" t="n">
        <x:v>0.8062515762292244</x:v>
      </x:c>
      <x:c r="G936" s="74" t="n">
        <x:v>1.1262728706650398</x:v>
      </x:c>
      <x:c r="H936" s="74" t="n">
        <x:v>0.9419577654606278</x:v>
      </x:c>
      <x:c r="I936" s="74" t="n">
        <x:v>0.9091703933584967</x:v>
      </x:c>
      <x:c r="J936" s="74" t="n">
        <x:v>0.9127974570721049</x:v>
      </x:c>
      <x:c r="K936" s="74" t="n">
        <x:v>0.8068167156284481</x:v>
      </x:c>
      <x:c r="L936" s="74" t="n">
        <x:v>0.8263997774141557</x:v>
      </x:c>
      <x:c r="M936" s="74" t="n">
        <x:v>0.85089176001591</x:v>
      </x:c>
      <x:c r="N936" s="74" t="n">
        <x:v>0.9903959062945376</x:v>
      </x:c>
      <x:c r="O936" s="65" t="n">
        <x:v>492014.02343967225</x:v>
      </x:c>
      <x:c r="P936" s="65" t="n">
        <x:v>272296.56151424476</x:v>
      </x:c>
      <x:c r="Q936" s="65" t="n">
        <x:v>219717.46192542743</x:v>
      </x:c>
      <x:c r="R936" s="65" t="n">
        <x:v>135422.08172373736</x:v>
      </x:c>
      <x:c r="S936" s="65" t="n">
        <x:v>84295.38020169006</x:v>
      </x:c>
      <x:c r="T936" s="65" t="n">
        <x:v>201687.2495274486</x:v>
      </x:c>
      <x:c r="U936" s="43" t="n">
        <x:v>0.9633542713438745</x:v>
      </x:c>
      <x:c r="V936" s="43" t="n">
        <x:v>0.965762696767701</x:v>
      </x:c>
      <x:c r="W936" s="43" t="n">
        <x:v>0.6992869778886752</x:v>
      </x:c>
      <x:c r="X936" s="65" t="n">
        <x:v>22546736.082786225</x:v>
      </x:c>
      <x:c r="Y936" s="65" t="n">
        <x:v>45.82539319745785</x:v>
      </x:c>
      <x:c r="Z936" s="65" t="n">
        <x:v>2235668.2208692334</x:v>
      </x:c>
      <x:c r="AA936" s="65" t="n">
        <x:v>139068.84791401046</x:v>
      </x:c>
      <x:c r="AB936" s="65" t="n">
        <x:v>10952.118238150884</x:v>
      </x:c>
      <x:c r="AC936" s="65" t="n">
        <x:v>16394.31429471664</x:v>
      </x:c>
      <x:c r="AD936" s="65" t="n">
        <x:v>1635.8981032621793</x:v>
      </x:c>
      <x:c r="AE936" s="65" t="n">
        <x:v>74674.19485703809</x:v>
      </x:c>
      <x:c r="AF936" s="65" t="n">
        <x:v>201687.24952744888</x:v>
      </x:c>
      <x:c r="AG936" s="65" t="n">
        <x:v>0</x:v>
      </x:c>
      <x:c r="AH936" s="34" t="n">
        <x:v>0</x:v>
      </x:c>
    </x:row>
    <x:row r="937" ht="21.600000381469727" hidden="0" customHeight="1">
      <x:c r="A937" s="36" t="n">
        <x:v>234</x:v>
      </x:c>
      <x:c r="B937" s="36" t="str">
        <x:v>M0</x:v>
      </x:c>
      <x:c r="C937" s="36" t="str">
        <x:v>reference</x:v>
      </x:c>
      <x:c r="D937" s="75" t="n">
        <x:v>1.1412339348163671</x:v>
      </x:c>
      <x:c r="E937" s="75" t="n">
        <x:v>-0.005135783275974588</x:v>
      </x:c>
      <x:c r="F937" s="75" t="n">
        <x:v>0.739373563763935</x:v>
      </x:c>
      <x:c r="G937" s="75" t="n">
        <x:v>1.1463813193837176</x:v>
      </x:c>
      <x:c r="H937" s="75" t="n">
        <x:v>0.9495708893711499</x:v>
      </x:c>
      <x:c r="I937" s="75" t="n">
        <x:v>0.831124783178361</x:v>
      </x:c>
      <x:c r="J937" s="75" t="n">
        <x:v>0.9254901816087783</x:v>
      </x:c>
      <x:c r="K937" s="75" t="n">
        <x:v>0.7455353218107269</x:v>
      </x:c>
      <x:c r="L937" s="75" t="n">
        <x:v>0.9476575304894251</x:v>
      </x:c>
      <x:c r="M937" s="75" t="n">
        <x:v>0.8602817196106672</x:v>
      </x:c>
      <x:c r="N937" s="75" t="n">
        <x:v>0.8983572888585802</x:v>
      </x:c>
      <x:c r="O937" s="66" t="n">
        <x:v>548990.3560966265</x:v>
      </x:c>
      <x:c r="P937" s="66" t="n">
        <x:v>61905.20353514831</x:v>
      </x:c>
      <x:c r="Q937" s="66" t="n">
        <x:v>487085.15256147814</x:v>
      </x:c>
      <x:c r="R937" s="66" t="n">
        <x:v>99599.45826935722</x:v>
      </x:c>
      <x:c r="S937" s="66" t="n">
        <x:v>387485.6942921209</x:v>
      </x:c>
      <x:c r="T937" s="66" t="n">
        <x:v>267442.89300877444</x:v>
      </x:c>
      <x:c r="U937" s="45" t="n">
        <x:v>0.5999159964951278</x:v>
      </x:c>
      <x:c r="V937" s="45" t="n">
        <x:v>0.6256994777652388</x:v>
      </x:c>
      <x:c r="W937" s="45" t="n">
        <x:v>0.10874816133186616</x:v>
      </x:c>
      <x:c r="X937" s="66" t="n">
        <x:v>64952142.798250586</x:v>
      </x:c>
      <x:c r="Y937" s="66" t="n">
        <x:v>118.31199232727235</x:v>
      </x:c>
      <x:c r="Z937" s="66" t="n">
        <x:v>6769618.463578865</x:v>
      </x:c>
      <x:c r="AA937" s="66" t="n">
        <x:v>348663.40296278964</x:v>
      </x:c>
      <x:c r="AB937" s="66" t="n">
        <x:v>64427.682025404596</x:v>
      </x:c>
      <x:c r="AC937" s="66" t="n">
        <x:v>392.7543779656673</x:v>
      </x:c>
      <x:c r="AD937" s="66" t="n">
        <x:v>2354.9624932542956</x:v>
      </x:c>
      <x:c r="AE937" s="66" t="n">
        <x:v>215697.51317052022</x:v>
      </x:c>
      <x:c r="AF937" s="66" t="n">
        <x:v>267442.89300877444</x:v>
      </x:c>
      <x:c r="AG937" s="66" t="n">
        <x:v>0</x:v>
      </x:c>
      <x:c r="AH937" s="36" t="n">
        <x:v>0</x:v>
      </x:c>
    </x:row>
    <x:row r="938" ht="21.600000381469727" hidden="0" customHeight="1">
      <x:c r="A938" s="34" t="n">
        <x:v>234</x:v>
      </x:c>
      <x:c r="B938" s="34" t="str">
        <x:v>B1</x:v>
      </x:c>
      <x:c r="C938" s="34" t="str">
        <x:v>reference</x:v>
      </x:c>
      <x:c r="D938" s="74" t="n">
        <x:v>1.1412339348163671</x:v>
      </x:c>
      <x:c r="E938" s="74" t="n">
        <x:v>-0.005135783275974588</x:v>
      </x:c>
      <x:c r="F938" s="74" t="n">
        <x:v>0.739373563763935</x:v>
      </x:c>
      <x:c r="G938" s="74" t="n">
        <x:v>1.1463813193837176</x:v>
      </x:c>
      <x:c r="H938" s="74" t="n">
        <x:v>0.9495708893711499</x:v>
      </x:c>
      <x:c r="I938" s="74" t="n">
        <x:v>0.831124783178361</x:v>
      </x:c>
      <x:c r="J938" s="74" t="n">
        <x:v>0.9254901816087783</x:v>
      </x:c>
      <x:c r="K938" s="74" t="n">
        <x:v>0.7455353218107269</x:v>
      </x:c>
      <x:c r="L938" s="74" t="n">
        <x:v>0.9476575304894251</x:v>
      </x:c>
      <x:c r="M938" s="74" t="n">
        <x:v>0.8602817196106672</x:v>
      </x:c>
      <x:c r="N938" s="74" t="n">
        <x:v>0.8983572888585802</x:v>
      </x:c>
      <x:c r="O938" s="65" t="n">
        <x:v>548990.3560966265</x:v>
      </x:c>
      <x:c r="P938" s="65" t="n">
        <x:v>209404.20359091123</x:v>
      </x:c>
      <x:c r="Q938" s="65" t="n">
        <x:v>339586.15250571526</x:v>
      </x:c>
      <x:c r="R938" s="65" t="n">
        <x:v>99599.45826935722</x:v>
      </x:c>
      <x:c r="S938" s="65" t="n">
        <x:v>239986.69423635802</x:v>
      </x:c>
      <x:c r="T938" s="65" t="n">
        <x:v>186359.52058364844</x:v>
      </x:c>
      <x:c r="U938" s="43" t="n">
        <x:v>0.720893763942371</x:v>
      </x:c>
      <x:c r="V938" s="43" t="n">
        <x:v>0.7427056239933926</x:v>
      </x:c>
      <x:c r="W938" s="43" t="n">
        <x:v>0.36509538559514226</x:v>
      </x:c>
      <x:c r="X938" s="65" t="n">
        <x:v>46120248.606984556</x:v>
      </x:c>
      <x:c r="Y938" s="65" t="n">
        <x:v>84.0092145423171</x:v>
      </x:c>
      <x:c r="Z938" s="65" t="n">
        <x:v>3243775.694651403</x:v>
      </x:c>
      <x:c r="AA938" s="65" t="n">
        <x:v>247473.67416435806</x:v>
      </x:c>
      <x:c r="AB938" s="65" t="n">
        <x:v>24460.837292579985</x:v>
      </x:c>
      <x:c r="AC938" s="65" t="n">
        <x:v>22337.692443843902</x:v>
      </x:c>
      <x:c r="AD938" s="65" t="n">
        <x:v>1973.429043512368</x:v>
      </x:c>
      <x:c r="AE938" s="65" t="n">
        <x:v>127197.34728992399</x:v>
      </x:c>
      <x:c r="AF938" s="65" t="n">
        <x:v>186359.5205836484</x:v>
      </x:c>
      <x:c r="AG938" s="65" t="n">
        <x:v>2.9103830456733704e-11</x:v>
      </x:c>
      <x:c r="AH938" s="34" t="n">
        <x:v>0</x:v>
      </x:c>
    </x:row>
    <x:row r="939" ht="21.600000381469727" hidden="0" customHeight="1">
      <x:c r="A939" s="36" t="n">
        <x:v>234</x:v>
      </x:c>
      <x:c r="B939" s="36" t="str">
        <x:v>P2</x:v>
      </x:c>
      <x:c r="C939" s="36" t="str">
        <x:v>reference</x:v>
      </x:c>
      <x:c r="D939" s="75" t="n">
        <x:v>1.1412339348163671</x:v>
      </x:c>
      <x:c r="E939" s="75" t="n">
        <x:v>-0.005135783275974588</x:v>
      </x:c>
      <x:c r="F939" s="75" t="n">
        <x:v>0.739373563763935</x:v>
      </x:c>
      <x:c r="G939" s="75" t="n">
        <x:v>1.1463813193837176</x:v>
      </x:c>
      <x:c r="H939" s="75" t="n">
        <x:v>0.9495708893711499</x:v>
      </x:c>
      <x:c r="I939" s="75" t="n">
        <x:v>0.831124783178361</x:v>
      </x:c>
      <x:c r="J939" s="75" t="n">
        <x:v>0.9254901816087783</x:v>
      </x:c>
      <x:c r="K939" s="75" t="n">
        <x:v>0.7455353218107269</x:v>
      </x:c>
      <x:c r="L939" s="75" t="n">
        <x:v>0.9476575304894251</x:v>
      </x:c>
      <x:c r="M939" s="75" t="n">
        <x:v>0.8602817196106672</x:v>
      </x:c>
      <x:c r="N939" s="75" t="n">
        <x:v>0.8983572888585802</x:v>
      </x:c>
      <x:c r="O939" s="66" t="n">
        <x:v>548990.3560966265</x:v>
      </x:c>
      <x:c r="P939" s="66" t="n">
        <x:v>303361.6192981004</x:v>
      </x:c>
      <x:c r="Q939" s="66" t="n">
        <x:v>245628.73679852602</x:v>
      </x:c>
      <x:c r="R939" s="66" t="n">
        <x:v>99599.45826935722</x:v>
      </x:c>
      <x:c r="S939" s="66" t="n">
        <x:v>146029.2785291688</x:v>
      </x:c>
      <x:c r="T939" s="66" t="n">
        <x:v>111830.29822855766</x:v>
      </x:c>
      <x:c r="U939" s="45" t="n">
        <x:v>0.7562827159273106</x:v>
      </x:c>
      <x:c r="V939" s="45" t="n">
        <x:v>0.7936826692092199</x:v>
      </x:c>
      <x:c r="W939" s="45" t="n">
        <x:v>0.3075532900739766</x:v>
      </x:c>
      <x:c r="X939" s="66" t="n">
        <x:v>32811184.31210036</x:v>
      </x:c>
      <x:c r="Y939" s="66" t="n">
        <x:v>59.766412920968214</x:v>
      </x:c>
      <x:c r="Z939" s="66" t="n">
        <x:v>1605377.947311917</x:v>
      </x:c>
      <x:c r="AA939" s="66" t="n">
        <x:v>185780.45648343157</x:v>
      </x:c>
      <x:c r="AB939" s="66" t="n">
        <x:v>1013.1667480729301</x:v>
      </x:c>
      <x:c r="AC939" s="66" t="n">
        <x:v>40382.60698914029</x:v>
      </x:c>
      <x:c r="AD939" s="66" t="n">
        <x:v>1742.8945877329938</x:v>
      </x:c>
      <x:c r="AE939" s="66" t="n">
        <x:v>43798.48603808631</x:v>
      </x:c>
      <x:c r="AF939" s="66" t="n">
        <x:v>111830.29822855773</x:v>
      </x:c>
      <x:c r="AG939" s="66" t="n">
        <x:v>0</x:v>
      </x:c>
      <x:c r="AH939" s="36" t="n">
        <x:v>0</x:v>
      </x:c>
    </x:row>
    <x:row r="940" ht="21.600000381469727" hidden="0" customHeight="1">
      <x:c r="A940" s="34" t="n">
        <x:v>234</x:v>
      </x:c>
      <x:c r="B940" s="34" t="str">
        <x:v>H3</x:v>
      </x:c>
      <x:c r="C940" s="34" t="str">
        <x:v>reference</x:v>
      </x:c>
      <x:c r="D940" s="74" t="n">
        <x:v>1.1412339348163671</x:v>
      </x:c>
      <x:c r="E940" s="74" t="n">
        <x:v>-0.005135783275974588</x:v>
      </x:c>
      <x:c r="F940" s="74" t="n">
        <x:v>0.739373563763935</x:v>
      </x:c>
      <x:c r="G940" s="74" t="n">
        <x:v>1.1463813193837176</x:v>
      </x:c>
      <x:c r="H940" s="74" t="n">
        <x:v>0.9495708893711499</x:v>
      </x:c>
      <x:c r="I940" s="74" t="n">
        <x:v>0.831124783178361</x:v>
      </x:c>
      <x:c r="J940" s="74" t="n">
        <x:v>0.9254901816087783</x:v>
      </x:c>
      <x:c r="K940" s="74" t="n">
        <x:v>0.7455353218107269</x:v>
      </x:c>
      <x:c r="L940" s="74" t="n">
        <x:v>0.9476575304894251</x:v>
      </x:c>
      <x:c r="M940" s="74" t="n">
        <x:v>0.8602817196106672</x:v>
      </x:c>
      <x:c r="N940" s="74" t="n">
        <x:v>0.8983572888585802</x:v>
      </x:c>
      <x:c r="O940" s="65" t="n">
        <x:v>548990.3560966265</x:v>
      </x:c>
      <x:c r="P940" s="65" t="n">
        <x:v>314694.1557060219</x:v>
      </x:c>
      <x:c r="Q940" s="65" t="n">
        <x:v>234296.20039060453</x:v>
      </x:c>
      <x:c r="R940" s="65" t="n">
        <x:v>99599.45826935722</x:v>
      </x:c>
      <x:c r="S940" s="65" t="n">
        <x:v>134696.74212124734</x:v>
      </x:c>
      <x:c r="T940" s="65" t="n">
        <x:v>186381.12940187464</x:v>
      </x:c>
      <x:c r="U940" s="43" t="n">
        <x:v>0.9127214705019397</x:v>
      </x:c>
      <x:c r="V940" s="43" t="n">
        <x:v>0.9120176439415665</x:v>
      </x:c>
      <x:c r="W940" s="43" t="n">
        <x:v>0.5617049890263863</x:v>
      </x:c>
      <x:c r="X940" s="65" t="n">
        <x:v>25145501.843531244</x:v>
      </x:c>
      <x:c r="Y940" s="65" t="n">
        <x:v>45.803175892411204</x:v>
      </x:c>
      <x:c r="Z940" s="65" t="n">
        <x:v>2721611.789831738</x:v>
      </x:c>
      <x:c r="AA940" s="65" t="n">
        <x:v>150719.85908022372</x:v>
      </x:c>
      <x:c r="AB940" s="65" t="n">
        <x:v>16059.22463965926</x:v>
      </x:c>
      <x:c r="AC940" s="65" t="n">
        <x:v>33603.69989283537</x:v>
      </x:c>
      <x:c r="AD940" s="65" t="n">
        <x:v>1717.0155665522193</x:v>
      </x:c>
      <x:c r="AE940" s="65" t="n">
        <x:v>74003.43383968748</x:v>
      </x:c>
      <x:c r="AF940" s="65" t="n">
        <x:v>186381.12940187476</x:v>
      </x:c>
      <x:c r="AG940" s="65" t="n">
        <x:v>0</x:v>
      </x:c>
      <x:c r="AH940" s="34" t="n">
        <x:v>0</x:v>
      </x:c>
    </x:row>
    <x:row r="941" ht="15" hidden="0" customHeight="1">
      <x:c r="A941" s="36" t="n">
        <x:v>235</x:v>
      </x:c>
      <x:c r="B941" s="36" t="str">
        <x:v>M0</x:v>
      </x:c>
      <x:c r="C941" s="36" t="str">
        <x:v>slow</x:v>
      </x:c>
      <x:c r="D941" s="75" t="n">
        <x:v>1.099583819564543</x:v>
      </x:c>
      <x:c r="E941" s="75" t="n">
        <x:v>0.07099759560165306</x:v>
      </x:c>
      <x:c r="F941" s="75" t="n">
        <x:v>0.8264260400042146</x:v>
      </x:c>
      <x:c r="G941" s="75" t="n">
        <x:v>0.9647433076309002</x:v>
      </x:c>
      <x:c r="H941" s="75" t="n">
        <x:v>0.7338660795866274</x:v>
      </x:c>
      <x:c r="I941" s="75" t="n">
        <x:v>0.819586207338041</x:v>
      </x:c>
      <x:c r="J941" s="75" t="n">
        <x:v>0.8199253779963233</x:v>
      </x:c>
      <x:c r="K941" s="75" t="n">
        <x:v>0.8366136842491296</x:v>
      </x:c>
      <x:c r="L941" s="75" t="n">
        <x:v>0.9853689329747817</x:v>
      </x:c>
      <x:c r="M941" s="75" t="n">
        <x:v>0.9325501435998395</x:v>
      </x:c>
      <x:c r="N941" s="75" t="n">
        <x:v>0.992345734063665</x:v>
      </x:c>
      <x:c r="O941" s="66" t="n">
        <x:v>528954.5764847595</x:v>
      </x:c>
      <x:c r="P941" s="66" t="n">
        <x:v>60466.74693009723</x:v>
      </x:c>
      <x:c r="Q941" s="66" t="n">
        <x:v>468487.82955466234</x:v>
      </x:c>
      <x:c r="R941" s="66" t="n">
        <x:v>136235.60690264413</x:v>
      </x:c>
      <x:c r="S941" s="66" t="n">
        <x:v>332252.2226520182</x:v>
      </x:c>
      <x:c r="T941" s="66" t="n">
        <x:v>255540.8656513794</x:v>
      </x:c>
      <x:c r="U941" s="45" t="n">
        <x:v>0.5974191861266213</x:v>
      </x:c>
      <x:c r="V941" s="45" t="n">
        <x:v>0.5894029843341596</x:v>
      </x:c>
      <x:c r="W941" s="45" t="n">
        <x:v>0.05581546136313867</x:v>
      </x:c>
      <x:c r="X941" s="66" t="n">
        <x:v>62791516.05657361</x:v>
      </x:c>
      <x:c r="Y941" s="66" t="n">
        <x:v>118.70871119759146</x:v>
      </x:c>
      <x:c r="Z941" s="66" t="n">
        <x:v>2894097.9776909812</x:v>
      </x:c>
      <x:c r="AA941" s="66" t="n">
        <x:v>355075.09133135894</x:v>
      </x:c>
      <x:c r="AB941" s="66" t="n">
        <x:v>17139.316264709847</x:v>
      </x:c>
      <x:c r="AC941" s="66" t="n">
        <x:v>0</x:v>
      </x:c>
      <x:c r="AD941" s="66" t="n">
        <x:v>2963.3213266472285</x:v>
      </x:c>
      <x:c r="AE941" s="66" t="n">
        <x:v>198381.7513693123</x:v>
      </x:c>
      <x:c r="AF941" s="66" t="n">
        <x:v>255540.8656513793</x:v>
      </x:c>
      <x:c r="AG941" s="66" t="n">
        <x:v>8.731149137020111e-11</x:v>
      </x:c>
      <x:c r="AH941" s="36" t="n">
        <x:v>0</x:v>
      </x:c>
    </x:row>
    <x:row r="942" ht="15" hidden="0" customHeight="1">
      <x:c r="A942" s="34" t="n">
        <x:v>235</x:v>
      </x:c>
      <x:c r="B942" s="34" t="str">
        <x:v>B1</x:v>
      </x:c>
      <x:c r="C942" s="34" t="str">
        <x:v>slow</x:v>
      </x:c>
      <x:c r="D942" s="74" t="n">
        <x:v>1.099583819564543</x:v>
      </x:c>
      <x:c r="E942" s="74" t="n">
        <x:v>0.07099759560165306</x:v>
      </x:c>
      <x:c r="F942" s="74" t="n">
        <x:v>0.8264260400042146</x:v>
      </x:c>
      <x:c r="G942" s="74" t="n">
        <x:v>0.9647433076309002</x:v>
      </x:c>
      <x:c r="H942" s="74" t="n">
        <x:v>0.7338660795866274</x:v>
      </x:c>
      <x:c r="I942" s="74" t="n">
        <x:v>0.819586207338041</x:v>
      </x:c>
      <x:c r="J942" s="74" t="n">
        <x:v>0.8199253779963233</x:v>
      </x:c>
      <x:c r="K942" s="74" t="n">
        <x:v>0.8366136842491296</x:v>
      </x:c>
      <x:c r="L942" s="74" t="n">
        <x:v>0.9853689329747817</x:v>
      </x:c>
      <x:c r="M942" s="74" t="n">
        <x:v>0.9325501435998395</x:v>
      </x:c>
      <x:c r="N942" s="74" t="n">
        <x:v>0.992345734063665</x:v>
      </x:c>
      <x:c r="O942" s="65" t="n">
        <x:v>528954.5764847595</x:v>
      </x:c>
      <x:c r="P942" s="65" t="n">
        <x:v>204540.61715629828</x:v>
      </x:c>
      <x:c r="Q942" s="65" t="n">
        <x:v>324413.95932846126</x:v>
      </x:c>
      <x:c r="R942" s="65" t="n">
        <x:v>136235.60690264413</x:v>
      </x:c>
      <x:c r="S942" s="65" t="n">
        <x:v>188178.35242581714</x:v>
      </x:c>
      <x:c r="T942" s="65" t="n">
        <x:v>176388.2816877746</x:v>
      </x:c>
      <x:c r="U942" s="43" t="n">
        <x:v>0.7201542736913032</x:v>
      </x:c>
      <x:c r="V942" s="43" t="n">
        <x:v>0.7177450641245667</x:v>
      </x:c>
      <x:c r="W942" s="43" t="n">
        <x:v>0.1937286367147286</x:v>
      </x:c>
      <x:c r="X942" s="65" t="n">
        <x:v>45192294.90968408</x:v>
      </x:c>
      <x:c r="Y942" s="65" t="n">
        <x:v>85.43700521510883</x:v>
      </x:c>
      <x:c r="Z942" s="65" t="n">
        <x:v>1241654.228582939</x:v>
      </x:c>
      <x:c r="AA942" s="65" t="n">
        <x:v>251269.4241181669</x:v>
      </x:c>
      <x:c r="AB942" s="65" t="n">
        <x:v>4382.43312416866</x:v>
      </x:c>
      <x:c r="AC942" s="65" t="n">
        <x:v>0</x:v>
      </x:c>
      <x:c r="AD942" s="65" t="n">
        <x:v>2519.2073929067437</x:v>
      </x:c>
      <x:c r="AE942" s="65" t="n">
        <x:v>90649.61026467396</x:v>
      </x:c>
      <x:c r="AF942" s="65" t="n">
        <x:v>176388.28168777472</x:v>
      </x:c>
      <x:c r="AG942" s="65" t="n">
        <x:v>0</x:v>
      </x:c>
      <x:c r="AH942" s="34" t="n">
        <x:v>0</x:v>
      </x:c>
    </x:row>
    <x:row r="943" ht="15" hidden="0" customHeight="1">
      <x:c r="A943" s="36" t="n">
        <x:v>235</x:v>
      </x:c>
      <x:c r="B943" s="36" t="str">
        <x:v>P2</x:v>
      </x:c>
      <x:c r="C943" s="36" t="str">
        <x:v>slow</x:v>
      </x:c>
      <x:c r="D943" s="75" t="n">
        <x:v>1.099583819564543</x:v>
      </x:c>
      <x:c r="E943" s="75" t="n">
        <x:v>0.07099759560165306</x:v>
      </x:c>
      <x:c r="F943" s="75" t="n">
        <x:v>0.8264260400042146</x:v>
      </x:c>
      <x:c r="G943" s="75" t="n">
        <x:v>0.9647433076309002</x:v>
      </x:c>
      <x:c r="H943" s="75" t="n">
        <x:v>0.7338660795866274</x:v>
      </x:c>
      <x:c r="I943" s="75" t="n">
        <x:v>0.819586207338041</x:v>
      </x:c>
      <x:c r="J943" s="75" t="n">
        <x:v>0.8199253779963233</x:v>
      </x:c>
      <x:c r="K943" s="75" t="n">
        <x:v>0.8366136842491296</x:v>
      </x:c>
      <x:c r="L943" s="75" t="n">
        <x:v>0.9853689329747817</x:v>
      </x:c>
      <x:c r="M943" s="75" t="n">
        <x:v>0.9325501435998395</x:v>
      </x:c>
      <x:c r="N943" s="75" t="n">
        <x:v>0.992345734063665</x:v>
      </x:c>
      <x:c r="O943" s="66" t="n">
        <x:v>528954.5764847595</x:v>
      </x:c>
      <x:c r="P943" s="66" t="n">
        <x:v>296317.6068638102</x:v>
      </x:c>
      <x:c r="Q943" s="66" t="n">
        <x:v>232636.9696209493</x:v>
      </x:c>
      <x:c r="R943" s="66" t="n">
        <x:v>136235.60690264413</x:v>
      </x:c>
      <x:c r="S943" s="66" t="n">
        <x:v>96401.3627183052</x:v>
      </x:c>
      <x:c r="T943" s="66" t="n">
        <x:v>114202.1319245412</x:v>
      </x:c>
      <x:c r="U943" s="45" t="n">
        <x:v>0.7760963928443855</x:v>
      </x:c>
      <x:c r="V943" s="45" t="n">
        <x:v>0.7750721857595577</x:v>
      </x:c>
      <x:c r="W943" s="45" t="n">
        <x:v>0.2846701777824769</x:v>
      </x:c>
      <x:c r="X943" s="66" t="n">
        <x:v>32242524.05588921</x:v>
      </x:c>
      <x:c r="Y943" s="66" t="n">
        <x:v>60.95518498045966</x:v>
      </x:c>
      <x:c r="Z943" s="66" t="n">
        <x:v>712459.7142821724</x:v>
      </x:c>
      <x:c r="AA943" s="66" t="n">
        <x:v>184825.152391647</x:v>
      </x:c>
      <x:c r="AB943" s="66" t="n">
        <x:v>0</x:v>
      </x:c>
      <x:c r="AC943" s="66" t="n">
        <x:v>0</x:v>
      </x:c>
      <x:c r="AD943" s="66" t="n">
        <x:v>2249.7673947223866</x:v>
      </x:c>
      <x:c r="AE943" s="66" t="n">
        <x:v>36799.16466757542</x:v>
      </x:c>
      <x:c r="AF943" s="66" t="n">
        <x:v>114202.13192454113</x:v>
      </x:c>
      <x:c r="AG943" s="66" t="n">
        <x:v>7.275957614183426e-11</x:v>
      </x:c>
      <x:c r="AH943" s="36" t="n">
        <x:v>0</x:v>
      </x:c>
    </x:row>
    <x:row r="944" ht="15" hidden="0" customHeight="1">
      <x:c r="A944" s="34" t="n">
        <x:v>235</x:v>
      </x:c>
      <x:c r="B944" s="34" t="str">
        <x:v>H3</x:v>
      </x:c>
      <x:c r="C944" s="34" t="str">
        <x:v>slow</x:v>
      </x:c>
      <x:c r="D944" s="74" t="n">
        <x:v>1.099583819564543</x:v>
      </x:c>
      <x:c r="E944" s="74" t="n">
        <x:v>0.07099759560165306</x:v>
      </x:c>
      <x:c r="F944" s="74" t="n">
        <x:v>0.8264260400042146</x:v>
      </x:c>
      <x:c r="G944" s="74" t="n">
        <x:v>0.9647433076309002</x:v>
      </x:c>
      <x:c r="H944" s="74" t="n">
        <x:v>0.7338660795866274</x:v>
      </x:c>
      <x:c r="I944" s="74" t="n">
        <x:v>0.819586207338041</x:v>
      </x:c>
      <x:c r="J944" s="74" t="n">
        <x:v>0.8199253779963233</x:v>
      </x:c>
      <x:c r="K944" s="74" t="n">
        <x:v>0.8366136842491296</x:v>
      </x:c>
      <x:c r="L944" s="74" t="n">
        <x:v>0.9853689329747817</x:v>
      </x:c>
      <x:c r="M944" s="74" t="n">
        <x:v>0.9325501435998395</x:v>
      </x:c>
      <x:c r="N944" s="74" t="n">
        <x:v>0.992345734063665</x:v>
      </x:c>
      <x:c r="O944" s="65" t="n">
        <x:v>528954.5764847595</x:v>
      </x:c>
      <x:c r="P944" s="65" t="n">
        <x:v>307387.36924274656</x:v>
      </x:c>
      <x:c r="Q944" s="65" t="n">
        <x:v>221567.207242013</x:v>
      </x:c>
      <x:c r="R944" s="65" t="n">
        <x:v>136235.60690264413</x:v>
      </x:c>
      <x:c r="S944" s="65" t="n">
        <x:v>85331.60033936889</x:v>
      </x:c>
      <x:c r="T944" s="65" t="n">
        <x:v>122400.45846099181</x:v>
      </x:c>
      <x:c r="U944" s="43" t="n">
        <x:v>0.812523129225864</x:v>
      </x:c>
      <x:c r="V944" s="43" t="n">
        <x:v>0.8059488275589182</x:v>
      </x:c>
      <x:c r="W944" s="43" t="n">
        <x:v>0.2961151104332453</x:v>
      </x:c>
      <x:c r="X944" s="65" t="n">
        <x:v>26459835.94870348</x:v>
      </x:c>
      <x:c r="Y944" s="65" t="n">
        <x:v>50.02288877911968</x:v>
      </x:c>
      <x:c r="Z944" s="65" t="n">
        <x:v>802089.416003646</x:v>
      </x:c>
      <x:c r="AA944" s="65" t="n">
        <x:v>154540.15431383956</x:v>
      </x:c>
      <x:c r="AB944" s="65" t="n">
        <x:v>1666.0198065605819</x:v>
      </x:c>
      <x:c r="AC944" s="65" t="n">
        <x:v>0</x:v>
      </x:c>
      <x:c r="AD944" s="65" t="n">
        <x:v>2219.343515878373</x:v>
      </x:c>
      <x:c r="AE944" s="65" t="n">
        <x:v>15936.6561473716</x:v>
      </x:c>
      <x:c r="AF944" s="65" t="n">
        <x:v>122400.45846099165</x:v>
      </x:c>
      <x:c r="AG944" s="65" t="n">
        <x:v>1.6007106751203537e-10</x:v>
      </x:c>
      <x:c r="AH944" s="34" t="n">
        <x:v>0</x:v>
      </x:c>
    </x:row>
    <x:row r="945" ht="15" hidden="0" customHeight="1">
      <x:c r="A945" s="36" t="n">
        <x:v>236</x:v>
      </x:c>
      <x:c r="B945" s="36" t="str">
        <x:v>M0</x:v>
      </x:c>
      <x:c r="C945" s="36" t="str">
        <x:v>reference</x:v>
      </x:c>
      <x:c r="D945" s="75" t="n">
        <x:v>1.0854792797406168</x:v>
      </x:c>
      <x:c r="E945" s="75" t="n">
        <x:v>0.0921899775108278</x:v>
      </x:c>
      <x:c r="F945" s="75" t="n">
        <x:v>0.9983974128989928</x:v>
      </x:c>
      <x:c r="G945" s="75" t="n">
        <x:v>1.058880619448615</x:v>
      </x:c>
      <x:c r="H945" s="75" t="n">
        <x:v>0.8819445438911622</x:v>
      </x:c>
      <x:c r="I945" s="75" t="n">
        <x:v>0.7740674639364175</x:v>
      </x:c>
      <x:c r="J945" s="75" t="n">
        <x:v>0.8030673684920911</x:v>
      </x:c>
      <x:c r="K945" s="75" t="n">
        <x:v>0.7735348667993766</x:v>
      </x:c>
      <x:c r="L945" s="75" t="n">
        <x:v>0.9596175097437886</x:v>
      </x:c>
      <x:c r="M945" s="75" t="n">
        <x:v>0.9949566698356446</x:v>
      </x:c>
      <x:c r="N945" s="75" t="n">
        <x:v>0.9057523120838957</x:v>
      </x:c>
      <x:c r="O945" s="66" t="n">
        <x:v>522169.5904233677</x:v>
      </x:c>
      <x:c r="P945" s="66" t="n">
        <x:v>70053.48529633357</x:v>
      </x:c>
      <x:c r="Q945" s="66" t="n">
        <x:v>452116.1051270342</x:v>
      </x:c>
      <x:c r="R945" s="66" t="n">
        <x:v>145554.10807966246</x:v>
      </x:c>
      <x:c r="S945" s="66" t="n">
        <x:v>306561.9970473717</x:v>
      </x:c>
      <x:c r="T945" s="66" t="n">
        <x:v>258419.64485236106</x:v>
      </x:c>
      <x:c r="U945" s="45" t="n">
        <x:v>0.6290544990993697</x:v>
      </x:c>
      <x:c r="V945" s="45" t="n">
        <x:v>0.6518287345899195</x:v>
      </x:c>
      <x:c r="W945" s="45" t="n">
        <x:v>0.12992780960091677</x:v>
      </x:c>
      <x:c r="X945" s="66" t="n">
        <x:v>60371757.68714491</x:v>
      </x:c>
      <x:c r="Y945" s="66" t="n">
        <x:v>115.61714583608048</x:v>
      </x:c>
      <x:c r="Z945" s="66" t="n">
        <x:v>6604299.942750657</x:v>
      </x:c>
      <x:c r="AA945" s="66" t="n">
        <x:v>319854.5926099916</x:v>
      </x:c>
      <x:c r="AB945" s="66" t="n">
        <x:v>61778.93208701814</x:v>
      </x:c>
      <x:c r="AC945" s="66" t="n">
        <x:v>383.49401765289366</x:v>
      </x:c>
      <x:c r="AD945" s="66" t="n">
        <x:v>2230.043371158716</x:v>
      </x:c>
      <x:c r="AE945" s="66" t="n">
        <x:v>206248.31167632865</x:v>
      </x:c>
      <x:c r="AF945" s="66" t="n">
        <x:v>258419.644852361</x:v>
      </x:c>
      <x:c r="AG945" s="66" t="n">
        <x:v>5.820766091346741e-11</x:v>
      </x:c>
      <x:c r="AH945" s="36" t="n">
        <x:v>0</x:v>
      </x:c>
    </x:row>
    <x:row r="946" ht="15" hidden="0" customHeight="1">
      <x:c r="A946" s="34" t="n">
        <x:v>236</x:v>
      </x:c>
      <x:c r="B946" s="34" t="str">
        <x:v>B1</x:v>
      </x:c>
      <x:c r="C946" s="34" t="str">
        <x:v>reference</x:v>
      </x:c>
      <x:c r="D946" s="74" t="n">
        <x:v>1.0854792797406168</x:v>
      </x:c>
      <x:c r="E946" s="74" t="n">
        <x:v>0.0921899775108278</x:v>
      </x:c>
      <x:c r="F946" s="74" t="n">
        <x:v>0.9983974128989928</x:v>
      </x:c>
      <x:c r="G946" s="74" t="n">
        <x:v>1.058880619448615</x:v>
      </x:c>
      <x:c r="H946" s="74" t="n">
        <x:v>0.8819445438911622</x:v>
      </x:c>
      <x:c r="I946" s="74" t="n">
        <x:v>0.7740674639364175</x:v>
      </x:c>
      <x:c r="J946" s="74" t="n">
        <x:v>0.8030673684920911</x:v>
      </x:c>
      <x:c r="K946" s="74" t="n">
        <x:v>0.7735348667993766</x:v>
      </x:c>
      <x:c r="L946" s="74" t="n">
        <x:v>0.9596175097437886</x:v>
      </x:c>
      <x:c r="M946" s="74" t="n">
        <x:v>0.9949566698356446</x:v>
      </x:c>
      <x:c r="N946" s="74" t="n">
        <x:v>0.9057523120838957</x:v>
      </x:c>
      <x:c r="O946" s="65" t="n">
        <x:v>522169.5904233677</x:v>
      </x:c>
      <x:c r="P946" s="65" t="n">
        <x:v>236970.4510387485</x:v>
      </x:c>
      <x:c r="Q946" s="65" t="n">
        <x:v>285199.13938461925</x:v>
      </x:c>
      <x:c r="R946" s="65" t="n">
        <x:v>145554.10807966246</x:v>
      </x:c>
      <x:c r="S946" s="65" t="n">
        <x:v>139645.03130495676</x:v>
      </x:c>
      <x:c r="T946" s="65" t="n">
        <x:v>186542.9252065935</x:v>
      </x:c>
      <x:c r="U946" s="43" t="n">
        <x:v>0.8110648034903054</x:v>
      </x:c>
      <x:c r="V946" s="43" t="n">
        <x:v>0.8238499846178451</x:v>
      </x:c>
      <x:c r="W946" s="43" t="n">
        <x:v>0.479756695044807</x:v>
      </x:c>
      <x:c r="X946" s="65" t="n">
        <x:v>38444407.14344751</x:v>
      </x:c>
      <x:c r="Y946" s="65" t="n">
        <x:v>73.62437002943302</x:v>
      </x:c>
      <x:c r="Z946" s="65" t="n">
        <x:v>2958448.607214958</x:v>
      </x:c>
      <x:c r="AA946" s="65" t="n">
        <x:v>200353.51584174344</x:v>
      </x:c>
      <x:c r="AB946" s="65" t="n">
        <x:v>22862.020561258403</x:v>
      </x:c>
      <x:c r="AC946" s="65" t="n">
        <x:v>2950.088400506671</x:v>
      </x:c>
      <x:c r="AD946" s="65" t="n">
        <x:v>1844.8041213383126</x:v>
      </x:c>
      <x:c r="AE946" s="65" t="n">
        <x:v>127225.64086251383</x:v>
      </x:c>
      <x:c r="AF946" s="65" t="n">
        <x:v>186542.92520659362</x:v>
      </x:c>
      <x:c r="AG946" s="65" t="n">
        <x:v>0</x:v>
      </x:c>
      <x:c r="AH946" s="34" t="n">
        <x:v>0</x:v>
      </x:c>
    </x:row>
    <x:row r="947" ht="15" hidden="0" customHeight="1">
      <x:c r="A947" s="36" t="n">
        <x:v>236</x:v>
      </x:c>
      <x:c r="B947" s="36" t="str">
        <x:v>P2</x:v>
      </x:c>
      <x:c r="C947" s="36" t="str">
        <x:v>reference</x:v>
      </x:c>
      <x:c r="D947" s="75" t="n">
        <x:v>1.0854792797406168</x:v>
      </x:c>
      <x:c r="E947" s="75" t="n">
        <x:v>0.0921899775108278</x:v>
      </x:c>
      <x:c r="F947" s="75" t="n">
        <x:v>0.9983974128989928</x:v>
      </x:c>
      <x:c r="G947" s="75" t="n">
        <x:v>1.058880619448615</x:v>
      </x:c>
      <x:c r="H947" s="75" t="n">
        <x:v>0.8819445438911622</x:v>
      </x:c>
      <x:c r="I947" s="75" t="n">
        <x:v>0.7740674639364175</x:v>
      </x:c>
      <x:c r="J947" s="75" t="n">
        <x:v>0.8030673684920911</x:v>
      </x:c>
      <x:c r="K947" s="75" t="n">
        <x:v>0.7735348667993766</x:v>
      </x:c>
      <x:c r="L947" s="75" t="n">
        <x:v>0.9596175097437886</x:v>
      </x:c>
      <x:c r="M947" s="75" t="n">
        <x:v>0.9949566698356446</x:v>
      </x:c>
      <x:c r="N947" s="75" t="n">
        <x:v>0.9057523120838957</x:v>
      </x:c>
      <x:c r="O947" s="66" t="n">
        <x:v>522169.5904233677</x:v>
      </x:c>
      <x:c r="P947" s="66" t="n">
        <x:v>343299.309703716</x:v>
      </x:c>
      <x:c r="Q947" s="66" t="n">
        <x:v>178870.28071965172</x:v>
      </x:c>
      <x:c r="R947" s="66" t="n">
        <x:v>145554.10807966246</x:v>
      </x:c>
      <x:c r="S947" s="66" t="n">
        <x:v>33316.17263998925</x:v>
      </x:c>
      <x:c r="T947" s="66" t="n">
        <x:v>116030.18252032364</x:v>
      </x:c>
      <x:c r="U947" s="45" t="n">
        <x:v>0.8796557682564812</x:v>
      </x:c>
      <x:c r="V947" s="45" t="n">
        <x:v>0.9048684279805371</x:v>
      </x:c>
      <x:c r="W947" s="45" t="n">
        <x:v>0.4477135213664944</x:v>
      </x:c>
      <x:c r="X947" s="66" t="n">
        <x:v>22326960.695674825</x:v>
      </x:c>
      <x:c r="Y947" s="66" t="n">
        <x:v>42.75806386498387</x:v>
      </x:c>
      <x:c r="Z947" s="66" t="n">
        <x:v>1095407.1195995884</x:v>
      </x:c>
      <x:c r="AA947" s="66" t="n">
        <x:v>126240.66883519632</x:v>
      </x:c>
      <x:c r="AB947" s="66" t="n">
        <x:v>807.8131109178654</x:v>
      </x:c>
      <x:c r="AC947" s="66" t="n">
        <x:v>24529.436696046636</x:v>
      </x:c>
      <x:c r="AD947" s="66" t="n">
        <x:v>1612.0305051264877</x:v>
      </x:c>
      <x:c r="AE947" s="66" t="n">
        <x:v>52528.67338236572</x:v>
      </x:c>
      <x:c r="AF947" s="66" t="n">
        <x:v>116030.18252032361</x:v>
      </x:c>
      <x:c r="AG947" s="66" t="n">
        <x:v>2.9103830456733704e-11</x:v>
      </x:c>
      <x:c r="AH947" s="36" t="n">
        <x:v>0</x:v>
      </x:c>
    </x:row>
    <x:row r="948" ht="15" hidden="0" customHeight="1">
      <x:c r="A948" s="34" t="n">
        <x:v>236</x:v>
      </x:c>
      <x:c r="B948" s="34" t="str">
        <x:v>H3</x:v>
      </x:c>
      <x:c r="C948" s="34" t="str">
        <x:v>reference</x:v>
      </x:c>
      <x:c r="D948" s="74" t="n">
        <x:v>1.0854792797406168</x:v>
      </x:c>
      <x:c r="E948" s="74" t="n">
        <x:v>0.0921899775108278</x:v>
      </x:c>
      <x:c r="F948" s="74" t="n">
        <x:v>0.9983974128989928</x:v>
      </x:c>
      <x:c r="G948" s="74" t="n">
        <x:v>1.058880619448615</x:v>
      </x:c>
      <x:c r="H948" s="74" t="n">
        <x:v>0.8819445438911622</x:v>
      </x:c>
      <x:c r="I948" s="74" t="n">
        <x:v>0.7740674639364175</x:v>
      </x:c>
      <x:c r="J948" s="74" t="n">
        <x:v>0.8030673684920911</x:v>
      </x:c>
      <x:c r="K948" s="74" t="n">
        <x:v>0.7735348667993766</x:v>
      </x:c>
      <x:c r="L948" s="74" t="n">
        <x:v>0.9596175097437886</x:v>
      </x:c>
      <x:c r="M948" s="74" t="n">
        <x:v>0.9949566698356446</x:v>
      </x:c>
      <x:c r="N948" s="74" t="n">
        <x:v>0.9057523120838957</x:v>
      </x:c>
      <x:c r="O948" s="65" t="n">
        <x:v>522169.5904233677</x:v>
      </x:c>
      <x:c r="P948" s="65" t="n">
        <x:v>356124.33720548544</x:v>
      </x:c>
      <x:c r="Q948" s="65" t="n">
        <x:v>166045.25321788224</x:v>
      </x:c>
      <x:c r="R948" s="65" t="n">
        <x:v>145554.10807966246</x:v>
      </x:c>
      <x:c r="S948" s="65" t="n">
        <x:v>20491.145138219785</x:v>
      </x:c>
      <x:c r="T948" s="65" t="n">
        <x:v>162972.87740293852</x:v>
      </x:c>
      <x:c r="U948" s="43" t="n">
        <x:v>0.9941161341615994</x:v>
      </x:c>
      <x:c r="V948" s="43" t="n">
        <x:v>0.9952175389641782</x:v>
      </x:c>
      <x:c r="W948" s="43" t="n">
        <x:v>0.941161341615993</x:v>
      </x:c>
      <x:c r="X948" s="65" t="n">
        <x:v>17126476.25067893</x:v>
      </x:c>
      <x:c r="Y948" s="65" t="n">
        <x:v>32.79868564692369</x:v>
      </x:c>
      <x:c r="Z948" s="65" t="n">
        <x:v>1320287.8779818667</x:v>
      </x:c>
      <x:c r="AA948" s="65" t="n">
        <x:v>102460.26217832415</x:v>
      </x:c>
      <x:c r="AB948" s="65" t="n">
        <x:v>6166.1522679019545</x:v>
      </x:c>
      <x:c r="AC948" s="65" t="n">
        <x:v>1127.3887930589099</x:v>
      </x:c>
      <x:c r="AD948" s="65" t="n">
        <x:v>1585.9001233407976</x:v>
      </x:c>
      <x:c r="AE948" s="65" t="n">
        <x:v>72417.0998407625</x:v>
      </x:c>
      <x:c r="AF948" s="65" t="n">
        <x:v>162972.87740293858</x:v>
      </x:c>
      <x:c r="AG948" s="65" t="n">
        <x:v>0</x:v>
      </x:c>
      <x:c r="AH948" s="34" t="n">
        <x:v>1</x:v>
      </x:c>
    </x:row>
    <x:row r="949" ht="15" hidden="0" customHeight="1">
      <x:c r="A949" s="36" t="n">
        <x:v>237</x:v>
      </x:c>
      <x:c r="B949" s="36" t="str">
        <x:v>M0</x:v>
      </x:c>
      <x:c r="C949" s="36" t="str">
        <x:v>fast</x:v>
      </x:c>
      <x:c r="D949" s="75" t="n">
        <x:v>1.0311793341446434</x:v>
      </x:c>
      <x:c r="E949" s="75" t="n">
        <x:v>0.07356398356373492</x:v>
      </x:c>
      <x:c r="F949" s="75" t="n">
        <x:v>0.7542155792437635</x:v>
      </x:c>
      <x:c r="G949" s="75" t="n">
        <x:v>0.9283457844381892</x:v>
      </x:c>
      <x:c r="H949" s="75" t="n">
        <x:v>0.9440893981843133</x:v>
      </x:c>
      <x:c r="I949" s="75" t="n">
        <x:v>0.9583775977138063</x:v>
      </x:c>
      <x:c r="J949" s="75" t="n">
        <x:v>0.8467157285397222</x:v>
      </x:c>
      <x:c r="K949" s="75" t="n">
        <x:v>0.9038686768561505</x:v>
      </x:c>
      <x:c r="L949" s="75" t="n">
        <x:v>1.031996137148695</x:v>
      </x:c>
      <x:c r="M949" s="75" t="n">
        <x:v>0.8179417404460461</x:v>
      </x:c>
      <x:c r="N949" s="75" t="n">
        <x:v>0.8451980210717535</x:v>
      </x:c>
      <x:c r="O949" s="66" t="n">
        <x:v>496048.61245441384</x:v>
      </x:c>
      <x:c r="P949" s="66" t="n">
        <x:v>51571.50995860333</x:v>
      </x:c>
      <x:c r="Q949" s="66" t="n">
        <x:v>444477.10249581054</x:v>
      </x:c>
      <x:c r="R949" s="66" t="n">
        <x:v>129033.5202962426</x:v>
      </x:c>
      <x:c r="S949" s="66" t="n">
        <x:v>315443.5821995679</x:v>
      </x:c>
      <x:c r="T949" s="66" t="n">
        <x:v>296475.7869260076</x:v>
      </x:c>
      <x:c r="U949" s="45" t="n">
        <x:v>0.7016394928765092</x:v>
      </x:c>
      <x:c r="V949" s="45" t="n">
        <x:v>0.7230332618778554</x:v>
      </x:c>
      <x:c r="W949" s="45" t="n">
        <x:v>0.10791004289780103</x:v>
      </x:c>
      <x:c r="X949" s="66" t="n">
        <x:v>55935823.53274869</x:v>
      </x:c>
      <x:c r="Y949" s="66" t="n">
        <x:v>112.76278600192458</x:v>
      </x:c>
      <x:c r="Z949" s="66" t="n">
        <x:v>5598232.66952592</x:v>
      </x:c>
      <x:c r="AA949" s="66" t="n">
        <x:v>307349.41990281653</x:v>
      </x:c>
      <x:c r="AB949" s="66" t="n">
        <x:v>42204.67421764947</x:v>
      </x:c>
      <x:c r="AC949" s="66" t="n">
        <x:v>2434.323924525105</x:v>
      </x:c>
      <x:c r="AD949" s="66" t="n">
        <x:v>2151.659647584869</x:v>
      </x:c>
      <x:c r="AE949" s="66" t="n">
        <x:v>272134.0839191411</x:v>
      </x:c>
      <x:c r="AF949" s="66" t="n">
        <x:v>296475.78692600765</x:v>
      </x:c>
      <x:c r="AG949" s="66" t="n">
        <x:v>0</x:v>
      </x:c>
      <x:c r="AH949" s="36" t="n">
        <x:v>0</x:v>
      </x:c>
    </x:row>
    <x:row r="950" ht="15" hidden="0" customHeight="1">
      <x:c r="A950" s="34" t="n">
        <x:v>237</x:v>
      </x:c>
      <x:c r="B950" s="34" t="str">
        <x:v>B1</x:v>
      </x:c>
      <x:c r="C950" s="34" t="str">
        <x:v>fast</x:v>
      </x:c>
      <x:c r="D950" s="74" t="n">
        <x:v>1.0311793341446434</x:v>
      </x:c>
      <x:c r="E950" s="74" t="n">
        <x:v>0.07356398356373492</x:v>
      </x:c>
      <x:c r="F950" s="74" t="n">
        <x:v>0.7542155792437635</x:v>
      </x:c>
      <x:c r="G950" s="74" t="n">
        <x:v>0.9283457844381892</x:v>
      </x:c>
      <x:c r="H950" s="74" t="n">
        <x:v>0.9440893981843133</x:v>
      </x:c>
      <x:c r="I950" s="74" t="n">
        <x:v>0.9583775977138063</x:v>
      </x:c>
      <x:c r="J950" s="74" t="n">
        <x:v>0.8467157285397222</x:v>
      </x:c>
      <x:c r="K950" s="74" t="n">
        <x:v>0.9038686768561505</x:v>
      </x:c>
      <x:c r="L950" s="74" t="n">
        <x:v>1.031996137148695</x:v>
      </x:c>
      <x:c r="M950" s="74" t="n">
        <x:v>0.8179417404460461</x:v>
      </x:c>
      <x:c r="N950" s="74" t="n">
        <x:v>0.8451980210717535</x:v>
      </x:c>
      <x:c r="O950" s="65" t="n">
        <x:v>496048.61245441384</x:v>
      </x:c>
      <x:c r="P950" s="65" t="n">
        <x:v>174450.80616805534</x:v>
      </x:c>
      <x:c r="Q950" s="65" t="n">
        <x:v>321597.8062863585</x:v>
      </x:c>
      <x:c r="R950" s="65" t="n">
        <x:v>129033.5202962426</x:v>
      </x:c>
      <x:c r="S950" s="65" t="n">
        <x:v>192564.2859901159</x:v>
      </x:c>
      <x:c r="T950" s="65" t="n">
        <x:v>214133.33120299934</x:v>
      </x:c>
      <x:c r="U950" s="43" t="n">
        <x:v>0.7833589846131562</x:v>
      </x:c>
      <x:c r="V950" s="43" t="n">
        <x:v>0.8133223712708939</x:v>
      </x:c>
      <x:c r="W950" s="43" t="n">
        <x:v>0.3956746039009513</x:v>
      </x:c>
      <x:c r="X950" s="65" t="n">
        <x:v>41545216.9319957</x:v>
      </x:c>
      <x:c r="Y950" s="65" t="n">
        <x:v>83.75230952956983</x:v>
      </x:c>
      <x:c r="Z950" s="65" t="n">
        <x:v>2329766.3423352223</x:v>
      </x:c>
      <x:c r="AA950" s="65" t="n">
        <x:v>230150.81267890427</x:v>
      </x:c>
      <x:c r="AB950" s="65" t="n">
        <x:v>10788.6679431351</x:v>
      </x:c>
      <x:c r="AC950" s="65" t="n">
        <x:v>3711.3274356120965</x:v>
      </x:c>
      <x:c r="AD950" s="65" t="n">
        <x:v>1860.8064041640946</x:v>
      </x:c>
      <x:c r="AE950" s="65" t="n">
        <x:v>143005.82806288305</x:v>
      </x:c>
      <x:c r="AF950" s="65" t="n">
        <x:v>214133.3312029993</x:v>
      </x:c>
      <x:c r="AG950" s="65" t="n">
        <x:v>2.9103830456733704e-11</x:v>
      </x:c>
      <x:c r="AH950" s="34" t="n">
        <x:v>0</x:v>
      </x:c>
    </x:row>
    <x:row r="951" ht="15" hidden="0" customHeight="1">
      <x:c r="A951" s="36" t="n">
        <x:v>237</x:v>
      </x:c>
      <x:c r="B951" s="36" t="str">
        <x:v>P2</x:v>
      </x:c>
      <x:c r="C951" s="36" t="str">
        <x:v>fast</x:v>
      </x:c>
      <x:c r="D951" s="75" t="n">
        <x:v>1.0311793341446434</x:v>
      </x:c>
      <x:c r="E951" s="75" t="n">
        <x:v>0.07356398356373492</x:v>
      </x:c>
      <x:c r="F951" s="75" t="n">
        <x:v>0.7542155792437635</x:v>
      </x:c>
      <x:c r="G951" s="75" t="n">
        <x:v>0.9283457844381892</x:v>
      </x:c>
      <x:c r="H951" s="75" t="n">
        <x:v>0.9440893981843133</x:v>
      </x:c>
      <x:c r="I951" s="75" t="n">
        <x:v>0.9583775977138063</x:v>
      </x:c>
      <x:c r="J951" s="75" t="n">
        <x:v>0.8467157285397222</x:v>
      </x:c>
      <x:c r="K951" s="75" t="n">
        <x:v>0.9038686768561505</x:v>
      </x:c>
      <x:c r="L951" s="75" t="n">
        <x:v>1.031996137148695</x:v>
      </x:c>
      <x:c r="M951" s="75" t="n">
        <x:v>0.8179417404460461</x:v>
      </x:c>
      <x:c r="N951" s="75" t="n">
        <x:v>0.8451980210717535</x:v>
      </x:c>
      <x:c r="O951" s="66" t="n">
        <x:v>496048.61245441384</x:v>
      </x:c>
      <x:c r="P951" s="66" t="n">
        <x:v>252726.61202098939</x:v>
      </x:c>
      <x:c r="Q951" s="66" t="n">
        <x:v>243322.00043342443</x:v>
      </x:c>
      <x:c r="R951" s="66" t="n">
        <x:v>129033.5202962426</x:v>
      </x:c>
      <x:c r="S951" s="66" t="n">
        <x:v>114288.48013718188</x:v>
      </x:c>
      <x:c r="T951" s="66" t="n">
        <x:v>135575.00719208192</x:v>
      </x:c>
      <x:c r="U951" s="45" t="n">
        <x:v>0.7827894473724702</x:v>
      </x:c>
      <x:c r="V951" s="45" t="n">
        <x:v>0.791837423071483</x:v>
      </x:c>
      <x:c r="W951" s="45" t="n">
        <x:v>0.5734939690191727</x:v>
      </x:c>
      <x:c r="X951" s="66" t="n">
        <x:v>31548698.485224105</x:v>
      </x:c>
      <x:c r="Y951" s="66" t="n">
        <x:v>63.600013573515206</x:v>
      </x:c>
      <x:c r="Z951" s="66" t="n">
        <x:v>996996.6552954381</x:v>
      </x:c>
      <x:c r="AA951" s="66" t="n">
        <x:v>183817.3354497291</x:v>
      </x:c>
      <x:c r="AB951" s="66" t="n">
        <x:v>0</x:v>
      </x:c>
      <x:c r="AC951" s="66" t="n">
        <x:v>16161.941074249218</x:v>
      </x:c>
      <x:c r="AD951" s="66" t="n">
        <x:v>1685.0637681539924</x:v>
      </x:c>
      <x:c r="AE951" s="66" t="n">
        <x:v>105953.276581631</x:v>
      </x:c>
      <x:c r="AF951" s="66" t="n">
        <x:v>135575.00719208183</x:v>
      </x:c>
      <x:c r="AG951" s="66" t="n">
        <x:v>8.731149137020111e-11</x:v>
      </x:c>
      <x:c r="AH951" s="36" t="n">
        <x:v>0</x:v>
      </x:c>
    </x:row>
    <x:row r="952" ht="15" hidden="0" customHeight="1">
      <x:c r="A952" s="34" t="n">
        <x:v>237</x:v>
      </x:c>
      <x:c r="B952" s="34" t="str">
        <x:v>H3</x:v>
      </x:c>
      <x:c r="C952" s="34" t="str">
        <x:v>fast</x:v>
      </x:c>
      <x:c r="D952" s="74" t="n">
        <x:v>1.0311793341446434</x:v>
      </x:c>
      <x:c r="E952" s="74" t="n">
        <x:v>0.07356398356373492</x:v>
      </x:c>
      <x:c r="F952" s="74" t="n">
        <x:v>0.7542155792437635</x:v>
      </x:c>
      <x:c r="G952" s="74" t="n">
        <x:v>0.9283457844381892</x:v>
      </x:c>
      <x:c r="H952" s="74" t="n">
        <x:v>0.9440893981843133</x:v>
      </x:c>
      <x:c r="I952" s="74" t="n">
        <x:v>0.9583775977138063</x:v>
      </x:c>
      <x:c r="J952" s="74" t="n">
        <x:v>0.8467157285397222</x:v>
      </x:c>
      <x:c r="K952" s="74" t="n">
        <x:v>0.9038686768561505</x:v>
      </x:c>
      <x:c r="L952" s="74" t="n">
        <x:v>1.031996137148695</x:v>
      </x:c>
      <x:c r="M952" s="74" t="n">
        <x:v>0.8179417404460461</x:v>
      </x:c>
      <x:c r="N952" s="74" t="n">
        <x:v>0.8451980210717535</x:v>
      </x:c>
      <x:c r="O952" s="65" t="n">
        <x:v>496048.61245441384</x:v>
      </x:c>
      <x:c r="P952" s="65" t="n">
        <x:v>262167.9240625034</x:v>
      </x:c>
      <x:c r="Q952" s="65" t="n">
        <x:v>233880.68839191046</x:v>
      </x:c>
      <x:c r="R952" s="65" t="n">
        <x:v>129033.5202962426</x:v>
      </x:c>
      <x:c r="S952" s="65" t="n">
        <x:v>104847.16809566788</x:v>
      </x:c>
      <x:c r="T952" s="65" t="n">
        <x:v>215391.96366313624</x:v>
      </x:c>
      <x:c r="U952" s="43" t="n">
        <x:v>0.9627279982957854</x:v>
      </x:c>
      <x:c r="V952" s="43" t="n">
        <x:v>0.964394414406294</x:v>
      </x:c>
      <x:c r="W952" s="43" t="n">
        <x:v>0.6783157719307853</x:v>
      </x:c>
      <x:c r="X952" s="65" t="n">
        <x:v>24396639.290457375</x:v>
      </x:c>
      <x:c r="Y952" s="65" t="n">
        <x:v>49.18195248998785</x:v>
      </x:c>
      <x:c r="Z952" s="65" t="n">
        <x:v>2173221.160893315</x:v>
      </x:c>
      <x:c r="AA952" s="65" t="n">
        <x:v>150285.50766685582</x:v>
      </x:c>
      <x:c r="AB952" s="65" t="n">
        <x:v>8338.231692592111</x:v>
      </x:c>
      <x:c r="AC952" s="65" t="n">
        <x:v>8669.986643800261</x:v>
      </x:c>
      <x:c r="AD952" s="65" t="n">
        <x:v>1665.3354920301704</x:v>
      </x:c>
      <x:c r="AE952" s="65" t="n">
        <x:v>105854.30013223698</x:v>
      </x:c>
      <x:c r="AF952" s="65" t="n">
        <x:v>215391.96366313618</x:v>
      </x:c>
      <x:c r="AG952" s="65" t="n">
        <x:v>5.820766091346741e-11</x:v>
      </x:c>
      <x:c r="AH952" s="34" t="n">
        <x:v>0</x:v>
      </x:c>
    </x:row>
    <x:row r="953" ht="15" hidden="0" customHeight="1">
      <x:c r="A953" s="36" t="n">
        <x:v>238</x:v>
      </x:c>
      <x:c r="B953" s="36" t="str">
        <x:v>M0</x:v>
      </x:c>
      <x:c r="C953" s="36" t="str">
        <x:v>fast</x:v>
      </x:c>
      <x:c r="D953" s="75" t="n">
        <x:v>0.9683564983980573</x:v>
      </x:c>
      <x:c r="E953" s="75" t="n">
        <x:v>0.05212798307769171</x:v>
      </x:c>
      <x:c r="F953" s="75" t="n">
        <x:v>1.0305260268635164</x:v>
      </x:c>
      <x:c r="G953" s="75" t="n">
        <x:v>1.0271835022544495</x:v>
      </x:c>
      <x:c r="H953" s="75" t="n">
        <x:v>0.9743296806070088</x:v>
      </x:c>
      <x:c r="I953" s="75" t="n">
        <x:v>1.0352426758016962</x:v>
      </x:c>
      <x:c r="J953" s="75" t="n">
        <x:v>0.9500396591775009</x:v>
      </x:c>
      <x:c r="K953" s="75" t="n">
        <x:v>0.9995792770459699</x:v>
      </x:c>
      <x:c r="L953" s="75" t="n">
        <x:v>0.9730003090883781</x:v>
      </x:c>
      <x:c r="M953" s="75" t="n">
        <x:v>0.879528006900053</x:v>
      </x:c>
      <x:c r="N953" s="75" t="n">
        <x:v>0.8471537493277939</x:v>
      </x:c>
      <x:c r="O953" s="66" t="n">
        <x:v>465827.6998830858</x:v>
      </x:c>
      <x:c r="P953" s="66" t="n">
        <x:v>68089.57126338375</x:v>
      </x:c>
      <x:c r="Q953" s="66" t="n">
        <x:v>397738.128619702</x:v>
      </x:c>
      <x:c r="R953" s="66" t="n">
        <x:v>111186.89115234363</x:v>
      </x:c>
      <x:c r="S953" s="66" t="n">
        <x:v>286551.23746735835</x:v>
      </x:c>
      <x:c r="T953" s="66" t="n">
        <x:v>311669.6739555216</x:v>
      </x:c>
      <x:c r="U953" s="45" t="n">
        <x:v>0.8152354299974389</x:v>
      </x:c>
      <x:c r="V953" s="45" t="n">
        <x:v>0.8170083271579763</x:v>
      </x:c>
      <x:c r="W953" s="45" t="n">
        <x:v>0.16423530535982384</x:v>
      </x:c>
      <x:c r="X953" s="66" t="n">
        <x:v>47986766.08310942</x:v>
      </x:c>
      <x:c r="Y953" s="66" t="n">
        <x:v>103.01398155402356</x:v>
      </x:c>
      <x:c r="Z953" s="66" t="n">
        <x:v>4787528.241995624</x:v>
      </x:c>
      <x:c r="AA953" s="66" t="n">
        <x:v>262045.48516449993</x:v>
      </x:c>
      <x:c r="AB953" s="66" t="n">
        <x:v>31791.68081050356</x:v>
      </x:c>
      <x:c r="AC953" s="66" t="n">
        <x:v>0</x:v>
      </x:c>
      <x:c r="AD953" s="66" t="n">
        <x:v>1966.9988162380987</x:v>
      </x:c>
      <x:c r="AE953" s="66" t="n">
        <x:v>262873.6179942407</x:v>
      </x:c>
      <x:c r="AF953" s="66" t="n">
        <x:v>311669.67395552126</x:v>
      </x:c>
      <x:c r="AG953" s="66" t="n">
        <x:v>3.4924596548080444e-10</x:v>
      </x:c>
      <x:c r="AH953" s="36" t="n">
        <x:v>0</x:v>
      </x:c>
    </x:row>
    <x:row r="954" ht="15" hidden="0" customHeight="1">
      <x:c r="A954" s="34" t="n">
        <x:v>238</x:v>
      </x:c>
      <x:c r="B954" s="34" t="str">
        <x:v>B1</x:v>
      </x:c>
      <x:c r="C954" s="34" t="str">
        <x:v>fast</x:v>
      </x:c>
      <x:c r="D954" s="74" t="n">
        <x:v>0.9683564983980573</x:v>
      </x:c>
      <x:c r="E954" s="74" t="n">
        <x:v>0.05212798307769171</x:v>
      </x:c>
      <x:c r="F954" s="74" t="n">
        <x:v>1.0305260268635164</x:v>
      </x:c>
      <x:c r="G954" s="74" t="n">
        <x:v>1.0271835022544495</x:v>
      </x:c>
      <x:c r="H954" s="74" t="n">
        <x:v>0.9743296806070088</x:v>
      </x:c>
      <x:c r="I954" s="74" t="n">
        <x:v>1.0352426758016962</x:v>
      </x:c>
      <x:c r="J954" s="74" t="n">
        <x:v>0.9500396591775009</x:v>
      </x:c>
      <x:c r="K954" s="74" t="n">
        <x:v>0.9995792770459699</x:v>
      </x:c>
      <x:c r="L954" s="74" t="n">
        <x:v>0.9730003090883781</x:v>
      </x:c>
      <x:c r="M954" s="74" t="n">
        <x:v>0.879528006900053</x:v>
      </x:c>
      <x:c r="N954" s="74" t="n">
        <x:v>0.8471537493277939</x:v>
      </x:c>
      <x:c r="O954" s="65" t="n">
        <x:v>465827.6998830858</x:v>
      </x:c>
      <x:c r="P954" s="65" t="n">
        <x:v>230325.64700834395</x:v>
      </x:c>
      <x:c r="Q954" s="65" t="n">
        <x:v>235502.05287474178</x:v>
      </x:c>
      <x:c r="R954" s="65" t="n">
        <x:v>111186.89115234363</x:v>
      </x:c>
      <x:c r="S954" s="65" t="n">
        <x:v>124315.16172239816</x:v>
      </x:c>
      <x:c r="T954" s="65" t="n">
        <x:v>224564.38643448602</x:v>
      </x:c>
      <x:c r="U954" s="43" t="n">
        <x:v>0.976519931204175</x:v>
      </x:c>
      <x:c r="V954" s="43" t="n">
        <x:v>0.9851488599200023</x:v>
      </x:c>
      <x:c r="W954" s="43" t="n">
        <x:v>0.7698912870479283</x:v>
      </x:c>
      <x:c r="X954" s="65" t="n">
        <x:v>27639398.718964636</x:v>
      </x:c>
      <x:c r="Y954" s="65" t="n">
        <x:v>59.33395271664098</x:v>
      </x:c>
      <x:c r="Z954" s="65" t="n">
        <x:v>1601994.366452336</x:v>
      </x:c>
      <x:c r="AA954" s="65" t="n">
        <x:v>149534.56739398662</x:v>
      </x:c>
      <x:c r="AB954" s="65" t="n">
        <x:v>3309.460384679087</x:v>
      </x:c>
      <x:c r="AC954" s="65" t="n">
        <x:v>388.173887435869</x:v>
      </x:c>
      <x:c r="AD954" s="65" t="n">
        <x:v>1572.549984598863</x:v>
      </x:c>
      <x:c r="AE954" s="65" t="n">
        <x:v>151370.3024925647</x:v>
      </x:c>
      <x:c r="AF954" s="65" t="n">
        <x:v>224564.38643448584</x:v>
      </x:c>
      <x:c r="AG954" s="65" t="n">
        <x:v>1.7462298274040222e-10</x:v>
      </x:c>
      <x:c r="AH954" s="34" t="n">
        <x:v>0</x:v>
      </x:c>
    </x:row>
    <x:row r="955" ht="15" hidden="0" customHeight="1">
      <x:c r="A955" s="36" t="n">
        <x:v>238</x:v>
      </x:c>
      <x:c r="B955" s="36" t="str">
        <x:v>P2</x:v>
      </x:c>
      <x:c r="C955" s="36" t="str">
        <x:v>fast</x:v>
      </x:c>
      <x:c r="D955" s="75" t="n">
        <x:v>0.9683564983980573</x:v>
      </x:c>
      <x:c r="E955" s="75" t="n">
        <x:v>0.05212798307769171</x:v>
      </x:c>
      <x:c r="F955" s="75" t="n">
        <x:v>1.0305260268635164</x:v>
      </x:c>
      <x:c r="G955" s="75" t="n">
        <x:v>1.0271835022544495</x:v>
      </x:c>
      <x:c r="H955" s="75" t="n">
        <x:v>0.9743296806070088</x:v>
      </x:c>
      <x:c r="I955" s="75" t="n">
        <x:v>1.0352426758016962</x:v>
      </x:c>
      <x:c r="J955" s="75" t="n">
        <x:v>0.9500396591775009</x:v>
      </x:c>
      <x:c r="K955" s="75" t="n">
        <x:v>0.9995792770459699</x:v>
      </x:c>
      <x:c r="L955" s="75" t="n">
        <x:v>0.9730003090883781</x:v>
      </x:c>
      <x:c r="M955" s="75" t="n">
        <x:v>0.879528006900053</x:v>
      </x:c>
      <x:c r="N955" s="75" t="n">
        <x:v>0.8471537493277939</x:v>
      </x:c>
      <x:c r="O955" s="66" t="n">
        <x:v>465827.6998830858</x:v>
      </x:c>
      <x:c r="P955" s="66" t="n">
        <x:v>333671.786999649</x:v>
      </x:c>
      <x:c r="Q955" s="66" t="n">
        <x:v>132155.91288343671</x:v>
      </x:c>
      <x:c r="R955" s="66" t="n">
        <x:v>111186.89115234363</x:v>
      </x:c>
      <x:c r="S955" s="66" t="n">
        <x:v>20969.021731093097</x:v>
      </x:c>
      <x:c r="T955" s="66" t="n">
        <x:v>130821.70123272776</x:v>
      </x:c>
      <x:c r="U955" s="45" t="n">
        <x:v>0.9971358258621293</x:v>
      </x:c>
      <x:c r="V955" s="45" t="n">
        <x:v>0.9981958920551567</x:v>
      </x:c>
      <x:c r="W955" s="45" t="n">
        <x:v>0.9713582586212924</x:v>
      </x:c>
      <x:c r="X955" s="66" t="n">
        <x:v>14263298.968194738</x:v>
      </x:c>
      <x:c r="Y955" s="66" t="n">
        <x:v>30.619258948694043</x:v>
      </x:c>
      <x:c r="Z955" s="66" t="n">
        <x:v>784930.2073963666</x:v>
      </x:c>
      <x:c r="AA955" s="66" t="n">
        <x:v>84383.9056091289</x:v>
      </x:c>
      <x:c r="AB955" s="66" t="n">
        <x:v>0</x:v>
      </x:c>
      <x:c r="AC955" s="66" t="n">
        <x:v>0</x:v>
      </x:c>
      <x:c r="AD955" s="66" t="n">
        <x:v>1334.2116507089518</x:v>
      </x:c>
      <x:c r="AE955" s="66" t="n">
        <x:v>64743.70878515983</x:v>
      </x:c>
      <x:c r="AF955" s="66" t="n">
        <x:v>130821.7012327279</x:v>
      </x:c>
      <x:c r="AG955" s="66" t="n">
        <x:v>0</x:v>
      </x:c>
      <x:c r="AH955" s="36" t="n">
        <x:v>1</x:v>
      </x:c>
    </x:row>
    <x:row r="956" ht="15" hidden="0" customHeight="1">
      <x:c r="A956" s="34" t="n">
        <x:v>238</x:v>
      </x:c>
      <x:c r="B956" s="34" t="str">
        <x:v>H3</x:v>
      </x:c>
      <x:c r="C956" s="34" t="str">
        <x:v>fast</x:v>
      </x:c>
      <x:c r="D956" s="74" t="n">
        <x:v>0.9683564983980573</x:v>
      </x:c>
      <x:c r="E956" s="74" t="n">
        <x:v>0.05212798307769171</x:v>
      </x:c>
      <x:c r="F956" s="74" t="n">
        <x:v>1.0305260268635164</x:v>
      </x:c>
      <x:c r="G956" s="74" t="n">
        <x:v>1.0271835022544495</x:v>
      </x:c>
      <x:c r="H956" s="74" t="n">
        <x:v>0.9743296806070088</x:v>
      </x:c>
      <x:c r="I956" s="74" t="n">
        <x:v>1.0352426758016962</x:v>
      </x:c>
      <x:c r="J956" s="74" t="n">
        <x:v>0.9500396591775009</x:v>
      </x:c>
      <x:c r="K956" s="74" t="n">
        <x:v>0.9995792770459699</x:v>
      </x:c>
      <x:c r="L956" s="74" t="n">
        <x:v>0.9730003090883781</x:v>
      </x:c>
      <x:c r="M956" s="74" t="n">
        <x:v>0.879528006900053</x:v>
      </x:c>
      <x:c r="N956" s="74" t="n">
        <x:v>0.8471537493277939</x:v>
      </x:c>
      <x:c r="O956" s="65" t="n">
        <x:v>465827.6998830858</x:v>
      </x:c>
      <x:c r="P956" s="65" t="n">
        <x:v>346136.90814327996</x:v>
      </x:c>
      <x:c r="Q956" s="65" t="n">
        <x:v>119690.79173980583</x:v>
      </x:c>
      <x:c r="R956" s="65" t="n">
        <x:v>111186.89115234363</x:v>
      </x:c>
      <x:c r="S956" s="65" t="n">
        <x:v>8503.900587462223</x:v>
      </x:c>
      <x:c r="T956" s="65" t="n">
        <x:v>118383.33514733786</x:v>
      </x:c>
      <x:c r="U956" s="43" t="n">
        <x:v>0.9971932613865683</x:v>
      </x:c>
      <x:c r="V956" s="43" t="n">
        <x:v>0.9982321885229277</x:v>
      </x:c>
      <x:c r="W956" s="43" t="n">
        <x:v>0.9719326138656822</x:v>
      </x:c>
      <x:c r="X956" s="65" t="n">
        <x:v>10000206.373339592</x:v>
      </x:c>
      <x:c r="Y956" s="65" t="n">
        <x:v>21.46760782119539</x:v>
      </x:c>
      <x:c r="Z956" s="65" t="n">
        <x:v>794535.7153344541</x:v>
      </x:c>
      <x:c r="AA956" s="65" t="n">
        <x:v>76731.4726947486</x:v>
      </x:c>
      <x:c r="AB956" s="65" t="n">
        <x:v>2778.6151464960158</x:v>
      </x:c>
      <x:c r="AC956" s="65" t="n">
        <x:v>597.7026389538214</x:v>
      </x:c>
      <x:c r="AD956" s="65" t="n">
        <x:v>1307.4565924679814</x:v>
      </x:c>
      <x:c r="AE956" s="65" t="n">
        <x:v>59722.19185030869</x:v>
      </x:c>
      <x:c r="AF956" s="65" t="n">
        <x:v>118383.33514733783</x:v>
      </x:c>
      <x:c r="AG956" s="65" t="n">
        <x:v>2.9103830456733704e-11</x:v>
      </x:c>
      <x:c r="AH956" s="34" t="n">
        <x:v>1</x:v>
      </x:c>
    </x:row>
    <x:row r="957" ht="15" hidden="0" customHeight="1">
      <x:c r="A957" s="36" t="n">
        <x:v>239</x:v>
      </x:c>
      <x:c r="B957" s="36" t="str">
        <x:v>M0</x:v>
      </x:c>
      <x:c r="C957" s="36" t="str">
        <x:v>fast</x:v>
      </x:c>
      <x:c r="D957" s="75" t="n">
        <x:v>1.143885658979086</x:v>
      </x:c>
      <x:c r="E957" s="75" t="n">
        <x:v>0.0489259359702642</x:v>
      </x:c>
      <x:c r="F957" s="75" t="n">
        <x:v>0.7910797609804072</x:v>
      </x:c>
      <x:c r="G957" s="75" t="n">
        <x:v>1.2218889942733042</x:v>
      </x:c>
      <x:c r="H957" s="75" t="n">
        <x:v>0.9981315219211577</x:v>
      </x:c>
      <x:c r="I957" s="75" t="n">
        <x:v>0.893015366494332</x:v>
      </x:c>
      <x:c r="J957" s="75" t="n">
        <x:v>0.9543527889492841</x:v>
      </x:c>
      <x:c r="K957" s="75" t="n">
        <x:v>0.7364231355978743</x:v>
      </x:c>
      <x:c r="L957" s="75" t="n">
        <x:v>0.800922868086697</x:v>
      </x:c>
      <x:c r="M957" s="75" t="n">
        <x:v>0.8311472888675953</x:v>
      </x:c>
      <x:c r="N957" s="75" t="n">
        <x:v>1.0216983433073659</x:v>
      </x:c>
      <x:c r="O957" s="66" t="n">
        <x:v>550265.9674747575</x:v>
      </x:c>
      <x:c r="P957" s="66" t="n">
        <x:v>62002.957439843725</x:v>
      </x:c>
      <x:c r="Q957" s="66" t="n">
        <x:v>488263.0100349138</x:v>
      </x:c>
      <x:c r="R957" s="66" t="n">
        <x:v>129579.20771240117</x:v>
      </x:c>
      <x:c r="S957" s="66" t="n">
        <x:v>358683.8023225126</x:v>
      </x:c>
      <x:c r="T957" s="66" t="n">
        <x:v>253329.9497286894</x:v>
      </x:c>
      <x:c r="U957" s="45" t="n">
        <x:v>0.5730554419268141</x:v>
      </x:c>
      <x:c r="V957" s="45" t="n">
        <x:v>0.6034532424449397</x:v>
      </x:c>
      <x:c r="W957" s="45" t="n">
        <x:v>0.11153937663767495</x:v>
      </x:c>
      <x:c r="X957" s="66" t="n">
        <x:v>66065476.02614179</x:v>
      </x:c>
      <x:c r="Y957" s="66" t="n">
        <x:v>120.0609885603591</x:v>
      </x:c>
      <x:c r="Z957" s="66" t="n">
        <x:v>4459017.966554809</x:v>
      </x:c>
      <x:c r="AA957" s="66" t="n">
        <x:v>367386.0898911953</x:v>
      </x:c>
      <x:c r="AB957" s="66" t="n">
        <x:v>35045.144701628196</x:v>
      </x:c>
      <x:c r="AC957" s="66" t="n">
        <x:v>0</x:v>
      </x:c>
      <x:c r="AD957" s="66" t="n">
        <x:v>2370.086985609881</x:v>
      </x:c>
      <x:c r="AE957" s="66" t="n">
        <x:v>223905.03744143728</x:v>
      </x:c>
      <x:c r="AF957" s="66" t="n">
        <x:v>253329.94972868945</x:v>
      </x:c>
      <x:c r="AG957" s="66" t="n">
        <x:v>0</x:v>
      </x:c>
      <x:c r="AH957" s="36" t="n">
        <x:v>0</x:v>
      </x:c>
    </x:row>
    <x:row r="958" ht="15" hidden="0" customHeight="1">
      <x:c r="A958" s="34" t="n">
        <x:v>239</x:v>
      </x:c>
      <x:c r="B958" s="34" t="str">
        <x:v>B1</x:v>
      </x:c>
      <x:c r="C958" s="34" t="str">
        <x:v>fast</x:v>
      </x:c>
      <x:c r="D958" s="74" t="n">
        <x:v>1.143885658979086</x:v>
      </x:c>
      <x:c r="E958" s="74" t="n">
        <x:v>0.0489259359702642</x:v>
      </x:c>
      <x:c r="F958" s="74" t="n">
        <x:v>0.7910797609804072</x:v>
      </x:c>
      <x:c r="G958" s="74" t="n">
        <x:v>1.2218889942733042</x:v>
      </x:c>
      <x:c r="H958" s="74" t="n">
        <x:v>0.9981315219211577</x:v>
      </x:c>
      <x:c r="I958" s="74" t="n">
        <x:v>0.893015366494332</x:v>
      </x:c>
      <x:c r="J958" s="74" t="n">
        <x:v>0.9543527889492841</x:v>
      </x:c>
      <x:c r="K958" s="74" t="n">
        <x:v>0.7364231355978743</x:v>
      </x:c>
      <x:c r="L958" s="74" t="n">
        <x:v>0.800922868086697</x:v>
      </x:c>
      <x:c r="M958" s="74" t="n">
        <x:v>0.8311472888675953</x:v>
      </x:c>
      <x:c r="N958" s="74" t="n">
        <x:v>1.0216983433073659</x:v>
      </x:c>
      <x:c r="O958" s="65" t="n">
        <x:v>550265.9674747575</x:v>
      </x:c>
      <x:c r="P958" s="65" t="n">
        <x:v>209736.44290437282</x:v>
      </x:c>
      <x:c r="Q958" s="65" t="n">
        <x:v>340529.52457038464</x:v>
      </x:c>
      <x:c r="R958" s="65" t="n">
        <x:v>129579.20771240117</x:v>
      </x:c>
      <x:c r="S958" s="65" t="n">
        <x:v>210950.3168579835</x:v>
      </x:c>
      <x:c r="T958" s="65" t="n">
        <x:v>184078.32359122462</x:v>
      </x:c>
      <x:c r="U958" s="43" t="n">
        <x:v>0.7156807612559886</x:v>
      </x:c>
      <x:c r="V958" s="43" t="n">
        <x:v>0.736103939129409</x:v>
      </x:c>
      <x:c r="W958" s="43" t="n">
        <x:v>0.415259747320036</x:v>
      </x:c>
      <x:c r="X958" s="65" t="n">
        <x:v>46730931.15780044</x:v>
      </x:c>
      <x:c r="Y958" s="65" t="n">
        <x:v>84.92426193873992</x:v>
      </x:c>
      <x:c r="Z958" s="65" t="n">
        <x:v>2076971.4325902746</x:v>
      </x:c>
      <x:c r="AA958" s="65" t="n">
        <x:v>258825.1633800164</x:v>
      </x:c>
      <x:c r="AB958" s="65" t="n">
        <x:v>9524.578752161746</x:v>
      </x:c>
      <x:c r="AC958" s="65" t="n">
        <x:v>18675.786228102006</x:v>
      </x:c>
      <x:c r="AD958" s="65" t="n">
        <x:v>2009.524524058607</x:v>
      </x:c>
      <x:c r="AE958" s="65" t="n">
        <x:v>153278.71173490098</x:v>
      </x:c>
      <x:c r="AF958" s="65" t="n">
        <x:v>184078.3235912248</x:v>
      </x:c>
      <x:c r="AG958" s="65" t="n">
        <x:v>0</x:v>
      </x:c>
      <x:c r="AH958" s="34" t="n">
        <x:v>0</x:v>
      </x:c>
    </x:row>
    <x:row r="959" ht="15" hidden="0" customHeight="1">
      <x:c r="A959" s="36" t="n">
        <x:v>239</x:v>
      </x:c>
      <x:c r="B959" s="36" t="str">
        <x:v>P2</x:v>
      </x:c>
      <x:c r="C959" s="36" t="str">
        <x:v>fast</x:v>
      </x:c>
      <x:c r="D959" s="75" t="n">
        <x:v>1.143885658979086</x:v>
      </x:c>
      <x:c r="E959" s="75" t="n">
        <x:v>0.0489259359702642</x:v>
      </x:c>
      <x:c r="F959" s="75" t="n">
        <x:v>0.7910797609804072</x:v>
      </x:c>
      <x:c r="G959" s="75" t="n">
        <x:v>1.2218889942733042</x:v>
      </x:c>
      <x:c r="H959" s="75" t="n">
        <x:v>0.9981315219211577</x:v>
      </x:c>
      <x:c r="I959" s="75" t="n">
        <x:v>0.893015366494332</x:v>
      </x:c>
      <x:c r="J959" s="75" t="n">
        <x:v>0.9543527889492841</x:v>
      </x:c>
      <x:c r="K959" s="75" t="n">
        <x:v>0.7364231355978743</x:v>
      </x:c>
      <x:c r="L959" s="75" t="n">
        <x:v>0.800922868086697</x:v>
      </x:c>
      <x:c r="M959" s="75" t="n">
        <x:v>0.8311472888675953</x:v>
      </x:c>
      <x:c r="N959" s="75" t="n">
        <x:v>1.0216983433073659</x:v>
      </x:c>
      <x:c r="O959" s="66" t="n">
        <x:v>550265.9674747575</x:v>
      </x:c>
      <x:c r="P959" s="66" t="n">
        <x:v>303844.2127817803</x:v>
      </x:c>
      <x:c r="Q959" s="66" t="n">
        <x:v>246421.75469297718</x:v>
      </x:c>
      <x:c r="R959" s="66" t="n">
        <x:v>129579.20771240117</x:v>
      </x:c>
      <x:c r="S959" s="66" t="n">
        <x:v>116842.54698057602</x:v>
      </x:c>
      <x:c r="T959" s="66" t="n">
        <x:v>110463.46916825639</x:v>
      </x:c>
      <x:c r="U959" s="45" t="n">
        <x:v>0.7529225982325399</x:v>
      </x:c>
      <x:c r="V959" s="45" t="n">
        <x:v>0.7673175952806298</x:v>
      </x:c>
      <x:c r="W959" s="45" t="n">
        <x:v>0.517636446810155</x:v>
      </x:c>
      <x:c r="X959" s="66" t="n">
        <x:v>33178264.292508353</x:v>
      </x:c>
      <x:c r="Y959" s="66" t="n">
        <x:v>60.29495962610181</x:v>
      </x:c>
      <x:c r="Z959" s="66" t="n">
        <x:v>1511244.070723283</x:v>
      </x:c>
      <x:c r="AA959" s="66" t="n">
        <x:v>188579.33366799972</x:v>
      </x:c>
      <x:c r="AB959" s="66" t="n">
        <x:v>336.8824961310512</x:v>
      </x:c>
      <x:c r="AC959" s="66" t="n">
        <x:v>37434.8560868925</x:v>
      </x:c>
      <x:c r="AD959" s="66" t="n">
        <x:v>1791.661395925493</x:v>
      </x:c>
      <x:c r="AE959" s="66" t="n">
        <x:v>78279.00776028182</x:v>
      </x:c>
      <x:c r="AF959" s="66" t="n">
        <x:v>110463.46916825642</x:v>
      </x:c>
      <x:c r="AG959" s="66" t="n">
        <x:v>0</x:v>
      </x:c>
      <x:c r="AH959" s="36" t="n">
        <x:v>0</x:v>
      </x:c>
    </x:row>
    <x:row r="960" ht="15" hidden="0" customHeight="1">
      <x:c r="A960" s="34" t="n">
        <x:v>239</x:v>
      </x:c>
      <x:c r="B960" s="34" t="str">
        <x:v>H3</x:v>
      </x:c>
      <x:c r="C960" s="34" t="str">
        <x:v>fast</x:v>
      </x:c>
      <x:c r="D960" s="74" t="n">
        <x:v>1.143885658979086</x:v>
      </x:c>
      <x:c r="E960" s="74" t="n">
        <x:v>0.0489259359702642</x:v>
      </x:c>
      <x:c r="F960" s="74" t="n">
        <x:v>0.7910797609804072</x:v>
      </x:c>
      <x:c r="G960" s="74" t="n">
        <x:v>1.2218889942733042</x:v>
      </x:c>
      <x:c r="H960" s="74" t="n">
        <x:v>0.9981315219211577</x:v>
      </x:c>
      <x:c r="I960" s="74" t="n">
        <x:v>0.893015366494332</x:v>
      </x:c>
      <x:c r="J960" s="74" t="n">
        <x:v>0.9543527889492841</x:v>
      </x:c>
      <x:c r="K960" s="74" t="n">
        <x:v>0.7364231355978743</x:v>
      </x:c>
      <x:c r="L960" s="74" t="n">
        <x:v>0.800922868086697</x:v>
      </x:c>
      <x:c r="M960" s="74" t="n">
        <x:v>0.8311472888675953</x:v>
      </x:c>
      <x:c r="N960" s="74" t="n">
        <x:v>1.0216983433073659</x:v>
      </x:c>
      <x:c r="O960" s="65" t="n">
        <x:v>550265.9674747575</x:v>
      </x:c>
      <x:c r="P960" s="65" t="n">
        <x:v>315195.0358722656</x:v>
      </x:c>
      <x:c r="Q960" s="65" t="n">
        <x:v>235070.93160249194</x:v>
      </x:c>
      <x:c r="R960" s="65" t="n">
        <x:v>129579.20771240117</x:v>
      </x:c>
      <x:c r="S960" s="65" t="n">
        <x:v>105491.72389009077</x:v>
      </x:c>
      <x:c r="T960" s="65" t="n">
        <x:v>184105.72254854604</x:v>
      </x:c>
      <x:c r="U960" s="43" t="n">
        <x:v>0.9073807720876653</x:v>
      </x:c>
      <x:c r="V960" s="43" t="n">
        <x:v>0.9142570528495338</x:v>
      </x:c>
      <x:c r="W960" s="43" t="n">
        <x:v>0.6777812207650835</x:v>
      </x:c>
      <x:c r="X960" s="65" t="n">
        <x:v>25338202.255769927</x:v>
      </x:c>
      <x:c r="Y960" s="65" t="n">
        <x:v>46.04719127379484</x:v>
      </x:c>
      <x:c r="Z960" s="65" t="n">
        <x:v>3098617.496563614</x:v>
      </x:c>
      <x:c r="AA960" s="65" t="n">
        <x:v>151531.00641099794</x:v>
      </x:c>
      <x:c r="AB960" s="65" t="n">
        <x:v>15375.576880041817</x:v>
      </x:c>
      <x:c r="AC960" s="65" t="n">
        <x:v>45109.191304380845</x:v>
      </x:c>
      <x:c r="AD960" s="65" t="n">
        <x:v>1767.2048152880961</x:v>
      </x:c>
      <x:c r="AE960" s="65" t="n">
        <x:v>80678.43055890758</x:v>
      </x:c>
      <x:c r="AF960" s="65" t="n">
        <x:v>184105.72254854598</x:v>
      </x:c>
      <x:c r="AG960" s="65" t="n">
        <x:v>5.820766091346741e-11</x:v>
      </x:c>
      <x:c r="AH960" s="34" t="n">
        <x:v>0</x:v>
      </x:c>
    </x:row>
    <x:row r="961" ht="15" hidden="0" customHeight="1">
      <x:c r="A961" s="36" t="n">
        <x:v>240</x:v>
      </x:c>
      <x:c r="B961" s="36" t="str">
        <x:v>M0</x:v>
      </x:c>
      <x:c r="C961" s="36" t="str">
        <x:v>fast</x:v>
      </x:c>
      <x:c r="D961" s="75" t="n">
        <x:v>1.0599423301930413</x:v>
      </x:c>
      <x:c r="E961" s="75" t="n">
        <x:v>0.06028018294040669</x:v>
      </x:c>
      <x:c r="F961" s="75" t="n">
        <x:v>0.7891525410339554</x:v>
      </x:c>
      <x:c r="G961" s="75" t="n">
        <x:v>1.0772864296489084</x:v>
      </x:c>
      <x:c r="H961" s="75" t="n">
        <x:v>1.0113753643240742</x:v>
      </x:c>
      <x:c r="I961" s="75" t="n">
        <x:v>0.8257469988200473</x:v>
      </x:c>
      <x:c r="J961" s="75" t="n">
        <x:v>0.8792819564071845</x:v>
      </x:c>
      <x:c r="K961" s="75" t="n">
        <x:v>0.7231298356567508</x:v>
      </x:c>
      <x:c r="L961" s="75" t="n">
        <x:v>1.0050944732053093</x:v>
      </x:c>
      <x:c r="M961" s="75" t="n">
        <x:v>0.872881348572756</x:v>
      </x:c>
      <x:c r="N961" s="75" t="n">
        <x:v>0.7713246427064055</x:v>
      </x:c>
      <x:c r="O961" s="66" t="n">
        <x:v>509885.04595089646</x:v>
      </x:c>
      <x:c r="P961" s="66" t="n">
        <x:v>56461.58803573149</x:v>
      </x:c>
      <x:c r="Q961" s="66" t="n">
        <x:v>453423.457915165</x:v>
      </x:c>
      <x:c r="R961" s="66" t="n">
        <x:v>125859.47988780774</x:v>
      </x:c>
      <x:c r="S961" s="66" t="n">
        <x:v>327563.97802735725</x:v>
      </x:c>
      <x:c r="T961" s="66" t="n">
        <x:v>285470.17781416664</x:v>
      </x:c>
      <x:c r="U961" s="45" t="n">
        <x:v>0.6706055974091604</x:v>
      </x:c>
      <x:c r="V961" s="45" t="n">
        <x:v>0.6808669622235568</x:v>
      </x:c>
      <x:c r="W961" s="45" t="n">
        <x:v>0.11161400631766051</x:v>
      </x:c>
      <x:c r="X961" s="66" t="n">
        <x:v>58409545.90042847</x:v>
      </x:c>
      <x:c r="Y961" s="66" t="n">
        <x:v>114.55434193309033</x:v>
      </x:c>
      <x:c r="Z961" s="66" t="n">
        <x:v>7165448.4290802535</x:v>
      </x:c>
      <x:c r="AA961" s="66" t="n">
        <x:v>313230.99457318184</x:v>
      </x:c>
      <x:c r="AB961" s="66" t="n">
        <x:v>64538.86696840293</x:v>
      </x:c>
      <x:c r="AC961" s="66" t="n">
        <x:v>1139.122913526732</x:v>
      </x:c>
      <x:c r="AD961" s="66" t="n">
        <x:v>2200.6858493837135</x:v>
      </x:c>
      <x:c r="AE961" s="66" t="n">
        <x:v>241041.87839427765</x:v>
      </x:c>
      <x:c r="AF961" s="66" t="n">
        <x:v>285470.1778141668</x:v>
      </x:c>
      <x:c r="AG961" s="66" t="n">
        <x:v>0</x:v>
      </x:c>
      <x:c r="AH961" s="36" t="n">
        <x:v>0</x:v>
      </x:c>
    </x:row>
    <x:row r="962" ht="15" hidden="0" customHeight="1">
      <x:c r="A962" s="34" t="n">
        <x:v>240</x:v>
      </x:c>
      <x:c r="B962" s="34" t="str">
        <x:v>B1</x:v>
      </x:c>
      <x:c r="C962" s="34" t="str">
        <x:v>fast</x:v>
      </x:c>
      <x:c r="D962" s="74" t="n">
        <x:v>1.0599423301930413</x:v>
      </x:c>
      <x:c r="E962" s="74" t="n">
        <x:v>0.06028018294040669</x:v>
      </x:c>
      <x:c r="F962" s="74" t="n">
        <x:v>0.7891525410339554</x:v>
      </x:c>
      <x:c r="G962" s="74" t="n">
        <x:v>1.0772864296489084</x:v>
      </x:c>
      <x:c r="H962" s="74" t="n">
        <x:v>1.0113753643240742</x:v>
      </x:c>
      <x:c r="I962" s="74" t="n">
        <x:v>0.8257469988200473</x:v>
      </x:c>
      <x:c r="J962" s="74" t="n">
        <x:v>0.8792819564071845</x:v>
      </x:c>
      <x:c r="K962" s="74" t="n">
        <x:v>0.7231298356567508</x:v>
      </x:c>
      <x:c r="L962" s="74" t="n">
        <x:v>1.0050944732053093</x:v>
      </x:c>
      <x:c r="M962" s="74" t="n">
        <x:v>0.872881348572756</x:v>
      </x:c>
      <x:c r="N962" s="74" t="n">
        <x:v>0.7713246427064055</x:v>
      </x:c>
      <x:c r="O962" s="65" t="n">
        <x:v>509885.04595089646</x:v>
      </x:c>
      <x:c r="P962" s="65" t="n">
        <x:v>190992.0651251945</x:v>
      </x:c>
      <x:c r="Q962" s="65" t="n">
        <x:v>318892.98082570196</x:v>
      </x:c>
      <x:c r="R962" s="65" t="n">
        <x:v>125859.47988780774</x:v>
      </x:c>
      <x:c r="S962" s="65" t="n">
        <x:v>193033.50093789425</x:v>
      </x:c>
      <x:c r="T962" s="65" t="n">
        <x:v>180782.371432759</x:v>
      </x:c>
      <x:c r="U962" s="43" t="n">
        <x:v>0.7291338302825153</x:v>
      </x:c>
      <x:c r="V962" s="43" t="n">
        <x:v>0.7461453930101529</x:v>
      </x:c>
      <x:c r="W962" s="43" t="n">
        <x:v>0.4110013152430491</x:v>
      </x:c>
      <x:c r="X962" s="65" t="n">
        <x:v>42294032.19824279</x:v>
      </x:c>
      <x:c r="Y962" s="65" t="n">
        <x:v>82.9481714243407</x:v>
      </x:c>
      <x:c r="Z962" s="65" t="n">
        <x:v>3894610.816858495</x:v>
      </x:c>
      <x:c r="AA962" s="65" t="n">
        <x:v>224360.7210714859</x:v>
      </x:c>
      <x:c r="AB962" s="65" t="n">
        <x:v>27418.65428635589</x:v>
      </x:c>
      <x:c r="AC962" s="65" t="n">
        <x:v>35759.99888981663</x:v>
      </x:c>
      <x:c r="AD962" s="65" t="n">
        <x:v>1876.8322499474482</x:v>
      </x:c>
      <x:c r="AE962" s="65" t="n">
        <x:v>142694.9966972615</x:v>
      </x:c>
      <x:c r="AF962" s="65" t="n">
        <x:v>180782.371432759</x:v>
      </x:c>
      <x:c r="AG962" s="65" t="n">
        <x:v>0</x:v>
      </x:c>
      <x:c r="AH962" s="34" t="n">
        <x:v>0</x:v>
      </x:c>
    </x:row>
    <x:row r="963" ht="15" hidden="0" customHeight="1">
      <x:c r="A963" s="36" t="n">
        <x:v>240</x:v>
      </x:c>
      <x:c r="B963" s="36" t="str">
        <x:v>P2</x:v>
      </x:c>
      <x:c r="C963" s="36" t="str">
        <x:v>fast</x:v>
      </x:c>
      <x:c r="D963" s="75" t="n">
        <x:v>1.0599423301930413</x:v>
      </x:c>
      <x:c r="E963" s="75" t="n">
        <x:v>0.06028018294040669</x:v>
      </x:c>
      <x:c r="F963" s="75" t="n">
        <x:v>0.7891525410339554</x:v>
      </x:c>
      <x:c r="G963" s="75" t="n">
        <x:v>1.0772864296489084</x:v>
      </x:c>
      <x:c r="H963" s="75" t="n">
        <x:v>1.0113753643240742</x:v>
      </x:c>
      <x:c r="I963" s="75" t="n">
        <x:v>0.8257469988200473</x:v>
      </x:c>
      <x:c r="J963" s="75" t="n">
        <x:v>0.8792819564071845</x:v>
      </x:c>
      <x:c r="K963" s="75" t="n">
        <x:v>0.7231298356567508</x:v>
      </x:c>
      <x:c r="L963" s="75" t="n">
        <x:v>1.0050944732053093</x:v>
      </x:c>
      <x:c r="M963" s="75" t="n">
        <x:v>0.872881348572756</x:v>
      </x:c>
      <x:c r="N963" s="75" t="n">
        <x:v>0.7713246427064055</x:v>
      </x:c>
      <x:c r="O963" s="66" t="n">
        <x:v>509885.04595089646</x:v>
      </x:c>
      <x:c r="P963" s="66" t="n">
        <x:v>276689.58604336</x:v>
      </x:c>
      <x:c r="Q963" s="66" t="n">
        <x:v>233195.45990753645</x:v>
      </x:c>
      <x:c r="R963" s="66" t="n">
        <x:v>125859.47988780774</x:v>
      </x:c>
      <x:c r="S963" s="66" t="n">
        <x:v>107335.98001972871</x:v>
      </x:c>
      <x:c r="T963" s="66" t="n">
        <x:v>108469.47521835976</x:v>
      </x:c>
      <x:c r="U963" s="45" t="n">
        <x:v>0.7553841092621725</x:v>
      </x:c>
      <x:c r="V963" s="45" t="n">
        <x:v>0.7669687771645463</x:v>
      </x:c>
      <x:c r="W963" s="45" t="n">
        <x:v>0.4995494727609752</x:v>
      </x:c>
      <x:c r="X963" s="66" t="n">
        <x:v>30405908.676396452</x:v>
      </x:c>
      <x:c r="Y963" s="66" t="n">
        <x:v>59.632870031894676</x:v>
      </x:c>
      <x:c r="Z963" s="66" t="n">
        <x:v>2139885.8957073824</x:v>
      </x:c>
      <x:c r="AA963" s="66" t="n">
        <x:v>170918.79164857388</x:v>
      </x:c>
      <x:c r="AB963" s="66" t="n">
        <x:v>1475.93305897053</x:v>
      </x:c>
      <x:c r="AC963" s="66" t="n">
        <x:v>52647.682030131095</x:v>
      </x:c>
      <x:c r="AD963" s="66" t="n">
        <x:v>1681.1497656233842</x:v>
      </x:c>
      <x:c r="AE963" s="66" t="n">
        <x:v>71810.06427170296</x:v>
      </x:c>
      <x:c r="AF963" s="66" t="n">
        <x:v>108469.4752183598</x:v>
      </x:c>
      <x:c r="AG963" s="66" t="n">
        <x:v>0</x:v>
      </x:c>
      <x:c r="AH963" s="36" t="n">
        <x:v>0</x:v>
      </x:c>
    </x:row>
    <x:row r="964" ht="15" hidden="0" customHeight="1">
      <x:c r="A964" s="34" t="n">
        <x:v>240</x:v>
      </x:c>
      <x:c r="B964" s="34" t="str">
        <x:v>H3</x:v>
      </x:c>
      <x:c r="C964" s="34" t="str">
        <x:v>fast</x:v>
      </x:c>
      <x:c r="D964" s="74" t="n">
        <x:v>1.0599423301930413</x:v>
      </x:c>
      <x:c r="E964" s="74" t="n">
        <x:v>0.06028018294040669</x:v>
      </x:c>
      <x:c r="F964" s="74" t="n">
        <x:v>0.7891525410339554</x:v>
      </x:c>
      <x:c r="G964" s="74" t="n">
        <x:v>1.0772864296489084</x:v>
      </x:c>
      <x:c r="H964" s="74" t="n">
        <x:v>1.0113753643240742</x:v>
      </x:c>
      <x:c r="I964" s="74" t="n">
        <x:v>0.8257469988200473</x:v>
      </x:c>
      <x:c r="J964" s="74" t="n">
        <x:v>0.8792819564071845</x:v>
      </x:c>
      <x:c r="K964" s="74" t="n">
        <x:v>0.7231298356567508</x:v>
      </x:c>
      <x:c r="L964" s="74" t="n">
        <x:v>1.0050944732053093</x:v>
      </x:c>
      <x:c r="M964" s="74" t="n">
        <x:v>0.872881348572756</x:v>
      </x:c>
      <x:c r="N964" s="74" t="n">
        <x:v>0.7713246427064055</x:v>
      </x:c>
      <x:c r="O964" s="65" t="n">
        <x:v>509885.04595089646</x:v>
      </x:c>
      <x:c r="P964" s="65" t="n">
        <x:v>287026.03724790266</x:v>
      </x:c>
      <x:c r="Q964" s="65" t="n">
        <x:v>222859.00870299383</x:v>
      </x:c>
      <x:c r="R964" s="65" t="n">
        <x:v>125859.47988780774</x:v>
      </x:c>
      <x:c r="S964" s="65" t="n">
        <x:v>96999.52881518609</x:v>
      </x:c>
      <x:c r="T964" s="65" t="n">
        <x:v>180782.3346206816</x:v>
      </x:c>
      <x:c r="U964" s="43" t="n">
        <x:v>0.9174781170452989</x:v>
      </x:c>
      <x:c r="V964" s="43" t="n">
        <x:v>0.918872956435007</x:v>
      </x:c>
      <x:c r="W964" s="43" t="n">
        <x:v>0.6440321840801307</x:v>
      </x:c>
      <x:c r="X964" s="65" t="n">
        <x:v>23571828.289394043</x:v>
      </x:c>
      <x:c r="Y964" s="65" t="n">
        <x:v>46.229691332552015</x:v>
      </x:c>
      <x:c r="Z964" s="65" t="n">
        <x:v>3642619.8039602158</x:v>
      </x:c>
      <x:c r="AA964" s="65" t="n">
        <x:v>137287.3244856543</x:v>
      </x:c>
      <x:c r="AB964" s="65" t="n">
        <x:v>22807.935622058663</x:v>
      </x:c>
      <x:c r="AC964" s="65" t="n">
        <x:v>34093.53467768666</x:v>
      </x:c>
      <x:c r="AD964" s="65" t="n">
        <x:v>1659.1831093185433</x:v>
      </x:c>
      <x:c r="AE964" s="65" t="n">
        <x:v>80818.66092593153</x:v>
      </x:c>
      <x:c r="AF964" s="65" t="n">
        <x:v>180782.33462068142</x:v>
      </x:c>
      <x:c r="AG964" s="65" t="n">
        <x:v>1.7462298274040222e-10</x:v>
      </x:c>
      <x:c r="AH964" s="34" t="n">
        <x:v>0</x:v>
      </x:c>
    </x:row>
    <x:row r="965" ht="15" hidden="0" customHeight="1">
      <x:c r="A965" s="36" t="n">
        <x:v>241</x:v>
      </x:c>
      <x:c r="B965" s="36" t="str">
        <x:v>M0</x:v>
      </x:c>
      <x:c r="C965" s="36" t="str">
        <x:v>slow</x:v>
      </x:c>
      <x:c r="D965" s="75" t="n">
        <x:v>0.9699382862953086</x:v>
      </x:c>
      <x:c r="E965" s="75" t="n">
        <x:v>0.04210824621585877</x:v>
      </x:c>
      <x:c r="F965" s="75" t="n">
        <x:v>0.902944402047683</x:v>
      </x:c>
      <x:c r="G965" s="75" t="n">
        <x:v>1.0219926613070254</x:v>
      </x:c>
      <x:c r="H965" s="75" t="n">
        <x:v>0.9505453445491376</x:v>
      </x:c>
      <x:c r="I965" s="75" t="n">
        <x:v>1.0047611474866809</x:v>
      </x:c>
      <x:c r="J965" s="75" t="n">
        <x:v>0.9014550003594877</x:v>
      </x:c>
      <x:c r="K965" s="75" t="n">
        <x:v>0.9747668601639254</x:v>
      </x:c>
      <x:c r="L965" s="75" t="n">
        <x:v>0.9926051583319997</x:v>
      </x:c>
      <x:c r="M965" s="75" t="n">
        <x:v>0.7583369483344417</x:v>
      </x:c>
      <x:c r="N965" s="75" t="n">
        <x:v>0.795106496963687</x:v>
      </x:c>
      <x:c r="O965" s="66" t="n">
        <x:v>466588.618634701</x:v>
      </x:c>
      <x:c r="P965" s="66" t="n">
        <x:v>60544.0004616685</x:v>
      </x:c>
      <x:c r="Q965" s="66" t="n">
        <x:v>406044.6181730324</x:v>
      </x:c>
      <x:c r="R965" s="66" t="n">
        <x:v>106693.41718069886</x:v>
      </x:c>
      <x:c r="S965" s="66" t="n">
        <x:v>299351.20099233364</x:v>
      </x:c>
      <x:c r="T965" s="66" t="n">
        <x:v>259352.9718547783</x:v>
      </x:c>
      <x:c r="U965" s="45" t="n">
        <x:v>0.6856081771829474</x:v>
      </x:c>
      <x:c r="V965" s="45" t="n">
        <x:v>0.6698124702333884</x:v>
      </x:c>
      <x:c r="W965" s="45" t="n">
        <x:v>0.06563182732119743</x:v>
      </x:c>
      <x:c r="X965" s="66" t="n">
        <x:v>48852034.99603939</x:v>
      </x:c>
      <x:c r="Y965" s="66" t="n">
        <x:v>104.700442841891</x:v>
      </x:c>
      <x:c r="Z965" s="66" t="n">
        <x:v>2556213.476932668</x:v>
      </x:c>
      <x:c r="AA965" s="66" t="n">
        <x:v>268196.4245946704</x:v>
      </x:c>
      <x:c r="AB965" s="66" t="n">
        <x:v>17089.30624009693</x:v>
      </x:c>
      <x:c r="AC965" s="66" t="n">
        <x:v>0</x:v>
      </x:c>
      <x:c r="AD965" s="66" t="n">
        <x:v>2583.620312814567</x:v>
      </x:c>
      <x:c r="AE965" s="66" t="n">
        <x:v>236453.9047422241</x:v>
      </x:c>
      <x:c r="AF965" s="66" t="n">
        <x:v>259352.97185477827</x:v>
      </x:c>
      <x:c r="AG965" s="66" t="n">
        <x:v>2.9103830456733704e-11</x:v>
      </x:c>
      <x:c r="AH965" s="36" t="n">
        <x:v>0</x:v>
      </x:c>
    </x:row>
    <x:row r="966" ht="15" hidden="0" customHeight="1">
      <x:c r="A966" s="34" t="n">
        <x:v>241</x:v>
      </x:c>
      <x:c r="B966" s="34" t="str">
        <x:v>B1</x:v>
      </x:c>
      <x:c r="C966" s="34" t="str">
        <x:v>slow</x:v>
      </x:c>
      <x:c r="D966" s="74" t="n">
        <x:v>0.9699382862953086</x:v>
      </x:c>
      <x:c r="E966" s="74" t="n">
        <x:v>0.04210824621585877</x:v>
      </x:c>
      <x:c r="F966" s="74" t="n">
        <x:v>0.902944402047683</x:v>
      </x:c>
      <x:c r="G966" s="74" t="n">
        <x:v>1.0219926613070254</x:v>
      </x:c>
      <x:c r="H966" s="74" t="n">
        <x:v>0.9505453445491376</x:v>
      </x:c>
      <x:c r="I966" s="74" t="n">
        <x:v>1.0047611474866809</x:v>
      </x:c>
      <x:c r="J966" s="74" t="n">
        <x:v>0.9014550003594877</x:v>
      </x:c>
      <x:c r="K966" s="74" t="n">
        <x:v>0.9747668601639254</x:v>
      </x:c>
      <x:c r="L966" s="74" t="n">
        <x:v>0.9926051583319997</x:v>
      </x:c>
      <x:c r="M966" s="74" t="n">
        <x:v>0.7583369483344417</x:v>
      </x:c>
      <x:c r="N966" s="74" t="n">
        <x:v>0.795106496963687</x:v>
      </x:c>
      <x:c r="O966" s="65" t="n">
        <x:v>466588.618634701</x:v>
      </x:c>
      <x:c r="P966" s="65" t="n">
        <x:v>204801.04642233465</x:v>
      </x:c>
      <x:c r="Q966" s="65" t="n">
        <x:v>261787.5722123663</x:v>
      </x:c>
      <x:c r="R966" s="65" t="n">
        <x:v>106693.41718069886</x:v>
      </x:c>
      <x:c r="S966" s="65" t="n">
        <x:v>155094.15503166744</x:v>
      </x:c>
      <x:c r="T966" s="65" t="n">
        <x:v>155614.8370017828</x:v>
      </x:c>
      <x:c r="U966" s="43" t="n">
        <x:v>0.7724489390220045</x:v>
      </x:c>
      <x:c r="V966" s="43" t="n">
        <x:v>0.7626270234054595</x:v>
      </x:c>
      <x:c r="W966" s="43" t="n">
        <x:v>0.2278000418075749</x:v>
      </x:c>
      <x:c r="X966" s="65" t="n">
        <x:v>33102752.09581905</x:v>
      </x:c>
      <x:c r="Y966" s="65" t="n">
        <x:v>70.9463342519627</x:v>
      </x:c>
      <x:c r="Z966" s="65" t="n">
        <x:v>1029024.6497701316</x:v>
      </x:c>
      <x:c r="AA966" s="65" t="n">
        <x:v>174307.21750610575</x:v>
      </x:c>
      <x:c r="AB966" s="65" t="n">
        <x:v>2055.0337460289115</x:v>
      </x:c>
      <x:c r="AC966" s="65" t="n">
        <x:v>982.4531834163979</x:v>
      </x:c>
      <x:c r="AD966" s="65" t="n">
        <x:v>2122.9713070163834</x:v>
      </x:c>
      <x:c r="AE966" s="65" t="n">
        <x:v>86917.63566412033</x:v>
      </x:c>
      <x:c r="AF966" s="65" t="n">
        <x:v>155614.83700178264</x:v>
      </x:c>
      <x:c r="AG966" s="65" t="n">
        <x:v>1.7462298274040222e-10</x:v>
      </x:c>
      <x:c r="AH966" s="34" t="n">
        <x:v>0</x:v>
      </x:c>
    </x:row>
    <x:row r="967" ht="15" hidden="0" customHeight="1">
      <x:c r="A967" s="36" t="n">
        <x:v>241</x:v>
      </x:c>
      <x:c r="B967" s="36" t="str">
        <x:v>P2</x:v>
      </x:c>
      <x:c r="C967" s="36" t="str">
        <x:v>slow</x:v>
      </x:c>
      <x:c r="D967" s="75" t="n">
        <x:v>0.9699382862953086</x:v>
      </x:c>
      <x:c r="E967" s="75" t="n">
        <x:v>0.04210824621585877</x:v>
      </x:c>
      <x:c r="F967" s="75" t="n">
        <x:v>0.902944402047683</x:v>
      </x:c>
      <x:c r="G967" s="75" t="n">
        <x:v>1.0219926613070254</x:v>
      </x:c>
      <x:c r="H967" s="75" t="n">
        <x:v>0.9505453445491376</x:v>
      </x:c>
      <x:c r="I967" s="75" t="n">
        <x:v>1.0047611474866809</x:v>
      </x:c>
      <x:c r="J967" s="75" t="n">
        <x:v>0.9014550003594877</x:v>
      </x:c>
      <x:c r="K967" s="75" t="n">
        <x:v>0.9747668601639254</x:v>
      </x:c>
      <x:c r="L967" s="75" t="n">
        <x:v>0.9926051583319997</x:v>
      </x:c>
      <x:c r="M967" s="75" t="n">
        <x:v>0.7583369483344417</x:v>
      </x:c>
      <x:c r="N967" s="75" t="n">
        <x:v>0.795106496963687</x:v>
      </x:c>
      <x:c r="O967" s="66" t="n">
        <x:v>466588.618634701</x:v>
      </x:c>
      <x:c r="P967" s="66" t="n">
        <x:v>296694.1592391436</x:v>
      </x:c>
      <x:c r="Q967" s="66" t="n">
        <x:v>169894.45939555735</x:v>
      </x:c>
      <x:c r="R967" s="66" t="n">
        <x:v>106693.41718069886</x:v>
      </x:c>
      <x:c r="S967" s="66" t="n">
        <x:v>63201.04221485848</x:v>
      </x:c>
      <x:c r="T967" s="66" t="n">
        <x:v>90535.27745729405</x:v>
      </x:c>
      <x:c r="U967" s="45" t="n">
        <x:v>0.829916164328057</x:v>
      </x:c>
      <x:c r="V967" s="45" t="n">
        <x:v>0.8239707643965368</x:v>
      </x:c>
      <x:c r="W967" s="45" t="n">
        <x:v>0.33473563588695693</x:v>
      </x:c>
      <x:c r="X967" s="66" t="n">
        <x:v>21464093.427536905</x:v>
      </x:c>
      <x:c r="Y967" s="66" t="n">
        <x:v>46.00217958668524</x:v>
      </x:c>
      <x:c r="Z967" s="66" t="n">
        <x:v>577885.8175500082</x:v>
      </x:c>
      <x:c r="AA967" s="66" t="n">
        <x:v>115109.42111910088</x:v>
      </x:c>
      <x:c r="AB967" s="66" t="n">
        <x:v>0</x:v>
      </x:c>
      <x:c r="AC967" s="66" t="n">
        <x:v>0</x:v>
      </x:c>
      <x:c r="AD967" s="66" t="n">
        <x:v>1843.499626764136</x:v>
      </x:c>
      <x:c r="AE967" s="66" t="n">
        <x:v>28516.970694126518</x:v>
      </x:c>
      <x:c r="AF967" s="66" t="n">
        <x:v>90535.27745729403</x:v>
      </x:c>
      <x:c r="AG967" s="66" t="n">
        <x:v>2.9103830456733704e-11</x:v>
      </x:c>
      <x:c r="AH967" s="36" t="n">
        <x:v>0</x:v>
      </x:c>
    </x:row>
    <x:row r="968" ht="15" hidden="0" customHeight="1">
      <x:c r="A968" s="34" t="n">
        <x:v>241</x:v>
      </x:c>
      <x:c r="B968" s="34" t="str">
        <x:v>H3</x:v>
      </x:c>
      <x:c r="C968" s="34" t="str">
        <x:v>slow</x:v>
      </x:c>
      <x:c r="D968" s="74" t="n">
        <x:v>0.9699382862953086</x:v>
      </x:c>
      <x:c r="E968" s="74" t="n">
        <x:v>0.04210824621585877</x:v>
      </x:c>
      <x:c r="F968" s="74" t="n">
        <x:v>0.902944402047683</x:v>
      </x:c>
      <x:c r="G968" s="74" t="n">
        <x:v>1.0219926613070254</x:v>
      </x:c>
      <x:c r="H968" s="74" t="n">
        <x:v>0.9505453445491376</x:v>
      </x:c>
      <x:c r="I968" s="74" t="n">
        <x:v>1.0047611474866809</x:v>
      </x:c>
      <x:c r="J968" s="74" t="n">
        <x:v>0.9014550003594877</x:v>
      </x:c>
      <x:c r="K968" s="74" t="n">
        <x:v>0.9747668601639254</x:v>
      </x:c>
      <x:c r="L968" s="74" t="n">
        <x:v>0.9926051583319997</x:v>
      </x:c>
      <x:c r="M968" s="74" t="n">
        <x:v>0.7583369483344417</x:v>
      </x:c>
      <x:c r="N968" s="74" t="n">
        <x:v>0.795106496963687</x:v>
      </x:c>
      <x:c r="O968" s="65" t="n">
        <x:v>466588.618634701</x:v>
      </x:c>
      <x:c r="P968" s="65" t="n">
        <x:v>307777.8412735473</x:v>
      </x:c>
      <x:c r="Q968" s="65" t="n">
        <x:v>158810.7773611536</x:v>
      </x:c>
      <x:c r="R968" s="65" t="n">
        <x:v>106693.41718069886</x:v>
      </x:c>
      <x:c r="S968" s="65" t="n">
        <x:v>52117.36018045474</x:v>
      </x:c>
      <x:c r="T968" s="65" t="n">
        <x:v>82690.13101678471</x:v>
      </x:c>
      <x:c r="U968" s="43" t="n">
        <x:v>0.8368570442907333</x:v>
      </x:c>
      <x:c r="V968" s="43" t="n">
        <x:v>0.8315206628731064</x:v>
      </x:c>
      <x:c r="W968" s="43" t="n">
        <x:v>0.34819340950546984</x:v>
      </x:c>
      <x:c r="X968" s="65" t="n">
        <x:v>19326475.077763822</x:v>
      </x:c>
      <x:c r="Y968" s="65" t="n">
        <x:v>41.42080262119467</x:v>
      </x:c>
      <x:c r="Z968" s="65" t="n">
        <x:v>560715.3910671207</x:v>
      </x:c>
      <x:c r="AA968" s="65" t="n">
        <x:v>106651.60124598189</x:v>
      </x:c>
      <x:c r="AB968" s="65" t="n">
        <x:v>1587.8163485136624</x:v>
      </x:c>
      <x:c r="AC968" s="65" t="n">
        <x:v>0</x:v>
      </x:c>
      <x:c r="AD968" s="65" t="n">
        <x:v>1811.943018251581</x:v>
      </x:c>
      <x:c r="AE968" s="65" t="n">
        <x:v>13014.815714306053</x:v>
      </x:c>
      <x:c r="AF968" s="65" t="n">
        <x:v>82690.13101678462</x:v>
      </x:c>
      <x:c r="AG968" s="65" t="n">
        <x:v>8.731149137020111e-11</x:v>
      </x:c>
      <x:c r="AH968" s="34" t="n">
        <x:v>0</x:v>
      </x:c>
    </x:row>
    <x:row r="969" ht="15" hidden="0" customHeight="1">
      <x:c r="A969" s="36" t="n">
        <x:v>242</x:v>
      </x:c>
      <x:c r="B969" s="36" t="str">
        <x:v>M0</x:v>
      </x:c>
      <x:c r="C969" s="36" t="str">
        <x:v>reference</x:v>
      </x:c>
      <x:c r="D969" s="75" t="n">
        <x:v>1.0264278154309334</x:v>
      </x:c>
      <x:c r="E969" s="75" t="n">
        <x:v>0.08073827967789227</x:v>
      </x:c>
      <x:c r="F969" s="75" t="n">
        <x:v>0.9299748364501459</x:v>
      </x:c>
      <x:c r="G969" s="75" t="n">
        <x:v>1.2057333220728088</x:v>
      </x:c>
      <x:c r="H969" s="75" t="n">
        <x:v>1.024242031405538</x:v>
      </x:c>
      <x:c r="I969" s="75" t="n">
        <x:v>0.93237843100003</x:v>
      </x:c>
      <x:c r="J969" s="75" t="n">
        <x:v>0.8527808843801193</x:v>
      </x:c>
      <x:c r="K969" s="75" t="n">
        <x:v>0.8820236995017441</x:v>
      </x:c>
      <x:c r="L969" s="75" t="n">
        <x:v>0.7874306054136126</x:v>
      </x:c>
      <x:c r="M969" s="75" t="n">
        <x:v>0.7857193201948616</x:v>
      </x:c>
      <x:c r="N969" s="75" t="n">
        <x:v>0.7612020289836878</x:v>
      </x:c>
      <x:c r="O969" s="66" t="n">
        <x:v>493762.8953274875</x:v>
      </x:c>
      <x:c r="P969" s="66" t="n">
        <x:v>62682.6222665568</x:v>
      </x:c>
      <x:c r="Q969" s="66" t="n">
        <x:v>431080.27306093066</x:v>
      </x:c>
      <x:c r="R969" s="66" t="n">
        <x:v>131981.3545337792</x:v>
      </x:c>
      <x:c r="S969" s="66" t="n">
        <x:v>299098.91852715146</x:v>
      </x:c>
      <x:c r="T969" s="66" t="n">
        <x:v>258433.0741813931</x:v>
      </x:c>
      <x:c r="U969" s="45" t="n">
        <x:v>0.6503439190888783</x:v>
      </x:c>
      <x:c r="V969" s="45" t="n">
        <x:v>0.6872119148743983</x:v>
      </x:c>
      <x:c r="W969" s="45" t="n">
        <x:v>0.13144672921520048</x:v>
      </x:c>
      <x:c r="X969" s="66" t="n">
        <x:v>56606043.53805954</x:v>
      </x:c>
      <x:c r="Y969" s="66" t="n">
        <x:v>114.64215734662619</x:v>
      </x:c>
      <x:c r="Z969" s="66" t="n">
        <x:v>4017888.801306033</x:v>
      </x:c>
      <x:c r="AA969" s="66" t="n">
        <x:v>313096.2182224075</x:v>
      </x:c>
      <x:c r="AB969" s="66" t="n">
        <x:v>31188.90129914878</x:v>
      </x:c>
      <x:c r="AC969" s="66" t="n">
        <x:v>1608.3634731380453</x:v>
      </x:c>
      <x:c r="AD969" s="66" t="n">
        <x:v>2114.9552571841264</x:v>
      </x:c>
      <x:c r="AE969" s="66" t="n">
        <x:v>236510.4557466629</x:v>
      </x:c>
      <x:c r="AF969" s="66" t="n">
        <x:v>249254.87890819443</x:v>
      </x:c>
      <x:c r="AG969" s="66" t="n">
        <x:v>9178.195273198682</x:v>
      </x:c>
      <x:c r="AH969" s="36" t="n">
        <x:v>0</x:v>
      </x:c>
    </x:row>
    <x:row r="970" ht="15" hidden="0" customHeight="1">
      <x:c r="A970" s="34" t="n">
        <x:v>242</x:v>
      </x:c>
      <x:c r="B970" s="34" t="str">
        <x:v>B1</x:v>
      </x:c>
      <x:c r="C970" s="34" t="str">
        <x:v>reference</x:v>
      </x:c>
      <x:c r="D970" s="74" t="n">
        <x:v>1.0264278154309334</x:v>
      </x:c>
      <x:c r="E970" s="74" t="n">
        <x:v>0.08073827967789227</x:v>
      </x:c>
      <x:c r="F970" s="74" t="n">
        <x:v>0.9299748364501459</x:v>
      </x:c>
      <x:c r="G970" s="74" t="n">
        <x:v>1.2057333220728088</x:v>
      </x:c>
      <x:c r="H970" s="74" t="n">
        <x:v>1.024242031405538</x:v>
      </x:c>
      <x:c r="I970" s="74" t="n">
        <x:v>0.93237843100003</x:v>
      </x:c>
      <x:c r="J970" s="74" t="n">
        <x:v>0.8527808843801193</x:v>
      </x:c>
      <x:c r="K970" s="74" t="n">
        <x:v>0.8820236995017441</x:v>
      </x:c>
      <x:c r="L970" s="74" t="n">
        <x:v>0.7874306054136126</x:v>
      </x:c>
      <x:c r="M970" s="74" t="n">
        <x:v>0.7857193201948616</x:v>
      </x:c>
      <x:c r="N970" s="74" t="n">
        <x:v>0.7612020289836878</x:v>
      </x:c>
      <x:c r="O970" s="65" t="n">
        <x:v>493762.8953274875</x:v>
      </x:c>
      <x:c r="P970" s="65" t="n">
        <x:v>212036.57882930533</x:v>
      </x:c>
      <x:c r="Q970" s="65" t="n">
        <x:v>281726.3164981821</x:v>
      </x:c>
      <x:c r="R970" s="65" t="n">
        <x:v>131981.3545337792</x:v>
      </x:c>
      <x:c r="S970" s="65" t="n">
        <x:v>149744.9619644029</x:v>
      </x:c>
      <x:c r="T970" s="65" t="n">
        <x:v>198939.63556243962</x:v>
      </x:c>
      <x:c r="U970" s="43" t="n">
        <x:v>0.8323351517111582</x:v>
      </x:c>
      <x:c r="V970" s="43" t="n">
        <x:v>0.8562417426579139</x:v>
      </x:c>
      <x:c r="W970" s="43" t="n">
        <x:v>0.4845896623245098</x:v>
      </x:c>
      <x:c r="X970" s="65" t="n">
        <x:v>36683536.645327315</x:v>
      </x:c>
      <x:c r="Y970" s="65" t="n">
        <x:v>74.29383008011773</x:v>
      </x:c>
      <x:c r="Z970" s="65" t="n">
        <x:v>1461883.9914762753</x:v>
      </x:c>
      <x:c r="AA970" s="65" t="n">
        <x:v>201698.7196198717</x:v>
      </x:c>
      <x:c r="AB970" s="65" t="n">
        <x:v>3320.2104261803006</x:v>
      </x:c>
      <x:c r="AC970" s="65" t="n">
        <x:v>1796.6626796775688</x:v>
      </x:c>
      <x:c r="AD970" s="65" t="n">
        <x:v>1764.7788027692268</x:v>
      </x:c>
      <x:c r="AE970" s="65" t="n">
        <x:v>133171.78025824897</x:v>
      </x:c>
      <x:c r="AF970" s="65" t="n">
        <x:v>198939.63556243974</x:v>
      </x:c>
      <x:c r="AG970" s="65" t="n">
        <x:v>0</x:v>
      </x:c>
      <x:c r="AH970" s="34" t="n">
        <x:v>0</x:v>
      </x:c>
    </x:row>
    <x:row r="971" ht="15" hidden="0" customHeight="1">
      <x:c r="A971" s="36" t="n">
        <x:v>242</x:v>
      </x:c>
      <x:c r="B971" s="36" t="str">
        <x:v>P2</x:v>
      </x:c>
      <x:c r="C971" s="36" t="str">
        <x:v>reference</x:v>
      </x:c>
      <x:c r="D971" s="75" t="n">
        <x:v>1.0264278154309334</x:v>
      </x:c>
      <x:c r="E971" s="75" t="n">
        <x:v>0.08073827967789227</x:v>
      </x:c>
      <x:c r="F971" s="75" t="n">
        <x:v>0.9299748364501459</x:v>
      </x:c>
      <x:c r="G971" s="75" t="n">
        <x:v>1.2057333220728088</x:v>
      </x:c>
      <x:c r="H971" s="75" t="n">
        <x:v>1.024242031405538</x:v>
      </x:c>
      <x:c r="I971" s="75" t="n">
        <x:v>0.93237843100003</x:v>
      </x:c>
      <x:c r="J971" s="75" t="n">
        <x:v>0.8527808843801193</x:v>
      </x:c>
      <x:c r="K971" s="75" t="n">
        <x:v>0.8820236995017441</x:v>
      </x:c>
      <x:c r="L971" s="75" t="n">
        <x:v>0.7874306054136126</x:v>
      </x:c>
      <x:c r="M971" s="75" t="n">
        <x:v>0.7857193201948616</x:v>
      </x:c>
      <x:c r="N971" s="75" t="n">
        <x:v>0.7612020289836878</x:v>
      </x:c>
      <x:c r="O971" s="66" t="n">
        <x:v>493762.8953274875</x:v>
      </x:c>
      <x:c r="P971" s="66" t="n">
        <x:v>307177.26106236083</x:v>
      </x:c>
      <x:c r="Q971" s="66" t="n">
        <x:v>186585.6342651266</x:v>
      </x:c>
      <x:c r="R971" s="66" t="n">
        <x:v>131981.3545337792</x:v>
      </x:c>
      <x:c r="S971" s="66" t="n">
        <x:v>54604.27973134739</x:v>
      </x:c>
      <x:c r="T971" s="66" t="n">
        <x:v>132300.68607309664</x:v>
      </x:c>
      <x:c r="U971" s="45" t="n">
        <x:v>0.8900586724807954</x:v>
      </x:c>
      <x:c r="V971" s="45" t="n">
        <x:v>0.9096615353045165</x:v>
      </x:c>
      <x:c r="W971" s="45" t="n">
        <x:v>0.5428190062516683</x:v>
      </x:c>
      <x:c r="X971" s="66" t="n">
        <x:v>22705024.655219793</x:v>
      </x:c>
      <x:c r="Y971" s="66" t="n">
        <x:v>45.983659100509605</x:v>
      </x:c>
      <x:c r="Z971" s="66" t="n">
        <x:v>987194.2214268937</x:v>
      </x:c>
      <x:c r="AA971" s="66" t="n">
        <x:v>131199.70493772035</x:v>
      </x:c>
      <x:c r="AB971" s="66" t="n">
        <x:v>0</x:v>
      </x:c>
      <x:c r="AC971" s="66" t="n">
        <x:v>17169.152793974325</x:v>
      </x:c>
      <x:c r="AD971" s="66" t="n">
        <x:v>1553.1912253238038</x:v>
      </x:c>
      <x:c r="AE971" s="66" t="n">
        <x:v>72926.92781236899</x:v>
      </x:c>
      <x:c r="AF971" s="66" t="n">
        <x:v>132300.6860730968</x:v>
      </x:c>
      <x:c r="AG971" s="66" t="n">
        <x:v>0</x:v>
      </x:c>
      <x:c r="AH971" s="36" t="n">
        <x:v>0</x:v>
      </x:c>
    </x:row>
    <x:row r="972" ht="15" hidden="0" customHeight="1">
      <x:c r="A972" s="34" t="n">
        <x:v>242</x:v>
      </x:c>
      <x:c r="B972" s="34" t="str">
        <x:v>H3</x:v>
      </x:c>
      <x:c r="C972" s="34" t="str">
        <x:v>reference</x:v>
      </x:c>
      <x:c r="D972" s="74" t="n">
        <x:v>1.0264278154309334</x:v>
      </x:c>
      <x:c r="E972" s="74" t="n">
        <x:v>0.08073827967789227</x:v>
      </x:c>
      <x:c r="F972" s="74" t="n">
        <x:v>0.9299748364501459</x:v>
      </x:c>
      <x:c r="G972" s="74" t="n">
        <x:v>1.2057333220728088</x:v>
      </x:c>
      <x:c r="H972" s="74" t="n">
        <x:v>1.024242031405538</x:v>
      </x:c>
      <x:c r="I972" s="74" t="n">
        <x:v>0.93237843100003</x:v>
      </x:c>
      <x:c r="J972" s="74" t="n">
        <x:v>0.8527808843801193</x:v>
      </x:c>
      <x:c r="K972" s="74" t="n">
        <x:v>0.8820236995017441</x:v>
      </x:c>
      <x:c r="L972" s="74" t="n">
        <x:v>0.7874306054136126</x:v>
      </x:c>
      <x:c r="M972" s="74" t="n">
        <x:v>0.7857193201948616</x:v>
      </x:c>
      <x:c r="N972" s="74" t="n">
        <x:v>0.7612020289836878</x:v>
      </x:c>
      <x:c r="O972" s="65" t="n">
        <x:v>493762.8953274875</x:v>
      </x:c>
      <x:c r="P972" s="65" t="n">
        <x:v>318652.7700131217</x:v>
      </x:c>
      <x:c r="Q972" s="65" t="n">
        <x:v>175110.1253143657</x:v>
      </x:c>
      <x:c r="R972" s="65" t="n">
        <x:v>131981.3545337792</x:v>
      </x:c>
      <x:c r="S972" s="65" t="n">
        <x:v>43128.77078058652</x:v>
      </x:c>
      <x:c r="T972" s="65" t="n">
        <x:v>173580.68619750562</x:v>
      </x:c>
      <x:c r="U972" s="43" t="n">
        <x:v>0.9969024826868658</x:v>
      </x:c>
      <x:c r="V972" s="43" t="n">
        <x:v>0.9980490658683691</x:v>
      </x:c>
      <x:c r="W972" s="43" t="n">
        <x:v>0.9690248268686599</x:v>
      </x:c>
      <x:c r="X972" s="65" t="n">
        <x:v>17331892.471809737</x:v>
      </x:c>
      <x:c r="Y972" s="65" t="n">
        <x:v>35.10165027753733</x:v>
      </x:c>
      <x:c r="Z972" s="65" t="n">
        <x:v>1295939.4371672168</x:v>
      </x:c>
      <x:c r="AA972" s="65" t="n">
        <x:v>102593.20014950639</x:v>
      </x:c>
      <x:c r="AB972" s="65" t="n">
        <x:v>4477.202675780736</x:v>
      </x:c>
      <x:c r="AC972" s="65" t="n">
        <x:v>3097.6317961188392</x:v>
      </x:c>
      <x:c r="AD972" s="65" t="n">
        <x:v>1529.4391168600725</x:v>
      </x:c>
      <x:c r="AE972" s="65" t="n">
        <x:v>74928.90324121977</x:v>
      </x:c>
      <x:c r="AF972" s="65" t="n">
        <x:v>173580.68619750557</x:v>
      </x:c>
      <x:c r="AG972" s="65" t="n">
        <x:v>5.820766091346741e-11</x:v>
      </x:c>
      <x:c r="AH972" s="34" t="n">
        <x:v>1</x:v>
      </x:c>
    </x:row>
    <x:row r="973" ht="15" hidden="0" customHeight="1">
      <x:c r="A973" s="36" t="n">
        <x:v>243</x:v>
      </x:c>
      <x:c r="B973" s="36" t="str">
        <x:v>M0</x:v>
      </x:c>
      <x:c r="C973" s="36" t="str">
        <x:v>reference</x:v>
      </x:c>
      <x:c r="D973" s="75" t="n">
        <x:v>1.008895217454611</x:v>
      </x:c>
      <x:c r="E973" s="75" t="n">
        <x:v>0.03971747518145579</x:v>
      </x:c>
      <x:c r="F973" s="75" t="n">
        <x:v>0.7642150385508445</x:v>
      </x:c>
      <x:c r="G973" s="75" t="n">
        <x:v>1.0869455609329473</x:v>
      </x:c>
      <x:c r="H973" s="75" t="n">
        <x:v>1.0445993964305593</x:v>
      </x:c>
      <x:c r="I973" s="75" t="n">
        <x:v>1.0495428765059311</x:v>
      </x:c>
      <x:c r="J973" s="75" t="n">
        <x:v>0.8909771071912921</x:v>
      </x:c>
      <x:c r="K973" s="75" t="n">
        <x:v>0.9580750127053229</x:v>
      </x:c>
      <x:c r="L973" s="75" t="n">
        <x:v>0.8047656562460379</x:v>
      </x:c>
      <x:c r="M973" s="75" t="n">
        <x:v>0.8911228630529916</x:v>
      </x:c>
      <x:c r="N973" s="75" t="n">
        <x:v>0.9076792727894296</x:v>
      </x:c>
      <x:c r="O973" s="66" t="n">
        <x:v>485328.8425774971</x:v>
      </x:c>
      <x:c r="P973" s="66" t="n">
        <x:v>53465.291033635236</x:v>
      </x:c>
      <x:c r="Q973" s="66" t="n">
        <x:v>431863.5515438619</x:v>
      </x:c>
      <x:c r="R973" s="66" t="n">
        <x:v>109818.37773055893</x:v>
      </x:c>
      <x:c r="S973" s="66" t="n">
        <x:v>322045.173813303</x:v>
      </x:c>
      <x:c r="T973" s="66" t="n">
        <x:v>275026.7187008767</x:v>
      </x:c>
      <x:c r="U973" s="45" t="n">
        <x:v>0.6768441949379064</x:v>
      </x:c>
      <x:c r="V973" s="45" t="n">
        <x:v>0.7217692547265623</x:v>
      </x:c>
      <x:c r="W973" s="45" t="n">
        <x:v>0.1169304760203781</x:v>
      </x:c>
      <x:c r="X973" s="66" t="n">
        <x:v>55284139.33537718</x:v>
      </x:c>
      <x:c r="Y973" s="66" t="n">
        <x:v>113.9106817591403</x:v>
      </x:c>
      <x:c r="Z973" s="66" t="n">
        <x:v>3451055.5008464814</x:v>
      </x:c>
      <x:c r="AA973" s="66" t="n">
        <x:v>311584.2527498091</x:v>
      </x:c>
      <x:c r="AB973" s="66" t="n">
        <x:v>21937.764074239545</x:v>
      </x:c>
      <x:c r="AC973" s="66" t="n">
        <x:v>2872.377852529109</x:v>
      </x:c>
      <x:c r="AD973" s="66" t="n">
        <x:v>2092.0463316775167</x:v>
      </x:c>
      <x:c r="AE973" s="66" t="n">
        <x:v>222744.3925882055</x:v>
      </x:c>
      <x:c r="AF973" s="66" t="n">
        <x:v>275026.7187008766</x:v>
      </x:c>
      <x:c r="AG973" s="66" t="n">
        <x:v>1.1641532182693481e-10</x:v>
      </x:c>
      <x:c r="AH973" s="36" t="n">
        <x:v>0</x:v>
      </x:c>
    </x:row>
    <x:row r="974" ht="15" hidden="0" customHeight="1">
      <x:c r="A974" s="34" t="n">
        <x:v>243</x:v>
      </x:c>
      <x:c r="B974" s="34" t="str">
        <x:v>B1</x:v>
      </x:c>
      <x:c r="C974" s="34" t="str">
        <x:v>reference</x:v>
      </x:c>
      <x:c r="D974" s="74" t="n">
        <x:v>1.008895217454611</x:v>
      </x:c>
      <x:c r="E974" s="74" t="n">
        <x:v>0.03971747518145579</x:v>
      </x:c>
      <x:c r="F974" s="74" t="n">
        <x:v>0.7642150385508445</x:v>
      </x:c>
      <x:c r="G974" s="74" t="n">
        <x:v>1.0869455609329473</x:v>
      </x:c>
      <x:c r="H974" s="74" t="n">
        <x:v>1.0445993964305593</x:v>
      </x:c>
      <x:c r="I974" s="74" t="n">
        <x:v>1.0495428765059311</x:v>
      </x:c>
      <x:c r="J974" s="74" t="n">
        <x:v>0.8909771071912921</x:v>
      </x:c>
      <x:c r="K974" s="74" t="n">
        <x:v>0.9580750127053229</x:v>
      </x:c>
      <x:c r="L974" s="74" t="n">
        <x:v>0.8047656562460379</x:v>
      </x:c>
      <x:c r="M974" s="74" t="n">
        <x:v>0.8911228630529916</x:v>
      </x:c>
      <x:c r="N974" s="74" t="n">
        <x:v>0.9076792727894296</x:v>
      </x:c>
      <x:c r="O974" s="65" t="n">
        <x:v>485328.8425774971</x:v>
      </x:c>
      <x:c r="P974" s="65" t="n">
        <x:v>180855.96695970173</x:v>
      </x:c>
      <x:c r="Q974" s="65" t="n">
        <x:v>304472.8756177954</x:v>
      </x:c>
      <x:c r="R974" s="65" t="n">
        <x:v>109818.37773055893</x:v>
      </x:c>
      <x:c r="S974" s="65" t="n">
        <x:v>194654.49788723647</x:v>
      </x:c>
      <x:c r="T974" s="65" t="n">
        <x:v>206825.5508075495</x:v>
      </x:c>
      <x:c r="U974" s="43" t="n">
        <x:v>0.7988017273161473</x:v>
      </x:c>
      <x:c r="V974" s="43" t="n">
        <x:v>0.8325629684220401</x:v>
      </x:c>
      <x:c r="W974" s="43" t="n">
        <x:v>0.41762666610198174</x:v>
      </x:c>
      <x:c r="X974" s="65" t="n">
        <x:v>39444416.8514645</x:v>
      </x:c>
      <x:c r="Y974" s="65" t="n">
        <x:v>81.27358893813535</x:v>
      </x:c>
      <x:c r="Z974" s="65" t="n">
        <x:v>1327623.6629867293</x:v>
      </x:c>
      <x:c r="AA974" s="65" t="n">
        <x:v>221968.84749659078</x:v>
      </x:c>
      <x:c r="AB974" s="65" t="n">
        <x:v>1595.5691883623183</x:v>
      </x:c>
      <x:c r="AC974" s="65" t="n">
        <x:v>51.79133096045888</x:v>
      </x:c>
      <x:c r="AD974" s="65" t="n">
        <x:v>1777.7801095122873</x:v>
      </x:c>
      <x:c r="AE974" s="65" t="n">
        <x:v>136182.1261564858</x:v>
      </x:c>
      <x:c r="AF974" s="65" t="n">
        <x:v>206825.55080754962</x:v>
      </x:c>
      <x:c r="AG974" s="65" t="n">
        <x:v>0</x:v>
      </x:c>
      <x:c r="AH974" s="34" t="n">
        <x:v>0</x:v>
      </x:c>
    </x:row>
    <x:row r="975" ht="15" hidden="0" customHeight="1">
      <x:c r="A975" s="36" t="n">
        <x:v>243</x:v>
      </x:c>
      <x:c r="B975" s="36" t="str">
        <x:v>P2</x:v>
      </x:c>
      <x:c r="C975" s="36" t="str">
        <x:v>reference</x:v>
      </x:c>
      <x:c r="D975" s="75" t="n">
        <x:v>1.008895217454611</x:v>
      </x:c>
      <x:c r="E975" s="75" t="n">
        <x:v>0.03971747518145579</x:v>
      </x:c>
      <x:c r="F975" s="75" t="n">
        <x:v>0.7642150385508445</x:v>
      </x:c>
      <x:c r="G975" s="75" t="n">
        <x:v>1.0869455609329473</x:v>
      </x:c>
      <x:c r="H975" s="75" t="n">
        <x:v>1.0445993964305593</x:v>
      </x:c>
      <x:c r="I975" s="75" t="n">
        <x:v>1.0495428765059311</x:v>
      </x:c>
      <x:c r="J975" s="75" t="n">
        <x:v>0.8909771071912921</x:v>
      </x:c>
      <x:c r="K975" s="75" t="n">
        <x:v>0.9580750127053229</x:v>
      </x:c>
      <x:c r="L975" s="75" t="n">
        <x:v>0.8047656562460379</x:v>
      </x:c>
      <x:c r="M975" s="75" t="n">
        <x:v>0.8911228630529916</x:v>
      </x:c>
      <x:c r="N975" s="75" t="n">
        <x:v>0.9076792727894296</x:v>
      </x:c>
      <x:c r="O975" s="66" t="n">
        <x:v>485328.8425774971</x:v>
      </x:c>
      <x:c r="P975" s="66" t="n">
        <x:v>262005.00192359896</x:v>
      </x:c>
      <x:c r="Q975" s="66" t="n">
        <x:v>223323.84065389822</x:v>
      </x:c>
      <x:c r="R975" s="66" t="n">
        <x:v>109818.37773055893</x:v>
      </x:c>
      <x:c r="S975" s="66" t="n">
        <x:v>113505.46292333928</x:v>
      </x:c>
      <x:c r="T975" s="66" t="n">
        <x:v>143566.77036019406</x:v>
      </x:c>
      <x:c r="U975" s="45" t="n">
        <x:v>0.8356638565511</x:v>
      </x:c>
      <x:c r="V975" s="45" t="n">
        <x:v>0.8565978862977655</x:v>
      </x:c>
      <x:c r="W975" s="45" t="n">
        <x:v>0.5536052850897872</x:v>
      </x:c>
      <x:c r="X975" s="66" t="n">
        <x:v>28226266.863740306</x:v>
      </x:c>
      <x:c r="Y975" s="66" t="n">
        <x:v>58.159055031296944</x:v>
      </x:c>
      <x:c r="Z975" s="66" t="n">
        <x:v>932549.1534313991</x:v>
      </x:c>
      <x:c r="AA975" s="66" t="n">
        <x:v>165104.34293483553</x:v>
      </x:c>
      <x:c r="AB975" s="66" t="n">
        <x:v>0</x:v>
      </x:c>
      <x:c r="AC975" s="66" t="n">
        <x:v>8923.799420718471</x:v>
      </x:c>
      <x:c r="AD975" s="66" t="n">
        <x:v>1587.8906187069433</x:v>
      </x:c>
      <x:c r="AE975" s="66" t="n">
        <x:v>72767.78708261864</x:v>
      </x:c>
      <x:c r="AF975" s="66" t="n">
        <x:v>143566.7703601941</x:v>
      </x:c>
      <x:c r="AG975" s="66" t="n">
        <x:v>0</x:v>
      </x:c>
      <x:c r="AH975" s="36" t="n">
        <x:v>0</x:v>
      </x:c>
    </x:row>
    <x:row r="976" ht="15" hidden="0" customHeight="1">
      <x:c r="A976" s="34" t="n">
        <x:v>243</x:v>
      </x:c>
      <x:c r="B976" s="34" t="str">
        <x:v>H3</x:v>
      </x:c>
      <x:c r="C976" s="34" t="str">
        <x:v>reference</x:v>
      </x:c>
      <x:c r="D976" s="74" t="n">
        <x:v>1.008895217454611</x:v>
      </x:c>
      <x:c r="E976" s="74" t="n">
        <x:v>0.03971747518145579</x:v>
      </x:c>
      <x:c r="F976" s="74" t="n">
        <x:v>0.7642150385508445</x:v>
      </x:c>
      <x:c r="G976" s="74" t="n">
        <x:v>1.0869455609329473</x:v>
      </x:c>
      <x:c r="H976" s="74" t="n">
        <x:v>1.0445993964305593</x:v>
      </x:c>
      <x:c r="I976" s="74" t="n">
        <x:v>1.0495428765059311</x:v>
      </x:c>
      <x:c r="J976" s="74" t="n">
        <x:v>0.8909771071912921</x:v>
      </x:c>
      <x:c r="K976" s="74" t="n">
        <x:v>0.9580750127053229</x:v>
      </x:c>
      <x:c r="L976" s="74" t="n">
        <x:v>0.8047656562460379</x:v>
      </x:c>
      <x:c r="M976" s="74" t="n">
        <x:v>0.8911228630529916</x:v>
      </x:c>
      <x:c r="N976" s="74" t="n">
        <x:v>0.9076792727894296</x:v>
      </x:c>
      <x:c r="O976" s="65" t="n">
        <x:v>485328.8425774971</x:v>
      </x:c>
      <x:c r="P976" s="65" t="n">
        <x:v>271792.78160674067</x:v>
      </x:c>
      <x:c r="Q976" s="65" t="n">
        <x:v>213536.06097075646</x:v>
      </x:c>
      <x:c r="R976" s="65" t="n">
        <x:v>109818.37773055893</x:v>
      </x:c>
      <x:c r="S976" s="65" t="n">
        <x:v>103717.68324019753</x:v>
      </x:c>
      <x:c r="T976" s="65" t="n">
        <x:v>211969.4867064224</x:v>
      </x:c>
      <x:c r="U976" s="43" t="n">
        <x:v>0.9967721385442203</x:v>
      </x:c>
      <x:c r="V976" s="43" t="n">
        <x:v>0.9979669795070506</x:v>
      </x:c>
      <x:c r="W976" s="43" t="n">
        <x:v>0.9677213854422039</x:v>
      </x:c>
      <x:c r="X976" s="65" t="n">
        <x:v>20793763.786403667</x:v>
      </x:c>
      <x:c r="Y976" s="65" t="n">
        <x:v>42.84468995490069</x:v>
      </x:c>
      <x:c r="Z976" s="65" t="n">
        <x:v>1597075.4971672667</x:v>
      </x:c>
      <x:c r="AA976" s="65" t="n">
        <x:v>129229.83620839045</x:v>
      </x:c>
      <x:c r="AB976" s="65" t="n">
        <x:v>3652.1694884317494</x:v>
      </x:c>
      <x:c r="AC976" s="65" t="n">
        <x:v>4776.194537009938</x:v>
      </x:c>
      <x:c r="AD976" s="65" t="n">
        <x:v>1566.574264334038</x:v>
      </x:c>
      <x:c r="AE976" s="65" t="n">
        <x:v>94334.25295291234</x:v>
      </x:c>
      <x:c r="AF976" s="65" t="n">
        <x:v>211969.4867064224</x:v>
      </x:c>
      <x:c r="AG976" s="65" t="n">
        <x:v>0</x:v>
      </x:c>
      <x:c r="AH976" s="34" t="n">
        <x:v>1</x:v>
      </x:c>
    </x:row>
    <x:row r="977" ht="15" hidden="0" customHeight="1">
      <x:c r="A977" s="36" t="n">
        <x:v>244</x:v>
      </x:c>
      <x:c r="B977" s="36" t="str">
        <x:v>M0</x:v>
      </x:c>
      <x:c r="C977" s="36" t="str">
        <x:v>fast</x:v>
      </x:c>
      <x:c r="D977" s="75" t="n">
        <x:v>1.1780165146070147</x:v>
      </x:c>
      <x:c r="E977" s="75" t="n">
        <x:v>0.04373296018731641</x:v>
      </x:c>
      <x:c r="F977" s="75" t="n">
        <x:v>0.9481777337023856</x:v>
      </x:c>
      <x:c r="G977" s="75" t="n">
        <x:v>0.9238761530213595</x:v>
      </x:c>
      <x:c r="H977" s="75" t="n">
        <x:v>0.7689800903110061</x:v>
      </x:c>
      <x:c r="I977" s="75" t="n">
        <x:v>0.7642868701721918</x:v>
      </x:c>
      <x:c r="J977" s="75" t="n">
        <x:v>0.9350456967621716</x:v>
      </x:c>
      <x:c r="K977" s="75" t="n">
        <x:v>0.9009187471345704</x:v>
      </x:c>
      <x:c r="L977" s="75" t="n">
        <x:v>0.9763858698375819</x:v>
      </x:c>
      <x:c r="M977" s="75" t="n">
        <x:v>1.0879292065721669</x:v>
      </x:c>
      <x:c r="N977" s="75" t="n">
        <x:v>1.028485087442846</x:v>
      </x:c>
      <x:c r="O977" s="66" t="n">
        <x:v>566684.6087484015</x:v>
      </x:c>
      <x:c r="P977" s="66" t="n">
        <x:v>77053.29275600283</x:v>
      </x:c>
      <x:c r="Q977" s="66" t="n">
        <x:v>489631.31599239865</x:v>
      </x:c>
      <x:c r="R977" s="66" t="n">
        <x:v>130502.7668219646</x:v>
      </x:c>
      <x:c r="S977" s="66" t="n">
        <x:v>359128.54917043407</x:v>
      </x:c>
      <x:c r="T977" s="66" t="n">
        <x:v>235137.39085812817</x:v>
      </x:c>
      <x:c r="U977" s="45" t="n">
        <x:v>0.5509072926890423</x:v>
      </x:c>
      <x:c r="V977" s="45" t="n">
        <x:v>0.5836172308593924</x:v>
      </x:c>
      <x:c r="W977" s="45" t="n">
        <x:v>0.130566315658634</x:v>
      </x:c>
      <x:c r="X977" s="66" t="n">
        <x:v>68364631.52171005</x:v>
      </x:c>
      <x:c r="Y977" s="66" t="n">
        <x:v>120.63964763874998</x:v>
      </x:c>
      <x:c r="Z977" s="66" t="n">
        <x:v>5381074.421418151</x:v>
      </x:c>
      <x:c r="AA977" s="66" t="n">
        <x:v>369530.8691587098</x:v>
      </x:c>
      <x:c r="AB977" s="66" t="n">
        <x:v>50424.01985886531</x:v>
      </x:c>
      <x:c r="AC977" s="66" t="n">
        <x:v>0</x:v>
      </x:c>
      <x:c r="AD977" s="66" t="n">
        <x:v>2405.6955859246764</x:v>
      </x:c>
      <x:c r="AE977" s="66" t="n">
        <x:v>184119.236660867</x:v>
      </x:c>
      <x:c r="AF977" s="66" t="n">
        <x:v>235137.39085812823</x:v>
      </x:c>
      <x:c r="AG977" s="66" t="n">
        <x:v>0</x:v>
      </x:c>
      <x:c r="AH977" s="36" t="n">
        <x:v>0</x:v>
      </x:c>
    </x:row>
    <x:row r="978" ht="15" hidden="0" customHeight="1">
      <x:c r="A978" s="34" t="n">
        <x:v>244</x:v>
      </x:c>
      <x:c r="B978" s="34" t="str">
        <x:v>B1</x:v>
      </x:c>
      <x:c r="C978" s="34" t="str">
        <x:v>fast</x:v>
      </x:c>
      <x:c r="D978" s="74" t="n">
        <x:v>1.1780165146070147</x:v>
      </x:c>
      <x:c r="E978" s="74" t="n">
        <x:v>0.04373296018731641</x:v>
      </x:c>
      <x:c r="F978" s="74" t="n">
        <x:v>0.9481777337023856</x:v>
      </x:c>
      <x:c r="G978" s="74" t="n">
        <x:v>0.9238761530213595</x:v>
      </x:c>
      <x:c r="H978" s="74" t="n">
        <x:v>0.7689800903110061</x:v>
      </x:c>
      <x:c r="I978" s="74" t="n">
        <x:v>0.7642868701721918</x:v>
      </x:c>
      <x:c r="J978" s="74" t="n">
        <x:v>0.9350456967621716</x:v>
      </x:c>
      <x:c r="K978" s="74" t="n">
        <x:v>0.9009187471345704</x:v>
      </x:c>
      <x:c r="L978" s="74" t="n">
        <x:v>0.9763858698375819</x:v>
      </x:c>
      <x:c r="M978" s="74" t="n">
        <x:v>1.0879292065721669</x:v>
      </x:c>
      <x:c r="N978" s="74" t="n">
        <x:v>1.028485087442846</x:v>
      </x:c>
      <x:c r="O978" s="65" t="n">
        <x:v>566684.6087484015</x:v>
      </x:c>
      <x:c r="P978" s="65" t="n">
        <x:v>260646.77938864953</x:v>
      </x:c>
      <x:c r="Q978" s="65" t="n">
        <x:v>306037.82935975195</x:v>
      </x:c>
      <x:c r="R978" s="65" t="n">
        <x:v>130502.7668219646</x:v>
      </x:c>
      <x:c r="S978" s="65" t="n">
        <x:v>175535.06253778737</x:v>
      </x:c>
      <x:c r="T978" s="65" t="n">
        <x:v>170952.9948901682</x:v>
      </x:c>
      <x:c r="U978" s="43" t="n">
        <x:v>0.7616225456203289</x:v>
      </x:c>
      <x:c r="V978" s="43" t="n">
        <x:v>0.7757255466124794</x:v>
      </x:c>
      <x:c r="W978" s="43" t="n">
        <x:v>0.5002126379944567</x:v>
      </x:c>
      <x:c r="X978" s="65" t="n">
        <x:v>43415056.898592</x:v>
      </x:c>
      <x:c r="Y978" s="65" t="n">
        <x:v>76.61238055234982</x:v>
      </x:c>
      <x:c r="Z978" s="65" t="n">
        <x:v>2269692.6187815103</x:v>
      </x:c>
      <x:c r="AA978" s="65" t="n">
        <x:v>229357.71162101853</x:v>
      </x:c>
      <x:c r="AB978" s="65" t="n">
        <x:v>13797.192082685679</x:v>
      </x:c>
      <x:c r="AC978" s="65" t="n">
        <x:v>0</x:v>
      </x:c>
      <x:c r="AD978" s="65" t="n">
        <x:v>1954.8728986007495</x:v>
      </x:c>
      <x:c r="AE978" s="65" t="n">
        <x:v>122441.20820256959</x:v>
      </x:c>
      <x:c r="AF978" s="65" t="n">
        <x:v>170952.99489016825</x:v>
      </x:c>
      <x:c r="AG978" s="65" t="n">
        <x:v>0</x:v>
      </x:c>
      <x:c r="AH978" s="34" t="n">
        <x:v>0</x:v>
      </x:c>
    </x:row>
    <x:row r="979" ht="15" hidden="0" customHeight="1">
      <x:c r="A979" s="36" t="n">
        <x:v>244</x:v>
      </x:c>
      <x:c r="B979" s="36" t="str">
        <x:v>P2</x:v>
      </x:c>
      <x:c r="C979" s="36" t="str">
        <x:v>fast</x:v>
      </x:c>
      <x:c r="D979" s="75" t="n">
        <x:v>1.1780165146070147</x:v>
      </x:c>
      <x:c r="E979" s="75" t="n">
        <x:v>0.04373296018731641</x:v>
      </x:c>
      <x:c r="F979" s="75" t="n">
        <x:v>0.9481777337023856</x:v>
      </x:c>
      <x:c r="G979" s="75" t="n">
        <x:v>0.9238761530213595</x:v>
      </x:c>
      <x:c r="H979" s="75" t="n">
        <x:v>0.7689800903110061</x:v>
      </x:c>
      <x:c r="I979" s="75" t="n">
        <x:v>0.7642868701721918</x:v>
      </x:c>
      <x:c r="J979" s="75" t="n">
        <x:v>0.9350456967621716</x:v>
      </x:c>
      <x:c r="K979" s="75" t="n">
        <x:v>0.9009187471345704</x:v>
      </x:c>
      <x:c r="L979" s="75" t="n">
        <x:v>0.9763858698375819</x:v>
      </x:c>
      <x:c r="M979" s="75" t="n">
        <x:v>1.0879292065721669</x:v>
      </x:c>
      <x:c r="N979" s="75" t="n">
        <x:v>1.028485087442846</x:v>
      </x:c>
      <x:c r="O979" s="66" t="n">
        <x:v>566684.6087484015</x:v>
      </x:c>
      <x:c r="P979" s="66" t="n">
        <x:v>377597.61854742</x:v>
      </x:c>
      <x:c r="Q979" s="66" t="n">
        <x:v>189086.9902009815</x:v>
      </x:c>
      <x:c r="R979" s="66" t="n">
        <x:v>130502.7668219646</x:v>
      </x:c>
      <x:c r="S979" s="66" t="n">
        <x:v>58584.2233790169</x:v>
      </x:c>
      <x:c r="T979" s="66" t="n">
        <x:v>119811.78828768467</x:v>
      </x:c>
      <x:c r="U979" s="45" t="n">
        <x:v>0.8777535143114257</x:v>
      </x:c>
      <x:c r="V979" s="45" t="n">
        <x:v>0.8851311228796441</x:v>
      </x:c>
      <x:c r="W979" s="45" t="n">
        <x:v>0.7326009528010837</x:v>
      </x:c>
      <x:c r="X979" s="66" t="n">
        <x:v>24998181.231822</x:v>
      </x:c>
      <x:c r="Y979" s="66" t="n">
        <x:v>44.11304073889322</x:v>
      </x:c>
      <x:c r="Z979" s="66" t="n">
        <x:v>748903.534915794</x:v>
      </x:c>
      <x:c r="AA979" s="66" t="n">
        <x:v>140642.86513480934</x:v>
      </x:c>
      <x:c r="AB979" s="66" t="n">
        <x:v>13.643125235376488</x:v>
      </x:c>
      <x:c r="AC979" s="66" t="n">
        <x:v>0</x:v>
      </x:c>
      <x:c r="AD979" s="66" t="n">
        <x:v>1682.4717160949542</x:v>
      </x:c>
      <x:c r="AE979" s="66" t="n">
        <x:v>77001.7429872783</x:v>
      </x:c>
      <x:c r="AF979" s="66" t="n">
        <x:v>119811.78828768461</x:v>
      </x:c>
      <x:c r="AG979" s="66" t="n">
        <x:v>5.820766091346741e-11</x:v>
      </x:c>
      <x:c r="AH979" s="36" t="n">
        <x:v>0</x:v>
      </x:c>
    </x:row>
    <x:row r="980" ht="15" hidden="0" customHeight="1">
      <x:c r="A980" s="34" t="n">
        <x:v>244</x:v>
      </x:c>
      <x:c r="B980" s="34" t="str">
        <x:v>H3</x:v>
      </x:c>
      <x:c r="C980" s="34" t="str">
        <x:v>fast</x:v>
      </x:c>
      <x:c r="D980" s="74" t="n">
        <x:v>1.1780165146070147</x:v>
      </x:c>
      <x:c r="E980" s="74" t="n">
        <x:v>0.04373296018731641</x:v>
      </x:c>
      <x:c r="F980" s="74" t="n">
        <x:v>0.9481777337023856</x:v>
      </x:c>
      <x:c r="G980" s="74" t="n">
        <x:v>0.9238761530213595</x:v>
      </x:c>
      <x:c r="H980" s="74" t="n">
        <x:v>0.7689800903110061</x:v>
      </x:c>
      <x:c r="I980" s="74" t="n">
        <x:v>0.7642868701721918</x:v>
      </x:c>
      <x:c r="J980" s="74" t="n">
        <x:v>0.9350456967621716</x:v>
      </x:c>
      <x:c r="K980" s="74" t="n">
        <x:v>0.9009187471345704</x:v>
      </x:c>
      <x:c r="L980" s="74" t="n">
        <x:v>0.9763858698375819</x:v>
      </x:c>
      <x:c r="M980" s="74" t="n">
        <x:v>1.0879292065721669</x:v>
      </x:c>
      <x:c r="N980" s="74" t="n">
        <x:v>1.028485087442846</x:v>
      </x:c>
      <x:c r="O980" s="65" t="n">
        <x:v>566684.6087484015</x:v>
      </x:c>
      <x:c r="P980" s="65" t="n">
        <x:v>391703.6426530138</x:v>
      </x:c>
      <x:c r="Q980" s="65" t="n">
        <x:v>174980.9660953877</x:v>
      </x:c>
      <x:c r="R980" s="65" t="n">
        <x:v>130502.7668219646</x:v>
      </x:c>
      <x:c r="S980" s="65" t="n">
        <x:v>44478.1992734231</x:v>
      </x:c>
      <x:c r="T980" s="65" t="n">
        <x:v>173329.07321813877</x:v>
      </x:c>
      <x:c r="U980" s="43" t="n">
        <x:v>0.997084987219086</x:v>
      </x:c>
      <x:c r="V980" s="43" t="n">
        <x:v>0.9981640010903896</x:v>
      </x:c>
      <x:c r="W980" s="43" t="n">
        <x:v>0.9708498721908584</x:v>
      </x:c>
      <x:c r="X980" s="65" t="n">
        <x:v>18370071.28717063</x:v>
      </x:c>
      <x:c r="Y980" s="65" t="n">
        <x:v>32.416746464569385</x:v>
      </x:c>
      <x:c r="Z980" s="65" t="n">
        <x:v>1642046.4305349381</x:v>
      </x:c>
      <x:c r="AA980" s="65" t="n">
        <x:v>112143.44173589913</x:v>
      </x:c>
      <x:c r="AB980" s="65" t="n">
        <x:v>8583.606412249328</x:v>
      </x:c>
      <x:c r="AC980" s="65" t="n">
        <x:v>0</x:v>
      </x:c>
      <x:c r="AD980" s="65" t="n">
        <x:v>1651.8928772489207</x:v>
      </x:c>
      <x:c r="AE980" s="65" t="n">
        <x:v>53227.94758443866</x:v>
      </x:c>
      <x:c r="AF980" s="65" t="n">
        <x:v>173329.07321813877</x:v>
      </x:c>
      <x:c r="AG980" s="65" t="n">
        <x:v>0</x:v>
      </x:c>
      <x:c r="AH980" s="34" t="n">
        <x:v>1</x:v>
      </x:c>
    </x:row>
    <x:row r="981" ht="15" hidden="0" customHeight="1">
      <x:c r="A981" s="36" t="n">
        <x:v>245</x:v>
      </x:c>
      <x:c r="B981" s="36" t="str">
        <x:v>M0</x:v>
      </x:c>
      <x:c r="C981" s="36" t="str">
        <x:v>reference</x:v>
      </x:c>
      <x:c r="D981" s="75" t="n">
        <x:v>1.0145881238216197</x:v>
      </x:c>
      <x:c r="E981" s="75" t="n">
        <x:v>-0.0074481095279565895</x:v>
      </x:c>
      <x:c r="F981" s="75" t="n">
        <x:v>0.8848098646500147</x:v>
      </x:c>
      <x:c r="G981" s="75" t="n">
        <x:v>0.9178882143582061</x:v>
      </x:c>
      <x:c r="H981" s="75" t="n">
        <x:v>1.0548664673238446</x:v>
      </x:c>
      <x:c r="I981" s="75" t="n">
        <x:v>0.7513042029840209</x:v>
      </x:c>
      <x:c r="J981" s="75" t="n">
        <x:v>0.7941387974713636</x:v>
      </x:c>
      <x:c r="K981" s="75" t="n">
        <x:v>0.8006015637734473</x:v>
      </x:c>
      <x:c r="L981" s="75" t="n">
        <x:v>0.8715119777318058</x:v>
      </x:c>
      <x:c r="M981" s="75" t="n">
        <x:v>0.8722770867271236</x:v>
      </x:c>
      <x:c r="N981" s="75" t="n">
        <x:v>0.9443216788311432</x:v>
      </x:c>
      <x:c r="O981" s="66" t="n">
        <x:v>488067.41404676536</x:v>
      </x:c>
      <x:c r="P981" s="66" t="n">
        <x:v>66047.074815442</x:v>
      </x:c>
      <x:c r="Q981" s="66" t="n">
        <x:v>422020.33923132333</x:v>
      </x:c>
      <x:c r="R981" s="66" t="n">
        <x:v>87418.06637971487</x:v>
      </x:c>
      <x:c r="S981" s="66" t="n">
        <x:v>334602.27285160846</x:v>
      </x:c>
      <x:c r="T981" s="66" t="n">
        <x:v>258464.8146201108</x:v>
      </x:c>
      <x:c r="U981" s="45" t="n">
        <x:v>0.6648915295223108</x:v>
      </x:c>
      <x:c r="V981" s="45" t="n">
        <x:v>0.6863905628405654</x:v>
      </x:c>
      <x:c r="W981" s="45" t="n">
        <x:v>0.13217392792609228</x:v>
      </x:c>
      <x:c r="X981" s="66" t="n">
        <x:v>55376701.68741638</x:v>
      </x:c>
      <x:c r="Y981" s="66" t="n">
        <x:v>113.4611737920908</x:v>
      </x:c>
      <x:c r="Z981" s="66" t="n">
        <x:v>6481135.772504597</x:v>
      </x:c>
      <x:c r="AA981" s="66" t="n">
        <x:v>293609.04032715387</x:v>
      </x:c>
      <x:c r="AB981" s="66" t="n">
        <x:v>61230.418823001855</x:v>
      </x:c>
      <x:c r="AC981" s="66" t="n">
        <x:v>2150.251866917344</x:v>
      </x:c>
      <x:c r="AD981" s="66" t="n">
        <x:v>2063.250642486136</x:v>
      </x:c>
      <x:c r="AE981" s="66" t="n">
        <x:v>204071.88591943696</x:v>
      </x:c>
      <x:c r="AF981" s="66" t="n">
        <x:v>258464.81462011064</x:v>
      </x:c>
      <x:c r="AG981" s="66" t="n">
        <x:v>1.4551915228366852e-10</x:v>
      </x:c>
      <x:c r="AH981" s="36" t="n">
        <x:v>0</x:v>
      </x:c>
    </x:row>
    <x:row r="982" ht="15" hidden="0" customHeight="1">
      <x:c r="A982" s="34" t="n">
        <x:v>245</x:v>
      </x:c>
      <x:c r="B982" s="34" t="str">
        <x:v>B1</x:v>
      </x:c>
      <x:c r="C982" s="34" t="str">
        <x:v>reference</x:v>
      </x:c>
      <x:c r="D982" s="74" t="n">
        <x:v>1.0145881238216197</x:v>
      </x:c>
      <x:c r="E982" s="74" t="n">
        <x:v>-0.0074481095279565895</x:v>
      </x:c>
      <x:c r="F982" s="74" t="n">
        <x:v>0.8848098646500147</x:v>
      </x:c>
      <x:c r="G982" s="74" t="n">
        <x:v>0.9178882143582061</x:v>
      </x:c>
      <x:c r="H982" s="74" t="n">
        <x:v>1.0548664673238446</x:v>
      </x:c>
      <x:c r="I982" s="74" t="n">
        <x:v>0.7513042029840209</x:v>
      </x:c>
      <x:c r="J982" s="74" t="n">
        <x:v>0.7941387974713636</x:v>
      </x:c>
      <x:c r="K982" s="74" t="n">
        <x:v>0.8006015637734473</x:v>
      </x:c>
      <x:c r="L982" s="74" t="n">
        <x:v>0.8715119777318058</x:v>
      </x:c>
      <x:c r="M982" s="74" t="n">
        <x:v>0.8722770867271236</x:v>
      </x:c>
      <x:c r="N982" s="74" t="n">
        <x:v>0.9443216788311432</x:v>
      </x:c>
      <x:c r="O982" s="65" t="n">
        <x:v>488067.41404676536</x:v>
      </x:c>
      <x:c r="P982" s="65" t="n">
        <x:v>223414.67573503277</x:v>
      </x:c>
      <x:c r="Q982" s="65" t="n">
        <x:v>264652.7383117326</x:v>
      </x:c>
      <x:c r="R982" s="65" t="n">
        <x:v>87418.06637971487</x:v>
      </x:c>
      <x:c r="S982" s="65" t="n">
        <x:v>177234.67193201772</x:v>
      </x:c>
      <x:c r="T982" s="65" t="n">
        <x:v>191792.63508243184</x:v>
      </x:c>
      <x:c r="U982" s="43" t="n">
        <x:v>0.850717132239606</x:v>
      </x:c>
      <x:c r="V982" s="43" t="n">
        <x:v>0.8592756438848899</x:v>
      </x:c>
      <x:c r="W982" s="43" t="n">
        <x:v>0.4934668393110249</x:v>
      </x:c>
      <x:c r="X982" s="65" t="n">
        <x:v>34483399.38723303</x:v>
      </x:c>
      <x:c r="Y982" s="65" t="n">
        <x:v>70.65294341475727</x:v>
      </x:c>
      <x:c r="Z982" s="65" t="n">
        <x:v>3534608.917714161</x:v>
      </x:c>
      <x:c r="AA982" s="65" t="n">
        <x:v>179199.93970520032</x:v>
      </x:c>
      <x:c r="AB982" s="65" t="n">
        <x:v>29158.353282897482</x:v>
      </x:c>
      <x:c r="AC982" s="65" t="n">
        <x:v>5367.346318937523</x:v>
      </x:c>
      <x:c r="AD982" s="65" t="n">
        <x:v>1655.274647855887</x:v>
      </x:c>
      <x:c r="AE982" s="65" t="n">
        <x:v>119517.39202474283</x:v>
      </x:c>
      <x:c r="AF982" s="65" t="n">
        <x:v>191792.63508243187</x:v>
      </x:c>
      <x:c r="AG982" s="65" t="n">
        <x:v>0</x:v>
      </x:c>
      <x:c r="AH982" s="34" t="n">
        <x:v>0</x:v>
      </x:c>
    </x:row>
    <x:row r="983" ht="15" hidden="0" customHeight="1">
      <x:c r="A983" s="36" t="n">
        <x:v>245</x:v>
      </x:c>
      <x:c r="B983" s="36" t="str">
        <x:v>P2</x:v>
      </x:c>
      <x:c r="C983" s="36" t="str">
        <x:v>reference</x:v>
      </x:c>
      <x:c r="D983" s="75" t="n">
        <x:v>1.0145881238216197</x:v>
      </x:c>
      <x:c r="E983" s="75" t="n">
        <x:v>-0.0074481095279565895</x:v>
      </x:c>
      <x:c r="F983" s="75" t="n">
        <x:v>0.8848098646500147</x:v>
      </x:c>
      <x:c r="G983" s="75" t="n">
        <x:v>0.9178882143582061</x:v>
      </x:c>
      <x:c r="H983" s="75" t="n">
        <x:v>1.0548664673238446</x:v>
      </x:c>
      <x:c r="I983" s="75" t="n">
        <x:v>0.7513042029840209</x:v>
      </x:c>
      <x:c r="J983" s="75" t="n">
        <x:v>0.7941387974713636</x:v>
      </x:c>
      <x:c r="K983" s="75" t="n">
        <x:v>0.8006015637734473</x:v>
      </x:c>
      <x:c r="L983" s="75" t="n">
        <x:v>0.8715119777318058</x:v>
      </x:c>
      <x:c r="M983" s="75" t="n">
        <x:v>0.8722770867271236</x:v>
      </x:c>
      <x:c r="N983" s="75" t="n">
        <x:v>0.9443216788311432</x:v>
      </x:c>
      <x:c r="O983" s="66" t="n">
        <x:v>488067.41404676536</x:v>
      </x:c>
      <x:c r="P983" s="66" t="n">
        <x:v>323658.38532779267</x:v>
      </x:c>
      <x:c r="Q983" s="66" t="n">
        <x:v>164409.02871897267</x:v>
      </x:c>
      <x:c r="R983" s="66" t="n">
        <x:v>87418.06637971487</x:v>
      </x:c>
      <x:c r="S983" s="66" t="n">
        <x:v>76990.96233925778</x:v>
      </x:c>
      <x:c r="T983" s="66" t="n">
        <x:v>120090.23398639206</x:v>
      </x:c>
      <x:c r="U983" s="45" t="n">
        <x:v>0.909195341755936</x:v>
      </x:c>
      <x:c r="V983" s="45" t="n">
        <x:v>0.9248120946390642</x:v>
      </x:c>
      <x:c r="W983" s="45" t="n">
        <x:v>0.4822441114425474</x:v>
      </x:c>
      <x:c r="X983" s="66" t="n">
        <x:v>19308428.482212443</x:v>
      </x:c>
      <x:c r="Y983" s="66" t="n">
        <x:v>39.560986713123114</x:v>
      </x:c>
      <x:c r="Z983" s="66" t="n">
        <x:v>1728889.8868311169</x:v>
      </x:c>
      <x:c r="AA983" s="66" t="n">
        <x:v>108170.10577484148</x:v>
      </x:c>
      <x:c r="AB983" s="66" t="n">
        <x:v>991.5181103283197</x:v>
      </x:c>
      <x:c r="AC983" s="66" t="n">
        <x:v>38440.39759994095</x:v>
      </x:c>
      <x:c r="AD983" s="66" t="n">
        <x:v>1408.7627785643447</x:v>
      </x:c>
      <x:c r="AE983" s="66" t="n">
        <x:v>46433.14303756296</x:v>
      </x:c>
      <x:c r="AF983" s="66" t="n">
        <x:v>120090.23398639198</x:v>
      </x:c>
      <x:c r="AG983" s="66" t="n">
        <x:v>8.731149137020111e-11</x:v>
      </x:c>
      <x:c r="AH983" s="36" t="n">
        <x:v>0</x:v>
      </x:c>
    </x:row>
    <x:row r="984" ht="15" hidden="0" customHeight="1">
      <x:c r="A984" s="34" t="n">
        <x:v>245</x:v>
      </x:c>
      <x:c r="B984" s="34" t="str">
        <x:v>H3</x:v>
      </x:c>
      <x:c r="C984" s="34" t="str">
        <x:v>reference</x:v>
      </x:c>
      <x:c r="D984" s="74" t="n">
        <x:v>1.0145881238216197</x:v>
      </x:c>
      <x:c r="E984" s="74" t="n">
        <x:v>-0.0074481095279565895</x:v>
      </x:c>
      <x:c r="F984" s="74" t="n">
        <x:v>0.8848098646500147</x:v>
      </x:c>
      <x:c r="G984" s="74" t="n">
        <x:v>0.9178882143582061</x:v>
      </x:c>
      <x:c r="H984" s="74" t="n">
        <x:v>1.0548664673238446</x:v>
      </x:c>
      <x:c r="I984" s="74" t="n">
        <x:v>0.7513042029840209</x:v>
      </x:c>
      <x:c r="J984" s="74" t="n">
        <x:v>0.7941387974713636</x:v>
      </x:c>
      <x:c r="K984" s="74" t="n">
        <x:v>0.8006015637734473</x:v>
      </x:c>
      <x:c r="L984" s="74" t="n">
        <x:v>0.8715119777318058</x:v>
      </x:c>
      <x:c r="M984" s="74" t="n">
        <x:v>0.8722770867271236</x:v>
      </x:c>
      <x:c r="N984" s="74" t="n">
        <x:v>0.9443216788311432</x:v>
      </x:c>
      <x:c r="O984" s="65" t="n">
        <x:v>488067.41404676536</x:v>
      </x:c>
      <x:c r="P984" s="65" t="n">
        <x:v>335749.12744048605</x:v>
      </x:c>
      <x:c r="Q984" s="65" t="n">
        <x:v>152318.28660627935</x:v>
      </x:c>
      <x:c r="R984" s="65" t="n">
        <x:v>87418.06637971487</x:v>
      </x:c>
      <x:c r="S984" s="65" t="n">
        <x:v>64900.220226564445</x:v>
      </x:c>
      <x:c r="T984" s="65" t="n">
        <x:v>150937.19641949804</x:v>
      </x:c>
      <x:c r="U984" s="43" t="n">
        <x:v>0.9971702880646546</x:v>
      </x:c>
      <x:c r="V984" s="43" t="n">
        <x:v>0.998217720696718</x:v>
      </x:c>
      <x:c r="W984" s="43" t="n">
        <x:v>0.971702880646546</x:v>
      </x:c>
      <x:c r="X984" s="65" t="n">
        <x:v>15287793.59088992</x:v>
      </x:c>
      <x:c r="Y984" s="65" t="n">
        <x:v>31.323118796505195</x:v>
      </x:c>
      <x:c r="Z984" s="65" t="n">
        <x:v>1325745.9666987248</x:v>
      </x:c>
      <x:c r="AA984" s="65" t="n">
        <x:v>90771.38272539686</x:v>
      </x:c>
      <x:c r="AB984" s="65" t="n">
        <x:v>10044.507896438747</x:v>
      </x:c>
      <x:c r="AC984" s="65" t="n">
        <x:v>1771.001563086671</x:v>
      </x:c>
      <x:c r="AD984" s="65" t="n">
        <x:v>1381.0901867813036</x:v>
      </x:c>
      <x:c r="AE984" s="65" t="n">
        <x:v>63083.41261608449</x:v>
      </x:c>
      <x:c r="AF984" s="65" t="n">
        <x:v>150937.19641949795</x:v>
      </x:c>
      <x:c r="AG984" s="65" t="n">
        <x:v>8.731149137020111e-11</x:v>
      </x:c>
      <x:c r="AH984" s="34" t="n">
        <x:v>1</x:v>
      </x:c>
    </x:row>
    <x:row r="985" ht="15" hidden="0" customHeight="1">
      <x:c r="A985" s="36" t="n">
        <x:v>246</x:v>
      </x:c>
      <x:c r="B985" s="36" t="str">
        <x:v>M0</x:v>
      </x:c>
      <x:c r="C985" s="36" t="str">
        <x:v>fast</x:v>
      </x:c>
      <x:c r="D985" s="75" t="n">
        <x:v>1.0974052197560642</x:v>
      </x:c>
      <x:c r="E985" s="75" t="n">
        <x:v>0.028417409398788486</x:v>
      </x:c>
      <x:c r="F985" s="75" t="n">
        <x:v>0.9607177810372984</x:v>
      </x:c>
      <x:c r="G985" s="75" t="n">
        <x:v>1.005735935485373</x:v>
      </x:c>
      <x:c r="H985" s="75" t="n">
        <x:v>1.005539897844299</x:v>
      </x:c>
      <x:c r="I985" s="75" t="n">
        <x:v>0.7975266238303708</x:v>
      </x:c>
      <x:c r="J985" s="75" t="n">
        <x:v>0.7629238970430197</x:v>
      </x:c>
      <x:c r="K985" s="75" t="n">
        <x:v>0.825518364905512</x:v>
      </x:c>
      <x:c r="L985" s="75" t="n">
        <x:v>0.9941577539296567</x:v>
      </x:c>
      <x:c r="M985" s="75" t="n">
        <x:v>0.8682851357867464</x:v>
      </x:c>
      <x:c r="N985" s="75" t="n">
        <x:v>0.9741988965364753</x:v>
      </x:c>
      <x:c r="O985" s="66" t="n">
        <x:v>527906.5614826106</x:v>
      </x:c>
      <x:c r="P985" s="66" t="n">
        <x:v>74177.34239700052</x:v>
      </x:c>
      <x:c r="Q985" s="66" t="n">
        <x:v>453729.2190856101</x:v>
      </x:c>
      <x:c r="R985" s="66" t="n">
        <x:v>113487.32430450842</x:v>
      </x:c>
      <x:c r="S985" s="66" t="n">
        <x:v>340241.8947811018</x:v>
      </x:c>
      <x:c r="T985" s="66" t="n">
        <x:v>278706.55782985536</x:v>
      </x:c>
      <x:c r="U985" s="45" t="n">
        <x:v>0.6684590152389684</x:v>
      </x:c>
      <x:c r="V985" s="45" t="n">
        <x:v>0.6830205214597731</x:v>
      </x:c>
      <x:c r="W985" s="45" t="n">
        <x:v>0.13992481345882174</x:v>
      </x:c>
      <x:c r="X985" s="66" t="n">
        <x:v>59630645.77285464</x:v>
      </x:c>
      <x:c r="Y985" s="66" t="n">
        <x:v>112.95681873205679</x:v>
      </x:c>
      <x:c r="Z985" s="66" t="n">
        <x:v>7353795.383298969</x:v>
      </x:c>
      <x:c r="AA985" s="66" t="n">
        <x:v>314600.17975935224</x:v>
      </x:c>
      <x:c r="AB985" s="66" t="n">
        <x:v>66823.973522363</x:v>
      </x:c>
      <x:c r="AC985" s="66" t="n">
        <x:v>4080.8081513577035</x:v>
      </x:c>
      <x:c r="AD985" s="66" t="n">
        <x:v>2231.5375108319004</x:v>
      </x:c>
      <x:c r="AE985" s="66" t="n">
        <x:v>222592.70138935436</x:v>
      </x:c>
      <x:c r="AF985" s="66" t="n">
        <x:v>278706.55782985524</x:v>
      </x:c>
      <x:c r="AG985" s="66" t="n">
        <x:v>1.1641532182693481e-10</x:v>
      </x:c>
      <x:c r="AH985" s="36" t="n">
        <x:v>0</x:v>
      </x:c>
    </x:row>
    <x:row r="986" ht="15" hidden="0" customHeight="1">
      <x:c r="A986" s="34" t="n">
        <x:v>246</x:v>
      </x:c>
      <x:c r="B986" s="34" t="str">
        <x:v>B1</x:v>
      </x:c>
      <x:c r="C986" s="34" t="str">
        <x:v>fast</x:v>
      </x:c>
      <x:c r="D986" s="74" t="n">
        <x:v>1.0974052197560642</x:v>
      </x:c>
      <x:c r="E986" s="74" t="n">
        <x:v>0.028417409398788486</x:v>
      </x:c>
      <x:c r="F986" s="74" t="n">
        <x:v>0.9607177810372984</x:v>
      </x:c>
      <x:c r="G986" s="74" t="n">
        <x:v>1.005735935485373</x:v>
      </x:c>
      <x:c r="H986" s="74" t="n">
        <x:v>1.005539897844299</x:v>
      </x:c>
      <x:c r="I986" s="74" t="n">
        <x:v>0.7975266238303708</x:v>
      </x:c>
      <x:c r="J986" s="74" t="n">
        <x:v>0.7629238970430197</x:v>
      </x:c>
      <x:c r="K986" s="74" t="n">
        <x:v>0.825518364905512</x:v>
      </x:c>
      <x:c r="L986" s="74" t="n">
        <x:v>0.9941577539296567</x:v>
      </x:c>
      <x:c r="M986" s="74" t="n">
        <x:v>0.8682851357867464</x:v>
      </x:c>
      <x:c r="N986" s="74" t="n">
        <x:v>0.9741988965364753</x:v>
      </x:c>
      <x:c r="O986" s="65" t="n">
        <x:v>527906.5614826106</x:v>
      </x:c>
      <x:c r="P986" s="65" t="n">
        <x:v>250917.8026148872</x:v>
      </x:c>
      <x:c r="Q986" s="65" t="n">
        <x:v>276988.7588677235</x:v>
      </x:c>
      <x:c r="R986" s="65" t="n">
        <x:v>113487.32430450842</x:v>
      </x:c>
      <x:c r="S986" s="65" t="n">
        <x:v>163501.4345632151</x:v>
      </x:c>
      <x:c r="T986" s="65" t="n">
        <x:v>199196.86319665163</x:v>
      </x:c>
      <x:c r="U986" s="43" t="n">
        <x:v>0.852640786557766</x:v>
      </x:c>
      <x:c r="V986" s="43" t="n">
        <x:v>0.858543981353413</x:v>
      </x:c>
      <x:c r="W986" s="43" t="n">
        <x:v>0.5283703224629049</x:v>
      </x:c>
      <x:c r="X986" s="65" t="n">
        <x:v>36498111.82023123</x:v>
      </x:c>
      <x:c r="Y986" s="65" t="n">
        <x:v>69.1374468196177</x:v>
      </x:c>
      <x:c r="Z986" s="65" t="n">
        <x:v>3825288.0226649498</x:v>
      </x:c>
      <x:c r="AA986" s="65" t="n">
        <x:v>185960.5142083801</x:v>
      </x:c>
      <x:c r="AB986" s="65" t="n">
        <x:v>28347.90668966851</x:v>
      </x:c>
      <x:c r="AC986" s="65" t="n">
        <x:v>8904.801179408816</x:v>
      </x:c>
      <x:c r="AD986" s="65" t="n">
        <x:v>1789.9685266165152</x:v>
      </x:c>
      <x:c r="AE986" s="65" t="n">
        <x:v>131926.2636173623</x:v>
      </x:c>
      <x:c r="AF986" s="65" t="n">
        <x:v>199196.86319665148</x:v>
      </x:c>
      <x:c r="AG986" s="65" t="n">
        <x:v>1.4551915228366852e-10</x:v>
      </x:c>
      <x:c r="AH986" s="34" t="n">
        <x:v>0</x:v>
      </x:c>
    </x:row>
    <x:row r="987" ht="15" hidden="0" customHeight="1">
      <x:c r="A987" s="36" t="n">
        <x:v>246</x:v>
      </x:c>
      <x:c r="B987" s="36" t="str">
        <x:v>P2</x:v>
      </x:c>
      <x:c r="C987" s="36" t="str">
        <x:v>fast</x:v>
      </x:c>
      <x:c r="D987" s="75" t="n">
        <x:v>1.0974052197560642</x:v>
      </x:c>
      <x:c r="E987" s="75" t="n">
        <x:v>0.028417409398788486</x:v>
      </x:c>
      <x:c r="F987" s="75" t="n">
        <x:v>0.9607177810372984</x:v>
      </x:c>
      <x:c r="G987" s="75" t="n">
        <x:v>1.005735935485373</x:v>
      </x:c>
      <x:c r="H987" s="75" t="n">
        <x:v>1.005539897844299</x:v>
      </x:c>
      <x:c r="I987" s="75" t="n">
        <x:v>0.7975266238303708</x:v>
      </x:c>
      <x:c r="J987" s="75" t="n">
        <x:v>0.7629238970430197</x:v>
      </x:c>
      <x:c r="K987" s="75" t="n">
        <x:v>0.825518364905512</x:v>
      </x:c>
      <x:c r="L987" s="75" t="n">
        <x:v>0.9941577539296567</x:v>
      </x:c>
      <x:c r="M987" s="75" t="n">
        <x:v>0.8682851357867464</x:v>
      </x:c>
      <x:c r="N987" s="75" t="n">
        <x:v>0.9741988965364753</x:v>
      </x:c>
      <x:c r="O987" s="66" t="n">
        <x:v>527906.5614826106</x:v>
      </x:c>
      <x:c r="P987" s="66" t="n">
        <x:v>363502.8510598385</x:v>
      </x:c>
      <x:c r="Q987" s="66" t="n">
        <x:v>164403.71042277222</x:v>
      </x:c>
      <x:c r="R987" s="66" t="n">
        <x:v>113487.32430450842</x:v>
      </x:c>
      <x:c r="S987" s="66" t="n">
        <x:v>50916.3861182638</x:v>
      </x:c>
      <x:c r="T987" s="66" t="n">
        <x:v>123826.95584433287</x:v>
      </x:c>
      <x:c r="U987" s="45" t="n">
        <x:v>0.9231364837283313</x:v>
      </x:c>
      <x:c r="V987" s="45" t="n">
        <x:v>0.930085334561766</x:v>
      </x:c>
      <x:c r="W987" s="45" t="n">
        <x:v>0.7794278979252152</x:v>
      </x:c>
      <x:c r="X987" s="66" t="n">
        <x:v>19655388.781503692</x:v>
      </x:c>
      <x:c r="Y987" s="66" t="n">
        <x:v>37.23270407229281</x:v>
      </x:c>
      <x:c r="Z987" s="66" t="n">
        <x:v>1701116.9800733018</x:v>
      </x:c>
      <x:c r="AA987" s="66" t="n">
        <x:v>109342.87731593465</x:v>
      </x:c>
      <x:c r="AB987" s="66" t="n">
        <x:v>1026.0631331472512</x:v>
      </x:c>
      <x:c r="AC987" s="66" t="n">
        <x:v>32589.22882096144</x:v>
      </x:c>
      <x:c r="AD987" s="66" t="n">
        <x:v>1523.1587212534437</x:v>
      </x:c>
      <x:c r="AE987" s="66" t="n">
        <x:v>69731.19344809625</x:v>
      </x:c>
      <x:c r="AF987" s="66" t="n">
        <x:v>123826.95584433287</x:v>
      </x:c>
      <x:c r="AG987" s="66" t="n">
        <x:v>0</x:v>
      </x:c>
      <x:c r="AH987" s="36" t="n">
        <x:v>0</x:v>
      </x:c>
    </x:row>
    <x:row r="988" ht="15" hidden="0" customHeight="1">
      <x:c r="A988" s="34" t="n">
        <x:v>246</x:v>
      </x:c>
      <x:c r="B988" s="34" t="str">
        <x:v>H3</x:v>
      </x:c>
      <x:c r="C988" s="34" t="str">
        <x:v>fast</x:v>
      </x:c>
      <x:c r="D988" s="74" t="n">
        <x:v>1.0974052197560642</x:v>
      </x:c>
      <x:c r="E988" s="74" t="n">
        <x:v>0.028417409398788486</x:v>
      </x:c>
      <x:c r="F988" s="74" t="n">
        <x:v>0.9607177810372984</x:v>
      </x:c>
      <x:c r="G988" s="74" t="n">
        <x:v>1.005735935485373</x:v>
      </x:c>
      <x:c r="H988" s="74" t="n">
        <x:v>1.005539897844299</x:v>
      </x:c>
      <x:c r="I988" s="74" t="n">
        <x:v>0.7975266238303708</x:v>
      </x:c>
      <x:c r="J988" s="74" t="n">
        <x:v>0.7629238970430197</x:v>
      </x:c>
      <x:c r="K988" s="74" t="n">
        <x:v>0.825518364905512</x:v>
      </x:c>
      <x:c r="L988" s="74" t="n">
        <x:v>0.9941577539296567</x:v>
      </x:c>
      <x:c r="M988" s="74" t="n">
        <x:v>0.8682851357867464</x:v>
      </x:c>
      <x:c r="N988" s="74" t="n">
        <x:v>0.9741988965364753</x:v>
      </x:c>
      <x:c r="O988" s="65" t="n">
        <x:v>527906.5614826106</x:v>
      </x:c>
      <x:c r="P988" s="65" t="n">
        <x:v>377082.24203722086</x:v>
      </x:c>
      <x:c r="Q988" s="65" t="n">
        <x:v>150824.3194453899</x:v>
      </x:c>
      <x:c r="R988" s="65" t="n">
        <x:v>113487.32430450842</x:v>
      </x:c>
      <x:c r="S988" s="65" t="n">
        <x:v>37336.995140881496</x:v>
      </x:c>
      <x:c r="T988" s="65" t="n">
        <x:v>149331.11189382558</x:v>
      </x:c>
      <x:c r="U988" s="43" t="n">
        <x:v>0.9971714548359265</x:v>
      </x:c>
      <x:c r="V988" s="43" t="n">
        <x:v>0.99821845549006</x:v>
      </x:c>
      <x:c r="W988" s="43" t="n">
        <x:v>0.9717145483592641</x:v>
      </x:c>
      <x:c r="X988" s="65" t="n">
        <x:v>13949696.617157556</x:v>
      </x:c>
      <x:c r="Y988" s="65" t="n">
        <x:v>26.424556228246583</x:v>
      </x:c>
      <x:c r="Z988" s="65" t="n">
        <x:v>1961969.7270220097</x:v>
      </x:c>
      <x:c r="AA988" s="65" t="n">
        <x:v>91993.69715344635</x:v>
      </x:c>
      <x:c r="AB988" s="65" t="n">
        <x:v>18235.512887789428</x:v>
      </x:c>
      <x:c r="AC988" s="65" t="n">
        <x:v>3614.8602273492534</x:v>
      </x:c>
      <x:c r="AD988" s="65" t="n">
        <x:v>1493.207551564357</x:v>
      </x:c>
      <x:c r="AE988" s="65" t="n">
        <x:v>68204.66646770685</x:v>
      </x:c>
      <x:c r="AF988" s="65" t="n">
        <x:v>149331.11189382555</x:v>
      </x:c>
      <x:c r="AG988" s="65" t="n">
        <x:v>2.9103830456733704e-11</x:v>
      </x:c>
      <x:c r="AH988" s="34" t="n">
        <x:v>1</x:v>
      </x:c>
    </x:row>
    <x:row r="989" ht="15" hidden="0" customHeight="1">
      <x:c r="A989" s="36" t="n">
        <x:v>247</x:v>
      </x:c>
      <x:c r="B989" s="36" t="str">
        <x:v>M0</x:v>
      </x:c>
      <x:c r="C989" s="36" t="str">
        <x:v>reference</x:v>
      </x:c>
      <x:c r="D989" s="75" t="n">
        <x:v>0.9918669098208572</x:v>
      </x:c>
      <x:c r="E989" s="75" t="n">
        <x:v>0.05662669597664733</x:v>
      </x:c>
      <x:c r="F989" s="75" t="n">
        <x:v>0.8593244882608313</x:v>
      </x:c>
      <x:c r="G989" s="75" t="n">
        <x:v>1.3314698890579875</x:v>
      </x:c>
      <x:c r="H989" s="75" t="n">
        <x:v>0.7879911531390313</x:v>
      </x:c>
      <x:c r="I989" s="75" t="n">
        <x:v>0.8186797231222077</x:v>
      </x:c>
      <x:c r="J989" s="75" t="n">
        <x:v>0.8987432840136182</x:v>
      </x:c>
      <x:c r="K989" s="75" t="n">
        <x:v>0.7708473339885826</x:v>
      </x:c>
      <x:c r="L989" s="75" t="n">
        <x:v>1.0114445518978146</x:v>
      </x:c>
      <x:c r="M989" s="75" t="n">
        <x:v>0.9934150416687393</x:v>
      </x:c>
      <x:c r="N989" s="75" t="n">
        <x:v>0.802433699766027</x:v>
      </x:c>
      <x:c r="O989" s="66" t="n">
        <x:v>477137.3785959414</x:v>
      </x:c>
      <x:c r="P989" s="66" t="n">
        <x:v>57812.60214163865</x:v>
      </x:c>
      <x:c r="Q989" s="66" t="n">
        <x:v>419324.7764543027</x:v>
      </x:c>
      <x:c r="R989" s="66" t="n">
        <x:v>116032.86547890278</x:v>
      </x:c>
      <x:c r="S989" s="66" t="n">
        <x:v>303291.9109754</x:v>
      </x:c>
      <x:c r="T989" s="66" t="n">
        <x:v>244694.1216537796</x:v>
      </x:c>
      <x:c r="U989" s="45" t="n">
        <x:v>0.6340034073322787</x:v>
      </x:c>
      <x:c r="V989" s="45" t="n">
        <x:v>0.6640708760555307</x:v>
      </x:c>
      <x:c r="W989" s="45" t="n">
        <x:v>0.12142792838342163</x:v>
      </x:c>
      <x:c r="X989" s="66" t="n">
        <x:v>55293305.89531168</x:v>
      </x:c>
      <x:c r="Y989" s="66" t="n">
        <x:v>115.88550462766452</x:v>
      </x:c>
      <x:c r="Z989" s="66" t="n">
        <x:v>5023402.866721331</x:v>
      </x:c>
      <x:c r="AA989" s="66" t="n">
        <x:v>300447.06700287724</x:v>
      </x:c>
      <x:c r="AB989" s="66" t="n">
        <x:v>43384.217792884694</x:v>
      </x:c>
      <x:c r="AC989" s="66" t="n">
        <x:v>0</x:v>
      </x:c>
      <x:c r="AD989" s="66" t="n">
        <x:v>2046.0787771211515</x:v>
      </x:c>
      <x:c r="AE989" s="66" t="n">
        <x:v>198473.94054725647</x:v>
      </x:c>
      <x:c r="AF989" s="66" t="n">
        <x:v>244694.12165377953</x:v>
      </x:c>
      <x:c r="AG989" s="66" t="n">
        <x:v>8.731149137020111e-11</x:v>
      </x:c>
      <x:c r="AH989" s="36" t="n">
        <x:v>0</x:v>
      </x:c>
    </x:row>
    <x:row r="990" ht="15" hidden="0" customHeight="1">
      <x:c r="A990" s="34" t="n">
        <x:v>247</x:v>
      </x:c>
      <x:c r="B990" s="34" t="str">
        <x:v>B1</x:v>
      </x:c>
      <x:c r="C990" s="34" t="str">
        <x:v>reference</x:v>
      </x:c>
      <x:c r="D990" s="74" t="n">
        <x:v>0.9918669098208572</x:v>
      </x:c>
      <x:c r="E990" s="74" t="n">
        <x:v>0.05662669597664733</x:v>
      </x:c>
      <x:c r="F990" s="74" t="n">
        <x:v>0.8593244882608313</x:v>
      </x:c>
      <x:c r="G990" s="74" t="n">
        <x:v>1.3314698890579875</x:v>
      </x:c>
      <x:c r="H990" s="74" t="n">
        <x:v>0.7879911531390313</x:v>
      </x:c>
      <x:c r="I990" s="74" t="n">
        <x:v>0.8186797231222077</x:v>
      </x:c>
      <x:c r="J990" s="74" t="n">
        <x:v>0.8987432840136182</x:v>
      </x:c>
      <x:c r="K990" s="74" t="n">
        <x:v>0.7708473339885826</x:v>
      </x:c>
      <x:c r="L990" s="74" t="n">
        <x:v>1.0114445518978146</x:v>
      </x:c>
      <x:c r="M990" s="74" t="n">
        <x:v>0.9934150416687393</x:v>
      </x:c>
      <x:c r="N990" s="74" t="n">
        <x:v>0.802433699766027</x:v>
      </x:c>
      <x:c r="O990" s="65" t="n">
        <x:v>477137.3785959414</x:v>
      </x:c>
      <x:c r="P990" s="65" t="n">
        <x:v>195562.0187117749</x:v>
      </x:c>
      <x:c r="Q990" s="65" t="n">
        <x:v>281575.3598841665</x:v>
      </x:c>
      <x:c r="R990" s="65" t="n">
        <x:v>116032.86547890278</x:v>
      </x:c>
      <x:c r="S990" s="65" t="n">
        <x:v>165542.49440526374</x:v>
      </x:c>
      <x:c r="T990" s="65" t="n">
        <x:v>182062.4762991643</x:v>
      </x:c>
      <x:c r="U990" s="43" t="n">
        <x:v>0.7914376696333538</x:v>
      </x:c>
      <x:c r="V990" s="43" t="n">
        <x:v>0.8188640227348294</x:v>
      </x:c>
      <x:c r="W990" s="43" t="n">
        <x:v>0.44378672364982386</x:v>
      </x:c>
      <x:c r="X990" s="65" t="n">
        <x:v>37389675.68221072</x:v>
      </x:c>
      <x:c r="Y990" s="65" t="n">
        <x:v>78.36249549812311</x:v>
      </x:c>
      <x:c r="Z990" s="65" t="n">
        <x:v>1654675.2139116244</x:v>
      </x:c>
      <x:c r="AA990" s="65" t="n">
        <x:v>204360.68436364533</x:v>
      </x:c>
      <x:c r="AB990" s="65" t="n">
        <x:v>6806.073096787279</x:v>
      </x:c>
      <x:c r="AC990" s="65" t="n">
        <x:v>0</x:v>
      </x:c>
      <x:c r="AD990" s="65" t="n">
        <x:v>1712.9834686528575</x:v>
      </x:c>
      <x:c r="AE990" s="65" t="n">
        <x:v>123791.01106379865</x:v>
      </x:c>
      <x:c r="AF990" s="65" t="n">
        <x:v>182062.4762991643</x:v>
      </x:c>
      <x:c r="AG990" s="65" t="n">
        <x:v>0</x:v>
      </x:c>
      <x:c r="AH990" s="34" t="n">
        <x:v>0</x:v>
      </x:c>
    </x:row>
    <x:row r="991" ht="15" hidden="0" customHeight="1">
      <x:c r="A991" s="36" t="n">
        <x:v>247</x:v>
      </x:c>
      <x:c r="B991" s="36" t="str">
        <x:v>P2</x:v>
      </x:c>
      <x:c r="C991" s="36" t="str">
        <x:v>reference</x:v>
      </x:c>
      <x:c r="D991" s="75" t="n">
        <x:v>0.9918669098208572</x:v>
      </x:c>
      <x:c r="E991" s="75" t="n">
        <x:v>0.05662669597664733</x:v>
      </x:c>
      <x:c r="F991" s="75" t="n">
        <x:v>0.8593244882608313</x:v>
      </x:c>
      <x:c r="G991" s="75" t="n">
        <x:v>1.3314698890579875</x:v>
      </x:c>
      <x:c r="H991" s="75" t="n">
        <x:v>0.7879911531390313</x:v>
      </x:c>
      <x:c r="I991" s="75" t="n">
        <x:v>0.8186797231222077</x:v>
      </x:c>
      <x:c r="J991" s="75" t="n">
        <x:v>0.8987432840136182</x:v>
      </x:c>
      <x:c r="K991" s="75" t="n">
        <x:v>0.7708473339885826</x:v>
      </x:c>
      <x:c r="L991" s="75" t="n">
        <x:v>1.0114445518978146</x:v>
      </x:c>
      <x:c r="M991" s="75" t="n">
        <x:v>0.9934150416687393</x:v>
      </x:c>
      <x:c r="N991" s="75" t="n">
        <x:v>0.802433699766027</x:v>
      </x:c>
      <x:c r="O991" s="66" t="n">
        <x:v>477137.3785959414</x:v>
      </x:c>
      <x:c r="P991" s="66" t="n">
        <x:v>283309.9743102045</x:v>
      </x:c>
      <x:c r="Q991" s="66" t="n">
        <x:v>193827.40428573693</x:v>
      </x:c>
      <x:c r="R991" s="66" t="n">
        <x:v>116032.86547890278</x:v>
      </x:c>
      <x:c r="S991" s="66" t="n">
        <x:v>77794.53880683414</x:v>
      </x:c>
      <x:c r="T991" s="66" t="n">
        <x:v>115622.60777836273</x:v>
      </x:c>
      <x:c r="U991" s="45" t="n">
        <x:v>0.8360958499258532</x:v>
      </x:c>
      <x:c r="V991" s="45" t="n">
        <x:v>0.8647389132711976</x:v>
      </x:c>
      <x:c r="W991" s="45" t="n">
        <x:v>0.500051307309995</x:v>
      </x:c>
      <x:c r="X991" s="66" t="n">
        <x:v>25157055.32032524</x:v>
      </x:c>
      <x:c r="Y991" s="66" t="n">
        <x:v>52.724972825130976</x:v>
      </x:c>
      <x:c r="Z991" s="66" t="n">
        <x:v>805316.1209239104</x:v>
      </x:c>
      <x:c r="AA991" s="66" t="n">
        <x:v>144433.01207760093</x:v>
      </x:c>
      <x:c r="AB991" s="66" t="n">
        <x:v>0</x:v>
      </x:c>
      <x:c r="AC991" s="66" t="n">
        <x:v>11300.996180933242</x:v>
      </x:c>
      <x:c r="AD991" s="66" t="n">
        <x:v>1511.716854382622</x:v>
      </x:c>
      <x:c r="AE991" s="66" t="n">
        <x:v>58753.22026597341</x:v>
      </x:c>
      <x:c r="AF991" s="66" t="n">
        <x:v>115622.60777836268</x:v>
      </x:c>
      <x:c r="AG991" s="66" t="n">
        <x:v>4.3655745685100555e-11</x:v>
      </x:c>
      <x:c r="AH991" s="36" t="n">
        <x:v>0</x:v>
      </x:c>
    </x:row>
    <x:row r="992" ht="15" hidden="0" customHeight="1">
      <x:c r="A992" s="34" t="n">
        <x:v>247</x:v>
      </x:c>
      <x:c r="B992" s="34" t="str">
        <x:v>H3</x:v>
      </x:c>
      <x:c r="C992" s="34" t="str">
        <x:v>reference</x:v>
      </x:c>
      <x:c r="D992" s="74" t="n">
        <x:v>0.9918669098208572</x:v>
      </x:c>
      <x:c r="E992" s="74" t="n">
        <x:v>0.05662669597664733</x:v>
      </x:c>
      <x:c r="F992" s="74" t="n">
        <x:v>0.8593244882608313</x:v>
      </x:c>
      <x:c r="G992" s="74" t="n">
        <x:v>1.3314698890579875</x:v>
      </x:c>
      <x:c r="H992" s="74" t="n">
        <x:v>0.7879911531390313</x:v>
      </x:c>
      <x:c r="I992" s="74" t="n">
        <x:v>0.8186797231222077</x:v>
      </x:c>
      <x:c r="J992" s="74" t="n">
        <x:v>0.8987432840136182</x:v>
      </x:c>
      <x:c r="K992" s="74" t="n">
        <x:v>0.7708473339885826</x:v>
      </x:c>
      <x:c r="L992" s="74" t="n">
        <x:v>1.0114445518978146</x:v>
      </x:c>
      <x:c r="M992" s="74" t="n">
        <x:v>0.9934150416687393</x:v>
      </x:c>
      <x:c r="N992" s="74" t="n">
        <x:v>0.802433699766027</x:v>
      </x:c>
      <x:c r="O992" s="65" t="n">
        <x:v>477137.3785959414</x:v>
      </x:c>
      <x:c r="P992" s="65" t="n">
        <x:v>293893.72925258067</x:v>
      </x:c>
      <x:c r="Q992" s="65" t="n">
        <x:v>183243.64934336074</x:v>
      </x:c>
      <x:c r="R992" s="65" t="n">
        <x:v>116032.86547890278</x:v>
      </x:c>
      <x:c r="S992" s="65" t="n">
        <x:v>67210.78386445796</x:v>
      </x:c>
      <x:c r="T992" s="65" t="n">
        <x:v>181331.793628442</x:v>
      </x:c>
      <x:c r="U992" s="43" t="n">
        <x:v>0.9959930707576408</x:v>
      </x:c>
      <x:c r="V992" s="43" t="n">
        <x:v>0.9977615239613794</x:v>
      </x:c>
      <x:c r="W992" s="43" t="n">
        <x:v>0.9599307075764075</x:v>
      </x:c>
      <x:c r="X992" s="65" t="n">
        <x:v>18577361.59453489</x:v>
      </x:c>
      <x:c r="Y992" s="65" t="n">
        <x:v>38.935037219682854</x:v>
      </x:c>
      <x:c r="Z992" s="65" t="n">
        <x:v>1208974.3150756042</x:v>
      </x:c>
      <x:c r="AA992" s="65" t="n">
        <x:v>116766.99632958537</x:v>
      </x:c>
      <x:c r="AB992" s="65" t="n">
        <x:v>2715.7969736222967</x:v>
      </x:c>
      <x:c r="AC992" s="65" t="n">
        <x:v>0</x:v>
      </x:c>
      <x:c r="AD992" s="65" t="n">
        <x:v>1489.1233424666984</x:v>
      </x:c>
      <x:c r="AE992" s="65" t="n">
        <x:v>77336.3861387649</x:v>
      </x:c>
      <x:c r="AF992" s="65" t="n">
        <x:v>181331.793628442</x:v>
      </x:c>
      <x:c r="AG992" s="65" t="n">
        <x:v>0</x:v>
      </x:c>
      <x:c r="AH992" s="34" t="n">
        <x:v>1</x:v>
      </x:c>
    </x:row>
    <x:row r="993" ht="15" hidden="0" customHeight="1">
      <x:c r="A993" s="36" t="n">
        <x:v>248</x:v>
      </x:c>
      <x:c r="B993" s="36" t="str">
        <x:v>M0</x:v>
      </x:c>
      <x:c r="C993" s="36" t="str">
        <x:v>reference</x:v>
      </x:c>
      <x:c r="D993" s="75" t="n">
        <x:v>1.0836197787527624</x:v>
      </x:c>
      <x:c r="E993" s="75" t="n">
        <x:v>0.005625404583067442</x:v>
      </x:c>
      <x:c r="F993" s="75" t="n">
        <x:v>0.7946103781298006</x:v>
      </x:c>
      <x:c r="G993" s="75" t="n">
        <x:v>1.3032487374479473</x:v>
      </x:c>
      <x:c r="H993" s="75" t="n">
        <x:v>0.917584438004774</x:v>
      </x:c>
      <x:c r="I993" s="75" t="n">
        <x:v>0.8552535871808876</x:v>
      </x:c>
      <x:c r="J993" s="75" t="n">
        <x:v>0.7214239502710613</x:v>
      </x:c>
      <x:c r="K993" s="75" t="n">
        <x:v>0.7914465239877546</x:v>
      </x:c>
      <x:c r="L993" s="75" t="n">
        <x:v>0.7910831339865552</x:v>
      </x:c>
      <x:c r="M993" s="75" t="n">
        <x:v>0.7829409628281088</x:v>
      </x:c>
      <x:c r="N993" s="75" t="n">
        <x:v>1.0309459094316415</x:v>
      </x:c>
      <x:c r="O993" s="66" t="n">
        <x:v>521275.0778450605</x:v>
      </x:c>
      <x:c r="P993" s="66" t="n">
        <x:v>62340.66910928041</x:v>
      </x:c>
      <x:c r="Q993" s="66" t="n">
        <x:v>458934.40873578016</x:v>
      </x:c>
      <x:c r="R993" s="66" t="n">
        <x:v>100180.80934653731</x:v>
      </x:c>
      <x:c r="S993" s="66" t="n">
        <x:v>358753.5993892429</x:v>
      </x:c>
      <x:c r="T993" s="66" t="n">
        <x:v>248877.1079023964</x:v>
      </x:c>
      <x:c r="U993" s="45" t="n">
        <x:v>0.5970317596963279</x:v>
      </x:c>
      <x:c r="V993" s="45" t="n">
        <x:v>0.6264308843466743</x:v>
      </x:c>
      <x:c r="W993" s="45" t="n">
        <x:v>0.11643564487175535</x:v>
      </x:c>
      <x:c r="X993" s="66" t="n">
        <x:v>61902387.691439286</x:v>
      </x:c>
      <x:c r="Y993" s="66" t="n">
        <x:v>118.75186503705946</x:v>
      </x:c>
      <x:c r="Z993" s="66" t="n">
        <x:v>4695266.322193811</x:v>
      </x:c>
      <x:c r="AA993" s="66" t="n">
        <x:v>340365.38555975957</x:v>
      </x:c>
      <x:c r="AB993" s="66" t="n">
        <x:v>39750.2729932676</x:v>
      </x:c>
      <x:c r="AC993" s="66" t="n">
        <x:v>2481.369734317651</x:v>
      </x:c>
      <x:c r="AD993" s="66" t="n">
        <x:v>2228.1875403999675</x:v>
      </x:c>
      <x:c r="AE993" s="66" t="n">
        <x:v>219185.86571076512</x:v>
      </x:c>
      <x:c r="AF993" s="66" t="n">
        <x:v>248877.10790239644</x:v>
      </x:c>
      <x:c r="AG993" s="66" t="n">
        <x:v>0</x:v>
      </x:c>
      <x:c r="AH993" s="36" t="n">
        <x:v>0</x:v>
      </x:c>
    </x:row>
    <x:row r="994" ht="15" hidden="0" customHeight="1">
      <x:c r="A994" s="34" t="n">
        <x:v>248</x:v>
      </x:c>
      <x:c r="B994" s="34" t="str">
        <x:v>B1</x:v>
      </x:c>
      <x:c r="C994" s="34" t="str">
        <x:v>reference</x:v>
      </x:c>
      <x:c r="D994" s="74" t="n">
        <x:v>1.0836197787527624</x:v>
      </x:c>
      <x:c r="E994" s="74" t="n">
        <x:v>0.005625404583067442</x:v>
      </x:c>
      <x:c r="F994" s="74" t="n">
        <x:v>0.7946103781298006</x:v>
      </x:c>
      <x:c r="G994" s="74" t="n">
        <x:v>1.3032487374479473</x:v>
      </x:c>
      <x:c r="H994" s="74" t="n">
        <x:v>0.917584438004774</x:v>
      </x:c>
      <x:c r="I994" s="74" t="n">
        <x:v>0.8552535871808876</x:v>
      </x:c>
      <x:c r="J994" s="74" t="n">
        <x:v>0.7214239502710613</x:v>
      </x:c>
      <x:c r="K994" s="74" t="n">
        <x:v>0.7914465239877546</x:v>
      </x:c>
      <x:c r="L994" s="74" t="n">
        <x:v>0.7910831339865552</x:v>
      </x:c>
      <x:c r="M994" s="74" t="n">
        <x:v>0.7829409628281088</x:v>
      </x:c>
      <x:c r="N994" s="74" t="n">
        <x:v>1.0309459094316415</x:v>
      </x:c>
      <x:c r="O994" s="65" t="n">
        <x:v>521275.0778450605</x:v>
      </x:c>
      <x:c r="P994" s="65" t="n">
        <x:v>210877.5327955924</x:v>
      </x:c>
      <x:c r="Q994" s="65" t="n">
        <x:v>310397.5450494682</x:v>
      </x:c>
      <x:c r="R994" s="65" t="n">
        <x:v>100180.80934653731</x:v>
      </x:c>
      <x:c r="S994" s="65" t="n">
        <x:v>210216.7357029309</x:v>
      </x:c>
      <x:c r="T994" s="65" t="n">
        <x:v>190532.03834091587</x:v>
      </x:c>
      <x:c r="U994" s="43" t="n">
        <x:v>0.7700532563266336</x:v>
      </x:c>
      <x:c r="V994" s="43" t="n">
        <x:v>0.8005231385959309</x:v>
      </x:c>
      <x:c r="W994" s="43" t="n">
        <x:v>0.42534774496288696</x:v>
      </x:c>
      <x:c r="X994" s="65" t="n">
        <x:v>41933052.08493485</x:v>
      </x:c>
      <x:c r="Y994" s="65" t="n">
        <x:v>80.44323211899014</x:v>
      </x:c>
      <x:c r="Z994" s="65" t="n">
        <x:v>1953678.2426824886</x:v>
      </x:c>
      <x:c r="AA994" s="65" t="n">
        <x:v>229100.08938460145</x:v>
      </x:c>
      <x:c r="AB994" s="65" t="n">
        <x:v>8510.965873614026</x:v>
      </x:c>
      <x:c r="AC994" s="65" t="n">
        <x:v>4146.400983407206</x:v>
      </x:c>
      <x:c r="AD994" s="65" t="n">
        <x:v>1848.0564237304275</x:v>
      </x:c>
      <x:c r="AE994" s="65" t="n">
        <x:v>131266.70146756916</x:v>
      </x:c>
      <x:c r="AF994" s="65" t="n">
        <x:v>190532.0383409157</x:v>
      </x:c>
      <x:c r="AG994" s="65" t="n">
        <x:v>1.7462298274040222e-10</x:v>
      </x:c>
      <x:c r="AH994" s="34" t="n">
        <x:v>0</x:v>
      </x:c>
    </x:row>
    <x:row r="995" ht="15" hidden="0" customHeight="1">
      <x:c r="A995" s="36" t="n">
        <x:v>248</x:v>
      </x:c>
      <x:c r="B995" s="36" t="str">
        <x:v>P2</x:v>
      </x:c>
      <x:c r="C995" s="36" t="str">
        <x:v>reference</x:v>
      </x:c>
      <x:c r="D995" s="75" t="n">
        <x:v>1.0836197787527624</x:v>
      </x:c>
      <x:c r="E995" s="75" t="n">
        <x:v>0.005625404583067442</x:v>
      </x:c>
      <x:c r="F995" s="75" t="n">
        <x:v>0.7946103781298006</x:v>
      </x:c>
      <x:c r="G995" s="75" t="n">
        <x:v>1.3032487374479473</x:v>
      </x:c>
      <x:c r="H995" s="75" t="n">
        <x:v>0.917584438004774</x:v>
      </x:c>
      <x:c r="I995" s="75" t="n">
        <x:v>0.8552535871808876</x:v>
      </x:c>
      <x:c r="J995" s="75" t="n">
        <x:v>0.7214239502710613</x:v>
      </x:c>
      <x:c r="K995" s="75" t="n">
        <x:v>0.7914465239877546</x:v>
      </x:c>
      <x:c r="L995" s="75" t="n">
        <x:v>0.7910831339865552</x:v>
      </x:c>
      <x:c r="M995" s="75" t="n">
        <x:v>0.7829409628281088</x:v>
      </x:c>
      <x:c r="N995" s="75" t="n">
        <x:v>1.0309459094316415</x:v>
      </x:c>
      <x:c r="O995" s="66" t="n">
        <x:v>521275.0778450605</x:v>
      </x:c>
      <x:c r="P995" s="66" t="n">
        <x:v>305496.2582970199</x:v>
      </x:c>
      <x:c r="Q995" s="66" t="n">
        <x:v>215778.81954804074</x:v>
      </x:c>
      <x:c r="R995" s="66" t="n">
        <x:v>100180.80934653731</x:v>
      </x:c>
      <x:c r="S995" s="66" t="n">
        <x:v>115598.01020150344</x:v>
      </x:c>
      <x:c r="T995" s="66" t="n">
        <x:v>118716.95098721723</x:v>
      </x:c>
      <x:c r="U995" s="45" t="n">
        <x:v>0.8137991385238</x:v>
      </x:c>
      <x:c r="V995" s="45" t="n">
        <x:v>0.8480258892953307</x:v>
      </x:c>
      <x:c r="W995" s="45" t="n">
        <x:v>0.42530358855830014</x:v>
      </x:c>
      <x:c r="X995" s="66" t="n">
        <x:v>28114639.460054543</x:v>
      </x:c>
      <x:c r="Y995" s="66" t="n">
        <x:v>53.934363362008085</x:v>
      </x:c>
      <x:c r="Z995" s="66" t="n">
        <x:v>1201614.7322325893</x:v>
      </x:c>
      <x:c r="AA995" s="66" t="n">
        <x:v>160016.0231469022</x:v>
      </x:c>
      <x:c r="AB995" s="66" t="n">
        <x:v>463.86629209355635</x:v>
      </x:c>
      <x:c r="AC995" s="66" t="n">
        <x:v>24500.674982864064</x:v>
      </x:c>
      <x:c r="AD995" s="66" t="n">
        <x:v>1618.3693014990895</x:v>
      </x:c>
      <x:c r="AE995" s="66" t="n">
        <x:v>62839.19167611314</x:v>
      </x:c>
      <x:c r="AF995" s="66" t="n">
        <x:v>118716.95098721741</x:v>
      </x:c>
      <x:c r="AG995" s="66" t="n">
        <x:v>0</x:v>
      </x:c>
      <x:c r="AH995" s="36" t="n">
        <x:v>0</x:v>
      </x:c>
    </x:row>
    <x:row r="996" ht="15" hidden="0" customHeight="1">
      <x:c r="A996" s="34" t="n">
        <x:v>248</x:v>
      </x:c>
      <x:c r="B996" s="34" t="str">
        <x:v>H3</x:v>
      </x:c>
      <x:c r="C996" s="34" t="str">
        <x:v>reference</x:v>
      </x:c>
      <x:c r="D996" s="74" t="n">
        <x:v>1.0836197787527624</x:v>
      </x:c>
      <x:c r="E996" s="74" t="n">
        <x:v>0.005625404583067442</x:v>
      </x:c>
      <x:c r="F996" s="74" t="n">
        <x:v>0.7946103781298006</x:v>
      </x:c>
      <x:c r="G996" s="74" t="n">
        <x:v>1.3032487374479473</x:v>
      </x:c>
      <x:c r="H996" s="74" t="n">
        <x:v>0.917584438004774</x:v>
      </x:c>
      <x:c r="I996" s="74" t="n">
        <x:v>0.8552535871808876</x:v>
      </x:c>
      <x:c r="J996" s="74" t="n">
        <x:v>0.7214239502710613</x:v>
      </x:c>
      <x:c r="K996" s="74" t="n">
        <x:v>0.7914465239877546</x:v>
      </x:c>
      <x:c r="L996" s="74" t="n">
        <x:v>0.7910831339865552</x:v>
      </x:c>
      <x:c r="M996" s="74" t="n">
        <x:v>0.7829409628281088</x:v>
      </x:c>
      <x:c r="N996" s="74" t="n">
        <x:v>1.0309459094316415</x:v>
      </x:c>
      <x:c r="O996" s="65" t="n">
        <x:v>521275.0778450605</x:v>
      </x:c>
      <x:c r="P996" s="65" t="n">
        <x:v>316908.586397027</x:v>
      </x:c>
      <x:c r="Q996" s="65" t="n">
        <x:v>204366.49144803354</x:v>
      </x:c>
      <x:c r="R996" s="65" t="n">
        <x:v>100180.80934653731</x:v>
      </x:c>
      <x:c r="S996" s="65" t="n">
        <x:v>104185.68210149623</x:v>
      </x:c>
      <x:c r="T996" s="65" t="n">
        <x:v>188802.95843522414</x:v>
      </x:c>
      <x:c r="U996" s="43" t="n">
        <x:v>0.9701433395259397</x:v>
      </x:c>
      <x:c r="V996" s="43" t="n">
        <x:v>0.9716582154483078</x:v>
      </x:c>
      <x:c r="W996" s="43" t="n">
        <x:v>0.7451726405948236</x:v>
      </x:c>
      <x:c r="X996" s="65" t="n">
        <x:v>21465461.489897083</x:v>
      </x:c>
      <x:c r="Y996" s="65" t="n">
        <x:v>41.17876031717231</x:v>
      </x:c>
      <x:c r="Z996" s="65" t="n">
        <x:v>2439128.7847094703</x:v>
      </x:c>
      <x:c r="AA996" s="65" t="n">
        <x:v>127666.91362425848</x:v>
      </x:c>
      <x:c r="AB996" s="65" t="n">
        <x:v>4470.268213597344</x:v>
      </x:c>
      <x:c r="AC996" s="65" t="n">
        <x:v>13398.144428968208</x:v>
      </x:c>
      <x:c r="AD996" s="65" t="n">
        <x:v>1592.5853991271829</x:v>
      </x:c>
      <x:c r="AE996" s="65" t="n">
        <x:v>72720.64581526657</x:v>
      </x:c>
      <x:c r="AF996" s="65" t="n">
        <x:v>188802.95843522437</x:v>
      </x:c>
      <x:c r="AG996" s="65" t="n">
        <x:v>0</x:v>
      </x:c>
      <x:c r="AH996" s="34" t="n">
        <x:v>0</x:v>
      </x:c>
    </x:row>
    <x:row r="997" ht="15" hidden="0" customHeight="1">
      <x:c r="A997" s="36" t="n">
        <x:v>249</x:v>
      </x:c>
      <x:c r="B997" s="36" t="str">
        <x:v>M0</x:v>
      </x:c>
      <x:c r="C997" s="36" t="str">
        <x:v>fast</x:v>
      </x:c>
      <x:c r="D997" s="75" t="n">
        <x:v>1.0815176414625025</x:v>
      </x:c>
      <x:c r="E997" s="75" t="n">
        <x:v>-0.01136414999993305</x:v>
      </x:c>
      <x:c r="F997" s="75" t="n">
        <x:v>0.8999879419025708</x:v>
      </x:c>
      <x:c r="G997" s="75" t="n">
        <x:v>1.2491162677866021</x:v>
      </x:c>
      <x:c r="H997" s="75" t="n">
        <x:v>0.969845381538446</x:v>
      </x:c>
      <x:c r="I997" s="75" t="n">
        <x:v>1.0248795302027403</x:v>
      </x:c>
      <x:c r="J997" s="75" t="n">
        <x:v>0.9802530590361072</x:v>
      </x:c>
      <x:c r="K997" s="75" t="n">
        <x:v>0.8715699820817622</x:v>
      </x:c>
      <x:c r="L997" s="75" t="n">
        <x:v>0.8487011609434897</x:v>
      </x:c>
      <x:c r="M997" s="75" t="n">
        <x:v>0.8268996404154018</x:v>
      </x:c>
      <x:c r="N997" s="75" t="n">
        <x:v>0.928468615798836</x:v>
      </x:c>
      <x:c r="O997" s="66" t="n">
        <x:v>520263.8451220085</x:v>
      </x:c>
      <x:c r="P997" s="66" t="n">
        <x:v>71953.41411513837</x:v>
      </x:c>
      <x:c r="Q997" s="66" t="n">
        <x:v>448310.4310068702</x:v>
      </x:c>
      <x:c r="R997" s="66" t="n">
        <x:v>91147.4154478497</x:v>
      </x:c>
      <x:c r="S997" s="66" t="n">
        <x:v>357163.01555902045</x:v>
      </x:c>
      <x:c r="T997" s="66" t="n">
        <x:v>280959.20686483866</x:v>
      </x:c>
      <x:c r="U997" s="45" t="n">
        <x:v>0.678333934385186</x:v>
      </x:c>
      <x:c r="V997" s="45" t="n">
        <x:v>0.7157973119424075</x:v>
      </x:c>
      <x:c r="W997" s="45" t="n">
        <x:v>0.14445187779857954</x:v>
      </x:c>
      <x:c r="X997" s="66" t="n">
        <x:v>58284863.19940265</x:v>
      </x:c>
      <x:c r="Y997" s="66" t="n">
        <x:v>112.02943226957105</x:v>
      </x:c>
      <x:c r="Z997" s="66" t="n">
        <x:v>3799168.2967833593</x:v>
      </x:c>
      <x:c r="AA997" s="66" t="n">
        <x:v>324127.63168821344</x:v>
      </x:c>
      <x:c r="AB997" s="66" t="n">
        <x:v>23034.905365619285</x:v>
      </x:c>
      <x:c r="AC997" s="66" t="n">
        <x:v>0</x:v>
      </x:c>
      <x:c r="AD997" s="66" t="n">
        <x:v>2194.3906738991363</x:v>
      </x:c>
      <x:c r="AE997" s="66" t="n">
        <x:v>254219.31072983216</x:v>
      </x:c>
      <x:c r="AF997" s="66" t="n">
        <x:v>280959.20686483866</x:v>
      </x:c>
      <x:c r="AG997" s="66" t="n">
        <x:v>0</x:v>
      </x:c>
      <x:c r="AH997" s="36" t="n">
        <x:v>0</x:v>
      </x:c>
    </x:row>
    <x:row r="998" ht="15" hidden="0" customHeight="1">
      <x:c r="A998" s="34" t="n">
        <x:v>249</x:v>
      </x:c>
      <x:c r="B998" s="34" t="str">
        <x:v>B1</x:v>
      </x:c>
      <x:c r="C998" s="34" t="str">
        <x:v>fast</x:v>
      </x:c>
      <x:c r="D998" s="74" t="n">
        <x:v>1.0815176414625025</x:v>
      </x:c>
      <x:c r="E998" s="74" t="n">
        <x:v>-0.01136414999993305</x:v>
      </x:c>
      <x:c r="F998" s="74" t="n">
        <x:v>0.8999879419025708</x:v>
      </x:c>
      <x:c r="G998" s="74" t="n">
        <x:v>1.2491162677866021</x:v>
      </x:c>
      <x:c r="H998" s="74" t="n">
        <x:v>0.969845381538446</x:v>
      </x:c>
      <x:c r="I998" s="74" t="n">
        <x:v>1.0248795302027403</x:v>
      </x:c>
      <x:c r="J998" s="74" t="n">
        <x:v>0.9802530590361072</x:v>
      </x:c>
      <x:c r="K998" s="74" t="n">
        <x:v>0.8715699820817622</x:v>
      </x:c>
      <x:c r="L998" s="74" t="n">
        <x:v>0.8487011609434897</x:v>
      </x:c>
      <x:c r="M998" s="74" t="n">
        <x:v>0.8268996404154018</x:v>
      </x:c>
      <x:c r="N998" s="74" t="n">
        <x:v>0.928468615798836</x:v>
      </x:c>
      <x:c r="O998" s="65" t="n">
        <x:v>520263.8451220085</x:v>
      </x:c>
      <x:c r="P998" s="65" t="n">
        <x:v>243393.6804142924</x:v>
      </x:c>
      <x:c r="Q998" s="65" t="n">
        <x:v>276870.1647077161</x:v>
      </x:c>
      <x:c r="R998" s="65" t="n">
        <x:v>91147.4154478497</x:v>
      </x:c>
      <x:c r="S998" s="65" t="n">
        <x:v>185722.74925986642</x:v>
      </x:c>
      <x:c r="T998" s="65" t="n">
        <x:v>210355.0479418125</x:v>
      </x:c>
      <x:c r="U998" s="43" t="n">
        <x:v>0.8721511836935258</x:v>
      </x:c>
      <x:c r="V998" s="43" t="n">
        <x:v>0.9043618728219023</x:v>
      </x:c>
      <x:c r="W998" s="43" t="n">
        <x:v>0.550632549751913</x:v>
      </x:c>
      <x:c r="X998" s="65" t="n">
        <x:v>35553142.7277989</x:v>
      </x:c>
      <x:c r="Y998" s="65" t="n">
        <x:v>68.33675463160665</x:v>
      </x:c>
      <x:c r="Z998" s="65" t="n">
        <x:v>1380308.8548364665</x:v>
      </x:c>
      <x:c r="AA998" s="65" t="n">
        <x:v>193617.27498730685</x:v>
      </x:c>
      <x:c r="AB998" s="65" t="n">
        <x:v>2905.3525335030686</x:v>
      </x:c>
      <x:c r="AC998" s="65" t="n">
        <x:v>2684.2986503581214</x:v>
      </x:c>
      <x:c r="AD998" s="65" t="n">
        <x:v>1748.254759213693</x:v>
      </x:c>
      <x:c r="AE998" s="65" t="n">
        <x:v>130135.359536793</x:v>
      </x:c>
      <x:c r="AF998" s="65" t="n">
        <x:v>210355.04794181255</x:v>
      </x:c>
      <x:c r="AG998" s="65" t="n">
        <x:v>0</x:v>
      </x:c>
      <x:c r="AH998" s="34" t="n">
        <x:v>0</x:v>
      </x:c>
    </x:row>
    <x:row r="999" ht="15" hidden="0" customHeight="1">
      <x:c r="A999" s="36" t="n">
        <x:v>249</x:v>
      </x:c>
      <x:c r="B999" s="36" t="str">
        <x:v>P2</x:v>
      </x:c>
      <x:c r="C999" s="36" t="str">
        <x:v>fast</x:v>
      </x:c>
      <x:c r="D999" s="75" t="n">
        <x:v>1.0815176414625025</x:v>
      </x:c>
      <x:c r="E999" s="75" t="n">
        <x:v>-0.01136414999993305</x:v>
      </x:c>
      <x:c r="F999" s="75" t="n">
        <x:v>0.8999879419025708</x:v>
      </x:c>
      <x:c r="G999" s="75" t="n">
        <x:v>1.2491162677866021</x:v>
      </x:c>
      <x:c r="H999" s="75" t="n">
        <x:v>0.969845381538446</x:v>
      </x:c>
      <x:c r="I999" s="75" t="n">
        <x:v>1.0248795302027403</x:v>
      </x:c>
      <x:c r="J999" s="75" t="n">
        <x:v>0.9802530590361072</x:v>
      </x:c>
      <x:c r="K999" s="75" t="n">
        <x:v>0.8715699820817622</x:v>
      </x:c>
      <x:c r="L999" s="75" t="n">
        <x:v>0.8487011609434897</x:v>
      </x:c>
      <x:c r="M999" s="75" t="n">
        <x:v>0.8268996404154018</x:v>
      </x:c>
      <x:c r="N999" s="75" t="n">
        <x:v>0.928468615798836</x:v>
      </x:c>
      <x:c r="O999" s="66" t="n">
        <x:v>520263.8451220085</x:v>
      </x:c>
      <x:c r="P999" s="66" t="n">
        <x:v>352601.65022658487</x:v>
      </x:c>
      <x:c r="Q999" s="66" t="n">
        <x:v>167662.19489542366</x:v>
      </x:c>
      <x:c r="R999" s="66" t="n">
        <x:v>91147.4154478497</x:v>
      </x:c>
      <x:c r="S999" s="66" t="n">
        <x:v>76514.77944757395</x:v>
      </x:c>
      <x:c r="T999" s="66" t="n">
        <x:v>130733.08959366285</x:v>
      </x:c>
      <x:c r="U999" s="45" t="n">
        <x:v>0.9290185054218011</x:v>
      </x:c>
      <x:c r="V999" s="45" t="n">
        <x:v>0.942136239496116</x:v>
      </x:c>
      <x:c r="W999" s="45" t="n">
        <x:v>0.7813517319842428</x:v>
      </x:c>
      <x:c r="X999" s="66" t="n">
        <x:v>19897878.897095196</x:v>
      </x:c>
      <x:c r="Y999" s="66" t="n">
        <x:v>38.24574604531455</x:v>
      </x:c>
      <x:c r="Z999" s="66" t="n">
        <x:v>997190.7431332279</x:v>
      </x:c>
      <x:c r="AA999" s="66" t="n">
        <x:v>113369.10833324262</x:v>
      </x:c>
      <x:c r="AB999" s="66" t="n">
        <x:v>0</x:v>
      </x:c>
      <x:c r="AC999" s="66" t="n">
        <x:v>18060.835528110474</x:v>
      </x:c>
      <x:c r="AD999" s="66" t="n">
        <x:v>1478.685471474413</x:v>
      </x:c>
      <x:c r="AE999" s="66" t="n">
        <x:v>82912.52097287803</x:v>
      </x:c>
      <x:c r="AF999" s="66" t="n">
        <x:v>130733.08959366291</x:v>
      </x:c>
      <x:c r="AG999" s="66" t="n">
        <x:v>0</x:v>
      </x:c>
      <x:c r="AH999" s="36" t="n">
        <x:v>0</x:v>
      </x:c>
    </x:row>
    <x:row r="1000" ht="15" hidden="0" customHeight="1">
      <x:c r="A1000" s="34" t="n">
        <x:v>249</x:v>
      </x:c>
      <x:c r="B1000" s="34" t="str">
        <x:v>H3</x:v>
      </x:c>
      <x:c r="C1000" s="34" t="str">
        <x:v>fast</x:v>
      </x:c>
      <x:c r="D1000" s="74" t="n">
        <x:v>1.0815176414625025</x:v>
      </x:c>
      <x:c r="E1000" s="74" t="n">
        <x:v>-0.01136414999993305</x:v>
      </x:c>
      <x:c r="F1000" s="74" t="n">
        <x:v>0.8999879419025708</x:v>
      </x:c>
      <x:c r="G1000" s="74" t="n">
        <x:v>1.2491162677866021</x:v>
      </x:c>
      <x:c r="H1000" s="74" t="n">
        <x:v>0.969845381538446</x:v>
      </x:c>
      <x:c r="I1000" s="74" t="n">
        <x:v>1.0248795302027403</x:v>
      </x:c>
      <x:c r="J1000" s="74" t="n">
        <x:v>0.9802530590361072</x:v>
      </x:c>
      <x:c r="K1000" s="74" t="n">
        <x:v>0.8715699820817622</x:v>
      </x:c>
      <x:c r="L1000" s="74" t="n">
        <x:v>0.8487011609434897</x:v>
      </x:c>
      <x:c r="M1000" s="74" t="n">
        <x:v>0.8268996404154018</x:v>
      </x:c>
      <x:c r="N1000" s="74" t="n">
        <x:v>0.928468615798836</x:v>
      </x:c>
      <x:c r="O1000" s="65" t="n">
        <x:v>520263.8451220085</x:v>
      </x:c>
      <x:c r="P1000" s="65" t="n">
        <x:v>365773.59110615565</x:v>
      </x:c>
      <x:c r="Q1000" s="65" t="n">
        <x:v>154490.25401585287</x:v>
      </x:c>
      <x:c r="R1000" s="65" t="n">
        <x:v>91147.4154478497</x:v>
      </x:c>
      <x:c r="S1000" s="65" t="n">
        <x:v>63342.838568003186</x:v>
      </x:c>
      <x:c r="T1000" s="65" t="n">
        <x:v>153041.82948426058</x:v>
      </x:c>
      <x:c r="U1000" s="43" t="n">
        <x:v>0.9972159808044077</x:v>
      </x:c>
      <x:c r="V1000" s="43" t="n">
        <x:v>0.9982464964488836</x:v>
      </x:c>
      <x:c r="W1000" s="43" t="n">
        <x:v>0.9721598080440772</x:v>
      </x:c>
      <x:c r="X1000" s="65" t="n">
        <x:v>13547964.992620258</x:v>
      </x:c>
      <x:c r="Y1000" s="65" t="n">
        <x:v>26.040565992901325</x:v>
      </x:c>
      <x:c r="Z1000" s="65" t="n">
        <x:v>1021486.7489436554</x:v>
      </x:c>
      <x:c r="AA1000" s="65" t="n">
        <x:v>92265.72738697586</x:v>
      </x:c>
      <x:c r="AB1000" s="65" t="n">
        <x:v>2543.5479878475107</x:v>
      </x:c>
      <x:c r="AC1000" s="65" t="n">
        <x:v>281.5544398401596</x:v>
      </x:c>
      <x:c r="AD1000" s="65" t="n">
        <x:v>1448.4245315923176</x:v>
      </x:c>
      <x:c r="AE1000" s="65" t="n">
        <x:v>66163.69162890638</x:v>
      </x:c>
      <x:c r="AF1000" s="65" t="n">
        <x:v>153041.82948426052</x:v>
      </x:c>
      <x:c r="AG1000" s="65" t="n">
        <x:v>5.820766091346741e-11</x:v>
      </x:c>
      <x:c r="AH1000" s="34" t="n">
        <x:v>1</x:v>
      </x:c>
    </x:row>
    <x:row r="1001" ht="21.600000381469727" hidden="0" customHeight="1">
      <x:c r="A1001" s="36" t="n">
        <x:v>250</x:v>
      </x:c>
      <x:c r="B1001" s="36" t="str">
        <x:v>M0</x:v>
      </x:c>
      <x:c r="C1001" s="36" t="str">
        <x:v>reference</x:v>
      </x:c>
      <x:c r="D1001" s="75" t="n">
        <x:v>0.9735276687841842</x:v>
      </x:c>
      <x:c r="E1001" s="75" t="n">
        <x:v>-0.026838278694846156</x:v>
      </x:c>
      <x:c r="F1001" s="75" t="n">
        <x:v>1.0313020910969595</x:v>
      </x:c>
      <x:c r="G1001" s="75" t="n">
        <x:v>1.1185662214114644</x:v>
      </x:c>
      <x:c r="H1001" s="75" t="n">
        <x:v>0.9128604733376932</x:v>
      </x:c>
      <x:c r="I1001" s="75" t="n">
        <x:v>1.0292277752161254</x:v>
      </x:c>
      <x:c r="J1001" s="75" t="n">
        <x:v>1.0059800258509972</x:v>
      </x:c>
      <x:c r="K1001" s="75" t="n">
        <x:v>0.9772650932146891</x:v>
      </x:c>
      <x:c r="L1001" s="75" t="n">
        <x:v>0.9572548760516846</x:v>
      </x:c>
      <x:c r="M1001" s="75" t="n">
        <x:v>0.8629689549550588</x:v>
      </x:c>
      <x:c r="N1001" s="75" t="n">
        <x:v>0.8727521465479952</x:v>
      </x:c>
      <x:c r="O1001" s="66" t="n">
        <x:v>468315.290363098</x:v>
      </x:c>
      <x:c r="P1001" s="66" t="n">
        <x:v>75611.70990401765</x:v>
      </x:c>
      <x:c r="Q1001" s="66" t="n">
        <x:v>392703.5804590804</x:v>
      </x:c>
      <x:c r="R1001" s="66" t="n">
        <x:v>74799.53818256776</x:v>
      </x:c>
      <x:c r="S1001" s="66" t="n">
        <x:v>317904.0422765126</x:v>
      </x:c>
      <x:c r="T1001" s="66" t="n">
        <x:v>297568.75910263846</x:v>
      </x:c>
      <x:c r="U1001" s="45" t="n">
        <x:v>0.7968573238711015</x:v>
      </x:c>
      <x:c r="V1001" s="45" t="n">
        <x:v>0.8074157588677315</x:v>
      </x:c>
      <x:c r="W1001" s="45" t="n">
        <x:v>0.1959874010871621</x:v>
      </x:c>
      <x:c r="X1001" s="66" t="n">
        <x:v>48270608.67513336</x:v>
      </x:c>
      <x:c r="Y1001" s="66" t="n">
        <x:v>103.07288629783538</x:v>
      </x:c>
      <x:c r="Z1001" s="66" t="n">
        <x:v>4559053.6169362245</x:v>
      </x:c>
      <x:c r="AA1001" s="66" t="n">
        <x:v>260503.84665570885</x:v>
      </x:c>
      <x:c r="AB1001" s="66" t="n">
        <x:v>32431.457706504618</x:v>
      </x:c>
      <x:c r="AC1001" s="66" t="n">
        <x:v>0</x:v>
      </x:c>
      <x:c r="AD1001" s="66" t="n">
        <x:v>1942.587567898981</x:v>
      </x:c>
      <x:c r="AE1001" s="66" t="n">
        <x:v>247298.23546147393</x:v>
      </x:c>
      <x:c r="AF1001" s="66" t="n">
        <x:v>297568.75910263864</x:v>
      </x:c>
      <x:c r="AG1001" s="66" t="n">
        <x:v>0</x:v>
      </x:c>
      <x:c r="AH1001" s="36" t="n">
        <x:v>0</x:v>
      </x:c>
    </x:row>
    <x:row r="1002" ht="21.600000381469727" hidden="0" customHeight="1">
      <x:c r="A1002" s="34" t="n">
        <x:v>250</x:v>
      </x:c>
      <x:c r="B1002" s="34" t="str">
        <x:v>B1</x:v>
      </x:c>
      <x:c r="C1002" s="34" t="str">
        <x:v>reference</x:v>
      </x:c>
      <x:c r="D1002" s="74" t="n">
        <x:v>0.9735276687841842</x:v>
      </x:c>
      <x:c r="E1002" s="74" t="n">
        <x:v>-0.026838278694846156</x:v>
      </x:c>
      <x:c r="F1002" s="74" t="n">
        <x:v>1.0313020910969595</x:v>
      </x:c>
      <x:c r="G1002" s="74" t="n">
        <x:v>1.1185662214114644</x:v>
      </x:c>
      <x:c r="H1002" s="74" t="n">
        <x:v>0.9128604733376932</x:v>
      </x:c>
      <x:c r="I1002" s="74" t="n">
        <x:v>1.0292277752161254</x:v>
      </x:c>
      <x:c r="J1002" s="74" t="n">
        <x:v>1.0059800258509972</x:v>
      </x:c>
      <x:c r="K1002" s="74" t="n">
        <x:v>0.9772650932146891</x:v>
      </x:c>
      <x:c r="L1002" s="74" t="n">
        <x:v>0.9572548760516846</x:v>
      </x:c>
      <x:c r="M1002" s="74" t="n">
        <x:v>0.8629689549550588</x:v>
      </x:c>
      <x:c r="N1002" s="74" t="n">
        <x:v>0.8727521465479952</x:v>
      </x:c>
      <x:c r="O1002" s="65" t="n">
        <x:v>468315.290363098</x:v>
      </x:c>
      <x:c r="P1002" s="65" t="n">
        <x:v>255767.94306535495</x:v>
      </x:c>
      <x:c r="Q1002" s="65" t="n">
        <x:v>212547.3472977431</x:v>
      </x:c>
      <x:c r="R1002" s="65" t="n">
        <x:v>74799.53818256776</x:v>
      </x:c>
      <x:c r="S1002" s="65" t="n">
        <x:v>137747.80911517536</x:v>
      </x:c>
      <x:c r="T1002" s="65" t="n">
        <x:v>211080.37780561647</x:v>
      </x:c>
      <x:c r="U1002" s="43" t="n">
        <x:v>0.9968675601196167</x:v>
      </x:c>
      <x:c r="V1002" s="43" t="n">
        <x:v>0.9980264347066431</x:v>
      </x:c>
      <x:c r="W1002" s="43" t="n">
        <x:v>0.9686756011961674</x:v>
      </x:c>
      <x:c r="X1002" s="65" t="n">
        <x:v>25094496.020389944</x:v>
      </x:c>
      <x:c r="Y1002" s="65" t="n">
        <x:v>53.58461817664222</x:v>
      </x:c>
      <x:c r="Z1002" s="65" t="n">
        <x:v>1320093.6634281103</x:v>
      </x:c>
      <x:c r="AA1002" s="65" t="n">
        <x:v>132299.02897019425</x:v>
      </x:c>
      <x:c r="AB1002" s="65" t="n">
        <x:v>2581.343868944661</x:v>
      </x:c>
      <x:c r="AC1002" s="65" t="n">
        <x:v>0</x:v>
      </x:c>
      <x:c r="AD1002" s="65" t="n">
        <x:v>1466.9694921266273</x:v>
      </x:c>
      <x:c r="AE1002" s="65" t="n">
        <x:v>135674.5923438697</x:v>
      </x:c>
      <x:c r="AF1002" s="65" t="n">
        <x:v>211080.37780561642</x:v>
      </x:c>
      <x:c r="AG1002" s="65" t="n">
        <x:v>5.820766091346741e-11</x:v>
      </x:c>
      <x:c r="AH1002" s="34" t="n">
        <x:v>1</x:v>
      </x:c>
    </x:row>
    <x:row r="1003" ht="21.600000381469727" hidden="0" customHeight="1">
      <x:c r="A1003" s="36" t="n">
        <x:v>250</x:v>
      </x:c>
      <x:c r="B1003" s="36" t="str">
        <x:v>P2</x:v>
      </x:c>
      <x:c r="C1003" s="36" t="str">
        <x:v>reference</x:v>
      </x:c>
      <x:c r="D1003" s="75" t="n">
        <x:v>0.9735276687841842</x:v>
      </x:c>
      <x:c r="E1003" s="75" t="n">
        <x:v>-0.026838278694846156</x:v>
      </x:c>
      <x:c r="F1003" s="75" t="n">
        <x:v>1.0313020910969595</x:v>
      </x:c>
      <x:c r="G1003" s="75" t="n">
        <x:v>1.1185662214114644</x:v>
      </x:c>
      <x:c r="H1003" s="75" t="n">
        <x:v>0.9128604733376932</x:v>
      </x:c>
      <x:c r="I1003" s="75" t="n">
        <x:v>1.0292277752161254</x:v>
      </x:c>
      <x:c r="J1003" s="75" t="n">
        <x:v>1.0059800258509972</x:v>
      </x:c>
      <x:c r="K1003" s="75" t="n">
        <x:v>0.9772650932146891</x:v>
      </x:c>
      <x:c r="L1003" s="75" t="n">
        <x:v>0.9572548760516846</x:v>
      </x:c>
      <x:c r="M1003" s="75" t="n">
        <x:v>0.8629689549550588</x:v>
      </x:c>
      <x:c r="N1003" s="75" t="n">
        <x:v>0.8727521465479952</x:v>
      </x:c>
      <x:c r="O1003" s="66" t="n">
        <x:v>468315.290363098</x:v>
      </x:c>
      <x:c r="P1003" s="66" t="n">
        <x:v>370527.69942214584</x:v>
      </x:c>
      <x:c r="Q1003" s="66" t="n">
        <x:v>97787.5909409522</x:v>
      </x:c>
      <x:c r="R1003" s="66" t="n">
        <x:v>74799.53818256776</x:v>
      </x:c>
      <x:c r="S1003" s="66" t="n">
        <x:v>22988.052758384445</x:v>
      </x:c>
      <x:c r="T1003" s="66" t="n">
        <x:v>96608.00478135166</x:v>
      </x:c>
      <x:c r="U1003" s="45" t="n">
        <x:v>0.9974812136526955</x:v>
      </x:c>
      <x:c r="V1003" s="45" t="n">
        <x:v>0.9984133806578934</x:v>
      </x:c>
      <x:c r="W1003" s="45" t="n">
        <x:v>0.9748121365269548</x:v>
      </x:c>
      <x:c r="X1003" s="66" t="n">
        <x:v>12031358.477835635</x:v>
      </x:c>
      <x:c r="Y1003" s="66" t="n">
        <x:v>25.690723163250517</x:v>
      </x:c>
      <x:c r="Z1003" s="66" t="n">
        <x:v>579648.0286881101</x:v>
      </x:c>
      <x:c r="AA1003" s="66" t="n">
        <x:v>67057.51053362593</x:v>
      </x:c>
      <x:c r="AB1003" s="66" t="n">
        <x:v>0</x:v>
      </x:c>
      <x:c r="AC1003" s="66" t="n">
        <x:v>0</x:v>
      </x:c>
      <x:c r="AD1003" s="66" t="n">
        <x:v>1179.5861596005316</x:v>
      </x:c>
      <x:c r="AE1003" s="66" t="n">
        <x:v>54085.10111742467</x:v>
      </x:c>
      <x:c r="AF1003" s="66" t="n">
        <x:v>96608.00478135161</x:v>
      </x:c>
      <x:c r="AG1003" s="66" t="n">
        <x:v>4.3655745685100555e-11</x:v>
      </x:c>
      <x:c r="AH1003" s="36" t="n">
        <x:v>1</x:v>
      </x:c>
    </x:row>
    <x:row r="1004" ht="21.600000381469727" hidden="0" customHeight="1">
      <x:c r="A1004" s="34" t="n">
        <x:v>250</x:v>
      </x:c>
      <x:c r="B1004" s="34" t="str">
        <x:v>H3</x:v>
      </x:c>
      <x:c r="C1004" s="34" t="str">
        <x:v>reference</x:v>
      </x:c>
      <x:c r="D1004" s="74" t="n">
        <x:v>0.9735276687841842</x:v>
      </x:c>
      <x:c r="E1004" s="74" t="n">
        <x:v>-0.026838278694846156</x:v>
      </x:c>
      <x:c r="F1004" s="74" t="n">
        <x:v>1.0313020910969595</x:v>
      </x:c>
      <x:c r="G1004" s="74" t="n">
        <x:v>1.1185662214114644</x:v>
      </x:c>
      <x:c r="H1004" s="74" t="n">
        <x:v>0.9128604733376932</x:v>
      </x:c>
      <x:c r="I1004" s="74" t="n">
        <x:v>1.0292277752161254</x:v>
      </x:c>
      <x:c r="J1004" s="74" t="n">
        <x:v>1.0059800258509972</x:v>
      </x:c>
      <x:c r="K1004" s="74" t="n">
        <x:v>0.9772650932146891</x:v>
      </x:c>
      <x:c r="L1004" s="74" t="n">
        <x:v>0.9572548760516846</x:v>
      </x:c>
      <x:c r="M1004" s="74" t="n">
        <x:v>0.8629689549550588</x:v>
      </x:c>
      <x:c r="N1004" s="74" t="n">
        <x:v>0.8727521465479952</x:v>
      </x:c>
      <x:c r="O1004" s="65" t="n">
        <x:v>468315.290363098</x:v>
      </x:c>
      <x:c r="P1004" s="65" t="n">
        <x:v>384369.2120802441</x:v>
      </x:c>
      <x:c r="Q1004" s="65" t="n">
        <x:v>83946.07828285391</x:v>
      </x:c>
      <x:c r="R1004" s="65" t="n">
        <x:v>74799.53818256776</x:v>
      </x:c>
      <x:c r="S1004" s="65" t="n">
        <x:v>9146.540100286136</x:v>
      </x:c>
      <x:c r="T1004" s="65" t="n">
        <x:v>82798.75280777577</x:v>
      </x:c>
      <x:c r="U1004" s="43" t="n">
        <x:v>0.9975501003305092</x:v>
      </x:c>
      <x:c r="V1004" s="43" t="n">
        <x:v>0.9984569136996047</x:v>
      </x:c>
      <x:c r="W1004" s="43" t="n">
        <x:v>0.9755010033050902</x:v>
      </x:c>
      <x:c r="X1004" s="65" t="n">
        <x:v>9414258.335441394</x:v>
      </x:c>
      <x:c r="Y1004" s="65" t="n">
        <x:v>20.102393684695315</x:v>
      </x:c>
      <x:c r="Z1004" s="65" t="n">
        <x:v>506110.8353639098</x:v>
      </x:c>
      <x:c r="AA1004" s="65" t="n">
        <x:v>62750.52443017984</x:v>
      </x:c>
      <x:c r="AB1004" s="65" t="n">
        <x:v>682.9445831091339</x:v>
      </x:c>
      <x:c r="AC1004" s="65" t="n">
        <x:v>0</x:v>
      </x:c>
      <x:c r="AD1004" s="65" t="n">
        <x:v>1147.3254750781193</x:v>
      </x:c>
      <x:c r="AE1004" s="65" t="n">
        <x:v>52440.86465385719</x:v>
      </x:c>
      <x:c r="AF1004" s="65" t="n">
        <x:v>82798.75280777579</x:v>
      </x:c>
      <x:c r="AG1004" s="65" t="n">
        <x:v>0</x:v>
      </x:c>
      <x:c r="AH1004" s="34" t="n">
        <x:v>1</x:v>
      </x:c>
    </x:row>
    <x:row r="1005" ht="15" hidden="0" customHeight="1">
      <x:c r="A1005" s="36" t="n">
        <x:v>251</x:v>
      </x:c>
      <x:c r="B1005" s="36" t="str">
        <x:v>M0</x:v>
      </x:c>
      <x:c r="C1005" s="36" t="str">
        <x:v>slow</x:v>
      </x:c>
      <x:c r="D1005" s="75" t="n">
        <x:v>1.1810227573582164</x:v>
      </x:c>
      <x:c r="E1005" s="75" t="n">
        <x:v>0.06932709615854052</x:v>
      </x:c>
      <x:c r="F1005" s="75" t="n">
        <x:v>0.945227276633123</x:v>
      </x:c>
      <x:c r="G1005" s="75" t="n">
        <x:v>1.0047721981565916</x:v>
      </x:c>
      <x:c r="H1005" s="75" t="n">
        <x:v>0.7704982891052228</x:v>
      </x:c>
      <x:c r="I1005" s="75" t="n">
        <x:v>0.9236651839024249</x:v>
      </x:c>
      <x:c r="J1005" s="75" t="n">
        <x:v>0.7439465424024412</x:v>
      </x:c>
      <x:c r="K1005" s="75" t="n">
        <x:v>0.8174281533713531</x:v>
      </x:c>
      <x:c r="L1005" s="75" t="n">
        <x:v>0.8328192520257478</x:v>
      </x:c>
      <x:c r="M1005" s="75" t="n">
        <x:v>0.9190327628751134</x:v>
      </x:c>
      <x:c r="N1005" s="75" t="n">
        <x:v>0.9881913146421047</x:v>
      </x:c>
      <x:c r="O1005" s="66" t="n">
        <x:v>568130.7612226185</x:v>
      </x:c>
      <x:c r="P1005" s="66" t="n">
        <x:v>74448.3449048104</x:v>
      </x:c>
      <x:c r="Q1005" s="66" t="n">
        <x:v>493682.41631780815</x:v>
      </x:c>
      <x:c r="R1005" s="66" t="n">
        <x:v>145376.61969840672</x:v>
      </x:c>
      <x:c r="S1005" s="66" t="n">
        <x:v>348305.7966194014</x:v>
      </x:c>
      <x:c r="T1005" s="66" t="n">
        <x:v>274172.48353533796</x:v>
      </x:c>
      <x:c r="U1005" s="45" t="n">
        <x:v>0.6136277988009584</x:v>
      </x:c>
      <x:c r="V1005" s="45" t="n">
        <x:v>0.6093707121396542</x:v>
      </x:c>
      <x:c r="W1005" s="45" t="n">
        <x:v>0.06412048098277547</x:v>
      </x:c>
      <x:c r="X1005" s="66" t="n">
        <x:v>66447707.98848952</x:v>
      </x:c>
      <x:c r="Y1005" s="66" t="n">
        <x:v>116.95847597742099</x:v>
      </x:c>
      <x:c r="Z1005" s="66" t="n">
        <x:v>2750026.7826043917</x:v>
      </x:c>
      <x:c r="AA1005" s="66" t="n">
        <x:v>374503.16774453234</x:v>
      </x:c>
      <x:c r="AB1005" s="66" t="n">
        <x:v>13832.15466415421</x:v>
      </x:c>
      <x:c r="AC1005" s="66" t="n">
        <x:v>2650.775773236639</x:v>
      </x:c>
      <x:c r="AD1005" s="66" t="n">
        <x:v>3151.567809233847</x:v>
      </x:c>
      <x:c r="AE1005" s="66" t="n">
        <x:v>217252.66381195275</x:v>
      </x:c>
      <x:c r="AF1005" s="66" t="n">
        <x:v>274172.4835353382</x:v>
      </x:c>
      <x:c r="AG1005" s="66" t="n">
        <x:v>0</x:v>
      </x:c>
      <x:c r="AH1005" s="36" t="n">
        <x:v>0</x:v>
      </x:c>
    </x:row>
    <x:row r="1006" ht="15" hidden="0" customHeight="1">
      <x:c r="A1006" s="34" t="n">
        <x:v>251</x:v>
      </x:c>
      <x:c r="B1006" s="34" t="str">
        <x:v>B1</x:v>
      </x:c>
      <x:c r="C1006" s="34" t="str">
        <x:v>slow</x:v>
      </x:c>
      <x:c r="D1006" s="74" t="n">
        <x:v>1.1810227573582164</x:v>
      </x:c>
      <x:c r="E1006" s="74" t="n">
        <x:v>0.06932709615854052</x:v>
      </x:c>
      <x:c r="F1006" s="74" t="n">
        <x:v>0.945227276633123</x:v>
      </x:c>
      <x:c r="G1006" s="74" t="n">
        <x:v>1.0047721981565916</x:v>
      </x:c>
      <x:c r="H1006" s="74" t="n">
        <x:v>0.7704982891052228</x:v>
      </x:c>
      <x:c r="I1006" s="74" t="n">
        <x:v>0.9236651839024249</x:v>
      </x:c>
      <x:c r="J1006" s="74" t="n">
        <x:v>0.7439465424024412</x:v>
      </x:c>
      <x:c r="K1006" s="74" t="n">
        <x:v>0.8174281533713531</x:v>
      </x:c>
      <x:c r="L1006" s="74" t="n">
        <x:v>0.8328192520257478</x:v>
      </x:c>
      <x:c r="M1006" s="74" t="n">
        <x:v>0.9190327628751134</x:v>
      </x:c>
      <x:c r="N1006" s="74" t="n">
        <x:v>0.9881913146421047</x:v>
      </x:c>
      <x:c r="O1006" s="65" t="n">
        <x:v>568130.7612226185</x:v>
      </x:c>
      <x:c r="P1006" s="65" t="n">
        <x:v>251836.04531855832</x:v>
      </x:c>
      <x:c r="Q1006" s="65" t="n">
        <x:v>316294.71590406017</x:v>
      </x:c>
      <x:c r="R1006" s="65" t="n">
        <x:v>145376.61969840672</x:v>
      </x:c>
      <x:c r="S1006" s="65" t="n">
        <x:v>170918.09620565348</x:v>
      </x:c>
      <x:c r="T1006" s="65" t="n">
        <x:v>185133.35702134747</x:v>
      </x:c>
      <x:c r="U1006" s="43" t="n">
        <x:v>0.7691352628038425</x:v>
      </x:c>
      <x:c r="V1006" s="43" t="n">
        <x:v>0.7608955835475465</x:v>
      </x:c>
      <x:c r="W1006" s="43" t="n">
        <x:v>0.22255434359787316</x:v>
      </x:c>
      <x:c r="X1006" s="65" t="n">
        <x:v>43938543.41127315</x:v>
      </x:c>
      <x:c r="Y1006" s="65" t="n">
        <x:v>77.3387860863533</x:v>
      </x:c>
      <x:c r="Z1006" s="65" t="n">
        <x:v>1189328.8269562311</x:v>
      </x:c>
      <x:c r="AA1006" s="65" t="n">
        <x:v>239673.05149584584</x:v>
      </x:c>
      <x:c r="AB1006" s="65" t="n">
        <x:v>1307.6319489499497</x:v>
      </x:c>
      <x:c r="AC1006" s="65" t="n">
        <x:v>247.21416839120968</x:v>
      </x:c>
      <x:c r="AD1006" s="65" t="n">
        <x:v>2603.5854507358235</x:v>
      </x:c>
      <x:c r="AE1006" s="65" t="n">
        <x:v>99753.62743626963</x:v>
      </x:c>
      <x:c r="AF1006" s="65" t="n">
        <x:v>185133.3570213474</x:v>
      </x:c>
      <x:c r="AG1006" s="65" t="n">
        <x:v>8.731149137020111e-11</x:v>
      </x:c>
      <x:c r="AH1006" s="34" t="n">
        <x:v>0</x:v>
      </x:c>
    </x:row>
    <x:row r="1007" ht="15" hidden="0" customHeight="1">
      <x:c r="A1007" s="36" t="n">
        <x:v>251</x:v>
      </x:c>
      <x:c r="B1007" s="36" t="str">
        <x:v>P2</x:v>
      </x:c>
      <x:c r="C1007" s="36" t="str">
        <x:v>slow</x:v>
      </x:c>
      <x:c r="D1007" s="75" t="n">
        <x:v>1.1810227573582164</x:v>
      </x:c>
      <x:c r="E1007" s="75" t="n">
        <x:v>0.06932709615854052</x:v>
      </x:c>
      <x:c r="F1007" s="75" t="n">
        <x:v>0.945227276633123</x:v>
      </x:c>
      <x:c r="G1007" s="75" t="n">
        <x:v>1.0047721981565916</x:v>
      </x:c>
      <x:c r="H1007" s="75" t="n">
        <x:v>0.7704982891052228</x:v>
      </x:c>
      <x:c r="I1007" s="75" t="n">
        <x:v>0.9236651839024249</x:v>
      </x:c>
      <x:c r="J1007" s="75" t="n">
        <x:v>0.7439465424024412</x:v>
      </x:c>
      <x:c r="K1007" s="75" t="n">
        <x:v>0.8174281533713531</x:v>
      </x:c>
      <x:c r="L1007" s="75" t="n">
        <x:v>0.8328192520257478</x:v>
      </x:c>
      <x:c r="M1007" s="75" t="n">
        <x:v>0.9190327628751134</x:v>
      </x:c>
      <x:c r="N1007" s="75" t="n">
        <x:v>0.9881913146421047</x:v>
      </x:c>
      <x:c r="O1007" s="66" t="n">
        <x:v>568130.7612226185</x:v>
      </x:c>
      <x:c r="P1007" s="66" t="n">
        <x:v>364834.35069182777</x:v>
      </x:c>
      <x:c r="Q1007" s="66" t="n">
        <x:v>203296.41053079074</x:v>
      </x:c>
      <x:c r="R1007" s="66" t="n">
        <x:v>145376.61969840672</x:v>
      </x:c>
      <x:c r="S1007" s="66" t="n">
        <x:v>57919.79083238405</x:v>
      </x:c>
      <x:c r="T1007" s="66" t="n">
        <x:v>106854.84004923748</x:v>
      </x:c>
      <x:c r="U1007" s="45" t="n">
        <x:v>0.8302475819580498</x:v>
      </x:c>
      <x:c r="V1007" s="45" t="n">
        <x:v>0.8244087898857768</x:v>
      </x:c>
      <x:c r="W1007" s="45" t="n">
        <x:v>0.32702746291226176</x:v>
      </x:c>
      <x:c r="X1007" s="66" t="n">
        <x:v>27472547.619918197</x:v>
      </x:c>
      <x:c r="Y1007" s="66" t="n">
        <x:v>48.35602909583213</x:v>
      </x:c>
      <x:c r="Z1007" s="66" t="n">
        <x:v>668531.4018343145</x:v>
      </x:c>
      <x:c r="AA1007" s="66" t="n">
        <x:v>154615.0471577493</x:v>
      </x:c>
      <x:c r="AB1007" s="66" t="n">
        <x:v>0</x:v>
      </x:c>
      <x:c r="AC1007" s="66" t="n">
        <x:v>0</x:v>
      </x:c>
      <x:c r="AD1007" s="66" t="n">
        <x:v>2271.129397319033</x:v>
      </x:c>
      <x:c r="AE1007" s="66" t="n">
        <x:v>29775.91750715318</x:v>
      </x:c>
      <x:c r="AF1007" s="66" t="n">
        <x:v>106854.84004923765</x:v>
      </x:c>
      <x:c r="AG1007" s="66" t="n">
        <x:v>0</x:v>
      </x:c>
      <x:c r="AH1007" s="36" t="n">
        <x:v>0</x:v>
      </x:c>
    </x:row>
    <x:row r="1008" ht="15" hidden="0" customHeight="1">
      <x:c r="A1008" s="34" t="n">
        <x:v>251</x:v>
      </x:c>
      <x:c r="B1008" s="34" t="str">
        <x:v>H3</x:v>
      </x:c>
      <x:c r="C1008" s="34" t="str">
        <x:v>slow</x:v>
      </x:c>
      <x:c r="D1008" s="74" t="n">
        <x:v>1.1810227573582164</x:v>
      </x:c>
      <x:c r="E1008" s="74" t="n">
        <x:v>0.06932709615854052</x:v>
      </x:c>
      <x:c r="F1008" s="74" t="n">
        <x:v>0.945227276633123</x:v>
      </x:c>
      <x:c r="G1008" s="74" t="n">
        <x:v>1.0047721981565916</x:v>
      </x:c>
      <x:c r="H1008" s="74" t="n">
        <x:v>0.7704982891052228</x:v>
      </x:c>
      <x:c r="I1008" s="74" t="n">
        <x:v>0.9236651839024249</x:v>
      </x:c>
      <x:c r="J1008" s="74" t="n">
        <x:v>0.7439465424024412</x:v>
      </x:c>
      <x:c r="K1008" s="74" t="n">
        <x:v>0.8174281533713531</x:v>
      </x:c>
      <x:c r="L1008" s="74" t="n">
        <x:v>0.8328192520257478</x:v>
      </x:c>
      <x:c r="M1008" s="74" t="n">
        <x:v>0.9190327628751134</x:v>
      </x:c>
      <x:c r="N1008" s="74" t="n">
        <x:v>0.9881913146421047</x:v>
      </x:c>
      <x:c r="O1008" s="65" t="n">
        <x:v>568130.7612226185</x:v>
      </x:c>
      <x:c r="P1008" s="65" t="n">
        <x:v>378463.73434943194</x:v>
      </x:c>
      <x:c r="Q1008" s="65" t="n">
        <x:v>189667.02687318655</x:v>
      </x:c>
      <x:c r="R1008" s="65" t="n">
        <x:v>145376.61969840672</x:v>
      </x:c>
      <x:c r="S1008" s="65" t="n">
        <x:v>44290.40717477983</x:v>
      </x:c>
      <x:c r="T1008" s="65" t="n">
        <x:v>97176.04458442255</x:v>
      </x:c>
      <x:c r="U1008" s="43" t="n">
        <x:v>0.8372012420349794</x:v>
      </x:c>
      <x:c r="V1008" s="43" t="n">
        <x:v>0.8319765875144466</x:v>
      </x:c>
      <x:c r="W1008" s="43" t="n">
        <x:v>0.3401753357141768</x:v>
      </x:c>
      <x:c r="X1008" s="65" t="n">
        <x:v>23416721.37433621</x:v>
      </x:c>
      <x:c r="Y1008" s="65" t="n">
        <x:v>41.21713340066885</x:v>
      </x:c>
      <x:c r="Z1008" s="65" t="n">
        <x:v>645685.0739805594</x:v>
      </x:c>
      <x:c r="AA1008" s="65" t="n">
        <x:v>130624.07862819519</x:v>
      </x:c>
      <x:c r="AB1008" s="65" t="n">
        <x:v>1236.8803634731046</x:v>
      </x:c>
      <x:c r="AC1008" s="65" t="n">
        <x:v>708.8616172584082</x:v>
      </x:c>
      <x:c r="AD1008" s="65" t="n">
        <x:v>2233.590046226882</x:v>
      </x:c>
      <x:c r="AE1008" s="65" t="n">
        <x:v>16042.686770388857</x:v>
      </x:c>
      <x:c r="AF1008" s="65" t="n">
        <x:v>97176.0445844224</x:v>
      </x:c>
      <x:c r="AG1008" s="65" t="n">
        <x:v>1.4551915228366852e-10</x:v>
      </x:c>
      <x:c r="AH1008" s="34" t="n">
        <x:v>0</x:v>
      </x:c>
    </x:row>
    <x:row r="1009" ht="15" hidden="0" customHeight="1">
      <x:c r="A1009" s="36" t="n">
        <x:v>252</x:v>
      </x:c>
      <x:c r="B1009" s="36" t="str">
        <x:v>M0</x:v>
      </x:c>
      <x:c r="C1009" s="36" t="str">
        <x:v>reference</x:v>
      </x:c>
      <x:c r="D1009" s="75" t="n">
        <x:v>1.0988976179398993</x:v>
      </x:c>
      <x:c r="E1009" s="75" t="n">
        <x:v>0.020203576907558515</x:v>
      </x:c>
      <x:c r="F1009" s="75" t="n">
        <x:v>0.9186051082475444</x:v>
      </x:c>
      <x:c r="G1009" s="75" t="n">
        <x:v>1.3126330118480107</x:v>
      </x:c>
      <x:c r="H1009" s="75" t="n">
        <x:v>1.034894390510742</x:v>
      </x:c>
      <x:c r="I1009" s="75" t="n">
        <x:v>0.9436433771421053</x:v>
      </x:c>
      <x:c r="J1009" s="75" t="n">
        <x:v>0.8579216474414306</x:v>
      </x:c>
      <x:c r="K1009" s="75" t="n">
        <x:v>0.9516531885588507</x:v>
      </x:c>
      <x:c r="L1009" s="75" t="n">
        <x:v>1.0297620093511957</x:v>
      </x:c>
      <x:c r="M1009" s="75" t="n">
        <x:v>0.8655158383435991</x:v>
      </x:c>
      <x:c r="N1009" s="75" t="n">
        <x:v>0.842901882186736</x:v>
      </x:c>
      <x:c r="O1009" s="66" t="n">
        <x:v>528624.479330465</x:v>
      </x:c>
      <x:c r="P1009" s="66" t="n">
        <x:v>71765.52396775858</x:v>
      </x:c>
      <x:c r="Q1009" s="66" t="n">
        <x:v>456858.9553627063</x:v>
      </x:c>
      <x:c r="R1009" s="66" t="n">
        <x:v>109299.62660112588</x:v>
      </x:c>
      <x:c r="S1009" s="66" t="n">
        <x:v>347559.32876158046</x:v>
      </x:c>
      <x:c r="T1009" s="66" t="n">
        <x:v>306766.7510440541</x:v>
      </x:c>
      <x:c r="U1009" s="45" t="n">
        <x:v>0.7160702725898105</x:v>
      </x:c>
      <x:c r="V1009" s="45" t="n">
        <x:v>0.729838764612191</x:v>
      </x:c>
      <x:c r="W1009" s="45" t="n">
        <x:v>0.14011653980888597</x:v>
      </x:c>
      <x:c r="X1009" s="66" t="n">
        <x:v>57959631.49876954</x:v>
      </x:c>
      <x:c r="Y1009" s="66" t="n">
        <x:v>109.6423524922246</x:v>
      </x:c>
      <x:c r="Z1009" s="66" t="n">
        <x:v>6573073.736873594</x:v>
      </x:c>
      <x:c r="AA1009" s="66" t="n">
        <x:v>310088.5054158026</x:v>
      </x:c>
      <x:c r="AB1009" s="66" t="n">
        <x:v>55005.31777075148</x:v>
      </x:c>
      <x:c r="AC1009" s="66" t="n">
        <x:v>3298.259391326462</x:v>
      </x:c>
      <x:c r="AD1009" s="66" t="n">
        <x:v>2239.4940591210016</x:v>
      </x:c>
      <x:c r="AE1009" s="66" t="n">
        <x:v>258215.60263009812</x:v>
      </x:c>
      <x:c r="AF1009" s="66" t="n">
        <x:v>306766.75104405405</x:v>
      </x:c>
      <x:c r="AG1009" s="66" t="n">
        <x:v>5.820766091346741e-11</x:v>
      </x:c>
      <x:c r="AH1009" s="36" t="n">
        <x:v>0</x:v>
      </x:c>
    </x:row>
    <x:row r="1010" ht="15" hidden="0" customHeight="1">
      <x:c r="A1010" s="34" t="n">
        <x:v>252</x:v>
      </x:c>
      <x:c r="B1010" s="34" t="str">
        <x:v>B1</x:v>
      </x:c>
      <x:c r="C1010" s="34" t="str">
        <x:v>reference</x:v>
      </x:c>
      <x:c r="D1010" s="74" t="n">
        <x:v>1.0988976179398993</x:v>
      </x:c>
      <x:c r="E1010" s="74" t="n">
        <x:v>0.020203576907558515</x:v>
      </x:c>
      <x:c r="F1010" s="74" t="n">
        <x:v>0.9186051082475444</x:v>
      </x:c>
      <x:c r="G1010" s="74" t="n">
        <x:v>1.3126330118480107</x:v>
      </x:c>
      <x:c r="H1010" s="74" t="n">
        <x:v>1.034894390510742</x:v>
      </x:c>
      <x:c r="I1010" s="74" t="n">
        <x:v>0.9436433771421053</x:v>
      </x:c>
      <x:c r="J1010" s="74" t="n">
        <x:v>0.8579216474414306</x:v>
      </x:c>
      <x:c r="K1010" s="74" t="n">
        <x:v>0.9516531885588507</x:v>
      </x:c>
      <x:c r="L1010" s="74" t="n">
        <x:v>1.0297620093511957</x:v>
      </x:c>
      <x:c r="M1010" s="74" t="n">
        <x:v>0.8655158383435991</x:v>
      </x:c>
      <x:c r="N1010" s="74" t="n">
        <x:v>0.842901882186736</x:v>
      </x:c>
      <x:c r="O1010" s="65" t="n">
        <x:v>528624.479330465</x:v>
      </x:c>
      <x:c r="P1010" s="65" t="n">
        <x:v>242759.12830121137</x:v>
      </x:c>
      <x:c r="Q1010" s="65" t="n">
        <x:v>285865.35102925356</x:v>
      </x:c>
      <x:c r="R1010" s="65" t="n">
        <x:v>109299.62660112588</x:v>
      </x:c>
      <x:c r="S1010" s="65" t="n">
        <x:v>176565.7244281277</x:v>
      </x:c>
      <x:c r="T1010" s="65" t="n">
        <x:v>224000.63743996958</x:v>
      </x:c>
      <x:c r="U1010" s="43" t="n">
        <x:v>0.8829703957946868</x:v>
      </x:c>
      <x:c r="V1010" s="43" t="n">
        <x:v>0.8947137185782744</x:v>
      </x:c>
      <x:c r="W1010" s="43" t="n">
        <x:v>0.5216550037553819</x:v>
      </x:c>
      <x:c r="X1010" s="65" t="n">
        <x:v>36090675.992597476</x:v>
      </x:c>
      <x:c r="Y1010" s="65" t="n">
        <x:v>68.27280499440455</x:v>
      </x:c>
      <x:c r="Z1010" s="65" t="n">
        <x:v>2872090.4374253354</x:v>
      </x:c>
      <x:c r="AA1010" s="65" t="n">
        <x:v>190223.22604457068</x:v>
      </x:c>
      <x:c r="AB1010" s="65" t="n">
        <x:v>16866.1349021785</x:v>
      </x:c>
      <x:c r="AC1010" s="65" t="n">
        <x:v>5557.069459359887</x:v>
      </x:c>
      <x:c r="AD1010" s="65" t="n">
        <x:v>1808.4695882479746</x:v>
      </x:c>
      <x:c r="AE1010" s="65" t="n">
        <x:v>151173.91481903562</x:v>
      </x:c>
      <x:c r="AF1010" s="65" t="n">
        <x:v>224000.6374399695</x:v>
      </x:c>
      <x:c r="AG1010" s="65" t="n">
        <x:v>8.731149137020111e-11</x:v>
      </x:c>
      <x:c r="AH1010" s="34" t="n">
        <x:v>0</x:v>
      </x:c>
    </x:row>
    <x:row r="1011" ht="15" hidden="0" customHeight="1">
      <x:c r="A1011" s="36" t="n">
        <x:v>252</x:v>
      </x:c>
      <x:c r="B1011" s="36" t="str">
        <x:v>P2</x:v>
      </x:c>
      <x:c r="C1011" s="36" t="str">
        <x:v>reference</x:v>
      </x:c>
      <x:c r="D1011" s="75" t="n">
        <x:v>1.0988976179398993</x:v>
      </x:c>
      <x:c r="E1011" s="75" t="n">
        <x:v>0.020203576907558515</x:v>
      </x:c>
      <x:c r="F1011" s="75" t="n">
        <x:v>0.9186051082475444</x:v>
      </x:c>
      <x:c r="G1011" s="75" t="n">
        <x:v>1.3126330118480107</x:v>
      </x:c>
      <x:c r="H1011" s="75" t="n">
        <x:v>1.034894390510742</x:v>
      </x:c>
      <x:c r="I1011" s="75" t="n">
        <x:v>0.9436433771421053</x:v>
      </x:c>
      <x:c r="J1011" s="75" t="n">
        <x:v>0.8579216474414306</x:v>
      </x:c>
      <x:c r="K1011" s="75" t="n">
        <x:v>0.9516531885588507</x:v>
      </x:c>
      <x:c r="L1011" s="75" t="n">
        <x:v>1.0297620093511957</x:v>
      </x:c>
      <x:c r="M1011" s="75" t="n">
        <x:v>0.8655158383435991</x:v>
      </x:c>
      <x:c r="N1011" s="75" t="n">
        <x:v>0.842901882186736</x:v>
      </x:c>
      <x:c r="O1011" s="66" t="n">
        <x:v>528624.479330465</x:v>
      </x:c>
      <x:c r="P1011" s="66" t="n">
        <x:v>351683.21055572946</x:v>
      </x:c>
      <x:c r="Q1011" s="66" t="n">
        <x:v>176941.26877473545</x:v>
      </x:c>
      <x:c r="R1011" s="66" t="n">
        <x:v>109299.62660112588</x:v>
      </x:c>
      <x:c r="S1011" s="66" t="n">
        <x:v>67641.64217360955</x:v>
      </x:c>
      <x:c r="T1011" s="66" t="n">
        <x:v>142746.08671769625</x:v>
      </x:c>
      <x:c r="U1011" s="45" t="n">
        <x:v>0.9353129047289874</x:v>
      </x:c>
      <x:c r="V1011" s="45" t="n">
        <x:v>0.9434161023707033</x:v>
      </x:c>
      <x:c r="W1011" s="45" t="n">
        <x:v>0.6274262055978926</x:v>
      </x:c>
      <x:c r="X1011" s="66" t="n">
        <x:v>20552661.939910047</x:v>
      </x:c>
      <x:c r="Y1011" s="66" t="n">
        <x:v>38.87951228808254</x:v>
      </x:c>
      <x:c r="Z1011" s="66" t="n">
        <x:v>1089568.4045337434</x:v>
      </x:c>
      <x:c r="AA1011" s="66" t="n">
        <x:v>118457.24723136102</x:v>
      </x:c>
      <x:c r="AB1011" s="66" t="n">
        <x:v>0</x:v>
      </x:c>
      <x:c r="AC1011" s="66" t="n">
        <x:v>19619.780385618156</x:v>
      </x:c>
      <x:c r="AD1011" s="66" t="n">
        <x:v>1548.031107984926</x:v>
      </x:c>
      <x:c r="AE1011" s="66" t="n">
        <x:v>76999.73990713089</x:v>
      </x:c>
      <x:c r="AF1011" s="66" t="n">
        <x:v>142746.08671769628</x:v>
      </x:c>
      <x:c r="AG1011" s="66" t="n">
        <x:v>0</x:v>
      </x:c>
      <x:c r="AH1011" s="36" t="n">
        <x:v>0</x:v>
      </x:c>
    </x:row>
    <x:row r="1012" ht="15" hidden="0" customHeight="1">
      <x:c r="A1012" s="34" t="n">
        <x:v>252</x:v>
      </x:c>
      <x:c r="B1012" s="34" t="str">
        <x:v>H3</x:v>
      </x:c>
      <x:c r="C1012" s="34" t="str">
        <x:v>reference</x:v>
      </x:c>
      <x:c r="D1012" s="74" t="n">
        <x:v>1.0988976179398993</x:v>
      </x:c>
      <x:c r="E1012" s="74" t="n">
        <x:v>0.020203576907558515</x:v>
      </x:c>
      <x:c r="F1012" s="74" t="n">
        <x:v>0.9186051082475444</x:v>
      </x:c>
      <x:c r="G1012" s="74" t="n">
        <x:v>1.3126330118480107</x:v>
      </x:c>
      <x:c r="H1012" s="74" t="n">
        <x:v>1.034894390510742</x:v>
      </x:c>
      <x:c r="I1012" s="74" t="n">
        <x:v>0.9436433771421053</x:v>
      </x:c>
      <x:c r="J1012" s="74" t="n">
        <x:v>0.8579216474414306</x:v>
      </x:c>
      <x:c r="K1012" s="74" t="n">
        <x:v>0.9516531885588507</x:v>
      </x:c>
      <x:c r="L1012" s="74" t="n">
        <x:v>1.0297620093511957</x:v>
      </x:c>
      <x:c r="M1012" s="74" t="n">
        <x:v>0.8655158383435991</x:v>
      </x:c>
      <x:c r="N1012" s="74" t="n">
        <x:v>0.842901882186736</x:v>
      </x:c>
      <x:c r="O1012" s="65" t="n">
        <x:v>528624.479330465</x:v>
      </x:c>
      <x:c r="P1012" s="65" t="n">
        <x:v>364821.0090213107</x:v>
      </x:c>
      <x:c r="Q1012" s="65" t="n">
        <x:v>163803.47030915422</x:v>
      </x:c>
      <x:c r="R1012" s="65" t="n">
        <x:v>109299.62660112588</x:v>
      </x:c>
      <x:c r="S1012" s="65" t="n">
        <x:v>54503.843708028355</x:v>
      </x:c>
      <x:c r="T1012" s="65" t="n">
        <x:v>162284.67514737192</x:v>
      </x:c>
      <x:c r="U1012" s="43" t="n">
        <x:v>0.9971268921111902</x:v>
      </x:c>
      <x:c r="V1012" s="43" t="n">
        <x:v>0.9981903913833823</x:v>
      </x:c>
      <x:c r="W1012" s="43" t="n">
        <x:v>0.9712689211119027</x:v>
      </x:c>
      <x:c r="X1012" s="65" t="n">
        <x:v>16437790.735383298</x:v>
      </x:c>
      <x:c r="Y1012" s="65" t="n">
        <x:v>31.095402082405943</x:v>
      </x:c>
      <x:c r="Z1012" s="65" t="n">
        <x:v>1232952.6221913996</x:v>
      </x:c>
      <x:c r="AA1012" s="65" t="n">
        <x:v>98617.17478873869</x:v>
      </x:c>
      <x:c r="AB1012" s="65" t="n">
        <x:v>4982.8124293005</x:v>
      </x:c>
      <x:c r="AC1012" s="65" t="n">
        <x:v>2580.7366347029147</x:v>
      </x:c>
      <x:c r="AD1012" s="65" t="n">
        <x:v>1518.7951617823053</x:v>
      </x:c>
      <x:c r="AE1012" s="65" t="n">
        <x:v>69368.78282869387</x:v>
      </x:c>
      <x:c r="AF1012" s="65" t="n">
        <x:v>162284.67514737207</x:v>
      </x:c>
      <x:c r="AG1012" s="65" t="n">
        <x:v>0</x:v>
      </x:c>
      <x:c r="AH1012" s="34" t="n">
        <x:v>1</x:v>
      </x:c>
    </x:row>
    <x:row r="1013" ht="21.600000381469727" hidden="0" customHeight="1">
      <x:c r="A1013" s="36" t="n">
        <x:v>253</x:v>
      </x:c>
      <x:c r="B1013" s="36" t="str">
        <x:v>M0</x:v>
      </x:c>
      <x:c r="C1013" s="36" t="str">
        <x:v>fast</x:v>
      </x:c>
      <x:c r="D1013" s="75" t="n">
        <x:v>1.0796439704523721</x:v>
      </x:c>
      <x:c r="E1013" s="75" t="n">
        <x:v>-0.037740733530246984</x:v>
      </x:c>
      <x:c r="F1013" s="75" t="n">
        <x:v>0.9354491510012664</x:v>
      </x:c>
      <x:c r="G1013" s="75" t="n">
        <x:v>1.2955520483194989</x:v>
      </x:c>
      <x:c r="H1013" s="75" t="n">
        <x:v>1.0213473891362466</x:v>
      </x:c>
      <x:c r="I1013" s="75" t="n">
        <x:v>0.7695324767015266</x:v>
      </x:c>
      <x:c r="J1013" s="75" t="n">
        <x:v>1.051182710798259</x:v>
      </x:c>
      <x:c r="K1013" s="75" t="n">
        <x:v>0.7975189388110189</x:v>
      </x:c>
      <x:c r="L1013" s="75" t="n">
        <x:v>0.98652945146731</x:v>
      </x:c>
      <x:c r="M1013" s="75" t="n">
        <x:v>0.9057787604714974</x:v>
      </x:c>
      <x:c r="N1013" s="75" t="n">
        <x:v>1.0073155666337008</x:v>
      </x:c>
      <x:c r="O1013" s="66" t="n">
        <x:v>519362.5160573195</x:v>
      </x:c>
      <x:c r="P1013" s="66" t="n">
        <x:v>77046.91464922624</x:v>
      </x:c>
      <x:c r="Q1013" s="66" t="n">
        <x:v>442315.60140809324</x:v>
      </x:c>
      <x:c r="R1013" s="66" t="n">
        <x:v>77290.49867696664</x:v>
      </x:c>
      <x:c r="S1013" s="66" t="n">
        <x:v>365025.10273112665</x:v>
      </x:c>
      <x:c r="T1013" s="66" t="n">
        <x:v>278669.67883939104</x:v>
      </x:c>
      <x:c r="U1013" s="45" t="n">
        <x:v>0.6849100242909303</x:v>
      </x:c>
      <x:c r="V1013" s="45" t="n">
        <x:v>0.6959366229987853</x:v>
      </x:c>
      <x:c r="W1013" s="45" t="n">
        <x:v>0.14577536164274169</x:v>
      </x:c>
      <x:c r="X1013" s="66" t="n">
        <x:v>58057767.36039165</x:v>
      </x:c>
      <x:c r="Y1013" s="66" t="n">
        <x:v>111.78659523049619</x:v>
      </x:c>
      <x:c r="Z1013" s="66" t="n">
        <x:v>7493517.401653871</x:v>
      </x:c>
      <x:c r="AA1013" s="66" t="n">
        <x:v>304133.07171412813</x:v>
      </x:c>
      <x:c r="AB1013" s="66" t="n">
        <x:v>69824.02890841078</x:v>
      </x:c>
      <x:c r="AC1013" s="66" t="n">
        <x:v>0</x:v>
      </x:c>
      <x:c r="AD1013" s="66" t="n">
        <x:v>2171.152143537285</x:v>
      </x:c>
      <x:c r="AE1013" s="66" t="n">
        <x:v>220648.30220128983</x:v>
      </x:c>
      <x:c r="AF1013" s="66" t="n">
        <x:v>278669.67883939104</x:v>
      </x:c>
      <x:c r="AG1013" s="66" t="n">
        <x:v>0</x:v>
      </x:c>
      <x:c r="AH1013" s="36" t="n">
        <x:v>0</x:v>
      </x:c>
    </x:row>
    <x:row r="1014" ht="21.600000381469727" hidden="0" customHeight="1">
      <x:c r="A1014" s="34" t="n">
        <x:v>253</x:v>
      </x:c>
      <x:c r="B1014" s="34" t="str">
        <x:v>B1</x:v>
      </x:c>
      <x:c r="C1014" s="34" t="str">
        <x:v>fast</x:v>
      </x:c>
      <x:c r="D1014" s="74" t="n">
        <x:v>1.0796439704523721</x:v>
      </x:c>
      <x:c r="E1014" s="74" t="n">
        <x:v>-0.037740733530246984</x:v>
      </x:c>
      <x:c r="F1014" s="74" t="n">
        <x:v>0.9354491510012664</x:v>
      </x:c>
      <x:c r="G1014" s="74" t="n">
        <x:v>1.2955520483194989</x:v>
      </x:c>
      <x:c r="H1014" s="74" t="n">
        <x:v>1.0213473891362466</x:v>
      </x:c>
      <x:c r="I1014" s="74" t="n">
        <x:v>0.7695324767015266</x:v>
      </x:c>
      <x:c r="J1014" s="74" t="n">
        <x:v>1.051182710798259</x:v>
      </x:c>
      <x:c r="K1014" s="74" t="n">
        <x:v>0.7975189388110189</x:v>
      </x:c>
      <x:c r="L1014" s="74" t="n">
        <x:v>0.98652945146731</x:v>
      </x:c>
      <x:c r="M1014" s="74" t="n">
        <x:v>0.9057787604714974</x:v>
      </x:c>
      <x:c r="N1014" s="74" t="n">
        <x:v>1.0073155666337008</x:v>
      </x:c>
      <x:c r="O1014" s="65" t="n">
        <x:v>519362.5160573195</x:v>
      </x:c>
      <x:c r="P1014" s="65" t="n">
        <x:v>260622.39375494584</x:v>
      </x:c>
      <x:c r="Q1014" s="65" t="n">
        <x:v>258740.1223023737</x:v>
      </x:c>
      <x:c r="R1014" s="65" t="n">
        <x:v>77290.49867696664</x:v>
      </x:c>
      <x:c r="S1014" s="65" t="n">
        <x:v>181449.62362540702</x:v>
      </x:c>
      <x:c r="T1014" s="65" t="n">
        <x:v>199009.04711178842</x:v>
      </x:c>
      <x:c r="U1014" s="43" t="n">
        <x:v>0.8849915553320507</x:v>
      </x:c>
      <x:c r="V1014" s="43" t="n">
        <x:v>0.8825689486455722</x:v>
      </x:c>
      <x:c r="W1014" s="43" t="n">
        <x:v>0.5532768345916843</x:v>
      </x:c>
      <x:c r="X1014" s="65" t="n">
        <x:v>33699030.81248419</x:v>
      </x:c>
      <x:c r="Y1014" s="65" t="n">
        <x:v>64.88537345418473</x:v>
      </x:c>
      <x:c r="Z1014" s="65" t="n">
        <x:v>3918109.8158600386</x:v>
      </x:c>
      <x:c r="AA1014" s="65" t="n">
        <x:v>168877.1172079736</x:v>
      </x:c>
      <x:c r="AB1014" s="65" t="n">
        <x:v>30708.653394200097</x:v>
      </x:c>
      <x:c r="AC1014" s="65" t="n">
        <x:v>17326.464307543538</x:v>
      </x:c>
      <x:c r="AD1014" s="65" t="n">
        <x:v>1681.7759728054339</x:v>
      </x:c>
      <x:c r="AE1014" s="65" t="n">
        <x:v>123809.71746441709</x:v>
      </x:c>
      <x:c r="AF1014" s="65" t="n">
        <x:v>199009.04711178844</x:v>
      </x:c>
      <x:c r="AG1014" s="65" t="n">
        <x:v>0</x:v>
      </x:c>
      <x:c r="AH1014" s="34" t="n">
        <x:v>0</x:v>
      </x:c>
    </x:row>
    <x:row r="1015" ht="21.600000381469727" hidden="0" customHeight="1">
      <x:c r="A1015" s="36" t="n">
        <x:v>253</x:v>
      </x:c>
      <x:c r="B1015" s="36" t="str">
        <x:v>P2</x:v>
      </x:c>
      <x:c r="C1015" s="36" t="str">
        <x:v>fast</x:v>
      </x:c>
      <x:c r="D1015" s="75" t="n">
        <x:v>1.0796439704523721</x:v>
      </x:c>
      <x:c r="E1015" s="75" t="n">
        <x:v>-0.037740733530246984</x:v>
      </x:c>
      <x:c r="F1015" s="75" t="n">
        <x:v>0.9354491510012664</x:v>
      </x:c>
      <x:c r="G1015" s="75" t="n">
        <x:v>1.2955520483194989</x:v>
      </x:c>
      <x:c r="H1015" s="75" t="n">
        <x:v>1.0213473891362466</x:v>
      </x:c>
      <x:c r="I1015" s="75" t="n">
        <x:v>0.7695324767015266</x:v>
      </x:c>
      <x:c r="J1015" s="75" t="n">
        <x:v>1.051182710798259</x:v>
      </x:c>
      <x:c r="K1015" s="75" t="n">
        <x:v>0.7975189388110189</x:v>
      </x:c>
      <x:c r="L1015" s="75" t="n">
        <x:v>0.98652945146731</x:v>
      </x:c>
      <x:c r="M1015" s="75" t="n">
        <x:v>0.9057787604714974</x:v>
      </x:c>
      <x:c r="N1015" s="75" t="n">
        <x:v>1.0073155666337008</x:v>
      </x:c>
      <x:c r="O1015" s="66" t="n">
        <x:v>519362.5160573195</x:v>
      </x:c>
      <x:c r="P1015" s="66" t="n">
        <x:v>377559.9980408745</x:v>
      </x:c>
      <x:c r="Q1015" s="66" t="n">
        <x:v>141802.51801644504</x:v>
      </x:c>
      <x:c r="R1015" s="66" t="n">
        <x:v>77290.49867696664</x:v>
      </x:c>
      <x:c r="S1015" s="66" t="n">
        <x:v>64512.019339478386</x:v>
      </x:c>
      <x:c r="T1015" s="66" t="n">
        <x:v>119627.83645193226</x:v>
      </x:c>
      <x:c r="U1015" s="45" t="n">
        <x:v>0.9573040393194925</x:v>
      </x:c>
      <x:c r="V1015" s="45" t="n">
        <x:v>0.9661146847255442</x:v>
      </x:c>
      <x:c r="W1015" s="45" t="n">
        <x:v>0.8522522845769424</x:v>
      </x:c>
      <x:c r="X1015" s="66" t="n">
        <x:v>16013954.665598184</x:v>
      </x:c>
      <x:c r="Y1015" s="66" t="n">
        <x:v>30.833866847315573</x:v>
      </x:c>
      <x:c r="Z1015" s="66" t="n">
        <x:v>1279022.3325272738</x:v>
      </x:c>
      <x:c r="AA1015" s="66" t="n">
        <x:v>90219.67945733544</x:v>
      </x:c>
      <x:c r="AB1015" s="66" t="n">
        <x:v>1306.9301375593286</x:v>
      </x:c>
      <x:c r="AC1015" s="66" t="n">
        <x:v>20788.635263421875</x:v>
      </x:c>
      <x:c r="AD1015" s="66" t="n">
        <x:v>1386.0795685520911</x:v>
      </x:c>
      <x:c r="AE1015" s="66" t="n">
        <x:v>63509.91186618833</x:v>
      </x:c>
      <x:c r="AF1015" s="66" t="n">
        <x:v>119627.83645193226</x:v>
      </x:c>
      <x:c r="AG1015" s="66" t="n">
        <x:v>0</x:v>
      </x:c>
      <x:c r="AH1015" s="36" t="n">
        <x:v>1</x:v>
      </x:c>
    </x:row>
    <x:row r="1016" ht="21.600000381469727" hidden="0" customHeight="1">
      <x:c r="A1016" s="34" t="n">
        <x:v>253</x:v>
      </x:c>
      <x:c r="B1016" s="34" t="str">
        <x:v>H3</x:v>
      </x:c>
      <x:c r="C1016" s="34" t="str">
        <x:v>fast</x:v>
      </x:c>
      <x:c r="D1016" s="74" t="n">
        <x:v>1.0796439704523721</x:v>
      </x:c>
      <x:c r="E1016" s="74" t="n">
        <x:v>-0.037740733530246984</x:v>
      </x:c>
      <x:c r="F1016" s="74" t="n">
        <x:v>0.9354491510012664</x:v>
      </x:c>
      <x:c r="G1016" s="74" t="n">
        <x:v>1.2955520483194989</x:v>
      </x:c>
      <x:c r="H1016" s="74" t="n">
        <x:v>1.0213473891362466</x:v>
      </x:c>
      <x:c r="I1016" s="74" t="n">
        <x:v>0.7695324767015266</x:v>
      </x:c>
      <x:c r="J1016" s="74" t="n">
        <x:v>1.051182710798259</x:v>
      </x:c>
      <x:c r="K1016" s="74" t="n">
        <x:v>0.7975189388110189</x:v>
      </x:c>
      <x:c r="L1016" s="74" t="n">
        <x:v>0.98652945146731</x:v>
      </x:c>
      <x:c r="M1016" s="74" t="n">
        <x:v>0.9057787604714974</x:v>
      </x:c>
      <x:c r="N1016" s="74" t="n">
        <x:v>1.0073155666337008</x:v>
      </x:c>
      <x:c r="O1016" s="65" t="n">
        <x:v>519362.5160573195</x:v>
      </x:c>
      <x:c r="P1016" s="65" t="n">
        <x:v>391664.15404669475</x:v>
      </x:c>
      <x:c r="Q1016" s="65" t="n">
        <x:v>127698.36201062478</x:v>
      </x:c>
      <x:c r="R1016" s="65" t="n">
        <x:v>77290.49867696664</x:v>
      </x:c>
      <x:c r="S1016" s="65" t="n">
        <x:v>50407.86333365812</x:v>
      </x:c>
      <x:c r="T1016" s="65" t="n">
        <x:v>126345.47632401489</x:v>
      </x:c>
      <x:c r="U1016" s="43" t="n">
        <x:v>0.9973951033338329</x:v>
      </x:c>
      <x:c r="V1016" s="43" t="n">
        <x:v>0.9983593017991833</x:v>
      </x:c>
      <x:c r="W1016" s="43" t="n">
        <x:v>0.9739510333383288</x:v>
      </x:c>
      <x:c r="X1016" s="65" t="n">
        <x:v>11356275.839796662</x:v>
      </x:c>
      <x:c r="Y1016" s="65" t="n">
        <x:v>21.865797951701477</x:v>
      </x:c>
      <x:c r="Z1016" s="65" t="n">
        <x:v>1486553.059817998</x:v>
      </x:c>
      <x:c r="AA1016" s="65" t="n">
        <x:v>80298.11066809883</x:v>
      </x:c>
      <x:c r="AB1016" s="65" t="n">
        <x:v>16647.207303029205</x:v>
      </x:c>
      <x:c r="AC1016" s="65" t="n">
        <x:v>0</x:v>
      </x:c>
      <x:c r="AD1016" s="65" t="n">
        <x:v>1352.8856866098854</x:v>
      </x:c>
      <x:c r="AE1016" s="65" t="n">
        <x:v>61818.1129516671</x:v>
      </x:c>
      <x:c r="AF1016" s="65" t="n">
        <x:v>126345.47632401489</x:v>
      </x:c>
      <x:c r="AG1016" s="65" t="n">
        <x:v>0</x:v>
      </x:c>
      <x:c r="AH1016" s="34" t="n">
        <x:v>1</x:v>
      </x:c>
    </x:row>
    <x:row r="1017" ht="15" hidden="0" customHeight="1">
      <x:c r="A1017" s="36" t="n">
        <x:v>254</x:v>
      </x:c>
      <x:c r="B1017" s="36" t="str">
        <x:v>M0</x:v>
      </x:c>
      <x:c r="C1017" s="36" t="str">
        <x:v>slow</x:v>
      </x:c>
      <x:c r="D1017" s="75" t="n">
        <x:v>0.9312365807708105</x:v>
      </x:c>
      <x:c r="E1017" s="75" t="n">
        <x:v>0.07837492599035176</x:v>
      </x:c>
      <x:c r="F1017" s="75" t="n">
        <x:v>0.9924448315521655</x:v>
      </x:c>
      <x:c r="G1017" s="75" t="n">
        <x:v>1.2580911179699314</x:v>
      </x:c>
      <x:c r="H1017" s="75" t="n">
        <x:v>1.0174433133364167</x:v>
      </x:c>
      <x:c r="I1017" s="75" t="n">
        <x:v>0.9739514725632632</x:v>
      </x:c>
      <x:c r="J1017" s="75" t="n">
        <x:v>1.0638038363687197</x:v>
      </x:c>
      <x:c r="K1017" s="75" t="n">
        <x:v>0.8838794794193902</x:v>
      </x:c>
      <x:c r="L1017" s="75" t="n">
        <x:v>0.9313426349593544</x:v>
      </x:c>
      <x:c r="M1017" s="75" t="n">
        <x:v>0.8089036365719039</x:v>
      </x:c>
      <x:c r="N1017" s="75" t="n">
        <x:v>0.8595799874454285</x:v>
      </x:c>
      <x:c r="O1017" s="66" t="n">
        <x:v>447971.17093248223</x:v>
      </x:c>
      <x:c r="P1017" s="66" t="n">
        <x:v>60885.350611137605</x:v>
      </x:c>
      <x:c r="Q1017" s="66" t="n">
        <x:v>387085.82032134465</x:v>
      </x:c>
      <x:c r="R1017" s="66" t="n">
        <x:v>118682.64837020962</x:v>
      </x:c>
      <x:c r="S1017" s="66" t="n">
        <x:v>268403.171951135</x:v>
      </x:c>
      <x:c r="T1017" s="66" t="n">
        <x:v>246842.5889204318</x:v>
      </x:c>
      <x:c r="U1017" s="45" t="n">
        <x:v>0.6869369269701282</x:v>
      </x:c>
      <x:c r="V1017" s="45" t="n">
        <x:v>0.6712259076993784</x:v>
      </x:c>
      <x:c r="W1017" s="45" t="n">
        <x:v>0.06572338813382247</x:v>
      </x:c>
      <x:c r="X1017" s="66" t="n">
        <x:v>46248265.75455702</x:v>
      </x:c>
      <x:c r="Y1017" s="66" t="n">
        <x:v>103.23937957500286</x:v>
      </x:c>
      <x:c r="Z1017" s="66" t="n">
        <x:v>2537775.8243049695</x:v>
      </x:c>
      <x:c r="AA1017" s="66" t="n">
        <x:v>250341.78343397746</x:v>
      </x:c>
      <x:c r="AB1017" s="66" t="n">
        <x:v>18074.677312108422</x:v>
      </x:c>
      <x:c r="AC1017" s="66" t="n">
        <x:v>0</x:v>
      </x:c>
      <x:c r="AD1017" s="66" t="n">
        <x:v>2480.259292444122</x:v>
      </x:c>
      <x:c r="AE1017" s="66" t="n">
        <x:v>222086.68528200345</x:v>
      </x:c>
      <x:c r="AF1017" s="66" t="n">
        <x:v>246842.58892043165</x:v>
      </x:c>
      <x:c r="AG1017" s="66" t="n">
        <x:v>1.4551915228366852e-10</x:v>
      </x:c>
      <x:c r="AH1017" s="36" t="n">
        <x:v>0</x:v>
      </x:c>
    </x:row>
    <x:row r="1018" ht="15" hidden="0" customHeight="1">
      <x:c r="A1018" s="34" t="n">
        <x:v>254</x:v>
      </x:c>
      <x:c r="B1018" s="34" t="str">
        <x:v>B1</x:v>
      </x:c>
      <x:c r="C1018" s="34" t="str">
        <x:v>slow</x:v>
      </x:c>
      <x:c r="D1018" s="74" t="n">
        <x:v>0.9312365807708105</x:v>
      </x:c>
      <x:c r="E1018" s="74" t="n">
        <x:v>0.07837492599035176</x:v>
      </x:c>
      <x:c r="F1018" s="74" t="n">
        <x:v>0.9924448315521655</x:v>
      </x:c>
      <x:c r="G1018" s="74" t="n">
        <x:v>1.2580911179699314</x:v>
      </x:c>
      <x:c r="H1018" s="74" t="n">
        <x:v>1.0174433133364167</x:v>
      </x:c>
      <x:c r="I1018" s="74" t="n">
        <x:v>0.9739514725632632</x:v>
      </x:c>
      <x:c r="J1018" s="74" t="n">
        <x:v>1.0638038363687197</x:v>
      </x:c>
      <x:c r="K1018" s="74" t="n">
        <x:v>0.8838794794193902</x:v>
      </x:c>
      <x:c r="L1018" s="74" t="n">
        <x:v>0.9313426349593544</x:v>
      </x:c>
      <x:c r="M1018" s="74" t="n">
        <x:v>0.8089036365719039</x:v>
      </x:c>
      <x:c r="N1018" s="74" t="n">
        <x:v>0.8595799874454285</x:v>
      </x:c>
      <x:c r="O1018" s="65" t="n">
        <x:v>447971.17093248223</x:v>
      </x:c>
      <x:c r="P1018" s="65" t="n">
        <x:v>205956.86754894565</x:v>
      </x:c>
      <x:c r="Q1018" s="65" t="n">
        <x:v>242014.30338353658</x:v>
      </x:c>
      <x:c r="R1018" s="65" t="n">
        <x:v>118682.64837020962</x:v>
      </x:c>
      <x:c r="S1018" s="65" t="n">
        <x:v>123331.65501332695</x:v>
      </x:c>
      <x:c r="T1018" s="65" t="n">
        <x:v>142146.18063982716</x:v>
      </x:c>
      <x:c r="U1018" s="43" t="n">
        <x:v>0.7770657372084298</x:v>
      </x:c>
      <x:c r="V1018" s="43" t="n">
        <x:v>0.767542302969054</x:v>
      </x:c>
      <x:c r="W1018" s="43" t="n">
        <x:v>0.22811783818465645</x:v>
      </x:c>
      <x:c r="X1018" s="65" t="n">
        <x:v>30506470.536858816</x:v>
      </x:c>
      <x:c r="Y1018" s="65" t="n">
        <x:v>68.09918252854874</x:v>
      </x:c>
      <x:c r="Z1018" s="65" t="n">
        <x:v>976696.2167894732</x:v>
      </x:c>
      <x:c r="AA1018" s="65" t="n">
        <x:v>151747.38970909725</x:v>
      </x:c>
      <x:c r="AB1018" s="65" t="n">
        <x:v>3203.1991673646944</x:v>
      </x:c>
      <x:c r="AC1018" s="65" t="n">
        <x:v>0</x:v>
      </x:c>
      <x:c r="AD1018" s="65" t="n">
        <x:v>2037.3737422677386</x:v>
      </x:c>
      <x:c r="AE1018" s="65" t="n">
        <x:v>67878.4697245422</x:v>
      </x:c>
      <x:c r="AF1018" s="65" t="n">
        <x:v>142146.18063982704</x:v>
      </x:c>
      <x:c r="AG1018" s="65" t="n">
        <x:v>1.1641532182693481e-10</x:v>
      </x:c>
      <x:c r="AH1018" s="34" t="n">
        <x:v>0</x:v>
      </x:c>
    </x:row>
    <x:row r="1019" ht="15" hidden="0" customHeight="1">
      <x:c r="A1019" s="36" t="n">
        <x:v>254</x:v>
      </x:c>
      <x:c r="B1019" s="36" t="str">
        <x:v>P2</x:v>
      </x:c>
      <x:c r="C1019" s="36" t="str">
        <x:v>slow</x:v>
      </x:c>
      <x:c r="D1019" s="75" t="n">
        <x:v>0.9312365807708105</x:v>
      </x:c>
      <x:c r="E1019" s="75" t="n">
        <x:v>0.07837492599035176</x:v>
      </x:c>
      <x:c r="F1019" s="75" t="n">
        <x:v>0.9924448315521655</x:v>
      </x:c>
      <x:c r="G1019" s="75" t="n">
        <x:v>1.2580911179699314</x:v>
      </x:c>
      <x:c r="H1019" s="75" t="n">
        <x:v>1.0174433133364167</x:v>
      </x:c>
      <x:c r="I1019" s="75" t="n">
        <x:v>0.9739514725632632</x:v>
      </x:c>
      <x:c r="J1019" s="75" t="n">
        <x:v>1.0638038363687197</x:v>
      </x:c>
      <x:c r="K1019" s="75" t="n">
        <x:v>0.8838794794193902</x:v>
      </x:c>
      <x:c r="L1019" s="75" t="n">
        <x:v>0.9313426349593544</x:v>
      </x:c>
      <x:c r="M1019" s="75" t="n">
        <x:v>0.8089036365719039</x:v>
      </x:c>
      <x:c r="N1019" s="75" t="n">
        <x:v>0.8595799874454285</x:v>
      </x:c>
      <x:c r="O1019" s="66" t="n">
        <x:v>447971.17093248223</x:v>
      </x:c>
      <x:c r="P1019" s="66" t="n">
        <x:v>298369.52313179563</x:v>
      </x:c>
      <x:c r="Q1019" s="66" t="n">
        <x:v>149601.64780068657</x:v>
      </x:c>
      <x:c r="R1019" s="66" t="n">
        <x:v>118682.64837020962</x:v>
      </x:c>
      <x:c r="S1019" s="66" t="n">
        <x:v>30918.999430476953</x:v>
      </x:c>
      <x:c r="T1019" s="66" t="n">
        <x:v>76407.61564825929</x:v>
      </x:c>
      <x:c r="U1019" s="45" t="n">
        <x:v>0.8366099496981715</x:v>
      </x:c>
      <x:c r="V1019" s="45" t="n">
        <x:v>0.8311449524830993</x:v>
      </x:c>
      <x:c r="W1019" s="45" t="n">
        <x:v>0.335202614608826</x:v>
      </x:c>
      <x:c r="X1019" s="66" t="n">
        <x:v>19386751.350107983</x:v>
      </x:c>
      <x:c r="Y1019" s="66" t="n">
        <x:v>43.276783436204504</x:v>
      </x:c>
      <x:c r="Z1019" s="66" t="n">
        <x:v>490986.371017383</x:v>
      </x:c>
      <x:c r="AA1019" s="66" t="n">
        <x:v>102472.58673296779</x:v>
      </x:c>
      <x:c r="AB1019" s="66" t="n">
        <x:v>0</x:v>
      </x:c>
      <x:c r="AC1019" s="66" t="n">
        <x:v>0</x:v>
      </x:c>
      <x:c r="AD1019" s="66" t="n">
        <x:v>1768.6789935343354</x:v>
      </x:c>
      <x:c r="AE1019" s="66" t="n">
        <x:v>13135.245708287344</x:v>
      </x:c>
      <x:c r="AF1019" s="66" t="n">
        <x:v>76407.6156482593</x:v>
      </x:c>
      <x:c r="AG1019" s="66" t="n">
        <x:v>0</x:v>
      </x:c>
      <x:c r="AH1019" s="36" t="n">
        <x:v>0</x:v>
      </x:c>
    </x:row>
    <x:row r="1020" ht="15" hidden="0" customHeight="1">
      <x:c r="A1020" s="34" t="n">
        <x:v>254</x:v>
      </x:c>
      <x:c r="B1020" s="34" t="str">
        <x:v>H3</x:v>
      </x:c>
      <x:c r="C1020" s="34" t="str">
        <x:v>slow</x:v>
      </x:c>
      <x:c r="D1020" s="74" t="n">
        <x:v>0.9312365807708105</x:v>
      </x:c>
      <x:c r="E1020" s="74" t="n">
        <x:v>0.07837492599035176</x:v>
      </x:c>
      <x:c r="F1020" s="74" t="n">
        <x:v>0.9924448315521655</x:v>
      </x:c>
      <x:c r="G1020" s="74" t="n">
        <x:v>1.2580911179699314</x:v>
      </x:c>
      <x:c r="H1020" s="74" t="n">
        <x:v>1.0174433133364167</x:v>
      </x:c>
      <x:c r="I1020" s="74" t="n">
        <x:v>0.9739514725632632</x:v>
      </x:c>
      <x:c r="J1020" s="74" t="n">
        <x:v>1.0638038363687197</x:v>
      </x:c>
      <x:c r="K1020" s="74" t="n">
        <x:v>0.8838794794193902</x:v>
      </x:c>
      <x:c r="L1020" s="74" t="n">
        <x:v>0.9313426349593544</x:v>
      </x:c>
      <x:c r="M1020" s="74" t="n">
        <x:v>0.8089036365719039</x:v>
      </x:c>
      <x:c r="N1020" s="74" t="n">
        <x:v>0.8595799874454285</x:v>
      </x:c>
      <x:c r="O1020" s="65" t="n">
        <x:v>447971.17093248223</x:v>
      </x:c>
      <x:c r="P1020" s="65" t="n">
        <x:v>309515.98025602824</x:v>
      </x:c>
      <x:c r="Q1020" s="65" t="n">
        <x:v>138455.19067645402</x:v>
      </x:c>
      <x:c r="R1020" s="65" t="n">
        <x:v>118682.64837020962</x:v>
      </x:c>
      <x:c r="S1020" s="65" t="n">
        <x:v>19772.5423062444</x:v>
      </x:c>
      <x:c r="T1020" s="65" t="n">
        <x:v>68482.98606505044</x:v>
      </x:c>
      <x:c r="U1020" s="43" t="n">
        <x:v>0.8438019918430204</x:v>
      </x:c>
      <x:c r="V1020" s="43" t="n">
        <x:v>0.8389736436497394</x:v>
      </x:c>
      <x:c r="W1020" s="43" t="n">
        <x:v>0.34867916272652505</x:v>
      </x:c>
      <x:c r="X1020" s="65" t="n">
        <x:v>17330547.328347716</x:v>
      </x:c>
      <x:c r="Y1020" s="65" t="n">
        <x:v>38.68674694461479</x:v>
      </x:c>
      <x:c r="Z1020" s="65" t="n">
        <x:v>485493.23887522495</x:v>
      </x:c>
      <x:c r="AA1020" s="65" t="n">
        <x:v>96540.26729730325</x:v>
      </x:c>
      <x:c r="AB1020" s="65" t="n">
        <x:v>1556.5954643424602</x:v>
      </x:c>
      <x:c r="AC1020" s="65" t="n">
        <x:v>0</x:v>
      </x:c>
      <x:c r="AD1020" s="65" t="n">
        <x:v>1738.3392647020396</x:v>
      </x:c>
      <x:c r="AE1020" s="65" t="n">
        <x:v>12486.170047629821</x:v>
      </x:c>
      <x:c r="AF1020" s="65" t="n">
        <x:v>68482.98606505043</x:v>
      </x:c>
      <x:c r="AG1020" s="65" t="n">
        <x:v>1.4551915228366852e-11</x:v>
      </x:c>
      <x:c r="AH1020" s="34" t="n">
        <x:v>0</x:v>
      </x:c>
    </x:row>
    <x:row r="1021" ht="15" hidden="0" customHeight="1">
      <x:c r="A1021" s="36" t="n">
        <x:v>255</x:v>
      </x:c>
      <x:c r="B1021" s="36" t="str">
        <x:v>M0</x:v>
      </x:c>
      <x:c r="C1021" s="36" t="str">
        <x:v>fast</x:v>
      </x:c>
      <x:c r="D1021" s="75" t="n">
        <x:v>0.9120053437520176</x:v>
      </x:c>
      <x:c r="E1021" s="75" t="n">
        <x:v>0.05281148381778455</x:v>
      </x:c>
      <x:c r="F1021" s="75" t="n">
        <x:v>0.8275467083599192</x:v>
      </x:c>
      <x:c r="G1021" s="75" t="n">
        <x:v>1.120014500997009</x:v>
      </x:c>
      <x:c r="H1021" s="75" t="n">
        <x:v>0.9681734702110727</x:v>
      </x:c>
      <x:c r="I1021" s="75" t="n">
        <x:v>0.8940406503874379</x:v>
      </x:c>
      <x:c r="J1021" s="75" t="n">
        <x:v>1.0353093452290854</x:v>
      </x:c>
      <x:c r="K1021" s="75" t="n">
        <x:v>0.9877891363396587</x:v>
      </x:c>
      <x:c r="L1021" s="75" t="n">
        <x:v>0.853830236463276</x:v>
      </x:c>
      <x:c r="M1021" s="75" t="n">
        <x:v>0.9709403522147704</x:v>
      </x:c>
      <x:c r="N1021" s="75" t="n">
        <x:v>0.9829454925807305</x:v>
      </x:c>
      <x:c r="O1021" s="66" t="n">
        <x:v>438719.98821083934</x:v>
      </x:c>
      <x:c r="P1021" s="66" t="n">
        <x:v>51450.08580435961</x:v>
      </x:c>
      <x:c r="Q1021" s="66" t="n">
        <x:v>387269.9024064797</x:v>
      </x:c>
      <x:c r="R1021" s="66" t="n">
        <x:v>105016.50549002647</x:v>
      </x:c>
      <x:c r="S1021" s="66" t="n">
        <x:v>282253.39691645326</x:v>
      </x:c>
      <x:c r="T1021" s="66" t="n">
        <x:v>276559.8172396311</x:v>
      </x:c>
      <x:c r="U1021" s="45" t="n">
        <x:v>0.7476520602164954</x:v>
      </x:c>
      <x:c r="V1021" s="45" t="n">
        <x:v>0.7593678668895241</x:v>
      </x:c>
      <x:c r="W1021" s="45" t="n">
        <x:v>0.12459785264353866</x:v>
      </x:c>
      <x:c r="X1021" s="66" t="n">
        <x:v>48082274.42901179</x:v>
      </x:c>
      <x:c r="Y1021" s="66" t="n">
        <x:v>109.59672620592907</x:v>
      </x:c>
      <x:c r="Z1021" s="66" t="n">
        <x:v>4793907.984559035</x:v>
      </x:c>
      <x:c r="AA1021" s="66" t="n">
        <x:v>266434.3183684712</x:v>
      </x:c>
      <x:c r="AB1021" s="66" t="n">
        <x:v>34440.33245593627</x:v>
      </x:c>
      <x:c r="AC1021" s="66" t="n">
        <x:v>0</x:v>
      </x:c>
      <x:c r="AD1021" s="66" t="n">
        <x:v>1885.0743125490037</x:v>
      </x:c>
      <x:c r="AE1021" s="66" t="n">
        <x:v>219942.156866981</x:v>
      </x:c>
      <x:c r="AF1021" s="66" t="n">
        <x:v>276559.8172396312</x:v>
      </x:c>
      <x:c r="AG1021" s="66" t="n">
        <x:v>0</x:v>
      </x:c>
      <x:c r="AH1021" s="36" t="n">
        <x:v>0</x:v>
      </x:c>
    </x:row>
    <x:row r="1022" ht="15" hidden="0" customHeight="1">
      <x:c r="A1022" s="34" t="n">
        <x:v>255</x:v>
      </x:c>
      <x:c r="B1022" s="34" t="str">
        <x:v>B1</x:v>
      </x:c>
      <x:c r="C1022" s="34" t="str">
        <x:v>fast</x:v>
      </x:c>
      <x:c r="D1022" s="74" t="n">
        <x:v>0.9120053437520176</x:v>
      </x:c>
      <x:c r="E1022" s="74" t="n">
        <x:v>0.05281148381778455</x:v>
      </x:c>
      <x:c r="F1022" s="74" t="n">
        <x:v>0.8275467083599192</x:v>
      </x:c>
      <x:c r="G1022" s="74" t="n">
        <x:v>1.120014500997009</x:v>
      </x:c>
      <x:c r="H1022" s="74" t="n">
        <x:v>0.9681734702110727</x:v>
      </x:c>
      <x:c r="I1022" s="74" t="n">
        <x:v>0.8940406503874379</x:v>
      </x:c>
      <x:c r="J1022" s="74" t="n">
        <x:v>1.0353093452290854</x:v>
      </x:c>
      <x:c r="K1022" s="74" t="n">
        <x:v>0.9877891363396587</x:v>
      </x:c>
      <x:c r="L1022" s="74" t="n">
        <x:v>0.853830236463276</x:v>
      </x:c>
      <x:c r="M1022" s="74" t="n">
        <x:v>0.9709403522147704</x:v>
      </x:c>
      <x:c r="N1022" s="74" t="n">
        <x:v>0.9829454925807305</x:v>
      </x:c>
      <x:c r="O1022" s="65" t="n">
        <x:v>438719.98821083934</x:v>
      </x:c>
      <x:c r="P1022" s="65" t="n">
        <x:v>174039.50846796518</x:v>
      </x:c>
      <x:c r="Q1022" s="65" t="n">
        <x:v>264680.47974287416</x:v>
      </x:c>
      <x:c r="R1022" s="65" t="n">
        <x:v>105016.50549002647</x:v>
      </x:c>
      <x:c r="S1022" s="65" t="n">
        <x:v>159663.97425284766</x:v>
      </x:c>
      <x:c r="T1022" s="65" t="n">
        <x:v>207650.84105130087</x:v>
      </x:c>
      <x:c r="U1022" s="43" t="n">
        <x:v>0.8700090257474978</x:v>
      </x:c>
      <x:c r="V1022" s="43" t="n">
        <x:v>0.8993764830395322</x:v>
      </x:c>
      <x:c r="W1022" s="43" t="n">
        <x:v>0.48290712161822563</x:v>
      </x:c>
      <x:c r="X1022" s="65" t="n">
        <x:v>32945379.539205037</x:v>
      </x:c>
      <x:c r="Y1022" s="65" t="n">
        <x:v>75.09432080712995</x:v>
      </x:c>
      <x:c r="Z1022" s="65" t="n">
        <x:v>2053298.5534024795</x:v>
      </x:c>
      <x:c r="AA1022" s="65" t="n">
        <x:v>181940.41422675468</x:v>
      </x:c>
      <x:c r="AB1022" s="65" t="n">
        <x:v>9431.781625434296</x:v>
      </x:c>
      <x:c r="AC1022" s="65" t="n">
        <x:v>0</x:v>
      </x:c>
      <x:c r="AD1022" s="65" t="n">
        <x:v>1587.2640740665067</x:v>
      </x:c>
      <x:c r="AE1022" s="65" t="n">
        <x:v>122724.35049232576</x:v>
      </x:c>
      <x:c r="AF1022" s="65" t="n">
        <x:v>207650.84105130113</x:v>
      </x:c>
      <x:c r="AG1022" s="65" t="n">
        <x:v>0</x:v>
      </x:c>
      <x:c r="AH1022" s="34" t="n">
        <x:v>0</x:v>
      </x:c>
    </x:row>
    <x:row r="1023" ht="15" hidden="0" customHeight="1">
      <x:c r="A1023" s="36" t="n">
        <x:v>255</x:v>
      </x:c>
      <x:c r="B1023" s="36" t="str">
        <x:v>P2</x:v>
      </x:c>
      <x:c r="C1023" s="36" t="str">
        <x:v>fast</x:v>
      </x:c>
      <x:c r="D1023" s="75" t="n">
        <x:v>0.9120053437520176</x:v>
      </x:c>
      <x:c r="E1023" s="75" t="n">
        <x:v>0.05281148381778455</x:v>
      </x:c>
      <x:c r="F1023" s="75" t="n">
        <x:v>0.8275467083599192</x:v>
      </x:c>
      <x:c r="G1023" s="75" t="n">
        <x:v>1.120014500997009</x:v>
      </x:c>
      <x:c r="H1023" s="75" t="n">
        <x:v>0.9681734702110727</x:v>
      </x:c>
      <x:c r="I1023" s="75" t="n">
        <x:v>0.8940406503874379</x:v>
      </x:c>
      <x:c r="J1023" s="75" t="n">
        <x:v>1.0353093452290854</x:v>
      </x:c>
      <x:c r="K1023" s="75" t="n">
        <x:v>0.9877891363396587</x:v>
      </x:c>
      <x:c r="L1023" s="75" t="n">
        <x:v>0.853830236463276</x:v>
      </x:c>
      <x:c r="M1023" s="75" t="n">
        <x:v>0.9709403522147704</x:v>
      </x:c>
      <x:c r="N1023" s="75" t="n">
        <x:v>0.9829454925807305</x:v>
      </x:c>
      <x:c r="O1023" s="66" t="n">
        <x:v>438719.98821083934</x:v>
      </x:c>
      <x:c r="P1023" s="66" t="n">
        <x:v>252130.31158742096</x:v>
      </x:c>
      <x:c r="Q1023" s="66" t="n">
        <x:v>186589.6766234183</x:v>
      </x:c>
      <x:c r="R1023" s="66" t="n">
        <x:v>105016.50549002647</x:v>
      </x:c>
      <x:c r="S1023" s="66" t="n">
        <x:v>81573.17113339184</x:v>
      </x:c>
      <x:c r="T1023" s="66" t="n">
        <x:v>144639.7931100878</x:v>
      </x:c>
      <x:c r="U1023" s="45" t="n">
        <x:v>0.9043811892765407</x:v>
      </x:c>
      <x:c r="V1023" s="45" t="n">
        <x:v>0.9266402358284506</x:v>
      </x:c>
      <x:c r="W1023" s="45" t="n">
        <x:v>0.6862872632038614</x:v>
      </x:c>
      <x:c r="X1023" s="66" t="n">
        <x:v>22141531.797907826</x:v>
      </x:c>
      <x:c r="Y1023" s="66" t="n">
        <x:v>50.46848193127477</x:v>
      </x:c>
      <x:c r="Z1023" s="66" t="n">
        <x:v>907583.410334909</x:v>
      </x:c>
      <x:c r="AA1023" s="66" t="n">
        <x:v>130057.29983179475</x:v>
      </x:c>
      <x:c r="AB1023" s="66" t="n">
        <x:v>161.8066899788271</x:v>
      </x:c>
      <x:c r="AC1023" s="66" t="n">
        <x:v>2971.6664989705196</x:v>
      </x:c>
      <x:c r="AD1023" s="66" t="n">
        <x:v>1407.317803823289</x:v>
      </x:c>
      <x:c r="AE1023" s="66" t="n">
        <x:v>67970.04468879079</x:v>
      </x:c>
      <x:c r="AF1023" s="66" t="n">
        <x:v>144639.79311008783</x:v>
      </x:c>
      <x:c r="AG1023" s="66" t="n">
        <x:v>0</x:v>
      </x:c>
      <x:c r="AH1023" s="36" t="n">
        <x:v>0</x:v>
      </x:c>
    </x:row>
    <x:row r="1024" ht="15" hidden="0" customHeight="1">
      <x:c r="A1024" s="34" t="n">
        <x:v>255</x:v>
      </x:c>
      <x:c r="B1024" s="34" t="str">
        <x:v>H3</x:v>
      </x:c>
      <x:c r="C1024" s="34" t="str">
        <x:v>fast</x:v>
      </x:c>
      <x:c r="D1024" s="74" t="n">
        <x:v>0.9120053437520176</x:v>
      </x:c>
      <x:c r="E1024" s="74" t="n">
        <x:v>0.05281148381778455</x:v>
      </x:c>
      <x:c r="F1024" s="74" t="n">
        <x:v>0.8275467083599192</x:v>
      </x:c>
      <x:c r="G1024" s="74" t="n">
        <x:v>1.120014500997009</x:v>
      </x:c>
      <x:c r="H1024" s="74" t="n">
        <x:v>0.9681734702110727</x:v>
      </x:c>
      <x:c r="I1024" s="74" t="n">
        <x:v>0.8940406503874379</x:v>
      </x:c>
      <x:c r="J1024" s="74" t="n">
        <x:v>1.0353093452290854</x:v>
      </x:c>
      <x:c r="K1024" s="74" t="n">
        <x:v>0.9877891363396587</x:v>
      </x:c>
      <x:c r="L1024" s="74" t="n">
        <x:v>0.853830236463276</x:v>
      </x:c>
      <x:c r="M1024" s="74" t="n">
        <x:v>0.9709403522147704</x:v>
      </x:c>
      <x:c r="N1024" s="74" t="n">
        <x:v>0.9829454925807305</x:v>
      </x:c>
      <x:c r="O1024" s="65" t="n">
        <x:v>438719.98821083934</x:v>
      </x:c>
      <x:c r="P1024" s="65" t="n">
        <x:v>261549.25552855956</x:v>
      </x:c>
      <x:c r="Q1024" s="65" t="n">
        <x:v>177170.73268227972</x:v>
      </x:c>
      <x:c r="R1024" s="65" t="n">
        <x:v>105016.50549002647</x:v>
      </x:c>
      <x:c r="S1024" s="65" t="n">
        <x:v>72154.22719225325</x:v>
      </x:c>
      <x:c r="T1024" s="65" t="n">
        <x:v>175783.61504039442</x:v>
      </x:c>
      <x:c r="U1024" s="43" t="n">
        <x:v>0.9968382620369265</x:v>
      </x:c>
      <x:c r="V1024" s="43" t="n">
        <x:v>0.9980086218609281</x:v>
      </x:c>
      <x:c r="W1024" s="43" t="n">
        <x:v>0.9683826203692663</x:v>
      </x:c>
      <x:c r="X1024" s="65" t="n">
        <x:v>16299578.58297437</x:v>
      </x:c>
      <x:c r="Y1024" s="65" t="n">
        <x:v>37.152578001851026</x:v>
      </x:c>
      <x:c r="Z1024" s="65" t="n">
        <x:v>1688904.492771275</x:v>
      </x:c>
      <x:c r="AA1024" s="65" t="n">
        <x:v>102023.34743343556</x:v>
      </x:c>
      <x:c r="AB1024" s="65" t="n">
        <x:v>10688.61224258173</x:v>
      </x:c>
      <x:c r="AC1024" s="65" t="n">
        <x:v>770.967890741848</x:v>
      </x:c>
      <x:c r="AD1024" s="65" t="n">
        <x:v>1387.117641885317</x:v>
      </x:c>
      <x:c r="AE1024" s="65" t="n">
        <x:v>63330.05166514499</x:v>
      </x:c>
      <x:c r="AF1024" s="65" t="n">
        <x:v>175783.6150403946</x:v>
      </x:c>
      <x:c r="AG1024" s="65" t="n">
        <x:v>0</x:v>
      </x:c>
      <x:c r="AH1024" s="34" t="n">
        <x:v>1</x:v>
      </x:c>
    </x:row>
    <x:row r="1025" ht="21.600000381469727" hidden="0" customHeight="1">
      <x:c r="A1025" s="36" t="n">
        <x:v>256</x:v>
      </x:c>
      <x:c r="B1025" s="36" t="str">
        <x:v>M0</x:v>
      </x:c>
      <x:c r="C1025" s="36" t="str">
        <x:v>reference</x:v>
      </x:c>
      <x:c r="D1025" s="75" t="n">
        <x:v>1.0068276120237247</x:v>
      </x:c>
      <x:c r="E1025" s="75" t="n">
        <x:v>-0.015757976254895976</x:v>
      </x:c>
      <x:c r="F1025" s="75" t="n">
        <x:v>0.818598555517424</x:v>
      </x:c>
      <x:c r="G1025" s="75" t="n">
        <x:v>1.2858821495518251</x:v>
      </x:c>
      <x:c r="H1025" s="75" t="n">
        <x:v>0.8162812315611665</x:v>
      </x:c>
      <x:c r="I1025" s="75" t="n">
        <x:v>0.9151662132422695</x:v>
      </x:c>
      <x:c r="J1025" s="75" t="n">
        <x:v>0.8073401346941429</x:v>
      </x:c>
      <x:c r="K1025" s="75" t="n">
        <x:v>0.930085609170354</x:v>
      </x:c>
      <x:c r="L1025" s="75" t="n">
        <x:v>1.0408789744498763</x:v>
      </x:c>
      <x:c r="M1025" s="75" t="n">
        <x:v>0.9735769565388491</x:v>
      </x:c>
      <x:c r="N1025" s="75" t="n">
        <x:v>0.8719501801280095</x:v>
      </x:c>
      <x:c r="O1025" s="66" t="n">
        <x:v>484334.2213984904</x:v>
      </x:c>
      <x:c r="P1025" s="66" t="n">
        <x:v>61251.25804148254</x:v>
      </x:c>
      <x:c r="Q1025" s="66" t="n">
        <x:v>423082.96335700783</x:v>
      </x:c>
      <x:c r="R1025" s="66" t="n">
        <x:v>82724.65902804819</x:v>
      </x:c>
      <x:c r="S1025" s="66" t="n">
        <x:v>340358.3043289596</x:v>
      </x:c>
      <x:c r="T1025" s="66" t="n">
        <x:v>263704.92748856003</x:v>
      </x:c>
      <x:c r="U1025" s="45" t="n">
        <x:v>0.6709337708819089</x:v>
      </x:c>
      <x:c r="V1025" s="45" t="n">
        <x:v>0.7032644758668884</x:v>
      </x:c>
      <x:c r="W1025" s="45" t="n">
        <x:v>0.12916223796973234</x:v>
      </x:c>
      <x:c r="X1025" s="66" t="n">
        <x:v>54877947.34387745</x:v>
      </x:c>
      <x:c r="Y1025" s="66" t="n">
        <x:v>113.30594642976119</x:v>
      </x:c>
      <x:c r="Z1025" s="66" t="n">
        <x:v>4581518.018656762</x:v>
      </x:c>
      <x:c r="AA1025" s="66" t="n">
        <x:v>300466.63084626966</x:v>
      </x:c>
      <x:c r="AB1025" s="66" t="n">
        <x:v>34864.962430113</x:v>
      </x:c>
      <x:c r="AC1025" s="66" t="n">
        <x:v>712.8036976009639</x:v>
      </x:c>
      <x:c r="AD1025" s="66" t="n">
        <x:v>2057.8432450909845</x:v>
      </x:c>
      <x:c r="AE1025" s="66" t="n">
        <x:v>213480.5971131867</x:v>
      </x:c>
      <x:c r="AF1025" s="66" t="n">
        <x:v>263704.9274885599</x:v>
      </x:c>
      <x:c r="AG1025" s="66" t="n">
        <x:v>1.1641532182693481e-10</x:v>
      </x:c>
      <x:c r="AH1025" s="36" t="n">
        <x:v>0</x:v>
      </x:c>
    </x:row>
    <x:row r="1026" ht="21.600000381469727" hidden="0" customHeight="1">
      <x:c r="A1026" s="34" t="n">
        <x:v>256</x:v>
      </x:c>
      <x:c r="B1026" s="34" t="str">
        <x:v>B1</x:v>
      </x:c>
      <x:c r="C1026" s="34" t="str">
        <x:v>reference</x:v>
      </x:c>
      <x:c r="D1026" s="74" t="n">
        <x:v>1.0068276120237247</x:v>
      </x:c>
      <x:c r="E1026" s="74" t="n">
        <x:v>-0.015757976254895976</x:v>
      </x:c>
      <x:c r="F1026" s="74" t="n">
        <x:v>0.818598555517424</x:v>
      </x:c>
      <x:c r="G1026" s="74" t="n">
        <x:v>1.2858821495518251</x:v>
      </x:c>
      <x:c r="H1026" s="74" t="n">
        <x:v>0.8162812315611665</x:v>
      </x:c>
      <x:c r="I1026" s="74" t="n">
        <x:v>0.9151662132422695</x:v>
      </x:c>
      <x:c r="J1026" s="74" t="n">
        <x:v>0.8073401346941429</x:v>
      </x:c>
      <x:c r="K1026" s="74" t="n">
        <x:v>0.930085609170354</x:v>
      </x:c>
      <x:c r="L1026" s="74" t="n">
        <x:v>1.0408789744498763</x:v>
      </x:c>
      <x:c r="M1026" s="74" t="n">
        <x:v>0.9735769565388491</x:v>
      </x:c>
      <x:c r="N1026" s="74" t="n">
        <x:v>0.8719501801280095</x:v>
      </x:c>
      <x:c r="O1026" s="65" t="n">
        <x:v>484334.2213984904</x:v>
      </x:c>
      <x:c r="P1026" s="65" t="n">
        <x:v>207191.8477071296</x:v>
      </x:c>
      <x:c r="Q1026" s="65" t="n">
        <x:v>277142.37369136076</x:v>
      </x:c>
      <x:c r="R1026" s="65" t="n">
        <x:v>82724.65902804819</x:v>
      </x:c>
      <x:c r="S1026" s="65" t="n">
        <x:v>194417.71466331257</x:v>
      </x:c>
      <x:c r="T1026" s="65" t="n">
        <x:v>193183.0333555363</x:v>
      </x:c>
      <x:c r="U1026" s="43" t="n">
        <x:v>0.8266499936894894</x:v>
      </x:c>
      <x:c r="V1026" s="43" t="n">
        <x:v>0.8532024728015698</x:v>
      </x:c>
      <x:c r="W1026" s="43" t="n">
        <x:v>0.4766118682023003</x:v>
      </x:c>
      <x:c r="X1026" s="65" t="n">
        <x:v>36197121.38380439</x:v>
      </x:c>
      <x:c r="Y1026" s="65" t="n">
        <x:v>74.73583278771225</x:v>
      </x:c>
      <x:c r="Z1026" s="65" t="n">
        <x:v>1440636.4921533654</x:v>
      </x:c>
      <x:c r="AA1026" s="65" t="n">
        <x:v>197815.84405162523</x:v>
      </x:c>
      <x:c r="AB1026" s="65" t="n">
        <x:v>4506.70993278883</x:v>
      </x:c>
      <x:c r="AC1026" s="65" t="n">
        <x:v>914.1563329598339</x:v>
      </x:c>
      <x:c r="AD1026" s="65" t="n">
        <x:v>1676.4794726824077</x:v>
      </x:c>
      <x:c r="AE1026" s="65" t="n">
        <x:v>126320.33509367323</x:v>
      </x:c>
      <x:c r="AF1026" s="65" t="n">
        <x:v>193183.0333555362</x:v>
      </x:c>
      <x:c r="AG1026" s="65" t="n">
        <x:v>8.731149137020111e-11</x:v>
      </x:c>
      <x:c r="AH1026" s="34" t="n">
        <x:v>0</x:v>
      </x:c>
    </x:row>
    <x:row r="1027" ht="21.600000381469727" hidden="0" customHeight="1">
      <x:c r="A1027" s="36" t="n">
        <x:v>256</x:v>
      </x:c>
      <x:c r="B1027" s="36" t="str">
        <x:v>P2</x:v>
      </x:c>
      <x:c r="C1027" s="36" t="str">
        <x:v>reference</x:v>
      </x:c>
      <x:c r="D1027" s="75" t="n">
        <x:v>1.0068276120237247</x:v>
      </x:c>
      <x:c r="E1027" s="75" t="n">
        <x:v>-0.015757976254895976</x:v>
      </x:c>
      <x:c r="F1027" s="75" t="n">
        <x:v>0.818598555517424</x:v>
      </x:c>
      <x:c r="G1027" s="75" t="n">
        <x:v>1.2858821495518251</x:v>
      </x:c>
      <x:c r="H1027" s="75" t="n">
        <x:v>0.8162812315611665</x:v>
      </x:c>
      <x:c r="I1027" s="75" t="n">
        <x:v>0.9151662132422695</x:v>
      </x:c>
      <x:c r="J1027" s="75" t="n">
        <x:v>0.8073401346941429</x:v>
      </x:c>
      <x:c r="K1027" s="75" t="n">
        <x:v>0.930085609170354</x:v>
      </x:c>
      <x:c r="L1027" s="75" t="n">
        <x:v>1.0408789744498763</x:v>
      </x:c>
      <x:c r="M1027" s="75" t="n">
        <x:v>0.9735769565388491</x:v>
      </x:c>
      <x:c r="N1027" s="75" t="n">
        <x:v>0.8719501801280095</x:v>
      </x:c>
      <x:c r="O1027" s="66" t="n">
        <x:v>484334.2213984904</x:v>
      </x:c>
      <x:c r="P1027" s="66" t="n">
        <x:v>300156.37368996174</x:v>
      </x:c>
      <x:c r="Q1027" s="66" t="n">
        <x:v>184177.84770852863</x:v>
      </x:c>
      <x:c r="R1027" s="66" t="n">
        <x:v>82724.65902804819</x:v>
      </x:c>
      <x:c r="S1027" s="66" t="n">
        <x:v>101453.18868048044</x:v>
      </x:c>
      <x:c r="T1027" s="66" t="n">
        <x:v>125791.38160290377</x:v>
      </x:c>
      <x:c r="U1027" s="45" t="n">
        <x:v>0.8794500501388545</x:v>
      </x:c>
      <x:c r="V1027" s="45" t="n">
        <x:v>0.8946763302327457</x:v>
      </x:c>
      <x:c r="W1027" s="45" t="n">
        <x:v>0.6346265721026869</x:v>
      </x:c>
      <x:c r="X1027" s="66" t="n">
        <x:v>23340155.91733899</x:v>
      </x:c>
      <x:c r="Y1027" s="66" t="n">
        <x:v>48.19018538468225</x:v>
      </x:c>
      <x:c r="Z1027" s="66" t="n">
        <x:v>785509.3851224311</x:v>
      </x:c>
      <x:c r="AA1027" s="66" t="n">
        <x:v>133910.07319508604</x:v>
      </x:c>
      <x:c r="AB1027" s="66" t="n">
        <x:v>0</x:v>
      </x:c>
      <x:c r="AC1027" s="66" t="n">
        <x:v>0</x:v>
      </x:c>
      <x:c r="AD1027" s="66" t="n">
        <x:v>1446.047541260278</x:v>
      </x:c>
      <x:c r="AE1027" s="66" t="n">
        <x:v>65448.19848132072</x:v>
      </x:c>
      <x:c r="AF1027" s="66" t="n">
        <x:v>125791.3816029038</x:v>
      </x:c>
      <x:c r="AG1027" s="66" t="n">
        <x:v>0</x:v>
      </x:c>
      <x:c r="AH1027" s="36" t="n">
        <x:v>0</x:v>
      </x:c>
    </x:row>
    <x:row r="1028" ht="21.600000381469727" hidden="0" customHeight="1">
      <x:c r="A1028" s="34" t="n">
        <x:v>256</x:v>
      </x:c>
      <x:c r="B1028" s="34" t="str">
        <x:v>H3</x:v>
      </x:c>
      <x:c r="C1028" s="34" t="str">
        <x:v>reference</x:v>
      </x:c>
      <x:c r="D1028" s="74" t="n">
        <x:v>1.0068276120237247</x:v>
      </x:c>
      <x:c r="E1028" s="74" t="n">
        <x:v>-0.015757976254895976</x:v>
      </x:c>
      <x:c r="F1028" s="74" t="n">
        <x:v>0.818598555517424</x:v>
      </x:c>
      <x:c r="G1028" s="74" t="n">
        <x:v>1.2858821495518251</x:v>
      </x:c>
      <x:c r="H1028" s="74" t="n">
        <x:v>0.8162812315611665</x:v>
      </x:c>
      <x:c r="I1028" s="74" t="n">
        <x:v>0.9151662132422695</x:v>
      </x:c>
      <x:c r="J1028" s="74" t="n">
        <x:v>0.8073401346941429</x:v>
      </x:c>
      <x:c r="K1028" s="74" t="n">
        <x:v>0.930085609170354</x:v>
      </x:c>
      <x:c r="L1028" s="74" t="n">
        <x:v>1.0408789744498763</x:v>
      </x:c>
      <x:c r="M1028" s="74" t="n">
        <x:v>0.9735769565388491</x:v>
      </x:c>
      <x:c r="N1028" s="74" t="n">
        <x:v>0.8719501801280095</x:v>
      </x:c>
      <x:c r="O1028" s="65" t="n">
        <x:v>484334.2213984904</x:v>
      </x:c>
      <x:c r="P1028" s="65" t="n">
        <x:v>311369.1269649755</x:v>
      </x:c>
      <x:c r="Q1028" s="65" t="n">
        <x:v>172965.09443351487</x:v>
      </x:c>
      <x:c r="R1028" s="65" t="n">
        <x:v>82724.65902804819</x:v>
      </x:c>
      <x:c r="S1028" s="65" t="n">
        <x:v>90240.43540546665</x:v>
      </x:c>
      <x:c r="T1028" s="65" t="n">
        <x:v>171544.9144043965</x:v>
      </x:c>
      <x:c r="U1028" s="43" t="n">
        <x:v>0.9970677685648193</x:v>
      </x:c>
      <x:c r="V1028" s="43" t="n">
        <x:v>0.9981531573605001</x:v>
      </x:c>
      <x:c r="W1028" s="43" t="n">
        <x:v>0.970677685648194</x:v>
      </x:c>
      <x:c r="X1028" s="65" t="n">
        <x:v>17190403.365709443</x:v>
      </x:c>
      <x:c r="Y1028" s="65" t="n">
        <x:v>35.4928530882518</x:v>
      </x:c>
      <x:c r="Z1028" s="65" t="n">
        <x:v>1068385.3559010546</x:v>
      </x:c>
      <x:c r="AA1028" s="65" t="n">
        <x:v>106612.41714859905</x:v>
      </x:c>
      <x:c r="AB1028" s="65" t="n">
        <x:v>2193.671487888784</x:v>
      </x:c>
      <x:c r="AC1028" s="65" t="n">
        <x:v>0</x:v>
      </x:c>
      <x:c r="AD1028" s="65" t="n">
        <x:v>1420.1800291183745</x:v>
      </x:c>
      <x:c r="AE1028" s="65" t="n">
        <x:v>64859.12686980986</x:v>
      </x:c>
      <x:c r="AF1028" s="65" t="n">
        <x:v>171544.91440439658</x:v>
      </x:c>
      <x:c r="AG1028" s="65" t="n">
        <x:v>0</x:v>
      </x:c>
      <x:c r="AH1028" s="34" t="n">
        <x:v>1</x:v>
      </x:c>
    </x:row>
    <x:row r="1029" ht="15" hidden="0" customHeight="1">
      <x:c r="A1029" s="36" t="n">
        <x:v>257</x:v>
      </x:c>
      <x:c r="B1029" s="36" t="str">
        <x:v>M0</x:v>
      </x:c>
      <x:c r="C1029" s="36" t="str">
        <x:v>fast</x:v>
      </x:c>
      <x:c r="D1029" s="75" t="n">
        <x:v>1.185767746410339</x:v>
      </x:c>
      <x:c r="E1029" s="75" t="n">
        <x:v>0.004237874953573022</x:v>
      </x:c>
      <x:c r="F1029" s="75" t="n">
        <x:v>0.9743076633097425</x:v>
      </x:c>
      <x:c r="G1029" s="75" t="n">
        <x:v>1.326966829113601</x:v>
      </x:c>
      <x:c r="H1029" s="75" t="n">
        <x:v>0.9835800340210425</x:v>
      </x:c>
      <x:c r="I1029" s="75" t="n">
        <x:v>0.8681549746470433</x:v>
      </x:c>
      <x:c r="J1029" s="75" t="n">
        <x:v>1.0200588924537546</x:v>
      </x:c>
      <x:c r="K1029" s="75" t="n">
        <x:v>0.9726694871932617</x:v>
      </x:c>
      <x:c r="L1029" s="75" t="n">
        <x:v>0.8317116790779302</x:v>
      </x:c>
      <x:c r="M1029" s="75" t="n">
        <x:v>0.8578747364361128</x:v>
      </x:c>
      <x:c r="N1029" s="75" t="n">
        <x:v>0.9316998336350969</x:v>
      </x:c>
      <x:c r="O1029" s="66" t="n">
        <x:v>570413.3372571443</x:v>
      </x:c>
      <x:c r="P1029" s="66" t="n">
        <x:v>83787.93977270139</x:v>
      </x:c>
      <x:c r="Q1029" s="66" t="n">
        <x:v>486625.3974844429</x:v>
      </x:c>
      <x:c r="R1029" s="66" t="n">
        <x:v>108832.93870795029</x:v>
      </x:c>
      <x:c r="S1029" s="66" t="n">
        <x:v>377792.4587764926</x:v>
      </x:c>
      <x:c r="T1029" s="66" t="n">
        <x:v>256045.31741170055</x:v>
      </x:c>
      <x:c r="U1029" s="45" t="n">
        <x:v>0.5957666747739525</x:v>
      </x:c>
      <x:c r="V1029" s="45" t="n">
        <x:v>0.623352304050432</x:v>
      </x:c>
      <x:c r="W1029" s="45" t="n">
        <x:v>0.14433395194434018</x:v>
      </x:c>
      <x:c r="X1029" s="66" t="n">
        <x:v>66634078.757976964</x:v>
      </x:c>
      <x:c r="Y1029" s="66" t="n">
        <x:v>116.81718221805549</x:v>
      </x:c>
      <x:c r="Z1029" s="66" t="n">
        <x:v>5069750.31711392</x:v>
      </x:c>
      <x:c r="AA1029" s="66" t="n">
        <x:v>361703.1278158709</x:v>
      </x:c>
      <x:c r="AB1029" s="66" t="n">
        <x:v>43281.77121968383</x:v>
      </x:c>
      <x:c r="AC1029" s="66" t="n">
        <x:v>0</x:v>
      </x:c>
      <x:c r="AD1029" s="66" t="n">
        <x:v>2395.9835067396857</x:v>
      </x:c>
      <x:c r="AE1029" s="66" t="n">
        <x:v>202379.40699431894</x:v>
      </x:c>
      <x:c r="AF1029" s="66" t="n">
        <x:v>256045.31741170047</x:v>
      </x:c>
      <x:c r="AG1029" s="66" t="n">
        <x:v>8.731149137020111e-11</x:v>
      </x:c>
      <x:c r="AH1029" s="36" t="n">
        <x:v>0</x:v>
      </x:c>
    </x:row>
    <x:row r="1030" ht="15" hidden="0" customHeight="1">
      <x:c r="A1030" s="34" t="n">
        <x:v>257</x:v>
      </x:c>
      <x:c r="B1030" s="34" t="str">
        <x:v>B1</x:v>
      </x:c>
      <x:c r="C1030" s="34" t="str">
        <x:v>fast</x:v>
      </x:c>
      <x:c r="D1030" s="74" t="n">
        <x:v>1.185767746410339</x:v>
      </x:c>
      <x:c r="E1030" s="74" t="n">
        <x:v>0.004237874953573022</x:v>
      </x:c>
      <x:c r="F1030" s="74" t="n">
        <x:v>0.9743076633097425</x:v>
      </x:c>
      <x:c r="G1030" s="74" t="n">
        <x:v>1.326966829113601</x:v>
      </x:c>
      <x:c r="H1030" s="74" t="n">
        <x:v>0.9835800340210425</x:v>
      </x:c>
      <x:c r="I1030" s="74" t="n">
        <x:v>0.8681549746470433</x:v>
      </x:c>
      <x:c r="J1030" s="74" t="n">
        <x:v>1.0200588924537546</x:v>
      </x:c>
      <x:c r="K1030" s="74" t="n">
        <x:v>0.9726694871932617</x:v>
      </x:c>
      <x:c r="L1030" s="74" t="n">
        <x:v>0.8317116790779302</x:v>
      </x:c>
      <x:c r="M1030" s="74" t="n">
        <x:v>0.8578747364361128</x:v>
      </x:c>
      <x:c r="N1030" s="74" t="n">
        <x:v>0.9316998336350969</x:v>
      </x:c>
      <x:c r="O1030" s="65" t="n">
        <x:v>570413.3372571443</x:v>
      </x:c>
      <x:c r="P1030" s="65" t="n">
        <x:v>283426.38950558484</x:v>
      </x:c>
      <x:c r="Q1030" s="65" t="n">
        <x:v>286986.94775155943</x:v>
      </x:c>
      <x:c r="R1030" s="65" t="n">
        <x:v>108832.93870795029</x:v>
      </x:c>
      <x:c r="S1030" s="65" t="n">
        <x:v>178154.00904360914</x:v>
      </x:c>
      <x:c r="T1030" s="65" t="n">
        <x:v>198112.827988116</x:v>
      </x:c>
      <x:c r="U1030" s="43" t="n">
        <x:v>0.8441934752248288</x:v>
      </x:c>
      <x:c r="V1030" s="43" t="n">
        <x:v>0.8626320014315166</x:v>
      </x:c>
      <x:c r="W1030" s="43" t="n">
        <x:v>0.5523046365923343</x:v>
      </x:c>
      <x:c r="X1030" s="65" t="n">
        <x:v>38975749.366796136</x:v>
      </x:c>
      <x:c r="Y1030" s="65" t="n">
        <x:v>68.32895870600188</x:v>
      </x:c>
      <x:c r="Z1030" s="65" t="n">
        <x:v>2325738.075063701</x:v>
      </x:c>
      <x:c r="AA1030" s="65" t="n">
        <x:v>203810.5760377348</x:v>
      </x:c>
      <x:c r="AB1030" s="65" t="n">
        <x:v>12939.359079778633</x:v>
      </x:c>
      <x:c r="AC1030" s="65" t="n">
        <x:v>0</x:v>
      </x:c>
      <x:c r="AD1030" s="65" t="n">
        <x:v>1884.3582693961291</x:v>
      </x:c>
      <x:c r="AE1030" s="65" t="n">
        <x:v>138123.20660356348</x:v>
      </x:c>
      <x:c r="AF1030" s="65" t="n">
        <x:v>198112.82798811595</x:v>
      </x:c>
      <x:c r="AG1030" s="65" t="n">
        <x:v>5.820766091346741e-11</x:v>
      </x:c>
      <x:c r="AH1030" s="34" t="n">
        <x:v>0</x:v>
      </x:c>
    </x:row>
    <x:row r="1031" ht="15" hidden="0" customHeight="1">
      <x:c r="A1031" s="36" t="n">
        <x:v>257</x:v>
      </x:c>
      <x:c r="B1031" s="36" t="str">
        <x:v>P2</x:v>
      </x:c>
      <x:c r="C1031" s="36" t="str">
        <x:v>fast</x:v>
      </x:c>
      <x:c r="D1031" s="75" t="n">
        <x:v>1.185767746410339</x:v>
      </x:c>
      <x:c r="E1031" s="75" t="n">
        <x:v>0.004237874953573022</x:v>
      </x:c>
      <x:c r="F1031" s="75" t="n">
        <x:v>0.9743076633097425</x:v>
      </x:c>
      <x:c r="G1031" s="75" t="n">
        <x:v>1.326966829113601</x:v>
      </x:c>
      <x:c r="H1031" s="75" t="n">
        <x:v>0.9835800340210425</x:v>
      </x:c>
      <x:c r="I1031" s="75" t="n">
        <x:v>0.8681549746470433</x:v>
      </x:c>
      <x:c r="J1031" s="75" t="n">
        <x:v>1.0200588924537546</x:v>
      </x:c>
      <x:c r="K1031" s="75" t="n">
        <x:v>0.9726694871932617</x:v>
      </x:c>
      <x:c r="L1031" s="75" t="n">
        <x:v>0.8317116790779302</x:v>
      </x:c>
      <x:c r="M1031" s="75" t="n">
        <x:v>0.8578747364361128</x:v>
      </x:c>
      <x:c r="N1031" s="75" t="n">
        <x:v>0.9316998336350969</x:v>
      </x:c>
      <x:c r="O1031" s="66" t="n">
        <x:v>570413.3372571443</x:v>
      </x:c>
      <x:c r="P1031" s="66" t="n">
        <x:v>410597.04830768413</x:v>
      </x:c>
      <x:c r="Q1031" s="66" t="n">
        <x:v>159816.28894946026</x:v>
      </x:c>
      <x:c r="R1031" s="66" t="n">
        <x:v>108832.93870795029</x:v>
      </x:c>
      <x:c r="S1031" s="66" t="n">
        <x:v>50983.35024150995</x:v>
      </x:c>
      <x:c r="T1031" s="66" t="n">
        <x:v>142181.19022597457</x:v>
      </x:c>
      <x:c r="U1031" s="45" t="n">
        <x:v>0.9690836493966205</x:v>
      </x:c>
      <x:c r="V1031" s="45" t="n">
        <x:v>0.9790780150375494</x:v>
      </x:c>
      <x:c r="W1031" s="45" t="n">
        <x:v>0.8570869130005463</x:v>
      </x:c>
      <x:c r="X1031" s="66" t="n">
        <x:v>19026897.632034194</x:v>
      </x:c>
      <x:c r="Y1031" s="66" t="n">
        <x:v>33.35633371324346</x:v>
      </x:c>
      <x:c r="Z1031" s="66" t="n">
        <x:v>892552.4971873129</x:v>
      </x:c>
      <x:c r="AA1031" s="66" t="n">
        <x:v>108129.80002431526</x:v>
      </x:c>
      <x:c r="AB1031" s="66" t="n">
        <x:v>118.12896210062915</x:v>
      </x:c>
      <x:c r="AC1031" s="66" t="n">
        <x:v>2897.305202273473</x:v>
      </x:c>
      <x:c r="AD1031" s="66" t="n">
        <x:v>1575.218282499121</x:v>
      </x:c>
      <x:c r="AE1031" s="66" t="n">
        <x:v>72148.59898858715</x:v>
      </x:c>
      <x:c r="AF1031" s="66" t="n">
        <x:v>142181.19022597454</x:v>
      </x:c>
      <x:c r="AG1031" s="66" t="n">
        <x:v>2.9103830456733704e-11</x:v>
      </x:c>
      <x:c r="AH1031" s="36" t="n">
        <x:v>1</x:v>
      </x:c>
    </x:row>
    <x:row r="1032" ht="15" hidden="0" customHeight="1">
      <x:c r="A1032" s="34" t="n">
        <x:v>257</x:v>
      </x:c>
      <x:c r="B1032" s="34" t="str">
        <x:v>H3</x:v>
      </x:c>
      <x:c r="C1032" s="34" t="str">
        <x:v>fast</x:v>
      </x:c>
      <x:c r="D1032" s="74" t="n">
        <x:v>1.185767746410339</x:v>
      </x:c>
      <x:c r="E1032" s="74" t="n">
        <x:v>0.004237874953573022</x:v>
      </x:c>
      <x:c r="F1032" s="74" t="n">
        <x:v>0.9743076633097425</x:v>
      </x:c>
      <x:c r="G1032" s="74" t="n">
        <x:v>1.326966829113601</x:v>
      </x:c>
      <x:c r="H1032" s="74" t="n">
        <x:v>0.9835800340210425</x:v>
      </x:c>
      <x:c r="I1032" s="74" t="n">
        <x:v>0.8681549746470433</x:v>
      </x:c>
      <x:c r="J1032" s="74" t="n">
        <x:v>1.0200588924537546</x:v>
      </x:c>
      <x:c r="K1032" s="74" t="n">
        <x:v>0.9726694871932617</x:v>
      </x:c>
      <x:c r="L1032" s="74" t="n">
        <x:v>0.8317116790779302</x:v>
      </x:c>
      <x:c r="M1032" s="74" t="n">
        <x:v>0.8578747364361128</x:v>
      </x:c>
      <x:c r="N1032" s="74" t="n">
        <x:v>0.9316998336350969</x:v>
      </x:c>
      <x:c r="O1032" s="65" t="n">
        <x:v>570413.3372571443</x:v>
      </x:c>
      <x:c r="P1032" s="65" t="n">
        <x:v>425935.5851344777</x:v>
      </x:c>
      <x:c r="Q1032" s="65" t="n">
        <x:v>144477.75212266663</x:v>
      </x:c>
      <x:c r="R1032" s="65" t="n">
        <x:v>108832.93870795029</x:v>
      </x:c>
      <x:c r="S1032" s="65" t="n">
        <x:v>35644.81341471635</x:v>
      </x:c>
      <x:c r="T1032" s="65" t="n">
        <x:v>142937.23685339687</x:v>
      </x:c>
      <x:c r="U1032" s="43" t="n">
        <x:v>0.9972993000537517</x:v>
      </x:c>
      <x:c r="V1032" s="43" t="n">
        <x:v>0.9982989681124934</x:v>
      </x:c>
      <x:c r="W1032" s="43" t="n">
        <x:v>0.9729930005375154</x:v>
      </x:c>
      <x:c r="X1032" s="65" t="n">
        <x:v>13073134.950735658</x:v>
      </x:c>
      <x:c r="Y1032" s="65" t="n">
        <x:v>22.91870490546094</x:v>
      </x:c>
      <x:c r="Z1032" s="65" t="n">
        <x:v>1368926.9257344021</x:v>
      </x:c>
      <x:c r="AA1032" s="65" t="n">
        <x:v>91415.50796832444</x:v>
      </x:c>
      <x:c r="AB1032" s="65" t="n">
        <x:v>10737.689769991171</x:v>
      </x:c>
      <x:c r="AC1032" s="65" t="n">
        <x:v>192.58388869820226</x:v>
      </x:c>
      <x:c r="AD1032" s="65" t="n">
        <x:v>1540.5152692697734</x:v>
      </x:c>
      <x:c r="AE1032" s="65" t="n">
        <x:v>70379.88389180374</x:v>
      </x:c>
      <x:c r="AF1032" s="65" t="n">
        <x:v>142937.2368533969</x:v>
      </x:c>
      <x:c r="AG1032" s="65" t="n">
        <x:v>0</x:v>
      </x:c>
      <x:c r="AH1032" s="34" t="n">
        <x:v>1</x:v>
      </x:c>
    </x:row>
    <x:row r="1033" ht="15" hidden="0" customHeight="1">
      <x:c r="A1033" s="36" t="n">
        <x:v>258</x:v>
      </x:c>
      <x:c r="B1033" s="36" t="str">
        <x:v>M0</x:v>
      </x:c>
      <x:c r="C1033" s="36" t="str">
        <x:v>reference</x:v>
      </x:c>
      <x:c r="D1033" s="75" t="n">
        <x:v>1.182664342665714</x:v>
      </x:c>
      <x:c r="E1033" s="75" t="n">
        <x:v>0.03174969217220832</x:v>
      </x:c>
      <x:c r="F1033" s="75" t="n">
        <x:v>1.0471209680062747</x:v>
      </x:c>
      <x:c r="G1033" s="75" t="n">
        <x:v>1.254415804159855</x:v>
      </x:c>
      <x:c r="H1033" s="75" t="n">
        <x:v>1.015102203019561</x:v>
      </x:c>
      <x:c r="I1033" s="75" t="n">
        <x:v>1.0218633387855216</x:v>
      </x:c>
      <x:c r="J1033" s="75" t="n">
        <x:v>1.023508408742274</x:v>
      </x:c>
      <x:c r="K1033" s="75" t="n">
        <x:v>0.7304446746825158</x:v>
      </x:c>
      <x:c r="L1033" s="75" t="n">
        <x:v>0.896938490583259</x:v>
      </x:c>
      <x:c r="M1033" s="75" t="n">
        <x:v>0.8741935255872936</x:v>
      </x:c>
      <x:c r="N1033" s="75" t="n">
        <x:v>0.9717319541533</x:v>
      </x:c>
      <x:c r="O1033" s="66" t="n">
        <x:v>568920.4455064731</x:v>
      </x:c>
      <x:c r="P1033" s="66" t="n">
        <x:v>86759.89085609028</x:v>
      </x:c>
      <x:c r="Q1033" s="66" t="n">
        <x:v>482160.55465038284</x:v>
      </x:c>
      <x:c r="R1033" s="66" t="n">
        <x:v>124200.13531149479</x:v>
      </x:c>
      <x:c r="S1033" s="66" t="n">
        <x:v>357960.4193388881</x:v>
      </x:c>
      <x:c r="T1033" s="66" t="n">
        <x:v>286494.9476056814</x:v>
      </x:c>
      <x:c r="U1033" s="45" t="n">
        <x:v>0.6560756278138097</x:v>
      </x:c>
      <x:c r="V1033" s="45" t="n">
        <x:v>0.6887559385986592</x:v>
      </x:c>
      <x:c r="W1033" s="45" t="n">
        <x:v>0.15527473491021532</x:v>
      </x:c>
      <x:c r="X1033" s="66" t="n">
        <x:v>64100180.89918861</x:v>
      </x:c>
      <x:c r="Y1033" s="66" t="n">
        <x:v>112.6698493708103</x:v>
      </x:c>
      <x:c r="Z1033" s="66" t="n">
        <x:v>4791826.7358196555</x:v>
      </x:c>
      <x:c r="AA1033" s="66" t="n">
        <x:v>348960.0767935817</x:v>
      </x:c>
      <x:c r="AB1033" s="66" t="n">
        <x:v>39261.47565322319</x:v>
      </x:c>
      <x:c r="AC1033" s="66" t="n">
        <x:v>0</x:v>
      </x:c>
      <x:c r="AD1033" s="66" t="n">
        <x:v>2387.819248077886</x:v>
      </x:c>
      <x:c r="AE1033" s="66" t="n">
        <x:v>230523.18704645132</x:v>
      </x:c>
      <x:c r="AF1033" s="66" t="n">
        <x:v>286494.9476056812</x:v>
      </x:c>
      <x:c r="AG1033" s="66" t="n">
        <x:v>1.7462298274040222e-10</x:v>
      </x:c>
      <x:c r="AH1033" s="36" t="n">
        <x:v>0</x:v>
      </x:c>
    </x:row>
    <x:row r="1034" ht="15" hidden="0" customHeight="1">
      <x:c r="A1034" s="34" t="n">
        <x:v>258</x:v>
      </x:c>
      <x:c r="B1034" s="34" t="str">
        <x:v>B1</x:v>
      </x:c>
      <x:c r="C1034" s="34" t="str">
        <x:v>reference</x:v>
      </x:c>
      <x:c r="D1034" s="74" t="n">
        <x:v>1.182664342665714</x:v>
      </x:c>
      <x:c r="E1034" s="74" t="n">
        <x:v>0.03174969217220832</x:v>
      </x:c>
      <x:c r="F1034" s="74" t="n">
        <x:v>1.0471209680062747</x:v>
      </x:c>
      <x:c r="G1034" s="74" t="n">
        <x:v>1.254415804159855</x:v>
      </x:c>
      <x:c r="H1034" s="74" t="n">
        <x:v>1.015102203019561</x:v>
      </x:c>
      <x:c r="I1034" s="74" t="n">
        <x:v>1.0218633387855216</x:v>
      </x:c>
      <x:c r="J1034" s="74" t="n">
        <x:v>1.023508408742274</x:v>
      </x:c>
      <x:c r="K1034" s="74" t="n">
        <x:v>0.7304446746825158</x:v>
      </x:c>
      <x:c r="L1034" s="74" t="n">
        <x:v>0.896938490583259</x:v>
      </x:c>
      <x:c r="M1034" s="74" t="n">
        <x:v>0.8741935255872936</x:v>
      </x:c>
      <x:c r="N1034" s="74" t="n">
        <x:v>0.9717319541533</x:v>
      </x:c>
      <x:c r="O1034" s="65" t="n">
        <x:v>568920.4455064731</x:v>
      </x:c>
      <x:c r="P1034" s="65" t="n">
        <x:v>293480.6062961419</x:v>
      </x:c>
      <x:c r="Q1034" s="65" t="n">
        <x:v>275439.8392103312</x:v>
      </x:c>
      <x:c r="R1034" s="65" t="n">
        <x:v>124200.13531149479</x:v>
      </x:c>
      <x:c r="S1034" s="65" t="n">
        <x:v>151239.70389883645</x:v>
      </x:c>
      <x:c r="T1034" s="65" t="n">
        <x:v>182611.1508767255</x:v>
      </x:c>
      <x:c r="U1034" s="43" t="n">
        <x:v>0.8368336222282076</x:v>
      </x:c>
      <x:c r="V1034" s="43" t="n">
        <x:v>0.861522002978632</x:v>
      </x:c>
      <x:c r="W1034" s="43" t="n">
        <x:v>0.39071066191770215</x:v>
      </x:c>
      <x:c r="X1034" s="65" t="n">
        <x:v>35967347.2608509</x:v>
      </x:c>
      <x:c r="Y1034" s="65" t="n">
        <x:v>63.22034573538924</x:v>
      </x:c>
      <x:c r="Z1034" s="65" t="n">
        <x:v>2199580.152743788</x:v>
      </x:c>
      <x:c r="AA1034" s="65" t="n">
        <x:v>187548.69975791348</x:v>
      </x:c>
      <x:c r="AB1034" s="65" t="n">
        <x:v>3534.1119949671242</x:v>
      </x:c>
      <x:c r="AC1034" s="65" t="n">
        <x:v>51954.652868754514</x:v>
      </x:c>
      <x:c r="AD1034" s="65" t="n">
        <x:v>1873.245446912751</x:v>
      </x:c>
      <x:c r="AE1034" s="65" t="n">
        <x:v>99160.95503351679</x:v>
      </x:c>
      <x:c r="AF1034" s="65" t="n">
        <x:v>182611.15087672547</x:v>
      </x:c>
      <x:c r="AG1034" s="65" t="n">
        <x:v>2.9103830456733704e-11</x:v>
      </x:c>
      <x:c r="AH1034" s="34" t="n">
        <x:v>0</x:v>
      </x:c>
    </x:row>
    <x:row r="1035" ht="15" hidden="0" customHeight="1">
      <x:c r="A1035" s="36" t="n">
        <x:v>258</x:v>
      </x:c>
      <x:c r="B1035" s="36" t="str">
        <x:v>P2</x:v>
      </x:c>
      <x:c r="C1035" s="36" t="str">
        <x:v>reference</x:v>
      </x:c>
      <x:c r="D1035" s="75" t="n">
        <x:v>1.182664342665714</x:v>
      </x:c>
      <x:c r="E1035" s="75" t="n">
        <x:v>0.03174969217220832</x:v>
      </x:c>
      <x:c r="F1035" s="75" t="n">
        <x:v>1.0471209680062747</x:v>
      </x:c>
      <x:c r="G1035" s="75" t="n">
        <x:v>1.254415804159855</x:v>
      </x:c>
      <x:c r="H1035" s="75" t="n">
        <x:v>1.015102203019561</x:v>
      </x:c>
      <x:c r="I1035" s="75" t="n">
        <x:v>1.0218633387855216</x:v>
      </x:c>
      <x:c r="J1035" s="75" t="n">
        <x:v>1.023508408742274</x:v>
      </x:c>
      <x:c r="K1035" s="75" t="n">
        <x:v>0.7304446746825158</x:v>
      </x:c>
      <x:c r="L1035" s="75" t="n">
        <x:v>0.896938490583259</x:v>
      </x:c>
      <x:c r="M1035" s="75" t="n">
        <x:v>0.8741935255872936</x:v>
      </x:c>
      <x:c r="N1035" s="75" t="n">
        <x:v>0.9717319541533</x:v>
      </x:c>
      <x:c r="O1035" s="66" t="n">
        <x:v>568920.4455064731</x:v>
      </x:c>
      <x:c r="P1035" s="66" t="n">
        <x:v>425163.39734168455</x:v>
      </x:c>
      <x:c r="Q1035" s="66" t="n">
        <x:v>143757.04816478858</x:v>
      </x:c>
      <x:c r="R1035" s="66" t="n">
        <x:v>124200.13531149479</x:v>
      </x:c>
      <x:c r="S1035" s="66" t="n">
        <x:v>19556.91285329378</x:v>
      </x:c>
      <x:c r="T1035" s="66" t="n">
        <x:v>109566.68821713772</x:v>
      </x:c>
      <x:c r="U1035" s="45" t="n">
        <x:v>0.9399030915171043</x:v>
      </x:c>
      <x:c r="V1035" s="45" t="n">
        <x:v>0.9533623195360793</x:v>
      </x:c>
      <x:c r="W1035" s="45" t="n">
        <x:v>0.5398471531323559</x:v>
      </x:c>
      <x:c r="X1035" s="66" t="n">
        <x:v>17468473.958718777</x:v>
      </x:c>
      <x:c r="Y1035" s="66" t="n">
        <x:v>30.70459867753166</x:v>
      </x:c>
      <x:c r="Z1035" s="66" t="n">
        <x:v>1169100.889087424</x:v>
      </x:c>
      <x:c r="AA1035" s="66" t="n">
        <x:v>95763.41603828229</x:v>
      </x:c>
      <x:c r="AB1035" s="66" t="n">
        <x:v>0</x:v>
      </x:c>
      <x:c r="AC1035" s="66" t="n">
        <x:v>30244.024293292325</x:v>
      </x:c>
      <x:c r="AD1035" s="66" t="n">
        <x:v>1562.323845438048</x:v>
      </x:c>
      <x:c r="AE1035" s="66" t="n">
        <x:v>52469.96558956599</x:v>
      </x:c>
      <x:c r="AF1035" s="66" t="n">
        <x:v>109566.6882171376</x:v>
      </x:c>
      <x:c r="AG1035" s="66" t="n">
        <x:v>1.1641532182693481e-10</x:v>
      </x:c>
      <x:c r="AH1035" s="36" t="n">
        <x:v>0</x:v>
      </x:c>
    </x:row>
    <x:row r="1036" ht="15" hidden="0" customHeight="1">
      <x:c r="A1036" s="34" t="n">
        <x:v>258</x:v>
      </x:c>
      <x:c r="B1036" s="34" t="str">
        <x:v>H3</x:v>
      </x:c>
      <x:c r="C1036" s="34" t="str">
        <x:v>reference</x:v>
      </x:c>
      <x:c r="D1036" s="74" t="n">
        <x:v>1.182664342665714</x:v>
      </x:c>
      <x:c r="E1036" s="74" t="n">
        <x:v>0.03174969217220832</x:v>
      </x:c>
      <x:c r="F1036" s="74" t="n">
        <x:v>1.0471209680062747</x:v>
      </x:c>
      <x:c r="G1036" s="74" t="n">
        <x:v>1.254415804159855</x:v>
      </x:c>
      <x:c r="H1036" s="74" t="n">
        <x:v>1.015102203019561</x:v>
      </x:c>
      <x:c r="I1036" s="74" t="n">
        <x:v>1.0218633387855216</x:v>
      </x:c>
      <x:c r="J1036" s="74" t="n">
        <x:v>1.023508408742274</x:v>
      </x:c>
      <x:c r="K1036" s="74" t="n">
        <x:v>0.7304446746825158</x:v>
      </x:c>
      <x:c r="L1036" s="74" t="n">
        <x:v>0.896938490583259</x:v>
      </x:c>
      <x:c r="M1036" s="74" t="n">
        <x:v>0.8741935255872936</x:v>
      </x:c>
      <x:c r="N1036" s="74" t="n">
        <x:v>0.9717319541533</x:v>
      </x:c>
      <x:c r="O1036" s="65" t="n">
        <x:v>568920.4455064731</x:v>
      </x:c>
      <x:c r="P1036" s="65" t="n">
        <x:v>435810.22016042366</x:v>
      </x:c>
      <x:c r="Q1036" s="65" t="n">
        <x:v>133110.2253460495</x:v>
      </x:c>
      <x:c r="R1036" s="65" t="n">
        <x:v>124200.13531149479</x:v>
      </x:c>
      <x:c r="S1036" s="65" t="n">
        <x:v>8910.090034554722</x:v>
      </x:c>
      <x:c r="T1036" s="65" t="n">
        <x:v>131567.0384168127</x:v>
      </x:c>
      <x:c r="U1036" s="43" t="n">
        <x:v>0.9972875171890457</x:v>
      </x:c>
      <x:c r="V1036" s="43" t="n">
        <x:v>0.9982916385761087</x:v>
      </x:c>
      <x:c r="W1036" s="43" t="n">
        <x:v>0.972875171890456</x:v>
      </x:c>
      <x:c r="X1036" s="65" t="n">
        <x:v>14188092.835925328</x:v>
      </x:c>
      <x:c r="Y1036" s="65" t="n">
        <x:v>24.938623577316836</x:v>
      </x:c>
      <x:c r="Z1036" s="65" t="n">
        <x:v>857065.6508072919</x:v>
      </x:c>
      <x:c r="AA1036" s="65" t="n">
        <x:v>89317.20221353212</x:v>
      </x:c>
      <x:c r="AB1036" s="65" t="n">
        <x:v>2268.3673619718397</x:v>
      </x:c>
      <x:c r="AC1036" s="65" t="n">
        <x:v>0</x:v>
      </x:c>
      <x:c r="AD1036" s="65" t="n">
        <x:v>1543.1869292368247</x:v>
      </x:c>
      <x:c r="AE1036" s="65" t="n">
        <x:v>70371.89713308544</x:v>
      </x:c>
      <x:c r="AF1036" s="65" t="n">
        <x:v>131567.03841681266</x:v>
      </x:c>
      <x:c r="AG1036" s="65" t="n">
        <x:v>2.9103830456733704e-11</x:v>
      </x:c>
      <x:c r="AH1036" s="34" t="n">
        <x:v>1</x:v>
      </x:c>
    </x:row>
    <x:row r="1037" ht="15" hidden="0" customHeight="1">
      <x:c r="A1037" s="36" t="n">
        <x:v>259</x:v>
      </x:c>
      <x:c r="B1037" s="36" t="str">
        <x:v>M0</x:v>
      </x:c>
      <x:c r="C1037" s="36" t="str">
        <x:v>slow</x:v>
      </x:c>
      <x:c r="D1037" s="75" t="n">
        <x:v>1.1292653154227943</x:v>
      </x:c>
      <x:c r="E1037" s="75" t="n">
        <x:v>0.07280582916801195</x:v>
      </x:c>
      <x:c r="F1037" s="75" t="n">
        <x:v>1.0440093708629374</x:v>
      </x:c>
      <x:c r="G1037" s="75" t="n">
        <x:v>0.990046905703429</x:v>
      </x:c>
      <x:c r="H1037" s="75" t="n">
        <x:v>0.8859992828116361</x:v>
      </x:c>
      <x:c r="I1037" s="75" t="n">
        <x:v>0.9965152915012884</x:v>
      </x:c>
      <x:c r="J1037" s="75" t="n">
        <x:v>0.7351488935094959</x:v>
      </x:c>
      <x:c r="K1037" s="75" t="n">
        <x:v>0.7299857693636015</x:v>
      </x:c>
      <x:c r="L1037" s="75" t="n">
        <x:v>0.9333793717036925</x:v>
      </x:c>
      <x:c r="M1037" s="75" t="n">
        <x:v>0.9311103792587699</x:v>
      </x:c>
      <x:c r="N1037" s="75" t="n">
        <x:v>0.8409057417781388</x:v>
      </x:c>
      <x:c r="O1037" s="66" t="n">
        <x:v>543232.8541310721</x:v>
      </x:c>
      <x:c r="P1037" s="66" t="n">
        <x:v>78257.4008287598</x:v>
      </x:c>
      <x:c r="Q1037" s="66" t="n">
        <x:v>464975.4533023123</x:v>
      </x:c>
      <x:c r="R1037" s="66" t="n">
        <x:v>140895.35977414512</x:v>
      </x:c>
      <x:c r="S1037" s="66" t="n">
        <x:v>324080.09352816717</x:v>
      </x:c>
      <x:c r="T1037" s="66" t="n">
        <x:v>291820.37162463623</x:v>
      </x:c>
      <x:c r="U1037" s="45" t="n">
        <x:v>0.6812507189856069</x:v>
      </x:c>
      <x:c r="V1037" s="45" t="n">
        <x:v>0.669420455562053</x:v>
      </x:c>
      <x:c r="W1037" s="45" t="n">
        <x:v>0.07017427430288191</x:v>
      </x:c>
      <x:c r="X1037" s="66" t="n">
        <x:v>60038258.59000592</x:v>
      </x:c>
      <x:c r="Y1037" s="66" t="n">
        <x:v>110.52030107059724</x:v>
      </x:c>
      <x:c r="Z1037" s="66" t="n">
        <x:v>3432367.645165152</x:v>
      </x:c>
      <x:c r="AA1037" s="66" t="n">
        <x:v>332185.4392210437</x:v>
      </x:c>
      <x:c r="AB1037" s="66" t="n">
        <x:v>20728.58183979315</x:v>
      </x:c>
      <x:c r="AC1037" s="66" t="n">
        <x:v>7579.691110204986</x:v>
      </x:c>
      <x:c r="AD1037" s="66" t="n">
        <x:v>2991.6877286601</x:v>
      </x:c>
      <x:c r="AE1037" s="66" t="n">
        <x:v>243384.2008982154</x:v>
      </x:c>
      <x:c r="AF1037" s="66" t="n">
        <x:v>291820.3716246361</x:v>
      </x:c>
      <x:c r="AG1037" s="66" t="n">
        <x:v>1.1641532182693481e-10</x:v>
      </x:c>
      <x:c r="AH1037" s="36" t="n">
        <x:v>0</x:v>
      </x:c>
    </x:row>
    <x:row r="1038" ht="15" hidden="0" customHeight="1">
      <x:c r="A1038" s="34" t="n">
        <x:v>259</x:v>
      </x:c>
      <x:c r="B1038" s="34" t="str">
        <x:v>B1</x:v>
      </x:c>
      <x:c r="C1038" s="34" t="str">
        <x:v>slow</x:v>
      </x:c>
      <x:c r="D1038" s="74" t="n">
        <x:v>1.1292653154227943</x:v>
      </x:c>
      <x:c r="E1038" s="74" t="n">
        <x:v>0.07280582916801195</x:v>
      </x:c>
      <x:c r="F1038" s="74" t="n">
        <x:v>1.0440093708629374</x:v>
      </x:c>
      <x:c r="G1038" s="74" t="n">
        <x:v>0.990046905703429</x:v>
      </x:c>
      <x:c r="H1038" s="74" t="n">
        <x:v>0.8859992828116361</x:v>
      </x:c>
      <x:c r="I1038" s="74" t="n">
        <x:v>0.9965152915012884</x:v>
      </x:c>
      <x:c r="J1038" s="74" t="n">
        <x:v>0.7351488935094959</x:v>
      </x:c>
      <x:c r="K1038" s="74" t="n">
        <x:v>0.7299857693636015</x:v>
      </x:c>
      <x:c r="L1038" s="74" t="n">
        <x:v>0.9333793717036925</x:v>
      </x:c>
      <x:c r="M1038" s="74" t="n">
        <x:v>0.9311103792587699</x:v>
      </x:c>
      <x:c r="N1038" s="74" t="n">
        <x:v>0.8409057417781388</x:v>
      </x:c>
      <x:c r="O1038" s="65" t="n">
        <x:v>543232.8541310721</x:v>
      </x:c>
      <x:c r="P1038" s="65" t="n">
        <x:v>264721.06471531687</x:v>
      </x:c>
      <x:c r="Q1038" s="65" t="n">
        <x:v>278511.7894157552</x:v>
      </x:c>
      <x:c r="R1038" s="65" t="n">
        <x:v>140895.35977414512</x:v>
      </x:c>
      <x:c r="S1038" s="65" t="n">
        <x:v>137616.42964161007</x:v>
      </x:c>
      <x:c r="T1038" s="65" t="n">
        <x:v>161854.123341504</x:v>
      </x:c>
      <x:c r="U1038" s="43" t="n">
        <x:v>0.7852529257258365</x:v>
      </x:c>
      <x:c r="V1038" s="43" t="n">
        <x:v>0.7761032045216766</x:v>
      </x:c>
      <x:c r="W1038" s="43" t="n">
        <x:v>0.24356631945930513</x:v>
      </x:c>
      <x:c r="X1038" s="65" t="n">
        <x:v>37376889.83894679</x:v>
      </x:c>
      <x:c r="Y1038" s="65" t="n">
        <x:v>68.80454588618905</x:v>
      </x:c>
      <x:c r="Z1038" s="65" t="n">
        <x:v>1284501.702670381</x:v>
      </x:c>
      <x:c r="AA1038" s="65" t="n">
        <x:v>194583.4227016027</x:v>
      </x:c>
      <x:c r="AB1038" s="65" t="n">
        <x:v>2252.0263118357034</x:v>
      </x:c>
      <x:c r="AC1038" s="65" t="n">
        <x:v>4841.041189521949</x:v>
      </x:c>
      <x:c r="AD1038" s="65" t="n">
        <x:v>2418.2510621484616</x:v>
      </x:c>
      <x:c r="AE1038" s="65" t="n">
        <x:v>89199.86725187281</x:v>
      </x:c>
      <x:c r="AF1038" s="65" t="n">
        <x:v>161854.12334150396</x:v>
      </x:c>
      <x:c r="AG1038" s="65" t="n">
        <x:v>2.9103830456733704e-11</x:v>
      </x:c>
      <x:c r="AH1038" s="34" t="n">
        <x:v>0</x:v>
      </x:c>
    </x:row>
    <x:row r="1039" ht="15" hidden="0" customHeight="1">
      <x:c r="A1039" s="36" t="n">
        <x:v>259</x:v>
      </x:c>
      <x:c r="B1039" s="36" t="str">
        <x:v>P2</x:v>
      </x:c>
      <x:c r="C1039" s="36" t="str">
        <x:v>slow</x:v>
      </x:c>
      <x:c r="D1039" s="75" t="n">
        <x:v>1.1292653154227943</x:v>
      </x:c>
      <x:c r="E1039" s="75" t="n">
        <x:v>0.07280582916801195</x:v>
      </x:c>
      <x:c r="F1039" s="75" t="n">
        <x:v>1.0440093708629374</x:v>
      </x:c>
      <x:c r="G1039" s="75" t="n">
        <x:v>0.990046905703429</x:v>
      </x:c>
      <x:c r="H1039" s="75" t="n">
        <x:v>0.8859992828116361</x:v>
      </x:c>
      <x:c r="I1039" s="75" t="n">
        <x:v>0.9965152915012884</x:v>
      </x:c>
      <x:c r="J1039" s="75" t="n">
        <x:v>0.7351488935094959</x:v>
      </x:c>
      <x:c r="K1039" s="75" t="n">
        <x:v>0.7299857693636015</x:v>
      </x:c>
      <x:c r="L1039" s="75" t="n">
        <x:v>0.9333793717036925</x:v>
      </x:c>
      <x:c r="M1039" s="75" t="n">
        <x:v>0.9311103792587699</x:v>
      </x:c>
      <x:c r="N1039" s="75" t="n">
        <x:v>0.8409057417781388</x:v>
      </x:c>
      <x:c r="O1039" s="66" t="n">
        <x:v>543232.8541310721</x:v>
      </x:c>
      <x:c r="P1039" s="66" t="n">
        <x:v>383500.96949869435</x:v>
      </x:c>
      <x:c r="Q1039" s="66" t="n">
        <x:v>159731.88463237774</x:v>
      </x:c>
      <x:c r="R1039" s="66" t="n">
        <x:v>140895.35977414512</x:v>
      </x:c>
      <x:c r="S1039" s="66" t="n">
        <x:v>18836.524858232602</x:v>
      </x:c>
      <x:c r="T1039" s="66" t="n">
        <x:v>77418.8093040015</x:v>
      </x:c>
      <x:c r="U1039" s="45" t="n">
        <x:v>0.8484755207598037</x:v>
      </x:c>
      <x:c r="V1039" s="45" t="n">
        <x:v>0.8436277837468229</x:v>
      </x:c>
      <x:c r="W1039" s="45" t="n">
        <x:v>0.3579030371457337</x:v>
      </x:c>
      <x:c r="X1039" s="66" t="n">
        <x:v>21595394.207389392</x:v>
      </x:c>
      <x:c r="Y1039" s="66" t="n">
        <x:v>39.75347596001405</x:v>
      </x:c>
      <x:c r="Z1039" s="66" t="n">
        <x:v>497139.73572321254</x:v>
      </x:c>
      <x:c r="AA1039" s="66" t="n">
        <x:v>113988.68961501494</x:v>
      </x:c>
      <x:c r="AB1039" s="66" t="n">
        <x:v>0</x:v>
      </x:c>
      <x:c r="AC1039" s="66" t="n">
        <x:v>0</x:v>
      </x:c>
      <x:c r="AD1039" s="66" t="n">
        <x:v>2070.352105044304</x:v>
      </x:c>
      <x:c r="AE1039" s="66" t="n">
        <x:v>14902.736085760444</x:v>
      </x:c>
      <x:c r="AF1039" s="66" t="n">
        <x:v>77418.80930400142</x:v>
      </x:c>
      <x:c r="AG1039" s="66" t="n">
        <x:v>7.275957614183426e-11</x:v>
      </x:c>
      <x:c r="AH1039" s="36" t="n">
        <x:v>0</x:v>
      </x:c>
    </x:row>
    <x:row r="1040" ht="15" hidden="0" customHeight="1">
      <x:c r="A1040" s="34" t="n">
        <x:v>259</x:v>
      </x:c>
      <x:c r="B1040" s="34" t="str">
        <x:v>H3</x:v>
      </x:c>
      <x:c r="C1040" s="34" t="str">
        <x:v>slow</x:v>
      </x:c>
      <x:c r="D1040" s="74" t="n">
        <x:v>1.1292653154227943</x:v>
      </x:c>
      <x:c r="E1040" s="74" t="n">
        <x:v>0.07280582916801195</x:v>
      </x:c>
      <x:c r="F1040" s="74" t="n">
        <x:v>1.0440093708629374</x:v>
      </x:c>
      <x:c r="G1040" s="74" t="n">
        <x:v>0.990046905703429</x:v>
      </x:c>
      <x:c r="H1040" s="74" t="n">
        <x:v>0.8859992828116361</x:v>
      </x:c>
      <x:c r="I1040" s="74" t="n">
        <x:v>0.9965152915012884</x:v>
      </x:c>
      <x:c r="J1040" s="74" t="n">
        <x:v>0.7351488935094959</x:v>
      </x:c>
      <x:c r="K1040" s="74" t="n">
        <x:v>0.7299857693636015</x:v>
      </x:c>
      <x:c r="L1040" s="74" t="n">
        <x:v>0.9333793717036925</x:v>
      </x:c>
      <x:c r="M1040" s="74" t="n">
        <x:v>0.9311103792587699</x:v>
      </x:c>
      <x:c r="N1040" s="74" t="n">
        <x:v>0.8409057417781388</x:v>
      </x:c>
      <x:c r="O1040" s="65" t="n">
        <x:v>543232.8541310721</x:v>
      </x:c>
      <x:c r="P1040" s="65" t="n">
        <x:v>394249.71977978153</x:v>
      </x:c>
      <x:c r="Q1040" s="65" t="n">
        <x:v>148983.13435129062</x:v>
      </x:c>
      <x:c r="R1040" s="65" t="n">
        <x:v>140895.35977414512</x:v>
      </x:c>
      <x:c r="S1040" s="65" t="n">
        <x:v>8087.77457714547</x:v>
      </x:c>
      <x:c r="T1040" s="65" t="n">
        <x:v>69792.65096358577</x:v>
      </x:c>
      <x:c r="U1040" s="43" t="n">
        <x:v>0.8542236855052261</x:v>
      </x:c>
      <x:c r="V1040" s="43" t="n">
        <x:v>0.8501187968797702</x:v>
      </x:c>
      <x:c r="W1040" s="43" t="n">
        <x:v>0.36958642574461664</x:v>
      </x:c>
      <x:c r="X1040" s="65" t="n">
        <x:v>19291036.262804266</x:v>
      </x:c>
      <x:c r="Y1040" s="65" t="n">
        <x:v>35.51154190344624</x:v>
      </x:c>
      <x:c r="Z1040" s="65" t="n">
        <x:v>488771.1050210968</x:v>
      </x:c>
      <x:c r="AA1040" s="65" t="n">
        <x:v>107741.26851970082</x:v>
      </x:c>
      <x:c r="AB1040" s="65" t="n">
        <x:v>1884.9944306425389</x:v>
      </x:c>
      <x:c r="AC1040" s="65" t="n">
        <x:v>1399.8341981446024</x:v>
      </x:c>
      <x:c r="AD1040" s="65" t="n">
        <x:v>2044.8435013635276</x:v>
      </x:c>
      <x:c r="AE1040" s="65" t="n">
        <x:v>14668.501021628836</x:v>
      </x:c>
      <x:c r="AF1040" s="65" t="n">
        <x:v>69792.65096358574</x:v>
      </x:c>
      <x:c r="AG1040" s="65" t="n">
        <x:v>2.9103830456733704e-11</x:v>
      </x:c>
      <x:c r="AH1040" s="34" t="n">
        <x:v>0</x:v>
      </x:c>
    </x:row>
    <x:row r="1041" ht="21.600000381469727" hidden="0" customHeight="1">
      <x:c r="A1041" s="36" t="n">
        <x:v>260</x:v>
      </x:c>
      <x:c r="B1041" s="36" t="str">
        <x:v>M0</x:v>
      </x:c>
      <x:c r="C1041" s="36" t="str">
        <x:v>slow</x:v>
      </x:c>
      <x:c r="D1041" s="75" t="n">
        <x:v>1.1067349123281518</x:v>
      </x:c>
      <x:c r="E1041" s="75" t="n">
        <x:v>-0.03459936916413655</x:v>
      </x:c>
      <x:c r="F1041" s="75" t="n">
        <x:v>0.8513543123502326</x:v>
      </x:c>
      <x:c r="G1041" s="75" t="n">
        <x:v>1.0647793655579618</x:v>
      </x:c>
      <x:c r="H1041" s="75" t="n">
        <x:v>0.935308214435145</x:v>
      </x:c>
      <x:c r="I1041" s="75" t="n">
        <x:v>1.0152173998409122</x:v>
      </x:c>
      <x:c r="J1041" s="75" t="n">
        <x:v>1.0169037705110475</x:v>
      </x:c>
      <x:c r="K1041" s="75" t="n">
        <x:v>0.7787408749309066</x:v>
      </x:c>
      <x:c r="L1041" s="75" t="n">
        <x:v>0.8648773688450303</x:v>
      </x:c>
      <x:c r="M1041" s="75" t="n">
        <x:v>0.8764851850169041</x:v>
      </x:c>
      <x:c r="N1041" s="75" t="n">
        <x:v>0.8763611421636264</x:v>
      </x:c>
      <x:c r="O1041" s="66" t="n">
        <x:v>532394.6082284749</x:v>
      </x:c>
      <x:c r="P1041" s="66" t="n">
        <x:v>71614.73667029428</x:v>
      </x:c>
      <x:c r="Q1041" s="66" t="n">
        <x:v>460779.87155818066</x:v>
      </x:c>
      <x:c r="R1041" s="66" t="n">
        <x:v>80902.35421546847</x:v>
      </x:c>
      <x:c r="S1041" s="66" t="n">
        <x:v>379877.51734271215</x:v>
      </x:c>
      <x:c r="T1041" s="66" t="n">
        <x:v>292093.0627340146</x:v>
      </x:c>
      <x:c r="U1041" s="45" t="n">
        <x:v>0.6831545507467373</x:v>
      </x:c>
      <x:c r="V1041" s="45" t="n">
        <x:v>0.6699915205616042</x:v>
      </x:c>
      <x:c r="W1041" s="45" t="n">
        <x:v>0.07351936467946987</x:v>
      </x:c>
      <x:c r="X1041" s="66" t="n">
        <x:v>58776298.94521135</x:v>
      </x:c>
      <x:c r="Y1041" s="66" t="n">
        <x:v>110.39987640142996</x:v>
      </x:c>
      <x:c r="Z1041" s="66" t="n">
        <x:v>3090387.1133579267</x:v>
      </x:c>
      <x:c r="AA1041" s="66" t="n">
        <x:v>327438.6853852418</x:v>
      </x:c>
      <x:c r="AB1041" s="66" t="n">
        <x:v>19510.82904607009</x:v>
      </x:c>
      <x:c r="AC1041" s="66" t="n">
        <x:v>0</x:v>
      </x:c>
      <x:c r="AD1041" s="66" t="n">
        <x:v>2920.212895317255</x:v>
      </x:c>
      <x:c r="AE1041" s="66" t="n">
        <x:v>241614.6609453897</x:v>
      </x:c>
      <x:c r="AF1041" s="66" t="n">
        <x:v>292093.0627340145</x:v>
      </x:c>
      <x:c r="AG1041" s="66" t="n">
        <x:v>1.1641532182693481e-10</x:v>
      </x:c>
      <x:c r="AH1041" s="36" t="n">
        <x:v>0</x:v>
      </x:c>
    </x:row>
    <x:row r="1042" ht="21.600000381469727" hidden="0" customHeight="1">
      <x:c r="A1042" s="34" t="n">
        <x:v>260</x:v>
      </x:c>
      <x:c r="B1042" s="34" t="str">
        <x:v>B1</x:v>
      </x:c>
      <x:c r="C1042" s="34" t="str">
        <x:v>slow</x:v>
      </x:c>
      <x:c r="D1042" s="74" t="n">
        <x:v>1.1067349123281518</x:v>
      </x:c>
      <x:c r="E1042" s="74" t="n">
        <x:v>-0.03459936916413655</x:v>
      </x:c>
      <x:c r="F1042" s="74" t="n">
        <x:v>0.8513543123502326</x:v>
      </x:c>
      <x:c r="G1042" s="74" t="n">
        <x:v>1.0647793655579618</x:v>
      </x:c>
      <x:c r="H1042" s="74" t="n">
        <x:v>0.935308214435145</x:v>
      </x:c>
      <x:c r="I1042" s="74" t="n">
        <x:v>1.0152173998409122</x:v>
      </x:c>
      <x:c r="J1042" s="74" t="n">
        <x:v>1.0169037705110475</x:v>
      </x:c>
      <x:c r="K1042" s="74" t="n">
        <x:v>0.7787408749309066</x:v>
      </x:c>
      <x:c r="L1042" s="74" t="n">
        <x:v>0.8648773688450303</x:v>
      </x:c>
      <x:c r="M1042" s="74" t="n">
        <x:v>0.8764851850169041</x:v>
      </x:c>
      <x:c r="N1042" s="74" t="n">
        <x:v>0.8763611421636264</x:v>
      </x:c>
      <x:c r="O1042" s="65" t="n">
        <x:v>532394.6082284749</x:v>
      </x:c>
      <x:c r="P1042" s="65" t="n">
        <x:v>242247.35315728883</x:v>
      </x:c>
      <x:c r="Q1042" s="65" t="n">
        <x:v>290147.2550711861</x:v>
      </x:c>
      <x:c r="R1042" s="65" t="n">
        <x:v>80902.35421546847</x:v>
      </x:c>
      <x:c r="S1042" s="65" t="n">
        <x:v>209244.90085571763</x:v>
      </x:c>
      <x:c r="T1042" s="65" t="n">
        <x:v>172896.16083928786</x:v>
      </x:c>
      <x:c r="U1042" s="43" t="n">
        <x:v>0.7797665633353289</x:v>
      </x:c>
      <x:c r="V1042" s="43" t="n">
        <x:v>0.7701368263247167</x:v>
      </x:c>
      <x:c r="W1042" s="43" t="n">
        <x:v>0.25517671884537785</x:v>
      </x:c>
      <x:c r="X1042" s="65" t="n">
        <x:v>37980834.775267124</x:v>
      </x:c>
      <x:c r="Y1042" s="65" t="n">
        <x:v>71.33963077058026</x:v>
      </x:c>
      <x:c r="Z1042" s="65" t="n">
        <x:v>1122202.2137308035</x:v>
      </x:c>
      <x:c r="AA1042" s="65" t="n">
        <x:v>201939.6413129309</x:v>
      </x:c>
      <x:c r="AB1042" s="65" t="n">
        <x:v>2079.6764726399756</x:v>
      </x:c>
      <x:c r="AC1042" s="65" t="n">
        <x:v>0</x:v>
      </x:c>
      <x:c r="AD1042" s="65" t="n">
        <x:v>2331.4276813344995</x:v>
      </x:c>
      <x:c r="AE1042" s="65" t="n">
        <x:v>97178.55815635058</x:v>
      </x:c>
      <x:c r="AF1042" s="65" t="n">
        <x:v>172896.1608392878</x:v>
      </x:c>
      <x:c r="AG1042" s="65" t="n">
        <x:v>5.820766091346741e-11</x:v>
      </x:c>
      <x:c r="AH1042" s="34" t="n">
        <x:v>0</x:v>
      </x:c>
    </x:row>
    <x:row r="1043" ht="21.600000381469727" hidden="0" customHeight="1">
      <x:c r="A1043" s="36" t="n">
        <x:v>260</x:v>
      </x:c>
      <x:c r="B1043" s="36" t="str">
        <x:v>P2</x:v>
      </x:c>
      <x:c r="C1043" s="36" t="str">
        <x:v>slow</x:v>
      </x:c>
      <x:c r="D1043" s="75" t="n">
        <x:v>1.1067349123281518</x:v>
      </x:c>
      <x:c r="E1043" s="75" t="n">
        <x:v>-0.03459936916413655</x:v>
      </x:c>
      <x:c r="F1043" s="75" t="n">
        <x:v>0.8513543123502326</x:v>
      </x:c>
      <x:c r="G1043" s="75" t="n">
        <x:v>1.0647793655579618</x:v>
      </x:c>
      <x:c r="H1043" s="75" t="n">
        <x:v>0.935308214435145</x:v>
      </x:c>
      <x:c r="I1043" s="75" t="n">
        <x:v>1.0152173998409122</x:v>
      </x:c>
      <x:c r="J1043" s="75" t="n">
        <x:v>1.0169037705110475</x:v>
      </x:c>
      <x:c r="K1043" s="75" t="n">
        <x:v>0.7787408749309066</x:v>
      </x:c>
      <x:c r="L1043" s="75" t="n">
        <x:v>0.8648773688450303</x:v>
      </x:c>
      <x:c r="M1043" s="75" t="n">
        <x:v>0.8764851850169041</x:v>
      </x:c>
      <x:c r="N1043" s="75" t="n">
        <x:v>0.8763611421636264</x:v>
      </x:c>
      <x:c r="O1043" s="66" t="n">
        <x:v>532394.6082284749</x:v>
      </x:c>
      <x:c r="P1043" s="66" t="n">
        <x:v>350940.4096323404</x:v>
      </x:c>
      <x:c r="Q1043" s="66" t="n">
        <x:v>181454.19859613455</x:v>
      </x:c>
      <x:c r="R1043" s="66" t="n">
        <x:v>80902.35421546847</x:v>
      </x:c>
      <x:c r="S1043" s="66" t="n">
        <x:v>100551.84438066607</x:v>
      </x:c>
      <x:c r="T1043" s="66" t="n">
        <x:v>96546.35116062398</x:v>
      </x:c>
      <x:c r="U1043" s="45" t="n">
        <x:v>0.8405170786420274</x:v>
      </x:c>
      <x:c r="V1043" s="45" t="n">
        <x:v>0.8349094643298229</x:v>
      </x:c>
      <x:c r="W1043" s="45" t="n">
        <x:v>0.3749636767775803</x:v>
      </x:c>
      <x:c r="X1043" s="66" t="n">
        <x:v>23305386.035669003</x:v>
      </x:c>
      <x:c r="Y1043" s="66" t="n">
        <x:v>43.77464699204391</x:v>
      </x:c>
      <x:c r="Z1043" s="66" t="n">
        <x:v>609660.2509749504</x:v>
      </x:c>
      <x:c r="AA1043" s="66" t="n">
        <x:v>126546.99194461867</x:v>
      </x:c>
      <x:c r="AB1043" s="66" t="n">
        <x:v>0</x:v>
      </x:c>
      <x:c r="AC1043" s="66" t="n">
        <x:v>0</x:v>
      </x:c>
      <x:c r="AD1043" s="66" t="n">
        <x:v>1974.2168961417249</x:v>
      </x:c>
      <x:c r="AE1043" s="66" t="n">
        <x:v>28190.18207186107</x:v>
      </x:c>
      <x:c r="AF1043" s="66" t="n">
        <x:v>96546.35116062404</x:v>
      </x:c>
      <x:c r="AG1043" s="66" t="n">
        <x:v>0</x:v>
      </x:c>
      <x:c r="AH1043" s="36" t="n">
        <x:v>0</x:v>
      </x:c>
    </x:row>
    <x:row r="1044" ht="21.600000381469727" hidden="0" customHeight="1">
      <x:c r="A1044" s="34" t="n">
        <x:v>260</x:v>
      </x:c>
      <x:c r="B1044" s="34" t="str">
        <x:v>H3</x:v>
      </x:c>
      <x:c r="C1044" s="34" t="str">
        <x:v>slow</x:v>
      </x:c>
      <x:c r="D1044" s="74" t="n">
        <x:v>1.1067349123281518</x:v>
      </x:c>
      <x:c r="E1044" s="74" t="n">
        <x:v>-0.03459936916413655</x:v>
      </x:c>
      <x:c r="F1044" s="74" t="n">
        <x:v>0.8513543123502326</x:v>
      </x:c>
      <x:c r="G1044" s="74" t="n">
        <x:v>1.0647793655579618</x:v>
      </x:c>
      <x:c r="H1044" s="74" t="n">
        <x:v>0.935308214435145</x:v>
      </x:c>
      <x:c r="I1044" s="74" t="n">
        <x:v>1.0152173998409122</x:v>
      </x:c>
      <x:c r="J1044" s="74" t="n">
        <x:v>1.0169037705110475</x:v>
      </x:c>
      <x:c r="K1044" s="74" t="n">
        <x:v>0.7787408749309066</x:v>
      </x:c>
      <x:c r="L1044" s="74" t="n">
        <x:v>0.8648773688450303</x:v>
      </x:c>
      <x:c r="M1044" s="74" t="n">
        <x:v>0.8764851850169041</x:v>
      </x:c>
      <x:c r="N1044" s="74" t="n">
        <x:v>0.8763611421636264</x:v>
      </x:c>
      <x:c r="O1044" s="65" t="n">
        <x:v>532394.6082284749</x:v>
      </x:c>
      <x:c r="P1044" s="65" t="n">
        <x:v>364050.177601455</x:v>
      </x:c>
      <x:c r="Q1044" s="65" t="n">
        <x:v>168344.4306270199</x:v>
      </x:c>
      <x:c r="R1044" s="65" t="n">
        <x:v>80902.35421546847</x:v>
      </x:c>
      <x:c r="S1044" s="65" t="n">
        <x:v>87442.07641155145</x:v>
      </x:c>
      <x:c r="T1044" s="65" t="n">
        <x:v>87342.70032051313</x:v>
      </x:c>
      <x:c r="U1044" s="43" t="n">
        <x:v>0.847853961977494</x:v>
      </x:c>
      <x:c r="V1044" s="43" t="n">
        <x:v>0.8428799657163819</x:v>
      </x:c>
      <x:c r="W1044" s="43" t="n">
        <x:v>0.39003878601674724</x:v>
      </x:c>
      <x:c r="X1044" s="65" t="n">
        <x:v>20648286.347846765</x:v>
      </x:c>
      <x:c r="Y1044" s="65" t="n">
        <x:v>38.78380064094421</x:v>
      </x:c>
      <x:c r="Z1044" s="65" t="n">
        <x:v>584904.1500723952</x:v>
      </x:c>
      <x:c r="AA1044" s="65" t="n">
        <x:v>113359.69892274092</x:v>
      </x:c>
      <x:c r="AB1044" s="65" t="n">
        <x:v>1480.3668968452218</x:v>
      </x:c>
      <x:c r="AC1044" s="65" t="n">
        <x:v>0</x:v>
      </x:c>
      <x:c r="AD1044" s="65" t="n">
        <x:v>1933.8823588654745</x:v>
      </x:c>
      <x:c r="AE1044" s="65" t="n">
        <x:v>13894.26690216882</x:v>
      </x:c>
      <x:c r="AF1044" s="65" t="n">
        <x:v>87342.70032051303</x:v>
      </x:c>
      <x:c r="AG1044" s="65" t="n">
        <x:v>1.0186340659856796e-10</x:v>
      </x:c>
      <x:c r="AH1044" s="34" t="n">
        <x:v>0</x:v>
      </x:c>
    </x:row>
    <x:row r="1045" ht="21.600000381469727" hidden="0" customHeight="1">
      <x:c r="A1045" s="36" t="n">
        <x:v>261</x:v>
      </x:c>
      <x:c r="B1045" s="36" t="str">
        <x:v>M0</x:v>
      </x:c>
      <x:c r="C1045" s="36" t="str">
        <x:v>reference</x:v>
      </x:c>
      <x:c r="D1045" s="75" t="n">
        <x:v>1.0473005893086749</x:v>
      </x:c>
      <x:c r="E1045" s="75" t="n">
        <x:v>-0.03398779311754872</x:v>
      </x:c>
      <x:c r="F1045" s="75" t="n">
        <x:v>0.9474793243243432</x:v>
      </x:c>
      <x:c r="G1045" s="75" t="n">
        <x:v>1.0835208416134898</x:v>
      </x:c>
      <x:c r="H1045" s="75" t="n">
        <x:v>1.0729406196842617</x:v>
      </x:c>
      <x:c r="I1045" s="75" t="n">
        <x:v>0.7935522271210965</x:v>
      </x:c>
      <x:c r="J1045" s="75" t="n">
        <x:v>0.8840579208386805</x:v>
      </x:c>
      <x:c r="K1045" s="75" t="n">
        <x:v>0.9933608091175193</x:v>
      </x:c>
      <x:c r="L1045" s="75" t="n">
        <x:v>0.852917297195655</x:v>
      </x:c>
      <x:c r="M1045" s="75" t="n">
        <x:v>0.9339646844600915</x:v>
      </x:c>
      <x:c r="N1045" s="75" t="n">
        <x:v>0.9418861729778055</x:v>
      </x:c>
      <x:c r="O1045" s="66" t="n">
        <x:v>503803.73902682017</x:v>
      </x:c>
      <x:c r="P1045" s="66" t="n">
        <x:v>75366.12256950488</x:v>
      </x:c>
      <x:c r="Q1045" s="66" t="n">
        <x:v>428437.6164573153</x:v>
      </x:c>
      <x:c r="R1045" s="66" t="n">
        <x:v>76865.81777656387</x:v>
      </x:c>
      <x:c r="S1045" s="66" t="n">
        <x:v>351571.7986807514</x:v>
      </x:c>
      <x:c r="T1045" s="66" t="n">
        <x:v>260465.72726698173</x:v>
      </x:c>
      <x:c r="U1045" s="45" t="n">
        <x:v>0.6665926110139657</x:v>
      </x:c>
      <x:c r="V1045" s="45" t="n">
        <x:v>0.6884197772572243</x:v>
      </x:c>
      <x:c r="W1045" s="45" t="n">
        <x:v>0.14710058936740666</x:v>
      </x:c>
      <x:c r="X1045" s="66" t="n">
        <x:v>56796628.681602456</x:v>
      </x:c>
      <x:c r="Y1045" s="66" t="n">
        <x:v>112.73562358094938</x:v>
      </x:c>
      <x:c r="Z1045" s="66" t="n">
        <x:v>5898314.404613781</x:v>
      </x:c>
      <x:c r="AA1045" s="66" t="n">
        <x:v>301992.2307919065</x:v>
      </x:c>
      <x:c r="AB1045" s="66" t="n">
        <x:v>53100.50393709127</x:v>
      </x:c>
      <x:c r="AC1045" s="66" t="n">
        <x:v>346.5830767489327</x:v>
      </x:c>
      <x:c r="AD1045" s="66" t="n">
        <x:v>2105.0477433563474</x:v>
      </x:c>
      <x:c r="AE1045" s="66" t="n">
        <x:v>206213.08370346017</x:v>
      </x:c>
      <x:c r="AF1045" s="66" t="n">
        <x:v>260465.72726698188</x:v>
      </x:c>
      <x:c r="AG1045" s="66" t="n">
        <x:v>0</x:v>
      </x:c>
      <x:c r="AH1045" s="36" t="n">
        <x:v>0</x:v>
      </x:c>
    </x:row>
    <x:row r="1046" ht="21.600000381469727" hidden="0" customHeight="1">
      <x:c r="A1046" s="34" t="n">
        <x:v>261</x:v>
      </x:c>
      <x:c r="B1046" s="34" t="str">
        <x:v>B1</x:v>
      </x:c>
      <x:c r="C1046" s="34" t="str">
        <x:v>reference</x:v>
      </x:c>
      <x:c r="D1046" s="74" t="n">
        <x:v>1.0473005893086749</x:v>
      </x:c>
      <x:c r="E1046" s="74" t="n">
        <x:v>-0.03398779311754872</x:v>
      </x:c>
      <x:c r="F1046" s="74" t="n">
        <x:v>0.9474793243243432</x:v>
      </x:c>
      <x:c r="G1046" s="74" t="n">
        <x:v>1.0835208416134898</x:v>
      </x:c>
      <x:c r="H1046" s="74" t="n">
        <x:v>1.0729406196842617</x:v>
      </x:c>
      <x:c r="I1046" s="74" t="n">
        <x:v>0.7935522271210965</x:v>
      </x:c>
      <x:c r="J1046" s="74" t="n">
        <x:v>0.8840579208386805</x:v>
      </x:c>
      <x:c r="K1046" s="74" t="n">
        <x:v>0.9933608091175193</x:v>
      </x:c>
      <x:c r="L1046" s="74" t="n">
        <x:v>0.852917297195655</x:v>
      </x:c>
      <x:c r="M1046" s="74" t="n">
        <x:v>0.9339646844600915</x:v>
      </x:c>
      <x:c r="N1046" s="74" t="n">
        <x:v>0.9418861729778055</x:v>
      </x:c>
      <x:c r="O1046" s="65" t="n">
        <x:v>503803.73902682017</x:v>
      </x:c>
      <x:c r="P1046" s="65" t="n">
        <x:v>254936.98512845766</x:v>
      </x:c>
      <x:c r="Q1046" s="65" t="n">
        <x:v>248866.7538983625</x:v>
      </x:c>
      <x:c r="R1046" s="65" t="n">
        <x:v>76865.81777656387</x:v>
      </x:c>
      <x:c r="S1046" s="65" t="n">
        <x:v>172000.93612179864</x:v>
      </x:c>
      <x:c r="T1046" s="65" t="n">
        <x:v>199245.85806688512</x:v>
      </x:c>
      <x:c r="U1046" s="43" t="n">
        <x:v>0.9015074879608311</x:v>
      </x:c>
      <x:c r="V1046" s="43" t="n">
        <x:v>0.9058127686777556</x:v>
      </x:c>
      <x:c r="W1046" s="43" t="n">
        <x:v>0.5580123978662196</x:v>
      </x:c>
      <x:c r="X1046" s="65" t="n">
        <x:v>32043425.439227603</x:v>
      </x:c>
      <x:c r="Y1046" s="65" t="n">
        <x:v>63.60299250879867</x:v>
      </x:c>
      <x:c r="Z1046" s="65" t="n">
        <x:v>2790804.8800924835</x:v>
      </x:c>
      <x:c r="AA1046" s="65" t="n">
        <x:v>165979.71506916475</x:v>
      </x:c>
      <x:c r="AB1046" s="65" t="n">
        <x:v>19498.89334851921</x:v>
      </x:c>
      <x:c r="AC1046" s="65" t="n">
        <x:v>1669.9483316442659</x:v>
      </x:c>
      <x:c r="AD1046" s="65" t="n">
        <x:v>1627.9267343042115</x:v>
      </x:c>
      <x:c r="AE1046" s="65" t="n">
        <x:v>118476.9817481852</x:v>
      </x:c>
      <x:c r="AF1046" s="65" t="n">
        <x:v>199245.85806688527</x:v>
      </x:c>
      <x:c r="AG1046" s="65" t="n">
        <x:v>0</x:v>
      </x:c>
      <x:c r="AH1046" s="34" t="n">
        <x:v>0</x:v>
      </x:c>
    </x:row>
    <x:row r="1047" ht="21.600000381469727" hidden="0" customHeight="1">
      <x:c r="A1047" s="36" t="n">
        <x:v>261</x:v>
      </x:c>
      <x:c r="B1047" s="36" t="str">
        <x:v>P2</x:v>
      </x:c>
      <x:c r="C1047" s="36" t="str">
        <x:v>reference</x:v>
      </x:c>
      <x:c r="D1047" s="75" t="n">
        <x:v>1.0473005893086749</x:v>
      </x:c>
      <x:c r="E1047" s="75" t="n">
        <x:v>-0.03398779311754872</x:v>
      </x:c>
      <x:c r="F1047" s="75" t="n">
        <x:v>0.9474793243243432</x:v>
      </x:c>
      <x:c r="G1047" s="75" t="n">
        <x:v>1.0835208416134898</x:v>
      </x:c>
      <x:c r="H1047" s="75" t="n">
        <x:v>1.0729406196842617</x:v>
      </x:c>
      <x:c r="I1047" s="75" t="n">
        <x:v>0.7935522271210965</x:v>
      </x:c>
      <x:c r="J1047" s="75" t="n">
        <x:v>0.8840579208386805</x:v>
      </x:c>
      <x:c r="K1047" s="75" t="n">
        <x:v>0.9933608091175193</x:v>
      </x:c>
      <x:c r="L1047" s="75" t="n">
        <x:v>0.852917297195655</x:v>
      </x:c>
      <x:c r="M1047" s="75" t="n">
        <x:v>0.9339646844600915</x:v>
      </x:c>
      <x:c r="N1047" s="75" t="n">
        <x:v>0.9418861729778055</x:v>
      </x:c>
      <x:c r="O1047" s="66" t="n">
        <x:v>503803.73902682017</x:v>
      </x:c>
      <x:c r="P1047" s="66" t="n">
        <x:v>369323.7203375354</x:v>
      </x:c>
      <x:c r="Q1047" s="66" t="n">
        <x:v>134480.01868928483</x:v>
      </x:c>
      <x:c r="R1047" s="66" t="n">
        <x:v>76865.81777656387</x:v>
      </x:c>
      <x:c r="S1047" s="66" t="n">
        <x:v>57614.200912720975</x:v>
      </x:c>
      <x:c r="T1047" s="66" t="n">
        <x:v>131619.89074614953</x:v>
      </x:c>
      <x:c r="U1047" s="45" t="n">
        <x:v>0.9943229322818046</x:v>
      </x:c>
      <x:c r="V1047" s="45" t="n">
        <x:v>0.9967816423698851</x:v>
      </x:c>
      <x:c r="W1047" s="45" t="n">
        <x:v>0.9432293228180456</x:v>
      </x:c>
      <x:c r="X1047" s="66" t="n">
        <x:v>15395097.939523598</x:v>
      </x:c>
      <x:c r="Y1047" s="66" t="n">
        <x:v>30.55772862913198</x:v>
      </x:c>
      <x:c r="Z1047" s="66" t="n">
        <x:v>810691.9597399437</x:v>
      </x:c>
      <x:c r="AA1047" s="66" t="n">
        <x:v>85420.92532394086</x:v>
      </x:c>
      <x:c r="AB1047" s="66" t="n">
        <x:v>668.7562495547111</x:v>
      </x:c>
      <x:c r="AC1047" s="66" t="n">
        <x:v>323.7064852236697</x:v>
      </x:c>
      <x:c r="AD1047" s="66" t="n">
        <x:v>1339.6352824350765</x:v>
      </x:c>
      <x:c r="AE1047" s="66" t="n">
        <x:v>61384.4122116433</x:v>
      </x:c>
      <x:c r="AF1047" s="66" t="n">
        <x:v>131619.89074614947</x:v>
      </x:c>
      <x:c r="AG1047" s="66" t="n">
        <x:v>5.820766091346741e-11</x:v>
      </x:c>
      <x:c r="AH1047" s="36" t="n">
        <x:v>1</x:v>
      </x:c>
    </x:row>
    <x:row r="1048" ht="21.600000381469727" hidden="0" customHeight="1">
      <x:c r="A1048" s="34" t="n">
        <x:v>261</x:v>
      </x:c>
      <x:c r="B1048" s="34" t="str">
        <x:v>H3</x:v>
      </x:c>
      <x:c r="C1048" s="34" t="str">
        <x:v>reference</x:v>
      </x:c>
      <x:c r="D1048" s="74" t="n">
        <x:v>1.0473005893086749</x:v>
      </x:c>
      <x:c r="E1048" s="74" t="n">
        <x:v>-0.03398779311754872</x:v>
      </x:c>
      <x:c r="F1048" s="74" t="n">
        <x:v>0.9474793243243432</x:v>
      </x:c>
      <x:c r="G1048" s="74" t="n">
        <x:v>1.0835208416134898</x:v>
      </x:c>
      <x:c r="H1048" s="74" t="n">
        <x:v>1.0729406196842617</x:v>
      </x:c>
      <x:c r="I1048" s="74" t="n">
        <x:v>0.7935522271210965</x:v>
      </x:c>
      <x:c r="J1048" s="74" t="n">
        <x:v>0.8840579208386805</x:v>
      </x:c>
      <x:c r="K1048" s="74" t="n">
        <x:v>0.9933608091175193</x:v>
      </x:c>
      <x:c r="L1048" s="74" t="n">
        <x:v>0.852917297195655</x:v>
      </x:c>
      <x:c r="M1048" s="74" t="n">
        <x:v>0.9339646844600915</x:v>
      </x:c>
      <x:c r="N1048" s="74" t="n">
        <x:v>0.9418861729778055</x:v>
      </x:c>
      <x:c r="O1048" s="65" t="n">
        <x:v>503803.73902682017</x:v>
      </x:c>
      <x:c r="P1048" s="65" t="n">
        <x:v>383120.22035060066</x:v>
      </x:c>
      <x:c r="Q1048" s="65" t="n">
        <x:v>120683.51867621945</x:v>
      </x:c>
      <x:c r="R1048" s="65" t="n">
        <x:v>76865.81777656387</x:v>
      </x:c>
      <x:c r="S1048" s="65" t="n">
        <x:v>43817.700899655596</x:v>
      </x:c>
      <x:c r="T1048" s="65" t="n">
        <x:v>119376.24602072418</x:v>
      </x:c>
      <x:c r="U1048" s="43" t="n">
        <x:v>0.9974051946140365</x:v>
      </x:c>
      <x:c r="V1048" s="43" t="n">
        <x:v>0.9983656569483764</x:v>
      </x:c>
      <x:c r="W1048" s="43" t="n">
        <x:v>0.974051946140366</x:v>
      </x:c>
      <x:c r="X1048" s="65" t="n">
        <x:v>12657514.969596604</x:v>
      </x:c>
      <x:c r="Y1048" s="65" t="n">
        <x:v>25.12390041814036</x:v>
      </x:c>
      <x:c r="Z1048" s="65" t="n">
        <x:v>952785.1823120344</x:v>
      </x:c>
      <x:c r="AA1048" s="65" t="n">
        <x:v>78306.49017613492</x:v>
      </x:c>
      <x:c r="AB1048" s="65" t="n">
        <x:v>8362.701388233669</x:v>
      </x:c>
      <x:c r="AC1048" s="65" t="n">
        <x:v>91.05690670920217</x:v>
      </x:c>
      <x:c r="AD1048" s="65" t="n">
        <x:v>1307.2726554952771</x:v>
      </x:c>
      <x:c r="AE1048" s="65" t="n">
        <x:v>59734.98002943767</x:v>
      </x:c>
      <x:c r="AF1048" s="65" t="n">
        <x:v>119376.2460207243</x:v>
      </x:c>
      <x:c r="AG1048" s="65" t="n">
        <x:v>0</x:v>
      </x:c>
      <x:c r="AH1048" s="34" t="n">
        <x:v>1</x:v>
      </x:c>
    </x:row>
    <x:row r="1049" ht="15" hidden="0" customHeight="1">
      <x:c r="A1049" s="36" t="n">
        <x:v>262</x:v>
      </x:c>
      <x:c r="B1049" s="36" t="str">
        <x:v>M0</x:v>
      </x:c>
      <x:c r="C1049" s="36" t="str">
        <x:v>reference</x:v>
      </x:c>
      <x:c r="D1049" s="75" t="n">
        <x:v>1.148890292087534</x:v>
      </x:c>
      <x:c r="E1049" s="75" t="n">
        <x:v>0.08384303710699703</x:v>
      </x:c>
      <x:c r="F1049" s="75" t="n">
        <x:v>0.996058317483471</x:v>
      </x:c>
      <x:c r="G1049" s="75" t="n">
        <x:v>1.0027162258515656</x:v>
      </x:c>
      <x:c r="H1049" s="75" t="n">
        <x:v>0.7926938233441915</x:v>
      </x:c>
      <x:c r="I1049" s="75" t="n">
        <x:v>1.0062935181483432</x:v>
      </x:c>
      <x:c r="J1049" s="75" t="n">
        <x:v>0.99743287725098</x:v>
      </x:c>
      <x:c r="K1049" s="75" t="n">
        <x:v>0.7496061274610228</x:v>
      </x:c>
      <x:c r="L1049" s="75" t="n">
        <x:v>0.9527068413252227</x:v>
      </x:c>
      <x:c r="M1049" s="75" t="n">
        <x:v>0.97669209296404</x:v>
      </x:c>
      <x:c r="N1049" s="75" t="n">
        <x:v>0.850023410294996</x:v>
      </x:c>
      <x:c r="O1049" s="66" t="n">
        <x:v>552673.4452306498</x:v>
      </x:c>
      <x:c r="P1049" s="66" t="n">
        <x:v>74828.37261876179</x:v>
      </x:c>
      <x:c r="Q1049" s="66" t="n">
        <x:v>477845.072611888</x:v>
      </x:c>
      <x:c r="R1049" s="66" t="n">
        <x:v>149443.8864347644</x:v>
      </x:c>
      <x:c r="S1049" s="66" t="n">
        <x:v>328401.18617712357</x:v>
      </x:c>
      <x:c r="T1049" s="66" t="n">
        <x:v>268458.319082388</x:v>
      </x:c>
      <x:c r="U1049" s="45" t="n">
        <x:v>0.6211383859014329</x:v>
      </x:c>
      <x:c r="V1049" s="45" t="n">
        <x:v>0.6545106593510897</x:v>
      </x:c>
      <x:c r="W1049" s="45" t="n">
        <x:v>0.1382160809435179</x:v>
      </x:c>
      <x:c r="X1049" s="66" t="n">
        <x:v>64228851.80307171</x:v>
      </x:c>
      <x:c r="Y1049" s="66" t="n">
        <x:v>116.2148323885306</x:v>
      </x:c>
      <x:c r="Z1049" s="66" t="n">
        <x:v>3783691.132409537</x:v>
      </x:c>
      <x:c r="AA1049" s="66" t="n">
        <x:v>355780.6026497884</x:v>
      </x:c>
      <x:c r="AB1049" s="66" t="n">
        <x:v>26554.0742264589</x:v>
      </x:c>
      <x:c r="AC1049" s="66" t="n">
        <x:v>0</x:v>
      </x:c>
      <x:c r="AD1049" s="66" t="n">
        <x:v>2356.548143795294</x:v>
      </x:c>
      <x:c r="AE1049" s="66" t="n">
        <x:v>219496.97064939624</x:v>
      </x:c>
      <x:c r="AF1049" s="66" t="n">
        <x:v>268458.31908238796</x:v>
      </x:c>
      <x:c r="AG1049" s="66" t="n">
        <x:v>5.820766091346741e-11</x:v>
      </x:c>
      <x:c r="AH1049" s="36" t="n">
        <x:v>0</x:v>
      </x:c>
    </x:row>
    <x:row r="1050" ht="15" hidden="0" customHeight="1">
      <x:c r="A1050" s="34" t="n">
        <x:v>262</x:v>
      </x:c>
      <x:c r="B1050" s="34" t="str">
        <x:v>B1</x:v>
      </x:c>
      <x:c r="C1050" s="34" t="str">
        <x:v>reference</x:v>
      </x:c>
      <x:c r="D1050" s="74" t="n">
        <x:v>1.148890292087534</x:v>
      </x:c>
      <x:c r="E1050" s="74" t="n">
        <x:v>0.08384303710699703</x:v>
      </x:c>
      <x:c r="F1050" s="74" t="n">
        <x:v>0.996058317483471</x:v>
      </x:c>
      <x:c r="G1050" s="74" t="n">
        <x:v>1.0027162258515656</x:v>
      </x:c>
      <x:c r="H1050" s="74" t="n">
        <x:v>0.7926938233441915</x:v>
      </x:c>
      <x:c r="I1050" s="74" t="n">
        <x:v>1.0062935181483432</x:v>
      </x:c>
      <x:c r="J1050" s="74" t="n">
        <x:v>0.99743287725098</x:v>
      </x:c>
      <x:c r="K1050" s="74" t="n">
        <x:v>0.7496061274610228</x:v>
      </x:c>
      <x:c r="L1050" s="74" t="n">
        <x:v>0.9527068413252227</x:v>
      </x:c>
      <x:c r="M1050" s="74" t="n">
        <x:v>0.97669209296404</x:v>
      </x:c>
      <x:c r="N1050" s="74" t="n">
        <x:v>0.850023410294996</x:v>
      </x:c>
      <x:c r="O1050" s="65" t="n">
        <x:v>552673.4452306498</x:v>
      </x:c>
      <x:c r="P1050" s="65" t="n">
        <x:v>253122.15007765076</x:v>
      </x:c>
      <x:c r="Q1050" s="65" t="n">
        <x:v>299551.295152999</x:v>
      </x:c>
      <x:c r="R1050" s="65" t="n">
        <x:v>149443.8864347644</x:v>
      </x:c>
      <x:c r="S1050" s="65" t="n">
        <x:v>150107.40871823457</x:v>
      </x:c>
      <x:c r="T1050" s="65" t="n">
        <x:v>186889.52719065093</x:v>
      </x:c>
      <x:c r="U1050" s="43" t="n">
        <x:v>0.7961512916269563</x:v>
      </x:c>
      <x:c r="V1050" s="43" t="n">
        <x:v>0.8261584334519564</x:v>
      </x:c>
      <x:c r="W1050" s="43" t="n">
        <x:v>0.4728326325655614</x:v>
      </x:c>
      <x:c r="X1050" s="65" t="n">
        <x:v>40813041.854773104</x:v>
      </x:c>
      <x:c r="Y1050" s="65" t="n">
        <x:v>73.84657650367191</x:v>
      </x:c>
      <x:c r="Z1050" s="65" t="n">
        <x:v>1236317.1113720897</x:v>
      </x:c>
      <x:c r="AA1050" s="65" t="n">
        <x:v>221034.46097608746</x:v>
      </x:c>
      <x:c r="AB1050" s="65" t="n">
        <x:v>1580.9640370354482</x:v>
      </x:c>
      <x:c r="AC1050" s="65" t="n">
        <x:v>10481.278581263272</x:v>
      </x:c>
      <x:c r="AD1050" s="65" t="n">
        <x:v>1940.2699459961748</x:v>
      </x:c>
      <x:c r="AE1050" s="65" t="n">
        <x:v>128237.23801232483</x:v>
      </x:c>
      <x:c r="AF1050" s="65" t="n">
        <x:v>186889.52719065087</x:v>
      </x:c>
      <x:c r="AG1050" s="65" t="n">
        <x:v>5.820766091346741e-11</x:v>
      </x:c>
      <x:c r="AH1050" s="34" t="n">
        <x:v>0</x:v>
      </x:c>
    </x:row>
    <x:row r="1051" ht="15" hidden="0" customHeight="1">
      <x:c r="A1051" s="36" t="n">
        <x:v>262</x:v>
      </x:c>
      <x:c r="B1051" s="36" t="str">
        <x:v>P2</x:v>
      </x:c>
      <x:c r="C1051" s="36" t="str">
        <x:v>reference</x:v>
      </x:c>
      <x:c r="D1051" s="75" t="n">
        <x:v>1.148890292087534</x:v>
      </x:c>
      <x:c r="E1051" s="75" t="n">
        <x:v>0.08384303710699703</x:v>
      </x:c>
      <x:c r="F1051" s="75" t="n">
        <x:v>0.996058317483471</x:v>
      </x:c>
      <x:c r="G1051" s="75" t="n">
        <x:v>1.0027162258515656</x:v>
      </x:c>
      <x:c r="H1051" s="75" t="n">
        <x:v>0.7926938233441915</x:v>
      </x:c>
      <x:c r="I1051" s="75" t="n">
        <x:v>1.0062935181483432</x:v>
      </x:c>
      <x:c r="J1051" s="75" t="n">
        <x:v>0.99743287725098</x:v>
      </x:c>
      <x:c r="K1051" s="75" t="n">
        <x:v>0.7496061274610228</x:v>
      </x:c>
      <x:c r="L1051" s="75" t="n">
        <x:v>0.9527068413252227</x:v>
      </x:c>
      <x:c r="M1051" s="75" t="n">
        <x:v>0.97669209296404</x:v>
      </x:c>
      <x:c r="N1051" s="75" t="n">
        <x:v>0.850023410294996</x:v>
      </x:c>
      <x:c r="O1051" s="66" t="n">
        <x:v>552673.4452306498</x:v>
      </x:c>
      <x:c r="P1051" s="66" t="n">
        <x:v>366698.0068249897</x:v>
      </x:c>
      <x:c r="Q1051" s="66" t="n">
        <x:v>185975.4384056601</x:v>
      </x:c>
      <x:c r="R1051" s="66" t="n">
        <x:v>149443.8864347644</x:v>
      </x:c>
      <x:c r="S1051" s="66" t="n">
        <x:v>36531.55197089569</x:v>
      </x:c>
      <x:c r="T1051" s="66" t="n">
        <x:v>112440.1843229879</x:v>
      </x:c>
      <x:c r="U1051" s="45" t="n">
        <x:v>0.8669462867860724</x:v>
      </x:c>
      <x:c r="V1051" s="45" t="n">
        <x:v>0.8932936286880786</x:v>
      </x:c>
      <x:c r="W1051" s="45" t="n">
        <x:v>0.47810003471050777</x:v>
      </x:c>
      <x:c r="X1051" s="66" t="n">
        <x:v>24320772.994975</x:v>
      </x:c>
      <x:c r="Y1051" s="66" t="n">
        <x:v>44.00568401621884</x:v>
      </x:c>
      <x:c r="Z1051" s="66" t="n">
        <x:v>854867.7033406342</x:v>
      </x:c>
      <x:c r="AA1051" s="66" t="n">
        <x:v>136879.21657456917</x:v>
      </x:c>
      <x:c r="AB1051" s="66" t="n">
        <x:v>0</x:v>
      </x:c>
      <x:c r="AC1051" s="66" t="n">
        <x:v>15276.803357205235</x:v>
      </x:c>
      <x:c r="AD1051" s="66" t="n">
        <x:v>1688.7416256160059</x:v>
      </x:c>
      <x:c r="AE1051" s="66" t="n">
        <x:v>57884.31768179866</x:v>
      </x:c>
      <x:c r="AF1051" s="66" t="n">
        <x:v>112440.18432298784</x:v>
      </x:c>
      <x:c r="AG1051" s="66" t="n">
        <x:v>5.820766091346741e-11</x:v>
      </x:c>
      <x:c r="AH1051" s="36" t="n">
        <x:v>0</x:v>
      </x:c>
    </x:row>
    <x:row r="1052" ht="15" hidden="0" customHeight="1">
      <x:c r="A1052" s="34" t="n">
        <x:v>262</x:v>
      </x:c>
      <x:c r="B1052" s="34" t="str">
        <x:v>H3</x:v>
      </x:c>
      <x:c r="C1052" s="34" t="str">
        <x:v>reference</x:v>
      </x:c>
      <x:c r="D1052" s="74" t="n">
        <x:v>1.148890292087534</x:v>
      </x:c>
      <x:c r="E1052" s="74" t="n">
        <x:v>0.08384303710699703</x:v>
      </x:c>
      <x:c r="F1052" s="74" t="n">
        <x:v>0.996058317483471</x:v>
      </x:c>
      <x:c r="G1052" s="74" t="n">
        <x:v>1.0027162258515656</x:v>
      </x:c>
      <x:c r="H1052" s="74" t="n">
        <x:v>0.7926938233441915</x:v>
      </x:c>
      <x:c r="I1052" s="74" t="n">
        <x:v>1.0062935181483432</x:v>
      </x:c>
      <x:c r="J1052" s="74" t="n">
        <x:v>0.99743287725098</x:v>
      </x:c>
      <x:c r="K1052" s="74" t="n">
        <x:v>0.7496061274610228</x:v>
      </x:c>
      <x:c r="L1052" s="74" t="n">
        <x:v>0.9527068413252227</x:v>
      </x:c>
      <x:c r="M1052" s="74" t="n">
        <x:v>0.97669209296404</x:v>
      </x:c>
      <x:c r="N1052" s="74" t="n">
        <x:v>0.850023410294996</x:v>
      </x:c>
      <x:c r="O1052" s="65" t="n">
        <x:v>552673.4452306498</x:v>
      </x:c>
      <x:c r="P1052" s="65" t="n">
        <x:v>380397.10906980594</x:v>
      </x:c>
      <x:c r="Q1052" s="65" t="n">
        <x:v>172276.33616084378</x:v>
      </x:c>
      <x:c r="R1052" s="65" t="n">
        <x:v>149443.8864347644</x:v>
      </x:c>
      <x:c r="S1052" s="65" t="n">
        <x:v>22832.44972607938</x:v>
      </x:c>
      <x:c r="T1052" s="65" t="n">
        <x:v>168087.31656273836</x:v>
      </x:c>
      <x:c r="U1052" s="43" t="n">
        <x:v>0.9924204435109828</x:v>
      </x:c>
      <x:c r="V1052" s="43" t="n">
        <x:v>0.9956434773322009</x:v>
      </x:c>
      <x:c r="W1052" s="43" t="n">
        <x:v>0.9242044351098286</x:v>
      </x:c>
      <x:c r="X1052" s="65" t="n">
        <x:v>17910542.918523986</x:v>
      </x:c>
      <x:c r="Y1052" s="65" t="n">
        <x:v>32.407098754399705</x:v>
      </x:c>
      <x:c r="Z1052" s="65" t="n">
        <x:v>1027319.4738355258</x:v>
      </x:c>
      <x:c r="AA1052" s="65" t="n">
        <x:v>109264.43452811294</x:v>
      </x:c>
      <x:c r="AB1052" s="65" t="n">
        <x:v>213.7575225837532</x:v>
      </x:c>
      <x:c r="AC1052" s="65" t="n">
        <x:v>0</x:v>
      </x:c>
      <x:c r="AD1052" s="65" t="n">
        <x:v>1660.5059039375399</x:v>
      </x:c>
      <x:c r="AE1052" s="65" t="n">
        <x:v>75827.13865963434</x:v>
      </x:c>
      <x:c r="AF1052" s="65" t="n">
        <x:v>168087.31656273847</x:v>
      </x:c>
      <x:c r="AG1052" s="65" t="n">
        <x:v>0</x:v>
      </x:c>
      <x:c r="AH1052" s="34" t="n">
        <x:v>1</x:v>
      </x:c>
    </x:row>
    <x:row r="1053" ht="15" hidden="0" customHeight="1">
      <x:c r="A1053" s="36" t="n">
        <x:v>263</x:v>
      </x:c>
      <x:c r="B1053" s="36" t="str">
        <x:v>M0</x:v>
      </x:c>
      <x:c r="C1053" s="36" t="str">
        <x:v>reference</x:v>
      </x:c>
      <x:c r="D1053" s="75" t="n">
        <x:v>1.1546230583320245</x:v>
      </x:c>
      <x:c r="E1053" s="75" t="n">
        <x:v>0.012486355815822463</x:v>
      </x:c>
      <x:c r="F1053" s="75" t="n">
        <x:v>0.9844928483327974</x:v>
      </x:c>
      <x:c r="G1053" s="75" t="n">
        <x:v>1.0410784921899112</x:v>
      </x:c>
      <x:c r="H1053" s="75" t="n">
        <x:v>0.8045090026463197</x:v>
      </x:c>
      <x:c r="I1053" s="75" t="n">
        <x:v>0.8958185452387684</x:v>
      </x:c>
      <x:c r="J1053" s="75" t="n">
        <x:v>0.9234857671121227</x:v>
      </x:c>
      <x:c r="K1053" s="75" t="n">
        <x:v>0.9809992716209062</x:v>
      </x:c>
      <x:c r="L1053" s="75" t="n">
        <x:v>1.043877645826044</x:v>
      </x:c>
      <x:c r="M1053" s="75" t="n">
        <x:v>0.8127112601311124</x:v>
      </x:c>
      <x:c r="N1053" s="75" t="n">
        <x:v>1.043026395000771</x:v>
      </x:c>
      <x:c r="O1053" s="66" t="n">
        <x:v>555431.1912860087</x:v>
      </x:c>
      <x:c r="P1053" s="66" t="n">
        <x:v>81599.61125535295</x:v>
      </x:c>
      <x:c r="Q1053" s="66" t="n">
        <x:v>473831.5800306557</x:v>
      </x:c>
      <x:c r="R1053" s="66" t="n">
        <x:v>110555.85939654526</x:v>
      </x:c>
      <x:c r="S1053" s="66" t="n">
        <x:v>363275.7206341105</x:v>
      </x:c>
      <x:c r="T1053" s="66" t="n">
        <x:v>258372.32346329445</x:v>
      </x:c>
      <x:c r="U1053" s="45" t="n">
        <x:v>0.6120865015367589</x:v>
      </x:c>
      <x:c r="V1053" s="45" t="n">
        <x:v>0.6358318554628918</x:v>
      </x:c>
      <x:c r="W1053" s="45" t="n">
        <x:v>0.14400563941622588</x:v>
      </x:c>
      <x:c r="X1053" s="66" t="n">
        <x:v>64449808.24132776</x:v>
      </x:c>
      <x:c r="Y1053" s="66" t="n">
        <x:v>116.03563006986506</x:v>
      </x:c>
      <x:c r="Z1053" s="66" t="n">
        <x:v>4665773.717680365</x:v>
      </x:c>
      <x:c r="AA1053" s="66" t="n">
        <x:v>350427.7913151551</x:v>
      </x:c>
      <x:c r="AB1053" s="66" t="n">
        <x:v>37702.76885990794</x:v>
      </x:c>
      <x:c r="AC1053" s="66" t="n">
        <x:v>0</x:v>
      </x:c>
      <x:c r="AD1053" s="66" t="n">
        <x:v>2334.86570630869</x:v>
      </x:c>
      <x:c r="AE1053" s="66" t="n">
        <x:v>228333.16328727227</x:v>
      </x:c>
      <x:c r="AF1053" s="66" t="n">
        <x:v>258372.3234632943</x:v>
      </x:c>
      <x:c r="AG1053" s="66" t="n">
        <x:v>1.4551915228366852e-10</x:v>
      </x:c>
      <x:c r="AH1053" s="36" t="n">
        <x:v>0</x:v>
      </x:c>
    </x:row>
    <x:row r="1054" ht="15" hidden="0" customHeight="1">
      <x:c r="A1054" s="34" t="n">
        <x:v>263</x:v>
      </x:c>
      <x:c r="B1054" s="34" t="str">
        <x:v>B1</x:v>
      </x:c>
      <x:c r="C1054" s="34" t="str">
        <x:v>reference</x:v>
      </x:c>
      <x:c r="D1054" s="74" t="n">
        <x:v>1.1546230583320245</x:v>
      </x:c>
      <x:c r="E1054" s="74" t="n">
        <x:v>0.012486355815822463</x:v>
      </x:c>
      <x:c r="F1054" s="74" t="n">
        <x:v>0.9844928483327974</x:v>
      </x:c>
      <x:c r="G1054" s="74" t="n">
        <x:v>1.0410784921899112</x:v>
      </x:c>
      <x:c r="H1054" s="74" t="n">
        <x:v>0.8045090026463197</x:v>
      </x:c>
      <x:c r="I1054" s="74" t="n">
        <x:v>0.8958185452387684</x:v>
      </x:c>
      <x:c r="J1054" s="74" t="n">
        <x:v>0.9234857671121227</x:v>
      </x:c>
      <x:c r="K1054" s="74" t="n">
        <x:v>0.9809992716209062</x:v>
      </x:c>
      <x:c r="L1054" s="74" t="n">
        <x:v>1.043877645826044</x:v>
      </x:c>
      <x:c r="M1054" s="74" t="n">
        <x:v>0.8127112601311124</x:v>
      </x:c>
      <x:c r="N1054" s="74" t="n">
        <x:v>1.043026395000771</x:v>
      </x:c>
      <x:c r="O1054" s="65" t="n">
        <x:v>555431.1912860087</x:v>
      </x:c>
      <x:c r="P1054" s="65" t="n">
        <x:v>276024.3155461524</x:v>
      </x:c>
      <x:c r="Q1054" s="65" t="n">
        <x:v>279406.8757398563</x:v>
      </x:c>
      <x:c r="R1054" s="65" t="n">
        <x:v>110555.85939654526</x:v>
      </x:c>
      <x:c r="S1054" s="65" t="n">
        <x:v>168851.01634331103</x:v>
      </x:c>
      <x:c r="T1054" s="65" t="n">
        <x:v>190157.85651279226</x:v>
      </x:c>
      <x:c r="U1054" s="43" t="n">
        <x:v>0.8393157953185475</x:v>
      </x:c>
      <x:c r="V1054" s="43" t="n">
        <x:v>0.8664928046818123</x:v>
      </x:c>
      <x:c r="W1054" s="43" t="n">
        <x:v>0.5340200225061346</x:v>
      </x:c>
      <x:c r="X1054" s="65" t="n">
        <x:v>37980931.66527279</x:v>
      </x:c>
      <x:c r="Y1054" s="65" t="n">
        <x:v>68.38098446962304</x:v>
      </x:c>
      <x:c r="Z1054" s="65" t="n">
        <x:v>1445648.709204672</x:v>
      </x:c>
      <x:c r="AA1054" s="65" t="n">
        <x:v>200827.68825749602</x:v>
      </x:c>
      <x:c r="AB1054" s="65" t="n">
        <x:v>4287.079616741788</x:v>
      </x:c>
      <x:c r="AC1054" s="65" t="n">
        <x:v>0</x:v>
      </x:c>
      <x:c r="AD1054" s="65" t="n">
        <x:v>1840.7855226739753</x:v>
      </x:c>
      <x:c r="AE1054" s="65" t="n">
        <x:v>128134.84097114726</x:v>
      </x:c>
      <x:c r="AF1054" s="65" t="n">
        <x:v>190157.85651279232</x:v>
      </x:c>
      <x:c r="AG1054" s="65" t="n">
        <x:v>0</x:v>
      </x:c>
      <x:c r="AH1054" s="34" t="n">
        <x:v>0</x:v>
      </x:c>
    </x:row>
    <x:row r="1055" ht="15" hidden="0" customHeight="1">
      <x:c r="A1055" s="36" t="n">
        <x:v>263</x:v>
      </x:c>
      <x:c r="B1055" s="36" t="str">
        <x:v>P2</x:v>
      </x:c>
      <x:c r="C1055" s="36" t="str">
        <x:v>reference</x:v>
      </x:c>
      <x:c r="D1055" s="75" t="n">
        <x:v>1.1546230583320245</x:v>
      </x:c>
      <x:c r="E1055" s="75" t="n">
        <x:v>0.012486355815822463</x:v>
      </x:c>
      <x:c r="F1055" s="75" t="n">
        <x:v>0.9844928483327974</x:v>
      </x:c>
      <x:c r="G1055" s="75" t="n">
        <x:v>1.0410784921899112</x:v>
      </x:c>
      <x:c r="H1055" s="75" t="n">
        <x:v>0.8045090026463197</x:v>
      </x:c>
      <x:c r="I1055" s="75" t="n">
        <x:v>0.8958185452387684</x:v>
      </x:c>
      <x:c r="J1055" s="75" t="n">
        <x:v>0.9234857671121227</x:v>
      </x:c>
      <x:c r="K1055" s="75" t="n">
        <x:v>0.9809992716209062</x:v>
      </x:c>
      <x:c r="L1055" s="75" t="n">
        <x:v>1.043877645826044</x:v>
      </x:c>
      <x:c r="M1055" s="75" t="n">
        <x:v>0.8127112601311124</x:v>
      </x:c>
      <x:c r="N1055" s="75" t="n">
        <x:v>1.043026395000771</x:v>
      </x:c>
      <x:c r="O1055" s="66" t="n">
        <x:v>555431.1912860087</x:v>
      </x:c>
      <x:c r="P1055" s="66" t="n">
        <x:v>399873.98444897414</x:v>
      </x:c>
      <x:c r="Q1055" s="66" t="n">
        <x:v>155557.20683703455</x:v>
      </x:c>
      <x:c r="R1055" s="66" t="n">
        <x:v>110555.85939654526</x:v>
      </x:c>
      <x:c r="S1055" s="66" t="n">
        <x:v>45001.347440489306</x:v>
      </x:c>
      <x:c r="T1055" s="66" t="n">
        <x:v>121913.36128079647</x:v>
      </x:c>
      <x:c r="U1055" s="45" t="n">
        <x:v>0.9394275185044231</x:v>
      </x:c>
      <x:c r="V1055" s="45" t="n">
        <x:v>0.9492277480209771</x:v>
      </x:c>
      <x:c r="W1055" s="45" t="n">
        <x:v>0.6915675700982375</x:v>
      </x:c>
      <x:c r="X1055" s="66" t="n">
        <x:v>19529292.120586112</x:v>
      </x:c>
      <x:c r="Y1055" s="66" t="n">
        <x:v>35.16059671652447</x:v>
      </x:c>
      <x:c r="Z1055" s="66" t="n">
        <x:v>762957.4651185424</x:v>
      </x:c>
      <x:c r="AA1055" s="66" t="n">
        <x:v>109114.49528402937</x:v>
      </x:c>
      <x:c r="AB1055" s="66" t="n">
        <x:v>0</x:v>
      </x:c>
      <x:c r="AC1055" s="66" t="n">
        <x:v>0</x:v>
      </x:c>
      <x:c r="AD1055" s="66" t="n">
        <x:v>1542.2468065466032</x:v>
      </x:c>
      <x:c r="AE1055" s="66" t="n">
        <x:v>68407.97750264866</x:v>
      </x:c>
      <x:c r="AF1055" s="66" t="n">
        <x:v>121913.36128079645</x:v>
      </x:c>
      <x:c r="AG1055" s="66" t="n">
        <x:v>1.4551915228366852e-11</x:v>
      </x:c>
      <x:c r="AH1055" s="36" t="n">
        <x:v>0</x:v>
      </x:c>
    </x:row>
    <x:row r="1056" ht="15" hidden="0" customHeight="1">
      <x:c r="A1056" s="34" t="n">
        <x:v>263</x:v>
      </x:c>
      <x:c r="B1056" s="34" t="str">
        <x:v>H3</x:v>
      </x:c>
      <x:c r="C1056" s="34" t="str">
        <x:v>reference</x:v>
      </x:c>
      <x:c r="D1056" s="74" t="n">
        <x:v>1.1546230583320245</x:v>
      </x:c>
      <x:c r="E1056" s="74" t="n">
        <x:v>0.012486355815822463</x:v>
      </x:c>
      <x:c r="F1056" s="74" t="n">
        <x:v>0.9844928483327974</x:v>
      </x:c>
      <x:c r="G1056" s="74" t="n">
        <x:v>1.0410784921899112</x:v>
      </x:c>
      <x:c r="H1056" s="74" t="n">
        <x:v>0.8045090026463197</x:v>
      </x:c>
      <x:c r="I1056" s="74" t="n">
        <x:v>0.8958185452387684</x:v>
      </x:c>
      <x:c r="J1056" s="74" t="n">
        <x:v>0.9234857671121227</x:v>
      </x:c>
      <x:c r="K1056" s="74" t="n">
        <x:v>0.9809992716209062</x:v>
      </x:c>
      <x:c r="L1056" s="74" t="n">
        <x:v>1.043877645826044</x:v>
      </x:c>
      <x:c r="M1056" s="74" t="n">
        <x:v>0.8127112601311124</x:v>
      </x:c>
      <x:c r="N1056" s="74" t="n">
        <x:v>1.043026395000771</x:v>
      </x:c>
      <x:c r="O1056" s="65" t="n">
        <x:v>555431.1912860087</x:v>
      </x:c>
      <x:c r="P1056" s="65" t="n">
        <x:v>414811.99351040524</x:v>
      </x:c>
      <x:c r="Q1056" s="65" t="n">
        <x:v>140619.19777560342</x:v>
      </x:c>
      <x:c r="R1056" s="65" t="n">
        <x:v>110555.85939654526</x:v>
      </x:c>
      <x:c r="S1056" s="65" t="n">
        <x:v>30063.33837905817</x:v>
      </x:c>
      <x:c r="T1056" s="65" t="n">
        <x:v>139110.46391935233</x:v>
      </x:c>
      <x:c r="U1056" s="43" t="n">
        <x:v>0.9972836709930569</x:v>
      </x:c>
      <x:c r="V1056" s="43" t="n">
        <x:v>0.9982891254552232</x:v>
      </x:c>
      <x:c r="W1056" s="43" t="n">
        <x:v>0.9728367099305701</x:v>
      </x:c>
      <x:c r="X1056" s="65" t="n">
        <x:v>14910446.785070965</x:v>
      </x:c>
      <x:c r="Y1056" s="65" t="n">
        <x:v>26.844813577264723</x:v>
      </x:c>
      <x:c r="Z1056" s="65" t="n">
        <x:v>871953.4406047036</x:v>
      </x:c>
      <x:c r="AA1056" s="65" t="n">
        <x:v>91292.73315453675</x:v>
      </x:c>
      <x:c r="AB1056" s="65" t="n">
        <x:v>1818.8179346764855</x:v>
      </x:c>
      <x:c r="AC1056" s="65" t="n">
        <x:v>0</x:v>
      </x:c>
      <x:c r="AD1056" s="65" t="n">
        <x:v>1508.7338562510722</x:v>
      </x:c>
      <x:c r="AE1056" s="65" t="n">
        <x:v>68926.1298068956</x:v>
      </x:c>
      <x:c r="AF1056" s="65" t="n">
        <x:v>139110.4639193524</x:v>
      </x:c>
      <x:c r="AG1056" s="65" t="n">
        <x:v>0</x:v>
      </x:c>
      <x:c r="AH1056" s="34" t="n">
        <x:v>1</x:v>
      </x:c>
    </x:row>
    <x:row r="1057" ht="21.600000381469727" hidden="0" customHeight="1">
      <x:c r="A1057" s="36" t="n">
        <x:v>264</x:v>
      </x:c>
      <x:c r="B1057" s="36" t="str">
        <x:v>M0</x:v>
      </x:c>
      <x:c r="C1057" s="36" t="str">
        <x:v>reference</x:v>
      </x:c>
      <x:c r="D1057" s="75" t="n">
        <x:v>1.1097152474088432</x:v>
      </x:c>
      <x:c r="E1057" s="75" t="n">
        <x:v>-0.03019903810701252</x:v>
      </x:c>
      <x:c r="F1057" s="75" t="n">
        <x:v>0.7269723888545759</x:v>
      </x:c>
      <x:c r="G1057" s="75" t="n">
        <x:v>1.0175706104104012</x:v>
      </x:c>
      <x:c r="H1057" s="75" t="n">
        <x:v>0.789208733193559</x:v>
      </x:c>
      <x:c r="I1057" s="75" t="n">
        <x:v>0.9392457914606341</x:v>
      </x:c>
      <x:c r="J1057" s="75" t="n">
        <x:v>0.9649951508933026</x:v>
      </x:c>
      <x:c r="K1057" s="75" t="n">
        <x:v>0.727016411861965</x:v>
      </x:c>
      <x:c r="L1057" s="75" t="n">
        <x:v>1.0203663381654782</x:v>
      </x:c>
      <x:c r="M1057" s="75" t="n">
        <x:v>1.0173252388480112</x:v>
      </x:c>
      <x:c r="N1057" s="75" t="n">
        <x:v>1.03534246391953</x:v>
      </x:c>
      <x:c r="O1057" s="66" t="n">
        <x:v>533828.2978229745</x:v>
      </x:c>
      <x:c r="P1057" s="66" t="n">
        <x:v>60998.361741402405</x:v>
      </x:c>
      <x:c r="Q1057" s="66" t="n">
        <x:v>472829.9360815721</x:v>
      </x:c>
      <x:c r="R1057" s="66" t="n">
        <x:v>83469.23803445682</x:v>
      </x:c>
      <x:c r="S1057" s="66" t="n">
        <x:v>389360.69804711535</x:v>
      </x:c>
      <x:c r="T1057" s="66" t="n">
        <x:v>259719.27249916526</x:v>
      </x:c>
      <x:c r="U1057" s="45" t="n">
        <x:v>0.6007879978421871</x:v>
      </x:c>
      <x:c r="V1057" s="45" t="n">
        <x:v>0.6279069658382767</x:v>
      </x:c>
      <x:c r="W1057" s="45" t="n">
        <x:v>0.11328142676937066</x:v>
      </x:c>
      <x:c r="X1057" s="66" t="n">
        <x:v>63297467.5360451</x:v>
      </x:c>
      <x:c r="Y1057" s="66" t="n">
        <x:v>118.57270922913024</x:v>
      </x:c>
      <x:c r="Z1057" s="66" t="n">
        <x:v>4191641.5436473177</x:v>
      </x:c>
      <x:c r="AA1057" s="66" t="n">
        <x:v>351491.3555918577</x:v>
      </x:c>
      <x:c r="AB1057" s="66" t="n">
        <x:v>30892.971177243104</x:v>
      </x:c>
      <x:c r="AC1057" s="66" t="n">
        <x:v>0</x:v>
      </x:c>
      <x:c r="AD1057" s="66" t="n">
        <x:v>2283.800109042149</x:v>
      </x:c>
      <x:c r="AE1057" s="66" t="n">
        <x:v>184989.0564829791</x:v>
      </x:c>
      <x:c r="AF1057" s="66" t="n">
        <x:v>259719.27249916526</x:v>
      </x:c>
      <x:c r="AG1057" s="66" t="n">
        <x:v>0</x:v>
      </x:c>
      <x:c r="AH1057" s="36" t="n">
        <x:v>0</x:v>
      </x:c>
    </x:row>
    <x:row r="1058" ht="21.600000381469727" hidden="0" customHeight="1">
      <x:c r="A1058" s="34" t="n">
        <x:v>264</x:v>
      </x:c>
      <x:c r="B1058" s="34" t="str">
        <x:v>B1</x:v>
      </x:c>
      <x:c r="C1058" s="34" t="str">
        <x:v>reference</x:v>
      </x:c>
      <x:c r="D1058" s="74" t="n">
        <x:v>1.1097152474088432</x:v>
      </x:c>
      <x:c r="E1058" s="74" t="n">
        <x:v>-0.03019903810701252</x:v>
      </x:c>
      <x:c r="F1058" s="74" t="n">
        <x:v>0.7269723888545759</x:v>
      </x:c>
      <x:c r="G1058" s="74" t="n">
        <x:v>1.0175706104104012</x:v>
      </x:c>
      <x:c r="H1058" s="74" t="n">
        <x:v>0.789208733193559</x:v>
      </x:c>
      <x:c r="I1058" s="74" t="n">
        <x:v>0.9392457914606341</x:v>
      </x:c>
      <x:c r="J1058" s="74" t="n">
        <x:v>0.9649951508933026</x:v>
      </x:c>
      <x:c r="K1058" s="74" t="n">
        <x:v>0.727016411861965</x:v>
      </x:c>
      <x:c r="L1058" s="74" t="n">
        <x:v>1.0203663381654782</x:v>
      </x:c>
      <x:c r="M1058" s="74" t="n">
        <x:v>1.0173252388480112</x:v>
      </x:c>
      <x:c r="N1058" s="74" t="n">
        <x:v>1.03534246391953</x:v>
      </x:c>
      <x:c r="O1058" s="65" t="n">
        <x:v>533828.2978229745</x:v>
      </x:c>
      <x:c r="P1058" s="65" t="n">
        <x:v>206336.01751474442</x:v>
      </x:c>
      <x:c r="Q1058" s="65" t="n">
        <x:v>327492.2803082301</x:v>
      </x:c>
      <x:c r="R1058" s="65" t="n">
        <x:v>83469.23803445682</x:v>
      </x:c>
      <x:c r="S1058" s="65" t="n">
        <x:v>244023.0422737733</x:v>
      </x:c>
      <x:c r="T1058" s="65" t="n">
        <x:v>181725.51116538455</x:v>
      </x:c>
      <x:c r="U1058" s="43" t="n">
        <x:v>0.7269407228179875</x:v>
      </x:c>
      <x:c r="V1058" s="43" t="n">
        <x:v>0.7593962319089909</x:v>
      </x:c>
      <x:c r="W1058" s="43" t="n">
        <x:v>0.38789251107167966</x:v>
      </x:c>
      <x:c r="X1058" s="65" t="n">
        <x:v>44817675.16231122</x:v>
      </x:c>
      <x:c r="Y1058" s="65" t="n">
        <x:v>83.95522557549663</x:v>
      </x:c>
      <x:c r="Z1058" s="65" t="n">
        <x:v>1351974.6567380591</x:v>
      </x:c>
      <x:c r="AA1058" s="65" t="n">
        <x:v>248985.94256578205</x:v>
      </x:c>
      <x:c r="AB1058" s="65" t="n">
        <x:v>3342.8088328512304</x:v>
      </x:c>
      <x:c r="AC1058" s="65" t="n">
        <x:v>15351.739063800967</x:v>
      </x:c>
      <x:c r="AD1058" s="65" t="n">
        <x:v>1898.9392032154183</x:v>
      </x:c>
      <x:c r="AE1058" s="65" t="n">
        <x:v>103894.02467771141</x:v>
      </x:c>
      <x:c r="AF1058" s="65" t="n">
        <x:v>181725.5111653845</x:v>
      </x:c>
      <x:c r="AG1058" s="65" t="n">
        <x:v>5.820766091346741e-11</x:v>
      </x:c>
      <x:c r="AH1058" s="34" t="n">
        <x:v>0</x:v>
      </x:c>
    </x:row>
    <x:row r="1059" ht="21.600000381469727" hidden="0" customHeight="1">
      <x:c r="A1059" s="36" t="n">
        <x:v>264</x:v>
      </x:c>
      <x:c r="B1059" s="36" t="str">
        <x:v>P2</x:v>
      </x:c>
      <x:c r="C1059" s="36" t="str">
        <x:v>reference</x:v>
      </x:c>
      <x:c r="D1059" s="75" t="n">
        <x:v>1.1097152474088432</x:v>
      </x:c>
      <x:c r="E1059" s="75" t="n">
        <x:v>-0.03019903810701252</x:v>
      </x:c>
      <x:c r="F1059" s="75" t="n">
        <x:v>0.7269723888545759</x:v>
      </x:c>
      <x:c r="G1059" s="75" t="n">
        <x:v>1.0175706104104012</x:v>
      </x:c>
      <x:c r="H1059" s="75" t="n">
        <x:v>0.789208733193559</x:v>
      </x:c>
      <x:c r="I1059" s="75" t="n">
        <x:v>0.9392457914606341</x:v>
      </x:c>
      <x:c r="J1059" s="75" t="n">
        <x:v>0.9649951508933026</x:v>
      </x:c>
      <x:c r="K1059" s="75" t="n">
        <x:v>0.727016411861965</x:v>
      </x:c>
      <x:c r="L1059" s="75" t="n">
        <x:v>1.0203663381654782</x:v>
      </x:c>
      <x:c r="M1059" s="75" t="n">
        <x:v>1.0173252388480112</x:v>
      </x:c>
      <x:c r="N1059" s="75" t="n">
        <x:v>1.03534246391953</x:v>
      </x:c>
      <x:c r="O1059" s="66" t="n">
        <x:v>533828.2978229745</x:v>
      </x:c>
      <x:c r="P1059" s="66" t="n">
        <x:v>298916.24125788896</x:v>
      </x:c>
      <x:c r="Q1059" s="66" t="n">
        <x:v>234912.05656508554</x:v>
      </x:c>
      <x:c r="R1059" s="66" t="n">
        <x:v>83469.23803445682</x:v>
      </x:c>
      <x:c r="S1059" s="66" t="n">
        <x:v>151442.8185306287</x:v>
      </x:c>
      <x:c r="T1059" s="66" t="n">
        <x:v>109052.24250101633</x:v>
      </x:c>
      <x:c r="U1059" s="45" t="n">
        <x:v>0.7642316554267676</x:v>
      </x:c>
      <x:c r="V1059" s="45" t="n">
        <x:v>0.8009019814726918</x:v>
      </x:c>
      <x:c r="W1059" s="45" t="n">
        <x:v>0.40620987855137425</x:v>
      </x:c>
      <x:c r="X1059" s="66" t="n">
        <x:v>32172583.68509034</x:v>
      </x:c>
      <x:c r="Y1059" s="66" t="n">
        <x:v>60.26766249802526</x:v>
      </x:c>
      <x:c r="Z1059" s="66" t="n">
        <x:v>911038.2960861712</x:v>
      </x:c>
      <x:c r="AA1059" s="66" t="n">
        <x:v>183819.76139870778</x:v>
      </x:c>
      <x:c r="AB1059" s="66" t="n">
        <x:v>0</x:v>
      </x:c>
      <x:c r="AC1059" s="66" t="n">
        <x:v>18488.788382711435</x:v>
      </x:c>
      <x:c r="AD1059" s="66" t="n">
        <x:v>1666.394194290157</x:v>
      </x:c>
      <x:c r="AE1059" s="66" t="n">
        <x:v>54098.999099710105</x:v>
      </x:c>
      <x:c r="AF1059" s="66" t="n">
        <x:v>109052.24250101626</x:v>
      </x:c>
      <x:c r="AG1059" s="66" t="n">
        <x:v>7.275957614183426e-11</x:v>
      </x:c>
      <x:c r="AH1059" s="36" t="n">
        <x:v>0</x:v>
      </x:c>
    </x:row>
    <x:row r="1060" ht="21.600000381469727" hidden="0" customHeight="1">
      <x:c r="A1060" s="34" t="n">
        <x:v>264</x:v>
      </x:c>
      <x:c r="B1060" s="34" t="str">
        <x:v>H3</x:v>
      </x:c>
      <x:c r="C1060" s="34" t="str">
        <x:v>reference</x:v>
      </x:c>
      <x:c r="D1060" s="74" t="n">
        <x:v>1.1097152474088432</x:v>
      </x:c>
      <x:c r="E1060" s="74" t="n">
        <x:v>-0.03019903810701252</x:v>
      </x:c>
      <x:c r="F1060" s="74" t="n">
        <x:v>0.7269723888545759</x:v>
      </x:c>
      <x:c r="G1060" s="74" t="n">
        <x:v>1.0175706104104012</x:v>
      </x:c>
      <x:c r="H1060" s="74" t="n">
        <x:v>0.789208733193559</x:v>
      </x:c>
      <x:c r="I1060" s="74" t="n">
        <x:v>0.9392457914606341</x:v>
      </x:c>
      <x:c r="J1060" s="74" t="n">
        <x:v>0.9649951508933026</x:v>
      </x:c>
      <x:c r="K1060" s="74" t="n">
        <x:v>0.727016411861965</x:v>
      </x:c>
      <x:c r="L1060" s="74" t="n">
        <x:v>1.0203663381654782</x:v>
      </x:c>
      <x:c r="M1060" s="74" t="n">
        <x:v>1.0173252388480112</x:v>
      </x:c>
      <x:c r="N1060" s="74" t="n">
        <x:v>1.03534246391953</x:v>
      </x:c>
      <x:c r="O1060" s="65" t="n">
        <x:v>533828.2978229745</x:v>
      </x:c>
      <x:c r="P1060" s="65" t="n">
        <x:v>310082.60687377665</x:v>
      </x:c>
      <x:c r="Q1060" s="65" t="n">
        <x:v>223745.69094919792</x:v>
      </x:c>
      <x:c r="R1060" s="65" t="n">
        <x:v>83469.23803445682</x:v>
      </x:c>
      <x:c r="S1060" s="65" t="n">
        <x:v>140276.4529147411</x:v>
      </x:c>
      <x:c r="T1060" s="65" t="n">
        <x:v>181698.41235835777</x:v>
      </x:c>
      <x:c r="U1060" s="43" t="n">
        <x:v>0.9212344516723546</x:v>
      </x:c>
      <x:c r="V1060" s="43" t="n">
        <x:v>0.9333280416929323</x:v>
      </x:c>
      <x:c r="W1060" s="43" t="n">
        <x:v>0.6384394507481203</x:v>
      </x:c>
      <x:c r="X1060" s="65" t="n">
        <x:v>24643571.949866932</x:v>
      </x:c>
      <x:c r="Y1060" s="65" t="n">
        <x:v>46.16385465207974</x:v>
      </x:c>
      <x:c r="Z1060" s="65" t="n">
        <x:v>1257798.4316900114</x:v>
      </x:c>
      <x:c r="AA1060" s="65" t="n">
        <x:v>152087.79406795208</x:v>
      </x:c>
      <x:c r="AB1060" s="65" t="n">
        <x:v>1760.9276980032682</x:v>
      </x:c>
      <x:c r="AC1060" s="65" t="n">
        <x:v>14722.334655449728</x:v>
      </x:c>
      <x:c r="AD1060" s="65" t="n">
        <x:v>1640.2894751881254</x:v>
      </x:c>
      <x:c r="AE1060" s="65" t="n">
        <x:v>52533.80741502253</x:v>
      </x:c>
      <x:c r="AF1060" s="65" t="n">
        <x:v>181698.41235835772</x:v>
      </x:c>
      <x:c r="AG1060" s="65" t="n">
        <x:v>5.820766091346741e-11</x:v>
      </x:c>
      <x:c r="AH1060" s="34" t="n">
        <x:v>0</x:v>
      </x:c>
    </x:row>
    <x:row r="1061" ht="15" hidden="0" customHeight="1">
      <x:c r="A1061" s="36" t="n">
        <x:v>265</x:v>
      </x:c>
      <x:c r="B1061" s="36" t="str">
        <x:v>M0</x:v>
      </x:c>
      <x:c r="C1061" s="36" t="str">
        <x:v>slow</x:v>
      </x:c>
      <x:c r="D1061" s="75" t="n">
        <x:v>1.0302424200675746</x:v>
      </x:c>
      <x:c r="E1061" s="75" t="n">
        <x:v>0.012012170775663647</x:v>
      </x:c>
      <x:c r="F1061" s="75" t="n">
        <x:v>0.8488616261209272</x:v>
      </x:c>
      <x:c r="G1061" s="75" t="n">
        <x:v>1.3477127540666445</x:v>
      </x:c>
      <x:c r="H1061" s="75" t="n">
        <x:v>0.8453243946266864</x:v>
      </x:c>
      <x:c r="I1061" s="75" t="n">
        <x:v>0.8159613098708456</x:v>
      </x:c>
      <x:c r="J1061" s="75" t="n">
        <x:v>1.0003152850223493</x:v>
      </x:c>
      <x:c r="K1061" s="75" t="n">
        <x:v>0.9275877017838736</x:v>
      </x:c>
      <x:c r="L1061" s="75" t="n">
        <x:v>0.9201887156788605</x:v>
      </x:c>
      <x:c r="M1061" s="75" t="n">
        <x:v>1.0827065931691846</x:v>
      </x:c>
      <x:c r="N1061" s="75" t="n">
        <x:v>0.8118650730625032</x:v>
      </x:c>
      <x:c r="O1061" s="66" t="n">
        <x:v>495597.91012502275</x:v>
      </x:c>
      <x:c r="P1061" s="66" t="n">
        <x:v>62815.77357081135</x:v>
      </x:c>
      <x:c r="Q1061" s="66" t="n">
        <x:v>432782.1365542114</x:v>
      </x:c>
      <x:c r="R1061" s="66" t="n">
        <x:v>98411.33259280986</x:v>
      </x:c>
      <x:c r="S1061" s="66" t="n">
        <x:v>334370.8039614016</x:v>
      </x:c>
      <x:c r="T1061" s="66" t="n">
        <x:v>261936.91603447907</x:v>
      </x:c>
      <x:c r="U1061" s="45" t="n">
        <x:v>0.6552745339934266</x:v>
      </x:c>
      <x:c r="V1061" s="45" t="n">
        <x:v>0.6457342334769605</x:v>
      </x:c>
      <x:c r="W1061" s="45" t="n">
        <x:v>0.06625329841882913</x:v>
      </x:c>
      <x:c r="X1061" s="66" t="n">
        <x:v>55571840.252621576</x:v>
      </x:c>
      <x:c r="Y1061" s="66" t="n">
        <x:v>112.13090111417674</x:v>
      </x:c>
      <x:c r="Z1061" s="66" t="n">
        <x:v>3760973.913743458</x:v>
      </x:c>
      <x:c r="AA1061" s="66" t="n">
        <x:v>306623.65086922434</x:v>
      </x:c>
      <x:c r="AB1061" s="66" t="n">
        <x:v>27441.442322515395</x:v>
      </x:c>
      <x:c r="AC1061" s="66" t="n">
        <x:v>0</x:v>
      </x:c>
      <x:c r="AD1061" s="66" t="n">
        <x:v>2742.2137409428146</x:v>
      </x:c>
      <x:c r="AE1061" s="66" t="n">
        <x:v>191791.77372187882</x:v>
      </x:c>
      <x:c r="AF1061" s="66" t="n">
        <x:v>261936.9160344788</x:v>
      </x:c>
      <x:c r="AG1061" s="66" t="n">
        <x:v>2.6193447411060333e-10</x:v>
      </x:c>
      <x:c r="AH1061" s="36" t="n">
        <x:v>0</x:v>
      </x:c>
    </x:row>
    <x:row r="1062" ht="15" hidden="0" customHeight="1">
      <x:c r="A1062" s="34" t="n">
        <x:v>265</x:v>
      </x:c>
      <x:c r="B1062" s="34" t="str">
        <x:v>B1</x:v>
      </x:c>
      <x:c r="C1062" s="34" t="str">
        <x:v>slow</x:v>
      </x:c>
      <x:c r="D1062" s="74" t="n">
        <x:v>1.0302424200675746</x:v>
      </x:c>
      <x:c r="E1062" s="74" t="n">
        <x:v>0.012012170775663647</x:v>
      </x:c>
      <x:c r="F1062" s="74" t="n">
        <x:v>0.8488616261209272</x:v>
      </x:c>
      <x:c r="G1062" s="74" t="n">
        <x:v>1.3477127540666445</x:v>
      </x:c>
      <x:c r="H1062" s="74" t="n">
        <x:v>0.8453243946266864</x:v>
      </x:c>
      <x:c r="I1062" s="74" t="n">
        <x:v>0.8159613098708456</x:v>
      </x:c>
      <x:c r="J1062" s="74" t="n">
        <x:v>1.0003152850223493</x:v>
      </x:c>
      <x:c r="K1062" s="74" t="n">
        <x:v>0.9275877017838736</x:v>
      </x:c>
      <x:c r="L1062" s="74" t="n">
        <x:v>0.9201887156788605</x:v>
      </x:c>
      <x:c r="M1062" s="74" t="n">
        <x:v>1.0827065931691846</x:v>
      </x:c>
      <x:c r="N1062" s="74" t="n">
        <x:v>0.8118650730625032</x:v>
      </x:c>
      <x:c r="O1062" s="65" t="n">
        <x:v>495597.91012502275</x:v>
      </x:c>
      <x:c r="P1062" s="65" t="n">
        <x:v>212484.83329689968</x:v>
      </x:c>
      <x:c r="Q1062" s="65" t="n">
        <x:v>283113.07682812307</x:v>
      </x:c>
      <x:c r="R1062" s="65" t="n">
        <x:v>98411.33259280986</x:v>
      </x:c>
      <x:c r="S1062" s="65" t="n">
        <x:v>184701.7442353132</x:v>
      </x:c>
      <x:c r="T1062" s="65" t="n">
        <x:v>169378.15555112422</x:v>
      </x:c>
      <x:c r="U1062" s="43" t="n">
        <x:v>0.7705096834482064</x:v>
      </x:c>
      <x:c r="V1062" s="43" t="n">
        <x:v>0.7605384487512483</x:v>
      </x:c>
      <x:c r="W1062" s="43" t="n">
        <x:v>0.22995709194317218</x:v>
      </x:c>
      <x:c r="X1062" s="65" t="n">
        <x:v>37396230.354344204</x:v>
      </x:c>
      <x:c r="Y1062" s="65" t="n">
        <x:v>75.45679590317559</x:v>
      </x:c>
      <x:c r="Z1062" s="65" t="n">
        <x:v>1362547.895683995</x:v>
      </x:c>
      <x:c r="AA1062" s="65" t="n">
        <x:v>201760.67002955207</x:v>
      </x:c>
      <x:c r="AB1062" s="65" t="n">
        <x:v>6908.048569400544</x:v>
      </x:c>
      <x:c r="AC1062" s="65" t="n">
        <x:v>0</x:v>
      </x:c>
      <x:c r="AD1062" s="65" t="n">
        <x:v>2248.29162573945</x:v>
      </x:c>
      <x:c r="AE1062" s="65" t="n">
        <x:v>81696.72766037394</x:v>
      </x:c>
      <x:c r="AF1062" s="65" t="n">
        <x:v>169378.1555511241</x:v>
      </x:c>
      <x:c r="AG1062" s="65" t="n">
        <x:v>1.1641532182693481e-10</x:v>
      </x:c>
      <x:c r="AH1062" s="34" t="n">
        <x:v>0</x:v>
      </x:c>
    </x:row>
    <x:row r="1063" ht="15" hidden="0" customHeight="1">
      <x:c r="A1063" s="36" t="n">
        <x:v>265</x:v>
      </x:c>
      <x:c r="B1063" s="36" t="str">
        <x:v>P2</x:v>
      </x:c>
      <x:c r="C1063" s="36" t="str">
        <x:v>slow</x:v>
      </x:c>
      <x:c r="D1063" s="75" t="n">
        <x:v>1.0302424200675746</x:v>
      </x:c>
      <x:c r="E1063" s="75" t="n">
        <x:v>0.012012170775663647</x:v>
      </x:c>
      <x:c r="F1063" s="75" t="n">
        <x:v>0.8488616261209272</x:v>
      </x:c>
      <x:c r="G1063" s="75" t="n">
        <x:v>1.3477127540666445</x:v>
      </x:c>
      <x:c r="H1063" s="75" t="n">
        <x:v>0.8453243946266864</x:v>
      </x:c>
      <x:c r="I1063" s="75" t="n">
        <x:v>0.8159613098708456</x:v>
      </x:c>
      <x:c r="J1063" s="75" t="n">
        <x:v>1.0003152850223493</x:v>
      </x:c>
      <x:c r="K1063" s="75" t="n">
        <x:v>0.9275877017838736</x:v>
      </x:c>
      <x:c r="L1063" s="75" t="n">
        <x:v>0.9201887156788605</x:v>
      </x:c>
      <x:c r="M1063" s="75" t="n">
        <x:v>1.0827065931691846</x:v>
      </x:c>
      <x:c r="N1063" s="75" t="n">
        <x:v>0.8118650730625032</x:v>
      </x:c>
      <x:c r="O1063" s="66" t="n">
        <x:v>495597.91012502275</x:v>
      </x:c>
      <x:c r="P1063" s="66" t="n">
        <x:v>307824.8874261551</x:v>
      </x:c>
      <x:c r="Q1063" s="66" t="n">
        <x:v>187773.02269886766</x:v>
      </x:c>
      <x:c r="R1063" s="66" t="n">
        <x:v>98411.33259280986</x:v>
      </x:c>
      <x:c r="S1063" s="66" t="n">
        <x:v>89361.6901060578</x:v>
      </x:c>
      <x:c r="T1063" s="66" t="n">
        <x:v>102085.99734369064</x:v>
      </x:c>
      <x:c r="U1063" s="45" t="n">
        <x:v>0.827103739534412</x:v>
      </x:c>
      <x:c r="V1063" s="45" t="n">
        <x:v>0.8209204392582576</x:v>
      </x:c>
      <x:c r="W1063" s="45" t="n">
        <x:v>0.337905264579954</x:v>
      </x:c>
      <x:c r="X1063" s="66" t="n">
        <x:v>24241913.830914788</x:v>
      </x:c>
      <x:c r="Y1063" s="66" t="n">
        <x:v>48.91447953200482</x:v>
      </x:c>
      <x:c r="Z1063" s="66" t="n">
        <x:v>644085.3709433752</x:v>
      </x:c>
      <x:c r="AA1063" s="66" t="n">
        <x:v>136465.34007299866</x:v>
      </x:c>
      <x:c r="AB1063" s="66" t="n">
        <x:v>17.964862983858495</x:v>
      </x:c>
      <x:c r="AC1063" s="66" t="n">
        <x:v>0</x:v>
      </x:c>
      <x:c r="AD1063" s="66" t="n">
        <x:v>1948.6334441040715</x:v>
      </x:c>
      <x:c r="AE1063" s="66" t="n">
        <x:v>26095.426505040363</x:v>
      </x:c>
      <x:c r="AF1063" s="66" t="n">
        <x:v>102085.9973436906</x:v>
      </x:c>
      <x:c r="AG1063" s="66" t="n">
        <x:v>4.3655745685100555e-11</x:v>
      </x:c>
      <x:c r="AH1063" s="36" t="n">
        <x:v>0</x:v>
      </x:c>
    </x:row>
    <x:row r="1064" ht="15" hidden="0" customHeight="1">
      <x:c r="A1064" s="34" t="n">
        <x:v>265</x:v>
      </x:c>
      <x:c r="B1064" s="34" t="str">
        <x:v>H3</x:v>
      </x:c>
      <x:c r="C1064" s="34" t="str">
        <x:v>slow</x:v>
      </x:c>
      <x:c r="D1064" s="74" t="n">
        <x:v>1.0302424200675746</x:v>
      </x:c>
      <x:c r="E1064" s="74" t="n">
        <x:v>0.012012170775663647</x:v>
      </x:c>
      <x:c r="F1064" s="74" t="n">
        <x:v>0.8488616261209272</x:v>
      </x:c>
      <x:c r="G1064" s="74" t="n">
        <x:v>1.3477127540666445</x:v>
      </x:c>
      <x:c r="H1064" s="74" t="n">
        <x:v>0.8453243946266864</x:v>
      </x:c>
      <x:c r="I1064" s="74" t="n">
        <x:v>0.8159613098708456</x:v>
      </x:c>
      <x:c r="J1064" s="74" t="n">
        <x:v>1.0003152850223493</x:v>
      </x:c>
      <x:c r="K1064" s="74" t="n">
        <x:v>0.9275877017838736</x:v>
      </x:c>
      <x:c r="L1064" s="74" t="n">
        <x:v>0.9201887156788605</x:v>
      </x:c>
      <x:c r="M1064" s="74" t="n">
        <x:v>1.0827065931691846</x:v>
      </x:c>
      <x:c r="N1064" s="74" t="n">
        <x:v>0.8118650730625032</x:v>
      </x:c>
      <x:c r="O1064" s="65" t="n">
        <x:v>495597.91012502275</x:v>
      </x:c>
      <x:c r="P1064" s="65" t="n">
        <x:v>319324.23532187764</x:v>
      </x:c>
      <x:c r="Q1064" s="65" t="n">
        <x:v>176273.67480314506</x:v>
      </x:c>
      <x:c r="R1064" s="65" t="n">
        <x:v>98411.33259280986</x:v>
      </x:c>
      <x:c r="S1064" s="65" t="n">
        <x:v>77862.3422103352</x:v>
      </x:c>
      <x:c r="T1064" s="65" t="n">
        <x:v>93974.16173067322</x:v>
      </x:c>
      <x:c r="U1064" s="43" t="n">
        <x:v>0.8339389424549623</x:v>
      </x:c>
      <x:c r="V1064" s="43" t="n">
        <x:v>0.8283514185956671</x:v>
      </x:c>
      <x:c r="W1064" s="43" t="n">
        <x:v>0.3514904705385945</x:v>
      </x:c>
      <x:c r="X1064" s="65" t="n">
        <x:v>21224562.955749296</x:v>
      </x:c>
      <x:c r="Y1064" s="65" t="n">
        <x:v>42.826175256459514</x:v>
      </x:c>
      <x:c r="Z1064" s="65" t="n">
        <x:v>640266.5341920033</x:v>
      </x:c>
      <x:c r="AA1064" s="65" t="n">
        <x:v>117203.86786585131</x:v>
      </x:c>
      <x:c r="AB1064" s="65" t="n">
        <x:v>2488.3909379272313</x:v>
      </x:c>
      <x:c r="AC1064" s="65" t="n">
        <x:v>0</x:v>
      </x:c>
      <x:c r="AD1064" s="65" t="n">
        <x:v>1914.7974721840665</x:v>
      </x:c>
      <x:c r="AE1064" s="65" t="n">
        <x:v>0</x:v>
      </x:c>
      <x:c r="AF1064" s="65" t="n">
        <x:v>93974.16173067324</x:v>
      </x:c>
      <x:c r="AG1064" s="65" t="n">
        <x:v>0</x:v>
      </x:c>
      <x:c r="AH1064" s="34" t="n">
        <x:v>0</x:v>
      </x:c>
    </x:row>
    <x:row r="1065" ht="15" hidden="0" customHeight="1">
      <x:c r="A1065" s="36" t="n">
        <x:v>266</x:v>
      </x:c>
      <x:c r="B1065" s="36" t="str">
        <x:v>M0</x:v>
      </x:c>
      <x:c r="C1065" s="36" t="str">
        <x:v>fast</x:v>
      </x:c>
      <x:c r="D1065" s="75" t="n">
        <x:v>1.1230132429321225</x:v>
      </x:c>
      <x:c r="E1065" s="75" t="n">
        <x:v>0.0673455101490909</x:v>
      </x:c>
      <x:c r="F1065" s="75" t="n">
        <x:v>0.8721040864454256</x:v>
      </x:c>
      <x:c r="G1065" s="75" t="n">
        <x:v>0.9454443385715671</x:v>
      </x:c>
      <x:c r="H1065" s="75" t="n">
        <x:v>1.0210827516139638</x:v>
      </x:c>
      <x:c r="I1065" s="75" t="n">
        <x:v>0.7687128809280203</x:v>
      </x:c>
      <x:c r="J1065" s="75" t="n">
        <x:v>0.9275869811738392</x:v>
      </x:c>
      <x:c r="K1065" s="75" t="n">
        <x:v>0.8876521719364449</x:v>
      </x:c>
      <x:c r="L1065" s="75" t="n">
        <x:v>0.8760209698431172</x:v>
      </x:c>
      <x:c r="M1065" s="75" t="n">
        <x:v>0.9214758477574829</x:v>
      </x:c>
      <x:c r="N1065" s="75" t="n">
        <x:v>0.9553937474090661</x:v>
      </x:c>
      <x:c r="O1065" s="66" t="n">
        <x:v>540225.2959098489</x:v>
      </x:c>
      <x:c r="P1065" s="66" t="n">
        <x:v>65489.091226063254</x:v>
      </x:c>
      <x:c r="Q1065" s="66" t="n">
        <x:v>474736.2046837857</x:v>
      </x:c>
      <x:c r="R1065" s="66" t="n">
        <x:v>137165.50324859854</x:v>
      </x:c>
      <x:c r="S1065" s="66" t="n">
        <x:v>337570.70143518713</x:v>
      </x:c>
      <x:c r="T1065" s="66" t="n">
        <x:v>252404.66738385934</x:v>
      </x:c>
      <x:c r="U1065" s="45" t="n">
        <x:v>0.5884466370174782</x:v>
      </x:c>
      <x:c r="V1065" s="45" t="n">
        <x:v>0.6178732227773923</x:v>
      </x:c>
      <x:c r="W1065" s="45" t="n">
        <x:v>0.11799818507601942</x:v>
      </x:c>
      <x:c r="X1065" s="66" t="n">
        <x:v>64200934.65692542</x:v>
      </x:c>
      <x:c r="Y1065" s="66" t="n">
        <x:v>118.8410375134286</x:v>
      </x:c>
      <x:c r="Z1065" s="66" t="n">
        <x:v>6489899.591120437</x:v>
      </x:c>
      <x:c r="AA1065" s="66" t="n">
        <x:v>345654.6384314468</x:v>
      </x:c>
      <x:c r="AB1065" s="66" t="n">
        <x:v>62647.27203966503</x:v>
      </x:c>
      <x:c r="AC1065" s="66" t="n">
        <x:v>0</x:v>
      </x:c>
      <x:c r="AD1065" s="66" t="n">
        <x:v>2318.7436379966657</x:v>
      </x:c>
      <x:c r="AE1065" s="66" t="n">
        <x:v>197373.98753309713</x:v>
      </x:c>
      <x:c r="AF1065" s="66" t="n">
        <x:v>252404.66738385923</x:v>
      </x:c>
      <x:c r="AG1065" s="66" t="n">
        <x:v>1.1641532182693481e-10</x:v>
      </x:c>
      <x:c r="AH1065" s="36" t="n">
        <x:v>0</x:v>
      </x:c>
    </x:row>
    <x:row r="1066" ht="15" hidden="0" customHeight="1">
      <x:c r="A1066" s="34" t="n">
        <x:v>266</x:v>
      </x:c>
      <x:c r="B1066" s="34" t="str">
        <x:v>B1</x:v>
      </x:c>
      <x:c r="C1066" s="34" t="str">
        <x:v>fast</x:v>
      </x:c>
      <x:c r="D1066" s="74" t="n">
        <x:v>1.1230132429321225</x:v>
      </x:c>
      <x:c r="E1066" s="74" t="n">
        <x:v>0.0673455101490909</x:v>
      </x:c>
      <x:c r="F1066" s="74" t="n">
        <x:v>0.8721040864454256</x:v>
      </x:c>
      <x:c r="G1066" s="74" t="n">
        <x:v>0.9454443385715671</x:v>
      </x:c>
      <x:c r="H1066" s="74" t="n">
        <x:v>1.0210827516139638</x:v>
      </x:c>
      <x:c r="I1066" s="74" t="n">
        <x:v>0.7687128809280203</x:v>
      </x:c>
      <x:c r="J1066" s="74" t="n">
        <x:v>0.9275869811738392</x:v>
      </x:c>
      <x:c r="K1066" s="74" t="n">
        <x:v>0.8876521719364449</x:v>
      </x:c>
      <x:c r="L1066" s="74" t="n">
        <x:v>0.8760209698431172</x:v>
      </x:c>
      <x:c r="M1066" s="74" t="n">
        <x:v>0.9214758477574829</x:v>
      </x:c>
      <x:c r="N1066" s="74" t="n">
        <x:v>0.9553937474090661</x:v>
      </x:c>
      <x:c r="O1066" s="65" t="n">
        <x:v>540225.2959098489</x:v>
      </x:c>
      <x:c r="P1066" s="65" t="n">
        <x:v>221529.55397660224</x:v>
      </x:c>
      <x:c r="Q1066" s="65" t="n">
        <x:v>318695.7419332467</x:v>
      </x:c>
      <x:c r="R1066" s="65" t="n">
        <x:v>137165.50324859854</x:v>
      </x:c>
      <x:c r="S1066" s="65" t="n">
        <x:v>181530.23868464812</x:v>
      </x:c>
      <x:c r="T1066" s="65" t="n">
        <x:v>189545.19112997447</x:v>
      </x:c>
      <x:c r="U1066" s="43" t="n">
        <x:v>0.7609320559753566</x:v>
      </x:c>
      <x:c r="V1066" s="43" t="n">
        <x:v>0.7746685780389818</x:v>
      </x:c>
      <x:c r="W1066" s="43" t="n">
        <x:v>0.44981735107193</x:v>
      </x:c>
      <x:c r="X1066" s="65" t="n">
        <x:v>43582979.71115188</x:v>
      </x:c>
      <x:c r="Y1066" s="65" t="n">
        <x:v>80.67556266085118</x:v>
      </x:c>
      <x:c r="Z1066" s="65" t="n">
        <x:v>3632560.123046482</x:v>
      </x:c>
      <x:c r="AA1066" s="65" t="n">
        <x:v>230951.56217885698</x:v>
      </x:c>
      <x:c r="AB1066" s="65" t="n">
        <x:v>29543.085154704822</x:v>
      </x:c>
      <x:c r="AC1066" s="65" t="n">
        <x:v>32.09715074176073</x:v>
      </x:c>
      <x:c r="AD1066" s="65" t="n">
        <x:v>1946.4264764422353</x:v>
      </x:c>
      <x:c r="AE1066" s="65" t="n">
        <x:v>146341.35011834538</x:v>
      </x:c>
      <x:c r="AF1066" s="65" t="n">
        <x:v>189545.19112997458</x:v>
      </x:c>
      <x:c r="AG1066" s="65" t="n">
        <x:v>0</x:v>
      </x:c>
      <x:c r="AH1066" s="34" t="n">
        <x:v>0</x:v>
      </x:c>
    </x:row>
    <x:row r="1067" ht="15" hidden="0" customHeight="1">
      <x:c r="A1067" s="36" t="n">
        <x:v>266</x:v>
      </x:c>
      <x:c r="B1067" s="36" t="str">
        <x:v>P2</x:v>
      </x:c>
      <x:c r="C1067" s="36" t="str">
        <x:v>fast</x:v>
      </x:c>
      <x:c r="D1067" s="75" t="n">
        <x:v>1.1230132429321225</x:v>
      </x:c>
      <x:c r="E1067" s="75" t="n">
        <x:v>0.0673455101490909</x:v>
      </x:c>
      <x:c r="F1067" s="75" t="n">
        <x:v>0.8721040864454256</x:v>
      </x:c>
      <x:c r="G1067" s="75" t="n">
        <x:v>0.9454443385715671</x:v>
      </x:c>
      <x:c r="H1067" s="75" t="n">
        <x:v>1.0210827516139638</x:v>
      </x:c>
      <x:c r="I1067" s="75" t="n">
        <x:v>0.7687128809280203</x:v>
      </x:c>
      <x:c r="J1067" s="75" t="n">
        <x:v>0.9275869811738392</x:v>
      </x:c>
      <x:c r="K1067" s="75" t="n">
        <x:v>0.8876521719364449</x:v>
      </x:c>
      <x:c r="L1067" s="75" t="n">
        <x:v>0.8760209698431172</x:v>
      </x:c>
      <x:c r="M1067" s="75" t="n">
        <x:v>0.9214758477574829</x:v>
      </x:c>
      <x:c r="N1067" s="75" t="n">
        <x:v>0.9553937474090661</x:v>
      </x:c>
      <x:c r="O1067" s="66" t="n">
        <x:v>540225.2959098489</x:v>
      </x:c>
      <x:c r="P1067" s="66" t="n">
        <x:v>320929.34429846314</x:v>
      </x:c>
      <x:c r="Q1067" s="66" t="n">
        <x:v>219295.95161138583</x:v>
      </x:c>
      <x:c r="R1067" s="66" t="n">
        <x:v>137165.50324859854</x:v>
      </x:c>
      <x:c r="S1067" s="66" t="n">
        <x:v>82130.44836278728</x:v>
      </x:c>
      <x:c r="T1067" s="66" t="n">
        <x:v>133147.67408005585</x:v>
      </x:c>
      <x:c r="U1067" s="45" t="n">
        <x:v>0.840532684819509</x:v>
      </x:c>
      <x:c r="V1067" s="45" t="n">
        <x:v>0.8470488194722786</x:v>
      </x:c>
      <x:c r="W1067" s="45" t="n">
        <x:v>0.6649430619640735</x:v>
      </x:c>
      <x:c r="X1067" s="66" t="n">
        <x:v>27669746.717706956</x:v>
      </x:c>
      <x:c r="Y1067" s="66" t="n">
        <x:v>51.218902423118664</x:v>
      </x:c>
      <x:c r="Z1067" s="66" t="n">
        <x:v>1193474.564987641</x:v>
      </x:c>
      <x:c r="AA1067" s="66" t="n">
        <x:v>158663.06811097736</x:v>
      </x:c>
      <x:c r="AB1067" s="66" t="n">
        <x:v>2114.791637130802</x:v>
      </x:c>
      <x:c r="AC1067" s="66" t="n">
        <x:v>23721.585436133188</x:v>
      </x:c>
      <x:c r="AD1067" s="66" t="n">
        <x:v>1721.4607905388646</x:v>
      </x:c>
      <x:c r="AE1067" s="66" t="n">
        <x:v>85535.84602366864</x:v>
      </x:c>
      <x:c r="AF1067" s="66" t="n">
        <x:v>133147.67408005588</x:v>
      </x:c>
      <x:c r="AG1067" s="66" t="n">
        <x:v>0</x:v>
      </x:c>
      <x:c r="AH1067" s="36" t="n">
        <x:v>0</x:v>
      </x:c>
    </x:row>
    <x:row r="1068" ht="15" hidden="0" customHeight="1">
      <x:c r="A1068" s="34" t="n">
        <x:v>266</x:v>
      </x:c>
      <x:c r="B1068" s="34" t="str">
        <x:v>H3</x:v>
      </x:c>
      <x:c r="C1068" s="34" t="str">
        <x:v>fast</x:v>
      </x:c>
      <x:c r="D1068" s="74" t="n">
        <x:v>1.1230132429321225</x:v>
      </x:c>
      <x:c r="E1068" s="74" t="n">
        <x:v>0.0673455101490909</x:v>
      </x:c>
      <x:c r="F1068" s="74" t="n">
        <x:v>0.8721040864454256</x:v>
      </x:c>
      <x:c r="G1068" s="74" t="n">
        <x:v>0.9454443385715671</x:v>
      </x:c>
      <x:c r="H1068" s="74" t="n">
        <x:v>1.0210827516139638</x:v>
      </x:c>
      <x:c r="I1068" s="74" t="n">
        <x:v>0.7687128809280203</x:v>
      </x:c>
      <x:c r="J1068" s="74" t="n">
        <x:v>0.9275869811738392</x:v>
      </x:c>
      <x:c r="K1068" s="74" t="n">
        <x:v>0.8876521719364449</x:v>
      </x:c>
      <x:c r="L1068" s="74" t="n">
        <x:v>0.8760209698431172</x:v>
      </x:c>
      <x:c r="M1068" s="74" t="n">
        <x:v>0.9214758477574829</x:v>
      </x:c>
      <x:c r="N1068" s="74" t="n">
        <x:v>0.9553937474090661</x:v>
      </x:c>
      <x:c r="O1068" s="65" t="n">
        <x:v>540225.2959098489</x:v>
      </x:c>
      <x:c r="P1068" s="65" t="n">
        <x:v>332918.5252341991</x:v>
      </x:c>
      <x:c r="Q1068" s="65" t="n">
        <x:v>207306.77067564978</x:v>
      </x:c>
      <x:c r="R1068" s="65" t="n">
        <x:v>137165.50324859854</x:v>
      </x:c>
      <x:c r="S1068" s="65" t="n">
        <x:v>70141.26742705127</x:v>
      </x:c>
      <x:c r="T1068" s="65" t="n">
        <x:v>193493.36384283216</x:v>
      </x:c>
      <x:c r="U1068" s="43" t="n">
        <x:v>0.9744302850358886</x:v>
      </x:c>
      <x:c r="V1068" s="43" t="n">
        <x:v>0.9793107520611799</x:v>
      </x:c>
      <x:c r="W1068" s="43" t="n">
        <x:v>0.7582851646111844</x:v>
      </x:c>
      <x:c r="X1068" s="65" t="n">
        <x:v>21536433.100907627</x:v>
      </x:c>
      <x:c r="Y1068" s="65" t="n">
        <x:v>39.86565098666087</x:v>
      </x:c>
      <x:c r="Z1068" s="65" t="n">
        <x:v>3360014.4649390667</x:v>
      </x:c>
      <x:c r="AA1068" s="65" t="n">
        <x:v>126178.64151735292</x:v>
      </x:c>
      <x:c r="AB1068" s="65" t="n">
        <x:v>26846.928416564075</x:v>
      </x:c>
      <x:c r="AC1068" s="65" t="n">
        <x:v>1906.1674450670462</x:v>
      </x:c>
      <x:c r="AD1068" s="65" t="n">
        <x:v>1696.2069006994539</x:v>
      </x:c>
      <x:c r="AE1068" s="65" t="n">
        <x:v>77443.87484044966</x:v>
      </x:c>
      <x:c r="AF1068" s="65" t="n">
        <x:v>193493.36384283204</x:v>
      </x:c>
      <x:c r="AG1068" s="65" t="n">
        <x:v>1.1641532182693481e-10</x:v>
      </x:c>
      <x:c r="AH1068" s="34" t="n">
        <x:v>0</x:v>
      </x:c>
    </x:row>
    <x:row r="1069" ht="21.600000381469727" hidden="0" customHeight="1">
      <x:c r="A1069" s="36" t="n">
        <x:v>267</x:v>
      </x:c>
      <x:c r="B1069" s="36" t="str">
        <x:v>M0</x:v>
      </x:c>
      <x:c r="C1069" s="36" t="str">
        <x:v>reference</x:v>
      </x:c>
      <x:c r="D1069" s="75" t="n">
        <x:v>0.9578902031500556</x:v>
      </x:c>
      <x:c r="E1069" s="75" t="n">
        <x:v>-0.01840711167392992</x:v>
      </x:c>
      <x:c r="F1069" s="75" t="n">
        <x:v>0.9516773269538339</x:v>
      </x:c>
      <x:c r="G1069" s="75" t="n">
        <x:v>0.9778114152998292</x:v>
      </x:c>
      <x:c r="H1069" s="75" t="n">
        <x:v>0.8765408164324592</x:v>
      </x:c>
      <x:c r="I1069" s="75" t="n">
        <x:v>0.7907262632741145</x:v>
      </x:c>
      <x:c r="J1069" s="75" t="n">
        <x:v>0.9841060783465156</x:v>
      </x:c>
      <x:c r="K1069" s="75" t="n">
        <x:v>0.8253184434756373</x:v>
      </x:c>
      <x:c r="L1069" s="75" t="n">
        <x:v>0.8630738556510681</x:v>
      </x:c>
      <x:c r="M1069" s="75" t="n">
        <x:v>0.8394498212583483</x:v>
      </x:c>
      <x:c r="N1069" s="75" t="n">
        <x:v>1.0006903245349463</x:v>
      </x:c>
      <x:c r="O1069" s="66" t="n">
        <x:v>460792.89064729365</x:v>
      </x:c>
      <x:c r="P1069" s="66" t="n">
        <x:v>67964.15250663285</x:v>
      </x:c>
      <x:c r="Q1069" s="66" t="n">
        <x:v>392828.73814066075</x:v>
      </x:c>
      <x:c r="R1069" s="66" t="n">
        <x:v>77483.07878917475</x:v>
      </x:c>
      <x:c r="S1069" s="66" t="n">
        <x:v>315345.65935148596</x:v>
      </x:c>
      <x:c r="T1069" s="66" t="n">
        <x:v>258974.11179832811</x:v>
      </x:c>
      <x:c r="U1069" s="45" t="n">
        <x:v>0.7095123881917927</x:v>
      </x:c>
      <x:c r="V1069" s="45" t="n">
        <x:v>0.721598556540767</x:v>
      </x:c>
      <x:c r="W1069" s="45" t="n">
        <x:v>0.15012939233753703</x:v>
      </x:c>
      <x:c r="X1069" s="66" t="n">
        <x:v>50548130.94048941</x:v>
      </x:c>
      <x:c r="Y1069" s="66" t="n">
        <x:v>109.69815716879332</x:v>
      </x:c>
      <x:c r="Z1069" s="66" t="n">
        <x:v>5591551.570595597</x:v>
      </x:c>
      <x:c r="AA1069" s="66" t="n">
        <x:v>268928.24222366174</x:v>
      </x:c>
      <x:c r="AB1069" s="66" t="n">
        <x:v>47975.948857955336</x:v>
      </x:c>
      <x:c r="AC1069" s="66" t="n">
        <x:v>0</x:v>
      </x:c>
      <x:c r="AD1069" s="66" t="n">
        <x:v>1930.7127018378787</x:v>
      </x:c>
      <x:c r="AE1069" s="66" t="n">
        <x:v>201334.34910511522</x:v>
      </x:c>
      <x:c r="AF1069" s="66" t="n">
        <x:v>258974.11179832811</x:v>
      </x:c>
      <x:c r="AG1069" s="66" t="n">
        <x:v>0</x:v>
      </x:c>
      <x:c r="AH1069" s="36" t="n">
        <x:v>0</x:v>
      </x:c>
    </x:row>
    <x:row r="1070" ht="21.600000381469727" hidden="0" customHeight="1">
      <x:c r="A1070" s="34" t="n">
        <x:v>267</x:v>
      </x:c>
      <x:c r="B1070" s="34" t="str">
        <x:v>B1</x:v>
      </x:c>
      <x:c r="C1070" s="34" t="str">
        <x:v>reference</x:v>
      </x:c>
      <x:c r="D1070" s="74" t="n">
        <x:v>0.9578902031500556</x:v>
      </x:c>
      <x:c r="E1070" s="74" t="n">
        <x:v>-0.01840711167392992</x:v>
      </x:c>
      <x:c r="F1070" s="74" t="n">
        <x:v>0.9516773269538339</x:v>
      </x:c>
      <x:c r="G1070" s="74" t="n">
        <x:v>0.9778114152998292</x:v>
      </x:c>
      <x:c r="H1070" s="74" t="n">
        <x:v>0.8765408164324592</x:v>
      </x:c>
      <x:c r="I1070" s="74" t="n">
        <x:v>0.7907262632741145</x:v>
      </x:c>
      <x:c r="J1070" s="74" t="n">
        <x:v>0.9841060783465156</x:v>
      </x:c>
      <x:c r="K1070" s="74" t="n">
        <x:v>0.8253184434756373</x:v>
      </x:c>
      <x:c r="L1070" s="74" t="n">
        <x:v>0.8630738556510681</x:v>
      </x:c>
      <x:c r="M1070" s="74" t="n">
        <x:v>0.8394498212583483</x:v>
      </x:c>
      <x:c r="N1070" s="74" t="n">
        <x:v>1.0006903245349463</x:v>
      </x:c>
      <x:c r="O1070" s="65" t="n">
        <x:v>460792.89064729365</x:v>
      </x:c>
      <x:c r="P1070" s="65" t="n">
        <x:v>229899.17425613775</x:v>
      </x:c>
      <x:c r="Q1070" s="65" t="n">
        <x:v>230893.71639115587</x:v>
      </x:c>
      <x:c r="R1070" s="65" t="n">
        <x:v>77483.07878917475</x:v>
      </x:c>
      <x:c r="S1070" s="65" t="n">
        <x:v>153410.6376019811</x:v>
      </x:c>
      <x:c r="T1070" s="65" t="n">
        <x:v>193521.30012917987</x:v>
      </x:c>
      <x:c r="U1070" s="43" t="n">
        <x:v>0.9188954147936668</x:v>
      </x:c>
      <x:c r="V1070" s="43" t="n">
        <x:v>0.92438492079178</x:v>
      </x:c>
      <x:c r="W1070" s="43" t="n">
        <x:v>0.5966762045554148</x:v>
      </x:c>
      <x:c r="X1070" s="65" t="n">
        <x:v>28957647.514552366</x:v>
      </x:c>
      <x:c r="Y1070" s="65" t="n">
        <x:v>62.843086562977206</x:v>
      </x:c>
      <x:c r="Z1070" s="65" t="n">
        <x:v>2177724.699475392</x:v>
      </x:c>
      <x:c r="AA1070" s="65" t="n">
        <x:v>150883.97483538592</x:v>
      </x:c>
      <x:c r="AB1070" s="65" t="n">
        <x:v>11880.80071256608</x:v>
      </x:c>
      <x:c r="AC1070" s="65" t="n">
        <x:v>0</x:v>
      </x:c>
      <x:c r="AD1070" s="65" t="n">
        <x:v>1506.5016519836431</x:v>
      </x:c>
      <x:c r="AE1070" s="65" t="n">
        <x:v>110719.74418108085</x:v>
      </x:c>
      <x:c r="AF1070" s="65" t="n">
        <x:v>193521.3001291796</x:v>
      </x:c>
      <x:c r="AG1070" s="65" t="n">
        <x:v>2.6193447411060333e-10</x:v>
      </x:c>
      <x:c r="AH1070" s="34" t="n">
        <x:v>0</x:v>
      </x:c>
    </x:row>
    <x:row r="1071" ht="21.600000381469727" hidden="0" customHeight="1">
      <x:c r="A1071" s="36" t="n">
        <x:v>267</x:v>
      </x:c>
      <x:c r="B1071" s="36" t="str">
        <x:v>P2</x:v>
      </x:c>
      <x:c r="C1071" s="36" t="str">
        <x:v>reference</x:v>
      </x:c>
      <x:c r="D1071" s="75" t="n">
        <x:v>0.9578902031500556</x:v>
      </x:c>
      <x:c r="E1071" s="75" t="n">
        <x:v>-0.01840711167392992</x:v>
      </x:c>
      <x:c r="F1071" s="75" t="n">
        <x:v>0.9516773269538339</x:v>
      </x:c>
      <x:c r="G1071" s="75" t="n">
        <x:v>0.9778114152998292</x:v>
      </x:c>
      <x:c r="H1071" s="75" t="n">
        <x:v>0.8765408164324592</x:v>
      </x:c>
      <x:c r="I1071" s="75" t="n">
        <x:v>0.7907262632741145</x:v>
      </x:c>
      <x:c r="J1071" s="75" t="n">
        <x:v>0.9841060783465156</x:v>
      </x:c>
      <x:c r="K1071" s="75" t="n">
        <x:v>0.8253184434756373</x:v>
      </x:c>
      <x:c r="L1071" s="75" t="n">
        <x:v>0.8630738556510681</x:v>
      </x:c>
      <x:c r="M1071" s="75" t="n">
        <x:v>0.8394498212583483</x:v>
      </x:c>
      <x:c r="N1071" s="75" t="n">
        <x:v>1.0006903245349463</x:v>
      </x:c>
      <x:c r="O1071" s="66" t="n">
        <x:v>460792.89064729365</x:v>
      </x:c>
      <x:c r="P1071" s="66" t="n">
        <x:v>333052.146012516</x:v>
      </x:c>
      <x:c r="Q1071" s="66" t="n">
        <x:v>127740.74463477758</x:v>
      </x:c>
      <x:c r="R1071" s="66" t="n">
        <x:v>77483.07878917475</x:v>
      </x:c>
      <x:c r="S1071" s="66" t="n">
        <x:v>50257.66584560284</x:v>
      </x:c>
      <x:c r="T1071" s="66" t="n">
        <x:v>121728.41882718545</x:v>
      </x:c>
      <x:c r="U1071" s="45" t="n">
        <x:v>0.9869522166473826</x:v>
      </x:c>
      <x:c r="V1071" s="45" t="n">
        <x:v>0.9890109067662879</x:v>
      </x:c>
      <x:c r="W1071" s="45" t="n">
        <x:v>0.8695221664738273</x:v>
      </x:c>
      <x:c r="X1071" s="66" t="n">
        <x:v>14639694.196284251</x:v>
      </x:c>
      <x:c r="Y1071" s="66" t="n">
        <x:v>31.770659863521992</x:v>
      </x:c>
      <x:c r="Z1071" s="66" t="n">
        <x:v>758943.3874845346</x:v>
      </x:c>
      <x:c r="AA1071" s="66" t="n">
        <x:v>82424.9486404921</x:v>
      </x:c>
      <x:c r="AB1071" s="66" t="n">
        <x:v>0</x:v>
      </x:c>
      <x:c r="AC1071" s="66" t="n">
        <x:v>2847.119663225326</x:v>
      </x:c>
      <x:c r="AD1071" s="66" t="n">
        <x:v>1250.180054021806</x:v>
      </x:c>
      <x:c r="AE1071" s="66" t="n">
        <x:v>57272.36476532054</x:v>
      </x:c>
      <x:c r="AF1071" s="66" t="n">
        <x:v>121728.41882718542</x:v>
      </x:c>
      <x:c r="AG1071" s="66" t="n">
        <x:v>2.9103830456733704e-11</x:v>
      </x:c>
      <x:c r="AH1071" s="36" t="n">
        <x:v>1</x:v>
      </x:c>
    </x:row>
    <x:row r="1072" ht="21.600000381469727" hidden="0" customHeight="1">
      <x:c r="A1072" s="34" t="n">
        <x:v>267</x:v>
      </x:c>
      <x:c r="B1072" s="34" t="str">
        <x:v>H3</x:v>
      </x:c>
      <x:c r="C1072" s="34" t="str">
        <x:v>reference</x:v>
      </x:c>
      <x:c r="D1072" s="74" t="n">
        <x:v>0.9578902031500556</x:v>
      </x:c>
      <x:c r="E1072" s="74" t="n">
        <x:v>-0.01840711167392992</x:v>
      </x:c>
      <x:c r="F1072" s="74" t="n">
        <x:v>0.9516773269538339</x:v>
      </x:c>
      <x:c r="G1072" s="74" t="n">
        <x:v>0.9778114152998292</x:v>
      </x:c>
      <x:c r="H1072" s="74" t="n">
        <x:v>0.8765408164324592</x:v>
      </x:c>
      <x:c r="I1072" s="74" t="n">
        <x:v>0.7907262632741145</x:v>
      </x:c>
      <x:c r="J1072" s="74" t="n">
        <x:v>0.9841060783465156</x:v>
      </x:c>
      <x:c r="K1072" s="74" t="n">
        <x:v>0.8253184434756373</x:v>
      </x:c>
      <x:c r="L1072" s="74" t="n">
        <x:v>0.8630738556510681</x:v>
      </x:c>
      <x:c r="M1072" s="74" t="n">
        <x:v>0.8394498212583483</x:v>
      </x:c>
      <x:c r="N1072" s="74" t="n">
        <x:v>1.0006903245349463</x:v>
      </x:c>
      <x:c r="O1072" s="65" t="n">
        <x:v>460792.89064729365</x:v>
      </x:c>
      <x:c r="P1072" s="65" t="n">
        <x:v>345493.75340351416</x:v>
      </x:c>
      <x:c r="Q1072" s="65" t="n">
        <x:v>115299.13724377945</x:v>
      </x:c>
      <x:c r="R1072" s="65" t="n">
        <x:v>77483.07878917475</x:v>
      </x:c>
      <x:c r="S1072" s="65" t="n">
        <x:v>37816.058454604696</x:v>
      </x:c>
      <x:c r="T1072" s="65" t="n">
        <x:v>114077.73098862567</x:v>
      </x:c>
      <x:c r="U1072" s="43" t="n">
        <x:v>0.997349337891394</x:v>
      </x:c>
      <x:c r="V1072" s="43" t="n">
        <x:v>0.9983304802613092</x:v>
      </x:c>
      <x:c r="W1072" s="43" t="n">
        <x:v>0.9734933789139404</x:v>
      </x:c>
      <x:c r="X1072" s="65" t="n">
        <x:v>11972522.461025264</x:v>
      </x:c>
      <x:c r="Y1072" s="65" t="n">
        <x:v>25.98243745515908</x:v>
      </x:c>
      <x:c r="Z1072" s="65" t="n">
        <x:v>813816.7720613754</x:v>
      </x:c>
      <x:c r="AA1072" s="65" t="n">
        <x:v>73985.09881243149</x:v>
      </x:c>
      <x:c r="AB1072" s="65" t="n">
        <x:v>4124.678550707782</x:v>
      </x:c>
      <x:c r="AC1072" s="65" t="n">
        <x:v>0</x:v>
      </x:c>
      <x:c r="AD1072" s="65" t="n">
        <x:v>1221.406255153785</x:v>
      </x:c>
      <x:c r="AE1072" s="65" t="n">
        <x:v>55805.845068217124</x:v>
      </x:c>
      <x:c r="AF1072" s="65" t="n">
        <x:v>114077.73098862574</x:v>
      </x:c>
      <x:c r="AG1072" s="65" t="n">
        <x:v>0</x:v>
      </x:c>
      <x:c r="AH1072" s="34" t="n">
        <x:v>1</x:v>
      </x:c>
    </x:row>
    <x:row r="1073" ht="21.600000381469727" hidden="0" customHeight="1">
      <x:c r="A1073" s="36" t="n">
        <x:v>268</x:v>
      </x:c>
      <x:c r="B1073" s="36" t="str">
        <x:v>M0</x:v>
      </x:c>
      <x:c r="C1073" s="36" t="str">
        <x:v>reference</x:v>
      </x:c>
      <x:c r="D1073" s="75" t="n">
        <x:v>0.9271604817370589</x:v>
      </x:c>
      <x:c r="E1073" s="75" t="n">
        <x:v>-0.02126018753407568</x:v>
      </x:c>
      <x:c r="F1073" s="75" t="n">
        <x:v>0.828780947665924</x:v>
      </x:c>
      <x:c r="G1073" s="75" t="n">
        <x:v>1.2538811687485505</x:v>
      </x:c>
      <x:c r="H1073" s="75" t="n">
        <x:v>0.9210188175792199</x:v>
      </x:c>
      <x:c r="I1073" s="75" t="n">
        <x:v>0.9970884109259037</x:v>
      </x:c>
      <x:c r="J1073" s="75" t="n">
        <x:v>0.8388043174623095</x:v>
      </x:c>
      <x:c r="K1073" s="75" t="n">
        <x:v>0.9900061191955913</x:v>
      </x:c>
      <x:c r="L1073" s="75" t="n">
        <x:v>0.8994032782282722</x:v>
      </x:c>
      <x:c r="M1073" s="75" t="n">
        <x:v>0.8836496090090684</x:v>
      </x:c>
      <x:c r="N1073" s="75" t="n">
        <x:v>0.9361324306242746</x:v>
      </x:c>
      <x:c r="O1073" s="66" t="n">
        <x:v>446010.3643075158</x:v>
      </x:c>
      <x:c r="P1073" s="66" t="n">
        <x:v>57485.24527314052</x:v>
      </x:c>
      <x:c r="Q1073" s="66" t="n">
        <x:v>388525.1190343753</x:v>
      </x:c>
      <x:c r="R1073" s="66" t="n">
        <x:v>73724.87138528841</x:v>
      </x:c>
      <x:c r="S1073" s="66" t="n">
        <x:v>314800.2476490869</x:v>
      </x:c>
      <x:c r="T1073" s="66" t="n">
        <x:v>290304.9409504112</x:v>
      </x:c>
      <x:c r="U1073" s="45" t="n">
        <x:v>0.7797805030013987</x:v>
      </x:c>
      <x:c r="V1073" s="45" t="n">
        <x:v>0.7920052848025454</x:v>
      </x:c>
      <x:c r="W1073" s="45" t="n">
        <x:v>0.15467743676795048</x:v>
      </x:c>
      <x:c r="X1073" s="66" t="n">
        <x:v>47207537.42721533</x:v>
      </x:c>
      <x:c r="Y1073" s="66" t="n">
        <x:v>105.84403683199302</x:v>
      </x:c>
      <x:c r="Z1073" s="66" t="n">
        <x:v>4473880.011803521</x:v>
      </x:c>
      <x:c r="AA1073" s="66" t="n">
        <x:v>259759.95587773086</x:v>
      </x:c>
      <x:c r="AB1073" s="66" t="n">
        <x:v>31388.43652625762</x:v>
      </x:c>
      <x:c r="AC1073" s="66" t="n">
        <x:v>1475.2660166551873</x:v>
      </x:c>
      <x:c r="AD1073" s="66" t="n">
        <x:v>1891.228458142175</x:v>
      </x:c>
      <x:c r="AE1073" s="66" t="n">
        <x:v>236383.712946453</x:v>
      </x:c>
      <x:c r="AF1073" s="66" t="n">
        <x:v>290304.9409504109</x:v>
      </x:c>
      <x:c r="AG1073" s="66" t="n">
        <x:v>2.9103830456733704e-10</x:v>
      </x:c>
      <x:c r="AH1073" s="36" t="n">
        <x:v>0</x:v>
      </x:c>
    </x:row>
    <x:row r="1074" ht="21.600000381469727" hidden="0" customHeight="1">
      <x:c r="A1074" s="34" t="n">
        <x:v>268</x:v>
      </x:c>
      <x:c r="B1074" s="34" t="str">
        <x:v>B1</x:v>
      </x:c>
      <x:c r="C1074" s="34" t="str">
        <x:v>reference</x:v>
      </x:c>
      <x:c r="D1074" s="74" t="n">
        <x:v>0.9271604817370589</x:v>
      </x:c>
      <x:c r="E1074" s="74" t="n">
        <x:v>-0.02126018753407568</x:v>
      </x:c>
      <x:c r="F1074" s="74" t="n">
        <x:v>0.828780947665924</x:v>
      </x:c>
      <x:c r="G1074" s="74" t="n">
        <x:v>1.2538811687485505</x:v>
      </x:c>
      <x:c r="H1074" s="74" t="n">
        <x:v>0.9210188175792199</x:v>
      </x:c>
      <x:c r="I1074" s="74" t="n">
        <x:v>0.9970884109259037</x:v>
      </x:c>
      <x:c r="J1074" s="74" t="n">
        <x:v>0.8388043174623095</x:v>
      </x:c>
      <x:c r="K1074" s="74" t="n">
        <x:v>0.9900061191955913</x:v>
      </x:c>
      <x:c r="L1074" s="74" t="n">
        <x:v>0.8994032782282722</x:v>
      </x:c>
      <x:c r="M1074" s="74" t="n">
        <x:v>0.8836496090090684</x:v>
      </x:c>
      <x:c r="N1074" s="74" t="n">
        <x:v>0.9361324306242746</x:v>
      </x:c>
      <x:c r="O1074" s="65" t="n">
        <x:v>446010.3643075158</x:v>
      </x:c>
      <x:c r="P1074" s="65" t="n">
        <x:v>194452.59337072162</x:v>
      </x:c>
      <x:c r="Q1074" s="65" t="n">
        <x:v>251557.77093679423</x:v>
      </x:c>
      <x:c r="R1074" s="65" t="n">
        <x:v>73724.87138528841</x:v>
      </x:c>
      <x:c r="S1074" s="65" t="n">
        <x:v>177832.8995515058</x:v>
      </x:c>
      <x:c r="T1074" s="65" t="n">
        <x:v>213335.4419401004</x:v>
      </x:c>
      <x:c r="U1074" s="43" t="n">
        <x:v>0.9143017022574386</x:v>
      </x:c>
      <x:c r="V1074" s="43" t="n">
        <x:v>0.9316886602967173</x:v>
      </x:c>
      <x:c r="W1074" s="43" t="n">
        <x:v>0.5889091647296788</x:v>
      </x:c>
      <x:c r="X1074" s="65" t="n">
        <x:v>30244052.21851148</x:v>
      </x:c>
      <x:c r="Y1074" s="65" t="n">
        <x:v>67.81020047699782</x:v>
      </x:c>
      <x:c r="Z1074" s="65" t="n">
        <x:v>1459796.5850469233</x:v>
      </x:c>
      <x:c r="AA1074" s="65" t="n">
        <x:v>166710.9479570854</x:v>
      </x:c>
      <x:c r="AB1074" s="65" t="n">
        <x:v>3062.984998275083</x:v>
      </x:c>
      <x:c r="AC1074" s="65" t="n">
        <x:v>2496.6350311608303</x:v>
      </x:c>
      <x:c r="AD1074" s="65" t="n">
        <x:v>1531.4721105536719</x:v>
      </x:c>
      <x:c r="AE1074" s="65" t="n">
        <x:v>132453.59993416304</x:v>
      </x:c>
      <x:c r="AF1074" s="65" t="n">
        <x:v>213335.4419401004</x:v>
      </x:c>
      <x:c r="AG1074" s="65" t="n">
        <x:v>0</x:v>
      </x:c>
      <x:c r="AH1074" s="34" t="n">
        <x:v>0</x:v>
      </x:c>
    </x:row>
    <x:row r="1075" ht="21.600000381469727" hidden="0" customHeight="1">
      <x:c r="A1075" s="36" t="n">
        <x:v>268</x:v>
      </x:c>
      <x:c r="B1075" s="36" t="str">
        <x:v>P2</x:v>
      </x:c>
      <x:c r="C1075" s="36" t="str">
        <x:v>reference</x:v>
      </x:c>
      <x:c r="D1075" s="75" t="n">
        <x:v>0.9271604817370589</x:v>
      </x:c>
      <x:c r="E1075" s="75" t="n">
        <x:v>-0.02126018753407568</x:v>
      </x:c>
      <x:c r="F1075" s="75" t="n">
        <x:v>0.828780947665924</x:v>
      </x:c>
      <x:c r="G1075" s="75" t="n">
        <x:v>1.2538811687485505</x:v>
      </x:c>
      <x:c r="H1075" s="75" t="n">
        <x:v>0.9210188175792199</x:v>
      </x:c>
      <x:c r="I1075" s="75" t="n">
        <x:v>0.9970884109259037</x:v>
      </x:c>
      <x:c r="J1075" s="75" t="n">
        <x:v>0.8388043174623095</x:v>
      </x:c>
      <x:c r="K1075" s="75" t="n">
        <x:v>0.9900061191955913</x:v>
      </x:c>
      <x:c r="L1075" s="75" t="n">
        <x:v>0.8994032782282722</x:v>
      </x:c>
      <x:c r="M1075" s="75" t="n">
        <x:v>0.8836496090090684</x:v>
      </x:c>
      <x:c r="N1075" s="75" t="n">
        <x:v>0.9361324306242746</x:v>
      </x:c>
      <x:c r="O1075" s="66" t="n">
        <x:v>446010.3643075158</x:v>
      </x:c>
      <x:c r="P1075" s="66" t="n">
        <x:v>281701.0575718279</x:v>
      </x:c>
      <x:c r="Q1075" s="66" t="n">
        <x:v>164309.30673568795</x:v>
      </x:c>
      <x:c r="R1075" s="66" t="n">
        <x:v>73724.87138528841</x:v>
      </x:c>
      <x:c r="S1075" s="66" t="n">
        <x:v>90584.43535039952</x:v>
      </x:c>
      <x:c r="T1075" s="66" t="n">
        <x:v>139570.8537784248</x:v>
      </x:c>
      <x:c r="U1075" s="45" t="n">
        <x:v>0.9445339056286899</x:v>
      </x:c>
      <x:c r="V1075" s="45" t="n">
        <x:v>0.9524941856958425</x:v>
      </x:c>
      <x:c r="W1075" s="45" t="n">
        <x:v>0.7183900884292809</x:v>
      </x:c>
      <x:c r="X1075" s="66" t="n">
        <x:v>19008203.636741627</x:v>
      </x:c>
      <x:c r="Y1075" s="66" t="n">
        <x:v>42.618300286035115</x:v>
      </x:c>
      <x:c r="Z1075" s="66" t="n">
        <x:v>872946.8957552749</x:v>
      </x:c>
      <x:c r="AA1075" s="66" t="n">
        <x:v>110779.95434782801</x:v>
      </x:c>
      <x:c r="AB1075" s="66" t="n">
        <x:v>0</x:v>
      </x:c>
      <x:c r="AC1075" s="66" t="n">
        <x:v>0</x:v>
      </x:c>
      <x:c r="AD1075" s="66" t="n">
        <x:v>1314.0960617155167</x:v>
      </x:c>
      <x:c r="AE1075" s="66" t="n">
        <x:v>66552.52418973137</x:v>
      </x:c>
      <x:c r="AF1075" s="66" t="n">
        <x:v>139570.8537784247</x:v>
      </x:c>
      <x:c r="AG1075" s="66" t="n">
        <x:v>8.731149137020111e-11</x:v>
      </x:c>
      <x:c r="AH1075" s="36" t="n">
        <x:v>0</x:v>
      </x:c>
    </x:row>
    <x:row r="1076" ht="21.600000381469727" hidden="0" customHeight="1">
      <x:c r="A1076" s="34" t="n">
        <x:v>268</x:v>
      </x:c>
      <x:c r="B1076" s="34" t="str">
        <x:v>H3</x:v>
      </x:c>
      <x:c r="C1076" s="34" t="str">
        <x:v>reference</x:v>
      </x:c>
      <x:c r="D1076" s="74" t="n">
        <x:v>0.9271604817370589</x:v>
      </x:c>
      <x:c r="E1076" s="74" t="n">
        <x:v>-0.02126018753407568</x:v>
      </x:c>
      <x:c r="F1076" s="74" t="n">
        <x:v>0.828780947665924</x:v>
      </x:c>
      <x:c r="G1076" s="74" t="n">
        <x:v>1.2538811687485505</x:v>
      </x:c>
      <x:c r="H1076" s="74" t="n">
        <x:v>0.9210188175792199</x:v>
      </x:c>
      <x:c r="I1076" s="74" t="n">
        <x:v>0.9970884109259037</x:v>
      </x:c>
      <x:c r="J1076" s="74" t="n">
        <x:v>0.8388043174623095</x:v>
      </x:c>
      <x:c r="K1076" s="74" t="n">
        <x:v>0.9900061191955913</x:v>
      </x:c>
      <x:c r="L1076" s="74" t="n">
        <x:v>0.8994032782282722</x:v>
      </x:c>
      <x:c r="M1076" s="74" t="n">
        <x:v>0.8836496090090684</x:v>
      </x:c>
      <x:c r="N1076" s="74" t="n">
        <x:v>0.9361324306242746</x:v>
      </x:c>
      <x:c r="O1076" s="65" t="n">
        <x:v>446010.3643075158</x:v>
      </x:c>
      <x:c r="P1076" s="65" t="n">
        <x:v>292224.36511625804</x:v>
      </x:c>
      <x:c r="Q1076" s="65" t="n">
        <x:v>153785.9991912578</x:v>
      </x:c>
      <x:c r="R1076" s="65" t="n">
        <x:v>73724.87138528841</x:v>
      </x:c>
      <x:c r="S1076" s="65" t="n">
        <x:v>80061.1278059694</x:v>
      </x:c>
      <x:c r="T1076" s="65" t="n">
        <x:v>152496.30503229934</x:v>
      </x:c>
      <x:c r="U1076" s="43" t="n">
        <x:v>0.997108376257218</x:v>
      </x:c>
      <x:c r="V1076" s="43" t="n">
        <x:v>0.9981787307207052</x:v>
      </x:c>
      <x:c r="W1076" s="43" t="n">
        <x:v>0.9710837625721798</x:v>
      </x:c>
      <x:c r="X1076" s="65" t="n">
        <x:v>14853497.761602642</x:v>
      </x:c>
      <x:c r="Y1076" s="65" t="n">
        <x:v>33.303032732578906</x:v>
      </x:c>
      <x:c r="Z1076" s="65" t="n">
        <x:v>984845.9209766571</x:v>
      </x:c>
      <x:c r="AA1076" s="65" t="n">
        <x:v>88510.28374421061</x:v>
      </x:c>
      <x:c r="AB1076" s="65" t="n">
        <x:v>1677.0365926525087</x:v>
      </x:c>
      <x:c r="AC1076" s="65" t="n">
        <x:v>1151.7081314944442</x:v>
      </x:c>
      <x:c r="AD1076" s="65" t="n">
        <x:v>1289.6941589584756</x:v>
      </x:c>
      <x:c r="AE1076" s="65" t="n">
        <x:v>58903.32322550268</x:v>
      </x:c>
      <x:c r="AF1076" s="65" t="n">
        <x:v>152496.30503229928</x:v>
      </x:c>
      <x:c r="AG1076" s="65" t="n">
        <x:v>5.820766091346741e-11</x:v>
      </x:c>
      <x:c r="AH1076" s="34" t="n">
        <x:v>1</x:v>
      </x:c>
    </x:row>
    <x:row r="1077" ht="15" hidden="0" customHeight="1">
      <x:c r="A1077" s="36" t="n">
        <x:v>269</x:v>
      </x:c>
      <x:c r="B1077" s="36" t="str">
        <x:v>M0</x:v>
      </x:c>
      <x:c r="C1077" s="36" t="str">
        <x:v>fast</x:v>
      </x:c>
      <x:c r="D1077" s="75" t="n">
        <x:v>0.9658242641165161</x:v>
      </x:c>
      <x:c r="E1077" s="75" t="n">
        <x:v>0.07462721973774802</x:v>
      </x:c>
      <x:c r="F1077" s="75" t="n">
        <x:v>0.8428507324980883</x:v>
      </x:c>
      <x:c r="G1077" s="75" t="n">
        <x:v>1.0308932126673112</x:v>
      </x:c>
      <x:c r="H1077" s="75" t="n">
        <x:v>0.9989035799657375</x:v>
      </x:c>
      <x:c r="I1077" s="75" t="n">
        <x:v>0.9557794274931525</x:v>
      </x:c>
      <x:c r="J1077" s="75" t="n">
        <x:v>1.078607740054033</x:v>
      </x:c>
      <x:c r="K1077" s="75" t="n">
        <x:v>0.9602708990940235</x:v>
      </x:c>
      <x:c r="L1077" s="75" t="n">
        <x:v>0.8005181248848133</x:v>
      </x:c>
      <x:c r="M1077" s="75" t="n">
        <x:v>0.8515260716441727</x:v>
      </x:c>
      <x:c r="N1077" s="75" t="n">
        <x:v>0.8059994717820304</x:v>
      </x:c>
      <x:c r="O1077" s="66" t="n">
        <x:v>464609.5690883973</x:v>
      </x:c>
      <x:c r="P1077" s="66" t="n">
        <x:v>53901.92196136462</x:v>
      </x:c>
      <x:c r="Q1077" s="66" t="n">
        <x:v>410707.64712703263</x:v>
      </x:c>
      <x:c r="R1077" s="66" t="n">
        <x:v>121349.50014380096</x:v>
      </x:c>
      <x:c r="S1077" s="66" t="n">
        <x:v>289358.14698323165</x:v>
      </x:c>
      <x:c r="T1077" s="66" t="n">
        <x:v>268228.67155595386</x:v>
      </x:c>
      <x:c r="U1077" s="45" t="n">
        <x:v>0.6933361147713026</x:v>
      </x:c>
      <x:c r="V1077" s="45" t="n">
        <x:v>0.7305825945886719</x:v>
      </x:c>
      <x:c r="W1077" s="45" t="n">
        <x:v>0.12343287804670716</x:v>
      </x:c>
      <x:c r="X1077" s="66" t="n">
        <x:v>52346413.998043925</x:v>
      </x:c>
      <x:c r="Y1077" s="66" t="n">
        <x:v>112.6675330875168</x:v>
      </x:c>
      <x:c r="Z1077" s="66" t="n">
        <x:v>3786040.166027526</x:v>
      </x:c>
      <x:c r="AA1077" s="66" t="n">
        <x:v>294180.9038272415</x:v>
      </x:c>
      <x:c r="AB1077" s="66" t="n">
        <x:v>23636.315552106564</x:v>
      </x:c>
      <x:c r="AC1077" s="66" t="n">
        <x:v>0</x:v>
      </x:c>
      <x:c r="AD1077" s="66" t="n">
        <x:v>2001.531303771642</x:v>
      </x:c>
      <x:c r="AE1077" s="66" t="n">
        <x:v>221803.10198130895</x:v>
      </x:c>
      <x:c r="AF1077" s="66" t="n">
        <x:v>268228.67155595357</x:v>
      </x:c>
      <x:c r="AG1077" s="66" t="n">
        <x:v>2.9103830456733704e-10</x:v>
      </x:c>
      <x:c r="AH1077" s="36" t="n">
        <x:v>0</x:v>
      </x:c>
    </x:row>
    <x:row r="1078" ht="15" hidden="0" customHeight="1">
      <x:c r="A1078" s="34" t="n">
        <x:v>269</x:v>
      </x:c>
      <x:c r="B1078" s="34" t="str">
        <x:v>B1</x:v>
      </x:c>
      <x:c r="C1078" s="34" t="str">
        <x:v>fast</x:v>
      </x:c>
      <x:c r="D1078" s="74" t="n">
        <x:v>0.9658242641165161</x:v>
      </x:c>
      <x:c r="E1078" s="74" t="n">
        <x:v>0.07462721973774802</x:v>
      </x:c>
      <x:c r="F1078" s="74" t="n">
        <x:v>0.8428507324980883</x:v>
      </x:c>
      <x:c r="G1078" s="74" t="n">
        <x:v>1.0308932126673112</x:v>
      </x:c>
      <x:c r="H1078" s="74" t="n">
        <x:v>0.9989035799657375</x:v>
      </x:c>
      <x:c r="I1078" s="74" t="n">
        <x:v>0.9557794274931525</x:v>
      </x:c>
      <x:c r="J1078" s="74" t="n">
        <x:v>1.078607740054033</x:v>
      </x:c>
      <x:c r="K1078" s="74" t="n">
        <x:v>0.9602708990940235</x:v>
      </x:c>
      <x:c r="L1078" s="74" t="n">
        <x:v>0.8005181248848133</x:v>
      </x:c>
      <x:c r="M1078" s="74" t="n">
        <x:v>0.8515260716441727</x:v>
      </x:c>
      <x:c r="N1078" s="74" t="n">
        <x:v>0.8059994717820304</x:v>
      </x:c>
      <x:c r="O1078" s="65" t="n">
        <x:v>464609.5690883973</x:v>
      </x:c>
      <x:c r="P1078" s="65" t="n">
        <x:v>182333.91525293957</x:v>
      </x:c>
      <x:c r="Q1078" s="65" t="n">
        <x:v>282275.65383545763</x:v>
      </x:c>
      <x:c r="R1078" s="65" t="n">
        <x:v>121349.50014380096</x:v>
      </x:c>
      <x:c r="S1078" s="65" t="n">
        <x:v>160926.1536916567</x:v>
      </x:c>
      <x:c r="T1078" s="65" t="n">
        <x:v>201284.67607547008</x:v>
      </x:c>
      <x:c r="U1078" s="43" t="n">
        <x:v>0.8256794884382198</x:v>
      </x:c>
      <x:c r="V1078" s="43" t="n">
        <x:v>0.8662446209600158</x:v>
      </x:c>
      <x:c r="W1078" s="43" t="n">
        <x:v>0.45835278698119364</x:v>
      </x:c>
      <x:c r="X1078" s="65" t="n">
        <x:v>36086092.72851898</x:v>
      </x:c>
      <x:c r="Y1078" s="65" t="n">
        <x:v>77.66971480876491</x:v>
      </x:c>
      <x:c r="Z1078" s="65" t="n">
        <x:v>1448586.0874039354</x:v>
      </x:c>
      <x:c r="AA1078" s="65" t="n">
        <x:v>202497.5670617225</x:v>
      </x:c>
      <x:c r="AB1078" s="65" t="n">
        <x:v>3559.227774065985</x:v>
      </x:c>
      <x:c r="AC1078" s="65" t="n">
        <x:v>0</x:v>
      </x:c>
      <x:c r="AD1078" s="65" t="n">
        <x:v>1697.9572850133263</x:v>
      </x:c>
      <x:c r="AE1078" s="65" t="n">
        <x:v>131646.3217135027</x:v>
      </x:c>
      <x:c r="AF1078" s="65" t="n">
        <x:v>201284.67607546994</x:v>
      </x:c>
      <x:c r="AG1078" s="65" t="n">
        <x:v>1.4551915228366852e-10</x:v>
      </x:c>
      <x:c r="AH1078" s="34" t="n">
        <x:v>0</x:v>
      </x:c>
    </x:row>
    <x:row r="1079" ht="15" hidden="0" customHeight="1">
      <x:c r="A1079" s="36" t="n">
        <x:v>269</x:v>
      </x:c>
      <x:c r="B1079" s="36" t="str">
        <x:v>P2</x:v>
      </x:c>
      <x:c r="C1079" s="36" t="str">
        <x:v>fast</x:v>
      </x:c>
      <x:c r="D1079" s="75" t="n">
        <x:v>0.9658242641165161</x:v>
      </x:c>
      <x:c r="E1079" s="75" t="n">
        <x:v>0.07462721973774802</x:v>
      </x:c>
      <x:c r="F1079" s="75" t="n">
        <x:v>0.8428507324980883</x:v>
      </x:c>
      <x:c r="G1079" s="75" t="n">
        <x:v>1.0308932126673112</x:v>
      </x:c>
      <x:c r="H1079" s="75" t="n">
        <x:v>0.9989035799657375</x:v>
      </x:c>
      <x:c r="I1079" s="75" t="n">
        <x:v>0.9557794274931525</x:v>
      </x:c>
      <x:c r="J1079" s="75" t="n">
        <x:v>1.078607740054033</x:v>
      </x:c>
      <x:c r="K1079" s="75" t="n">
        <x:v>0.9602708990940235</x:v>
      </x:c>
      <x:c r="L1079" s="75" t="n">
        <x:v>0.8005181248848133</x:v>
      </x:c>
      <x:c r="M1079" s="75" t="n">
        <x:v>0.8515260716441727</x:v>
      </x:c>
      <x:c r="N1079" s="75" t="n">
        <x:v>0.8059994717820304</x:v>
      </x:c>
      <x:c r="O1079" s="66" t="n">
        <x:v>464609.5690883973</x:v>
      </x:c>
      <x:c r="P1079" s="66" t="n">
        <x:v>264146.88500559836</x:v>
      </x:c>
      <x:c r="Q1079" s="66" t="n">
        <x:v>200462.6840827989</x:v>
      </x:c>
      <x:c r="R1079" s="66" t="n">
        <x:v>121349.50014380096</x:v>
      </x:c>
      <x:c r="S1079" s="66" t="n">
        <x:v>79113.18393899794</x:v>
      </x:c>
      <x:c r="T1079" s="66" t="n">
        <x:v>140959.63536794926</x:v>
      </x:c>
      <x:c r="U1079" s="45" t="n">
        <x:v>0.8719289212411194</x:v>
      </x:c>
      <x:c r="V1079" s="45" t="n">
        <x:v>0.8990360852325257</x:v>
      </x:c>
      <x:c r="W1079" s="45" t="n">
        <x:v>0.6493908313615953</x:v>
      </x:c>
      <x:c r="X1079" s="66" t="n">
        <x:v>24678879.519743018</x:v>
      </x:c>
      <x:c r="Y1079" s="66" t="n">
        <x:v>53.1174585322576</x:v>
      </x:c>
      <x:c r="Z1079" s="66" t="n">
        <x:v>884850.1759162069</x:v>
      </x:c>
      <x:c r="AA1079" s="66" t="n">
        <x:v>144194.68867031508</x:v>
      </x:c>
      <x:c r="AB1079" s="66" t="n">
        <x:v>0</x:v>
      </x:c>
      <x:c r="AC1079" s="66" t="n">
        <x:v>3593.030253254894</x:v>
      </x:c>
      <x:c r="AD1079" s="66" t="n">
        <x:v>1514.5283582690427</x:v>
      </x:c>
      <x:c r="AE1079" s="66" t="n">
        <x:v>79777.75600372594</x:v>
      </x:c>
      <x:c r="AF1079" s="66" t="n">
        <x:v>140959.63536794917</x:v>
      </x:c>
      <x:c r="AG1079" s="66" t="n">
        <x:v>8.731149137020111e-11</x:v>
      </x:c>
      <x:c r="AH1079" s="36" t="n">
        <x:v>0</x:v>
      </x:c>
    </x:row>
    <x:row r="1080" ht="15" hidden="0" customHeight="1">
      <x:c r="A1080" s="34" t="n">
        <x:v>269</x:v>
      </x:c>
      <x:c r="B1080" s="34" t="str">
        <x:v>H3</x:v>
      </x:c>
      <x:c r="C1080" s="34" t="str">
        <x:v>fast</x:v>
      </x:c>
      <x:c r="D1080" s="74" t="n">
        <x:v>0.9658242641165161</x:v>
      </x:c>
      <x:c r="E1080" s="74" t="n">
        <x:v>0.07462721973774802</x:v>
      </x:c>
      <x:c r="F1080" s="74" t="n">
        <x:v>0.8428507324980883</x:v>
      </x:c>
      <x:c r="G1080" s="74" t="n">
        <x:v>1.0308932126673112</x:v>
      </x:c>
      <x:c r="H1080" s="74" t="n">
        <x:v>0.9989035799657375</x:v>
      </x:c>
      <x:c r="I1080" s="74" t="n">
        <x:v>0.9557794274931525</x:v>
      </x:c>
      <x:c r="J1080" s="74" t="n">
        <x:v>1.078607740054033</x:v>
      </x:c>
      <x:c r="K1080" s="74" t="n">
        <x:v>0.9602708990940235</x:v>
      </x:c>
      <x:c r="L1080" s="74" t="n">
        <x:v>0.8005181248848133</x:v>
      </x:c>
      <x:c r="M1080" s="74" t="n">
        <x:v>0.8515260716441727</x:v>
      </x:c>
      <x:c r="N1080" s="74" t="n">
        <x:v>0.8059994717820304</x:v>
      </x:c>
      <x:c r="O1080" s="65" t="n">
        <x:v>464609.5690883973</x:v>
      </x:c>
      <x:c r="P1080" s="65" t="n">
        <x:v>274014.83846644574</x:v>
      </x:c>
      <x:c r="Q1080" s="65" t="n">
        <x:v>190594.73062195152</x:v>
      </x:c>
      <x:c r="R1080" s="65" t="n">
        <x:v>121349.50014380096</x:v>
      </x:c>
      <x:c r="S1080" s="65" t="n">
        <x:v>69245.2304781506</x:v>
      </x:c>
      <x:c r="T1080" s="65" t="n">
        <x:v>189100.79337690386</x:v>
      </x:c>
      <x:c r="U1080" s="43" t="n">
        <x:v>0.9967845319071258</x:v>
      </x:c>
      <x:c r="V1080" s="43" t="n">
        <x:v>0.9979747844305765</x:v>
      </x:c>
      <x:c r="W1080" s="43" t="n">
        <x:v>0.9678453190712603</x:v>
      </x:c>
      <x:c r="X1080" s="65" t="n">
        <x:v>17737438.724211317</x:v>
      </x:c>
      <x:c r="Y1080" s="65" t="n">
        <x:v>38.17708438294469</x:v>
      </x:c>
      <x:c r="Z1080" s="65" t="n">
        <x:v>1610359.8724897504</x:v>
      </x:c>
      <x:c r="AA1080" s="65" t="n">
        <x:v>112932.62272577737</x:v>
      </x:c>
      <x:c r="AB1080" s="65" t="n">
        <x:v>8642.501748816256</x:v>
      </x:c>
      <x:c r="AC1080" s="65" t="n">
        <x:v>654.4349856798035</x:v>
      </x:c>
      <x:c r="AD1080" s="65" t="n">
        <x:v>1493.9372450476637</x:v>
      </x:c>
      <x:c r="AE1080" s="65" t="n">
        <x:v>84643.26183395271</x:v>
      </x:c>
      <x:c r="AF1080" s="65" t="n">
        <x:v>189100.7933769039</x:v>
      </x:c>
      <x:c r="AG1080" s="65" t="n">
        <x:v>0</x:v>
      </x:c>
      <x:c r="AH1080" s="34" t="n">
        <x:v>1</x:v>
      </x:c>
    </x:row>
    <x:row r="1081" ht="15" hidden="0" customHeight="1">
      <x:c r="A1081" s="36" t="n">
        <x:v>270</x:v>
      </x:c>
      <x:c r="B1081" s="36" t="str">
        <x:v>M0</x:v>
      </x:c>
      <x:c r="C1081" s="36" t="str">
        <x:v>fast</x:v>
      </x:c>
      <x:c r="D1081" s="75" t="n">
        <x:v>0.9580993556186437</x:v>
      </x:c>
      <x:c r="E1081" s="75" t="n">
        <x:v>0.03260926069926839</x:v>
      </x:c>
      <x:c r="F1081" s="75" t="n">
        <x:v>0.8602459162409292</x:v>
      </x:c>
      <x:c r="G1081" s="75" t="n">
        <x:v>1.3098188025972453</x:v>
      </x:c>
      <x:c r="H1081" s="75" t="n">
        <x:v>0.8314907519788411</x:v>
      </x:c>
      <x:c r="I1081" s="75" t="n">
        <x:v>0.8361239420866086</x:v>
      </x:c>
      <x:c r="J1081" s="75" t="n">
        <x:v>1.052561319204769</x:v>
      </x:c>
      <x:c r="K1081" s="75" t="n">
        <x:v>0.9692307103319402</x:v>
      </x:c>
      <x:c r="L1081" s="75" t="n">
        <x:v>1.0109916283705267</x:v>
      </x:c>
      <x:c r="M1081" s="75" t="n">
        <x:v>0.9813016149619423</x:v>
      </x:c>
      <x:c r="N1081" s="75" t="n">
        <x:v>0.8011474957422473</x:v>
      </x:c>
      <x:c r="O1081" s="66" t="n">
        <x:v>460893.50340047746</x:v>
      </x:c>
      <x:c r="P1081" s="66" t="n">
        <x:v>57678.75646455916</x:v>
      </x:c>
      <x:c r="Q1081" s="66" t="n">
        <x:v>403214.7469359182</x:v>
      </x:c>
      <x:c r="R1081" s="66" t="n">
        <x:v>101013.11158217248</x:v>
      </x:c>
      <x:c r="S1081" s="66" t="n">
        <x:v>302201.6353537458</x:v>
      </x:c>
      <x:c r="T1081" s="66" t="n">
        <x:v>261035.31753932073</x:v>
      </x:c>
      <x:c r="U1081" s="45" t="n">
        <x:v>0.6915134877198396</x:v>
      </x:c>
      <x:c r="V1081" s="45" t="n">
        <x:v>0.7103474067739188</x:v>
      </x:c>
      <x:c r="W1081" s="45" t="n">
        <x:v>0.12793419161396505</x:v>
      </x:c>
      <x:c r="X1081" s="66" t="n">
        <x:v>51745303.762607194</x:v>
      </x:c>
      <x:c r="Y1081" s="66" t="n">
        <x:v>112.27171435663502</x:v>
      </x:c>
      <x:c r="Z1081" s="66" t="n">
        <x:v>5272610.266225852</x:v>
      </x:c>
      <x:c r="AA1081" s="66" t="n">
        <x:v>279722.28016796045</x:v>
      </x:c>
      <x:c r="AB1081" s="66" t="n">
        <x:v>41820.41654396431</x:v>
      </x:c>
      <x:c r="AC1081" s="66" t="n">
        <x:v>0</x:v>
      </x:c>
      <x:c r="AD1081" s="66" t="n">
        <x:v>1967.58407456275</x:v>
      </x:c>
      <x:c r="AE1081" s="66" t="n">
        <x:v>214889.22178456726</x:v>
      </x:c>
      <x:c r="AF1081" s="66" t="n">
        <x:v>261035.31753932027</x:v>
      </x:c>
      <x:c r="AG1081" s="66" t="n">
        <x:v>4.656612873077393e-10</x:v>
      </x:c>
      <x:c r="AH1081" s="36" t="n">
        <x:v>0</x:v>
      </x:c>
    </x:row>
    <x:row r="1082" ht="15" hidden="0" customHeight="1">
      <x:c r="A1082" s="34" t="n">
        <x:v>270</x:v>
      </x:c>
      <x:c r="B1082" s="34" t="str">
        <x:v>B1</x:v>
      </x:c>
      <x:c r="C1082" s="34" t="str">
        <x:v>fast</x:v>
      </x:c>
      <x:c r="D1082" s="74" t="n">
        <x:v>0.9580993556186437</x:v>
      </x:c>
      <x:c r="E1082" s="74" t="n">
        <x:v>0.03260926069926839</x:v>
      </x:c>
      <x:c r="F1082" s="74" t="n">
        <x:v>0.8602459162409292</x:v>
      </x:c>
      <x:c r="G1082" s="74" t="n">
        <x:v>1.3098188025972453</x:v>
      </x:c>
      <x:c r="H1082" s="74" t="n">
        <x:v>0.8314907519788411</x:v>
      </x:c>
      <x:c r="I1082" s="74" t="n">
        <x:v>0.8361239420866086</x:v>
      </x:c>
      <x:c r="J1082" s="74" t="n">
        <x:v>1.052561319204769</x:v>
      </x:c>
      <x:c r="K1082" s="74" t="n">
        <x:v>0.9692307103319402</x:v>
      </x:c>
      <x:c r="L1082" s="74" t="n">
        <x:v>1.0109916283705267</x:v>
      </x:c>
      <x:c r="M1082" s="74" t="n">
        <x:v>0.9813016149619423</x:v>
      </x:c>
      <x:c r="N1082" s="74" t="n">
        <x:v>0.8011474957422473</x:v>
      </x:c>
      <x:c r="O1082" s="65" t="n">
        <x:v>460893.50340047746</x:v>
      </x:c>
      <x:c r="P1082" s="65" t="n">
        <x:v>195108.57284212628</x:v>
      </x:c>
      <x:c r="Q1082" s="65" t="n">
        <x:v>265784.9305583511</x:v>
      </x:c>
      <x:c r="R1082" s="65" t="n">
        <x:v>101013.11158217248</x:v>
      </x:c>
      <x:c r="S1082" s="65" t="n">
        <x:v>164771.81897617862</x:v>
      </x:c>
      <x:c r="T1082" s="65" t="n">
        <x:v>191364.70232899213</x:v>
      </x:c>
      <x:c r="U1082" s="43" t="n">
        <x:v>0.8385305332353662</x:v>
      </x:c>
      <x:c r="V1082" s="43" t="n">
        <x:v>0.8687205045619403</x:v>
      </x:c>
      <x:c r="W1082" s="43" t="n">
        <x:v>0.4844081877431557</x:v>
      </x:c>
      <x:c r="X1082" s="65" t="n">
        <x:v>34443583.25748574</x:v>
      </x:c>
      <x:c r="Y1082" s="65" t="n">
        <x:v>74.7321951890417</x:v>
      </x:c>
      <x:c r="Z1082" s="65" t="n">
        <x:v>2050394.5819991864</x:v>
      </x:c>
      <x:c r="AA1082" s="65" t="n">
        <x:v>185700.8067904957</x:v>
      </x:c>
      <x:c r="AB1082" s="65" t="n">
        <x:v>10155.336591296258</x:v>
      </x:c>
      <x:c r="AC1082" s="65" t="n">
        <x:v>0</x:v>
      </x:c>
      <x:c r="AD1082" s="65" t="n">
        <x:v>1625.817945722044</x:v>
      </x:c>
      <x:c r="AE1082" s="65" t="n">
        <x:v>122320.79542329739</x:v>
      </x:c>
      <x:c r="AF1082" s="65" t="n">
        <x:v>191364.70232899216</x:v>
      </x:c>
      <x:c r="AG1082" s="65" t="n">
        <x:v>0</x:v>
      </x:c>
      <x:c r="AH1082" s="34" t="n">
        <x:v>0</x:v>
      </x:c>
    </x:row>
    <x:row r="1083" ht="15" hidden="0" customHeight="1">
      <x:c r="A1083" s="36" t="n">
        <x:v>270</x:v>
      </x:c>
      <x:c r="B1083" s="36" t="str">
        <x:v>P2</x:v>
      </x:c>
      <x:c r="C1083" s="36" t="str">
        <x:v>fast</x:v>
      </x:c>
      <x:c r="D1083" s="75" t="n">
        <x:v>0.9580993556186437</x:v>
      </x:c>
      <x:c r="E1083" s="75" t="n">
        <x:v>0.03260926069926839</x:v>
      </x:c>
      <x:c r="F1083" s="75" t="n">
        <x:v>0.8602459162409292</x:v>
      </x:c>
      <x:c r="G1083" s="75" t="n">
        <x:v>1.3098188025972453</x:v>
      </x:c>
      <x:c r="H1083" s="75" t="n">
        <x:v>0.8314907519788411</x:v>
      </x:c>
      <x:c r="I1083" s="75" t="n">
        <x:v>0.8361239420866086</x:v>
      </x:c>
      <x:c r="J1083" s="75" t="n">
        <x:v>1.052561319204769</x:v>
      </x:c>
      <x:c r="K1083" s="75" t="n">
        <x:v>0.9692307103319402</x:v>
      </x:c>
      <x:c r="L1083" s="75" t="n">
        <x:v>1.0109916283705267</x:v>
      </x:c>
      <x:c r="M1083" s="75" t="n">
        <x:v>0.9813016149619423</x:v>
      </x:c>
      <x:c r="N1083" s="75" t="n">
        <x:v>0.8011474957422473</x:v>
      </x:c>
      <x:c r="O1083" s="66" t="n">
        <x:v>460893.50340047746</x:v>
      </x:c>
      <x:c r="P1083" s="66" t="n">
        <x:v>282652.5078864473</x:v>
      </x:c>
      <x:c r="Q1083" s="66" t="n">
        <x:v>178240.99551403004</x:v>
      </x:c>
      <x:c r="R1083" s="66" t="n">
        <x:v>101013.11158217248</x:v>
      </x:c>
      <x:c r="S1083" s="66" t="n">
        <x:v>77227.88393185759</x:v>
      </x:c>
      <x:c r="T1083" s="66" t="n">
        <x:v>127718.50811903956</x:v>
      </x:c>
      <x:c r="U1083" s="45" t="n">
        <x:v>0.8903814286332197</x:v>
      </x:c>
      <x:c r="V1083" s="45" t="n">
        <x:v>0.913477400082221</x:v>
      </x:c>
      <x:c r="W1083" s="45" t="n">
        <x:v>0.6958760232369938</x:v>
      </x:c>
      <x:c r="X1083" s="66" t="n">
        <x:v>22087997.22753017</x:v>
      </x:c>
      <x:c r="Y1083" s="66" t="n">
        <x:v>47.92429718484786</x:v>
      </x:c>
      <x:c r="Z1083" s="66" t="n">
        <x:v>798853.9098107421</x:v>
      </x:c>
      <x:c r="AA1083" s="66" t="n">
        <x:v>127457.01574432827</x:v>
      </x:c>
      <x:c r="AB1083" s="66" t="n">
        <x:v>0</x:v>
      </x:c>
      <x:c r="AC1083" s="66" t="n">
        <x:v>0</x:v>
      </x:c>
      <x:c r="AD1083" s="66" t="n">
        <x:v>1419.3121503077518</x:v>
      </x:c>
      <x:c r="AE1083" s="66" t="n">
        <x:v>71606.7274375294</x:v>
      </x:c>
      <x:c r="AF1083" s="66" t="n">
        <x:v>127718.50811903953</x:v>
      </x:c>
      <x:c r="AG1083" s="66" t="n">
        <x:v>2.9103830456733704e-11</x:v>
      </x:c>
      <x:c r="AH1083" s="36" t="n">
        <x:v>0</x:v>
      </x:c>
    </x:row>
    <x:row r="1084" ht="15" hidden="0" customHeight="1">
      <x:c r="A1084" s="34" t="n">
        <x:v>270</x:v>
      </x:c>
      <x:c r="B1084" s="34" t="str">
        <x:v>H3</x:v>
      </x:c>
      <x:c r="C1084" s="34" t="str">
        <x:v>fast</x:v>
      </x:c>
      <x:c r="D1084" s="74" t="n">
        <x:v>0.9580993556186437</x:v>
      </x:c>
      <x:c r="E1084" s="74" t="n">
        <x:v>0.03260926069926839</x:v>
      </x:c>
      <x:c r="F1084" s="74" t="n">
        <x:v>0.8602459162409292</x:v>
      </x:c>
      <x:c r="G1084" s="74" t="n">
        <x:v>1.3098188025972453</x:v>
      </x:c>
      <x:c r="H1084" s="74" t="n">
        <x:v>0.8314907519788411</x:v>
      </x:c>
      <x:c r="I1084" s="74" t="n">
        <x:v>0.8361239420866086</x:v>
      </x:c>
      <x:c r="J1084" s="74" t="n">
        <x:v>1.052561319204769</x:v>
      </x:c>
      <x:c r="K1084" s="74" t="n">
        <x:v>0.9692307103319402</x:v>
      </x:c>
      <x:c r="L1084" s="74" t="n">
        <x:v>1.0109916283705267</x:v>
      </x:c>
      <x:c r="M1084" s="74" t="n">
        <x:v>0.9813016149619423</x:v>
      </x:c>
      <x:c r="N1084" s="74" t="n">
        <x:v>0.8011474957422473</x:v>
      </x:c>
      <x:c r="O1084" s="65" t="n">
        <x:v>460893.50340047746</x:v>
      </x:c>
      <x:c r="P1084" s="65" t="n">
        <x:v>293211.588312799</x:v>
      </x:c>
      <x:c r="Q1084" s="65" t="n">
        <x:v>167681.9150876784</x:v>
      </x:c>
      <x:c r="R1084" s="65" t="n">
        <x:v>101013.11158217248</x:v>
      </x:c>
      <x:c r="S1084" s="65" t="n">
        <x:v>66668.80350550593</x:v>
      </x:c>
      <x:c r="T1084" s="65" t="n">
        <x:v>166285.78458210753</x:v>
      </x:c>
      <x:c r="U1084" s="43" t="n">
        <x:v>0.9969708175635581</x:v>
      </x:c>
      <x:c r="V1084" s="43" t="n">
        <x:v>0.9980921008775758</x:v>
      </x:c>
      <x:c r="W1084" s="43" t="n">
        <x:v>0.9697081756355809</x:v>
      </x:c>
      <x:c r="X1084" s="65" t="n">
        <x:v>16034204.416519225</x:v>
      </x:c>
      <x:c r="Y1084" s="65" t="n">
        <x:v>34.78939125463623</x:v>
      </x:c>
      <x:c r="Z1084" s="65" t="n">
        <x:v>1367503.8700023517</x:v>
      </x:c>
      <x:c r="AA1084" s="65" t="n">
        <x:v>101050.6155668374</x:v>
      </x:c>
      <x:c r="AB1084" s="65" t="n">
        <x:v>6522.595230991187</x:v>
      </x:c>
      <x:c r="AC1084" s="65" t="n">
        <x:v>0</x:v>
      </x:c>
      <x:c r="AD1084" s="65" t="n">
        <x:v>1396.1305055709076</x:v>
      </x:c>
      <x:c r="AE1084" s="65" t="n">
        <x:v>63752.30505599438</x:v>
      </x:c>
      <x:c r="AF1084" s="65" t="n">
        <x:v>166285.78458210753</x:v>
      </x:c>
      <x:c r="AG1084" s="65" t="n">
        <x:v>0</x:v>
      </x:c>
      <x:c r="AH1084" s="34" t="n">
        <x:v>1</x:v>
      </x:c>
    </x:row>
    <x:row r="1085" ht="21.600000381469727" hidden="0" customHeight="1">
      <x:c r="A1085" s="36" t="n">
        <x:v>271</x:v>
      </x:c>
      <x:c r="B1085" s="36" t="str">
        <x:v>M0</x:v>
      </x:c>
      <x:c r="C1085" s="36" t="str">
        <x:v>reference</x:v>
      </x:c>
      <x:c r="D1085" s="75" t="n">
        <x:v>1.0097153817295572</x:v>
      </x:c>
      <x:c r="E1085" s="75" t="n">
        <x:v>-0.022703678277503428</x:v>
      </x:c>
      <x:c r="F1085" s="75" t="n">
        <x:v>0.8699123364775287</x:v>
      </x:c>
      <x:c r="G1085" s="75" t="n">
        <x:v>1.0559000186736969</x:v>
      </x:c>
      <x:c r="H1085" s="75" t="n">
        <x:v>0.8072790574629323</x:v>
      </x:c>
      <x:c r="I1085" s="75" t="n">
        <x:v>0.8620734304974403</x:v>
      </x:c>
      <x:c r="J1085" s="75" t="n">
        <x:v>1.0733140256467397</x:v>
      </x:c>
      <x:c r="K1085" s="75" t="n">
        <x:v>0.814147009355066</x:v>
      </x:c>
      <x:c r="L1085" s="75" t="n">
        <x:v>0.9821525193595103</x:v>
      </x:c>
      <x:c r="M1085" s="75" t="n">
        <x:v>1.0945269462703104</x:v>
      </x:c>
      <x:c r="N1085" s="75" t="n">
        <x:v>0.7739319015362215</x:v>
      </x:c>
      <x:c r="O1085" s="66" t="n">
        <x:v>485723.3824379271</x:v>
      </x:c>
      <x:c r="P1085" s="66" t="n">
        <x:v>65824.37039064811</x:v>
      </x:c>
      <x:c r="Q1085" s="66" t="n">
        <x:v>419899.012047279</x:v>
      </x:c>
      <x:c r="R1085" s="66" t="n">
        <x:v>79588.23892649685</x:v>
      </x:c>
      <x:c r="S1085" s="66" t="n">
        <x:v>340310.7731207822</x:v>
      </x:c>
      <x:c r="T1085" s="66" t="n">
        <x:v>254382.67591336224</x:v>
      </x:c>
      <x:c r="U1085" s="45" t="n">
        <x:v>0.659237454653382</x:v>
      </x:c>
      <x:c r="V1085" s="45" t="n">
        <x:v>0.6884464493751004</x:v>
      </x:c>
      <x:c r="W1085" s="45" t="n">
        <x:v>0.1365332166908417</x:v>
      </x:c>
      <x:c r="X1085" s="66" t="n">
        <x:v>55136317.89716481</x:v>
      </x:c>
      <x:c r="Y1085" s="66" t="n">
        <x:v>113.51382266265705</x:v>
      </x:c>
      <x:c r="Z1085" s="66" t="n">
        <x:v>4918091.9611838935</x:v>
      </x:c>
      <x:c r="AA1085" s="66" t="n">
        <x:v>298538.92147521395</x:v>
      </x:c>
      <x:c r="AB1085" s="66" t="n">
        <x:v>40350.240566131106</x:v>
      </x:c>
      <x:c r="AC1085" s="66" t="n">
        <x:v>0</x:v>
      </x:c>
      <x:c r="AD1085" s="66" t="n">
        <x:v>2050.481483272766</x:v>
      </x:c>
      <x:c r="AE1085" s="66" t="n">
        <x:v>187514.95962063276</x:v>
      </x:c>
      <x:c r="AF1085" s="66" t="n">
        <x:v>254382.67591336204</x:v>
      </x:c>
      <x:c r="AG1085" s="66" t="n">
        <x:v>2.0372681319713593e-10</x:v>
      </x:c>
      <x:c r="AH1085" s="36" t="n">
        <x:v>0</x:v>
      </x:c>
    </x:row>
    <x:row r="1086" ht="21.600000381469727" hidden="0" customHeight="1">
      <x:c r="A1086" s="34" t="n">
        <x:v>271</x:v>
      </x:c>
      <x:c r="B1086" s="34" t="str">
        <x:v>B1</x:v>
      </x:c>
      <x:c r="C1086" s="34" t="str">
        <x:v>reference</x:v>
      </x:c>
      <x:c r="D1086" s="74" t="n">
        <x:v>1.0097153817295572</x:v>
      </x:c>
      <x:c r="E1086" s="74" t="n">
        <x:v>-0.022703678277503428</x:v>
      </x:c>
      <x:c r="F1086" s="74" t="n">
        <x:v>0.8699123364775287</x:v>
      </x:c>
      <x:c r="G1086" s="74" t="n">
        <x:v>1.0559000186736969</x:v>
      </x:c>
      <x:c r="H1086" s="74" t="n">
        <x:v>0.8072790574629323</x:v>
      </x:c>
      <x:c r="I1086" s="74" t="n">
        <x:v>0.8620734304974403</x:v>
      </x:c>
      <x:c r="J1086" s="74" t="n">
        <x:v>1.0733140256467397</x:v>
      </x:c>
      <x:c r="K1086" s="74" t="n">
        <x:v>0.814147009355066</x:v>
      </x:c>
      <x:c r="L1086" s="74" t="n">
        <x:v>0.9821525193595103</x:v>
      </x:c>
      <x:c r="M1086" s="74" t="n">
        <x:v>1.0945269462703104</x:v>
      </x:c>
      <x:c r="N1086" s="74" t="n">
        <x:v>0.7739319015362215</x:v>
      </x:c>
      <x:c r="O1086" s="65" t="n">
        <x:v>485723.3824379271</x:v>
      </x:c>
      <x:c r="P1086" s="65" t="n">
        <x:v>222660.91364842624</x:v>
      </x:c>
      <x:c r="Q1086" s="65" t="n">
        <x:v>263062.46878950094</x:v>
      </x:c>
      <x:c r="R1086" s="65" t="n">
        <x:v>79588.23892649685</x:v>
      </x:c>
      <x:c r="S1086" s="65" t="n">
        <x:v>183474.22986300406</x:v>
      </x:c>
      <x:c r="T1086" s="65" t="n">
        <x:v>190218.33041606756</x:v>
      </x:c>
      <x:c r="U1086" s="43" t="n">
        <x:v>0.8500295826653097</x:v>
      </x:c>
      <x:c r="V1086" s="43" t="n">
        <x:v>0.8738760871595913</x:v>
      </x:c>
      <x:c r="W1086" s="43" t="n">
        <x:v>0.5132690026109323</x:v>
      </x:c>
      <x:c r="X1086" s="65" t="n">
        <x:v>34392552.1519743</x:v>
      </x:c>
      <x:c r="Y1086" s="65" t="n">
        <x:v>70.80686949710412</x:v>
      </x:c>
      <x:c r="Z1086" s="65" t="n">
        <x:v>1488020.964270784</x:v>
      </x:c>
      <x:c r="AA1086" s="65" t="n">
        <x:v>185134.1539386597</x:v>
      </x:c>
      <x:c r="AB1086" s="65" t="n">
        <x:v>4614.289684502376</x:v>
      </x:c>
      <x:c r="AC1086" s="65" t="n">
        <x:v>0</x:v>
      </x:c>
      <x:c r="AD1086" s="65" t="n">
        <x:v>1637.9885752572643</x:v>
      </x:c>
      <x:c r="AE1086" s="65" t="n">
        <x:v>106633.68505015565</x:v>
      </x:c>
      <x:c r="AF1086" s="65" t="n">
        <x:v>190218.33041606777</x:v>
      </x:c>
      <x:c r="AG1086" s="65" t="n">
        <x:v>0</x:v>
      </x:c>
      <x:c r="AH1086" s="34" t="n">
        <x:v>0</x:v>
      </x:c>
    </x:row>
    <x:row r="1087" ht="21.600000381469727" hidden="0" customHeight="1">
      <x:c r="A1087" s="36" t="n">
        <x:v>271</x:v>
      </x:c>
      <x:c r="B1087" s="36" t="str">
        <x:v>P2</x:v>
      </x:c>
      <x:c r="C1087" s="36" t="str">
        <x:v>reference</x:v>
      </x:c>
      <x:c r="D1087" s="75" t="n">
        <x:v>1.0097153817295572</x:v>
      </x:c>
      <x:c r="E1087" s="75" t="n">
        <x:v>-0.022703678277503428</x:v>
      </x:c>
      <x:c r="F1087" s="75" t="n">
        <x:v>0.8699123364775287</x:v>
      </x:c>
      <x:c r="G1087" s="75" t="n">
        <x:v>1.0559000186736969</x:v>
      </x:c>
      <x:c r="H1087" s="75" t="n">
        <x:v>0.8072790574629323</x:v>
      </x:c>
      <x:c r="I1087" s="75" t="n">
        <x:v>0.8620734304974403</x:v>
      </x:c>
      <x:c r="J1087" s="75" t="n">
        <x:v>1.0733140256467397</x:v>
      </x:c>
      <x:c r="K1087" s="75" t="n">
        <x:v>0.814147009355066</x:v>
      </x:c>
      <x:c r="L1087" s="75" t="n">
        <x:v>0.9821525193595103</x:v>
      </x:c>
      <x:c r="M1087" s="75" t="n">
        <x:v>1.0945269462703104</x:v>
      </x:c>
      <x:c r="N1087" s="75" t="n">
        <x:v>0.7739319015362215</x:v>
      </x:c>
      <x:c r="O1087" s="66" t="n">
        <x:v>485723.3824379271</x:v>
      </x:c>
      <x:c r="P1087" s="66" t="n">
        <x:v>322566.06832255493</x:v>
      </x:c>
      <x:c r="Q1087" s="66" t="n">
        <x:v>163157.3141153722</x:v>
      </x:c>
      <x:c r="R1087" s="66" t="n">
        <x:v>79588.23892649685</x:v>
      </x:c>
      <x:c r="S1087" s="66" t="n">
        <x:v>83569.07518887536</x:v>
      </x:c>
      <x:c r="T1087" s="66" t="n">
        <x:v>121979.43751603055</x:v>
      </x:c>
      <x:c r="U1087" s="45" t="n">
        <x:v>0.9152236065048731</x:v>
      </x:c>
      <x:c r="V1087" s="45" t="n">
        <x:v>0.9254653950409758</x:v>
      </x:c>
      <x:c r="W1087" s="45" t="n">
        <x:v>0.6770078449891416</x:v>
      </x:c>
      <x:c r="X1087" s="66" t="n">
        <x:v>20184942.58103404</x:v>
      </x:c>
      <x:c r="Y1087" s="66" t="n">
        <x:v>41.5564564335413</x:v>
      </x:c>
      <x:c r="Z1087" s="66" t="n">
        <x:v>780329.2837510887</x:v>
      </x:c>
      <x:c r="AA1087" s="66" t="n">
        <x:v>114937.82896445534</x:v>
      </x:c>
      <x:c r="AB1087" s="66" t="n">
        <x:v>0</x:v>
      </x:c>
      <x:c r="AC1087" s="66" t="n">
        <x:v>6482.3542216692</x:v>
      </x:c>
      <x:c r="AD1087" s="66" t="n">
        <x:v>1388.747445478139</x:v>
      </x:c>
      <x:c r="AE1087" s="66" t="n">
        <x:v>62572.939732678125</x:v>
      </x:c>
      <x:c r="AF1087" s="66" t="n">
        <x:v>121979.43751603056</x:v>
      </x:c>
      <x:c r="AG1087" s="66" t="n">
        <x:v>0</x:v>
      </x:c>
      <x:c r="AH1087" s="36" t="n">
        <x:v>0</x:v>
      </x:c>
    </x:row>
    <x:row r="1088" ht="21.600000381469727" hidden="0" customHeight="1">
      <x:c r="A1088" s="34" t="n">
        <x:v>271</x:v>
      </x:c>
      <x:c r="B1088" s="34" t="str">
        <x:v>H3</x:v>
      </x:c>
      <x:c r="C1088" s="34" t="str">
        <x:v>reference</x:v>
      </x:c>
      <x:c r="D1088" s="74" t="n">
        <x:v>1.0097153817295572</x:v>
      </x:c>
      <x:c r="E1088" s="74" t="n">
        <x:v>-0.022703678277503428</x:v>
      </x:c>
      <x:c r="F1088" s="74" t="n">
        <x:v>0.8699123364775287</x:v>
      </x:c>
      <x:c r="G1088" s="74" t="n">
        <x:v>1.0559000186736969</x:v>
      </x:c>
      <x:c r="H1088" s="74" t="n">
        <x:v>0.8072790574629323</x:v>
      </x:c>
      <x:c r="I1088" s="74" t="n">
        <x:v>0.8620734304974403</x:v>
      </x:c>
      <x:c r="J1088" s="74" t="n">
        <x:v>1.0733140256467397</x:v>
      </x:c>
      <x:c r="K1088" s="74" t="n">
        <x:v>0.814147009355066</x:v>
      </x:c>
      <x:c r="L1088" s="74" t="n">
        <x:v>0.9821525193595103</x:v>
      </x:c>
      <x:c r="M1088" s="74" t="n">
        <x:v>1.0945269462703104</x:v>
      </x:c>
      <x:c r="N1088" s="74" t="n">
        <x:v>0.7739319015362215</x:v>
      </x:c>
      <x:c r="O1088" s="65" t="n">
        <x:v>485723.3824379271</x:v>
      </x:c>
      <x:c r="P1088" s="65" t="n">
        <x:v>334615.9346509503</x:v>
      </x:c>
      <x:c r="Q1088" s="65" t="n">
        <x:v>151107.44778697687</x:v>
      </x:c>
      <x:c r="R1088" s="65" t="n">
        <x:v>79588.23892649685</x:v>
      </x:c>
      <x:c r="S1088" s="65" t="n">
        <x:v>71519.20886048</x:v>
      </x:c>
      <x:c r="T1088" s="65" t="n">
        <x:v>149746.6793108674</x:v>
      </x:c>
      <x:c r="U1088" s="43" t="n">
        <x:v>0.9971984703118892</x:v>
      </x:c>
      <x:c r="V1088" s="43" t="n">
        <x:v>0.9982354689290688</x:v>
      </x:c>
      <x:c r="W1088" s="43" t="n">
        <x:v>0.9719847031188915</x:v>
      </x:c>
      <x:c r="X1088" s="65" t="n">
        <x:v>15143604.857516458</x:v>
      </x:c>
      <x:c r="Y1088" s="65" t="n">
        <x:v>31.177426092827083</x:v>
      </x:c>
      <x:c r="Z1088" s="65" t="n">
        <x:v>950284.1998652982</x:v>
      </x:c>
      <x:c r="AA1088" s="65" t="n">
        <x:v>91048.11932042406</x:v>
      </x:c>
      <x:c r="AB1088" s="65" t="n">
        <x:v>2436.99746368271</x:v>
      </x:c>
      <x:c r="AC1088" s="65" t="n">
        <x:v>0</x:v>
      </x:c>
      <x:c r="AD1088" s="65" t="n">
        <x:v>1360.7684761094688</x:v>
      </x:c>
      <x:c r="AE1088" s="65" t="n">
        <x:v>45440.952851919195</x:v>
      </x:c>
      <x:c r="AF1088" s="65" t="n">
        <x:v>149746.6793108675</x:v>
      </x:c>
      <x:c r="AG1088" s="65" t="n">
        <x:v>0</x:v>
      </x:c>
      <x:c r="AH1088" s="34" t="n">
        <x:v>1</x:v>
      </x:c>
    </x:row>
    <x:row r="1089" ht="21.600000381469727" hidden="0" customHeight="1">
      <x:c r="A1089" s="36" t="n">
        <x:v>272</x:v>
      </x:c>
      <x:c r="B1089" s="36" t="str">
        <x:v>M0</x:v>
      </x:c>
      <x:c r="C1089" s="36" t="str">
        <x:v>fast</x:v>
      </x:c>
      <x:c r="D1089" s="75" t="n">
        <x:v>0.9377036395727356</x:v>
      </x:c>
      <x:c r="E1089" s="75" t="n">
        <x:v>-0.010930792927496644</x:v>
      </x:c>
      <x:c r="F1089" s="75" t="n">
        <x:v>0.9317416349067817</x:v>
      </x:c>
      <x:c r="G1089" s="75" t="n">
        <x:v>0.9577942378549018</x:v>
      </x:c>
      <x:c r="H1089" s="75" t="n">
        <x:v>1.0780392470628304</x:v>
      </x:c>
      <x:c r="I1089" s="75" t="n">
        <x:v>0.8012932671191804</x:v>
      </x:c>
      <x:c r="J1089" s="75" t="n">
        <x:v>0.8327371427786661</x:v>
      </x:c>
      <x:c r="K1089" s="75" t="n">
        <x:v>0.823872745720843</x:v>
      </x:c>
      <x:c r="L1089" s="75" t="n">
        <x:v>0.8838094182264336</x:v>
      </x:c>
      <x:c r="M1089" s="75" t="n">
        <x:v>0.7796584183247447</x:v>
      </x:c>
      <x:c r="N1089" s="75" t="n">
        <x:v>0.9899980464088269</x:v>
      </x:c>
      <x:c r="O1089" s="66" t="n">
        <x:v>451082.14827573654</x:v>
      </x:c>
      <x:c r="P1089" s="66" t="n">
        <x:v>64552.62814359041</x:v>
      </x:c>
      <x:c r="Q1089" s="66" t="n">
        <x:v>386529.52013214614</x:v>
      </x:c>
      <x:c r="R1089" s="66" t="n">
        <x:v>79222.63548616791</x:v>
      </x:c>
      <x:c r="S1089" s="66" t="n">
        <x:v>307306.8846459782</x:v>
      </x:c>
      <x:c r="T1089" s="66" t="n">
        <x:v>272826.34943169076</x:v>
      </x:c>
      <x:c r="U1089" s="45" t="n">
        <x:v>0.7479324528024746</x:v>
      </x:c>
      <x:c r="V1089" s="45" t="n">
        <x:v>0.739845977421123</x:v>
      </x:c>
      <x:c r="W1089" s="45" t="n">
        <x:v>0.14807655316004312</x:v>
      </x:c>
      <x:c r="X1089" s="66" t="n">
        <x:v>48784062.60735386</x:v>
      </x:c>
      <x:c r="Y1089" s="66" t="n">
        <x:v>108.14895422891628</x:v>
      </x:c>
      <x:c r="Z1089" s="66" t="n">
        <x:v>6157971.693211889</x:v>
      </x:c>
      <x:c r="AA1089" s="66" t="n">
        <x:v>260704.63788479002</x:v>
      </x:c>
      <x:c r="AB1089" s="66" t="n">
        <x:v>53975.484802825944</x:v>
      </x:c>
      <x:c r="AC1089" s="66" t="n">
        <x:v>1436.5920521936491</x:v>
      </x:c>
      <x:c r="AD1089" s="66" t="n">
        <x:v>1896.7323342043273</x:v>
      </x:c>
      <x:c r="AE1089" s="66" t="n">
        <x:v>244314.40569511655</x:v>
      </x:c>
      <x:c r="AF1089" s="66" t="n">
        <x:v>272826.34943169076</x:v>
      </x:c>
      <x:c r="AG1089" s="66" t="n">
        <x:v>0</x:v>
      </x:c>
      <x:c r="AH1089" s="36" t="n">
        <x:v>0</x:v>
      </x:c>
    </x:row>
    <x:row r="1090" ht="21.600000381469727" hidden="0" customHeight="1">
      <x:c r="A1090" s="34" t="n">
        <x:v>272</x:v>
      </x:c>
      <x:c r="B1090" s="34" t="str">
        <x:v>B1</x:v>
      </x:c>
      <x:c r="C1090" s="34" t="str">
        <x:v>fast</x:v>
      </x:c>
      <x:c r="D1090" s="74" t="n">
        <x:v>0.9377036395727356</x:v>
      </x:c>
      <x:c r="E1090" s="74" t="n">
        <x:v>-0.010930792927496644</x:v>
      </x:c>
      <x:c r="F1090" s="74" t="n">
        <x:v>0.9317416349067817</x:v>
      </x:c>
      <x:c r="G1090" s="74" t="n">
        <x:v>0.9577942378549018</x:v>
      </x:c>
      <x:c r="H1090" s="74" t="n">
        <x:v>1.0780392470628304</x:v>
      </x:c>
      <x:c r="I1090" s="74" t="n">
        <x:v>0.8012932671191804</x:v>
      </x:c>
      <x:c r="J1090" s="74" t="n">
        <x:v>0.8327371427786661</x:v>
      </x:c>
      <x:c r="K1090" s="74" t="n">
        <x:v>0.823872745720843</x:v>
      </x:c>
      <x:c r="L1090" s="74" t="n">
        <x:v>0.8838094182264336</x:v>
      </x:c>
      <x:c r="M1090" s="74" t="n">
        <x:v>0.7796584183247447</x:v>
      </x:c>
      <x:c r="N1090" s="74" t="n">
        <x:v>0.9899980464088269</x:v>
      </x:c>
      <x:c r="O1090" s="65" t="n">
        <x:v>451082.14827573654</x:v>
      </x:c>
      <x:c r="P1090" s="65" t="n">
        <x:v>218359.3760748666</x:v>
      </x:c>
      <x:c r="Q1090" s="65" t="n">
        <x:v>232722.77220086998</x:v>
      </x:c>
      <x:c r="R1090" s="65" t="n">
        <x:v>79222.63548616791</x:v>
      </x:c>
      <x:c r="S1090" s="65" t="n">
        <x:v>153500.13671470204</x:v>
      </x:c>
      <x:c r="T1090" s="65" t="n">
        <x:v>202789.99830363534</x:v>
      </x:c>
      <x:c r="U1090" s="43" t="n">
        <x:v>0.9336422999410355</x:v>
      </x:c>
      <x:c r="V1090" s="43" t="n">
        <x:v>0.9266324929190614</x:v>
      </x:c>
      <x:c r="W1090" s="43" t="n">
        <x:v>0.5541493669614572</x:v>
      </x:c>
      <x:c r="X1090" s="65" t="n">
        <x:v>28647867.6900379</x:v>
      </x:c>
      <x:c r="Y1090" s="65" t="n">
        <x:v>63.50920292355726</x:v>
      </x:c>
      <x:c r="Z1090" s="65" t="n">
        <x:v>3129250.4356442075</x:v>
      </x:c>
      <x:c r="AA1090" s="65" t="n">
        <x:v>148434.69630205218</x:v>
      </x:c>
      <x:c r="AB1090" s="65" t="n">
        <x:v>20465.94354679079</x:v>
      </x:c>
      <x:c r="AC1090" s="65" t="n">
        <x:v>10491.733972577771</x:v>
      </x:c>
      <x:c r="AD1090" s="65" t="n">
        <x:v>1496.6495451985973</x:v>
      </x:c>
      <x:c r="AE1090" s="65" t="n">
        <x:v>117254.1670939127</x:v>
      </x:c>
      <x:c r="AF1090" s="65" t="n">
        <x:v>202789.9983036354</x:v>
      </x:c>
      <x:c r="AG1090" s="65" t="n">
        <x:v>0</x:v>
      </x:c>
      <x:c r="AH1090" s="34" t="n">
        <x:v>0</x:v>
      </x:c>
    </x:row>
    <x:row r="1091" ht="21.600000381469727" hidden="0" customHeight="1">
      <x:c r="A1091" s="36" t="n">
        <x:v>272</x:v>
      </x:c>
      <x:c r="B1091" s="36" t="str">
        <x:v>P2</x:v>
      </x:c>
      <x:c r="C1091" s="36" t="str">
        <x:v>fast</x:v>
      </x:c>
      <x:c r="D1091" s="75" t="n">
        <x:v>0.9377036395727356</x:v>
      </x:c>
      <x:c r="E1091" s="75" t="n">
        <x:v>-0.010930792927496644</x:v>
      </x:c>
      <x:c r="F1091" s="75" t="n">
        <x:v>0.9317416349067817</x:v>
      </x:c>
      <x:c r="G1091" s="75" t="n">
        <x:v>0.9577942378549018</x:v>
      </x:c>
      <x:c r="H1091" s="75" t="n">
        <x:v>1.0780392470628304</x:v>
      </x:c>
      <x:c r="I1091" s="75" t="n">
        <x:v>0.8012932671191804</x:v>
      </x:c>
      <x:c r="J1091" s="75" t="n">
        <x:v>0.8327371427786661</x:v>
      </x:c>
      <x:c r="K1091" s="75" t="n">
        <x:v>0.823872745720843</x:v>
      </x:c>
      <x:c r="L1091" s="75" t="n">
        <x:v>0.8838094182264336</x:v>
      </x:c>
      <x:c r="M1091" s="75" t="n">
        <x:v>0.7796584183247447</x:v>
      </x:c>
      <x:c r="N1091" s="75" t="n">
        <x:v>0.9899980464088269</x:v>
      </x:c>
      <x:c r="O1091" s="66" t="n">
        <x:v>451082.14827573654</x:v>
      </x:c>
      <x:c r="P1091" s="66" t="n">
        <x:v>316334.7487578499</x:v>
      </x:c>
      <x:c r="Q1091" s="66" t="n">
        <x:v>134747.39951788663</x:v>
      </x:c>
      <x:c r="R1091" s="66" t="n">
        <x:v>79222.63548616791</x:v>
      </x:c>
      <x:c r="S1091" s="66" t="n">
        <x:v>55524.76403171873</x:v>
      </x:c>
      <x:c r="T1091" s="66" t="n">
        <x:v>123580.7205695808</x:v>
      </x:c>
      <x:c r="U1091" s="45" t="n">
        <x:v>0.9752446888200065</x:v>
      </x:c>
      <x:c r="V1091" s="45" t="n">
        <x:v>0.9824338452143592</x:v>
      </x:c>
      <x:c r="W1091" s="45" t="n">
        <x:v>0.8393536315489027</x:v>
      </x:c>
      <x:c r="X1091" s="66" t="n">
        <x:v>14460478.172309617</x:v>
      </x:c>
      <x:c r="Y1091" s="66" t="n">
        <x:v>32.05730536574071</x:v>
      </x:c>
      <x:c r="Z1091" s="66" t="n">
        <x:v>1100842.0162302405</x:v>
      </x:c>
      <x:c r="AA1091" s="66" t="n">
        <x:v>83669.17367834141</x:v>
      </x:c>
      <x:c r="AB1091" s="66" t="n">
        <x:v>736.9875290820473</x:v>
      </x:c>
      <x:c r="AC1091" s="66" t="n">
        <x:v>9919.180870409104</x:v>
      </x:c>
      <x:c r="AD1091" s="66" t="n">
        <x:v>1254.9069978740647</x:v>
      </x:c>
      <x:c r="AE1091" s="66" t="n">
        <x:v>65845.02372507536</x:v>
      </x:c>
      <x:c r="AF1091" s="66" t="n">
        <x:v>123580.72056958078</x:v>
      </x:c>
      <x:c r="AG1091" s="66" t="n">
        <x:v>1.4551915228366852e-11</x:v>
      </x:c>
      <x:c r="AH1091" s="36" t="n">
        <x:v>1</x:v>
      </x:c>
    </x:row>
    <x:row r="1092" ht="21.600000381469727" hidden="0" customHeight="1">
      <x:c r="A1092" s="34" t="n">
        <x:v>272</x:v>
      </x:c>
      <x:c r="B1092" s="34" t="str">
        <x:v>H3</x:v>
      </x:c>
      <x:c r="C1092" s="34" t="str">
        <x:v>fast</x:v>
      </x:c>
      <x:c r="D1092" s="74" t="n">
        <x:v>0.9377036395727356</x:v>
      </x:c>
      <x:c r="E1092" s="74" t="n">
        <x:v>-0.010930792927496644</x:v>
      </x:c>
      <x:c r="F1092" s="74" t="n">
        <x:v>0.9317416349067817</x:v>
      </x:c>
      <x:c r="G1092" s="74" t="n">
        <x:v>0.9577942378549018</x:v>
      </x:c>
      <x:c r="H1092" s="74" t="n">
        <x:v>1.0780392470628304</x:v>
      </x:c>
      <x:c r="I1092" s="74" t="n">
        <x:v>0.8012932671191804</x:v>
      </x:c>
      <x:c r="J1092" s="74" t="n">
        <x:v>0.8327371427786661</x:v>
      </x:c>
      <x:c r="K1092" s="74" t="n">
        <x:v>0.823872745720843</x:v>
      </x:c>
      <x:c r="L1092" s="74" t="n">
        <x:v>0.8838094182264336</x:v>
      </x:c>
      <x:c r="M1092" s="74" t="n">
        <x:v>0.7796584183247447</x:v>
      </x:c>
      <x:c r="N1092" s="74" t="n">
        <x:v>0.9899980464088269</x:v>
      </x:c>
      <x:c r="O1092" s="65" t="n">
        <x:v>451082.14827573654</x:v>
      </x:c>
      <x:c r="P1092" s="65" t="n">
        <x:v>328151.88945097005</x:v>
      </x:c>
      <x:c r="Q1092" s="65" t="n">
        <x:v>122930.25882476653</x:v>
      </x:c>
      <x:c r="R1092" s="65" t="n">
        <x:v>79222.63548616791</x:v>
      </x:c>
      <x:c r="S1092" s="65" t="n">
        <x:v>43707.623338598605</x:v>
      </x:c>
      <x:c r="T1092" s="65" t="n">
        <x:v>121702.48903066253</x:v>
      </x:c>
      <x:c r="U1092" s="43" t="n">
        <x:v>0.9972781680702791</x:v>
      </x:c>
      <x:c r="V1092" s="43" t="n">
        <x:v>0.9982856598993622</x:v>
      </x:c>
      <x:c r="W1092" s="43" t="n">
        <x:v>0.9727816807027909</x:v>
      </x:c>
      <x:c r="X1092" s="65" t="n">
        <x:v>10441363.432071198</x:v>
      </x:c>
      <x:c r="Y1092" s="65" t="n">
        <x:v>23.14736566717028</x:v>
      </x:c>
      <x:c r="Z1092" s="65" t="n">
        <x:v>1287960.156359874</x:v>
      </x:c>
      <x:c r="AA1092" s="65" t="n">
        <x:v>74482.24051171148</x:v>
      </x:c>
      <x:c r="AB1092" s="65" t="n">
        <x:v>14057.533345363956</x:v>
      </x:c>
      <x:c r="AC1092" s="65" t="n">
        <x:v>1866.605217141966</x:v>
      </x:c>
      <x:c r="AD1092" s="65" t="n">
        <x:v>1227.7697941039992</x:v>
      </x:c>
      <x:c r="AE1092" s="65" t="n">
        <x:v>56089.84769882173</x:v>
      </x:c>
      <x:c r="AF1092" s="65" t="n">
        <x:v>121702.48903066246</x:v>
      </x:c>
      <x:c r="AG1092" s="65" t="n">
        <x:v>7.275957614183426e-11</x:v>
      </x:c>
      <x:c r="AH1092" s="34" t="n">
        <x:v>1</x:v>
      </x:c>
    </x:row>
    <x:row r="1093" ht="21.600000381469727" hidden="0" customHeight="1">
      <x:c r="A1093" s="36" t="n">
        <x:v>273</x:v>
      </x:c>
      <x:c r="B1093" s="36" t="str">
        <x:v>M0</x:v>
      </x:c>
      <x:c r="C1093" s="36" t="str">
        <x:v>reference</x:v>
      </x:c>
      <x:c r="D1093" s="75" t="n">
        <x:v>1.0927357705920537</x:v>
      </x:c>
      <x:c r="E1093" s="75" t="n">
        <x:v>-0.006080182151586268</x:v>
      </x:c>
      <x:c r="F1093" s="75" t="n">
        <x:v>0.9807977551135272</x:v>
      </x:c>
      <x:c r="G1093" s="75" t="n">
        <x:v>0.9835543073915212</x:v>
      </x:c>
      <x:c r="H1093" s="75" t="n">
        <x:v>0.9727499548829157</x:v>
      </x:c>
      <x:c r="I1093" s="75" t="n">
        <x:v>0.9729626304993082</x:v>
      </x:c>
      <x:c r="J1093" s="75" t="n">
        <x:v>0.7466154958500816</x:v>
      </x:c>
      <x:c r="K1093" s="75" t="n">
        <x:v>0.9144154792201448</x:v>
      </x:c>
      <x:c r="L1093" s="75" t="n">
        <x:v>0.8565371601746479</x:v>
      </x:c>
      <x:c r="M1093" s="75" t="n">
        <x:v>1.0042319516603508</x:v>
      </x:c>
      <x:c r="N1093" s="75" t="n">
        <x:v>0.9300340784053137</x:v>
      </x:c>
      <x:c r="O1093" s="66" t="n">
        <x:v>525660.3238961534</x:v>
      </x:c>
      <x:c r="P1093" s="66" t="n">
        <x:v>78719.80982704762</x:v>
      </x:c>
      <x:c r="Q1093" s="66" t="n">
        <x:v>446940.51406910573</x:v>
      </x:c>
      <x:c r="R1093" s="66" t="n">
        <x:v>94870.42163049034</x:v>
      </x:c>
      <x:c r="S1093" s="66" t="n">
        <x:v>352070.0924386154</x:v>
      </x:c>
      <x:c r="T1093" s="66" t="n">
        <x:v>272072.1078586516</x:v>
      </x:c>
      <x:c r="U1093" s="45" t="n">
        <x:v>0.6673357332462471</x:v>
      </x:c>
      <x:c r="V1093" s="45" t="n">
        <x:v>0.7002688337949653</x:v>
      </x:c>
      <x:c r="W1093" s="45" t="n">
        <x:v>0.15351885594036754</x:v>
      </x:c>
      <x:c r="X1093" s="66" t="n">
        <x:v>58941279.76306986</x:v>
      </x:c>
      <x:c r="Y1093" s="66" t="n">
        <x:v>112.12807412627548</x:v>
      </x:c>
      <x:c r="Z1093" s="66" t="n">
        <x:v>4779631.035719501</x:v>
      </x:c>
      <x:c r="AA1093" s="66" t="n">
        <x:v>319657.49914622307</x:v>
      </x:c>
      <x:c r="AB1093" s="66" t="n">
        <x:v>38329.45944589822</x:v>
      </x:c>
      <x:c r="AC1093" s="66" t="n">
        <x:v>5950.759471026883</x:v>
      </x:c>
      <x:c r="AD1093" s="66" t="n">
        <x:v>2201.762819079926</x:v>
      </x:c>
      <x:c r="AE1093" s="66" t="n">
        <x:v>191717.16348443256</x:v>
      </x:c>
      <x:c r="AF1093" s="66" t="n">
        <x:v>272072.10785865155</x:v>
      </x:c>
      <x:c r="AG1093" s="66" t="n">
        <x:v>5.820766091346741e-11</x:v>
      </x:c>
      <x:c r="AH1093" s="36" t="n">
        <x:v>0</x:v>
      </x:c>
    </x:row>
    <x:row r="1094" ht="21.600000381469727" hidden="0" customHeight="1">
      <x:c r="A1094" s="34" t="n">
        <x:v>273</x:v>
      </x:c>
      <x:c r="B1094" s="34" t="str">
        <x:v>B1</x:v>
      </x:c>
      <x:c r="C1094" s="34" t="str">
        <x:v>reference</x:v>
      </x:c>
      <x:c r="D1094" s="74" t="n">
        <x:v>1.0927357705920537</x:v>
      </x:c>
      <x:c r="E1094" s="74" t="n">
        <x:v>-0.006080182151586268</x:v>
      </x:c>
      <x:c r="F1094" s="74" t="n">
        <x:v>0.9807977551135272</x:v>
      </x:c>
      <x:c r="G1094" s="74" t="n">
        <x:v>0.9835543073915212</x:v>
      </x:c>
      <x:c r="H1094" s="74" t="n">
        <x:v>0.9727499548829157</x:v>
      </x:c>
      <x:c r="I1094" s="74" t="n">
        <x:v>0.9729626304993082</x:v>
      </x:c>
      <x:c r="J1094" s="74" t="n">
        <x:v>0.7466154958500816</x:v>
      </x:c>
      <x:c r="K1094" s="74" t="n">
        <x:v>0.9144154792201448</x:v>
      </x:c>
      <x:c r="L1094" s="74" t="n">
        <x:v>0.8565371601746479</x:v>
      </x:c>
      <x:c r="M1094" s="74" t="n">
        <x:v>1.0042319516603508</x:v>
      </x:c>
      <x:c r="N1094" s="74" t="n">
        <x:v>0.9300340784053137</x:v>
      </x:c>
      <x:c r="O1094" s="65" t="n">
        <x:v>525660.3238961534</x:v>
      </x:c>
      <x:c r="P1094" s="65" t="n">
        <x:v>266282.25302464084</x:v>
      </x:c>
      <x:c r="Q1094" s="65" t="n">
        <x:v>259378.07087151246</x:v>
      </x:c>
      <x:c r="R1094" s="65" t="n">
        <x:v>94870.42163049034</x:v>
      </x:c>
      <x:c r="S1094" s="65" t="n">
        <x:v>164507.64924102215</x:v>
      </x:c>
      <x:c r="T1094" s="65" t="n">
        <x:v>205508.41392752863</x:v>
      </x:c>
      <x:c r="U1094" s="43" t="n">
        <x:v>0.8975200248238137</x:v>
      </x:c>
      <x:c r="V1094" s="43" t="n">
        <x:v>0.9140736949531784</x:v>
      </x:c>
      <x:c r="W1094" s="43" t="n">
        <x:v>0.5814057722041069</x:v>
      </x:c>
      <x:c r="X1094" s="65" t="n">
        <x:v>33304379.387734808</x:v>
      </x:c>
      <x:c r="Y1094" s="65" t="n">
        <x:v>63.35722494877556</x:v>
      </x:c>
      <x:c r="Z1094" s="65" t="n">
        <x:v>1945686.0133009711</x:v>
      </x:c>
      <x:c r="AA1094" s="65" t="n">
        <x:v>175619.4128713301</x:v>
      </x:c>
      <x:c r="AB1094" s="65" t="n">
        <x:v>3376.690551618574</x:v>
      </x:c>
      <x:c r="AC1094" s="65" t="n">
        <x:v>10279.776199362575</x:v>
      </x:c>
      <x:c r="AD1094" s="65" t="n">
        <x:v>1716.1514264253738</x:v>
      </x:c>
      <x:c r="AE1094" s="65" t="n">
        <x:v>105375.62363478013</x:v>
      </x:c>
      <x:c r="AF1094" s="65" t="n">
        <x:v>205508.41392752883</x:v>
      </x:c>
      <x:c r="AG1094" s="65" t="n">
        <x:v>0</x:v>
      </x:c>
      <x:c r="AH1094" s="34" t="n">
        <x:v>0</x:v>
      </x:c>
    </x:row>
    <x:row r="1095" ht="21.600000381469727" hidden="0" customHeight="1">
      <x:c r="A1095" s="36" t="n">
        <x:v>273</x:v>
      </x:c>
      <x:c r="B1095" s="36" t="str">
        <x:v>P2</x:v>
      </x:c>
      <x:c r="C1095" s="36" t="str">
        <x:v>reference</x:v>
      </x:c>
      <x:c r="D1095" s="75" t="n">
        <x:v>1.0927357705920537</x:v>
      </x:c>
      <x:c r="E1095" s="75" t="n">
        <x:v>-0.006080182151586268</x:v>
      </x:c>
      <x:c r="F1095" s="75" t="n">
        <x:v>0.9807977551135272</x:v>
      </x:c>
      <x:c r="G1095" s="75" t="n">
        <x:v>0.9835543073915212</x:v>
      </x:c>
      <x:c r="H1095" s="75" t="n">
        <x:v>0.9727499548829157</x:v>
      </x:c>
      <x:c r="I1095" s="75" t="n">
        <x:v>0.9729626304993082</x:v>
      </x:c>
      <x:c r="J1095" s="75" t="n">
        <x:v>0.7466154958500816</x:v>
      </x:c>
      <x:c r="K1095" s="75" t="n">
        <x:v>0.9144154792201448</x:v>
      </x:c>
      <x:c r="L1095" s="75" t="n">
        <x:v>0.8565371601746479</x:v>
      </x:c>
      <x:c r="M1095" s="75" t="n">
        <x:v>1.0042319516603508</x:v>
      </x:c>
      <x:c r="N1095" s="75" t="n">
        <x:v>0.9300340784053137</x:v>
      </x:c>
      <x:c r="O1095" s="66" t="n">
        <x:v>525660.3238961534</x:v>
      </x:c>
      <x:c r="P1095" s="66" t="n">
        <x:v>385760.2117269968</x:v>
      </x:c>
      <x:c r="Q1095" s="66" t="n">
        <x:v>139900.11216915655</x:v>
      </x:c>
      <x:c r="R1095" s="66" t="n">
        <x:v>94870.42163049034</x:v>
      </x:c>
      <x:c r="S1095" s="66" t="n">
        <x:v>45029.690538666204</x:v>
      </x:c>
      <x:c r="T1095" s="66" t="n">
        <x:v>129015.22630831008</x:v>
      </x:c>
      <x:c r="U1095" s="45" t="n">
        <x:v>0.9792929285966105</x:v>
      </x:c>
      <x:c r="V1095" s="45" t="n">
        <x:v>0.9826279507456913</x:v>
      </x:c>
      <x:c r="W1095" s="45" t="n">
        <x:v>0.7961507629832426</x:v>
      </x:c>
      <x:c r="X1095" s="66" t="n">
        <x:v>16468545.66436805</x:v>
      </x:c>
      <x:c r="Y1095" s="66" t="n">
        <x:v>31.32925373234273</x:v>
      </x:c>
      <x:c r="Z1095" s="66" t="n">
        <x:v>968461.0106869763</x:v>
      </x:c>
      <x:c r="AA1095" s="66" t="n">
        <x:v>90865.01959772402</x:v>
      </x:c>
      <x:c r="AB1095" s="66" t="n">
        <x:v>0</x:v>
      </x:c>
      <x:c r="AC1095" s="66" t="n">
        <x:v>2601.7776034968683</x:v>
      </x:c>
      <x:c r="AD1095" s="66" t="n">
        <x:v>1422.729818957915</x:v>
      </x:c>
      <x:c r="AE1095" s="66" t="n">
        <x:v>64875.10452220372</x:v>
      </x:c>
      <x:c r="AF1095" s="66" t="n">
        <x:v>129015.22630831007</x:v>
      </x:c>
      <x:c r="AG1095" s="66" t="n">
        <x:v>1.4551915228366852e-11</x:v>
      </x:c>
      <x:c r="AH1095" s="36" t="n">
        <x:v>0</x:v>
      </x:c>
    </x:row>
    <x:row r="1096" ht="21.600000381469727" hidden="0" customHeight="1">
      <x:c r="A1096" s="34" t="n">
        <x:v>273</x:v>
      </x:c>
      <x:c r="B1096" s="34" t="str">
        <x:v>H3</x:v>
      </x:c>
      <x:c r="C1096" s="34" t="str">
        <x:v>reference</x:v>
      </x:c>
      <x:c r="D1096" s="74" t="n">
        <x:v>1.0927357705920537</x:v>
      </x:c>
      <x:c r="E1096" s="74" t="n">
        <x:v>-0.006080182151586268</x:v>
      </x:c>
      <x:c r="F1096" s="74" t="n">
        <x:v>0.9807977551135272</x:v>
      </x:c>
      <x:c r="G1096" s="74" t="n">
        <x:v>0.9835543073915212</x:v>
      </x:c>
      <x:c r="H1096" s="74" t="n">
        <x:v>0.9727499548829157</x:v>
      </x:c>
      <x:c r="I1096" s="74" t="n">
        <x:v>0.9729626304993082</x:v>
      </x:c>
      <x:c r="J1096" s="74" t="n">
        <x:v>0.7466154958500816</x:v>
      </x:c>
      <x:c r="K1096" s="74" t="n">
        <x:v>0.9144154792201448</x:v>
      </x:c>
      <x:c r="L1096" s="74" t="n">
        <x:v>0.8565371601746479</x:v>
      </x:c>
      <x:c r="M1096" s="74" t="n">
        <x:v>1.0042319516603508</x:v>
      </x:c>
      <x:c r="N1096" s="74" t="n">
        <x:v>0.9300340784053137</x:v>
      </x:c>
      <x:c r="O1096" s="65" t="n">
        <x:v>525660.3238961534</x:v>
      </x:c>
      <x:c r="P1096" s="65" t="n">
        <x:v>400170.8679949789</x:v>
      </x:c>
      <x:c r="Q1096" s="65" t="n">
        <x:v>125489.45590117438</x:v>
      </x:c>
      <x:c r="R1096" s="65" t="n">
        <x:v>94870.42163049034</x:v>
      </x:c>
      <x:c r="S1096" s="65" t="n">
        <x:v>30619.034270684067</x:v>
      </x:c>
      <x:c r="T1096" s="65" t="n">
        <x:v>124099.66460313681</x:v>
      </x:c>
      <x:c r="U1096" s="43" t="n">
        <x:v>0.9973561038662064</x:v>
      </x:c>
      <x:c r="V1096" s="43" t="n">
        <x:v>0.9983347412449014</x:v>
      </x:c>
      <x:c r="W1096" s="43" t="n">
        <x:v>0.9735610386620668</x:v>
      </x:c>
      <x:c r="X1096" s="65" t="n">
        <x:v>13272892.571494177</x:v>
      </x:c>
      <x:c r="Y1096" s="65" t="n">
        <x:v>25.249941774407723</x:v>
      </x:c>
      <x:c r="Z1096" s="65" t="n">
        <x:v>908326.3214930672</x:v>
      </x:c>
      <x:c r="AA1096" s="65" t="n">
        <x:v>82332.99137793347</x:v>
      </x:c>
      <x:c r="AB1096" s="65" t="n">
        <x:v>2059.4863319599144</x:v>
      </x:c>
      <x:c r="AC1096" s="65" t="n">
        <x:v>5472.228707945243</x:v>
      </x:c>
      <x:c r="AD1096" s="65" t="n">
        <x:v>1389.7912980375784</x:v>
      </x:c>
      <x:c r="AE1096" s="65" t="n">
        <x:v>43411.34048773651</x:v>
      </x:c>
      <x:c r="AF1096" s="65" t="n">
        <x:v>124099.66460313679</x:v>
      </x:c>
      <x:c r="AG1096" s="65" t="n">
        <x:v>2.9103830456733704e-11</x:v>
      </x:c>
      <x:c r="AH1096" s="34" t="n">
        <x:v>1</x:v>
      </x:c>
    </x:row>
    <x:row r="1097" ht="15" hidden="0" customHeight="1">
      <x:c r="A1097" s="36" t="n">
        <x:v>274</x:v>
      </x:c>
      <x:c r="B1097" s="36" t="str">
        <x:v>M0</x:v>
      </x:c>
      <x:c r="C1097" s="36" t="str">
        <x:v>slow</x:v>
      </x:c>
      <x:c r="D1097" s="75" t="n">
        <x:v>1.151038203462283</x:v>
      </x:c>
      <x:c r="E1097" s="75" t="n">
        <x:v>0.00594741275155837</x:v>
      </x:c>
      <x:c r="F1097" s="75" t="n">
        <x:v>0.7218617640738344</x:v>
      </x:c>
      <x:c r="G1097" s="75" t="n">
        <x:v>1.0276581050346685</x:v>
      </x:c>
      <x:c r="H1097" s="75" t="n">
        <x:v>0.7811798770606417</x:v>
      </x:c>
      <x:c r="I1097" s="75" t="n">
        <x:v>0.8974525420457294</x:v>
      </x:c>
      <x:c r="J1097" s="75" t="n">
        <x:v>0.9871897702508241</x:v>
      </x:c>
      <x:c r="K1097" s="75" t="n">
        <x:v>0.9960833128418569</x:v>
      </x:c>
      <x:c r="L1097" s="75" t="n">
        <x:v>1.0495934188672933</x:v>
      </x:c>
      <x:c r="M1097" s="75" t="n">
        <x:v>0.7531858306094293</x:v>
      </x:c>
      <x:c r="N1097" s="75" t="n">
        <x:v>0.7571831014331346</x:v>
      </x:c>
      <x:c r="O1097" s="66" t="n">
        <x:v>553706.6975678905</x:v>
      </x:c>
      <x:c r="P1097" s="66" t="n">
        <x:v>60132.726551944055</x:v>
      </x:c>
      <x:c r="Q1097" s="66" t="n">
        <x:v>493573.9710159465</x:v>
      </x:c>
      <x:c r="R1097" s="66" t="n">
        <x:v>106591.95079487342</x:v>
      </x:c>
      <x:c r="S1097" s="66" t="n">
        <x:v>386982.02022107306</x:v>
      </x:c>
      <x:c r="T1097" s="66" t="n">
        <x:v>274464.0786502877</x:v>
      </x:c>
      <x:c r="U1097" s="45" t="n">
        <x:v>0.6042852771547097</x:v>
      </x:c>
      <x:c r="V1097" s="45" t="n">
        <x:v>0.5981243218183336</x:v>
      </x:c>
      <x:c r="W1097" s="45" t="n">
        <x:v>0.05712115811764503</x:v>
      </x:c>
      <x:c r="X1097" s="66" t="n">
        <x:v>65661641.42567666</x:v>
      </x:c>
      <x:c r="Y1097" s="66" t="n">
        <x:v>118.58560084985395</x:v>
      </x:c>
      <x:c r="Z1097" s="66" t="n">
        <x:v>2924265.783115624</x:v>
      </x:c>
      <x:c r="AA1097" s="66" t="n">
        <x:v>373080.46587203396</x:v>
      </x:c>
      <x:c r="AB1097" s="66" t="n">
        <x:v>15806.832458180972</x:v>
      </x:c>
      <x:c r="AC1097" s="66" t="n">
        <x:v>0</x:v>
      </x:c>
      <x:c r="AD1097" s="66" t="n">
        <x:v>3097.203390188123</x:v>
      </x:c>
      <x:c r="AE1097" s="66" t="n">
        <x:v>252657.2053290134</x:v>
      </x:c>
      <x:c r="AF1097" s="66" t="n">
        <x:v>274464.0786502876</x:v>
      </x:c>
      <x:c r="AG1097" s="66" t="n">
        <x:v>1.1641532182693481e-10</x:v>
      </x:c>
      <x:c r="AH1097" s="36" t="n">
        <x:v>0</x:v>
      </x:c>
    </x:row>
    <x:row r="1098" ht="15" hidden="0" customHeight="1">
      <x:c r="A1098" s="34" t="n">
        <x:v>274</x:v>
      </x:c>
      <x:c r="B1098" s="34" t="str">
        <x:v>B1</x:v>
      </x:c>
      <x:c r="C1098" s="34" t="str">
        <x:v>slow</x:v>
      </x:c>
      <x:c r="D1098" s="74" t="n">
        <x:v>1.151038203462283</x:v>
      </x:c>
      <x:c r="E1098" s="74" t="n">
        <x:v>0.00594741275155837</x:v>
      </x:c>
      <x:c r="F1098" s="74" t="n">
        <x:v>0.7218617640738344</x:v>
      </x:c>
      <x:c r="G1098" s="74" t="n">
        <x:v>1.0276581050346685</x:v>
      </x:c>
      <x:c r="H1098" s="74" t="n">
        <x:v>0.7811798770606417</x:v>
      </x:c>
      <x:c r="I1098" s="74" t="n">
        <x:v>0.8974525420457294</x:v>
      </x:c>
      <x:c r="J1098" s="74" t="n">
        <x:v>0.9871897702508241</x:v>
      </x:c>
      <x:c r="K1098" s="74" t="n">
        <x:v>0.9960833128418569</x:v>
      </x:c>
      <x:c r="L1098" s="74" t="n">
        <x:v>1.0495934188672933</x:v>
      </x:c>
      <x:c r="M1098" s="74" t="n">
        <x:v>0.7531858306094293</x:v>
      </x:c>
      <x:c r="N1098" s="74" t="n">
        <x:v>0.7571831014331346</x:v>
      </x:c>
      <x:c r="O1098" s="65" t="n">
        <x:v>553706.6975678905</x:v>
      </x:c>
      <x:c r="P1098" s="65" t="n">
        <x:v>203408.81385383435</x:v>
      </x:c>
      <x:c r="Q1098" s="65" t="n">
        <x:v>350297.8837140562</x:v>
      </x:c>
      <x:c r="R1098" s="65" t="n">
        <x:v>106591.95079487342</x:v>
      </x:c>
      <x:c r="S1098" s="65" t="n">
        <x:v>243705.93291918276</x:v>
      </x:c>
      <x:c r="T1098" s="65" t="n">
        <x:v>187648.2412143314</x:v>
      </x:c>
      <x:c r="U1098" s="43" t="n">
        <x:v>0.7062530700564948</x:v>
      </x:c>
      <x:c r="V1098" s="43" t="n">
        <x:v>0.7053010315583498</x:v>
      </x:c>
      <x:c r="W1098" s="43" t="n">
        <x:v>0.19826055038229928</x:v>
      </x:c>
      <x:c r="X1098" s="65" t="n">
        <x:v>48667410.77139531</x:v>
      </x:c>
      <x:c r="Y1098" s="65" t="n">
        <x:v>87.89384521654291</x:v>
      </x:c>
      <x:c r="Z1098" s="65" t="n">
        <x:v>1285335.424323719</x:v>
      </x:c>
      <x:c r="AA1098" s="65" t="n">
        <x:v>272570.4406838955</x:v>
      </x:c>
      <x:c r="AB1098" s="65" t="n">
        <x:v>3980.010946790867</x:v>
      </x:c>
      <x:c r="AC1098" s="65" t="n">
        <x:v>0</x:v>
      </x:c>
      <x:c r="AD1098" s="65" t="n">
        <x:v>2621.4320447789287</x:v>
      </x:c>
      <x:c r="AE1098" s="65" t="n">
        <x:v>122227.62125050862</x:v>
      </x:c>
      <x:c r="AF1098" s="65" t="n">
        <x:v>187648.2412143315</x:v>
      </x:c>
      <x:c r="AG1098" s="65" t="n">
        <x:v>0</x:v>
      </x:c>
      <x:c r="AH1098" s="34" t="n">
        <x:v>0</x:v>
      </x:c>
    </x:row>
    <x:row r="1099" ht="15" hidden="0" customHeight="1">
      <x:c r="A1099" s="36" t="n">
        <x:v>274</x:v>
      </x:c>
      <x:c r="B1099" s="36" t="str">
        <x:v>P2</x:v>
      </x:c>
      <x:c r="C1099" s="36" t="str">
        <x:v>slow</x:v>
      </x:c>
      <x:c r="D1099" s="75" t="n">
        <x:v>1.151038203462283</x:v>
      </x:c>
      <x:c r="E1099" s="75" t="n">
        <x:v>0.00594741275155837</x:v>
      </x:c>
      <x:c r="F1099" s="75" t="n">
        <x:v>0.7218617640738344</x:v>
      </x:c>
      <x:c r="G1099" s="75" t="n">
        <x:v>1.0276581050346685</x:v>
      </x:c>
      <x:c r="H1099" s="75" t="n">
        <x:v>0.7811798770606417</x:v>
      </x:c>
      <x:c r="I1099" s="75" t="n">
        <x:v>0.8974525420457294</x:v>
      </x:c>
      <x:c r="J1099" s="75" t="n">
        <x:v>0.9871897702508241</x:v>
      </x:c>
      <x:c r="K1099" s="75" t="n">
        <x:v>0.9960833128418569</x:v>
      </x:c>
      <x:c r="L1099" s="75" t="n">
        <x:v>1.0495934188672933</x:v>
      </x:c>
      <x:c r="M1099" s="75" t="n">
        <x:v>0.7531858306094293</x:v>
      </x:c>
      <x:c r="N1099" s="75" t="n">
        <x:v>0.7571831014331346</x:v>
      </x:c>
      <x:c r="O1099" s="66" t="n">
        <x:v>553706.6975678905</x:v>
      </x:c>
      <x:c r="P1099" s="66" t="n">
        <x:v>294676.4039363947</x:v>
      </x:c>
      <x:c r="Q1099" s="66" t="n">
        <x:v>259030.2936314958</x:v>
      </x:c>
      <x:c r="R1099" s="66" t="n">
        <x:v>106591.95079487342</x:v>
      </x:c>
      <x:c r="S1099" s="66" t="n">
        <x:v>152438.34283662238</x:v>
      </x:c>
      <x:c r="T1099" s="66" t="n">
        <x:v>121502.42460694136</x:v>
      </x:c>
      <x:c r="U1099" s="45" t="n">
        <x:v>0.7516232517528977</x:v>
      </x:c>
      <x:c r="V1099" s="45" t="n">
        <x:v>0.7522116003848404</x:v>
      </x:c>
      <x:c r="W1099" s="45" t="n">
        <x:v>0.29132949615336834</x:v>
      </x:c>
      <x:c r="X1099" s="66" t="n">
        <x:v>36131605.725505225</x:v>
      </x:c>
      <x:c r="Y1099" s="66" t="n">
        <x:v>65.25405216193018</x:v>
      </x:c>
      <x:c r="Z1099" s="66" t="n">
        <x:v>758034.0370826003</x:v>
      </x:c>
      <x:c r="AA1099" s="66" t="n">
        <x:v>208252.82426026714</x:v>
      </x:c>
      <x:c r="AB1099" s="66" t="n">
        <x:v>0</x:v>
      </x:c>
      <x:c r="AC1099" s="66" t="n">
        <x:v>0</x:v>
      </x:c>
      <x:c r="AD1099" s="66" t="n">
        <x:v>2332.7857747473945</x:v>
      </x:c>
      <x:c r="AE1099" s="66" t="n">
        <x:v>62442.14269515683</x:v>
      </x:c>
      <x:c r="AF1099" s="66" t="n">
        <x:v>121502.42460694144</x:v>
      </x:c>
      <x:c r="AG1099" s="66" t="n">
        <x:v>0</x:v>
      </x:c>
      <x:c r="AH1099" s="36" t="n">
        <x:v>0</x:v>
      </x:c>
    </x:row>
    <x:row r="1100" ht="15" hidden="0" customHeight="1">
      <x:c r="A1100" s="34" t="n">
        <x:v>274</x:v>
      </x:c>
      <x:c r="B1100" s="34" t="str">
        <x:v>H3</x:v>
      </x:c>
      <x:c r="C1100" s="34" t="str">
        <x:v>slow</x:v>
      </x:c>
      <x:c r="D1100" s="74" t="n">
        <x:v>1.151038203462283</x:v>
      </x:c>
      <x:c r="E1100" s="74" t="n">
        <x:v>0.00594741275155837</x:v>
      </x:c>
      <x:c r="F1100" s="74" t="n">
        <x:v>0.7218617640738344</x:v>
      </x:c>
      <x:c r="G1100" s="74" t="n">
        <x:v>1.0276581050346685</x:v>
      </x:c>
      <x:c r="H1100" s="74" t="n">
        <x:v>0.7811798770606417</x:v>
      </x:c>
      <x:c r="I1100" s="74" t="n">
        <x:v>0.8974525420457294</x:v>
      </x:c>
      <x:c r="J1100" s="74" t="n">
        <x:v>0.9871897702508241</x:v>
      </x:c>
      <x:c r="K1100" s="74" t="n">
        <x:v>0.9960833128418569</x:v>
      </x:c>
      <x:c r="L1100" s="74" t="n">
        <x:v>1.0495934188672933</x:v>
      </x:c>
      <x:c r="M1100" s="74" t="n">
        <x:v>0.7531858306094293</x:v>
      </x:c>
      <x:c r="N1100" s="74" t="n">
        <x:v>0.7571831014331346</x:v>
      </x:c>
      <x:c r="O1100" s="65" t="n">
        <x:v>553706.6975678905</x:v>
      </x:c>
      <x:c r="P1100" s="65" t="n">
        <x:v>305684.5395572211</x:v>
      </x:c>
      <x:c r="Q1100" s="65" t="n">
        <x:v>248022.15801066943</x:v>
      </x:c>
      <x:c r="R1100" s="65" t="n">
        <x:v>106591.95079487342</x:v>
      </x:c>
      <x:c r="S1100" s="65" t="n">
        <x:v>141430.207215796</x:v>
      </x:c>
      <x:c r="T1100" s="65" t="n">
        <x:v>141199.9343605261</x:v>
      </x:c>
      <x:c r="U1100" s="43" t="n">
        <x:v>0.8070779636234294</x:v>
      </x:c>
      <x:c r="V1100" s="43" t="n">
        <x:v>0.8000266935039193</x:v>
      </x:c>
      <x:c r="W1100" s="43" t="n">
        <x:v>0.3030421612756186</x:v>
      </x:c>
      <x:c r="X1100" s="65" t="n">
        <x:v>29643314.546036255</x:v>
      </x:c>
      <x:c r="Y1100" s="65" t="n">
        <x:v>53.53613145053507</x:v>
      </x:c>
      <x:c r="Z1100" s="65" t="n">
        <x:v>916491.1822270851</x:v>
      </x:c>
      <x:c r="AA1100" s="65" t="n">
        <x:v>175912.42703687877</x:v>
      </x:c>
      <x:c r="AB1100" s="65" t="n">
        <x:v>1722.8492414137213</x:v>
      </x:c>
      <x:c r="AC1100" s="65" t="n">
        <x:v>0</x:v>
      </x:c>
      <x:c r="AD1100" s="65" t="n">
        <x:v>2300.1932153375365</x:v>
      </x:c>
      <x:c r="AE1100" s="65" t="n">
        <x:v>43069.004414791896</x:v>
      </x:c>
      <x:c r="AF1100" s="65" t="n">
        <x:v>141199.934360526</x:v>
      </x:c>
      <x:c r="AG1100" s="65" t="n">
        <x:v>8.731149137020111e-11</x:v>
      </x:c>
      <x:c r="AH1100" s="34" t="n">
        <x:v>0</x:v>
      </x:c>
    </x:row>
    <x:row r="1101" ht="15" hidden="0" customHeight="1">
      <x:c r="A1101" s="36" t="n">
        <x:v>275</x:v>
      </x:c>
      <x:c r="B1101" s="36" t="str">
        <x:v>M0</x:v>
      </x:c>
      <x:c r="C1101" s="36" t="str">
        <x:v>slow</x:v>
      </x:c>
      <x:c r="D1101" s="75" t="n">
        <x:v>1.0077796171528832</x:v>
      </x:c>
      <x:c r="E1101" s="75" t="n">
        <x:v>0.05649597420044302</x:v>
      </x:c>
      <x:c r="F1101" s="75" t="n">
        <x:v>1.003434202576604</x:v>
      </x:c>
      <x:c r="G1101" s="75" t="n">
        <x:v>1.1774509530634958</x:v>
      </x:c>
      <x:c r="H1101" s="75" t="n">
        <x:v>0.945283894824828</x:v>
      </x:c>
      <x:c r="I1101" s="75" t="n">
        <x:v>1.0147102263521954</x:v>
      </x:c>
      <x:c r="J1101" s="75" t="n">
        <x:v>0.8743390042793882</x:v>
      </x:c>
      <x:c r="K1101" s="75" t="n">
        <x:v>0.910627120778328</x:v>
      </x:c>
      <x:c r="L1101" s="75" t="n">
        <x:v>0.8212871907680606</x:v>
      </x:c>
      <x:c r="M1101" s="75" t="n">
        <x:v>0.9120150949558946</x:v>
      </x:c>
      <x:c r="N1101" s="75" t="n">
        <x:v>0.7678980652717302</x:v>
      </x:c>
      <x:c r="O1101" s="66" t="n">
        <x:v>484792.183275471</x:v>
      </x:c>
      <x:c r="P1101" s="66" t="n">
        <x:v>68602.73346977784</x:v>
      </x:c>
      <x:c r="Q1101" s="66" t="n">
        <x:v>416189.44980569324</x:v>
      </x:c>
      <x:c r="R1101" s="66" t="n">
        <x:v>117831.02966180591</x:v>
      </x:c>
      <x:c r="S1101" s="66" t="n">
        <x:v>298358.4201438873</x:v>
      </x:c>
      <x:c r="T1101" s="66" t="n">
        <x:v>265321.70228149486</x:v>
      </x:c>
      <x:c r="U1101" s="45" t="n">
        <x:v>0.6887991334660784</x:v>
      </x:c>
      <x:c r="V1101" s="45" t="n">
        <x:v>0.6731509981946237</x:v>
      </x:c>
      <x:c r="W1101" s="45" t="n">
        <x:v>0.07036337149293417</x:v>
      </x:c>
      <x:c r="X1101" s="66" t="n">
        <x:v>52074511.35275105</x:v>
      </x:c>
      <x:c r="Y1101" s="66" t="n">
        <x:v>107.41615304296484</x:v>
      </x:c>
      <x:c r="Z1101" s="66" t="n">
        <x:v>2368735.8743950794</x:v>
      </x:c>
      <x:c r="AA1101" s="66" t="n">
        <x:v>290242.9873925465</x:v>
      </x:c>
      <x:c r="AB1101" s="66" t="n">
        <x:v>12379.675119257921</x:v>
      </x:c>
      <x:c r="AC1101" s="66" t="n">
        <x:v>0</x:v>
      </x:c>
      <x:c r="AD1101" s="66" t="n">
        <x:v>2669.2370072760373</x:v>
      </x:c>
      <x:c r="AE1101" s="66" t="n">
        <x:v>221090.7737218432</x:v>
      </x:c>
      <x:c r="AF1101" s="66" t="n">
        <x:v>265321.7022814948</x:v>
      </x:c>
      <x:c r="AG1101" s="66" t="n">
        <x:v>5.820766091346741e-11</x:v>
      </x:c>
      <x:c r="AH1101" s="36" t="n">
        <x:v>0</x:v>
      </x:c>
    </x:row>
    <x:row r="1102" ht="15" hidden="0" customHeight="1">
      <x:c r="A1102" s="34" t="n">
        <x:v>275</x:v>
      </x:c>
      <x:c r="B1102" s="34" t="str">
        <x:v>B1</x:v>
      </x:c>
      <x:c r="C1102" s="34" t="str">
        <x:v>slow</x:v>
      </x:c>
      <x:c r="D1102" s="74" t="n">
        <x:v>1.0077796171528832</x:v>
      </x:c>
      <x:c r="E1102" s="74" t="n">
        <x:v>0.05649597420044302</x:v>
      </x:c>
      <x:c r="F1102" s="74" t="n">
        <x:v>1.003434202576604</x:v>
      </x:c>
      <x:c r="G1102" s="74" t="n">
        <x:v>1.1774509530634958</x:v>
      </x:c>
      <x:c r="H1102" s="74" t="n">
        <x:v>0.945283894824828</x:v>
      </x:c>
      <x:c r="I1102" s="74" t="n">
        <x:v>1.0147102263521954</x:v>
      </x:c>
      <x:c r="J1102" s="74" t="n">
        <x:v>0.8743390042793882</x:v>
      </x:c>
      <x:c r="K1102" s="74" t="n">
        <x:v>0.910627120778328</x:v>
      </x:c>
      <x:c r="L1102" s="74" t="n">
        <x:v>0.8212871907680606</x:v>
      </x:c>
      <x:c r="M1102" s="74" t="n">
        <x:v>0.9120150949558946</x:v>
      </x:c>
      <x:c r="N1102" s="74" t="n">
        <x:v>0.7678980652717302</x:v>
      </x:c>
      <x:c r="O1102" s="65" t="n">
        <x:v>484792.183275471</x:v>
      </x:c>
      <x:c r="P1102" s="65" t="n">
        <x:v>232061.66621156645</x:v>
      </x:c>
      <x:c r="Q1102" s="65" t="n">
        <x:v>252730.51706390455</x:v>
      </x:c>
      <x:c r="R1102" s="65" t="n">
        <x:v>117831.02966180591</x:v>
      </x:c>
      <x:c r="S1102" s="65" t="n">
        <x:v>134899.48740209866</x:v>
      </x:c>
      <x:c r="T1102" s="65" t="n">
        <x:v>147748.62589410885</x:v>
      </x:c>
      <x:c r="U1102" s="43" t="n">
        <x:v>0.7834497032099581</x:v>
      </x:c>
      <x:c r="V1102" s="43" t="n">
        <x:v>0.7741752431225806</x:v>
      </x:c>
      <x:c r="W1102" s="43" t="n">
        <x:v>0.24422265266771617</x:v>
      </x:c>
      <x:c r="X1102" s="65" t="n">
        <x:v>32775905.18364194</x:v>
      </x:c>
      <x:c r="Y1102" s="65" t="n">
        <x:v>67.60815523508113</x:v>
      </x:c>
      <x:c r="Z1102" s="65" t="n">
        <x:v>962856.2898801964</x:v>
      </x:c>
      <x:c r="AA1102" s="65" t="n">
        <x:v>169400.56903072284</x:v>
      </x:c>
      <x:c r="AB1102" s="65" t="n">
        <x:v>1834.0823778931406</x:v>
      </x:c>
      <x:c r="AC1102" s="65" t="n">
        <x:v>790.9734372023631</x:v>
      </x:c>
      <x:c r="AD1102" s="65" t="n">
        <x:v>2156.1113265940885</x:v>
      </x:c>
      <x:c r="AE1102" s="65" t="n">
        <x:v>81402.23305463142</x:v>
      </x:c>
      <x:c r="AF1102" s="65" t="n">
        <x:v>147748.62589410867</x:v>
      </x:c>
      <x:c r="AG1102" s="65" t="n">
        <x:v>1.7462298274040222e-10</x:v>
      </x:c>
      <x:c r="AH1102" s="34" t="n">
        <x:v>0</x:v>
      </x:c>
    </x:row>
    <x:row r="1103" ht="15" hidden="0" customHeight="1">
      <x:c r="A1103" s="36" t="n">
        <x:v>275</x:v>
      </x:c>
      <x:c r="B1103" s="36" t="str">
        <x:v>P2</x:v>
      </x:c>
      <x:c r="C1103" s="36" t="str">
        <x:v>slow</x:v>
      </x:c>
      <x:c r="D1103" s="75" t="n">
        <x:v>1.0077796171528832</x:v>
      </x:c>
      <x:c r="E1103" s="75" t="n">
        <x:v>0.05649597420044302</x:v>
      </x:c>
      <x:c r="F1103" s="75" t="n">
        <x:v>1.003434202576604</x:v>
      </x:c>
      <x:c r="G1103" s="75" t="n">
        <x:v>1.1774509530634958</x:v>
      </x:c>
      <x:c r="H1103" s="75" t="n">
        <x:v>0.945283894824828</x:v>
      </x:c>
      <x:c r="I1103" s="75" t="n">
        <x:v>1.0147102263521954</x:v>
      </x:c>
      <x:c r="J1103" s="75" t="n">
        <x:v>0.8743390042793882</x:v>
      </x:c>
      <x:c r="K1103" s="75" t="n">
        <x:v>0.910627120778328</x:v>
      </x:c>
      <x:c r="L1103" s="75" t="n">
        <x:v>0.8212871907680606</x:v>
      </x:c>
      <x:c r="M1103" s="75" t="n">
        <x:v>0.9120150949558946</x:v>
      </x:c>
      <x:c r="N1103" s="75" t="n">
        <x:v>0.7678980652717302</x:v>
      </x:c>
      <x:c r="O1103" s="66" t="n">
        <x:v>484792.183275471</x:v>
      </x:c>
      <x:c r="P1103" s="66" t="n">
        <x:v>336186.87510560674</x:v>
      </x:c>
      <x:c r="Q1103" s="66" t="n">
        <x:v>148605.3081698643</x:v>
      </x:c>
      <x:c r="R1103" s="66" t="n">
        <x:v>117831.02966180591</x:v>
      </x:c>
      <x:c r="S1103" s="66" t="n">
        <x:v>30774.27850805838</x:v>
      </x:c>
      <x:c r="T1103" s="66" t="n">
        <x:v>73879.83753022141</x:v>
      </x:c>
      <x:c r="U1103" s="45" t="n">
        <x:v>0.8458608178565001</x:v>
      </x:c>
      <x:c r="V1103" s="45" t="n">
        <x:v>0.8408131419070555</x:v>
      </x:c>
      <x:c r="W1103" s="45" t="n">
        <x:v>0.35886747118239115</x:v>
      </x:c>
      <x:c r="X1103" s="66" t="n">
        <x:v>19735584.956814032</x:v>
      </x:c>
      <x:c r="Y1103" s="66" t="n">
        <x:v>40.70937122680417</x:v>
      </x:c>
      <x:c r="Z1103" s="66" t="n">
        <x:v>472048.74915706116</x:v>
      </x:c>
      <x:c r="AA1103" s="66" t="n">
        <x:v>103813.84903880123</x:v>
      </x:c>
      <x:c r="AB1103" s="66" t="n">
        <x:v>0</x:v>
      </x:c>
      <x:c r="AC1103" s="66" t="n">
        <x:v>0</x:v>
      </x:c>
      <x:c r="AD1103" s="66" t="n">
        <x:v>1844.8025115185392</x:v>
      </x:c>
      <x:c r="AE1103" s="66" t="n">
        <x:v>13983.788439026488</x:v>
      </x:c>
      <x:c r="AF1103" s="66" t="n">
        <x:v>73879.8375302214</x:v>
      </x:c>
      <x:c r="AG1103" s="66" t="n">
        <x:v>1.4551915228366852e-11</x:v>
      </x:c>
      <x:c r="AH1103" s="36" t="n">
        <x:v>0</x:v>
      </x:c>
    </x:row>
    <x:row r="1104" ht="15" hidden="0" customHeight="1">
      <x:c r="A1104" s="34" t="n">
        <x:v>275</x:v>
      </x:c>
      <x:c r="B1104" s="34" t="str">
        <x:v>H3</x:v>
      </x:c>
      <x:c r="C1104" s="34" t="str">
        <x:v>slow</x:v>
      </x:c>
      <x:c r="D1104" s="74" t="n">
        <x:v>1.0077796171528832</x:v>
      </x:c>
      <x:c r="E1104" s="74" t="n">
        <x:v>0.05649597420044302</x:v>
      </x:c>
      <x:c r="F1104" s="74" t="n">
        <x:v>1.003434202576604</x:v>
      </x:c>
      <x:c r="G1104" s="74" t="n">
        <x:v>1.1774509530634958</x:v>
      </x:c>
      <x:c r="H1104" s="74" t="n">
        <x:v>0.945283894824828</x:v>
      </x:c>
      <x:c r="I1104" s="74" t="n">
        <x:v>1.0147102263521954</x:v>
      </x:c>
      <x:c r="J1104" s="74" t="n">
        <x:v>0.8743390042793882</x:v>
      </x:c>
      <x:c r="K1104" s="74" t="n">
        <x:v>0.910627120778328</x:v>
      </x:c>
      <x:c r="L1104" s="74" t="n">
        <x:v>0.8212871907680606</x:v>
      </x:c>
      <x:c r="M1104" s="74" t="n">
        <x:v>0.9120150949558946</x:v>
      </x:c>
      <x:c r="N1104" s="74" t="n">
        <x:v>0.7678980652717302</x:v>
      </x:c>
      <x:c r="O1104" s="65" t="n">
        <x:v>484792.183275471</x:v>
      </x:c>
      <x:c r="P1104" s="65" t="n">
        <x:v>348745.9785944361</x:v>
      </x:c>
      <x:c r="Q1104" s="65" t="n">
        <x:v>136046.20468103501</x:v>
      </x:c>
      <x:c r="R1104" s="65" t="n">
        <x:v>117831.02966180591</x:v>
      </x:c>
      <x:c r="S1104" s="65" t="n">
        <x:v>18215.175019229097</x:v>
      </x:c>
      <x:c r="T1104" s="65" t="n">
        <x:v>64975.15758466883</x:v>
      </x:c>
      <x:c r="U1104" s="43" t="n">
        <x:v>0.8533989417564892</x:v>
      </x:c>
      <x:c r="V1104" s="43" t="n">
        <x:v>0.8490149319847142</x:v>
      </x:c>
      <x:c r="W1104" s="43" t="n">
        <x:v>0.3732954455850085</x:v>
      </x:c>
      <x:c r="X1104" s="65" t="n">
        <x:v>17409134.875589628</x:v>
      </x:c>
      <x:c r="Y1104" s="65" t="n">
        <x:v>35.9105106810217</x:v>
      </x:c>
      <x:c r="Z1104" s="65" t="n">
        <x:v>448247.2769022123</x:v>
      </x:c>
      <x:c r="AA1104" s="65" t="n">
        <x:v>97144.21156904301</x:v>
      </x:c>
      <x:c r="AB1104" s="65" t="n">
        <x:v>1127.9831286848453</x:v>
      </x:c>
      <x:c r="AC1104" s="65" t="n">
        <x:v>0</x:v>
      </x:c>
      <x:c r="AD1104" s="65" t="n">
        <x:v>1809.6510056665702</x:v>
      </x:c>
      <x:c r="AE1104" s="65" t="n">
        <x:v>13000.31140286661</x:v>
      </x:c>
      <x:c r="AF1104" s="65" t="n">
        <x:v>64975.15758466883</x:v>
      </x:c>
      <x:c r="AG1104" s="65" t="n">
        <x:v>0</x:v>
      </x:c>
      <x:c r="AH1104" s="34" t="n">
        <x:v>0</x:v>
      </x:c>
    </x:row>
    <x:row r="1105" ht="15" hidden="0" customHeight="1">
      <x:c r="A1105" s="36" t="n">
        <x:v>276</x:v>
      </x:c>
      <x:c r="B1105" s="36" t="str">
        <x:v>M0</x:v>
      </x:c>
      <x:c r="C1105" s="36" t="str">
        <x:v>reference</x:v>
      </x:c>
      <x:c r="D1105" s="75" t="n">
        <x:v>1.0033547272458696</x:v>
      </x:c>
      <x:c r="E1105" s="75" t="n">
        <x:v>0.050643928968450845</x:v>
      </x:c>
      <x:c r="F1105" s="75" t="n">
        <x:v>0.7653343624138728</x:v>
      </x:c>
      <x:c r="G1105" s="75" t="n">
        <x:v>1.0398674184324623</x:v>
      </x:c>
      <x:c r="H1105" s="75" t="n">
        <x:v>0.8705033925525045</x:v>
      </x:c>
      <x:c r="I1105" s="75" t="n">
        <x:v>0.9853398945888108</x:v>
      </x:c>
      <x:c r="J1105" s="75" t="n">
        <x:v>0.9717017049573735</x:v>
      </x:c>
      <x:c r="K1105" s="75" t="n">
        <x:v>0.7944453066143427</x:v>
      </x:c>
      <x:c r="L1105" s="75" t="n">
        <x:v>0.8977220706043617</x:v>
      </x:c>
      <x:c r="M1105" s="75" t="n">
        <x:v>1.0263062663655185</x:v>
      </x:c>
      <x:c r="N1105" s="75" t="n">
        <x:v>0.8093242556998143</x:v>
      </x:c>
      <x:c r="O1105" s="66" t="n">
        <x:v>482663.5908706801</x:v>
      </x:c>
      <x:c r="P1105" s="66" t="n">
        <x:v>52497.42559258161</x:v>
      </x:c>
      <x:c r="Q1105" s="66" t="n">
        <x:v>430166.1652780985</x:v>
      </x:c>
      <x:c r="R1105" s="66" t="n">
        <x:v>114489.09605955693</x:v>
      </x:c>
      <x:c r="S1105" s="66" t="n">
        <x:v>315677.0692185416</x:v>
      </x:c>
      <x:c r="T1105" s="66" t="n">
        <x:v>282912.2793802315</x:v>
      </x:c>
      <x:c r="U1105" s="45" t="n">
        <x:v>0.6949140380938312</x:v>
      </x:c>
      <x:c r="V1105" s="45" t="n">
        <x:v>0.7240411465564135</x:v>
      </x:c>
      <x:c r="W1105" s="45" t="n">
        <x:v>0.11411022478431924</x:v>
      </x:c>
      <x:c r="X1105" s="66" t="n">
        <x:v>54476434.361485705</x:v>
      </x:c>
      <x:c r="Y1105" s="66" t="n">
        <x:v>112.86626004504565</x:v>
      </x:c>
      <x:c r="Z1105" s="66" t="n">
        <x:v>4421897.450458489</x:v>
      </x:c>
      <x:c r="AA1105" s="66" t="n">
        <x:v>301934.7415550926</x:v>
      </x:c>
      <x:c r="AB1105" s="66" t="n">
        <x:v>31505.724910109217</x:v>
      </x:c>
      <x:c r="AC1105" s="66" t="n">
        <x:v>0</x:v>
      </x:c>
      <x:c r="AD1105" s="66" t="n">
        <x:v>2084.036541369507</x:v>
      </x:c>
      <x:c r="AE1105" s="66" t="n">
        <x:v>212986.6636877676</x:v>
      </x:c>
      <x:c r="AF1105" s="66" t="n">
        <x:v>282912.2793802315</x:v>
      </x:c>
      <x:c r="AG1105" s="66" t="n">
        <x:v>0</x:v>
      </x:c>
      <x:c r="AH1105" s="36" t="n">
        <x:v>0</x:v>
      </x:c>
    </x:row>
    <x:row r="1106" ht="15" hidden="0" customHeight="1">
      <x:c r="A1106" s="34" t="n">
        <x:v>276</x:v>
      </x:c>
      <x:c r="B1106" s="34" t="str">
        <x:v>B1</x:v>
      </x:c>
      <x:c r="C1106" s="34" t="str">
        <x:v>reference</x:v>
      </x:c>
      <x:c r="D1106" s="74" t="n">
        <x:v>1.0033547272458696</x:v>
      </x:c>
      <x:c r="E1106" s="74" t="n">
        <x:v>0.050643928968450845</x:v>
      </x:c>
      <x:c r="F1106" s="74" t="n">
        <x:v>0.7653343624138728</x:v>
      </x:c>
      <x:c r="G1106" s="74" t="n">
        <x:v>1.0398674184324623</x:v>
      </x:c>
      <x:c r="H1106" s="74" t="n">
        <x:v>0.8705033925525045</x:v>
      </x:c>
      <x:c r="I1106" s="74" t="n">
        <x:v>0.9853398945888108</x:v>
      </x:c>
      <x:c r="J1106" s="74" t="n">
        <x:v>0.9717017049573735</x:v>
      </x:c>
      <x:c r="K1106" s="74" t="n">
        <x:v>0.7944453066143427</x:v>
      </x:c>
      <x:c r="L1106" s="74" t="n">
        <x:v>0.8977220706043617</x:v>
      </x:c>
      <x:c r="M1106" s="74" t="n">
        <x:v>1.0263062663655185</x:v>
      </x:c>
      <x:c r="N1106" s="74" t="n">
        <x:v>0.8093242556998143</x:v>
      </x:c>
      <x:c r="O1106" s="65" t="n">
        <x:v>482663.5908706801</x:v>
      </x:c>
      <x:c r="P1106" s="65" t="n">
        <x:v>177582.2730549281</x:v>
      </x:c>
      <x:c r="Q1106" s="65" t="n">
        <x:v>305081.317815752</x:v>
      </x:c>
      <x:c r="R1106" s="65" t="n">
        <x:v>114489.09605955693</x:v>
      </x:c>
      <x:c r="S1106" s="65" t="n">
        <x:v>190592.22175619507</x:v>
      </x:c>
      <x:c r="T1106" s="65" t="n">
        <x:v>198422.0675637886</x:v>
      </x:c>
      <x:c r="U1106" s="43" t="n">
        <x:v>0.7790194821623896</x:v>
      </x:c>
      <x:c r="V1106" s="43" t="n">
        <x:v>0.8138960910194563</x:v>
      </x:c>
      <x:c r="W1106" s="43" t="n">
        <x:v>0.39507958032884644</x:v>
      </x:c>
      <x:c r="X1106" s="65" t="n">
        <x:v>39438163.95562524</x:v>
      </x:c>
      <x:c r="Y1106" s="65" t="n">
        <x:v>81.70942391673354</x:v>
      </x:c>
      <x:c r="Z1106" s="65" t="n">
        <x:v>1520447.9374011357</x:v>
      </x:c>
      <x:c r="AA1106" s="65" t="n">
        <x:v>220240.7050109285</x:v>
      </x:c>
      <x:c r="AB1106" s="65" t="n">
        <x:v>4120.49908320205</x:v>
      </x:c>
      <x:c r="AC1106" s="65" t="n">
        <x:v>15631.141516510404</x:v>
      </x:c>
      <x:c r="AD1106" s="65" t="n">
        <x:v>1779.3740090601607</x:v>
      </x:c>
      <x:c r="AE1106" s="65" t="n">
        <x:v>111075.19434908632</x:v>
      </x:c>
      <x:c r="AF1106" s="65" t="n">
        <x:v>198422.06756378853</x:v>
      </x:c>
      <x:c r="AG1106" s="65" t="n">
        <x:v>5.820766091346741e-11</x:v>
      </x:c>
      <x:c r="AH1106" s="34" t="n">
        <x:v>0</x:v>
      </x:c>
    </x:row>
    <x:row r="1107" ht="15" hidden="0" customHeight="1">
      <x:c r="A1107" s="36" t="n">
        <x:v>276</x:v>
      </x:c>
      <x:c r="B1107" s="36" t="str">
        <x:v>P2</x:v>
      </x:c>
      <x:c r="C1107" s="36" t="str">
        <x:v>reference</x:v>
      </x:c>
      <x:c r="D1107" s="75" t="n">
        <x:v>1.0033547272458696</x:v>
      </x:c>
      <x:c r="E1107" s="75" t="n">
        <x:v>0.050643928968450845</x:v>
      </x:c>
      <x:c r="F1107" s="75" t="n">
        <x:v>0.7653343624138728</x:v>
      </x:c>
      <x:c r="G1107" s="75" t="n">
        <x:v>1.0398674184324623</x:v>
      </x:c>
      <x:c r="H1107" s="75" t="n">
        <x:v>0.8705033925525045</x:v>
      </x:c>
      <x:c r="I1107" s="75" t="n">
        <x:v>0.9853398945888108</x:v>
      </x:c>
      <x:c r="J1107" s="75" t="n">
        <x:v>0.9717017049573735</x:v>
      </x:c>
      <x:c r="K1107" s="75" t="n">
        <x:v>0.7944453066143427</x:v>
      </x:c>
      <x:c r="L1107" s="75" t="n">
        <x:v>0.8977220706043617</x:v>
      </x:c>
      <x:c r="M1107" s="75" t="n">
        <x:v>1.0263062663655185</x:v>
      </x:c>
      <x:c r="N1107" s="75" t="n">
        <x:v>0.8093242556998143</x:v>
      </x:c>
      <x:c r="O1107" s="66" t="n">
        <x:v>482663.5908706801</x:v>
      </x:c>
      <x:c r="P1107" s="66" t="n">
        <x:v>257262.65295963504</x:v>
      </x:c>
      <x:c r="Q1107" s="66" t="n">
        <x:v>225400.93791104504</x:v>
      </x:c>
      <x:c r="R1107" s="66" t="n">
        <x:v>114489.09605955693</x:v>
      </x:c>
      <x:c r="S1107" s="66" t="n">
        <x:v>110911.8418514881</x:v>
      </x:c>
      <x:c r="T1107" s="66" t="n">
        <x:v>119166.50596009013</x:v>
      </x:c>
      <x:c r="U1107" s="45" t="n">
        <x:v>0.7798996361848677</x:v>
      </x:c>
      <x:c r="V1107" s="45" t="n">
        <x:v>0.8181219262761089</x:v>
      </x:c>
      <x:c r="W1107" s="45" t="n">
        <x:v>0.3986659983412947</x:v>
      </x:c>
      <x:c r="X1107" s="66" t="n">
        <x:v>29507990.36614397</x:v>
      </x:c>
      <x:c r="Y1107" s="66" t="n">
        <x:v>61.135728744143115</x:v>
      </x:c>
      <x:c r="Z1107" s="66" t="n">
        <x:v>1009434.5634217381</x:v>
      </x:c>
      <x:c r="AA1107" s="66" t="n">
        <x:v>170536.7335885857</x:v>
      </x:c>
      <x:c r="AB1107" s="66" t="n">
        <x:v>0</x:v>
      </x:c>
      <x:c r="AC1107" s="66" t="n">
        <x:v>20718.184612321824</x:v>
      </x:c>
      <x:c r="AD1107" s="66" t="n">
        <x:v>1595.287368348032</x:v>
      </x:c>
      <x:c r="AE1107" s="66" t="n">
        <x:v>55390.875878824765</x:v>
      </x:c>
      <x:c r="AF1107" s="66" t="n">
        <x:v>119166.50596009006</x:v>
      </x:c>
      <x:c r="AG1107" s="66" t="n">
        <x:v>7.275957614183426e-11</x:v>
      </x:c>
      <x:c r="AH1107" s="36" t="n">
        <x:v>0</x:v>
      </x:c>
    </x:row>
    <x:row r="1108" ht="15" hidden="0" customHeight="1">
      <x:c r="A1108" s="34" t="n">
        <x:v>276</x:v>
      </x:c>
      <x:c r="B1108" s="34" t="str">
        <x:v>H3</x:v>
      </x:c>
      <x:c r="C1108" s="34" t="str">
        <x:v>reference</x:v>
      </x:c>
      <x:c r="D1108" s="74" t="n">
        <x:v>1.0033547272458696</x:v>
      </x:c>
      <x:c r="E1108" s="74" t="n">
        <x:v>0.050643928968450845</x:v>
      </x:c>
      <x:c r="F1108" s="74" t="n">
        <x:v>0.7653343624138728</x:v>
      </x:c>
      <x:c r="G1108" s="74" t="n">
        <x:v>1.0398674184324623</x:v>
      </x:c>
      <x:c r="H1108" s="74" t="n">
        <x:v>0.8705033925525045</x:v>
      </x:c>
      <x:c r="I1108" s="74" t="n">
        <x:v>0.9853398945888108</x:v>
      </x:c>
      <x:c r="J1108" s="74" t="n">
        <x:v>0.9717017049573735</x:v>
      </x:c>
      <x:c r="K1108" s="74" t="n">
        <x:v>0.7944453066143427</x:v>
      </x:c>
      <x:c r="L1108" s="74" t="n">
        <x:v>0.8977220706043617</x:v>
      </x:c>
      <x:c r="M1108" s="74" t="n">
        <x:v>1.0263062663655185</x:v>
      </x:c>
      <x:c r="N1108" s="74" t="n">
        <x:v>0.8093242556998143</x:v>
      </x:c>
      <x:c r="O1108" s="65" t="n">
        <x:v>482663.5908706801</x:v>
      </x:c>
      <x:c r="P1108" s="65" t="n">
        <x:v>266873.31858375936</x:v>
      </x:c>
      <x:c r="Q1108" s="65" t="n">
        <x:v>215790.2722869207</x:v>
      </x:c>
      <x:c r="R1108" s="65" t="n">
        <x:v>114489.09605955693</x:v>
      </x:c>
      <x:c r="S1108" s="65" t="n">
        <x:v>101301.17622736379</x:v>
      </x:c>
      <x:c r="T1108" s="65" t="n">
        <x:v>198514.535576323</x:v>
      </x:c>
      <x:c r="U1108" s="43" t="n">
        <x:v>0.9642074997216303</x:v>
      </x:c>
      <x:c r="V1108" s="43" t="n">
        <x:v>0.9712563093223434</x:v>
      </x:c>
      <x:c r="W1108" s="43" t="n">
        <x:v>0.7318584120276231</x:v>
      </x:c>
      <x:c r="X1108" s="65" t="n">
        <x:v>22012034.08349708</x:v>
      </x:c>
      <x:c r="Y1108" s="65" t="n">
        <x:v>45.605333610909874</x:v>
      </x:c>
      <x:c r="Z1108" s="65" t="n">
        <x:v>1382973.7228844194</x:v>
      </x:c>
      <x:c r="AA1108" s="65" t="n">
        <x:v>138966.60205940861</x:v>
      </x:c>
      <x:c r="AB1108" s="65" t="n">
        <x:v>2024.2970352810212</x:v>
      </x:c>
      <x:c r="AC1108" s="65" t="n">
        <x:v>15606.241322643446</x:v>
      </x:c>
      <x:c r="AD1108" s="65" t="n">
        <x:v>1574.6224223729018</x:v>
      </x:c>
      <x:c r="AE1108" s="65" t="n">
        <x:v>76144.70811451107</x:v>
      </x:c>
      <x:c r="AF1108" s="65" t="n">
        <x:v>198514.5355763232</x:v>
      </x:c>
      <x:c r="AG1108" s="65" t="n">
        <x:v>0</x:v>
      </x:c>
      <x:c r="AH1108" s="34" t="n">
        <x:v>0</x:v>
      </x:c>
    </x:row>
    <x:row r="1109" ht="15" hidden="0" customHeight="1">
      <x:c r="A1109" s="36" t="n">
        <x:v>277</x:v>
      </x:c>
      <x:c r="B1109" s="36" t="str">
        <x:v>M0</x:v>
      </x:c>
      <x:c r="C1109" s="36" t="str">
        <x:v>reference</x:v>
      </x:c>
      <x:c r="D1109" s="75" t="n">
        <x:v>1.1337024146463668</x:v>
      </x:c>
      <x:c r="E1109" s="75" t="n">
        <x:v>0.03655844472051389</x:v>
      </x:c>
      <x:c r="F1109" s="75" t="n">
        <x:v>1.0043198415040946</x:v>
      </x:c>
      <x:c r="G1109" s="75" t="n">
        <x:v>1.3089083434064301</x:v>
      </x:c>
      <x:c r="H1109" s="75" t="n">
        <x:v>0.8460147124737961</x:v>
      </x:c>
      <x:c r="I1109" s="75" t="n">
        <x:v>0.7883171936270805</x:v>
      </x:c>
      <x:c r="J1109" s="75" t="n">
        <x:v>0.7705178223164492</x:v>
      </x:c>
      <x:c r="K1109" s="75" t="n">
        <x:v>0.8428232335614912</x:v>
      </x:c>
      <x:c r="L1109" s="75" t="n">
        <x:v>1.0448779177590295</x:v>
      </x:c>
      <x:c r="M1109" s="75" t="n">
        <x:v>1.0805140750665274</x:v>
      </x:c>
      <x:c r="N1109" s="75" t="n">
        <x:v>0.9839908559771963</x:v>
      </x:c>
      <x:c r="O1109" s="66" t="n">
        <x:v>545367.3198251518</x:v>
      </x:c>
      <x:c r="P1109" s="66" t="n">
        <x:v>79277.75065122872</x:v>
      </x:c>
      <x:c r="Q1109" s="66" t="n">
        <x:v>466089.5691739231</x:v>
      </x:c>
      <x:c r="R1109" s="66" t="n">
        <x:v>121680.8256605822</x:v>
      </x:c>
      <x:c r="S1109" s="66" t="n">
        <x:v>344408.7435133409</x:v>
      </x:c>
      <x:c r="T1109" s="66" t="n">
        <x:v>251074.86756480968</x:v>
      </x:c>
      <x:c r="U1109" s="45" t="n">
        <x:v>0.6057433333591596</x:v>
      </x:c>
      <x:c r="V1109" s="45" t="n">
        <x:v>0.6256463666039273</x:v>
      </x:c>
      <x:c r="W1109" s="45" t="n">
        <x:v>0.13825849781085978</x:v>
      </x:c>
      <x:c r="X1109" s="66" t="n">
        <x:v>63449886.73035046</x:v>
      </x:c>
      <x:c r="Y1109" s="66" t="n">
        <x:v>116.34339723673375</x:v>
      </x:c>
      <x:c r="Z1109" s="66" t="n">
        <x:v>6120874.391222881</x:v>
      </x:c>
      <x:c r="AA1109" s="66" t="n">
        <x:v>337746.8741618901</x:v>
      </x:c>
      <x:c r="AB1109" s="66" t="n">
        <x:v>58358.93534158181</x:v>
      </x:c>
      <x:c r="AC1109" s="66" t="n">
        <x:v>1652.4169111401693</x:v>
      </x:c>
      <x:c r="AD1109" s="66" t="n">
        <x:v>2300.2704840735623</x:v>
      </x:c>
      <x:c r="AE1109" s="66" t="n">
        <x:v>173670.11615135477</x:v>
      </x:c>
      <x:c r="AF1109" s="66" t="n">
        <x:v>251074.86756480965</x:v>
      </x:c>
      <x:c r="AG1109" s="66" t="n">
        <x:v>2.9103830456733704e-11</x:v>
      </x:c>
      <x:c r="AH1109" s="36" t="n">
        <x:v>0</x:v>
      </x:c>
    </x:row>
    <x:row r="1110" ht="15" hidden="0" customHeight="1">
      <x:c r="A1110" s="34" t="n">
        <x:v>277</x:v>
      </x:c>
      <x:c r="B1110" s="34" t="str">
        <x:v>B1</x:v>
      </x:c>
      <x:c r="C1110" s="34" t="str">
        <x:v>reference</x:v>
      </x:c>
      <x:c r="D1110" s="74" t="n">
        <x:v>1.1337024146463668</x:v>
      </x:c>
      <x:c r="E1110" s="74" t="n">
        <x:v>0.03655844472051389</x:v>
      </x:c>
      <x:c r="F1110" s="74" t="n">
        <x:v>1.0043198415040946</x:v>
      </x:c>
      <x:c r="G1110" s="74" t="n">
        <x:v>1.3089083434064301</x:v>
      </x:c>
      <x:c r="H1110" s="74" t="n">
        <x:v>0.8460147124737961</x:v>
      </x:c>
      <x:c r="I1110" s="74" t="n">
        <x:v>0.7883171936270805</x:v>
      </x:c>
      <x:c r="J1110" s="74" t="n">
        <x:v>0.7705178223164492</x:v>
      </x:c>
      <x:c r="K1110" s="74" t="n">
        <x:v>0.8428232335614912</x:v>
      </x:c>
      <x:c r="L1110" s="74" t="n">
        <x:v>1.0448779177590295</x:v>
      </x:c>
      <x:c r="M1110" s="74" t="n">
        <x:v>1.0805140750665274</x:v>
      </x:c>
      <x:c r="N1110" s="74" t="n">
        <x:v>0.9839908559771963</x:v>
      </x:c>
      <x:c r="O1110" s="65" t="n">
        <x:v>545367.3198251518</x:v>
      </x:c>
      <x:c r="P1110" s="65" t="n">
        <x:v>268171.13384811423</x:v>
      </x:c>
      <x:c r="Q1110" s="65" t="n">
        <x:v>277196.1859770376</x:v>
      </x:c>
      <x:c r="R1110" s="65" t="n">
        <x:v>121680.8256605822</x:v>
      </x:c>
      <x:c r="S1110" s="65" t="n">
        <x:v>155515.36031645536</x:v>
      </x:c>
      <x:c r="T1110" s="65" t="n">
        <x:v>184510.5066665909</x:v>
      </x:c>
      <x:c r="U1110" s="43" t="n">
        <x:v>0.8300490771244557</x:v>
      </x:c>
      <x:c r="V1110" s="43" t="n">
        <x:v>0.8439745499182555</x:v>
      </x:c>
      <x:c r="W1110" s="43" t="n">
        <x:v>0.5174492578531433</x:v>
      </x:c>
      <x:c r="X1110" s="65" t="n">
        <x:v>37813396.885481566</x:v>
      </x:c>
      <x:c r="Y1110" s="65" t="n">
        <x:v>69.33564867364032</x:v>
      </x:c>
      <x:c r="Z1110" s="65" t="n">
        <x:v>2475730.7363257003</x:v>
      </x:c>
      <x:c r="AA1110" s="65" t="n">
        <x:v>195570.29328475136</x:v>
      </x:c>
      <x:c r="AB1110" s="65" t="n">
        <x:v>16861.583904864405</x:v>
      </x:c>
      <x:c r="AC1110" s="65" t="n">
        <x:v>570.0735699419761</x:v>
      </x:c>
      <x:c r="AD1110" s="65" t="n">
        <x:v>1832.6018077623717</x:v>
      </x:c>
      <x:c r="AE1110" s="65" t="n">
        <x:v>104302.7604074274</x:v>
      </x:c>
      <x:c r="AF1110" s="65" t="n">
        <x:v>184510.50666659075</x:v>
      </x:c>
      <x:c r="AG1110" s="65" t="n">
        <x:v>1.4551915228366852e-10</x:v>
      </x:c>
      <x:c r="AH1110" s="34" t="n">
        <x:v>0</x:v>
      </x:c>
    </x:row>
    <x:row r="1111" ht="15" hidden="0" customHeight="1">
      <x:c r="A1111" s="36" t="n">
        <x:v>277</x:v>
      </x:c>
      <x:c r="B1111" s="36" t="str">
        <x:v>P2</x:v>
      </x:c>
      <x:c r="C1111" s="36" t="str">
        <x:v>reference</x:v>
      </x:c>
      <x:c r="D1111" s="75" t="n">
        <x:v>1.1337024146463668</x:v>
      </x:c>
      <x:c r="E1111" s="75" t="n">
        <x:v>0.03655844472051389</x:v>
      </x:c>
      <x:c r="F1111" s="75" t="n">
        <x:v>1.0043198415040946</x:v>
      </x:c>
      <x:c r="G1111" s="75" t="n">
        <x:v>1.3089083434064301</x:v>
      </x:c>
      <x:c r="H1111" s="75" t="n">
        <x:v>0.8460147124737961</x:v>
      </x:c>
      <x:c r="I1111" s="75" t="n">
        <x:v>0.7883171936270805</x:v>
      </x:c>
      <x:c r="J1111" s="75" t="n">
        <x:v>0.7705178223164492</x:v>
      </x:c>
      <x:c r="K1111" s="75" t="n">
        <x:v>0.8428232335614912</x:v>
      </x:c>
      <x:c r="L1111" s="75" t="n">
        <x:v>1.0448779177590295</x:v>
      </x:c>
      <x:c r="M1111" s="75" t="n">
        <x:v>1.0805140750665274</x:v>
      </x:c>
      <x:c r="N1111" s="75" t="n">
        <x:v>0.9839908559771963</x:v>
      </x:c>
      <x:c r="O1111" s="66" t="n">
        <x:v>545367.3198251518</x:v>
      </x:c>
      <x:c r="P1111" s="66" t="n">
        <x:v>388497.8836247998</x:v>
      </x:c>
      <x:c r="Q1111" s="66" t="n">
        <x:v>156869.43620035204</x:v>
      </x:c>
      <x:c r="R1111" s="66" t="n">
        <x:v>121680.8256605822</x:v>
      </x:c>
      <x:c r="S1111" s="66" t="n">
        <x:v>35188.61053976987</x:v>
      </x:c>
      <x:c r="T1111" s="66" t="n">
        <x:v>126270.68593148427</x:v>
      </x:c>
      <x:c r="U1111" s="45" t="n">
        <x:v>0.943893318949368</x:v>
      </x:c>
      <x:c r="V1111" s="45" t="n">
        <x:v>0.9517249177307221</x:v>
      </x:c>
      <x:c r="W1111" s="45" t="n">
        <x:v>0.6927560215956292</x:v>
      </x:c>
      <x:c r="X1111" s="66" t="n">
        <x:v>19325119.435997143</x:v>
      </x:c>
      <x:c r="Y1111" s="66" t="n">
        <x:v>35.43505218133147</x:v>
      </x:c>
      <x:c r="Z1111" s="66" t="n">
        <x:v>808475.2498940973</x:v>
      </x:c>
      <x:c r="AA1111" s="66" t="n">
        <x:v>108851.27864309953</x:v>
      </x:c>
      <x:c r="AB1111" s="66" t="n">
        <x:v>509.3085940287144</x:v>
      </x:c>
      <x:c r="AC1111" s="66" t="n">
        <x:v>6546.124866377286</x:v>
      </x:c>
      <x:c r="AD1111" s="66" t="n">
        <x:v>1550.0217512787608</x:v>
      </x:c>
      <x:c r="AE1111" s="66" t="n">
        <x:v>67330.70318641755</x:v>
      </x:c>
      <x:c r="AF1111" s="66" t="n">
        <x:v>126270.68593148427</x:v>
      </x:c>
      <x:c r="AG1111" s="66" t="n">
        <x:v>0</x:v>
      </x:c>
      <x:c r="AH1111" s="36" t="n">
        <x:v>0</x:v>
      </x:c>
    </x:row>
    <x:row r="1112" ht="15" hidden="0" customHeight="1">
      <x:c r="A1112" s="34" t="n">
        <x:v>277</x:v>
      </x:c>
      <x:c r="B1112" s="34" t="str">
        <x:v>H3</x:v>
      </x:c>
      <x:c r="C1112" s="34" t="str">
        <x:v>reference</x:v>
      </x:c>
      <x:c r="D1112" s="74" t="n">
        <x:v>1.1337024146463668</x:v>
      </x:c>
      <x:c r="E1112" s="74" t="n">
        <x:v>0.03655844472051389</x:v>
      </x:c>
      <x:c r="F1112" s="74" t="n">
        <x:v>1.0043198415040946</x:v>
      </x:c>
      <x:c r="G1112" s="74" t="n">
        <x:v>1.3089083434064301</x:v>
      </x:c>
      <x:c r="H1112" s="74" t="n">
        <x:v>0.8460147124737961</x:v>
      </x:c>
      <x:c r="I1112" s="74" t="n">
        <x:v>0.7883171936270805</x:v>
      </x:c>
      <x:c r="J1112" s="74" t="n">
        <x:v>0.7705178223164492</x:v>
      </x:c>
      <x:c r="K1112" s="74" t="n">
        <x:v>0.8428232335614912</x:v>
      </x:c>
      <x:c r="L1112" s="74" t="n">
        <x:v>1.0448779177590295</x:v>
      </x:c>
      <x:c r="M1112" s="74" t="n">
        <x:v>1.0805140750665274</x:v>
      </x:c>
      <x:c r="N1112" s="74" t="n">
        <x:v>0.9839908559771963</x:v>
      </x:c>
      <x:c r="O1112" s="65" t="n">
        <x:v>545367.3198251518</x:v>
      </x:c>
      <x:c r="P1112" s="65" t="n">
        <x:v>403011.06616944185</x:v>
      </x:c>
      <x:c r="Q1112" s="65" t="n">
        <x:v>142356.25365570997</x:v>
      </x:c>
      <x:c r="R1112" s="65" t="n">
        <x:v>121680.8256605822</x:v>
      </x:c>
      <x:c r="S1112" s="65" t="n">
        <x:v>20675.427995127786</x:v>
      </x:c>
      <x:c r="T1112" s="65" t="n">
        <x:v>140837.95338937055</x:v>
      </x:c>
      <x:c r="U1112" s="43" t="n">
        <x:v>0.9972160043127885</x:v>
      </x:c>
      <x:c r="V1112" s="43" t="n">
        <x:v>0.998246511253672</x:v>
      </x:c>
      <x:c r="W1112" s="43" t="n">
        <x:v>0.972160043127883</x:v>
      </x:c>
      <x:c r="X1112" s="65" t="n">
        <x:v>15124442.241660643</x:v>
      </x:c>
      <x:c r="Y1112" s="65" t="n">
        <x:v>27.73257892773926</x:v>
      </x:c>
      <x:c r="Z1112" s="65" t="n">
        <x:v>1052450.1331104299</x:v>
      </x:c>
      <x:c r="AA1112" s="65" t="n">
        <x:v>91810.47056129281</x:v>
      </x:c>
      <x:c r="AB1112" s="65" t="n">
        <x:v>4535.159468751391</x:v>
      </x:c>
      <x:c r="AC1112" s="65" t="n">
        <x:v>713.9613276258647</x:v>
      </x:c>
      <x:c r="AD1112" s="65" t="n">
        <x:v>1518.3002663394232</x:v>
      </x:c>
      <x:c r="AE1112" s="65" t="n">
        <x:v>48101.39881872595</x:v>
      </x:c>
      <x:c r="AF1112" s="65" t="n">
        <x:v>140837.9533893706</x:v>
      </x:c>
      <x:c r="AG1112" s="65" t="n">
        <x:v>0</x:v>
      </x:c>
      <x:c r="AH1112" s="34" t="n">
        <x:v>1</x:v>
      </x:c>
    </x:row>
    <x:row r="1113" ht="15" hidden="0" customHeight="1">
      <x:c r="A1113" s="36" t="n">
        <x:v>278</x:v>
      </x:c>
      <x:c r="B1113" s="36" t="str">
        <x:v>M0</x:v>
      </x:c>
      <x:c r="C1113" s="36" t="str">
        <x:v>slow</x:v>
      </x:c>
      <x:c r="D1113" s="75" t="n">
        <x:v>0.9003719566323142</x:v>
      </x:c>
      <x:c r="E1113" s="75" t="n">
        <x:v>-0.017878640260017578</x:v>
      </x:c>
      <x:c r="F1113" s="75" t="n">
        <x:v>1.0227996477955783</x:v>
      </x:c>
      <x:c r="G1113" s="75" t="n">
        <x:v>1.104411725769525</x:v>
      </x:c>
      <x:c r="H1113" s="75" t="n">
        <x:v>0.820906953220353</x:v>
      </x:c>
      <x:c r="I1113" s="75" t="n">
        <x:v>0.8487594112738405</x:v>
      </x:c>
      <x:c r="J1113" s="75" t="n">
        <x:v>1.0110475533816106</x:v>
      </x:c>
      <x:c r="K1113" s="75" t="n">
        <x:v>0.9570621253585575</x:v>
      </x:c>
      <x:c r="L1113" s="75" t="n">
        <x:v>1.032087413598883</x:v>
      </x:c>
      <x:c r="M1113" s="75" t="n">
        <x:v>0.8892009961515436</x:v>
      </x:c>
      <x:c r="N1113" s="75" t="n">
        <x:v>0.7787851928167014</x:v>
      </x:c>
      <x:c r="O1113" s="66" t="n">
        <x:v>433123.7496635834</x:v>
      </x:c>
      <x:c r="P1113" s="66" t="n">
        <x:v>68613.71542234786</x:v>
      </x:c>
      <x:c r="Q1113" s="66" t="n">
        <x:v>364510.0342412355</x:v>
      </x:c>
      <x:c r="R1113" s="66" t="n">
        <x:v>73059.36096423586</x:v>
      </x:c>
      <x:c r="S1113" s="66" t="n">
        <x:v>291450.6732769997</x:v>
      </x:c>
      <x:c r="T1113" s="66" t="n">
        <x:v>232213.98274106317</x:v>
      </x:c>
      <x:c r="U1113" s="45" t="n">
        <x:v>0.6945536890947919</x:v>
      </x:c>
      <x:c r="V1113" s="45" t="n">
        <x:v>0.6790927607571379</x:v>
      </x:c>
      <x:c r="W1113" s="45" t="n">
        <x:v>0.08527708560744175</x:v>
      </x:c>
      <x:c r="X1113" s="66" t="n">
        <x:v>45111008.19035509</x:v>
      </x:c>
      <x:c r="Y1113" s="66" t="n">
        <x:v>104.15270052818343</x:v>
      </x:c>
      <x:c r="Z1113" s="66" t="n">
        <x:v>2505464.881878225</x:v>
      </x:c>
      <x:c r="AA1113" s="66" t="n">
        <x:v>244603.776271282</x:v>
      </x:c>
      <x:c r="AB1113" s="66" t="n">
        <x:v>17312.917741769124</x:v>
      </x:c>
      <x:c r="AC1113" s="66" t="n">
        <x:v>0</x:v>
      </x:c>
      <x:c r="AD1113" s="66" t="n">
        <x:v>2342.003069760787</x:v>
      </x:c>
      <x:c r="AE1113" s="66" t="n">
        <x:v>187355.95563482115</x:v>
      </x:c>
      <x:c r="AF1113" s="66" t="n">
        <x:v>232213.98274106302</x:v>
      </x:c>
      <x:c r="AG1113" s="66" t="n">
        <x:v>1.4551915228366852e-10</x:v>
      </x:c>
      <x:c r="AH1113" s="36" t="n">
        <x:v>0</x:v>
      </x:c>
    </x:row>
    <x:row r="1114" ht="15" hidden="0" customHeight="1">
      <x:c r="A1114" s="34" t="n">
        <x:v>278</x:v>
      </x:c>
      <x:c r="B1114" s="34" t="str">
        <x:v>B1</x:v>
      </x:c>
      <x:c r="C1114" s="34" t="str">
        <x:v>slow</x:v>
      </x:c>
      <x:c r="D1114" s="74" t="n">
        <x:v>0.9003719566323142</x:v>
      </x:c>
      <x:c r="E1114" s="74" t="n">
        <x:v>-0.017878640260017578</x:v>
      </x:c>
      <x:c r="F1114" s="74" t="n">
        <x:v>1.0227996477955783</x:v>
      </x:c>
      <x:c r="G1114" s="74" t="n">
        <x:v>1.104411725769525</x:v>
      </x:c>
      <x:c r="H1114" s="74" t="n">
        <x:v>0.820906953220353</x:v>
      </x:c>
      <x:c r="I1114" s="74" t="n">
        <x:v>0.8487594112738405</x:v>
      </x:c>
      <x:c r="J1114" s="74" t="n">
        <x:v>1.0110475533816106</x:v>
      </x:c>
      <x:c r="K1114" s="74" t="n">
        <x:v>0.9570621253585575</x:v>
      </x:c>
      <x:c r="L1114" s="74" t="n">
        <x:v>1.032087413598883</x:v>
      </x:c>
      <x:c r="M1114" s="74" t="n">
        <x:v>0.8892009961515436</x:v>
      </x:c>
      <x:c r="N1114" s="74" t="n">
        <x:v>0.7787851928167014</x:v>
      </x:c>
      <x:c r="O1114" s="65" t="n">
        <x:v>433123.7496635834</x:v>
      </x:c>
      <x:c r="P1114" s="65" t="n">
        <x:v>232096.4358681274</x:v>
      </x:c>
      <x:c r="Q1114" s="65" t="n">
        <x:v>201027.31379545602</x:v>
      </x:c>
      <x:c r="R1114" s="65" t="n">
        <x:v>73059.36096423586</x:v>
      </x:c>
      <x:c r="S1114" s="65" t="n">
        <x:v>127967.95283122014</x:v>
      </x:c>
      <x:c r="T1114" s="65" t="n">
        <x:v>115773.96532570309</x:v>
      </x:c>
      <x:c r="U1114" s="43" t="n">
        <x:v>0.8031663040044074</x:v>
      </x:c>
      <x:c r="V1114" s="43" t="n">
        <x:v>0.7946396251323524</x:v>
      </x:c>
      <x:c r="W1114" s="43" t="n">
        <x:v>0.29598632949122883</x:v>
      </x:c>
      <x:c r="X1114" s="65" t="n">
        <x:v>26621616.847129654</x:v>
      </x:c>
      <x:c r="Y1114" s="65" t="n">
        <x:v>61.46422787438288</x:v>
      </x:c>
      <x:c r="Z1114" s="65" t="n">
        <x:v>767828.4738313874</x:v>
      </x:c>
      <x:c r="AA1114" s="65" t="n">
        <x:v>127822.86590669322</x:v>
      </x:c>
      <x:c r="AB1114" s="65" t="n">
        <x:v>1888.7925715047859</x:v>
      </x:c>
      <x:c r="AC1114" s="65" t="n">
        <x:v>0</x:v>
      </x:c>
      <x:c r="AD1114" s="65" t="n">
        <x:v>1786.3984488304895</x:v>
      </x:c>
      <x:c r="AE1114" s="65" t="n">
        <x:v>48486.92466634011</x:v>
      </x:c>
      <x:c r="AF1114" s="65" t="n">
        <x:v>115773.965325703</x:v>
      </x:c>
      <x:c r="AG1114" s="65" t="n">
        <x:v>8.731149137020111e-11</x:v>
      </x:c>
      <x:c r="AH1114" s="34" t="n">
        <x:v>0</x:v>
      </x:c>
    </x:row>
    <x:row r="1115" ht="15" hidden="0" customHeight="1">
      <x:c r="A1115" s="36" t="n">
        <x:v>278</x:v>
      </x:c>
      <x:c r="B1115" s="36" t="str">
        <x:v>P2</x:v>
      </x:c>
      <x:c r="C1115" s="36" t="str">
        <x:v>slow</x:v>
      </x:c>
      <x:c r="D1115" s="75" t="n">
        <x:v>0.9003719566323142</x:v>
      </x:c>
      <x:c r="E1115" s="75" t="n">
        <x:v>-0.017878640260017578</x:v>
      </x:c>
      <x:c r="F1115" s="75" t="n">
        <x:v>1.0227996477955783</x:v>
      </x:c>
      <x:c r="G1115" s="75" t="n">
        <x:v>1.104411725769525</x:v>
      </x:c>
      <x:c r="H1115" s="75" t="n">
        <x:v>0.820906953220353</x:v>
      </x:c>
      <x:c r="I1115" s="75" t="n">
        <x:v>0.8487594112738405</x:v>
      </x:c>
      <x:c r="J1115" s="75" t="n">
        <x:v>1.0110475533816106</x:v>
      </x:c>
      <x:c r="K1115" s="75" t="n">
        <x:v>0.9570621253585575</x:v>
      </x:c>
      <x:c r="L1115" s="75" t="n">
        <x:v>1.032087413598883</x:v>
      </x:c>
      <x:c r="M1115" s="75" t="n">
        <x:v>0.8892009961515436</x:v>
      </x:c>
      <x:c r="N1115" s="75" t="n">
        <x:v>0.7787851928167014</x:v>
      </x:c>
      <x:c r="O1115" s="66" t="n">
        <x:v>433123.7496635834</x:v>
      </x:c>
      <x:c r="P1115" s="66" t="n">
        <x:v>336235.3048156792</x:v>
      </x:c>
      <x:c r="Q1115" s="66" t="n">
        <x:v>96888.44484790422</x:v>
      </x:c>
      <x:c r="R1115" s="66" t="n">
        <x:v>73059.36096423586</x:v>
      </x:c>
      <x:c r="S1115" s="66" t="n">
        <x:v>23829.08388366836</x:v>
      </x:c>
      <x:c r="T1115" s="66" t="n">
        <x:v>42501.555999428514</x:v>
      </x:c>
      <x:c r="U1115" s="45" t="n">
        <x:v>0.8744310629682183</x:v>
      </x:c>
      <x:c r="V1115" s="45" t="n">
        <x:v>0.8706403467932136</x:v>
      </x:c>
      <x:c r="W1115" s="45" t="n">
        <x:v>0.4349304391251357</x:v>
      </x:c>
      <x:c r="X1115" s="66" t="n">
        <x:v>14118967.092656534</x:v>
      </x:c>
      <x:c r="Y1115" s="66" t="n">
        <x:v>32.59799792466481</x:v>
      </x:c>
      <x:c r="Z1115" s="66" t="n">
        <x:v>285628.729394837</x:v>
      </x:c>
      <x:c r="AA1115" s="66" t="n">
        <x:v>72732.57329600834</x:v>
      </x:c>
      <x:c r="AB1115" s="66" t="n">
        <x:v>0</x:v>
      </x:c>
      <x:c r="AC1115" s="66" t="n">
        <x:v>0</x:v>
      </x:c>
      <x:c r="AD1115" s="66" t="n">
        <x:v>1449.318036167379</x:v>
      </x:c>
      <x:c r="AE1115" s="66" t="n">
        <x:v>10446.21027062809</x:v>
      </x:c>
      <x:c r="AF1115" s="66" t="n">
        <x:v>42501.55599942853</x:v>
      </x:c>
      <x:c r="AG1115" s="66" t="n">
        <x:v>0</x:v>
      </x:c>
      <x:c r="AH1115" s="36" t="n">
        <x:v>0</x:v>
      </x:c>
    </x:row>
    <x:row r="1116" ht="15" hidden="0" customHeight="1">
      <x:c r="A1116" s="34" t="n">
        <x:v>278</x:v>
      </x:c>
      <x:c r="B1116" s="34" t="str">
        <x:v>H3</x:v>
      </x:c>
      <x:c r="C1116" s="34" t="str">
        <x:v>slow</x:v>
      </x:c>
      <x:c r="D1116" s="74" t="n">
        <x:v>0.9003719566323142</x:v>
      </x:c>
      <x:c r="E1116" s="74" t="n">
        <x:v>-0.017878640260017578</x:v>
      </x:c>
      <x:c r="F1116" s="74" t="n">
        <x:v>1.0227996477955783</x:v>
      </x:c>
      <x:c r="G1116" s="74" t="n">
        <x:v>1.104411725769525</x:v>
      </x:c>
      <x:c r="H1116" s="74" t="n">
        <x:v>0.820906953220353</x:v>
      </x:c>
      <x:c r="I1116" s="74" t="n">
        <x:v>0.8487594112738405</x:v>
      </x:c>
      <x:c r="J1116" s="74" t="n">
        <x:v>1.0110475533816106</x:v>
      </x:c>
      <x:c r="K1116" s="74" t="n">
        <x:v>0.9570621253585575</x:v>
      </x:c>
      <x:c r="L1116" s="74" t="n">
        <x:v>1.032087413598883</x:v>
      </x:c>
      <x:c r="M1116" s="74" t="n">
        <x:v>0.8892009961515436</x:v>
      </x:c>
      <x:c r="N1116" s="74" t="n">
        <x:v>0.7787851928167014</x:v>
      </x:c>
      <x:c r="O1116" s="65" t="n">
        <x:v>433123.7496635834</x:v>
      </x:c>
      <x:c r="P1116" s="65" t="n">
        <x:v>348795.8258840628</x:v>
      </x:c>
      <x:c r="Q1116" s="65" t="n">
        <x:v>84327.92377952058</x:v>
      </x:c>
      <x:c r="R1116" s="65" t="n">
        <x:v>73059.36096423586</x:v>
      </x:c>
      <x:c r="S1116" s="65" t="n">
        <x:v>11268.562815284718</x:v>
      </x:c>
      <x:c r="T1116" s="65" t="n">
        <x:v>33668.85522912852</x:v>
      </x:c>
      <x:c r="U1116" s="43" t="n">
        <x:v>0.8830378879252406</x:v>
      </x:c>
      <x:c r="V1116" s="43" t="n">
        <x:v>0.87999283306387</x:v>
      </x:c>
      <x:c r="W1116" s="43" t="n">
        <x:v>0.4524164632051149</x:v>
      </x:c>
      <x:c r="X1116" s="65" t="n">
        <x:v>11879114.208023887</x:v>
      </x:c>
      <x:c r="Y1116" s="65" t="n">
        <x:v>27.42660548457722</x:v>
      </x:c>
      <x:c r="Z1116" s="65" t="n">
        <x:v>250820.3760680402</x:v>
      </x:c>
      <x:c r="AA1116" s="65" t="n">
        <x:v>66727.13341518998</x:v>
      </x:c>
      <x:c r="AB1116" s="65" t="n">
        <x:v>1097.54591463828</x:v>
      </x:c>
      <x:c r="AC1116" s="65" t="n">
        <x:v>0</x:v>
      </x:c>
      <x:c r="AD1116" s="65" t="n">
        <x:v>1411.2565244962886</x:v>
      </x:c>
      <x:c r="AE1116" s="65" t="n">
        <x:v>10144.032565925172</x:v>
      </x:c>
      <x:c r="AF1116" s="65" t="n">
        <x:v>33668.85522912853</x:v>
      </x:c>
      <x:c r="AG1116" s="65" t="n">
        <x:v>0</x:v>
      </x:c>
      <x:c r="AH1116" s="34" t="n">
        <x:v>0</x:v>
      </x:c>
    </x:row>
    <x:row r="1117" ht="15" hidden="0" customHeight="1">
      <x:c r="A1117" s="36" t="n">
        <x:v>279</x:v>
      </x:c>
      <x:c r="B1117" s="36" t="str">
        <x:v>M0</x:v>
      </x:c>
      <x:c r="C1117" s="36" t="str">
        <x:v>fast</x:v>
      </x:c>
      <x:c r="D1117" s="75" t="n">
        <x:v>1.1112588545272328</x:v>
      </x:c>
      <x:c r="E1117" s="75" t="n">
        <x:v>0.002455470139894389</x:v>
      </x:c>
      <x:c r="F1117" s="75" t="n">
        <x:v>0.9611685949156145</x:v>
      </x:c>
      <x:c r="G1117" s="75" t="n">
        <x:v>1.3331909319015987</x:v>
      </x:c>
      <x:c r="H1117" s="75" t="n">
        <x:v>0.9854774931676833</x:v>
      </x:c>
      <x:c r="I1117" s="75" t="n">
        <x:v>0.9981011307579877</x:v>
      </x:c>
      <x:c r="J1117" s="75" t="n">
        <x:v>0.8085517809754982</x:v>
      </x:c>
      <x:c r="K1117" s="75" t="n">
        <x:v>0.9176387750731336</x:v>
      </x:c>
      <x:c r="L1117" s="75" t="n">
        <x:v>0.9921129306935355</x:v>
      </x:c>
      <x:c r="M1117" s="75" t="n">
        <x:v>0.8338304785983899</x:v>
      </x:c>
      <x:c r="N1117" s="75" t="n">
        <x:v>0.781572810459164</x:v>
      </x:c>
      <x:c r="O1117" s="66" t="n">
        <x:v>534570.8497185544</x:v>
      </x:c>
      <x:c r="P1117" s="66" t="n">
        <x:v>77634.77510876418</x:v>
      </x:c>
      <x:c r="Q1117" s="66" t="n">
        <x:v>456936.07460979023</x:v>
      </x:c>
      <x:c r="R1117" s="66" t="n">
        <x:v>101041.49145447434</x:v>
      </x:c>
      <x:c r="S1117" s="66" t="n">
        <x:v>355894.58315531595</x:v>
      </x:c>
      <x:c r="T1117" s="66" t="n">
        <x:v>301387.0156873246</x:v>
      </x:c>
      <x:c r="U1117" s="45" t="n">
        <x:v>0.7090206863985186</x:v>
      </x:c>
      <x:c r="V1117" s="45" t="n">
        <x:v>0.7326284217513083</x:v>
      </x:c>
      <x:c r="W1117" s="45" t="n">
        <x:v>0.1491081184565896</x:v>
      </x:c>
      <x:c r="X1117" s="66" t="n">
        <x:v>58632284.764609486</x:v>
      </x:c>
      <x:c r="Y1117" s="66" t="n">
        <x:v>109.68103628448638</x:v>
      </x:c>
      <x:c r="Z1117" s="66" t="n">
        <x:v>5549844.757249454</x:v>
      </x:c>
      <x:c r="AA1117" s="66" t="n">
        <x:v>317818.1504641619</x:v>
      </x:c>
      <x:c r="AB1117" s="66" t="n">
        <x:v>41037.44053920283</x:v>
      </x:c>
      <x:c r="AC1117" s="66" t="n">
        <x:v>6280.750032435639</x:v>
      </x:c>
      <x:c r="AD1117" s="66" t="n">
        <x:v>2247.4497388894915</x:v>
      </x:c>
      <x:c r="AE1117" s="66" t="n">
        <x:v>256368.4218048767</x:v>
      </x:c>
      <x:c r="AF1117" s="66" t="n">
        <x:v>301387.01568732475</x:v>
      </x:c>
      <x:c r="AG1117" s="66" t="n">
        <x:v>0</x:v>
      </x:c>
      <x:c r="AH1117" s="36" t="n">
        <x:v>0</x:v>
      </x:c>
    </x:row>
    <x:row r="1118" ht="15" hidden="0" customHeight="1">
      <x:c r="A1118" s="34" t="n">
        <x:v>279</x:v>
      </x:c>
      <x:c r="B1118" s="34" t="str">
        <x:v>B1</x:v>
      </x:c>
      <x:c r="C1118" s="34" t="str">
        <x:v>fast</x:v>
      </x:c>
      <x:c r="D1118" s="74" t="n">
        <x:v>1.1112588545272328</x:v>
      </x:c>
      <x:c r="E1118" s="74" t="n">
        <x:v>0.002455470139894389</x:v>
      </x:c>
      <x:c r="F1118" s="74" t="n">
        <x:v>0.9611685949156145</x:v>
      </x:c>
      <x:c r="G1118" s="74" t="n">
        <x:v>1.3331909319015987</x:v>
      </x:c>
      <x:c r="H1118" s="74" t="n">
        <x:v>0.9854774931676833</x:v>
      </x:c>
      <x:c r="I1118" s="74" t="n">
        <x:v>0.9981011307579877</x:v>
      </x:c>
      <x:c r="J1118" s="74" t="n">
        <x:v>0.8085517809754982</x:v>
      </x:c>
      <x:c r="K1118" s="74" t="n">
        <x:v>0.9176387750731336</x:v>
      </x:c>
      <x:c r="L1118" s="74" t="n">
        <x:v>0.9921129306935355</x:v>
      </x:c>
      <x:c r="M1118" s="74" t="n">
        <x:v>0.8338304785983899</x:v>
      </x:c>
      <x:c r="N1118" s="74" t="n">
        <x:v>0.781572810459164</x:v>
      </x:c>
      <x:c r="O1118" s="65" t="n">
        <x:v>534570.8497185544</x:v>
      </x:c>
      <x:c r="P1118" s="65" t="n">
        <x:v>262612.2433178149</x:v>
      </x:c>
      <x:c r="Q1118" s="65" t="n">
        <x:v>271958.6064007395</x:v>
      </x:c>
      <x:c r="R1118" s="65" t="n">
        <x:v>101041.49145447434</x:v>
      </x:c>
      <x:c r="S1118" s="65" t="n">
        <x:v>170917.11494626518</x:v>
      </x:c>
      <x:c r="T1118" s="65" t="n">
        <x:v>217953.80644110503</x:v>
      </x:c>
      <x:c r="U1118" s="43" t="n">
        <x:v>0.8989754117942133</x:v>
      </x:c>
      <x:c r="V1118" s="43" t="n">
        <x:v>0.9128623771726571</x:v>
      </x:c>
      <x:c r="W1118" s="43" t="n">
        <x:v>0.5765264958240806</x:v>
      </x:c>
      <x:c r="X1118" s="65" t="n">
        <x:v>34541505.78383946</x:v>
      </x:c>
      <x:c r="Y1118" s="65" t="n">
        <x:v>64.6153934544414</x:v>
      </x:c>
      <x:c r="Z1118" s="65" t="n">
        <x:v>2247481.3007960883</x:v>
      </x:c>
      <x:c r="AA1118" s="65" t="n">
        <x:v>182251.71517195384</x:v>
      </x:c>
      <x:c r="AB1118" s="65" t="n">
        <x:v>7910.831600822885</x:v>
      </x:c>
      <x:c r="AC1118" s="65" t="n">
        <x:v>10646.965533918763</x:v>
      </x:c>
      <x:c r="AD1118" s="65" t="n">
        <x:v>1772.5476252556696</x:v>
      </x:c>
      <x:c r="AE1118" s="65" t="n">
        <x:v>150425.9156174333</x:v>
      </x:c>
      <x:c r="AF1118" s="65" t="n">
        <x:v>217953.80644110488</x:v>
      </x:c>
      <x:c r="AG1118" s="65" t="n">
        <x:v>1.4551915228366852e-10</x:v>
      </x:c>
      <x:c r="AH1118" s="34" t="n">
        <x:v>0</x:v>
      </x:c>
    </x:row>
    <x:row r="1119" ht="15" hidden="0" customHeight="1">
      <x:c r="A1119" s="36" t="n">
        <x:v>279</x:v>
      </x:c>
      <x:c r="B1119" s="36" t="str">
        <x:v>P2</x:v>
      </x:c>
      <x:c r="C1119" s="36" t="str">
        <x:v>fast</x:v>
      </x:c>
      <x:c r="D1119" s="75" t="n">
        <x:v>1.1112588545272328</x:v>
      </x:c>
      <x:c r="E1119" s="75" t="n">
        <x:v>0.002455470139894389</x:v>
      </x:c>
      <x:c r="F1119" s="75" t="n">
        <x:v>0.9611685949156145</x:v>
      </x:c>
      <x:c r="G1119" s="75" t="n">
        <x:v>1.3331909319015987</x:v>
      </x:c>
      <x:c r="H1119" s="75" t="n">
        <x:v>0.9854774931676833</x:v>
      </x:c>
      <x:c r="I1119" s="75" t="n">
        <x:v>0.9981011307579877</x:v>
      </x:c>
      <x:c r="J1119" s="75" t="n">
        <x:v>0.8085517809754982</x:v>
      </x:c>
      <x:c r="K1119" s="75" t="n">
        <x:v>0.9176387750731336</x:v>
      </x:c>
      <x:c r="L1119" s="75" t="n">
        <x:v>0.9921129306935355</x:v>
      </x:c>
      <x:c r="M1119" s="75" t="n">
        <x:v>0.8338304785983899</x:v>
      </x:c>
      <x:c r="N1119" s="75" t="n">
        <x:v>0.781572810459164</x:v>
      </x:c>
      <x:c r="O1119" s="66" t="n">
        <x:v>534570.8497185544</x:v>
      </x:c>
      <x:c r="P1119" s="66" t="n">
        <x:v>380443.7471056933</x:v>
      </x:c>
      <x:c r="Q1119" s="66" t="n">
        <x:v>154127.10261286108</x:v>
      </x:c>
      <x:c r="R1119" s="66" t="n">
        <x:v>101041.49145447434</x:v>
      </x:c>
      <x:c r="S1119" s="66" t="n">
        <x:v>53085.61115838676</x:v>
      </x:c>
      <x:c r="T1119" s="66" t="n">
        <x:v>137629.3089305836</x:v>
      </x:c>
      <x:c r="U1119" s="45" t="n">
        <x:v>0.9691382467058137</x:v>
      </x:c>
      <x:c r="V1119" s="45" t="n">
        <x:v>0.979198739800318</x:v>
      </x:c>
      <x:c r="W1119" s="45" t="n">
        <x:v>0.8510418658529855</x:v>
      </x:c>
      <x:c r="X1119" s="66" t="n">
        <x:v>17710632.183355775</x:v>
      </x:c>
      <x:c r="Y1119" s="66" t="n">
        <x:v>33.130561070960425</x:v>
      </x:c>
      <x:c r="Z1119" s="66" t="n">
        <x:v>978036.9088323612</x:v>
      </x:c>
      <x:c r="AA1119" s="66" t="n">
        <x:v>101602.96589561753</x:v>
      </x:c>
      <x:c r="AB1119" s="66" t="n">
        <x:v>0</x:v>
      </x:c>
      <x:c r="AC1119" s="66" t="n">
        <x:v>14553.418656664464</x:v>
      </x:c>
      <x:c r="AD1119" s="66" t="n">
        <x:v>1485.596899469761</x:v>
      </x:c>
      <x:c r="AE1119" s="66" t="n">
        <x:v>76666.62971476873</x:v>
      </x:c>
      <x:c r="AF1119" s="66" t="n">
        <x:v>137629.30893058362</x:v>
      </x:c>
      <x:c r="AG1119" s="66" t="n">
        <x:v>0</x:v>
      </x:c>
      <x:c r="AH1119" s="36" t="n">
        <x:v>1</x:v>
      </x:c>
    </x:row>
    <x:row r="1120" ht="15" hidden="0" customHeight="1">
      <x:c r="A1120" s="34" t="n">
        <x:v>279</x:v>
      </x:c>
      <x:c r="B1120" s="34" t="str">
        <x:v>H3</x:v>
      </x:c>
      <x:c r="C1120" s="34" t="str">
        <x:v>fast</x:v>
      </x:c>
      <x:c r="D1120" s="74" t="n">
        <x:v>1.1112588545272328</x:v>
      </x:c>
      <x:c r="E1120" s="74" t="n">
        <x:v>0.002455470139894389</x:v>
      </x:c>
      <x:c r="F1120" s="74" t="n">
        <x:v>0.9611685949156145</x:v>
      </x:c>
      <x:c r="G1120" s="74" t="n">
        <x:v>1.3331909319015987</x:v>
      </x:c>
      <x:c r="H1120" s="74" t="n">
        <x:v>0.9854774931676833</x:v>
      </x:c>
      <x:c r="I1120" s="74" t="n">
        <x:v>0.9981011307579877</x:v>
      </x:c>
      <x:c r="J1120" s="74" t="n">
        <x:v>0.8085517809754982</x:v>
      </x:c>
      <x:c r="K1120" s="74" t="n">
        <x:v>0.9176387750731336</x:v>
      </x:c>
      <x:c r="L1120" s="74" t="n">
        <x:v>0.9921129306935355</x:v>
      </x:c>
      <x:c r="M1120" s="74" t="n">
        <x:v>0.8338304785983899</x:v>
      </x:c>
      <x:c r="N1120" s="74" t="n">
        <x:v>0.781572810459164</x:v>
      </x:c>
      <x:c r="O1120" s="65" t="n">
        <x:v>534570.8497185544</x:v>
      </x:c>
      <x:c r="P1120" s="65" t="n">
        <x:v>394655.8469454259</x:v>
      </x:c>
      <x:c r="Q1120" s="65" t="n">
        <x:v>139915.00277312857</x:v>
      </x:c>
      <x:c r="R1120" s="65" t="n">
        <x:v>101041.49145447434</x:v>
      </x:c>
      <x:c r="S1120" s="65" t="n">
        <x:v>38873.5113186542</x:v>
      </x:c>
      <x:c r="T1120" s="65" t="n">
        <x:v>138461.61799520627</x:v>
      </x:c>
      <x:c r="U1120" s="43" t="n">
        <x:v>0.9972812120625592</x:v>
      </x:c>
      <x:c r="V1120" s="43" t="n">
        <x:v>0.9982875769034185</x:v>
      </x:c>
      <x:c r="W1120" s="43" t="n">
        <x:v>0.9728121206255925</x:v>
      </x:c>
      <x:c r="X1120" s="65" t="n">
        <x:v>12306177.460373914</x:v>
      </x:c>
      <x:c r="Y1120" s="65" t="n">
        <x:v>23.02066688981073</x:v>
      </x:c>
      <x:c r="Z1120" s="65" t="n">
        <x:v>1260221.5252772702</x:v>
      </x:c>
      <x:c r="AA1120" s="65" t="n">
        <x:v>86980.99300282581</x:v>
      </x:c>
      <x:c r="AB1120" s="65" t="n">
        <x:v>4637.021161471051</x:v>
      </x:c>
      <x:c r="AC1120" s="65" t="n">
        <x:v>7649.78525171282</x:v>
      </x:c>
      <x:c r="AD1120" s="65" t="n">
        <x:v>1453.3847779222601</x:v>
      </x:c>
      <x:c r="AE1120" s="65" t="n">
        <x:v>66397.25142012136</x:v>
      </x:c>
      <x:c r="AF1120" s="65" t="n">
        <x:v>138461.61799520624</x:v>
      </x:c>
      <x:c r="AG1120" s="65" t="n">
        <x:v>2.9103830456733704e-11</x:v>
      </x:c>
      <x:c r="AH1120" s="34" t="n">
        <x:v>1</x:v>
      </x:c>
    </x:row>
    <x:row r="1121" ht="15" hidden="0" customHeight="1">
      <x:c r="A1121" s="36" t="n">
        <x:v>280</x:v>
      </x:c>
      <x:c r="B1121" s="36" t="str">
        <x:v>M0</x:v>
      </x:c>
      <x:c r="C1121" s="36" t="str">
        <x:v>reference</x:v>
      </x:c>
      <x:c r="D1121" s="75" t="n">
        <x:v>1.1221471055126493</x:v>
      </x:c>
      <x:c r="E1121" s="75" t="n">
        <x:v>0.024626473692909677</x:v>
      </x:c>
      <x:c r="F1121" s="75" t="n">
        <x:v>0.7746649773550438</x:v>
      </x:c>
      <x:c r="G1121" s="75" t="n">
        <x:v>1.3238427861989988</x:v>
      </x:c>
      <x:c r="H1121" s="75" t="n">
        <x:v>0.7242006125534834</x:v>
      </x:c>
      <x:c r="I1121" s="75" t="n">
        <x:v>0.7940908794569418</x:v>
      </x:c>
      <x:c r="J1121" s="75" t="n">
        <x:v>0.9474315103958844</x:v>
      </x:c>
      <x:c r="K1121" s="75" t="n">
        <x:v>0.9525768723097583</x:v>
      </x:c>
      <x:c r="L1121" s="75" t="n">
        <x:v>0.9304208437708691</x:v>
      </x:c>
      <x:c r="M1121" s="75" t="n">
        <x:v>0.9247869673233371</x:v>
      </x:c>
      <x:c r="N1121" s="75" t="n">
        <x:v>1.0184609024956226</x:v>
      </x:c>
      <x:c r="O1121" s="66" t="n">
        <x:v>539808.6406774388</x:v>
      </x:c>
      <x:c r="P1121" s="66" t="n">
        <x:v>61456.06204460632</x:v>
      </x:c>
      <x:c r="Q1121" s="66" t="n">
        <x:v>478352.5786328325</x:v>
      </x:c>
      <x:c r="R1121" s="66" t="n">
        <x:v>113999.60771024997</x:v>
      </x:c>
      <x:c r="S1121" s="66" t="n">
        <x:v>364352.97092258255</x:v>
      </x:c>
      <x:c r="T1121" s="66" t="n">
        <x:v>226540.12503786685</x:v>
      </x:c>
      <x:c r="U1121" s="45" t="n">
        <x:v>0.5335153337320595</x:v>
      </x:c>
      <x:c r="V1121" s="45" t="n">
        <x:v>0.5675289164386225</x:v>
      </x:c>
      <x:c r="W1121" s="45" t="n">
        <x:v>0.1075238991343474</x:v>
      </x:c>
      <x:c r="X1121" s="66" t="n">
        <x:v>66445376.76960747</x:v>
      </x:c>
      <x:c r="Y1121" s="66" t="n">
        <x:v>123.09061352967805</x:v>
      </x:c>
      <x:c r="Z1121" s="66" t="n">
        <x:v>4712421.863872566</x:v>
      </x:c>
      <x:c r="AA1121" s="66" t="n">
        <x:v>365049.57509694464</x:v>
      </x:c>
      <x:c r="AB1121" s="66" t="n">
        <x:v>41481.87954442948</x:v>
      </x:c>
      <x:c r="AC1121" s="66" t="n">
        <x:v>0</x:v>
      </x:c>
      <x:c r="AD1121" s="66" t="n">
        <x:v>2319.019361264228</x:v>
      </x:c>
      <x:c r="AE1121" s="66" t="n">
        <x:v>170542.22503877155</x:v>
      </x:c>
      <x:c r="AF1121" s="66" t="n">
        <x:v>226540.12503786694</x:v>
      </x:c>
      <x:c r="AG1121" s="66" t="n">
        <x:v>0</x:v>
      </x:c>
      <x:c r="AH1121" s="36" t="n">
        <x:v>0</x:v>
      </x:c>
    </x:row>
    <x:row r="1122" ht="15" hidden="0" customHeight="1">
      <x:c r="A1122" s="34" t="n">
        <x:v>280</x:v>
      </x:c>
      <x:c r="B1122" s="34" t="str">
        <x:v>B1</x:v>
      </x:c>
      <x:c r="C1122" s="34" t="str">
        <x:v>reference</x:v>
      </x:c>
      <x:c r="D1122" s="74" t="n">
        <x:v>1.1221471055126493</x:v>
      </x:c>
      <x:c r="E1122" s="74" t="n">
        <x:v>0.024626473692909677</x:v>
      </x:c>
      <x:c r="F1122" s="74" t="n">
        <x:v>0.7746649773550438</x:v>
      </x:c>
      <x:c r="G1122" s="74" t="n">
        <x:v>1.3238427861989988</x:v>
      </x:c>
      <x:c r="H1122" s="74" t="n">
        <x:v>0.7242006125534834</x:v>
      </x:c>
      <x:c r="I1122" s="74" t="n">
        <x:v>0.7940908794569418</x:v>
      </x:c>
      <x:c r="J1122" s="74" t="n">
        <x:v>0.9474315103958844</x:v>
      </x:c>
      <x:c r="K1122" s="74" t="n">
        <x:v>0.9525768723097583</x:v>
      </x:c>
      <x:c r="L1122" s="74" t="n">
        <x:v>0.9304208437708691</x:v>
      </x:c>
      <x:c r="M1122" s="74" t="n">
        <x:v>0.9247869673233371</x:v>
      </x:c>
      <x:c r="N1122" s="74" t="n">
        <x:v>1.0184609024956226</x:v>
      </x:c>
      <x:c r="O1122" s="65" t="n">
        <x:v>539808.6406774388</x:v>
      </x:c>
      <x:c r="P1122" s="65" t="n">
        <x:v>207885.74193816207</x:v>
      </x:c>
      <x:c r="Q1122" s="65" t="n">
        <x:v>331922.89873927674</x:v>
      </x:c>
      <x:c r="R1122" s="65" t="n">
        <x:v>113999.60771024997</x:v>
      </x:c>
      <x:c r="S1122" s="65" t="n">
        <x:v>217923.2910290268</x:v>
      </x:c>
      <x:c r="T1122" s="65" t="n">
        <x:v>168589.6783057046</x:v>
      </x:c>
      <x:c r="U1122" s="43" t="n">
        <x:v>0.697423849628277</x:v>
      </x:c>
      <x:c r="V1122" s="43" t="n">
        <x:v>0.7251275334866232</x:v>
      </x:c>
      <x:c r="W1122" s="43" t="n">
        <x:v>0.38740035976588577</x:v>
      </x:c>
      <x:c r="X1122" s="65" t="n">
        <x:v>47058233.994005695</x:v>
      </x:c>
      <x:c r="Y1122" s="65" t="n">
        <x:v>87.17577016727529</x:v>
      </x:c>
      <x:c r="Z1122" s="65" t="n">
        <x:v>1654416.9902496743</x:v>
      </x:c>
      <x:c r="AA1122" s="65" t="n">
        <x:v>259246.23865083623</x:v>
      </x:c>
      <x:c r="AB1122" s="65" t="n">
        <x:v>7896.1530734859225</x:v>
      </x:c>
      <x:c r="AC1122" s="65" t="n">
        <x:v>0</x:v>
      </x:c>
      <x:c r="AD1122" s="65" t="n">
        <x:v>1951.663295361389</x:v>
      </x:c>
      <x:c r="AE1122" s="65" t="n">
        <x:v>129800.35475250742</x:v>
      </x:c>
      <x:c r="AF1122" s="65" t="n">
        <x:v>168589.67830570455</x:v>
      </x:c>
      <x:c r="AG1122" s="65" t="n">
        <x:v>5.820766091346741e-11</x:v>
      </x:c>
      <x:c r="AH1122" s="34" t="n">
        <x:v>0</x:v>
      </x:c>
    </x:row>
    <x:row r="1123" ht="15" hidden="0" customHeight="1">
      <x:c r="A1123" s="36" t="n">
        <x:v>280</x:v>
      </x:c>
      <x:c r="B1123" s="36" t="str">
        <x:v>P2</x:v>
      </x:c>
      <x:c r="C1123" s="36" t="str">
        <x:v>reference</x:v>
      </x:c>
      <x:c r="D1123" s="75" t="n">
        <x:v>1.1221471055126493</x:v>
      </x:c>
      <x:c r="E1123" s="75" t="n">
        <x:v>0.024626473692909677</x:v>
      </x:c>
      <x:c r="F1123" s="75" t="n">
        <x:v>0.7746649773550438</x:v>
      </x:c>
      <x:c r="G1123" s="75" t="n">
        <x:v>1.3238427861989988</x:v>
      </x:c>
      <x:c r="H1123" s="75" t="n">
        <x:v>0.7242006125534834</x:v>
      </x:c>
      <x:c r="I1123" s="75" t="n">
        <x:v>0.7940908794569418</x:v>
      </x:c>
      <x:c r="J1123" s="75" t="n">
        <x:v>0.9474315103958844</x:v>
      </x:c>
      <x:c r="K1123" s="75" t="n">
        <x:v>0.9525768723097583</x:v>
      </x:c>
      <x:c r="L1123" s="75" t="n">
        <x:v>0.9304208437708691</x:v>
      </x:c>
      <x:c r="M1123" s="75" t="n">
        <x:v>0.9247869673233371</x:v>
      </x:c>
      <x:c r="N1123" s="75" t="n">
        <x:v>1.0184609024956226</x:v>
      </x:c>
      <x:c r="O1123" s="66" t="n">
        <x:v>539808.6406774388</x:v>
      </x:c>
      <x:c r="P1123" s="66" t="n">
        <x:v>301162.51819223206</x:v>
      </x:c>
      <x:c r="Q1123" s="66" t="n">
        <x:v>238646.1224852068</x:v>
      </x:c>
      <x:c r="R1123" s="66" t="n">
        <x:v>113999.60771024997</x:v>
      </x:c>
      <x:c r="S1123" s="66" t="n">
        <x:v>124646.51477495681</x:v>
      </x:c>
      <x:c r="T1123" s="66" t="n">
        <x:v>112715.51291651293</x:v>
      </x:c>
      <x:c r="U1123" s="45" t="n">
        <x:v>0.7667124975794092</x:v>
      </x:c>
      <x:c r="V1123" s="45" t="n">
        <x:v>0.7984170806302182</x:v>
      </x:c>
      <x:c r="W1123" s="45" t="n">
        <x:v>0.45194845171537185</x:v>
      </x:c>
      <x:c r="X1123" s="66" t="n">
        <x:v>33334165.46658208</x:v>
      </x:c>
      <x:c r="Y1123" s="66" t="n">
        <x:v>61.751818986722775</x:v>
      </x:c>
      <x:c r="Z1123" s="66" t="n">
        <x:v>705128.5648499593</x:v>
      </x:c>
      <x:c r="AA1123" s="66" t="n">
        <x:v>191020.82397862026</x:v>
      </x:c>
      <x:c r="AB1123" s="66" t="n">
        <x:v>0</x:v>
      </x:c>
      <x:c r="AC1123" s="66" t="n">
        <x:v>0</x:v>
      </x:c>
      <x:c r="AD1123" s="66" t="n">
        <x:v>1729.6952587778424</x:v>
      </x:c>
      <x:c r="AE1123" s="66" t="n">
        <x:v>64864.82768776062</x:v>
      </x:c>
      <x:c r="AF1123" s="66" t="n">
        <x:v>112715.51291651299</x:v>
      </x:c>
      <x:c r="AG1123" s="66" t="n">
        <x:v>0</x:v>
      </x:c>
      <x:c r="AH1123" s="36" t="n">
        <x:v>0</x:v>
      </x:c>
    </x:row>
    <x:row r="1124" ht="15" hidden="0" customHeight="1">
      <x:c r="A1124" s="34" t="n">
        <x:v>280</x:v>
      </x:c>
      <x:c r="B1124" s="34" t="str">
        <x:v>H3</x:v>
      </x:c>
      <x:c r="C1124" s="34" t="str">
        <x:v>reference</x:v>
      </x:c>
      <x:c r="D1124" s="74" t="n">
        <x:v>1.1221471055126493</x:v>
      </x:c>
      <x:c r="E1124" s="74" t="n">
        <x:v>0.024626473692909677</x:v>
      </x:c>
      <x:c r="F1124" s="74" t="n">
        <x:v>0.7746649773550438</x:v>
      </x:c>
      <x:c r="G1124" s="74" t="n">
        <x:v>1.3238427861989988</x:v>
      </x:c>
      <x:c r="H1124" s="74" t="n">
        <x:v>0.7242006125534834</x:v>
      </x:c>
      <x:c r="I1124" s="74" t="n">
        <x:v>0.7940908794569418</x:v>
      </x:c>
      <x:c r="J1124" s="74" t="n">
        <x:v>0.9474315103958844</x:v>
      </x:c>
      <x:c r="K1124" s="74" t="n">
        <x:v>0.9525768723097583</x:v>
      </x:c>
      <x:c r="L1124" s="74" t="n">
        <x:v>0.9304208437708691</x:v>
      </x:c>
      <x:c r="M1124" s="74" t="n">
        <x:v>0.9247869673233371</x:v>
      </x:c>
      <x:c r="N1124" s="74" t="n">
        <x:v>1.0184609024956226</x:v>
      </x:c>
      <x:c r="O1124" s="65" t="n">
        <x:v>539808.6406774388</x:v>
      </x:c>
      <x:c r="P1124" s="65" t="n">
        <x:v>312413.04061814916</x:v>
      </x:c>
      <x:c r="Q1124" s="65" t="n">
        <x:v>227395.60005928966</x:v>
      </x:c>
      <x:c r="R1124" s="65" t="n">
        <x:v>113999.60771024997</x:v>
      </x:c>
      <x:c r="S1124" s="65" t="n">
        <x:v>113395.99234903968</x:v>
      </x:c>
      <x:c r="T1124" s="65" t="n">
        <x:v>173204.9340894522</x:v>
      </x:c>
      <x:c r="U1124" s="43" t="n">
        <x:v>0.899611340230067</x:v>
      </x:c>
      <x:c r="V1124" s="43" t="n">
        <x:v>0.9161647416491918</x:v>
      </x:c>
      <x:c r="W1124" s="43" t="n">
        <x:v>0.6348202024890537</x:v>
      </x:c>
      <x:c r="X1124" s="65" t="n">
        <x:v>26347079.665097095</x:v>
      </x:c>
      <x:c r="Y1124" s="65" t="n">
        <x:v>48.80818438184416</x:v>
      </x:c>
      <x:c r="Z1124" s="65" t="n">
        <x:v>1276713.3115486822</x:v>
      </x:c>
      <x:c r="AA1124" s="65" t="n">
        <x:v>160115.3615809918</x:v>
      </x:c>
      <x:c r="AB1124" s="65" t="n">
        <x:v>3377.833029277856</x:v>
      </x:c>
      <x:c r="AC1124" s="65" t="n">
        <x:v>0</x:v>
      </x:c>
      <x:c r="AD1124" s="65" t="n">
        <x:v>1704.7778749499862</x:v>
      </x:c>
      <x:c r="AE1124" s="65" t="n">
        <x:v>77833.44796602883</x:v>
      </x:c>
      <x:c r="AF1124" s="65" t="n">
        <x:v>173204.93408945206</x:v>
      </x:c>
      <x:c r="AG1124" s="65" t="n">
        <x:v>1.4551915228366852e-10</x:v>
      </x:c>
      <x:c r="AH1124" s="34" t="n">
        <x:v>0</x:v>
      </x:c>
    </x:row>
    <x:row r="1125" ht="21.600000381469727" hidden="0" customHeight="1">
      <x:c r="A1125" s="36" t="n">
        <x:v>281</x:v>
      </x:c>
      <x:c r="B1125" s="36" t="str">
        <x:v>M0</x:v>
      </x:c>
      <x:c r="C1125" s="36" t="str">
        <x:v>reference</x:v>
      </x:c>
      <x:c r="D1125" s="75" t="n">
        <x:v>1.1659142689196755</x:v>
      </x:c>
      <x:c r="E1125" s="75" t="n">
        <x:v>-0.016659552177320493</x:v>
      </x:c>
      <x:c r="F1125" s="75" t="n">
        <x:v>1.038229512456395</x:v>
      </x:c>
      <x:c r="G1125" s="75" t="n">
        <x:v>0.9973753456386965</x:v>
      </x:c>
      <x:c r="H1125" s="75" t="n">
        <x:v>0.9803259574594005</x:v>
      </x:c>
      <x:c r="I1125" s="75" t="n">
        <x:v>0.945058151299923</x:v>
      </x:c>
      <x:c r="J1125" s="75" t="n">
        <x:v>0.7854749026967474</x:v>
      </x:c>
      <x:c r="K1125" s="75" t="n">
        <x:v>0.7517386975593069</x:v>
      </x:c>
      <x:c r="L1125" s="75" t="n">
        <x:v>0.8662218237317049</x:v>
      </x:c>
      <x:c r="M1125" s="75" t="n">
        <x:v>0.939472092463967</x:v>
      </x:c>
      <x:c r="N1125" s="75" t="n">
        <x:v>0.9126387280477031</x:v>
      </x:c>
      <x:c r="O1125" s="66" t="n">
        <x:v>560862.8258809561</x:v>
      </x:c>
      <x:c r="P1125" s="66" t="n">
        <x:v>90057.71849130206</x:v>
      </x:c>
      <x:c r="Q1125" s="66" t="n">
        <x:v>470805.10738965403</x:v>
      </x:c>
      <x:c r="R1125" s="66" t="n">
        <x:v>95290.14335107201</x:v>
      </x:c>
      <x:c r="S1125" s="66" t="n">
        <x:v>375514.96403858205</x:v>
      </x:c>
      <x:c r="T1125" s="66" t="n">
        <x:v>271782.4642641974</x:v>
      </x:c>
      <x:c r="U1125" s="45" t="n">
        <x:v>0.645149163143682</x:v>
      </x:c>
      <x:c r="V1125" s="45" t="n">
        <x:v>0.6740756364185544</x:v>
      </x:c>
      <x:c r="W1125" s="45" t="n">
        <x:v>0.16002084441330675</x:v>
      </x:c>
      <x:c r="X1125" s="66" t="n">
        <x:v>63399930.02373162</x:v>
      </x:c>
      <x:c r="Y1125" s="66" t="n">
        <x:v>113.03999320002774</x:v>
      </x:c>
      <x:c r="Z1125" s="66" t="n">
        <x:v>4984366.903996713</x:v>
      </x:c>
      <x:c r="AA1125" s="66" t="n">
        <x:v>341979.2720288688</x:v>
      </x:c>
      <x:c r="AB1125" s="66" t="n">
        <x:v>42174.08280349086</x:v>
      </x:c>
      <x:c r="AC1125" s="66" t="n">
        <x:v>3225.8703055871765</x:v>
      </x:c>
      <x:c r="AD1125" s="66" t="n">
        <x:v>2330.193848048803</x:v>
      </x:c>
      <x:c r="AE1125" s="66" t="n">
        <x:v>219214.47352864972</x:v>
      </x:c>
      <x:c r="AF1125" s="66" t="n">
        <x:v>271782.46426419757</x:v>
      </x:c>
      <x:c r="AG1125" s="66" t="n">
        <x:v>0</x:v>
      </x:c>
      <x:c r="AH1125" s="36" t="n">
        <x:v>0</x:v>
      </x:c>
    </x:row>
    <x:row r="1126" ht="21.600000381469727" hidden="0" customHeight="1">
      <x:c r="A1126" s="34" t="n">
        <x:v>281</x:v>
      </x:c>
      <x:c r="B1126" s="34" t="str">
        <x:v>B1</x:v>
      </x:c>
      <x:c r="C1126" s="34" t="str">
        <x:v>reference</x:v>
      </x:c>
      <x:c r="D1126" s="74" t="n">
        <x:v>1.1659142689196755</x:v>
      </x:c>
      <x:c r="E1126" s="74" t="n">
        <x:v>-0.016659552177320493</x:v>
      </x:c>
      <x:c r="F1126" s="74" t="n">
        <x:v>1.038229512456395</x:v>
      </x:c>
      <x:c r="G1126" s="74" t="n">
        <x:v>0.9973753456386965</x:v>
      </x:c>
      <x:c r="H1126" s="74" t="n">
        <x:v>0.9803259574594005</x:v>
      </x:c>
      <x:c r="I1126" s="74" t="n">
        <x:v>0.945058151299923</x:v>
      </x:c>
      <x:c r="J1126" s="74" t="n">
        <x:v>0.7854749026967474</x:v>
      </x:c>
      <x:c r="K1126" s="74" t="n">
        <x:v>0.7517386975593069</x:v>
      </x:c>
      <x:c r="L1126" s="74" t="n">
        <x:v>0.8662218237317049</x:v>
      </x:c>
      <x:c r="M1126" s="74" t="n">
        <x:v>0.939472092463967</x:v>
      </x:c>
      <x:c r="N1126" s="74" t="n">
        <x:v>0.9126387280477031</x:v>
      </x:c>
      <x:c r="O1126" s="65" t="n">
        <x:v>560862.8258809561</x:v>
      </x:c>
      <x:c r="P1126" s="65" t="n">
        <x:v>304634.11808599817</x:v>
      </x:c>
      <x:c r="Q1126" s="65" t="n">
        <x:v>256228.7077949579</x:v>
      </x:c>
      <x:c r="R1126" s="65" t="n">
        <x:v>95290.14335107201</x:v>
      </x:c>
      <x:c r="S1126" s="65" t="n">
        <x:v>160938.56444388593</x:v>
      </x:c>
      <x:c r="T1126" s="65" t="n">
        <x:v>187932.76719628618</x:v>
      </x:c>
      <x:c r="U1126" s="43" t="n">
        <x:v>0.8782305807281874</x:v>
      </x:c>
      <x:c r="V1126" s="43" t="n">
        <x:v>0.8903884455884956</x:v>
      </x:c>
      <x:c r="W1126" s="43" t="n">
        <x:v>0.5140549469348986</x:v>
      </x:c>
      <x:c r="X1126" s="65" t="n">
        <x:v>33353342.299847737</x:v>
      </x:c>
      <x:c r="Y1126" s="65" t="n">
        <x:v>59.46791400813401</x:v>
      </x:c>
      <x:c r="Z1126" s="65" t="n">
        <x:v>2037064.5770430677</x:v>
      </x:c>
      <x:c r="AA1126" s="65" t="n">
        <x:v>171961.48809150138</x:v>
      </x:c>
      <x:c r="AB1126" s="65" t="n">
        <x:v>3958.401864508385</x:v>
      </x:c>
      <x:c r="AC1126" s="65" t="n">
        <x:v>39335.83744712583</x:v>
      </x:c>
      <x:c r="AD1126" s="65" t="n">
        <x:v>1768.9996277012183</x:v>
      </x:c>
      <x:c r="AE1126" s="65" t="n">
        <x:v>109080.78109296468</x:v>
      </x:c>
      <x:c r="AF1126" s="65" t="n">
        <x:v>187932.76719628612</x:v>
      </x:c>
      <x:c r="AG1126" s="65" t="n">
        <x:v>5.820766091346741e-11</x:v>
      </x:c>
      <x:c r="AH1126" s="34" t="n">
        <x:v>0</x:v>
      </x:c>
    </x:row>
    <x:row r="1127" ht="21.600000381469727" hidden="0" customHeight="1">
      <x:c r="A1127" s="36" t="n">
        <x:v>281</x:v>
      </x:c>
      <x:c r="B1127" s="36" t="str">
        <x:v>P2</x:v>
      </x:c>
      <x:c r="C1127" s="36" t="str">
        <x:v>reference</x:v>
      </x:c>
      <x:c r="D1127" s="75" t="n">
        <x:v>1.1659142689196755</x:v>
      </x:c>
      <x:c r="E1127" s="75" t="n">
        <x:v>-0.016659552177320493</x:v>
      </x:c>
      <x:c r="F1127" s="75" t="n">
        <x:v>1.038229512456395</x:v>
      </x:c>
      <x:c r="G1127" s="75" t="n">
        <x:v>0.9973753456386965</x:v>
      </x:c>
      <x:c r="H1127" s="75" t="n">
        <x:v>0.9803259574594005</x:v>
      </x:c>
      <x:c r="I1127" s="75" t="n">
        <x:v>0.945058151299923</x:v>
      </x:c>
      <x:c r="J1127" s="75" t="n">
        <x:v>0.7854749026967474</x:v>
      </x:c>
      <x:c r="K1127" s="75" t="n">
        <x:v>0.7517386975593069</x:v>
      </x:c>
      <x:c r="L1127" s="75" t="n">
        <x:v>0.8662218237317049</x:v>
      </x:c>
      <x:c r="M1127" s="75" t="n">
        <x:v>0.939472092463967</x:v>
      </x:c>
      <x:c r="N1127" s="75" t="n">
        <x:v>0.9126387280477031</x:v>
      </x:c>
      <x:c r="O1127" s="66" t="n">
        <x:v>560862.8258809561</x:v>
      </x:c>
      <x:c r="P1127" s="66" t="n">
        <x:v>441319.8074602976</x:v>
      </x:c>
      <x:c r="Q1127" s="66" t="n">
        <x:v>119543.01842065851</x:v>
      </x:c>
      <x:c r="R1127" s="66" t="n">
        <x:v>95290.14335107201</x:v>
      </x:c>
      <x:c r="S1127" s="66" t="n">
        <x:v>24252.875069586495</x:v>
      </x:c>
      <x:c r="T1127" s="66" t="n">
        <x:v>112384.71118990016</x:v>
      </x:c>
      <x:c r="U1127" s="45" t="n">
        <x:v>0.9872369732839492</x:v>
      </x:c>
      <x:c r="V1127" s="45" t="n">
        <x:v>0.9886574052072029</x:v>
      </x:c>
      <x:c r="W1127" s="45" t="n">
        <x:v>0.8723697328394925</x:v>
      </x:c>
      <x:c r="X1127" s="66" t="n">
        <x:v>14917746.314949464</x:v>
      </x:c>
      <x:c r="Y1127" s="66" t="n">
        <x:v>26.597851785805066</x:v>
      </x:c>
      <x:c r="Z1127" s="66" t="n">
        <x:v>734167.266281651</x:v>
      </x:c>
      <x:c r="AA1127" s="66" t="n">
        <x:v>82411.04556145356</x:v>
      </x:c>
      <x:c r="AB1127" s="66" t="n">
        <x:v>0</x:v>
      </x:c>
      <x:c r="AC1127" s="66" t="n">
        <x:v>5385.016054711508</x:v>
      </x:c>
      <x:c r="AD1127" s="66" t="n">
        <x:v>1429.9085093160002</x:v>
      </x:c>
      <x:c r="AE1127" s="66" t="n">
        <x:v>65553.08651193845</x:v>
      </x:c>
      <x:c r="AF1127" s="66" t="n">
        <x:v>112384.71118990012</x:v>
      </x:c>
      <x:c r="AG1127" s="66" t="n">
        <x:v>4.3655745685100555e-11</x:v>
      </x:c>
      <x:c r="AH1127" s="36" t="n">
        <x:v>1</x:v>
      </x:c>
    </x:row>
    <x:row r="1128" ht="21.600000381469727" hidden="0" customHeight="1">
      <x:c r="A1128" s="34" t="n">
        <x:v>281</x:v>
      </x:c>
      <x:c r="B1128" s="34" t="str">
        <x:v>H3</x:v>
      </x:c>
      <x:c r="C1128" s="34" t="str">
        <x:v>reference</x:v>
      </x:c>
      <x:c r="D1128" s="74" t="n">
        <x:v>1.1659142689196755</x:v>
      </x:c>
      <x:c r="E1128" s="74" t="n">
        <x:v>-0.016659552177320493</x:v>
      </x:c>
      <x:c r="F1128" s="74" t="n">
        <x:v>1.038229512456395</x:v>
      </x:c>
      <x:c r="G1128" s="74" t="n">
        <x:v>0.9973753456386965</x:v>
      </x:c>
      <x:c r="H1128" s="74" t="n">
        <x:v>0.9803259574594005</x:v>
      </x:c>
      <x:c r="I1128" s="74" t="n">
        <x:v>0.945058151299923</x:v>
      </x:c>
      <x:c r="J1128" s="74" t="n">
        <x:v>0.7854749026967474</x:v>
      </x:c>
      <x:c r="K1128" s="74" t="n">
        <x:v>0.7517386975593069</x:v>
      </x:c>
      <x:c r="L1128" s="74" t="n">
        <x:v>0.8662218237317049</x:v>
      </x:c>
      <x:c r="M1128" s="74" t="n">
        <x:v>0.939472092463967</x:v>
      </x:c>
      <x:c r="N1128" s="74" t="n">
        <x:v>0.9126387280477031</x:v>
      </x:c>
      <x:c r="O1128" s="65" t="n">
        <x:v>560862.8258809561</x:v>
      </x:c>
      <x:c r="P1128" s="65" t="n">
        <x:v>456016.79127548716</x:v>
      </x:c>
      <x:c r="Q1128" s="65" t="n">
        <x:v>104846.03460546887</x:v>
      </x:c>
      <x:c r="R1128" s="65" t="n">
        <x:v>95290.14335107201</x:v>
      </x:c>
      <x:c r="S1128" s="65" t="n">
        <x:v>9555.891254396876</x:v>
      </x:c>
      <x:c r="T1128" s="65" t="n">
        <x:v>103447.0080947615</x:v>
      </x:c>
      <x:c r="U1128" s="43" t="n">
        <x:v>0.9975055816749668</x:v>
      </x:c>
      <x:c r="V1128" s="43" t="n">
        <x:v>0.9984289787849253</x:v>
      </x:c>
      <x:c r="W1128" s="43" t="n">
        <x:v>0.9750558167496681</x:v>
      </x:c>
      <x:c r="X1128" s="65" t="n">
        <x:v>11842797.253119439</x:v>
      </x:c>
      <x:c r="Y1128" s="65" t="n">
        <x:v>21.115318588850617</x:v>
      </x:c>
      <x:c r="Z1128" s="65" t="n">
        <x:v>741407.4395613964</x:v>
      </x:c>
      <x:c r="AA1128" s="65" t="n">
        <x:v>77011.87144166304</x:v>
      </x:c>
      <x:c r="AB1128" s="65" t="n">
        <x:v>3011.9908434670997</x:v>
      </x:c>
      <x:c r="AC1128" s="65" t="n">
        <x:v>3467.618089182679</x:v>
      </x:c>
      <x:c r="AD1128" s="65" t="n">
        <x:v>1399.0265107073637</x:v>
      </x:c>
      <x:c r="AE1128" s="65" t="n">
        <x:v>63819.035045587705</x:v>
      </x:c>
      <x:c r="AF1128" s="65" t="n">
        <x:v>103447.0080947615</x:v>
      </x:c>
      <x:c r="AG1128" s="65" t="n">
        <x:v>0</x:v>
      </x:c>
      <x:c r="AH1128" s="34" t="n">
        <x:v>1</x:v>
      </x:c>
    </x:row>
    <x:row r="1129" ht="15" hidden="0" customHeight="1">
      <x:c r="A1129" s="36" t="n">
        <x:v>282</x:v>
      </x:c>
      <x:c r="B1129" s="36" t="str">
        <x:v>M0</x:v>
      </x:c>
      <x:c r="C1129" s="36" t="str">
        <x:v>reference</x:v>
      </x:c>
      <x:c r="D1129" s="75" t="n">
        <x:v>0.9887217673604766</x:v>
      </x:c>
      <x:c r="E1129" s="75" t="n">
        <x:v>0.07115678635160544</x:v>
      </x:c>
      <x:c r="F1129" s="75" t="n">
        <x:v>0.7695565011942174</x:v>
      </x:c>
      <x:c r="G1129" s="75" t="n">
        <x:v>1.023652237963895</x:v>
      </x:c>
      <x:c r="H1129" s="75" t="n">
        <x:v>0.8714663166727084</x:v>
      </x:c>
      <x:c r="I1129" s="75" t="n">
        <x:v>0.7868371658631869</x:v>
      </x:c>
      <x:c r="J1129" s="75" t="n">
        <x:v>0.9276686338176492</x:v>
      </x:c>
      <x:c r="K1129" s="75" t="n">
        <x:v>0.9406082497248772</x:v>
      </x:c>
      <x:c r="L1129" s="75" t="n">
        <x:v>0.9982809581030476</x:v>
      </x:c>
      <x:c r="M1129" s="75" t="n">
        <x:v>1.0128803682346854</x:v>
      </x:c>
      <x:c r="N1129" s="75" t="n">
        <x:v>1.033838716630877</x:v>
      </x:c>
      <x:c r="O1129" s="66" t="n">
        <x:v>475624.4084444038</x:v>
      </x:c>
      <x:c r="P1129" s="66" t="n">
        <x:v>50618.087228682474</x:v>
      </x:c>
      <x:c r="Q1129" s="66" t="n">
        <x:v>425006.3212157213</x:v>
      </x:c>
      <x:c r="R1129" s="66" t="n">
        <x:v>122575.79879939044</x:v>
      </x:c>
      <x:c r="S1129" s="66" t="n">
        <x:v>302430.5224163309</x:v>
      </x:c>
      <x:c r="T1129" s="66" t="n">
        <x:v>264020.12790581293</x:v>
      </x:c>
      <x:c r="U1129" s="45" t="n">
        <x:v>0.6615266364557777</x:v>
      </x:c>
      <x:c r="V1129" s="45" t="n">
        <x:v>0.6836389168616874</x:v>
      </x:c>
      <x:c r="W1129" s="45" t="n">
        <x:v>0.1062280445846309</x:v>
      </x:c>
      <x:c r="X1129" s="66" t="n">
        <x:v>54815216.88944859</x:v>
      </x:c>
      <x:c r="Y1129" s="66" t="n">
        <x:v>115.24895677395833</x:v>
      </x:c>
      <x:c r="Z1129" s="66" t="n">
        <x:v>6130802.79074463</x:v>
      </x:c>
      <x:c r="AA1129" s="66" t="n">
        <x:v>295406.10931680776</x:v>
      </x:c>
      <x:c r="AB1129" s="66" t="n">
        <x:v>54357.0304912142</x:v>
      </x:c>
      <x:c r="AC1129" s="66" t="n">
        <x:v>0</x:v>
      </x:c>
      <x:c r="AD1129" s="66" t="n">
        <x:v>2059.759052092316</x:v>
      </x:c>
      <x:c r="AE1129" s="66" t="n">
        <x:v>174696.46278890516</x:v>
      </x:c>
      <x:c r="AF1129" s="66" t="n">
        <x:v>264020.12790581275</x:v>
      </x:c>
      <x:c r="AG1129" s="66" t="n">
        <x:v>1.7462298274040222e-10</x:v>
      </x:c>
      <x:c r="AH1129" s="36" t="n">
        <x:v>0</x:v>
      </x:c>
    </x:row>
    <x:row r="1130" ht="15" hidden="0" customHeight="1">
      <x:c r="A1130" s="34" t="n">
        <x:v>282</x:v>
      </x:c>
      <x:c r="B1130" s="34" t="str">
        <x:v>B1</x:v>
      </x:c>
      <x:c r="C1130" s="34" t="str">
        <x:v>reference</x:v>
      </x:c>
      <x:c r="D1130" s="74" t="n">
        <x:v>0.9887217673604766</x:v>
      </x:c>
      <x:c r="E1130" s="74" t="n">
        <x:v>0.07115678635160544</x:v>
      </x:c>
      <x:c r="F1130" s="74" t="n">
        <x:v>0.7695565011942174</x:v>
      </x:c>
      <x:c r="G1130" s="74" t="n">
        <x:v>1.023652237963895</x:v>
      </x:c>
      <x:c r="H1130" s="74" t="n">
        <x:v>0.8714663166727084</x:v>
      </x:c>
      <x:c r="I1130" s="74" t="n">
        <x:v>0.7868371658631869</x:v>
      </x:c>
      <x:c r="J1130" s="74" t="n">
        <x:v>0.9276686338176492</x:v>
      </x:c>
      <x:c r="K1130" s="74" t="n">
        <x:v>0.9406082497248772</x:v>
      </x:c>
      <x:c r="L1130" s="74" t="n">
        <x:v>0.9982809581030476</x:v>
      </x:c>
      <x:c r="M1130" s="74" t="n">
        <x:v>1.0128803682346854</x:v>
      </x:c>
      <x:c r="N1130" s="74" t="n">
        <x:v>1.033838716630877</x:v>
      </x:c>
      <x:c r="O1130" s="65" t="n">
        <x:v>475624.4084444038</x:v>
      </x:c>
      <x:c r="P1130" s="65" t="n">
        <x:v>171225.6006155606</x:v>
      </x:c>
      <x:c r="Q1130" s="65" t="n">
        <x:v>304398.8078288431</x:v>
      </x:c>
      <x:c r="R1130" s="65" t="n">
        <x:v>122575.79879939044</x:v>
      </x:c>
      <x:c r="S1130" s="65" t="n">
        <x:v>181823.00902945275</x:v>
      </x:c>
      <x:c r="T1130" s="65" t="n">
        <x:v>187126.9891041449</x:v>
      </x:c>
      <x:c r="U1130" s="43" t="n">
        <x:v>0.7534360797246462</x:v>
      </x:c>
      <x:c r="V1130" s="43" t="n">
        <x:v>0.7735659025872184</x:v>
      </x:c>
      <x:c r="W1130" s="43" t="n">
        <x:v>0.38684604775379045</x:v>
      </x:c>
      <x:c r="X1130" s="65" t="n">
        <x:v>40434165.221611835</x:v>
      </x:c>
      <x:c r="Y1130" s="65" t="n">
        <x:v>85.01280528023663</x:v>
      </x:c>
      <x:c r="Z1130" s="65" t="n">
        <x:v>2842640.031199549</x:v>
      </x:c>
      <x:c r="AA1130" s="65" t="n">
        <x:v>219372.2034884721</x:v>
      </x:c>
      <x:c r="AB1130" s="65" t="n">
        <x:v>21930.61936345296</x:v>
      </x:c>
      <x:c r="AC1130" s="65" t="n">
        <x:v>0</x:v>
      </x:c>
      <x:c r="AD1130" s="65" t="n">
        <x:v>1773.389288226785</x:v>
      </x:c>
      <x:c r="AE1130" s="65" t="n">
        <x:v>107602.02274242158</x:v>
      </x:c>
      <x:c r="AF1130" s="65" t="n">
        <x:v>187126.9891041449</x:v>
      </x:c>
      <x:c r="AG1130" s="65" t="n">
        <x:v>0</x:v>
      </x:c>
      <x:c r="AH1130" s="34" t="n">
        <x:v>0</x:v>
      </x:c>
    </x:row>
    <x:row r="1131" ht="15" hidden="0" customHeight="1">
      <x:c r="A1131" s="36" t="n">
        <x:v>282</x:v>
      </x:c>
      <x:c r="B1131" s="36" t="str">
        <x:v>P2</x:v>
      </x:c>
      <x:c r="C1131" s="36" t="str">
        <x:v>reference</x:v>
      </x:c>
      <x:c r="D1131" s="75" t="n">
        <x:v>0.9887217673604766</x:v>
      </x:c>
      <x:c r="E1131" s="75" t="n">
        <x:v>0.07115678635160544</x:v>
      </x:c>
      <x:c r="F1131" s="75" t="n">
        <x:v>0.7695565011942174</x:v>
      </x:c>
      <x:c r="G1131" s="75" t="n">
        <x:v>1.023652237963895</x:v>
      </x:c>
      <x:c r="H1131" s="75" t="n">
        <x:v>0.8714663166727084</x:v>
      </x:c>
      <x:c r="I1131" s="75" t="n">
        <x:v>0.7868371658631869</x:v>
      </x:c>
      <x:c r="J1131" s="75" t="n">
        <x:v>0.9276686338176492</x:v>
      </x:c>
      <x:c r="K1131" s="75" t="n">
        <x:v>0.9406082497248772</x:v>
      </x:c>
      <x:c r="L1131" s="75" t="n">
        <x:v>0.9982809581030476</x:v>
      </x:c>
      <x:c r="M1131" s="75" t="n">
        <x:v>1.0128803682346854</x:v>
      </x:c>
      <x:c r="N1131" s="75" t="n">
        <x:v>1.033838716630877</x:v>
      </x:c>
      <x:c r="O1131" s="66" t="n">
        <x:v>475624.4084444038</x:v>
      </x:c>
      <x:c r="P1131" s="66" t="n">
        <x:v>248054.2086428444</x:v>
      </x:c>
      <x:c r="Q1131" s="66" t="n">
        <x:v>227570.19980155936</x:v>
      </x:c>
      <x:c r="R1131" s="66" t="n">
        <x:v>122575.79879939044</x:v>
      </x:c>
      <x:c r="S1131" s="66" t="n">
        <x:v>104994.40100216893</x:v>
      </x:c>
      <x:c r="T1131" s="66" t="n">
        <x:v>134502.6233926987</x:v>
      </x:c>
      <x:c r="U1131" s="45" t="n">
        <x:v>0.8043254829724757</x:v>
      </x:c>
      <x:c r="V1131" s="45" t="n">
        <x:v>0.8308913575547816</x:v>
      </x:c>
      <x:c r="W1131" s="45" t="n">
        <x:v>0.5171252786702657</x:v>
      </x:c>
      <x:c r="X1131" s="66" t="n">
        <x:v>29645692.929837987</x:v>
      </x:c>
      <x:c r="Y1131" s="66" t="n">
        <x:v>62.33004951700939</x:v>
      </x:c>
      <x:c r="Z1131" s="66" t="n">
        <x:v>850174.1472894307</x:v>
      </x:c>
      <x:c r="AA1131" s="66" t="n">
        <x:v>172586.67590684272</x:v>
      </x:c>
      <x:c r="AB1131" s="66" t="n">
        <x:v>579.0277922061326</x:v>
      </x:c>
      <x:c r="AC1131" s="66" t="n">
        <x:v>0</x:v>
      </x:c>
      <x:c r="AD1131" s="66" t="n">
        <x:v>1600.3557109373937</x:v>
      </x:c>
      <x:c r="AE1131" s="66" t="n">
        <x:v>70707.95236439763</x:v>
      </x:c>
      <x:c r="AF1131" s="66" t="n">
        <x:v>134502.62339269868</x:v>
      </x:c>
      <x:c r="AG1131" s="66" t="n">
        <x:v>2.9103830456733704e-11</x:v>
      </x:c>
      <x:c r="AH1131" s="36" t="n">
        <x:v>0</x:v>
      </x:c>
    </x:row>
    <x:row r="1132" ht="15" hidden="0" customHeight="1">
      <x:c r="A1132" s="34" t="n">
        <x:v>282</x:v>
      </x:c>
      <x:c r="B1132" s="34" t="str">
        <x:v>H3</x:v>
      </x:c>
      <x:c r="C1132" s="34" t="str">
        <x:v>reference</x:v>
      </x:c>
      <x:c r="D1132" s="74" t="n">
        <x:v>0.9887217673604766</x:v>
      </x:c>
      <x:c r="E1132" s="74" t="n">
        <x:v>0.07115678635160544</x:v>
      </x:c>
      <x:c r="F1132" s="74" t="n">
        <x:v>0.7695565011942174</x:v>
      </x:c>
      <x:c r="G1132" s="74" t="n">
        <x:v>1.023652237963895</x:v>
      </x:c>
      <x:c r="H1132" s="74" t="n">
        <x:v>0.8714663166727084</x:v>
      </x:c>
      <x:c r="I1132" s="74" t="n">
        <x:v>0.7868371658631869</x:v>
      </x:c>
      <x:c r="J1132" s="74" t="n">
        <x:v>0.9276686338176492</x:v>
      </x:c>
      <x:c r="K1132" s="74" t="n">
        <x:v>0.9406082497248772</x:v>
      </x:c>
      <x:c r="L1132" s="74" t="n">
        <x:v>0.9982809581030476</x:v>
      </x:c>
      <x:c r="M1132" s="74" t="n">
        <x:v>1.0128803682346854</x:v>
      </x:c>
      <x:c r="N1132" s="74" t="n">
        <x:v>1.033838716630877</x:v>
      </x:c>
      <x:c r="O1132" s="65" t="n">
        <x:v>475624.4084444038</x:v>
      </x:c>
      <x:c r="P1132" s="65" t="n">
        <x:v>257320.9592253306</x:v>
      </x:c>
      <x:c r="Q1132" s="65" t="n">
        <x:v>218303.44921907317</x:v>
      </x:c>
      <x:c r="R1132" s="65" t="n">
        <x:v>122575.79879939044</x:v>
      </x:c>
      <x:c r="S1132" s="65" t="n">
        <x:v>95727.65041968273</x:v>
      </x:c>
      <x:c r="T1132" s="65" t="n">
        <x:v>197135.99464467115</x:v>
      </x:c>
      <x:c r="U1132" s="43" t="n">
        <x:v>0.9554954409433419</x:v>
      </x:c>
      <x:c r="V1132" s="43" t="n">
        <x:v>0.9551807618655113</x:v>
      </x:c>
      <x:c r="W1132" s="43" t="n">
        <x:v>0.6882390389034807</x:v>
      </x:c>
      <x:c r="X1132" s="65" t="n">
        <x:v>23060752.534881305</x:v>
      </x:c>
      <x:c r="Y1132" s="65" t="n">
        <x:v>48.48521674971376</x:v>
      </x:c>
      <x:c r="Z1132" s="65" t="n">
        <x:v>2090590.4184113322</x:v>
      </x:c>
      <x:c r="AA1132" s="65" t="n">
        <x:v>141142.655747062</x:v>
      </x:c>
      <x:c r="AB1132" s="65" t="n">
        <x:v>11844.77594766066</x:v>
      </x:c>
      <x:c r="AC1132" s="65" t="n">
        <x:v>339.11160753764386</x:v>
      </x:c>
      <x:c r="AD1132" s="65" t="n">
        <x:v>1580.9315446169248</x:v>
      </x:c>
      <x:c r="AE1132" s="65" t="n">
        <x:v>49834.28736903495</x:v>
      </x:c>
      <x:c r="AF1132" s="65" t="n">
        <x:v>197135.99464467107</x:v>
      </x:c>
      <x:c r="AG1132" s="65" t="n">
        <x:v>8.731149137020111e-11</x:v>
      </x:c>
      <x:c r="AH1132" s="34" t="n">
        <x:v>0</x:v>
      </x:c>
    </x:row>
    <x:row r="1133" ht="15" hidden="0" customHeight="1">
      <x:c r="A1133" s="36" t="n">
        <x:v>283</x:v>
      </x:c>
      <x:c r="B1133" s="36" t="str">
        <x:v>M0</x:v>
      </x:c>
      <x:c r="C1133" s="36" t="str">
        <x:v>slow</x:v>
      </x:c>
      <x:c r="D1133" s="75" t="n">
        <x:v>1.0201352577155267</x:v>
      </x:c>
      <x:c r="E1133" s="75" t="n">
        <x:v>0.003730025741089403</x:v>
      </x:c>
      <x:c r="F1133" s="75" t="n">
        <x:v>0.886954531591292</x:v>
      </x:c>
      <x:c r="G1133" s="75" t="n">
        <x:v>1.0108651770157415</x:v>
      </x:c>
      <x:c r="H1133" s="75" t="n">
        <x:v>1.046116601455899</x:v>
      </x:c>
      <x:c r="I1133" s="75" t="n">
        <x:v>1.0453239656565438</x:v>
      </x:c>
      <x:c r="J1133" s="75" t="n">
        <x:v>0.9620428205594956</x:v>
      </x:c>
      <x:c r="K1133" s="75" t="n">
        <x:v>0.9225513416489282</x:v>
      </x:c>
      <x:c r="L1133" s="75" t="n">
        <x:v>0.9444773814916578</x:v>
      </x:c>
      <x:c r="M1133" s="75" t="n">
        <x:v>0.9147607999424061</x:v>
      </x:c>
      <x:c r="N1133" s="75" t="n">
        <x:v>1.0141437638085598</x:v>
      </x:c>
      <x:c r="O1133" s="66" t="n">
        <x:v>490735.86169700255</x:v>
      </x:c>
      <x:c r="P1133" s="66" t="n">
        <x:v>65662.49792298008</x:v>
      </x:c>
      <x:c r="Q1133" s="66" t="n">
        <x:v>425073.3637740225</x:v>
      </x:c>
      <x:c r="R1133" s="66" t="n">
        <x:v>93381.52558676965</x:v>
      </x:c>
      <x:c r="S1133" s="66" t="n">
        <x:v>331691.83818725287</x:v>
      </x:c>
      <x:c r="T1133" s="66" t="n">
        <x:v>271559.7789650003</x:v>
      </x:c>
      <x:c r="U1133" s="45" t="n">
        <x:v>0.6871767547654652</x:v>
      </x:c>
      <x:c r="V1133" s="45" t="n">
        <x:v>0.6714217059906344</x:v>
      </x:c>
      <x:c r="W1133" s="45" t="n">
        <x:v>0.0705354734101791</x:v>
      </x:c>
      <x:c r="X1133" s="66" t="n">
        <x:v>51581603.882980645</x:v>
      </x:c>
      <x:c r="Y1133" s="66" t="n">
        <x:v>105.1107284163164</x:v>
      </x:c>
      <x:c r="Z1133" s="66" t="n">
        <x:v>2660309.2253682604</x:v>
      </x:c>
      <x:c r="AA1133" s="66" t="n">
        <x:v>283816.8373564035</x:v>
      </x:c>
      <x:c r="AB1133" s="66" t="n">
        <x:v>16925.257349329444</x:v>
      </x:c>
      <x:c r="AC1133" s="66" t="n">
        <x:v>715.5596109730994</x:v>
      </x:c>
      <x:c r="AD1133" s="66" t="n">
        <x:v>2701.403591682745</x:v>
      </x:c>
      <x:c r="AE1133" s="66" t="n">
        <x:v>213145.09816962725</x:v>
      </x:c>
      <x:c r="AF1133" s="66" t="n">
        <x:v>271559.77896500035</x:v>
      </x:c>
      <x:c r="AG1133" s="66" t="n">
        <x:v>0</x:v>
      </x:c>
      <x:c r="AH1133" s="36" t="n">
        <x:v>0</x:v>
      </x:c>
    </x:row>
    <x:row r="1134" ht="15" hidden="0" customHeight="1">
      <x:c r="A1134" s="34" t="n">
        <x:v>283</x:v>
      </x:c>
      <x:c r="B1134" s="34" t="str">
        <x:v>B1</x:v>
      </x:c>
      <x:c r="C1134" s="34" t="str">
        <x:v>slow</x:v>
      </x:c>
      <x:c r="D1134" s="74" t="n">
        <x:v>1.0201352577155267</x:v>
      </x:c>
      <x:c r="E1134" s="74" t="n">
        <x:v>0.003730025741089403</x:v>
      </x:c>
      <x:c r="F1134" s="74" t="n">
        <x:v>0.886954531591292</x:v>
      </x:c>
      <x:c r="G1134" s="74" t="n">
        <x:v>1.0108651770157415</x:v>
      </x:c>
      <x:c r="H1134" s="74" t="n">
        <x:v>1.046116601455899</x:v>
      </x:c>
      <x:c r="I1134" s="74" t="n">
        <x:v>1.0453239656565438</x:v>
      </x:c>
      <x:c r="J1134" s="74" t="n">
        <x:v>0.9620428205594956</x:v>
      </x:c>
      <x:c r="K1134" s="74" t="n">
        <x:v>0.9225513416489282</x:v>
      </x:c>
      <x:c r="L1134" s="74" t="n">
        <x:v>0.9444773814916578</x:v>
      </x:c>
      <x:c r="M1134" s="74" t="n">
        <x:v>0.9147607999424061</x:v>
      </x:c>
      <x:c r="N1134" s="74" t="n">
        <x:v>1.0141437638085598</x:v>
      </x:c>
      <x:c r="O1134" s="65" t="n">
        <x:v>490735.86169700255</x:v>
      </x:c>
      <x:c r="P1134" s="65" t="n">
        <x:v>222114.1074939008</x:v>
      </x:c>
      <x:c r="Q1134" s="65" t="n">
        <x:v>268621.75420310174</x:v>
      </x:c>
      <x:c r="R1134" s="65" t="n">
        <x:v>93381.52558676965</x:v>
      </x:c>
      <x:c r="S1134" s="65" t="n">
        <x:v>175240.2286163321</x:v>
      </x:c>
      <x:c r="T1134" s="65" t="n">
        <x:v>159583.8011962985</x:v>
      </x:c>
      <x:c r="U1134" s="43" t="n">
        <x:v>0.777807245164962</x:v>
      </x:c>
      <x:c r="V1134" s="43" t="n">
        <x:v>0.768157689223992</x:v>
      </x:c>
      <x:c r="W1134" s="43" t="n">
        <x:v>0.24481999736378401</x:v>
      </x:c>
      <x:c r="X1134" s="65" t="n">
        <x:v>33872313.1798877</x:v>
      </x:c>
      <x:c r="Y1134" s="65" t="n">
        <x:v>69.02351310286275</x:v>
      </x:c>
      <x:c r="Z1134" s="65" t="n">
        <x:v>1083545.8980057305</x:v>
      </x:c>
      <x:c r="AA1134" s="65" t="n">
        <x:v>174593.58703389118</x:v>
      </x:c>
      <x:c r="AB1134" s="65" t="n">
        <x:v>2648.3983126472253</x:v>
      </x:c>
      <x:c r="AC1134" s="65" t="n">
        <x:v>1087.0240717461868</x:v>
      </x:c>
      <x:c r="AD1134" s="65" t="n">
        <x:v>2180.7164140451505</x:v>
      </x:c>
      <x:c r="AE1134" s="65" t="n">
        <x:v>71961.78000323904</x:v>
      </x:c>
      <x:c r="AF1134" s="65" t="n">
        <x:v>159583.80119629845</x:v>
      </x:c>
      <x:c r="AG1134" s="65" t="n">
        <x:v>5.820766091346741e-11</x:v>
      </x:c>
      <x:c r="AH1134" s="34" t="n">
        <x:v>0</x:v>
      </x:c>
    </x:row>
    <x:row r="1135" ht="15" hidden="0" customHeight="1">
      <x:c r="A1135" s="36" t="n">
        <x:v>283</x:v>
      </x:c>
      <x:c r="B1135" s="36" t="str">
        <x:v>P2</x:v>
      </x:c>
      <x:c r="C1135" s="36" t="str">
        <x:v>slow</x:v>
      </x:c>
      <x:c r="D1135" s="75" t="n">
        <x:v>1.0201352577155267</x:v>
      </x:c>
      <x:c r="E1135" s="75" t="n">
        <x:v>0.003730025741089403</x:v>
      </x:c>
      <x:c r="F1135" s="75" t="n">
        <x:v>0.886954531591292</x:v>
      </x:c>
      <x:c r="G1135" s="75" t="n">
        <x:v>1.0108651770157415</x:v>
      </x:c>
      <x:c r="H1135" s="75" t="n">
        <x:v>1.046116601455899</x:v>
      </x:c>
      <x:c r="I1135" s="75" t="n">
        <x:v>1.0453239656565438</x:v>
      </x:c>
      <x:c r="J1135" s="75" t="n">
        <x:v>0.9620428205594956</x:v>
      </x:c>
      <x:c r="K1135" s="75" t="n">
        <x:v>0.9225513416489282</x:v>
      </x:c>
      <x:c r="L1135" s="75" t="n">
        <x:v>0.9444773814916578</x:v>
      </x:c>
      <x:c r="M1135" s="75" t="n">
        <x:v>0.9147607999424061</x:v>
      </x:c>
      <x:c r="N1135" s="75" t="n">
        <x:v>1.0141437638085598</x:v>
      </x:c>
      <x:c r="O1135" s="66" t="n">
        <x:v>490735.86169700255</x:v>
      </x:c>
      <x:c r="P1135" s="66" t="n">
        <x:v>321774.53070337814</x:v>
      </x:c>
      <x:c r="Q1135" s="66" t="n">
        <x:v>168961.33099362446</x:v>
      </x:c>
      <x:c r="R1135" s="66" t="n">
        <x:v>93381.52558676965</x:v>
      </x:c>
      <x:c r="S1135" s="66" t="n">
        <x:v>75579.80540685482</x:v>
      </x:c>
      <x:c r="T1135" s="66" t="n">
        <x:v>89304.90551748907</x:v>
      </x:c>
      <x:c r="U1135" s="45" t="n">
        <x:v>0.8376796323776354</x:v>
      </x:c>
      <x:c r="V1135" s="45" t="n">
        <x:v>0.8320292880457273</x:v>
      </x:c>
      <x:c r="W1135" s="45" t="n">
        <x:v>0.359745225879429</x:v>
      </x:c>
      <x:c r="X1135" s="66" t="n">
        <x:v>21527325.877298106</x:v>
      </x:c>
      <x:c r="Y1135" s="66" t="n">
        <x:v>43.86743981345677</x:v>
      </x:c>
      <x:c r="Z1135" s="66" t="n">
        <x:v>568741.2626373172</x:v>
      </x:c>
      <x:c r="AA1135" s="66" t="n">
        <x:v>113993.41205925186</x:v>
      </x:c>
      <x:c r="AB1135" s="66" t="n">
        <x:v>0</x:v>
      </x:c>
      <x:c r="AC1135" s="66" t="n">
        <x:v>0</x:v>
      </x:c>
      <x:c r="AD1135" s="66" t="n">
        <x:v>1864.8201056008593</x:v>
      </x:c>
      <x:c r="AE1135" s="66" t="n">
        <x:v>13423.656235127899</x:v>
      </x:c>
      <x:c r="AF1135" s="66" t="n">
        <x:v>89304.90551748905</x:v>
      </x:c>
      <x:c r="AG1135" s="66" t="n">
        <x:v>1.4551915228366852e-11</x:v>
      </x:c>
      <x:c r="AH1135" s="36" t="n">
        <x:v>0</x:v>
      </x:c>
    </x:row>
    <x:row r="1136" ht="15" hidden="0" customHeight="1">
      <x:c r="A1136" s="34" t="n">
        <x:v>283</x:v>
      </x:c>
      <x:c r="B1136" s="34" t="str">
        <x:v>H3</x:v>
      </x:c>
      <x:c r="C1136" s="34" t="str">
        <x:v>slow</x:v>
      </x:c>
      <x:c r="D1136" s="74" t="n">
        <x:v>1.0201352577155267</x:v>
      </x:c>
      <x:c r="E1136" s="74" t="n">
        <x:v>0.003730025741089403</x:v>
      </x:c>
      <x:c r="F1136" s="74" t="n">
        <x:v>0.886954531591292</x:v>
      </x:c>
      <x:c r="G1136" s="74" t="n">
        <x:v>1.0108651770157415</x:v>
      </x:c>
      <x:c r="H1136" s="74" t="n">
        <x:v>1.046116601455899</x:v>
      </x:c>
      <x:c r="I1136" s="74" t="n">
        <x:v>1.0453239656565438</x:v>
      </x:c>
      <x:c r="J1136" s="74" t="n">
        <x:v>0.9620428205594956</x:v>
      </x:c>
      <x:c r="K1136" s="74" t="n">
        <x:v>0.9225513416489282</x:v>
      </x:c>
      <x:c r="L1136" s="74" t="n">
        <x:v>0.9444773814916578</x:v>
      </x:c>
      <x:c r="M1136" s="74" t="n">
        <x:v>0.9147607999424061</x:v>
      </x:c>
      <x:c r="N1136" s="74" t="n">
        <x:v>1.0141437638085598</x:v>
      </x:c>
      <x:c r="O1136" s="65" t="n">
        <x:v>490735.86169700255</x:v>
      </x:c>
      <x:c r="P1136" s="65" t="n">
        <x:v>333794.95194192184</x:v>
      </x:c>
      <x:c r="Q1136" s="65" t="n">
        <x:v>156940.9097550807</x:v>
      </x:c>
      <x:c r="R1136" s="65" t="n">
        <x:v>93381.52558676965</x:v>
      </x:c>
      <x:c r="S1136" s="65" t="n">
        <x:v>63559.38416831104</x:v>
      </x:c>
      <x:c r="T1136" s="65" t="n">
        <x:v>80833.03816039216</x:v>
      </x:c>
      <x:c r="U1136" s="43" t="n">
        <x:v>0.8449107197271021</x:v>
      </x:c>
      <x:c r="V1136" s="43" t="n">
        <x:v>0.8398895686238935</x:v>
      </x:c>
      <x:c r="W1136" s="43" t="n">
        <x:v>0.37420848969476145</x:v>
      </x:c>
      <x:c r="X1136" s="65" t="n">
        <x:v>19265799.27723039</x:v>
      </x:c>
      <x:c r="Y1136" s="65" t="n">
        <x:v>39.2590001688643</x:v>
      </x:c>
      <x:c r="Z1136" s="65" t="n">
        <x:v>561925.1696274464</x:v>
      </x:c>
      <x:c r="AA1136" s="65" t="n">
        <x:v>106266.33714721403</x:v>
      </x:c>
      <x:c r="AB1136" s="65" t="n">
        <x:v>1495.0288194047985</x:v>
      </x:c>
      <x:c r="AC1136" s="65" t="n">
        <x:v>666.9501278688099</x:v>
      </x:c>
      <x:c r="AD1136" s="65" t="n">
        <x:v>1829.1506018889263</x:v>
      </x:c>
      <x:c r="AE1136" s="65" t="n">
        <x:v>13140.469144381059</x:v>
      </x:c>
      <x:c r="AF1136" s="65" t="n">
        <x:v>80833.03816039214</x:v>
      </x:c>
      <x:c r="AG1136" s="65" t="n">
        <x:v>1.4551915228366852e-11</x:v>
      </x:c>
      <x:c r="AH1136" s="34" t="n">
        <x:v>0</x:v>
      </x:c>
    </x:row>
    <x:row r="1137" ht="21.600000381469727" hidden="0" customHeight="1">
      <x:c r="A1137" s="36" t="n">
        <x:v>284</x:v>
      </x:c>
      <x:c r="B1137" s="36" t="str">
        <x:v>M0</x:v>
      </x:c>
      <x:c r="C1137" s="36" t="str">
        <x:v>slow</x:v>
      </x:c>
      <x:c r="D1137" s="75" t="n">
        <x:v>1.1354274643311904</x:v>
      </x:c>
      <x:c r="E1137" s="75" t="n">
        <x:v>-0.031917915056725005</x:v>
      </x:c>
      <x:c r="F1137" s="75" t="n">
        <x:v>1.040010461891116</x:v>
      </x:c>
      <x:c r="G1137" s="75" t="n">
        <x:v>1.1014729551732383</x:v>
      </x:c>
      <x:c r="H1137" s="75" t="n">
        <x:v>1.0634777761097745</x:v>
      </x:c>
      <x:c r="I1137" s="75" t="n">
        <x:v>0.8636122494968106</x:v>
      </x:c>
      <x:c r="J1137" s="75" t="n">
        <x:v>0.796381681465505</x:v>
      </x:c>
      <x:c r="K1137" s="75" t="n">
        <x:v>0.8985927850509672</x:v>
      </x:c>
      <x:c r="L1137" s="75" t="n">
        <x:v>1.0416605273232946</x:v>
      </x:c>
      <x:c r="M1137" s="75" t="n">
        <x:v>1.0027870572273676</x:v>
      </x:c>
      <x:c r="N1137" s="75" t="n">
        <x:v>1.0377580273789122</x:v>
      </x:c>
      <x:c r="O1137" s="66" t="n">
        <x:v>546197.1546310263</x:v>
      </x:c>
      <x:c r="P1137" s="66" t="n">
        <x:v>89468.45078032784</x:v>
      </x:c>
      <x:c r="Q1137" s="66" t="n">
        <x:v>456728.7038506984</x:v>
      </x:c>
      <x:c r="R1137" s="66" t="n">
        <x:v>84464.38320346747</x:v>
      </x:c>
      <x:c r="S1137" s="66" t="n">
        <x:v>372264.32064723095</x:v>
      </x:c>
      <x:c r="T1137" s="66" t="n">
        <x:v>278915.3831308363</x:v>
      </x:c>
      <x:c r="U1137" s="45" t="n">
        <x:v>0.6744521292133411</x:v>
      </x:c>
      <x:c r="V1137" s="45" t="n">
        <x:v>0.6693803790028986</x:v>
      </x:c>
      <x:c r="W1137" s="45" t="n">
        <x:v>0.08931395888767936</x:v>
      </x:c>
      <x:c r="X1137" s="66" t="n">
        <x:v>58025672.25907966</x:v>
      </x:c>
      <x:c r="Y1137" s="66" t="n">
        <x:v>106.23576444347803</x:v>
      </x:c>
      <x:c r="Z1137" s="66" t="n">
        <x:v>4704557.008357761</x:v>
      </x:c>
      <x:c r="AA1137" s="66" t="n">
        <x:v>304225.73980324186</x:v>
      </x:c>
      <x:c r="AB1137" s="66" t="n">
        <x:v>37833.16993892295</x:v>
      </x:c>
      <x:c r="AC1137" s="66" t="n">
        <x:v>3016.161563268428</x:v>
      </x:c>
      <x:c r="AD1137" s="66" t="n">
        <x:v>2938.825035360972</x:v>
      </x:c>
      <x:c r="AE1137" s="66" t="n">
        <x:v>189253.0895652983</x:v>
      </x:c>
      <x:c r="AF1137" s="66" t="n">
        <x:v>278915.38313083624</x:v>
      </x:c>
      <x:c r="AG1137" s="66" t="n">
        <x:v>5.820766091346741e-11</x:v>
      </x:c>
      <x:c r="AH1137" s="36" t="n">
        <x:v>0</x:v>
      </x:c>
    </x:row>
    <x:row r="1138" ht="21.600000381469727" hidden="0" customHeight="1">
      <x:c r="A1138" s="34" t="n">
        <x:v>284</x:v>
      </x:c>
      <x:c r="B1138" s="34" t="str">
        <x:v>B1</x:v>
      </x:c>
      <x:c r="C1138" s="34" t="str">
        <x:v>slow</x:v>
      </x:c>
      <x:c r="D1138" s="74" t="n">
        <x:v>1.1354274643311904</x:v>
      </x:c>
      <x:c r="E1138" s="74" t="n">
        <x:v>-0.031917915056725005</x:v>
      </x:c>
      <x:c r="F1138" s="74" t="n">
        <x:v>1.040010461891116</x:v>
      </x:c>
      <x:c r="G1138" s="74" t="n">
        <x:v>1.1014729551732383</x:v>
      </x:c>
      <x:c r="H1138" s="74" t="n">
        <x:v>1.0634777761097745</x:v>
      </x:c>
      <x:c r="I1138" s="74" t="n">
        <x:v>0.8636122494968106</x:v>
      </x:c>
      <x:c r="J1138" s="74" t="n">
        <x:v>0.796381681465505</x:v>
      </x:c>
      <x:c r="K1138" s="74" t="n">
        <x:v>0.8985927850509672</x:v>
      </x:c>
      <x:c r="L1138" s="74" t="n">
        <x:v>1.0416605273232946</x:v>
      </x:c>
      <x:c r="M1138" s="74" t="n">
        <x:v>1.0027870572273676</x:v>
      </x:c>
      <x:c r="N1138" s="74" t="n">
        <x:v>1.0377580273789122</x:v>
      </x:c>
      <x:c r="O1138" s="65" t="n">
        <x:v>546197.1546310263</x:v>
      </x:c>
      <x:c r="P1138" s="65" t="n">
        <x:v>302640.2585569826</x:v>
      </x:c>
      <x:c r="Q1138" s="65" t="n">
        <x:v>243556.89607404365</x:v>
      </x:c>
      <x:c r="R1138" s="65" t="n">
        <x:v>84464.38320346747</x:v>
      </x:c>
      <x:c r="S1138" s="65" t="n">
        <x:v>159092.51287057617</x:v>
      </x:c>
      <x:c r="T1138" s="65" t="n">
        <x:v>139290.72720338352</x:v>
      </x:c>
      <x:c r="U1138" s="43" t="n">
        <x:v>0.8091052507567613</x:v>
      </x:c>
      <x:c r="V1138" s="43" t="n">
        <x:v>0.8008203371642598</x:v>
      </x:c>
      <x:c r="W1138" s="43" t="n">
        <x:v>0.30999782268811243</x:v>
      </x:c>
      <x:c r="X1138" s="65" t="n">
        <x:v>32895179.799925722</x:v>
      </x:c>
      <x:c r="Y1138" s="65" t="n">
        <x:v>60.225835160469614</x:v>
      </x:c>
      <x:c r="Z1138" s="65" t="n">
        <x:v>1147117.2047065417</x:v>
      </x:c>
      <x:c r="AA1138" s="65" t="n">
        <x:v>153958.11383448078</x:v>
      </x:c>
      <x:c r="AB1138" s="65" t="n">
        <x:v>7019.434473100948</x:v>
      </x:c>
      <x:c r="AC1138" s="65" t="n">
        <x:v>1256.6498811503106</x:v>
      </x:c>
      <x:c r="AD1138" s="65" t="n">
        <x:v>2205.0038009580594</x:v>
      </x:c>
      <x:c r="AE1138" s="65" t="n">
        <x:v>27212.86024646106</x:v>
      </x:c>
      <x:c r="AF1138" s="65" t="n">
        <x:v>139290.72720338346</x:v>
      </x:c>
      <x:c r="AG1138" s="65" t="n">
        <x:v>5.820766091346741e-11</x:v>
      </x:c>
      <x:c r="AH1138" s="34" t="n">
        <x:v>0</x:v>
      </x:c>
    </x:row>
    <x:row r="1139" ht="21.600000381469727" hidden="0" customHeight="1">
      <x:c r="A1139" s="36" t="n">
        <x:v>284</x:v>
      </x:c>
      <x:c r="B1139" s="36" t="str">
        <x:v>P2</x:v>
      </x:c>
      <x:c r="C1139" s="36" t="str">
        <x:v>slow</x:v>
      </x:c>
      <x:c r="D1139" s="75" t="n">
        <x:v>1.1354274643311904</x:v>
      </x:c>
      <x:c r="E1139" s="75" t="n">
        <x:v>-0.031917915056725005</x:v>
      </x:c>
      <x:c r="F1139" s="75" t="n">
        <x:v>1.040010461891116</x:v>
      </x:c>
      <x:c r="G1139" s="75" t="n">
        <x:v>1.1014729551732383</x:v>
      </x:c>
      <x:c r="H1139" s="75" t="n">
        <x:v>1.0634777761097745</x:v>
      </x:c>
      <x:c r="I1139" s="75" t="n">
        <x:v>0.8636122494968106</x:v>
      </x:c>
      <x:c r="J1139" s="75" t="n">
        <x:v>0.796381681465505</x:v>
      </x:c>
      <x:c r="K1139" s="75" t="n">
        <x:v>0.8985927850509672</x:v>
      </x:c>
      <x:c r="L1139" s="75" t="n">
        <x:v>1.0416605273232946</x:v>
      </x:c>
      <x:c r="M1139" s="75" t="n">
        <x:v>1.0027870572273676</x:v>
      </x:c>
      <x:c r="N1139" s="75" t="n">
        <x:v>1.0377580273789122</x:v>
      </x:c>
      <x:c r="O1139" s="66" t="n">
        <x:v>546197.1546310263</x:v>
      </x:c>
      <x:c r="P1139" s="66" t="n">
        <x:v>438430.86137841584</x:v>
      </x:c>
      <x:c r="Q1139" s="66" t="n">
        <x:v>107766.29325261049</x:v>
      </x:c>
      <x:c r="R1139" s="66" t="n">
        <x:v>84464.38320346747</x:v>
      </x:c>
      <x:c r="S1139" s="66" t="n">
        <x:v>23301.91004914301</x:v>
      </x:c>
      <x:c r="T1139" s="66" t="n">
        <x:v>43881.642339299055</x:v>
      </x:c>
      <x:c r="U1139" s="45" t="n">
        <x:v>0.8830373787712833</x:v>
      </x:c>
      <x:c r="V1139" s="45" t="n">
        <x:v>0.8796501955138895</x:v>
      </x:c>
      <x:c r="W1139" s="45" t="n">
        <x:v>0.45551931192677675</x:v>
      </x:c>
      <x:c r="X1139" s="66" t="n">
        <x:v>16443111.307144295</x:v>
      </x:c>
      <x:c r="Y1139" s="66" t="n">
        <x:v>30.10471799006742</x:v>
      </x:c>
      <x:c r="Z1139" s="66" t="n">
        <x:v>314765.456282359</x:v>
      </x:c>
      <x:c r="AA1139" s="66" t="n">
        <x:v>84262.23126266996</x:v>
      </x:c>
      <x:c r="AB1139" s="66" t="n">
        <x:v>347.02784541122827</x:v>
      </x:c>
      <x:c r="AC1139" s="66" t="n">
        <x:v>1225.5852053482763</x:v>
      </x:c>
      <x:c r="AD1139" s="66" t="n">
        <x:v>1759.8009441147954</x:v>
      </x:c>
      <x:c r="AE1139" s="66" t="n">
        <x:v>12689.359758902261</x:v>
      </x:c>
      <x:c r="AF1139" s="66" t="n">
        <x:v>43881.64233929906</x:v>
      </x:c>
      <x:c r="AG1139" s="66" t="n">
        <x:v>0</x:v>
      </x:c>
      <x:c r="AH1139" s="36" t="n">
        <x:v>0</x:v>
      </x:c>
    </x:row>
    <x:row r="1140" ht="21.600000381469727" hidden="0" customHeight="1">
      <x:c r="A1140" s="34" t="n">
        <x:v>284</x:v>
      </x:c>
      <x:c r="B1140" s="34" t="str">
        <x:v>H3</x:v>
      </x:c>
      <x:c r="C1140" s="34" t="str">
        <x:v>slow</x:v>
      </x:c>
      <x:c r="D1140" s="74" t="n">
        <x:v>1.1354274643311904</x:v>
      </x:c>
      <x:c r="E1140" s="74" t="n">
        <x:v>-0.031917915056725005</x:v>
      </x:c>
      <x:c r="F1140" s="74" t="n">
        <x:v>1.040010461891116</x:v>
      </x:c>
      <x:c r="G1140" s="74" t="n">
        <x:v>1.1014729551732383</x:v>
      </x:c>
      <x:c r="H1140" s="74" t="n">
        <x:v>1.0634777761097745</x:v>
      </x:c>
      <x:c r="I1140" s="74" t="n">
        <x:v>0.8636122494968106</x:v>
      </x:c>
      <x:c r="J1140" s="74" t="n">
        <x:v>0.796381681465505</x:v>
      </x:c>
      <x:c r="K1140" s="74" t="n">
        <x:v>0.8985927850509672</x:v>
      </x:c>
      <x:c r="L1140" s="74" t="n">
        <x:v>1.0416605273232946</x:v>
      </x:c>
      <x:c r="M1140" s="74" t="n">
        <x:v>1.0027870572273676</x:v>
      </x:c>
      <x:c r="N1140" s="74" t="n">
        <x:v>1.0377580273789122</x:v>
      </x:c>
      <x:c r="O1140" s="65" t="n">
        <x:v>546197.1546310263</x:v>
      </x:c>
      <x:c r="P1140" s="65" t="n">
        <x:v>452352.88402019115</x:v>
      </x:c>
      <x:c r="Q1140" s="65" t="n">
        <x:v>93844.27061083511</x:v>
      </x:c>
      <x:c r="R1140" s="65" t="n">
        <x:v>84464.38320346747</x:v>
      </x:c>
      <x:c r="S1140" s="65" t="n">
        <x:v>9379.887407367638</x:v>
      </x:c>
      <x:c r="T1140" s="65" t="n">
        <x:v>34115.68793796985</x:v>
      </x:c>
      <x:c r="U1140" s="43" t="n">
        <x:v>0.8906464778030307</x:v>
      </x:c>
      <x:c r="V1140" s="43" t="n">
        <x:v>0.888135136949187</x:v>
      </x:c>
      <x:c r="W1140" s="43" t="n">
        <x:v>0.4720676700490262</x:v>
      </x:c>
      <x:c r="X1140" s="65" t="n">
        <x:v>13776582.00653436</x:v>
      </x:c>
      <x:c r="Y1140" s="65" t="n">
        <x:v>25.222727525632905</x:v>
      </x:c>
      <x:c r="Z1140" s="65" t="n">
        <x:v>278070.3403003846</x:v>
      </x:c>
      <x:c r="AA1140" s="65" t="n">
        <x:v>77575.52274842249</x:v>
      </x:c>
      <x:c r="AB1140" s="65" t="n">
        <x:v>2974.9278302926514</x:v>
      </x:c>
      <x:c r="AC1140" s="65" t="n">
        <x:v>629.6497381192935</x:v>
      </x:c>
      <x:c r="AD1140" s="65" t="n">
        <x:v>1721.2574804484666</x:v>
      </x:c>
      <x:c r="AE1140" s="65" t="n">
        <x:v>2.1827872842550278e-11</x:v>
      </x:c>
      <x:c r="AF1140" s="65" t="n">
        <x:v>34115.68793796983</x:v>
      </x:c>
      <x:c r="AG1140" s="65" t="n">
        <x:v>2.1827872842550278e-11</x:v>
      </x:c>
      <x:c r="AH1140" s="34" t="n">
        <x:v>0</x:v>
      </x:c>
    </x:row>
    <x:row r="1141" ht="15" hidden="0" customHeight="1">
      <x:c r="A1141" s="36" t="n">
        <x:v>285</x:v>
      </x:c>
      <x:c r="B1141" s="36" t="str">
        <x:v>M0</x:v>
      </x:c>
      <x:c r="C1141" s="36" t="str">
        <x:v>reference</x:v>
      </x:c>
      <x:c r="D1141" s="75" t="n">
        <x:v>0.9523296666367619</x:v>
      </x:c>
      <x:c r="E1141" s="75" t="n">
        <x:v>0.0328390611220001</x:v>
      </x:c>
      <x:c r="F1141" s="75" t="n">
        <x:v>0.9336107564517144</x:v>
      </x:c>
      <x:c r="G1141" s="75" t="n">
        <x:v>1.1140748030679246</x:v>
      </x:c>
      <x:c r="H1141" s="75" t="n">
        <x:v>1.0610020636628752</x:v>
      </x:c>
      <x:c r="I1141" s="75" t="n">
        <x:v>0.9860119838101806</x:v>
      </x:c>
      <x:c r="J1141" s="75" t="n">
        <x:v>1.038758509787762</x:v>
      </x:c>
      <x:c r="K1141" s="75" t="n">
        <x:v>0.9343253441754429</x:v>
      </x:c>
      <x:c r="L1141" s="75" t="n">
        <x:v>0.9299139394547773</x:v>
      </x:c>
      <x:c r="M1141" s="75" t="n">
        <x:v>1.0087534697040093</x:v>
      </x:c>
      <x:c r="N1141" s="75" t="n">
        <x:v>0.9799390663053931</x:v>
      </x:c>
      <x:c r="O1141" s="66" t="n">
        <x:v>458117.995669681</x:v>
      </x:c>
      <x:c r="P1141" s="66" t="n">
        <x:v>62202.526337513074</x:v>
      </x:c>
      <x:c r="Q1141" s="66" t="n">
        <x:v>395915.4693321679</x:v>
      </x:c>
      <x:c r="R1141" s="66" t="n">
        <x:v>100510.0847874287</x:v>
      </x:c>
      <x:c r="S1141" s="66" t="n">
        <x:v>295405.3845447392</x:v>
      </x:c>
      <x:c r="T1141" s="66" t="n">
        <x:v>305801.7904961385</x:v>
      </x:c>
      <x:c r="U1141" s="45" t="n">
        <x:v>0.8032959200733853</x:v>
      </x:c>
      <x:c r="V1141" s="45" t="n">
        <x:v>0.8015772880534963</x:v>
      </x:c>
      <x:c r="W1141" s="45" t="n">
        <x:v>0.1647598500306491</x:v>
      </x:c>
      <x:c r="X1141" s="66" t="n">
        <x:v>48016950.199940406</x:v>
      </x:c>
      <x:c r="Y1141" s="66" t="n">
        <x:v>104.81349925961497</x:v>
      </x:c>
      <x:c r="Z1141" s="66" t="n">
        <x:v>5475001.8592807455</x:v>
      </x:c>
      <x:c r="AA1141" s="66" t="n">
        <x:v>261097.68514895925</x:v>
      </x:c>
      <x:c r="AB1141" s="66" t="n">
        <x:v>43302.446968150456</x:v>
      </x:c>
      <x:c r="AC1141" s="66" t="n">
        <x:v>282.3033704352766</x:v>
      </x:c>
      <x:c r="AD1141" s="66" t="n">
        <x:v>1943.0306431449499</x:v>
      </x:c>
      <x:c r="AE1141" s="66" t="n">
        <x:v>221135.0551673525</x:v>
      </x:c>
      <x:c r="AF1141" s="66" t="n">
        <x:v>305801.79049613833</x:v>
      </x:c>
      <x:c r="AG1141" s="66" t="n">
        <x:v>1.7462298274040222e-10</x:v>
      </x:c>
      <x:c r="AH1141" s="36" t="n">
        <x:v>0</x:v>
      </x:c>
    </x:row>
    <x:row r="1142" ht="15" hidden="0" customHeight="1">
      <x:c r="A1142" s="34" t="n">
        <x:v>285</x:v>
      </x:c>
      <x:c r="B1142" s="34" t="str">
        <x:v>B1</x:v>
      </x:c>
      <x:c r="C1142" s="34" t="str">
        <x:v>reference</x:v>
      </x:c>
      <x:c r="D1142" s="74" t="n">
        <x:v>0.9523296666367619</x:v>
      </x:c>
      <x:c r="E1142" s="74" t="n">
        <x:v>0.0328390611220001</x:v>
      </x:c>
      <x:c r="F1142" s="74" t="n">
        <x:v>0.9336107564517144</x:v>
      </x:c>
      <x:c r="G1142" s="74" t="n">
        <x:v>1.1140748030679246</x:v>
      </x:c>
      <x:c r="H1142" s="74" t="n">
        <x:v>1.0610020636628752</x:v>
      </x:c>
      <x:c r="I1142" s="74" t="n">
        <x:v>0.9860119838101806</x:v>
      </x:c>
      <x:c r="J1142" s="74" t="n">
        <x:v>1.038758509787762</x:v>
      </x:c>
      <x:c r="K1142" s="74" t="n">
        <x:v>0.9343253441754429</x:v>
      </x:c>
      <x:c r="L1142" s="74" t="n">
        <x:v>0.9299139394547773</x:v>
      </x:c>
      <x:c r="M1142" s="74" t="n">
        <x:v>1.0087534697040093</x:v>
      </x:c>
      <x:c r="N1142" s="74" t="n">
        <x:v>0.9799390663053931</x:v>
      </x:c>
      <x:c r="O1142" s="65" t="n">
        <x:v>458117.995669681</x:v>
      </x:c>
      <x:c r="P1142" s="65" t="n">
        <x:v>210411.0296679261</x:v>
      </x:c>
      <x:c r="Q1142" s="65" t="n">
        <x:v>247706.96600175486</x:v>
      </x:c>
      <x:c r="R1142" s="65" t="n">
        <x:v>100510.0847874287</x:v>
      </x:c>
      <x:c r="S1142" s="65" t="n">
        <x:v>147196.8812143262</x:v>
      </x:c>
      <x:c r="T1142" s="65" t="n">
        <x:v>232955.38159942057</x:v>
      </x:c>
      <x:c r="U1142" s="43" t="n">
        <x:v>0.9677995963010132</x:v>
      </x:c>
      <x:c r="V1142" s="43" t="n">
        <x:v>0.9712711504145105</x:v>
      </x:c>
      <x:c r="W1142" s="43" t="n">
        <x:v>0.777980597053354</x:v>
      </x:c>
      <x:c r="X1142" s="65" t="n">
        <x:v>28715927.686226584</x:v>
      </x:c>
      <x:c r="Y1142" s="65" t="n">
        <x:v>62.6823830490426</x:v>
      </x:c>
      <x:c r="Z1142" s="65" t="n">
        <x:v>1772606.4585764986</x:v>
      </x:c>
      <x:c r="AA1142" s="65" t="n">
        <x:v>158696.26986504617</x:v>
      </x:c>
      <x:c r="AB1142" s="65" t="n">
        <x:v>4776.414005190714</x:v>
      </x:c>
      <x:c r="AC1142" s="65" t="n">
        <x:v>10757.987865303923</x:v>
      </x:c>
      <x:c r="AD1142" s="65" t="n">
        <x:v>1574.55410627806</x:v>
      </x:c>
      <x:c r="AE1142" s="65" t="n">
        <x:v>127121.9624384382</x:v>
      </x:c>
      <x:c r="AF1142" s="65" t="n">
        <x:v>232955.38159942048</x:v>
      </x:c>
      <x:c r="AG1142" s="65" t="n">
        <x:v>8.731149137020111e-11</x:v>
      </x:c>
      <x:c r="AH1142" s="34" t="n">
        <x:v>0</x:v>
      </x:c>
    </x:row>
    <x:row r="1143" ht="15" hidden="0" customHeight="1">
      <x:c r="A1143" s="36" t="n">
        <x:v>285</x:v>
      </x:c>
      <x:c r="B1143" s="36" t="str">
        <x:v>P2</x:v>
      </x:c>
      <x:c r="C1143" s="36" t="str">
        <x:v>reference</x:v>
      </x:c>
      <x:c r="D1143" s="75" t="n">
        <x:v>0.9523296666367619</x:v>
      </x:c>
      <x:c r="E1143" s="75" t="n">
        <x:v>0.0328390611220001</x:v>
      </x:c>
      <x:c r="F1143" s="75" t="n">
        <x:v>0.9336107564517144</x:v>
      </x:c>
      <x:c r="G1143" s="75" t="n">
        <x:v>1.1140748030679246</x:v>
      </x:c>
      <x:c r="H1143" s="75" t="n">
        <x:v>1.0610020636628752</x:v>
      </x:c>
      <x:c r="I1143" s="75" t="n">
        <x:v>0.9860119838101806</x:v>
      </x:c>
      <x:c r="J1143" s="75" t="n">
        <x:v>1.038758509787762</x:v>
      </x:c>
      <x:c r="K1143" s="75" t="n">
        <x:v>0.9343253441754429</x:v>
      </x:c>
      <x:c r="L1143" s="75" t="n">
        <x:v>0.9299139394547773</x:v>
      </x:c>
      <x:c r="M1143" s="75" t="n">
        <x:v>1.0087534697040093</x:v>
      </x:c>
      <x:c r="N1143" s="75" t="n">
        <x:v>0.9799390663053931</x:v>
      </x:c>
      <x:c r="O1143" s="66" t="n">
        <x:v>458117.995669681</x:v>
      </x:c>
      <x:c r="P1143" s="66" t="n">
        <x:v>304821.0821872134</x:v>
      </x:c>
      <x:c r="Q1143" s="66" t="n">
        <x:v>153296.91348246753</x:v>
      </x:c>
      <x:c r="R1143" s="66" t="n">
        <x:v>100510.0847874287</x:v>
      </x:c>
      <x:c r="S1143" s="66" t="n">
        <x:v>52786.82869503884</x:v>
      </x:c>
      <x:c r="T1143" s="66" t="n">
        <x:v>140126.17919155923</x:v>
      </x:c>
      <x:c r="U1143" s="45" t="n">
        <x:v>0.9712503450739689</x:v>
      </x:c>
      <x:c r="V1143" s="45" t="n">
        <x:v>0.9750406865746227</x:v>
      </x:c>
      <x:c r="W1143" s="45" t="n">
        <x:v>0.7245637507767452</x:v>
      </x:c>
      <x:c r="X1143" s="66" t="n">
        <x:v>16832753.730971653</x:v>
      </x:c>
      <x:c r="Y1143" s="66" t="n">
        <x:v>36.74327114429413</x:v>
      </x:c>
      <x:c r="Z1143" s="66" t="n">
        <x:v>978860.5607431943</x:v>
      </x:c>
      <x:c r="AA1143" s="66" t="n">
        <x:v>97722.35471447493</x:v>
      </x:c>
      <x:c r="AB1143" s="66" t="n">
        <x:v>0</x:v>
      </x:c>
      <x:c r="AC1143" s="66" t="n">
        <x:v>11797.26762842312</x:v>
      </x:c>
      <x:c r="AD1143" s="66" t="n">
        <x:v>1351.9090460571656</x:v>
      </x:c>
      <x:c r="AE1143" s="66" t="n">
        <x:v>61876.732293959285</x:v>
      </x:c>
      <x:c r="AF1143" s="66" t="n">
        <x:v>140126.17919155917</x:v>
      </x:c>
      <x:c r="AG1143" s="66" t="n">
        <x:v>5.820766091346741e-11</x:v>
      </x:c>
      <x:c r="AH1143" s="36" t="n">
        <x:v>0</x:v>
      </x:c>
    </x:row>
    <x:row r="1144" ht="15" hidden="0" customHeight="1">
      <x:c r="A1144" s="34" t="n">
        <x:v>285</x:v>
      </x:c>
      <x:c r="B1144" s="34" t="str">
        <x:v>H3</x:v>
      </x:c>
      <x:c r="C1144" s="34" t="str">
        <x:v>reference</x:v>
      </x:c>
      <x:c r="D1144" s="74" t="n">
        <x:v>0.9523296666367619</x:v>
      </x:c>
      <x:c r="E1144" s="74" t="n">
        <x:v>0.0328390611220001</x:v>
      </x:c>
      <x:c r="F1144" s="74" t="n">
        <x:v>0.9336107564517144</x:v>
      </x:c>
      <x:c r="G1144" s="74" t="n">
        <x:v>1.1140748030679246</x:v>
      </x:c>
      <x:c r="H1144" s="74" t="n">
        <x:v>1.0610020636628752</x:v>
      </x:c>
      <x:c r="I1144" s="74" t="n">
        <x:v>0.9860119838101806</x:v>
      </x:c>
      <x:c r="J1144" s="74" t="n">
        <x:v>1.038758509787762</x:v>
      </x:c>
      <x:c r="K1144" s="74" t="n">
        <x:v>0.9343253441754429</x:v>
      </x:c>
      <x:c r="L1144" s="74" t="n">
        <x:v>0.9299139394547773</x:v>
      </x:c>
      <x:c r="M1144" s="74" t="n">
        <x:v>1.0087534697040093</x:v>
      </x:c>
      <x:c r="N1144" s="74" t="n">
        <x:v>0.9799390663053931</x:v>
      </x:c>
      <x:c r="O1144" s="65" t="n">
        <x:v>458117.995669681</x:v>
      </x:c>
      <x:c r="P1144" s="65" t="n">
        <x:v>316208.3175832302</x:v>
      </x:c>
      <x:c r="Q1144" s="65" t="n">
        <x:v>141909.67808645076</x:v>
      </x:c>
      <x:c r="R1144" s="65" t="n">
        <x:v>100510.0847874287</x:v>
      </x:c>
      <x:c r="S1144" s="65" t="n">
        <x:v>41399.593299022075</x:v>
      </x:c>
      <x:c r="T1144" s="65" t="n">
        <x:v>140582.76242461364</x:v>
      </x:c>
      <x:c r="U1144" s="43" t="n">
        <x:v>0.997103550451238</x:v>
      </x:c>
      <x:c r="V1144" s="43" t="n">
        <x:v>0.9981756915902523</x:v>
      </x:c>
      <x:c r="W1144" s="43" t="n">
        <x:v>0.9710355045123817</x:v>
      </x:c>
      <x:c r="X1144" s="65" t="n">
        <x:v>13964659.749237403</x:v>
      </x:c>
      <x:c r="Y1144" s="65" t="n">
        <x:v>30.482670144454243</x:v>
      </x:c>
      <x:c r="Z1144" s="65" t="n">
        <x:v>969090.9555056661</x:v>
      </x:c>
      <x:c r="AA1144" s="65" t="n">
        <x:v>85767.49981709922</x:v>
      </x:c>
      <x:c r="AB1144" s="65" t="n">
        <x:v>4364.889779206183</x:v>
      </x:c>
      <x:c r="AC1144" s="65" t="n">
        <x:v>788.4770967544925</x:v>
      </x:c>
      <x:c r="AD1144" s="65" t="n">
        <x:v>1326.9156618371273</x:v>
      </x:c>
      <x:c r="AE1144" s="65" t="n">
        <x:v>39436.20587934661</x:v>
      </x:c>
      <x:c r="AF1144" s="65" t="n">
        <x:v>140582.76242461381</x:v>
      </x:c>
      <x:c r="AG1144" s="65" t="n">
        <x:v>0</x:v>
      </x:c>
      <x:c r="AH1144" s="34" t="n">
        <x:v>1</x:v>
      </x:c>
    </x:row>
    <x:row r="1145" ht="15" hidden="0" customHeight="1">
      <x:c r="A1145" s="36" t="n">
        <x:v>286</x:v>
      </x:c>
      <x:c r="B1145" s="36" t="str">
        <x:v>M0</x:v>
      </x:c>
      <x:c r="C1145" s="36" t="str">
        <x:v>reference</x:v>
      </x:c>
      <x:c r="D1145" s="75" t="n">
        <x:v>1.0190017926353823</x:v>
      </x:c>
      <x:c r="E1145" s="75" t="n">
        <x:v>0.015254207157149778</x:v>
      </x:c>
      <x:c r="F1145" s="75" t="n">
        <x:v>0.8125729436831566</x:v>
      </x:c>
      <x:c r="G1145" s="75" t="n">
        <x:v>0.9197670985254321</x:v>
      </x:c>
      <x:c r="H1145" s="75" t="n">
        <x:v>0.8682196136659427</x:v>
      </x:c>
      <x:c r="I1145" s="75" t="n">
        <x:v>0.9330430216946045</x:v>
      </x:c>
      <x:c r="J1145" s="75" t="n">
        <x:v>0.9826340242698529</x:v>
      </x:c>
      <x:c r="K1145" s="75" t="n">
        <x:v>0.818117753084332</x:v>
      </x:c>
      <x:c r="L1145" s="75" t="n">
        <x:v>0.9722010169499611</x:v>
      </x:c>
      <x:c r="M1145" s="75" t="n">
        <x:v>0.9744826794547776</x:v>
      </x:c>
      <x:c r="N1145" s="75" t="n">
        <x:v>0.7882604225925433</x:v>
      </x:c>
      <x:c r="O1145" s="66" t="n">
        <x:v>490190.60854689206</x:v>
      </x:c>
      <x:c r="P1145" s="66" t="n">
        <x:v>59233.70973376473</x:v>
      </x:c>
      <x:c r="Q1145" s="66" t="n">
        <x:v>430956.8988131274</x:v>
      </x:c>
      <x:c r="R1145" s="66" t="n">
        <x:v>98926.81553454045</x:v>
      </x:c>
      <x:c r="S1145" s="66" t="n">
        <x:v>332030.0832785869</x:v>
      </x:c>
      <x:c r="T1145" s="66" t="n">
        <x:v>280516.50721115374</x:v>
      </x:c>
      <x:c r="U1145" s="45" t="n">
        <x:v>0.6930981765482308</x:v>
      </x:c>
      <x:c r="V1145" s="45" t="n">
        <x:v>0.7162713240859289</x:v>
      </x:c>
      <x:c r="W1145" s="45" t="n">
        <x:v>0.12460806989743717</x:v>
      </x:c>
      <x:c r="X1145" s="66" t="n">
        <x:v>55080220.54057211</x:v>
      </x:c>
      <x:c r="Y1145" s="66" t="n">
        <x:v>112.364903733775</x:v>
      </x:c>
      <x:c r="Z1145" s="66" t="n">
        <x:v>4942460.063317873</x:v>
      </x:c>
      <x:c r="AA1145" s="66" t="n">
        <x:v>301467.76239159086</x:v>
      </x:c>
      <x:c r="AB1145" s="66" t="n">
        <x:v>37560.79678368464</x:v>
      </x:c>
      <x:c r="AC1145" s="66" t="n">
        <x:v>0</x:v>
      </x:c>
      <x:c r="AD1145" s="66" t="n">
        <x:v>2095.24650422152</x:v>
      </x:c>
      <x:c r="AE1145" s="66" t="n">
        <x:v>235112.70686982328</x:v>
      </x:c>
      <x:c r="AF1145" s="66" t="n">
        <x:v>280516.50721115374</x:v>
      </x:c>
      <x:c r="AG1145" s="66" t="n">
        <x:v>0</x:v>
      </x:c>
      <x:c r="AH1145" s="36" t="n">
        <x:v>0</x:v>
      </x:c>
    </x:row>
    <x:row r="1146" ht="15" hidden="0" customHeight="1">
      <x:c r="A1146" s="34" t="n">
        <x:v>286</x:v>
      </x:c>
      <x:c r="B1146" s="34" t="str">
        <x:v>B1</x:v>
      </x:c>
      <x:c r="C1146" s="34" t="str">
        <x:v>reference</x:v>
      </x:c>
      <x:c r="D1146" s="74" t="n">
        <x:v>1.0190017926353823</x:v>
      </x:c>
      <x:c r="E1146" s="74" t="n">
        <x:v>0.015254207157149778</x:v>
      </x:c>
      <x:c r="F1146" s="74" t="n">
        <x:v>0.8125729436831566</x:v>
      </x:c>
      <x:c r="G1146" s="74" t="n">
        <x:v>0.9197670985254321</x:v>
      </x:c>
      <x:c r="H1146" s="74" t="n">
        <x:v>0.8682196136659427</x:v>
      </x:c>
      <x:c r="I1146" s="74" t="n">
        <x:v>0.9330430216946045</x:v>
      </x:c>
      <x:c r="J1146" s="74" t="n">
        <x:v>0.9826340242698529</x:v>
      </x:c>
      <x:c r="K1146" s="74" t="n">
        <x:v>0.818117753084332</x:v>
      </x:c>
      <x:c r="L1146" s="74" t="n">
        <x:v>0.9722010169499611</x:v>
      </x:c>
      <x:c r="M1146" s="74" t="n">
        <x:v>0.9744826794547776</x:v>
      </x:c>
      <x:c r="N1146" s="74" t="n">
        <x:v>0.7882604225925433</x:v>
      </x:c>
      <x:c r="O1146" s="65" t="n">
        <x:v>490190.60854689206</x:v>
      </x:c>
      <x:c r="P1146" s="65" t="n">
        <x:v>200367.992853796</x:v>
      </x:c>
      <x:c r="Q1146" s="65" t="n">
        <x:v>289822.6156930961</x:v>
      </x:c>
      <x:c r="R1146" s="65" t="n">
        <x:v>98926.81553454045</x:v>
      </x:c>
      <x:c r="S1146" s="65" t="n">
        <x:v>190895.80015855568</x:v>
      </x:c>
      <x:c r="T1146" s="65" t="n">
        <x:v>203839.24998732534</x:v>
      </x:c>
      <x:c r="U1146" s="43" t="n">
        <x:v>0.8245919766585134</x:v>
      </x:c>
      <x:c r="V1146" s="43" t="n">
        <x:v>0.8533073316171833</x:v>
      </x:c>
      <x:c r="W1146" s="43" t="n">
        <x:v>0.45884153203167893</x:v>
      </x:c>
      <x:c r="X1146" s="65" t="n">
        <x:v>37453015.88849416</x:v>
      </x:c>
      <x:c r="Y1146" s="65" t="n">
        <x:v>76.40500498269209</x:v>
      </x:c>
      <x:c r="Z1146" s="65" t="n">
        <x:v>1637689.4763441319</x:v>
      </x:c>
      <x:c r="AA1146" s="65" t="n">
        <x:v>205704.2028233672</x:v>
      </x:c>
      <x:c r="AB1146" s="65" t="n">
        <x:v>5959.676859932671</x:v>
      </x:c>
      <x:c r="AC1146" s="65" t="n">
        <x:v>9287.961534970098</x:v>
      </x:c>
      <x:c r="AD1146" s="65" t="n">
        <x:v>1737.6232622774596</x:v>
      </x:c>
      <x:c r="AE1146" s="65" t="n">
        <x:v>135733.54947532964</x:v>
      </x:c>
      <x:c r="AF1146" s="65" t="n">
        <x:v>203839.2499873252</x:v>
      </x:c>
      <x:c r="AG1146" s="65" t="n">
        <x:v>1.4551915228366852e-10</x:v>
      </x:c>
      <x:c r="AH1146" s="34" t="n">
        <x:v>0</x:v>
      </x:c>
    </x:row>
    <x:row r="1147" ht="15" hidden="0" customHeight="1">
      <x:c r="A1147" s="36" t="n">
        <x:v>286</x:v>
      </x:c>
      <x:c r="B1147" s="36" t="str">
        <x:v>P2</x:v>
      </x:c>
      <x:c r="C1147" s="36" t="str">
        <x:v>reference</x:v>
      </x:c>
      <x:c r="D1147" s="75" t="n">
        <x:v>1.0190017926353823</x:v>
      </x:c>
      <x:c r="E1147" s="75" t="n">
        <x:v>0.015254207157149778</x:v>
      </x:c>
      <x:c r="F1147" s="75" t="n">
        <x:v>0.8125729436831566</x:v>
      </x:c>
      <x:c r="G1147" s="75" t="n">
        <x:v>0.9197670985254321</x:v>
      </x:c>
      <x:c r="H1147" s="75" t="n">
        <x:v>0.8682196136659427</x:v>
      </x:c>
      <x:c r="I1147" s="75" t="n">
        <x:v>0.9330430216946045</x:v>
      </x:c>
      <x:c r="J1147" s="75" t="n">
        <x:v>0.9826340242698529</x:v>
      </x:c>
      <x:c r="K1147" s="75" t="n">
        <x:v>0.818117753084332</x:v>
      </x:c>
      <x:c r="L1147" s="75" t="n">
        <x:v>0.9722010169499611</x:v>
      </x:c>
      <x:c r="M1147" s="75" t="n">
        <x:v>0.9744826794547776</x:v>
      </x:c>
      <x:c r="N1147" s="75" t="n">
        <x:v>0.7882604225925433</x:v>
      </x:c>
      <x:c r="O1147" s="66" t="n">
        <x:v>490190.60854689206</x:v>
      </x:c>
      <x:c r="P1147" s="66" t="n">
        <x:v>290271.4003360212</x:v>
      </x:c>
      <x:c r="Q1147" s="66" t="n">
        <x:v>199919.20821087086</x:v>
      </x:c>
      <x:c r="R1147" s="66" t="n">
        <x:v>98926.81553454045</x:v>
      </x:c>
      <x:c r="S1147" s="66" t="n">
        <x:v>100992.3926763304</x:v>
      </x:c>
      <x:c r="T1147" s="66" t="n">
        <x:v>122717.20542545624</x:v>
      </x:c>
      <x:c r="U1147" s="45" t="n">
        <x:v>0.842506156912573</x:v>
      </x:c>
      <x:c r="V1147" s="45" t="n">
        <x:v>0.8698934448911535</x:v>
      </x:c>
      <x:c r="W1147" s="45" t="n">
        <x:v>0.4925747652512358</x:v>
      </x:c>
      <x:c r="X1147" s="66" t="n">
        <x:v>25406971.16098159</x:v>
      </x:c>
      <x:c r="Y1147" s="66" t="n">
        <x:v>51.83079952571376</x:v>
      </x:c>
      <x:c r="Z1147" s="66" t="n">
        <x:v>936697.5700550126</x:v>
      </x:c>
      <x:c r="AA1147" s="66" t="n">
        <x:v>146130.37181838736</x:v>
      </x:c>
      <x:c r="AB1147" s="66" t="n">
        <x:v>0</x:v>
      </x:c>
      <x:c r="AC1147" s="66" t="n">
        <x:v>16668.992587846238</x:v>
      </x:c>
      <x:c r="AD1147" s="66" t="n">
        <x:v>1521.5361026551625</x:v>
      </x:c>
      <x:c r="AE1147" s="66" t="n">
        <x:v>61232.892463237826</x:v>
      </x:c>
      <x:c r="AF1147" s="66" t="n">
        <x:v>122717.20542545625</x:v>
      </x:c>
      <x:c r="AG1147" s="66" t="n">
        <x:v>0</x:v>
      </x:c>
      <x:c r="AH1147" s="36" t="n">
        <x:v>0</x:v>
      </x:c>
    </x:row>
    <x:row r="1148" ht="15" hidden="0" customHeight="1">
      <x:c r="A1148" s="34" t="n">
        <x:v>286</x:v>
      </x:c>
      <x:c r="B1148" s="34" t="str">
        <x:v>H3</x:v>
      </x:c>
      <x:c r="C1148" s="34" t="str">
        <x:v>reference</x:v>
      </x:c>
      <x:c r="D1148" s="74" t="n">
        <x:v>1.0190017926353823</x:v>
      </x:c>
      <x:c r="E1148" s="74" t="n">
        <x:v>0.015254207157149778</x:v>
      </x:c>
      <x:c r="F1148" s="74" t="n">
        <x:v>0.8125729436831566</x:v>
      </x:c>
      <x:c r="G1148" s="74" t="n">
        <x:v>0.9197670985254321</x:v>
      </x:c>
      <x:c r="H1148" s="74" t="n">
        <x:v>0.8682196136659427</x:v>
      </x:c>
      <x:c r="I1148" s="74" t="n">
        <x:v>0.9330430216946045</x:v>
      </x:c>
      <x:c r="J1148" s="74" t="n">
        <x:v>0.9826340242698529</x:v>
      </x:c>
      <x:c r="K1148" s="74" t="n">
        <x:v>0.818117753084332</x:v>
      </x:c>
      <x:c r="L1148" s="74" t="n">
        <x:v>0.9722010169499611</x:v>
      </x:c>
      <x:c r="M1148" s="74" t="n">
        <x:v>0.9744826794547776</x:v>
      </x:c>
      <x:c r="N1148" s="74" t="n">
        <x:v>0.7882604225925433</x:v>
      </x:c>
      <x:c r="O1148" s="65" t="n">
        <x:v>490190.60854689206</x:v>
      </x:c>
      <x:c r="P1148" s="65" t="n">
        <x:v>301115.02089991333</x:v>
      </x:c>
      <x:c r="Q1148" s="65" t="n">
        <x:v>189075.58764697876</x:v>
      </x:c>
      <x:c r="R1148" s="65" t="n">
        <x:v>98926.81553454045</x:v>
      </x:c>
      <x:c r="S1148" s="65" t="n">
        <x:v>90148.77211243831</x:v>
      </x:c>
      <x:c r="T1148" s="65" t="n">
        <x:v>187578.30876072042</x:v>
      </x:c>
      <x:c r="U1148" s="43" t="n">
        <x:v>0.9969455169883877</x:v>
      </x:c>
      <x:c r="V1148" s="43" t="n">
        <x:v>0.9980761674254629</x:v>
      </x:c>
      <x:c r="W1148" s="43" t="n">
        <x:v>0.9694551698838775</x:v>
      </x:c>
      <x:c r="X1148" s="65" t="n">
        <x:v>18721157.71840823</x:v>
      </x:c>
      <x:c r="Y1148" s="65" t="n">
        <x:v>38.19158790884372</x:v>
      </x:c>
      <x:c r="Z1148" s="65" t="n">
        <x:v>1193010.783231692</x:v>
      </x:c>
      <x:c r="AA1148" s="65" t="n">
        <x:v>117319.61616569546</x:v>
      </x:c>
      <x:c r="AB1148" s="65" t="n">
        <x:v>2656.4851740812946</x:v>
      </x:c>
      <x:c r="AC1148" s="65" t="n">
        <x:v>0</x:v>
      </x:c>
      <x:c r="AD1148" s="65" t="n">
        <x:v>1497.2788862583623</x:v>
      </x:c>
      <x:c r="AE1148" s="65" t="n">
        <x:v>85419.75799272687</x:v>
      </x:c>
      <x:c r="AF1148" s="65" t="n">
        <x:v>187578.30876072042</x:v>
      </x:c>
      <x:c r="AG1148" s="65" t="n">
        <x:v>0</x:v>
      </x:c>
      <x:c r="AH1148" s="34" t="n">
        <x:v>1</x:v>
      </x:c>
    </x:row>
    <x:row r="1149" ht="15" hidden="0" customHeight="1">
      <x:c r="A1149" s="36" t="n">
        <x:v>287</x:v>
      </x:c>
      <x:c r="B1149" s="36" t="str">
        <x:v>M0</x:v>
      </x:c>
      <x:c r="C1149" s="36" t="str">
        <x:v>slow</x:v>
      </x:c>
      <x:c r="D1149" s="75" t="n">
        <x:v>1.1494555711272252</x:v>
      </x:c>
      <x:c r="E1149" s="75" t="n">
        <x:v>0.09878098303736821</x:v>
      </x:c>
      <x:c r="F1149" s="75" t="n">
        <x:v>0.8811843675975136</x:v>
      </x:c>
      <x:c r="G1149" s="75" t="n">
        <x:v>1.0304138583161109</x:v>
      </x:c>
      <x:c r="H1149" s="75" t="n">
        <x:v>0.8446419440461785</x:v>
      </x:c>
      <x:c r="I1149" s="75" t="n">
        <x:v>0.8071524357677361</x:v>
      </x:c>
      <x:c r="J1149" s="75" t="n">
        <x:v>0.7977839797854281</x:v>
      </x:c>
      <x:c r="K1149" s="75" t="n">
        <x:v>0.9283539352399428</x:v>
      </x:c>
      <x:c r="L1149" s="75" t="n">
        <x:v>1.002852107642489</x:v>
      </x:c>
      <x:c r="M1149" s="75" t="n">
        <x:v>1.0446345979974037</x:v>
      </x:c>
      <x:c r="N1149" s="75" t="n">
        <x:v>0.8332880245109958</x:v>
      </x:c>
      <x:c r="O1149" s="66" t="n">
        <x:v>552945.3725996374</x:v>
      </x:c>
      <x:c r="P1149" s="66" t="n">
        <x:v>64874.78631779164</x:v>
      </x:c>
      <x:c r="Q1149" s="66" t="n">
        <x:v>488070.5862818458</x:v>
      </x:c>
      <x:c r="R1149" s="66" t="n">
        <x:v>157777.28415922995</x:v>
      </x:c>
      <x:c r="S1149" s="66" t="n">
        <x:v>330293.30212261586</x:v>
      </x:c>
      <x:c r="T1149" s="66" t="n">
        <x:v>276750.02317221306</x:v>
      </x:c>
      <x:c r="U1149" s="45" t="n">
        <x:v>0.617827413735063</x:v>
      </x:c>
      <x:c r="V1149" s="45" t="n">
        <x:v>0.598434858681072</x:v>
      </x:c>
      <x:c r="W1149" s="45" t="n">
        <x:v>0.05515099699733169</x:v>
      </x:c>
      <x:c r="X1149" s="66" t="n">
        <x:v>64757283.89695323</x:v>
      </x:c>
      <x:c r="Y1149" s="66" t="n">
        <x:v>117.11334809169485</x:v>
      </x:c>
      <x:c r="Z1149" s="66" t="n">
        <x:v>4371818.65910117</x:v>
      </x:c>
      <x:c r="AA1149" s="66" t="n">
        <x:v>359703.0832394589</x:v>
      </x:c>
      <x:c r="AB1149" s="66" t="n">
        <x:v>34721.097568233905</x:v>
      </x:c>
      <x:c r="AC1149" s="66" t="n">
        <x:v>227.49038175375406</x:v>
      </x:c>
      <x:c r="AD1149" s="66" t="n">
        <x:v>3100.154743863152</x:v>
      </x:c>
      <x:c r="AE1149" s="66" t="n">
        <x:v>204753.9378544631</x:v>
      </x:c>
      <x:c r="AF1149" s="66" t="n">
        <x:v>276750.0231722129</x:v>
      </x:c>
      <x:c r="AG1149" s="66" t="n">
        <x:v>1.7462298274040222e-10</x:v>
      </x:c>
      <x:c r="AH1149" s="36" t="n">
        <x:v>0</x:v>
      </x:c>
    </x:row>
    <x:row r="1150" ht="15" hidden="0" customHeight="1">
      <x:c r="A1150" s="34" t="n">
        <x:v>287</x:v>
      </x:c>
      <x:c r="B1150" s="34" t="str">
        <x:v>B1</x:v>
      </x:c>
      <x:c r="C1150" s="34" t="str">
        <x:v>slow</x:v>
      </x:c>
      <x:c r="D1150" s="74" t="n">
        <x:v>1.1494555711272252</x:v>
      </x:c>
      <x:c r="E1150" s="74" t="n">
        <x:v>0.09878098303736821</x:v>
      </x:c>
      <x:c r="F1150" s="74" t="n">
        <x:v>0.8811843675975136</x:v>
      </x:c>
      <x:c r="G1150" s="74" t="n">
        <x:v>1.0304138583161109</x:v>
      </x:c>
      <x:c r="H1150" s="74" t="n">
        <x:v>0.8446419440461785</x:v>
      </x:c>
      <x:c r="I1150" s="74" t="n">
        <x:v>0.8071524357677361</x:v>
      </x:c>
      <x:c r="J1150" s="74" t="n">
        <x:v>0.7977839797854281</x:v>
      </x:c>
      <x:c r="K1150" s="74" t="n">
        <x:v>0.9283539352399428</x:v>
      </x:c>
      <x:c r="L1150" s="74" t="n">
        <x:v>1.002852107642489</x:v>
      </x:c>
      <x:c r="M1150" s="74" t="n">
        <x:v>1.0446345979974037</x:v>
      </x:c>
      <x:c r="N1150" s="74" t="n">
        <x:v>0.8332880245109958</x:v>
      </x:c>
      <x:c r="O1150" s="65" t="n">
        <x:v>552945.3725996374</x:v>
      </x:c>
      <x:c r="P1150" s="65" t="n">
        <x:v>219452.67044214415</x:v>
      </x:c>
      <x:c r="Q1150" s="65" t="n">
        <x:v>333492.70215749333</x:v>
      </x:c>
      <x:c r="R1150" s="65" t="n">
        <x:v>157777.28415922995</x:v>
      </x:c>
      <x:c r="S1150" s="65" t="n">
        <x:v>175715.41799826332</x:v>
      </x:c>
      <x:c r="T1150" s="65" t="n">
        <x:v>199781.02436330734</x:v>
      </x:c>
      <x:c r="U1150" s="43" t="n">
        <x:v>0.7581828433330602</x:v>
      </x:c>
      <x:c r="V1150" s="43" t="n">
        <x:v>0.7478086137352765</x:v>
      </x:c>
      <x:c r="W1150" s="43" t="n">
        <x:v>0.19142236220602576</x:v>
      </x:c>
      <x:c r="X1150" s="65" t="n">
        <x:v>45493124.722831294</x:v>
      </x:c>
      <x:c r="Y1150" s="65" t="n">
        <x:v>82.2741756729933</x:v>
      </x:c>
      <x:c r="Z1150" s="65" t="n">
        <x:v>1773492.1984684947</x:v>
      </x:c>
      <x:c r="AA1150" s="65" t="n">
        <x:v>249987.40427306</x:v>
      </x:c>
      <x:c r="AB1150" s="65" t="n">
        <x:v>7051.398133732266</x:v>
      </x:c>
      <x:c r="AC1150" s="65" t="n">
        <x:v>2486.4685936308165</x:v>
      </x:c>
      <x:c r="AD1150" s="65" t="n">
        <x:v>2641.4247925144764</x:v>
      </x:c>
      <x:c r="AE1150" s="65" t="n">
        <x:v>109785.91771611979</x:v>
      </x:c>
      <x:c r="AF1150" s="65" t="n">
        <x:v>199781.02436330737</x:v>
      </x:c>
      <x:c r="AG1150" s="65" t="n">
        <x:v>0</x:v>
      </x:c>
      <x:c r="AH1150" s="34" t="n">
        <x:v>0</x:v>
      </x:c>
    </x:row>
    <x:row r="1151" ht="15" hidden="0" customHeight="1">
      <x:c r="A1151" s="36" t="n">
        <x:v>287</x:v>
      </x:c>
      <x:c r="B1151" s="36" t="str">
        <x:v>P2</x:v>
      </x:c>
      <x:c r="C1151" s="36" t="str">
        <x:v>slow</x:v>
      </x:c>
      <x:c r="D1151" s="75" t="n">
        <x:v>1.1494555711272252</x:v>
      </x:c>
      <x:c r="E1151" s="75" t="n">
        <x:v>0.09878098303736821</x:v>
      </x:c>
      <x:c r="F1151" s="75" t="n">
        <x:v>0.8811843675975136</x:v>
      </x:c>
      <x:c r="G1151" s="75" t="n">
        <x:v>1.0304138583161109</x:v>
      </x:c>
      <x:c r="H1151" s="75" t="n">
        <x:v>0.8446419440461785</x:v>
      </x:c>
      <x:c r="I1151" s="75" t="n">
        <x:v>0.8071524357677361</x:v>
      </x:c>
      <x:c r="J1151" s="75" t="n">
        <x:v>0.7977839797854281</x:v>
      </x:c>
      <x:c r="K1151" s="75" t="n">
        <x:v>0.9283539352399428</x:v>
      </x:c>
      <x:c r="L1151" s="75" t="n">
        <x:v>1.002852107642489</x:v>
      </x:c>
      <x:c r="M1151" s="75" t="n">
        <x:v>1.0446345979974037</x:v>
      </x:c>
      <x:c r="N1151" s="75" t="n">
        <x:v>0.8332880245109958</x:v>
      </x:c>
      <x:c r="O1151" s="66" t="n">
        <x:v>552945.3725996374</x:v>
      </x:c>
      <x:c r="P1151" s="66" t="n">
        <x:v>317921.48344110465</x:v>
      </x:c>
      <x:c r="Q1151" s="66" t="n">
        <x:v>235023.88915853284</x:v>
      </x:c>
      <x:c r="R1151" s="66" t="n">
        <x:v>157777.28415922995</x:v>
      </x:c>
      <x:c r="S1151" s="66" t="n">
        <x:v>77246.60499930289</x:v>
      </x:c>
      <x:c r="T1151" s="66" t="n">
        <x:v>129546.0190883457</x:v>
      </x:c>
      <x:c r="U1151" s="45" t="n">
        <x:v>0.8092435974745759</x:v>
      </x:c>
      <x:c r="V1151" s="45" t="n">
        <x:v>0.8023717465866902</x:v>
      </x:c>
      <x:c r="W1151" s="45" t="n">
        <x:v>0.2812812746985491</x:v>
      </x:c>
      <x:c r="X1151" s="66" t="n">
        <x:v>31554190.030320503</x:v>
      </x:c>
      <x:c r="Y1151" s="66" t="n">
        <x:v>57.06565529605663</x:v>
      </x:c>
      <x:c r="Z1151" s="66" t="n">
        <x:v>810114.6460283026</x:v>
      </x:c>
      <x:c r="AA1151" s="66" t="n">
        <x:v>181313.00864446477</x:v>
      </x:c>
      <x:c r="AB1151" s="66" t="n">
        <x:v>239.41293890193901</x:v>
      </x:c>
      <x:c r="AC1151" s="66" t="n">
        <x:v>0</x:v>
      </x:c>
      <x:c r="AD1151" s="66" t="n">
        <x:v>2363.1173856346863</x:v>
      </x:c>
      <x:c r="AE1151" s="66" t="n">
        <x:v>51550.25999411648</x:v>
      </x:c>
      <x:c r="AF1151" s="66" t="n">
        <x:v>129546.01908834565</x:v>
      </x:c>
      <x:c r="AG1151" s="66" t="n">
        <x:v>4.3655745685100555e-11</x:v>
      </x:c>
      <x:c r="AH1151" s="36" t="n">
        <x:v>0</x:v>
      </x:c>
    </x:row>
    <x:row r="1152" ht="15" hidden="0" customHeight="1">
      <x:c r="A1152" s="34" t="n">
        <x:v>287</x:v>
      </x:c>
      <x:c r="B1152" s="34" t="str">
        <x:v>H3</x:v>
      </x:c>
      <x:c r="C1152" s="34" t="str">
        <x:v>slow</x:v>
      </x:c>
      <x:c r="D1152" s="74" t="n">
        <x:v>1.1494555711272252</x:v>
      </x:c>
      <x:c r="E1152" s="74" t="n">
        <x:v>0.09878098303736821</x:v>
      </x:c>
      <x:c r="F1152" s="74" t="n">
        <x:v>0.8811843675975136</x:v>
      </x:c>
      <x:c r="G1152" s="74" t="n">
        <x:v>1.0304138583161109</x:v>
      </x:c>
      <x:c r="H1152" s="74" t="n">
        <x:v>0.8446419440461785</x:v>
      </x:c>
      <x:c r="I1152" s="74" t="n">
        <x:v>0.8071524357677361</x:v>
      </x:c>
      <x:c r="J1152" s="74" t="n">
        <x:v>0.7977839797854281</x:v>
      </x:c>
      <x:c r="K1152" s="74" t="n">
        <x:v>0.9283539352399428</x:v>
      </x:c>
      <x:c r="L1152" s="74" t="n">
        <x:v>1.002852107642489</x:v>
      </x:c>
      <x:c r="M1152" s="74" t="n">
        <x:v>1.0446345979974037</x:v>
      </x:c>
      <x:c r="N1152" s="74" t="n">
        <x:v>0.8332880245109958</x:v>
      </x:c>
      <x:c r="O1152" s="65" t="n">
        <x:v>552945.3725996374</x:v>
      </x:c>
      <x:c r="P1152" s="65" t="n">
        <x:v>329798.4823354042</x:v>
      </x:c>
      <x:c r="Q1152" s="65" t="n">
        <x:v>223146.89026423323</x:v>
      </x:c>
      <x:c r="R1152" s="65" t="n">
        <x:v>157777.28415922995</x:v>
      </x:c>
      <x:c r="S1152" s="65" t="n">
        <x:v>65369.60610500327</x:v>
      </x:c>
      <x:c r="T1152" s="65" t="n">
        <x:v>121079.32713125864</x:v>
      </x:c>
      <x:c r="U1152" s="43" t="n">
        <x:v>0.8154111270465826</x:v>
      </x:c>
      <x:c r="V1152" s="43" t="n">
        <x:v>0.809088197677875</x:v>
      </x:c>
      <x:c r="W1152" s="43" t="n">
        <x:v>0.29258995926088904</x:v>
      </x:c>
      <x:c r="X1152" s="65" t="n">
        <x:v>26593100.54713164</x:v>
      </x:c>
      <x:c r="Y1152" s="65" t="n">
        <x:v>48.093540275246134</x:v>
      </x:c>
      <x:c r="Z1152" s="65" t="n">
        <x:v>854027.0109665277</x:v>
      </x:c>
      <x:c r="AA1152" s="65" t="n">
        <x:v>148971.5423621264</x:v>
      </x:c>
      <x:c r="AB1152" s="65" t="n">
        <x:v>2971.3372395094398</x:v>
      </x:c>
      <x:c r="AC1152" s="65" t="n">
        <x:v>633.6510124024519</x:v>
      </x:c>
      <x:c r="AD1152" s="65" t="n">
        <x:v>2331.692241315509</x:v>
      </x:c>
      <x:c r="AE1152" s="65" t="n">
        <x:v>0</x:v>
      </x:c>
      <x:c r="AF1152" s="65" t="n">
        <x:v>121079.3271312587</x:v>
      </x:c>
      <x:c r="AG1152" s="65" t="n">
        <x:v>0</x:v>
      </x:c>
      <x:c r="AH1152" s="34" t="n">
        <x:v>0</x:v>
      </x:c>
    </x:row>
    <x:row r="1153" ht="15" hidden="0" customHeight="1">
      <x:c r="A1153" s="36" t="n">
        <x:v>288</x:v>
      </x:c>
      <x:c r="B1153" s="36" t="str">
        <x:v>M0</x:v>
      </x:c>
      <x:c r="C1153" s="36" t="str">
        <x:v>slow</x:v>
      </x:c>
      <x:c r="D1153" s="75" t="n">
        <x:v>0.978374602416422</x:v>
      </x:c>
      <x:c r="E1153" s="75" t="n">
        <x:v>0.035173405396600126</x:v>
      </x:c>
      <x:c r="F1153" s="75" t="n">
        <x:v>0.7763020121157306</x:v>
      </x:c>
      <x:c r="G1153" s="75" t="n">
        <x:v>1.3186897448009636</x:v>
      </x:c>
      <x:c r="H1153" s="75" t="n">
        <x:v>0.721739290540328</x:v>
      </x:c>
      <x:c r="I1153" s="75" t="n">
        <x:v>0.9594375612787032</x:v>
      </x:c>
      <x:c r="J1153" s="75" t="n">
        <x:v>0.8161737031193321</x:v>
      </x:c>
      <x:c r="K1153" s="75" t="n">
        <x:v>0.7998846856498427</x:v>
      </x:c>
      <x:c r="L1153" s="75" t="n">
        <x:v>1.048348820013394</x:v>
      </x:c>
      <x:c r="M1153" s="75" t="n">
        <x:v>0.8061733082649973</x:v>
      </x:c>
      <x:c r="N1153" s="75" t="n">
        <x:v>0.7502084570811143</x:v>
      </x:c>
      <x:c r="O1153" s="66" t="n">
        <x:v>470646.9068174994</x:v>
      </x:c>
      <x:c r="P1153" s="66" t="n">
        <x:v>52977.29939483661</x:v>
      </x:c>
      <x:c r="Q1153" s="66" t="n">
        <x:v>417669.6074226627</x:v>
      </x:c>
      <x:c r="R1153" s="66" t="n">
        <x:v>104357.55236219769</x:v>
      </x:c>
      <x:c r="S1153" s="66" t="n">
        <x:v>313312.055060465</x:v>
      </x:c>
      <x:c r="T1153" s="66" t="n">
        <x:v>264606.2091924271</x:v>
      </x:c>
      <x:c r="U1153" s="45" t="n">
        <x:v>0.6747808261075254</x:v>
      </x:c>
      <x:c r="V1153" s="45" t="n">
        <x:v>0.6610890711811054</x:v>
      </x:c>
      <x:c r="W1153" s="45" t="n">
        <x:v>0.057385988095211504</x:v>
      </x:c>
      <x:c r="X1153" s="66" t="n">
        <x:v>53641117.7010012</x:v>
      </x:c>
      <x:c r="Y1153" s="66" t="n">
        <x:v>113.9731652837599</x:v>
      </x:c>
      <x:c r="Z1153" s="66" t="n">
        <x:v>2049900.0384985583</x:v>
      </x:c>
      <x:c r="AA1153" s="66" t="n">
        <x:v>307957.47331944207</x:v>
      </x:c>
      <x:c r="AB1153" s="66" t="n">
        <x:v>7428.748006136389</x:v>
      </x:c>
      <x:c r="AC1153" s="66" t="n">
        <x:v>0</x:v>
      </x:c>
      <x:c r="AD1153" s="66" t="n">
        <x:v>2631.7767932354564</x:v>
      </x:c>
      <x:c r="AE1153" s="66" t="n">
        <x:v>243000.20562849104</x:v>
      </x:c>
      <x:c r="AF1153" s="66" t="n">
        <x:v>264606.20919242746</x:v>
      </x:c>
      <x:c r="AG1153" s="66" t="n">
        <x:v>0</x:v>
      </x:c>
      <x:c r="AH1153" s="36" t="n">
        <x:v>0</x:v>
      </x:c>
    </x:row>
    <x:row r="1154" ht="15" hidden="0" customHeight="1">
      <x:c r="A1154" s="34" t="n">
        <x:v>288</x:v>
      </x:c>
      <x:c r="B1154" s="34" t="str">
        <x:v>B1</x:v>
      </x:c>
      <x:c r="C1154" s="34" t="str">
        <x:v>slow</x:v>
      </x:c>
      <x:c r="D1154" s="74" t="n">
        <x:v>0.978374602416422</x:v>
      </x:c>
      <x:c r="E1154" s="74" t="n">
        <x:v>0.035173405396600126</x:v>
      </x:c>
      <x:c r="F1154" s="74" t="n">
        <x:v>0.7763020121157306</x:v>
      </x:c>
      <x:c r="G1154" s="74" t="n">
        <x:v>1.3186897448009636</x:v>
      </x:c>
      <x:c r="H1154" s="74" t="n">
        <x:v>0.721739290540328</x:v>
      </x:c>
      <x:c r="I1154" s="74" t="n">
        <x:v>0.9594375612787032</x:v>
      </x:c>
      <x:c r="J1154" s="74" t="n">
        <x:v>0.8161737031193321</x:v>
      </x:c>
      <x:c r="K1154" s="74" t="n">
        <x:v>0.7998846856498427</x:v>
      </x:c>
      <x:c r="L1154" s="74" t="n">
        <x:v>1.048348820013394</x:v>
      </x:c>
      <x:c r="M1154" s="74" t="n">
        <x:v>0.8061733082649973</x:v>
      </x:c>
      <x:c r="N1154" s="74" t="n">
        <x:v>0.7502084570811143</x:v>
      </x:c>
      <x:c r="O1154" s="65" t="n">
        <x:v>470646.9068174994</x:v>
      </x:c>
      <x:c r="P1154" s="65" t="n">
        <x:v>179205.13016595555</x:v>
      </x:c>
      <x:c r="Q1154" s="65" t="n">
        <x:v>291441.7766515438</x:v>
      </x:c>
      <x:c r="R1154" s="65" t="n">
        <x:v>104357.55236219769</x:v>
      </x:c>
      <x:c r="S1154" s="65" t="n">
        <x:v>187084.22428934608</x:v>
      </x:c>
      <x:c r="T1154" s="65" t="n">
        <x:v>173030.46188614526</x:v>
      </x:c>
      <x:c r="U1154" s="43" t="n">
        <x:v>0.7484073239403772</x:v>
      </x:c>
      <x:c r="V1154" s="43" t="n">
        <x:v>0.7407722268721287</x:v>
      </x:c>
      <x:c r="W1154" s="43" t="n">
        <x:v>0.19917974282937684</x:v>
      </x:c>
      <x:c r="X1154" s="65" t="n">
        <x:v>39360414.33597165</x:v>
      </x:c>
      <x:c r="Y1154" s="65" t="n">
        <x:v>83.63045367093906</x:v>
      </x:c>
      <x:c r="Z1154" s="65" t="n">
        <x:v>1087499.3884147983</x:v>
      </x:c>
      <x:c r="AA1154" s="65" t="n">
        <x:v>220109.019103227</x:v>
      </x:c>
      <x:c r="AB1154" s="65" t="n">
        <x:v>660.6211988168284</x:v>
      </x:c>
      <x:c r="AC1154" s="65" t="n">
        <x:v>0</x:v>
      </x:c>
      <x:c r="AD1154" s="65" t="n">
        <x:v>2225.499478049126</x:v>
      </x:c>
      <x:c r="AE1154" s="65" t="n">
        <x:v>108212.45119433699</x:v>
      </x:c>
      <x:c r="AF1154" s="65" t="n">
        <x:v>173030.46188614526</x:v>
      </x:c>
      <x:c r="AG1154" s="65" t="n">
        <x:v>0</x:v>
      </x:c>
      <x:c r="AH1154" s="34" t="n">
        <x:v>0</x:v>
      </x:c>
    </x:row>
    <x:row r="1155" ht="15" hidden="0" customHeight="1">
      <x:c r="A1155" s="36" t="n">
        <x:v>288</x:v>
      </x:c>
      <x:c r="B1155" s="36" t="str">
        <x:v>P2</x:v>
      </x:c>
      <x:c r="C1155" s="36" t="str">
        <x:v>slow</x:v>
      </x:c>
      <x:c r="D1155" s="75" t="n">
        <x:v>0.978374602416422</x:v>
      </x:c>
      <x:c r="E1155" s="75" t="n">
        <x:v>0.035173405396600126</x:v>
      </x:c>
      <x:c r="F1155" s="75" t="n">
        <x:v>0.7763020121157306</x:v>
      </x:c>
      <x:c r="G1155" s="75" t="n">
        <x:v>1.3186897448009636</x:v>
      </x:c>
      <x:c r="H1155" s="75" t="n">
        <x:v>0.721739290540328</x:v>
      </x:c>
      <x:c r="I1155" s="75" t="n">
        <x:v>0.9594375612787032</x:v>
      </x:c>
      <x:c r="J1155" s="75" t="n">
        <x:v>0.8161737031193321</x:v>
      </x:c>
      <x:c r="K1155" s="75" t="n">
        <x:v>0.7998846856498427</x:v>
      </x:c>
      <x:c r="L1155" s="75" t="n">
        <x:v>1.048348820013394</x:v>
      </x:c>
      <x:c r="M1155" s="75" t="n">
        <x:v>0.8061733082649973</x:v>
      </x:c>
      <x:c r="N1155" s="75" t="n">
        <x:v>0.7502084570811143</x:v>
      </x:c>
      <x:c r="O1155" s="66" t="n">
        <x:v>470646.9068174994</x:v>
      </x:c>
      <x:c r="P1155" s="66" t="n">
        <x:v>259613.3484460764</x:v>
      </x:c>
      <x:c r="Q1155" s="66" t="n">
        <x:v>211033.55837142293</x:v>
      </x:c>
      <x:c r="R1155" s="66" t="n">
        <x:v>104357.55236219769</x:v>
      </x:c>
      <x:c r="S1155" s="66" t="n">
        <x:v>106676.00600922524</x:v>
      </x:c>
      <x:c r="T1155" s="66" t="n">
        <x:v>111865.94572184885</x:v>
      </x:c>
      <x:c r="U1155" s="45" t="n">
        <x:v>0.7892950931726236</x:v>
      </x:c>
      <x:c r="V1155" s="45" t="n">
        <x:v>0.7866846957004756</x:v>
      </x:c>
      <x:c r="W1155" s="45" t="n">
        <x:v>0.2926801827723589</x:v>
      </x:c>
      <x:c r="X1155" s="66" t="n">
        <x:v>28611485.752211917</x:v>
      </x:c>
      <x:c r="Y1155" s="66" t="n">
        <x:v>60.79182788150452</x:v>
      </x:c>
      <x:c r="Z1155" s="66" t="n">
        <x:v>698032.3850546149</x:v>
      </x:c>
      <x:c r="AA1155" s="66" t="n">
        <x:v>164792.7332083786</x:v>
      </x:c>
      <x:c r="AB1155" s="66" t="n">
        <x:v>0</x:v>
      </x:c>
      <x:c r="AC1155" s="66" t="n">
        <x:v>0</x:v>
      </x:c>
      <x:c r="AD1155" s="66" t="n">
        <x:v>1979.0146219128244</x:v>
      </x:c>
      <x:c r="AE1155" s="66" t="n">
        <x:v>53349.68606952192</x:v>
      </x:c>
      <x:c r="AF1155" s="66" t="n">
        <x:v>111865.94572184881</x:v>
      </x:c>
      <x:c r="AG1155" s="66" t="n">
        <x:v>4.3655745685100555e-11</x:v>
      </x:c>
      <x:c r="AH1155" s="36" t="n">
        <x:v>0</x:v>
      </x:c>
    </x:row>
    <x:row r="1156" ht="15" hidden="0" customHeight="1">
      <x:c r="A1156" s="34" t="n">
        <x:v>288</x:v>
      </x:c>
      <x:c r="B1156" s="34" t="str">
        <x:v>H3</x:v>
      </x:c>
      <x:c r="C1156" s="34" t="str">
        <x:v>slow</x:v>
      </x:c>
      <x:c r="D1156" s="74" t="n">
        <x:v>0.978374602416422</x:v>
      </x:c>
      <x:c r="E1156" s="74" t="n">
        <x:v>0.035173405396600126</x:v>
      </x:c>
      <x:c r="F1156" s="74" t="n">
        <x:v>0.7763020121157306</x:v>
      </x:c>
      <x:c r="G1156" s="74" t="n">
        <x:v>1.3186897448009636</x:v>
      </x:c>
      <x:c r="H1156" s="74" t="n">
        <x:v>0.721739290540328</x:v>
      </x:c>
      <x:c r="I1156" s="74" t="n">
        <x:v>0.9594375612787032</x:v>
      </x:c>
      <x:c r="J1156" s="74" t="n">
        <x:v>0.8161737031193321</x:v>
      </x:c>
      <x:c r="K1156" s="74" t="n">
        <x:v>0.7998846856498427</x:v>
      </x:c>
      <x:c r="L1156" s="74" t="n">
        <x:v>1.048348820013394</x:v>
      </x:c>
      <x:c r="M1156" s="74" t="n">
        <x:v>0.8061733082649973</x:v>
      </x:c>
      <x:c r="N1156" s="74" t="n">
        <x:v>0.7502084570811143</x:v>
      </x:c>
      <x:c r="O1156" s="65" t="n">
        <x:v>470646.9068174994</x:v>
      </x:c>
      <x:c r="P1156" s="65" t="n">
        <x:v>269311.7632868454</x:v>
      </x:c>
      <x:c r="Q1156" s="65" t="n">
        <x:v>201335.14353065388</x:v>
      </x:c>
      <x:c r="R1156" s="65" t="n">
        <x:v>104357.55236219769</x:v>
      </x:c>
      <x:c r="S1156" s="65" t="n">
        <x:v>96977.59116845619</x:v>
      </x:c>
      <x:c r="T1156" s="65" t="n">
        <x:v>112711.12387608353</x:v>
      </x:c>
      <x:c r="U1156" s="43" t="n">
        <x:v>0.8116974352304928</x:v>
      </x:c>
      <x:c r="V1156" s="43" t="n">
        <x:v>0.8049724432069119</x:v>
      </x:c>
      <x:c r="W1156" s="43" t="n">
        <x:v>0.3044471511500715</x:v>
      </x:c>
      <x:c r="X1156" s="65" t="n">
        <x:v>23672029.205470458</x:v>
      </x:c>
      <x:c r="Y1156" s="65" t="n">
        <x:v>50.29679120923162</x:v>
      </x:c>
      <x:c r="Z1156" s="65" t="n">
        <x:v>723952.3076111835</x:v>
      </x:c>
      <x:c r="AA1156" s="65" t="n">
        <x:v>136489.8081067811</x:v>
      </x:c>
      <x:c r="AB1156" s="65" t="n">
        <x:v>572.5021542557628</x:v>
      </x:c>
      <x:c r="AC1156" s="65" t="n">
        <x:v>0</x:v>
      </x:c>
      <x:c r="AD1156" s="65" t="n">
        <x:v>1951.1827281683627</x:v>
      </x:c>
      <x:c r="AE1156" s="65" t="n">
        <x:v>15484.107838371128</x:v>
      </x:c>
      <x:c r="AF1156" s="65" t="n">
        <x:v>112711.12387608354</x:v>
      </x:c>
      <x:c r="AG1156" s="65" t="n">
        <x:v>0</x:v>
      </x:c>
      <x:c r="AH1156" s="34" t="n">
        <x:v>0</x:v>
      </x:c>
    </x:row>
    <x:row r="1157" ht="15" hidden="0" customHeight="1">
      <x:c r="A1157" s="36" t="n">
        <x:v>289</x:v>
      </x:c>
      <x:c r="B1157" s="36" t="str">
        <x:v>M0</x:v>
      </x:c>
      <x:c r="C1157" s="36" t="str">
        <x:v>fast</x:v>
      </x:c>
      <x:c r="D1157" s="75" t="n">
        <x:v>1.0557490106304632</x:v>
      </x:c>
      <x:c r="E1157" s="75" t="n">
        <x:v>-0.0028572102348134246</x:v>
      </x:c>
      <x:c r="F1157" s="75" t="n">
        <x:v>0.9866671208878339</x:v>
      </x:c>
      <x:c r="G1157" s="75" t="n">
        <x:v>1.074640109775889</x:v>
      </x:c>
      <x:c r="H1157" s="75" t="n">
        <x:v>0.7552136091212822</x:v>
      </x:c>
      <x:c r="I1157" s="75" t="n">
        <x:v>1.0484449224643677</x:v>
      </x:c>
      <x:c r="J1157" s="75" t="n">
        <x:v>1.0421204528362564</x:v>
      </x:c>
      <x:c r="K1157" s="75" t="n">
        <x:v>0.7947243221428404</x:v>
      </x:c>
      <x:c r="L1157" s="75" t="n">
        <x:v>0.8201116288115032</x:v>
      </x:c>
      <x:c r="M1157" s="75" t="n">
        <x:v>0.9443120643796922</x:v>
      </x:c>
      <x:c r="N1157" s="75" t="n">
        <x:v>0.9528147609530551</x:v>
      </x:c>
      <x:c r="O1157" s="66" t="n">
        <x:v>507867.8504139822</x:v>
      </x:c>
      <x:c r="P1157" s="66" t="n">
        <x:v>76209.49740331901</x:v>
      </x:c>
      <x:c r="Q1157" s="66" t="n">
        <x:v>431658.3530106632</x:v>
      </x:c>
      <x:c r="R1157" s="66" t="n">
        <x:v>93296.10534437609</x:v>
      </x:c>
      <x:c r="S1157" s="66" t="n">
        <x:v>338362.2476662871</x:v>
      </x:c>
      <x:c r="T1157" s="66" t="n">
        <x:v>265359.05881894974</x:v>
      </x:c>
      <x:c r="U1157" s="45" t="n">
        <x:v>0.6725540038493151</x:v>
      </x:c>
      <x:c r="V1157" s="45" t="n">
        <x:v>0.7310747959965117</x:v>
      </x:c>
      <x:c r="W1157" s="45" t="n">
        <x:v>0.15813716219334592</x:v>
      </x:c>
      <x:c r="X1157" s="66" t="n">
        <x:v>56662722.71320757</x:v>
      </x:c>
      <x:c r="Y1157" s="66" t="n">
        <x:v>111.56981617761325</x:v>
      </x:c>
      <x:c r="Z1157" s="66" t="n">
        <x:v>2379289.8087033904</x:v>
      </x:c>
      <x:c r="AA1157" s="66" t="n">
        <x:v>318112.0467075643</x:v>
      </x:c>
      <x:c r="AB1157" s="66" t="n">
        <x:v>7930.122703488414</x:v>
      </x:c>
      <x:c r="AC1157" s="66" t="n">
        <x:v>0</x:v>
      </x:c>
      <x:c r="AD1157" s="66" t="n">
        <x:v>2127.4709038573587</x:v>
      </x:c>
      <x:c r="AE1157" s="66" t="n">
        <x:v>210476.9285880537</x:v>
      </x:c>
      <x:c r="AF1157" s="66" t="n">
        <x:v>265359.05881894985</x:v>
      </x:c>
      <x:c r="AG1157" s="66" t="n">
        <x:v>0</x:v>
      </x:c>
      <x:c r="AH1157" s="36" t="n">
        <x:v>0</x:v>
      </x:c>
    </x:row>
    <x:row r="1158" ht="15" hidden="0" customHeight="1">
      <x:c r="A1158" s="34" t="n">
        <x:v>289</x:v>
      </x:c>
      <x:c r="B1158" s="34" t="str">
        <x:v>B1</x:v>
      </x:c>
      <x:c r="C1158" s="34" t="str">
        <x:v>fast</x:v>
      </x:c>
      <x:c r="D1158" s="74" t="n">
        <x:v>1.0557490106304632</x:v>
      </x:c>
      <x:c r="E1158" s="74" t="n">
        <x:v>-0.0028572102348134246</x:v>
      </x:c>
      <x:c r="F1158" s="74" t="n">
        <x:v>0.9866671208878339</x:v>
      </x:c>
      <x:c r="G1158" s="74" t="n">
        <x:v>1.074640109775889</x:v>
      </x:c>
      <x:c r="H1158" s="74" t="n">
        <x:v>0.7552136091212822</x:v>
      </x:c>
      <x:c r="I1158" s="74" t="n">
        <x:v>1.0484449224643677</x:v>
      </x:c>
      <x:c r="J1158" s="74" t="n">
        <x:v>1.0421204528362564</x:v>
      </x:c>
      <x:c r="K1158" s="74" t="n">
        <x:v>0.7947243221428404</x:v>
      </x:c>
      <x:c r="L1158" s="74" t="n">
        <x:v>0.8201116288115032</x:v>
      </x:c>
      <x:c r="M1158" s="74" t="n">
        <x:v>0.9443120643796922</x:v>
      </x:c>
      <x:c r="N1158" s="74" t="n">
        <x:v>0.9528147609530551</x:v>
      </x:c>
      <x:c r="O1158" s="65" t="n">
        <x:v>507867.8504139822</x:v>
      </x:c>
      <x:c r="P1158" s="65" t="n">
        <x:v>257790.830455365</x:v>
      </x:c>
      <x:c r="Q1158" s="65" t="n">
        <x:v>250077.01995861717</x:v>
      </x:c>
      <x:c r="R1158" s="65" t="n">
        <x:v>93296.10534437609</x:v>
      </x:c>
      <x:c r="S1158" s="65" t="n">
        <x:v>156780.91461424108</x:v>
      </x:c>
      <x:c r="T1158" s="65" t="n">
        <x:v>177788.61905411046</x:v>
      </x:c>
      <x:c r="U1158" s="43" t="n">
        <x:v>0.8576629710945836</x:v>
      </x:c>
      <x:c r="V1158" s="43" t="n">
        <x:v>0.8898923016150715</x:v>
      </x:c>
      <x:c r="W1158" s="43" t="n">
        <x:v>0.5711671555531775</x:v>
      </x:c>
      <x:c r="X1158" s="65" t="n">
        <x:v>33496389.54418043</x:v>
      </x:c>
      <x:c r="Y1158" s="65" t="n">
        <x:v>65.95493201012087</x:v>
      </x:c>
      <x:c r="Z1158" s="65" t="n">
        <x:v>1123467.0535030111</x:v>
      </x:c>
      <x:c r="AA1158" s="65" t="n">
        <x:v>177536.7748206013</x:v>
      </x:c>
      <x:c r="AB1158" s="65" t="n">
        <x:v>1106.2689980402488</x:v>
      </x:c>
      <x:c r="AC1158" s="65" t="n">
        <x:v>0</x:v>
      </x:c>
      <x:c r="AD1158" s="65" t="n">
        <x:v>1658.8240901528256</x:v>
      </x:c>
      <x:c r="AE1158" s="65" t="n">
        <x:v>121155.39884467589</x:v>
      </x:c>
      <x:c r="AF1158" s="65" t="n">
        <x:v>177788.61905411043</x:v>
      </x:c>
      <x:c r="AG1158" s="65" t="n">
        <x:v>2.9103830456733704e-11</x:v>
      </x:c>
      <x:c r="AH1158" s="34" t="n">
        <x:v>0</x:v>
      </x:c>
    </x:row>
    <x:row r="1159" ht="15" hidden="0" customHeight="1">
      <x:c r="A1159" s="36" t="n">
        <x:v>289</x:v>
      </x:c>
      <x:c r="B1159" s="36" t="str">
        <x:v>P2</x:v>
      </x:c>
      <x:c r="C1159" s="36" t="str">
        <x:v>fast</x:v>
      </x:c>
      <x:c r="D1159" s="75" t="n">
        <x:v>1.0557490106304632</x:v>
      </x:c>
      <x:c r="E1159" s="75" t="n">
        <x:v>-0.0028572102348134246</x:v>
      </x:c>
      <x:c r="F1159" s="75" t="n">
        <x:v>0.9866671208878339</x:v>
      </x:c>
      <x:c r="G1159" s="75" t="n">
        <x:v>1.074640109775889</x:v>
      </x:c>
      <x:c r="H1159" s="75" t="n">
        <x:v>0.7552136091212822</x:v>
      </x:c>
      <x:c r="I1159" s="75" t="n">
        <x:v>1.0484449224643677</x:v>
      </x:c>
      <x:c r="J1159" s="75" t="n">
        <x:v>1.0421204528362564</x:v>
      </x:c>
      <x:c r="K1159" s="75" t="n">
        <x:v>0.7947243221428404</x:v>
      </x:c>
      <x:c r="L1159" s="75" t="n">
        <x:v>0.8201116288115032</x:v>
      </x:c>
      <x:c r="M1159" s="75" t="n">
        <x:v>0.9443120643796922</x:v>
      </x:c>
      <x:c r="N1159" s="75" t="n">
        <x:v>0.9528147609530551</x:v>
      </x:c>
      <x:c r="O1159" s="66" t="n">
        <x:v>507867.8504139822</x:v>
      </x:c>
      <x:c r="P1159" s="66" t="n">
        <x:v>373458.86782883544</x:v>
      </x:c>
      <x:c r="Q1159" s="66" t="n">
        <x:v>134408.98258514676</x:v>
      </x:c>
      <x:c r="R1159" s="66" t="n">
        <x:v>93296.10534437609</x:v>
      </x:c>
      <x:c r="S1159" s="66" t="n">
        <x:v>41112.87724077067</x:v>
      </x:c>
      <x:c r="T1159" s="66" t="n">
        <x:v>113329.50995110004</x:v>
      </x:c>
      <x:c r="U1159" s="45" t="n">
        <x:v>0.9584941779306093</x:v>
      </x:c>
      <x:c r="V1159" s="45" t="n">
        <x:v>0.9676821742189391</x:v>
      </x:c>
      <x:c r="W1159" s="45" t="n">
        <x:v>0.8549120270633502</x:v>
      </x:c>
      <x:c r="X1159" s="66" t="n">
        <x:v>16522409.431894127</x:v>
      </x:c>
      <x:c r="Y1159" s="66" t="n">
        <x:v>32.53289102357255</x:v>
      </x:c>
      <x:c r="Z1159" s="66" t="n">
        <x:v>709371.0818108758</x:v>
      </x:c>
      <x:c r="AA1159" s="66" t="n">
        <x:v>92269.8996096687</x:v>
      </x:c>
      <x:c r="AB1159" s="66" t="n">
        <x:v>0</x:v>
      </x:c>
      <x:c r="AC1159" s="66" t="n">
        <x:v>0</x:v>
      </x:c>
      <x:c r="AD1159" s="66" t="n">
        <x:v>1375.6530124316173</x:v>
      </x:c>
      <x:c r="AE1159" s="66" t="n">
        <x:v>63021.5968541349</x:v>
      </x:c>
      <x:c r="AF1159" s="66" t="n">
        <x:v>113329.5099510999</x:v>
      </x:c>
      <x:c r="AG1159" s="66" t="n">
        <x:v>1.4551915228366852e-10</x:v>
      </x:c>
      <x:c r="AH1159" s="36" t="n">
        <x:v>1</x:v>
      </x:c>
    </x:row>
    <x:row r="1160" ht="15" hidden="0" customHeight="1">
      <x:c r="A1160" s="34" t="n">
        <x:v>289</x:v>
      </x:c>
      <x:c r="B1160" s="34" t="str">
        <x:v>H3</x:v>
      </x:c>
      <x:c r="C1160" s="34" t="str">
        <x:v>fast</x:v>
      </x:c>
      <x:c r="D1160" s="74" t="n">
        <x:v>1.0557490106304632</x:v>
      </x:c>
      <x:c r="E1160" s="74" t="n">
        <x:v>-0.0028572102348134246</x:v>
      </x:c>
      <x:c r="F1160" s="74" t="n">
        <x:v>0.9866671208878339</x:v>
      </x:c>
      <x:c r="G1160" s="74" t="n">
        <x:v>1.074640109775889</x:v>
      </x:c>
      <x:c r="H1160" s="74" t="n">
        <x:v>0.7552136091212822</x:v>
      </x:c>
      <x:c r="I1160" s="74" t="n">
        <x:v>1.0484449224643677</x:v>
      </x:c>
      <x:c r="J1160" s="74" t="n">
        <x:v>1.0421204528362564</x:v>
      </x:c>
      <x:c r="K1160" s="74" t="n">
        <x:v>0.7947243221428404</x:v>
      </x:c>
      <x:c r="L1160" s="74" t="n">
        <x:v>0.8201116288115032</x:v>
      </x:c>
      <x:c r="M1160" s="74" t="n">
        <x:v>0.9443120643796922</x:v>
      </x:c>
      <x:c r="N1160" s="74" t="n">
        <x:v>0.9528147609530551</x:v>
      </x:c>
      <x:c r="O1160" s="65" t="n">
        <x:v>507867.8504139822</x:v>
      </x:c>
      <x:c r="P1160" s="65" t="n">
        <x:v>387410.0065176743</x:v>
      </x:c>
      <x:c r="Q1160" s="65" t="n">
        <x:v>120457.84389630787</x:v>
      </x:c>
      <x:c r="R1160" s="65" t="n">
        <x:v>93296.10534437609</x:v>
      </x:c>
      <x:c r="S1160" s="65" t="n">
        <x:v>27161.73855193178</x:v>
      </x:c>
      <x:c r="T1160" s="65" t="n">
        <x:v>119113.97871486816</x:v>
      </x:c>
      <x:c r="U1160" s="43" t="n">
        <x:v>0.9973539077530814</x:v>
      </x:c>
      <x:c r="V1160" s="43" t="n">
        <x:v>0.998333358206647</x:v>
      </x:c>
      <x:c r="W1160" s="43" t="n">
        <x:v>0.973539077530813</x:v>
      </x:c>
      <x:c r="X1160" s="65" t="n">
        <x:v>10909194.046829183</x:v>
      </x:c>
      <x:c r="Y1160" s="65" t="n">
        <x:v>21.48037927176664</x:v>
      </x:c>
      <x:c r="Z1160" s="65" t="n">
        <x:v>717224.6453424934</x:v>
      </x:c>
      <x:c r="AA1160" s="65" t="n">
        <x:v>78740.50063587044</x:v>
      </x:c>
      <x:c r="AB1160" s="65" t="n">
        <x:v>423.46217554740076</x:v>
      </x:c>
      <x:c r="AC1160" s="65" t="n">
        <x:v>0</x:v>
      </x:c>
      <x:c r="AD1160" s="65" t="n">
        <x:v>1343.865181439693</x:v>
      </x:c>
      <x:c r="AE1160" s="65" t="n">
        <x:v>61401.460406678736</x:v>
      </x:c>
      <x:c r="AF1160" s="65" t="n">
        <x:v>119113.97871486815</x:v>
      </x:c>
      <x:c r="AG1160" s="65" t="n">
        <x:v>1.4551915228366852e-11</x:v>
      </x:c>
      <x:c r="AH1160" s="34" t="n">
        <x:v>1</x:v>
      </x:c>
    </x:row>
    <x:row r="1161" ht="21.600000381469727" hidden="0" customHeight="1">
      <x:c r="A1161" s="36" t="n">
        <x:v>290</x:v>
      </x:c>
      <x:c r="B1161" s="36" t="str">
        <x:v>M0</x:v>
      </x:c>
      <x:c r="C1161" s="36" t="str">
        <x:v>reference</x:v>
      </x:c>
      <x:c r="D1161" s="75" t="n">
        <x:v>1.0646120999012356</x:v>
      </x:c>
      <x:c r="E1161" s="75" t="n">
        <x:v>-0.02621742660806454</x:v>
      </x:c>
      <x:c r="F1161" s="75" t="n">
        <x:v>0.9121872554985466</x:v>
      </x:c>
      <x:c r="G1161" s="75" t="n">
        <x:v>1.158031621658163</x:v>
      </x:c>
      <x:c r="H1161" s="75" t="n">
        <x:v>1.0748758857114729</x:v>
      </x:c>
      <x:c r="I1161" s="75" t="n">
        <x:v>0.7784907222938271</x:v>
      </x:c>
      <x:c r="J1161" s="75" t="n">
        <x:v>1.0192506490836095</x:v>
      </x:c>
      <x:c r="K1161" s="75" t="n">
        <x:v>0.7415843975832834</x:v>
      </x:c>
      <x:c r="L1161" s="75" t="n">
        <x:v>0.9947198863198032</x:v>
      </x:c>
      <x:c r="M1161" s="75" t="n">
        <x:v>1.0193313361702434</x:v>
      </x:c>
      <x:c r="N1161" s="75" t="n">
        <x:v>1.0346885217676283</x:v>
      </x:c>
      <x:c r="O1161" s="66" t="n">
        <x:v>512131.4377350694</x:v>
      </x:c>
      <x:c r="P1161" s="66" t="n">
        <x:v>73081.79388799374</x:v>
      </x:c>
      <x:c r="Q1161" s="66" t="n">
        <x:v>439049.6438470757</x:v>
      </x:c>
      <x:c r="R1161" s="66" t="n">
        <x:v>82115.83169665071</x:v>
      </x:c>
      <x:c r="S1161" s="66" t="n">
        <x:v>356933.8121504249</x:v>
      </x:c>
      <x:c r="T1161" s="66" t="n">
        <x:v>287791.19561263337</x:v>
      </x:c>
      <x:c r="U1161" s="45" t="n">
        <x:v>0.7046491640829716</x:v>
      </x:c>
      <x:c r="V1161" s="45" t="n">
        <x:v>0.711549290480697</x:v>
      </x:c>
      <x:c r="W1161" s="45" t="n">
        <x:v>0.13856531155170845</x:v>
      </x:c>
      <x:c r="X1161" s="66" t="n">
        <x:v>56472117.41060661</x:v>
      </x:c>
      <x:c r="Y1161" s="66" t="n">
        <x:v>110.26879673772378</x:v>
      </x:c>
      <x:c r="Z1161" s="66" t="n">
        <x:v>7782155.125698208</x:v>
      </x:c>
      <x:c r="AA1161" s="66" t="n">
        <x:v>294680.50440414925</x:v>
      </x:c>
      <x:c r="AB1161" s="66" t="n">
        <x:v>75038.15532152102</x:v>
      </x:c>
      <x:c r="AC1161" s="66" t="n">
        <x:v>0</x:v>
      </x:c>
      <x:c r="AD1161" s="66" t="n">
        <x:v>2151.132198520755</x:v>
      </x:c>
      <x:c r="AE1161" s="66" t="n">
        <x:v>198394.10733191035</x:v>
      </x:c>
      <x:c r="AF1161" s="66" t="n">
        <x:v>287791.1956126334</x:v>
      </x:c>
      <x:c r="AG1161" s="66" t="n">
        <x:v>0</x:v>
      </x:c>
      <x:c r="AH1161" s="36" t="n">
        <x:v>0</x:v>
      </x:c>
    </x:row>
    <x:row r="1162" ht="21.600000381469727" hidden="0" customHeight="1">
      <x:c r="A1162" s="34" t="n">
        <x:v>290</x:v>
      </x:c>
      <x:c r="B1162" s="34" t="str">
        <x:v>B1</x:v>
      </x:c>
      <x:c r="C1162" s="34" t="str">
        <x:v>reference</x:v>
      </x:c>
      <x:c r="D1162" s="74" t="n">
        <x:v>1.0646120999012356</x:v>
      </x:c>
      <x:c r="E1162" s="74" t="n">
        <x:v>-0.02621742660806454</x:v>
      </x:c>
      <x:c r="F1162" s="74" t="n">
        <x:v>0.9121872554985466</x:v>
      </x:c>
      <x:c r="G1162" s="74" t="n">
        <x:v>1.158031621658163</x:v>
      </x:c>
      <x:c r="H1162" s="74" t="n">
        <x:v>1.0748758857114729</x:v>
      </x:c>
      <x:c r="I1162" s="74" t="n">
        <x:v>0.7784907222938271</x:v>
      </x:c>
      <x:c r="J1162" s="74" t="n">
        <x:v>1.0192506490836095</x:v>
      </x:c>
      <x:c r="K1162" s="74" t="n">
        <x:v>0.7415843975832834</x:v>
      </x:c>
      <x:c r="L1162" s="74" t="n">
        <x:v>0.9947198863198032</x:v>
      </x:c>
      <x:c r="M1162" s="74" t="n">
        <x:v>1.0193313361702434</x:v>
      </x:c>
      <x:c r="N1162" s="74" t="n">
        <x:v>1.0346885217676283</x:v>
      </x:c>
      <x:c r="O1162" s="65" t="n">
        <x:v>512131.4377350694</x:v>
      </x:c>
      <x:c r="P1162" s="65" t="n">
        <x:v>247210.14176650436</x:v>
      </x:c>
      <x:c r="Q1162" s="65" t="n">
        <x:v>264921.29596856504</x:v>
      </x:c>
      <x:c r="R1162" s="65" t="n">
        <x:v>82115.83169665071</x:v>
      </x:c>
      <x:c r="S1162" s="65" t="n">
        <x:v>182805.46427191433</x:v>
      </x:c>
      <x:c r="T1162" s="65" t="n">
        <x:v>185394.02745874642</x:v>
      </x:c>
      <x:c r="U1162" s="43" t="n">
        <x:v>0.8447131680462098</x:v>
      </x:c>
      <x:c r="V1162" s="43" t="n">
        <x:v>0.8456489531383086</x:v>
      </x:c>
      <x:c r="W1162" s="43" t="n">
        <x:v>0.4575841957790327</x:v>
      </x:c>
      <x:c r="X1162" s="65" t="n">
        <x:v>33869969.50692209</x:v>
      </x:c>
      <x:c r="Y1162" s="65" t="n">
        <x:v>66.13530631260203</x:v>
      </x:c>
      <x:c r="Z1162" s="65" t="n">
        <x:v>4190151.871541845</x:v>
      </x:c>
      <x:c r="AA1162" s="65" t="n">
        <x:v>170796.80318582285</x:v>
      </x:c>
      <x:c r="AB1162" s="65" t="n">
        <x:v>33085.26552841242</x:v>
      </x:c>
      <x:c r="AC1162" s="65" t="n">
        <x:v>37408.5767768582</x:v>
      </x:c>
      <x:c r="AD1162" s="65" t="n">
        <x:v>1691.6869924270218</x:v>
      </x:c>
      <x:c r="AE1162" s="65" t="n">
        <x:v>82293.8587359332</x:v>
      </x:c>
      <x:c r="AF1162" s="65" t="n">
        <x:v>185394.02745874636</x:v>
      </x:c>
      <x:c r="AG1162" s="65" t="n">
        <x:v>5.820766091346741e-11</x:v>
      </x:c>
      <x:c r="AH1162" s="34" t="n">
        <x:v>0</x:v>
      </x:c>
    </x:row>
    <x:row r="1163" ht="21.600000381469727" hidden="0" customHeight="1">
      <x:c r="A1163" s="36" t="n">
        <x:v>290</x:v>
      </x:c>
      <x:c r="B1163" s="36" t="str">
        <x:v>P2</x:v>
      </x:c>
      <x:c r="C1163" s="36" t="str">
        <x:v>reference</x:v>
      </x:c>
      <x:c r="D1163" s="75" t="n">
        <x:v>1.0646120999012356</x:v>
      </x:c>
      <x:c r="E1163" s="75" t="n">
        <x:v>-0.02621742660806454</x:v>
      </x:c>
      <x:c r="F1163" s="75" t="n">
        <x:v>0.9121872554985466</x:v>
      </x:c>
      <x:c r="G1163" s="75" t="n">
        <x:v>1.158031621658163</x:v>
      </x:c>
      <x:c r="H1163" s="75" t="n">
        <x:v>1.0748758857114729</x:v>
      </x:c>
      <x:c r="I1163" s="75" t="n">
        <x:v>0.7784907222938271</x:v>
      </x:c>
      <x:c r="J1163" s="75" t="n">
        <x:v>1.0192506490836095</x:v>
      </x:c>
      <x:c r="K1163" s="75" t="n">
        <x:v>0.7415843975832834</x:v>
      </x:c>
      <x:c r="L1163" s="75" t="n">
        <x:v>0.9947198863198032</x:v>
      </x:c>
      <x:c r="M1163" s="75" t="n">
        <x:v>1.0193313361702434</x:v>
      </x:c>
      <x:c r="N1163" s="75" t="n">
        <x:v>1.0346885217676283</x:v>
      </x:c>
      <x:c r="O1163" s="66" t="n">
        <x:v>512131.4377350694</x:v>
      </x:c>
      <x:c r="P1163" s="66" t="n">
        <x:v>358130.1391465133</x:v>
      </x:c>
      <x:c r="Q1163" s="66" t="n">
        <x:v>154001.29858855612</x:v>
      </x:c>
      <x:c r="R1163" s="66" t="n">
        <x:v>82115.83169665071</x:v>
      </x:c>
      <x:c r="S1163" s="66" t="n">
        <x:v>71885.4668919054</x:v>
      </x:c>
      <x:c r="T1163" s="66" t="n">
        <x:v>111237.65958855202</x:v>
      </x:c>
      <x:c r="U1163" s="45" t="n">
        <x:v>0.9164987035571791</x:v>
      </x:c>
      <x:c r="V1163" s="45" t="n">
        <x:v>0.9305844287626074</x:v>
      </x:c>
      <x:c r="W1163" s="45" t="n">
        <x:v>0.44019624190313933</x:v>
      </x:c>
      <x:c r="X1163" s="66" t="n">
        <x:v>17949795.79439819</x:v>
      </x:c>
      <x:c r="Y1163" s="66" t="n">
        <x:v>35.04919727986665</x:v>
      </x:c>
      <x:c r="Z1163" s="66" t="n">
        <x:v>1696450.591882913</x:v>
      </x:c>
      <x:c r="AA1163" s="66" t="n">
        <x:v>97971.75368338093</x:v>
      </x:c>
      <x:c r="AB1163" s="66" t="n">
        <x:v>876.1425565892706</x:v>
      </x:c>
      <x:c r="AC1163" s="66" t="n">
        <x:v>41349.56314138987</x:v>
      </x:c>
      <x:c r="AD1163" s="66" t="n">
        <x:v>1414.0758141177416</x:v>
      </x:c>
      <x:c r="AE1163" s="66" t="n">
        <x:v>39358.39339806899</x:v>
      </x:c>
      <x:c r="AF1163" s="66" t="n">
        <x:v>111237.65958855198</x:v>
      </x:c>
      <x:c r="AG1163" s="66" t="n">
        <x:v>4.3655745685100555e-11</x:v>
      </x:c>
      <x:c r="AH1163" s="36" t="n">
        <x:v>0</x:v>
      </x:c>
    </x:row>
    <x:row r="1164" ht="21.600000381469727" hidden="0" customHeight="1">
      <x:c r="A1164" s="34" t="n">
        <x:v>290</x:v>
      </x:c>
      <x:c r="B1164" s="34" t="str">
        <x:v>H3</x:v>
      </x:c>
      <x:c r="C1164" s="34" t="str">
        <x:v>reference</x:v>
      </x:c>
      <x:c r="D1164" s="74" t="n">
        <x:v>1.0646120999012356</x:v>
      </x:c>
      <x:c r="E1164" s="74" t="n">
        <x:v>-0.02621742660806454</x:v>
      </x:c>
      <x:c r="F1164" s="74" t="n">
        <x:v>0.9121872554985466</x:v>
      </x:c>
      <x:c r="G1164" s="74" t="n">
        <x:v>1.158031621658163</x:v>
      </x:c>
      <x:c r="H1164" s="74" t="n">
        <x:v>1.0748758857114729</x:v>
      </x:c>
      <x:c r="I1164" s="74" t="n">
        <x:v>0.7784907222938271</x:v>
      </x:c>
      <x:c r="J1164" s="74" t="n">
        <x:v>1.0192506490836095</x:v>
      </x:c>
      <x:c r="K1164" s="74" t="n">
        <x:v>0.7415843975832834</x:v>
      </x:c>
      <x:c r="L1164" s="74" t="n">
        <x:v>0.9947198863198032</x:v>
      </x:c>
      <x:c r="M1164" s="74" t="n">
        <x:v>1.0193313361702434</x:v>
      </x:c>
      <x:c r="N1164" s="74" t="n">
        <x:v>1.0346885217676283</x:v>
      </x:c>
      <x:c r="O1164" s="65" t="n">
        <x:v>512131.4377350694</x:v>
      </x:c>
      <x:c r="P1164" s="65" t="n">
        <x:v>371508.5289745508</x:v>
      </x:c>
      <x:c r="Q1164" s="65" t="n">
        <x:v>140622.9087605186</x:v>
      </x:c>
      <x:c r="R1164" s="65" t="n">
        <x:v>82115.83169665071</x:v>
      </x:c>
      <x:c r="S1164" s="65" t="n">
        <x:v>58507.07706386789</x:v>
      </x:c>
      <x:c r="T1164" s="65" t="n">
        <x:v>139239.99664181983</x:v>
      </x:c>
      <x:c r="U1164" s="43" t="n">
        <x:v>0.9972996929756649</x:v>
      </x:c>
      <x:c r="V1164" s="43" t="n">
        <x:v>0.9982992155615119</x:v>
      </x:c>
      <x:c r="W1164" s="43" t="n">
        <x:v>0.9729969297566504</x:v>
      </x:c>
      <x:c r="X1164" s="65" t="n">
        <x:v>14370863.696050348</x:v>
      </x:c>
      <x:c r="Y1164" s="65" t="n">
        <x:v>28.060889523998593</x:v>
      </x:c>
      <x:c r="Z1164" s="65" t="n">
        <x:v>1182461.4990530235</x:v>
      </x:c>
      <x:c r="AA1164" s="65" t="n">
        <x:v>87036.80775354616</x:v>
      </x:c>
      <x:c r="AB1164" s="65" t="n">
        <x:v>9665.30823409635</x:v>
      </x:c>
      <x:c r="AC1164" s="65" t="n">
        <x:v>0</x:v>
      </x:c>
      <x:c r="AD1164" s="65" t="n">
        <x:v>1382.9121186987747</x:v>
      </x:c>
      <x:c r="AE1164" s="65" t="n">
        <x:v>40830.40568115162</x:v>
      </x:c>
      <x:c r="AF1164" s="65" t="n">
        <x:v>139239.99664181983</x:v>
      </x:c>
      <x:c r="AG1164" s="65" t="n">
        <x:v>0</x:v>
      </x:c>
      <x:c r="AH1164" s="34" t="n">
        <x:v>1</x:v>
      </x:c>
    </x:row>
    <x:row r="1165" ht="21.600000381469727" hidden="0" customHeight="1">
      <x:c r="A1165" s="36" t="n">
        <x:v>291</x:v>
      </x:c>
      <x:c r="B1165" s="36" t="str">
        <x:v>M0</x:v>
      </x:c>
      <x:c r="C1165" s="36" t="str">
        <x:v>reference</x:v>
      </x:c>
      <x:c r="D1165" s="75" t="n">
        <x:v>1.048538702349043</x:v>
      </x:c>
      <x:c r="E1165" s="75" t="n">
        <x:v>-0.02730161331636756</x:v>
      </x:c>
      <x:c r="F1165" s="75" t="n">
        <x:v>0.7346029791076156</x:v>
      </x:c>
      <x:c r="G1165" s="75" t="n">
        <x:v>1.2884618181262373</x:v>
      </x:c>
      <x:c r="H1165" s="75" t="n">
        <x:v>0.9016641870276119</x:v>
      </x:c>
      <x:c r="I1165" s="75" t="n">
        <x:v>0.9196133823088999</x:v>
      </x:c>
      <x:c r="J1165" s="75" t="n">
        <x:v>0.7886413619819419</x:v>
      </x:c>
      <x:c r="K1165" s="75" t="n">
        <x:v>0.8553682241173066</x:v>
      </x:c>
      <x:c r="L1165" s="75" t="n">
        <x:v>0.9113848647809766</x:v>
      </x:c>
      <x:c r="M1165" s="75" t="n">
        <x:v>1.0906453917939463</x:v>
      </x:c>
      <x:c r="N1165" s="75" t="n">
        <x:v>0.8544562894817556</x:v>
      </x:c>
      <x:c r="O1165" s="66" t="n">
        <x:v>504399.3330572666</x:v>
      </x:c>
      <x:c r="P1165" s="66" t="n">
        <x:v>58040.54232565214</x:v>
      </x:c>
      <x:c r="Q1165" s="66" t="n">
        <x:v>446358.7907316145</x:v>
      </x:c>
      <x:c r="R1165" s="66" t="n">
        <x:v>80329.1927592117</x:v>
      </x:c>
      <x:c r="S1165" s="66" t="n">
        <x:v>366029.5979724028</x:v>
      </x:c>
      <x:c r="T1165" s="66" t="n">
        <x:v>277161.15069679165</x:v>
      </x:c>
      <x:c r="U1165" s="45" t="n">
        <x:v>0.6645561781192659</x:v>
      </x:c>
      <x:c r="V1165" s="45" t="n">
        <x:v>0.6931405757538812</x:v>
      </x:c>
      <x:c r="W1165" s="45" t="n">
        <x:v>0.1161560438122449</x:v>
      </x:c>
      <x:c r="X1165" s="66" t="n">
        <x:v>57668609.507734954</x:v>
      </x:c>
      <x:c r="Y1165" s="66" t="n">
        <x:v>114.33125646339344</x:v>
      </x:c>
      <x:c r="Z1165" s="66" t="n">
        <x:v>5296257.503781425</x:v>
      </x:c>
      <x:c r="AA1165" s="66" t="n">
        <x:v>314784.5949029689</x:v>
      </x:c>
      <x:c r="AB1165" s="66" t="n">
        <x:v>42941.68629656674</x:v>
      </x:c>
      <x:c r="AC1165" s="66" t="n">
        <x:v>3343.2017271579207</x:v>
      </x:c>
      <x:c r="AD1165" s="66" t="n">
        <x:v>2157.1919605814683</x:v>
      </x:c>
      <x:c r="AE1165" s="66" t="n">
        <x:v>203336.12728556787</x:v>
      </x:c>
      <x:c r="AF1165" s="66" t="n">
        <x:v>277161.15069679177</x:v>
      </x:c>
      <x:c r="AG1165" s="66" t="n">
        <x:v>0</x:v>
      </x:c>
      <x:c r="AH1165" s="36" t="n">
        <x:v>0</x:v>
      </x:c>
    </x:row>
    <x:row r="1166" ht="21.600000381469727" hidden="0" customHeight="1">
      <x:c r="A1166" s="34" t="n">
        <x:v>291</x:v>
      </x:c>
      <x:c r="B1166" s="34" t="str">
        <x:v>B1</x:v>
      </x:c>
      <x:c r="C1166" s="34" t="str">
        <x:v>reference</x:v>
      </x:c>
      <x:c r="D1166" s="74" t="n">
        <x:v>1.048538702349043</x:v>
      </x:c>
      <x:c r="E1166" s="74" t="n">
        <x:v>-0.02730161331636756</x:v>
      </x:c>
      <x:c r="F1166" s="74" t="n">
        <x:v>0.7346029791076156</x:v>
      </x:c>
      <x:c r="G1166" s="74" t="n">
        <x:v>1.2884618181262373</x:v>
      </x:c>
      <x:c r="H1166" s="74" t="n">
        <x:v>0.9016641870276119</x:v>
      </x:c>
      <x:c r="I1166" s="74" t="n">
        <x:v>0.9196133823088999</x:v>
      </x:c>
      <x:c r="J1166" s="74" t="n">
        <x:v>0.7886413619819419</x:v>
      </x:c>
      <x:c r="K1166" s="74" t="n">
        <x:v>0.8553682241173066</x:v>
      </x:c>
      <x:c r="L1166" s="74" t="n">
        <x:v>0.9113848647809766</x:v>
      </x:c>
      <x:c r="M1166" s="74" t="n">
        <x:v>1.0906453917939463</x:v>
      </x:c>
      <x:c r="N1166" s="74" t="n">
        <x:v>0.8544562894817556</x:v>
      </x:c>
      <x:c r="O1166" s="65" t="n">
        <x:v>504399.3330572666</x:v>
      </x:c>
      <x:c r="P1166" s="65" t="n">
        <x:v>196330.82361971872</x:v>
      </x:c>
      <x:c r="Q1166" s="65" t="n">
        <x:v>308068.5094375479</x:v>
      </x:c>
      <x:c r="R1166" s="65" t="n">
        <x:v>80329.1927592117</x:v>
      </x:c>
      <x:c r="S1166" s="65" t="n">
        <x:v>227739.31667833618</x:v>
      </x:c>
      <x:c r="T1166" s="65" t="n">
        <x:v>203584.1324821622</x:v>
      </x:c>
      <x:c r="U1166" s="43" t="n">
        <x:v>0.7928538558485303</x:v>
      </x:c>
      <x:c r="V1166" s="43" t="n">
        <x:v>0.814558033942844</x:v>
      </x:c>
      <x:c r="W1166" s="43" t="n">
        <x:v>0.4247345441143322</x:v>
      </x:c>
      <x:c r="X1166" s="65" t="n">
        <x:v>40280299.76871129</x:v>
      </x:c>
      <x:c r="Y1166" s="65" t="n">
        <x:v>79.85795604558838</x:v>
      </x:c>
      <x:c r="Z1166" s="65" t="n">
        <x:v>2009293.477931321</x:v>
      </x:c>
      <x:c r="AA1166" s="65" t="n">
        <x:v>220759.28124614304</x:v>
      </x:c>
      <x:c r="AB1166" s="65" t="n">
        <x:v>8683.724630830693</x:v>
      </x:c>
      <x:c r="AC1166" s="65" t="n">
        <x:v>1941.0089085732134</x:v>
      </x:c>
      <x:c r="AD1166" s="65" t="n">
        <x:v>1791.9479564690837</x:v>
      </x:c>
      <x:c r="AE1166" s="65" t="n">
        <x:v>116835.36647599634</x:v>
      </x:c>
      <x:c r="AF1166" s="65" t="n">
        <x:v>203584.13248216244</x:v>
      </x:c>
      <x:c r="AG1166" s="65" t="n">
        <x:v>0</x:v>
      </x:c>
      <x:c r="AH1166" s="34" t="n">
        <x:v>0</x:v>
      </x:c>
    </x:row>
    <x:row r="1167" ht="21.600000381469727" hidden="0" customHeight="1">
      <x:c r="A1167" s="36" t="n">
        <x:v>291</x:v>
      </x:c>
      <x:c r="B1167" s="36" t="str">
        <x:v>P2</x:v>
      </x:c>
      <x:c r="C1167" s="36" t="str">
        <x:v>reference</x:v>
      </x:c>
      <x:c r="D1167" s="75" t="n">
        <x:v>1.048538702349043</x:v>
      </x:c>
      <x:c r="E1167" s="75" t="n">
        <x:v>-0.02730161331636756</x:v>
      </x:c>
      <x:c r="F1167" s="75" t="n">
        <x:v>0.7346029791076156</x:v>
      </x:c>
      <x:c r="G1167" s="75" t="n">
        <x:v>1.2884618181262373</x:v>
      </x:c>
      <x:c r="H1167" s="75" t="n">
        <x:v>0.9016641870276119</x:v>
      </x:c>
      <x:c r="I1167" s="75" t="n">
        <x:v>0.9196133823088999</x:v>
      </x:c>
      <x:c r="J1167" s="75" t="n">
        <x:v>0.7886413619819419</x:v>
      </x:c>
      <x:c r="K1167" s="75" t="n">
        <x:v>0.8553682241173066</x:v>
      </x:c>
      <x:c r="L1167" s="75" t="n">
        <x:v>0.9113848647809766</x:v>
      </x:c>
      <x:c r="M1167" s="75" t="n">
        <x:v>1.0906453917939463</x:v>
      </x:c>
      <x:c r="N1167" s="75" t="n">
        <x:v>0.8544562894817556</x:v>
      </x:c>
      <x:c r="O1167" s="66" t="n">
        <x:v>504399.3330572666</x:v>
      </x:c>
      <x:c r="P1167" s="66" t="n">
        <x:v>284421.9068246247</x:v>
      </x:c>
      <x:c r="Q1167" s="66" t="n">
        <x:v>219977.42623264194</x:v>
      </x:c>
      <x:c r="R1167" s="66" t="n">
        <x:v>80329.1927592117</x:v>
      </x:c>
      <x:c r="S1167" s="66" t="n">
        <x:v>139648.2334734302</x:v>
      </x:c>
      <x:c r="T1167" s="66" t="n">
        <x:v>128303.37837111967</x:v>
      </x:c>
      <x:c r="U1167" s="45" t="n">
        <x:v>0.8182510525819547</x:v>
      </x:c>
      <x:c r="V1167" s="45" t="n">
        <x:v>0.8487408393411199</x:v>
      </x:c>
      <x:c r="W1167" s="45" t="n">
        <x:v>0.4873423944472347</x:v>
      </x:c>
      <x:c r="X1167" s="66" t="n">
        <x:v>28363292.55392959</x:v>
      </x:c>
      <x:c r="Y1167" s="66" t="n">
        <x:v>56.231820097806086</x:v>
      </x:c>
      <x:c r="Z1167" s="66" t="n">
        <x:v>957614.484566148</x:v>
      </x:c>
      <x:c r="AA1167" s="66" t="n">
        <x:v>163708.1036941682</x:v>
      </x:c>
      <x:c r="AB1167" s="66" t="n">
        <x:v>0</x:v>
      </x:c>
      <x:c r="AC1167" s="66" t="n">
        <x:v>16068.355124274762</x:v>
      </x:c>
      <x:c r="AD1167" s="66" t="n">
        <x:v>1571.256093745953</x:v>
      </x:c>
      <x:c r="AE1167" s="66" t="n">
        <x:v>61282.9052674765</x:v>
      </x:c>
      <x:c r="AF1167" s="66" t="n">
        <x:v>128303.37837111969</x:v>
      </x:c>
      <x:c r="AG1167" s="66" t="n">
        <x:v>0</x:v>
      </x:c>
      <x:c r="AH1167" s="36" t="n">
        <x:v>0</x:v>
      </x:c>
    </x:row>
    <x:row r="1168" ht="21.600000381469727" hidden="0" customHeight="1">
      <x:c r="A1168" s="34" t="n">
        <x:v>291</x:v>
      </x:c>
      <x:c r="B1168" s="34" t="str">
        <x:v>H3</x:v>
      </x:c>
      <x:c r="C1168" s="34" t="str">
        <x:v>reference</x:v>
      </x:c>
      <x:c r="D1168" s="74" t="n">
        <x:v>1.048538702349043</x:v>
      </x:c>
      <x:c r="E1168" s="74" t="n">
        <x:v>-0.02730161331636756</x:v>
      </x:c>
      <x:c r="F1168" s="74" t="n">
        <x:v>0.7346029791076156</x:v>
      </x:c>
      <x:c r="G1168" s="74" t="n">
        <x:v>1.2884618181262373</x:v>
      </x:c>
      <x:c r="H1168" s="74" t="n">
        <x:v>0.9016641870276119</x:v>
      </x:c>
      <x:c r="I1168" s="74" t="n">
        <x:v>0.9196133823088999</x:v>
      </x:c>
      <x:c r="J1168" s="74" t="n">
        <x:v>0.7886413619819419</x:v>
      </x:c>
      <x:c r="K1168" s="74" t="n">
        <x:v>0.8553682241173066</x:v>
      </x:c>
      <x:c r="L1168" s="74" t="n">
        <x:v>0.9113848647809766</x:v>
      </x:c>
      <x:c r="M1168" s="74" t="n">
        <x:v>1.0906453917939463</x:v>
      </x:c>
      <x:c r="N1168" s="74" t="n">
        <x:v>0.8544562894817556</x:v>
      </x:c>
      <x:c r="O1168" s="65" t="n">
        <x:v>504399.3330572666</x:v>
      </x:c>
      <x:c r="P1168" s="65" t="n">
        <x:v>295046.8310841472</x:v>
      </x:c>
      <x:c r="Q1168" s="65" t="n">
        <x:v>209352.5019731194</x:v>
      </x:c>
      <x:c r="R1168" s="65" t="n">
        <x:v>80329.1927592117</x:v>
      </x:c>
      <x:c r="S1168" s="65" t="n">
        <x:v>129023.30921390769</x:v>
      </x:c>
      <x:c r="T1168" s="65" t="n">
        <x:v>204805.17981741155</x:v>
      </x:c>
      <x:c r="U1168" s="43" t="n">
        <x:v>0.9909846784924445</x:v>
      </x:c>
      <x:c r="V1168" s="43" t="n">
        <x:v>0.9949035693309186</x:v>
      </x:c>
      <x:c r="W1168" s="43" t="n">
        <x:v>0.909846784924445</x:v>
      </x:c>
      <x:c r="X1168" s="65" t="n">
        <x:v>21162714.35281551</x:v>
      </x:c>
      <x:c r="Y1168" s="65" t="n">
        <x:v>41.956269498898834</x:v>
      </x:c>
      <x:c r="Z1168" s="65" t="n">
        <x:v>1718378.4472007782</x:v>
      </x:c>
      <x:c r="AA1168" s="65" t="n">
        <x:v>132053.19681985708</x:v>
      </x:c>
      <x:c r="AB1168" s="65" t="n">
        <x:v>4029.663824211926</x:v>
      </x:c>
      <x:c r="AC1168" s="65" t="n">
        <x:v>3987.222521839118</x:v>
      </x:c>
      <x:c r="AD1168" s="65" t="n">
        <x:v>1546.4819688953826</x:v>
      </x:c>
      <x:c r="AE1168" s="65" t="n">
        <x:v>75611.3888477701</x:v>
      </x:c>
      <x:c r="AF1168" s="65" t="n">
        <x:v>204805.17981741173</x:v>
      </x:c>
      <x:c r="AG1168" s="65" t="n">
        <x:v>0</x:v>
      </x:c>
      <x:c r="AH1168" s="34" t="n">
        <x:v>1</x:v>
      </x:c>
    </x:row>
    <x:row r="1169" ht="15" hidden="0" customHeight="1">
      <x:c r="A1169" s="36" t="n">
        <x:v>292</x:v>
      </x:c>
      <x:c r="B1169" s="36" t="str">
        <x:v>M0</x:v>
      </x:c>
      <x:c r="C1169" s="36" t="str">
        <x:v>slow</x:v>
      </x:c>
      <x:c r="D1169" s="75" t="n">
        <x:v>1.0449358969646663</x:v>
      </x:c>
      <x:c r="E1169" s="75" t="n">
        <x:v>0.09782374752899167</x:v>
      </x:c>
      <x:c r="F1169" s="75" t="n">
        <x:v>0.9333758245619053</x:v>
      </x:c>
      <x:c r="G1169" s="75" t="n">
        <x:v>1.3050235034859936</x:v>
      </x:c>
      <x:c r="H1169" s="75" t="n">
        <x:v>1.0038295765066783</x:v>
      </x:c>
      <x:c r="I1169" s="75" t="n">
        <x:v>0.8701018518179549</x:v>
      </x:c>
      <x:c r="J1169" s="75" t="n">
        <x:v>0.973317972909262</x:v>
      </x:c>
      <x:c r="K1169" s="75" t="n">
        <x:v>0.8968968650422626</x:v>
      </x:c>
      <x:c r="L1169" s="75" t="n">
        <x:v>1.0077214315581768</x:v>
      </x:c>
      <x:c r="M1169" s="75" t="n">
        <x:v>0.9537814511403893</x:v>
      </x:c>
      <x:c r="N1169" s="75" t="n">
        <x:v>0.7974627720518501</x:v>
      </x:c>
      <x:c r="O1169" s="66" t="n">
        <x:v>502666.2042476733</x:v>
      </x:c>
      <x:c r="P1169" s="66" t="n">
        <x:v>62552.49017535856</x:v>
      </x:c>
      <x:c r="Q1169" s="66" t="n">
        <x:v>440113.71407231473</x:v>
      </x:c>
      <x:c r="R1169" s="66" t="n">
        <x:v>142949.4698213901</x:v>
      </x:c>
      <x:c r="S1169" s="66" t="n">
        <x:v>297164.24425092456</x:v>
      </x:c>
      <x:c r="T1169" s="66" t="n">
        <x:v>274088.3318086494</x:v>
      </x:c>
      <x:c r="U1169" s="45" t="n">
        <x:v>0.6697104741462558</x:v>
      </x:c>
      <x:c r="V1169" s="45" t="n">
        <x:v>0.6614083538425685</x:v>
      </x:c>
      <x:c r="W1169" s="45" t="n">
        <x:v>0.05857673710702464</x:v>
      </x:c>
      <x:c r="X1169" s="66" t="n">
        <x:v>54463899.533606</x:v>
      </x:c>
      <x:c r="Y1169" s="66" t="n">
        <x:v>108.35003243379099</x:v>
      </x:c>
      <x:c r="Z1169" s="66" t="n">
        <x:v>4042781.4649432194</x:v>
      </x:c>
      <x:c r="AA1169" s="66" t="n">
        <x:v>293863.5402401037</x:v>
      </x:c>
      <x:c r="AB1169" s="66" t="n">
        <x:v>33013.90316226396</x:v>
      </x:c>
      <x:c r="AC1169" s="66" t="n">
        <x:v>0</x:v>
      </x:c>
      <x:c r="AD1169" s="66" t="n">
        <x:v>2806.8618529018186</x:v>
      </x:c>
      <x:c r="AE1169" s="66" t="n">
        <x:v>228154.47613846284</x:v>
      </x:c>
      <x:c r="AF1169" s="66" t="n">
        <x:v>274088.33180864906</x:v>
      </x:c>
      <x:c r="AG1169" s="66" t="n">
        <x:v>3.4924596548080444e-10</x:v>
      </x:c>
      <x:c r="AH1169" s="36" t="n">
        <x:v>0</x:v>
      </x:c>
    </x:row>
    <x:row r="1170" ht="15" hidden="0" customHeight="1">
      <x:c r="A1170" s="34" t="n">
        <x:v>292</x:v>
      </x:c>
      <x:c r="B1170" s="34" t="str">
        <x:v>B1</x:v>
      </x:c>
      <x:c r="C1170" s="34" t="str">
        <x:v>slow</x:v>
      </x:c>
      <x:c r="D1170" s="74" t="n">
        <x:v>1.0449358969646663</x:v>
      </x:c>
      <x:c r="E1170" s="74" t="n">
        <x:v>0.09782374752899167</x:v>
      </x:c>
      <x:c r="F1170" s="74" t="n">
        <x:v>0.9333758245619053</x:v>
      </x:c>
      <x:c r="G1170" s="74" t="n">
        <x:v>1.3050235034859936</x:v>
      </x:c>
      <x:c r="H1170" s="74" t="n">
        <x:v>1.0038295765066783</x:v>
      </x:c>
      <x:c r="I1170" s="74" t="n">
        <x:v>0.8701018518179549</x:v>
      </x:c>
      <x:c r="J1170" s="74" t="n">
        <x:v>0.973317972909262</x:v>
      </x:c>
      <x:c r="K1170" s="74" t="n">
        <x:v>0.8968968650422626</x:v>
      </x:c>
      <x:c r="L1170" s="74" t="n">
        <x:v>1.0077214315581768</x:v>
      </x:c>
      <x:c r="M1170" s="74" t="n">
        <x:v>0.9537814511403893</x:v>
      </x:c>
      <x:c r="N1170" s="74" t="n">
        <x:v>0.7974627720518501</x:v>
      </x:c>
      <x:c r="O1170" s="65" t="n">
        <x:v>502666.2042476733</x:v>
      </x:c>
      <x:c r="P1170" s="65" t="n">
        <x:v>211596.97877690746</x:v>
      </x:c>
      <x:c r="Q1170" s="65" t="n">
        <x:v>291069.22547076584</x:v>
      </x:c>
      <x:c r="R1170" s="65" t="n">
        <x:v>142949.4698213901</x:v>
      </x:c>
      <x:c r="S1170" s="65" t="n">
        <x:v>148119.7556493757</x:v>
      </x:c>
      <x:c r="T1170" s="65" t="n">
        <x:v>172999.5845885021</x:v>
      </x:c>
      <x:c r="U1170" s="43" t="n">
        <x:v>0.7651132304409138</x:v>
      </x:c>
      <x:c r="V1170" s="43" t="n">
        <x:v>0.7550677507510115</x:v>
      </x:c>
      <x:c r="W1170" s="43" t="n">
        <x:v>0.20331268694726434</x:v>
      </x:c>
      <x:c r="X1170" s="65" t="n">
        <x:v>37401221.263335556</x:v>
      </x:c>
      <x:c r="Y1170" s="65" t="n">
        <x:v>74.40568104098611</x:v>
      </x:c>
      <x:c r="Z1170" s="65" t="n">
        <x:v>1630841.2528733942</x:v>
      </x:c>
      <x:c r="AA1170" s="65" t="n">
        <x:v>197623.18062256818</x:v>
      </x:c>
      <x:c r="AB1170" s="65" t="n">
        <x:v>9646.175964924623</x:v>
      </x:c>
      <x:c r="AC1170" s="65" t="n">
        <x:v>0</x:v>
      </x:c>
      <x:c r="AD1170" s="65" t="n">
        <x:v>2363.94075779582</x:v>
      </x:c>
      <x:c r="AE1170" s="65" t="n">
        <x:v>104098.80108322225</x:v>
      </x:c>
      <x:c r="AF1170" s="65" t="n">
        <x:v>172999.58458850207</x:v>
      </x:c>
      <x:c r="AG1170" s="65" t="n">
        <x:v>2.9103830456733704e-11</x:v>
      </x:c>
      <x:c r="AH1170" s="34" t="n">
        <x:v>0</x:v>
      </x:c>
    </x:row>
    <x:row r="1171" ht="15" hidden="0" customHeight="1">
      <x:c r="A1171" s="36" t="n">
        <x:v>292</x:v>
      </x:c>
      <x:c r="B1171" s="36" t="str">
        <x:v>P2</x:v>
      </x:c>
      <x:c r="C1171" s="36" t="str">
        <x:v>slow</x:v>
      </x:c>
      <x:c r="D1171" s="75" t="n">
        <x:v>1.0449358969646663</x:v>
      </x:c>
      <x:c r="E1171" s="75" t="n">
        <x:v>0.09782374752899167</x:v>
      </x:c>
      <x:c r="F1171" s="75" t="n">
        <x:v>0.9333758245619053</x:v>
      </x:c>
      <x:c r="G1171" s="75" t="n">
        <x:v>1.3050235034859936</x:v>
      </x:c>
      <x:c r="H1171" s="75" t="n">
        <x:v>1.0038295765066783</x:v>
      </x:c>
      <x:c r="I1171" s="75" t="n">
        <x:v>0.8701018518179549</x:v>
      </x:c>
      <x:c r="J1171" s="75" t="n">
        <x:v>0.973317972909262</x:v>
      </x:c>
      <x:c r="K1171" s="75" t="n">
        <x:v>0.8968968650422626</x:v>
      </x:c>
      <x:c r="L1171" s="75" t="n">
        <x:v>1.0077214315581768</x:v>
      </x:c>
      <x:c r="M1171" s="75" t="n">
        <x:v>0.9537814511403893</x:v>
      </x:c>
      <x:c r="N1171" s="75" t="n">
        <x:v>0.7974627720518501</x:v>
      </x:c>
      <x:c r="O1171" s="66" t="n">
        <x:v>502666.2042476733</x:v>
      </x:c>
      <x:c r="P1171" s="66" t="n">
        <x:v>306540.90059233</x:v>
      </x:c>
      <x:c r="Q1171" s="66" t="n">
        <x:v>196125.30365534325</x:v>
      </x:c>
      <x:c r="R1171" s="66" t="n">
        <x:v>142949.4698213901</x:v>
      </x:c>
      <x:c r="S1171" s="66" t="n">
        <x:v>53175.833833953126</x:v>
      </x:c>
      <x:c r="T1171" s="66" t="n">
        <x:v>105287.53407832701</x:v>
      </x:c>
      <x:c r="U1171" s="45" t="n">
        <x:v>0.8192880905670381</x:v>
      </x:c>
      <x:c r="V1171" s="45" t="n">
        <x:v>0.8129574534369326</x:v>
      </x:c>
      <x:c r="W1171" s="45" t="n">
        <x:v>0.2987532443328785</x:v>
      </x:c>
      <x:c r="X1171" s="66" t="n">
        <x:v>24703664.975853268</x:v>
      </x:c>
      <x:c r="Y1171" s="66" t="n">
        <x:v>49.14526731079239</x:v>
      </x:c>
      <x:c r="Z1171" s="66" t="n">
        <x:v>671537.3544228334</x:v>
      </x:c>
      <x:c r="AA1171" s="66" t="n">
        <x:v>137053.4159130737</x:v>
      </x:c>
      <x:c r="AB1171" s="66" t="n">
        <x:v>539.8915234549311</x:v>
      </x:c>
      <x:c r="AC1171" s="66" t="n">
        <x:v>0</x:v>
      </x:c>
      <x:c r="AD1171" s="66" t="n">
        <x:v>2095.224444267793</x:v>
      </x:c>
      <x:c r="AE1171" s="66" t="n">
        <x:v>43085.43785828263</x:v>
      </x:c>
      <x:c r="AF1171" s="66" t="n">
        <x:v>105287.53407832693</x:v>
      </x:c>
      <x:c r="AG1171" s="66" t="n">
        <x:v>7.275957614183426e-11</x:v>
      </x:c>
      <x:c r="AH1171" s="36" t="n">
        <x:v>0</x:v>
      </x:c>
    </x:row>
    <x:row r="1172" ht="15" hidden="0" customHeight="1">
      <x:c r="A1172" s="34" t="n">
        <x:v>292</x:v>
      </x:c>
      <x:c r="B1172" s="34" t="str">
        <x:v>H3</x:v>
      </x:c>
      <x:c r="C1172" s="34" t="str">
        <x:v>slow</x:v>
      </x:c>
      <x:c r="D1172" s="74" t="n">
        <x:v>1.0449358969646663</x:v>
      </x:c>
      <x:c r="E1172" s="74" t="n">
        <x:v>0.09782374752899167</x:v>
      </x:c>
      <x:c r="F1172" s="74" t="n">
        <x:v>0.9333758245619053</x:v>
      </x:c>
      <x:c r="G1172" s="74" t="n">
        <x:v>1.3050235034859936</x:v>
      </x:c>
      <x:c r="H1172" s="74" t="n">
        <x:v>1.0038295765066783</x:v>
      </x:c>
      <x:c r="I1172" s="74" t="n">
        <x:v>0.8701018518179549</x:v>
      </x:c>
      <x:c r="J1172" s="74" t="n">
        <x:v>0.973317972909262</x:v>
      </x:c>
      <x:c r="K1172" s="74" t="n">
        <x:v>0.8968968650422626</x:v>
      </x:c>
      <x:c r="L1172" s="74" t="n">
        <x:v>1.0077214315581768</x:v>
      </x:c>
      <x:c r="M1172" s="74" t="n">
        <x:v>0.9537814511403893</x:v>
      </x:c>
      <x:c r="N1172" s="74" t="n">
        <x:v>0.7974627720518501</x:v>
      </x:c>
      <x:c r="O1172" s="65" t="n">
        <x:v>502666.2042476733</x:v>
      </x:c>
      <x:c r="P1172" s="65" t="n">
        <x:v>317992.73486406874</x:v>
      </x:c>
      <x:c r="Q1172" s="65" t="n">
        <x:v>184673.46938360453</x:v>
      </x:c>
      <x:c r="R1172" s="65" t="n">
        <x:v>142949.4698213901</x:v>
      </x:c>
      <x:c r="S1172" s="65" t="n">
        <x:v>41723.9995622144</x:v>
      </x:c>
      <x:c r="T1172" s="65" t="n">
        <x:v>97124.98061733998</x:v>
      </x:c>
      <x:c r="U1172" s="43" t="n">
        <x:v>0.8258317586771207</x:v>
      </x:c>
      <x:c r="V1172" s="43" t="n">
        <x:v>0.8200833676204823</x:v>
      </x:c>
      <x:c r="W1172" s="43" t="n">
        <x:v>0.3107643752044836</x:v>
      </x:c>
      <x:c r="X1172" s="65" t="n">
        <x:v>22307000.581306912</x:v>
      </x:c>
      <x:c r="Y1172" s="65" t="n">
        <x:v>44.37736293549551</x:v>
      </x:c>
      <x:c r="Z1172" s="65" t="n">
        <x:v>683730.9843524871</x:v>
      </x:c>
      <x:c r="AA1172" s="65" t="n">
        <x:v>123066.07414925226</x:v>
      </x:c>
      <x:c r="AB1172" s="65" t="n">
        <x:v>3034.277702033891</x:v>
      </x:c>
      <x:c r="AC1172" s="65" t="n">
        <x:v>0</x:v>
      </x:c>
      <x:c r="AD1172" s="65" t="n">
        <x:v>2064.8822804417932</x:v>
      </x:c>
      <x:c r="AE1172" s="65" t="n">
        <x:v>14828.598326368126</x:v>
      </x:c>
      <x:c r="AF1172" s="65" t="n">
        <x:v>97124.98061734003</x:v>
      </x:c>
      <x:c r="AG1172" s="65" t="n">
        <x:v>0</x:v>
      </x:c>
      <x:c r="AH1172" s="34" t="n">
        <x:v>0</x:v>
      </x:c>
    </x:row>
    <x:row r="1173" ht="15" hidden="0" customHeight="1">
      <x:c r="A1173" s="36" t="n">
        <x:v>293</x:v>
      </x:c>
      <x:c r="B1173" s="36" t="str">
        <x:v>M0</x:v>
      </x:c>
      <x:c r="C1173" s="36" t="str">
        <x:v>fast</x:v>
      </x:c>
      <x:c r="D1173" s="75" t="n">
        <x:v>1.1472043765287863</x:v>
      </x:c>
      <x:c r="E1173" s="75" t="n">
        <x:v>0.0179245814157288</x:v>
      </x:c>
      <x:c r="F1173" s="75" t="n">
        <x:v>0.735530969284254</x:v>
      </x:c>
      <x:c r="G1173" s="75" t="n">
        <x:v>1.2731781252278782</x:v>
      </x:c>
      <x:c r="H1173" s="75" t="n">
        <x:v>1.0370375004677999</x:v>
      </x:c>
      <x:c r="I1173" s="75" t="n">
        <x:v>0.7674227130923287</x:v>
      </x:c>
      <x:c r="J1173" s="75" t="n">
        <x:v>0.7769871488347052</x:v>
      </x:c>
      <x:c r="K1173" s="75" t="n">
        <x:v>0.9731889414054797</x:v>
      </x:c>
      <x:c r="L1173" s="75" t="n">
        <x:v>0.945778147083288</x:v>
      </x:c>
      <x:c r="M1173" s="75" t="n">
        <x:v>0.9273047666499016</x:v>
      </x:c>
      <x:c r="N1173" s="75" t="n">
        <x:v>0.9372261676406681</x:v>
      </x:c>
      <x:c r="O1173" s="66" t="n">
        <x:v>551862.4358882973</x:v>
      </x:c>
      <x:c r="P1173" s="66" t="n">
        <x:v>60161.370309449005</x:v>
      </x:c>
      <x:c r="Q1173" s="66" t="n">
        <x:v>491701.06557884836</x:v>
      </x:c>
      <x:c r="R1173" s="66" t="n">
        <x:v>112846.66853268961</x:v>
      </x:c>
      <x:c r="S1173" s="66" t="n">
        <x:v>378854.3970461587</x:v>
      </x:c>
      <x:c r="T1173" s="66" t="n">
        <x:v>264449.2545623202</x:v>
      </x:c>
      <x:c r="U1173" s="45" t="n">
        <x:v>0.588209314064409</x:v>
      </x:c>
      <x:c r="V1173" s="45" t="n">
        <x:v>0.6175505698160211</x:v>
      </x:c>
      <x:c r="W1173" s="45" t="n">
        <x:v>0.1051059111525401</x:v>
      </x:c>
      <x:c r="X1173" s="66" t="n">
        <x:v>66111636.03193864</x:v>
      </x:c>
      <x:c r="Y1173" s="66" t="n">
        <x:v>119.79731130915445</x:v>
      </x:c>
      <x:c r="Z1173" s="66" t="n">
        <x:v>7437986.378770495</x:v>
      </x:c>
      <x:c r="AA1173" s="66" t="n">
        <x:v>353952.5373984876</x:v>
      </x:c>
      <x:c r="AB1173" s="66" t="n">
        <x:v>71428.21565654138</x:v>
      </x:c>
      <x:c r="AC1173" s="66" t="n">
        <x:v>2285.8233476687415</x:v>
      </x:c>
      <x:c r="AD1173" s="66" t="n">
        <x:v>2376.699868828102</x:v>
      </x:c>
      <x:c r="AE1173" s="66" t="n">
        <x:v>210465.0273062177</x:v>
      </x:c>
      <x:c r="AF1173" s="66" t="n">
        <x:v>264449.25456231995</x:v>
      </x:c>
      <x:c r="AG1173" s="66" t="n">
        <x:v>2.3283064365386963e-10</x:v>
      </x:c>
      <x:c r="AH1173" s="36" t="n">
        <x:v>0</x:v>
      </x:c>
    </x:row>
    <x:row r="1174" ht="15" hidden="0" customHeight="1">
      <x:c r="A1174" s="34" t="n">
        <x:v>293</x:v>
      </x:c>
      <x:c r="B1174" s="34" t="str">
        <x:v>B1</x:v>
      </x:c>
      <x:c r="C1174" s="34" t="str">
        <x:v>fast</x:v>
      </x:c>
      <x:c r="D1174" s="74" t="n">
        <x:v>1.1472043765287863</x:v>
      </x:c>
      <x:c r="E1174" s="74" t="n">
        <x:v>0.0179245814157288</x:v>
      </x:c>
      <x:c r="F1174" s="74" t="n">
        <x:v>0.735530969284254</x:v>
      </x:c>
      <x:c r="G1174" s="74" t="n">
        <x:v>1.2731781252278782</x:v>
      </x:c>
      <x:c r="H1174" s="74" t="n">
        <x:v>1.0370375004677999</x:v>
      </x:c>
      <x:c r="I1174" s="74" t="n">
        <x:v>0.7674227130923287</x:v>
      </x:c>
      <x:c r="J1174" s="74" t="n">
        <x:v>0.7769871488347052</x:v>
      </x:c>
      <x:c r="K1174" s="74" t="n">
        <x:v>0.9731889414054797</x:v>
      </x:c>
      <x:c r="L1174" s="74" t="n">
        <x:v>0.945778147083288</x:v>
      </x:c>
      <x:c r="M1174" s="74" t="n">
        <x:v>0.9273047666499016</x:v>
      </x:c>
      <x:c r="N1174" s="74" t="n">
        <x:v>0.9372261676406681</x:v>
      </x:c>
      <x:c r="O1174" s="65" t="n">
        <x:v>551862.4358882973</x:v>
      </x:c>
      <x:c r="P1174" s="65" t="n">
        <x:v>203506.03510319936</x:v>
      </x:c>
      <x:c r="Q1174" s="65" t="n">
        <x:v>348356.40078509797</x:v>
      </x:c>
      <x:c r="R1174" s="65" t="n">
        <x:v>112846.66853268961</x:v>
      </x:c>
      <x:c r="S1174" s="65" t="n">
        <x:v>235509.73225240834</x:v>
      </x:c>
      <x:c r="T1174" s="65" t="n">
        <x:v>193132.90065001443</x:v>
      </x:c>
      <x:c r="U1174" s="43" t="n">
        <x:v>0.7187279110867001</x:v>
      </x:c>
      <x:c r="V1174" s="43" t="n">
        <x:v>0.7410956244481102</x:v>
      </x:c>
      <x:c r="W1174" s="43" t="n">
        <x:v>0.3921275635756761</x:v>
      </x:c>
      <x:c r="X1174" s="65" t="n">
        <x:v>47811817.730943635</x:v>
      </x:c>
      <x:c r="Y1174" s="65" t="n">
        <x:v>86.6372027187972</x:v>
      </x:c>
      <x:c r="Z1174" s="65" t="n">
        <x:v>4239992.748137411</x:v>
      </x:c>
      <x:c r="AA1174" s="65" t="n">
        <x:v>254701.03441733224</x:v>
      </x:c>
      <x:c r="AB1174" s="65" t="n">
        <x:v>36612.055870081545</x:v>
      </x:c>
      <x:c r="AC1174" s="65" t="n">
        <x:v>1877.1453421361114</x:v>
      </x:c>
      <x:c r="AD1174" s="65" t="n">
        <x:v>2014.4949363547241</x:v>
      </x:c>
      <x:c r="AE1174" s="65" t="n">
        <x:v>149529.04134728163</x:v>
      </x:c>
      <x:c r="AF1174" s="65" t="n">
        <x:v>193132.9006500145</x:v>
      </x:c>
      <x:c r="AG1174" s="65" t="n">
        <x:v>0</x:v>
      </x:c>
      <x:c r="AH1174" s="34" t="n">
        <x:v>0</x:v>
      </x:c>
    </x:row>
    <x:row r="1175" ht="15" hidden="0" customHeight="1">
      <x:c r="A1175" s="36" t="n">
        <x:v>293</x:v>
      </x:c>
      <x:c r="B1175" s="36" t="str">
        <x:v>P2</x:v>
      </x:c>
      <x:c r="C1175" s="36" t="str">
        <x:v>fast</x:v>
      </x:c>
      <x:c r="D1175" s="75" t="n">
        <x:v>1.1472043765287863</x:v>
      </x:c>
      <x:c r="E1175" s="75" t="n">
        <x:v>0.0179245814157288</x:v>
      </x:c>
      <x:c r="F1175" s="75" t="n">
        <x:v>0.735530969284254</x:v>
      </x:c>
      <x:c r="G1175" s="75" t="n">
        <x:v>1.2731781252278782</x:v>
      </x:c>
      <x:c r="H1175" s="75" t="n">
        <x:v>1.0370375004677999</x:v>
      </x:c>
      <x:c r="I1175" s="75" t="n">
        <x:v>0.7674227130923287</x:v>
      </x:c>
      <x:c r="J1175" s="75" t="n">
        <x:v>0.7769871488347052</x:v>
      </x:c>
      <x:c r="K1175" s="75" t="n">
        <x:v>0.9731889414054797</x:v>
      </x:c>
      <x:c r="L1175" s="75" t="n">
        <x:v>0.945778147083288</x:v>
      </x:c>
      <x:c r="M1175" s="75" t="n">
        <x:v>0.9273047666499016</x:v>
      </x:c>
      <x:c r="N1175" s="75" t="n">
        <x:v>0.9372261676406681</x:v>
      </x:c>
      <x:c r="O1175" s="66" t="n">
        <x:v>551862.4358882973</x:v>
      </x:c>
      <x:c r="P1175" s="66" t="n">
        <x:v>294817.51590270456</x:v>
      </x:c>
      <x:c r="Q1175" s="66" t="n">
        <x:v>257044.91998559277</x:v>
      </x:c>
      <x:c r="R1175" s="66" t="n">
        <x:v>112846.66853268961</x:v>
      </x:c>
      <x:c r="S1175" s="66" t="n">
        <x:v>144198.25145290315</x:v>
      </x:c>
      <x:c r="T1175" s="66" t="n">
        <x:v>145545.94446313832</x:v>
      </x:c>
      <x:c r="U1175" s="45" t="n">
        <x:v>0.7979587515447002</x:v>
      </x:c>
      <x:c r="V1175" s="45" t="n">
        <x:v>0.8093597048003246</x:v>
      </x:c>
      <x:c r="W1175" s="45" t="n">
        <x:v>0.5954781503791362</x:v>
      </x:c>
      <x:c r="X1175" s="66" t="n">
        <x:v>33942842.456209704</x:v>
      </x:c>
      <x:c r="Y1175" s="66" t="n">
        <x:v>61.50598455133861</x:v>
      </x:c>
      <x:c r="Z1175" s="66" t="n">
        <x:v>1744950.7112706373</x:v>
      </x:c>
      <x:c r="AA1175" s="66" t="n">
        <x:v>193298.35026195185</x:v>
      </x:c>
      <x:c r="AB1175" s="66" t="n">
        <x:v>3531.6871282576362</x:v>
      </x:c>
      <x:c r="AC1175" s="66" t="n">
        <x:v>16406.657681790228</x:v>
      </x:c>
      <x:c r="AD1175" s="66" t="n">
        <x:v>1795.6393758662907</x:v>
      </x:c>
      <x:c r="AE1175" s="66" t="n">
        <x:v>97237.68524090471</x:v>
      </x:c>
      <x:c r="AF1175" s="66" t="n">
        <x:v>145545.9444631383</x:v>
      </x:c>
      <x:c r="AG1175" s="66" t="n">
        <x:v>2.9103830456733704e-11</x:v>
      </x:c>
      <x:c r="AH1175" s="36" t="n">
        <x:v>0</x:v>
      </x:c>
    </x:row>
    <x:row r="1176" ht="15" hidden="0" customHeight="1">
      <x:c r="A1176" s="34" t="n">
        <x:v>293</x:v>
      </x:c>
      <x:c r="B1176" s="34" t="str">
        <x:v>H3</x:v>
      </x:c>
      <x:c r="C1176" s="34" t="str">
        <x:v>fast</x:v>
      </x:c>
      <x:c r="D1176" s="74" t="n">
        <x:v>1.1472043765287863</x:v>
      </x:c>
      <x:c r="E1176" s="74" t="n">
        <x:v>0.0179245814157288</x:v>
      </x:c>
      <x:c r="F1176" s="74" t="n">
        <x:v>0.735530969284254</x:v>
      </x:c>
      <x:c r="G1176" s="74" t="n">
        <x:v>1.2731781252278782</x:v>
      </x:c>
      <x:c r="H1176" s="74" t="n">
        <x:v>1.0370375004677999</x:v>
      </x:c>
      <x:c r="I1176" s="74" t="n">
        <x:v>0.7674227130923287</x:v>
      </x:c>
      <x:c r="J1176" s="74" t="n">
        <x:v>0.7769871488347052</x:v>
      </x:c>
      <x:c r="K1176" s="74" t="n">
        <x:v>0.9731889414054797</x:v>
      </x:c>
      <x:c r="L1176" s="74" t="n">
        <x:v>0.945778147083288</x:v>
      </x:c>
      <x:c r="M1176" s="74" t="n">
        <x:v>0.9273047666499016</x:v>
      </x:c>
      <x:c r="N1176" s="74" t="n">
        <x:v>0.9372261676406681</x:v>
      </x:c>
      <x:c r="O1176" s="65" t="n">
        <x:v>551862.4358882973</x:v>
      </x:c>
      <x:c r="P1176" s="65" t="n">
        <x:v>305830.97717034246</x:v>
      </x:c>
      <x:c r="Q1176" s="65" t="n">
        <x:v>246031.45871795487</x:v>
      </x:c>
      <x:c r="R1176" s="65" t="n">
        <x:v>112846.66853268961</x:v>
      </x:c>
      <x:c r="S1176" s="65" t="n">
        <x:v>133184.7901852652</x:v>
      </x:c>
      <x:c r="T1176" s="65" t="n">
        <x:v>201353.27509229805</x:v>
      </x:c>
      <x:c r="U1176" s="43" t="n">
        <x:v>0.9190410857485867</x:v>
      </x:c>
      <x:c r="V1176" s="43" t="n">
        <x:v>0.9080135539539059</x:v>
      </x:c>
      <x:c r="W1176" s="43" t="n">
        <x:v>0.6259314772049004</x:v>
      </x:c>
      <x:c r="X1176" s="65" t="n">
        <x:v>27383344.451150164</x:v>
      </x:c>
      <x:c r="Y1176" s="65" t="n">
        <x:v>49.619873849672274</x:v>
      </x:c>
      <x:c r="Z1176" s="65" t="n">
        <x:v>4534162.615802338</x:v>
      </x:c>
      <x:c r="AA1176" s="65" t="n">
        <x:v>155566.96115939703</x:v>
      </x:c>
      <x:c r="AB1176" s="65" t="n">
        <x:v>32875.99835963937</x:v>
      </x:c>
      <x:c r="AC1176" s="65" t="n">
        <x:v>13547.713956241982</x:v>
      </x:c>
      <x:c r="AD1176" s="65" t="n">
        <x:v>1771.0713881168554</x:v>
      </x:c>
      <x:c r="AE1176" s="65" t="n">
        <x:v>80855.17034643235</x:v>
      </x:c>
      <x:c r="AF1176" s="65" t="n">
        <x:v>201353.27509229793</x:v>
      </x:c>
      <x:c r="AG1176" s="65" t="n">
        <x:v>1.1641532182693481e-10</x:v>
      </x:c>
      <x:c r="AH1176" s="34" t="n">
        <x:v>0</x:v>
      </x:c>
    </x:row>
    <x:row r="1177" ht="15" hidden="0" customHeight="1">
      <x:c r="A1177" s="36" t="n">
        <x:v>294</x:v>
      </x:c>
      <x:c r="B1177" s="36" t="str">
        <x:v>M0</x:v>
      </x:c>
      <x:c r="C1177" s="36" t="str">
        <x:v>reference</x:v>
      </x:c>
      <x:c r="D1177" s="75" t="n">
        <x:v>0.9215388650631935</x:v>
      </x:c>
      <x:c r="E1177" s="75" t="n">
        <x:v>0.04570507066451258</x:v>
      </x:c>
      <x:c r="F1177" s="75" t="n">
        <x:v>0.9061500381010794</x:v>
      </x:c>
      <x:c r="G1177" s="75" t="n">
        <x:v>1.0010279267281346</x:v>
      </x:c>
      <x:c r="H1177" s="75" t="n">
        <x:v>0.7696582341077186</x:v>
      </x:c>
      <x:c r="I1177" s="75" t="n">
        <x:v>0.967413855466565</x:v>
      </x:c>
      <x:c r="J1177" s="75" t="n">
        <x:v>0.810283168106385</x:v>
      </x:c>
      <x:c r="K1177" s="75" t="n">
        <x:v>0.9012802996223286</x:v>
      </x:c>
      <x:c r="L1177" s="75" t="n">
        <x:v>0.8185968433010555</x:v>
      </x:c>
      <x:c r="M1177" s="75" t="n">
        <x:v>0.7601722046790883</x:v>
      </x:c>
      <x:c r="N1177" s="75" t="n">
        <x:v>0.9978836795113063</x:v>
      </x:c>
      <x:c r="O1177" s="66" t="n">
        <x:v>443306.08673087624</x:v>
      </x:c>
      <x:c r="P1177" s="66" t="n">
        <x:v>57457.8622468878</x:v>
      </x:c>
      <x:c r="Q1177" s="66" t="n">
        <x:v>385848.22448398836</x:v>
      </x:c>
      <x:c r="R1177" s="66" t="n">
        <x:v>102963.96475242081</x:v>
      </x:c>
      <x:c r="S1177" s="66" t="n">
        <x:v>282884.2597315676</x:v>
      </x:c>
      <x:c r="T1177" s="66" t="n">
        <x:v>262447.7516239302</x:v>
      </x:c>
      <x:c r="U1177" s="45" t="n">
        <x:v>0.7216359608999174</x:v>
      </x:c>
      <x:c r="V1177" s="45" t="n">
        <x:v>0.7591646947978631</x:v>
      </x:c>
      <x:c r="W1177" s="45" t="n">
        <x:v>0.14098562823202812</x:v>
      </x:c>
      <x:c r="X1177" s="66" t="n">
        <x:v>48749924.546903946</x:v>
      </x:c>
      <x:c r="Y1177" s="66" t="n">
        <x:v>109.9689943497194</x:v>
      </x:c>
      <x:c r="Z1177" s="66" t="n">
        <x:v>3345290.856583205</x:v>
      </x:c>
      <x:c r="AA1177" s="66" t="n">
        <x:v>271068.17389023077</x:v>
      </x:c>
      <x:c r="AB1177" s="66" t="n">
        <x:v>20098.52217746294</x:v>
      </x:c>
      <x:c r="AC1177" s="66" t="n">
        <x:v>348.54591087962785</x:v>
      </x:c>
      <x:c r="AD1177" s="66" t="n">
        <x:v>1889.5535786841783</x:v>
      </x:c>
      <x:c r="AE1177" s="66" t="n">
        <x:v>233708.70165400457</x:v>
      </x:c>
      <x:c r="AF1177" s="66" t="n">
        <x:v>262092.67137649978</x:v>
      </x:c>
      <x:c r="AG1177" s="66" t="n">
        <x:v>355.0802474303928</x:v>
      </x:c>
      <x:c r="AH1177" s="36" t="n">
        <x:v>0</x:v>
      </x:c>
    </x:row>
    <x:row r="1178" ht="15" hidden="0" customHeight="1">
      <x:c r="A1178" s="34" t="n">
        <x:v>294</x:v>
      </x:c>
      <x:c r="B1178" s="34" t="str">
        <x:v>B1</x:v>
      </x:c>
      <x:c r="C1178" s="34" t="str">
        <x:v>reference</x:v>
      </x:c>
      <x:c r="D1178" s="74" t="n">
        <x:v>0.9215388650631935</x:v>
      </x:c>
      <x:c r="E1178" s="74" t="n">
        <x:v>0.04570507066451258</x:v>
      </x:c>
      <x:c r="F1178" s="74" t="n">
        <x:v>0.9061500381010794</x:v>
      </x:c>
      <x:c r="G1178" s="74" t="n">
        <x:v>1.0010279267281346</x:v>
      </x:c>
      <x:c r="H1178" s="74" t="n">
        <x:v>0.7696582341077186</x:v>
      </x:c>
      <x:c r="I1178" s="74" t="n">
        <x:v>0.967413855466565</x:v>
      </x:c>
      <x:c r="J1178" s="74" t="n">
        <x:v>0.810283168106385</x:v>
      </x:c>
      <x:c r="K1178" s="74" t="n">
        <x:v>0.9012802996223286</x:v>
      </x:c>
      <x:c r="L1178" s="74" t="n">
        <x:v>0.8185968433010555</x:v>
      </x:c>
      <x:c r="M1178" s="74" t="n">
        <x:v>0.7601722046790883</x:v>
      </x:c>
      <x:c r="N1178" s="74" t="n">
        <x:v>0.9978836795113063</x:v>
      </x:c>
      <x:c r="O1178" s="65" t="n">
        <x:v>443306.08673087624</x:v>
      </x:c>
      <x:c r="P1178" s="65" t="n">
        <x:v>194361.72736706943</x:v>
      </x:c>
      <x:c r="Q1178" s="65" t="n">
        <x:v>248944.35936380678</x:v>
      </x:c>
      <x:c r="R1178" s="65" t="n">
        <x:v>102963.96475242081</x:v>
      </x:c>
      <x:c r="S1178" s="65" t="n">
        <x:v>145980.39461138594</x:v>
      </x:c>
      <x:c r="T1178" s="65" t="n">
        <x:v>181661.19332252032</x:v>
      </x:c>
      <x:c r="U1178" s="43" t="n">
        <x:v>0.8482241321398031</x:v>
      </x:c>
      <x:c r="V1178" s="43" t="n">
        <x:v>0.8717578755356484</x:v>
      </x:c>
      <x:c r="W1178" s="43" t="n">
        <x:v>0.49775856869725243</x:v>
      </x:c>
      <x:c r="X1178" s="65" t="n">
        <x:v>31930877.626982898</x:v>
      </x:c>
      <x:c r="Y1178" s="65" t="n">
        <x:v>72.02896279285153</x:v>
      </x:c>
      <x:c r="Z1178" s="65" t="n">
        <x:v>1151964.0885191825</x:v>
      </x:c>
      <x:c r="AA1178" s="65" t="n">
        <x:v>174805.78669554082</x:v>
      </x:c>
      <x:c r="AB1178" s="65" t="n">
        <x:v>1335.1917034726605</x:v>
      </x:c>
      <x:c r="AC1178" s="65" t="n">
        <x:v>0</x:v>
      </x:c>
      <x:c r="AD1178" s="65" t="n">
        <x:v>1554.1519973623376</x:v>
      </x:c>
      <x:c r="AE1178" s="65" t="n">
        <x:v>116006.30434921068</x:v>
      </x:c>
      <x:c r="AF1178" s="65" t="n">
        <x:v>181661.1933225202</x:v>
      </x:c>
      <x:c r="AG1178" s="65" t="n">
        <x:v>1.1641532182693481e-10</x:v>
      </x:c>
      <x:c r="AH1178" s="34" t="n">
        <x:v>0</x:v>
      </x:c>
    </x:row>
    <x:row r="1179" ht="15" hidden="0" customHeight="1">
      <x:c r="A1179" s="36" t="n">
        <x:v>294</x:v>
      </x:c>
      <x:c r="B1179" s="36" t="str">
        <x:v>P2</x:v>
      </x:c>
      <x:c r="C1179" s="36" t="str">
        <x:v>reference</x:v>
      </x:c>
      <x:c r="D1179" s="75" t="n">
        <x:v>0.9215388650631935</x:v>
      </x:c>
      <x:c r="E1179" s="75" t="n">
        <x:v>0.04570507066451258</x:v>
      </x:c>
      <x:c r="F1179" s="75" t="n">
        <x:v>0.9061500381010794</x:v>
      </x:c>
      <x:c r="G1179" s="75" t="n">
        <x:v>1.0010279267281346</x:v>
      </x:c>
      <x:c r="H1179" s="75" t="n">
        <x:v>0.7696582341077186</x:v>
      </x:c>
      <x:c r="I1179" s="75" t="n">
        <x:v>0.967413855466565</x:v>
      </x:c>
      <x:c r="J1179" s="75" t="n">
        <x:v>0.810283168106385</x:v>
      </x:c>
      <x:c r="K1179" s="75" t="n">
        <x:v>0.9012802996223286</x:v>
      </x:c>
      <x:c r="L1179" s="75" t="n">
        <x:v>0.8185968433010555</x:v>
      </x:c>
      <x:c r="M1179" s="75" t="n">
        <x:v>0.7601722046790883</x:v>
      </x:c>
      <x:c r="N1179" s="75" t="n">
        <x:v>0.9978836795113063</x:v>
      </x:c>
      <x:c r="O1179" s="66" t="n">
        <x:v>443306.08673087624</x:v>
      </x:c>
      <x:c r="P1179" s="66" t="n">
        <x:v>281570.8581744762</x:v>
      </x:c>
      <x:c r="Q1179" s="66" t="n">
        <x:v>161735.22855640005</x:v>
      </x:c>
      <x:c r="R1179" s="66" t="n">
        <x:v>102963.96475242081</x:v>
      </x:c>
      <x:c r="S1179" s="66" t="n">
        <x:v>58771.26380397924</x:v>
      </x:c>
      <x:c r="T1179" s="66" t="n">
        <x:v>118027.69318866238</x:v>
      </x:c>
      <x:c r="U1179" s="45" t="n">
        <x:v>0.9014055148891476</x:v>
      </x:c>
      <x:c r="V1179" s="45" t="n">
        <x:v>0.9130618139048463</x:v>
      </x:c>
      <x:c r="W1179" s="45" t="n">
        <x:v>0.6572918664293944</x:v>
      </x:c>
      <x:c r="X1179" s="66" t="n">
        <x:v>20075641.09562428</x:v>
      </x:c>
      <x:c r="Y1179" s="66" t="n">
        <x:v>45.28618418860526</x:v>
      </x:c>
      <x:c r="Z1179" s="66" t="n">
        <x:v>737134.2663511761</x:v>
      </x:c>
      <x:c r="AA1179" s="66" t="n">
        <x:v>115287.90050154342</x:v>
      </x:c>
      <x:c r="AB1179" s="66" t="n">
        <x:v>0</x:v>
      </x:c>
      <x:c r="AC1179" s="66" t="n">
        <x:v>0</x:v>
      </x:c>
      <x:c r="AD1179" s="66" t="n">
        <x:v>1351.4918608268044</x:v>
      </x:c>
      <x:c r="AE1179" s="66" t="n">
        <x:v>65188.86882055437</x:v>
      </x:c>
      <x:c r="AF1179" s="66" t="n">
        <x:v>118027.69318866234</x:v>
      </x:c>
      <x:c r="AG1179" s="66" t="n">
        <x:v>4.3655745685100555e-11</x:v>
      </x:c>
      <x:c r="AH1179" s="36" t="n">
        <x:v>0</x:v>
      </x:c>
    </x:row>
    <x:row r="1180" ht="15" hidden="0" customHeight="1">
      <x:c r="A1180" s="34" t="n">
        <x:v>294</x:v>
      </x:c>
      <x:c r="B1180" s="34" t="str">
        <x:v>H3</x:v>
      </x:c>
      <x:c r="C1180" s="34" t="str">
        <x:v>reference</x:v>
      </x:c>
      <x:c r="D1180" s="74" t="n">
        <x:v>0.9215388650631935</x:v>
      </x:c>
      <x:c r="E1180" s="74" t="n">
        <x:v>0.04570507066451258</x:v>
      </x:c>
      <x:c r="F1180" s="74" t="n">
        <x:v>0.9061500381010794</x:v>
      </x:c>
      <x:c r="G1180" s="74" t="n">
        <x:v>1.0010279267281346</x:v>
      </x:c>
      <x:c r="H1180" s="74" t="n">
        <x:v>0.7696582341077186</x:v>
      </x:c>
      <x:c r="I1180" s="74" t="n">
        <x:v>0.967413855466565</x:v>
      </x:c>
      <x:c r="J1180" s="74" t="n">
        <x:v>0.810283168106385</x:v>
      </x:c>
      <x:c r="K1180" s="74" t="n">
        <x:v>0.9012802996223286</x:v>
      </x:c>
      <x:c r="L1180" s="74" t="n">
        <x:v>0.8185968433010555</x:v>
      </x:c>
      <x:c r="M1180" s="74" t="n">
        <x:v>0.7601722046790883</x:v>
      </x:c>
      <x:c r="N1180" s="74" t="n">
        <x:v>0.9978836795113063</x:v>
      </x:c>
      <x:c r="O1180" s="65" t="n">
        <x:v>443306.08673087624</x:v>
      </x:c>
      <x:c r="P1180" s="65" t="n">
        <x:v>292089.59191224596</x:v>
      </x:c>
      <x:c r="Q1180" s="65" t="n">
        <x:v>151216.49481863025</x:v>
      </x:c>
      <x:c r="R1180" s="65" t="n">
        <x:v>102963.96475242081</x:v>
      </x:c>
      <x:c r="S1180" s="65" t="n">
        <x:v>48252.53006620944</x:v>
      </x:c>
      <x:c r="T1180" s="65" t="n">
        <x:v>149887.75290183316</x:v>
      </x:c>
      <x:c r="U1180" s="43" t="n">
        <x:v>0.9970026535692397</x:v>
      </x:c>
      <x:c r="V1180" s="43" t="n">
        <x:v>0.9981121501242262</x:v>
      </x:c>
      <x:c r="W1180" s="43" t="n">
        <x:v>0.9700265356923975</x:v>
      </x:c>
      <x:c r="X1180" s="65" t="n">
        <x:v>15038597.344142979</x:v>
      </x:c>
      <x:c r="Y1180" s="65" t="n">
        <x:v>33.923733046491336</x:v>
      </x:c>
      <x:c r="Z1180" s="65" t="n">
        <x:v>912261.0873317138</x:v>
      </x:c>
      <x:c r="AA1180" s="65" t="n">
        <x:v>91059.11845266493</x:v>
      </x:c>
      <x:c r="AB1180" s="65" t="n">
        <x:v>1394.6206489655124</x:v>
      </x:c>
      <x:c r="AC1180" s="65" t="n">
        <x:v>0</x:v>
      </x:c>
      <x:c r="AD1180" s="65" t="n">
        <x:v>1328.7419167970888</x:v>
      </x:c>
      <x:c r="AE1180" s="65" t="n">
        <x:v>60677.696620124974</x:v>
      </x:c>
      <x:c r="AF1180" s="65" t="n">
        <x:v>149887.75290183313</x:v>
      </x:c>
      <x:c r="AG1180" s="65" t="n">
        <x:v>2.9103830456733704e-11</x:v>
      </x:c>
      <x:c r="AH1180" s="34" t="n">
        <x:v>1</x:v>
      </x:c>
    </x:row>
    <x:row r="1181" ht="15" hidden="0" customHeight="1">
      <x:c r="A1181" s="36" t="n">
        <x:v>295</x:v>
      </x:c>
      <x:c r="B1181" s="36" t="str">
        <x:v>M0</x:v>
      </x:c>
      <x:c r="C1181" s="36" t="str">
        <x:v>fast</x:v>
      </x:c>
      <x:c r="D1181" s="75" t="n">
        <x:v>1.1367486210872173</x:v>
      </x:c>
      <x:c r="E1181" s="75" t="n">
        <x:v>0.04681270920047686</x:v>
      </x:c>
      <x:c r="F1181" s="75" t="n">
        <x:v>0.9777444990808011</x:v>
      </x:c>
      <x:c r="G1181" s="75" t="n">
        <x:v>0.943211254371867</x:v>
      </x:c>
      <x:c r="H1181" s="75" t="n">
        <x:v>0.9390143097776267</x:v>
      </x:c>
      <x:c r="I1181" s="75" t="n">
        <x:v>0.8291910378645053</x:v>
      </x:c>
      <x:c r="J1181" s="75" t="n">
        <x:v>0.7614810584509764</x:v>
      </x:c>
      <x:c r="K1181" s="75" t="n">
        <x:v>0.7933009797056845</x:v>
      </x:c>
      <x:c r="L1181" s="75" t="n">
        <x:v>0.8112015083251163</x:v>
      </x:c>
      <x:c r="M1181" s="75" t="n">
        <x:v>0.9703457352987965</x:v>
      </x:c>
      <x:c r="N1181" s="75" t="n">
        <x:v>0.8933604849515989</x:v>
      </x:c>
      <x:c r="O1181" s="66" t="n">
        <x:v>546832.6968242816</x:v>
      </x:c>
      <x:c r="P1181" s="66" t="n">
        <x:v>76365.70489867934</x:v>
      </x:c>
      <x:c r="Q1181" s="66" t="n">
        <x:v>470466.9919256023</x:v>
      </x:c>
      <x:c r="R1181" s="66" t="n">
        <x:v>127615.14356313061</x:v>
      </x:c>
      <x:c r="S1181" s="66" t="n">
        <x:v>342851.8483624717</x:v>
      </x:c>
      <x:c r="T1181" s="66" t="n">
        <x:v>247705.04972523422</x:v>
      </x:c>
      <x:c r="U1181" s="45" t="n">
        <x:v>0.5926323654491529</x:v>
      </x:c>
      <x:c r="V1181" s="45" t="n">
        <x:v>0.621967590636914</x:v>
      </x:c>
      <x:c r="W1181" s="45" t="n">
        <x:v>0.1375759992563213</x:v>
      </x:c>
      <x:c r="X1181" s="66" t="n">
        <x:v>64267728.362414725</x:v>
      </x:c>
      <x:c r="Y1181" s="66" t="n">
        <x:v>117.52722310799645</x:v>
      </x:c>
      <x:c r="Z1181" s="66" t="n">
        <x:v>5148394.130230408</x:v>
      </x:c>
      <x:c r="AA1181" s="66" t="n">
        <x:v>348911.423684389</x:v>
      </x:c>
      <x:c r="AB1181" s="66" t="n">
        <x:v>44907.8762404161</x:v>
      </x:c>
      <x:c r="AC1181" s="66" t="n">
        <x:v>575.7733533661649</x:v>
      </x:c>
      <x:c r="AD1181" s="66" t="n">
        <x:v>2316.931114737028</x:v>
      </x:c>
      <x:c r="AE1181" s="66" t="n">
        <x:v>196247.4857920221</x:v>
      </x:c>
      <x:c r="AF1181" s="66" t="n">
        <x:v>247705.04972523422</x:v>
      </x:c>
      <x:c r="AG1181" s="66" t="n">
        <x:v>0</x:v>
      </x:c>
      <x:c r="AH1181" s="36" t="n">
        <x:v>0</x:v>
      </x:c>
    </x:row>
    <x:row r="1182" ht="15" hidden="0" customHeight="1">
      <x:c r="A1182" s="34" t="n">
        <x:v>295</x:v>
      </x:c>
      <x:c r="B1182" s="34" t="str">
        <x:v>B1</x:v>
      </x:c>
      <x:c r="C1182" s="34" t="str">
        <x:v>fast</x:v>
      </x:c>
      <x:c r="D1182" s="74" t="n">
        <x:v>1.1367486210872173</x:v>
      </x:c>
      <x:c r="E1182" s="74" t="n">
        <x:v>0.04681270920047686</x:v>
      </x:c>
      <x:c r="F1182" s="74" t="n">
        <x:v>0.9777444990808011</x:v>
      </x:c>
      <x:c r="G1182" s="74" t="n">
        <x:v>0.943211254371867</x:v>
      </x:c>
      <x:c r="H1182" s="74" t="n">
        <x:v>0.9390143097776267</x:v>
      </x:c>
      <x:c r="I1182" s="74" t="n">
        <x:v>0.8291910378645053</x:v>
      </x:c>
      <x:c r="J1182" s="74" t="n">
        <x:v>0.7614810584509764</x:v>
      </x:c>
      <x:c r="K1182" s="74" t="n">
        <x:v>0.7933009797056845</x:v>
      </x:c>
      <x:c r="L1182" s="74" t="n">
        <x:v>0.8112015083251163</x:v>
      </x:c>
      <x:c r="M1182" s="74" t="n">
        <x:v>0.9703457352987965</x:v>
      </x:c>
      <x:c r="N1182" s="74" t="n">
        <x:v>0.8933604849515989</x:v>
      </x:c>
      <x:c r="O1182" s="65" t="n">
        <x:v>546832.6968242816</x:v>
      </x:c>
      <x:c r="P1182" s="65" t="n">
        <x:v>258321.00529947132</x:v>
      </x:c>
      <x:c r="Q1182" s="65" t="n">
        <x:v>288511.6915248104</x:v>
      </x:c>
      <x:c r="R1182" s="65" t="n">
        <x:v>127615.14356313061</x:v>
      </x:c>
      <x:c r="S1182" s="65" t="n">
        <x:v>160896.54796167975</x:v>
      </x:c>
      <x:c r="T1182" s="65" t="n">
        <x:v>187594.137644944</x:v>
      </x:c>
      <x:c r="U1182" s="43" t="n">
        <x:v>0.8154507686428726</x:v>
      </x:c>
      <x:c r="V1182" s="43" t="n">
        <x:v>0.8335406032291679</x:v>
      </x:c>
      <x:c r="W1182" s="43" t="n">
        <x:v>0.5235415940068064</x:v>
      </x:c>
      <x:c r="X1182" s="65" t="n">
        <x:v>39341745.55315762</x:v>
      </x:c>
      <x:c r="Y1182" s="65" t="n">
        <x:v>71.94475711060058</x:v>
      </x:c>
      <x:c r="Z1182" s="65" t="n">
        <x:v>2364856.9537583236</x:v>
      </x:c>
      <x:c r="AA1182" s="65" t="n">
        <x:v>207304.75499730004</x:v>
      </x:c>
      <x:c r="AB1182" s="65" t="n">
        <x:v>13375.639519374556</x:v>
      </x:c>
      <x:c r="AC1182" s="65" t="n">
        <x:v>2245.512368725187</x:v>
      </x:c>
      <x:c r="AD1182" s="65" t="n">
        <x:v>1871.7367138891461</x:v>
      </x:c>
      <x:c r="AE1182" s="65" t="n">
        <x:v>137716.30021995996</x:v>
      </x:c>
      <x:c r="AF1182" s="65" t="n">
        <x:v>187594.13764494393</x:v>
      </x:c>
      <x:c r="AG1182" s="65" t="n">
        <x:v>8.731149137020111e-11</x:v>
      </x:c>
      <x:c r="AH1182" s="34" t="n">
        <x:v>0</x:v>
      </x:c>
    </x:row>
    <x:row r="1183" ht="15" hidden="0" customHeight="1">
      <x:c r="A1183" s="36" t="n">
        <x:v>295</x:v>
      </x:c>
      <x:c r="B1183" s="36" t="str">
        <x:v>P2</x:v>
      </x:c>
      <x:c r="C1183" s="36" t="str">
        <x:v>fast</x:v>
      </x:c>
      <x:c r="D1183" s="75" t="n">
        <x:v>1.1367486210872173</x:v>
      </x:c>
      <x:c r="E1183" s="75" t="n">
        <x:v>0.04681270920047686</x:v>
      </x:c>
      <x:c r="F1183" s="75" t="n">
        <x:v>0.9777444990808011</x:v>
      </x:c>
      <x:c r="G1183" s="75" t="n">
        <x:v>0.943211254371867</x:v>
      </x:c>
      <x:c r="H1183" s="75" t="n">
        <x:v>0.9390143097776267</x:v>
      </x:c>
      <x:c r="I1183" s="75" t="n">
        <x:v>0.8291910378645053</x:v>
      </x:c>
      <x:c r="J1183" s="75" t="n">
        <x:v>0.7614810584509764</x:v>
      </x:c>
      <x:c r="K1183" s="75" t="n">
        <x:v>0.7933009797056845</x:v>
      </x:c>
      <x:c r="L1183" s="75" t="n">
        <x:v>0.8112015083251163</x:v>
      </x:c>
      <x:c r="M1183" s="75" t="n">
        <x:v>0.9703457352987965</x:v>
      </x:c>
      <x:c r="N1183" s="75" t="n">
        <x:v>0.8933604849515989</x:v>
      </x:c>
      <x:c r="O1183" s="66" t="n">
        <x:v>546832.6968242816</x:v>
      </x:c>
      <x:c r="P1183" s="66" t="n">
        <x:v>374228.37725014007</x:v>
      </x:c>
      <x:c r="Q1183" s="66" t="n">
        <x:v>172604.3195741416</x:v>
      </x:c>
      <x:c r="R1183" s="66" t="n">
        <x:v>127615.14356313061</x:v>
      </x:c>
      <x:c r="S1183" s="66" t="n">
        <x:v>44989.176011011</x:v>
      </x:c>
      <x:c r="T1183" s="66" t="n">
        <x:v>118995.1446804094</x:v>
      </x:c>
      <x:c r="U1183" s="45" t="n">
        <x:v>0.9019642109825069</x:v>
      </x:c>
      <x:c r="V1183" s="45" t="n">
        <x:v>0.9066050460786441</x:v>
      </x:c>
      <x:c r="W1183" s="45" t="n">
        <x:v>0.7674552654863457</x:v>
      </x:c>
      <x:c r="X1183" s="66" t="n">
        <x:v>21255645.967168983</x:v>
      </x:c>
      <x:c r="Y1183" s="66" t="n">
        <x:v>38.87047371272907</x:v>
      </x:c>
      <x:c r="Z1183" s="66" t="n">
        <x:v>1131750.0672029748</x:v>
      </x:c>
      <x:c r="AA1183" s="66" t="n">
        <x:v>119407.91823794814</x:v>
      </x:c>
      <x:c r="AB1183" s="66" t="n">
        <x:v>625.3261195554741</x:v>
      </x:c>
      <x:c r="AC1183" s="66" t="n">
        <x:v>25183.249453173277</x:v>
      </x:c>
      <x:c r="AD1183" s="66" t="n">
        <x:v>1602.736318288413</x:v>
      </x:c>
      <x:c r="AE1183" s="66" t="n">
        <x:v>75036.97393663476</x:v>
      </x:c>
      <x:c r="AF1183" s="66" t="n">
        <x:v>118995.14468040943</x:v>
      </x:c>
      <x:c r="AG1183" s="66" t="n">
        <x:v>0</x:v>
      </x:c>
      <x:c r="AH1183" s="36" t="n">
        <x:v>0</x:v>
      </x:c>
    </x:row>
    <x:row r="1184" ht="15" hidden="0" customHeight="1">
      <x:c r="A1184" s="34" t="n">
        <x:v>295</x:v>
      </x:c>
      <x:c r="B1184" s="34" t="str">
        <x:v>H3</x:v>
      </x:c>
      <x:c r="C1184" s="34" t="str">
        <x:v>fast</x:v>
      </x:c>
      <x:c r="D1184" s="74" t="n">
        <x:v>1.1367486210872173</x:v>
      </x:c>
      <x:c r="E1184" s="74" t="n">
        <x:v>0.04681270920047686</x:v>
      </x:c>
      <x:c r="F1184" s="74" t="n">
        <x:v>0.9777444990808011</x:v>
      </x:c>
      <x:c r="G1184" s="74" t="n">
        <x:v>0.943211254371867</x:v>
      </x:c>
      <x:c r="H1184" s="74" t="n">
        <x:v>0.9390143097776267</x:v>
      </x:c>
      <x:c r="I1184" s="74" t="n">
        <x:v>0.8291910378645053</x:v>
      </x:c>
      <x:c r="J1184" s="74" t="n">
        <x:v>0.7614810584509764</x:v>
      </x:c>
      <x:c r="K1184" s="74" t="n">
        <x:v>0.7933009797056845</x:v>
      </x:c>
      <x:c r="L1184" s="74" t="n">
        <x:v>0.8112015083251163</x:v>
      </x:c>
      <x:c r="M1184" s="74" t="n">
        <x:v>0.9703457352987965</x:v>
      </x:c>
      <x:c r="N1184" s="74" t="n">
        <x:v>0.8933604849515989</x:v>
      </x:c>
      <x:c r="O1184" s="65" t="n">
        <x:v>546832.6968242816</x:v>
      </x:c>
      <x:c r="P1184" s="65" t="n">
        <x:v>388208.5548762645</x:v>
      </x:c>
      <x:c r="Q1184" s="65" t="n">
        <x:v>158624.14194801715</x:v>
      </x:c>
      <x:c r="R1184" s="65" t="n">
        <x:v>127615.14356313061</x:v>
      </x:c>
      <x:c r="S1184" s="65" t="n">
        <x:v>31008.998384886552</x:v>
      </x:c>
      <x:c r="T1184" s="65" t="n">
        <x:v>157051.60270769635</x:v>
      </x:c>
      <x:c r="U1184" s="43" t="n">
        <x:v>0.9971242772250941</x:v>
      </x:c>
      <x:c r="V1184" s="43" t="n">
        <x:v>0.9981887446159821</x:v>
      </x:c>
      <x:c r="W1184" s="43" t="n">
        <x:v>0.9712427722509408</x:v>
      </x:c>
      <x:c r="X1184" s="65" t="n">
        <x:v>15115017.73977423</x:v>
      </x:c>
      <x:c r="Y1184" s="65" t="n">
        <x:v>27.641027735821854</x:v>
      </x:c>
      <x:c r="Z1184" s="65" t="n">
        <x:v>1793500.0791518178</x:v>
      </x:c>
      <x:c r="AA1184" s="65" t="n">
        <x:v>97983.25209411042</x:v>
      </x:c>
      <x:c r="AB1184" s="65" t="n">
        <x:v>13353.719419896286</x:v>
      </x:c>
      <x:c r="AC1184" s="65" t="n">
        <x:v>4967.999153736193</x:v>
      </x:c>
      <x:c r="AD1184" s="65" t="n">
        <x:v>1572.5392403208125</x:v>
      </x:c>
      <x:c r="AE1184" s="65" t="n">
        <x:v>71823.18903248021</x:v>
      </x:c>
      <x:c r="AF1184" s="65" t="n">
        <x:v>157051.60270769647</x:v>
      </x:c>
      <x:c r="AG1184" s="65" t="n">
        <x:v>0</x:v>
      </x:c>
      <x:c r="AH1184" s="34" t="n">
        <x:v>1</x:v>
      </x:c>
    </x:row>
    <x:row r="1185" ht="15" hidden="0" customHeight="1">
      <x:c r="A1185" s="36" t="n">
        <x:v>296</x:v>
      </x:c>
      <x:c r="B1185" s="36" t="str">
        <x:v>M0</x:v>
      </x:c>
      <x:c r="C1185" s="36" t="str">
        <x:v>reference</x:v>
      </x:c>
      <x:c r="D1185" s="75" t="n">
        <x:v>1.1277769511815119</x:v>
      </x:c>
      <x:c r="E1185" s="75" t="n">
        <x:v>0.04097347964250012</x:v>
      </x:c>
      <x:c r="F1185" s="75" t="n">
        <x:v>0.8579828310654485</x:v>
      </x:c>
      <x:c r="G1185" s="75" t="n">
        <x:v>1.234784753721641</x:v>
      </x:c>
      <x:c r="H1185" s="75" t="n">
        <x:v>0.830241222538592</x:v>
      </x:c>
      <x:c r="I1185" s="75" t="n">
        <x:v>0.8877949584017722</x:v>
      </x:c>
      <x:c r="J1185" s="75" t="n">
        <x:v>0.8594591272901219</x:v>
      </x:c>
      <x:c r="K1185" s="75" t="n">
        <x:v>0.8772388066402199</x:v>
      </x:c>
      <x:c r="L1185" s="75" t="n">
        <x:v>0.9499035484699625</x:v>
      </x:c>
      <x:c r="M1185" s="75" t="n">
        <x:v>0.8341008105104876</x:v>
      </x:c>
      <x:c r="N1185" s="75" t="n">
        <x:v>0.9774933973090469</x:v>
      </x:c>
      <x:c r="O1185" s="66" t="n">
        <x:v>542516.876810476</x:v>
      </x:c>
      <x:c r="P1185" s="66" t="n">
        <x:v>66989.44695463034</x:v>
      </x:c>
      <x:c r="Q1185" s="66" t="n">
        <x:v>475527.4298558457</x:v>
      </x:c>
      <x:c r="R1185" s="66" t="n">
        <x:v>123440.07377266581</x:v>
      </x:c>
      <x:c r="S1185" s="66" t="n">
        <x:v>352087.35608317994</x:v>
      </x:c>
      <x:c r="T1185" s="66" t="n">
        <x:v>261972.72669580142</x:v>
      </x:c>
      <x:c r="U1185" s="45" t="n">
        <x:v>0.6063630233670172</x:v>
      </x:c>
      <x:c r="V1185" s="45" t="n">
        <x:v>0.6351482133211958</x:v>
      </x:c>
      <x:c r="W1185" s="45" t="n">
        <x:v>0.1213161280130906</x:v>
      </x:c>
      <x:c r="X1185" s="66" t="n">
        <x:v>63791782.6885397</x:v>
      </x:c>
      <x:c r="Y1185" s="66" t="n">
        <x:v>117.58488153139034</x:v>
      </x:c>
      <x:c r="Z1185" s="66" t="n">
        <x:v>5030031.254585282</x:v>
      </x:c>
      <x:c r="AA1185" s="66" t="n">
        <x:v>348832.05085866083</x:v>
      </x:c>
      <x:c r="AB1185" s="66" t="n">
        <x:v>42410.0511302268</x:v>
      </x:c>
      <x:c r="AC1185" s="66" t="n">
        <x:v>0</x:v>
      </x:c>
      <x:c r="AD1185" s="66" t="n">
        <x:v>2320.0576713641703</x:v>
      </x:c>
      <x:c r="AE1185" s="66" t="n">
        <x:v>205669.10701080036</x:v>
      </x:c>
      <x:c r="AF1185" s="66" t="n">
        <x:v>261972.72669580154</x:v>
      </x:c>
      <x:c r="AG1185" s="66" t="n">
        <x:v>0</x:v>
      </x:c>
      <x:c r="AH1185" s="36" t="n">
        <x:v>0</x:v>
      </x:c>
    </x:row>
    <x:row r="1186" ht="15" hidden="0" customHeight="1">
      <x:c r="A1186" s="34" t="n">
        <x:v>296</x:v>
      </x:c>
      <x:c r="B1186" s="34" t="str">
        <x:v>B1</x:v>
      </x:c>
      <x:c r="C1186" s="34" t="str">
        <x:v>reference</x:v>
      </x:c>
      <x:c r="D1186" s="74" t="n">
        <x:v>1.1277769511815119</x:v>
      </x:c>
      <x:c r="E1186" s="74" t="n">
        <x:v>0.04097347964250012</x:v>
      </x:c>
      <x:c r="F1186" s="74" t="n">
        <x:v>0.8579828310654485</x:v>
      </x:c>
      <x:c r="G1186" s="74" t="n">
        <x:v>1.234784753721641</x:v>
      </x:c>
      <x:c r="H1186" s="74" t="n">
        <x:v>0.830241222538592</x:v>
      </x:c>
      <x:c r="I1186" s="74" t="n">
        <x:v>0.8877949584017722</x:v>
      </x:c>
      <x:c r="J1186" s="74" t="n">
        <x:v>0.8594591272901219</x:v>
      </x:c>
      <x:c r="K1186" s="74" t="n">
        <x:v>0.8772388066402199</x:v>
      </x:c>
      <x:c r="L1186" s="74" t="n">
        <x:v>0.9499035484699625</x:v>
      </x:c>
      <x:c r="M1186" s="74" t="n">
        <x:v>0.8341008105104876</x:v>
      </x:c>
      <x:c r="N1186" s="74" t="n">
        <x:v>0.9774933973090469</x:v>
      </x:c>
      <x:c r="O1186" s="65" t="n">
        <x:v>542516.876810476</x:v>
      </x:c>
      <x:c r="P1186" s="65" t="n">
        <x:v>226603.89906655188</x:v>
      </x:c>
      <x:c r="Q1186" s="65" t="n">
        <x:v>315912.97774392413</x:v>
      </x:c>
      <x:c r="R1186" s="65" t="n">
        <x:v>123440.07377266581</x:v>
      </x:c>
      <x:c r="S1186" s="65" t="n">
        <x:v>192472.90397125832</x:v>
      </x:c>
      <x:c r="T1186" s="65" t="n">
        <x:v>193813.56089500696</x:v>
      </x:c>
      <x:c r="U1186" s="43" t="n">
        <x:v>0.7749389520068855</x:v>
      </x:c>
      <x:c r="V1186" s="43" t="n">
        <x:v>0.8080398708190246</x:v>
      </x:c>
      <x:c r="W1186" s="43" t="n">
        <x:v>0.4418338954691038</x:v>
      </x:c>
      <x:c r="X1186" s="65" t="n">
        <x:v>42803406.95448142</x:v>
      </x:c>
      <x:c r="Y1186" s="65" t="n">
        <x:v>78.89783485838812</x:v>
      </x:c>
      <x:c r="Z1186" s="65" t="n">
        <x:v>1672311.9276672741</x:v>
      </x:c>
      <x:c r="AA1186" s="65" t="n">
        <x:v>233707.80013173982</x:v>
      </x:c>
      <x:c r="AB1186" s="65" t="n">
        <x:v>5733.352032582682</x:v>
      </x:c>
      <x:c r="AC1186" s="65" t="n">
        <x:v>520.6055763426075</x:v>
      </x:c>
      <x:c r="AD1186" s="65" t="n">
        <x:v>1926.8641785052546</x:v>
      </x:c>
      <x:c r="AE1186" s="65" t="n">
        <x:v>135050.60790169844</x:v>
      </x:c>
      <x:c r="AF1186" s="65" t="n">
        <x:v>193813.560895007</x:v>
      </x:c>
      <x:c r="AG1186" s="65" t="n">
        <x:v>0</x:v>
      </x:c>
      <x:c r="AH1186" s="34" t="n">
        <x:v>0</x:v>
      </x:c>
    </x:row>
    <x:row r="1187" ht="15" hidden="0" customHeight="1">
      <x:c r="A1187" s="36" t="n">
        <x:v>296</x:v>
      </x:c>
      <x:c r="B1187" s="36" t="str">
        <x:v>P2</x:v>
      </x:c>
      <x:c r="C1187" s="36" t="str">
        <x:v>reference</x:v>
      </x:c>
      <x:c r="D1187" s="75" t="n">
        <x:v>1.1277769511815119</x:v>
      </x:c>
      <x:c r="E1187" s="75" t="n">
        <x:v>0.04097347964250012</x:v>
      </x:c>
      <x:c r="F1187" s="75" t="n">
        <x:v>0.8579828310654485</x:v>
      </x:c>
      <x:c r="G1187" s="75" t="n">
        <x:v>1.234784753721641</x:v>
      </x:c>
      <x:c r="H1187" s="75" t="n">
        <x:v>0.830241222538592</x:v>
      </x:c>
      <x:c r="I1187" s="75" t="n">
        <x:v>0.8877949584017722</x:v>
      </x:c>
      <x:c r="J1187" s="75" t="n">
        <x:v>0.8594591272901219</x:v>
      </x:c>
      <x:c r="K1187" s="75" t="n">
        <x:v>0.8772388066402199</x:v>
      </x:c>
      <x:c r="L1187" s="75" t="n">
        <x:v>0.9499035484699625</x:v>
      </x:c>
      <x:c r="M1187" s="75" t="n">
        <x:v>0.8341008105104876</x:v>
      </x:c>
      <x:c r="N1187" s="75" t="n">
        <x:v>0.9774933973090469</x:v>
      </x:c>
      <x:c r="O1187" s="66" t="n">
        <x:v>542516.876810476</x:v>
      </x:c>
      <x:c r="P1187" s="66" t="n">
        <x:v>328279.8024451655</x:v>
      </x:c>
      <x:c r="Q1187" s="66" t="n">
        <x:v>214237.07436531057</x:v>
      </x:c>
      <x:c r="R1187" s="66" t="n">
        <x:v>123440.07377266581</x:v>
      </x:c>
      <x:c r="S1187" s="66" t="n">
        <x:v>90797.00059264473</x:v>
      </x:c>
      <x:c r="T1187" s="66" t="n">
        <x:v>128513.96893630421</x:v>
      </x:c>
      <x:c r="U1187" s="45" t="n">
        <x:v>0.8419899747027538</x:v>
      </x:c>
      <x:c r="V1187" s="45" t="n">
        <x:v>0.866833472035673</x:v>
      </x:c>
      <x:c r="W1187" s="45" t="n">
        <x:v>0.5523720966154737</x:v>
      </x:c>
      <x:c r="X1187" s="66" t="n">
        <x:v>28280129.01065319</x:v>
      </x:c>
      <x:c r="Y1187" s="66" t="n">
        <x:v>52.12764840960447</x:v>
      </x:c>
      <x:c r="Z1187" s="66" t="n">
        <x:v>804260.4484872605</x:v>
      </x:c>
      <x:c r="AA1187" s="66" t="n">
        <x:v>161718.87316668488</x:v>
      </x:c>
      <x:c r="AB1187" s="66" t="n">
        <x:v>17.665133739729242</x:v>
      </x:c>
      <x:c r="AC1187" s="66" t="n">
        <x:v>2542.4723305659127</x:v>
      </x:c>
      <x:c r="AD1187" s="66" t="n">
        <x:v>1689.2843596098623</x:v>
      </x:c>
      <x:c r="AE1187" s="66" t="n">
        <x:v>69878.64377669929</x:v>
      </x:c>
      <x:c r="AF1187" s="66" t="n">
        <x:v>128513.96893630418</x:v>
      </x:c>
      <x:c r="AG1187" s="66" t="n">
        <x:v>2.9103830456733704e-11</x:v>
      </x:c>
      <x:c r="AH1187" s="36" t="n">
        <x:v>0</x:v>
      </x:c>
    </x:row>
    <x:row r="1188" ht="15" hidden="0" customHeight="1">
      <x:c r="A1188" s="34" t="n">
        <x:v>296</x:v>
      </x:c>
      <x:c r="B1188" s="34" t="str">
        <x:v>H3</x:v>
      </x:c>
      <x:c r="C1188" s="34" t="str">
        <x:v>reference</x:v>
      </x:c>
      <x:c r="D1188" s="74" t="n">
        <x:v>1.1277769511815119</x:v>
      </x:c>
      <x:c r="E1188" s="74" t="n">
        <x:v>0.04097347964250012</x:v>
      </x:c>
      <x:c r="F1188" s="74" t="n">
        <x:v>0.8579828310654485</x:v>
      </x:c>
      <x:c r="G1188" s="74" t="n">
        <x:v>1.234784753721641</x:v>
      </x:c>
      <x:c r="H1188" s="74" t="n">
        <x:v>0.830241222538592</x:v>
      </x:c>
      <x:c r="I1188" s="74" t="n">
        <x:v>0.8877949584017722</x:v>
      </x:c>
      <x:c r="J1188" s="74" t="n">
        <x:v>0.8594591272901219</x:v>
      </x:c>
      <x:c r="K1188" s="74" t="n">
        <x:v>0.8772388066402199</x:v>
      </x:c>
      <x:c r="L1188" s="74" t="n">
        <x:v>0.9499035484699625</x:v>
      </x:c>
      <x:c r="M1188" s="74" t="n">
        <x:v>0.8341008105104876</x:v>
      </x:c>
      <x:c r="N1188" s="74" t="n">
        <x:v>0.9774933973090469</x:v>
      </x:c>
      <x:c r="O1188" s="65" t="n">
        <x:v>542516.876810476</x:v>
      </x:c>
      <x:c r="P1188" s="65" t="n">
        <x:v>340543.43153015774</x:v>
      </x:c>
      <x:c r="Q1188" s="65" t="n">
        <x:v>201973.44528031826</x:v>
      </x:c>
      <x:c r="R1188" s="65" t="n">
        <x:v>123440.07377266581</x:v>
      </x:c>
      <x:c r="S1188" s="65" t="n">
        <x:v>78533.37150765245</x:v>
      </x:c>
      <x:c r="T1188" s="65" t="n">
        <x:v>194669.2233379637</x:v>
      </x:c>
      <x:c r="U1188" s="43" t="n">
        <x:v>0.9865364152626976</x:v>
      </x:c>
      <x:c r="V1188" s="43" t="n">
        <x:v>0.991862031641597</x:v>
      </x:c>
      <x:c r="W1188" s="43" t="n">
        <x:v>0.8653641526269743</x:v>
      </x:c>
      <x:c r="X1188" s="65" t="n">
        <x:v>20923338.17257057</x:v>
      </x:c>
      <x:c r="Y1188" s="65" t="n">
        <x:v>38.567165496456944</x:v>
      </x:c>
      <x:c r="Z1188" s="65" t="n">
        <x:v>1372345.9173845113</x:v>
      </x:c>
      <x:c r="AA1188" s="65" t="n">
        <x:v>130844.23495021668</x:v>
      </x:c>
      <x:c r="AB1188" s="65" t="n">
        <x:v>3787.705587600342</x:v>
      </x:c>
      <x:c r="AC1188" s="65" t="n">
        <x:v>0</x:v>
      </x:c>
      <x:c r="AD1188" s="65" t="n">
        <x:v>1662.6144497062317</x:v>
      </x:c>
      <x:c r="AE1188" s="65" t="n">
        <x:v>75917.37720296237</x:v>
      </x:c>
      <x:c r="AF1188" s="65" t="n">
        <x:v>194669.22333796357</x:v>
      </x:c>
      <x:c r="AG1188" s="65" t="n">
        <x:v>1.1641532182693481e-10</x:v>
      </x:c>
      <x:c r="AH1188" s="34" t="n">
        <x:v>1</x:v>
      </x:c>
    </x:row>
    <x:row r="1189" ht="21.600000381469727" hidden="0" customHeight="1">
      <x:c r="A1189" s="36" t="n">
        <x:v>297</x:v>
      </x:c>
      <x:c r="B1189" s="36" t="str">
        <x:v>M0</x:v>
      </x:c>
      <x:c r="C1189" s="36" t="str">
        <x:v>slow</x:v>
      </x:c>
      <x:c r="D1189" s="75" t="n">
        <x:v>1.1406875886749812</x:v>
      </x:c>
      <x:c r="E1189" s="75" t="n">
        <x:v>-0.004896984874404951</x:v>
      </x:c>
      <x:c r="F1189" s="75" t="n">
        <x:v>0.9159416513685646</x:v>
      </x:c>
      <x:c r="G1189" s="75" t="n">
        <x:v>1.1117461837920894</x:v>
      </x:c>
      <x:c r="H1189" s="75" t="n">
        <x:v>0.99401065612221</x:v>
      </x:c>
      <x:c r="I1189" s="75" t="n">
        <x:v>0.7924465161605734</x:v>
      </x:c>
      <x:c r="J1189" s="75" t="n">
        <x:v>0.7209165704551085</x:v>
      </x:c>
      <x:c r="K1189" s="75" t="n">
        <x:v>0.7433831016751591</x:v>
      </x:c>
      <x:c r="L1189" s="75" t="n">
        <x:v>0.8230600127108172</x:v>
      </x:c>
      <x:c r="M1189" s="75" t="n">
        <x:v>1.0781965539781166</x:v>
      </x:c>
      <x:c r="N1189" s="75" t="n">
        <x:v>0.7721637814875855</x:v>
      </x:c>
      <x:c r="O1189" s="66" t="n">
        <x:v>548727.5363945819</x:v>
      </x:c>
      <x:c r="P1189" s="66" t="n">
        <x:v>76629.56305882883</x:v>
      </x:c>
      <x:c r="Q1189" s="66" t="n">
        <x:v>472097.97333575314</x:v>
      </x:c>
      <x:c r="R1189" s="66" t="n">
        <x:v>99682.81199828755</x:v>
      </x:c>
      <x:c r="S1189" s="66" t="n">
        <x:v>372415.1613374656</x:v>
      </x:c>
      <x:c r="T1189" s="66" t="n">
        <x:v>271010.9458760697</x:v>
      </x:c>
      <x:c r="U1189" s="45" t="n">
        <x:v>0.6335393904579182</x:v>
      </x:c>
      <x:c r="V1189" s="45" t="n">
        <x:v>0.6139370037757998</x:v>
      </x:c>
      <x:c r="W1189" s="45" t="n">
        <x:v>0.07424879803572478</x:v>
      </x:c>
      <x:c r="X1189" s="66" t="n">
        <x:v>62745483.74831178</x:v>
      </x:c>
      <x:c r="Y1189" s="66" t="n">
        <x:v>114.34724810892746</x:v>
      </x:c>
      <x:c r="Z1189" s="66" t="n">
        <x:v>4355361.224496024</x:v>
      </x:c>
      <x:c r="AA1189" s="66" t="n">
        <x:v>344834.0719850652</x:v>
      </x:c>
      <x:c r="AB1189" s="66" t="n">
        <x:v>34409.07471619622</x:v>
      </x:c>
      <x:c r="AC1189" s="66" t="n">
        <x:v>3764.6193079238888</x:v>
      </x:c>
      <x:c r="AD1189" s="66" t="n">
        <x:v>3007.150849896372</x:v>
      </x:c>
      <x:c r="AE1189" s="66" t="n">
        <x:v>204295.99515554233</x:v>
      </x:c>
      <x:c r="AF1189" s="66" t="n">
        <x:v>271010.94587606966</x:v>
      </x:c>
      <x:c r="AG1189" s="66" t="n">
        <x:v>5.820766091346741e-11</x:v>
      </x:c>
      <x:c r="AH1189" s="36" t="n">
        <x:v>0</x:v>
      </x:c>
    </x:row>
    <x:row r="1190" ht="21.600000381469727" hidden="0" customHeight="1">
      <x:c r="A1190" s="34" t="n">
        <x:v>297</x:v>
      </x:c>
      <x:c r="B1190" s="34" t="str">
        <x:v>B1</x:v>
      </x:c>
      <x:c r="C1190" s="34" t="str">
        <x:v>slow</x:v>
      </x:c>
      <x:c r="D1190" s="74" t="n">
        <x:v>1.1406875886749812</x:v>
      </x:c>
      <x:c r="E1190" s="74" t="n">
        <x:v>-0.004896984874404951</x:v>
      </x:c>
      <x:c r="F1190" s="74" t="n">
        <x:v>0.9159416513685646</x:v>
      </x:c>
      <x:c r="G1190" s="74" t="n">
        <x:v>1.1117461837920894</x:v>
      </x:c>
      <x:c r="H1190" s="74" t="n">
        <x:v>0.99401065612221</x:v>
      </x:c>
      <x:c r="I1190" s="74" t="n">
        <x:v>0.7924465161605734</x:v>
      </x:c>
      <x:c r="J1190" s="74" t="n">
        <x:v>0.7209165704551085</x:v>
      </x:c>
      <x:c r="K1190" s="74" t="n">
        <x:v>0.7433831016751591</x:v>
      </x:c>
      <x:c r="L1190" s="74" t="n">
        <x:v>0.8230600127108172</x:v>
      </x:c>
      <x:c r="M1190" s="74" t="n">
        <x:v>1.0781965539781166</x:v>
      </x:c>
      <x:c r="N1190" s="74" t="n">
        <x:v>0.7721637814875855</x:v>
      </x:c>
      <x:c r="O1190" s="65" t="n">
        <x:v>548727.5363945819</x:v>
      </x:c>
      <x:c r="P1190" s="65" t="n">
        <x:v>259211.70117454417</x:v>
      </x:c>
      <x:c r="Q1190" s="65" t="n">
        <x:v>289515.8352200378</x:v>
      </x:c>
      <x:c r="R1190" s="65" t="n">
        <x:v>99682.81199828755</x:v>
      </x:c>
      <x:c r="S1190" s="65" t="n">
        <x:v>189833.02322175022</x:v>
      </x:c>
      <x:c r="T1190" s="65" t="n">
        <x:v>170953.32309881801</x:v>
      </x:c>
      <x:c r="U1190" s="43" t="n">
        <x:v>0.7839319074449306</x:v>
      </x:c>
      <x:c r="V1190" s="43" t="n">
        <x:v>0.7745479963045193</x:v>
      </x:c>
      <x:c r="W1190" s="43" t="n">
        <x:v>0.25770849277020685</x:v>
      </x:c>
      <x:c r="X1190" s="65" t="n">
        <x:v>39199893.21711142</x:v>
      </x:c>
      <x:c r="Y1190" s="65" t="n">
        <x:v>71.43780950865815</x:v>
      </x:c>
      <x:c r="Z1190" s="65" t="n">
        <x:v>1833701.537393206</x:v>
      </x:c>
      <x:c r="AA1190" s="65" t="n">
        <x:v>204201.23311614612</x:v>
      </x:c>
      <x:c r="AB1190" s="65" t="n">
        <x:v>8228.619087957833</x:v>
      </x:c>
      <x:c r="AC1190" s="65" t="n">
        <x:v>8489.651023341541</x:v>
      </x:c>
      <x:c r="AD1190" s="65" t="n">
        <x:v>2394.2818092412963</x:v>
      </x:c>
      <x:c r="AE1190" s="65" t="n">
        <x:v>87559.63469815878</x:v>
      </x:c>
      <x:c r="AF1190" s="65" t="n">
        <x:v>170953.32309881804</x:v>
      </x:c>
      <x:c r="AG1190" s="65" t="n">
        <x:v>0</x:v>
      </x:c>
      <x:c r="AH1190" s="34" t="n">
        <x:v>0</x:v>
      </x:c>
    </x:row>
    <x:row r="1191" ht="21.600000381469727" hidden="0" customHeight="1">
      <x:c r="A1191" s="36" t="n">
        <x:v>297</x:v>
      </x:c>
      <x:c r="B1191" s="36" t="str">
        <x:v>P2</x:v>
      </x:c>
      <x:c r="C1191" s="36" t="str">
        <x:v>slow</x:v>
      </x:c>
      <x:c r="D1191" s="75" t="n">
        <x:v>1.1406875886749812</x:v>
      </x:c>
      <x:c r="E1191" s="75" t="n">
        <x:v>-0.004896984874404951</x:v>
      </x:c>
      <x:c r="F1191" s="75" t="n">
        <x:v>0.9159416513685646</x:v>
      </x:c>
      <x:c r="G1191" s="75" t="n">
        <x:v>1.1117461837920894</x:v>
      </x:c>
      <x:c r="H1191" s="75" t="n">
        <x:v>0.99401065612221</x:v>
      </x:c>
      <x:c r="I1191" s="75" t="n">
        <x:v>0.7924465161605734</x:v>
      </x:c>
      <x:c r="J1191" s="75" t="n">
        <x:v>0.7209165704551085</x:v>
      </x:c>
      <x:c r="K1191" s="75" t="n">
        <x:v>0.7433831016751591</x:v>
      </x:c>
      <x:c r="L1191" s="75" t="n">
        <x:v>0.8230600127108172</x:v>
      </x:c>
      <x:c r="M1191" s="75" t="n">
        <x:v>1.0781965539781166</x:v>
      </x:c>
      <x:c r="N1191" s="75" t="n">
        <x:v>0.7721637814875855</x:v>
      </x:c>
      <x:c r="O1191" s="66" t="n">
        <x:v>548727.5363945819</x:v>
      </x:c>
      <x:c r="P1191" s="66" t="n">
        <x:v>375517.21230983094</x:v>
      </x:c>
      <x:c r="Q1191" s="66" t="n">
        <x:v>173210.32408475105</x:v>
      </x:c>
      <x:c r="R1191" s="66" t="n">
        <x:v>99682.81199828755</x:v>
      </x:c>
      <x:c r="S1191" s="66" t="n">
        <x:v>73527.51208646348</x:v>
      </x:c>
      <x:c r="T1191" s="66" t="n">
        <x:v>89011.1465348547</x:v>
      </x:c>
      <x:c r="U1191" s="45" t="n">
        <x:v>0.8465555818409851</x:v>
      </x:c>
      <x:c r="V1191" s="45" t="n">
        <x:v>0.8413460007324367</x:v>
      </x:c>
      <x:c r="W1191" s="45" t="n">
        <x:v>0.378683934894853</x:v>
      </x:c>
      <x:c r="X1191" s="66" t="n">
        <x:v>22754860.596142236</x:v>
      </x:c>
      <x:c r="Y1191" s="66" t="n">
        <x:v>41.468413897456664</x:v>
      </x:c>
      <x:c r="Z1191" s="66" t="n">
        <x:v>667382.6985389958</x:v>
      </x:c>
      <x:c r="AA1191" s="66" t="n">
        <x:v>119372.12242294487</x:v>
      </x:c>
      <x:c r="AB1191" s="66" t="n">
        <x:v>886.4191637656536</x:v>
      </x:c>
      <x:c r="AC1191" s="66" t="n">
        <x:v>2777.900813432442</x:v>
      </x:c>
      <x:c r="AD1191" s="66" t="n">
        <x:v>2022.459579277563</x:v>
      </x:c>
      <x:c r="AE1191" s="66" t="n">
        <x:v>16736.61658761672</x:v>
      </x:c>
      <x:c r="AF1191" s="66" t="n">
        <x:v>89011.1465348547</x:v>
      </x:c>
      <x:c r="AG1191" s="66" t="n">
        <x:v>0</x:v>
      </x:c>
      <x:c r="AH1191" s="36" t="n">
        <x:v>0</x:v>
      </x:c>
    </x:row>
    <x:row r="1192" ht="21.600000381469727" hidden="0" customHeight="1">
      <x:c r="A1192" s="34" t="n">
        <x:v>297</x:v>
      </x:c>
      <x:c r="B1192" s="34" t="str">
        <x:v>H3</x:v>
      </x:c>
      <x:c r="C1192" s="34" t="str">
        <x:v>slow</x:v>
      </x:c>
      <x:c r="D1192" s="74" t="n">
        <x:v>1.1406875886749812</x:v>
      </x:c>
      <x:c r="E1192" s="74" t="n">
        <x:v>-0.004896984874404951</x:v>
      </x:c>
      <x:c r="F1192" s="74" t="n">
        <x:v>0.9159416513685646</x:v>
      </x:c>
      <x:c r="G1192" s="74" t="n">
        <x:v>1.1117461837920894</x:v>
      </x:c>
      <x:c r="H1192" s="74" t="n">
        <x:v>0.99401065612221</x:v>
      </x:c>
      <x:c r="I1192" s="74" t="n">
        <x:v>0.7924465161605734</x:v>
      </x:c>
      <x:c r="J1192" s="74" t="n">
        <x:v>0.7209165704551085</x:v>
      </x:c>
      <x:c r="K1192" s="74" t="n">
        <x:v>0.7433831016751591</x:v>
      </x:c>
      <x:c r="L1192" s="74" t="n">
        <x:v>0.8230600127108172</x:v>
      </x:c>
      <x:c r="M1192" s="74" t="n">
        <x:v>1.0781965539781166</x:v>
      </x:c>
      <x:c r="N1192" s="74" t="n">
        <x:v>0.7721637814875855</x:v>
      </x:c>
      <x:c r="O1192" s="65" t="n">
        <x:v>548727.5363945819</x:v>
      </x:c>
      <x:c r="P1192" s="65" t="n">
        <x:v>389545.2323683518</x:v>
      </x:c>
      <x:c r="Q1192" s="65" t="n">
        <x:v>159182.30402623018</x:v>
      </x:c>
      <x:c r="R1192" s="65" t="n">
        <x:v>99682.81199828755</x:v>
      </x:c>
      <x:c r="S1192" s="65" t="n">
        <x:v>59499.49202794264</x:v>
      </x:c>
      <x:c r="T1192" s="65" t="n">
        <x:v>79133.3235468028</x:v>
      </x:c>
      <x:c r="U1192" s="43" t="n">
        <x:v>0.8541188929475098</x:v>
      </x:c>
      <x:c r="V1192" s="43" t="n">
        <x:v>0.8495662549502739</x:v>
      </x:c>
      <x:c r="W1192" s="43" t="n">
        <x:v>0.39390861408169564</x:v>
      </x:c>
      <x:c r="X1192" s="65" t="n">
        <x:v>20050957.664859515</x:v>
      </x:c>
      <x:c r="Y1192" s="65" t="n">
        <x:v>36.54082643018878</x:v>
      </x:c>
      <x:c r="Z1192" s="65" t="n">
        <x:v>578569.5316233842</x:v>
      </x:c>
      <x:c r="AA1192" s="65" t="n">
        <x:v>110598.12140076022</x:v>
      </x:c>
      <x:c r="AB1192" s="65" t="n">
        <x:v>2868.389921457725</x:v>
      </x:c>
      <x:c r="AC1192" s="65" t="n">
        <x:v>1584.1424961854254</x:v>
      </x:c>
      <x:c r="AD1192" s="65" t="n">
        <x:v>1980.4751873826842</x:v>
      </x:c>
      <x:c r="AE1192" s="65" t="n">
        <x:v>0</x:v>
      </x:c>
      <x:c r="AF1192" s="65" t="n">
        <x:v>79133.32354680283</x:v>
      </x:c>
      <x:c r="AG1192" s="65" t="n">
        <x:v>0</x:v>
      </x:c>
      <x:c r="AH1192" s="34" t="n">
        <x:v>0</x:v>
      </x:c>
    </x:row>
    <x:row r="1193" ht="21.600000381469727" hidden="0" customHeight="1">
      <x:c r="A1193" s="36" t="n">
        <x:v>298</x:v>
      </x:c>
      <x:c r="B1193" s="36" t="str">
        <x:v>M0</x:v>
      </x:c>
      <x:c r="C1193" s="36" t="str">
        <x:v>slow</x:v>
      </x:c>
      <x:c r="D1193" s="75" t="n">
        <x:v>0.9477808817219444</x:v>
      </x:c>
      <x:c r="E1193" s="75" t="n">
        <x:v>-0.014106992660250263</x:v>
      </x:c>
      <x:c r="F1193" s="75" t="n">
        <x:v>0.8443444919251801</x:v>
      </x:c>
      <x:c r="G1193" s="75" t="n">
        <x:v>1.1927355670794384</x:v>
      </x:c>
      <x:c r="H1193" s="75" t="n">
        <x:v>0.7992695755237104</x:v>
      </x:c>
      <x:c r="I1193" s="75" t="n">
        <x:v>0.9916736804425593</x:v>
      </x:c>
      <x:c r="J1193" s="75" t="n">
        <x:v>0.9922510680282897</x:v>
      </x:c>
      <x:c r="K1193" s="75" t="n">
        <x:v>0.7487157347044904</x:v>
      </x:c>
      <x:c r="L1193" s="75" t="n">
        <x:v>0.9826010533139875</x:v>
      </x:c>
      <x:c r="M1193" s="75" t="n">
        <x:v>0.9608306495844063</x:v>
      </x:c>
      <x:c r="N1193" s="75" t="n">
        <x:v>0.8248251597043954</x:v>
      </x:c>
      <x:c r="O1193" s="66" t="n">
        <x:v>455929.803596165</x:v>
      </x:c>
      <x:c r="P1193" s="66" t="n">
        <x:v>59354.11239817548</x:v>
      </x:c>
      <x:c r="Q1193" s="66" t="n">
        <x:v>396575.6911979895</x:v>
      </x:c>
      <x:c r="R1193" s="66" t="n">
        <x:v>78625.89515896284</x:v>
      </x:c>
      <x:c r="S1193" s="66" t="n">
        <x:v>317949.7960390267</x:v>
      </x:c>
      <x:c r="T1193" s="66" t="n">
        <x:v>253551.17421736894</x:v>
      </x:c>
      <x:c r="U1193" s="45" t="n">
        <x:v>0.6863014528716727</x:v>
      </x:c>
      <x:c r="V1193" s="45" t="n">
        <x:v>0.6704985880734674</x:v>
      </x:c>
      <x:c r="W1193" s="45" t="n">
        <x:v>0.06983069224855536</x:v>
      </x:c>
      <x:c r="X1193" s="66" t="n">
        <x:v>49298301.94437995</x:v>
      </x:c>
      <x:c r="Y1193" s="66" t="n">
        <x:v>108.12695628918657</x:v>
      </x:c>
      <x:c r="Z1193" s="66" t="n">
        <x:v>2208976.891204417</x:v>
      </x:c>
      <x:c r="AA1193" s="66" t="n">
        <x:v>277857.3348243026</x:v>
      </x:c>
      <x:c r="AB1193" s="66" t="n">
        <x:v>11901.465243142477</x:v>
      </x:c>
      <x:c r="AC1193" s="66" t="n">
        <x:v>0</x:v>
      </x:c>
      <x:c r="AD1193" s="66" t="n">
        <x:v>2511.929798393086</x:v>
      </x:c>
      <x:c r="AE1193" s="66" t="n">
        <x:v>206041.24501839577</x:v>
      </x:c>
      <x:c r="AF1193" s="66" t="n">
        <x:v>253551.17421736888</x:v>
      </x:c>
      <x:c r="AG1193" s="66" t="n">
        <x:v>5.820766091346741e-11</x:v>
      </x:c>
      <x:c r="AH1193" s="36" t="n">
        <x:v>0</x:v>
      </x:c>
    </x:row>
    <x:row r="1194" ht="21.600000381469727" hidden="0" customHeight="1">
      <x:c r="A1194" s="34" t="n">
        <x:v>298</x:v>
      </x:c>
      <x:c r="B1194" s="34" t="str">
        <x:v>B1</x:v>
      </x:c>
      <x:c r="C1194" s="34" t="str">
        <x:v>slow</x:v>
      </x:c>
      <x:c r="D1194" s="74" t="n">
        <x:v>0.9477808817219444</x:v>
      </x:c>
      <x:c r="E1194" s="74" t="n">
        <x:v>-0.014106992660250263</x:v>
      </x:c>
      <x:c r="F1194" s="74" t="n">
        <x:v>0.8443444919251801</x:v>
      </x:c>
      <x:c r="G1194" s="74" t="n">
        <x:v>1.1927355670794384</x:v>
      </x:c>
      <x:c r="H1194" s="74" t="n">
        <x:v>0.7992695755237104</x:v>
      </x:c>
      <x:c r="I1194" s="74" t="n">
        <x:v>0.9916736804425593</x:v>
      </x:c>
      <x:c r="J1194" s="74" t="n">
        <x:v>0.9922510680282897</x:v>
      </x:c>
      <x:c r="K1194" s="74" t="n">
        <x:v>0.7487157347044904</x:v>
      </x:c>
      <x:c r="L1194" s="74" t="n">
        <x:v>0.9826010533139875</x:v>
      </x:c>
      <x:c r="M1194" s="74" t="n">
        <x:v>0.9608306495844063</x:v>
      </x:c>
      <x:c r="N1194" s="74" t="n">
        <x:v>0.8248251597043954</x:v>
      </x:c>
      <x:c r="O1194" s="65" t="n">
        <x:v>455929.803596165</x:v>
      </x:c>
      <x:c r="P1194" s="65" t="n">
        <x:v>200774.50122292913</x:v>
      </x:c>
      <x:c r="Q1194" s="65" t="n">
        <x:v>255155.30237323587</x:v>
      </x:c>
      <x:c r="R1194" s="65" t="n">
        <x:v>78625.89515896284</x:v>
      </x:c>
      <x:c r="S1194" s="65" t="n">
        <x:v>176529.407214273</x:v>
      </x:c>
      <x:c r="T1194" s="65" t="n">
        <x:v>152470.019587656</x:v>
      </x:c>
      <x:c r="U1194" s="43" t="n">
        <x:v>0.7747783058364567</x:v>
      </x:c>
      <x:c r="V1194" s="43" t="n">
        <x:v>0.7649563171833905</x:v>
      </x:c>
      <x:c r="W1194" s="43" t="n">
        <x:v>0.24237378819003427</x:v>
      </x:c>
      <x:c r="X1194" s="65" t="n">
        <x:v>33252334.259100884</x:v>
      </x:c>
      <x:c r="Y1194" s="65" t="n">
        <x:v>72.93301292616043</x:v>
      </x:c>
      <x:c r="Z1194" s="65" t="n">
        <x:v>976537.7602473203</x:v>
      </x:c>
      <x:c r="AA1194" s="65" t="n">
        <x:v>178888.12171715184</x:v>
      </x:c>
      <x:c r="AB1194" s="65" t="n">
        <x:v>1411.2456340706299</x:v>
      </x:c>
      <x:c r="AC1194" s="65" t="n">
        <x:v>0</x:v>
      </x:c>
      <x:c r="AD1194" s="65" t="n">
        <x:v>2033.006647692329</x:v>
      </x:c>
      <x:c r="AE1194" s="65" t="n">
        <x:v>81205.12578919614</x:v>
      </x:c>
      <x:c r="AF1194" s="65" t="n">
        <x:v>152470.0195876561</x:v>
      </x:c>
      <x:c r="AG1194" s="65" t="n">
        <x:v>0</x:v>
      </x:c>
      <x:c r="AH1194" s="34" t="n">
        <x:v>0</x:v>
      </x:c>
    </x:row>
    <x:row r="1195" ht="21.600000381469727" hidden="0" customHeight="1">
      <x:c r="A1195" s="36" t="n">
        <x:v>298</x:v>
      </x:c>
      <x:c r="B1195" s="36" t="str">
        <x:v>P2</x:v>
      </x:c>
      <x:c r="C1195" s="36" t="str">
        <x:v>slow</x:v>
      </x:c>
      <x:c r="D1195" s="75" t="n">
        <x:v>0.9477808817219444</x:v>
      </x:c>
      <x:c r="E1195" s="75" t="n">
        <x:v>-0.014106992660250263</x:v>
      </x:c>
      <x:c r="F1195" s="75" t="n">
        <x:v>0.8443444919251801</x:v>
      </x:c>
      <x:c r="G1195" s="75" t="n">
        <x:v>1.1927355670794384</x:v>
      </x:c>
      <x:c r="H1195" s="75" t="n">
        <x:v>0.7992695755237104</x:v>
      </x:c>
      <x:c r="I1195" s="75" t="n">
        <x:v>0.9916736804425593</x:v>
      </x:c>
      <x:c r="J1195" s="75" t="n">
        <x:v>0.9922510680282897</x:v>
      </x:c>
      <x:c r="K1195" s="75" t="n">
        <x:v>0.7487157347044904</x:v>
      </x:c>
      <x:c r="L1195" s="75" t="n">
        <x:v>0.9826010533139875</x:v>
      </x:c>
      <x:c r="M1195" s="75" t="n">
        <x:v>0.9608306495844063</x:v>
      </x:c>
      <x:c r="N1195" s="75" t="n">
        <x:v>0.8248251597043954</x:v>
      </x:c>
      <x:c r="O1195" s="66" t="n">
        <x:v>455929.803596165</x:v>
      </x:c>
      <x:c r="P1195" s="66" t="n">
        <x:v>290859.6740889613</x:v>
      </x:c>
      <x:c r="Q1195" s="66" t="n">
        <x:v>165070.12950720364</x:v>
      </x:c>
      <x:c r="R1195" s="66" t="n">
        <x:v>78625.89515896284</x:v>
      </x:c>
      <x:c r="S1195" s="66" t="n">
        <x:v>86444.2343482408</x:v>
      </x:c>
      <x:c r="T1195" s="66" t="n">
        <x:v>89061.51249193068</x:v>
      </x:c>
      <x:c r="U1195" s="45" t="n">
        <x:v>0.833288772930061</x:v>
      </x:c>
      <x:c r="V1195" s="45" t="n">
        <x:v>0.827358528708491</x:v>
      </x:c>
      <x:c r="W1195" s="45" t="n">
        <x:v>0.3561506989566493</x:v>
      </x:c>
      <x:c r="X1195" s="66" t="n">
        <x:v>21168725.965358168</x:v>
      </x:c>
      <x:c r="Y1195" s="66" t="n">
        <x:v>46.42979203901341</x:v>
      </x:c>
      <x:c r="Z1195" s="66" t="n">
        <x:v>564101.0380489825</x:v>
      </x:c>
      <x:c r="AA1195" s="66" t="n">
        <x:v>117401.15103159734</x:v>
      </x:c>
      <x:c r="AB1195" s="66" t="n">
        <x:v>0</x:v>
      </x:c>
      <x:c r="AC1195" s="66" t="n">
        <x:v>0</x:v>
      </x:c>
      <x:c r="AD1195" s="66" t="n">
        <x:v>1742.4482052484514</x:v>
      </x:c>
      <x:c r="AE1195" s="66" t="n">
        <x:v>24725.15003498779</x:v>
      </x:c>
      <x:c r="AF1195" s="66" t="n">
        <x:v>89061.5124919307</x:v>
      </x:c>
      <x:c r="AG1195" s="66" t="n">
        <x:v>0</x:v>
      </x:c>
      <x:c r="AH1195" s="36" t="n">
        <x:v>0</x:v>
      </x:c>
    </x:row>
    <x:row r="1196" ht="21.600000381469727" hidden="0" customHeight="1">
      <x:c r="A1196" s="34" t="n">
        <x:v>298</x:v>
      </x:c>
      <x:c r="B1196" s="34" t="str">
        <x:v>H3</x:v>
      </x:c>
      <x:c r="C1196" s="34" t="str">
        <x:v>slow</x:v>
      </x:c>
      <x:c r="D1196" s="74" t="n">
        <x:v>0.9477808817219444</x:v>
      </x:c>
      <x:c r="E1196" s="74" t="n">
        <x:v>-0.014106992660250263</x:v>
      </x:c>
      <x:c r="F1196" s="74" t="n">
        <x:v>0.8443444919251801</x:v>
      </x:c>
      <x:c r="G1196" s="74" t="n">
        <x:v>1.1927355670794384</x:v>
      </x:c>
      <x:c r="H1196" s="74" t="n">
        <x:v>0.7992695755237104</x:v>
      </x:c>
      <x:c r="I1196" s="74" t="n">
        <x:v>0.9916736804425593</x:v>
      </x:c>
      <x:c r="J1196" s="74" t="n">
        <x:v>0.9922510680282897</x:v>
      </x:c>
      <x:c r="K1196" s="74" t="n">
        <x:v>0.7487157347044904</x:v>
      </x:c>
      <x:c r="L1196" s="74" t="n">
        <x:v>0.9826010533139875</x:v>
      </x:c>
      <x:c r="M1196" s="74" t="n">
        <x:v>0.9608306495844063</x:v>
      </x:c>
      <x:c r="N1196" s="74" t="n">
        <x:v>0.8248251597043954</x:v>
      </x:c>
      <x:c r="O1196" s="65" t="n">
        <x:v>455929.803596165</x:v>
      </x:c>
      <x:c r="P1196" s="65" t="n">
        <x:v>301725.1432878801</x:v>
      </x:c>
      <x:c r="Q1196" s="65" t="n">
        <x:v>154204.66030828486</x:v>
      </x:c>
      <x:c r="R1196" s="65" t="n">
        <x:v>78625.89515896284</x:v>
      </x:c>
      <x:c r="S1196" s="65" t="n">
        <x:v>75578.76514932203</x:v>
      </x:c>
      <x:c r="T1196" s="65" t="n">
        <x:v>81417.862809019</x:v>
      </x:c>
      <x:c r="U1196" s="43" t="n">
        <x:v>0.8403552544160154</x:v>
      </x:c>
      <x:c r="V1196" s="43" t="n">
        <x:v>0.8350376742489856</x:v>
      </x:c>
      <x:c r="W1196" s="43" t="n">
        <x:v>0.3704694477445803</x:v>
      </x:c>
      <x:c r="X1196" s="65" t="n">
        <x:v>18678571.223970048</x:v>
      </x:c>
      <x:c r="Y1196" s="65" t="n">
        <x:v>40.96808560581487</x:v>
      </x:c>
      <x:c r="Z1196" s="65" t="n">
        <x:v>538314.1875986857</x:v>
      </x:c>
      <x:c r="AA1196" s="65" t="n">
        <x:v>102541.28684722791</x:v>
      </x:c>
      <x:c r="AB1196" s="65" t="n">
        <x:v>644.5529740971265</x:v>
      </x:c>
      <x:c r="AC1196" s="65" t="n">
        <x:v>0</x:v>
      </x:c>
      <x:c r="AD1196" s="65" t="n">
        <x:v>1709.6397324545594</x:v>
      </x:c>
      <x:c r="AE1196" s="65" t="n">
        <x:v>12281.626901276439</x:v>
      </x:c>
      <x:c r="AF1196" s="65" t="n">
        <x:v>81417.86280901905</x:v>
      </x:c>
      <x:c r="AG1196" s="65" t="n">
        <x:v>0</x:v>
      </x:c>
      <x:c r="AH1196" s="34" t="n">
        <x:v>0</x:v>
      </x:c>
    </x:row>
    <x:row r="1197" ht="15" hidden="0" customHeight="1">
      <x:c r="A1197" s="36" t="n">
        <x:v>299</x:v>
      </x:c>
      <x:c r="B1197" s="36" t="str">
        <x:v>M0</x:v>
      </x:c>
      <x:c r="C1197" s="36" t="str">
        <x:v>reference</x:v>
      </x:c>
      <x:c r="D1197" s="75" t="n">
        <x:v>0.9777230693412267</x:v>
      </x:c>
      <x:c r="E1197" s="75" t="n">
        <x:v>0.033714149959493615</x:v>
      </x:c>
      <x:c r="F1197" s="75" t="n">
        <x:v>0.7222858030112406</x:v>
      </x:c>
      <x:c r="G1197" s="75" t="n">
        <x:v>1.2600857891891064</x:v>
      </x:c>
      <x:c r="H1197" s="75" t="n">
        <x:v>0.9145756979968036</x:v>
      </x:c>
      <x:c r="I1197" s="75" t="n">
        <x:v>0.8536393153061768</x:v>
      </x:c>
      <x:c r="J1197" s="75" t="n">
        <x:v>0.7672259868649637</x:v>
      </x:c>
      <x:c r="K1197" s="75" t="n">
        <x:v>0.7799954136318907</x:v>
      </x:c>
      <x:c r="L1197" s="75" t="n">
        <x:v>0.789974059674962</x:v>
      </x:c>
      <x:c r="M1197" s="75" t="n">
        <x:v>0.8378103064666753</x:v>
      </x:c>
      <x:c r="N1197" s="75" t="n">
        <x:v>0.9293653957588094</x:v>
      </x:c>
      <x:c r="O1197" s="66" t="n">
        <x:v>470333.4869619832</x:v>
      </x:c>
      <x:c r="P1197" s="66" t="n">
        <x:v>49350.61556326965</x:v>
      </x:c>
      <x:c r="Q1197" s="66" t="n">
        <x:v>420982.87139871356</x:v>
      </x:c>
      <x:c r="R1197" s="66" t="n">
        <x:v>103601.72040446509</x:v>
      </x:c>
      <x:c r="S1197" s="66" t="n">
        <x:v>317381.15099424846</x:v>
      </x:c>
      <x:c r="T1197" s="66" t="n">
        <x:v>248934.7476447561</x:v>
      </x:c>
      <x:c r="U1197" s="45" t="n">
        <x:v>0.6341997146210768</x:v>
      </x:c>
      <x:c r="V1197" s="45" t="n">
        <x:v>0.6654474542171045</x:v>
      </x:c>
      <x:c r="W1197" s="45" t="n">
        <x:v>0.10648988026953461</x:v>
      </x:c>
      <x:c r="X1197" s="66" t="n">
        <x:v>54969440.68364377</x:v>
      </x:c>
      <x:c r="Y1197" s="66" t="n">
        <x:v>116.87332968508561</x:v>
      </x:c>
      <x:c r="Z1197" s="66" t="n">
        <x:v>4622089.253381748</x:v>
      </x:c>
      <x:c r="AA1197" s="66" t="n">
        <x:v>303593.0141048295</x:v>
      </x:c>
      <x:c r="AB1197" s="66" t="n">
        <x:v>39354.47973645053</x:v>
      </x:c>
      <x:c r="AC1197" s="66" t="n">
        <x:v>2350.066825221303</x:v>
      </x:c>
      <x:c r="AD1197" s="66" t="n">
        <x:v>2032.9269810399196</x:v>
      </x:c>
      <x:c r="AE1197" s="66" t="n">
        <x:v>195403.30084904868</x:v>
      </x:c>
      <x:c r="AF1197" s="66" t="n">
        <x:v>248934.74764475608</x:v>
      </x:c>
      <x:c r="AG1197" s="66" t="n">
        <x:v>2.9103830456733704e-11</x:v>
      </x:c>
      <x:c r="AH1197" s="36" t="n">
        <x:v>0</x:v>
      </x:c>
    </x:row>
    <x:row r="1198" ht="15" hidden="0" customHeight="1">
      <x:c r="A1198" s="34" t="n">
        <x:v>299</x:v>
      </x:c>
      <x:c r="B1198" s="34" t="str">
        <x:v>B1</x:v>
      </x:c>
      <x:c r="C1198" s="34" t="str">
        <x:v>reference</x:v>
      </x:c>
      <x:c r="D1198" s="74" t="n">
        <x:v>0.9777230693412267</x:v>
      </x:c>
      <x:c r="E1198" s="74" t="n">
        <x:v>0.033714149959493615</x:v>
      </x:c>
      <x:c r="F1198" s="74" t="n">
        <x:v>0.7222858030112406</x:v>
      </x:c>
      <x:c r="G1198" s="74" t="n">
        <x:v>1.2600857891891064</x:v>
      </x:c>
      <x:c r="H1198" s="74" t="n">
        <x:v>0.9145756979968036</x:v>
      </x:c>
      <x:c r="I1198" s="74" t="n">
        <x:v>0.8536393153061768</x:v>
      </x:c>
      <x:c r="J1198" s="74" t="n">
        <x:v>0.7672259868649637</x:v>
      </x:c>
      <x:c r="K1198" s="74" t="n">
        <x:v>0.7799954136318907</x:v>
      </x:c>
      <x:c r="L1198" s="74" t="n">
        <x:v>0.789974059674962</x:v>
      </x:c>
      <x:c r="M1198" s="74" t="n">
        <x:v>0.8378103064666753</x:v>
      </x:c>
      <x:c r="N1198" s="74" t="n">
        <x:v>0.9293653957588094</x:v>
      </x:c>
      <x:c r="O1198" s="65" t="n">
        <x:v>470333.4869619832</x:v>
      </x:c>
      <x:c r="P1198" s="65" t="n">
        <x:v>166937.19277112454</x:v>
      </x:c>
      <x:c r="Q1198" s="65" t="n">
        <x:v>303396.29419085867</x:v>
      </x:c>
      <x:c r="R1198" s="65" t="n">
        <x:v>103601.72040446509</x:v>
      </x:c>
      <x:c r="S1198" s="65" t="n">
        <x:v>199794.5737863936</x:v>
      </x:c>
      <x:c r="T1198" s="65" t="n">
        <x:v>190313.21278237668</x:v>
      </x:c>
      <x:c r="U1198" s="43" t="n">
        <x:v>0.7595682966592119</x:v>
      </x:c>
      <x:c r="V1198" s="43" t="n">
        <x:v>0.7928061681810855</x:v>
      </x:c>
      <x:c r="W1198" s="43" t="n">
        <x:v>0.38384071300181344</x:v>
      </x:c>
      <x:c r="X1198" s="65" t="n">
        <x:v>39972914.50257427</x:v>
      </x:c>
      <x:c r="Y1198" s="65" t="n">
        <x:v>84.98845098351515</x:v>
      </x:c>
      <x:c r="Z1198" s="65" t="n">
        <x:v>1825522.3450135812</x:v>
      </x:c>
      <x:c r="AA1198" s="65" t="n">
        <x:v>222684.91989021254</x:v>
      </x:c>
      <x:c r="AB1198" s="65" t="n">
        <x:v>7828.745190686819</x:v>
      </x:c>
      <x:c r="AC1198" s="65" t="n">
        <x:v>5714.960458963149</x:v>
      </x:c>
      <x:c r="AD1198" s="65" t="n">
        <x:v>1740.868627507704</x:v>
      </x:c>
      <x:c r="AE1198" s="65" t="n">
        <x:v>129034.34841272514</x:v>
      </x:c>
      <x:c r="AF1198" s="65" t="n">
        <x:v>190313.21278237662</x:v>
      </x:c>
      <x:c r="AG1198" s="65" t="n">
        <x:v>5.820766091346741e-11</x:v>
      </x:c>
      <x:c r="AH1198" s="34" t="n">
        <x:v>0</x:v>
      </x:c>
    </x:row>
    <x:row r="1199" ht="15" hidden="0" customHeight="1">
      <x:c r="A1199" s="36" t="n">
        <x:v>299</x:v>
      </x:c>
      <x:c r="B1199" s="36" t="str">
        <x:v>P2</x:v>
      </x:c>
      <x:c r="C1199" s="36" t="str">
        <x:v>reference</x:v>
      </x:c>
      <x:c r="D1199" s="75" t="n">
        <x:v>0.9777230693412267</x:v>
      </x:c>
      <x:c r="E1199" s="75" t="n">
        <x:v>0.033714149959493615</x:v>
      </x:c>
      <x:c r="F1199" s="75" t="n">
        <x:v>0.7222858030112406</x:v>
      </x:c>
      <x:c r="G1199" s="75" t="n">
        <x:v>1.2600857891891064</x:v>
      </x:c>
      <x:c r="H1199" s="75" t="n">
        <x:v>0.9145756979968036</x:v>
      </x:c>
      <x:c r="I1199" s="75" t="n">
        <x:v>0.8536393153061768</x:v>
      </x:c>
      <x:c r="J1199" s="75" t="n">
        <x:v>0.7672259868649637</x:v>
      </x:c>
      <x:c r="K1199" s="75" t="n">
        <x:v>0.7799954136318907</x:v>
      </x:c>
      <x:c r="L1199" s="75" t="n">
        <x:v>0.789974059674962</x:v>
      </x:c>
      <x:c r="M1199" s="75" t="n">
        <x:v>0.8378103064666753</x:v>
      </x:c>
      <x:c r="N1199" s="75" t="n">
        <x:v>0.9293653957588094</x:v>
      </x:c>
      <x:c r="O1199" s="66" t="n">
        <x:v>470333.4869619832</x:v>
      </x:c>
      <x:c r="P1199" s="66" t="n">
        <x:v>241840.83605936856</x:v>
      </x:c>
      <x:c r="Q1199" s="66" t="n">
        <x:v>228492.65090261464</x:v>
      </x:c>
      <x:c r="R1199" s="66" t="n">
        <x:v>103601.72040446509</x:v>
      </x:c>
      <x:c r="S1199" s="66" t="n">
        <x:v>124890.93049814954</x:v>
      </x:c>
      <x:c r="T1199" s="66" t="n">
        <x:v>116999.28771061182</x:v>
      </x:c>
      <x:c r="U1199" s="45" t="n">
        <x:v>0.7629482775888021</x:v>
      </x:c>
      <x:c r="V1199" s="45" t="n">
        <x:v>0.8038078298282882</x:v>
      </x:c>
      <x:c r="W1199" s="45" t="n">
        <x:v>0.3629158806495643</x:v>
      </x:c>
      <x:c r="X1199" s="66" t="n">
        <x:v>29875014.094076317</x:v>
      </x:c>
      <x:c r="Y1199" s="66" t="n">
        <x:v>63.51879022488377</x:v>
      </x:c>
      <x:c r="Z1199" s="66" t="n">
        <x:v>1104059.7986207223</x:v>
      </x:c>
      <x:c r="AA1199" s="66" t="n">
        <x:v>172759.85662441392</x:v>
      </x:c>
      <x:c r="AB1199" s="66" t="n">
        <x:v>289.7066194233911</x:v>
      </x:c>
      <x:c r="AC1199" s="66" t="n">
        <x:v>24372.742070532084</x:v>
      </x:c>
      <x:c r="AD1199" s="66" t="n">
        <x:v>1564.3978262374312</x:v>
      </x:c>
      <x:c r="AE1199" s="66" t="n">
        <x:v>51077.70717035679</x:v>
      </x:c>
      <x:c r="AF1199" s="66" t="n">
        <x:v>116999.2877106118</x:v>
      </x:c>
      <x:c r="AG1199" s="66" t="n">
        <x:v>2.9103830456733704e-11</x:v>
      </x:c>
      <x:c r="AH1199" s="36" t="n">
        <x:v>0</x:v>
      </x:c>
    </x:row>
    <x:row r="1200" ht="15" hidden="0" customHeight="1">
      <x:c r="A1200" s="34" t="n">
        <x:v>299</x:v>
      </x:c>
      <x:c r="B1200" s="34" t="str">
        <x:v>H3</x:v>
      </x:c>
      <x:c r="C1200" s="34" t="str">
        <x:v>reference</x:v>
      </x:c>
      <x:c r="D1200" s="74" t="n">
        <x:v>0.9777230693412267</x:v>
      </x:c>
      <x:c r="E1200" s="74" t="n">
        <x:v>0.033714149959493615</x:v>
      </x:c>
      <x:c r="F1200" s="74" t="n">
        <x:v>0.7222858030112406</x:v>
      </x:c>
      <x:c r="G1200" s="74" t="n">
        <x:v>1.2600857891891064</x:v>
      </x:c>
      <x:c r="H1200" s="74" t="n">
        <x:v>0.9145756979968036</x:v>
      </x:c>
      <x:c r="I1200" s="74" t="n">
        <x:v>0.8536393153061768</x:v>
      </x:c>
      <x:c r="J1200" s="74" t="n">
        <x:v>0.7672259868649637</x:v>
      </x:c>
      <x:c r="K1200" s="74" t="n">
        <x:v>0.7799954136318907</x:v>
      </x:c>
      <x:c r="L1200" s="74" t="n">
        <x:v>0.789974059674962</x:v>
      </x:c>
      <x:c r="M1200" s="74" t="n">
        <x:v>0.8378103064666753</x:v>
      </x:c>
      <x:c r="N1200" s="74" t="n">
        <x:v>0.9293653957588094</x:v>
      </x:c>
      <x:c r="O1200" s="65" t="n">
        <x:v>470333.4869619832</x:v>
      </x:c>
      <x:c r="P1200" s="65" t="n">
        <x:v>250875.31475518312</x:v>
      </x:c>
      <x:c r="Q1200" s="65" t="n">
        <x:v>219458.17220680008</x:v>
      </x:c>
      <x:c r="R1200" s="65" t="n">
        <x:v>103601.72040446509</x:v>
      </x:c>
      <x:c r="S1200" s="65" t="n">
        <x:v>115856.451802335</x:v>
      </x:c>
      <x:c r="T1200" s="65" t="n">
        <x:v>194852.96531331507</x:v>
      </x:c>
      <x:c r="U1200" s="43" t="n">
        <x:v>0.9476856154716583</x:v>
      </x:c>
      <x:c r="V1200" s="43" t="n">
        <x:v>0.952642693743855</x:v>
      </x:c>
      <x:c r="W1200" s="43" t="n">
        <x:v>0.6247893496617808</x:v>
      </x:c>
      <x:c r="X1200" s="65" t="n">
        <x:v>22898775.132942945</x:v>
      </x:c>
      <x:c r="Y1200" s="65" t="n">
        <x:v>48.6862529837129</x:v>
      </x:c>
      <x:c r="Z1200" s="65" t="n">
        <x:v>2373125.6204934334</x:v>
      </x:c>
      <x:c r="AA1200" s="65" t="n">
        <x:v>139356.4397370945</x:v>
      </x:c>
      <x:c r="AB1200" s="65" t="n">
        <x:v>7757.730156048568</x:v>
      </x:c>
      <x:c r="AC1200" s="65" t="n">
        <x:v>21376.76276201954</x:v>
      </x:c>
      <x:c r="AD1200" s="65" t="n">
        <x:v>1544.587808735179</x:v>
      </x:c>
      <x:c r="AE1200" s="65" t="n">
        <x:v>74407.21002297344</x:v>
      </x:c>
      <x:c r="AF1200" s="65" t="n">
        <x:v>194852.96531331493</x:v>
      </x:c>
      <x:c r="AG1200" s="65" t="n">
        <x:v>1.4551915228366852e-10</x:v>
      </x:c>
      <x:c r="AH1200" s="34" t="n">
        <x:v>0</x:v>
      </x:c>
    </x:row>
    <x:row r="1201" ht="15" hidden="0" customHeight="1">
      <x:c r="A1201" s="36" t="n">
        <x:v>300</x:v>
      </x:c>
      <x:c r="B1201" s="36" t="str">
        <x:v>M0</x:v>
      </x:c>
      <x:c r="C1201" s="36" t="str">
        <x:v>fast</x:v>
      </x:c>
      <x:c r="D1201" s="75" t="n">
        <x:v>1.0241789212709684</x:v>
      </x:c>
      <x:c r="E1201" s="75" t="n">
        <x:v>0.04007017433757488</x:v>
      </x:c>
      <x:c r="F1201" s="75" t="n">
        <x:v>0.8506232176564124</x:v>
      </x:c>
      <x:c r="G1201" s="75" t="n">
        <x:v>1.3412618461736137</x:v>
      </x:c>
      <x:c r="H1201" s="75" t="n">
        <x:v>0.8847844473870432</x:v>
      </x:c>
      <x:c r="I1201" s="75" t="n">
        <x:v>0.9665134756378633</x:v>
      </x:c>
      <x:c r="J1201" s="75" t="n">
        <x:v>0.7561681832036111</x:v>
      </x:c>
      <x:c r="K1201" s="75" t="n">
        <x:v>0.9446351903209896</x:v>
      </x:c>
      <x:c r="L1201" s="75" t="n">
        <x:v>0.8957653629798441</x:v>
      </x:c>
      <x:c r="M1201" s="75" t="n">
        <x:v>0.8176598654368322</x:v>
      </x:c>
      <x:c r="N1201" s="75" t="n">
        <x:v>1.0497031844586264</x:v>
      </x:c>
      <x:c r="O1201" s="66" t="n">
        <x:v>492681.0652416151</x:v>
      </x:c>
      <x:c r="P1201" s="66" t="n">
        <x:v>60384.47609928885</x:v>
      </x:c>
      <x:c r="Q1201" s="66" t="n">
        <x:v>432296.58914232627</x:v>
      </x:c>
      <x:c r="R1201" s="66" t="n">
        <x:v>111655.77910643206</x:v>
      </x:c>
      <x:c r="S1201" s="66" t="n">
        <x:v>320640.81003589416</x:v>
      </x:c>
      <x:c r="T1201" s="66" t="n">
        <x:v>280381.9345749547</x:v>
      </x:c>
      <x:c r="U1201" s="45" t="n">
        <x:v>0.6916572093289779</x:v>
      </x:c>
      <x:c r="V1201" s="45" t="n">
        <x:v>0.719972688975364</x:v>
      </x:c>
      <x:c r="W1201" s="45" t="n">
        <x:v>0.12794901930261665</x:v>
      </x:c>
      <x:c r="X1201" s="66" t="n">
        <x:v>55251183.48443179</x:v>
      </x:c>
      <x:c r="Y1201" s="66" t="n">
        <x:v>112.14391496319455</x:v>
      </x:c>
      <x:c r="Z1201" s="66" t="n">
        <x:v>4595266.189947729</x:v>
      </x:c>
      <x:c r="AA1201" s="66" t="n">
        <x:v>305190.47504925245</x:v>
      </x:c>
      <x:c r="AB1201" s="66" t="n">
        <x:v>31422.795077466566</x:v>
      </x:c>
      <x:c r="AC1201" s="66" t="n">
        <x:v>2539.5960699183784</x:v>
      </x:c>
      <x:c r="AD1201" s="66" t="n">
        <x:v>2107.943641767958</x:v>
      </x:c>
      <x:c r="AE1201" s="66" t="n">
        <x:v>250150.48286254623</x:v>
      </x:c>
      <x:c r="AF1201" s="66" t="n">
        <x:v>280381.93457495497</x:v>
      </x:c>
      <x:c r="AG1201" s="66" t="n">
        <x:v>0</x:v>
      </x:c>
      <x:c r="AH1201" s="36" t="n">
        <x:v>0</x:v>
      </x:c>
    </x:row>
    <x:row r="1202" ht="15" hidden="0" customHeight="1">
      <x:c r="A1202" s="34" t="n">
        <x:v>300</x:v>
      </x:c>
      <x:c r="B1202" s="34" t="str">
        <x:v>B1</x:v>
      </x:c>
      <x:c r="C1202" s="34" t="str">
        <x:v>fast</x:v>
      </x:c>
      <x:c r="D1202" s="74" t="n">
        <x:v>1.0241789212709684</x:v>
      </x:c>
      <x:c r="E1202" s="74" t="n">
        <x:v>0.04007017433757488</x:v>
      </x:c>
      <x:c r="F1202" s="74" t="n">
        <x:v>0.8506232176564124</x:v>
      </x:c>
      <x:c r="G1202" s="74" t="n">
        <x:v>1.3412618461736137</x:v>
      </x:c>
      <x:c r="H1202" s="74" t="n">
        <x:v>0.8847844473870432</x:v>
      </x:c>
      <x:c r="I1202" s="74" t="n">
        <x:v>0.9665134756378633</x:v>
      </x:c>
      <x:c r="J1202" s="74" t="n">
        <x:v>0.7561681832036111</x:v>
      </x:c>
      <x:c r="K1202" s="74" t="n">
        <x:v>0.9446351903209896</x:v>
      </x:c>
      <x:c r="L1202" s="74" t="n">
        <x:v>0.8957653629798441</x:v>
      </x:c>
      <x:c r="M1202" s="74" t="n">
        <x:v>0.8176598654368322</x:v>
      </x:c>
      <x:c r="N1202" s="74" t="n">
        <x:v>1.0497031844586264</x:v>
      </x:c>
      <x:c r="O1202" s="65" t="n">
        <x:v>492681.0652416151</x:v>
      </x:c>
      <x:c r="P1202" s="65" t="n">
        <x:v>204261.3658575822</x:v>
      </x:c>
      <x:c r="Q1202" s="65" t="n">
        <x:v>288419.6993840329</x:v>
      </x:c>
      <x:c r="R1202" s="65" t="n">
        <x:v>111655.77910643206</x:v>
      </x:c>
      <x:c r="S1202" s="65" t="n">
        <x:v>176763.92027760082</x:v>
      </x:c>
      <x:c r="T1202" s="65" t="n">
        <x:v>203969.17700056307</x:v>
      </x:c>
      <x:c r="U1202" s="43" t="n">
        <x:v>0.8285898762071269</x:v>
      </x:c>
      <x:c r="V1202" s="43" t="n">
        <x:v>0.8612128669957014</x:v>
      </x:c>
      <x:c r="W1202" s="43" t="n">
        <x:v>0.47523595715717193</x:v>
      </x:c>
      <x:c r="X1202" s="65" t="n">
        <x:v>37239377.96271088</x:v>
      </x:c>
      <x:c r="Y1202" s="65" t="n">
        <x:v>75.58516165919298</x:v>
      </x:c>
      <x:c r="Z1202" s="65" t="n">
        <x:v>1709880.9248479605</x:v>
      </x:c>
      <x:c r="AA1202" s="65" t="n">
        <x:v>204979.09641991317</x:v>
      </x:c>
      <x:c r="AB1202" s="65" t="n">
        <x:v>3854.677297150663</x:v>
      </x:c>
      <x:c r="AC1202" s="65" t="n">
        <x:v>3645.4005967939765</x:v>
      </x:c>
      <x:c r="AD1202" s="65" t="n">
        <x:v>1753.1501650985483</x:v>
      </x:c>
      <x:c r="AE1202" s="65" t="n">
        <x:v>132209.18692017463</x:v>
      </x:c>
      <x:c r="AF1202" s="65" t="n">
        <x:v>203969.177000563</x:v>
      </x:c>
      <x:c r="AG1202" s="65" t="n">
        <x:v>5.820766091346741e-11</x:v>
      </x:c>
      <x:c r="AH1202" s="34" t="n">
        <x:v>0</x:v>
      </x:c>
    </x:row>
    <x:row r="1203" ht="15" hidden="0" customHeight="1">
      <x:c r="A1203" s="36" t="n">
        <x:v>300</x:v>
      </x:c>
      <x:c r="B1203" s="36" t="str">
        <x:v>P2</x:v>
      </x:c>
      <x:c r="C1203" s="36" t="str">
        <x:v>fast</x:v>
      </x:c>
      <x:c r="D1203" s="75" t="n">
        <x:v>1.0241789212709684</x:v>
      </x:c>
      <x:c r="E1203" s="75" t="n">
        <x:v>0.04007017433757488</x:v>
      </x:c>
      <x:c r="F1203" s="75" t="n">
        <x:v>0.8506232176564124</x:v>
      </x:c>
      <x:c r="G1203" s="75" t="n">
        <x:v>1.3412618461736137</x:v>
      </x:c>
      <x:c r="H1203" s="75" t="n">
        <x:v>0.8847844473870432</x:v>
      </x:c>
      <x:c r="I1203" s="75" t="n">
        <x:v>0.9665134756378633</x:v>
      </x:c>
      <x:c r="J1203" s="75" t="n">
        <x:v>0.7561681832036111</x:v>
      </x:c>
      <x:c r="K1203" s="75" t="n">
        <x:v>0.9446351903209896</x:v>
      </x:c>
      <x:c r="L1203" s="75" t="n">
        <x:v>0.8957653629798441</x:v>
      </x:c>
      <x:c r="M1203" s="75" t="n">
        <x:v>0.8176598654368322</x:v>
      </x:c>
      <x:c r="N1203" s="75" t="n">
        <x:v>1.0497031844586264</x:v>
      </x:c>
      <x:c r="O1203" s="66" t="n">
        <x:v>492681.0652416151</x:v>
      </x:c>
      <x:c r="P1203" s="66" t="n">
        <x:v>295912.27756959514</x:v>
      </x:c>
      <x:c r="Q1203" s="66" t="n">
        <x:v>196768.78767201997</x:v>
      </x:c>
      <x:c r="R1203" s="66" t="n">
        <x:v>111655.77910643206</x:v>
      </x:c>
      <x:c r="S1203" s="66" t="n">
        <x:v>85113.00856558788</x:v>
      </x:c>
      <x:c r="T1203" s="66" t="n">
        <x:v>135301.05640394342</x:v>
      </x:c>
      <x:c r="U1203" s="45" t="n">
        <x:v>0.8752382918593955</x:v>
      </x:c>
      <x:c r="V1203" s="45" t="n">
        <x:v>0.8979631376508365</x:v>
      </x:c>
      <x:c r="W1203" s="45" t="n">
        <x:v>0.680981145290636</x:v>
      </x:c>
      <x:c r="X1203" s="66" t="n">
        <x:v>24673473.352659553</x:v>
      </x:c>
      <x:c r="Y1203" s="66" t="n">
        <x:v>50.080011377257755</x:v>
      </x:c>
      <x:c r="Z1203" s="66" t="n">
        <x:v>845926.5092938072</x:v>
      </x:c>
      <x:c r="AA1203" s="66" t="n">
        <x:v>142527.9069188548</x:v>
      </x:c>
      <x:c r="AB1203" s="66" t="n">
        <x:v>0</x:v>
      </x:c>
      <x:c r="AC1203" s="66" t="n">
        <x:v>0</x:v>
      </x:c>
      <x:c r="AD1203" s="66" t="n">
        <x:v>1538.7728382524242</x:v>
      </x:c>
      <x:c r="AE1203" s="66" t="n">
        <x:v>88993.9329916469</x:v>
      </x:c>
      <x:c r="AF1203" s="66" t="n">
        <x:v>135301.05640394345</x:v>
      </x:c>
      <x:c r="AG1203" s="66" t="n">
        <x:v>0</x:v>
      </x:c>
      <x:c r="AH1203" s="36" t="n">
        <x:v>0</x:v>
      </x:c>
    </x:row>
    <x:row r="1204" ht="15" hidden="0" customHeight="1">
      <x:c r="A1204" s="34" t="n">
        <x:v>300</x:v>
      </x:c>
      <x:c r="B1204" s="34" t="str">
        <x:v>H3</x:v>
      </x:c>
      <x:c r="C1204" s="34" t="str">
        <x:v>fast</x:v>
      </x:c>
      <x:c r="D1204" s="74" t="n">
        <x:v>1.0241789212709684</x:v>
      </x:c>
      <x:c r="E1204" s="74" t="n">
        <x:v>0.04007017433757488</x:v>
      </x:c>
      <x:c r="F1204" s="74" t="n">
        <x:v>0.8506232176564124</x:v>
      </x:c>
      <x:c r="G1204" s="74" t="n">
        <x:v>1.3412618461736137</x:v>
      </x:c>
      <x:c r="H1204" s="74" t="n">
        <x:v>0.8847844473870432</x:v>
      </x:c>
      <x:c r="I1204" s="74" t="n">
        <x:v>0.9665134756378633</x:v>
      </x:c>
      <x:c r="J1204" s="74" t="n">
        <x:v>0.7561681832036111</x:v>
      </x:c>
      <x:c r="K1204" s="74" t="n">
        <x:v>0.9446351903209896</x:v>
      </x:c>
      <x:c r="L1204" s="74" t="n">
        <x:v>0.8957653629798441</x:v>
      </x:c>
      <x:c r="M1204" s="74" t="n">
        <x:v>0.8176598654368322</x:v>
      </x:c>
      <x:c r="N1204" s="74" t="n">
        <x:v>1.0497031844586264</x:v>
      </x:c>
      <x:c r="O1204" s="65" t="n">
        <x:v>492681.0652416151</x:v>
      </x:c>
      <x:c r="P1204" s="65" t="n">
        <x:v>306966.7406808773</x:v>
      </x:c>
      <x:c r="Q1204" s="65" t="n">
        <x:v>185714.32456073785</x:v>
      </x:c>
      <x:c r="R1204" s="65" t="n">
        <x:v>111655.77910643206</x:v>
      </x:c>
      <x:c r="S1204" s="65" t="n">
        <x:v>74058.54545430577</x:v>
      </x:c>
      <x:c r="T1204" s="65" t="n">
        <x:v>184199.61699881632</x:v>
      </x:c>
      <x:c r="U1204" s="43" t="n">
        <x:v>0.9969255819458402</x:v>
      </x:c>
      <x:c r="V1204" s="43" t="n">
        <x:v>0.998063613005508</x:v>
      </x:c>
      <x:c r="W1204" s="43" t="n">
        <x:v>0.9692558194584014</x:v>
      </x:c>
      <x:c r="X1204" s="65" t="n">
        <x:v>18159923.606884208</x:v>
      </x:c>
      <x:c r="Y1204" s="65" t="n">
        <x:v>36.85939015735955</x:v>
      </x:c>
      <x:c r="Z1204" s="65" t="n">
        <x:v>1657601.6745214707</x:v>
      </x:c>
      <x:c r="AA1204" s="65" t="n">
        <x:v>113469.46806033938</x:v>
      </x:c>
      <x:c r="AB1204" s="65" t="n">
        <x:v>2604.641056227422</x:v>
      </x:c>
      <x:c r="AC1204" s="65" t="n">
        <x:v>8711.41295117441</x:v>
      </x:c>
      <x:c r="AD1204" s="65" t="n">
        <x:v>1514.7075619215052</x:v>
      </x:c>
      <x:c r="AE1204" s="65" t="n">
        <x:v>69162.85871957184</x:v>
      </x:c>
      <x:c r="AF1204" s="65" t="n">
        <x:v>184199.61699881614</x:v>
      </x:c>
      <x:c r="AG1204" s="65" t="n">
        <x:v>1.7462298274040222e-10</x:v>
      </x:c>
      <x:c r="AH1204" s="34" t="n">
        <x:v>1</x:v>
      </x:c>
    </x:row>
  </x:sheetData>
  <x:mergeCells>
    <x:mergeCell ref="A1:AH1"/>
    <x:mergeCell ref="A2:A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5" hidden="0" customWidth="1"/>
    <x:col min="4" max="4" width="25" hidden="0" customWidth="1"/>
    <x:col min="5" max="5" width="40" hidden="0" customWidth="1"/>
    <x:col min="6" max="6" width="40" hidden="0" customWidth="1"/>
  </x:cols>
  <x:sheetData>
    <x:row r="1" ht="29" customHeight="1">
      <x:c r="A1" s="2" t="str">
        <x:v>Failure criteria and rank sensitivity</x:v>
      </x:c>
      <x:c r="B1" s="2"/>
      <x:c r="C1" s="2"/>
      <x:c r="D1" s="2"/>
      <x:c r="E1" s="2"/>
      <x:c r="F1" s="2"/>
    </x:row>
    <x:row r="2" ht="34" customHeight="1">
      <x:c r="A2" s="6" t="str">
        <x:v>Failure counts overlap. Spearman correlations screen association across broad worlds; they are not causal elasticities.</x:v>
      </x:c>
      <x:c r="B2" s="6"/>
      <x:c r="C2" s="6"/>
      <x:c r="D2" s="6"/>
      <x:c r="E2" s="6"/>
      <x:c r="F2" s="6"/>
    </x:row>
    <x:row r="4" ht="23" customHeight="1">
      <x:c r="A4" s="9" t="str">
        <x:v>Admission failures</x:v>
      </x:c>
      <x:c r="B4" s="9"/>
      <x:c r="C4" s="9"/>
      <x:c r="D4" s="9"/>
      <x:c r="E4" s="9"/>
      <x:c r="F4" s="9"/>
    </x:row>
    <x:row r="5" ht="34" customHeight="1">
      <x:c r="A5" s="25" t="str">
        <x:v>Architecture</x:v>
      </x:c>
      <x:c r="B5" s="26" t="str">
        <x:v>Closure failures</x:v>
      </x:c>
      <x:c r="C5" s="26" t="str">
        <x:v>Priority failures</x:v>
      </x:c>
      <x:c r="D5" s="26" t="str">
        <x:v>Bottom-decile failures</x:v>
      </x:c>
      <x:c r="E5" s="26" t="str">
        <x:v>Exposure-time failures</x:v>
      </x:c>
      <x:c r="F5" s="27" t="str">
        <x:v>Worlds</x:v>
      </x:c>
    </x:row>
    <x:row r="6" ht="15" hidden="0" customHeight="1">
      <x:c r="A6" s="35" t="str">
        <x:v>M0</x:v>
      </x:c>
      <x:c r="B6" s="35" t="n">
        <x:v>300</x:v>
      </x:c>
      <x:c r="C6" s="35" t="n">
        <x:v>300</x:v>
      </x:c>
      <x:c r="D6" s="35" t="n">
        <x:v>300</x:v>
      </x:c>
      <x:c r="E6" s="35" t="n">
        <x:v>300</x:v>
      </x:c>
      <x:c r="F6" s="35" t="n">
        <x:v>300</x:v>
      </x:c>
    </x:row>
    <x:row r="7" ht="15" hidden="0" customHeight="1">
      <x:c r="A7" s="34" t="str">
        <x:v>B1</x:v>
      </x:c>
      <x:c r="B7" s="34" t="n">
        <x:v>293</x:v>
      </x:c>
      <x:c r="C7" s="34" t="n">
        <x:v>291</x:v>
      </x:c>
      <x:c r="D7" s="34" t="n">
        <x:v>298</x:v>
      </x:c>
      <x:c r="E7" s="34" t="n">
        <x:v>288</x:v>
      </x:c>
      <x:c r="F7" s="34" t="n">
        <x:v>300</x:v>
      </x:c>
    </x:row>
    <x:row r="8" ht="15" hidden="0" customHeight="1">
      <x:c r="A8" s="36" t="str">
        <x:v>P2</x:v>
      </x:c>
      <x:c r="B8" s="36" t="n">
        <x:v>252</x:v>
      </x:c>
      <x:c r="C8" s="36" t="n">
        <x:v>242</x:v>
      </x:c>
      <x:c r="D8" s="36" t="n">
        <x:v>262</x:v>
      </x:c>
      <x:c r="E8" s="36" t="n">
        <x:v>44</x:v>
      </x:c>
      <x:c r="F8" s="36" t="n">
        <x:v>300</x:v>
      </x:c>
    </x:row>
    <x:row r="9" ht="15" hidden="0" customHeight="1">
      <x:c r="A9" s="34" t="str">
        <x:v>H3</x:v>
      </x:c>
      <x:c r="B9" s="34" t="n">
        <x:v>112</x:v>
      </x:c>
      <x:c r="C9" s="34" t="n">
        <x:v>107</x:v>
      </x:c>
      <x:c r="D9" s="34" t="n">
        <x:v>134</x:v>
      </x:c>
      <x:c r="E9" s="34" t="n">
        <x:v>0</x:v>
      </x:c>
      <x:c r="F9" s="34" t="n">
        <x:v>300</x:v>
      </x:c>
    </x:row>
    <x:row r="12" ht="23" customHeight="1">
      <x:c r="A12" s="9" t="str">
        <x:v>Sensitivity</x:v>
      </x:c>
      <x:c r="B12" s="9"/>
      <x:c r="C12" s="9"/>
      <x:c r="D12" s="9"/>
      <x:c r="E12" s="9"/>
      <x:c r="F12" s="9"/>
    </x:row>
    <x:row r="13" ht="34" customHeight="1">
      <x:c r="A13" s="25" t="str">
        <x:v>Architecture</x:v>
      </x:c>
      <x:c r="B13" s="26" t="str">
        <x:v>Parameter</x:v>
      </x:c>
      <x:c r="C13" s="26" t="str">
        <x:v>Closure correlation</x:v>
      </x:c>
      <x:c r="D13" s="26" t="str">
        <x:v>Unprotected-time correlation</x:v>
      </x:c>
      <x:c r="E13" s="26" t="str">
        <x:v>Interpretation</x:v>
      </x:c>
      <x:c r="F13" s="27" t="str">
        <x:v>Boundary</x:v>
      </x:c>
    </x:row>
    <x:row r="14" ht="43.20000076293945" hidden="0" customHeight="1">
      <x:c r="A14" s="35" t="str">
        <x:v>M0</x:v>
      </x:c>
      <x:c r="B14" s="35" t="str">
        <x:v>demand</x:v>
      </x:c>
      <x:c r="C14" s="73" t="n">
        <x:v>-0.7535217057967311</x:v>
      </x:c>
      <x:c r="D14" s="73" t="n">
        <x:v>0.7169275214169046</x:v>
      </x:c>
      <x:c r="E14" s="35" t="str">
        <x:v>material rank association</x:v>
      </x:c>
      <x:c r="F14" s="35" t="str">
        <x:v>range-dependent screening association</x:v>
      </x:c>
    </x:row>
    <x:row r="15" ht="43.20000076293945" hidden="0" customHeight="1">
      <x:c r="A15" s="34" t="str">
        <x:v>M0</x:v>
      </x:c>
      <x:c r="B15" s="34" t="str">
        <x:v>mandatory_shift</x:v>
      </x:c>
      <x:c r="C15" s="74" t="n">
        <x:v>-0.13666285180946453</x:v>
      </x:c>
      <x:c r="D15" s="74" t="n">
        <x:v>0.20504494494383269</x:v>
      </x:c>
      <x:c r="E15" s="34" t="str">
        <x:v>secondary in declared ranges</x:v>
      </x:c>
      <x:c r="F15" s="34" t="str">
        <x:v>range-dependent screening association</x:v>
      </x:c>
    </x:row>
    <x:row r="16" ht="43.20000076293945" hidden="0" customHeight="1">
      <x:c r="A16" s="36" t="str">
        <x:v>M0</x:v>
      </x:c>
      <x:c r="B16" s="36" t="str">
        <x:v>local</x:v>
      </x:c>
      <x:c r="C16" s="75" t="n">
        <x:v>0.23982355359503993</x:v>
      </x:c>
      <x:c r="D16" s="75" t="n">
        <x:v>-0.4013684596495516</x:v>
      </x:c>
      <x:c r="E16" s="36" t="str">
        <x:v>secondary in declared ranges</x:v>
      </x:c>
      <x:c r="F16" s="36" t="str">
        <x:v>range-dependent screening association</x:v>
      </x:c>
    </x:row>
    <x:row r="17" ht="43.20000076293945" hidden="0" customHeight="1">
      <x:c r="A17" s="34" t="str">
        <x:v>M0</x:v>
      </x:c>
      <x:c r="B17" s="34" t="str">
        <x:v>road_time</x:v>
      </x:c>
      <x:c r="C17" s="74" t="n">
        <x:v>0.04562539583773153</x:v>
      </x:c>
      <x:c r="D17" s="74" t="n">
        <x:v>-0.05452593917710197</x:v>
      </x:c>
      <x:c r="E17" s="34" t="str">
        <x:v>secondary in declared ranges</x:v>
      </x:c>
      <x:c r="F17" s="34" t="str">
        <x:v>range-dependent screening association</x:v>
      </x:c>
    </x:row>
    <x:row r="18" ht="43.20000076293945" hidden="0" customHeight="1">
      <x:c r="A18" s="36" t="str">
        <x:v>M0</x:v>
      </x:c>
      <x:c r="B18" s="36" t="str">
        <x:v>collection</x:v>
      </x:c>
      <x:c r="C18" s="75" t="n">
        <x:v>0.2938850431671463</x:v>
      </x:c>
      <x:c r="D18" s="75" t="n">
        <x:v>-0.28118979099767777</x:v>
      </x:c>
      <x:c r="E18" s="36" t="str">
        <x:v>secondary in declared ranges</x:v>
      </x:c>
      <x:c r="F18" s="36" t="str">
        <x:v>range-dependent screening association</x:v>
      </x:c>
    </x:row>
    <x:row r="19" ht="43.20000076293945" hidden="0" customHeight="1">
      <x:c r="A19" s="34" t="str">
        <x:v>M0</x:v>
      </x:c>
      <x:c r="B19" s="34" t="str">
        <x:v>ctn</x:v>
      </x:c>
      <x:c r="C19" s="74" t="n">
        <x:v>0.2983299814442382</x:v>
      </x:c>
      <x:c r="D19" s="74" t="n">
        <x:v>-0.2721025789175435</x:v>
      </x:c>
      <x:c r="E19" s="34" t="str">
        <x:v>secondary in declared ranges</x:v>
      </x:c>
      <x:c r="F19" s="34" t="str">
        <x:v>range-dependent screening association</x:v>
      </x:c>
    </x:row>
    <x:row r="20" ht="43.20000076293945" hidden="0" customHeight="1">
      <x:c r="A20" s="36" t="str">
        <x:v>M0</x:v>
      </x:c>
      <x:c r="B20" s="36" t="str">
        <x:v>linehaul</x:v>
      </x:c>
      <x:c r="C20" s="75" t="n">
        <x:v>0.10737363748486094</x:v>
      </x:c>
      <x:c r="D20" s="75" t="n">
        <x:v>-0.10382470916343513</x:v>
      </x:c>
      <x:c r="E20" s="36" t="str">
        <x:v>secondary in declared ranges</x:v>
      </x:c>
      <x:c r="F20" s="36" t="str">
        <x:v>range-dependent screening association</x:v>
      </x:c>
    </x:row>
    <x:row r="21" ht="43.20000076293945" hidden="0" customHeight="1">
      <x:c r="A21" s="34" t="str">
        <x:v>M0</x:v>
      </x:c>
      <x:c r="B21" s="34" t="str">
        <x:v>destination</x:v>
      </x:c>
      <x:c r="C21" s="74" t="n">
        <x:v>-0.0036138179313103475</x:v>
      </x:c>
      <x:c r="D21" s="74" t="n">
        <x:v>0.014893054367270746</x:v>
      </x:c>
      <x:c r="E21" s="34" t="str">
        <x:v>secondary in declared ranges</x:v>
      </x:c>
      <x:c r="F21" s="34" t="str">
        <x:v>range-dependent screening association</x:v>
      </x:c>
    </x:row>
    <x:row r="22" ht="43.20000076293945" hidden="0" customHeight="1">
      <x:c r="A22" s="36" t="str">
        <x:v>M0</x:v>
      </x:c>
      <x:c r="B22" s="36" t="str">
        <x:v>ucm</x:v>
      </x:c>
      <x:c r="C22" s="75" t="n">
        <x:v>0.15124701385570952</x:v>
      </x:c>
      <x:c r="D22" s="75" t="n">
        <x:v>-0.17558595095501062</x:v>
      </x:c>
      <x:c r="E22" s="36" t="str">
        <x:v>secondary in declared ranges</x:v>
      </x:c>
      <x:c r="F22" s="36" t="str">
        <x:v>range-dependent screening association</x:v>
      </x:c>
    </x:row>
    <x:row r="23" ht="43.20000076293945" hidden="0" customHeight="1">
      <x:c r="A23" s="34" t="str">
        <x:v>M0</x:v>
      </x:c>
      <x:c r="B23" s="34" t="str">
        <x:v>restoration</x:v>
      </x:c>
      <x:c r="C23" s="74" t="n">
        <x:v>-0.09092589917665751</x:v>
      </x:c>
      <x:c r="D23" s="74" t="n">
        <x:v>0.1085709841220458</x:v>
      </x:c>
      <x:c r="E23" s="34" t="str">
        <x:v>secondary in declared ranges</x:v>
      </x:c>
      <x:c r="F23" s="34" t="str">
        <x:v>range-dependent screening association</x:v>
      </x:c>
    </x:row>
    <x:row r="24" ht="43.20000076293945" hidden="0" customHeight="1">
      <x:c r="A24" s="36" t="str">
        <x:v>M0</x:v>
      </x:c>
      <x:c r="B24" s="36" t="str">
        <x:v>return</x:v>
      </x:c>
      <x:c r="C24" s="75" t="n">
        <x:v>-0.0388995433282592</x:v>
      </x:c>
      <x:c r="D24" s="75" t="n">
        <x:v>0.039759552883920926</x:v>
      </x:c>
      <x:c r="E24" s="36" t="str">
        <x:v>secondary in declared ranges</x:v>
      </x:c>
      <x:c r="F24" s="36" t="str">
        <x:v>range-dependent screening association</x:v>
      </x:c>
    </x:row>
    <x:row r="25" ht="43.20000076293945" hidden="0" customHeight="1">
      <x:c r="A25" s="34" t="str">
        <x:v>B1</x:v>
      </x:c>
      <x:c r="B25" s="34" t="str">
        <x:v>demand</x:v>
      </x:c>
      <x:c r="C25" s="74" t="n">
        <x:v>-0.3655765064056267</x:v>
      </x:c>
      <x:c r="D25" s="74" t="n">
        <x:v>0.2736425960288448</x:v>
      </x:c>
      <x:c r="E25" s="34" t="str">
        <x:v>secondary in declared ranges</x:v>
      </x:c>
      <x:c r="F25" s="34" t="str">
        <x:v>range-dependent screening association</x:v>
      </x:c>
    </x:row>
    <x:row r="26" ht="43.20000076293945" hidden="0" customHeight="1">
      <x:c r="A26" s="36" t="str">
        <x:v>B1</x:v>
      </x:c>
      <x:c r="B26" s="36" t="str">
        <x:v>mandatory_shift</x:v>
      </x:c>
      <x:c r="C26" s="75" t="n">
        <x:v>-0.3200533339259325</x:v>
      </x:c>
      <x:c r="D26" s="75" t="n">
        <x:v>0.41006011177901974</x:v>
      </x:c>
      <x:c r="E26" s="36" t="str">
        <x:v>secondary in declared ranges</x:v>
      </x:c>
      <x:c r="F26" s="36" t="str">
        <x:v>range-dependent screening association</x:v>
      </x:c>
    </x:row>
    <x:row r="27" ht="43.20000076293945" hidden="0" customHeight="1">
      <x:c r="A27" s="34" t="str">
        <x:v>B1</x:v>
      </x:c>
      <x:c r="B27" s="34" t="str">
        <x:v>local</x:v>
      </x:c>
      <x:c r="C27" s="74" t="n">
        <x:v>0.6320248002755586</x:v>
      </x:c>
      <x:c r="D27" s="74" t="n">
        <x:v>-0.8583508705652284</x:v>
      </x:c>
      <x:c r="E27" s="34" t="str">
        <x:v>material rank association</x:v>
      </x:c>
      <x:c r="F27" s="34" t="str">
        <x:v>range-dependent screening association</x:v>
      </x:c>
    </x:row>
    <x:row r="28" ht="43.20000076293945" hidden="0" customHeight="1">
      <x:c r="A28" s="36" t="str">
        <x:v>B1</x:v>
      </x:c>
      <x:c r="B28" s="36" t="str">
        <x:v>road_time</x:v>
      </x:c>
      <x:c r="C28" s="75" t="n">
        <x:v>-0.01609395659951777</x:v>
      </x:c>
      <x:c r="D28" s="75" t="n">
        <x:v>0.02558072867476305</x:v>
      </x:c>
      <x:c r="E28" s="36" t="str">
        <x:v>secondary in declared ranges</x:v>
      </x:c>
      <x:c r="F28" s="36" t="str">
        <x:v>range-dependent screening association</x:v>
      </x:c>
    </x:row>
    <x:row r="29" ht="43.20000076293945" hidden="0" customHeight="1">
      <x:c r="A29" s="34" t="str">
        <x:v>B1</x:v>
      </x:c>
      <x:c r="B29" s="34" t="str">
        <x:v>collection</x:v>
      </x:c>
      <x:c r="C29" s="74" t="n">
        <x:v>0.21043611595684397</x:v>
      </x:c>
      <x:c r="D29" s="74" t="n">
        <x:v>-0.16268580762008464</x:v>
      </x:c>
      <x:c r="E29" s="34" t="str">
        <x:v>secondary in declared ranges</x:v>
      </x:c>
      <x:c r="F29" s="34" t="str">
        <x:v>range-dependent screening association</x:v>
      </x:c>
    </x:row>
    <x:row r="30" ht="43.20000076293945" hidden="0" customHeight="1">
      <x:c r="A30" s="36" t="str">
        <x:v>B1</x:v>
      </x:c>
      <x:c r="B30" s="36" t="str">
        <x:v>ctn</x:v>
      </x:c>
      <x:c r="C30" s="75" t="n">
        <x:v>0.09792242136023734</x:v>
      </x:c>
      <x:c r="D30" s="75" t="n">
        <x:v>-0.06972921921354681</x:v>
      </x:c>
      <x:c r="E30" s="36" t="str">
        <x:v>secondary in declared ranges</x:v>
      </x:c>
      <x:c r="F30" s="36" t="str">
        <x:v>range-dependent screening association</x:v>
      </x:c>
    </x:row>
    <x:row r="31" ht="43.20000076293945" hidden="0" customHeight="1">
      <x:c r="A31" s="34" t="str">
        <x:v>B1</x:v>
      </x:c>
      <x:c r="B31" s="34" t="str">
        <x:v>linehaul</x:v>
      </x:c>
      <x:c r="C31" s="74" t="n">
        <x:v>0.0635700396671074</x:v>
      </x:c>
      <x:c r="D31" s="74" t="n">
        <x:v>-0.05292236580406449</x:v>
      </x:c>
      <x:c r="E31" s="34" t="str">
        <x:v>secondary in declared ranges</x:v>
      </x:c>
      <x:c r="F31" s="34" t="str">
        <x:v>range-dependent screening association</x:v>
      </x:c>
    </x:row>
    <x:row r="32" ht="43.20000076293945" hidden="0" customHeight="1">
      <x:c r="A32" s="36" t="str">
        <x:v>B1</x:v>
      </x:c>
      <x:c r="B32" s="36" t="str">
        <x:v>destination</x:v>
      </x:c>
      <x:c r="C32" s="75" t="n">
        <x:v>0.08217557972866364</x:v>
      </x:c>
      <x:c r="D32" s="75" t="n">
        <x:v>0.0011520128001422237</x:v>
      </x:c>
      <x:c r="E32" s="36" t="str">
        <x:v>secondary in declared ranges</x:v>
      </x:c>
      <x:c r="F32" s="36" t="str">
        <x:v>range-dependent screening association</x:v>
      </x:c>
    </x:row>
    <x:row r="33" ht="43.20000076293945" hidden="0" customHeight="1">
      <x:c r="A33" s="34" t="str">
        <x:v>B1</x:v>
      </x:c>
      <x:c r="B33" s="34" t="str">
        <x:v>ucm</x:v>
      </x:c>
      <x:c r="C33" s="74" t="n">
        <x:v>0.09259702885587617</x:v>
      </x:c>
      <x:c r="D33" s="74" t="n">
        <x:v>-0.10946877187524305</x:v>
      </x:c>
      <x:c r="E33" s="34" t="str">
        <x:v>secondary in declared ranges</x:v>
      </x:c>
      <x:c r="F33" s="34" t="str">
        <x:v>range-dependent screening association</x:v>
      </x:c>
    </x:row>
    <x:row r="34" ht="43.20000076293945" hidden="0" customHeight="1">
      <x:c r="A34" s="36" t="str">
        <x:v>B1</x:v>
      </x:c>
      <x:c r="B34" s="36" t="str">
        <x:v>restoration</x:v>
      </x:c>
      <x:c r="C34" s="75" t="n">
        <x:v>-0.06370115223502483</x:v>
      </x:c>
      <x:c r="D34" s="75" t="n">
        <x:v>0.08990899898887765</x:v>
      </x:c>
      <x:c r="E34" s="36" t="str">
        <x:v>secondary in declared ranges</x:v>
      </x:c>
      <x:c r="F34" s="36" t="str">
        <x:v>range-dependent screening association</x:v>
      </x:c>
    </x:row>
    <x:row r="35" ht="43.20000076293945" hidden="0" customHeight="1">
      <x:c r="A35" s="34" t="str">
        <x:v>B1</x:v>
      </x:c>
      <x:c r="B35" s="34" t="str">
        <x:v>return</x:v>
      </x:c>
      <x:c r="C35" s="74" t="n">
        <x:v>0.01370993011033456</x:v>
      </x:c>
      <x:c r="D35" s="74" t="n">
        <x:v>-0.012970810786786517</x:v>
      </x:c>
      <x:c r="E35" s="34" t="str">
        <x:v>secondary in declared ranges</x:v>
      </x:c>
      <x:c r="F35" s="34" t="str">
        <x:v>range-dependent screening association</x:v>
      </x:c>
    </x:row>
    <x:row r="36" ht="43.20000076293945" hidden="0" customHeight="1">
      <x:c r="A36" s="36" t="str">
        <x:v>P2</x:v>
      </x:c>
      <x:c r="B36" s="36" t="str">
        <x:v>demand</x:v>
      </x:c>
      <x:c r="C36" s="75" t="n">
        <x:v>-0.18469449660551784</x:v>
      </x:c>
      <x:c r="D36" s="75" t="n">
        <x:v>0.11862220691341013</x:v>
      </x:c>
      <x:c r="E36" s="36" t="str">
        <x:v>secondary in declared ranges</x:v>
      </x:c>
      <x:c r="F36" s="36" t="str">
        <x:v>range-dependent screening association</x:v>
      </x:c>
    </x:row>
    <x:row r="37" ht="43.20000076293945" hidden="0" customHeight="1">
      <x:c r="A37" s="34" t="str">
        <x:v>P2</x:v>
      </x:c>
      <x:c r="B37" s="34" t="str">
        <x:v>mandatory_shift</x:v>
      </x:c>
      <x:c r="C37" s="74" t="n">
        <x:v>-0.3691832131468127</x:v>
      </x:c>
      <x:c r="D37" s="74" t="n">
        <x:v>0.4247664974055267</x:v>
      </x:c>
      <x:c r="E37" s="34" t="str">
        <x:v>secondary in declared ranges</x:v>
      </x:c>
      <x:c r="F37" s="34" t="str">
        <x:v>range-dependent screening association</x:v>
      </x:c>
    </x:row>
    <x:row r="38" ht="43.20000076293945" hidden="0" customHeight="1">
      <x:c r="A38" s="36" t="str">
        <x:v>P2</x:v>
      </x:c>
      <x:c r="B38" s="36" t="str">
        <x:v>local</x:v>
      </x:c>
      <x:c r="C38" s="75" t="n">
        <x:v>0.786795408837876</x:v>
      </x:c>
      <x:c r="D38" s="75" t="n">
        <x:v>-0.8922494694385492</x:v>
      </x:c>
      <x:c r="E38" s="36" t="str">
        <x:v>material rank association</x:v>
      </x:c>
      <x:c r="F38" s="36" t="str">
        <x:v>range-dependent screening association</x:v>
      </x:c>
    </x:row>
    <x:row r="39" ht="43.20000076293945" hidden="0" customHeight="1">
      <x:c r="A39" s="34" t="str">
        <x:v>P2</x:v>
      </x:c>
      <x:c r="B39" s="34" t="str">
        <x:v>road_time</x:v>
      </x:c>
      <x:c r="C39" s="74" t="n">
        <x:v>-0.03416437960421782</x:v>
      </x:c>
      <x:c r="D39" s="74" t="n">
        <x:v>0.044463605151168345</x:v>
      </x:c>
      <x:c r="E39" s="34" t="str">
        <x:v>secondary in declared ranges</x:v>
      </x:c>
      <x:c r="F39" s="34" t="str">
        <x:v>range-dependent screening association</x:v>
      </x:c>
    </x:row>
    <x:row r="40" ht="43.20000076293945" hidden="0" customHeight="1">
      <x:c r="A40" s="36" t="str">
        <x:v>P2</x:v>
      </x:c>
      <x:c r="B40" s="36" t="str">
        <x:v>collection</x:v>
      </x:c>
      <x:c r="C40" s="75" t="n">
        <x:v>0.08978144201602238</x:v>
      </x:c>
      <x:c r="D40" s="75" t="n">
        <x:v>-0.11479060878454203</x:v>
      </x:c>
      <x:c r="E40" s="36" t="str">
        <x:v>secondary in declared ranges</x:v>
      </x:c>
      <x:c r="F40" s="36" t="str">
        <x:v>range-dependent screening association</x:v>
      </x:c>
    </x:row>
    <x:row r="41" ht="43.20000076293945" hidden="0" customHeight="1">
      <x:c r="A41" s="34" t="str">
        <x:v>P2</x:v>
      </x:c>
      <x:c r="B41" s="34" t="str">
        <x:v>ctn</x:v>
      </x:c>
      <x:c r="C41" s="74" t="n">
        <x:v>0.0001377793086589851</x:v>
      </x:c>
      <x:c r="D41" s="74" t="n">
        <x:v>0.014202380026444738</x:v>
      </x:c>
      <x:c r="E41" s="34" t="str">
        <x:v>secondary in declared ranges</x:v>
      </x:c>
      <x:c r="F41" s="34" t="str">
        <x:v>range-dependent screening association</x:v>
      </x:c>
    </x:row>
    <x:row r="42" ht="43.20000076293945" hidden="0" customHeight="1">
      <x:c r="A42" s="36" t="str">
        <x:v>P2</x:v>
      </x:c>
      <x:c r="B42" s="36" t="str">
        <x:v>linehaul</x:v>
      </x:c>
      <x:c r="C42" s="75" t="n">
        <x:v>0.02886076511961244</x:v>
      </x:c>
      <x:c r="D42" s="75" t="n">
        <x:v>-0.025584284269825217</x:v>
      </x:c>
      <x:c r="E42" s="36" t="str">
        <x:v>secondary in declared ranges</x:v>
      </x:c>
      <x:c r="F42" s="36" t="str">
        <x:v>range-dependent screening association</x:v>
      </x:c>
    </x:row>
    <x:row r="43" ht="43.20000076293945" hidden="0" customHeight="1">
      <x:c r="A43" s="34" t="str">
        <x:v>P2</x:v>
      </x:c>
      <x:c r="B43" s="34" t="str">
        <x:v>destination</x:v>
      </x:c>
      <x:c r="C43" s="74" t="n">
        <x:v>0.13295347726085843</x:v>
      </x:c>
      <x:c r="D43" s="74" t="n">
        <x:v>-0.0038262647362748473</x:v>
      </x:c>
      <x:c r="E43" s="34" t="str">
        <x:v>secondary in declared ranges</x:v>
      </x:c>
      <x:c r="F43" s="34" t="str">
        <x:v>range-dependent screening association</x:v>
      </x:c>
    </x:row>
    <x:row r="44" ht="43.20000076293945" hidden="0" customHeight="1">
      <x:c r="A44" s="36" t="str">
        <x:v>P2</x:v>
      </x:c>
      <x:c r="B44" s="36" t="str">
        <x:v>ucm</x:v>
      </x:c>
      <x:c r="C44" s="75" t="n">
        <x:v>0.0657891754352826</x:v>
      </x:c>
      <x:c r="D44" s="75" t="n">
        <x:v>-0.09479171990799898</x:v>
      </x:c>
      <x:c r="E44" s="36" t="str">
        <x:v>secondary in declared ranges</x:v>
      </x:c>
      <x:c r="F44" s="36" t="str">
        <x:v>range-dependent screening association</x:v>
      </x:c>
    </x:row>
    <x:row r="45" ht="43.20000076293945" hidden="0" customHeight="1">
      <x:c r="A45" s="34" t="str">
        <x:v>P2</x:v>
      </x:c>
      <x:c r="B45" s="34" t="str">
        <x:v>restoration</x:v>
      </x:c>
      <x:c r="C45" s="74" t="n">
        <x:v>-0.046080956455071716</x:v>
      </x:c>
      <x:c r="D45" s="74" t="n">
        <x:v>0.06782475360837342</x:v>
      </x:c>
      <x:c r="E45" s="34" t="str">
        <x:v>secondary in declared ranges</x:v>
      </x:c>
      <x:c r="F45" s="34" t="str">
        <x:v>range-dependent screening association</x:v>
      </x:c>
    </x:row>
    <x:row r="46" ht="43.20000076293945" hidden="0" customHeight="1">
      <x:c r="A46" s="36" t="str">
        <x:v>P2</x:v>
      </x:c>
      <x:c r="B46" s="36" t="str">
        <x:v>return</x:v>
      </x:c>
      <x:c r="C46" s="75" t="n">
        <x:v>0.01795886620962455</x:v>
      </x:c>
      <x:c r="D46" s="75" t="n">
        <x:v>-0.024689607662307357</x:v>
      </x:c>
      <x:c r="E46" s="36" t="str">
        <x:v>secondary in declared ranges</x:v>
      </x:c>
      <x:c r="F46" s="36" t="str">
        <x:v>range-dependent screening association</x:v>
      </x:c>
    </x:row>
    <x:row r="47" ht="43.20000076293945" hidden="0" customHeight="1">
      <x:c r="A47" s="34" t="str">
        <x:v>H3</x:v>
      </x:c>
      <x:c r="B47" s="34" t="str">
        <x:v>demand</x:v>
      </x:c>
      <x:c r="C47" s="74" t="n">
        <x:v>-0.05474994166601851</x:v>
      </x:c>
      <x:c r="D47" s="74" t="n">
        <x:v>0.08262802920032444</x:v>
      </x:c>
      <x:c r="E47" s="34" t="str">
        <x:v>secondary in declared ranges</x:v>
      </x:c>
      <x:c r="F47" s="34" t="str">
        <x:v>range-dependent screening association</x:v>
      </x:c>
    </x:row>
    <x:row r="48" ht="43.20000076293945" hidden="0" customHeight="1">
      <x:c r="A48" s="36" t="str">
        <x:v>H3</x:v>
      </x:c>
      <x:c r="B48" s="36" t="str">
        <x:v>mandatory_shift</x:v>
      </x:c>
      <x:c r="C48" s="75" t="n">
        <x:v>-0.2808133423704708</x:v>
      </x:c>
      <x:c r="D48" s="75" t="n">
        <x:v>0.39669862998477756</x:v>
      </x:c>
      <x:c r="E48" s="36" t="str">
        <x:v>secondary in declared ranges</x:v>
      </x:c>
      <x:c r="F48" s="36" t="str">
        <x:v>range-dependent screening association</x:v>
      </x:c>
    </x:row>
    <x:row r="49" ht="43.20000076293945" hidden="0" customHeight="1">
      <x:c r="A49" s="34" t="str">
        <x:v>H3</x:v>
      </x:c>
      <x:c r="B49" s="34" t="str">
        <x:v>local</x:v>
      </x:c>
      <x:c r="C49" s="74" t="n">
        <x:v>0.4610113445704952</x:v>
      </x:c>
      <x:c r="D49" s="74" t="n">
        <x:v>-0.8371479683107589</x:v>
      </x:c>
      <x:c r="E49" s="34" t="str">
        <x:v>material rank association</x:v>
      </x:c>
      <x:c r="F49" s="34" t="str">
        <x:v>range-dependent screening association</x:v>
      </x:c>
    </x:row>
    <x:row r="50" ht="43.20000076293945" hidden="0" customHeight="1">
      <x:c r="A50" s="36" t="str">
        <x:v>H3</x:v>
      </x:c>
      <x:c r="B50" s="36" t="str">
        <x:v>road_time</x:v>
      </x:c>
      <x:c r="C50" s="75" t="n">
        <x:v>-0.038336425960288446</x:v>
      </x:c>
      <x:c r="D50" s="75" t="n">
        <x:v>0.040629784775386396</x:v>
      </x:c>
      <x:c r="E50" s="36" t="str">
        <x:v>secondary in declared ranges</x:v>
      </x:c>
      <x:c r="F50" s="36" t="str">
        <x:v>range-dependent screening association</x:v>
      </x:c>
    </x:row>
    <x:row r="51" ht="43.20000076293945" hidden="0" customHeight="1">
      <x:c r="A51" s="34" t="str">
        <x:v>H3</x:v>
      </x:c>
      <x:c r="B51" s="34" t="str">
        <x:v>collection</x:v>
      </x:c>
      <x:c r="C51" s="74" t="n">
        <x:v>0.11739508216757963</x:v>
      </x:c>
      <x:c r="D51" s="74" t="n">
        <x:v>-0.0949103878931988</x:v>
      </x:c>
      <x:c r="E51" s="34" t="str">
        <x:v>secondary in declared ranges</x:v>
      </x:c>
      <x:c r="F51" s="34" t="str">
        <x:v>range-dependent screening association</x:v>
      </x:c>
    </x:row>
    <x:row r="52" ht="43.20000076293945" hidden="0" customHeight="1">
      <x:c r="A52" s="36" t="str">
        <x:v>H3</x:v>
      </x:c>
      <x:c r="B52" s="36" t="str">
        <x:v>ctn</x:v>
      </x:c>
      <x:c r="C52" s="75" t="n">
        <x:v>0.021567350748341648</x:v>
      </x:c>
      <x:c r="D52" s="75" t="n">
        <x:v>-0.00054133934821498</x:v>
      </x:c>
      <x:c r="E52" s="36" t="str">
        <x:v>secondary in declared ranges</x:v>
      </x:c>
      <x:c r="F52" s="36" t="str">
        <x:v>range-dependent screening association</x:v>
      </x:c>
    </x:row>
    <x:row r="53" ht="43.20000076293945" hidden="0" customHeight="1">
      <x:c r="A53" s="34" t="str">
        <x:v>H3</x:v>
      </x:c>
      <x:c r="B53" s="34" t="str">
        <x:v>linehaul</x:v>
      </x:c>
      <x:c r="C53" s="74" t="n">
        <x:v>0.01956155068389649</x:v>
      </x:c>
      <x:c r="D53" s="74" t="n">
        <x:v>-0.01819442438249314</x:v>
      </x:c>
      <x:c r="E53" s="34" t="str">
        <x:v>secondary in declared ranges</x:v>
      </x:c>
      <x:c r="F53" s="34" t="str">
        <x:v>range-dependent screening association</x:v>
      </x:c>
    </x:row>
    <x:row r="54" ht="43.20000076293945" hidden="0" customHeight="1">
      <x:c r="A54" s="36" t="str">
        <x:v>H3</x:v>
      </x:c>
      <x:c r="B54" s="36" t="str">
        <x:v>destination</x:v>
      </x:c>
      <x:c r="C54" s="75" t="n">
        <x:v>0.057459305103390035</x:v>
      </x:c>
      <x:c r="D54" s="75" t="n">
        <x:v>-0.008444538272647474</x:v>
      </x:c>
      <x:c r="E54" s="36" t="str">
        <x:v>secondary in declared ranges</x:v>
      </x:c>
      <x:c r="F54" s="36" t="str">
        <x:v>range-dependent screening association</x:v>
      </x:c>
    </x:row>
    <x:row r="55" ht="43.20000076293945" hidden="0" customHeight="1">
      <x:c r="A55" s="34" t="str">
        <x:v>H3</x:v>
      </x:c>
      <x:c r="B55" s="34" t="str">
        <x:v>ucm</x:v>
      </x:c>
      <x:c r="C55" s="74" t="n">
        <x:v>0.06269669662996255</x:v>
      </x:c>
      <x:c r="D55" s="74" t="n">
        <x:v>-0.0855845064945166</x:v>
      </x:c>
      <x:c r="E55" s="34" t="str">
        <x:v>secondary in declared ranges</x:v>
      </x:c>
      <x:c r="F55" s="34" t="str">
        <x:v>range-dependent screening association</x:v>
      </x:c>
    </x:row>
    <x:row r="56" ht="43.20000076293945" hidden="0" customHeight="1">
      <x:c r="A56" s="36" t="str">
        <x:v>H3</x:v>
      </x:c>
      <x:c r="B56" s="36" t="str">
        <x:v>restoration</x:v>
      </x:c>
      <x:c r="C56" s="75" t="n">
        <x:v>-0.02525094723274703</x:v>
      </x:c>
      <x:c r="D56" s="75" t="n">
        <x:v>0.05482772030800342</x:v>
      </x:c>
      <x:c r="E56" s="36" t="str">
        <x:v>secondary in declared ranges</x:v>
      </x:c>
      <x:c r="F56" s="36" t="str">
        <x:v>range-dependent screening association</x:v>
      </x:c>
    </x:row>
    <x:row r="57" ht="43.20000076293945" hidden="0" customHeight="1">
      <x:c r="A57" s="34" t="str">
        <x:v>H3</x:v>
      </x:c>
      <x:c r="B57" s="34" t="str">
        <x:v>return</x:v>
      </x:c>
      <x:c r="C57" s="74" t="n">
        <x:v>0.054497494416604626</x:v>
      </x:c>
      <x:c r="D57" s="74" t="n">
        <x:v>-0.02325670285225391</x:v>
      </x:c>
      <x:c r="E57" s="34" t="str">
        <x:v>secondary in declared ranges</x:v>
      </x:c>
      <x:c r="F57" s="34" t="str">
        <x:v>range-dependent screening association</x:v>
      </x:c>
    </x:row>
  </x:sheetData>
  <x:mergeCells>
    <x:mergeCell ref="A1:F1"/>
    <x:mergeCell ref="A2:F2"/>
    <x:mergeCell ref="A4:F4"/>
    <x:mergeCell ref="A12:F1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6" topLeftCell="A57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25" hidden="0" customWidth="1"/>
    <x:col min="4" max="4" width="31" hidden="0" customWidth="1"/>
    <x:col min="5" max="5" width="58" hidden="0" customWidth="1"/>
  </x:cols>
  <x:sheetData>
    <x:row r="1" ht="29" customHeight="1">
      <x:c r="A1" s="2" t="str">
        <x:v>Campaign force capital and operations</x:v>
      </x:c>
      <x:c r="B1" s="2"/>
      <x:c r="C1" s="2"/>
      <x:c r="D1" s="2"/>
      <x:c r="E1" s="2"/>
    </x:row>
    <x:row r="2" ht="34" customHeight="1">
      <x:c r="A2" s="6" t="str">
        <x:v>Real 2026 dollars. Unit factors are design assumptions for architecture comparison, not independent estimates or additive Department budgets.</x:v>
      </x:c>
      <x:c r="B2" s="6"/>
      <x:c r="C2" s="6"/>
      <x:c r="D2" s="6"/>
      <x:c r="E2" s="6"/>
    </x:row>
    <x:row r="4" ht="34" customHeight="1">
      <x:c r="A4" s="25" t="str">
        <x:v>Architecture</x:v>
      </x:c>
      <x:c r="B4" s="26" t="str">
        <x:v>Component</x:v>
      </x:c>
      <x:c r="C4" s="26" t="str">
        <x:v>Capital or annual value $B</x:v>
      </x:c>
      <x:c r="D4" s="26" t="str">
        <x:v>Calculation class</x:v>
      </x:c>
      <x:c r="E4" s="27" t="str">
        <x:v>Boundary</x:v>
      </x:c>
    </x:row>
    <x:row r="5" ht="86.4000015258789" hidden="0" customHeight="1">
      <x:c r="A5" s="35" t="str">
        <x:v>M0</x:v>
      </x:c>
      <x:c r="B5" s="35" t="str">
        <x:v>Protected-local capacity</x:v>
      </x:c>
      <x:c r="C5" s="76" t="n">
        <x:v>5.708427004509886</x:v>
      </x:c>
      <x:c r="D5" s="35" t="str">
        <x:v>declared unit factor × architecture quantity</x:v>
      </x:c>
      <x:c r="E5" s="35" t="str">
        <x:v>planning hypothesis; class-specific independent cost evidence open</x:v>
      </x:c>
    </x:row>
    <x:row r="6" ht="86.4000015258789" hidden="0" customHeight="1">
      <x:c r="A6" s="34" t="str">
        <x:v>M0</x:v>
      </x:c>
      <x:c r="B6" s="34" t="str">
        <x:v>Transfer nodes</x:v>
      </x:c>
      <x:c r="C6" s="77" t="n">
        <x:v>3.8500000000000005</x:v>
      </x:c>
      <x:c r="D6" s="34" t="str">
        <x:v>declared unit factor × architecture quantity</x:v>
      </x:c>
      <x:c r="E6" s="34" t="str">
        <x:v>planning hypothesis; class-specific independent cost evidence open</x:v>
      </x:c>
    </x:row>
    <x:row r="7" ht="86.4000015258789" hidden="0" customHeight="1">
      <x:c r="A7" s="36" t="str">
        <x:v>M0</x:v>
      </x:c>
      <x:c r="B7" s="36" t="str">
        <x:v>Collection fleet</x:v>
      </x:c>
      <x:c r="C7" s="78" t="n">
        <x:v>22.400000000000002</x:v>
      </x:c>
      <x:c r="D7" s="36" t="str">
        <x:v>declared unit factor × architecture quantity</x:v>
      </x:c>
      <x:c r="E7" s="36" t="str">
        <x:v>planning hypothesis; class-specific independent cost evidence open</x:v>
      </x:c>
    </x:row>
    <x:row r="8" ht="86.4000015258789" hidden="0" customHeight="1">
      <x:c r="A8" s="34" t="str">
        <x:v>M0</x:v>
      </x:c>
      <x:c r="B8" s="34" t="str">
        <x:v>Line-haul fleet</x:v>
      </x:c>
      <x:c r="C8" s="77" t="n">
        <x:v>19.2</x:v>
      </x:c>
      <x:c r="D8" s="34" t="str">
        <x:v>declared unit factor × architecture quantity</x:v>
      </x:c>
      <x:c r="E8" s="34" t="str">
        <x:v>planning hypothesis; class-specific independent cost evidence open</x:v>
      </x:c>
    </x:row>
    <x:row r="9" ht="86.4000015258789" hidden="0" customHeight="1">
      <x:c r="A9" s="36" t="str">
        <x:v>M0</x:v>
      </x:c>
      <x:c r="B9" s="36" t="str">
        <x:v>Destination readiness</x:v>
      </x:c>
      <x:c r="C9" s="78" t="n">
        <x:v>21</x:v>
      </x:c>
      <x:c r="D9" s="36" t="str">
        <x:v>declared unit factor × architecture quantity</x:v>
      </x:c>
      <x:c r="E9" s="36" t="str">
        <x:v>planning hypothesis; class-specific independent cost evidence open</x:v>
      </x:c>
    </x:row>
    <x:row r="10" ht="86.4000015258789" hidden="0" customHeight="1">
      <x:c r="A10" s="34" t="str">
        <x:v>M0</x:v>
      </x:c>
      <x:c r="B10" s="34" t="str">
        <x:v>UCM modules</x:v>
      </x:c>
      <x:c r="C10" s="77" t="n">
        <x:v>0.7799999999999999</x:v>
      </x:c>
      <x:c r="D10" s="34" t="str">
        <x:v>declared unit factor × architecture quantity</x:v>
      </x:c>
      <x:c r="E10" s="34" t="str">
        <x:v>planning hypothesis; class-specific independent cost evidence open</x:v>
      </x:c>
    </x:row>
    <x:row r="11" ht="86.4000015258789" hidden="0" customHeight="1">
      <x:c r="A11" s="36" t="str">
        <x:v>M0</x:v>
      </x:c>
      <x:c r="B11" s="36" t="str">
        <x:v>Route-assurance groups</x:v>
      </x:c>
      <x:c r="C11" s="78" t="n">
        <x:v>4.5</x:v>
      </x:c>
      <x:c r="D11" s="36" t="str">
        <x:v>declared unit factor × architecture quantity</x:v>
      </x:c>
      <x:c r="E11" s="36" t="str">
        <x:v>planning hypothesis; class-specific independent cost evidence open</x:v>
      </x:c>
    </x:row>
    <x:row r="12" ht="86.4000015258789" hidden="0" customHeight="1">
      <x:c r="A12" s="34" t="str">
        <x:v>M0</x:v>
      </x:c>
      <x:c r="B12" s="34" t="str">
        <x:v>Command, sustainment, and bases</x:v>
      </x:c>
      <x:c r="C12" s="77" t="n">
        <x:v>15.487685400901979</x:v>
      </x:c>
      <x:c r="D12" s="34" t="str">
        <x:v>declared unit factor × architecture quantity</x:v>
      </x:c>
      <x:c r="E12" s="34" t="str">
        <x:v>planning hypothesis; class-specific independent cost evidence open</x:v>
      </x:c>
    </x:row>
    <x:row r="13" ht="86.4000015258789" hidden="0" customHeight="1">
      <x:c r="A13" s="36" t="str">
        <x:v>M0</x:v>
      </x:c>
      <x:c r="B13" s="36" t="str">
        <x:v>Program reserve</x:v>
      </x:c>
      <x:c r="C13" s="78" t="n">
        <x:v>23.231528101352968</x:v>
      </x:c>
      <x:c r="D13" s="36" t="str">
        <x:v>declared unit factor × architecture quantity</x:v>
      </x:c>
      <x:c r="E13" s="36" t="str">
        <x:v>planning hypothesis; class-specific independent cost evidence open</x:v>
      </x:c>
    </x:row>
    <x:row r="14" ht="86.4000015258789" hidden="0" customHeight="1">
      <x:c r="A14" s="34" t="str">
        <x:v>M0</x:v>
      </x:c>
      <x:c r="B14" s="34" t="str">
        <x:v>Total capital</x:v>
      </x:c>
      <x:c r="C14" s="77" t="n">
        <x:v>116.15764050676484</x:v>
      </x:c>
      <x:c r="D14" s="34" t="str">
        <x:v>formula check below</x:v>
      </x:c>
      <x:c r="E14" s="34" t="str">
        <x:v>planning hypothesis; class-specific independent cost evidence open</x:v>
      </x:c>
    </x:row>
    <x:row r="15" ht="86.4000015258789" hidden="0" customHeight="1">
      <x:c r="A15" s="36" t="str">
        <x:v>M0</x:v>
      </x:c>
      <x:c r="B15" s="36" t="str">
        <x:v>Mature annual operations</x:v>
      </x:c>
      <x:c r="C15" s="78" t="n">
        <x:v>17.918085406742687</x:v>
      </x:c>
      <x:c r="D15" s="36" t="str">
        <x:v>formula check below</x:v>
      </x:c>
      <x:c r="E15" s="36" t="str">
        <x:v>planning hypothesis; class-specific independent cost evidence open</x:v>
      </x:c>
    </x:row>
    <x:row r="16" ht="86.4000015258789" hidden="0" customHeight="1">
      <x:c r="A16" s="34" t="str">
        <x:v>M0</x:v>
      </x:c>
      <x:c r="B16" s="34" t="str">
        <x:v>Twenty-five-year capital plus operations</x:v>
      </x:c>
      <x:c r="C16" s="77" t="n">
        <x:v>564.109775675332</x:v>
      </x:c>
      <x:c r="D16" s="34" t="str">
        <x:v>declared unit factor × architecture quantity</x:v>
      </x:c>
      <x:c r="E16" s="34" t="str">
        <x:v>planning hypothesis; class-specific independent cost evidence open</x:v>
      </x:c>
    </x:row>
    <x:row r="17" ht="86.4000015258789" hidden="0" customHeight="1">
      <x:c r="A17" s="36" t="str">
        <x:v>B1</x:v>
      </x:c>
      <x:c r="B17" s="36" t="str">
        <x:v>Protected-local capacity</x:v>
      </x:c>
      <x:c r="C17" s="78" t="n">
        <x:v>19.309675792808363</x:v>
      </x:c>
      <x:c r="D17" s="36" t="str">
        <x:v>declared unit factor × architecture quantity</x:v>
      </x:c>
      <x:c r="E17" s="36" t="str">
        <x:v>planning hypothesis; class-specific independent cost evidence open</x:v>
      </x:c>
    </x:row>
    <x:row r="18" ht="86.4000015258789" hidden="0" customHeight="1">
      <x:c r="A18" s="34" t="str">
        <x:v>B1</x:v>
      </x:c>
      <x:c r="B18" s="34" t="str">
        <x:v>Transfer nodes</x:v>
      </x:c>
      <x:c r="C18" s="77" t="n">
        <x:v>2.25</x:v>
      </x:c>
      <x:c r="D18" s="34" t="str">
        <x:v>declared unit factor × architecture quantity</x:v>
      </x:c>
      <x:c r="E18" s="34" t="str">
        <x:v>planning hypothesis; class-specific independent cost evidence open</x:v>
      </x:c>
    </x:row>
    <x:row r="19" ht="86.4000015258789" hidden="0" customHeight="1">
      <x:c r="A19" s="36" t="str">
        <x:v>B1</x:v>
      </x:c>
      <x:c r="B19" s="36" t="str">
        <x:v>Collection fleet</x:v>
      </x:c>
      <x:c r="C19" s="78" t="n">
        <x:v>14.4</x:v>
      </x:c>
      <x:c r="D19" s="36" t="str">
        <x:v>declared unit factor × architecture quantity</x:v>
      </x:c>
      <x:c r="E19" s="36" t="str">
        <x:v>planning hypothesis; class-specific independent cost evidence open</x:v>
      </x:c>
    </x:row>
    <x:row r="20" ht="86.4000015258789" hidden="0" customHeight="1">
      <x:c r="A20" s="34" t="str">
        <x:v>B1</x:v>
      </x:c>
      <x:c r="B20" s="34" t="str">
        <x:v>Line-haul fleet</x:v>
      </x:c>
      <x:c r="C20" s="77" t="n">
        <x:v>12.6</x:v>
      </x:c>
      <x:c r="D20" s="34" t="str">
        <x:v>declared unit factor × architecture quantity</x:v>
      </x:c>
      <x:c r="E20" s="34" t="str">
        <x:v>planning hypothesis; class-specific independent cost evidence open</x:v>
      </x:c>
    </x:row>
    <x:row r="21" ht="86.4000015258789" hidden="0" customHeight="1">
      <x:c r="A21" s="36" t="str">
        <x:v>B1</x:v>
      </x:c>
      <x:c r="B21" s="36" t="str">
        <x:v>Destination readiness</x:v>
      </x:c>
      <x:c r="C21" s="78" t="n">
        <x:v>12.5</x:v>
      </x:c>
      <x:c r="D21" s="36" t="str">
        <x:v>declared unit factor × architecture quantity</x:v>
      </x:c>
      <x:c r="E21" s="36" t="str">
        <x:v>planning hypothesis; class-specific independent cost evidence open</x:v>
      </x:c>
    </x:row>
    <x:row r="22" ht="86.4000015258789" hidden="0" customHeight="1">
      <x:c r="A22" s="34" t="str">
        <x:v>B1</x:v>
      </x:c>
      <x:c r="B22" s="34" t="str">
        <x:v>UCM modules</x:v>
      </x:c>
      <x:c r="C22" s="77" t="n">
        <x:v>0.5399999999999999</x:v>
      </x:c>
      <x:c r="D22" s="34" t="str">
        <x:v>declared unit factor × architecture quantity</x:v>
      </x:c>
      <x:c r="E22" s="34" t="str">
        <x:v>planning hypothesis; class-specific independent cost evidence open</x:v>
      </x:c>
    </x:row>
    <x:row r="23" ht="86.4000015258789" hidden="0" customHeight="1">
      <x:c r="A23" s="36" t="str">
        <x:v>B1</x:v>
      </x:c>
      <x:c r="B23" s="36" t="str">
        <x:v>Route-assurance groups</x:v>
      </x:c>
      <x:c r="C23" s="78" t="n">
        <x:v>3.6</x:v>
      </x:c>
      <x:c r="D23" s="36" t="str">
        <x:v>declared unit factor × architecture quantity</x:v>
      </x:c>
      <x:c r="E23" s="36" t="str">
        <x:v>planning hypothesis; class-specific independent cost evidence open</x:v>
      </x:c>
    </x:row>
    <x:row r="24" ht="86.4000015258789" hidden="0" customHeight="1">
      <x:c r="A24" s="34" t="str">
        <x:v>B1</x:v>
      </x:c>
      <x:c r="B24" s="34" t="str">
        <x:v>Command, sustainment, and bases</x:v>
      </x:c>
      <x:c r="C24" s="77" t="n">
        <x:v>13.039935158561674</x:v>
      </x:c>
      <x:c r="D24" s="34" t="str">
        <x:v>declared unit factor × architecture quantity</x:v>
      </x:c>
      <x:c r="E24" s="34" t="str">
        <x:v>planning hypothesis; class-specific independent cost evidence open</x:v>
      </x:c>
    </x:row>
    <x:row r="25" ht="86.4000015258789" hidden="0" customHeight="1">
      <x:c r="A25" s="36" t="str">
        <x:v>B1</x:v>
      </x:c>
      <x:c r="B25" s="36" t="str">
        <x:v>Program reserve</x:v>
      </x:c>
      <x:c r="C25" s="78" t="n">
        <x:v>19.55990273784251</x:v>
      </x:c>
      <x:c r="D25" s="36" t="str">
        <x:v>declared unit factor × architecture quantity</x:v>
      </x:c>
      <x:c r="E25" s="36" t="str">
        <x:v>planning hypothesis; class-specific independent cost evidence open</x:v>
      </x:c>
    </x:row>
    <x:row r="26" ht="86.4000015258789" hidden="0" customHeight="1">
      <x:c r="A26" s="34" t="str">
        <x:v>B1</x:v>
      </x:c>
      <x:c r="B26" s="34" t="str">
        <x:v>Total capital</x:v>
      </x:c>
      <x:c r="C26" s="77" t="n">
        <x:v>97.79951368921255</x:v>
      </x:c>
      <x:c r="D26" s="34" t="str">
        <x:v>formula check below</x:v>
      </x:c>
      <x:c r="E26" s="34" t="str">
        <x:v>planning hypothesis; class-specific independent cost evidence open</x:v>
      </x:c>
    </x:row>
    <x:row r="27" ht="86.4000015258789" hidden="0" customHeight="1">
      <x:c r="A27" s="36" t="str">
        <x:v>B1</x:v>
      </x:c>
      <x:c r="B27" s="36" t="str">
        <x:v>Mature annual operations</x:v>
      </x:c>
      <x:c r="C27" s="78" t="n">
        <x:v>16.131025008528617</x:v>
      </x:c>
      <x:c r="D27" s="36" t="str">
        <x:v>formula check below</x:v>
      </x:c>
      <x:c r="E27" s="36" t="str">
        <x:v>planning hypothesis; class-specific independent cost evidence open</x:v>
      </x:c>
    </x:row>
    <x:row r="28" ht="86.4000015258789" hidden="0" customHeight="1">
      <x:c r="A28" s="34" t="str">
        <x:v>B1</x:v>
      </x:c>
      <x:c r="B28" s="34" t="str">
        <x:v>Twenty-five-year capital plus operations</x:v>
      </x:c>
      <x:c r="C28" s="77" t="n">
        <x:v>501.07513890242797</x:v>
      </x:c>
      <x:c r="D28" s="34" t="str">
        <x:v>declared unit factor × architecture quantity</x:v>
      </x:c>
      <x:c r="E28" s="34" t="str">
        <x:v>planning hypothesis; class-specific independent cost evidence open</x:v>
      </x:c>
    </x:row>
    <x:row r="29" ht="86.4000015258789" hidden="0" customHeight="1">
      <x:c r="A29" s="36" t="str">
        <x:v>P2</x:v>
      </x:c>
      <x:c r="B29" s="36" t="str">
        <x:v>Protected-local capacity</x:v>
      </x:c>
      <x:c r="C29" s="78" t="n">
        <x:v>27.973730339881815</x:v>
      </x:c>
      <x:c r="D29" s="36" t="str">
        <x:v>declared unit factor × architecture quantity</x:v>
      </x:c>
      <x:c r="E29" s="36" t="str">
        <x:v>planning hypothesis; class-specific independent cost evidence open</x:v>
      </x:c>
    </x:row>
    <x:row r="30" ht="86.4000015258789" hidden="0" customHeight="1">
      <x:c r="A30" s="34" t="str">
        <x:v>P2</x:v>
      </x:c>
      <x:c r="B30" s="34" t="str">
        <x:v>Transfer nodes</x:v>
      </x:c>
      <x:c r="C30" s="77" t="n">
        <x:v>1.4</x:v>
      </x:c>
      <x:c r="D30" s="34" t="str">
        <x:v>declared unit factor × architecture quantity</x:v>
      </x:c>
      <x:c r="E30" s="34" t="str">
        <x:v>planning hypothesis; class-specific independent cost evidence open</x:v>
      </x:c>
    </x:row>
    <x:row r="31" ht="86.4000015258789" hidden="0" customHeight="1">
      <x:c r="A31" s="36" t="str">
        <x:v>P2</x:v>
      </x:c>
      <x:c r="B31" s="36" t="str">
        <x:v>Collection fleet</x:v>
      </x:c>
      <x:c r="C31" s="78" t="n">
        <x:v>9.200000000000001</x:v>
      </x:c>
      <x:c r="D31" s="36" t="str">
        <x:v>declared unit factor × architecture quantity</x:v>
      </x:c>
      <x:c r="E31" s="36" t="str">
        <x:v>planning hypothesis; class-specific independent cost evidence open</x:v>
      </x:c>
    </x:row>
    <x:row r="32" ht="86.4000015258789" hidden="0" customHeight="1">
      <x:c r="A32" s="34" t="str">
        <x:v>P2</x:v>
      </x:c>
      <x:c r="B32" s="34" t="str">
        <x:v>Line-haul fleet</x:v>
      </x:c>
      <x:c r="C32" s="77" t="n">
        <x:v>8.4</x:v>
      </x:c>
      <x:c r="D32" s="34" t="str">
        <x:v>declared unit factor × architecture quantity</x:v>
      </x:c>
      <x:c r="E32" s="34" t="str">
        <x:v>planning hypothesis; class-specific independent cost evidence open</x:v>
      </x:c>
    </x:row>
    <x:row r="33" ht="86.4000015258789" hidden="0" customHeight="1">
      <x:c r="A33" s="36" t="str">
        <x:v>P2</x:v>
      </x:c>
      <x:c r="B33" s="36" t="str">
        <x:v>Destination readiness</x:v>
      </x:c>
      <x:c r="C33" s="78" t="n">
        <x:v>7.5</x:v>
      </x:c>
      <x:c r="D33" s="36" t="str">
        <x:v>declared unit factor × architecture quantity</x:v>
      </x:c>
      <x:c r="E33" s="36" t="str">
        <x:v>planning hypothesis; class-specific independent cost evidence open</x:v>
      </x:c>
    </x:row>
    <x:row r="34" ht="86.4000015258789" hidden="0" customHeight="1">
      <x:c r="A34" s="34" t="str">
        <x:v>P2</x:v>
      </x:c>
      <x:c r="B34" s="34" t="str">
        <x:v>UCM modules</x:v>
      </x:c>
      <x:c r="C34" s="77" t="n">
        <x:v>0.38399999999999995</x:v>
      </x:c>
      <x:c r="D34" s="34" t="str">
        <x:v>declared unit factor × architecture quantity</x:v>
      </x:c>
      <x:c r="E34" s="34" t="str">
        <x:v>planning hypothesis; class-specific independent cost evidence open</x:v>
      </x:c>
    </x:row>
    <x:row r="35" ht="86.4000015258789" hidden="0" customHeight="1">
      <x:c r="A35" s="36" t="str">
        <x:v>P2</x:v>
      </x:c>
      <x:c r="B35" s="36" t="str">
        <x:v>Route-assurance groups</x:v>
      </x:c>
      <x:c r="C35" s="78" t="n">
        <x:v>3.6</x:v>
      </x:c>
      <x:c r="D35" s="36" t="str">
        <x:v>declared unit factor × architecture quantity</x:v>
      </x:c>
      <x:c r="E35" s="36" t="str">
        <x:v>planning hypothesis; class-specific independent cost evidence open</x:v>
      </x:c>
    </x:row>
    <x:row r="36" ht="86.4000015258789" hidden="0" customHeight="1">
      <x:c r="A36" s="34" t="str">
        <x:v>P2</x:v>
      </x:c>
      <x:c r="B36" s="34" t="str">
        <x:v>Command, sustainment, and bases</x:v>
      </x:c>
      <x:c r="C36" s="77" t="n">
        <x:v>11.691546067976363</x:v>
      </x:c>
      <x:c r="D36" s="34" t="str">
        <x:v>declared unit factor × architecture quantity</x:v>
      </x:c>
      <x:c r="E36" s="34" t="str">
        <x:v>planning hypothesis; class-specific independent cost evidence open</x:v>
      </x:c>
    </x:row>
    <x:row r="37" ht="86.4000015258789" hidden="0" customHeight="1">
      <x:c r="A37" s="36" t="str">
        <x:v>P2</x:v>
      </x:c>
      <x:c r="B37" s="36" t="str">
        <x:v>Program reserve</x:v>
      </x:c>
      <x:c r="C37" s="78" t="n">
        <x:v>17.537319101964545</x:v>
      </x:c>
      <x:c r="D37" s="36" t="str">
        <x:v>declared unit factor × architecture quantity</x:v>
      </x:c>
      <x:c r="E37" s="36" t="str">
        <x:v>planning hypothesis; class-specific independent cost evidence open</x:v>
      </x:c>
    </x:row>
    <x:row r="38" ht="86.4000015258789" hidden="0" customHeight="1">
      <x:c r="A38" s="34" t="str">
        <x:v>P2</x:v>
      </x:c>
      <x:c r="B38" s="34" t="str">
        <x:v>Total capital</x:v>
      </x:c>
      <x:c r="C38" s="77" t="n">
        <x:v>87.68659550982272</x:v>
      </x:c>
      <x:c r="D38" s="34" t="str">
        <x:v>formula check below</x:v>
      </x:c>
      <x:c r="E38" s="34" t="str">
        <x:v>planning hypothesis; class-specific independent cost evidence open</x:v>
      </x:c>
    </x:row>
    <x:row r="39" ht="86.4000015258789" hidden="0" customHeight="1">
      <x:c r="A39" s="36" t="str">
        <x:v>P2</x:v>
      </x:c>
      <x:c r="B39" s="36" t="str">
        <x:v>Mature annual operations</x:v>
      </x:c>
      <x:c r="C39" s="78" t="n">
        <x:v>15.342913761319611</x:v>
      </x:c>
      <x:c r="D39" s="36" t="str">
        <x:v>formula check below</x:v>
      </x:c>
      <x:c r="E39" s="36" t="str">
        <x:v>planning hypothesis; class-specific independent cost evidence open</x:v>
      </x:c>
    </x:row>
    <x:row r="40" ht="86.4000015258789" hidden="0" customHeight="1">
      <x:c r="A40" s="34" t="str">
        <x:v>P2</x:v>
      </x:c>
      <x:c r="B40" s="34" t="str">
        <x:v>Twenty-five-year capital plus operations</x:v>
      </x:c>
      <x:c r="C40" s="77" t="n">
        <x:v>471.259439542813</x:v>
      </x:c>
      <x:c r="D40" s="34" t="str">
        <x:v>declared unit factor × architecture quantity</x:v>
      </x:c>
      <x:c r="E40" s="34" t="str">
        <x:v>planning hypothesis; class-specific independent cost evidence open</x:v>
      </x:c>
    </x:row>
    <x:row r="41" ht="86.4000015258789" hidden="0" customHeight="1">
      <x:c r="A41" s="36" t="str">
        <x:v>H3</x:v>
      </x:c>
      <x:c r="B41" s="36" t="str">
        <x:v>Protected-local capacity</x:v>
      </x:c>
      <x:c r="C41" s="78" t="n">
        <x:v>29.018733868343674</x:v>
      </x:c>
      <x:c r="D41" s="36" t="str">
        <x:v>declared unit factor × architecture quantity</x:v>
      </x:c>
      <x:c r="E41" s="36" t="str">
        <x:v>planning hypothesis; class-specific independent cost evidence open</x:v>
      </x:c>
    </x:row>
    <x:row r="42" ht="86.4000015258789" hidden="0" customHeight="1">
      <x:c r="A42" s="34" t="str">
        <x:v>H3</x:v>
      </x:c>
      <x:c r="B42" s="34" t="str">
        <x:v>Transfer nodes</x:v>
      </x:c>
      <x:c r="C42" s="77" t="n">
        <x:v>2</x:v>
      </x:c>
      <x:c r="D42" s="34" t="str">
        <x:v>declared unit factor × architecture quantity</x:v>
      </x:c>
      <x:c r="E42" s="34" t="str">
        <x:v>planning hypothesis; class-specific independent cost evidence open</x:v>
      </x:c>
    </x:row>
    <x:row r="43" ht="86.4000015258789" hidden="0" customHeight="1">
      <x:c r="A43" s="36" t="str">
        <x:v>H3</x:v>
      </x:c>
      <x:c r="B43" s="36" t="str">
        <x:v>Collection fleet</x:v>
      </x:c>
      <x:c r="C43" s="78" t="n">
        <x:v>14.4</x:v>
      </x:c>
      <x:c r="D43" s="36" t="str">
        <x:v>declared unit factor × architecture quantity</x:v>
      </x:c>
      <x:c r="E43" s="36" t="str">
        <x:v>planning hypothesis; class-specific independent cost evidence open</x:v>
      </x:c>
    </x:row>
    <x:row r="44" ht="86.4000015258789" hidden="0" customHeight="1">
      <x:c r="A44" s="34" t="str">
        <x:v>H3</x:v>
      </x:c>
      <x:c r="B44" s="34" t="str">
        <x:v>Line-haul fleet</x:v>
      </x:c>
      <x:c r="C44" s="77" t="n">
        <x:v>12</x:v>
      </x:c>
      <x:c r="D44" s="34" t="str">
        <x:v>declared unit factor × architecture quantity</x:v>
      </x:c>
      <x:c r="E44" s="34" t="str">
        <x:v>planning hypothesis; class-specific independent cost evidence open</x:v>
      </x:c>
    </x:row>
    <x:row r="45" ht="86.4000015258789" hidden="0" customHeight="1">
      <x:c r="A45" s="36" t="str">
        <x:v>H3</x:v>
      </x:c>
      <x:c r="B45" s="36" t="str">
        <x:v>Destination readiness</x:v>
      </x:c>
      <x:c r="C45" s="78" t="n">
        <x:v>12.5</x:v>
      </x:c>
      <x:c r="D45" s="36" t="str">
        <x:v>declared unit factor × architecture quantity</x:v>
      </x:c>
      <x:c r="E45" s="36" t="str">
        <x:v>planning hypothesis; class-specific independent cost evidence open</x:v>
      </x:c>
    </x:row>
    <x:row r="46" ht="86.4000015258789" hidden="0" customHeight="1">
      <x:c r="A46" s="34" t="str">
        <x:v>H3</x:v>
      </x:c>
      <x:c r="B46" s="34" t="str">
        <x:v>UCM modules</x:v>
      </x:c>
      <x:c r="C46" s="77" t="n">
        <x:v>0.6599999999999999</x:v>
      </x:c>
      <x:c r="D46" s="34" t="str">
        <x:v>declared unit factor × architecture quantity</x:v>
      </x:c>
      <x:c r="E46" s="34" t="str">
        <x:v>planning hypothesis; class-specific independent cost evidence open</x:v>
      </x:c>
    </x:row>
    <x:row r="47" ht="86.4000015258789" hidden="0" customHeight="1">
      <x:c r="A47" s="36" t="str">
        <x:v>H3</x:v>
      </x:c>
      <x:c r="B47" s="36" t="str">
        <x:v>Route-assurance groups</x:v>
      </x:c>
      <x:c r="C47" s="78" t="n">
        <x:v>6.3</x:v>
      </x:c>
      <x:c r="D47" s="36" t="str">
        <x:v>declared unit factor × architecture quantity</x:v>
      </x:c>
      <x:c r="E47" s="36" t="str">
        <x:v>planning hypothesis; class-specific independent cost evidence open</x:v>
      </x:c>
    </x:row>
    <x:row r="48" ht="86.4000015258789" hidden="0" customHeight="1">
      <x:c r="A48" s="34" t="str">
        <x:v>H3</x:v>
      </x:c>
      <x:c r="B48" s="34" t="str">
        <x:v>Command, sustainment, and bases</x:v>
      </x:c>
      <x:c r="C48" s="77" t="n">
        <x:v>15.375746773668736</x:v>
      </x:c>
      <x:c r="D48" s="34" t="str">
        <x:v>declared unit factor × architecture quantity</x:v>
      </x:c>
      <x:c r="E48" s="34" t="str">
        <x:v>planning hypothesis; class-specific independent cost evidence open</x:v>
      </x:c>
    </x:row>
    <x:row r="49" ht="86.4000015258789" hidden="0" customHeight="1">
      <x:c r="A49" s="36" t="str">
        <x:v>H3</x:v>
      </x:c>
      <x:c r="B49" s="36" t="str">
        <x:v>Program reserve</x:v>
      </x:c>
      <x:c r="C49" s="78" t="n">
        <x:v>23.063620160503103</x:v>
      </x:c>
      <x:c r="D49" s="36" t="str">
        <x:v>declared unit factor × architecture quantity</x:v>
      </x:c>
      <x:c r="E49" s="36" t="str">
        <x:v>planning hypothesis; class-specific independent cost evidence open</x:v>
      </x:c>
    </x:row>
    <x:row r="50" ht="86.4000015258789" hidden="0" customHeight="1">
      <x:c r="A50" s="34" t="str">
        <x:v>H3</x:v>
      </x:c>
      <x:c r="B50" s="34" t="str">
        <x:v>Total capital</x:v>
      </x:c>
      <x:c r="C50" s="77" t="n">
        <x:v>115.31810080251552</x:v>
      </x:c>
      <x:c r="D50" s="34" t="str">
        <x:v>formula check below</x:v>
      </x:c>
      <x:c r="E50" s="34" t="str">
        <x:v>planning hypothesis; class-specific independent cost evidence open</x:v>
      </x:c>
    </x:row>
    <x:row r="51" ht="86.4000015258789" hidden="0" customHeight="1">
      <x:c r="A51" s="36" t="str">
        <x:v>H3</x:v>
      </x:c>
      <x:c r="B51" s="36" t="str">
        <x:v>Mature annual operations</x:v>
      </x:c>
      <x:c r="C51" s="78" t="n">
        <x:v>19.4052104442258</x:v>
      </x:c>
      <x:c r="D51" s="36" t="str">
        <x:v>formula check below</x:v>
      </x:c>
      <x:c r="E51" s="36" t="str">
        <x:v>planning hypothesis; class-specific independent cost evidence open</x:v>
      </x:c>
    </x:row>
    <x:row r="52" ht="86.4000015258789" hidden="0" customHeight="1">
      <x:c r="A52" s="34" t="str">
        <x:v>H3</x:v>
      </x:c>
      <x:c r="B52" s="34" t="str">
        <x:v>Twenty-five-year capital plus operations</x:v>
      </x:c>
      <x:c r="C52" s="77" t="n">
        <x:v>600.4483619081606</x:v>
      </x:c>
      <x:c r="D52" s="34" t="str">
        <x:v>declared unit factor × architecture quantity</x:v>
      </x:c>
      <x:c r="E52" s="34" t="str">
        <x:v>planning hypothesis; class-specific independent cost evidence open</x:v>
      </x:c>
    </x:row>
    <x:row r="55" ht="23" customHeight="1">
      <x:c r="A55" s="9" t="str">
        <x:v>Architecture totals</x:v>
      </x:c>
      <x:c r="B55" s="9"/>
      <x:c r="C55" s="9"/>
      <x:c r="D55" s="9"/>
      <x:c r="E55" s="9"/>
    </x:row>
    <x:row r="56" ht="34" customHeight="1">
      <x:c r="A56" s="25" t="str">
        <x:v>Architecture</x:v>
      </x:c>
      <x:c r="B56" s="26" t="str">
        <x:v>Capital $B</x:v>
      </x:c>
      <x:c r="C56" s="26" t="str">
        <x:v>Annual operations $B</x:v>
      </x:c>
      <x:c r="D56" s="26" t="str">
        <x:v>25-year $B</x:v>
      </x:c>
      <x:c r="E56" s="27" t="str">
        <x:v>Reconciliation</x:v>
      </x:c>
    </x:row>
    <x:row r="57" ht="15" hidden="0" customHeight="1">
      <x:c r="A57" s="35" t="str">
        <x:v>M0</x:v>
      </x:c>
      <x:c r="B57" s="49" t="n">
        <x:f>C14</x:f>
        <x:v>116.15764050676484</x:v>
      </x:c>
      <x:c r="C57" s="49" t="n">
        <x:f>C15</x:f>
        <x:v>17.918085406742687</x:v>
      </x:c>
      <x:c r="D57" s="49" t="n">
        <x:f>C16</x:f>
        <x:v>564.109775675332</x:v>
      </x:c>
      <x:c r="E57" s="37" t="str">
        <x:f>IF(ABS(D57-B57-25*C57)&lt;0.001,"PASS","FAIL")</x:f>
        <x:v>PASS</x:v>
      </x:c>
    </x:row>
    <x:row r="58" ht="15" hidden="0" customHeight="1">
      <x:c r="A58" s="34" t="str">
        <x:v>B1</x:v>
      </x:c>
      <x:c r="B58" s="50" t="n">
        <x:f>C26</x:f>
        <x:v>97.79951368921255</x:v>
      </x:c>
      <x:c r="C58" s="50" t="n">
        <x:f>C27</x:f>
        <x:v>16.131025008528617</x:v>
      </x:c>
      <x:c r="D58" s="50" t="n">
        <x:f>C28</x:f>
        <x:v>501.07513890242797</x:v>
      </x:c>
      <x:c r="E58" s="38" t="str">
        <x:f>IF(ABS(D58-B58-25*C58)&lt;0.001,"PASS","FAIL")</x:f>
        <x:v>PASS</x:v>
      </x:c>
    </x:row>
    <x:row r="59" ht="15" hidden="0" customHeight="1">
      <x:c r="A59" s="36" t="str">
        <x:v>P2</x:v>
      </x:c>
      <x:c r="B59" s="51" t="n">
        <x:f>C38</x:f>
        <x:v>87.68659550982272</x:v>
      </x:c>
      <x:c r="C59" s="51" t="n">
        <x:f>C39</x:f>
        <x:v>15.342913761319611</x:v>
      </x:c>
      <x:c r="D59" s="51" t="n">
        <x:f>C40</x:f>
        <x:v>471.259439542813</x:v>
      </x:c>
      <x:c r="E59" s="39" t="str">
        <x:f>IF(ABS(D59-B59-25*C59)&lt;0.001,"PASS","FAIL")</x:f>
        <x:v>PASS</x:v>
      </x:c>
    </x:row>
    <x:row r="60" ht="15" hidden="0" customHeight="1">
      <x:c r="A60" s="34" t="str">
        <x:v>H3</x:v>
      </x:c>
      <x:c r="B60" s="50" t="n">
        <x:f>C50</x:f>
        <x:v>115.31810080251552</x:v>
      </x:c>
      <x:c r="C60" s="50" t="n">
        <x:f>C51</x:f>
        <x:v>19.4052104442258</x:v>
      </x:c>
      <x:c r="D60" s="50" t="n">
        <x:f>C52</x:f>
        <x:v>600.4483619081606</x:v>
      </x:c>
      <x:c r="E60" s="38" t="str">
        <x:f>IF(ABS(D60-B60-25*C60)&lt;0.001,"PASS","FAIL")</x:f>
        <x:v>PASS</x:v>
      </x:c>
    </x:row>
  </x:sheetData>
  <x:mergeCells>
    <x:mergeCell ref="A1:E1"/>
    <x:mergeCell ref="A2:E2"/>
    <x:mergeCell ref="A55:E5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6" topLeftCell="A37" activePane="bottomLeft" state="frozen"/>
    </x:sheetView>
  </x:sheetViews>
  <x:sheetFormatPr defaultRowHeight="15"/>
  <x:cols>
    <x:col min="1" max="1" width="16" hidden="0" customWidth="1"/>
    <x:col min="2" max="2" width="43" hidden="0" customWidth="1"/>
    <x:col min="3" max="3" width="20" hidden="0" customWidth="1"/>
    <x:col min="4" max="4" width="52" hidden="0" customWidth="1"/>
    <x:col min="5" max="5" width="52" hidden="0" customWidth="1"/>
  </x:cols>
  <x:sheetData>
    <x:row r="1" ht="29" customHeight="1">
      <x:c r="A1" s="2" t="str">
        <x:v>Deployed campaign workforce</x:v>
      </x:c>
      <x:c r="B1" s="2"/>
      <x:c r="C1" s="2"/>
      <x:c r="D1" s="2"/>
      <x:c r="E1" s="2"/>
    </x:row>
    <x:row r="2" ht="34" customHeight="1">
      <x:c r="A2" s="6" t="str">
        <x:v>Function factors include local operations, Pass 34 CTN staffing, collection, line haul, route assurance, and 20% command, sustainment, and relief.</x:v>
      </x:c>
      <x:c r="B2" s="6"/>
      <x:c r="C2" s="6"/>
      <x:c r="D2" s="6"/>
      <x:c r="E2" s="6"/>
    </x:row>
    <x:row r="4" ht="34" customHeight="1">
      <x:c r="A4" s="25" t="str">
        <x:v>Architecture</x:v>
      </x:c>
      <x:c r="B4" s="26" t="str">
        <x:v>Function</x:v>
      </x:c>
      <x:c r="C4" s="26" t="str">
        <x:v>People</x:v>
      </x:c>
      <x:c r="D4" s="26" t="str">
        <x:v>Calculation class</x:v>
      </x:c>
      <x:c r="E4" s="27" t="str">
        <x:v>Boundary</x:v>
      </x:c>
    </x:row>
    <x:row r="5" ht="75.5999984741211" hidden="0" customHeight="1">
      <x:c r="A5" s="35" t="str">
        <x:v>M0</x:v>
      </x:c>
      <x:c r="B5" s="35" t="str">
        <x:v>Protected-local operations</x:v>
      </x:c>
      <x:c r="C5" s="61" t="n">
        <x:v>4009.750769451389</x:v>
      </x:c>
      <x:c r="D5" s="35" t="str">
        <x:v>declared staffing factor</x:v>
      </x:c>
      <x:c r="E5" s="35" t="str">
        <x:v>occupation, licensing, relief, reserve, and home-base demand open</x:v>
      </x:c>
    </x:row>
    <x:row r="6" ht="75.5999984741211" hidden="0" customHeight="1">
      <x:c r="A6" s="34" t="str">
        <x:v>M0</x:v>
      </x:c>
      <x:c r="B6" s="34" t="str">
        <x:v>Transfer-node operations</x:v>
      </x:c>
      <x:c r="C6" s="62" t="n">
        <x:v>16023</x:v>
      </x:c>
      <x:c r="D6" s="34" t="str">
        <x:v>declared staffing factor</x:v>
      </x:c>
      <x:c r="E6" s="34" t="str">
        <x:v>occupation, licensing, relief, reserve, and home-base demand open</x:v>
      </x:c>
    </x:row>
    <x:row r="7" ht="75.5999984741211" hidden="0" customHeight="1">
      <x:c r="A7" s="36" t="str">
        <x:v>M0</x:v>
      </x:c>
      <x:c r="B7" s="36" t="str">
        <x:v>Collection operations</x:v>
      </x:c>
      <x:c r="C7" s="63" t="n">
        <x:v>8400</x:v>
      </x:c>
      <x:c r="D7" s="36" t="str">
        <x:v>declared staffing factor</x:v>
      </x:c>
      <x:c r="E7" s="36" t="str">
        <x:v>occupation, licensing, relief, reserve, and home-base demand open</x:v>
      </x:c>
    </x:row>
    <x:row r="8" ht="75.5999984741211" hidden="0" customHeight="1">
      <x:c r="A8" s="34" t="str">
        <x:v>M0</x:v>
      </x:c>
      <x:c r="B8" s="34" t="str">
        <x:v>Line-haul operations</x:v>
      </x:c>
      <x:c r="C8" s="62" t="n">
        <x:v>8000</x:v>
      </x:c>
      <x:c r="D8" s="34" t="str">
        <x:v>declared staffing factor</x:v>
      </x:c>
      <x:c r="E8" s="34" t="str">
        <x:v>occupation, licensing, relief, reserve, and home-base demand open</x:v>
      </x:c>
    </x:row>
    <x:row r="9" ht="75.5999984741211" hidden="0" customHeight="1">
      <x:c r="A9" s="36" t="str">
        <x:v>M0</x:v>
      </x:c>
      <x:c r="B9" s="36" t="str">
        <x:v>Route assurance</x:v>
      </x:c>
      <x:c r="C9" s="63" t="n">
        <x:v>3500</x:v>
      </x:c>
      <x:c r="D9" s="36" t="str">
        <x:v>declared staffing factor</x:v>
      </x:c>
      <x:c r="E9" s="36" t="str">
        <x:v>occupation, licensing, relief, reserve, and home-base demand open</x:v>
      </x:c>
    </x:row>
    <x:row r="10" ht="75.5999984741211" hidden="0" customHeight="1">
      <x:c r="A10" s="34" t="str">
        <x:v>M0</x:v>
      </x:c>
      <x:c r="B10" s="34" t="str">
        <x:v>Command, sustainment, and relief</x:v>
      </x:c>
      <x:c r="C10" s="62" t="n">
        <x:v>7986.550153890275</x:v>
      </x:c>
      <x:c r="D10" s="34" t="str">
        <x:v>declared staffing factor</x:v>
      </x:c>
      <x:c r="E10" s="34" t="str">
        <x:v>occupation, licensing, relief, reserve, and home-base demand open</x:v>
      </x:c>
    </x:row>
    <x:row r="11" ht="75.5999984741211" hidden="0" customHeight="1">
      <x:c r="A11" s="36" t="str">
        <x:v>M0</x:v>
      </x:c>
      <x:c r="B11" s="36" t="str">
        <x:v>Total deployed campaign workforce</x:v>
      </x:c>
      <x:c r="C11" s="63" t="n">
        <x:v>47919.30092334167</x:v>
      </x:c>
      <x:c r="D11" s="36" t="str">
        <x:v>formula check below</x:v>
      </x:c>
      <x:c r="E11" s="36" t="str">
        <x:v>occupation, licensing, relief, reserve, and home-base demand open</x:v>
      </x:c>
    </x:row>
    <x:row r="12" ht="75.5999984741211" hidden="0" customHeight="1">
      <x:c r="A12" s="34" t="str">
        <x:v>B1</x:v>
      </x:c>
      <x:c r="B12" s="34" t="str">
        <x:v>Protected-local operations</x:v>
      </x:c>
      <x:c r="C12" s="62" t="n">
        <x:v>13563.62922866488</x:v>
      </x:c>
      <x:c r="D12" s="34" t="str">
        <x:v>declared staffing factor</x:v>
      </x:c>
      <x:c r="E12" s="34" t="str">
        <x:v>occupation, licensing, relief, reserve, and home-base demand open</x:v>
      </x:c>
    </x:row>
    <x:row r="13" ht="75.5999984741211" hidden="0" customHeight="1">
      <x:c r="A13" s="36" t="str">
        <x:v>B1</x:v>
      </x:c>
      <x:c r="B13" s="36" t="str">
        <x:v>Transfer-node operations</x:v>
      </x:c>
      <x:c r="C13" s="63" t="n">
        <x:v>11445</x:v>
      </x:c>
      <x:c r="D13" s="36" t="str">
        <x:v>declared staffing factor</x:v>
      </x:c>
      <x:c r="E13" s="36" t="str">
        <x:v>occupation, licensing, relief, reserve, and home-base demand open</x:v>
      </x:c>
    </x:row>
    <x:row r="14" ht="75.5999984741211" hidden="0" customHeight="1">
      <x:c r="A14" s="34" t="str">
        <x:v>B1</x:v>
      </x:c>
      <x:c r="B14" s="34" t="str">
        <x:v>Collection operations</x:v>
      </x:c>
      <x:c r="C14" s="62" t="n">
        <x:v>5400</x:v>
      </x:c>
      <x:c r="D14" s="34" t="str">
        <x:v>declared staffing factor</x:v>
      </x:c>
      <x:c r="E14" s="34" t="str">
        <x:v>occupation, licensing, relief, reserve, and home-base demand open</x:v>
      </x:c>
    </x:row>
    <x:row r="15" ht="75.5999984741211" hidden="0" customHeight="1">
      <x:c r="A15" s="36" t="str">
        <x:v>B1</x:v>
      </x:c>
      <x:c r="B15" s="36" t="str">
        <x:v>Line-haul operations</x:v>
      </x:c>
      <x:c r="C15" s="63" t="n">
        <x:v>5250</x:v>
      </x:c>
      <x:c r="D15" s="36" t="str">
        <x:v>declared staffing factor</x:v>
      </x:c>
      <x:c r="E15" s="36" t="str">
        <x:v>occupation, licensing, relief, reserve, and home-base demand open</x:v>
      </x:c>
    </x:row>
    <x:row r="16" ht="75.5999984741211" hidden="0" customHeight="1">
      <x:c r="A16" s="34" t="str">
        <x:v>B1</x:v>
      </x:c>
      <x:c r="B16" s="34" t="str">
        <x:v>Route assurance</x:v>
      </x:c>
      <x:c r="C16" s="62" t="n">
        <x:v>2800</x:v>
      </x:c>
      <x:c r="D16" s="34" t="str">
        <x:v>declared staffing factor</x:v>
      </x:c>
      <x:c r="E16" s="34" t="str">
        <x:v>occupation, licensing, relief, reserve, and home-base demand open</x:v>
      </x:c>
    </x:row>
    <x:row r="17" ht="75.5999984741211" hidden="0" customHeight="1">
      <x:c r="A17" s="36" t="str">
        <x:v>B1</x:v>
      </x:c>
      <x:c r="B17" s="36" t="str">
        <x:v>Command, sustainment, and relief</x:v>
      </x:c>
      <x:c r="C17" s="63" t="n">
        <x:v>7691.7258457329735</x:v>
      </x:c>
      <x:c r="D17" s="36" t="str">
        <x:v>declared staffing factor</x:v>
      </x:c>
      <x:c r="E17" s="36" t="str">
        <x:v>occupation, licensing, relief, reserve, and home-base demand open</x:v>
      </x:c>
    </x:row>
    <x:row r="18" ht="75.5999984741211" hidden="0" customHeight="1">
      <x:c r="A18" s="34" t="str">
        <x:v>B1</x:v>
      </x:c>
      <x:c r="B18" s="34" t="str">
        <x:v>Total deployed campaign workforce</x:v>
      </x:c>
      <x:c r="C18" s="62" t="n">
        <x:v>46150.355074397856</x:v>
      </x:c>
      <x:c r="D18" s="34" t="str">
        <x:v>formula check below</x:v>
      </x:c>
      <x:c r="E18" s="34" t="str">
        <x:v>occupation, licensing, relief, reserve, and home-base demand open</x:v>
      </x:c>
    </x:row>
    <x:row r="19" ht="75.5999984741211" hidden="0" customHeight="1">
      <x:c r="A19" s="36" t="str">
        <x:v>P2</x:v>
      </x:c>
      <x:c r="B19" s="36" t="str">
        <x:v>Protected-local operations</x:v>
      </x:c>
      <x:c r="C19" s="63" t="n">
        <x:v>19649.49129876756</x:v>
      </x:c>
      <x:c r="D19" s="36" t="str">
        <x:v>declared staffing factor</x:v>
      </x:c>
      <x:c r="E19" s="36" t="str">
        <x:v>occupation, licensing, relief, reserve, and home-base demand open</x:v>
      </x:c>
    </x:row>
    <x:row r="20" ht="75.5999984741211" hidden="0" customHeight="1">
      <x:c r="A20" s="34" t="str">
        <x:v>P2</x:v>
      </x:c>
      <x:c r="B20" s="34" t="str">
        <x:v>Transfer-node operations</x:v>
      </x:c>
      <x:c r="C20" s="62" t="n">
        <x:v>9156</x:v>
      </x:c>
      <x:c r="D20" s="34" t="str">
        <x:v>declared staffing factor</x:v>
      </x:c>
      <x:c r="E20" s="34" t="str">
        <x:v>occupation, licensing, relief, reserve, and home-base demand open</x:v>
      </x:c>
    </x:row>
    <x:row r="21" ht="75.5999984741211" hidden="0" customHeight="1">
      <x:c r="A21" s="36" t="str">
        <x:v>P2</x:v>
      </x:c>
      <x:c r="B21" s="36" t="str">
        <x:v>Collection operations</x:v>
      </x:c>
      <x:c r="C21" s="63" t="n">
        <x:v>3450</x:v>
      </x:c>
      <x:c r="D21" s="36" t="str">
        <x:v>declared staffing factor</x:v>
      </x:c>
      <x:c r="E21" s="36" t="str">
        <x:v>occupation, licensing, relief, reserve, and home-base demand open</x:v>
      </x:c>
    </x:row>
    <x:row r="22" ht="75.5999984741211" hidden="0" customHeight="1">
      <x:c r="A22" s="34" t="str">
        <x:v>P2</x:v>
      </x:c>
      <x:c r="B22" s="34" t="str">
        <x:v>Line-haul operations</x:v>
      </x:c>
      <x:c r="C22" s="62" t="n">
        <x:v>3500</x:v>
      </x:c>
      <x:c r="D22" s="34" t="str">
        <x:v>declared staffing factor</x:v>
      </x:c>
      <x:c r="E22" s="34" t="str">
        <x:v>occupation, licensing, relief, reserve, and home-base demand open</x:v>
      </x:c>
    </x:row>
    <x:row r="23" ht="75.5999984741211" hidden="0" customHeight="1">
      <x:c r="A23" s="36" t="str">
        <x:v>P2</x:v>
      </x:c>
      <x:c r="B23" s="36" t="str">
        <x:v>Route assurance</x:v>
      </x:c>
      <x:c r="C23" s="63" t="n">
        <x:v>2800</x:v>
      </x:c>
      <x:c r="D23" s="36" t="str">
        <x:v>declared staffing factor</x:v>
      </x:c>
      <x:c r="E23" s="36" t="str">
        <x:v>occupation, licensing, relief, reserve, and home-base demand open</x:v>
      </x:c>
    </x:row>
    <x:row r="24" ht="75.5999984741211" hidden="0" customHeight="1">
      <x:c r="A24" s="34" t="str">
        <x:v>P2</x:v>
      </x:c>
      <x:c r="B24" s="34" t="str">
        <x:v>Command, sustainment, and relief</x:v>
      </x:c>
      <x:c r="C24" s="62" t="n">
        <x:v>7711.098259753511</x:v>
      </x:c>
      <x:c r="D24" s="34" t="str">
        <x:v>declared staffing factor</x:v>
      </x:c>
      <x:c r="E24" s="34" t="str">
        <x:v>occupation, licensing, relief, reserve, and home-base demand open</x:v>
      </x:c>
    </x:row>
    <x:row r="25" ht="75.5999984741211" hidden="0" customHeight="1">
      <x:c r="A25" s="36" t="str">
        <x:v>P2</x:v>
      </x:c>
      <x:c r="B25" s="36" t="str">
        <x:v>Total deployed campaign workforce</x:v>
      </x:c>
      <x:c r="C25" s="63" t="n">
        <x:v>46266.589558521075</x:v>
      </x:c>
      <x:c r="D25" s="36" t="str">
        <x:v>formula check below</x:v>
      </x:c>
      <x:c r="E25" s="36" t="str">
        <x:v>occupation, licensing, relief, reserve, and home-base demand open</x:v>
      </x:c>
    </x:row>
    <x:row r="26" ht="75.5999984741211" hidden="0" customHeight="1">
      <x:c r="A26" s="34" t="str">
        <x:v>H3</x:v>
      </x:c>
      <x:c r="B26" s="34" t="str">
        <x:v>Protected-local operations</x:v>
      </x:c>
      <x:c r="C26" s="62" t="n">
        <x:v>20383.52953715073</x:v>
      </x:c>
      <x:c r="D26" s="34" t="str">
        <x:v>declared staffing factor</x:v>
      </x:c>
      <x:c r="E26" s="34" t="str">
        <x:v>occupation, licensing, relief, reserve, and home-base demand open</x:v>
      </x:c>
    </x:row>
    <x:row r="27" ht="75.5999984741211" hidden="0" customHeight="1">
      <x:c r="A27" s="36" t="str">
        <x:v>H3</x:v>
      </x:c>
      <x:c r="B27" s="36" t="str">
        <x:v>Transfer-node operations</x:v>
      </x:c>
      <x:c r="C27" s="63" t="n">
        <x:v>11445</x:v>
      </x:c>
      <x:c r="D27" s="36" t="str">
        <x:v>declared staffing factor</x:v>
      </x:c>
      <x:c r="E27" s="36" t="str">
        <x:v>occupation, licensing, relief, reserve, and home-base demand open</x:v>
      </x:c>
    </x:row>
    <x:row r="28" ht="75.5999984741211" hidden="0" customHeight="1">
      <x:c r="A28" s="34" t="str">
        <x:v>H3</x:v>
      </x:c>
      <x:c r="B28" s="34" t="str">
        <x:v>Collection operations</x:v>
      </x:c>
      <x:c r="C28" s="62" t="n">
        <x:v>5400</x:v>
      </x:c>
      <x:c r="D28" s="34" t="str">
        <x:v>declared staffing factor</x:v>
      </x:c>
      <x:c r="E28" s="34" t="str">
        <x:v>occupation, licensing, relief, reserve, and home-base demand open</x:v>
      </x:c>
    </x:row>
    <x:row r="29" ht="75.5999984741211" hidden="0" customHeight="1">
      <x:c r="A29" s="36" t="str">
        <x:v>H3</x:v>
      </x:c>
      <x:c r="B29" s="36" t="str">
        <x:v>Line-haul operations</x:v>
      </x:c>
      <x:c r="C29" s="63" t="n">
        <x:v>5000</x:v>
      </x:c>
      <x:c r="D29" s="36" t="str">
        <x:v>declared staffing factor</x:v>
      </x:c>
      <x:c r="E29" s="36" t="str">
        <x:v>occupation, licensing, relief, reserve, and home-base demand open</x:v>
      </x:c>
    </x:row>
    <x:row r="30" ht="75.5999984741211" hidden="0" customHeight="1">
      <x:c r="A30" s="34" t="str">
        <x:v>H3</x:v>
      </x:c>
      <x:c r="B30" s="34" t="str">
        <x:v>Route assurance</x:v>
      </x:c>
      <x:c r="C30" s="62" t="n">
        <x:v>4900</x:v>
      </x:c>
      <x:c r="D30" s="34" t="str">
        <x:v>declared staffing factor</x:v>
      </x:c>
      <x:c r="E30" s="34" t="str">
        <x:v>occupation, licensing, relief, reserve, and home-base demand open</x:v>
      </x:c>
    </x:row>
    <x:row r="31" ht="75.5999984741211" hidden="0" customHeight="1">
      <x:c r="A31" s="36" t="str">
        <x:v>H3</x:v>
      </x:c>
      <x:c r="B31" s="36" t="str">
        <x:v>Command, sustainment, and relief</x:v>
      </x:c>
      <x:c r="C31" s="63" t="n">
        <x:v>9425.705907430143</x:v>
      </x:c>
      <x:c r="D31" s="36" t="str">
        <x:v>declared staffing factor</x:v>
      </x:c>
      <x:c r="E31" s="36" t="str">
        <x:v>occupation, licensing, relief, reserve, and home-base demand open</x:v>
      </x:c>
    </x:row>
    <x:row r="32" ht="75.5999984741211" hidden="0" customHeight="1">
      <x:c r="A32" s="34" t="str">
        <x:v>H3</x:v>
      </x:c>
      <x:c r="B32" s="34" t="str">
        <x:v>Total deployed campaign workforce</x:v>
      </x:c>
      <x:c r="C32" s="62" t="n">
        <x:v>56554.235444580874</x:v>
      </x:c>
      <x:c r="D32" s="34" t="str">
        <x:v>formula check below</x:v>
      </x:c>
      <x:c r="E32" s="34" t="str">
        <x:v>occupation, licensing, relief, reserve, and home-base demand open</x:v>
      </x:c>
    </x:row>
    <x:row r="35" ht="23" customHeight="1">
      <x:c r="A35" s="9" t="str">
        <x:v>Total check</x:v>
      </x:c>
      <x:c r="B35" s="9"/>
      <x:c r="C35" s="9"/>
      <x:c r="D35" s="9"/>
      <x:c r="E35" s="9"/>
    </x:row>
    <x:row r="36" ht="34" customHeight="1">
      <x:c r="A36" s="25" t="str">
        <x:v>Architecture</x:v>
      </x:c>
      <x:c r="B36" s="26" t="str">
        <x:v>Calculated component sum</x:v>
      </x:c>
      <x:c r="C36" s="26" t="str">
        <x:v>Reported total</x:v>
      </x:c>
      <x:c r="D36" s="26" t="str">
        <x:v>Difference</x:v>
      </x:c>
      <x:c r="E36" s="27" t="str">
        <x:v>Result</x:v>
      </x:c>
    </x:row>
    <x:row r="37" ht="15" hidden="0" customHeight="1">
      <x:c r="A37" s="35" t="str">
        <x:v>M0</x:v>
      </x:c>
      <x:c r="B37" s="52" t="n">
        <x:f>SUM(C5:C10)</x:f>
        <x:v>47919.30092334167</x:v>
      </x:c>
      <x:c r="C37" s="52" t="n">
        <x:f>C11</x:f>
        <x:v>47919.30092334167</x:v>
      </x:c>
      <x:c r="D37" s="52" t="n">
        <x:f>B37-C37</x:f>
        <x:v>0</x:v>
      </x:c>
      <x:c r="E37" s="37" t="str">
        <x:f>IF(ABS(D37)&lt;0.01,"PASS","FAIL")</x:f>
        <x:v>PASS</x:v>
      </x:c>
    </x:row>
    <x:row r="38" ht="15" hidden="0" customHeight="1">
      <x:c r="A38" s="34" t="str">
        <x:v>B1</x:v>
      </x:c>
      <x:c r="B38" s="53" t="n">
        <x:f>SUM(C12:C17)</x:f>
        <x:v>46150.355074397856</x:v>
      </x:c>
      <x:c r="C38" s="53" t="n">
        <x:f>C18</x:f>
        <x:v>46150.355074397856</x:v>
      </x:c>
      <x:c r="D38" s="53" t="n">
        <x:f>B38-C38</x:f>
        <x:v>0</x:v>
      </x:c>
      <x:c r="E38" s="38" t="str">
        <x:f>IF(ABS(D38)&lt;0.01,"PASS","FAIL")</x:f>
        <x:v>PASS</x:v>
      </x:c>
    </x:row>
    <x:row r="39" ht="15" hidden="0" customHeight="1">
      <x:c r="A39" s="36" t="str">
        <x:v>P2</x:v>
      </x:c>
      <x:c r="B39" s="54" t="n">
        <x:f>SUM(C19:C24)</x:f>
        <x:v>46266.589558521075</x:v>
      </x:c>
      <x:c r="C39" s="54" t="n">
        <x:f>C25</x:f>
        <x:v>46266.589558521075</x:v>
      </x:c>
      <x:c r="D39" s="54" t="n">
        <x:f>B39-C39</x:f>
        <x:v>0</x:v>
      </x:c>
      <x:c r="E39" s="39" t="str">
        <x:f>IF(ABS(D39)&lt;0.01,"PASS","FAIL")</x:f>
        <x:v>PASS</x:v>
      </x:c>
    </x:row>
    <x:row r="40" ht="15" hidden="0" customHeight="1">
      <x:c r="A40" s="34" t="str">
        <x:v>H3</x:v>
      </x:c>
      <x:c r="B40" s="53" t="n">
        <x:f>SUM(C26:C31)</x:f>
        <x:v>56554.235444580874</x:v>
      </x:c>
      <x:c r="C40" s="53" t="n">
        <x:f>C32</x:f>
        <x:v>56554.235444580874</x:v>
      </x:c>
      <x:c r="D40" s="53" t="n">
        <x:f>B40-C40</x:f>
        <x:v>0</x:v>
      </x:c>
      <x:c r="E40" s="38" t="str">
        <x:f>IF(ABS(D40)&lt;0.01,"PASS","FAIL")</x:f>
        <x:v>PASS</x:v>
      </x:c>
    </x:row>
  </x:sheetData>
  <x:mergeCells>
    <x:mergeCell ref="A1:E1"/>
    <x:mergeCell ref="A2:E2"/>
    <x:mergeCell ref="A35:E3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  <x:col min="6" max="6" width="24" hidden="0" customWidth="1"/>
  </x:cols>
  <x:sheetData>
    <x:row r="1" ht="29" customHeight="1">
      <x:c r="A1" s="2" t="str">
        <x:v>Mission-driven technology programs</x:v>
      </x:c>
      <x:c r="B1" s="2"/>
      <x:c r="C1" s="2"/>
      <x:c r="D1" s="2"/>
      <x:c r="E1" s="2"/>
      <x:c r="F1" s="2"/>
    </x:row>
    <x:row r="2" ht="34" customHeight="1">
      <x:c r="A2" s="6" t="str">
        <x:v>Each program owns a failed parameter in the complete service chain and keeps rival technical paths visible until representative evidence supports selection.</x:v>
      </x:c>
      <x:c r="B2" s="6"/>
      <x:c r="C2" s="6"/>
      <x:c r="D2" s="6"/>
      <x:c r="E2" s="6"/>
      <x:c r="F2" s="6"/>
    </x:row>
    <x:row r="4" ht="34" customHeight="1">
      <x:c r="A4" s="25" t="str">
        <x:v>Program</x:v>
      </x:c>
      <x:c r="B4" s="26" t="str">
        <x:v>Parameter changed</x:v>
      </x:c>
      <x:c r="C4" s="26" t="str">
        <x:v>Rival paths</x:v>
      </x:c>
      <x:c r="D4" s="26" t="str">
        <x:v>Next decision</x:v>
      </x:c>
      <x:c r="E4" s="26" t="str">
        <x:v>Force consumer</x:v>
      </x:c>
      <x:c r="F4" s="27" t="str">
        <x:v>Maturity</x:v>
      </x:c>
    </x:row>
    <x:row r="5" ht="97.19999694824219" hidden="0" customHeight="1">
      <x:c r="A5" s="35" t="str">
        <x:v>Vertical Continuity and Extraction System</x:v>
      </x:c>
      <x:c r="B5" s="35" t="str">
        <x:v>building extraction delay and safe local occupancy</x:v>
      </x:c>
      <x:c r="C5" s="35" t="str">
        <x:v>portable lift/power; facade access; stair-assist robotics; prepared building interfaces</x:v>
      </x:c>
      <x:c r="D5" s="35" t="str">
        <x:v>representative multi-building outage trials</x:v>
      </x:c>
      <x:c r="E5" s="35" t="str">
        <x:v>Neighborhood Continuity and Access Cell</x:v>
      </x:c>
      <x:c r="F5" s="35" t="str">
        <x:v>R1/R2; no rendering</x:v>
      </x:c>
    </x:row>
    <x:row r="6" ht="97.19999694824219" hidden="0" customHeight="1">
      <x:c r="A6" s="34" t="str">
        <x:v>Flood-Routable Collection Mesh</x:v>
      </x:c>
      <x:c r="B6" s="34" t="str">
        <x:v>door-to-node reach and accessible places per crew-hour</x:v>
      </x:c>
      <x:c r="C6" s="34" t="str">
        <x:v>high-water electric vehicles; amphibious shuttles; robotic pickup; neighborhood microhubs</x:v>
      </x:c>
      <x:c r="D6" s="34" t="str">
        <x:v>damaged-street trials with mixed cohorts</x:v>
      </x:c>
      <x:c r="E6" s="34" t="str">
        <x:v>Civil Mobility and Continuity Service</x:v>
      </x:c>
      <x:c r="F6" s="34" t="str">
        <x:v>R1/R2; no rendering</x:v>
      </x:c>
    </x:row>
    <x:row r="7" ht="64.80000305175781" hidden="0" customHeight="1">
      <x:c r="A7" s="36" t="str">
        <x:v>Transfer Node Product Line</x:v>
      </x:c>
      <x:c r="B7" s="36" t="str">
        <x:v>activation time, queue safety, mass, and workforce</x:v>
      </x:c>
      <x:c r="C7" s="36" t="str">
        <x:v>prepared civic site; mobile campus; expeditionary node</x:v>
      </x:c>
      <x:c r="D7" s="36" t="str">
        <x:v>10,000-person/day complete-thread trial</x:v>
      </x:c>
      <x:c r="E7" s="36" t="str">
        <x:v>Theater opening and civil mobility</x:v>
      </x:c>
      <x:c r="F7" s="36" t="str">
        <x:v>R1/R2; no rendering</x:v>
      </x:c>
    </x:row>
    <x:row r="8" ht="97.19999694824219" hidden="0" customHeight="1">
      <x:c r="A8" s="34" t="str">
        <x:v>Universal Continuity Module</x:v>
      </x:c>
      <x:c r="B8" s="34" t="str">
        <x:v>cross-mode transfers per person-hour without care discontinuity</x:v>
      </x:c>
      <x:c r="C8" s="34" t="str">
        <x:v>ISO envelope; rail-native pod; powered clinical module; open-frame interface</x:v>
      </x:c>
      <x:c r="D8" s="34" t="str">
        <x:v>multi-mode handling and twelve-hour occupancy trial</x:v>
      </x:c>
      <x:c r="E8" s="34" t="str">
        <x:v>Accessible and clinical movement formations</x:v>
      </x:c>
      <x:c r="F8" s="34" t="str">
        <x:v>R1/R2; no rendering</x:v>
      </x:c>
    </x:row>
    <x:row r="9" ht="86.4000015258789" hidden="0" customHeight="1">
      <x:c r="A9" s="36" t="str">
        <x:v>Protected District Utility Kit</x:v>
      </x:c>
      <x:c r="B9" s="36" t="str">
        <x:v>protected person-hours per tonne and operator</x:v>
      </x:c>
      <x:c r="C9" s="36" t="str">
        <x:v>building reuse; block microgrid; mobile district; prepared refuge network</x:v>
      </x:c>
      <x:c r="D9" s="36" t="str">
        <x:v>compound heat, flood, smoke, and grid-loss trial</x:v>
      </x:c>
      <x:c r="E9" s="36" t="str">
        <x:v>Community Stabilization and Infrastructure Restoration</x:v>
      </x:c>
      <x:c r="F9" s="36" t="str">
        <x:v>R1/R2; no rendering</x:v>
      </x:c>
    </x:row>
    <x:row r="10" ht="75.5999984741211" hidden="0" customHeight="1">
      <x:c r="A10" s="34" t="str">
        <x:v>Disconnected Civil Journey System</x:v>
      </x:c>
      <x:c r="B10" s="34" t="str">
        <x:v>destination acceptance, custody integrity, and reunification</x:v>
      </x:c>
      <x:c r="C10" s="34" t="str">
        <x:v>local-first identity wallet; federated records; paper-verifiable fallback</x:v>
      </x:c>
      <x:c r="D10" s="34" t="str">
        <x:v>offline multi-jurisdiction journey exercise</x:v>
      </x:c>
      <x:c r="E10" s="34" t="str">
        <x:v>Civil authority and mobility command</x:v>
      </x:c>
      <x:c r="F10" s="34" t="str">
        <x:v>R1/R2; no rendering</x:v>
      </x:c>
    </x:row>
    <x:row r="11" ht="97.19999694824219" hidden="0" customHeight="1">
      <x:c r="A11" s="36" t="str">
        <x:v>Self-Proving Route Restoration</x:v>
      </x:c>
      <x:c r="B11" s="36" t="str">
        <x:v>restoration time and trustworthy route release</x:v>
      </x:c>
      <x:c r="C11" s="36" t="str">
        <x:v>autonomous inspection; instrumented mat/bridge; robotic clearance; human-certified digital twin</x:v>
      </x:c>
      <x:c r="D11" s="36" t="str">
        <x:v>blind damaged-route release trial</x:v>
      </x:c>
      <x:c r="E11" s="36" t="str">
        <x:v>Land Engineering and route assurance</x:v>
      </x:c>
      <x:c r="F11" s="36" t="str">
        <x:v>R1/R2; no rendering</x:v>
      </x:c>
    </x:row>
    <x:row r="12" ht="86.4000015258789" hidden="0" customHeight="1">
      <x:c r="A12" s="34" t="str">
        <x:v>Return and Reentry System</x:v>
      </x:c>
      <x:c r="B12" s="34" t="str">
        <x:v>days displaced and unresolved return obligation</x:v>
      </x:c>
      <x:c r="C12" s="34" t="str">
        <x:v>scheduled reverse bridge; household logistics unit; staged neighborhood reentry</x:v>
      </x:c>
      <x:c r="D12" s="34" t="str">
        <x:v>thirty-day closed-loop campaign exercise</x:v>
      </x:c>
      <x:c r="E12" s="34" t="str">
        <x:v>Civil mobility, reception, and local government</x:v>
      </x:c>
      <x:c r="F12" s="34" t="str">
        <x:v>R1/R2; no rendering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66" hidden="0" customWidth="1"/>
    <x:col min="4" max="4" width="16" hidden="0" customWidth="1"/>
    <x:col min="5" max="5" width="16" hidden="0" customWidth="1"/>
    <x:col min="6" max="6" width="54" hidden="0" customWidth="1"/>
  </x:cols>
  <x:sheetData>
    <x:row r="1" ht="29" customHeight="1">
      <x:c r="A1" s="2" t="str">
        <x:v>Evidence required before architecture admission</x:v>
      </x:c>
      <x:c r="B1" s="2"/>
      <x:c r="C1" s="2"/>
      <x:c r="D1" s="2"/>
      <x:c r="E1" s="2"/>
      <x:c r="F1" s="2"/>
    </x:row>
    <x:row r="2" ht="34" customHeight="1">
      <x:c r="A2" s="6" t="str">
        <x:v>All gates remain open. Closing arithmetic and a favorable reference run do not establish a safe metropolitan force.</x:v>
      </x:c>
      <x:c r="B2" s="6"/>
      <x:c r="C2" s="6"/>
      <x:c r="D2" s="6"/>
      <x:c r="E2" s="6"/>
      <x:c r="F2" s="6"/>
    </x:row>
    <x:row r="4" ht="34" customHeight="1">
      <x:c r="A4" s="25" t="str">
        <x:v>ID</x:v>
      </x:c>
      <x:c r="B4" s="26" t="str">
        <x:v>Gate</x:v>
      </x:c>
      <x:c r="C4" s="26" t="str">
        <x:v>Closure evidence</x:v>
      </x:c>
      <x:c r="D4" s="26" t="str">
        <x:v>Status</x:v>
      </x:c>
      <x:c r="E4" s="26" t="str">
        <x:v>Rendering effect</x:v>
      </x:c>
      <x:c r="F4" s="27" t="str">
        <x:v>Decision owner</x:v>
      </x:c>
    </x:row>
    <x:row r="5" ht="86.4000015258789" hidden="0" customHeight="1">
      <x:c r="A5" s="35" t="str">
        <x:v>HC-01</x:v>
      </x:c>
      <x:c r="B5" s="35" t="str">
        <x:v>NFHL-to-event translation</x:v>
      </x:c>
      <x:c r="C5" s="35" t="str">
        <x:v>Calibrated event-specific inundation and access states; regulatory zones alone do not close</x:v>
      </x:c>
      <x:c r="D5" s="79" t="str">
        <x:v>OPEN</x:v>
      </x:c>
      <x:c r="E5" s="79" t="str">
        <x:v>BLOCKS</x:v>
      </x:c>
      <x:c r="F5" s="35" t="str">
        <x:v>independent proving authority plus relevant civil/technical authority</x:v>
      </x:c>
    </x:row>
    <x:row r="6" ht="108" hidden="0" customHeight="1">
      <x:c r="A6" s="34" t="str">
        <x:v>HC-02</x:v>
      </x:c>
      <x:c r="B6" s="34" t="str">
        <x:v>Road topology</x:v>
      </x:c>
      <x:c r="C6" s="34" t="str">
        <x:v>Intersection, bridge, grade-separation, closure, direction, capacity, and emergency-control validation</x:v>
      </x:c>
      <x:c r="D6" s="80" t="str">
        <x:v>OPEN</x:v>
      </x:c>
      <x:c r="E6" s="80" t="str">
        <x:v>BLOCKS</x:v>
      </x:c>
      <x:c r="F6" s="34" t="str">
        <x:v>independent proving authority plus relevant civil/technical authority</x:v>
      </x:c>
    </x:row>
    <x:row r="7" ht="97.19999694824219" hidden="0" customHeight="1">
      <x:c r="A7" s="36" t="str">
        <x:v>HC-03</x:v>
      </x:c>
      <x:c r="B7" s="36" t="str">
        <x:v>Road fragility</x:v>
      </x:c>
      <x:c r="C7" s="36" t="str">
        <x:v>Observed failure and restoration distributions by depth, duration, asset, debris, and road class</x:v>
      </x:c>
      <x:c r="D7" s="80" t="str">
        <x:v>OPEN</x:v>
      </x:c>
      <x:c r="E7" s="80" t="str">
        <x:v>BLOCKS</x:v>
      </x:c>
      <x:c r="F7" s="36" t="str">
        <x:v>independent proving authority plus relevant civil/technical authority</x:v>
      </x:c>
    </x:row>
    <x:row r="8" ht="108" hidden="0" customHeight="1">
      <x:c r="A8" s="34" t="str">
        <x:v>HC-04</x:v>
      </x:c>
      <x:c r="B8" s="34" t="str">
        <x:v>Building access</x:v>
      </x:c>
      <x:c r="C8" s="34" t="str">
        <x:v>Parcel/building stories, elevators, backup power, residents, stairs, heat, smoke, and assisted-extraction trials</x:v>
      </x:c>
      <x:c r="D8" s="80" t="str">
        <x:v>OPEN</x:v>
      </x:c>
      <x:c r="E8" s="80" t="str">
        <x:v>BLOCKS</x:v>
      </x:c>
      <x:c r="F8" s="34" t="str">
        <x:v>independent proving authority plus relevant civil/technical authority</x:v>
      </x:c>
    </x:row>
    <x:row r="9" ht="108" hidden="0" customHeight="1">
      <x:c r="A9" s="36" t="str">
        <x:v>HC-05</x:v>
      </x:c>
      <x:c r="B9" s="36" t="str">
        <x:v>Demand timing</x:v>
      </x:c>
      <x:c r="C9" s="36" t="str">
        <x:v>Observed household requests, compliance, shadow evacuation, warning, and spontaneous departure by cohort</x:v>
      </x:c>
      <x:c r="D9" s="80" t="str">
        <x:v>OPEN</x:v>
      </x:c>
      <x:c r="E9" s="80" t="str">
        <x:v>BLOCKS</x:v>
      </x:c>
      <x:c r="F9" s="36" t="str">
        <x:v>independent proving authority plus relevant civil/technical authority</x:v>
      </x:c>
    </x:row>
    <x:row r="10" ht="97.19999694824219" hidden="0" customHeight="1">
      <x:c r="A10" s="34" t="str">
        <x:v>HC-06</x:v>
      </x:c>
      <x:c r="B10" s="34" t="str">
        <x:v>Local protection</x:v>
      </x:c>
      <x:c r="C10" s="34" t="str">
        <x:v>Complete district service trials across flood, heat, grid, water, wastewater, smoke, and staffing loss</x:v>
      </x:c>
      <x:c r="D10" s="80" t="str">
        <x:v>OPEN</x:v>
      </x:c>
      <x:c r="E10" s="80" t="str">
        <x:v>BLOCKS</x:v>
      </x:c>
      <x:c r="F10" s="34" t="str">
        <x:v>independent proving authority plus relevant civil/technical authority</x:v>
      </x:c>
    </x:row>
    <x:row r="11" ht="118.80000305175781" hidden="0" customHeight="1">
      <x:c r="A11" s="36" t="str">
        <x:v>HC-07</x:v>
      </x:c>
      <x:c r="B11" s="36" t="str">
        <x:v>Collection productivity</x:v>
      </x:c>
      <x:c r="C11" s="36" t="str">
        <x:v>Mixed-cohort pickup, loading, routing, refueling, decontamination, maintenance, and crew-cycle evidence</x:v>
      </x:c>
      <x:c r="D11" s="80" t="str">
        <x:v>OPEN</x:v>
      </x:c>
      <x:c r="E11" s="80" t="str">
        <x:v>BLOCKS</x:v>
      </x:c>
      <x:c r="F11" s="36" t="str">
        <x:v>independent proving authority plus relevant civil/technical authority</x:v>
      </x:c>
    </x:row>
    <x:row r="12" ht="129.60000610351562" hidden="0" customHeight="1">
      <x:c r="A12" s="34" t="str">
        <x:v>HC-08</x:v>
      </x:c>
      <x:c r="B12" s="34" t="str">
        <x:v>CTN queue and safety</x:v>
      </x:c>
      <x:c r="C12" s="34" t="str">
        <x:v>Arrival distribution, process time, reneging, accessibility, clinical escalation, security, utilities, and waste evidence</x:v>
      </x:c>
      <x:c r="D12" s="80" t="str">
        <x:v>OPEN</x:v>
      </x:c>
      <x:c r="E12" s="80" t="str">
        <x:v>BLOCKS</x:v>
      </x:c>
      <x:c r="F12" s="34" t="str">
        <x:v>independent proving authority plus relevant civil/technical authority</x:v>
      </x:c>
    </x:row>
    <x:row r="13" ht="118.80000305175781" hidden="0" customHeight="1">
      <x:c r="A13" s="36" t="str">
        <x:v>HC-09</x:v>
      </x:c>
      <x:c r="B13" s="36" t="str">
        <x:v>UCM handling</x:v>
      </x:c>
      <x:c r="C13" s="36" t="str">
        <x:v>Representative mode transfers, restraint, life support, power, cleaning, emergency egress, and human-factors evidence</x:v>
      </x:c>
      <x:c r="D13" s="80" t="str">
        <x:v>OPEN</x:v>
      </x:c>
      <x:c r="E13" s="80" t="str">
        <x:v>BLOCKS</x:v>
      </x:c>
      <x:c r="F13" s="36" t="str">
        <x:v>independent proving authority plus relevant civil/technical authority</x:v>
      </x:c>
    </x:row>
    <x:row r="14" ht="118.80000305175781" hidden="0" customHeight="1">
      <x:c r="A14" s="34" t="str">
        <x:v>HC-10</x:v>
      </x:c>
      <x:c r="B14" s="34" t="str">
        <x:v>Line-haul throughput</x:v>
      </x:c>
      <x:c r="C14" s="34" t="str">
        <x:v>Vehicle, crew, terminal, refueling, airspace/rail/road slots, maintenance, and weather cycle distributions</x:v>
      </x:c>
      <x:c r="D14" s="80" t="str">
        <x:v>OPEN</x:v>
      </x:c>
      <x:c r="E14" s="80" t="str">
        <x:v>BLOCKS</x:v>
      </x:c>
      <x:c r="F14" s="34" t="str">
        <x:v>independent proving authority plus relevant civil/technical authority</x:v>
      </x:c>
    </x:row>
    <x:row r="15" ht="118.80000305175781" hidden="0" customHeight="1">
      <x:c r="A15" s="36" t="str">
        <x:v>HC-11</x:v>
      </x:c>
      <x:c r="B15" s="36" t="str">
        <x:v>Destination admission</x:v>
      </x:c>
      <x:c r="C15" s="36" t="str">
        <x:v>Named receiving sites, surviving services, staff, records, inspection, rights, and host-authority capacity</x:v>
      </x:c>
      <x:c r="D15" s="80" t="str">
        <x:v>OPEN</x:v>
      </x:c>
      <x:c r="E15" s="80" t="str">
        <x:v>BLOCKS</x:v>
      </x:c>
      <x:c r="F15" s="36" t="str">
        <x:v>independent proving authority plus relevant civil/technical authority</x:v>
      </x:c>
    </x:row>
    <x:row r="16" ht="118.80000305175781" hidden="0" customHeight="1">
      <x:c r="A16" s="34" t="str">
        <x:v>HC-12</x:v>
      </x:c>
      <x:c r="B16" s="34" t="str">
        <x:v>Return</x:v>
      </x:c>
      <x:c r="C16" s="34" t="str">
        <x:v>Origin safety release, household information, reverse capacity, property/care continuity, and durable-settlement rules</x:v>
      </x:c>
      <x:c r="D16" s="80" t="str">
        <x:v>OPEN</x:v>
      </x:c>
      <x:c r="E16" s="80" t="str">
        <x:v>BLOCKS</x:v>
      </x:c>
      <x:c r="F16" s="34" t="str">
        <x:v>independent proving authority plus relevant civil/technical authority</x:v>
      </x:c>
    </x:row>
    <x:row r="17" ht="118.80000305175781" hidden="0" customHeight="1">
      <x:c r="A17" s="36" t="str">
        <x:v>HC-13</x:v>
      </x:c>
      <x:c r="B17" s="36" t="str">
        <x:v>Equity and rights</x:v>
      </x:c>
      <x:c r="C17" s="36" t="str">
        <x:v>Distributional outcomes, consent, family integrity, disability access, custody, privacy, and independent remedy</x:v>
      </x:c>
      <x:c r="D17" s="80" t="str">
        <x:v>OPEN</x:v>
      </x:c>
      <x:c r="E17" s="80" t="str">
        <x:v>BLOCKS</x:v>
      </x:c>
      <x:c r="F17" s="36" t="str">
        <x:v>independent proving authority plus relevant civil/technical authority</x:v>
      </x:c>
    </x:row>
    <x:row r="18" ht="97.19999694824219" hidden="0" customHeight="1">
      <x:c r="A18" s="34" t="str">
        <x:v>HC-14</x:v>
      </x:c>
      <x:c r="B18" s="34" t="str">
        <x:v>Common-mode dependence</x:v>
      </x:c>
      <x:c r="C18" s="34" t="str">
        <x:v>Joint fuel, power, communications, labor, vendor, authority, inspection, and repair distributions</x:v>
      </x:c>
      <x:c r="D18" s="80" t="str">
        <x:v>OPEN</x:v>
      </x:c>
      <x:c r="E18" s="80" t="str">
        <x:v>BLOCKS</x:v>
      </x:c>
      <x:c r="F18" s="34" t="str">
        <x:v>independent proving authority plus relevant civil/technical authority</x:v>
      </x:c>
    </x:row>
    <x:row r="19" ht="108" hidden="0" customHeight="1">
      <x:c r="A19" s="36" t="str">
        <x:v>HC-15</x:v>
      </x:c>
      <x:c r="B19" s="36" t="str">
        <x:v>Workforce</x:v>
      </x:c>
      <x:c r="C19" s="36" t="str">
        <x:v>Occupation-level staffing, relief, training, licensing, reserve response, attrition, and home-base demand</x:v>
      </x:c>
      <x:c r="D19" s="80" t="str">
        <x:v>OPEN</x:v>
      </x:c>
      <x:c r="E19" s="80" t="str">
        <x:v>BLOCKS</x:v>
      </x:c>
      <x:c r="F19" s="36" t="str">
        <x:v>independent proving authority plus relevant civil/technical authority</x:v>
      </x:c>
    </x:row>
    <x:row r="20" ht="108" hidden="0" customHeight="1">
      <x:c r="A20" s="34" t="str">
        <x:v>HC-16</x:v>
      </x:c>
      <x:c r="B20" s="34" t="str">
        <x:v>Industrial system</x:v>
      </x:c>
      <x:c r="C20" s="34" t="str">
        <x:v>Reference designs, supplier map, second sources, production learning, depot load, and surge trials</x:v>
      </x:c>
      <x:c r="D20" s="80" t="str">
        <x:v>OPEN</x:v>
      </x:c>
      <x:c r="E20" s="80" t="str">
        <x:v>BLOCKS</x:v>
      </x:c>
      <x:c r="F20" s="34" t="str">
        <x:v>independent proving authority plus relevant civil/technical authority</x:v>
      </x:c>
    </x:row>
    <x:row r="21" ht="86.4000015258789" hidden="0" customHeight="1">
      <x:c r="A21" s="36" t="str">
        <x:v>HC-17</x:v>
      </x:c>
      <x:c r="B21" s="36" t="str">
        <x:v>Cost</x:v>
      </x:c>
      <x:c r="C21" s="36" t="str">
        <x:v>Independent class-specific acquisition, construction, operating, incident, and lifecycle estimates</x:v>
      </x:c>
      <x:c r="D21" s="80" t="str">
        <x:v>OPEN</x:v>
      </x:c>
      <x:c r="E21" s="80" t="str">
        <x:v>BLOCKS</x:v>
      </x:c>
      <x:c r="F21" s="36" t="str">
        <x:v>independent proving authority plus relevant civil/technical authority</x:v>
      </x:c>
    </x:row>
    <x:row r="22" ht="75.5999984741211" hidden="0" customHeight="1">
      <x:c r="A22" s="34" t="str">
        <x:v>HC-18</x:v>
      </x:c>
      <x:c r="B22" s="34" t="str">
        <x:v>Campaign replication</x:v>
      </x:c>
      <x:c r="C22" s="34" t="str">
        <x:v>Preregistered repeat in a different metropolitan hazard and infrastructure system</x:v>
      </x:c>
      <x:c r="D22" s="80" t="str">
        <x:v>OPEN</x:v>
      </x:c>
      <x:c r="E22" s="80" t="str">
        <x:v>BLOCKS</x:v>
      </x:c>
      <x:c r="F22" s="34" t="str">
        <x:v>independent proving authority plus relevant civil/technical authority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53" hidden="0" customWidth="1"/>
    <x:col min="4" max="4" width="53" hidden="0" customWidth="1"/>
    <x:col min="5" max="5" width="53" hidden="0" customWidth="1"/>
    <x:col min="6" max="6" width="82" hidden="0" customWidth="1"/>
  </x:cols>
  <x:sheetData>
    <x:row r="1" ht="29" customHeight="1">
      <x:c r="A1" s="2" t="str">
        <x:v>Sources and interpretation boundaries</x:v>
      </x:c>
      <x:c r="B1" s="2"/>
      <x:c r="C1" s="2"/>
      <x:c r="D1" s="2"/>
      <x:c r="E1" s="2"/>
      <x:c r="F1" s="2"/>
    </x:row>
    <x:row r="2" ht="34" customHeight="1">
      <x:c r="A2" s="6" t="str">
        <x:v>Primary official data support geography and demographic screens. Every performance translation remains explicit and open to replacement.</x:v>
      </x:c>
      <x:c r="B2" s="6"/>
      <x:c r="C2" s="6"/>
      <x:c r="D2" s="6"/>
      <x:c r="E2" s="6"/>
      <x:c r="F2" s="6"/>
    </x:row>
    <x:row r="4" ht="34" customHeight="1">
      <x:c r="A4" s="25" t="str">
        <x:v>ID</x:v>
      </x:c>
      <x:c r="B4" s="26" t="str">
        <x:v>Owner</x:v>
      </x:c>
      <x:c r="C4" s="26" t="str">
        <x:v>Asset</x:v>
      </x:c>
      <x:c r="D4" s="26" t="str">
        <x:v>Use</x:v>
      </x:c>
      <x:c r="E4" s="26" t="str">
        <x:v>Boundary</x:v>
      </x:c>
      <x:c r="F4" s="27" t="str">
        <x:v>URL</x:v>
      </x:c>
    </x:row>
    <x:row r="5" ht="86.4000015258789" hidden="0" customHeight="1">
      <x:c r="A5" s="35" t="str">
        <x:v>CENSUS-TIGER25-ROADS</x:v>
      </x:c>
      <x:c r="B5" s="35" t="str">
        <x:v>U.S. Census Bureau</x:v>
      </x:c>
      <x:c r="C5" s="35" t="str">
        <x:v>2025 TIGER/Line Harris County all-roads shapefile</x:v>
      </x:c>
      <x:c r="D5" s="35" t="str">
        <x:v>road geometry and MTFCC class</x:v>
      </x:c>
      <x:c r="E5" s="35" t="str">
        <x:v>no condition, direction, capacity, bridge survival, traffic, or emergency operability</x:v>
      </x:c>
      <x:c r="F5" s="35" t="str">
        <x:v>https://www2.census.gov/geo/tiger/TIGER2025/ROADS/tl_2025_48201_roads.zip</x:v>
      </x:c>
    </x:row>
    <x:row r="6" ht="118.80000305175781" hidden="0" customHeight="1">
      <x:c r="A6" s="34" t="str">
        <x:v>CENSUS-TIGER25-DOC</x:v>
      </x:c>
      <x:c r="B6" s="34" t="str">
        <x:v>U.S. Census Bureau</x:v>
      </x:c>
      <x:c r="C6" s="34" t="str">
        <x:v>2025 TIGER/Line technical documentation</x:v>
      </x:c>
      <x:c r="D6" s="34" t="str">
        <x:v>road-file and MTFCC interpretation</x:v>
      </x:c>
      <x:c r="E6" s="34" t="str">
        <x:v>mapping data are not an operating network</x:v>
      </x:c>
      <x:c r="F6" s="34" t="str">
        <x:v>https://www.census.gov/programs-surveys/geography/technical-documentation/complete-technical-documentation/tiger-geo-line.2025.html</x:v>
      </x:c>
    </x:row>
    <x:row r="7" ht="97.19999694824219" hidden="0" customHeight="1">
      <x:c r="A7" s="36" t="str">
        <x:v>FEMA-NFHL</x:v>
      </x:c>
      <x:c r="B7" s="36" t="str">
        <x:v>Federal Emergency Management Agency</x:v>
      </x:c>
      <x:c r="C7" s="36" t="str">
        <x:v>National Flood Hazard Layer, Harris County DFIRM 48201C</x:v>
      </x:c>
      <x:c r="D7" s="36" t="str">
        <x:v>regulatory high/moderate/low mapped exposure class</x:v>
      </x:c>
      <x:c r="E7" s="36" t="str">
        <x:v>not event depth, duration, current map accuracy, asset fragility, or road closure probability</x:v>
      </x:c>
      <x:c r="F7" s="36" t="str">
        <x:v>https://hazards.fema.gov/arcgis/rest/services/public/NFHL/MapServer/28</x:v>
      </x:c>
    </x:row>
    <x:row r="8" ht="108" hidden="0" customHeight="1">
      <x:c r="A8" s="34" t="str">
        <x:v>TXDOT-EVAC</x:v>
      </x:c>
      <x:c r="B8" s="34" t="str">
        <x:v>Texas Department of Transportation</x:v>
      </x:c>
      <x:c r="C8" s="34" t="str">
        <x:v>TxDOT Evacuation Routes feature layer</x:v>
      </x:c>
      <x:c r="D8" s="34" t="str">
        <x:v>designated evacuation-route marker</x:v>
      </x:c>
      <x:c r="E8" s="34" t="str">
        <x:v>designation does not establish capacity, condition, flood survival, control activation, or travel time</x:v>
      </x:c>
      <x:c r="F8" s="34" t="str">
        <x:v>https://services.arcgis.com/KTcxiTD9dsQw4r7Z/arcgis/rest/services/TxDOT_Evacuation_Routes/FeatureServer/0</x:v>
      </x:c>
    </x:row>
    <x:row r="9" ht="108" hidden="0" customHeight="1">
      <x:c r="A9" s="36" t="str">
        <x:v>ACS24-B18101</x:v>
      </x:c>
      <x:c r="B9" s="36" t="str">
        <x:v>U.S. Census Bureau</x:v>
      </x:c>
      <x:c r="C9" s="36" t="str">
        <x:v>2024 ACS five-year B18101</x:v>
      </x:c>
      <x:c r="D9" s="36" t="str">
        <x:v>tract civilian noninstitutionalized disability share</x:v>
      </x:c>
      <x:c r="E9" s="36" t="str">
        <x:v>survey estimate; disability does not identify individual assistance or movement need</x:v>
      </x:c>
      <x:c r="F9" s="36" t="str">
        <x:v>https://www2.census.gov/programs-surveys/acs/summary_file/2024/table-based-SF/data/5YRData/acsdt5y2024-b18101.dat</x:v>
      </x:c>
    </x:row>
    <x:row r="10" ht="108" hidden="0" customHeight="1">
      <x:c r="A10" s="34" t="str">
        <x:v>ACS24-B08201</x:v>
      </x:c>
      <x:c r="B10" s="34" t="str">
        <x:v>U.S. Census Bureau</x:v>
      </x:c>
      <x:c r="C10" s="34" t="str">
        <x:v>2024 ACS five-year B08201</x:v>
      </x:c>
      <x:c r="D10" s="34" t="str">
        <x:v>tract zero-vehicle person estimate</x:v>
      </x:c>
      <x:c r="E10" s="34" t="str">
        <x:v>4+ households use a 4.5-person coefficient; no event behavior inferred</x:v>
      </x:c>
      <x:c r="F10" s="34" t="str">
        <x:v>https://www2.census.gov/programs-surveys/acs/summary_file/2024/table-based-SF/data/5YRData/acsdt5y2024-b08201.dat</x:v>
      </x:c>
    </x:row>
    <x:row r="11" ht="108" hidden="0" customHeight="1">
      <x:c r="A11" s="36" t="str">
        <x:v>ACS24-B25024</x:v>
      </x:c>
      <x:c r="B11" s="36" t="str">
        <x:v>U.S. Census Bureau</x:v>
      </x:c>
      <x:c r="C11" s="36" t="str">
        <x:v>2024 ACS five-year B25024 Units in Structure</x:v>
      </x:c>
      <x:c r="D11" s="36" t="str">
        <x:v>20+ unit structure share as vertical-access proxy</x:v>
      </x:c>
      <x:c r="E11" s="36" t="str">
        <x:v>housing units are not residents, stories, elevators, outage condition, or extraction need</x:v>
      </x:c>
      <x:c r="F11" s="36" t="str">
        <x:v>https://www2.census.gov/programs-surveys/acs/summary_file/2024/table-based-SF/data/5YRData/acsdt5y2024-b25024.dat</x:v>
      </x:c>
    </x:row>
    <x:row r="12" ht="54" hidden="0" customHeight="1">
      <x:c r="A12" s="34" t="str">
        <x:v>PASS34-CTN-UCM</x:v>
      </x:c>
      <x:c r="B12" s="34" t="str">
        <x:v>Disaster Force research program</x:v>
      </x:c>
      <x:c r="C12" s="34" t="str">
        <x:v>Civil Mobility Assurance Under Deep Uncertainty</x:v>
      </x:c>
      <x:c r="D12" s="34" t="str">
        <x:v>CTN-10 and UCM-8 first-order configuration parameters</x:v>
      </x:c>
      <x:c r="E12" s="34" t="str">
        <x:v>R2+ hypotheses with all evidence gates open</x:v>
      </x:c>
      <x:c r="F12" s="34" t="str">
        <x:v>../force/mobility/mobility-assurance-under-deep-uncertainty.md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20" hidden="0" customWidth="1"/>
    <x:col min="4" max="4" width="20" hidden="0" customWidth="1"/>
    <x:col min="5" max="5" width="14" hidden="0" customWidth="1"/>
    <x:col min="6" max="6" width="56" hidden="0" customWidth="1"/>
  </x:cols>
  <x:sheetData>
    <x:row r="1" ht="29" customHeight="1">
      <x:c r="A1" s="2" t="str">
        <x:v>Model integrity and governance checks</x:v>
      </x:c>
      <x:c r="B1" s="2"/>
      <x:c r="C1" s="2"/>
      <x:c r="D1" s="2"/>
      <x:c r="E1" s="2"/>
      <x:c r="F1" s="2"/>
    </x:row>
    <x:row r="2" ht="34" customHeight="1">
      <x:c r="A2" s="6" t="str">
        <x:v>PASS means the exported workbook reconciles to the generated run and declared rules. It does not close external evidence gates.</x:v>
      </x:c>
      <x:c r="B2" s="6"/>
      <x:c r="C2" s="6"/>
      <x:c r="D2" s="6"/>
      <x:c r="E2" s="6"/>
      <x:c r="F2" s="6"/>
    </x:row>
    <x:row r="4" ht="34" customHeight="1">
      <x:c r="A4" s="25" t="str">
        <x:v>ID</x:v>
      </x:c>
      <x:c r="B4" s="26" t="str">
        <x:v>Check</x:v>
      </x:c>
      <x:c r="C4" s="26" t="str">
        <x:v>Observed</x:v>
      </x:c>
      <x:c r="D4" s="26" t="str">
        <x:v>Expected</x:v>
      </x:c>
      <x:c r="E4" s="26" t="str">
        <x:v>Result</x:v>
      </x:c>
      <x:c r="F4" s="27" t="str">
        <x:v>Meaning</x:v>
      </x:c>
    </x:row>
    <x:row r="5" ht="32.400001525878906" hidden="0" customHeight="1">
      <x:c r="A5" s="35" t="str">
        <x:v>K01</x:v>
      </x:c>
      <x:c r="B5" s="35" t="str">
        <x:v>Tract input rows</x:v>
      </x:c>
      <x:c r="C5" s="70" t="n">
        <x:f>COUNTA('Tract Inputs'!A5:A1115)</x:f>
        <x:v>1111</x:v>
      </x:c>
      <x:c r="D5" s="70" t="n">
        <x:v>1111</x:v>
      </x:c>
      <x:c r="E5" s="35" t="str">
        <x:f>IF(ABS(C5-D5)&lt;0.001,"PASS","FAIL")</x:f>
        <x:v>PASS</x:v>
      </x:c>
      <x:c r="F5" s="35" t="str">
        <x:v>complete Harris tract screen</x:v>
      </x:c>
    </x:row>
    <x:row r="6" ht="43.20000076293945" hidden="0" customHeight="1">
      <x:c r="A6" s="34" t="str">
        <x:v>K02</x:v>
      </x:c>
      <x:c r="B6" s="34" t="str">
        <x:v>Road feature count</x:v>
      </x:c>
      <x:c r="C6" s="71" t="n">
        <x:v>65144</x:v>
      </x:c>
      <x:c r="D6" s="71" t="n">
        <x:v>65144</x:v>
      </x:c>
      <x:c r="E6" s="34" t="str">
        <x:f>IF(ABS(C6-D6)&lt;0.001,"PASS","FAIL")</x:f>
        <x:v>PASS</x:v>
      </x:c>
      <x:c r="F6" s="34" t="str">
        <x:v>selected motor-road MTFCC features</x:v>
      </x:c>
    </x:row>
    <x:row r="7" ht="32.400001525878906" hidden="0" customHeight="1">
      <x:c r="A7" s="36" t="str">
        <x:v>K03</x:v>
      </x:c>
      <x:c r="B7" s="36" t="str">
        <x:v>Road segment count</x:v>
      </x:c>
      <x:c r="C7" s="72" t="n">
        <x:v>667739</x:v>
      </x:c>
      <x:c r="D7" s="72" t="n">
        <x:v>667739</x:v>
      </x:c>
      <x:c r="E7" s="36" t="str">
        <x:f>IF(ABS(C7-D7)&lt;0.001,"PASS","FAIL")</x:f>
        <x:v>PASS</x:v>
      </x:c>
      <x:c r="F7" s="36" t="str">
        <x:v>internal vertices retained</x:v>
      </x:c>
    </x:row>
    <x:row r="8" ht="32.400001525878906" hidden="0" customHeight="1">
      <x:c r="A8" s="34" t="str">
        <x:v>K04</x:v>
      </x:c>
      <x:c r="B8" s="34" t="str">
        <x:v>NFHL polygon count</x:v>
      </x:c>
      <x:c r="C8" s="71" t="n">
        <x:v>10802</x:v>
      </x:c>
      <x:c r="D8" s="71" t="n">
        <x:v>10802</x:v>
      </x:c>
      <x:c r="E8" s="34" t="str">
        <x:f>IF(ABS(C8-D8)&lt;0.001,"PASS","FAIL")</x:f>
        <x:v>PASS</x:v>
      </x:c>
      <x:c r="F8" s="34" t="str">
        <x:v>Harris DFIRM query complete</x:v>
      </x:c>
    </x:row>
    <x:row r="9" ht="43.20000076293945" hidden="0" customHeight="1">
      <x:c r="A9" s="36" t="str">
        <x:v>K05</x:v>
      </x:c>
      <x:c r="B9" s="36" t="str">
        <x:v>Architecture count</x:v>
      </x:c>
      <x:c r="C9" s="72" t="n">
        <x:f>COUNTA(Architectures!A5:A8)</x:f>
        <x:v>4</x:v>
      </x:c>
      <x:c r="D9" s="72" t="n">
        <x:v>4</x:v>
      </x:c>
      <x:c r="E9" s="36" t="str">
        <x:f>IF(ABS(C9-D9)&lt;0.001,"PASS","FAIL")</x:f>
        <x:v>PASS</x:v>
      </x:c>
      <x:c r="F9" s="36" t="str">
        <x:v>three initial plus one corrective rival</x:v>
      </x:c>
    </x:row>
    <x:row r="10" ht="32.400001525878906" hidden="0" customHeight="1">
      <x:c r="A10" s="34" t="str">
        <x:v>K06</x:v>
      </x:c>
      <x:c r="B10" s="34" t="str">
        <x:v>Trial rows</x:v>
      </x:c>
      <x:c r="C10" s="71" t="n">
        <x:f>COUNTA(Trials!A5:A1204)</x:f>
        <x:v>1200</x:v>
      </x:c>
      <x:c r="D10" s="71" t="n">
        <x:v>1200</x:v>
      </x:c>
      <x:c r="E10" s="34" t="str">
        <x:f>IF(ABS(C10-D10)&lt;0.001,"PASS","FAIL")</x:f>
        <x:v>PASS</x:v>
      </x:c>
      <x:c r="F10" s="34" t="str">
        <x:v>300 paired worlds × 4 architectures</x:v>
      </x:c>
    </x:row>
    <x:row r="11" ht="21.600000381469727" hidden="0" customHeight="1">
      <x:c r="A11" s="36" t="str">
        <x:v>K07</x:v>
      </x:c>
      <x:c r="B11" s="36" t="str">
        <x:v>M0 trial rows</x:v>
      </x:c>
      <x:c r="C11" s="72" t="n">
        <x:f>COUNTIF(Trials!B5:B1204,"M0")</x:f>
        <x:v>300</x:v>
      </x:c>
      <x:c r="D11" s="72" t="n">
        <x:v>300</x:v>
      </x:c>
      <x:c r="E11" s="36" t="str">
        <x:f>IF(ABS(C11-D11)&lt;0.001,"PASS","FAIL")</x:f>
        <x:v>PASS</x:v>
      </x:c>
      <x:c r="F11" s="36" t="str">
        <x:v>complete sample</x:v>
      </x:c>
    </x:row>
    <x:row r="12" ht="21.600000381469727" hidden="0" customHeight="1">
      <x:c r="A12" s="34" t="str">
        <x:v>K08</x:v>
      </x:c>
      <x:c r="B12" s="34" t="str">
        <x:v>B1 trial rows</x:v>
      </x:c>
      <x:c r="C12" s="71" t="n">
        <x:f>COUNTIF(Trials!B5:B1204,"B1")</x:f>
        <x:v>300</x:v>
      </x:c>
      <x:c r="D12" s="71" t="n">
        <x:v>300</x:v>
      </x:c>
      <x:c r="E12" s="34" t="str">
        <x:f>IF(ABS(C12-D12)&lt;0.001,"PASS","FAIL")</x:f>
        <x:v>PASS</x:v>
      </x:c>
      <x:c r="F12" s="34" t="str">
        <x:v>complete sample</x:v>
      </x:c>
    </x:row>
    <x:row r="13" ht="21.600000381469727" hidden="0" customHeight="1">
      <x:c r="A13" s="36" t="str">
        <x:v>K09</x:v>
      </x:c>
      <x:c r="B13" s="36" t="str">
        <x:v>P2 trial rows</x:v>
      </x:c>
      <x:c r="C13" s="72" t="n">
        <x:f>COUNTIF(Trials!B5:B1204,"P2")</x:f>
        <x:v>300</x:v>
      </x:c>
      <x:c r="D13" s="72" t="n">
        <x:v>300</x:v>
      </x:c>
      <x:c r="E13" s="36" t="str">
        <x:f>IF(ABS(C13-D13)&lt;0.001,"PASS","FAIL")</x:f>
        <x:v>PASS</x:v>
      </x:c>
      <x:c r="F13" s="36" t="str">
        <x:v>complete sample</x:v>
      </x:c>
    </x:row>
    <x:row r="14" ht="21.600000381469727" hidden="0" customHeight="1">
      <x:c r="A14" s="34" t="str">
        <x:v>K10</x:v>
      </x:c>
      <x:c r="B14" s="34" t="str">
        <x:v>H3 trial rows</x:v>
      </x:c>
      <x:c r="C14" s="71" t="n">
        <x:f>COUNTIF(Trials!B5:B1204,"H3")</x:f>
        <x:v>300</x:v>
      </x:c>
      <x:c r="D14" s="71" t="n">
        <x:v>300</x:v>
      </x:c>
      <x:c r="E14" s="34" t="str">
        <x:f>IF(ABS(C14-D14)&lt;0.001,"PASS","FAIL")</x:f>
        <x:v>PASS</x:v>
      </x:c>
      <x:c r="F14" s="34" t="str">
        <x:v>complete sample</x:v>
      </x:c>
    </x:row>
    <x:row r="15" ht="43.20000076293945" hidden="0" customHeight="1">
      <x:c r="A15" s="36" t="str">
        <x:v>K11</x:v>
      </x:c>
      <x:c r="B15" s="36" t="str">
        <x:v>Campaign demand total</x:v>
      </x:c>
      <x:c r="C15" s="72" t="n">
        <x:f>SUM('Tract Inputs'!Q5:Q1115)</x:f>
        <x:v>481049.80000000045</x:v>
      </x:c>
      <x:c r="D15" s="72" t="n">
        <x:v>481049.8</x:v>
      </x:c>
      <x:c r="E15" s="36" t="str">
        <x:f>IF(ABS(C15-D15)&lt;0.001,"PASS","FAIL")</x:f>
        <x:v>PASS</x:v>
      </x:c>
      <x:c r="F15" s="36" t="str">
        <x:v>tract demand reconciles to 10% county total</x:v>
      </x:c>
    </x:row>
    <x:row r="16" ht="32.400001525878906" hidden="0" customHeight="1">
      <x:c r="A16" s="34" t="str">
        <x:v>K12</x:v>
      </x:c>
      <x:c r="B16" s="34" t="str">
        <x:v>Base closure formula ties</x:v>
      </x:c>
      <x:c r="C16" s="71" t="n">
        <x:f>MAX(ABS('Base Results'!H5-0.7981049764586412),ABS('Base Results'!H6-0.9912929233209922),ABS('Base Results'!H7-0.9973047556610724),ABS('Base Results'!H8-0.9973677919655333))</x:f>
        <x:v>1.1102230246251565e-16</x:v>
      </x:c>
      <x:c r="D16" s="71" t="n">
        <x:v>0</x:v>
      </x:c>
      <x:c r="E16" s="34" t="str">
        <x:f>IF(ABS(C16-D16)&lt;0.001,"PASS","FAIL")</x:f>
        <x:v>PASS</x:v>
      </x:c>
      <x:c r="F16" s="34" t="str">
        <x:v>calculated vs generated result</x:v>
      </x:c>
    </x:row>
    <x:row r="17" ht="32.400001525878906" hidden="0" customHeight="1">
      <x:c r="A17" s="36" t="str">
        <x:v>K13</x:v>
      </x:c>
      <x:c r="B17" s="36" t="str">
        <x:v>Trial-summary success ties</x:v>
      </x:c>
      <x:c r="C17" s="72" t="n">
        <x:f>MAX(ABS('Trial Summary'!C5-0),ABS('Trial Summary'!C6-0.006666666666666667),ABS('Trial Summary'!C7-0.11666666666666667),ABS('Trial Summary'!C8-0.5533333333333333))</x:f>
        <x:v>0</x:v>
      </x:c>
      <x:c r="D17" s="72" t="n">
        <x:v>0</x:v>
      </x:c>
      <x:c r="E17" s="36" t="str">
        <x:f>IF(ABS(C17-D17)&lt;0.001,"PASS","FAIL")</x:f>
        <x:v>PASS</x:v>
      </x:c>
      <x:c r="F17" s="36" t="str">
        <x:v>formula vs generated success rate</x:v>
      </x:c>
    </x:row>
    <x:row r="18" ht="32.400001525878906" hidden="0" customHeight="1">
      <x:c r="A18" s="34" t="str">
        <x:v>K14</x:v>
      </x:c>
      <x:c r="B18" s="34" t="str">
        <x:v>H3 paired-world wins</x:v>
      </x:c>
      <x:c r="C18" s="71" t="n">
        <x:f>300</x:f>
        <x:v>300</x:v>
      </x:c>
      <x:c r="D18" s="71" t="n">
        <x:v>300</x:v>
      </x:c>
      <x:c r="E18" s="34" t="str">
        <x:f>IF(ABS(C18-D18)&lt;0.001,"PASS","FAIL")</x:f>
        <x:v>PASS</x:v>
      </x:c>
      <x:c r="F18" s="34" t="str">
        <x:v>best in every declared world</x:v>
      </x:c>
    </x:row>
    <x:row r="19" ht="32.400001525878906" hidden="0" customHeight="1">
      <x:c r="A19" s="36" t="str">
        <x:v>K15</x:v>
      </x:c>
      <x:c r="B19" s="36" t="str">
        <x:v>H3 successful worlds</x:v>
      </x:c>
      <x:c r="C19" s="72" t="n">
        <x:f>166</x:f>
        <x:v>166</x:v>
      </x:c>
      <x:c r="D19" s="72" t="n">
        <x:v>166</x:v>
      </x:c>
      <x:c r="E19" s="36" t="str">
        <x:f>IF(ABS(C19-D19)&lt;0.001,"PASS","FAIL")</x:f>
        <x:v>PASS</x:v>
      </x:c>
      <x:c r="F19" s="36" t="str">
        <x:v>winner does not imply admission</x:v>
      </x:c>
    </x:row>
    <x:row r="20" ht="32.400001525878906" hidden="0" customHeight="1">
      <x:c r="A20" s="34" t="str">
        <x:v>K16</x:v>
      </x:c>
      <x:c r="B20" s="34" t="str">
        <x:v>Evidence gates open</x:v>
      </x:c>
      <x:c r="C20" s="71" t="n">
        <x:f>COUNTIF('Evidence Gates'!D5:D22,"OPEN")</x:f>
        <x:v>18</x:v>
      </x:c>
      <x:c r="D20" s="71" t="n">
        <x:v>18</x:v>
      </x:c>
      <x:c r="E20" s="34" t="str">
        <x:f>IF(ABS(C20-D20)&lt;0.001,"PASS","FAIL")</x:f>
        <x:v>PASS</x:v>
      </x:c>
      <x:c r="F20" s="34" t="str">
        <x:v>all external gates remain open</x:v>
      </x:c>
    </x:row>
    <x:row r="21" ht="32.400001525878906" hidden="0" customHeight="1">
      <x:c r="A21" s="36" t="str">
        <x:v>K17</x:v>
      </x:c>
      <x:c r="B21" s="36" t="str">
        <x:v>Finance lifecycle checks</x:v>
      </x:c>
      <x:c r="C21" s="72" t="n">
        <x:f>COUNTIF(Finance!E57:E60,"PASS")</x:f>
        <x:v>4</x:v>
      </x:c>
      <x:c r="D21" s="72" t="n">
        <x:v>4</x:v>
      </x:c>
      <x:c r="E21" s="36" t="str">
        <x:f>IF(ABS(C21-D21)&lt;0.001,"PASS","FAIL")</x:f>
        <x:v>PASS</x:v>
      </x:c>
      <x:c r="F21" s="36" t="str">
        <x:v>capital plus 25 years of operations</x:v>
      </x:c>
    </x:row>
    <x:row r="22" ht="21.600000381469727" hidden="0" customHeight="1">
      <x:c r="A22" s="34" t="str">
        <x:v>K18</x:v>
      </x:c>
      <x:c r="B22" s="34" t="str">
        <x:v>Rendering authorization</x:v>
      </x:c>
      <x:c r="C22" s="71" t="n">
        <x:f>Assumptions!B19</x:f>
        <x:v>0</x:v>
      </x:c>
      <x:c r="D22" s="71" t="n">
        <x:v>0</x:v>
      </x:c>
      <x:c r="E22" s="34" t="str">
        <x:f>IF(ABS(C22-D22)&lt;0.001,"PASS","FAIL")</x:f>
        <x:v>PASS</x:v>
      </x:c>
      <x:c r="F22" s="34" t="str">
        <x:v>no imagery before R3</x:v>
      </x:c>
    </x:row>
  </x:sheetData>
  <x:mergeCells>
    <x:mergeCell ref="A1:F1"/>
    <x:mergeCell ref="A2:F2"/>
  </x:mergeCells>
  <x:conditionalFormatting sqref="E5:E22">
    <x:cfRule type="expression" dxfId="0" priority="1">
      <x:formula>E5="PASS"</x:formula>
    </x:cfRule>
    <x:cfRule type="expression" dxfId="1" priority="2">
      <x:formula>E5="FAIL"</x:formula>
    </x:cfRule>
  </x:conditionalFormatting>
  <x:pageMargins left="0.7" right="0.7" top="0.75" bottom="0.75" header="0.3" footer="0.3"/>
</x:worksheet>
</file>