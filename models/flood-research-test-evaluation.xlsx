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17c55d487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&amp; Sources" sheetId="1" r:id="R9a3e810449d6457e"/>
    <x:sheet xmlns:r="http://schemas.openxmlformats.org/officeDocument/2006/relationships" name="Controls" sheetId="2" r:id="R9430d252082b43ff"/>
    <x:sheet xmlns:r="http://schemas.openxmlformats.org/officeDocument/2006/relationships" name="Campaign Portfolio" sheetId="3" r:id="Rf2832062fad14471"/>
    <x:sheet xmlns:r="http://schemas.openxmlformats.org/officeDocument/2006/relationships" name="Experiment Register" sheetId="4" r:id="R69fe4bad96e8471f"/>
    <x:sheet xmlns:r="http://schemas.openxmlformats.org/officeDocument/2006/relationships" name="Evidence Gates" sheetId="5" r:id="R6f9a6c1797e14669"/>
    <x:sheet xmlns:r="http://schemas.openxmlformats.org/officeDocument/2006/relationships" name="Facility Portfolio" sheetId="6" r:id="R438c5e8947144b86"/>
    <x:sheet xmlns:r="http://schemas.openxmlformats.org/officeDocument/2006/relationships" name="Annual Funding" sheetId="7" r:id="Raa2c5249bb3644b0"/>
    <x:sheet xmlns:r="http://schemas.openxmlformats.org/officeDocument/2006/relationships" name="Test Throughput" sheetId="8" r:id="R84d1e97458194aeb"/>
    <x:sheet xmlns:r="http://schemas.openxmlformats.org/officeDocument/2006/relationships" name="Prototype Cohorts" sheetId="9" r:id="Rce08d8fc3e36400d"/>
    <x:sheet xmlns:r="http://schemas.openxmlformats.org/officeDocument/2006/relationships" name="TRL MRL Transition" sheetId="10" r:id="R3057dd7e2d934c85"/>
    <x:sheet xmlns:r="http://schemas.openxmlformats.org/officeDocument/2006/relationships" name="Pump Intake Protocol" sheetId="11" r:id="Rd9fb1f4487f843c5"/>
    <x:sheet xmlns:r="http://schemas.openxmlformats.org/officeDocument/2006/relationships" name="Spine Barrier Breach" sheetId="12" r:id="R828d21c2deee4150"/>
    <x:sheet xmlns:r="http://schemas.openxmlformats.org/officeDocument/2006/relationships" name="Amphibious Autonomy" sheetId="13" r:id="R65ef9203441547d1"/>
    <x:sheet xmlns:r="http://schemas.openxmlformats.org/officeDocument/2006/relationships" name="Contamination Protocol" sheetId="14" r:id="R6811b2d97f4849cf"/>
    <x:sheet xmlns:r="http://schemas.openxmlformats.org/officeDocument/2006/relationships" name="Mission Thread Trials" sheetId="15" r:id="R53f11567809e4d85"/>
    <x:sheet xmlns:r="http://schemas.openxmlformats.org/officeDocument/2006/relationships" name="Decision Rights" sheetId="16" r:id="Re7cd0552e1f545ce"/>
    <x:sheet xmlns:r="http://schemas.openxmlformats.org/officeDocument/2006/relationships" name="Failure Sensitivity" sheetId="17" r:id="Rb9a207227ed7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0.0&quot;B&quot;"/>
    <x:numFmt numFmtId="201" formatCode="0.0%"/>
    <x:numFmt numFmtId="202" formatCode="0%"/>
    <x:numFmt numFmtId="203" formatCode="$0.00&quot;B&quot;"/>
    <x:numFmt numFmtId="204" formatCode="$0.00"/>
    <x:numFmt numFmtId="205" formatCode="0.0"/>
  </x:numFmts>
  <x:fonts count="10">
    <x:font>
      <x:sz val="11"/>
      <x:name val="Carlito"/>
    </x:font>
    <x:font>
      <x:b/>
      <x:sz val="20"/>
      <x:color rgb="FFFFFFFF"/>
      <x:name val="Aptos"/>
    </x:font>
    <x:font>
      <x:i/>
      <x:sz val="10"/>
      <x:color rgb="FFFFFFFF"/>
      <x:name val="Aptos"/>
    </x:font>
    <x:font>
      <x:b/>
      <x:sz val="12"/>
      <x:color rgb="FFFFFFFF"/>
      <x:name val="Aptos"/>
    </x:font>
    <x:font>
      <x:sz val="9"/>
      <x:color rgb="FF17212B"/>
      <x:name val="Aptos"/>
    </x:font>
    <x:font>
      <x:b/>
      <x:sz val="9"/>
      <x:color rgb="FFFFFFFF"/>
      <x:name val="Aptos"/>
    </x:font>
    <x:font>
      <x:i/>
      <x:sz val="9"/>
      <x:color rgb="FF17212B"/>
      <x:name val="Aptos"/>
    </x:font>
    <x:font>
      <x:b/>
      <x:sz val="9"/>
      <x:color rgb="FF0B7A75"/>
      <x:name val="Aptos"/>
    </x:font>
    <x:font>
      <x:b/>
      <x:sz val="9"/>
      <x:color rgb="FFB6403A"/>
      <x:name val="Aptos"/>
    </x:font>
    <x:font>
      <x:sz val="11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12B45"/>
      </x:patternFill>
    </x:fill>
    <x:fill>
      <x:patternFill patternType="solid">
        <x:fgColor rgb="FF173D5D"/>
      </x:patternFill>
    </x:fill>
    <x:fill>
      <x:patternFill patternType="solid">
        <x:fgColor rgb="FF0B7A75"/>
      </x:patternFill>
    </x:fill>
    <x:fill>
      <x:patternFill patternType="solid">
        <x:fgColor rgb="FFF3F6F8"/>
      </x:patternFill>
    </x:fill>
    <x:fill>
      <x:patternFill patternType="solid">
        <x:fgColor rgb="FFFCE8D5"/>
      </x:patternFill>
    </x:fill>
    <x:fill>
      <x:patternFill patternType="solid">
        <x:fgColor rgb="FFD9EFEC"/>
      </x:patternFill>
    </x:fill>
    <x:fill>
      <x:patternFill patternType="solid">
        <x:fgColor rgb="FFF8DEDC"/>
      </x:patternFill>
    </x:fill>
  </x:fills>
  <x:borders count="2">
    <x:border/>
    <x:border>
      <x:left style="thin">
        <x:color rgb="FFD4DDE4"/>
      </x:left>
      <x:right style="thin">
        <x:color rgb="FFD4DDE4"/>
      </x:right>
      <x:top style="thin">
        <x:color rgb="FFD4DDE4"/>
      </x:top>
      <x:bottom style="thin">
        <x:color rgb="FFD4DDE4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5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2" fontId="7" fillId="7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3" fontId="4" fillId="5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  <x:xf numFmtId="205" fontId="4" fillId="5" borderId="1" xfId="0" applyNumberFormat="1" applyFont="1" applyFill="1" applyBorder="1" applyAlignment="1">
      <x:alignment vertical="top" wrapText="1"/>
    </x:xf>
    <x:xf numFmtId="205" fontId="4" fillId="0" borderId="1" xfId="0" applyNumberFormat="1" applyFont="1" applyFill="1" applyBorder="1" applyAlignment="1">
      <x:alignment vertical="top" wrapText="1"/>
    </x:xf>
    <x:xf numFmtId="202" fontId="4" fillId="5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94a9a6d88b44e3" /><Relationship Type="http://schemas.openxmlformats.org/officeDocument/2006/relationships/theme" Target="/xl/theme/theme1.xml" Id="Rb90d26f5b1cd4bf8" /><Relationship Type="http://schemas.openxmlformats.org/officeDocument/2006/relationships/sharedStrings" Target="/xl/sharedStrings.xml" Id="R86b25dc66d7e4943" /><Relationship Type="http://schemas.openxmlformats.org/officeDocument/2006/relationships/worksheet" Target="/xl/worksheets/sheet1.xml" Id="R9a3e810449d6457e" /><Relationship Type="http://schemas.openxmlformats.org/officeDocument/2006/relationships/worksheet" Target="/xl/worksheets/sheet2.xml" Id="R9430d252082b43ff" /><Relationship Type="http://schemas.openxmlformats.org/officeDocument/2006/relationships/worksheet" Target="/xl/worksheets/sheet3.xml" Id="Rf2832062fad14471" /><Relationship Type="http://schemas.openxmlformats.org/officeDocument/2006/relationships/worksheet" Target="/xl/worksheets/sheet4.xml" Id="R69fe4bad96e8471f" /><Relationship Type="http://schemas.openxmlformats.org/officeDocument/2006/relationships/worksheet" Target="/xl/worksheets/sheet5.xml" Id="R6f9a6c1797e14669" /><Relationship Type="http://schemas.openxmlformats.org/officeDocument/2006/relationships/worksheet" Target="/xl/worksheets/sheet6.xml" Id="R438c5e8947144b86" /><Relationship Type="http://schemas.openxmlformats.org/officeDocument/2006/relationships/worksheet" Target="/xl/worksheets/sheet7.xml" Id="Raa2c5249bb3644b0" /><Relationship Type="http://schemas.openxmlformats.org/officeDocument/2006/relationships/worksheet" Target="/xl/worksheets/sheet8.xml" Id="R84d1e97458194aeb" /><Relationship Type="http://schemas.openxmlformats.org/officeDocument/2006/relationships/worksheet" Target="/xl/worksheets/sheet9.xml" Id="Rce08d8fc3e36400d" /><Relationship Type="http://schemas.openxmlformats.org/officeDocument/2006/relationships/worksheet" Target="/xl/worksheets/sheet10.xml" Id="R3057dd7e2d934c85" /><Relationship Type="http://schemas.openxmlformats.org/officeDocument/2006/relationships/worksheet" Target="/xl/worksheets/sheet11.xml" Id="Rd9fb1f4487f843c5" /><Relationship Type="http://schemas.openxmlformats.org/officeDocument/2006/relationships/worksheet" Target="/xl/worksheets/sheet12.xml" Id="R828d21c2deee4150" /><Relationship Type="http://schemas.openxmlformats.org/officeDocument/2006/relationships/worksheet" Target="/xl/worksheets/sheet13.xml" Id="R65ef9203441547d1" /><Relationship Type="http://schemas.openxmlformats.org/officeDocument/2006/relationships/worksheet" Target="/xl/worksheets/sheet14.xml" Id="R6811b2d97f4849cf" /><Relationship Type="http://schemas.openxmlformats.org/officeDocument/2006/relationships/worksheet" Target="/xl/worksheets/sheet15.xml" Id="R53f11567809e4d85" /><Relationship Type="http://schemas.openxmlformats.org/officeDocument/2006/relationships/worksheet" Target="/xl/worksheets/sheet16.xml" Id="Re7cd0552e1f545ce" /><Relationship Type="http://schemas.openxmlformats.org/officeDocument/2006/relationships/worksheet" Target="/xl/worksheets/sheet17.xml" Id="Rb9a207227ed74c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66" hidden="0" customWidth="1"/>
    <x:col min="4" max="4" width="55" hidden="0" customWidth="1"/>
  </x:cols>
  <x:sheetData>
    <x:row r="1" ht="34" customHeight="1">
      <x:c r="A1" s="44" t="str">
        <x:v>Flood Research, Test &amp; Evaluation Campaign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</x:row>
    <x:row r="2" ht="30" customHeight="1">
      <x:c r="A2" s="45" t="str">
        <x:v>Department of Resilience • Pass 15 • editable 25-year R2+ → R3 evidence program • real 2026 dollars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</x:row>
    <x:row r="4" ht="23" customHeight="1">
      <x:c r="A4" s="47" t="str">
        <x:v>Decision dashboard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31" hidden="0" customHeight="1">
      <x:c r="A5" s="16" t="str">
        <x:v>Measure</x:v>
      </x:c>
      <x:c r="B5" s="16" t="str">
        <x:v>Model result</x:v>
      </x:c>
      <x:c r="C5" s="16" t="str">
        <x:v>Decision meaning</x:v>
      </x:c>
      <x:c r="D5" s="46"/>
      <x:c r="E5" s="46"/>
      <x:c r="F5" s="46"/>
      <x:c r="G5" s="46"/>
      <x:c r="H5" s="46"/>
      <x:c r="I5" s="46"/>
      <x:c r="J5" s="46"/>
      <x:c r="K5" s="46"/>
      <x:c r="L5" s="46"/>
    </x:row>
    <x:row r="6" ht="75.5999984741211" hidden="0" customHeight="1">
      <x:c r="A6" s="18" t="str">
        <x:v>RDT&amp;E envelope</x:v>
      </x:c>
      <x:c r="B6" s="19" t="n">
        <x:f>'Controls'!B5</x:f>
        <x:v>130</x:v>
      </x:c>
      <x:c r="C6" s="18" t="str">
        <x:v>All ten innovation campaigns plus independent integration and test</x:v>
      </x:c>
      <x:c r="D6" s="46"/>
      <x:c r="E6" s="46"/>
      <x:c r="F6" s="46"/>
      <x:c r="G6" s="46"/>
      <x:c r="H6" s="46"/>
      <x:c r="I6" s="46"/>
      <x:c r="J6" s="46"/>
      <x:c r="K6" s="46"/>
      <x:c r="L6" s="46"/>
    </x:row>
    <x:row r="7" ht="64.80000305175781" hidden="0" customHeight="1">
      <x:c r="A7" s="14" t="str">
        <x:v>New proving-network capital</x:v>
      </x:c>
      <x:c r="B7" s="20" t="n">
        <x:f>'Controls'!B6</x:f>
        <x:v>24</x:v>
      </x:c>
      <x:c r="C7" s="14" t="str">
        <x:v>Purpose-built national facilities included inside the envelope</x:v>
      </x:c>
      <x:c r="D7" s="46"/>
      <x:c r="E7" s="46"/>
      <x:c r="F7" s="46"/>
      <x:c r="G7" s="46"/>
      <x:c r="H7" s="46"/>
      <x:c r="I7" s="46"/>
      <x:c r="J7" s="46"/>
      <x:c r="K7" s="46"/>
      <x:c r="L7" s="46"/>
    </x:row>
    <x:row r="8" ht="54" hidden="0" customHeight="1">
      <x:c r="A8" s="18" t="str">
        <x:v>Non-facility research</x:v>
      </x:c>
      <x:c r="B8" s="19" t="n">
        <x:f>'Controls'!B7</x:f>
        <x:v>106</x:v>
      </x:c>
      <x:c r="C8" s="18" t="str">
        <x:v>Science, prototypes, field trials, data and transition</x:v>
      </x:c>
      <x:c r="D8" s="46"/>
      <x:c r="E8" s="46"/>
      <x:c r="F8" s="46"/>
      <x:c r="G8" s="46"/>
      <x:c r="H8" s="46"/>
      <x:c r="I8" s="46"/>
      <x:c r="J8" s="46"/>
      <x:c r="K8" s="46"/>
      <x:c r="L8" s="46"/>
    </x:row>
    <x:row r="9" ht="32.400001525878906" hidden="0" customHeight="1">
      <x:c r="A9" s="14" t="str">
        <x:v>Evidence gates open</x:v>
      </x:c>
      <x:c r="B9" s="14" t="n">
        <x:f>COUNTIF('Evidence Gates'!F5:F24,"OPEN")</x:f>
        <x:v>20</x:v>
      </x:c>
      <x:c r="C9" s="14" t="str">
        <x:v>No flood system is R3 today</x:v>
      </x:c>
      <x:c r="D9" s="46"/>
      <x:c r="E9" s="46"/>
      <x:c r="F9" s="46"/>
      <x:c r="G9" s="46"/>
      <x:c r="H9" s="46"/>
      <x:c r="I9" s="46"/>
      <x:c r="J9" s="46"/>
      <x:c r="K9" s="46"/>
      <x:c r="L9" s="46"/>
    </x:row>
    <x:row r="10" ht="64.80000305175781" hidden="0" customHeight="1">
      <x:c r="A10" s="18" t="str">
        <x:v>Experiments / evaluations</x:v>
      </x:c>
      <x:c r="B10" s="18" t="n">
        <x:f>COUNTA('Experiment Register'!A5:A50)</x:f>
        <x:v>46</x:v>
      </x:c>
      <x:c r="C10" s="18" t="str">
        <x:v>Preregistered tests, destructive trials, audits and mission threads</x:v>
      </x:c>
      <x:c r="D10" s="46"/>
      <x:c r="E10" s="46"/>
      <x:c r="F10" s="46"/>
      <x:c r="G10" s="46"/>
      <x:c r="H10" s="46"/>
      <x:c r="I10" s="46"/>
      <x:c r="J10" s="46"/>
      <x:c r="K10" s="46"/>
      <x:c r="L10" s="46"/>
    </x:row>
    <x:row r="11" ht="64.80000305175781" hidden="0" customHeight="1">
      <x:c r="A11" s="14" t="str">
        <x:v>Peak annual funding</x:v>
      </x:c>
      <x:c r="B11" s="20" t="n">
        <x:f>MAX('Annual Funding'!B33:Z33)</x:f>
        <x:v>11.323286240669773</x:v>
      </x:c>
      <x:c r="C11" s="14" t="str">
        <x:v>Portfolio absorption and industrial learning constraint</x:v>
      </x:c>
      <x:c r="D11" s="46"/>
      <x:c r="E11" s="46"/>
      <x:c r="F11" s="46"/>
      <x:c r="G11" s="46"/>
      <x:c r="H11" s="46"/>
      <x:c r="I11" s="46"/>
      <x:c r="J11" s="46"/>
      <x:c r="K11" s="46"/>
      <x:c r="L11" s="46"/>
    </x:row>
    <x:row r="12" ht="64.80000305175781" hidden="0" customHeight="1">
      <x:c r="A12" s="18" t="str">
        <x:v>Peak facility utilization</x:v>
      </x:c>
      <x:c r="B12" s="21" t="n">
        <x:f>MAX('Test Throughput'!G5:G14)</x:f>
        <x:v>0.7582417582417581</x:v>
      </x:c>
      <x:c r="C12" s="18" t="str">
        <x:v>Planning ceiling is 80%; capacity above that is a queue risk</x:v>
      </x:c>
      <x:c r="D12" s="46"/>
      <x:c r="E12" s="46"/>
      <x:c r="F12" s="46"/>
      <x:c r="G12" s="46"/>
      <x:c r="H12" s="46"/>
      <x:c r="I12" s="46"/>
      <x:c r="J12" s="46"/>
      <x:c r="K12" s="46"/>
      <x:c r="L12" s="46"/>
    </x:row>
    <x:row r="13" ht="43.20000076293945" hidden="0" customHeight="1">
      <x:c r="A13" s="14" t="str">
        <x:v>Expected paths entering TRL 7</x:v>
      </x:c>
      <x:c r="B13" s="14" t="n">
        <x:f>SUM('Prototype Cohorts'!F5:F14)</x:f>
        <x:v>20</x:v>
      </x:c>
      <x:c r="C13" s="14" t="str">
        <x:v>Competition retained into operational prototypes</x:v>
      </x:c>
      <x:c r="D13" s="46"/>
      <x:c r="E13" s="46"/>
      <x:c r="F13" s="46"/>
      <x:c r="G13" s="46"/>
      <x:c r="H13" s="46"/>
      <x:c r="I13" s="46"/>
      <x:c r="J13" s="46"/>
      <x:c r="K13" s="46"/>
      <x:c r="L13" s="46"/>
    </x:row>
    <x:row r="14" ht="43.20000076293945" hidden="0" customHeight="1">
      <x:c r="A14" s="18" t="str">
        <x:v>Rendering authorization</x:v>
      </x:c>
      <x:c r="B14" s="18" t="str">
        <x:f>IF('Controls'!B22=0,"NO","YES")</x:f>
        <x:v>NO</x:v>
      </x:c>
      <x:c r="C14" s="18" t="str">
        <x:v>Remains NO until named R3 evidence closes</x:v>
      </x:c>
      <x:c r="D14" s="46"/>
      <x:c r="E14" s="46"/>
      <x:c r="F14" s="46"/>
      <x:c r="G14" s="46"/>
      <x:c r="H14" s="46"/>
      <x:c r="I14" s="46"/>
      <x:c r="J14" s="46"/>
      <x:c r="K14" s="46"/>
      <x:c r="L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</x:row>
    <x:row r="16" ht="23" customHeight="1">
      <x:c r="A16" s="47" t="str">
        <x:v>What this workbook does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</x:row>
    <x:row r="17" ht="31" hidden="0" customHeight="1">
      <x:c r="A17" s="16" t="str">
        <x:v>Use</x:v>
      </x:c>
      <x:c r="B17" s="16" t="str">
        <x:v>Interpretation</x:v>
      </x:c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</x:row>
    <x:row r="18" ht="108" hidden="0" customHeight="1">
      <x:c r="A18" s="18" t="str">
        <x:v>Portfolio architecture</x:v>
      </x:c>
      <x:c r="B18" s="18" t="str">
        <x:v>Allocates the existing $130B flood RDT&amp;E envelope across invention, facilities and independent evidence.</x:v>
      </x:c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</x:row>
    <x:row r="19" ht="129.60000610351562" hidden="0" customHeight="1">
      <x:c r="A19" s="14" t="str">
        <x:v>Experimental contract</x:v>
      </x:c>
      <x:c r="B19" s="14" t="str">
        <x:v>Turns every consequential R2+ assumption into a configuration, measurement, threshold, repetition and decision owner.</x:v>
      </x:c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</x:row>
    <x:row r="20" ht="108" hidden="0" customHeight="1">
      <x:c r="A20" s="18" t="str">
        <x:v>Innovation discipline</x:v>
      </x:c>
      <x:c r="B20" s="18" t="str">
        <x:v>Maintains rival paths through TRL 5/6, funds destructive discovery and denies operational credit before proof.</x:v>
      </x:c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</x:row>
    <x:row r="21" ht="118.80000305175781" hidden="0" customHeight="1">
      <x:c r="A21" s="14" t="str">
        <x:v>Institutional separation</x:v>
      </x:c>
      <x:c r="B21" s="14" t="str">
        <x:v>ARPA-R creates and redirects; the Resilience Test and Evaluation Authority independently accepts or rejects evidence.</x:v>
      </x:c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</x:row>
    <x:row r="22" ht="151.1999969482422" hidden="0" customHeight="1">
      <x:c r="A22" s="18" t="str">
        <x:v>Boundary</x:v>
      </x:c>
      <x:c r="B22" s="18" t="str">
        <x:v>This is a strategic RDT&amp;E design model, not a cost estimate, safety case, environmental authorization or procurement baseline.</x:v>
      </x:c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</x:row>
    <x:row r="24" ht="23" customHeight="1">
      <x:c r="A24" s="47" t="str">
        <x:v>Authoritative method and facility anchors</x:v>
      </x:c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</x:row>
    <x:row r="25" ht="31" customHeight="1">
      <x:c r="A25" s="16" t="str">
        <x:v>Key</x:v>
      </x:c>
      <x:c r="B25" s="16" t="str">
        <x:v>Source</x:v>
      </x:c>
      <x:c r="C25" s="16" t="str">
        <x:v>Use in model</x:v>
      </x:c>
      <x:c r="D25" s="16" t="str">
        <x:v>URL</x:v>
      </x:c>
      <x:c r="E25" s="46"/>
      <x:c r="F25" s="46"/>
      <x:c r="G25" s="46"/>
      <x:c r="H25" s="46"/>
      <x:c r="I25" s="46"/>
      <x:c r="J25" s="46"/>
      <x:c r="K25" s="46"/>
      <x:c r="L25" s="46"/>
    </x:row>
    <x:row r="26" ht="118.80000305175781" hidden="0" customHeight="1">
      <x:c r="A26" s="18" t="str">
        <x:v>USACE-PumpEM20</x:v>
      </x:c>
      <x:c r="B26" s="18" t="str">
        <x:v>USACE EM 1110-2-3105, Mechanical and Electrical Design of Pumping Stations (2020)</x:v>
      </x:c>
      <x:c r="C26" s="18" t="str">
        <x:v>field/wet run-in, performance curve, vibration, bearing, power, protection and model-test requirements</x:v>
      </x:c>
      <x:c r="D26" s="18" t="str">
        <x:v>https://www.publications.usace.army.mil/Portals/76/Users/182/86/2486/EM1110-2%20-3105.pdf</x:v>
      </x:c>
      <x:c r="E26" s="46"/>
      <x:c r="F26" s="46"/>
      <x:c r="G26" s="46"/>
      <x:c r="H26" s="46"/>
      <x:c r="I26" s="46"/>
      <x:c r="J26" s="46"/>
      <x:c r="K26" s="46"/>
      <x:c r="L26" s="46"/>
    </x:row>
    <x:row r="27" ht="97.19999694824219" hidden="0" customHeight="1">
      <x:c r="A27" s="14" t="str">
        <x:v>ERDC-CHL</x:v>
      </x:c>
      <x:c r="B27" s="14" t="str">
        <x:v>ERDC Coastal and Hydraulics Laboratory facilities</x:v>
      </x:c>
      <x:c r="C27" s="14" t="str">
        <x:v>existing 1.5M ft² physical/numerical complex; benchmark, not the proposed institution</x:v>
      </x:c>
      <x:c r="D27" s="14" t="str">
        <x:v>https://www.erdc.usace.army.mil/Locations/Coastal-and-Hydraulics-Laboratory/CHL-Facilities-and-Products/</x:v>
      </x:c>
      <x:c r="E27" s="46"/>
      <x:c r="F27" s="46"/>
      <x:c r="G27" s="46"/>
      <x:c r="H27" s="46"/>
      <x:c r="I27" s="46"/>
      <x:c r="J27" s="46"/>
      <x:c r="K27" s="46"/>
      <x:c r="L27" s="46"/>
    </x:row>
    <x:row r="28" ht="129.60000610351562" hidden="0" customHeight="1">
      <x:c r="A28" s="18" t="str">
        <x:v>ERDC-Breach</x:v>
      </x:c>
      <x:c r="B28" s="18" t="str">
        <x:v>ERDC Full-Scale Levee Breach and Hydraulic Test Facility</x:v>
      </x:c>
      <x:c r="C28" s="18" t="str">
        <x:v>11-acre, 4M-gallon, 40-ft breach, 2,100-cfs-scale lower bound</x:v>
      </x:c>
      <x:c r="D28" s="18" t="str">
        <x:v>https://www.erdc.usace.army.mil/Media/Fact-Sheets/Fact-Sheet-Article-View/Article/476705/full-scale-levee-breach-and-hydraulic-test-facility/</x:v>
      </x:c>
      <x:c r="E28" s="46"/>
      <x:c r="F28" s="46"/>
      <x:c r="G28" s="46"/>
      <x:c r="H28" s="46"/>
      <x:c r="I28" s="46"/>
      <x:c r="J28" s="46"/>
      <x:c r="K28" s="46"/>
      <x:c r="L28" s="46"/>
    </x:row>
    <x:row r="29" ht="75.5999984741211" hidden="0" customHeight="1">
      <x:c r="A29" s="14" t="str">
        <x:v>FHWA-Jones</x:v>
      </x:c>
      <x:c r="B29" s="14" t="str">
        <x:v>FHWA J. Sterling Jones Hydraulics Research Laboratory</x:v>
      </x:c>
      <x:c r="C29" s="14" t="str">
        <x:v>flume, PIV, scour, force, robotics and computational/physical validation methods</x:v>
      </x:c>
      <x:c r="D29" s="14" t="str">
        <x:v>https://highways.fhwa.dot.gov/turner-fairbank-highway-research-center/labs/hydraulics</x:v>
      </x:c>
      <x:c r="E29" s="46"/>
      <x:c r="F29" s="46"/>
      <x:c r="G29" s="46"/>
      <x:c r="H29" s="46"/>
      <x:c r="I29" s="46"/>
      <x:c r="J29" s="46"/>
      <x:c r="K29" s="46"/>
      <x:c r="L29" s="46"/>
    </x:row>
    <x:row r="30" ht="97.19999694824219" hidden="0" customHeight="1">
      <x:c r="A30" s="18" t="str">
        <x:v>NASA-TRL</x:v>
      </x:c>
      <x:c r="B30" s="18" t="str">
        <x:v>NASA Technology Readiness Levels</x:v>
      </x:c>
      <x:c r="C30" s="18" t="str">
        <x:v>TRL 6 relevant-environment high-fidelity prototype; TRL 7 operational-environment prototype</x:v>
      </x:c>
      <x:c r="D30" s="18" t="str">
        <x:v>https://esto.nasa.gov/trl/</x:v>
      </x:c>
      <x:c r="E30" s="46"/>
      <x:c r="F30" s="46"/>
      <x:c r="G30" s="46"/>
      <x:c r="H30" s="46"/>
      <x:c r="I30" s="46"/>
      <x:c r="J30" s="46"/>
      <x:c r="K30" s="46"/>
      <x:c r="L30" s="46"/>
    </x:row>
    <x:row r="31" ht="75.5999984741211" hidden="0" customHeight="1">
      <x:c r="A31" s="14" t="str">
        <x:v>GAO-TRA</x:v>
      </x:c>
      <x:c r="B31" s="14" t="str">
        <x:v>GAO Technology Readiness Assessment Guide</x:v>
      </x:c>
      <x:c r="C31" s="14" t="str">
        <x:v>evidence-based independent readiness assessment and risk framing</x:v>
      </x:c>
      <x:c r="D31" s="14" t="str">
        <x:v>https://www.gao.gov/assets/710/706680.pdf</x:v>
      </x:c>
      <x:c r="E31" s="46"/>
      <x:c r="F31" s="46"/>
      <x:c r="G31" s="46"/>
      <x:c r="H31" s="46"/>
      <x:c r="I31" s="46"/>
      <x:c r="J31" s="46"/>
      <x:c r="K31" s="46"/>
      <x:c r="L31" s="46"/>
    </x:row>
    <x:row r="32" ht="86.4000015258789" hidden="0" customHeight="1">
      <x:c r="A32" s="18" t="str">
        <x:v>GAO-MRL</x:v>
      </x:c>
      <x:c r="B32" s="18" t="str">
        <x:v>GAO manufacturing readiness evidence</x:v>
      </x:c>
      <x:c r="C32" s="18" t="str">
        <x:v>MRL 5–8 progression from production-relevant components to pilot-line capability</x:v>
      </x:c>
      <x:c r="D32" s="18" t="str">
        <x:v>https://www.gao.gov/assets/a303517.html</x:v>
      </x:c>
      <x:c r="E32" s="46"/>
      <x:c r="F32" s="46"/>
      <x:c r="G32" s="46"/>
      <x:c r="H32" s="46"/>
      <x:c r="I32" s="46"/>
      <x:c r="J32" s="46"/>
      <x:c r="K32" s="46"/>
      <x:c r="L32" s="46"/>
    </x:row>
    <x:row r="33" ht="97.19999694824219" hidden="0" customHeight="1">
      <x:c r="A33" s="14" t="str">
        <x:v>ARPAE-FOA</x:v>
      </x:c>
      <x:c r="B33" s="14" t="str">
        <x:v>ARPA-E award provisions</x:v>
      </x:c>
      <x:c r="C33" s="14" t="str">
        <x:v>quantitative quarterly milestones, Go/No-Go decisions and program redirection</x:v>
      </x:c>
      <x:c r="D33" s="14" t="str">
        <x:v>https://arpa-e.energy.gov/sites/default/files/2024-12/ARPA-E-FOA-Provisions-Incorporated-byReference_0.pdf</x:v>
      </x:c>
      <x:c r="E33" s="46"/>
      <x:c r="F33" s="46"/>
      <x:c r="G33" s="46"/>
      <x:c r="H33" s="46"/>
      <x:c r="I33" s="46"/>
      <x:c r="J33" s="46"/>
      <x:c r="K33" s="46"/>
      <x:c r="L33" s="46"/>
    </x:row>
    <x:row r="34" ht="97.19999694824219" hidden="0" customHeight="1">
      <x:c r="A34" s="18" t="str">
        <x:v>NIST-Robot</x:v>
      </x:c>
      <x:c r="B34" s="18" t="str">
        <x:v>NIST Robotics Test Facility</x:v>
      </x:c>
      <x:c r="C34" s="18" t="str">
        <x:v>replicable capability tests for mobility, manipulation, sensing, power, endurance and safety</x:v>
      </x:c>
      <x:c r="D34" s="18" t="str">
        <x:v>https://www.nist.gov/laboratories/tools-instruments/robotics-test-facility</x:v>
      </x:c>
      <x:c r="E34" s="46"/>
      <x:c r="F34" s="46"/>
      <x:c r="G34" s="46"/>
      <x:c r="H34" s="46"/>
      <x:c r="I34" s="46"/>
      <x:c r="J34" s="46"/>
      <x:c r="K34" s="46"/>
      <x:c r="L34" s="46"/>
    </x:row>
    <x:row r="35" ht="108" hidden="0" customHeight="1">
      <x:c r="A35" s="14" t="str">
        <x:v>EPA-ERT</x:v>
      </x:c>
      <x:c r="B35" s="14" t="str">
        <x:v>EPA Water Treatment and Waste Management</x:v>
      </x:c>
      <x:c r="C35" s="14" t="str">
        <x:v>mobile treatment evaluation across transport, deployment, operation, cost and contaminant states</x:v>
      </x:c>
      <x:c r="D35" s="14" t="str">
        <x:v>https://www.epa.gov/emergency-response-research/water-treatment-and-waste-management</x:v>
      </x:c>
      <x:c r="E35" s="46"/>
      <x:c r="F35" s="46"/>
      <x:c r="G35" s="46"/>
      <x:c r="H35" s="46"/>
      <x:c r="I35" s="46"/>
      <x:c r="J35" s="46"/>
      <x:c r="K35" s="46"/>
      <x:c r="L35" s="46"/>
    </x:row>
    <x:row r="36" ht="86.4000015258789" hidden="0" customHeight="1">
      <x:c r="A36" s="18" t="str">
        <x:v>EPA-QAG5M</x:v>
      </x:c>
      <x:c r="B36" s="18" t="str">
        <x:v>EPA QA/G-5M</x:v>
      </x:c>
      <x:c r="C36" s="18" t="str">
        <x:v>systematic quality objectives, performance/acceptance criteria and model verification</x:v>
      </x:c>
      <x:c r="D36" s="18" t="str">
        <x:v>https://www.epa.gov/sites/default/files/documents/G5M.pdf</x:v>
      </x:c>
      <x:c r="E36" s="46"/>
      <x:c r="F36" s="46"/>
      <x:c r="G36" s="46"/>
      <x:c r="H36" s="46"/>
      <x:c r="I36" s="46"/>
      <x:c r="J36" s="46"/>
      <x:c r="K36" s="46"/>
      <x:c r="L36" s="46"/>
    </x:row>
    <x:row r="37" ht="64.80000305175781" hidden="0" customHeight="1">
      <x:c r="A37" s="14" t="str">
        <x:v>USCG-LSA</x:v>
      </x:c>
      <x:c r="B37" s="14" t="str">
        <x:v>USCG lifesaving-appliance engineering and IMO test procedures</x:v>
      </x:c>
      <x:c r="C37" s="14" t="str">
        <x:v>rescue-boat stability, crowding, recovery and acceptance-test anchor</x:v>
      </x:c>
      <x:c r="D37" s="14" t="str">
        <x:v>https://www.dco.uscg.mil/CG-ENG-4/PrimaryLSA/</x:v>
      </x:c>
      <x:c r="E37" s="46"/>
      <x:c r="F37" s="46"/>
      <x:c r="G37" s="46"/>
      <x:c r="H37" s="46"/>
      <x:c r="I37" s="46"/>
      <x:c r="J37" s="46"/>
      <x:c r="K37" s="46"/>
      <x:c r="L37" s="46"/>
    </x:row>
    <x:row r="38" ht="97.19999694824219" hidden="0" customHeight="1">
      <x:c r="A38" s="18" t="str">
        <x:v>ERDC-FRF</x:v>
      </x:c>
      <x:c r="B38" s="18" t="str">
        <x:v>ERDC Field Research Facility</x:v>
      </x:c>
      <x:c r="C38" s="18" t="str">
        <x:v>natural storm, wave, current, morphology and instrument-assessment field conditions</x:v>
      </x:c>
      <x:c r="D38" s="18" t="str">
        <x:v>https://www.erdc.usace.army.mil/Locations/CHL/FRF/About-US/</x:v>
      </x:c>
      <x:c r="E38" s="46"/>
      <x:c r="F38" s="46"/>
      <x:c r="G38" s="46"/>
      <x:c r="H38" s="46"/>
      <x:c r="I38" s="46"/>
      <x:c r="J38" s="46"/>
      <x:c r="K38" s="46"/>
      <x:c r="L38" s="46"/>
    </x:row>
    <x:row r="39" ht="118.80000305175781" hidden="0" customHeight="1">
      <x:c r="A39" s="14" t="str">
        <x:v>FEMA-HSEEP20</x:v>
      </x:c>
      <x:c r="B39" s="14" t="str">
        <x:v>Homeland Security Exercise and Evaluation Program doctrine (2020)</x:v>
      </x:c>
      <x:c r="C39" s="14" t="str">
        <x:v>objective, capability target, critical-task, observation and improvement-plan logic</x:v>
      </x:c>
      <x:c r="D39" s="14" t="str">
        <x:v>https://www.fema.gov/sites/default/files/2020-04/Homeland-Security-Exercise-and-Evaluation-Program-Doctrine-2020-Revision-2-2-25.pdf</x:v>
      </x:c>
      <x:c r="E39" s="46"/>
      <x:c r="F39" s="46"/>
      <x:c r="G39" s="46"/>
      <x:c r="H39" s="46"/>
      <x:c r="I39" s="46"/>
      <x:c r="J39" s="46"/>
      <x:c r="K39" s="46"/>
      <x:c r="L39" s="46"/>
    </x:row>
    <x:row r="40" ht="64.80000305175781" hidden="0" customHeight="1">
      <x:c r="A40" s="18" t="str">
        <x:v>NOAA-NWM</x:v>
      </x:c>
      <x:c r="B40" s="18" t="str">
        <x:v>NOAA National Water Model</x:v>
      </x:c>
      <x:c r="C40" s="18" t="str">
        <x:v>fine-scale operational hydrologic guidance and repeat forecast runs</x:v>
      </x:c>
      <x:c r="D40" s="18" t="str">
        <x:v>https://water.noaa.gov/about/nwm</x:v>
      </x:c>
      <x:c r="E40" s="46"/>
      <x:c r="F40" s="46"/>
      <x:c r="G40" s="46"/>
      <x:c r="H40" s="46"/>
      <x:c r="I40" s="46"/>
      <x:c r="J40" s="46"/>
      <x:c r="K40" s="46"/>
      <x:c r="L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</x:row>
    <x:row r="42" ht="31" customHeight="1">
      <x:c r="A42" s="48" t="str">
        <x:v>All performance thresholds below are research hypotheses. A threshold becomes operational credit only after RTEA accepts the configuration, uncertainty, failures and reproducibility package.</x:v>
      </x:c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</x:row>
  </x:sheetData>
  <x:mergeCells>
    <x:mergeCell ref="A1:L1"/>
    <x:mergeCell ref="A2:L2"/>
    <x:mergeCell ref="A4:L4"/>
    <x:mergeCell ref="A16:L16"/>
    <x:mergeCell ref="A24:L24"/>
    <x:mergeCell ref="A42:L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20" hidden="0" customWidth="1"/>
    <x:col min="4" max="4" width="62" hidden="0" customWidth="1"/>
  </x:cols>
  <x:sheetData>
    <x:row r="1" ht="34" customHeight="1">
      <x:c r="A1" s="44" t="str">
        <x:v>Controls</x:v>
      </x:c>
      <x:c r="B1" s="44"/>
      <x:c r="C1" s="44"/>
      <x:c r="D1" s="44"/>
    </x:row>
    <x:row r="2" ht="30" customHeight="1">
      <x:c r="A2" s="45" t="str">
        <x:v>Blue cells are editable assumptions; formulas and evidence states update elsewhere.</x:v>
      </x:c>
      <x:c r="B2" s="45"/>
      <x:c r="C2" s="45"/>
      <x:c r="D2" s="45"/>
    </x:row>
    <x:row r="3">
      <x:c r="A3" s="46"/>
      <x:c r="B3" s="46"/>
      <x:c r="C3" s="46"/>
      <x:c r="D3" s="46"/>
    </x:row>
    <x:row r="4" ht="31" customHeight="1">
      <x:c r="A4" s="16" t="str">
        <x:v>Control</x:v>
      </x:c>
      <x:c r="B4" s="16" t="str">
        <x:v>Baseline</x:v>
      </x:c>
      <x:c r="C4" s="16" t="str">
        <x:v>Unit</x:v>
      </x:c>
      <x:c r="D4" s="16" t="str">
        <x:v>Role / interpretation</x:v>
      </x:c>
    </x:row>
    <x:row r="5" ht="75.5999984741211" hidden="0" customHeight="1">
      <x:c r="A5" s="18" t="str">
        <x:v>RDT&amp;E envelope</x:v>
      </x:c>
      <x:c r="B5" s="31" t="n">
        <x:v>130</x:v>
      </x:c>
      <x:c r="C5" s="18" t="str">
        <x:v>$B real 2026</x:v>
      </x:c>
      <x:c r="D5" s="18" t="str">
        <x:v>Pass 13 research, prototype and independent-test allocation</x:v>
      </x:c>
    </x:row>
    <x:row r="6" ht="97.19999694824219" hidden="0" customHeight="1">
      <x:c r="A6" s="14" t="str">
        <x:v>Facility capital envelope</x:v>
      </x:c>
      <x:c r="B6" s="31" t="n">
        <x:v>24</x:v>
      </x:c>
      <x:c r="C6" s="14" t="str">
        <x:v>$B real 2026</x:v>
      </x:c>
      <x:c r="D6" s="14" t="str">
        <x:v>Included inside RDT&amp;E envelope; new Department-owned proving network</x:v>
      </x:c>
    </x:row>
    <x:row r="7" ht="86.4000015258789" hidden="0" customHeight="1">
      <x:c r="A7" s="18" t="str">
        <x:v>Non-facility research envelope</x:v>
      </x:c>
      <x:c r="B7" s="31" t="n">
        <x:f>B5-B6</x:f>
        <x:v>106</x:v>
      </x:c>
      <x:c r="C7" s="18" t="str">
        <x:v>$B real 2026</x:v>
      </x:c>
      <x:c r="D7" s="18" t="str">
        <x:v>Program science, prototypes, field trials, data, standards and transition</x:v>
      </x:c>
    </x:row>
    <x:row r="8" ht="75.5999984741211" hidden="0" customHeight="1">
      <x:c r="A8" s="14" t="str">
        <x:v>Adjacent program reserve</x:v>
      </x:c>
      <x:c r="B8" s="31" t="n">
        <x:v>25</x:v>
      </x:c>
      <x:c r="C8" s="14" t="str">
        <x:v>$B real 2026</x:v>
      </x:c>
      <x:c r="D8" s="14" t="str">
        <x:v>Separate $1T portfolio reserve available only after independent review</x:v>
      </x:c>
    </x:row>
    <x:row r="9" ht="54" hidden="0" customHeight="1">
      <x:c r="A9" s="18" t="str">
        <x:v>Horizon</x:v>
      </x:c>
      <x:c r="B9" s="30" t="n">
        <x:v>25</x:v>
      </x:c>
      <x:c r="C9" s="18" t="str">
        <x:v>years</x:v>
      </x:c>
      <x:c r="D9" s="18" t="str">
        <x:v>Research, production learning and recapitalization window</x:v>
      </x:c>
    </x:row>
    <x:row r="10" ht="43.20000076293945" hidden="0" customHeight="1">
      <x:c r="A10" s="14" t="str">
        <x:v>Independent T&amp;E minimum</x:v>
      </x:c>
      <x:c r="B10" s="32" t="n">
        <x:v>0.1</x:v>
      </x:c>
      <x:c r="C10" s="14" t="str">
        <x:v>share of RDT&amp;E</x:v>
      </x:c>
      <x:c r="D10" s="14" t="str">
        <x:v>Protected from program-office transfer</x:v>
      </x:c>
    </x:row>
    <x:row r="11" ht="43.20000076293945" hidden="0" customHeight="1">
      <x:c r="A11" s="18" t="str">
        <x:v>Facility cost stress</x:v>
      </x:c>
      <x:c r="B11" s="32" t="n">
        <x:v>0.25</x:v>
      </x:c>
      <x:c r="C11" s="18" t="str">
        <x:v>fraction</x:v>
      </x:c>
      <x:c r="D11" s="18" t="str">
        <x:v>Sensitivity only; not embedded in baseline</x:v>
      </x:c>
    </x:row>
    <x:row r="12" ht="54" hidden="0" customHeight="1">
      <x:c r="A12" s="14" t="str">
        <x:v>Prototype redesign stress</x:v>
      </x:c>
      <x:c r="B12" s="31" t="n">
        <x:v>0.15</x:v>
      </x:c>
      <x:c r="C12" s="14" t="str">
        <x:v>fraction of non-facility</x:v>
      </x:c>
      <x:c r="D12" s="14" t="str">
        <x:v>Expected technical rework after destructive evidence</x:v>
      </x:c>
    </x:row>
    <x:row r="13" ht="64.80000305175781" hidden="0" customHeight="1">
      <x:c r="A13" s="18" t="str">
        <x:v>Schedule slip burn</x:v>
      </x:c>
      <x:c r="B13" s="30" t="n">
        <x:v>1.2</x:v>
      </x:c>
      <x:c r="C13" s="18" t="str">
        <x:v>$B/year</x:v>
      </x:c>
      <x:c r="D13" s="18" t="str">
        <x:v>Standing teams, facilities and duplicated prototypes during delay</x:v>
      </x:c>
    </x:row>
    <x:row r="14" ht="43.20000076293945" hidden="0" customHeight="1">
      <x:c r="A14" s="14" t="str">
        <x:v>Minimum destructive repetitions</x:v>
      </x:c>
      <x:c r="B14" s="30" t="n">
        <x:v>8</x:v>
      </x:c>
      <x:c r="C14" s="14" t="str">
        <x:v>events/configuration</x:v>
      </x:c>
      <x:c r="D14" s="14" t="str">
        <x:v>Floor; risk-tail campaigns require more</x:v>
      </x:c>
    </x:row>
    <x:row r="15" ht="75.5999984741211" hidden="0" customHeight="1">
      <x:c r="A15" s="18" t="str">
        <x:v>Maximum major common-mode dependencies</x:v>
      </x:c>
      <x:c r="B15" s="30" t="n">
        <x:v>2</x:v>
      </x:c>
      <x:c r="C15" s="18" t="str">
        <x:v>count</x:v>
      </x:c>
      <x:c r="D15" s="18" t="str">
        <x:v>Above this threshold a mission thread cannot claim independent resilience</x:v>
      </x:c>
    </x:row>
    <x:row r="16" ht="54" hidden="0" customHeight="1">
      <x:c r="A16" s="14" t="str">
        <x:v>Required competing paths through TRL 5</x:v>
      </x:c>
      <x:c r="B16" s="32" t="n">
        <x:v>3</x:v>
      </x:c>
      <x:c r="C16" s="14" t="str">
        <x:v>paths</x:v>
      </x:c>
      <x:c r="D16" s="14" t="str">
        <x:v>Avoid early lock-in around a single architecture</x:v>
      </x:c>
    </x:row>
    <x:row r="17" ht="43.20000076293945" hidden="0" customHeight="1">
      <x:c r="A17" s="18" t="str">
        <x:v>Required paths entering TRL 7</x:v>
      </x:c>
      <x:c r="B17" s="30" t="n">
        <x:v>2</x:v>
      </x:c>
      <x:c r="C17" s="18" t="str">
        <x:v>paths</x:v>
      </x:c>
      <x:c r="D17" s="18" t="str">
        <x:v>Maintain production and learning competition</x:v>
      </x:c>
    </x:row>
    <x:row r="18" ht="64.80000305175781" hidden="0" customHeight="1">
      <x:c r="A18" s="14" t="str">
        <x:v>Evidence completeness threshold</x:v>
      </x:c>
      <x:c r="B18" s="32" t="n">
        <x:v>0.9</x:v>
      </x:c>
      <x:c r="C18" s="14" t="str">
        <x:v>share</x:v>
      </x:c>
      <x:c r="D18" s="14" t="str">
        <x:v>Decision package must meet preregistered completeness</x:v>
      </x:c>
    </x:row>
    <x:row r="19" ht="54" hidden="0" customHeight="1">
      <x:c r="A19" s="18" t="str">
        <x:v>Facility planning utilization ceiling</x:v>
      </x:c>
      <x:c r="B19" s="30" t="n">
        <x:v>0.8</x:v>
      </x:c>
      <x:c r="C19" s="18" t="str">
        <x:v>share</x:v>
      </x:c>
      <x:c r="D19" s="18" t="str">
        <x:v>Preserves maintenance, redesign and surge test access</x:v>
      </x:c>
    </x:row>
    <x:row r="20" ht="86.4000015258789" hidden="0" customHeight="1">
      <x:c r="A20" s="14" t="str">
        <x:v>Data release target</x:v>
      </x:c>
      <x:c r="B20" s="30" t="n">
        <x:v>60</x:v>
      </x:c>
      <x:c r="C20" s="14" t="str">
        <x:v>days after test</x:v>
      </x:c>
      <x:c r="D20" s="14" t="str">
        <x:v>Configuration, failures, uncertainty and machine-readable measurements</x:v>
      </x:c>
    </x:row>
    <x:row r="21" ht="64.80000305175781" hidden="0" customHeight="1">
      <x:c r="A21" s="18" t="str">
        <x:v>Program office self-certification</x:v>
      </x:c>
      <x:c r="B21" s="30" t="n">
        <x:v>0</x:v>
      </x:c>
      <x:c r="C21" s="18" t="str">
        <x:v>allowed? 0=no</x:v>
      </x:c>
      <x:c r="D21" s="18" t="str">
        <x:v>RTEA signs evidence; safety boards retain stop authority</x:v>
      </x:c>
    </x:row>
    <x:row r="22" ht="75.5999984741211" hidden="0" customHeight="1">
      <x:c r="A22" s="14" t="str">
        <x:v>Rendering authorization</x:v>
      </x:c>
      <x:c r="B22" s="30" t="n">
        <x:v>0</x:v>
      </x:c>
      <x:c r="C22" s="14" t="str">
        <x:v>allowed? 0=no</x:v>
      </x:c>
      <x:c r="D22" s="14" t="str">
        <x:v>Exterior geometry remains prohibited until R3 evidence closes</x:v>
      </x:c>
    </x:row>
    <x:row r="23">
      <x:c r="A23" s="46"/>
      <x:c r="B23" s="46"/>
      <x:c r="C23" s="46"/>
      <x:c r="D23" s="46"/>
    </x:row>
    <x:row r="24" ht="31" customHeight="1">
      <x:c r="A24" s="48" t="str">
        <x:v>RDT&amp;E is inside the Pass 13 $1T capital/RDT&amp;E thought experiment. The adjacent $25B reserve is not pre-allocated to this workbook; Failure Sensitivity shows when it would be consumed.</x:v>
      </x:c>
      <x:c r="B24" s="48"/>
      <x:c r="C24" s="48"/>
      <x:c r="D24" s="48"/>
    </x:row>
  </x:sheetData>
  <x:mergeCells>
    <x:mergeCell ref="A1:D1"/>
    <x:mergeCell ref="A2:D2"/>
    <x:mergeCell ref="A24:D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4" hidden="0" customWidth="1"/>
    <x:col min="3" max="3" width="13" hidden="0" customWidth="1"/>
    <x:col min="4" max="4" width="13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66" hidden="0" customWidth="1"/>
    <x:col min="13" max="13" width="17" hidden="0" customWidth="1"/>
  </x:cols>
  <x:sheetData>
    <x:row r="1" ht="34" customHeight="1">
      <x:c r="A1" s="44" t="str">
        <x:v>Campaign Portfolio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</x:row>
    <x:row r="2" ht="30" customHeight="1">
      <x:c r="A2" s="45" t="str">
        <x:v>Ten invention campaigns plus independent integration/test; facility capital is included, not additive.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</x:row>
    <x:row r="4" ht="31" customHeight="1">
      <x:c r="A4" s="16" t="str">
        <x:v>ID</x:v>
      </x:c>
      <x:c r="B4" s="16" t="str">
        <x:v>Campaign</x:v>
      </x:c>
      <x:c r="C4" s="16" t="str">
        <x:v>Total $B</x:v>
      </x:c>
      <x:c r="D4" s="16" t="str">
        <x:v>Facility $B</x:v>
      </x:c>
      <x:c r="E4" s="16" t="str">
        <x:v>Start</x:v>
      </x:c>
      <x:c r="F4" s="16" t="str">
        <x:v>Peak</x:v>
      </x:c>
      <x:c r="G4" s="16" t="str">
        <x:v>End</x:v>
      </x:c>
      <x:c r="H4" s="16" t="str">
        <x:v>Initial paths</x:v>
      </x:c>
      <x:c r="I4" s="16" t="str">
        <x:v>TRL5 paths</x:v>
      </x:c>
      <x:c r="J4" s="16" t="str">
        <x:v>TRL6 paths</x:v>
      </x:c>
      <x:c r="K4" s="16" t="str">
        <x:v>TRL7 paths</x:v>
      </x:c>
      <x:c r="L4" s="16" t="str">
        <x:v>Transformational objective</x:v>
      </x:c>
      <x:c r="M4" s="16" t="str">
        <x:v>R3 gates</x:v>
      </x:c>
    </x:row>
    <x:row r="5" ht="86.4000015258789" hidden="0" customHeight="1">
      <x:c r="A5" s="18" t="str">
        <x:v>C01</x:v>
      </x:c>
      <x:c r="B5" s="18" t="str">
        <x:v>Flood state in minutes</x:v>
      </x:c>
      <x:c r="C5" s="18" t="n">
        <x:v>12</x:v>
      </x:c>
      <x:c r="D5" s="18" t="n">
        <x:v>2</x:v>
      </x:c>
      <x:c r="E5" s="18" t="n">
        <x:v>1</x:v>
      </x:c>
      <x:c r="F5" s="18" t="n">
        <x:v>6</x:v>
      </x:c>
      <x:c r="G5" s="18" t="n">
        <x:v>13</x:v>
      </x:c>
      <x:c r="H5" s="18" t="n">
        <x:v>5</x:v>
      </x:c>
      <x:c r="I5" s="18" t="n">
        <x:v>4</x:v>
      </x:c>
      <x:c r="J5" s="18" t="n">
        <x:v>3</x:v>
      </x:c>
      <x:c r="K5" s="18" t="n">
        <x:v>2</x:v>
      </x:c>
      <x:c r="L5" s="18" t="str">
        <x:v>trusted uncertainty field; P90 actionable state &lt;15 min in instrumented regions</x:v>
      </x:c>
      <x:c r="M5" s="18" t="str">
        <x:v>G01–G03</x:v>
      </x:c>
    </x:row>
    <x:row r="6" ht="75.5999984741211" hidden="0" customHeight="1">
      <x:c r="A6" s="14" t="str">
        <x:v>C02</x:v>
      </x:c>
      <x:c r="B6" s="14" t="str">
        <x:v>Megaflow modular pumping</x:v>
      </x:c>
      <x:c r="C6" s="14" t="n">
        <x:v>18</x:v>
      </x:c>
      <x:c r="D6" s="14" t="n">
        <x:v>4.5</x:v>
      </x:c>
      <x:c r="E6" s="14" t="n">
        <x:v>1</x:v>
      </x:c>
      <x:c r="F6" s="14" t="n">
        <x:v>8</x:v>
      </x:c>
      <x:c r="G6" s="14" t="n">
        <x:v>16</x:v>
      </x:c>
      <x:c r="H6" s="14" t="n">
        <x:v>6</x:v>
      </x:c>
      <x:c r="I6" s="14" t="n">
        <x:v>5</x:v>
      </x:c>
      <x:c r="J6" s="14" t="n">
        <x:v>3</x:v>
      </x:c>
      <x:c r="K6" s="14" t="n">
        <x:v>2</x:v>
      </x:c>
      <x:c r="L6" s="14" t="str">
        <x:v>1–15 m³/s modules; verified full curve, solids tolerance and 30-day endurance</x:v>
      </x:c>
      <x:c r="M6" s="14" t="str">
        <x:v>G04–G06</x:v>
      </x:c>
    </x:row>
    <x:row r="7" ht="75.5999984741211" hidden="0" customHeight="1">
      <x:c r="A7" s="18" t="str">
        <x:v>C03</x:v>
      </x:c>
      <x:c r="B7" s="18" t="str">
        <x:v>Rapid Drainage Spine</x:v>
      </x:c>
      <x:c r="C7" s="18" t="n">
        <x:v>14</x:v>
      </x:c>
      <x:c r="D7" s="18" t="n">
        <x:v>3</x:v>
      </x:c>
      <x:c r="E7" s="18" t="n">
        <x:v>1</x:v>
      </x:c>
      <x:c r="F7" s="18" t="n">
        <x:v>9</x:v>
      </x:c>
      <x:c r="G7" s="18" t="n">
        <x:v>17</x:v>
      </x:c>
      <x:c r="H7" s="18" t="n">
        <x:v>5</x:v>
      </x:c>
      <x:c r="I7" s="18" t="n">
        <x:v>4</x:v>
      </x:c>
      <x:c r="J7" s="18" t="n">
        <x:v>3</x:v>
      </x:c>
      <x:c r="K7" s="18" t="n">
        <x:v>2</x:v>
      </x:c>
      <x:c r="L7" s="18" t="str">
        <x:v>route delivered flow with transient-safe 1–2 m trunks and crossings</x:v>
      </x:c>
      <x:c r="M7" s="18" t="str">
        <x:v>G07</x:v>
      </x:c>
    </x:row>
    <x:row r="8" ht="64.80000305175781" hidden="0" customHeight="1">
      <x:c r="A8" s="14" t="str">
        <x:v>C04</x:v>
      </x:c>
      <x:c r="B8" s="14" t="str">
        <x:v>Adaptive barriers</x:v>
      </x:c>
      <x:c r="C8" s="14" t="n">
        <x:v>14</x:v>
      </x:c>
      <x:c r="D8" s="14" t="n">
        <x:v>3</x:v>
      </x:c>
      <x:c r="E8" s="14" t="n">
        <x:v>1</x:v>
      </x:c>
      <x:c r="F8" s="14" t="n">
        <x:v>9</x:v>
      </x:c>
      <x:c r="G8" s="14" t="n">
        <x:v>18</x:v>
      </x:c>
      <x:c r="H8" s="14" t="n">
        <x:v>5</x:v>
      </x:c>
      <x:c r="I8" s="14" t="n">
        <x:v>4</x:v>
      </x:c>
      <x:c r="J8" s="14" t="n">
        <x:v>3</x:v>
      </x:c>
      <x:c r="K8" s="14" t="n">
        <x:v>2</x:v>
      </x:c>
      <x:c r="L8" s="14" t="str">
        <x:v>self-instrumented exclusion plus positive protected-side drainage</x:v>
      </x:c>
      <x:c r="M8" s="14" t="str">
        <x:v>G08</x:v>
      </x:c>
    </x:row>
    <x:row r="9" ht="75.5999984741211" hidden="0" customHeight="1">
      <x:c r="A9" s="18" t="str">
        <x:v>C05</x:v>
      </x:c>
      <x:c r="B9" s="18" t="str">
        <x:v>Active breach arrest</x:v>
      </x:c>
      <x:c r="C9" s="18" t="n">
        <x:v>12</x:v>
      </x:c>
      <x:c r="D9" s="18" t="n">
        <x:v>2.5</x:v>
      </x:c>
      <x:c r="E9" s="18" t="n">
        <x:v>1</x:v>
      </x:c>
      <x:c r="F9" s="18" t="n">
        <x:v>8</x:v>
      </x:c>
      <x:c r="G9" s="18" t="n">
        <x:v>17</x:v>
      </x:c>
      <x:c r="H9" s="18" t="n">
        <x:v>6</x:v>
      </x:c>
      <x:c r="I9" s="18" t="n">
        <x:v>4</x:v>
      </x:c>
      <x:c r="J9" s="18" t="n">
        <x:v>3</x:v>
      </x:c>
      <x:c r="K9" s="18" t="n">
        <x:v>2</x:v>
      </x:c>
      <x:c r="L9" s="18" t="str">
        <x:v>measurable live-flow reduction before durable filtered closure</x:v>
      </x:c>
      <x:c r="M9" s="18" t="str">
        <x:v>G09</x:v>
      </x:c>
    </x:row>
    <x:row r="10" ht="86.4000015258789" hidden="0" customHeight="1">
      <x:c r="A10" s="14" t="str">
        <x:v>C06</x:v>
      </x:c>
      <x:c r="B10" s="14" t="str">
        <x:v>Flood autonomy</x:v>
      </x:c>
      <x:c r="C10" s="14" t="n">
        <x:v>10</x:v>
      </x:c>
      <x:c r="D10" s="14" t="n">
        <x:v>1.5</x:v>
      </x:c>
      <x:c r="E10" s="14" t="n">
        <x:v>1</x:v>
      </x:c>
      <x:c r="F10" s="14" t="n">
        <x:v>7</x:v>
      </x:c>
      <x:c r="G10" s="14" t="n">
        <x:v>15</x:v>
      </x:c>
      <x:c r="H10" s="14" t="n">
        <x:v>6</x:v>
      </x:c>
      <x:c r="I10" s="14" t="n">
        <x:v>5</x:v>
      </x:c>
      <x:c r="J10" s="14" t="n">
        <x:v>3</x:v>
      </x:c>
      <x:c r="K10" s="14" t="n">
        <x:v>2</x:v>
      </x:c>
      <x:c r="L10" s="14" t="str">
        <x:v>bounded mixed fleets for sensing, line placement and hazardous work</x:v>
      </x:c>
      <x:c r="M10" s="14" t="str">
        <x:v>G11</x:v>
      </x:c>
    </x:row>
    <x:row r="11" ht="75.5999984741211" hidden="0" customHeight="1">
      <x:c r="A11" s="18" t="str">
        <x:v>C07</x:v>
      </x:c>
      <x:c r="B11" s="18" t="str">
        <x:v>Optionally crewed earthworks</x:v>
      </x:c>
      <x:c r="C11" s="18" t="n">
        <x:v>10</x:v>
      </x:c>
      <x:c r="D11" s="18" t="n">
        <x:v>1.5</x:v>
      </x:c>
      <x:c r="E11" s="18" t="n">
        <x:v>2</x:v>
      </x:c>
      <x:c r="F11" s="18" t="n">
        <x:v>9</x:v>
      </x:c>
      <x:c r="G11" s="18" t="n">
        <x:v>18</x:v>
      </x:c>
      <x:c r="H11" s="18" t="n">
        <x:v>5</x:v>
      </x:c>
      <x:c r="I11" s="18" t="n">
        <x:v>4</x:v>
      </x:c>
      <x:c r="J11" s="18" t="n">
        <x:v>3</x:v>
      </x:c>
      <x:c r="K11" s="18" t="n">
        <x:v>2</x:v>
      </x:c>
      <x:c r="L11" s="18" t="str">
        <x:v>productive excavation and placement in mud/current with safe recovery</x:v>
      </x:c>
      <x:c r="M11" s="18" t="str">
        <x:v>G12</x:v>
      </x:c>
    </x:row>
    <x:row r="12" ht="75.5999984741211" hidden="0" customHeight="1">
      <x:c r="A12" s="14" t="str">
        <x:v>C08</x:v>
      </x:c>
      <x:c r="B12" s="14" t="str">
        <x:v>Purpose-built amphibious access</x:v>
      </x:c>
      <x:c r="C12" s="14" t="n">
        <x:v>12</x:v>
      </x:c>
      <x:c r="D12" s="14" t="n">
        <x:v>2</x:v>
      </x:c>
      <x:c r="E12" s="14" t="n">
        <x:v>1</x:v>
      </x:c>
      <x:c r="F12" s="14" t="n">
        <x:v>9</x:v>
      </x:c>
      <x:c r="G12" s="14" t="n">
        <x:v>18</x:v>
      </x:c>
      <x:c r="H12" s="14" t="n">
        <x:v>6</x:v>
      </x:c>
      <x:c r="I12" s="14" t="n">
        <x:v>5</x:v>
      </x:c>
      <x:c r="J12" s="14" t="n">
        <x:v>3</x:v>
      </x:c>
      <x:c r="K12" s="14" t="n">
        <x:v>2</x:v>
      </x:c>
      <x:c r="L12" s="14" t="str">
        <x:v>distinct urban, swift, land, heavy-logistics and coastal envelopes</x:v>
      </x:c>
      <x:c r="M12" s="14" t="str">
        <x:v>G10</x:v>
      </x:c>
    </x:row>
    <x:row r="13" ht="97.19999694824219" hidden="0" customHeight="1">
      <x:c r="A13" s="18" t="str">
        <x:v>C09</x:v>
      </x:c>
      <x:c r="B13" s="18" t="str">
        <x:v>Contamination-aware dewatering</x:v>
      </x:c>
      <x:c r="C13" s="18" t="n">
        <x:v>8</x:v>
      </x:c>
      <x:c r="D13" s="18" t="n">
        <x:v>1.5</x:v>
      </x:c>
      <x:c r="E13" s="18" t="n">
        <x:v>1</x:v>
      </x:c>
      <x:c r="F13" s="18" t="n">
        <x:v>7</x:v>
      </x:c>
      <x:c r="G13" s="18" t="n">
        <x:v>15</x:v>
      </x:c>
      <x:c r="H13" s="18" t="n">
        <x:v>5</x:v>
      </x:c>
      <x:c r="I13" s="18" t="n">
        <x:v>4</x:v>
      </x:c>
      <x:c r="J13" s="18" t="n">
        <x:v>3</x:v>
      </x:c>
      <x:c r="K13" s="18" t="n">
        <x:v>2</x:v>
      </x:c>
      <x:c r="L13" s="18" t="str">
        <x:v>field characterization, treatment and accountable discharge at operating tempo</x:v>
      </x:c>
      <x:c r="M13" s="18" t="str">
        <x:v>G13</x:v>
      </x:c>
    </x:row>
    <x:row r="14" ht="86.4000015258789" hidden="0" customHeight="1">
      <x:c r="A14" s="14" t="str">
        <x:v>C10</x:v>
      </x:c>
      <x:c r="B14" s="14" t="str">
        <x:v>Hydraulic works carriers</x:v>
      </x:c>
      <x:c r="C14" s="14" t="n">
        <x:v>7</x:v>
      </x:c>
      <x:c r="D14" s="14" t="n">
        <x:v>1</x:v>
      </x:c>
      <x:c r="E14" s="14" t="n">
        <x:v>3</x:v>
      </x:c>
      <x:c r="F14" s="14" t="n">
        <x:v>11</x:v>
      </x:c>
      <x:c r="G14" s="14" t="n">
        <x:v>22</x:v>
      </x:c>
      <x:c r="H14" s="14" t="n">
        <x:v>5</x:v>
      </x:c>
      <x:c r="I14" s="14" t="n">
        <x:v>4</x:v>
      </x:c>
      <x:c r="J14" s="14" t="n">
        <x:v>3</x:v>
      </x:c>
      <x:c r="K14" s="14" t="n">
        <x:v>2</x:v>
      </x:c>
      <x:c r="L14" s="14" t="str">
        <x:v>complete riverine/coastal base-to-shore work system, not a prestige hull</x:v>
      </x:c>
      <x:c r="M14" s="14" t="str">
        <x:v>G18</x:v>
      </x:c>
    </x:row>
    <x:row r="15" ht="97.19999694824219" hidden="0" customHeight="1">
      <x:c r="A15" s="18" t="str">
        <x:v>C11</x:v>
      </x:c>
      <x:c r="B15" s="18" t="str">
        <x:v>Independent integration and T&amp;E</x:v>
      </x:c>
      <x:c r="C15" s="18" t="n">
        <x:v>13</x:v>
      </x:c>
      <x:c r="D15" s="18" t="n">
        <x:v>1.5</x:v>
      </x:c>
      <x:c r="E15" s="18" t="n">
        <x:v>1</x:v>
      </x:c>
      <x:c r="F15" s="18" t="n">
        <x:v>12</x:v>
      </x:c>
      <x:c r="G15" s="18" t="n">
        <x:v>25</x:v>
      </x:c>
      <x:c r="H15" s="18" t="n">
        <x:v>0</x:v>
      </x:c>
      <x:c r="I15" s="18" t="n">
        <x:v>0</x:v>
      </x:c>
      <x:c r="J15" s="18" t="n">
        <x:v>0</x:v>
      </x:c>
      <x:c r="K15" s="18" t="n">
        <x:v>0</x:v>
      </x:c>
      <x:c r="L15" s="18" t="str">
        <x:v>independent data, standards, mission threads, concurrency and production evidence</x:v>
      </x:c>
      <x:c r="M15" s="18" t="str">
        <x:v>G14–G20</x:v>
      </x:c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</x:row>
    <x:row r="17" ht="23" customHeight="1">
      <x:c r="A17" s="47" t="str">
        <x:v>Portfolio reconciliation</x:v>
      </x:c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</x:row>
    <x:row r="18" ht="31" hidden="0" customHeight="1">
      <x:c r="A18" s="16" t="str">
        <x:v>Measure</x:v>
      </x:c>
      <x:c r="B18" s="16" t="str">
        <x:v>Value</x:v>
      </x:c>
      <x:c r="C18" s="16" t="str">
        <x:v>Check</x:v>
      </x:c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</x:row>
    <x:row r="19" ht="21.600000381469727" hidden="0" customHeight="1">
      <x:c r="A19" s="14" t="str">
        <x:v>Campaign total</x:v>
      </x:c>
      <x:c r="B19" s="20" t="n">
        <x:f>SUM(C5:C15)</x:f>
        <x:v>130</x:v>
      </x:c>
      <x:c r="C19" s="14" t="str">
        <x:f>IF(B19='Controls'!B5,"PASS","FAIL")</x:f>
        <x:v>PASS</x:v>
      </x:c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</x:row>
    <x:row r="20" ht="21.600000381469727" hidden="0" customHeight="1">
      <x:c r="A20" s="14" t="str">
        <x:v>Facility capital</x:v>
      </x:c>
      <x:c r="B20" s="20" t="n">
        <x:f>SUM(D5:D15)</x:f>
        <x:v>24</x:v>
      </x:c>
      <x:c r="C20" s="14" t="str">
        <x:f>IF(B20='Controls'!B6,"PASS","FAIL")</x:f>
        <x:v>PASS</x:v>
      </x:c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</x:row>
    <x:row r="21" ht="21.600000381469727" hidden="0" customHeight="1">
      <x:c r="A21" s="14" t="str">
        <x:v>Non-facility research</x:v>
      </x:c>
      <x:c r="B21" s="20" t="n">
        <x:f>B19-B20</x:f>
        <x:v>106</x:v>
      </x:c>
      <x:c r="C21" s="14" t="str">
        <x:f>IF(B21='Controls'!B7,"PASS","FAIL")</x:f>
        <x:v>PASS</x:v>
      </x:c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</x:row>
    <x:row r="22" ht="21.600000381469727" hidden="0" customHeight="1">
      <x:c r="A22" s="14" t="str">
        <x:v>Envelope variance</x:v>
      </x:c>
      <x:c r="B22" s="20" t="n">
        <x:f>B19-'Controls'!B5</x:f>
        <x:v>0</x:v>
      </x:c>
      <x:c r="C22" s="14" t="str">
        <x:f>IF(ABS(B22)&lt;0.001,"PASS","FAIL")</x:f>
        <x:v>PASS</x:v>
      </x:c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</x:row>
    <x:row r="23" ht="21.600000381469727" hidden="0" customHeight="1">
      <x:c r="A23" s="14" t="str">
        <x:v>Facility variance</x:v>
      </x:c>
      <x:c r="B23" s="20" t="n">
        <x:f>B20-'Controls'!B6</x:f>
        <x:v>0</x:v>
      </x:c>
      <x:c r="C23" s="14" t="str">
        <x:f>IF(ABS(B23)&lt;0.001,"PASS","FAIL")</x:f>
        <x:v>PASS</x:v>
      </x:c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</x:row>
    <x:row r="24" ht="21.600000381469727" hidden="0" customHeight="1">
      <x:c r="A24" s="14" t="str">
        <x:v>Independent T&amp;E share</x:v>
      </x:c>
      <x:c r="B24" s="33" t="n">
        <x:f>C15/B19</x:f>
        <x:v>0.1</x:v>
      </x:c>
      <x:c r="C24" s="14" t="str">
        <x:f>IF(B24&gt;='Controls'!B10,"PASS","FAIL")</x:f>
        <x:v>PASS</x:v>
      </x:c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</x:row>
  </x:sheetData>
  <x:mergeCells>
    <x:mergeCell ref="A1:M1"/>
    <x:mergeCell ref="A2:M2"/>
    <x:mergeCell ref="A17:M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42" hidden="0" customWidth="1"/>
    <x:col min="5" max="5" width="9" hidden="0" customWidth="1"/>
    <x:col min="6" max="6" width="9" hidden="0" customWidth="1"/>
    <x:col min="7" max="7" width="17" hidden="0" customWidth="1"/>
    <x:col min="8" max="8" width="11" hidden="0" customWidth="1"/>
    <x:col min="9" max="9" width="11" hidden="0" customWidth="1"/>
    <x:col min="10" max="10" width="17" hidden="0" customWidth="1"/>
    <x:col min="11" max="11" width="28" hidden="0" customWidth="1"/>
    <x:col min="12" max="12" width="48" hidden="0" customWidth="1"/>
    <x:col min="13" max="13" width="18" hidden="0" customWidth="1"/>
    <x:col min="14" max="14" width="13" hidden="0" customWidth="1"/>
    <x:col min="15" max="15" width="28" hidden="0" customWidth="1"/>
  </x:cols>
  <x:sheetData>
    <x:row r="1" ht="34" customHeight="1">
      <x:c r="A1" s="44" t="str">
        <x:v>Experiment Register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</x:row>
    <x:row r="2" ht="30" customHeight="1">
      <x:c r="A2" s="45" t="str">
        <x:v>Each experiment has an article, environment, repetition count, measured variable and falsifiable threshold.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</x:row>
    <x:row r="4" ht="31" customHeight="1">
      <x:c r="A4" s="16" t="str">
        <x:v>ID</x:v>
      </x:c>
      <x:c r="B4" s="16" t="str">
        <x:v>Campaign</x:v>
      </x:c>
      <x:c r="C4" s="16" t="str">
        <x:v>Facility</x:v>
      </x:c>
      <x:c r="D4" s="16" t="str">
        <x:v>Experiment / evaluation</x:v>
      </x:c>
      <x:c r="E4" s="16" t="str">
        <x:v>Start</x:v>
      </x:c>
      <x:c r="F4" s="16" t="str">
        <x:v>End</x:v>
      </x:c>
      <x:c r="G4" s="16" t="str">
        <x:v>Type</x:v>
      </x:c>
      <x:c r="H4" s="16" t="str">
        <x:v>Weight</x:v>
      </x:c>
      <x:c r="I4" s="16" t="str">
        <x:v>Repetitions</x:v>
      </x:c>
      <x:c r="J4" s="16" t="str">
        <x:v>Scale/state</x:v>
      </x:c>
      <x:c r="K4" s="16" t="str">
        <x:v>Primary measurement</x:v>
      </x:c>
      <x:c r="L4" s="16" t="str">
        <x:v>Pass / fail threshold</x:v>
      </x:c>
      <x:c r="M4" s="16" t="str">
        <x:v>Mapped gates</x:v>
      </x:c>
      <x:c r="N4" s="16" t="str">
        <x:v>Calculated $B</x:v>
      </x:c>
      <x:c r="O4" s="16" t="str">
        <x:v>Decision authority</x:v>
      </x:c>
    </x:row>
    <x:row r="5" ht="64.80000305175781" hidden="0" customHeight="1">
      <x:c r="A5" s="18" t="str">
        <x:v>E01</x:v>
      </x:c>
      <x:c r="B5" s="18" t="str">
        <x:v>C01</x:v>
      </x:c>
      <x:c r="C5" s="18" t="str">
        <x:v>F09</x:v>
      </x:c>
      <x:c r="D5" s="18" t="str">
        <x:v>Hydrologic blind hindcast tournament</x:v>
      </x:c>
      <x:c r="E5" s="18" t="n">
        <x:v>1</x:v>
      </x:c>
      <x:c r="F5" s="18" t="n">
        <x:v>3</x:v>
      </x:c>
      <x:c r="G5" s="18" t="str">
        <x:v>model/field</x:v>
      </x:c>
      <x:c r="H5" s="18" t="n">
        <x:v>0.8</x:v>
      </x:c>
      <x:c r="I5" s="18" t="n">
        <x:v>24</x:v>
      </x:c>
      <x:c r="J5" s="18" t="str">
        <x:v>regional</x:v>
      </x:c>
      <x:c r="K5" s="18" t="str">
        <x:v>depth, velocity, threshold-crossing time</x:v>
      </x:c>
      <x:c r="L5" s="18" t="str">
        <x:v>P90 time error &lt;=20%; calibrated 90% interval coverage 85–95%</x:v>
      </x:c>
      <x:c r="M5" s="18" t="str">
        <x:v>G01/G03</x:v>
      </x:c>
      <x:c r="N5" s="34" t="n">
        <x:f>H5/SUMIF($B$5:$B$50,B5,$H$5:$H$50)*(INDEX('Campaign Portfolio'!$C$5:$C$15,MATCH(B5,'Campaign Portfolio'!$A$5:$A$15,0))-INDEX('Campaign Portfolio'!$D$5:$D$15,MATCH(B5,'Campaign Portfolio'!$A$5:$A$15,0)))</x:f>
        <x:v>2</x:v>
      </x:c>
      <x:c r="O5" s="18" t="str">
        <x:v>RTEA; safety board may stop</x:v>
      </x:c>
    </x:row>
    <x:row r="6" ht="54" hidden="0" customHeight="1">
      <x:c r="A6" s="14" t="str">
        <x:v>E02</x:v>
      </x:c>
      <x:c r="B6" s="14" t="str">
        <x:v>C01</x:v>
      </x:c>
      <x:c r="C6" s="14" t="str">
        <x:v>F09</x:v>
      </x:c>
      <x:c r="D6" s="14" t="str">
        <x:v>Sensor-to-map latency and dropout trials</x:v>
      </x:c>
      <x:c r="E6" s="14" t="n">
        <x:v>2</x:v>
      </x:c>
      <x:c r="F6" s="14" t="n">
        <x:v>5</x:v>
      </x:c>
      <x:c r="G6" s="14" t="str">
        <x:v>hardware-in-loop</x:v>
      </x:c>
      <x:c r="H6" s="14" t="n">
        <x:v>1.2</x:v>
      </x:c>
      <x:c r="I6" s="14" t="n">
        <x:v>40</x:v>
      </x:c>
      <x:c r="J6" s="14" t="str">
        <x:v>regional</x:v>
      </x:c>
      <x:c r="K6" s="14" t="str">
        <x:v>observation-to-actionable-state latency</x:v>
      </x:c>
      <x:c r="L6" s="14" t="str">
        <x:v>P90 &lt;=15 min at 40% sensor and backhaul loss</x:v>
      </x:c>
      <x:c r="M6" s="14" t="str">
        <x:v>G02</x:v>
      </x:c>
      <x:c r="N6" s="35" t="n">
        <x:f>H6/SUMIF($B$5:$B$50,B6,$H$5:$H$50)*(INDEX('Campaign Portfolio'!$C$5:$C$15,MATCH(B6,'Campaign Portfolio'!$A$5:$A$15,0))-INDEX('Campaign Portfolio'!$D$5:$D$15,MATCH(B6,'Campaign Portfolio'!$A$5:$A$15,0)))</x:f>
        <x:v>3</x:v>
      </x:c>
      <x:c r="O6" s="14" t="str">
        <x:v>RTEA; safety board may stop</x:v>
      </x:c>
    </x:row>
    <x:row r="7" ht="64.80000305175781" hidden="0" customHeight="1">
      <x:c r="A7" s="18" t="str">
        <x:v>E03</x:v>
      </x:c>
      <x:c r="B7" s="18" t="str">
        <x:v>C01</x:v>
      </x:c>
      <x:c r="C7" s="18" t="str">
        <x:v>F09</x:v>
      </x:c>
      <x:c r="D7" s="18" t="str">
        <x:v>Barrier/pump counterfactual digital-twin trial</x:v>
      </x:c>
      <x:c r="E7" s="18" t="n">
        <x:v>3</x:v>
      </x:c>
      <x:c r="F7" s="18" t="n">
        <x:v>7</x:v>
      </x:c>
      <x:c r="G7" s="18" t="str">
        <x:v>field/digital</x:v>
      </x:c>
      <x:c r="H7" s="18" t="n">
        <x:v>1</x:v>
      </x:c>
      <x:c r="I7" s="18" t="n">
        <x:v>20</x:v>
      </x:c>
      <x:c r="J7" s="18" t="str">
        <x:v>basin</x:v>
      </x:c>
      <x:c r="K7" s="18" t="str">
        <x:v>net-flow and consequence rank error</x:v>
      </x:c>
      <x:c r="L7" s="18" t="str">
        <x:v>top-three intervention ranking correct &gt;=80% blind cases</x:v>
      </x:c>
      <x:c r="M7" s="18" t="str">
        <x:v>G03/G08</x:v>
      </x:c>
      <x:c r="N7" s="34" t="n">
        <x:f>H7/SUMIF($B$5:$B$50,B7,$H$5:$H$50)*(INDEX('Campaign Portfolio'!$C$5:$C$15,MATCH(B7,'Campaign Portfolio'!$A$5:$A$15,0))-INDEX('Campaign Portfolio'!$D$5:$D$15,MATCH(B7,'Campaign Portfolio'!$A$5:$A$15,0)))</x:f>
        <x:v>2.5</x:v>
      </x:c>
      <x:c r="O7" s="18" t="str">
        <x:v>RTEA; safety board may stop</x:v>
      </x:c>
    </x:row>
    <x:row r="8" ht="64.80000305175781" hidden="0" customHeight="1">
      <x:c r="A8" s="14" t="str">
        <x:v>E04</x:v>
      </x:c>
      <x:c r="B8" s="14" t="str">
        <x:v>C01</x:v>
      </x:c>
      <x:c r="C8" s="14" t="str">
        <x:v>F10</x:v>
      </x:c>
      <x:c r="D8" s="14" t="str">
        <x:v>FIN complete alert-to-action exercise</x:v>
      </x:c>
      <x:c r="E8" s="14" t="n">
        <x:v>5</x:v>
      </x:c>
      <x:c r="F8" s="14" t="n">
        <x:v>10</x:v>
      </x:c>
      <x:c r="G8" s="14" t="str">
        <x:v>operational</x:v>
      </x:c>
      <x:c r="H8" s="14" t="n">
        <x:v>1</x:v>
      </x:c>
      <x:c r="I8" s="14" t="n">
        <x:v>16</x:v>
      </x:c>
      <x:c r="J8" s="14" t="str">
        <x:v>multi-region</x:v>
      </x:c>
      <x:c r="K8" s="14" t="str">
        <x:v>P50/P90 effective action time</x:v>
      </x:c>
      <x:c r="L8" s="14" t="str">
        <x:v>P90 &lt;=10 h forecast case and &lt;=60 min local flash cell</x:v>
      </x:c>
      <x:c r="M8" s="14" t="str">
        <x:v>G02/G20</x:v>
      </x:c>
      <x:c r="N8" s="35" t="n">
        <x:f>H8/SUMIF($B$5:$B$50,B8,$H$5:$H$50)*(INDEX('Campaign Portfolio'!$C$5:$C$15,MATCH(B8,'Campaign Portfolio'!$A$5:$A$15,0))-INDEX('Campaign Portfolio'!$D$5:$D$15,MATCH(B8,'Campaign Portfolio'!$A$5:$A$15,0)))</x:f>
        <x:v>2.5</x:v>
      </x:c>
      <x:c r="O8" s="14" t="str">
        <x:v>RTEA; safety board may stop</x:v>
      </x:c>
    </x:row>
    <x:row r="9" ht="75.5999984741211" hidden="0" customHeight="1">
      <x:c r="A9" s="18" t="str">
        <x:v>E05</x:v>
      </x:c>
      <x:c r="B9" s="18" t="str">
        <x:v>C02</x:v>
      </x:c>
      <x:c r="C9" s="18" t="str">
        <x:v>F01</x:v>
      </x:c>
      <x:c r="D9" s="18" t="str">
        <x:v>Wet-end architecture full-curve tournament</x:v>
      </x:c>
      <x:c r="E9" s="18" t="n">
        <x:v>2</x:v>
      </x:c>
      <x:c r="F9" s="18" t="n">
        <x:v>5</x:v>
      </x:c>
      <x:c r="G9" s="18" t="str">
        <x:v>component</x:v>
      </x:c>
      <x:c r="H9" s="18" t="n">
        <x:v>1</x:v>
      </x:c>
      <x:c r="I9" s="18" t="n">
        <x:v>90</x:v>
      </x:c>
      <x:c r="J9" s="18" t="str">
        <x:v>1–15 m3/s</x:v>
      </x:c>
      <x:c r="K9" s="18" t="str">
        <x:v>flow, head, efficiency, NPSH margin</x:v>
      </x:c>
      <x:c r="L9" s="18" t="str">
        <x:v>verified map across 20–100% flow; no unstable exclusion island</x:v>
      </x:c>
      <x:c r="M9" s="18" t="str">
        <x:v>G04</x:v>
      </x:c>
      <x:c r="N9" s="34" t="n">
        <x:f>H9/SUMIF($B$5:$B$50,B9,$H$5:$H$50)*(INDEX('Campaign Portfolio'!$C$5:$C$15,MATCH(B9,'Campaign Portfolio'!$A$5:$A$15,0))-INDEX('Campaign Portfolio'!$D$5:$D$15,MATCH(B9,'Campaign Portfolio'!$A$5:$A$15,0)))</x:f>
        <x:v>2.4545454545454546</x:v>
      </x:c>
      <x:c r="O9" s="18" t="str">
        <x:v>RTEA; safety board may stop</x:v>
      </x:c>
    </x:row>
    <x:row r="10" ht="54" hidden="0" customHeight="1">
      <x:c r="A10" s="14" t="str">
        <x:v>E06</x:v>
      </x:c>
      <x:c r="B10" s="14" t="str">
        <x:v>C02</x:v>
      </x:c>
      <x:c r="C10" s="14" t="str">
        <x:v>F01</x:v>
      </x:c>
      <x:c r="D10" s="14" t="str">
        <x:v>Debris, sediment and ragging envelope</x:v>
      </x:c>
      <x:c r="E10" s="14" t="n">
        <x:v>3</x:v>
      </x:c>
      <x:c r="F10" s="14" t="n">
        <x:v>6</x:v>
      </x:c>
      <x:c r="G10" s="14" t="str">
        <x:v>destructive</x:v>
      </x:c>
      <x:c r="H10" s="14" t="n">
        <x:v>1.2</x:v>
      </x:c>
      <x:c r="I10" s="14" t="n">
        <x:v>120</x:v>
      </x:c>
      <x:c r="J10" s="14" t="str">
        <x:v>full scale</x:v>
      </x:c>
      <x:c r="K10" s="14" t="str">
        <x:v>capacity loss, jam rate, clearing time</x:v>
      </x:c>
      <x:c r="L10" s="14" t="str">
        <x:v>&lt;=20% sustained derate; P90 remote clear &lt;=20 min</x:v>
      </x:c>
      <x:c r="M10" s="14" t="str">
        <x:v>G04/G05</x:v>
      </x:c>
      <x:c r="N10" s="35" t="n">
        <x:f>H10/SUMIF($B$5:$B$50,B10,$H$5:$H$50)*(INDEX('Campaign Portfolio'!$C$5:$C$15,MATCH(B10,'Campaign Portfolio'!$A$5:$A$15,0))-INDEX('Campaign Portfolio'!$D$5:$D$15,MATCH(B10,'Campaign Portfolio'!$A$5:$A$15,0)))</x:f>
        <x:v>2.9454545454545453</x:v>
      </x:c>
      <x:c r="O10" s="14" t="str">
        <x:v>RTEA; safety board may stop</x:v>
      </x:c>
    </x:row>
    <x:row r="11" ht="54" hidden="0" customHeight="1">
      <x:c r="A11" s="18" t="str">
        <x:v>E07</x:v>
      </x:c>
      <x:c r="B11" s="18" t="str">
        <x:v>C02</x:v>
      </x:c>
      <x:c r="C11" s="18" t="str">
        <x:v>F01</x:v>
      </x:c>
      <x:c r="D11" s="18" t="str">
        <x:v>Intake submergence and cavitation trials</x:v>
      </x:c>
      <x:c r="E11" s="18" t="n">
        <x:v>3</x:v>
      </x:c>
      <x:c r="F11" s="18" t="n">
        <x:v>7</x:v>
      </x:c>
      <x:c r="G11" s="18" t="str">
        <x:v>hydraulic</x:v>
      </x:c>
      <x:c r="H11" s="18" t="n">
        <x:v>1</x:v>
      </x:c>
      <x:c r="I11" s="18" t="n">
        <x:v>80</x:v>
      </x:c>
      <x:c r="J11" s="18" t="str">
        <x:v>full scale</x:v>
      </x:c>
      <x:c r="K11" s="18" t="str">
        <x:v>cavitation index, vibration, damage</x:v>
      </x:c>
      <x:c r="L11" s="18" t="str">
        <x:v>no damaging cavitation inside published envelope</x:v>
      </x:c>
      <x:c r="M11" s="18" t="str">
        <x:v>G05</x:v>
      </x:c>
      <x:c r="N11" s="34" t="n">
        <x:f>H11/SUMIF($B$5:$B$50,B11,$H$5:$H$50)*(INDEX('Campaign Portfolio'!$C$5:$C$15,MATCH(B11,'Campaign Portfolio'!$A$5:$A$15,0))-INDEX('Campaign Portfolio'!$D$5:$D$15,MATCH(B11,'Campaign Portfolio'!$A$5:$A$15,0)))</x:f>
        <x:v>2.4545454545454546</x:v>
      </x:c>
      <x:c r="O11" s="18" t="str">
        <x:v>RTEA; safety board may stop</x:v>
      </x:c>
    </x:row>
    <x:row r="12" ht="64.80000305175781" hidden="0" customHeight="1">
      <x:c r="A12" s="14" t="str">
        <x:v>E08</x:v>
      </x:c>
      <x:c r="B12" s="14" t="str">
        <x:v>C02</x:v>
      </x:c>
      <x:c r="C12" s="14" t="str">
        <x:v>F01</x:v>
      </x:c>
      <x:c r="D12" s="14" t="str">
        <x:v>30-day multi-pump endurance block</x:v>
      </x:c>
      <x:c r="E12" s="14" t="n">
        <x:v>5</x:v>
      </x:c>
      <x:c r="F12" s="14" t="n">
        <x:v>9</x:v>
      </x:c>
      <x:c r="G12" s="14" t="str">
        <x:v>endurance</x:v>
      </x:c>
      <x:c r="H12" s="14" t="n">
        <x:v>1.5</x:v>
      </x:c>
      <x:c r="I12" s="14" t="n">
        <x:v>18</x:v>
      </x:c>
      <x:c r="J12" s="14" t="str">
        <x:v>formation bay</x:v>
      </x:c>
      <x:c r="K12" s="14" t="str">
        <x:v>availability, seals, bearings, mean restore time</x:v>
      </x:c>
      <x:c r="L12" s="14" t="str">
        <x:v>&gt;=92% mission availability; no uncontained failure</x:v>
      </x:c>
      <x:c r="M12" s="14" t="str">
        <x:v>G04–G06</x:v>
      </x:c>
      <x:c r="N12" s="35" t="n">
        <x:f>H12/SUMIF($B$5:$B$50,B12,$H$5:$H$50)*(INDEX('Campaign Portfolio'!$C$5:$C$15,MATCH(B12,'Campaign Portfolio'!$A$5:$A$15,0))-INDEX('Campaign Portfolio'!$D$5:$D$15,MATCH(B12,'Campaign Portfolio'!$A$5:$A$15,0)))</x:f>
        <x:v>3.6818181818181817</x:v>
      </x:c>
      <x:c r="O12" s="14" t="str">
        <x:v>RTEA; safety board may stop</x:v>
      </x:c>
    </x:row>
    <x:row r="13" ht="64.80000305175781" hidden="0" customHeight="1">
      <x:c r="A13" s="18" t="str">
        <x:v>E09</x:v>
      </x:c>
      <x:c r="B13" s="18" t="str">
        <x:v>C02</x:v>
      </x:c>
      <x:c r="C13" s="18" t="str">
        <x:v>F10</x:v>
      </x:c>
      <x:c r="D13" s="18" t="str">
        <x:v>Black-start and source-transfer demonstration</x:v>
      </x:c>
      <x:c r="E13" s="18" t="n">
        <x:v>6</x:v>
      </x:c>
      <x:c r="F13" s="18" t="n">
        <x:v>11</x:v>
      </x:c>
      <x:c r="G13" s="18" t="str">
        <x:v>integrated</x:v>
      </x:c>
      <x:c r="H13" s="18" t="n">
        <x:v>0.8</x:v>
      </x:c>
      <x:c r="I13" s="18" t="n">
        <x:v>24</x:v>
      </x:c>
      <x:c r="J13" s="18" t="str">
        <x:v>battalion</x:v>
      </x:c>
      <x:c r="K13" s="18" t="str">
        <x:v>time to stable flow after source loss</x:v>
      </x:c>
      <x:c r="L13" s="18" t="str">
        <x:v>P90 &lt;=10 min; protective coordination correct in every event</x:v>
      </x:c>
      <x:c r="M13" s="18" t="str">
        <x:v>G06/G20</x:v>
      </x:c>
      <x:c r="N13" s="34" t="n">
        <x:f>H13/SUMIF($B$5:$B$50,B13,$H$5:$H$50)*(INDEX('Campaign Portfolio'!$C$5:$C$15,MATCH(B13,'Campaign Portfolio'!$A$5:$A$15,0))-INDEX('Campaign Portfolio'!$D$5:$D$15,MATCH(B13,'Campaign Portfolio'!$A$5:$A$15,0)))</x:f>
        <x:v>1.9636363636363638</x:v>
      </x:c>
      <x:c r="O13" s="18" t="str">
        <x:v>RTEA; safety board may stop</x:v>
      </x:c>
    </x:row>
    <x:row r="14" ht="64.80000305175781" hidden="0" customHeight="1">
      <x:c r="A14" s="14" t="str">
        <x:v>E10</x:v>
      </x:c>
      <x:c r="B14" s="14" t="str">
        <x:v>C03</x:v>
      </x:c>
      <x:c r="C14" s="14" t="str">
        <x:v>F02</x:v>
      </x:c>
      <x:c r="D14" s="14" t="str">
        <x:v>Full-diameter joint and bend pressure pulse</x:v>
      </x:c>
      <x:c r="E14" s="14" t="n">
        <x:v>2</x:v>
      </x:c>
      <x:c r="F14" s="14" t="n">
        <x:v>5</x:v>
      </x:c>
      <x:c r="G14" s="14" t="str">
        <x:v>destructive</x:v>
      </x:c>
      <x:c r="H14" s="14" t="n">
        <x:v>1.2</x:v>
      </x:c>
      <x:c r="I14" s="14" t="n">
        <x:v>60</x:v>
      </x:c>
      <x:c r="J14" s="14" t="str">
        <x:v>2 m trunk</x:v>
      </x:c>
      <x:c r="K14" s="14" t="str">
        <x:v>surge pressure, leakage, joint displacement</x:v>
      </x:c>
      <x:c r="L14" s="14" t="str">
        <x:v>1.5x max operating transient without progressive separation</x:v>
      </x:c>
      <x:c r="M14" s="14" t="str">
        <x:v>G07</x:v>
      </x:c>
      <x:c r="N14" s="35" t="n">
        <x:f>H14/SUMIF($B$5:$B$50,B14,$H$5:$H$50)*(INDEX('Campaign Portfolio'!$C$5:$C$15,MATCH(B14,'Campaign Portfolio'!$A$5:$A$15,0))-INDEX('Campaign Portfolio'!$D$5:$D$15,MATCH(B14,'Campaign Portfolio'!$A$5:$A$15,0)))</x:f>
        <x:v>2.933333333333333</x:v>
      </x:c>
      <x:c r="O14" s="14" t="str">
        <x:v>RTEA; safety board may stop</x:v>
      </x:c>
    </x:row>
    <x:row r="15" ht="64.80000305175781" hidden="0" customHeight="1">
      <x:c r="A15" s="18" t="str">
        <x:v>E11</x:v>
      </x:c>
      <x:c r="B15" s="18" t="str">
        <x:v>C03</x:v>
      </x:c>
      <x:c r="C15" s="18" t="str">
        <x:v>F02</x:v>
      </x:c>
      <x:c r="D15" s="18" t="str">
        <x:v>Road/rail crossing installation tournament</x:v>
      </x:c>
      <x:c r="E15" s="18" t="n">
        <x:v>3</x:v>
      </x:c>
      <x:c r="F15" s="18" t="n">
        <x:v>7</x:v>
      </x:c>
      <x:c r="G15" s="18" t="str">
        <x:v>field</x:v>
      </x:c>
      <x:c r="H15" s="18" t="n">
        <x:v>1</x:v>
      </x:c>
      <x:c r="I15" s="18" t="n">
        <x:v>36</x:v>
      </x:c>
      <x:c r="J15" s="18" t="str">
        <x:v>full route</x:v>
      </x:c>
      <x:c r="K15" s="18" t="str">
        <x:v>crew-hours and closure-hours per crossing</x:v>
      </x:c>
      <x:c r="L15" s="18" t="str">
        <x:v>two lanes restored &lt;=12 h; rail protection accepted &lt;=24 h</x:v>
      </x:c>
      <x:c r="M15" s="18" t="str">
        <x:v>G07/G15</x:v>
      </x:c>
      <x:c r="N15" s="34" t="n">
        <x:f>H15/SUMIF($B$5:$B$50,B15,$H$5:$H$50)*(INDEX('Campaign Portfolio'!$C$5:$C$15,MATCH(B15,'Campaign Portfolio'!$A$5:$A$15,0))-INDEX('Campaign Portfolio'!$D$5:$D$15,MATCH(B15,'Campaign Portfolio'!$A$5:$A$15,0)))</x:f>
        <x:v>2.444444444444444</x:v>
      </x:c>
      <x:c r="O15" s="18" t="str">
        <x:v>RTEA; safety board may stop</x:v>
      </x:c>
    </x:row>
    <x:row r="16" ht="64.80000305175781" hidden="0" customHeight="1">
      <x:c r="A16" s="14" t="str">
        <x:v>E12</x:v>
      </x:c>
      <x:c r="B16" s="14" t="str">
        <x:v>C03</x:v>
      </x:c>
      <x:c r="C16" s="14" t="str">
        <x:v>F02</x:v>
      </x:c>
      <x:c r="D16" s="14" t="str">
        <x:v>20 km route build-and-recover trial</x:v>
      </x:c>
      <x:c r="E16" s="14" t="n">
        <x:v>5</x:v>
      </x:c>
      <x:c r="F16" s="14" t="n">
        <x:v>9</x:v>
      </x:c>
      <x:c r="G16" s="14" t="str">
        <x:v>operational</x:v>
      </x:c>
      <x:c r="H16" s="14" t="n">
        <x:v>1.5</x:v>
      </x:c>
      <x:c r="I16" s="14" t="n">
        <x:v>12</x:v>
      </x:c>
      <x:c r="J16" s="14" t="str">
        <x:v>full route</x:v>
      </x:c>
      <x:c r="K16" s="14" t="str">
        <x:v>delivered m3/s-km, mass, setup, recovery</x:v>
      </x:c>
      <x:c r="L16" s="14" t="str">
        <x:v>10 m3/s delivered within 96 h; &gt;=90% material recovered</x:v>
      </x:c>
      <x:c r="M16" s="14" t="str">
        <x:v>G07/G15</x:v>
      </x:c>
      <x:c r="N16" s="35" t="n">
        <x:f>H16/SUMIF($B$5:$B$50,B16,$H$5:$H$50)*(INDEX('Campaign Portfolio'!$C$5:$C$15,MATCH(B16,'Campaign Portfolio'!$A$5:$A$15,0))-INDEX('Campaign Portfolio'!$D$5:$D$15,MATCH(B16,'Campaign Portfolio'!$A$5:$A$15,0)))</x:f>
        <x:v>3.6666666666666665</x:v>
      </x:c>
      <x:c r="O16" s="14" t="str">
        <x:v>RTEA; safety board may stop</x:v>
      </x:c>
    </x:row>
    <x:row r="17" ht="64.80000305175781" hidden="0" customHeight="1">
      <x:c r="A17" s="18" t="str">
        <x:v>E13</x:v>
      </x:c>
      <x:c r="B17" s="18" t="str">
        <x:v>C03</x:v>
      </x:c>
      <x:c r="C17" s="18" t="str">
        <x:v>F10</x:v>
      </x:c>
      <x:c r="D17" s="18" t="str">
        <x:v>Receiving-stage and alternate-route mission</x:v>
      </x:c>
      <x:c r="E17" s="18" t="n">
        <x:v>7</x:v>
      </x:c>
      <x:c r="F17" s="18" t="n">
        <x:v>12</x:v>
      </x:c>
      <x:c r="G17" s="18" t="str">
        <x:v>integrated</x:v>
      </x:c>
      <x:c r="H17" s="18" t="n">
        <x:v>0.8</x:v>
      </x:c>
      <x:c r="I17" s="18" t="n">
        <x:v>16</x:v>
      </x:c>
      <x:c r="J17" s="18" t="str">
        <x:v>regional</x:v>
      </x:c>
      <x:c r="K17" s="18" t="str">
        <x:v>flow maintained under tide/stage closure</x:v>
      </x:c>
      <x:c r="L17" s="18" t="str">
        <x:v>positive net removal with primary outlet unavailable 12 h</x:v>
      </x:c>
      <x:c r="M17" s="18" t="str">
        <x:v>G03/G07/G20</x:v>
      </x:c>
      <x:c r="N17" s="34" t="n">
        <x:f>H17/SUMIF($B$5:$B$50,B17,$H$5:$H$50)*(INDEX('Campaign Portfolio'!$C$5:$C$15,MATCH(B17,'Campaign Portfolio'!$A$5:$A$15,0))-INDEX('Campaign Portfolio'!$D$5:$D$15,MATCH(B17,'Campaign Portfolio'!$A$5:$A$15,0)))</x:f>
        <x:v>1.9555555555555557</x:v>
      </x:c>
      <x:c r="O17" s="18" t="str">
        <x:v>RTEA; safety board may stop</x:v>
      </x:c>
    </x:row>
    <x:row r="18" ht="86.4000015258789" hidden="0" customHeight="1">
      <x:c r="A18" s="14" t="str">
        <x:v>E14</x:v>
      </x:c>
      <x:c r="B18" s="14" t="str">
        <x:v>C04</x:v>
      </x:c>
      <x:c r="C18" s="14" t="str">
        <x:v>F03</x:v>
      </x:c>
      <x:c r="D18" s="14" t="str">
        <x:v>Foundation/termination failure tournament</x:v>
      </x:c>
      <x:c r="E18" s="14" t="n">
        <x:v>2</x:v>
      </x:c>
      <x:c r="F18" s="14" t="n">
        <x:v>6</x:v>
      </x:c>
      <x:c r="G18" s="14" t="str">
        <x:v>destructive</x:v>
      </x:c>
      <x:c r="H18" s="14" t="n">
        <x:v>1.2</x:v>
      </x:c>
      <x:c r="I18" s="14" t="n">
        <x:v>80</x:v>
      </x:c>
      <x:c r="J18" s="14" t="str">
        <x:v>full segment</x:v>
      </x:c>
      <x:c r="K18" s="14" t="str">
        <x:v>seepage, settlement, termination failure</x:v>
      </x:c>
      <x:c r="L18" s="14" t="str">
        <x:v>no progressive failure at design load history; failures safely contained</x:v>
      </x:c>
      <x:c r="M18" s="14" t="str">
        <x:v>G08</x:v>
      </x:c>
      <x:c r="N18" s="35" t="n">
        <x:f>H18/SUMIF($B$5:$B$50,B18,$H$5:$H$50)*(INDEX('Campaign Portfolio'!$C$5:$C$15,MATCH(B18,'Campaign Portfolio'!$A$5:$A$15,0))-INDEX('Campaign Portfolio'!$D$5:$D$15,MATCH(B18,'Campaign Portfolio'!$A$5:$A$15,0)))</x:f>
        <x:v>2.933333333333333</x:v>
      </x:c>
      <x:c r="O18" s="14" t="str">
        <x:v>RTEA; safety board may stop</x:v>
      </x:c>
    </x:row>
    <x:row r="19" ht="75.5999984741211" hidden="0" customHeight="1">
      <x:c r="A19" s="18" t="str">
        <x:v>E15</x:v>
      </x:c>
      <x:c r="B19" s="18" t="str">
        <x:v>C04</x:v>
      </x:c>
      <x:c r="C19" s="18" t="str">
        <x:v>F03</x:v>
      </x:c>
      <x:c r="D19" s="18" t="str">
        <x:v>Wave/current/debris load-history trial</x:v>
      </x:c>
      <x:c r="E19" s="18" t="n">
        <x:v>3</x:v>
      </x:c>
      <x:c r="F19" s="18" t="n">
        <x:v>7</x:v>
      </x:c>
      <x:c r="G19" s="18" t="str">
        <x:v>destructive</x:v>
      </x:c>
      <x:c r="H19" s="18" t="n">
        <x:v>1.2</x:v>
      </x:c>
      <x:c r="I19" s="18" t="n">
        <x:v>60</x:v>
      </x:c>
      <x:c r="J19" s="18" t="str">
        <x:v>full segment</x:v>
      </x:c>
      <x:c r="K19" s="18" t="str">
        <x:v>strain, movement, damage accumulation</x:v>
      </x:c>
      <x:c r="L19" s="18" t="str">
        <x:v>survive preregistered load spectrum with remaining margin</x:v>
      </x:c>
      <x:c r="M19" s="18" t="str">
        <x:v>G08</x:v>
      </x:c>
      <x:c r="N19" s="34" t="n">
        <x:f>H19/SUMIF($B$5:$B$50,B19,$H$5:$H$50)*(INDEX('Campaign Portfolio'!$C$5:$C$15,MATCH(B19,'Campaign Portfolio'!$A$5:$A$15,0))-INDEX('Campaign Portfolio'!$D$5:$D$15,MATCH(B19,'Campaign Portfolio'!$A$5:$A$15,0)))</x:f>
        <x:v>2.933333333333333</x:v>
      </x:c>
      <x:c r="O19" s="18" t="str">
        <x:v>RTEA; safety board may stop</x:v>
      </x:c>
    </x:row>
    <x:row r="20" ht="64.80000305175781" hidden="0" customHeight="1">
      <x:c r="A20" s="14" t="str">
        <x:v>E16</x:v>
      </x:c>
      <x:c r="B20" s="14" t="str">
        <x:v>C04</x:v>
      </x:c>
      <x:c r="C20" s="14" t="str">
        <x:v>F03</x:v>
      </x:c>
      <x:c r="D20" s="14" t="str">
        <x:v>Interior drainage coupled storm trial</x:v>
      </x:c>
      <x:c r="E20" s="14" t="n">
        <x:v>4</x:v>
      </x:c>
      <x:c r="F20" s="14" t="n">
        <x:v>8</x:v>
      </x:c>
      <x:c r="G20" s="14" t="str">
        <x:v>integrated</x:v>
      </x:c>
      <x:c r="H20" s="14" t="n">
        <x:v>1.3</x:v>
      </x:c>
      <x:c r="I20" s="14" t="n">
        <x:v>30</x:v>
      </x:c>
      <x:c r="J20" s="14" t="str">
        <x:v>2 km basin</x:v>
      </x:c>
      <x:c r="K20" s="14" t="str">
        <x:v>protected-side depth, backflow, pump margin</x:v>
      </x:c>
      <x:c r="L20" s="14" t="str">
        <x:v>all priority cells remain below threshold with one bay failed</x:v>
      </x:c>
      <x:c r="M20" s="14" t="str">
        <x:v>G08/G14</x:v>
      </x:c>
      <x:c r="N20" s="35" t="n">
        <x:f>H20/SUMIF($B$5:$B$50,B20,$H$5:$H$50)*(INDEX('Campaign Portfolio'!$C$5:$C$15,MATCH(B20,'Campaign Portfolio'!$A$5:$A$15,0))-INDEX('Campaign Portfolio'!$D$5:$D$15,MATCH(B20,'Campaign Portfolio'!$A$5:$A$15,0)))</x:f>
        <x:v>3.177777777777778</x:v>
      </x:c>
      <x:c r="O20" s="14" t="str">
        <x:v>RTEA; safety board may stop</x:v>
      </x:c>
    </x:row>
    <x:row r="21" ht="64.80000305175781" hidden="0" customHeight="1">
      <x:c r="A21" s="18" t="str">
        <x:v>E17</x:v>
      </x:c>
      <x:c r="B21" s="18" t="str">
        <x:v>C04</x:v>
      </x:c>
      <x:c r="C21" s="18" t="str">
        <x:v>F10</x:v>
      </x:c>
      <x:c r="D21" s="18" t="str">
        <x:v>Rapid close/reopen and controlled exceedance</x:v>
      </x:c>
      <x:c r="E21" s="18" t="n">
        <x:v>6</x:v>
      </x:c>
      <x:c r="F21" s="18" t="n">
        <x:v>11</x:v>
      </x:c>
      <x:c r="G21" s="18" t="str">
        <x:v>operational</x:v>
      </x:c>
      <x:c r="H21" s="18" t="n">
        <x:v>0.8</x:v>
      </x:c>
      <x:c r="I21" s="18" t="n">
        <x:v>24</x:v>
      </x:c>
      <x:c r="J21" s="18" t="str">
        <x:v>district</x:v>
      </x:c>
      <x:c r="K21" s="18" t="str">
        <x:v>closure time, overtopping path, evacuation trigger</x:v>
      </x:c>
      <x:c r="L21" s="18" t="str">
        <x:v>P90 closure &lt;=6 h; exceedance follows designated corridor</x:v>
      </x:c>
      <x:c r="M21" s="18" t="str">
        <x:v>G08/G20</x:v>
      </x:c>
      <x:c r="N21" s="34" t="n">
        <x:f>H21/SUMIF($B$5:$B$50,B21,$H$5:$H$50)*(INDEX('Campaign Portfolio'!$C$5:$C$15,MATCH(B21,'Campaign Portfolio'!$A$5:$A$15,0))-INDEX('Campaign Portfolio'!$D$5:$D$15,MATCH(B21,'Campaign Portfolio'!$A$5:$A$15,0)))</x:f>
        <x:v>1.9555555555555557</x:v>
      </x:c>
      <x:c r="O21" s="18" t="str">
        <x:v>RTEA; safety board may stop</x:v>
      </x:c>
    </x:row>
    <x:row r="22" ht="54" hidden="0" customHeight="1">
      <x:c r="A22" s="14" t="str">
        <x:v>E18</x:v>
      </x:c>
      <x:c r="B22" s="14" t="str">
        <x:v>C05</x:v>
      </x:c>
      <x:c r="C22" s="14" t="str">
        <x:v>F04</x:v>
      </x:c>
      <x:c r="D22" s="14" t="str">
        <x:v>Soil/head/breach-growth baseline matrix</x:v>
      </x:c>
      <x:c r="E22" s="14" t="n">
        <x:v>2</x:v>
      </x:c>
      <x:c r="F22" s="14" t="n">
        <x:v>5</x:v>
      </x:c>
      <x:c r="G22" s="14" t="str">
        <x:v>destructive</x:v>
      </x:c>
      <x:c r="H22" s="14" t="n">
        <x:v>1</x:v>
      </x:c>
      <x:c r="I22" s="14" t="n">
        <x:v>64</x:v>
      </x:c>
      <x:c r="J22" s="14" t="str">
        <x:v>full scale</x:v>
      </x:c>
      <x:c r="K22" s="14" t="str">
        <x:v>width-growth and discharge uncertainty</x:v>
      </x:c>
      <x:c r="L22" s="14" t="str">
        <x:v>blind model intervals cover &gt;=85% events</x:v>
      </x:c>
      <x:c r="M22" s="14" t="str">
        <x:v>G03/G09</x:v>
      </x:c>
      <x:c r="N22" s="35" t="n">
        <x:f>H22/SUMIF($B$5:$B$50,B22,$H$5:$H$50)*(INDEX('Campaign Portfolio'!$C$5:$C$15,MATCH(B22,'Campaign Portfolio'!$A$5:$A$15,0))-INDEX('Campaign Portfolio'!$D$5:$D$15,MATCH(B22,'Campaign Portfolio'!$A$5:$A$15,0)))</x:f>
        <x:v>2.021276595744681</x:v>
      </x:c>
      <x:c r="O22" s="14" t="str">
        <x:v>RTEA; safety board may stop</x:v>
      </x:c>
    </x:row>
    <x:row r="23" ht="75.5999984741211" hidden="0" customHeight="1">
      <x:c r="A23" s="18" t="str">
        <x:v>E19</x:v>
      </x:c>
      <x:c r="B23" s="18" t="str">
        <x:v>C05</x:v>
      </x:c>
      <x:c r="C23" s="18" t="str">
        <x:v>F04</x:v>
      </x:c>
      <x:c r="D23" s="18" t="str">
        <x:v>Competing live-flow arrest concepts</x:v>
      </x:c>
      <x:c r="E23" s="18" t="n">
        <x:v>3</x:v>
      </x:c>
      <x:c r="F23" s="18" t="n">
        <x:v>7</x:v>
      </x:c>
      <x:c r="G23" s="18" t="str">
        <x:v>destructive</x:v>
      </x:c>
      <x:c r="H23" s="18" t="n">
        <x:v>1.5</x:v>
      </x:c>
      <x:c r="I23" s="18" t="n">
        <x:v>72</x:v>
      </x:c>
      <x:c r="J23" s="18" t="str">
        <x:v>full scale</x:v>
      </x:c>
      <x:c r="K23" s="18" t="str">
        <x:v>flow reduction at 15/30/60 min</x:v>
      </x:c>
      <x:c r="L23" s="18" t="str">
        <x:v>median &gt;=70% reduction at 60 min; no unsafe downstream missile</x:v>
      </x:c>
      <x:c r="M23" s="18" t="str">
        <x:v>G09</x:v>
      </x:c>
      <x:c r="N23" s="34" t="n">
        <x:f>H23/SUMIF($B$5:$B$50,B23,$H$5:$H$50)*(INDEX('Campaign Portfolio'!$C$5:$C$15,MATCH(B23,'Campaign Portfolio'!$A$5:$A$15,0))-INDEX('Campaign Portfolio'!$D$5:$D$15,MATCH(B23,'Campaign Portfolio'!$A$5:$A$15,0)))</x:f>
        <x:v>3.031914893617021</x:v>
      </x:c>
      <x:c r="O23" s="18" t="str">
        <x:v>RTEA; safety board may stop</x:v>
      </x:c>
    </x:row>
    <x:row r="24" ht="43.20000076293945" hidden="0" customHeight="1">
      <x:c r="A24" s="14" t="str">
        <x:v>E20</x:v>
      </x:c>
      <x:c r="B24" s="14" t="str">
        <x:v>C05</x:v>
      </x:c>
      <x:c r="C24" s="14" t="str">
        <x:v>F04</x:v>
      </x:c>
      <x:c r="D24" s="14" t="str">
        <x:v>Filtered transition and piping resistance</x:v>
      </x:c>
      <x:c r="E24" s="14" t="n">
        <x:v>4</x:v>
      </x:c>
      <x:c r="F24" s="14" t="n">
        <x:v>8</x:v>
      </x:c>
      <x:c r="G24" s="14" t="str">
        <x:v>destructive</x:v>
      </x:c>
      <x:c r="H24" s="14" t="n">
        <x:v>1.2</x:v>
      </x:c>
      <x:c r="I24" s="14" t="n">
        <x:v>48</x:v>
      </x:c>
      <x:c r="J24" s="14" t="str">
        <x:v>full scale</x:v>
      </x:c>
      <x:c r="K24" s="14" t="str">
        <x:v>internal erosion, seepage, settlement</x:v>
      </x:c>
      <x:c r="L24" s="14" t="str">
        <x:v>no progressive piping during 72 h hold</x:v>
      </x:c>
      <x:c r="M24" s="14" t="str">
        <x:v>G09</x:v>
      </x:c>
      <x:c r="N24" s="35" t="n">
        <x:f>H24/SUMIF($B$5:$B$50,B24,$H$5:$H$50)*(INDEX('Campaign Portfolio'!$C$5:$C$15,MATCH(B24,'Campaign Portfolio'!$A$5:$A$15,0))-INDEX('Campaign Portfolio'!$D$5:$D$15,MATCH(B24,'Campaign Portfolio'!$A$5:$A$15,0)))</x:f>
        <x:v>2.4255319148936167</x:v>
      </x:c>
      <x:c r="O24" s="14" t="str">
        <x:v>RTEA; safety board may stop</x:v>
      </x:c>
    </x:row>
    <x:row r="25" ht="75.5999984741211" hidden="0" customHeight="1">
      <x:c r="A25" s="18" t="str">
        <x:v>E21</x:v>
      </x:c>
      <x:c r="B25" s="18" t="str">
        <x:v>C05</x:v>
      </x:c>
      <x:c r="C25" s="18" t="str">
        <x:v>F10</x:v>
      </x:c>
      <x:c r="D25" s="18" t="str">
        <x:v>Remote-access breach mission thread</x:v>
      </x:c>
      <x:c r="E25" s="18" t="n">
        <x:v>6</x:v>
      </x:c>
      <x:c r="F25" s="18" t="n">
        <x:v>11</x:v>
      </x:c>
      <x:c r="G25" s="18" t="str">
        <x:v>operational</x:v>
      </x:c>
      <x:c r="H25" s="18" t="n">
        <x:v>1</x:v>
      </x:c>
      <x:c r="I25" s="18" t="n">
        <x:v>16</x:v>
      </x:c>
      <x:c r="J25" s="18" t="str">
        <x:v>regional</x:v>
      </x:c>
      <x:c r="K25" s="18" t="str">
        <x:v>alert-to-reduction, mass, exposure</x:v>
      </x:c>
      <x:c r="L25" s="18" t="str">
        <x:v>P90 initial reduction &lt;=6 h; human red-zone time cut &gt;=70%</x:v>
      </x:c>
      <x:c r="M25" s="18" t="str">
        <x:v>G09/G12/G20</x:v>
      </x:c>
      <x:c r="N25" s="34" t="n">
        <x:f>H25/SUMIF($B$5:$B$50,B25,$H$5:$H$50)*(INDEX('Campaign Portfolio'!$C$5:$C$15,MATCH(B25,'Campaign Portfolio'!$A$5:$A$15,0))-INDEX('Campaign Portfolio'!$D$5:$D$15,MATCH(B25,'Campaign Portfolio'!$A$5:$A$15,0)))</x:f>
        <x:v>2.021276595744681</x:v>
      </x:c>
      <x:c r="O25" s="18" t="str">
        <x:v>RTEA; safety board may stop</x:v>
      </x:c>
    </x:row>
    <x:row r="26" ht="75.5999984741211" hidden="0" customHeight="1">
      <x:c r="A26" s="14" t="str">
        <x:v>E22</x:v>
      </x:c>
      <x:c r="B26" s="14" t="str">
        <x:v>C06</x:v>
      </x:c>
      <x:c r="C26" s="14" t="str">
        <x:v>F07</x:v>
      </x:c>
      <x:c r="D26" s="14" t="str">
        <x:v>Lost-link and degraded-navigation obstacle course</x:v>
      </x:c>
      <x:c r="E26" s="14" t="n">
        <x:v>2</x:v>
      </x:c>
      <x:c r="F26" s="14" t="n">
        <x:v>5</x:v>
      </x:c>
      <x:c r="G26" s="14" t="str">
        <x:v>robotic</x:v>
      </x:c>
      <x:c r="H26" s="14" t="n">
        <x:v>1</x:v>
      </x:c>
      <x:c r="I26" s="14" t="n">
        <x:v>140</x:v>
      </x:c>
      <x:c r="J26" s="14" t="str">
        <x:v>full systems</x:v>
      </x:c>
      <x:c r="K26" s="14" t="str">
        <x:v>collision, safe stop, recovery time</x:v>
      </x:c>
      <x:c r="L26" s="14" t="str">
        <x:v>zero person strikes; &gt;=99.5% safe-state entry; P90 recovery &lt;=30 min</x:v>
      </x:c>
      <x:c r="M26" s="14" t="str">
        <x:v>G11</x:v>
      </x:c>
      <x:c r="N26" s="35" t="n">
        <x:f>H26/SUMIF($B$5:$B$50,B26,$H$5:$H$50)*(INDEX('Campaign Portfolio'!$C$5:$C$15,MATCH(B26,'Campaign Portfolio'!$A$5:$A$15,0))-INDEX('Campaign Portfolio'!$D$5:$D$15,MATCH(B26,'Campaign Portfolio'!$A$5:$A$15,0)))</x:f>
        <x:v>2.125</x:v>
      </x:c>
      <x:c r="O26" s="14" t="str">
        <x:v>RTEA; safety board may stop</x:v>
      </x:c>
    </x:row>
    <x:row r="27" ht="64.80000305175781" hidden="0" customHeight="1">
      <x:c r="A27" s="18" t="str">
        <x:v>E23</x:v>
      </x:c>
      <x:c r="B27" s="18" t="str">
        <x:v>C06</x:v>
      </x:c>
      <x:c r="C27" s="18" t="str">
        <x:v>F05</x:v>
      </x:c>
      <x:c r="D27" s="18" t="str">
        <x:v>Human detection and mixed-fleet navigation</x:v>
      </x:c>
      <x:c r="E27" s="18" t="n">
        <x:v>3</x:v>
      </x:c>
      <x:c r="F27" s="18" t="n">
        <x:v>6</x:v>
      </x:c>
      <x:c r="G27" s="18" t="str">
        <x:v>robotic</x:v>
      </x:c>
      <x:c r="H27" s="18" t="n">
        <x:v>1</x:v>
      </x:c>
      <x:c r="I27" s="18" t="n">
        <x:v>120</x:v>
      </x:c>
      <x:c r="J27" s="18" t="str">
        <x:v>urban water</x:v>
      </x:c>
      <x:c r="K27" s="18" t="str">
        <x:v>missed person, near miss, wake exposure</x:v>
      </x:c>
      <x:c r="L27" s="18" t="str">
        <x:v>zero collisions; preregistered detection sensitivity &gt;=0.995</x:v>
      </x:c>
      <x:c r="M27" s="18" t="str">
        <x:v>G10/G11</x:v>
      </x:c>
      <x:c r="N27" s="34" t="n">
        <x:f>H27/SUMIF($B$5:$B$50,B27,$H$5:$H$50)*(INDEX('Campaign Portfolio'!$C$5:$C$15,MATCH(B27,'Campaign Portfolio'!$A$5:$A$15,0))-INDEX('Campaign Portfolio'!$D$5:$D$15,MATCH(B27,'Campaign Portfolio'!$A$5:$A$15,0)))</x:f>
        <x:v>2.125</x:v>
      </x:c>
      <x:c r="O27" s="18" t="str">
        <x:v>RTEA; safety board may stop</x:v>
      </x:c>
    </x:row>
    <x:row r="28" ht="54" hidden="0" customHeight="1">
      <x:c r="A28" s="14" t="str">
        <x:v>E24</x:v>
      </x:c>
      <x:c r="B28" s="14" t="str">
        <x:v>C06</x:v>
      </x:c>
      <x:c r="C28" s="14" t="str">
        <x:v>F02</x:v>
      </x:c>
      <x:c r="D28" s="14" t="str">
        <x:v>Autonomous pilot-line and sensor placement</x:v>
      </x:c>
      <x:c r="E28" s="14" t="n">
        <x:v>4</x:v>
      </x:c>
      <x:c r="F28" s="14" t="n">
        <x:v>7</x:v>
      </x:c>
      <x:c r="G28" s="14" t="str">
        <x:v>field</x:v>
      </x:c>
      <x:c r="H28" s="14" t="n">
        <x:v>0.8</x:v>
      </x:c>
      <x:c r="I28" s="14" t="n">
        <x:v>80</x:v>
      </x:c>
      <x:c r="J28" s="14" t="str">
        <x:v>route</x:v>
      </x:c>
      <x:c r="K28" s="14" t="str">
        <x:v>completion, line error, human exposure</x:v>
      </x:c>
      <x:c r="L28" s="14" t="str">
        <x:v>95% task completion; exposure-hours reduced &gt;=60%</x:v>
      </x:c>
      <x:c r="M28" s="14" t="str">
        <x:v>G07/G11</x:v>
      </x:c>
      <x:c r="N28" s="35" t="n">
        <x:f>H28/SUMIF($B$5:$B$50,B28,$H$5:$H$50)*(INDEX('Campaign Portfolio'!$C$5:$C$15,MATCH(B28,'Campaign Portfolio'!$A$5:$A$15,0))-INDEX('Campaign Portfolio'!$D$5:$D$15,MATCH(B28,'Campaign Portfolio'!$A$5:$A$15,0)))</x:f>
        <x:v>1.7000000000000002</x:v>
      </x:c>
      <x:c r="O28" s="14" t="str">
        <x:v>RTEA; safety board may stop</x:v>
      </x:c>
    </x:row>
    <x:row r="29" ht="86.4000015258789" hidden="0" customHeight="1">
      <x:c r="A29" s="18" t="str">
        <x:v>E25</x:v>
      </x:c>
      <x:c r="B29" s="18" t="str">
        <x:v>C06</x:v>
      </x:c>
      <x:c r="C29" s="18" t="str">
        <x:v>F10</x:v>
      </x:c>
      <x:c r="D29" s="18" t="str">
        <x:v>Cyber-corrupted common operating picture trial</x:v>
      </x:c>
      <x:c r="E29" s="18" t="n">
        <x:v>5</x:v>
      </x:c>
      <x:c r="F29" s="18" t="n">
        <x:v>9</x:v>
      </x:c>
      <x:c r="G29" s="18" t="str">
        <x:v>operational</x:v>
      </x:c>
      <x:c r="H29" s="18" t="n">
        <x:v>1.2</x:v>
      </x:c>
      <x:c r="I29" s="18" t="n">
        <x:v>30</x:v>
      </x:c>
      <x:c r="J29" s="18" t="str">
        <x:v>formation</x:v>
      </x:c>
      <x:c r="K29" s="18" t="str">
        <x:v>unsafe action, detection time, manual continuity</x:v>
      </x:c>
      <x:c r="L29" s="18" t="str">
        <x:v>no irreversible unsafe command; manual mission &gt;=60% baseline</x:v>
      </x:c>
      <x:c r="M29" s="18" t="str">
        <x:v>G11/G20</x:v>
      </x:c>
      <x:c r="N29" s="34" t="n">
        <x:f>H29/SUMIF($B$5:$B$50,B29,$H$5:$H$50)*(INDEX('Campaign Portfolio'!$C$5:$C$15,MATCH(B29,'Campaign Portfolio'!$A$5:$A$15,0))-INDEX('Campaign Portfolio'!$D$5:$D$15,MATCH(B29,'Campaign Portfolio'!$A$5:$A$15,0)))</x:f>
        <x:v>2.55</x:v>
      </x:c>
      <x:c r="O29" s="18" t="str">
        <x:v>RTEA; safety board may stop</x:v>
      </x:c>
    </x:row>
    <x:row r="30" ht="54" hidden="0" customHeight="1">
      <x:c r="A30" s="14" t="str">
        <x:v>E26</x:v>
      </x:c>
      <x:c r="B30" s="14" t="str">
        <x:v>C07</x:v>
      </x:c>
      <x:c r="C30" s="14" t="str">
        <x:v>F07</x:v>
      </x:c>
      <x:c r="D30" s="14" t="str">
        <x:v>Mud/current excavation productivity matrix</x:v>
      </x:c>
      <x:c r="E30" s="14" t="n">
        <x:v>3</x:v>
      </x:c>
      <x:c r="F30" s="14" t="n">
        <x:v>6</x:v>
      </x:c>
      <x:c r="G30" s="14" t="str">
        <x:v>field</x:v>
      </x:c>
      <x:c r="H30" s="14" t="n">
        <x:v>1</x:v>
      </x:c>
      <x:c r="I30" s="14" t="n">
        <x:v>100</x:v>
      </x:c>
      <x:c r="J30" s="14" t="str">
        <x:v>full machines</x:v>
      </x:c>
      <x:c r="K30" s="14" t="str">
        <x:v>m3/h by soil and water state</x:v>
      </x:c>
      <x:c r="L30" s="14" t="str">
        <x:v>published P10/P50/P90; P10 &gt;=50% reference dry productivity</x:v>
      </x:c>
      <x:c r="M30" s="14" t="str">
        <x:v>G12</x:v>
      </x:c>
      <x:c r="N30" s="35" t="n">
        <x:f>H30/SUMIF($B$5:$B$50,B30,$H$5:$H$50)*(INDEX('Campaign Portfolio'!$C$5:$C$15,MATCH(B30,'Campaign Portfolio'!$A$5:$A$15,0))-INDEX('Campaign Portfolio'!$D$5:$D$15,MATCH(B30,'Campaign Portfolio'!$A$5:$A$15,0)))</x:f>
        <x:v>2.125</x:v>
      </x:c>
      <x:c r="O30" s="14" t="str">
        <x:v>RTEA; safety board may stop</x:v>
      </x:c>
    </x:row>
    <x:row r="31" ht="64.80000305175781" hidden="0" customHeight="1">
      <x:c r="A31" s="18" t="str">
        <x:v>E27</x:v>
      </x:c>
      <x:c r="B31" s="18" t="str">
        <x:v>C07</x:v>
      </x:c>
      <x:c r="C31" s="18" t="str">
        <x:v>F07</x:v>
      </x:c>
      <x:c r="D31" s="18" t="str">
        <x:v>Optional-crew transfer and local-stop trial</x:v>
      </x:c>
      <x:c r="E31" s="18" t="n">
        <x:v>4</x:v>
      </x:c>
      <x:c r="F31" s="18" t="n">
        <x:v>7</x:v>
      </x:c>
      <x:c r="G31" s="18" t="str">
        <x:v>safety</x:v>
      </x:c>
      <x:c r="H31" s="18" t="n">
        <x:v>0.8</x:v>
      </x:c>
      <x:c r="I31" s="18" t="n">
        <x:v>100</x:v>
      </x:c>
      <x:c r="J31" s="18" t="str">
        <x:v>full machines</x:v>
      </x:c>
      <x:c r="K31" s="18" t="str">
        <x:v>mode transition, stop distance, operator error</x:v>
      </x:c>
      <x:c r="L31" s="18" t="str">
        <x:v>safe stop in every tested fault; mode state unambiguous</x:v>
      </x:c>
      <x:c r="M31" s="18" t="str">
        <x:v>G12</x:v>
      </x:c>
      <x:c r="N31" s="34" t="n">
        <x:f>H31/SUMIF($B$5:$B$50,B31,$H$5:$H$50)*(INDEX('Campaign Portfolio'!$C$5:$C$15,MATCH(B31,'Campaign Portfolio'!$A$5:$A$15,0))-INDEX('Campaign Portfolio'!$D$5:$D$15,MATCH(B31,'Campaign Portfolio'!$A$5:$A$15,0)))</x:f>
        <x:v>1.7000000000000002</x:v>
      </x:c>
      <x:c r="O31" s="18" t="str">
        <x:v>RTEA; safety board may stop</x:v>
      </x:c>
    </x:row>
    <x:row r="32" ht="64.80000305175781" hidden="0" customHeight="1">
      <x:c r="A32" s="14" t="str">
        <x:v>E28</x:v>
      </x:c>
      <x:c r="B32" s="14" t="str">
        <x:v>C07</x:v>
      </x:c>
      <x:c r="C32" s="14" t="str">
        <x:v>F07</x:v>
      </x:c>
      <x:c r="D32" s="14" t="str">
        <x:v>Contaminated sediment remote-work block</x:v>
      </x:c>
      <x:c r="E32" s="14" t="n">
        <x:v>5</x:v>
      </x:c>
      <x:c r="F32" s="14" t="n">
        <x:v>9</x:v>
      </x:c>
      <x:c r="G32" s="14" t="str">
        <x:v>endurance</x:v>
      </x:c>
      <x:c r="H32" s="14" t="n">
        <x:v>1.1</x:v>
      </x:c>
      <x:c r="I32" s="14" t="n">
        <x:v>30</x:v>
      </x:c>
      <x:c r="J32" s="14" t="str">
        <x:v>full machines</x:v>
      </x:c>
      <x:c r="K32" s="14" t="str">
        <x:v>availability, exposure, decon waste</x:v>
      </x:c>
      <x:c r="L32" s="14" t="str">
        <x:v>human exposure-hours cut &gt;=75%; &gt;=85% availability</x:v>
      </x:c>
      <x:c r="M32" s="14" t="str">
        <x:v>G12/G13</x:v>
      </x:c>
      <x:c r="N32" s="35" t="n">
        <x:f>H32/SUMIF($B$5:$B$50,B32,$H$5:$H$50)*(INDEX('Campaign Portfolio'!$C$5:$C$15,MATCH(B32,'Campaign Portfolio'!$A$5:$A$15,0))-INDEX('Campaign Portfolio'!$D$5:$D$15,MATCH(B32,'Campaign Portfolio'!$A$5:$A$15,0)))</x:f>
        <x:v>2.3375000000000004</x:v>
      </x:c>
      <x:c r="O32" s="14" t="str">
        <x:v>RTEA; safety board may stop</x:v>
      </x:c>
    </x:row>
    <x:row r="33" ht="75.5999984741211" hidden="0" customHeight="1">
      <x:c r="A33" s="18" t="str">
        <x:v>E29</x:v>
      </x:c>
      <x:c r="B33" s="18" t="str">
        <x:v>C07</x:v>
      </x:c>
      <x:c r="C33" s="18" t="str">
        <x:v>F10</x:v>
      </x:c>
      <x:c r="D33" s="18" t="str">
        <x:v>Breach-to-durable-works earthmoving thread</x:v>
      </x:c>
      <x:c r="E33" s="18" t="n">
        <x:v>7</x:v>
      </x:c>
      <x:c r="F33" s="18" t="n">
        <x:v>12</x:v>
      </x:c>
      <x:c r="G33" s="18" t="str">
        <x:v>operational</x:v>
      </x:c>
      <x:c r="H33" s="18" t="n">
        <x:v>1.1</x:v>
      </x:c>
      <x:c r="I33" s="18" t="n">
        <x:v>18</x:v>
      </x:c>
      <x:c r="J33" s="18" t="str">
        <x:v>formation</x:v>
      </x:c>
      <x:c r="K33" s="18" t="str">
        <x:v>placed/filter material, quality, repair time</x:v>
      </x:c>
      <x:c r="L33" s="18" t="str">
        <x:v>meets engineer acceptance with one primary machine unavailable</x:v>
      </x:c>
      <x:c r="M33" s="18" t="str">
        <x:v>G09/G12/G20</x:v>
      </x:c>
      <x:c r="N33" s="34" t="n">
        <x:f>H33/SUMIF($B$5:$B$50,B33,$H$5:$H$50)*(INDEX('Campaign Portfolio'!$C$5:$C$15,MATCH(B33,'Campaign Portfolio'!$A$5:$A$15,0))-INDEX('Campaign Portfolio'!$D$5:$D$15,MATCH(B33,'Campaign Portfolio'!$A$5:$A$15,0)))</x:f>
        <x:v>2.3375000000000004</x:v>
      </x:c>
      <x:c r="O33" s="18" t="str">
        <x:v>RTEA; safety board may stop</x:v>
      </x:c>
    </x:row>
    <x:row r="34" ht="64.80000305175781" hidden="0" customHeight="1">
      <x:c r="A34" s="14" t="str">
        <x:v>E30</x:v>
      </x:c>
      <x:c r="B34" s="14" t="str">
        <x:v>C08</x:v>
      </x:c>
      <x:c r="C34" s="14" t="str">
        <x:v>F05</x:v>
      </x:c>
      <x:c r="D34" s="14" t="str">
        <x:v>Urban shallow-water wake/obstacle/patient trial</x:v>
      </x:c>
      <x:c r="E34" s="14" t="n">
        <x:v>2</x:v>
      </x:c>
      <x:c r="F34" s="14" t="n">
        <x:v>6</x:v>
      </x:c>
      <x:c r="G34" s="14" t="str">
        <x:v>hydrodynamic</x:v>
      </x:c>
      <x:c r="H34" s="14" t="n">
        <x:v>1</x:v>
      </x:c>
      <x:c r="I34" s="14" t="n">
        <x:v>100</x:v>
      </x:c>
      <x:c r="J34" s="14" t="str">
        <x:v>urban craft</x:v>
      </x:c>
      <x:c r="K34" s="14" t="str">
        <x:v>wake, impact, embarkation, stability</x:v>
      </x:c>
      <x:c r="L34" s="14" t="str">
        <x:v>no capsize; patient transfer &lt;=4 min; wake inside corridor limit</x:v>
      </x:c>
      <x:c r="M34" s="14" t="str">
        <x:v>G10</x:v>
      </x:c>
      <x:c r="N34" s="35" t="n">
        <x:f>H34/SUMIF($B$5:$B$50,B34,$H$5:$H$50)*(INDEX('Campaign Portfolio'!$C$5:$C$15,MATCH(B34,'Campaign Portfolio'!$A$5:$A$15,0))-INDEX('Campaign Portfolio'!$D$5:$D$15,MATCH(B34,'Campaign Portfolio'!$A$5:$A$15,0)))</x:f>
        <x:v>1.8181818181818183</x:v>
      </x:c>
      <x:c r="O34" s="14" t="str">
        <x:v>RTEA; safety board may stop</x:v>
      </x:c>
    </x:row>
    <x:row r="35" ht="75.5999984741211" hidden="0" customHeight="1">
      <x:c r="A35" s="18" t="str">
        <x:v>E31</x:v>
      </x:c>
      <x:c r="B35" s="18" t="str">
        <x:v>C08</x:v>
      </x:c>
      <x:c r="C35" s="18" t="str">
        <x:v>F06</x:v>
      </x:c>
      <x:c r="D35" s="18" t="str">
        <x:v>Swiftwater and surf self-righting envelope</x:v>
      </x:c>
      <x:c r="E35" s="18" t="n">
        <x:v>3</x:v>
      </x:c>
      <x:c r="F35" s="18" t="n">
        <x:v>7</x:v>
      </x:c>
      <x:c r="G35" s="18" t="str">
        <x:v>destructive</x:v>
      </x:c>
      <x:c r="H35" s="18" t="n">
        <x:v>1.2</x:v>
      </x:c>
      <x:c r="I35" s="18" t="n">
        <x:v>90</x:v>
      </x:c>
      <x:c r="J35" s="18" t="str">
        <x:v>swift/coastal</x:v>
      </x:c>
      <x:c r="K35" s="18" t="str">
        <x:v>capsize, recovery, propulsion margin</x:v>
      </x:c>
      <x:c r="L35" s="18" t="str">
        <x:v>self-right per class; positive control at published current/surf limit</x:v>
      </x:c>
      <x:c r="M35" s="18" t="str">
        <x:v>G10</x:v>
      </x:c>
      <x:c r="N35" s="34" t="n">
        <x:f>H35/SUMIF($B$5:$B$50,B35,$H$5:$H$50)*(INDEX('Campaign Portfolio'!$C$5:$C$15,MATCH(B35,'Campaign Portfolio'!$A$5:$A$15,0))-INDEX('Campaign Portfolio'!$D$5:$D$15,MATCH(B35,'Campaign Portfolio'!$A$5:$A$15,0)))</x:f>
        <x:v>2.1818181818181817</x:v>
      </x:c>
      <x:c r="O35" s="18" t="str">
        <x:v>RTEA; safety board may stop</x:v>
      </x:c>
    </x:row>
    <x:row r="36" ht="64.80000305175781" hidden="0" customHeight="1">
      <x:c r="A36" s="14" t="str">
        <x:v>E32</x:v>
      </x:c>
      <x:c r="B36" s="14" t="str">
        <x:v>C08</x:v>
      </x:c>
      <x:c r="C36" s="14" t="str">
        <x:v>F05</x:v>
      </x:c>
      <x:c r="D36" s="14" t="str">
        <x:v>Accessible evacuation flow tournament</x:v>
      </x:c>
      <x:c r="E36" s="14" t="n">
        <x:v>3</x:v>
      </x:c>
      <x:c r="F36" s="14" t="n">
        <x:v>7</x:v>
      </x:c>
      <x:c r="G36" s="14" t="str">
        <x:v>human factors</x:v>
      </x:c>
      <x:c r="H36" s="14" t="n">
        <x:v>0.9</x:v>
      </x:c>
      <x:c r="I36" s="14" t="n">
        <x:v>60</x:v>
      </x:c>
      <x:c r="J36" s="14" t="str">
        <x:v>urban/land</x:v>
      </x:c>
      <x:c r="K36" s="14" t="str">
        <x:v>boarding rate, dignity, injury, caregiver flow</x:v>
      </x:c>
      <x:c r="L36" s="14" t="str">
        <x:v>all reference users accommodated; zero transfer injuries</x:v>
      </x:c>
      <x:c r="M36" s="14" t="str">
        <x:v>G10/G16</x:v>
      </x:c>
      <x:c r="N36" s="35" t="n">
        <x:f>H36/SUMIF($B$5:$B$50,B36,$H$5:$H$50)*(INDEX('Campaign Portfolio'!$C$5:$C$15,MATCH(B36,'Campaign Portfolio'!$A$5:$A$15,0))-INDEX('Campaign Portfolio'!$D$5:$D$15,MATCH(B36,'Campaign Portfolio'!$A$5:$A$15,0)))</x:f>
        <x:v>1.6363636363636362</x:v>
      </x:c>
      <x:c r="O36" s="14" t="str">
        <x:v>RTEA; safety board may stop</x:v>
      </x:c>
    </x:row>
    <x:row r="37" ht="54" hidden="0" customHeight="1">
      <x:c r="A37" s="18" t="str">
        <x:v>E33</x:v>
      </x:c>
      <x:c r="B37" s="18" t="str">
        <x:v>C08</x:v>
      </x:c>
      <x:c r="C37" s="18" t="str">
        <x:v>F06</x:v>
      </x:c>
      <x:c r="D37" s="18" t="str">
        <x:v>Heavy amphibious wet-gap cargo cycle</x:v>
      </x:c>
      <x:c r="E37" s="18" t="n">
        <x:v>5</x:v>
      </x:c>
      <x:c r="F37" s="18" t="n">
        <x:v>9</x:v>
      </x:c>
      <x:c r="G37" s="18" t="str">
        <x:v>field</x:v>
      </x:c>
      <x:c r="H37" s="18" t="n">
        <x:v>1.1</x:v>
      </x:c>
      <x:c r="I37" s="18" t="n">
        <x:v>40</x:v>
      </x:c>
      <x:c r="J37" s="18" t="str">
        <x:v>heavy/coastal</x:v>
      </x:c>
      <x:c r="K37" s="18" t="str">
        <x:v>t/day, route damage, recovery</x:v>
      </x:c>
      <x:c r="L37" s="18" t="str">
        <x:v>sustain 250 t/day per detachment with 80% availability</x:v>
      </x:c>
      <x:c r="M37" s="18" t="str">
        <x:v>G10/G15</x:v>
      </x:c>
      <x:c r="N37" s="34" t="n">
        <x:f>H37/SUMIF($B$5:$B$50,B37,$H$5:$H$50)*(INDEX('Campaign Portfolio'!$C$5:$C$15,MATCH(B37,'Campaign Portfolio'!$A$5:$A$15,0))-INDEX('Campaign Portfolio'!$D$5:$D$15,MATCH(B37,'Campaign Portfolio'!$A$5:$A$15,0)))</x:f>
        <x:v>2</x:v>
      </x:c>
      <x:c r="O37" s="18" t="str">
        <x:v>RTEA; safety board may stop</x:v>
      </x:c>
    </x:row>
    <x:row r="38" ht="86.4000015258789" hidden="0" customHeight="1">
      <x:c r="A38" s="14" t="str">
        <x:v>E34</x:v>
      </x:c>
      <x:c r="B38" s="14" t="str">
        <x:v>C08</x:v>
      </x:c>
      <x:c r="C38" s="14" t="str">
        <x:v>F10</x:v>
      </x:c>
      <x:c r="D38" s="14" t="str">
        <x:v>Five-class dispatch and rescue campaign</x:v>
      </x:c>
      <x:c r="E38" s="14" t="n">
        <x:v>7</x:v>
      </x:c>
      <x:c r="F38" s="14" t="n">
        <x:v>12</x:v>
      </x:c>
      <x:c r="G38" s="14" t="str">
        <x:v>operational</x:v>
      </x:c>
      <x:c r="H38" s="14" t="n">
        <x:v>1.3</x:v>
      </x:c>
      <x:c r="I38" s="14" t="n">
        <x:v>20</x:v>
      </x:c>
      <x:c r="J38" s="14" t="str">
        <x:v>regional</x:v>
      </x:c>
      <x:c r="K38" s="14" t="str">
        <x:v>correct class dispatch, people/day, aborts</x:v>
      </x:c>
      <x:c r="L38" s="14" t="str">
        <x:v>zero out-of-envelope entry; &gt;=90% priority demand within window</x:v>
      </x:c>
      <x:c r="M38" s="14" t="str">
        <x:v>G10/G20</x:v>
      </x:c>
      <x:c r="N38" s="35" t="n">
        <x:f>H38/SUMIF($B$5:$B$50,B38,$H$5:$H$50)*(INDEX('Campaign Portfolio'!$C$5:$C$15,MATCH(B38,'Campaign Portfolio'!$A$5:$A$15,0))-INDEX('Campaign Portfolio'!$D$5:$D$15,MATCH(B38,'Campaign Portfolio'!$A$5:$A$15,0)))</x:f>
        <x:v>2.3636363636363638</x:v>
      </x:c>
      <x:c r="O38" s="14" t="str">
        <x:v>RTEA; safety board may stop</x:v>
      </x:c>
    </x:row>
    <x:row r="39" ht="54" hidden="0" customHeight="1">
      <x:c r="A39" s="18" t="str">
        <x:v>E35</x:v>
      </x:c>
      <x:c r="B39" s="18" t="str">
        <x:v>C09</x:v>
      </x:c>
      <x:c r="C39" s="18" t="str">
        <x:v>F08</x:v>
      </x:c>
      <x:c r="D39" s="18" t="str">
        <x:v>Real-time contaminant classification challenge</x:v>
      </x:c>
      <x:c r="E39" s="18" t="n">
        <x:v>2</x:v>
      </x:c>
      <x:c r="F39" s="18" t="n">
        <x:v>5</x:v>
      </x:c>
      <x:c r="G39" s="18" t="str">
        <x:v>laboratory/field</x:v>
      </x:c>
      <x:c r="H39" s="18" t="n">
        <x:v>1</x:v>
      </x:c>
      <x:c r="I39" s="18" t="n">
        <x:v>120</x:v>
      </x:c>
      <x:c r="J39" s="18" t="str">
        <x:v>mixed water</x:v>
      </x:c>
      <x:c r="K39" s="18" t="str">
        <x:v>false release, detection, latency</x:v>
      </x:c>
      <x:c r="L39" s="18" t="str">
        <x:v>zero false-safe on critical panel; result &lt;=30 min</x:v>
      </x:c>
      <x:c r="M39" s="18" t="str">
        <x:v>G13</x:v>
      </x:c>
      <x:c r="N39" s="34" t="n">
        <x:f>H39/SUMIF($B$5:$B$50,B39,$H$5:$H$50)*(INDEX('Campaign Portfolio'!$C$5:$C$15,MATCH(B39,'Campaign Portfolio'!$A$5:$A$15,0))-INDEX('Campaign Portfolio'!$D$5:$D$15,MATCH(B39,'Campaign Portfolio'!$A$5:$A$15,0)))</x:f>
        <x:v>1.625</x:v>
      </x:c>
      <x:c r="O39" s="18" t="str">
        <x:v>RTEA; safety board may stop</x:v>
      </x:c>
    </x:row>
    <x:row r="40" ht="54" hidden="0" customHeight="1">
      <x:c r="A40" s="14" t="str">
        <x:v>E36</x:v>
      </x:c>
      <x:c r="B40" s="14" t="str">
        <x:v>C09</x:v>
      </x:c>
      <x:c r="C40" s="14" t="str">
        <x:v>F08</x:v>
      </x:c>
      <x:c r="D40" s="14" t="str">
        <x:v>Variable-matrix treatment train tournament</x:v>
      </x:c>
      <x:c r="E40" s="14" t="n">
        <x:v>3</x:v>
      </x:c>
      <x:c r="F40" s="14" t="n">
        <x:v>7</x:v>
      </x:c>
      <x:c r="G40" s="14" t="str">
        <x:v>process</x:v>
      </x:c>
      <x:c r="H40" s="14" t="n">
        <x:v>1.2</x:v>
      </x:c>
      <x:c r="I40" s="14" t="n">
        <x:v>100</x:v>
      </x:c>
      <x:c r="J40" s="14" t="str">
        <x:v>full train</x:v>
      </x:c>
      <x:c r="K40" s="14" t="str">
        <x:v>removal, flux, energy, residuals</x:v>
      </x:c>
      <x:c r="L40" s="14" t="str">
        <x:v>meets discharge target across published envelope</x:v>
      </x:c>
      <x:c r="M40" s="14" t="str">
        <x:v>G13</x:v>
      </x:c>
      <x:c r="N40" s="35" t="n">
        <x:f>H40/SUMIF($B$5:$B$50,B40,$H$5:$H$50)*(INDEX('Campaign Portfolio'!$C$5:$C$15,MATCH(B40,'Campaign Portfolio'!$A$5:$A$15,0))-INDEX('Campaign Portfolio'!$D$5:$D$15,MATCH(B40,'Campaign Portfolio'!$A$5:$A$15,0)))</x:f>
        <x:v>1.95</x:v>
      </x:c>
      <x:c r="O40" s="14" t="str">
        <x:v>RTEA; safety board may stop</x:v>
      </x:c>
    </x:row>
    <x:row r="41" ht="54" hidden="0" customHeight="1">
      <x:c r="A41" s="18" t="str">
        <x:v>E37</x:v>
      </x:c>
      <x:c r="B41" s="18" t="str">
        <x:v>C09</x:v>
      </x:c>
      <x:c r="C41" s="18" t="str">
        <x:v>F08</x:v>
      </x:c>
      <x:c r="D41" s="18" t="str">
        <x:v>Solids/residuals mass-balance endurance</x:v>
      </x:c>
      <x:c r="E41" s="18" t="n">
        <x:v>4</x:v>
      </x:c>
      <x:c r="F41" s="18" t="n">
        <x:v>8</x:v>
      </x:c>
      <x:c r="G41" s="18" t="str">
        <x:v>endurance</x:v>
      </x:c>
      <x:c r="H41" s="18" t="n">
        <x:v>1</x:v>
      </x:c>
      <x:c r="I41" s="18" t="n">
        <x:v>30</x:v>
      </x:c>
      <x:c r="J41" s="18" t="str">
        <x:v>full train</x:v>
      </x:c>
      <x:c r="K41" s="18" t="str">
        <x:v>unaccounted mass, fouling, waste volume</x:v>
      </x:c>
      <x:c r="L41" s="18" t="str">
        <x:v>mass closure 90–110%; &gt;=85% availability</x:v>
      </x:c>
      <x:c r="M41" s="18" t="str">
        <x:v>G13/G19</x:v>
      </x:c>
      <x:c r="N41" s="34" t="n">
        <x:f>H41/SUMIF($B$5:$B$50,B41,$H$5:$H$50)*(INDEX('Campaign Portfolio'!$C$5:$C$15,MATCH(B41,'Campaign Portfolio'!$A$5:$A$15,0))-INDEX('Campaign Portfolio'!$D$5:$D$15,MATCH(B41,'Campaign Portfolio'!$A$5:$A$15,0)))</x:f>
        <x:v>1.625</x:v>
      </x:c>
      <x:c r="O41" s="18" t="str">
        <x:v>RTEA; safety board may stop</x:v>
      </x:c>
    </x:row>
    <x:row r="42" ht="86.4000015258789" hidden="0" customHeight="1">
      <x:c r="A42" s="14" t="str">
        <x:v>E38</x:v>
      </x:c>
      <x:c r="B42" s="14" t="str">
        <x:v>C09</x:v>
      </x:c>
      <x:c r="C42" s="14" t="str">
        <x:v>F10</x:v>
      </x:c>
      <x:c r="D42" s="14" t="str">
        <x:v>Basin-to-discharge accountable mission</x:v>
      </x:c>
      <x:c r="E42" s="14" t="n">
        <x:v>6</x:v>
      </x:c>
      <x:c r="F42" s="14" t="n">
        <x:v>10</x:v>
      </x:c>
      <x:c r="G42" s="14" t="str">
        <x:v>operational</x:v>
      </x:c>
      <x:c r="H42" s="14" t="n">
        <x:v>0.8</x:v>
      </x:c>
      <x:c r="I42" s="14" t="n">
        <x:v>18</x:v>
      </x:c>
      <x:c r="J42" s="14" t="str">
        <x:v>district</x:v>
      </x:c>
      <x:c r="K42" s="14" t="str">
        <x:v>chain of custody, plume consequence, throughput</x:v>
      </x:c>
      <x:c r="L42" s="14" t="str">
        <x:v>100% release decisions documented; no downstream limit exceedance</x:v>
      </x:c>
      <x:c r="M42" s="14" t="str">
        <x:v>G13/G20</x:v>
      </x:c>
      <x:c r="N42" s="35" t="n">
        <x:f>H42/SUMIF($B$5:$B$50,B42,$H$5:$H$50)*(INDEX('Campaign Portfolio'!$C$5:$C$15,MATCH(B42,'Campaign Portfolio'!$A$5:$A$15,0))-INDEX('Campaign Portfolio'!$D$5:$D$15,MATCH(B42,'Campaign Portfolio'!$A$5:$A$15,0)))</x:f>
        <x:v>1.3</x:v>
      </x:c>
      <x:c r="O42" s="14" t="str">
        <x:v>RTEA; safety board may stop</x:v>
      </x:c>
    </x:row>
    <x:row r="43" ht="54" hidden="0" customHeight="1">
      <x:c r="A43" s="18" t="str">
        <x:v>E39</x:v>
      </x:c>
      <x:c r="B43" s="18" t="str">
        <x:v>C10</x:v>
      </x:c>
      <x:c r="C43" s="18" t="str">
        <x:v>F06</x:v>
      </x:c>
      <x:c r="D43" s="18" t="str">
        <x:v>Carrier stability/crane/launch interface series</x:v>
      </x:c>
      <x:c r="E43" s="18" t="n">
        <x:v>4</x:v>
      </x:c>
      <x:c r="F43" s="18" t="n">
        <x:v>8</x:v>
      </x:c>
      <x:c r="G43" s="18" t="str">
        <x:v>marine</x:v>
      </x:c>
      <x:c r="H43" s="18" t="n">
        <x:v>1.2</x:v>
      </x:c>
      <x:c r="I43" s="18" t="n">
        <x:v>48</x:v>
      </x:c>
      <x:c r="J43" s="18" t="str">
        <x:v>river/coastal</x:v>
      </x:c>
      <x:c r="K43" s="18" t="str">
        <x:v>stability, lift cycle, launch limit</x:v>
      </x:c>
      <x:c r="L43" s="18" t="str">
        <x:v>all operating conditions inside approved envelope</x:v>
      </x:c>
      <x:c r="M43" s="18" t="str">
        <x:v>G18</x:v>
      </x:c>
      <x:c r="N43" s="34" t="n">
        <x:f>H43/SUMIF($B$5:$B$50,B43,$H$5:$H$50)*(INDEX('Campaign Portfolio'!$C$5:$C$15,MATCH(B43,'Campaign Portfolio'!$A$5:$A$15,0))-INDEX('Campaign Portfolio'!$D$5:$D$15,MATCH(B43,'Campaign Portfolio'!$A$5:$A$15,0)))</x:f>
        <x:v>1.7142857142857142</x:v>
      </x:c>
      <x:c r="O43" s="18" t="str">
        <x:v>RTEA; safety board may stop</x:v>
      </x:c>
    </x:row>
    <x:row r="44" ht="64.80000305175781" hidden="0" customHeight="1">
      <x:c r="A44" s="14" t="str">
        <x:v>E40</x:v>
      </x:c>
      <x:c r="B44" s="14" t="str">
        <x:v>C10</x:v>
      </x:c>
      <x:c r="C44" s="14" t="str">
        <x:v>F10</x:v>
      </x:c>
      <x:c r="D44" s="14" t="str">
        <x:v>Port-denied riverine shore-interface trial</x:v>
      </x:c>
      <x:c r="E44" s="14" t="n">
        <x:v>6</x:v>
      </x:c>
      <x:c r="F44" s="14" t="n">
        <x:v>11</x:v>
      </x:c>
      <x:c r="G44" s="14" t="str">
        <x:v>integrated</x:v>
      </x:c>
      <x:c r="H44" s="14" t="n">
        <x:v>1</x:v>
      </x:c>
      <x:c r="I44" s="14" t="n">
        <x:v>24</x:v>
      </x:c>
      <x:c r="J44" s="14" t="str">
        <x:v>regional</x:v>
      </x:c>
      <x:c r="K44" s="14" t="str">
        <x:v>tonnes/day, pump/pipe discharge, repair</x:v>
      </x:c>
      <x:c r="L44" s="14" t="str">
        <x:v>&gt;=1,000 t/day and 20 m3/s work interface without intact port</x:v>
      </x:c>
      <x:c r="M44" s="14" t="str">
        <x:v>G15/G18</x:v>
      </x:c>
      <x:c r="N44" s="35" t="n">
        <x:f>H44/SUMIF($B$5:$B$50,B44,$H$5:$H$50)*(INDEX('Campaign Portfolio'!$C$5:$C$15,MATCH(B44,'Campaign Portfolio'!$A$5:$A$15,0))-INDEX('Campaign Portfolio'!$D$5:$D$15,MATCH(B44,'Campaign Portfolio'!$A$5:$A$15,0)))</x:f>
        <x:v>1.4285714285714284</x:v>
      </x:c>
      <x:c r="O44" s="14" t="str">
        <x:v>RTEA; safety board may stop</x:v>
      </x:c>
    </x:row>
    <x:row r="45" ht="64.80000305175781" hidden="0" customHeight="1">
      <x:c r="A45" s="18" t="str">
        <x:v>E41</x:v>
      </x:c>
      <x:c r="B45" s="18" t="str">
        <x:v>C10</x:v>
      </x:c>
      <x:c r="C45" s="18" t="str">
        <x:v>F06</x:v>
      </x:c>
      <x:c r="D45" s="18" t="str">
        <x:v>60-day corrosion and machinery endurance</x:v>
      </x:c>
      <x:c r="E45" s="18" t="n">
        <x:v>8</x:v>
      </x:c>
      <x:c r="F45" s="18" t="n">
        <x:v>13</x:v>
      </x:c>
      <x:c r="G45" s="18" t="str">
        <x:v>endurance</x:v>
      </x:c>
      <x:c r="H45" s="18" t="n">
        <x:v>1</x:v>
      </x:c>
      <x:c r="I45" s="18" t="n">
        <x:v>12</x:v>
      </x:c>
      <x:c r="J45" s="18" t="str">
        <x:v>coastal</x:v>
      </x:c>
      <x:c r="K45" s="18" t="str">
        <x:v>availability, corrosion, spares, crew burden</x:v>
      </x:c>
      <x:c r="L45" s="18" t="str">
        <x:v>&gt;=90% mission availability; no safety-critical corrosion</x:v>
      </x:c>
      <x:c r="M45" s="18" t="str">
        <x:v>G18/G19</x:v>
      </x:c>
      <x:c r="N45" s="34" t="n">
        <x:f>H45/SUMIF($B$5:$B$50,B45,$H$5:$H$50)*(INDEX('Campaign Portfolio'!$C$5:$C$15,MATCH(B45,'Campaign Portfolio'!$A$5:$A$15,0))-INDEX('Campaign Portfolio'!$D$5:$D$15,MATCH(B45,'Campaign Portfolio'!$A$5:$A$15,0)))</x:f>
        <x:v>1.4285714285714284</x:v>
      </x:c>
      <x:c r="O45" s="18" t="str">
        <x:v>RTEA; safety board may stop</x:v>
      </x:c>
    </x:row>
    <x:row r="46" ht="75.5999984741211" hidden="0" customHeight="1">
      <x:c r="A46" s="14" t="str">
        <x:v>E42</x:v>
      </x:c>
      <x:c r="B46" s="14" t="str">
        <x:v>C10</x:v>
      </x:c>
      <x:c r="C46" s="14" t="str">
        <x:v>F10</x:v>
      </x:c>
      <x:c r="D46" s="14" t="str">
        <x:v>Carrier-supported full hydraulic campaign</x:v>
      </x:c>
      <x:c r="E46" s="14" t="n">
        <x:v>10</x:v>
      </x:c>
      <x:c r="F46" s="14" t="n">
        <x:v>16</x:v>
      </x:c>
      <x:c r="G46" s="14" t="str">
        <x:v>operational</x:v>
      </x:c>
      <x:c r="H46" s="14" t="n">
        <x:v>1</x:v>
      </x:c>
      <x:c r="I46" s="14" t="n">
        <x:v>10</x:v>
      </x:c>
      <x:c r="J46" s="14" t="str">
        <x:v>multi-region</x:v>
      </x:c>
      <x:c r="K46" s="14" t="str">
        <x:v>complete effect, maintenance, host burden</x:v>
      </x:c>
      <x:c r="L46" s="14" t="str">
        <x:v>meets service targets without hidden port/host dependency</x:v>
      </x:c>
      <x:c r="M46" s="14" t="str">
        <x:v>G18/G20</x:v>
      </x:c>
      <x:c r="N46" s="35" t="n">
        <x:f>H46/SUMIF($B$5:$B$50,B46,$H$5:$H$50)*(INDEX('Campaign Portfolio'!$C$5:$C$15,MATCH(B46,'Campaign Portfolio'!$A$5:$A$15,0))-INDEX('Campaign Portfolio'!$D$5:$D$15,MATCH(B46,'Campaign Portfolio'!$A$5:$A$15,0)))</x:f>
        <x:v>1.4285714285714284</x:v>
      </x:c>
      <x:c r="O46" s="14" t="str">
        <x:v>RTEA; safety board may stop</x:v>
      </x:c>
    </x:row>
    <x:row r="47" ht="75.5999984741211" hidden="0" customHeight="1">
      <x:c r="A47" s="18" t="str">
        <x:v>E43</x:v>
      </x:c>
      <x:c r="B47" s="18" t="str">
        <x:v>C11</x:v>
      </x:c>
      <x:c r="C47" s="18" t="str">
        <x:v>F10</x:v>
      </x:c>
      <x:c r="D47" s="18" t="str">
        <x:v>Independent configuration audit series</x:v>
      </x:c>
      <x:c r="E47" s="18" t="n">
        <x:v>2</x:v>
      </x:c>
      <x:c r="F47" s="18" t="n">
        <x:v>25</x:v>
      </x:c>
      <x:c r="G47" s="18" t="str">
        <x:v>audit</x:v>
      </x:c>
      <x:c r="H47" s="18" t="n">
        <x:v>1</x:v>
      </x:c>
      <x:c r="I47" s="18" t="n">
        <x:v>66</x:v>
      </x:c>
      <x:c r="J47" s="18" t="str">
        <x:v>all</x:v>
      </x:c>
      <x:c r="K47" s="18" t="str">
        <x:v>traceability and evidence completeness</x:v>
      </x:c>
      <x:c r="L47" s="18" t="str">
        <x:v>&gt;=90% required evidence complete; every failure linked to disposition</x:v>
      </x:c>
      <x:c r="M47" s="18" t="str">
        <x:v>G01–G20</x:v>
      </x:c>
      <x:c r="N47" s="34" t="n">
        <x:f>H47/SUMIF($B$5:$B$50,B47,$H$5:$H$50)*(INDEX('Campaign Portfolio'!$C$5:$C$15,MATCH(B47,'Campaign Portfolio'!$A$5:$A$15,0))-INDEX('Campaign Portfolio'!$D$5:$D$15,MATCH(B47,'Campaign Portfolio'!$A$5:$A$15,0)))</x:f>
        <x:v>2.3000000000000003</x:v>
      </x:c>
      <x:c r="O47" s="18" t="str">
        <x:v>RTEA; safety board may stop</x:v>
      </x:c>
    </x:row>
    <x:row r="48" ht="54" hidden="0" customHeight="1">
      <x:c r="A48" s="14" t="str">
        <x:v>E44</x:v>
      </x:c>
      <x:c r="B48" s="14" t="str">
        <x:v>C11</x:v>
      </x:c>
      <x:c r="C48" s="14" t="str">
        <x:v>F10</x:v>
      </x:c>
      <x:c r="D48" s="14" t="str">
        <x:v>Thirty-day degraded formation trial</x:v>
      </x:c>
      <x:c r="E48" s="14" t="n">
        <x:v>8</x:v>
      </x:c>
      <x:c r="F48" s="14" t="n">
        <x:v>14</x:v>
      </x:c>
      <x:c r="G48" s="14" t="str">
        <x:v>operational</x:v>
      </x:c>
      <x:c r="H48" s="14" t="n">
        <x:v>1.2</x:v>
      </x:c>
      <x:c r="I48" s="14" t="n">
        <x:v>12</x:v>
      </x:c>
      <x:c r="J48" s="14" t="str">
        <x:v>regional</x:v>
      </x:c>
      <x:c r="K48" s="14" t="str">
        <x:v>availability, shifts, fuel, maintenance, public effect</x:v>
      </x:c>
      <x:c r="L48" s="14" t="str">
        <x:v>service floor maintained with two common-mode losses</x:v>
      </x:c>
      <x:c r="M48" s="14" t="str">
        <x:v>G06/G14–G17/G20</x:v>
      </x:c>
      <x:c r="N48" s="35" t="n">
        <x:f>H48/SUMIF($B$5:$B$50,B48,$H$5:$H$50)*(INDEX('Campaign Portfolio'!$C$5:$C$15,MATCH(B48,'Campaign Portfolio'!$A$5:$A$15,0))-INDEX('Campaign Portfolio'!$D$5:$D$15,MATCH(B48,'Campaign Portfolio'!$A$5:$A$15,0)))</x:f>
        <x:v>2.76</x:v>
      </x:c>
      <x:c r="O48" s="14" t="str">
        <x:v>RTEA; safety board may stop</x:v>
      </x:c>
    </x:row>
    <x:row r="49" ht="54" hidden="0" customHeight="1">
      <x:c r="A49" s="18" t="str">
        <x:v>E45</x:v>
      </x:c>
      <x:c r="B49" s="18" t="str">
        <x:v>C11</x:v>
      </x:c>
      <x:c r="C49" s="18" t="str">
        <x:v>F10</x:v>
      </x:c>
      <x:c r="D49" s="18" t="str">
        <x:v>Ninety-day regional campaign</x:v>
      </x:c>
      <x:c r="E49" s="18" t="n">
        <x:v>12</x:v>
      </x:c>
      <x:c r="F49" s="18" t="n">
        <x:v>19</x:v>
      </x:c>
      <x:c r="G49" s="18" t="str">
        <x:v>operational</x:v>
      </x:c>
      <x:c r="H49" s="18" t="n">
        <x:v>1.4</x:v>
      </x:c>
      <x:c r="I49" s="18" t="n">
        <x:v>8</x:v>
      </x:c>
      <x:c r="J49" s="18" t="str">
        <x:v>regional</x:v>
      </x:c>
      <x:c r="K49" s="18" t="str">
        <x:v>regeneration, exposure, transfer, cost</x:v>
      </x:c>
      <x:c r="L49" s="18" t="str">
        <x:v>stabilized transfer criteria met; no deferred safety debt</x:v>
      </x:c>
      <x:c r="M49" s="18" t="str">
        <x:v>G14–G20</x:v>
      </x:c>
      <x:c r="N49" s="34" t="n">
        <x:f>H49/SUMIF($B$5:$B$50,B49,$H$5:$H$50)*(INDEX('Campaign Portfolio'!$C$5:$C$15,MATCH(B49,'Campaign Portfolio'!$A$5:$A$15,0))-INDEX('Campaign Portfolio'!$D$5:$D$15,MATCH(B49,'Campaign Portfolio'!$A$5:$A$15,0)))</x:f>
        <x:v>3.2199999999999998</x:v>
      </x:c>
      <x:c r="O49" s="18" t="str">
        <x:v>RTEA; safety board may stop</x:v>
      </x:c>
    </x:row>
    <x:row r="50" ht="64.80000305175781" hidden="0" customHeight="1">
      <x:c r="A50" s="14" t="str">
        <x:v>E46</x:v>
      </x:c>
      <x:c r="B50" s="14" t="str">
        <x:v>C11</x:v>
      </x:c>
      <x:c r="C50" s="14" t="str">
        <x:v>F10</x:v>
      </x:c>
      <x:c r="D50" s="14" t="str">
        <x:v>Three-theater simultaneous evaluation</x:v>
      </x:c>
      <x:c r="E50" s="14" t="n">
        <x:v>16</x:v>
      </x:c>
      <x:c r="F50" s="14" t="n">
        <x:v>23</x:v>
      </x:c>
      <x:c r="G50" s="14" t="str">
        <x:v>operational</x:v>
      </x:c>
      <x:c r="H50" s="14" t="n">
        <x:v>1.4</x:v>
      </x:c>
      <x:c r="I50" s="14" t="n">
        <x:v>8</x:v>
      </x:c>
      <x:c r="J50" s="14" t="str">
        <x:v>national</x:v>
      </x:c>
      <x:c r="K50" s="14" t="str">
        <x:v>ready formations, allocation, reconstitution</x:v>
      </x:c>
      <x:c r="L50" s="14" t="str">
        <x:v>declared concurrency achieved with reserve and recovery plan</x:v>
      </x:c>
      <x:c r="M50" s="14" t="str">
        <x:v>G17/G20</x:v>
      </x:c>
      <x:c r="N50" s="35" t="n">
        <x:f>H50/SUMIF($B$5:$B$50,B50,$H$5:$H$50)*(INDEX('Campaign Portfolio'!$C$5:$C$15,MATCH(B50,'Campaign Portfolio'!$A$5:$A$15,0))-INDEX('Campaign Portfolio'!$D$5:$D$15,MATCH(B50,'Campaign Portfolio'!$A$5:$A$15,0)))</x:f>
        <x:v>3.2199999999999998</x:v>
      </x:c>
      <x:c r="O50" s="14" t="str">
        <x:v>RTEA; safety board may stop</x:v>
      </x:c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</x:row>
    <x:row r="52" ht="23" customHeight="1">
      <x:c r="A52" s="47" t="str">
        <x:v>Register checks</x:v>
      </x:c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</x:row>
    <x:row r="53" ht="32.400001525878906" hidden="0" customHeight="1">
      <x:c r="A53" s="14" t="str">
        <x:v>Direct non-facility allocation</x:v>
      </x:c>
      <x:c r="B53" s="14" t="n">
        <x:f>SUM(N5:N50)</x:f>
        <x:v>106.00000000000001</x:v>
      </x:c>
      <x:c r="C53" s="14" t="str">
        <x:f>IF(ABS(B53-'Controls'!B7)&lt;0.001,"PASS","FAIL")</x:f>
        <x:v>PASS</x:v>
      </x:c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</x:row>
    <x:row r="54" ht="32.400001525878906" hidden="0" customHeight="1">
      <x:c r="A54" s="14" t="str">
        <x:v>Below minimum repetitions</x:v>
      </x:c>
      <x:c r="B54" s="14" t="n">
        <x:f>COUNTIF(I5:I50,"&lt;"&amp;'Controls'!B14)</x:f>
        <x:v>0</x:v>
      </x:c>
      <x:c r="C54" s="14" t="str">
        <x:f>IF(B54=0,"PASS","REVIEW: risk-based exceptions")</x:f>
        <x:v>PASS</x:v>
      </x:c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</x:row>
    <x:row r="55" ht="21.600000381469727" hidden="0" customHeight="1">
      <x:c r="A55" s="14" t="str">
        <x:v>Missing threshold</x:v>
      </x:c>
      <x:c r="B55" s="14" t="n">
        <x:f>COUNTBLANK(L5:L50)</x:f>
        <x:v>0</x:v>
      </x:c>
      <x:c r="C55" s="14" t="str">
        <x:f>IF(B55=0,"PASS","FAIL")</x:f>
        <x:v>PASS</x:v>
      </x:c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</x:row>
    <x:row r="56" ht="21.600000381469727" hidden="0" customHeight="1">
      <x:c r="A56" s="14" t="str">
        <x:v>Experiments after year 25</x:v>
      </x:c>
      <x:c r="B56" s="14" t="n">
        <x:f>COUNTIF(F5:F50,"&gt;"&amp;'Controls'!B9)</x:f>
        <x:v>0</x:v>
      </x:c>
      <x:c r="C56" s="14" t="str">
        <x:f>IF(B56=0,"PASS","FAIL")</x:f>
        <x:v>PASS</x:v>
      </x:c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</x:row>
  </x:sheetData>
  <x:mergeCells>
    <x:mergeCell ref="A1:O1"/>
    <x:mergeCell ref="A2:O2"/>
    <x:mergeCell ref="A52:O5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17" hidden="0" customWidth="1"/>
    <x:col min="4" max="4" width="35" hidden="0" customWidth="1"/>
    <x:col min="5" max="5" width="15" hidden="0" customWidth="1"/>
    <x:col min="6" max="6" width="13" hidden="0" customWidth="1"/>
    <x:col min="7" max="7" width="75" hidden="0" customWidth="1"/>
    <x:col min="8" max="8" width="25" hidden="0" customWidth="1"/>
    <x:col min="9" max="9" width="25" hidden="0" customWidth="1"/>
  </x:cols>
  <x:sheetData>
    <x:row r="1" ht="34" customHeight="1">
      <x:c r="A1" s="44" t="str">
        <x:v>R3 Evidence Gates</x:v>
      </x:c>
      <x:c r="B1" s="44"/>
      <x:c r="C1" s="44"/>
      <x:c r="D1" s="44"/>
      <x:c r="E1" s="44"/>
      <x:c r="F1" s="44"/>
      <x:c r="G1" s="44"/>
      <x:c r="H1" s="44"/>
      <x:c r="I1" s="44"/>
    </x:row>
    <x:row r="2" ht="30" customHeight="1">
      <x:c r="A2" s="45" t="str">
        <x:v>The model does not claim to close these gates; it specifies the minimum evidence campaign that could.</x:v>
      </x:c>
      <x:c r="B2" s="45"/>
      <x:c r="C2" s="45"/>
      <x:c r="D2" s="45"/>
      <x:c r="E2" s="45"/>
      <x:c r="F2" s="45"/>
      <x:c r="G2" s="45"/>
      <x:c r="H2" s="45"/>
      <x:c r="I2" s="45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</x:row>
    <x:row r="4" ht="31" customHeight="1">
      <x:c r="A4" s="16" t="str">
        <x:v>Gate</x:v>
      </x:c>
      <x:c r="B4" s="16" t="str">
        <x:v>Evidence claim</x:v>
      </x:c>
      <x:c r="C4" s="16" t="str">
        <x:v>Campaign</x:v>
      </x:c>
      <x:c r="D4" s="16" t="str">
        <x:v>Experiments</x:v>
      </x:c>
      <x:c r="E4" s="16" t="str">
        <x:v>Earliest decision year</x:v>
      </x:c>
      <x:c r="F4" s="16" t="str">
        <x:v>State</x:v>
      </x:c>
      <x:c r="G4" s="16" t="str">
        <x:v>Acceptance rule</x:v>
      </x:c>
      <x:c r="H4" s="16" t="str">
        <x:v>Rendering consequence</x:v>
      </x:c>
      <x:c r="I4" s="16" t="str">
        <x:v>Evidence owner</x:v>
      </x:c>
    </x:row>
    <x:row r="5" ht="118.80000305175781" hidden="0" customHeight="1">
      <x:c r="A5" s="18" t="str">
        <x:v>G01</x:v>
      </x:c>
      <x:c r="B5" s="18" t="str">
        <x:v>Representative hazard cases</x:v>
      </x:c>
      <x:c r="C5" s="18" t="str">
        <x:v>C01/C11</x:v>
      </x:c>
      <x:c r="D5" s="18" t="str">
        <x:v>E01,E18,E43</x:v>
      </x:c>
      <x:c r="E5" s="18" t="n">
        <x:v>6</x:v>
      </x:c>
      <x:c r="F5" s="37" t="str">
        <x:v>OPEN</x:v>
      </x:c>
      <x:c r="G5" s="18" t="str">
        <x:v>Inland, urban, coastal, breach and contamination ensembles are calibrated and independently accepted</x:v>
      </x:c>
      <x:c r="H5" s="18" t="str">
        <x:v>NO until accepted</x:v>
      </x:c>
      <x:c r="I5" s="18" t="str">
        <x:v>RTEA chief evaluator</x:v>
      </x:c>
    </x:row>
    <x:row r="6" ht="108" hidden="0" customHeight="1">
      <x:c r="A6" s="14" t="str">
        <x:v>G02</x:v>
      </x:c>
      <x:c r="B6" s="14" t="str">
        <x:v>Action distributions</x:v>
      </x:c>
      <x:c r="C6" s="14" t="str">
        <x:v>C01</x:v>
      </x:c>
      <x:c r="D6" s="14" t="str">
        <x:v>E02,E04</x:v>
      </x:c>
      <x:c r="E6" s="14" t="n">
        <x:v>10</x:v>
      </x:c>
      <x:c r="F6" s="37" t="str">
        <x:v>OPEN</x:v>
      </x:c>
      <x:c r="G6" s="14" t="str">
        <x:v>Joint forecast/detection-to-effective-action distribution measured, including tails and common-mode loss</x:v>
      </x:c>
      <x:c r="H6" s="14" t="str">
        <x:v>NO until accepted</x:v>
      </x:c>
      <x:c r="I6" s="14" t="str">
        <x:v>RTEA chief evaluator</x:v>
      </x:c>
    </x:row>
    <x:row r="7" ht="129.60000610351562" hidden="0" customHeight="1">
      <x:c r="A7" s="18" t="str">
        <x:v>G03</x:v>
      </x:c>
      <x:c r="B7" s="18" t="str">
        <x:v>Basin/receiving models</x:v>
      </x:c>
      <x:c r="C7" s="18" t="str">
        <x:v>C01/C03/C05</x:v>
      </x:c>
      <x:c r="D7" s="18" t="str">
        <x:v>E01,E03,E13,E18</x:v>
      </x:c>
      <x:c r="E7" s="18" t="n">
        <x:v>9</x:v>
      </x:c>
      <x:c r="F7" s="37" t="str">
        <x:v>OPEN</x:v>
      </x:c>
      <x:c r="G7" s="18" t="str">
        <x:v>Time-indexed storage and receiving-water predictions meet preregistered coverage and decision-utility tests</x:v>
      </x:c>
      <x:c r="H7" s="18" t="str">
        <x:v>NO until accepted</x:v>
      </x:c>
      <x:c r="I7" s="18" t="str">
        <x:v>RTEA chief evaluator</x:v>
      </x:c>
    </x:row>
    <x:row r="8" ht="75.5999984741211" hidden="0" customHeight="1">
      <x:c r="A8" s="14" t="str">
        <x:v>G04</x:v>
      </x:c>
      <x:c r="B8" s="14" t="str">
        <x:v>Pump full curves</x:v>
      </x:c>
      <x:c r="C8" s="14" t="str">
        <x:v>C02</x:v>
      </x:c>
      <x:c r="D8" s="14" t="str">
        <x:v>E05,E06,E08</x:v>
      </x:c>
      <x:c r="E8" s="14" t="n">
        <x:v>9</x:v>
      </x:c>
      <x:c r="F8" s="37" t="str">
        <x:v>OPEN</x:v>
      </x:c>
      <x:c r="G8" s="14" t="str">
        <x:v>All credited wet ends mapped at head/solids/wear with endurance availability</x:v>
      </x:c>
      <x:c r="H8" s="14" t="str">
        <x:v>NO until accepted</x:v>
      </x:c>
      <x:c r="I8" s="14" t="str">
        <x:v>RTEA chief evaluator</x:v>
      </x:c>
    </x:row>
    <x:row r="9" ht="86.4000015258789" hidden="0" customHeight="1">
      <x:c r="A9" s="18" t="str">
        <x:v>G05</x:v>
      </x:c>
      <x:c r="B9" s="18" t="str">
        <x:v>Intake/debris/cavitation</x:v>
      </x:c>
      <x:c r="C9" s="18" t="str">
        <x:v>C02</x:v>
      </x:c>
      <x:c r="D9" s="18" t="str">
        <x:v>E06,E07</x:v>
      </x:c>
      <x:c r="E9" s="18" t="n">
        <x:v>7</x:v>
      </x:c>
      <x:c r="F9" s="37" t="str">
        <x:v>OPEN</x:v>
      </x:c>
      <x:c r="G9" s="18" t="str">
        <x:v>Published envelope prevents damaging cavitation and bounds debris-clearing derate</x:v>
      </x:c>
      <x:c r="H9" s="18" t="str">
        <x:v>NO until accepted</x:v>
      </x:c>
      <x:c r="I9" s="18" t="str">
        <x:v>RTEA chief evaluator</x:v>
      </x:c>
    </x:row>
    <x:row r="10" ht="97.19999694824219" hidden="0" customHeight="1">
      <x:c r="A10" s="14" t="str">
        <x:v>G06</x:v>
      </x:c>
      <x:c r="B10" s="14" t="str">
        <x:v>Power/black start</x:v>
      </x:c>
      <x:c r="C10" s="14" t="str">
        <x:v>C02/C11</x:v>
      </x:c>
      <x:c r="D10" s="14" t="str">
        <x:v>E08,E09,E44</x:v>
      </x:c>
      <x:c r="E10" s="14" t="n">
        <x:v>14</x:v>
      </x:c>
      <x:c r="F10" s="37" t="str">
        <x:v>OPEN</x:v>
      </x:c>
      <x:c r="G10" s="14" t="str">
        <x:v>Protected, fault-coordinated, black-start-capable source transfer sustains required flow</x:v>
      </x:c>
      <x:c r="H10" s="14" t="str">
        <x:v>NO until accepted</x:v>
      </x:c>
      <x:c r="I10" s="14" t="str">
        <x:v>RTEA chief evaluator</x:v>
      </x:c>
    </x:row>
    <x:row r="11" ht="86.4000015258789" hidden="0" customHeight="1">
      <x:c r="A11" s="18" t="str">
        <x:v>G07</x:v>
      </x:c>
      <x:c r="B11" s="18" t="str">
        <x:v>Drainage spine</x:v>
      </x:c>
      <x:c r="C11" s="18" t="str">
        <x:v>C03</x:v>
      </x:c>
      <x:c r="D11" s="18" t="str">
        <x:v>E10–E13,E24</x:v>
      </x:c>
      <x:c r="E11" s="18" t="n">
        <x:v>12</x:v>
      </x:c>
      <x:c r="F11" s="37" t="str">
        <x:v>OPEN</x:v>
      </x:c>
      <x:c r="G11" s="18" t="str">
        <x:v>Route-specific transient, joint, anchor, crossing, setup and recovery evidence closes</x:v>
      </x:c>
      <x:c r="H11" s="18" t="str">
        <x:v>NO until accepted</x:v>
      </x:c>
      <x:c r="I11" s="18" t="str">
        <x:v>RTEA chief evaluator</x:v>
      </x:c>
    </x:row>
    <x:row r="12" ht="108" hidden="0" customHeight="1">
      <x:c r="A12" s="14" t="str">
        <x:v>G08</x:v>
      </x:c>
      <x:c r="B12" s="14" t="str">
        <x:v>Barrier/interior drainage</x:v>
      </x:c>
      <x:c r="C12" s="14" t="str">
        <x:v>C04</x:v>
      </x:c>
      <x:c r="D12" s="14" t="str">
        <x:v>E14–E17</x:v>
      </x:c>
      <x:c r="E12" s="14" t="n">
        <x:v>11</x:v>
      </x:c>
      <x:c r="F12" s="37" t="str">
        <x:v>OPEN</x:v>
      </x:c>
      <x:c r="G12" s="14" t="str">
        <x:v>Load-history, foundation, termination, seepage, exceedance and protected-side drainage close together</x:v>
      </x:c>
      <x:c r="H12" s="14" t="str">
        <x:v>NO until accepted</x:v>
      </x:c>
      <x:c r="I12" s="14" t="str">
        <x:v>RTEA chief evaluator</x:v>
      </x:c>
    </x:row>
    <x:row r="13" ht="108" hidden="0" customHeight="1">
      <x:c r="A13" s="18" t="str">
        <x:v>G09</x:v>
      </x:c>
      <x:c r="B13" s="18" t="str">
        <x:v>Breach arrest/closure</x:v>
      </x:c>
      <x:c r="C13" s="18" t="str">
        <x:v>C05</x:v>
      </x:c>
      <x:c r="D13" s="18" t="str">
        <x:v>E18–E21,E29</x:v>
      </x:c>
      <x:c r="E13" s="18" t="n">
        <x:v>12</x:v>
      </x:c>
      <x:c r="F13" s="37" t="str">
        <x:v>OPEN</x:v>
      </x:c>
      <x:c r="G13" s="18" t="str">
        <x:v>Live-flow reduction and filtered durable closure repeat across soil, head, access and failure modes</x:v>
      </x:c>
      <x:c r="H13" s="18" t="str">
        <x:v>NO until accepted</x:v>
      </x:c>
      <x:c r="I13" s="18" t="str">
        <x:v>RTEA chief evaluator</x:v>
      </x:c>
    </x:row>
    <x:row r="14" ht="118.80000305175781" hidden="0" customHeight="1">
      <x:c r="A14" s="14" t="str">
        <x:v>G10</x:v>
      </x:c>
      <x:c r="B14" s="14" t="str">
        <x:v>Amphibious envelopes</x:v>
      </x:c>
      <x:c r="C14" s="14" t="str">
        <x:v>C08</x:v>
      </x:c>
      <x:c r="D14" s="14" t="str">
        <x:v>E23,E30–E34</x:v>
      </x:c>
      <x:c r="E14" s="14" t="n">
        <x:v>12</x:v>
      </x:c>
      <x:c r="F14" s="37" t="str">
        <x:v>OPEN</x:v>
      </x:c>
      <x:c r="G14" s="14" t="str">
        <x:v>Five classes pass stability, maneuver, obstacle, wake, patient, access, decon and crew-cycle criteria</x:v>
      </x:c>
      <x:c r="H14" s="14" t="str">
        <x:v>NO until accepted</x:v>
      </x:c>
      <x:c r="I14" s="14" t="str">
        <x:v>RTEA chief evaluator</x:v>
      </x:c>
    </x:row>
    <x:row r="15" ht="108" hidden="0" customHeight="1">
      <x:c r="A15" s="18" t="str">
        <x:v>G11</x:v>
      </x:c>
      <x:c r="B15" s="18" t="str">
        <x:v>Autonomy safety</x:v>
      </x:c>
      <x:c r="C15" s="18" t="str">
        <x:v>C06</x:v>
      </x:c>
      <x:c r="D15" s="18" t="str">
        <x:v>E22–E25</x:v>
      </x:c>
      <x:c r="E15" s="18" t="n">
        <x:v>9</x:v>
      </x:c>
      <x:c r="F15" s="37" t="str">
        <x:v>OPEN</x:v>
      </x:c>
      <x:c r="G15" s="18" t="str">
        <x:v>Lost-link, navigation, collision, human detection, cyber, recovery and manual continuity close</x:v>
      </x:c>
      <x:c r="H15" s="18" t="str">
        <x:v>NO until accepted</x:v>
      </x:c>
      <x:c r="I15" s="18" t="str">
        <x:v>RTEA chief evaluator</x:v>
      </x:c>
    </x:row>
    <x:row r="16" ht="97.19999694824219" hidden="0" customHeight="1">
      <x:c r="A16" s="14" t="str">
        <x:v>G12</x:v>
      </x:c>
      <x:c r="B16" s="14" t="str">
        <x:v>Wet earthworks</x:v>
      </x:c>
      <x:c r="C16" s="14" t="str">
        <x:v>C07</x:v>
      </x:c>
      <x:c r="D16" s="14" t="str">
        <x:v>E21,E26–E29</x:v>
      </x:c>
      <x:c r="E16" s="14" t="n">
        <x:v>12</x:v>
      </x:c>
      <x:c r="F16" s="37" t="str">
        <x:v>OPEN</x:v>
      </x:c>
      <x:c r="G16" s="14" t="str">
        <x:v>Productivity, safe control, exposure reduction, recovery and repair close in representative media</x:v>
      </x:c>
      <x:c r="H16" s="14" t="str">
        <x:v>NO until accepted</x:v>
      </x:c>
      <x:c r="I16" s="14" t="str">
        <x:v>RTEA chief evaluator</x:v>
      </x:c>
    </x:row>
    <x:row r="17" ht="86.4000015258789" hidden="0" customHeight="1">
      <x:c r="A17" s="18" t="str">
        <x:v>G13</x:v>
      </x:c>
      <x:c r="B17" s="18" t="str">
        <x:v>Environmental process</x:v>
      </x:c>
      <x:c r="C17" s="18" t="str">
        <x:v>C09</x:v>
      </x:c>
      <x:c r="D17" s="18" t="str">
        <x:v>E28,E35–E38</x:v>
      </x:c>
      <x:c r="E17" s="18" t="n">
        <x:v>10</x:v>
      </x:c>
      <x:c r="F17" s="37" t="str">
        <x:v>OPEN</x:v>
      </x:c>
      <x:c r="G17" s="18" t="str">
        <x:v>Sampling, treatment, discharge, mass balance and residuals meet quality objectives</x:v>
      </x:c>
      <x:c r="H17" s="18" t="str">
        <x:v>NO until accepted</x:v>
      </x:c>
      <x:c r="I17" s="18" t="str">
        <x:v>RTEA chief evaluator</x:v>
      </x:c>
    </x:row>
    <x:row r="18" ht="108" hidden="0" customHeight="1">
      <x:c r="A18" s="14" t="str">
        <x:v>G14</x:v>
      </x:c>
      <x:c r="B18" s="14" t="str">
        <x:v>Infrastructure interfaces</x:v>
      </x:c>
      <x:c r="C18" s="14" t="str">
        <x:v>C04/C11</x:v>
      </x:c>
      <x:c r="D18" s="14" t="str">
        <x:v>E16,E44,E45</x:v>
      </x:c>
      <x:c r="E18" s="14" t="n">
        <x:v>19</x:v>
      </x:c>
      <x:c r="F18" s="37" t="str">
        <x:v>OPEN</x:v>
      </x:c>
      <x:c r="G18" s="14" t="str">
        <x:v>Priority assets remain below threshold and restart/transfer interfaces are demonstrated</x:v>
      </x:c>
      <x:c r="H18" s="14" t="str">
        <x:v>NO until accepted</x:v>
      </x:c>
      <x:c r="I18" s="14" t="str">
        <x:v>RTEA chief evaluator</x:v>
      </x:c>
    </x:row>
    <x:row r="19" ht="86.4000015258789" hidden="0" customHeight="1">
      <x:c r="A19" s="18" t="str">
        <x:v>G15</x:v>
      </x:c>
      <x:c r="B19" s="18" t="str">
        <x:v>Movement manifest</x:v>
      </x:c>
      <x:c r="C19" s="18" t="str">
        <x:v>C03/C08/C10/C11</x:v>
      </x:c>
      <x:c r="D19" s="18" t="str">
        <x:v>E11–E13,E33,E40,E43</x:v>
      </x:c>
      <x:c r="E19" s="18" t="n">
        <x:v>16</x:v>
      </x:c>
      <x:c r="F19" s="37" t="str">
        <x:v>OPEN</x:v>
      </x:c>
      <x:c r="G19" s="18" t="str">
        <x:v>Itemized deployment, recurring material and route capacity independently reconcile</x:v>
      </x:c>
      <x:c r="H19" s="18" t="str">
        <x:v>NO until accepted</x:v>
      </x:c>
      <x:c r="I19" s="18" t="str">
        <x:v>RTEA chief evaluator</x:v>
      </x:c>
    </x:row>
    <x:row r="20" ht="97.19999694824219" hidden="0" customHeight="1">
      <x:c r="A20" s="14" t="str">
        <x:v>G16</x:v>
      </x:c>
      <x:c r="B20" s="14" t="str">
        <x:v>Workforce system</x:v>
      </x:c>
      <x:c r="C20" s="14" t="str">
        <x:v>C08/C11</x:v>
      </x:c>
      <x:c r="D20" s="14" t="str">
        <x:v>E32,E44,E45</x:v>
      </x:c>
      <x:c r="E20" s="14" t="n">
        <x:v>19</x:v>
      </x:c>
      <x:c r="F20" s="37" t="str">
        <x:v>OPEN</x:v>
      </x:c>
      <x:c r="G20" s="14" t="str">
        <x:v>Qualifications, shifts, exposure, rotation, recovery and training pipeline sustain the mission</x:v>
      </x:c>
      <x:c r="H20" s="14" t="str">
        <x:v>NO until accepted</x:v>
      </x:c>
      <x:c r="I20" s="14" t="str">
        <x:v>RTEA chief evaluator</x:v>
      </x:c>
    </x:row>
    <x:row r="21" ht="97.19999694824219" hidden="0" customHeight="1">
      <x:c r="A21" s="18" t="str">
        <x:v>G17</x:v>
      </x:c>
      <x:c r="B21" s="18" t="str">
        <x:v>Readiness/concurrency</x:v>
      </x:c>
      <x:c r="C21" s="18" t="str">
        <x:v>C11</x:v>
      </x:c>
      <x:c r="D21" s="18" t="str">
        <x:v>E44–E46</x:v>
      </x:c>
      <x:c r="E21" s="18" t="n">
        <x:v>23</x:v>
      </x:c>
      <x:c r="F21" s="37" t="str">
        <x:v>OPEN</x:v>
      </x:c>
      <x:c r="G21" s="18" t="str">
        <x:v>Correlated demand, reserve, reconstitution and three-theater standard demonstrated</x:v>
      </x:c>
      <x:c r="H21" s="18" t="str">
        <x:v>NO until accepted</x:v>
      </x:c>
      <x:c r="I21" s="18" t="str">
        <x:v>RTEA chief evaluator</x:v>
      </x:c>
    </x:row>
    <x:row r="22" ht="86.4000015258789" hidden="0" customHeight="1">
      <x:c r="A22" s="14" t="str">
        <x:v>G18</x:v>
      </x:c>
      <x:c r="B22" s="14" t="str">
        <x:v>Works carrier</x:v>
      </x:c>
      <x:c r="C22" s="14" t="str">
        <x:v>C10</x:v>
      </x:c>
      <x:c r="D22" s="14" t="str">
        <x:v>E39–E42</x:v>
      </x:c>
      <x:c r="E22" s="14" t="n">
        <x:v>16</x:v>
      </x:c>
      <x:c r="F22" s="37" t="str">
        <x:v>OPEN</x:v>
      </x:c>
      <x:c r="G22" s="14" t="str">
        <x:v>Stability, lift, port/lock denial, crew, maintenance and complete shore thread close</x:v>
      </x:c>
      <x:c r="H22" s="14" t="str">
        <x:v>NO until accepted</x:v>
      </x:c>
      <x:c r="I22" s="14" t="str">
        <x:v>RTEA chief evaluator</x:v>
      </x:c>
    </x:row>
    <x:row r="23" ht="108" hidden="0" customHeight="1">
      <x:c r="A23" s="18" t="str">
        <x:v>G19</x:v>
      </x:c>
      <x:c r="B23" s="18" t="str">
        <x:v>Lifecycle/industrial</x:v>
      </x:c>
      <x:c r="C23" s="18" t="str">
        <x:v>C02/C09/C10/C11</x:v>
      </x:c>
      <x:c r="D23" s="18" t="str">
        <x:v>E37,E41,E43,E45</x:v>
      </x:c>
      <x:c r="E23" s="18" t="n">
        <x:v>22</x:v>
      </x:c>
      <x:c r="F23" s="37" t="str">
        <x:v>OPEN</x:v>
      </x:c>
      <x:c r="G23" s="18" t="str">
        <x:v>Lifecycle cost, supply, production-representative process and depot schedule pass independent review</x:v>
      </x:c>
      <x:c r="H23" s="18" t="str">
        <x:v>NO until accepted</x:v>
      </x:c>
      <x:c r="I23" s="18" t="str">
        <x:v>RTEA chief evaluator</x:v>
      </x:c>
    </x:row>
    <x:row r="24" ht="108" hidden="0" customHeight="1">
      <x:c r="A24" s="14" t="str">
        <x:v>G20</x:v>
      </x:c>
      <x:c r="B24" s="14" t="str">
        <x:v>Complete mission thread</x:v>
      </x:c>
      <x:c r="C24" s="14" t="str">
        <x:v>C11</x:v>
      </x:c>
      <x:c r="D24" s="14" t="str">
        <x:v>E04,E13,E17,E21,E25,E29,E34,E38,E42,E44–E46</x:v>
      </x:c>
      <x:c r="E24" s="14" t="n">
        <x:v>23</x:v>
      </x:c>
      <x:c r="F24" s="37" t="str">
        <x:v>OPEN</x:v>
      </x:c>
      <x:c r="G24" s="14" t="str">
        <x:v>Independent operational tests close sense-control-access-dewater-recover-transfer with no hidden host dependency</x:v>
      </x:c>
      <x:c r="H24" s="14" t="str">
        <x:v>NO until accepted</x:v>
      </x:c>
      <x:c r="I24" s="14" t="str">
        <x:v>RTEA chief evaluator</x:v>
      </x:c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</x:row>
    <x:row r="26" ht="23" customHeight="1">
      <x:c r="A26" s="47" t="str">
        <x:v>Gate summary</x:v>
      </x:c>
      <x:c r="B26" s="47"/>
      <x:c r="C26" s="47"/>
      <x:c r="D26" s="47"/>
      <x:c r="E26" s="47"/>
      <x:c r="F26" s="47"/>
      <x:c r="G26" s="47"/>
      <x:c r="H26" s="47"/>
      <x:c r="I26" s="47"/>
    </x:row>
    <x:row r="27" ht="15" hidden="0" customHeight="1">
      <x:c r="A27" s="14" t="str">
        <x:v>Open</x:v>
      </x:c>
      <x:c r="B27" s="14" t="n">
        <x:f>COUNTIF(F5:F24,"OPEN")</x:f>
        <x:v>20</x:v>
      </x:c>
      <x:c r="C27" s="46"/>
      <x:c r="D27" s="46"/>
      <x:c r="E27" s="46"/>
      <x:c r="F27" s="46"/>
      <x:c r="G27" s="46"/>
      <x:c r="H27" s="46"/>
      <x:c r="I27" s="46"/>
    </x:row>
    <x:row r="28" ht="15" hidden="0" customHeight="1">
      <x:c r="A28" s="14" t="str">
        <x:v>Accepted</x:v>
      </x:c>
      <x:c r="B28" s="14" t="n">
        <x:f>COUNTIF(F5:F24,"ACCEPTED")</x:f>
        <x:v>0</x:v>
      </x:c>
      <x:c r="C28" s="46"/>
      <x:c r="D28" s="46"/>
      <x:c r="E28" s="46"/>
      <x:c r="F28" s="46"/>
      <x:c r="G28" s="46"/>
      <x:c r="H28" s="46"/>
      <x:c r="I28" s="46"/>
    </x:row>
    <x:row r="29" ht="32.400001525878906" hidden="0" customHeight="1">
      <x:c r="A29" s="14" t="str">
        <x:v>Earliest complete-thread decision</x:v>
      </x:c>
      <x:c r="B29" s="14" t="n">
        <x:f>MAX(E5:E24)</x:f>
        <x:v>23</x:v>
      </x:c>
      <x:c r="C29" s="46"/>
      <x:c r="D29" s="46"/>
      <x:c r="E29" s="46"/>
      <x:c r="F29" s="46"/>
      <x:c r="G29" s="46"/>
      <x:c r="H29" s="46"/>
      <x:c r="I29" s="46"/>
    </x:row>
    <x:row r="30" ht="32.400001525878906" hidden="0" customHeight="1">
      <x:c r="A30" s="14" t="str">
        <x:v>Current system maturity</x:v>
      </x:c>
      <x:c r="B30" s="14" t="str">
        <x:v>R2+</x:v>
      </x:c>
      <x:c r="C30" s="46"/>
      <x:c r="D30" s="46"/>
      <x:c r="E30" s="46"/>
      <x:c r="F30" s="46"/>
      <x:c r="G30" s="46"/>
      <x:c r="H30" s="46"/>
      <x:c r="I30" s="46"/>
    </x:row>
    <x:row r="31" ht="32.400001525878906" hidden="0" customHeight="1">
      <x:c r="A31" s="14" t="str">
        <x:v>Current rendering decision</x:v>
      </x:c>
      <x:c r="B31" s="14" t="str">
        <x:f>IF(B27=0,"ELIGIBLE FOR REVIEW","PROHIBITED")</x:f>
        <x:v>PROHIBITED</x:v>
      </x:c>
      <x:c r="C31" s="46"/>
      <x:c r="D31" s="46"/>
      <x:c r="E31" s="46"/>
      <x:c r="F31" s="46"/>
      <x:c r="G31" s="46"/>
      <x:c r="H31" s="46"/>
      <x:c r="I31" s="46"/>
    </x:row>
  </x:sheetData>
  <x:mergeCells>
    <x:mergeCell ref="A1:I1"/>
    <x:mergeCell ref="A2:I2"/>
    <x:mergeCell ref="A26:I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15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3" hidden="0" customWidth="1"/>
    <x:col min="10" max="10" width="65" hidden="0" customWidth="1"/>
    <x:col min="11" max="11" width="34" hidden="0" customWidth="1"/>
    <x:col min="12" max="12" width="52" hidden="0" customWidth="1"/>
  </x:cols>
  <x:sheetData>
    <x:row r="1" ht="34" customHeight="1">
      <x:c r="A1" s="44" t="str">
        <x:v>National Hydraulic Proving Network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</x:row>
    <x:row r="2" ht="30" customHeight="1">
      <x:c r="A2" s="45" t="str">
        <x:v>A new Department-owned network sized to create evidence at formation scale, not a preservation plan for current laboratories.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</x:row>
    <x:row r="4" ht="31" customHeight="1">
      <x:c r="A4" s="16" t="str">
        <x:v>ID</x:v>
      </x:c>
      <x:c r="B4" s="16" t="str">
        <x:v>Facility</x:v>
      </x:c>
      <x:c r="C4" s="16" t="str">
        <x:v>Primary campaign</x:v>
      </x:c>
      <x:c r="D4" s="16" t="str">
        <x:v>Capital $B</x:v>
      </x:c>
      <x:c r="E4" s="16" t="str">
        <x:v>Design</x:v>
      </x:c>
      <x:c r="F4" s="16" t="str">
        <x:v>Build</x:v>
      </x:c>
      <x:c r="G4" s="16" t="str">
        <x:v>Commission</x:v>
      </x:c>
      <x:c r="H4" s="16" t="str">
        <x:v>Full ops</x:v>
      </x:c>
      <x:c r="I4" s="16" t="str">
        <x:v>Events/yr</x:v>
      </x:c>
      <x:c r="J4" s="16" t="str">
        <x:v>Controllable environment</x:v>
      </x:c>
      <x:c r="K4" s="16" t="str">
        <x:v>Max article / scale</x:v>
      </x:c>
      <x:c r="L4" s="16" t="str">
        <x:v>Reference anchor</x:v>
      </x:c>
    </x:row>
    <x:row r="5" ht="97.19999694824219" hidden="0" customHeight="1">
      <x:c r="A5" s="18" t="str">
        <x:v>F01</x:v>
      </x:c>
      <x:c r="B5" s="18" t="str">
        <x:v>Megaflow Hydraulic Systems Range</x:v>
      </x:c>
      <x:c r="C5" s="18" t="str">
        <x:v>C02</x:v>
      </x:c>
      <x:c r="D5" s="18" t="n">
        <x:v>4.5</x:v>
      </x:c>
      <x:c r="E5" s="18" t="n">
        <x:v>1</x:v>
      </x:c>
      <x:c r="F5" s="18" t="n">
        <x:v>3</x:v>
      </x:c>
      <x:c r="G5" s="18" t="n">
        <x:v>4</x:v>
      </x:c>
      <x:c r="H5" s="18" t="n">
        <x:v>7</x:v>
      </x:c>
      <x:c r="I5" s="18" t="n">
        <x:v>100</x:v>
      </x:c>
      <x:c r="J5" s="18" t="str">
        <x:v>multi-cell closed/open loop; 0–70 m head; variable submergence; debris/sediment injection</x:v>
      </x:c>
      <x:c r="K5" s="18" t="str">
        <x:v>full 15 m³/s module and multi-pump manifold</x:v>
      </x:c>
      <x:c r="L5" s="18" t="str">
        <x:v>USACE pump manuals; ERDC/FHWA hydraulic labs as lower-bound methods</x:v>
      </x:c>
    </x:row>
    <x:row r="6" ht="75.5999984741211" hidden="0" customHeight="1">
      <x:c r="A6" s="14" t="str">
        <x:v>F02</x:v>
      </x:c>
      <x:c r="B6" s="14" t="str">
        <x:v>Drainage Spine Corridor</x:v>
      </x:c>
      <x:c r="C6" s="14" t="str">
        <x:v>C03</x:v>
      </x:c>
      <x:c r="D6" s="14" t="n">
        <x:v>3</x:v>
      </x:c>
      <x:c r="E6" s="14" t="n">
        <x:v>1</x:v>
      </x:c>
      <x:c r="F6" s="14" t="n">
        <x:v>3</x:v>
      </x:c>
      <x:c r="G6" s="14" t="n">
        <x:v>4</x:v>
      </x:c>
      <x:c r="H6" s="14" t="n">
        <x:v>8</x:v>
      </x:c>
      <x:c r="I6" s="14" t="n">
        <x:v>60</x:v>
      </x:c>
      <x:c r="J6" s="14" t="str">
        <x:v>parallel 20 km routes; roads, rail, slopes, culverts, anchors; surge basin</x:v>
      </x:c>
      <x:c r="K6" s="14" t="str">
        <x:v>full 2 m trunk and crossings</x:v>
      </x:c>
      <x:c r="L6" s="14" t="str">
        <x:v>purpose-built national corridor; no current direct analogue</x:v>
      </x:c>
    </x:row>
    <x:row r="7" ht="86.4000015258789" hidden="0" customHeight="1">
      <x:c r="A7" s="18" t="str">
        <x:v>F03</x:v>
      </x:c>
      <x:c r="B7" s="18" t="str">
        <x:v>Barrier and Interior Basin</x:v>
      </x:c>
      <x:c r="C7" s="18" t="str">
        <x:v>C04</x:v>
      </x:c>
      <x:c r="D7" s="18" t="n">
        <x:v>3</x:v>
      </x:c>
      <x:c r="E7" s="18" t="n">
        <x:v>1</x:v>
      </x:c>
      <x:c r="F7" s="18" t="n">
        <x:v>3</x:v>
      </x:c>
      <x:c r="G7" s="18" t="n">
        <x:v>4</x:v>
      </x:c>
      <x:c r="H7" s="18" t="n">
        <x:v>8</x:v>
      </x:c>
      <x:c r="I7" s="18" t="n">
        <x:v>45</x:v>
      </x:c>
      <x:c r="J7" s="18" t="str">
        <x:v>2 km perimeter; controlled rain, sewer/backflow, seepage, debris and overtopping</x:v>
      </x:c>
      <x:c r="K7" s="18" t="str">
        <x:v>full-height segments and terminations</x:v>
      </x:c>
      <x:c r="L7" s="18" t="str">
        <x:v>extends fixed civil works testing to formation-scale protected-side drainage</x:v>
      </x:c>
    </x:row>
    <x:row r="8" ht="97.19999694824219" hidden="0" customHeight="1">
      <x:c r="A8" s="14" t="str">
        <x:v>F04</x:v>
      </x:c>
      <x:c r="B8" s="14" t="str">
        <x:v>Live Breach Range</x:v>
      </x:c>
      <x:c r="C8" s="14" t="str">
        <x:v>C05</x:v>
      </x:c>
      <x:c r="D8" s="14" t="n">
        <x:v>2.5</x:v>
      </x:c>
      <x:c r="E8" s="14" t="n">
        <x:v>1</x:v>
      </x:c>
      <x:c r="F8" s="14" t="n">
        <x:v>2</x:v>
      </x:c>
      <x:c r="G8" s="14" t="n">
        <x:v>3</x:v>
      </x:c>
      <x:c r="H8" s="14" t="n">
        <x:v>7</x:v>
      </x:c>
      <x:c r="I8" s="14" t="n">
        <x:v>52</x:v>
      </x:c>
      <x:c r="J8" s="14" t="str">
        <x:v>parallel breach cells; 12 ft walls; 40–100 ft breach; 2,100+ cfs initial flow; variable soils</x:v>
      </x:c>
      <x:c r="K8" s="14" t="str">
        <x:v>full scale</x:v>
      </x:c>
      <x:c r="L8" s="14" t="str">
        <x:v>ERDC full-scale breach facility is empirical lower-bound and geometry reference</x:v>
      </x:c>
    </x:row>
    <x:row r="9" ht="97.19999694824219" hidden="0" customHeight="1">
      <x:c r="A9" s="18" t="str">
        <x:v>F05</x:v>
      </x:c>
      <x:c r="B9" s="18" t="str">
        <x:v>Amphibious Urban Water Range</x:v>
      </x:c>
      <x:c r="C9" s="18" t="str">
        <x:v>C08</x:v>
      </x:c>
      <x:c r="D9" s="18" t="n">
        <x:v>1.2</x:v>
      </x:c>
      <x:c r="E9" s="18" t="n">
        <x:v>1</x:v>
      </x:c>
      <x:c r="F9" s="18" t="n">
        <x:v>2</x:v>
      </x:c>
      <x:c r="G9" s="18" t="n">
        <x:v>3</x:v>
      </x:c>
      <x:c r="H9" s="18" t="n">
        <x:v>6</x:v>
      </x:c>
      <x:c r="I9" s="18" t="n">
        <x:v>120</x:v>
      </x:c>
      <x:c r="J9" s="18" t="str">
        <x:v>streets, submerged obstacles, wires, currents, accessible embarkation, contaminated washdown</x:v>
      </x:c>
      <x:c r="K9" s="18" t="str">
        <x:v>full vehicles/craft</x:v>
      </x:c>
      <x:c r="L9" s="18" t="str">
        <x:v>NIST test-artifact method; USCG rescue-boat tests</x:v>
      </x:c>
    </x:row>
    <x:row r="10" ht="75.5999984741211" hidden="0" customHeight="1">
      <x:c r="A10" s="14" t="str">
        <x:v>F06</x:v>
      </x:c>
      <x:c r="B10" s="14" t="str">
        <x:v>Coastal Storm and Surf Field Range</x:v>
      </x:c>
      <x:c r="C10" s="14" t="str">
        <x:v>C08</x:v>
      </x:c>
      <x:c r="D10" s="14" t="n">
        <x:v>0.8</x:v>
      </x:c>
      <x:c r="E10" s="14" t="n">
        <x:v>1</x:v>
      </x:c>
      <x:c r="F10" s="14" t="n">
        <x:v>3</x:v>
      </x:c>
      <x:c r="G10" s="14" t="n">
        <x:v>4</x:v>
      </x:c>
      <x:c r="H10" s="14" t="n">
        <x:v>9</x:v>
      </x:c>
      <x:c r="I10" s="14" t="n">
        <x:v>60</x:v>
      </x:c>
      <x:c r="J10" s="14" t="str">
        <x:v>surf, waves, tide, salt, current, damaged quay and natural-storm field trials</x:v>
      </x:c>
      <x:c r="K10" s="14" t="str">
        <x:v>full craft / scale carrier interfaces</x:v>
      </x:c>
      <x:c r="L10" s="14" t="str">
        <x:v>ERDC Field Research Facility and USCG stability methods</x:v>
      </x:c>
    </x:row>
    <x:row r="11" ht="75.5999984741211" hidden="0" customHeight="1">
      <x:c r="A11" s="18" t="str">
        <x:v>F07</x:v>
      </x:c>
      <x:c r="B11" s="18" t="str">
        <x:v>Autonomous Wet Earthworks Range</x:v>
      </x:c>
      <x:c r="C11" s="18" t="str">
        <x:v>C06/C07</x:v>
      </x:c>
      <x:c r="D11" s="18" t="n">
        <x:v>2.5</x:v>
      </x:c>
      <x:c r="E11" s="18" t="n">
        <x:v>1</x:v>
      </x:c>
      <x:c r="F11" s="18" t="n">
        <x:v>2</x:v>
      </x:c>
      <x:c r="G11" s="18" t="n">
        <x:v>3</x:v>
      </x:c>
      <x:c r="H11" s="18" t="n">
        <x:v>6</x:v>
      </x:c>
      <x:c r="I11" s="18" t="n">
        <x:v>180</x:v>
      </x:c>
      <x:c r="J11" s="18" t="str">
        <x:v>mud, rain, low visibility, GNSS/communications loss, recovery pits and debris</x:v>
      </x:c>
      <x:c r="K11" s="18" t="str">
        <x:v>full machines and mixed fleets</x:v>
      </x:c>
      <x:c r="L11" s="18" t="str">
        <x:v>NIST replicable robot tests expanded to civil works</x:v>
      </x:c>
    </x:row>
    <x:row r="12" ht="86.4000015258789" hidden="0" customHeight="1">
      <x:c r="A12" s="14" t="str">
        <x:v>F08</x:v>
      </x:c>
      <x:c r="B12" s="14" t="str">
        <x:v>Environmental Process Range</x:v>
      </x:c>
      <x:c r="C12" s="14" t="str">
        <x:v>C09</x:v>
      </x:c>
      <x:c r="D12" s="14" t="n">
        <x:v>1.5</x:v>
      </x:c>
      <x:c r="E12" s="14" t="n">
        <x:v>1</x:v>
      </x:c>
      <x:c r="F12" s="14" t="n">
        <x:v>2</x:v>
      </x:c>
      <x:c r="G12" s="14" t="n">
        <x:v>3</x:v>
      </x:c>
      <x:c r="H12" s="14" t="n">
        <x:v>6</x:v>
      </x:c>
      <x:c r="I12" s="14" t="n">
        <x:v>90</x:v>
      </x:c>
      <x:c r="J12" s="14" t="str">
        <x:v>variable sewage, hydrocarbons, sediment, salinity, pathogens; closed mass balance</x:v>
      </x:c>
      <x:c r="K12" s="14" t="str">
        <x:v>full mobile treatment trains</x:v>
      </x:c>
      <x:c r="L12" s="14" t="str">
        <x:v>EPA emergency-response mobile treatment and QA/QC methods</x:v>
      </x:c>
    </x:row>
    <x:row r="13" ht="97.19999694824219" hidden="0" customHeight="1">
      <x:c r="A13" s="18" t="str">
        <x:v>F09</x:v>
      </x:c>
      <x:c r="B13" s="18" t="str">
        <x:v>Flood State Digital Twin Range</x:v>
      </x:c>
      <x:c r="C13" s="18" t="str">
        <x:v>C01</x:v>
      </x:c>
      <x:c r="D13" s="18" t="n">
        <x:v>2</x:v>
      </x:c>
      <x:c r="E13" s="18" t="n">
        <x:v>1</x:v>
      </x:c>
      <x:c r="F13" s="18" t="n">
        <x:v>2</x:v>
      </x:c>
      <x:c r="G13" s="18" t="n">
        <x:v>3</x:v>
      </x:c>
      <x:c r="H13" s="18" t="n">
        <x:v>5</x:v>
      </x:c>
      <x:c r="I13" s="18" t="n">
        <x:v>260</x:v>
      </x:c>
      <x:c r="J13" s="18" t="str">
        <x:v>instrumented watersheds, synthetic truth, disconnected operation, blind forecast scoring</x:v>
      </x:c>
      <x:c r="K13" s="18" t="str">
        <x:v>regional digital/field twin</x:v>
      </x:c>
      <x:c r="L13" s="18" t="str">
        <x:v>NOAA forecast verification and EPA modeling-QA methods</x:v>
      </x:c>
    </x:row>
    <x:row r="14" ht="129.60000610351562" hidden="0" customHeight="1">
      <x:c r="A14" s="14" t="str">
        <x:v>F10</x:v>
      </x:c>
      <x:c r="B14" s="14" t="str">
        <x:v>Joint Mission Thread Proving Campus</x:v>
      </x:c>
      <x:c r="C14" s="14" t="str">
        <x:v>C10/C11</x:v>
      </x:c>
      <x:c r="D14" s="14" t="n">
        <x:v>3</x:v>
      </x:c>
      <x:c r="E14" s="14" t="n">
        <x:v>1</x:v>
      </x:c>
      <x:c r="F14" s="14" t="n">
        <x:v>3</x:v>
      </x:c>
      <x:c r="G14" s="14" t="n">
        <x:v>4</x:v>
      </x:c>
      <x:c r="H14" s="14" t="n">
        <x:v>8</x:v>
      </x:c>
      <x:c r="I14" s="14" t="n">
        <x:v>60</x:v>
      </x:c>
      <x:c r="J14" s="14" t="str">
        <x:v>distributed rail/road/port reception cells, damaged utilities, basins, command, public interfaces, 30–90 day trials</x:v>
      </x:c>
      <x:c r="K14" s="14" t="str">
        <x:v>multi-formation</x:v>
      </x:c>
      <x:c r="L14" s="14" t="str">
        <x:v>FEMA HSEEP informs evaluation; RTEA owns technical acceptance</x:v>
      </x:c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</x:row>
    <x:row r="16" ht="23" customHeight="1">
      <x:c r="A16" s="47" t="str">
        <x:v>Facility funding and timing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</x:row>
    <x:row r="17" ht="15" hidden="0" customHeight="1">
      <x:c r="A17" s="14" t="str">
        <x:v>Capital total</x:v>
      </x:c>
      <x:c r="B17" s="20" t="n">
        <x:f>SUM(D5:D14)</x:f>
        <x:v>24</x:v>
      </x:c>
      <x:c r="C17" s="14" t="str">
        <x:f>IF(B17='Controls'!B6,"PASS","FAIL")</x:f>
        <x:v>PASS</x:v>
      </x:c>
      <x:c r="D17" s="46"/>
      <x:c r="E17" s="46"/>
      <x:c r="F17" s="46"/>
      <x:c r="G17" s="46"/>
      <x:c r="H17" s="46"/>
      <x:c r="I17" s="46"/>
      <x:c r="J17" s="46"/>
      <x:c r="K17" s="46"/>
      <x:c r="L17" s="46"/>
    </x:row>
    <x:row r="18" ht="21.600000381469727" hidden="0" customHeight="1">
      <x:c r="A18" s="14" t="str">
        <x:v>Envelope variance</x:v>
      </x:c>
      <x:c r="B18" s="20" t="n">
        <x:f>B17-'Controls'!B6</x:f>
        <x:v>0</x:v>
      </x:c>
      <x:c r="C18" s="14" t="str">
        <x:f>IF(ABS(B18)&lt;0.001,"PASS","FAIL")</x:f>
        <x:v>PASS</x:v>
      </x:c>
      <x:c r="D18" s="46"/>
      <x:c r="E18" s="46"/>
      <x:c r="F18" s="46"/>
      <x:c r="G18" s="46"/>
      <x:c r="H18" s="46"/>
      <x:c r="I18" s="46"/>
      <x:c r="J18" s="46"/>
      <x:c r="K18" s="46"/>
      <x:c r="L18" s="46"/>
    </x:row>
    <x:row r="19" ht="32.400001525878906" hidden="0" customHeight="1">
      <x:c r="A19" s="14" t="str">
        <x:v>First commissioned</x:v>
      </x:c>
      <x:c r="B19" s="14" t="n">
        <x:f>MIN(G5:G14)</x:f>
        <x:v>3</x:v>
      </x:c>
      <x:c r="C19" s="14" t="str">
        <x:v>year</x:v>
      </x:c>
      <x:c r="D19" s="46"/>
      <x:c r="E19" s="46"/>
      <x:c r="F19" s="46"/>
      <x:c r="G19" s="46"/>
      <x:c r="H19" s="46"/>
      <x:c r="I19" s="46"/>
      <x:c r="J19" s="46"/>
      <x:c r="K19" s="46"/>
      <x:c r="L19" s="46"/>
    </x:row>
    <x:row r="20" ht="21.600000381469727" hidden="0" customHeight="1">
      <x:c r="A20" s="14" t="str">
        <x:v>All full operating</x:v>
      </x:c>
      <x:c r="B20" s="14" t="n">
        <x:f>MAX(H5:H14)</x:f>
        <x:v>9</x:v>
      </x:c>
      <x:c r="C20" s="14" t="str">
        <x:v>year</x:v>
      </x:c>
      <x:c r="D20" s="46"/>
      <x:c r="E20" s="46"/>
      <x:c r="F20" s="46"/>
      <x:c r="G20" s="46"/>
      <x:c r="H20" s="46"/>
      <x:c r="I20" s="46"/>
      <x:c r="J20" s="46"/>
      <x:c r="K20" s="46"/>
      <x:c r="L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</x:row>
    <x:row r="22" ht="31" customHeight="1">
      <x:c r="A22" s="48" t="str">
        <x:v>Existing ERDC, FHWA, NIST, EPA and USCG facilities and methods are empirical anchors and early partners. The end state is a sovereign Department network with independent scheduling, instrumentation, destructive-test authority and open data.</x:v>
      </x:c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</x:row>
  </x:sheetData>
  <x:mergeCells>
    <x:mergeCell ref="A1:L1"/>
    <x:mergeCell ref="A2:L2"/>
    <x:mergeCell ref="A16:L16"/>
    <x:mergeCell ref="A22:L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</x:cols>
  <x:sheetData>
    <x:row r="1" ht="34" customHeight="1">
      <x:c r="A1" s="44" t="str">
        <x:v>Annual Funding Profile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 ht="30" customHeight="1">
      <x:c r="A2" s="45" t="str">
        <x:v>Formula-driven triangular-plus-base ramp by campaign. Edit start/peak/end or campaign totals to reshape the profile.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 ht="31" customHeight="1">
      <x:c r="A4" s="16" t="str">
        <x:v>Campaign</x:v>
      </x:c>
      <x:c r="B4" s="16" t="str">
        <x:v>Y1</x:v>
      </x:c>
      <x:c r="C4" s="16" t="str">
        <x:v>Y2</x:v>
      </x:c>
      <x:c r="D4" s="16" t="str">
        <x:v>Y3</x:v>
      </x:c>
      <x:c r="E4" s="16" t="str">
        <x:v>Y4</x:v>
      </x:c>
      <x:c r="F4" s="16" t="str">
        <x:v>Y5</x:v>
      </x:c>
      <x:c r="G4" s="16" t="str">
        <x:v>Y6</x:v>
      </x:c>
      <x:c r="H4" s="16" t="str">
        <x:v>Y7</x:v>
      </x:c>
      <x:c r="I4" s="16" t="str">
        <x:v>Y8</x:v>
      </x:c>
      <x:c r="J4" s="16" t="str">
        <x:v>Y9</x:v>
      </x:c>
      <x:c r="K4" s="16" t="str">
        <x:v>Y10</x:v>
      </x:c>
      <x:c r="L4" s="16" t="str">
        <x:v>Y11</x:v>
      </x:c>
      <x:c r="M4" s="16" t="str">
        <x:v>Y12</x:v>
      </x:c>
      <x:c r="N4" s="16" t="str">
        <x:v>Y13</x:v>
      </x:c>
      <x:c r="O4" s="16" t="str">
        <x:v>Y14</x:v>
      </x:c>
      <x:c r="P4" s="16" t="str">
        <x:v>Y15</x:v>
      </x:c>
      <x:c r="Q4" s="16" t="str">
        <x:v>Y16</x:v>
      </x:c>
      <x:c r="R4" s="16" t="str">
        <x:v>Y17</x:v>
      </x:c>
      <x:c r="S4" s="16" t="str">
        <x:v>Y18</x:v>
      </x:c>
      <x:c r="T4" s="16" t="str">
        <x:v>Y19</x:v>
      </x:c>
      <x:c r="U4" s="16" t="str">
        <x:v>Y20</x:v>
      </x:c>
      <x:c r="V4" s="16" t="str">
        <x:v>Y21</x:v>
      </x:c>
      <x:c r="W4" s="16" t="str">
        <x:v>Y22</x:v>
      </x:c>
      <x:c r="X4" s="16" t="str">
        <x:v>Y23</x:v>
      </x:c>
      <x:c r="Y4" s="16" t="str">
        <x:v>Y24</x:v>
      </x:c>
      <x:c r="Z4" s="16" t="str">
        <x:v>Y25</x:v>
      </x:c>
    </x:row>
    <x:row r="5" ht="15" hidden="0" customHeight="1">
      <x:c r="A5" s="14" t="str">
        <x:v>C01</x:v>
      </x:c>
      <x:c r="B5" s="14" t="n">
        <x:f>IF(OR(1&lt;'Campaign Portfolio'!E5,1&gt;'Campaign Portfolio'!G5),0,0.2+0.8*(1-ABS(1-'Campaign Portfolio'!F5)/MAX('Campaign Portfolio'!F5-'Campaign Portfolio'!E5,'Campaign Portfolio'!G5-'Campaign Portfolio'!F5)))</x:f>
        <x:v>0.4285714285714286</x:v>
      </x:c>
      <x:c r="C5" s="14" t="n">
        <x:f>IF(OR(2&lt;'Campaign Portfolio'!E5,2&gt;'Campaign Portfolio'!G5),0,0.2+0.8*(1-ABS(2-'Campaign Portfolio'!F5)/MAX('Campaign Portfolio'!F5-'Campaign Portfolio'!E5,'Campaign Portfolio'!G5-'Campaign Portfolio'!F5)))</x:f>
        <x:v>0.5428571428571429</x:v>
      </x:c>
      <x:c r="D5" s="14" t="n">
        <x:f>IF(OR(3&lt;'Campaign Portfolio'!E5,3&gt;'Campaign Portfolio'!G5),0,0.2+0.8*(1-ABS(3-'Campaign Portfolio'!F5)/MAX('Campaign Portfolio'!F5-'Campaign Portfolio'!E5,'Campaign Portfolio'!G5-'Campaign Portfolio'!F5)))</x:f>
        <x:v>0.6571428571428571</x:v>
      </x:c>
      <x:c r="E5" s="14" t="n">
        <x:f>IF(OR(4&lt;'Campaign Portfolio'!E5,4&gt;'Campaign Portfolio'!G5),0,0.2+0.8*(1-ABS(4-'Campaign Portfolio'!F5)/MAX('Campaign Portfolio'!F5-'Campaign Portfolio'!E5,'Campaign Portfolio'!G5-'Campaign Portfolio'!F5)))</x:f>
        <x:v>0.7714285714285716</x:v>
      </x:c>
      <x:c r="F5" s="14" t="n">
        <x:f>IF(OR(5&lt;'Campaign Portfolio'!E5,5&gt;'Campaign Portfolio'!G5),0,0.2+0.8*(1-ABS(5-'Campaign Portfolio'!F5)/MAX('Campaign Portfolio'!F5-'Campaign Portfolio'!E5,'Campaign Portfolio'!G5-'Campaign Portfolio'!F5)))</x:f>
        <x:v>0.8857142857142859</x:v>
      </x:c>
      <x:c r="G5" s="14" t="n">
        <x:f>IF(OR(6&lt;'Campaign Portfolio'!E5,6&gt;'Campaign Portfolio'!G5),0,0.2+0.8*(1-ABS(6-'Campaign Portfolio'!F5)/MAX('Campaign Portfolio'!F5-'Campaign Portfolio'!E5,'Campaign Portfolio'!G5-'Campaign Portfolio'!F5)))</x:f>
        <x:v>1</x:v>
      </x:c>
      <x:c r="H5" s="14" t="n">
        <x:f>IF(OR(7&lt;'Campaign Portfolio'!E5,7&gt;'Campaign Portfolio'!G5),0,0.2+0.8*(1-ABS(7-'Campaign Portfolio'!F5)/MAX('Campaign Portfolio'!F5-'Campaign Portfolio'!E5,'Campaign Portfolio'!G5-'Campaign Portfolio'!F5)))</x:f>
        <x:v>0.8857142857142859</x:v>
      </x:c>
      <x:c r="I5" s="14" t="n">
        <x:f>IF(OR(8&lt;'Campaign Portfolio'!E5,8&gt;'Campaign Portfolio'!G5),0,0.2+0.8*(1-ABS(8-'Campaign Portfolio'!F5)/MAX('Campaign Portfolio'!F5-'Campaign Portfolio'!E5,'Campaign Portfolio'!G5-'Campaign Portfolio'!F5)))</x:f>
        <x:v>0.7714285714285716</x:v>
      </x:c>
      <x:c r="J5" s="14" t="n">
        <x:f>IF(OR(9&lt;'Campaign Portfolio'!E5,9&gt;'Campaign Portfolio'!G5),0,0.2+0.8*(1-ABS(9-'Campaign Portfolio'!F5)/MAX('Campaign Portfolio'!F5-'Campaign Portfolio'!E5,'Campaign Portfolio'!G5-'Campaign Portfolio'!F5)))</x:f>
        <x:v>0.6571428571428571</x:v>
      </x:c>
      <x:c r="K5" s="14" t="n">
        <x:f>IF(OR(10&lt;'Campaign Portfolio'!E5,10&gt;'Campaign Portfolio'!G5),0,0.2+0.8*(1-ABS(10-'Campaign Portfolio'!F5)/MAX('Campaign Portfolio'!F5-'Campaign Portfolio'!E5,'Campaign Portfolio'!G5-'Campaign Portfolio'!F5)))</x:f>
        <x:v>0.5428571428571429</x:v>
      </x:c>
      <x:c r="L5" s="14" t="n">
        <x:f>IF(OR(11&lt;'Campaign Portfolio'!E5,11&gt;'Campaign Portfolio'!G5),0,0.2+0.8*(1-ABS(11-'Campaign Portfolio'!F5)/MAX('Campaign Portfolio'!F5-'Campaign Portfolio'!E5,'Campaign Portfolio'!G5-'Campaign Portfolio'!F5)))</x:f>
        <x:v>0.4285714285714286</x:v>
      </x:c>
      <x:c r="M5" s="14" t="n">
        <x:f>IF(OR(12&lt;'Campaign Portfolio'!E5,12&gt;'Campaign Portfolio'!G5),0,0.2+0.8*(1-ABS(12-'Campaign Portfolio'!F5)/MAX('Campaign Portfolio'!F5-'Campaign Portfolio'!E5,'Campaign Portfolio'!G5-'Campaign Portfolio'!F5)))</x:f>
        <x:v>0.31428571428571433</x:v>
      </x:c>
      <x:c r="N5" s="14" t="n">
        <x:f>IF(OR(13&lt;'Campaign Portfolio'!E5,13&gt;'Campaign Portfolio'!G5),0,0.2+0.8*(1-ABS(13-'Campaign Portfolio'!F5)/MAX('Campaign Portfolio'!F5-'Campaign Portfolio'!E5,'Campaign Portfolio'!G5-'Campaign Portfolio'!F5)))</x:f>
        <x:v>0.2</x:v>
      </x:c>
      <x:c r="O5" s="14" t="n">
        <x:f>IF(OR(14&lt;'Campaign Portfolio'!E5,14&gt;'Campaign Portfolio'!G5),0,0.2+0.8*(1-ABS(14-'Campaign Portfolio'!F5)/MAX('Campaign Portfolio'!F5-'Campaign Portfolio'!E5,'Campaign Portfolio'!G5-'Campaign Portfolio'!F5)))</x:f>
        <x:v>0</x:v>
      </x:c>
      <x:c r="P5" s="14" t="n">
        <x:f>IF(OR(15&lt;'Campaign Portfolio'!E5,15&gt;'Campaign Portfolio'!G5),0,0.2+0.8*(1-ABS(15-'Campaign Portfolio'!F5)/MAX('Campaign Portfolio'!F5-'Campaign Portfolio'!E5,'Campaign Portfolio'!G5-'Campaign Portfolio'!F5)))</x:f>
        <x:v>0</x:v>
      </x:c>
      <x:c r="Q5" s="14" t="n">
        <x:f>IF(OR(16&lt;'Campaign Portfolio'!E5,16&gt;'Campaign Portfolio'!G5),0,0.2+0.8*(1-ABS(16-'Campaign Portfolio'!F5)/MAX('Campaign Portfolio'!F5-'Campaign Portfolio'!E5,'Campaign Portfolio'!G5-'Campaign Portfolio'!F5)))</x:f>
        <x:v>0</x:v>
      </x:c>
      <x:c r="R5" s="14" t="n">
        <x:f>IF(OR(17&lt;'Campaign Portfolio'!E5,17&gt;'Campaign Portfolio'!G5),0,0.2+0.8*(1-ABS(17-'Campaign Portfolio'!F5)/MAX('Campaign Portfolio'!F5-'Campaign Portfolio'!E5,'Campaign Portfolio'!G5-'Campaign Portfolio'!F5)))</x:f>
        <x:v>0</x:v>
      </x:c>
      <x:c r="S5" s="14" t="n">
        <x:f>IF(OR(18&lt;'Campaign Portfolio'!E5,18&gt;'Campaign Portfolio'!G5),0,0.2+0.8*(1-ABS(18-'Campaign Portfolio'!F5)/MAX('Campaign Portfolio'!F5-'Campaign Portfolio'!E5,'Campaign Portfolio'!G5-'Campaign Portfolio'!F5)))</x:f>
        <x:v>0</x:v>
      </x:c>
      <x:c r="T5" s="14" t="n">
        <x:f>IF(OR(19&lt;'Campaign Portfolio'!E5,19&gt;'Campaign Portfolio'!G5),0,0.2+0.8*(1-ABS(19-'Campaign Portfolio'!F5)/MAX('Campaign Portfolio'!F5-'Campaign Portfolio'!E5,'Campaign Portfolio'!G5-'Campaign Portfolio'!F5)))</x:f>
        <x:v>0</x:v>
      </x:c>
      <x:c r="U5" s="14" t="n">
        <x:f>IF(OR(20&lt;'Campaign Portfolio'!E5,20&gt;'Campaign Portfolio'!G5),0,0.2+0.8*(1-ABS(20-'Campaign Portfolio'!F5)/MAX('Campaign Portfolio'!F5-'Campaign Portfolio'!E5,'Campaign Portfolio'!G5-'Campaign Portfolio'!F5)))</x:f>
        <x:v>0</x:v>
      </x:c>
      <x:c r="V5" s="14" t="n">
        <x:f>IF(OR(21&lt;'Campaign Portfolio'!E5,21&gt;'Campaign Portfolio'!G5),0,0.2+0.8*(1-ABS(21-'Campaign Portfolio'!F5)/MAX('Campaign Portfolio'!F5-'Campaign Portfolio'!E5,'Campaign Portfolio'!G5-'Campaign Portfolio'!F5)))</x:f>
        <x:v>0</x:v>
      </x:c>
      <x:c r="W5" s="14" t="n">
        <x:f>IF(OR(22&lt;'Campaign Portfolio'!E5,22&gt;'Campaign Portfolio'!G5),0,0.2+0.8*(1-ABS(22-'Campaign Portfolio'!F5)/MAX('Campaign Portfolio'!F5-'Campaign Portfolio'!E5,'Campaign Portfolio'!G5-'Campaign Portfolio'!F5)))</x:f>
        <x:v>0</x:v>
      </x:c>
      <x:c r="X5" s="14" t="n">
        <x:f>IF(OR(23&lt;'Campaign Portfolio'!E5,23&gt;'Campaign Portfolio'!G5),0,0.2+0.8*(1-ABS(23-'Campaign Portfolio'!F5)/MAX('Campaign Portfolio'!F5-'Campaign Portfolio'!E5,'Campaign Portfolio'!G5-'Campaign Portfolio'!F5)))</x:f>
        <x:v>0</x:v>
      </x:c>
      <x:c r="Y5" s="14" t="n">
        <x:f>IF(OR(24&lt;'Campaign Portfolio'!E5,24&gt;'Campaign Portfolio'!G5),0,0.2+0.8*(1-ABS(24-'Campaign Portfolio'!F5)/MAX('Campaign Portfolio'!F5-'Campaign Portfolio'!E5,'Campaign Portfolio'!G5-'Campaign Portfolio'!F5)))</x:f>
        <x:v>0</x:v>
      </x:c>
      <x:c r="Z5" s="14" t="n">
        <x:f>IF(OR(25&lt;'Campaign Portfolio'!E5,25&gt;'Campaign Portfolio'!G5),0,0.2+0.8*(1-ABS(25-'Campaign Portfolio'!F5)/MAX('Campaign Portfolio'!F5-'Campaign Portfolio'!E5,'Campaign Portfolio'!G5-'Campaign Portfolio'!F5)))</x:f>
        <x:v>0</x:v>
      </x:c>
    </x:row>
    <x:row r="6" ht="15" hidden="0" customHeight="1">
      <x:c r="A6" s="14" t="str">
        <x:v>C02</x:v>
      </x:c>
      <x:c r="B6" s="14" t="n">
        <x:f>IF(OR(1&lt;'Campaign Portfolio'!E6,1&gt;'Campaign Portfolio'!G6),0,0.2+0.8*(1-ABS(1-'Campaign Portfolio'!F6)/MAX('Campaign Portfolio'!F6-'Campaign Portfolio'!E6,'Campaign Portfolio'!G6-'Campaign Portfolio'!F6)))</x:f>
        <x:v>0.30000000000000004</x:v>
      </x:c>
      <x:c r="C6" s="14" t="n">
        <x:f>IF(OR(2&lt;'Campaign Portfolio'!E6,2&gt;'Campaign Portfolio'!G6),0,0.2+0.8*(1-ABS(2-'Campaign Portfolio'!F6)/MAX('Campaign Portfolio'!F6-'Campaign Portfolio'!E6,'Campaign Portfolio'!G6-'Campaign Portfolio'!F6)))</x:f>
        <x:v>0.4</x:v>
      </x:c>
      <x:c r="D6" s="14" t="n">
        <x:f>IF(OR(3&lt;'Campaign Portfolio'!E6,3&gt;'Campaign Portfolio'!G6),0,0.2+0.8*(1-ABS(3-'Campaign Portfolio'!F6)/MAX('Campaign Portfolio'!F6-'Campaign Portfolio'!E6,'Campaign Portfolio'!G6-'Campaign Portfolio'!F6)))</x:f>
        <x:v>0.5</x:v>
      </x:c>
      <x:c r="E6" s="14" t="n">
        <x:f>IF(OR(4&lt;'Campaign Portfolio'!E6,4&gt;'Campaign Portfolio'!G6),0,0.2+0.8*(1-ABS(4-'Campaign Portfolio'!F6)/MAX('Campaign Portfolio'!F6-'Campaign Portfolio'!E6,'Campaign Portfolio'!G6-'Campaign Portfolio'!F6)))</x:f>
        <x:v>0.6000000000000001</x:v>
      </x:c>
      <x:c r="F6" s="14" t="n">
        <x:f>IF(OR(5&lt;'Campaign Portfolio'!E6,5&gt;'Campaign Portfolio'!G6),0,0.2+0.8*(1-ABS(5-'Campaign Portfolio'!F6)/MAX('Campaign Portfolio'!F6-'Campaign Portfolio'!E6,'Campaign Portfolio'!G6-'Campaign Portfolio'!F6)))</x:f>
        <x:v>0.7</x:v>
      </x:c>
      <x:c r="G6" s="14" t="n">
        <x:f>IF(OR(6&lt;'Campaign Portfolio'!E6,6&gt;'Campaign Portfolio'!G6),0,0.2+0.8*(1-ABS(6-'Campaign Portfolio'!F6)/MAX('Campaign Portfolio'!F6-'Campaign Portfolio'!E6,'Campaign Portfolio'!G6-'Campaign Portfolio'!F6)))</x:f>
        <x:v>0.8</x:v>
      </x:c>
      <x:c r="H6" s="14" t="n">
        <x:f>IF(OR(7&lt;'Campaign Portfolio'!E6,7&gt;'Campaign Portfolio'!G6),0,0.2+0.8*(1-ABS(7-'Campaign Portfolio'!F6)/MAX('Campaign Portfolio'!F6-'Campaign Portfolio'!E6,'Campaign Portfolio'!G6-'Campaign Portfolio'!F6)))</x:f>
        <x:v>0.9000000000000001</x:v>
      </x:c>
      <x:c r="I6" s="14" t="n">
        <x:f>IF(OR(8&lt;'Campaign Portfolio'!E6,8&gt;'Campaign Portfolio'!G6),0,0.2+0.8*(1-ABS(8-'Campaign Portfolio'!F6)/MAX('Campaign Portfolio'!F6-'Campaign Portfolio'!E6,'Campaign Portfolio'!G6-'Campaign Portfolio'!F6)))</x:f>
        <x:v>1</x:v>
      </x:c>
      <x:c r="J6" s="14" t="n">
        <x:f>IF(OR(9&lt;'Campaign Portfolio'!E6,9&gt;'Campaign Portfolio'!G6),0,0.2+0.8*(1-ABS(9-'Campaign Portfolio'!F6)/MAX('Campaign Portfolio'!F6-'Campaign Portfolio'!E6,'Campaign Portfolio'!G6-'Campaign Portfolio'!F6)))</x:f>
        <x:v>0.9000000000000001</x:v>
      </x:c>
      <x:c r="K6" s="14" t="n">
        <x:f>IF(OR(10&lt;'Campaign Portfolio'!E6,10&gt;'Campaign Portfolio'!G6),0,0.2+0.8*(1-ABS(10-'Campaign Portfolio'!F6)/MAX('Campaign Portfolio'!F6-'Campaign Portfolio'!E6,'Campaign Portfolio'!G6-'Campaign Portfolio'!F6)))</x:f>
        <x:v>0.8</x:v>
      </x:c>
      <x:c r="L6" s="14" t="n">
        <x:f>IF(OR(11&lt;'Campaign Portfolio'!E6,11&gt;'Campaign Portfolio'!G6),0,0.2+0.8*(1-ABS(11-'Campaign Portfolio'!F6)/MAX('Campaign Portfolio'!F6-'Campaign Portfolio'!E6,'Campaign Portfolio'!G6-'Campaign Portfolio'!F6)))</x:f>
        <x:v>0.7</x:v>
      </x:c>
      <x:c r="M6" s="14" t="n">
        <x:f>IF(OR(12&lt;'Campaign Portfolio'!E6,12&gt;'Campaign Portfolio'!G6),0,0.2+0.8*(1-ABS(12-'Campaign Portfolio'!F6)/MAX('Campaign Portfolio'!F6-'Campaign Portfolio'!E6,'Campaign Portfolio'!G6-'Campaign Portfolio'!F6)))</x:f>
        <x:v>0.6000000000000001</x:v>
      </x:c>
      <x:c r="N6" s="14" t="n">
        <x:f>IF(OR(13&lt;'Campaign Portfolio'!E6,13&gt;'Campaign Portfolio'!G6),0,0.2+0.8*(1-ABS(13-'Campaign Portfolio'!F6)/MAX('Campaign Portfolio'!F6-'Campaign Portfolio'!E6,'Campaign Portfolio'!G6-'Campaign Portfolio'!F6)))</x:f>
        <x:v>0.5</x:v>
      </x:c>
      <x:c r="O6" s="14" t="n">
        <x:f>IF(OR(14&lt;'Campaign Portfolio'!E6,14&gt;'Campaign Portfolio'!G6),0,0.2+0.8*(1-ABS(14-'Campaign Portfolio'!F6)/MAX('Campaign Portfolio'!F6-'Campaign Portfolio'!E6,'Campaign Portfolio'!G6-'Campaign Portfolio'!F6)))</x:f>
        <x:v>0.4</x:v>
      </x:c>
      <x:c r="P6" s="14" t="n">
        <x:f>IF(OR(15&lt;'Campaign Portfolio'!E6,15&gt;'Campaign Portfolio'!G6),0,0.2+0.8*(1-ABS(15-'Campaign Portfolio'!F6)/MAX('Campaign Portfolio'!F6-'Campaign Portfolio'!E6,'Campaign Portfolio'!G6-'Campaign Portfolio'!F6)))</x:f>
        <x:v>0.30000000000000004</x:v>
      </x:c>
      <x:c r="Q6" s="14" t="n">
        <x:f>IF(OR(16&lt;'Campaign Portfolio'!E6,16&gt;'Campaign Portfolio'!G6),0,0.2+0.8*(1-ABS(16-'Campaign Portfolio'!F6)/MAX('Campaign Portfolio'!F6-'Campaign Portfolio'!E6,'Campaign Portfolio'!G6-'Campaign Portfolio'!F6)))</x:f>
        <x:v>0.2</x:v>
      </x:c>
      <x:c r="R6" s="14" t="n">
        <x:f>IF(OR(17&lt;'Campaign Portfolio'!E6,17&gt;'Campaign Portfolio'!G6),0,0.2+0.8*(1-ABS(17-'Campaign Portfolio'!F6)/MAX('Campaign Portfolio'!F6-'Campaign Portfolio'!E6,'Campaign Portfolio'!G6-'Campaign Portfolio'!F6)))</x:f>
        <x:v>0</x:v>
      </x:c>
      <x:c r="S6" s="14" t="n">
        <x:f>IF(OR(18&lt;'Campaign Portfolio'!E6,18&gt;'Campaign Portfolio'!G6),0,0.2+0.8*(1-ABS(18-'Campaign Portfolio'!F6)/MAX('Campaign Portfolio'!F6-'Campaign Portfolio'!E6,'Campaign Portfolio'!G6-'Campaign Portfolio'!F6)))</x:f>
        <x:v>0</x:v>
      </x:c>
      <x:c r="T6" s="14" t="n">
        <x:f>IF(OR(19&lt;'Campaign Portfolio'!E6,19&gt;'Campaign Portfolio'!G6),0,0.2+0.8*(1-ABS(19-'Campaign Portfolio'!F6)/MAX('Campaign Portfolio'!F6-'Campaign Portfolio'!E6,'Campaign Portfolio'!G6-'Campaign Portfolio'!F6)))</x:f>
        <x:v>0</x:v>
      </x:c>
      <x:c r="U6" s="14" t="n">
        <x:f>IF(OR(20&lt;'Campaign Portfolio'!E6,20&gt;'Campaign Portfolio'!G6),0,0.2+0.8*(1-ABS(20-'Campaign Portfolio'!F6)/MAX('Campaign Portfolio'!F6-'Campaign Portfolio'!E6,'Campaign Portfolio'!G6-'Campaign Portfolio'!F6)))</x:f>
        <x:v>0</x:v>
      </x:c>
      <x:c r="V6" s="14" t="n">
        <x:f>IF(OR(21&lt;'Campaign Portfolio'!E6,21&gt;'Campaign Portfolio'!G6),0,0.2+0.8*(1-ABS(21-'Campaign Portfolio'!F6)/MAX('Campaign Portfolio'!F6-'Campaign Portfolio'!E6,'Campaign Portfolio'!G6-'Campaign Portfolio'!F6)))</x:f>
        <x:v>0</x:v>
      </x:c>
      <x:c r="W6" s="14" t="n">
        <x:f>IF(OR(22&lt;'Campaign Portfolio'!E6,22&gt;'Campaign Portfolio'!G6),0,0.2+0.8*(1-ABS(22-'Campaign Portfolio'!F6)/MAX('Campaign Portfolio'!F6-'Campaign Portfolio'!E6,'Campaign Portfolio'!G6-'Campaign Portfolio'!F6)))</x:f>
        <x:v>0</x:v>
      </x:c>
      <x:c r="X6" s="14" t="n">
        <x:f>IF(OR(23&lt;'Campaign Portfolio'!E6,23&gt;'Campaign Portfolio'!G6),0,0.2+0.8*(1-ABS(23-'Campaign Portfolio'!F6)/MAX('Campaign Portfolio'!F6-'Campaign Portfolio'!E6,'Campaign Portfolio'!G6-'Campaign Portfolio'!F6)))</x:f>
        <x:v>0</x:v>
      </x:c>
      <x:c r="Y6" s="14" t="n">
        <x:f>IF(OR(24&lt;'Campaign Portfolio'!E6,24&gt;'Campaign Portfolio'!G6),0,0.2+0.8*(1-ABS(24-'Campaign Portfolio'!F6)/MAX('Campaign Portfolio'!F6-'Campaign Portfolio'!E6,'Campaign Portfolio'!G6-'Campaign Portfolio'!F6)))</x:f>
        <x:v>0</x:v>
      </x:c>
      <x:c r="Z6" s="14" t="n">
        <x:f>IF(OR(25&lt;'Campaign Portfolio'!E6,25&gt;'Campaign Portfolio'!G6),0,0.2+0.8*(1-ABS(25-'Campaign Portfolio'!F6)/MAX('Campaign Portfolio'!F6-'Campaign Portfolio'!E6,'Campaign Portfolio'!G6-'Campaign Portfolio'!F6)))</x:f>
        <x:v>0</x:v>
      </x:c>
    </x:row>
    <x:row r="7" ht="15" hidden="0" customHeight="1">
      <x:c r="A7" s="14" t="str">
        <x:v>C03</x:v>
      </x:c>
      <x:c r="B7" s="14" t="n">
        <x:f>IF(OR(1&lt;'Campaign Portfolio'!E7,1&gt;'Campaign Portfolio'!G7),0,0.2+0.8*(1-ABS(1-'Campaign Portfolio'!F7)/MAX('Campaign Portfolio'!F7-'Campaign Portfolio'!E7,'Campaign Portfolio'!G7-'Campaign Portfolio'!F7)))</x:f>
        <x:v>0.2</x:v>
      </x:c>
      <x:c r="C7" s="14" t="n">
        <x:f>IF(OR(2&lt;'Campaign Portfolio'!E7,2&gt;'Campaign Portfolio'!G7),0,0.2+0.8*(1-ABS(2-'Campaign Portfolio'!F7)/MAX('Campaign Portfolio'!F7-'Campaign Portfolio'!E7,'Campaign Portfolio'!G7-'Campaign Portfolio'!F7)))</x:f>
        <x:v>0.30000000000000004</x:v>
      </x:c>
      <x:c r="D7" s="14" t="n">
        <x:f>IF(OR(3&lt;'Campaign Portfolio'!E7,3&gt;'Campaign Portfolio'!G7),0,0.2+0.8*(1-ABS(3-'Campaign Portfolio'!F7)/MAX('Campaign Portfolio'!F7-'Campaign Portfolio'!E7,'Campaign Portfolio'!G7-'Campaign Portfolio'!F7)))</x:f>
        <x:v>0.4</x:v>
      </x:c>
      <x:c r="E7" s="14" t="n">
        <x:f>IF(OR(4&lt;'Campaign Portfolio'!E7,4&gt;'Campaign Portfolio'!G7),0,0.2+0.8*(1-ABS(4-'Campaign Portfolio'!F7)/MAX('Campaign Portfolio'!F7-'Campaign Portfolio'!E7,'Campaign Portfolio'!G7-'Campaign Portfolio'!F7)))</x:f>
        <x:v>0.5</x:v>
      </x:c>
      <x:c r="F7" s="14" t="n">
        <x:f>IF(OR(5&lt;'Campaign Portfolio'!E7,5&gt;'Campaign Portfolio'!G7),0,0.2+0.8*(1-ABS(5-'Campaign Portfolio'!F7)/MAX('Campaign Portfolio'!F7-'Campaign Portfolio'!E7,'Campaign Portfolio'!G7-'Campaign Portfolio'!F7)))</x:f>
        <x:v>0.6000000000000001</x:v>
      </x:c>
      <x:c r="G7" s="14" t="n">
        <x:f>IF(OR(6&lt;'Campaign Portfolio'!E7,6&gt;'Campaign Portfolio'!G7),0,0.2+0.8*(1-ABS(6-'Campaign Portfolio'!F7)/MAX('Campaign Portfolio'!F7-'Campaign Portfolio'!E7,'Campaign Portfolio'!G7-'Campaign Portfolio'!F7)))</x:f>
        <x:v>0.7</x:v>
      </x:c>
      <x:c r="H7" s="14" t="n">
        <x:f>IF(OR(7&lt;'Campaign Portfolio'!E7,7&gt;'Campaign Portfolio'!G7),0,0.2+0.8*(1-ABS(7-'Campaign Portfolio'!F7)/MAX('Campaign Portfolio'!F7-'Campaign Portfolio'!E7,'Campaign Portfolio'!G7-'Campaign Portfolio'!F7)))</x:f>
        <x:v>0.8</x:v>
      </x:c>
      <x:c r="I7" s="14" t="n">
        <x:f>IF(OR(8&lt;'Campaign Portfolio'!E7,8&gt;'Campaign Portfolio'!G7),0,0.2+0.8*(1-ABS(8-'Campaign Portfolio'!F7)/MAX('Campaign Portfolio'!F7-'Campaign Portfolio'!E7,'Campaign Portfolio'!G7-'Campaign Portfolio'!F7)))</x:f>
        <x:v>0.9000000000000001</x:v>
      </x:c>
      <x:c r="J7" s="14" t="n">
        <x:f>IF(OR(9&lt;'Campaign Portfolio'!E7,9&gt;'Campaign Portfolio'!G7),0,0.2+0.8*(1-ABS(9-'Campaign Portfolio'!F7)/MAX('Campaign Portfolio'!F7-'Campaign Portfolio'!E7,'Campaign Portfolio'!G7-'Campaign Portfolio'!F7)))</x:f>
        <x:v>1</x:v>
      </x:c>
      <x:c r="K7" s="14" t="n">
        <x:f>IF(OR(10&lt;'Campaign Portfolio'!E7,10&gt;'Campaign Portfolio'!G7),0,0.2+0.8*(1-ABS(10-'Campaign Portfolio'!F7)/MAX('Campaign Portfolio'!F7-'Campaign Portfolio'!E7,'Campaign Portfolio'!G7-'Campaign Portfolio'!F7)))</x:f>
        <x:v>0.9000000000000001</x:v>
      </x:c>
      <x:c r="L7" s="14" t="n">
        <x:f>IF(OR(11&lt;'Campaign Portfolio'!E7,11&gt;'Campaign Portfolio'!G7),0,0.2+0.8*(1-ABS(11-'Campaign Portfolio'!F7)/MAX('Campaign Portfolio'!F7-'Campaign Portfolio'!E7,'Campaign Portfolio'!G7-'Campaign Portfolio'!F7)))</x:f>
        <x:v>0.8</x:v>
      </x:c>
      <x:c r="M7" s="14" t="n">
        <x:f>IF(OR(12&lt;'Campaign Portfolio'!E7,12&gt;'Campaign Portfolio'!G7),0,0.2+0.8*(1-ABS(12-'Campaign Portfolio'!F7)/MAX('Campaign Portfolio'!F7-'Campaign Portfolio'!E7,'Campaign Portfolio'!G7-'Campaign Portfolio'!F7)))</x:f>
        <x:v>0.7</x:v>
      </x:c>
      <x:c r="N7" s="14" t="n">
        <x:f>IF(OR(13&lt;'Campaign Portfolio'!E7,13&gt;'Campaign Portfolio'!G7),0,0.2+0.8*(1-ABS(13-'Campaign Portfolio'!F7)/MAX('Campaign Portfolio'!F7-'Campaign Portfolio'!E7,'Campaign Portfolio'!G7-'Campaign Portfolio'!F7)))</x:f>
        <x:v>0.6000000000000001</x:v>
      </x:c>
      <x:c r="O7" s="14" t="n">
        <x:f>IF(OR(14&lt;'Campaign Portfolio'!E7,14&gt;'Campaign Portfolio'!G7),0,0.2+0.8*(1-ABS(14-'Campaign Portfolio'!F7)/MAX('Campaign Portfolio'!F7-'Campaign Portfolio'!E7,'Campaign Portfolio'!G7-'Campaign Portfolio'!F7)))</x:f>
        <x:v>0.5</x:v>
      </x:c>
      <x:c r="P7" s="14" t="n">
        <x:f>IF(OR(15&lt;'Campaign Portfolio'!E7,15&gt;'Campaign Portfolio'!G7),0,0.2+0.8*(1-ABS(15-'Campaign Portfolio'!F7)/MAX('Campaign Portfolio'!F7-'Campaign Portfolio'!E7,'Campaign Portfolio'!G7-'Campaign Portfolio'!F7)))</x:f>
        <x:v>0.4</x:v>
      </x:c>
      <x:c r="Q7" s="14" t="n">
        <x:f>IF(OR(16&lt;'Campaign Portfolio'!E7,16&gt;'Campaign Portfolio'!G7),0,0.2+0.8*(1-ABS(16-'Campaign Portfolio'!F7)/MAX('Campaign Portfolio'!F7-'Campaign Portfolio'!E7,'Campaign Portfolio'!G7-'Campaign Portfolio'!F7)))</x:f>
        <x:v>0.30000000000000004</x:v>
      </x:c>
      <x:c r="R7" s="14" t="n">
        <x:f>IF(OR(17&lt;'Campaign Portfolio'!E7,17&gt;'Campaign Portfolio'!G7),0,0.2+0.8*(1-ABS(17-'Campaign Portfolio'!F7)/MAX('Campaign Portfolio'!F7-'Campaign Portfolio'!E7,'Campaign Portfolio'!G7-'Campaign Portfolio'!F7)))</x:f>
        <x:v>0.2</x:v>
      </x:c>
      <x:c r="S7" s="14" t="n">
        <x:f>IF(OR(18&lt;'Campaign Portfolio'!E7,18&gt;'Campaign Portfolio'!G7),0,0.2+0.8*(1-ABS(18-'Campaign Portfolio'!F7)/MAX('Campaign Portfolio'!F7-'Campaign Portfolio'!E7,'Campaign Portfolio'!G7-'Campaign Portfolio'!F7)))</x:f>
        <x:v>0</x:v>
      </x:c>
      <x:c r="T7" s="14" t="n">
        <x:f>IF(OR(19&lt;'Campaign Portfolio'!E7,19&gt;'Campaign Portfolio'!G7),0,0.2+0.8*(1-ABS(19-'Campaign Portfolio'!F7)/MAX('Campaign Portfolio'!F7-'Campaign Portfolio'!E7,'Campaign Portfolio'!G7-'Campaign Portfolio'!F7)))</x:f>
        <x:v>0</x:v>
      </x:c>
      <x:c r="U7" s="14" t="n">
        <x:f>IF(OR(20&lt;'Campaign Portfolio'!E7,20&gt;'Campaign Portfolio'!G7),0,0.2+0.8*(1-ABS(20-'Campaign Portfolio'!F7)/MAX('Campaign Portfolio'!F7-'Campaign Portfolio'!E7,'Campaign Portfolio'!G7-'Campaign Portfolio'!F7)))</x:f>
        <x:v>0</x:v>
      </x:c>
      <x:c r="V7" s="14" t="n">
        <x:f>IF(OR(21&lt;'Campaign Portfolio'!E7,21&gt;'Campaign Portfolio'!G7),0,0.2+0.8*(1-ABS(21-'Campaign Portfolio'!F7)/MAX('Campaign Portfolio'!F7-'Campaign Portfolio'!E7,'Campaign Portfolio'!G7-'Campaign Portfolio'!F7)))</x:f>
        <x:v>0</x:v>
      </x:c>
      <x:c r="W7" s="14" t="n">
        <x:f>IF(OR(22&lt;'Campaign Portfolio'!E7,22&gt;'Campaign Portfolio'!G7),0,0.2+0.8*(1-ABS(22-'Campaign Portfolio'!F7)/MAX('Campaign Portfolio'!F7-'Campaign Portfolio'!E7,'Campaign Portfolio'!G7-'Campaign Portfolio'!F7)))</x:f>
        <x:v>0</x:v>
      </x:c>
      <x:c r="X7" s="14" t="n">
        <x:f>IF(OR(23&lt;'Campaign Portfolio'!E7,23&gt;'Campaign Portfolio'!G7),0,0.2+0.8*(1-ABS(23-'Campaign Portfolio'!F7)/MAX('Campaign Portfolio'!F7-'Campaign Portfolio'!E7,'Campaign Portfolio'!G7-'Campaign Portfolio'!F7)))</x:f>
        <x:v>0</x:v>
      </x:c>
      <x:c r="Y7" s="14" t="n">
        <x:f>IF(OR(24&lt;'Campaign Portfolio'!E7,24&gt;'Campaign Portfolio'!G7),0,0.2+0.8*(1-ABS(24-'Campaign Portfolio'!F7)/MAX('Campaign Portfolio'!F7-'Campaign Portfolio'!E7,'Campaign Portfolio'!G7-'Campaign Portfolio'!F7)))</x:f>
        <x:v>0</x:v>
      </x:c>
      <x:c r="Z7" s="14" t="n">
        <x:f>IF(OR(25&lt;'Campaign Portfolio'!E7,25&gt;'Campaign Portfolio'!G7),0,0.2+0.8*(1-ABS(25-'Campaign Portfolio'!F7)/MAX('Campaign Portfolio'!F7-'Campaign Portfolio'!E7,'Campaign Portfolio'!G7-'Campaign Portfolio'!F7)))</x:f>
        <x:v>0</x:v>
      </x:c>
    </x:row>
    <x:row r="8" ht="15" hidden="0" customHeight="1">
      <x:c r="A8" s="14" t="str">
        <x:v>C04</x:v>
      </x:c>
      <x:c r="B8" s="14" t="n">
        <x:f>IF(OR(1&lt;'Campaign Portfolio'!E8,1&gt;'Campaign Portfolio'!G8),0,0.2+0.8*(1-ABS(1-'Campaign Portfolio'!F8)/MAX('Campaign Portfolio'!F8-'Campaign Portfolio'!E8,'Campaign Portfolio'!G8-'Campaign Portfolio'!F8)))</x:f>
        <x:v>0.288888888888889</x:v>
      </x:c>
      <x:c r="C8" s="14" t="n">
        <x:f>IF(OR(2&lt;'Campaign Portfolio'!E8,2&gt;'Campaign Portfolio'!G8),0,0.2+0.8*(1-ABS(2-'Campaign Portfolio'!F8)/MAX('Campaign Portfolio'!F8-'Campaign Portfolio'!E8,'Campaign Portfolio'!G8-'Campaign Portfolio'!F8)))</x:f>
        <x:v>0.37777777777777777</x:v>
      </x:c>
      <x:c r="D8" s="14" t="n">
        <x:f>IF(OR(3&lt;'Campaign Portfolio'!E8,3&gt;'Campaign Portfolio'!G8),0,0.2+0.8*(1-ABS(3-'Campaign Portfolio'!F8)/MAX('Campaign Portfolio'!F8-'Campaign Portfolio'!E8,'Campaign Portfolio'!G8-'Campaign Portfolio'!F8)))</x:f>
        <x:v>0.46666666666666673</x:v>
      </x:c>
      <x:c r="E8" s="14" t="n">
        <x:f>IF(OR(4&lt;'Campaign Portfolio'!E8,4&gt;'Campaign Portfolio'!G8),0,0.2+0.8*(1-ABS(4-'Campaign Portfolio'!F8)/MAX('Campaign Portfolio'!F8-'Campaign Portfolio'!E8,'Campaign Portfolio'!G8-'Campaign Portfolio'!F8)))</x:f>
        <x:v>0.5555555555555556</x:v>
      </x:c>
      <x:c r="F8" s="14" t="n">
        <x:f>IF(OR(5&lt;'Campaign Portfolio'!E8,5&gt;'Campaign Portfolio'!G8),0,0.2+0.8*(1-ABS(5-'Campaign Portfolio'!F8)/MAX('Campaign Portfolio'!F8-'Campaign Portfolio'!E8,'Campaign Portfolio'!G8-'Campaign Portfolio'!F8)))</x:f>
        <x:v>0.6444444444444445</x:v>
      </x:c>
      <x:c r="G8" s="14" t="n">
        <x:f>IF(OR(6&lt;'Campaign Portfolio'!E8,6&gt;'Campaign Portfolio'!G8),0,0.2+0.8*(1-ABS(6-'Campaign Portfolio'!F8)/MAX('Campaign Portfolio'!F8-'Campaign Portfolio'!E8,'Campaign Portfolio'!G8-'Campaign Portfolio'!F8)))</x:f>
        <x:v>0.7333333333333334</x:v>
      </x:c>
      <x:c r="H8" s="14" t="n">
        <x:f>IF(OR(7&lt;'Campaign Portfolio'!E8,7&gt;'Campaign Portfolio'!G8),0,0.2+0.8*(1-ABS(7-'Campaign Portfolio'!F8)/MAX('Campaign Portfolio'!F8-'Campaign Portfolio'!E8,'Campaign Portfolio'!G8-'Campaign Portfolio'!F8)))</x:f>
        <x:v>0.8222222222222222</x:v>
      </x:c>
      <x:c r="I8" s="14" t="n">
        <x:f>IF(OR(8&lt;'Campaign Portfolio'!E8,8&gt;'Campaign Portfolio'!G8),0,0.2+0.8*(1-ABS(8-'Campaign Portfolio'!F8)/MAX('Campaign Portfolio'!F8-'Campaign Portfolio'!E8,'Campaign Portfolio'!G8-'Campaign Portfolio'!F8)))</x:f>
        <x:v>0.9111111111111112</x:v>
      </x:c>
      <x:c r="J8" s="14" t="n">
        <x:f>IF(OR(9&lt;'Campaign Portfolio'!E8,9&gt;'Campaign Portfolio'!G8),0,0.2+0.8*(1-ABS(9-'Campaign Portfolio'!F8)/MAX('Campaign Portfolio'!F8-'Campaign Portfolio'!E8,'Campaign Portfolio'!G8-'Campaign Portfolio'!F8)))</x:f>
        <x:v>1</x:v>
      </x:c>
      <x:c r="K8" s="14" t="n">
        <x:f>IF(OR(10&lt;'Campaign Portfolio'!E8,10&gt;'Campaign Portfolio'!G8),0,0.2+0.8*(1-ABS(10-'Campaign Portfolio'!F8)/MAX('Campaign Portfolio'!F8-'Campaign Portfolio'!E8,'Campaign Portfolio'!G8-'Campaign Portfolio'!F8)))</x:f>
        <x:v>0.9111111111111112</x:v>
      </x:c>
      <x:c r="L8" s="14" t="n">
        <x:f>IF(OR(11&lt;'Campaign Portfolio'!E8,11&gt;'Campaign Portfolio'!G8),0,0.2+0.8*(1-ABS(11-'Campaign Portfolio'!F8)/MAX('Campaign Portfolio'!F8-'Campaign Portfolio'!E8,'Campaign Portfolio'!G8-'Campaign Portfolio'!F8)))</x:f>
        <x:v>0.8222222222222222</x:v>
      </x:c>
      <x:c r="M8" s="14" t="n">
        <x:f>IF(OR(12&lt;'Campaign Portfolio'!E8,12&gt;'Campaign Portfolio'!G8),0,0.2+0.8*(1-ABS(12-'Campaign Portfolio'!F8)/MAX('Campaign Portfolio'!F8-'Campaign Portfolio'!E8,'Campaign Portfolio'!G8-'Campaign Portfolio'!F8)))</x:f>
        <x:v>0.7333333333333334</x:v>
      </x:c>
      <x:c r="N8" s="14" t="n">
        <x:f>IF(OR(13&lt;'Campaign Portfolio'!E8,13&gt;'Campaign Portfolio'!G8),0,0.2+0.8*(1-ABS(13-'Campaign Portfolio'!F8)/MAX('Campaign Portfolio'!F8-'Campaign Portfolio'!E8,'Campaign Portfolio'!G8-'Campaign Portfolio'!F8)))</x:f>
        <x:v>0.6444444444444445</x:v>
      </x:c>
      <x:c r="O8" s="14" t="n">
        <x:f>IF(OR(14&lt;'Campaign Portfolio'!E8,14&gt;'Campaign Portfolio'!G8),0,0.2+0.8*(1-ABS(14-'Campaign Portfolio'!F8)/MAX('Campaign Portfolio'!F8-'Campaign Portfolio'!E8,'Campaign Portfolio'!G8-'Campaign Portfolio'!F8)))</x:f>
        <x:v>0.5555555555555556</x:v>
      </x:c>
      <x:c r="P8" s="14" t="n">
        <x:f>IF(OR(15&lt;'Campaign Portfolio'!E8,15&gt;'Campaign Portfolio'!G8),0,0.2+0.8*(1-ABS(15-'Campaign Portfolio'!F8)/MAX('Campaign Portfolio'!F8-'Campaign Portfolio'!E8,'Campaign Portfolio'!G8-'Campaign Portfolio'!F8)))</x:f>
        <x:v>0.46666666666666673</x:v>
      </x:c>
      <x:c r="Q8" s="14" t="n">
        <x:f>IF(OR(16&lt;'Campaign Portfolio'!E8,16&gt;'Campaign Portfolio'!G8),0,0.2+0.8*(1-ABS(16-'Campaign Portfolio'!F8)/MAX('Campaign Portfolio'!F8-'Campaign Portfolio'!E8,'Campaign Portfolio'!G8-'Campaign Portfolio'!F8)))</x:f>
        <x:v>0.37777777777777777</x:v>
      </x:c>
      <x:c r="R8" s="14" t="n">
        <x:f>IF(OR(17&lt;'Campaign Portfolio'!E8,17&gt;'Campaign Portfolio'!G8),0,0.2+0.8*(1-ABS(17-'Campaign Portfolio'!F8)/MAX('Campaign Portfolio'!F8-'Campaign Portfolio'!E8,'Campaign Portfolio'!G8-'Campaign Portfolio'!F8)))</x:f>
        <x:v>0.288888888888889</x:v>
      </x:c>
      <x:c r="S8" s="14" t="n">
        <x:f>IF(OR(18&lt;'Campaign Portfolio'!E8,18&gt;'Campaign Portfolio'!G8),0,0.2+0.8*(1-ABS(18-'Campaign Portfolio'!F8)/MAX('Campaign Portfolio'!F8-'Campaign Portfolio'!E8,'Campaign Portfolio'!G8-'Campaign Portfolio'!F8)))</x:f>
        <x:v>0.2</x:v>
      </x:c>
      <x:c r="T8" s="14" t="n">
        <x:f>IF(OR(19&lt;'Campaign Portfolio'!E8,19&gt;'Campaign Portfolio'!G8),0,0.2+0.8*(1-ABS(19-'Campaign Portfolio'!F8)/MAX('Campaign Portfolio'!F8-'Campaign Portfolio'!E8,'Campaign Portfolio'!G8-'Campaign Portfolio'!F8)))</x:f>
        <x:v>0</x:v>
      </x:c>
      <x:c r="U8" s="14" t="n">
        <x:f>IF(OR(20&lt;'Campaign Portfolio'!E8,20&gt;'Campaign Portfolio'!G8),0,0.2+0.8*(1-ABS(20-'Campaign Portfolio'!F8)/MAX('Campaign Portfolio'!F8-'Campaign Portfolio'!E8,'Campaign Portfolio'!G8-'Campaign Portfolio'!F8)))</x:f>
        <x:v>0</x:v>
      </x:c>
      <x:c r="V8" s="14" t="n">
        <x:f>IF(OR(21&lt;'Campaign Portfolio'!E8,21&gt;'Campaign Portfolio'!G8),0,0.2+0.8*(1-ABS(21-'Campaign Portfolio'!F8)/MAX('Campaign Portfolio'!F8-'Campaign Portfolio'!E8,'Campaign Portfolio'!G8-'Campaign Portfolio'!F8)))</x:f>
        <x:v>0</x:v>
      </x:c>
      <x:c r="W8" s="14" t="n">
        <x:f>IF(OR(22&lt;'Campaign Portfolio'!E8,22&gt;'Campaign Portfolio'!G8),0,0.2+0.8*(1-ABS(22-'Campaign Portfolio'!F8)/MAX('Campaign Portfolio'!F8-'Campaign Portfolio'!E8,'Campaign Portfolio'!G8-'Campaign Portfolio'!F8)))</x:f>
        <x:v>0</x:v>
      </x:c>
      <x:c r="X8" s="14" t="n">
        <x:f>IF(OR(23&lt;'Campaign Portfolio'!E8,23&gt;'Campaign Portfolio'!G8),0,0.2+0.8*(1-ABS(23-'Campaign Portfolio'!F8)/MAX('Campaign Portfolio'!F8-'Campaign Portfolio'!E8,'Campaign Portfolio'!G8-'Campaign Portfolio'!F8)))</x:f>
        <x:v>0</x:v>
      </x:c>
      <x:c r="Y8" s="14" t="n">
        <x:f>IF(OR(24&lt;'Campaign Portfolio'!E8,24&gt;'Campaign Portfolio'!G8),0,0.2+0.8*(1-ABS(24-'Campaign Portfolio'!F8)/MAX('Campaign Portfolio'!F8-'Campaign Portfolio'!E8,'Campaign Portfolio'!G8-'Campaign Portfolio'!F8)))</x:f>
        <x:v>0</x:v>
      </x:c>
      <x:c r="Z8" s="14" t="n">
        <x:f>IF(OR(25&lt;'Campaign Portfolio'!E8,25&gt;'Campaign Portfolio'!G8),0,0.2+0.8*(1-ABS(25-'Campaign Portfolio'!F8)/MAX('Campaign Portfolio'!F8-'Campaign Portfolio'!E8,'Campaign Portfolio'!G8-'Campaign Portfolio'!F8)))</x:f>
        <x:v>0</x:v>
      </x:c>
    </x:row>
    <x:row r="9" ht="15" hidden="0" customHeight="1">
      <x:c r="A9" s="14" t="str">
        <x:v>C05</x:v>
      </x:c>
      <x:c r="B9" s="14" t="n">
        <x:f>IF(OR(1&lt;'Campaign Portfolio'!E9,1&gt;'Campaign Portfolio'!G9),0,0.2+0.8*(1-ABS(1-'Campaign Portfolio'!F9)/MAX('Campaign Portfolio'!F9-'Campaign Portfolio'!E9,'Campaign Portfolio'!G9-'Campaign Portfolio'!F9)))</x:f>
        <x:v>0.37777777777777777</x:v>
      </x:c>
      <x:c r="C9" s="14" t="n">
        <x:f>IF(OR(2&lt;'Campaign Portfolio'!E9,2&gt;'Campaign Portfolio'!G9),0,0.2+0.8*(1-ABS(2-'Campaign Portfolio'!F9)/MAX('Campaign Portfolio'!F9-'Campaign Portfolio'!E9,'Campaign Portfolio'!G9-'Campaign Portfolio'!F9)))</x:f>
        <x:v>0.46666666666666673</x:v>
      </x:c>
      <x:c r="D9" s="14" t="n">
        <x:f>IF(OR(3&lt;'Campaign Portfolio'!E9,3&gt;'Campaign Portfolio'!G9),0,0.2+0.8*(1-ABS(3-'Campaign Portfolio'!F9)/MAX('Campaign Portfolio'!F9-'Campaign Portfolio'!E9,'Campaign Portfolio'!G9-'Campaign Portfolio'!F9)))</x:f>
        <x:v>0.5555555555555556</x:v>
      </x:c>
      <x:c r="E9" s="14" t="n">
        <x:f>IF(OR(4&lt;'Campaign Portfolio'!E9,4&gt;'Campaign Portfolio'!G9),0,0.2+0.8*(1-ABS(4-'Campaign Portfolio'!F9)/MAX('Campaign Portfolio'!F9-'Campaign Portfolio'!E9,'Campaign Portfolio'!G9-'Campaign Portfolio'!F9)))</x:f>
        <x:v>0.6444444444444445</x:v>
      </x:c>
      <x:c r="F9" s="14" t="n">
        <x:f>IF(OR(5&lt;'Campaign Portfolio'!E9,5&gt;'Campaign Portfolio'!G9),0,0.2+0.8*(1-ABS(5-'Campaign Portfolio'!F9)/MAX('Campaign Portfolio'!F9-'Campaign Portfolio'!E9,'Campaign Portfolio'!G9-'Campaign Portfolio'!F9)))</x:f>
        <x:v>0.7333333333333334</x:v>
      </x:c>
      <x:c r="G9" s="14" t="n">
        <x:f>IF(OR(6&lt;'Campaign Portfolio'!E9,6&gt;'Campaign Portfolio'!G9),0,0.2+0.8*(1-ABS(6-'Campaign Portfolio'!F9)/MAX('Campaign Portfolio'!F9-'Campaign Portfolio'!E9,'Campaign Portfolio'!G9-'Campaign Portfolio'!F9)))</x:f>
        <x:v>0.8222222222222222</x:v>
      </x:c>
      <x:c r="H9" s="14" t="n">
        <x:f>IF(OR(7&lt;'Campaign Portfolio'!E9,7&gt;'Campaign Portfolio'!G9),0,0.2+0.8*(1-ABS(7-'Campaign Portfolio'!F9)/MAX('Campaign Portfolio'!F9-'Campaign Portfolio'!E9,'Campaign Portfolio'!G9-'Campaign Portfolio'!F9)))</x:f>
        <x:v>0.9111111111111112</x:v>
      </x:c>
      <x:c r="I9" s="14" t="n">
        <x:f>IF(OR(8&lt;'Campaign Portfolio'!E9,8&gt;'Campaign Portfolio'!G9),0,0.2+0.8*(1-ABS(8-'Campaign Portfolio'!F9)/MAX('Campaign Portfolio'!F9-'Campaign Portfolio'!E9,'Campaign Portfolio'!G9-'Campaign Portfolio'!F9)))</x:f>
        <x:v>1</x:v>
      </x:c>
      <x:c r="J9" s="14" t="n">
        <x:f>IF(OR(9&lt;'Campaign Portfolio'!E9,9&gt;'Campaign Portfolio'!G9),0,0.2+0.8*(1-ABS(9-'Campaign Portfolio'!F9)/MAX('Campaign Portfolio'!F9-'Campaign Portfolio'!E9,'Campaign Portfolio'!G9-'Campaign Portfolio'!F9)))</x:f>
        <x:v>0.9111111111111112</x:v>
      </x:c>
      <x:c r="K9" s="14" t="n">
        <x:f>IF(OR(10&lt;'Campaign Portfolio'!E9,10&gt;'Campaign Portfolio'!G9),0,0.2+0.8*(1-ABS(10-'Campaign Portfolio'!F9)/MAX('Campaign Portfolio'!F9-'Campaign Portfolio'!E9,'Campaign Portfolio'!G9-'Campaign Portfolio'!F9)))</x:f>
        <x:v>0.8222222222222222</x:v>
      </x:c>
      <x:c r="L9" s="14" t="n">
        <x:f>IF(OR(11&lt;'Campaign Portfolio'!E9,11&gt;'Campaign Portfolio'!G9),0,0.2+0.8*(1-ABS(11-'Campaign Portfolio'!F9)/MAX('Campaign Portfolio'!F9-'Campaign Portfolio'!E9,'Campaign Portfolio'!G9-'Campaign Portfolio'!F9)))</x:f>
        <x:v>0.7333333333333334</x:v>
      </x:c>
      <x:c r="M9" s="14" t="n">
        <x:f>IF(OR(12&lt;'Campaign Portfolio'!E9,12&gt;'Campaign Portfolio'!G9),0,0.2+0.8*(1-ABS(12-'Campaign Portfolio'!F9)/MAX('Campaign Portfolio'!F9-'Campaign Portfolio'!E9,'Campaign Portfolio'!G9-'Campaign Portfolio'!F9)))</x:f>
        <x:v>0.6444444444444445</x:v>
      </x:c>
      <x:c r="N9" s="14" t="n">
        <x:f>IF(OR(13&lt;'Campaign Portfolio'!E9,13&gt;'Campaign Portfolio'!G9),0,0.2+0.8*(1-ABS(13-'Campaign Portfolio'!F9)/MAX('Campaign Portfolio'!F9-'Campaign Portfolio'!E9,'Campaign Portfolio'!G9-'Campaign Portfolio'!F9)))</x:f>
        <x:v>0.5555555555555556</x:v>
      </x:c>
      <x:c r="O9" s="14" t="n">
        <x:f>IF(OR(14&lt;'Campaign Portfolio'!E9,14&gt;'Campaign Portfolio'!G9),0,0.2+0.8*(1-ABS(14-'Campaign Portfolio'!F9)/MAX('Campaign Portfolio'!F9-'Campaign Portfolio'!E9,'Campaign Portfolio'!G9-'Campaign Portfolio'!F9)))</x:f>
        <x:v>0.46666666666666673</x:v>
      </x:c>
      <x:c r="P9" s="14" t="n">
        <x:f>IF(OR(15&lt;'Campaign Portfolio'!E9,15&gt;'Campaign Portfolio'!G9),0,0.2+0.8*(1-ABS(15-'Campaign Portfolio'!F9)/MAX('Campaign Portfolio'!F9-'Campaign Portfolio'!E9,'Campaign Portfolio'!G9-'Campaign Portfolio'!F9)))</x:f>
        <x:v>0.37777777777777777</x:v>
      </x:c>
      <x:c r="Q9" s="14" t="n">
        <x:f>IF(OR(16&lt;'Campaign Portfolio'!E9,16&gt;'Campaign Portfolio'!G9),0,0.2+0.8*(1-ABS(16-'Campaign Portfolio'!F9)/MAX('Campaign Portfolio'!F9-'Campaign Portfolio'!E9,'Campaign Portfolio'!G9-'Campaign Portfolio'!F9)))</x:f>
        <x:v>0.288888888888889</x:v>
      </x:c>
      <x:c r="R9" s="14" t="n">
        <x:f>IF(OR(17&lt;'Campaign Portfolio'!E9,17&gt;'Campaign Portfolio'!G9),0,0.2+0.8*(1-ABS(17-'Campaign Portfolio'!F9)/MAX('Campaign Portfolio'!F9-'Campaign Portfolio'!E9,'Campaign Portfolio'!G9-'Campaign Portfolio'!F9)))</x:f>
        <x:v>0.2</x:v>
      </x:c>
      <x:c r="S9" s="14" t="n">
        <x:f>IF(OR(18&lt;'Campaign Portfolio'!E9,18&gt;'Campaign Portfolio'!G9),0,0.2+0.8*(1-ABS(18-'Campaign Portfolio'!F9)/MAX('Campaign Portfolio'!F9-'Campaign Portfolio'!E9,'Campaign Portfolio'!G9-'Campaign Portfolio'!F9)))</x:f>
        <x:v>0</x:v>
      </x:c>
      <x:c r="T9" s="14" t="n">
        <x:f>IF(OR(19&lt;'Campaign Portfolio'!E9,19&gt;'Campaign Portfolio'!G9),0,0.2+0.8*(1-ABS(19-'Campaign Portfolio'!F9)/MAX('Campaign Portfolio'!F9-'Campaign Portfolio'!E9,'Campaign Portfolio'!G9-'Campaign Portfolio'!F9)))</x:f>
        <x:v>0</x:v>
      </x:c>
      <x:c r="U9" s="14" t="n">
        <x:f>IF(OR(20&lt;'Campaign Portfolio'!E9,20&gt;'Campaign Portfolio'!G9),0,0.2+0.8*(1-ABS(20-'Campaign Portfolio'!F9)/MAX('Campaign Portfolio'!F9-'Campaign Portfolio'!E9,'Campaign Portfolio'!G9-'Campaign Portfolio'!F9)))</x:f>
        <x:v>0</x:v>
      </x:c>
      <x:c r="V9" s="14" t="n">
        <x:f>IF(OR(21&lt;'Campaign Portfolio'!E9,21&gt;'Campaign Portfolio'!G9),0,0.2+0.8*(1-ABS(21-'Campaign Portfolio'!F9)/MAX('Campaign Portfolio'!F9-'Campaign Portfolio'!E9,'Campaign Portfolio'!G9-'Campaign Portfolio'!F9)))</x:f>
        <x:v>0</x:v>
      </x:c>
      <x:c r="W9" s="14" t="n">
        <x:f>IF(OR(22&lt;'Campaign Portfolio'!E9,22&gt;'Campaign Portfolio'!G9),0,0.2+0.8*(1-ABS(22-'Campaign Portfolio'!F9)/MAX('Campaign Portfolio'!F9-'Campaign Portfolio'!E9,'Campaign Portfolio'!G9-'Campaign Portfolio'!F9)))</x:f>
        <x:v>0</x:v>
      </x:c>
      <x:c r="X9" s="14" t="n">
        <x:f>IF(OR(23&lt;'Campaign Portfolio'!E9,23&gt;'Campaign Portfolio'!G9),0,0.2+0.8*(1-ABS(23-'Campaign Portfolio'!F9)/MAX('Campaign Portfolio'!F9-'Campaign Portfolio'!E9,'Campaign Portfolio'!G9-'Campaign Portfolio'!F9)))</x:f>
        <x:v>0</x:v>
      </x:c>
      <x:c r="Y9" s="14" t="n">
        <x:f>IF(OR(24&lt;'Campaign Portfolio'!E9,24&gt;'Campaign Portfolio'!G9),0,0.2+0.8*(1-ABS(24-'Campaign Portfolio'!F9)/MAX('Campaign Portfolio'!F9-'Campaign Portfolio'!E9,'Campaign Portfolio'!G9-'Campaign Portfolio'!F9)))</x:f>
        <x:v>0</x:v>
      </x:c>
      <x:c r="Z9" s="14" t="n">
        <x:f>IF(OR(25&lt;'Campaign Portfolio'!E9,25&gt;'Campaign Portfolio'!G9),0,0.2+0.8*(1-ABS(25-'Campaign Portfolio'!F9)/MAX('Campaign Portfolio'!F9-'Campaign Portfolio'!E9,'Campaign Portfolio'!G9-'Campaign Portfolio'!F9)))</x:f>
        <x:v>0</x:v>
      </x:c>
    </x:row>
    <x:row r="10" ht="15" hidden="0" customHeight="1">
      <x:c r="A10" s="14" t="str">
        <x:v>C06</x:v>
      </x:c>
      <x:c r="B10" s="14" t="n">
        <x:f>IF(OR(1&lt;'Campaign Portfolio'!E10,1&gt;'Campaign Portfolio'!G10),0,0.2+0.8*(1-ABS(1-'Campaign Portfolio'!F10)/MAX('Campaign Portfolio'!F10-'Campaign Portfolio'!E10,'Campaign Portfolio'!G10-'Campaign Portfolio'!F10)))</x:f>
        <x:v>0.4</x:v>
      </x:c>
      <x:c r="C10" s="14" t="n">
        <x:f>IF(OR(2&lt;'Campaign Portfolio'!E10,2&gt;'Campaign Portfolio'!G10),0,0.2+0.8*(1-ABS(2-'Campaign Portfolio'!F10)/MAX('Campaign Portfolio'!F10-'Campaign Portfolio'!E10,'Campaign Portfolio'!G10-'Campaign Portfolio'!F10)))</x:f>
        <x:v>0.5</x:v>
      </x:c>
      <x:c r="D10" s="14" t="n">
        <x:f>IF(OR(3&lt;'Campaign Portfolio'!E10,3&gt;'Campaign Portfolio'!G10),0,0.2+0.8*(1-ABS(3-'Campaign Portfolio'!F10)/MAX('Campaign Portfolio'!F10-'Campaign Portfolio'!E10,'Campaign Portfolio'!G10-'Campaign Portfolio'!F10)))</x:f>
        <x:v>0.6000000000000001</x:v>
      </x:c>
      <x:c r="E10" s="14" t="n">
        <x:f>IF(OR(4&lt;'Campaign Portfolio'!E10,4&gt;'Campaign Portfolio'!G10),0,0.2+0.8*(1-ABS(4-'Campaign Portfolio'!F10)/MAX('Campaign Portfolio'!F10-'Campaign Portfolio'!E10,'Campaign Portfolio'!G10-'Campaign Portfolio'!F10)))</x:f>
        <x:v>0.7</x:v>
      </x:c>
      <x:c r="F10" s="14" t="n">
        <x:f>IF(OR(5&lt;'Campaign Portfolio'!E10,5&gt;'Campaign Portfolio'!G10),0,0.2+0.8*(1-ABS(5-'Campaign Portfolio'!F10)/MAX('Campaign Portfolio'!F10-'Campaign Portfolio'!E10,'Campaign Portfolio'!G10-'Campaign Portfolio'!F10)))</x:f>
        <x:v>0.8</x:v>
      </x:c>
      <x:c r="G10" s="14" t="n">
        <x:f>IF(OR(6&lt;'Campaign Portfolio'!E10,6&gt;'Campaign Portfolio'!G10),0,0.2+0.8*(1-ABS(6-'Campaign Portfolio'!F10)/MAX('Campaign Portfolio'!F10-'Campaign Portfolio'!E10,'Campaign Portfolio'!G10-'Campaign Portfolio'!F10)))</x:f>
        <x:v>0.9000000000000001</x:v>
      </x:c>
      <x:c r="H10" s="14" t="n">
        <x:f>IF(OR(7&lt;'Campaign Portfolio'!E10,7&gt;'Campaign Portfolio'!G10),0,0.2+0.8*(1-ABS(7-'Campaign Portfolio'!F10)/MAX('Campaign Portfolio'!F10-'Campaign Portfolio'!E10,'Campaign Portfolio'!G10-'Campaign Portfolio'!F10)))</x:f>
        <x:v>1</x:v>
      </x:c>
      <x:c r="I10" s="14" t="n">
        <x:f>IF(OR(8&lt;'Campaign Portfolio'!E10,8&gt;'Campaign Portfolio'!G10),0,0.2+0.8*(1-ABS(8-'Campaign Portfolio'!F10)/MAX('Campaign Portfolio'!F10-'Campaign Portfolio'!E10,'Campaign Portfolio'!G10-'Campaign Portfolio'!F10)))</x:f>
        <x:v>0.9000000000000001</x:v>
      </x:c>
      <x:c r="J10" s="14" t="n">
        <x:f>IF(OR(9&lt;'Campaign Portfolio'!E10,9&gt;'Campaign Portfolio'!G10),0,0.2+0.8*(1-ABS(9-'Campaign Portfolio'!F10)/MAX('Campaign Portfolio'!F10-'Campaign Portfolio'!E10,'Campaign Portfolio'!G10-'Campaign Portfolio'!F10)))</x:f>
        <x:v>0.8</x:v>
      </x:c>
      <x:c r="K10" s="14" t="n">
        <x:f>IF(OR(10&lt;'Campaign Portfolio'!E10,10&gt;'Campaign Portfolio'!G10),0,0.2+0.8*(1-ABS(10-'Campaign Portfolio'!F10)/MAX('Campaign Portfolio'!F10-'Campaign Portfolio'!E10,'Campaign Portfolio'!G10-'Campaign Portfolio'!F10)))</x:f>
        <x:v>0.7</x:v>
      </x:c>
      <x:c r="L10" s="14" t="n">
        <x:f>IF(OR(11&lt;'Campaign Portfolio'!E10,11&gt;'Campaign Portfolio'!G10),0,0.2+0.8*(1-ABS(11-'Campaign Portfolio'!F10)/MAX('Campaign Portfolio'!F10-'Campaign Portfolio'!E10,'Campaign Portfolio'!G10-'Campaign Portfolio'!F10)))</x:f>
        <x:v>0.6000000000000001</x:v>
      </x:c>
      <x:c r="M10" s="14" t="n">
        <x:f>IF(OR(12&lt;'Campaign Portfolio'!E10,12&gt;'Campaign Portfolio'!G10),0,0.2+0.8*(1-ABS(12-'Campaign Portfolio'!F10)/MAX('Campaign Portfolio'!F10-'Campaign Portfolio'!E10,'Campaign Portfolio'!G10-'Campaign Portfolio'!F10)))</x:f>
        <x:v>0.5</x:v>
      </x:c>
      <x:c r="N10" s="14" t="n">
        <x:f>IF(OR(13&lt;'Campaign Portfolio'!E10,13&gt;'Campaign Portfolio'!G10),0,0.2+0.8*(1-ABS(13-'Campaign Portfolio'!F10)/MAX('Campaign Portfolio'!F10-'Campaign Portfolio'!E10,'Campaign Portfolio'!G10-'Campaign Portfolio'!F10)))</x:f>
        <x:v>0.4</x:v>
      </x:c>
      <x:c r="O10" s="14" t="n">
        <x:f>IF(OR(14&lt;'Campaign Portfolio'!E10,14&gt;'Campaign Portfolio'!G10),0,0.2+0.8*(1-ABS(14-'Campaign Portfolio'!F10)/MAX('Campaign Portfolio'!F10-'Campaign Portfolio'!E10,'Campaign Portfolio'!G10-'Campaign Portfolio'!F10)))</x:f>
        <x:v>0.30000000000000004</x:v>
      </x:c>
      <x:c r="P10" s="14" t="n">
        <x:f>IF(OR(15&lt;'Campaign Portfolio'!E10,15&gt;'Campaign Portfolio'!G10),0,0.2+0.8*(1-ABS(15-'Campaign Portfolio'!F10)/MAX('Campaign Portfolio'!F10-'Campaign Portfolio'!E10,'Campaign Portfolio'!G10-'Campaign Portfolio'!F10)))</x:f>
        <x:v>0.2</x:v>
      </x:c>
      <x:c r="Q10" s="14" t="n">
        <x:f>IF(OR(16&lt;'Campaign Portfolio'!E10,16&gt;'Campaign Portfolio'!G10),0,0.2+0.8*(1-ABS(16-'Campaign Portfolio'!F10)/MAX('Campaign Portfolio'!F10-'Campaign Portfolio'!E10,'Campaign Portfolio'!G10-'Campaign Portfolio'!F10)))</x:f>
        <x:v>0</x:v>
      </x:c>
      <x:c r="R10" s="14" t="n">
        <x:f>IF(OR(17&lt;'Campaign Portfolio'!E10,17&gt;'Campaign Portfolio'!G10),0,0.2+0.8*(1-ABS(17-'Campaign Portfolio'!F10)/MAX('Campaign Portfolio'!F10-'Campaign Portfolio'!E10,'Campaign Portfolio'!G10-'Campaign Portfolio'!F10)))</x:f>
        <x:v>0</x:v>
      </x:c>
      <x:c r="S10" s="14" t="n">
        <x:f>IF(OR(18&lt;'Campaign Portfolio'!E10,18&gt;'Campaign Portfolio'!G10),0,0.2+0.8*(1-ABS(18-'Campaign Portfolio'!F10)/MAX('Campaign Portfolio'!F10-'Campaign Portfolio'!E10,'Campaign Portfolio'!G10-'Campaign Portfolio'!F10)))</x:f>
        <x:v>0</x:v>
      </x:c>
      <x:c r="T10" s="14" t="n">
        <x:f>IF(OR(19&lt;'Campaign Portfolio'!E10,19&gt;'Campaign Portfolio'!G10),0,0.2+0.8*(1-ABS(19-'Campaign Portfolio'!F10)/MAX('Campaign Portfolio'!F10-'Campaign Portfolio'!E10,'Campaign Portfolio'!G10-'Campaign Portfolio'!F10)))</x:f>
        <x:v>0</x:v>
      </x:c>
      <x:c r="U10" s="14" t="n">
        <x:f>IF(OR(20&lt;'Campaign Portfolio'!E10,20&gt;'Campaign Portfolio'!G10),0,0.2+0.8*(1-ABS(20-'Campaign Portfolio'!F10)/MAX('Campaign Portfolio'!F10-'Campaign Portfolio'!E10,'Campaign Portfolio'!G10-'Campaign Portfolio'!F10)))</x:f>
        <x:v>0</x:v>
      </x:c>
      <x:c r="V10" s="14" t="n">
        <x:f>IF(OR(21&lt;'Campaign Portfolio'!E10,21&gt;'Campaign Portfolio'!G10),0,0.2+0.8*(1-ABS(21-'Campaign Portfolio'!F10)/MAX('Campaign Portfolio'!F10-'Campaign Portfolio'!E10,'Campaign Portfolio'!G10-'Campaign Portfolio'!F10)))</x:f>
        <x:v>0</x:v>
      </x:c>
      <x:c r="W10" s="14" t="n">
        <x:f>IF(OR(22&lt;'Campaign Portfolio'!E10,22&gt;'Campaign Portfolio'!G10),0,0.2+0.8*(1-ABS(22-'Campaign Portfolio'!F10)/MAX('Campaign Portfolio'!F10-'Campaign Portfolio'!E10,'Campaign Portfolio'!G10-'Campaign Portfolio'!F10)))</x:f>
        <x:v>0</x:v>
      </x:c>
      <x:c r="X10" s="14" t="n">
        <x:f>IF(OR(23&lt;'Campaign Portfolio'!E10,23&gt;'Campaign Portfolio'!G10),0,0.2+0.8*(1-ABS(23-'Campaign Portfolio'!F10)/MAX('Campaign Portfolio'!F10-'Campaign Portfolio'!E10,'Campaign Portfolio'!G10-'Campaign Portfolio'!F10)))</x:f>
        <x:v>0</x:v>
      </x:c>
      <x:c r="Y10" s="14" t="n">
        <x:f>IF(OR(24&lt;'Campaign Portfolio'!E10,24&gt;'Campaign Portfolio'!G10),0,0.2+0.8*(1-ABS(24-'Campaign Portfolio'!F10)/MAX('Campaign Portfolio'!F10-'Campaign Portfolio'!E10,'Campaign Portfolio'!G10-'Campaign Portfolio'!F10)))</x:f>
        <x:v>0</x:v>
      </x:c>
      <x:c r="Z10" s="14" t="n">
        <x:f>IF(OR(25&lt;'Campaign Portfolio'!E10,25&gt;'Campaign Portfolio'!G10),0,0.2+0.8*(1-ABS(25-'Campaign Portfolio'!F10)/MAX('Campaign Portfolio'!F10-'Campaign Portfolio'!E10,'Campaign Portfolio'!G10-'Campaign Portfolio'!F10)))</x:f>
        <x:v>0</x:v>
      </x:c>
    </x:row>
    <x:row r="11" ht="15" hidden="0" customHeight="1">
      <x:c r="A11" s="14" t="str">
        <x:v>C07</x:v>
      </x:c>
      <x:c r="B11" s="14" t="n">
        <x:f>IF(OR(1&lt;'Campaign Portfolio'!E11,1&gt;'Campaign Portfolio'!G11),0,0.2+0.8*(1-ABS(1-'Campaign Portfolio'!F11)/MAX('Campaign Portfolio'!F11-'Campaign Portfolio'!E11,'Campaign Portfolio'!G11-'Campaign Portfolio'!F11)))</x:f>
        <x:v>0</x:v>
      </x:c>
      <x:c r="C11" s="14" t="n">
        <x:f>IF(OR(2&lt;'Campaign Portfolio'!E11,2&gt;'Campaign Portfolio'!G11),0,0.2+0.8*(1-ABS(2-'Campaign Portfolio'!F11)/MAX('Campaign Portfolio'!F11-'Campaign Portfolio'!E11,'Campaign Portfolio'!G11-'Campaign Portfolio'!F11)))</x:f>
        <x:v>0.37777777777777777</x:v>
      </x:c>
      <x:c r="D11" s="14" t="n">
        <x:f>IF(OR(3&lt;'Campaign Portfolio'!E11,3&gt;'Campaign Portfolio'!G11),0,0.2+0.8*(1-ABS(3-'Campaign Portfolio'!F11)/MAX('Campaign Portfolio'!F11-'Campaign Portfolio'!E11,'Campaign Portfolio'!G11-'Campaign Portfolio'!F11)))</x:f>
        <x:v>0.46666666666666673</x:v>
      </x:c>
      <x:c r="E11" s="14" t="n">
        <x:f>IF(OR(4&lt;'Campaign Portfolio'!E11,4&gt;'Campaign Portfolio'!G11),0,0.2+0.8*(1-ABS(4-'Campaign Portfolio'!F11)/MAX('Campaign Portfolio'!F11-'Campaign Portfolio'!E11,'Campaign Portfolio'!G11-'Campaign Portfolio'!F11)))</x:f>
        <x:v>0.5555555555555556</x:v>
      </x:c>
      <x:c r="F11" s="14" t="n">
        <x:f>IF(OR(5&lt;'Campaign Portfolio'!E11,5&gt;'Campaign Portfolio'!G11),0,0.2+0.8*(1-ABS(5-'Campaign Portfolio'!F11)/MAX('Campaign Portfolio'!F11-'Campaign Portfolio'!E11,'Campaign Portfolio'!G11-'Campaign Portfolio'!F11)))</x:f>
        <x:v>0.6444444444444445</x:v>
      </x:c>
      <x:c r="G11" s="14" t="n">
        <x:f>IF(OR(6&lt;'Campaign Portfolio'!E11,6&gt;'Campaign Portfolio'!G11),0,0.2+0.8*(1-ABS(6-'Campaign Portfolio'!F11)/MAX('Campaign Portfolio'!F11-'Campaign Portfolio'!E11,'Campaign Portfolio'!G11-'Campaign Portfolio'!F11)))</x:f>
        <x:v>0.7333333333333334</x:v>
      </x:c>
      <x:c r="H11" s="14" t="n">
        <x:f>IF(OR(7&lt;'Campaign Portfolio'!E11,7&gt;'Campaign Portfolio'!G11),0,0.2+0.8*(1-ABS(7-'Campaign Portfolio'!F11)/MAX('Campaign Portfolio'!F11-'Campaign Portfolio'!E11,'Campaign Portfolio'!G11-'Campaign Portfolio'!F11)))</x:f>
        <x:v>0.8222222222222222</x:v>
      </x:c>
      <x:c r="I11" s="14" t="n">
        <x:f>IF(OR(8&lt;'Campaign Portfolio'!E11,8&gt;'Campaign Portfolio'!G11),0,0.2+0.8*(1-ABS(8-'Campaign Portfolio'!F11)/MAX('Campaign Portfolio'!F11-'Campaign Portfolio'!E11,'Campaign Portfolio'!G11-'Campaign Portfolio'!F11)))</x:f>
        <x:v>0.9111111111111112</x:v>
      </x:c>
      <x:c r="J11" s="14" t="n">
        <x:f>IF(OR(9&lt;'Campaign Portfolio'!E11,9&gt;'Campaign Portfolio'!G11),0,0.2+0.8*(1-ABS(9-'Campaign Portfolio'!F11)/MAX('Campaign Portfolio'!F11-'Campaign Portfolio'!E11,'Campaign Portfolio'!G11-'Campaign Portfolio'!F11)))</x:f>
        <x:v>1</x:v>
      </x:c>
      <x:c r="K11" s="14" t="n">
        <x:f>IF(OR(10&lt;'Campaign Portfolio'!E11,10&gt;'Campaign Portfolio'!G11),0,0.2+0.8*(1-ABS(10-'Campaign Portfolio'!F11)/MAX('Campaign Portfolio'!F11-'Campaign Portfolio'!E11,'Campaign Portfolio'!G11-'Campaign Portfolio'!F11)))</x:f>
        <x:v>0.9111111111111112</x:v>
      </x:c>
      <x:c r="L11" s="14" t="n">
        <x:f>IF(OR(11&lt;'Campaign Portfolio'!E11,11&gt;'Campaign Portfolio'!G11),0,0.2+0.8*(1-ABS(11-'Campaign Portfolio'!F11)/MAX('Campaign Portfolio'!F11-'Campaign Portfolio'!E11,'Campaign Portfolio'!G11-'Campaign Portfolio'!F11)))</x:f>
        <x:v>0.8222222222222222</x:v>
      </x:c>
      <x:c r="M11" s="14" t="n">
        <x:f>IF(OR(12&lt;'Campaign Portfolio'!E11,12&gt;'Campaign Portfolio'!G11),0,0.2+0.8*(1-ABS(12-'Campaign Portfolio'!F11)/MAX('Campaign Portfolio'!F11-'Campaign Portfolio'!E11,'Campaign Portfolio'!G11-'Campaign Portfolio'!F11)))</x:f>
        <x:v>0.7333333333333334</x:v>
      </x:c>
      <x:c r="N11" s="14" t="n">
        <x:f>IF(OR(13&lt;'Campaign Portfolio'!E11,13&gt;'Campaign Portfolio'!G11),0,0.2+0.8*(1-ABS(13-'Campaign Portfolio'!F11)/MAX('Campaign Portfolio'!F11-'Campaign Portfolio'!E11,'Campaign Portfolio'!G11-'Campaign Portfolio'!F11)))</x:f>
        <x:v>0.6444444444444445</x:v>
      </x:c>
      <x:c r="O11" s="14" t="n">
        <x:f>IF(OR(14&lt;'Campaign Portfolio'!E11,14&gt;'Campaign Portfolio'!G11),0,0.2+0.8*(1-ABS(14-'Campaign Portfolio'!F11)/MAX('Campaign Portfolio'!F11-'Campaign Portfolio'!E11,'Campaign Portfolio'!G11-'Campaign Portfolio'!F11)))</x:f>
        <x:v>0.5555555555555556</x:v>
      </x:c>
      <x:c r="P11" s="14" t="n">
        <x:f>IF(OR(15&lt;'Campaign Portfolio'!E11,15&gt;'Campaign Portfolio'!G11),0,0.2+0.8*(1-ABS(15-'Campaign Portfolio'!F11)/MAX('Campaign Portfolio'!F11-'Campaign Portfolio'!E11,'Campaign Portfolio'!G11-'Campaign Portfolio'!F11)))</x:f>
        <x:v>0.46666666666666673</x:v>
      </x:c>
      <x:c r="Q11" s="14" t="n">
        <x:f>IF(OR(16&lt;'Campaign Portfolio'!E11,16&gt;'Campaign Portfolio'!G11),0,0.2+0.8*(1-ABS(16-'Campaign Portfolio'!F11)/MAX('Campaign Portfolio'!F11-'Campaign Portfolio'!E11,'Campaign Portfolio'!G11-'Campaign Portfolio'!F11)))</x:f>
        <x:v>0.37777777777777777</x:v>
      </x:c>
      <x:c r="R11" s="14" t="n">
        <x:f>IF(OR(17&lt;'Campaign Portfolio'!E11,17&gt;'Campaign Portfolio'!G11),0,0.2+0.8*(1-ABS(17-'Campaign Portfolio'!F11)/MAX('Campaign Portfolio'!F11-'Campaign Portfolio'!E11,'Campaign Portfolio'!G11-'Campaign Portfolio'!F11)))</x:f>
        <x:v>0.288888888888889</x:v>
      </x:c>
      <x:c r="S11" s="14" t="n">
        <x:f>IF(OR(18&lt;'Campaign Portfolio'!E11,18&gt;'Campaign Portfolio'!G11),0,0.2+0.8*(1-ABS(18-'Campaign Portfolio'!F11)/MAX('Campaign Portfolio'!F11-'Campaign Portfolio'!E11,'Campaign Portfolio'!G11-'Campaign Portfolio'!F11)))</x:f>
        <x:v>0.2</x:v>
      </x:c>
      <x:c r="T11" s="14" t="n">
        <x:f>IF(OR(19&lt;'Campaign Portfolio'!E11,19&gt;'Campaign Portfolio'!G11),0,0.2+0.8*(1-ABS(19-'Campaign Portfolio'!F11)/MAX('Campaign Portfolio'!F11-'Campaign Portfolio'!E11,'Campaign Portfolio'!G11-'Campaign Portfolio'!F11)))</x:f>
        <x:v>0</x:v>
      </x:c>
      <x:c r="U11" s="14" t="n">
        <x:f>IF(OR(20&lt;'Campaign Portfolio'!E11,20&gt;'Campaign Portfolio'!G11),0,0.2+0.8*(1-ABS(20-'Campaign Portfolio'!F11)/MAX('Campaign Portfolio'!F11-'Campaign Portfolio'!E11,'Campaign Portfolio'!G11-'Campaign Portfolio'!F11)))</x:f>
        <x:v>0</x:v>
      </x:c>
      <x:c r="V11" s="14" t="n">
        <x:f>IF(OR(21&lt;'Campaign Portfolio'!E11,21&gt;'Campaign Portfolio'!G11),0,0.2+0.8*(1-ABS(21-'Campaign Portfolio'!F11)/MAX('Campaign Portfolio'!F11-'Campaign Portfolio'!E11,'Campaign Portfolio'!G11-'Campaign Portfolio'!F11)))</x:f>
        <x:v>0</x:v>
      </x:c>
      <x:c r="W11" s="14" t="n">
        <x:f>IF(OR(22&lt;'Campaign Portfolio'!E11,22&gt;'Campaign Portfolio'!G11),0,0.2+0.8*(1-ABS(22-'Campaign Portfolio'!F11)/MAX('Campaign Portfolio'!F11-'Campaign Portfolio'!E11,'Campaign Portfolio'!G11-'Campaign Portfolio'!F11)))</x:f>
        <x:v>0</x:v>
      </x:c>
      <x:c r="X11" s="14" t="n">
        <x:f>IF(OR(23&lt;'Campaign Portfolio'!E11,23&gt;'Campaign Portfolio'!G11),0,0.2+0.8*(1-ABS(23-'Campaign Portfolio'!F11)/MAX('Campaign Portfolio'!F11-'Campaign Portfolio'!E11,'Campaign Portfolio'!G11-'Campaign Portfolio'!F11)))</x:f>
        <x:v>0</x:v>
      </x:c>
      <x:c r="Y11" s="14" t="n">
        <x:f>IF(OR(24&lt;'Campaign Portfolio'!E11,24&gt;'Campaign Portfolio'!G11),0,0.2+0.8*(1-ABS(24-'Campaign Portfolio'!F11)/MAX('Campaign Portfolio'!F11-'Campaign Portfolio'!E11,'Campaign Portfolio'!G11-'Campaign Portfolio'!F11)))</x:f>
        <x:v>0</x:v>
      </x:c>
      <x:c r="Z11" s="14" t="n">
        <x:f>IF(OR(25&lt;'Campaign Portfolio'!E11,25&gt;'Campaign Portfolio'!G11),0,0.2+0.8*(1-ABS(25-'Campaign Portfolio'!F11)/MAX('Campaign Portfolio'!F11-'Campaign Portfolio'!E11,'Campaign Portfolio'!G11-'Campaign Portfolio'!F11)))</x:f>
        <x:v>0</x:v>
      </x:c>
    </x:row>
    <x:row r="12" ht="15" hidden="0" customHeight="1">
      <x:c r="A12" s="14" t="str">
        <x:v>C08</x:v>
      </x:c>
      <x:c r="B12" s="14" t="n">
        <x:f>IF(OR(1&lt;'Campaign Portfolio'!E12,1&gt;'Campaign Portfolio'!G12),0,0.2+0.8*(1-ABS(1-'Campaign Portfolio'!F12)/MAX('Campaign Portfolio'!F12-'Campaign Portfolio'!E12,'Campaign Portfolio'!G12-'Campaign Portfolio'!F12)))</x:f>
        <x:v>0.288888888888889</x:v>
      </x:c>
      <x:c r="C12" s="14" t="n">
        <x:f>IF(OR(2&lt;'Campaign Portfolio'!E12,2&gt;'Campaign Portfolio'!G12),0,0.2+0.8*(1-ABS(2-'Campaign Portfolio'!F12)/MAX('Campaign Portfolio'!F12-'Campaign Portfolio'!E12,'Campaign Portfolio'!G12-'Campaign Portfolio'!F12)))</x:f>
        <x:v>0.37777777777777777</x:v>
      </x:c>
      <x:c r="D12" s="14" t="n">
        <x:f>IF(OR(3&lt;'Campaign Portfolio'!E12,3&gt;'Campaign Portfolio'!G12),0,0.2+0.8*(1-ABS(3-'Campaign Portfolio'!F12)/MAX('Campaign Portfolio'!F12-'Campaign Portfolio'!E12,'Campaign Portfolio'!G12-'Campaign Portfolio'!F12)))</x:f>
        <x:v>0.46666666666666673</x:v>
      </x:c>
      <x:c r="E12" s="14" t="n">
        <x:f>IF(OR(4&lt;'Campaign Portfolio'!E12,4&gt;'Campaign Portfolio'!G12),0,0.2+0.8*(1-ABS(4-'Campaign Portfolio'!F12)/MAX('Campaign Portfolio'!F12-'Campaign Portfolio'!E12,'Campaign Portfolio'!G12-'Campaign Portfolio'!F12)))</x:f>
        <x:v>0.5555555555555556</x:v>
      </x:c>
      <x:c r="F12" s="14" t="n">
        <x:f>IF(OR(5&lt;'Campaign Portfolio'!E12,5&gt;'Campaign Portfolio'!G12),0,0.2+0.8*(1-ABS(5-'Campaign Portfolio'!F12)/MAX('Campaign Portfolio'!F12-'Campaign Portfolio'!E12,'Campaign Portfolio'!G12-'Campaign Portfolio'!F12)))</x:f>
        <x:v>0.6444444444444445</x:v>
      </x:c>
      <x:c r="G12" s="14" t="n">
        <x:f>IF(OR(6&lt;'Campaign Portfolio'!E12,6&gt;'Campaign Portfolio'!G12),0,0.2+0.8*(1-ABS(6-'Campaign Portfolio'!F12)/MAX('Campaign Portfolio'!F12-'Campaign Portfolio'!E12,'Campaign Portfolio'!G12-'Campaign Portfolio'!F12)))</x:f>
        <x:v>0.7333333333333334</x:v>
      </x:c>
      <x:c r="H12" s="14" t="n">
        <x:f>IF(OR(7&lt;'Campaign Portfolio'!E12,7&gt;'Campaign Portfolio'!G12),0,0.2+0.8*(1-ABS(7-'Campaign Portfolio'!F12)/MAX('Campaign Portfolio'!F12-'Campaign Portfolio'!E12,'Campaign Portfolio'!G12-'Campaign Portfolio'!F12)))</x:f>
        <x:v>0.8222222222222222</x:v>
      </x:c>
      <x:c r="I12" s="14" t="n">
        <x:f>IF(OR(8&lt;'Campaign Portfolio'!E12,8&gt;'Campaign Portfolio'!G12),0,0.2+0.8*(1-ABS(8-'Campaign Portfolio'!F12)/MAX('Campaign Portfolio'!F12-'Campaign Portfolio'!E12,'Campaign Portfolio'!G12-'Campaign Portfolio'!F12)))</x:f>
        <x:v>0.9111111111111112</x:v>
      </x:c>
      <x:c r="J12" s="14" t="n">
        <x:f>IF(OR(9&lt;'Campaign Portfolio'!E12,9&gt;'Campaign Portfolio'!G12),0,0.2+0.8*(1-ABS(9-'Campaign Portfolio'!F12)/MAX('Campaign Portfolio'!F12-'Campaign Portfolio'!E12,'Campaign Portfolio'!G12-'Campaign Portfolio'!F12)))</x:f>
        <x:v>1</x:v>
      </x:c>
      <x:c r="K12" s="14" t="n">
        <x:f>IF(OR(10&lt;'Campaign Portfolio'!E12,10&gt;'Campaign Portfolio'!G12),0,0.2+0.8*(1-ABS(10-'Campaign Portfolio'!F12)/MAX('Campaign Portfolio'!F12-'Campaign Portfolio'!E12,'Campaign Portfolio'!G12-'Campaign Portfolio'!F12)))</x:f>
        <x:v>0.9111111111111112</x:v>
      </x:c>
      <x:c r="L12" s="14" t="n">
        <x:f>IF(OR(11&lt;'Campaign Portfolio'!E12,11&gt;'Campaign Portfolio'!G12),0,0.2+0.8*(1-ABS(11-'Campaign Portfolio'!F12)/MAX('Campaign Portfolio'!F12-'Campaign Portfolio'!E12,'Campaign Portfolio'!G12-'Campaign Portfolio'!F12)))</x:f>
        <x:v>0.8222222222222222</x:v>
      </x:c>
      <x:c r="M12" s="14" t="n">
        <x:f>IF(OR(12&lt;'Campaign Portfolio'!E12,12&gt;'Campaign Portfolio'!G12),0,0.2+0.8*(1-ABS(12-'Campaign Portfolio'!F12)/MAX('Campaign Portfolio'!F12-'Campaign Portfolio'!E12,'Campaign Portfolio'!G12-'Campaign Portfolio'!F12)))</x:f>
        <x:v>0.7333333333333334</x:v>
      </x:c>
      <x:c r="N12" s="14" t="n">
        <x:f>IF(OR(13&lt;'Campaign Portfolio'!E12,13&gt;'Campaign Portfolio'!G12),0,0.2+0.8*(1-ABS(13-'Campaign Portfolio'!F12)/MAX('Campaign Portfolio'!F12-'Campaign Portfolio'!E12,'Campaign Portfolio'!G12-'Campaign Portfolio'!F12)))</x:f>
        <x:v>0.6444444444444445</x:v>
      </x:c>
      <x:c r="O12" s="14" t="n">
        <x:f>IF(OR(14&lt;'Campaign Portfolio'!E12,14&gt;'Campaign Portfolio'!G12),0,0.2+0.8*(1-ABS(14-'Campaign Portfolio'!F12)/MAX('Campaign Portfolio'!F12-'Campaign Portfolio'!E12,'Campaign Portfolio'!G12-'Campaign Portfolio'!F12)))</x:f>
        <x:v>0.5555555555555556</x:v>
      </x:c>
      <x:c r="P12" s="14" t="n">
        <x:f>IF(OR(15&lt;'Campaign Portfolio'!E12,15&gt;'Campaign Portfolio'!G12),0,0.2+0.8*(1-ABS(15-'Campaign Portfolio'!F12)/MAX('Campaign Portfolio'!F12-'Campaign Portfolio'!E12,'Campaign Portfolio'!G12-'Campaign Portfolio'!F12)))</x:f>
        <x:v>0.46666666666666673</x:v>
      </x:c>
      <x:c r="Q12" s="14" t="n">
        <x:f>IF(OR(16&lt;'Campaign Portfolio'!E12,16&gt;'Campaign Portfolio'!G12),0,0.2+0.8*(1-ABS(16-'Campaign Portfolio'!F12)/MAX('Campaign Portfolio'!F12-'Campaign Portfolio'!E12,'Campaign Portfolio'!G12-'Campaign Portfolio'!F12)))</x:f>
        <x:v>0.37777777777777777</x:v>
      </x:c>
      <x:c r="R12" s="14" t="n">
        <x:f>IF(OR(17&lt;'Campaign Portfolio'!E12,17&gt;'Campaign Portfolio'!G12),0,0.2+0.8*(1-ABS(17-'Campaign Portfolio'!F12)/MAX('Campaign Portfolio'!F12-'Campaign Portfolio'!E12,'Campaign Portfolio'!G12-'Campaign Portfolio'!F12)))</x:f>
        <x:v>0.288888888888889</x:v>
      </x:c>
      <x:c r="S12" s="14" t="n">
        <x:f>IF(OR(18&lt;'Campaign Portfolio'!E12,18&gt;'Campaign Portfolio'!G12),0,0.2+0.8*(1-ABS(18-'Campaign Portfolio'!F12)/MAX('Campaign Portfolio'!F12-'Campaign Portfolio'!E12,'Campaign Portfolio'!G12-'Campaign Portfolio'!F12)))</x:f>
        <x:v>0.2</x:v>
      </x:c>
      <x:c r="T12" s="14" t="n">
        <x:f>IF(OR(19&lt;'Campaign Portfolio'!E12,19&gt;'Campaign Portfolio'!G12),0,0.2+0.8*(1-ABS(19-'Campaign Portfolio'!F12)/MAX('Campaign Portfolio'!F12-'Campaign Portfolio'!E12,'Campaign Portfolio'!G12-'Campaign Portfolio'!F12)))</x:f>
        <x:v>0</x:v>
      </x:c>
      <x:c r="U12" s="14" t="n">
        <x:f>IF(OR(20&lt;'Campaign Portfolio'!E12,20&gt;'Campaign Portfolio'!G12),0,0.2+0.8*(1-ABS(20-'Campaign Portfolio'!F12)/MAX('Campaign Portfolio'!F12-'Campaign Portfolio'!E12,'Campaign Portfolio'!G12-'Campaign Portfolio'!F12)))</x:f>
        <x:v>0</x:v>
      </x:c>
      <x:c r="V12" s="14" t="n">
        <x:f>IF(OR(21&lt;'Campaign Portfolio'!E12,21&gt;'Campaign Portfolio'!G12),0,0.2+0.8*(1-ABS(21-'Campaign Portfolio'!F12)/MAX('Campaign Portfolio'!F12-'Campaign Portfolio'!E12,'Campaign Portfolio'!G12-'Campaign Portfolio'!F12)))</x:f>
        <x:v>0</x:v>
      </x:c>
      <x:c r="W12" s="14" t="n">
        <x:f>IF(OR(22&lt;'Campaign Portfolio'!E12,22&gt;'Campaign Portfolio'!G12),0,0.2+0.8*(1-ABS(22-'Campaign Portfolio'!F12)/MAX('Campaign Portfolio'!F12-'Campaign Portfolio'!E12,'Campaign Portfolio'!G12-'Campaign Portfolio'!F12)))</x:f>
        <x:v>0</x:v>
      </x:c>
      <x:c r="X12" s="14" t="n">
        <x:f>IF(OR(23&lt;'Campaign Portfolio'!E12,23&gt;'Campaign Portfolio'!G12),0,0.2+0.8*(1-ABS(23-'Campaign Portfolio'!F12)/MAX('Campaign Portfolio'!F12-'Campaign Portfolio'!E12,'Campaign Portfolio'!G12-'Campaign Portfolio'!F12)))</x:f>
        <x:v>0</x:v>
      </x:c>
      <x:c r="Y12" s="14" t="n">
        <x:f>IF(OR(24&lt;'Campaign Portfolio'!E12,24&gt;'Campaign Portfolio'!G12),0,0.2+0.8*(1-ABS(24-'Campaign Portfolio'!F12)/MAX('Campaign Portfolio'!F12-'Campaign Portfolio'!E12,'Campaign Portfolio'!G12-'Campaign Portfolio'!F12)))</x:f>
        <x:v>0</x:v>
      </x:c>
      <x:c r="Z12" s="14" t="n">
        <x:f>IF(OR(25&lt;'Campaign Portfolio'!E12,25&gt;'Campaign Portfolio'!G12),0,0.2+0.8*(1-ABS(25-'Campaign Portfolio'!F12)/MAX('Campaign Portfolio'!F12-'Campaign Portfolio'!E12,'Campaign Portfolio'!G12-'Campaign Portfolio'!F12)))</x:f>
        <x:v>0</x:v>
      </x:c>
    </x:row>
    <x:row r="13" ht="15" hidden="0" customHeight="1">
      <x:c r="A13" s="14" t="str">
        <x:v>C09</x:v>
      </x:c>
      <x:c r="B13" s="14" t="n">
        <x:f>IF(OR(1&lt;'Campaign Portfolio'!E13,1&gt;'Campaign Portfolio'!G13),0,0.2+0.8*(1-ABS(1-'Campaign Portfolio'!F13)/MAX('Campaign Portfolio'!F13-'Campaign Portfolio'!E13,'Campaign Portfolio'!G13-'Campaign Portfolio'!F13)))</x:f>
        <x:v>0.4</x:v>
      </x:c>
      <x:c r="C13" s="14" t="n">
        <x:f>IF(OR(2&lt;'Campaign Portfolio'!E13,2&gt;'Campaign Portfolio'!G13),0,0.2+0.8*(1-ABS(2-'Campaign Portfolio'!F13)/MAX('Campaign Portfolio'!F13-'Campaign Portfolio'!E13,'Campaign Portfolio'!G13-'Campaign Portfolio'!F13)))</x:f>
        <x:v>0.5</x:v>
      </x:c>
      <x:c r="D13" s="14" t="n">
        <x:f>IF(OR(3&lt;'Campaign Portfolio'!E13,3&gt;'Campaign Portfolio'!G13),0,0.2+0.8*(1-ABS(3-'Campaign Portfolio'!F13)/MAX('Campaign Portfolio'!F13-'Campaign Portfolio'!E13,'Campaign Portfolio'!G13-'Campaign Portfolio'!F13)))</x:f>
        <x:v>0.6000000000000001</x:v>
      </x:c>
      <x:c r="E13" s="14" t="n">
        <x:f>IF(OR(4&lt;'Campaign Portfolio'!E13,4&gt;'Campaign Portfolio'!G13),0,0.2+0.8*(1-ABS(4-'Campaign Portfolio'!F13)/MAX('Campaign Portfolio'!F13-'Campaign Portfolio'!E13,'Campaign Portfolio'!G13-'Campaign Portfolio'!F13)))</x:f>
        <x:v>0.7</x:v>
      </x:c>
      <x:c r="F13" s="14" t="n">
        <x:f>IF(OR(5&lt;'Campaign Portfolio'!E13,5&gt;'Campaign Portfolio'!G13),0,0.2+0.8*(1-ABS(5-'Campaign Portfolio'!F13)/MAX('Campaign Portfolio'!F13-'Campaign Portfolio'!E13,'Campaign Portfolio'!G13-'Campaign Portfolio'!F13)))</x:f>
        <x:v>0.8</x:v>
      </x:c>
      <x:c r="G13" s="14" t="n">
        <x:f>IF(OR(6&lt;'Campaign Portfolio'!E13,6&gt;'Campaign Portfolio'!G13),0,0.2+0.8*(1-ABS(6-'Campaign Portfolio'!F13)/MAX('Campaign Portfolio'!F13-'Campaign Portfolio'!E13,'Campaign Portfolio'!G13-'Campaign Portfolio'!F13)))</x:f>
        <x:v>0.9000000000000001</x:v>
      </x:c>
      <x:c r="H13" s="14" t="n">
        <x:f>IF(OR(7&lt;'Campaign Portfolio'!E13,7&gt;'Campaign Portfolio'!G13),0,0.2+0.8*(1-ABS(7-'Campaign Portfolio'!F13)/MAX('Campaign Portfolio'!F13-'Campaign Portfolio'!E13,'Campaign Portfolio'!G13-'Campaign Portfolio'!F13)))</x:f>
        <x:v>1</x:v>
      </x:c>
      <x:c r="I13" s="14" t="n">
        <x:f>IF(OR(8&lt;'Campaign Portfolio'!E13,8&gt;'Campaign Portfolio'!G13),0,0.2+0.8*(1-ABS(8-'Campaign Portfolio'!F13)/MAX('Campaign Portfolio'!F13-'Campaign Portfolio'!E13,'Campaign Portfolio'!G13-'Campaign Portfolio'!F13)))</x:f>
        <x:v>0.9000000000000001</x:v>
      </x:c>
      <x:c r="J13" s="14" t="n">
        <x:f>IF(OR(9&lt;'Campaign Portfolio'!E13,9&gt;'Campaign Portfolio'!G13),0,0.2+0.8*(1-ABS(9-'Campaign Portfolio'!F13)/MAX('Campaign Portfolio'!F13-'Campaign Portfolio'!E13,'Campaign Portfolio'!G13-'Campaign Portfolio'!F13)))</x:f>
        <x:v>0.8</x:v>
      </x:c>
      <x:c r="K13" s="14" t="n">
        <x:f>IF(OR(10&lt;'Campaign Portfolio'!E13,10&gt;'Campaign Portfolio'!G13),0,0.2+0.8*(1-ABS(10-'Campaign Portfolio'!F13)/MAX('Campaign Portfolio'!F13-'Campaign Portfolio'!E13,'Campaign Portfolio'!G13-'Campaign Portfolio'!F13)))</x:f>
        <x:v>0.7</x:v>
      </x:c>
      <x:c r="L13" s="14" t="n">
        <x:f>IF(OR(11&lt;'Campaign Portfolio'!E13,11&gt;'Campaign Portfolio'!G13),0,0.2+0.8*(1-ABS(11-'Campaign Portfolio'!F13)/MAX('Campaign Portfolio'!F13-'Campaign Portfolio'!E13,'Campaign Portfolio'!G13-'Campaign Portfolio'!F13)))</x:f>
        <x:v>0.6000000000000001</x:v>
      </x:c>
      <x:c r="M13" s="14" t="n">
        <x:f>IF(OR(12&lt;'Campaign Portfolio'!E13,12&gt;'Campaign Portfolio'!G13),0,0.2+0.8*(1-ABS(12-'Campaign Portfolio'!F13)/MAX('Campaign Portfolio'!F13-'Campaign Portfolio'!E13,'Campaign Portfolio'!G13-'Campaign Portfolio'!F13)))</x:f>
        <x:v>0.5</x:v>
      </x:c>
      <x:c r="N13" s="14" t="n">
        <x:f>IF(OR(13&lt;'Campaign Portfolio'!E13,13&gt;'Campaign Portfolio'!G13),0,0.2+0.8*(1-ABS(13-'Campaign Portfolio'!F13)/MAX('Campaign Portfolio'!F13-'Campaign Portfolio'!E13,'Campaign Portfolio'!G13-'Campaign Portfolio'!F13)))</x:f>
        <x:v>0.4</x:v>
      </x:c>
      <x:c r="O13" s="14" t="n">
        <x:f>IF(OR(14&lt;'Campaign Portfolio'!E13,14&gt;'Campaign Portfolio'!G13),0,0.2+0.8*(1-ABS(14-'Campaign Portfolio'!F13)/MAX('Campaign Portfolio'!F13-'Campaign Portfolio'!E13,'Campaign Portfolio'!G13-'Campaign Portfolio'!F13)))</x:f>
        <x:v>0.30000000000000004</x:v>
      </x:c>
      <x:c r="P13" s="14" t="n">
        <x:f>IF(OR(15&lt;'Campaign Portfolio'!E13,15&gt;'Campaign Portfolio'!G13),0,0.2+0.8*(1-ABS(15-'Campaign Portfolio'!F13)/MAX('Campaign Portfolio'!F13-'Campaign Portfolio'!E13,'Campaign Portfolio'!G13-'Campaign Portfolio'!F13)))</x:f>
        <x:v>0.2</x:v>
      </x:c>
      <x:c r="Q13" s="14" t="n">
        <x:f>IF(OR(16&lt;'Campaign Portfolio'!E13,16&gt;'Campaign Portfolio'!G13),0,0.2+0.8*(1-ABS(16-'Campaign Portfolio'!F13)/MAX('Campaign Portfolio'!F13-'Campaign Portfolio'!E13,'Campaign Portfolio'!G13-'Campaign Portfolio'!F13)))</x:f>
        <x:v>0</x:v>
      </x:c>
      <x:c r="R13" s="14" t="n">
        <x:f>IF(OR(17&lt;'Campaign Portfolio'!E13,17&gt;'Campaign Portfolio'!G13),0,0.2+0.8*(1-ABS(17-'Campaign Portfolio'!F13)/MAX('Campaign Portfolio'!F13-'Campaign Portfolio'!E13,'Campaign Portfolio'!G13-'Campaign Portfolio'!F13)))</x:f>
        <x:v>0</x:v>
      </x:c>
      <x:c r="S13" s="14" t="n">
        <x:f>IF(OR(18&lt;'Campaign Portfolio'!E13,18&gt;'Campaign Portfolio'!G13),0,0.2+0.8*(1-ABS(18-'Campaign Portfolio'!F13)/MAX('Campaign Portfolio'!F13-'Campaign Portfolio'!E13,'Campaign Portfolio'!G13-'Campaign Portfolio'!F13)))</x:f>
        <x:v>0</x:v>
      </x:c>
      <x:c r="T13" s="14" t="n">
        <x:f>IF(OR(19&lt;'Campaign Portfolio'!E13,19&gt;'Campaign Portfolio'!G13),0,0.2+0.8*(1-ABS(19-'Campaign Portfolio'!F13)/MAX('Campaign Portfolio'!F13-'Campaign Portfolio'!E13,'Campaign Portfolio'!G13-'Campaign Portfolio'!F13)))</x:f>
        <x:v>0</x:v>
      </x:c>
      <x:c r="U13" s="14" t="n">
        <x:f>IF(OR(20&lt;'Campaign Portfolio'!E13,20&gt;'Campaign Portfolio'!G13),0,0.2+0.8*(1-ABS(20-'Campaign Portfolio'!F13)/MAX('Campaign Portfolio'!F13-'Campaign Portfolio'!E13,'Campaign Portfolio'!G13-'Campaign Portfolio'!F13)))</x:f>
        <x:v>0</x:v>
      </x:c>
      <x:c r="V13" s="14" t="n">
        <x:f>IF(OR(21&lt;'Campaign Portfolio'!E13,21&gt;'Campaign Portfolio'!G13),0,0.2+0.8*(1-ABS(21-'Campaign Portfolio'!F13)/MAX('Campaign Portfolio'!F13-'Campaign Portfolio'!E13,'Campaign Portfolio'!G13-'Campaign Portfolio'!F13)))</x:f>
        <x:v>0</x:v>
      </x:c>
      <x:c r="W13" s="14" t="n">
        <x:f>IF(OR(22&lt;'Campaign Portfolio'!E13,22&gt;'Campaign Portfolio'!G13),0,0.2+0.8*(1-ABS(22-'Campaign Portfolio'!F13)/MAX('Campaign Portfolio'!F13-'Campaign Portfolio'!E13,'Campaign Portfolio'!G13-'Campaign Portfolio'!F13)))</x:f>
        <x:v>0</x:v>
      </x:c>
      <x:c r="X13" s="14" t="n">
        <x:f>IF(OR(23&lt;'Campaign Portfolio'!E13,23&gt;'Campaign Portfolio'!G13),0,0.2+0.8*(1-ABS(23-'Campaign Portfolio'!F13)/MAX('Campaign Portfolio'!F13-'Campaign Portfolio'!E13,'Campaign Portfolio'!G13-'Campaign Portfolio'!F13)))</x:f>
        <x:v>0</x:v>
      </x:c>
      <x:c r="Y13" s="14" t="n">
        <x:f>IF(OR(24&lt;'Campaign Portfolio'!E13,24&gt;'Campaign Portfolio'!G13),0,0.2+0.8*(1-ABS(24-'Campaign Portfolio'!F13)/MAX('Campaign Portfolio'!F13-'Campaign Portfolio'!E13,'Campaign Portfolio'!G13-'Campaign Portfolio'!F13)))</x:f>
        <x:v>0</x:v>
      </x:c>
      <x:c r="Z13" s="14" t="n">
        <x:f>IF(OR(25&lt;'Campaign Portfolio'!E13,25&gt;'Campaign Portfolio'!G13),0,0.2+0.8*(1-ABS(25-'Campaign Portfolio'!F13)/MAX('Campaign Portfolio'!F13-'Campaign Portfolio'!E13,'Campaign Portfolio'!G13-'Campaign Portfolio'!F13)))</x:f>
        <x:v>0</x:v>
      </x:c>
    </x:row>
    <x:row r="14" ht="15" hidden="0" customHeight="1">
      <x:c r="A14" s="14" t="str">
        <x:v>C10</x:v>
      </x:c>
      <x:c r="B14" s="14" t="n">
        <x:f>IF(OR(1&lt;'Campaign Portfolio'!E14,1&gt;'Campaign Portfolio'!G14),0,0.2+0.8*(1-ABS(1-'Campaign Portfolio'!F14)/MAX('Campaign Portfolio'!F14-'Campaign Portfolio'!E14,'Campaign Portfolio'!G14-'Campaign Portfolio'!F14)))</x:f>
        <x:v>0</x:v>
      </x:c>
      <x:c r="C14" s="14" t="n">
        <x:f>IF(OR(2&lt;'Campaign Portfolio'!E14,2&gt;'Campaign Portfolio'!G14),0,0.2+0.8*(1-ABS(2-'Campaign Portfolio'!F14)/MAX('Campaign Portfolio'!F14-'Campaign Portfolio'!E14,'Campaign Portfolio'!G14-'Campaign Portfolio'!F14)))</x:f>
        <x:v>0</x:v>
      </x:c>
      <x:c r="D14" s="14" t="n">
        <x:f>IF(OR(3&lt;'Campaign Portfolio'!E14,3&gt;'Campaign Portfolio'!G14),0,0.2+0.8*(1-ABS(3-'Campaign Portfolio'!F14)/MAX('Campaign Portfolio'!F14-'Campaign Portfolio'!E14,'Campaign Portfolio'!G14-'Campaign Portfolio'!F14)))</x:f>
        <x:v>0.4181818181818182</x:v>
      </x:c>
      <x:c r="E14" s="14" t="n">
        <x:f>IF(OR(4&lt;'Campaign Portfolio'!E14,4&gt;'Campaign Portfolio'!G14),0,0.2+0.8*(1-ABS(4-'Campaign Portfolio'!F14)/MAX('Campaign Portfolio'!F14-'Campaign Portfolio'!E14,'Campaign Portfolio'!G14-'Campaign Portfolio'!F14)))</x:f>
        <x:v>0.49090909090909096</x:v>
      </x:c>
      <x:c r="F14" s="14" t="n">
        <x:f>IF(OR(5&lt;'Campaign Portfolio'!E14,5&gt;'Campaign Portfolio'!G14),0,0.2+0.8*(1-ABS(5-'Campaign Portfolio'!F14)/MAX('Campaign Portfolio'!F14-'Campaign Portfolio'!E14,'Campaign Portfolio'!G14-'Campaign Portfolio'!F14)))</x:f>
        <x:v>0.5636363636363637</x:v>
      </x:c>
      <x:c r="G14" s="14" t="n">
        <x:f>IF(OR(6&lt;'Campaign Portfolio'!E14,6&gt;'Campaign Portfolio'!G14),0,0.2+0.8*(1-ABS(6-'Campaign Portfolio'!F14)/MAX('Campaign Portfolio'!F14-'Campaign Portfolio'!E14,'Campaign Portfolio'!G14-'Campaign Portfolio'!F14)))</x:f>
        <x:v>0.6363636363636364</x:v>
      </x:c>
      <x:c r="H14" s="14" t="n">
        <x:f>IF(OR(7&lt;'Campaign Portfolio'!E14,7&gt;'Campaign Portfolio'!G14),0,0.2+0.8*(1-ABS(7-'Campaign Portfolio'!F14)/MAX('Campaign Portfolio'!F14-'Campaign Portfolio'!E14,'Campaign Portfolio'!G14-'Campaign Portfolio'!F14)))</x:f>
        <x:v>0.7090909090909092</x:v>
      </x:c>
      <x:c r="I14" s="14" t="n">
        <x:f>IF(OR(8&lt;'Campaign Portfolio'!E14,8&gt;'Campaign Portfolio'!G14),0,0.2+0.8*(1-ABS(8-'Campaign Portfolio'!F14)/MAX('Campaign Portfolio'!F14-'Campaign Portfolio'!E14,'Campaign Portfolio'!G14-'Campaign Portfolio'!F14)))</x:f>
        <x:v>0.781818181818182</x:v>
      </x:c>
      <x:c r="J14" s="14" t="n">
        <x:f>IF(OR(9&lt;'Campaign Portfolio'!E14,9&gt;'Campaign Portfolio'!G14),0,0.2+0.8*(1-ABS(9-'Campaign Portfolio'!F14)/MAX('Campaign Portfolio'!F14-'Campaign Portfolio'!E14,'Campaign Portfolio'!G14-'Campaign Portfolio'!F14)))</x:f>
        <x:v>0.8545454545454545</x:v>
      </x:c>
      <x:c r="K14" s="14" t="n">
        <x:f>IF(OR(10&lt;'Campaign Portfolio'!E14,10&gt;'Campaign Portfolio'!G14),0,0.2+0.8*(1-ABS(10-'Campaign Portfolio'!F14)/MAX('Campaign Portfolio'!F14-'Campaign Portfolio'!E14,'Campaign Portfolio'!G14-'Campaign Portfolio'!F14)))</x:f>
        <x:v>0.9272727272727272</x:v>
      </x:c>
      <x:c r="L14" s="14" t="n">
        <x:f>IF(OR(11&lt;'Campaign Portfolio'!E14,11&gt;'Campaign Portfolio'!G14),0,0.2+0.8*(1-ABS(11-'Campaign Portfolio'!F14)/MAX('Campaign Portfolio'!F14-'Campaign Portfolio'!E14,'Campaign Portfolio'!G14-'Campaign Portfolio'!F14)))</x:f>
        <x:v>1</x:v>
      </x:c>
      <x:c r="M14" s="14" t="n">
        <x:f>IF(OR(12&lt;'Campaign Portfolio'!E14,12&gt;'Campaign Portfolio'!G14),0,0.2+0.8*(1-ABS(12-'Campaign Portfolio'!F14)/MAX('Campaign Portfolio'!F14-'Campaign Portfolio'!E14,'Campaign Portfolio'!G14-'Campaign Portfolio'!F14)))</x:f>
        <x:v>0.9272727272727272</x:v>
      </x:c>
      <x:c r="N14" s="14" t="n">
        <x:f>IF(OR(13&lt;'Campaign Portfolio'!E14,13&gt;'Campaign Portfolio'!G14),0,0.2+0.8*(1-ABS(13-'Campaign Portfolio'!F14)/MAX('Campaign Portfolio'!F14-'Campaign Portfolio'!E14,'Campaign Portfolio'!G14-'Campaign Portfolio'!F14)))</x:f>
        <x:v>0.8545454545454545</x:v>
      </x:c>
      <x:c r="O14" s="14" t="n">
        <x:f>IF(OR(14&lt;'Campaign Portfolio'!E14,14&gt;'Campaign Portfolio'!G14),0,0.2+0.8*(1-ABS(14-'Campaign Portfolio'!F14)/MAX('Campaign Portfolio'!F14-'Campaign Portfolio'!E14,'Campaign Portfolio'!G14-'Campaign Portfolio'!F14)))</x:f>
        <x:v>0.781818181818182</x:v>
      </x:c>
      <x:c r="P14" s="14" t="n">
        <x:f>IF(OR(15&lt;'Campaign Portfolio'!E14,15&gt;'Campaign Portfolio'!G14),0,0.2+0.8*(1-ABS(15-'Campaign Portfolio'!F14)/MAX('Campaign Portfolio'!F14-'Campaign Portfolio'!E14,'Campaign Portfolio'!G14-'Campaign Portfolio'!F14)))</x:f>
        <x:v>0.7090909090909092</x:v>
      </x:c>
      <x:c r="Q14" s="14" t="n">
        <x:f>IF(OR(16&lt;'Campaign Portfolio'!E14,16&gt;'Campaign Portfolio'!G14),0,0.2+0.8*(1-ABS(16-'Campaign Portfolio'!F14)/MAX('Campaign Portfolio'!F14-'Campaign Portfolio'!E14,'Campaign Portfolio'!G14-'Campaign Portfolio'!F14)))</x:f>
        <x:v>0.6363636363636364</x:v>
      </x:c>
      <x:c r="R14" s="14" t="n">
        <x:f>IF(OR(17&lt;'Campaign Portfolio'!E14,17&gt;'Campaign Portfolio'!G14),0,0.2+0.8*(1-ABS(17-'Campaign Portfolio'!F14)/MAX('Campaign Portfolio'!F14-'Campaign Portfolio'!E14,'Campaign Portfolio'!G14-'Campaign Portfolio'!F14)))</x:f>
        <x:v>0.5636363636363637</x:v>
      </x:c>
      <x:c r="S14" s="14" t="n">
        <x:f>IF(OR(18&lt;'Campaign Portfolio'!E14,18&gt;'Campaign Portfolio'!G14),0,0.2+0.8*(1-ABS(18-'Campaign Portfolio'!F14)/MAX('Campaign Portfolio'!F14-'Campaign Portfolio'!E14,'Campaign Portfolio'!G14-'Campaign Portfolio'!F14)))</x:f>
        <x:v>0.49090909090909096</x:v>
      </x:c>
      <x:c r="T14" s="14" t="n">
        <x:f>IF(OR(19&lt;'Campaign Portfolio'!E14,19&gt;'Campaign Portfolio'!G14),0,0.2+0.8*(1-ABS(19-'Campaign Portfolio'!F14)/MAX('Campaign Portfolio'!F14-'Campaign Portfolio'!E14,'Campaign Portfolio'!G14-'Campaign Portfolio'!F14)))</x:f>
        <x:v>0.4181818181818182</x:v>
      </x:c>
      <x:c r="U14" s="14" t="n">
        <x:f>IF(OR(20&lt;'Campaign Portfolio'!E14,20&gt;'Campaign Portfolio'!G14),0,0.2+0.8*(1-ABS(20-'Campaign Portfolio'!F14)/MAX('Campaign Portfolio'!F14-'Campaign Portfolio'!E14,'Campaign Portfolio'!G14-'Campaign Portfolio'!F14)))</x:f>
        <x:v>0.34545454545454546</x:v>
      </x:c>
      <x:c r="V14" s="14" t="n">
        <x:f>IF(OR(21&lt;'Campaign Portfolio'!E14,21&gt;'Campaign Portfolio'!G14),0,0.2+0.8*(1-ABS(21-'Campaign Portfolio'!F14)/MAX('Campaign Portfolio'!F14-'Campaign Portfolio'!E14,'Campaign Portfolio'!G14-'Campaign Portfolio'!F14)))</x:f>
        <x:v>0.27272727272727276</x:v>
      </x:c>
      <x:c r="W14" s="14" t="n">
        <x:f>IF(OR(22&lt;'Campaign Portfolio'!E14,22&gt;'Campaign Portfolio'!G14),0,0.2+0.8*(1-ABS(22-'Campaign Portfolio'!F14)/MAX('Campaign Portfolio'!F14-'Campaign Portfolio'!E14,'Campaign Portfolio'!G14-'Campaign Portfolio'!F14)))</x:f>
        <x:v>0.2</x:v>
      </x:c>
      <x:c r="X14" s="14" t="n">
        <x:f>IF(OR(23&lt;'Campaign Portfolio'!E14,23&gt;'Campaign Portfolio'!G14),0,0.2+0.8*(1-ABS(23-'Campaign Portfolio'!F14)/MAX('Campaign Portfolio'!F14-'Campaign Portfolio'!E14,'Campaign Portfolio'!G14-'Campaign Portfolio'!F14)))</x:f>
        <x:v>0</x:v>
      </x:c>
      <x:c r="Y14" s="14" t="n">
        <x:f>IF(OR(24&lt;'Campaign Portfolio'!E14,24&gt;'Campaign Portfolio'!G14),0,0.2+0.8*(1-ABS(24-'Campaign Portfolio'!F14)/MAX('Campaign Portfolio'!F14-'Campaign Portfolio'!E14,'Campaign Portfolio'!G14-'Campaign Portfolio'!F14)))</x:f>
        <x:v>0</x:v>
      </x:c>
      <x:c r="Z14" s="14" t="n">
        <x:f>IF(OR(25&lt;'Campaign Portfolio'!E14,25&gt;'Campaign Portfolio'!G14),0,0.2+0.8*(1-ABS(25-'Campaign Portfolio'!F14)/MAX('Campaign Portfolio'!F14-'Campaign Portfolio'!E14,'Campaign Portfolio'!G14-'Campaign Portfolio'!F14)))</x:f>
        <x:v>0</x:v>
      </x:c>
    </x:row>
    <x:row r="15" ht="15" hidden="0" customHeight="1">
      <x:c r="A15" s="14" t="str">
        <x:v>C11</x:v>
      </x:c>
      <x:c r="B15" s="14" t="n">
        <x:f>IF(OR(1&lt;'Campaign Portfolio'!E15,1&gt;'Campaign Portfolio'!G15),0,0.2+0.8*(1-ABS(1-'Campaign Portfolio'!F15)/MAX('Campaign Portfolio'!F15-'Campaign Portfolio'!E15,'Campaign Portfolio'!G15-'Campaign Portfolio'!F15)))</x:f>
        <x:v>0.3230769230769231</x:v>
      </x:c>
      <x:c r="C15" s="14" t="n">
        <x:f>IF(OR(2&lt;'Campaign Portfolio'!E15,2&gt;'Campaign Portfolio'!G15),0,0.2+0.8*(1-ABS(2-'Campaign Portfolio'!F15)/MAX('Campaign Portfolio'!F15-'Campaign Portfolio'!E15,'Campaign Portfolio'!G15-'Campaign Portfolio'!F15)))</x:f>
        <x:v>0.3846153846153846</x:v>
      </x:c>
      <x:c r="D15" s="14" t="n">
        <x:f>IF(OR(3&lt;'Campaign Portfolio'!E15,3&gt;'Campaign Portfolio'!G15),0,0.2+0.8*(1-ABS(3-'Campaign Portfolio'!F15)/MAX('Campaign Portfolio'!F15-'Campaign Portfolio'!E15,'Campaign Portfolio'!G15-'Campaign Portfolio'!F15)))</x:f>
        <x:v>0.4461538461538462</x:v>
      </x:c>
      <x:c r="E15" s="14" t="n">
        <x:f>IF(OR(4&lt;'Campaign Portfolio'!E15,4&gt;'Campaign Portfolio'!G15),0,0.2+0.8*(1-ABS(4-'Campaign Portfolio'!F15)/MAX('Campaign Portfolio'!F15-'Campaign Portfolio'!E15,'Campaign Portfolio'!G15-'Campaign Portfolio'!F15)))</x:f>
        <x:v>0.5076923076923077</x:v>
      </x:c>
      <x:c r="F15" s="14" t="n">
        <x:f>IF(OR(5&lt;'Campaign Portfolio'!E15,5&gt;'Campaign Portfolio'!G15),0,0.2+0.8*(1-ABS(5-'Campaign Portfolio'!F15)/MAX('Campaign Portfolio'!F15-'Campaign Portfolio'!E15,'Campaign Portfolio'!G15-'Campaign Portfolio'!F15)))</x:f>
        <x:v>0.5692307692307692</x:v>
      </x:c>
      <x:c r="G15" s="14" t="n">
        <x:f>IF(OR(6&lt;'Campaign Portfolio'!E15,6&gt;'Campaign Portfolio'!G15),0,0.2+0.8*(1-ABS(6-'Campaign Portfolio'!F15)/MAX('Campaign Portfolio'!F15-'Campaign Portfolio'!E15,'Campaign Portfolio'!G15-'Campaign Portfolio'!F15)))</x:f>
        <x:v>0.6307692307692307</x:v>
      </x:c>
      <x:c r="H15" s="14" t="n">
        <x:f>IF(OR(7&lt;'Campaign Portfolio'!E15,7&gt;'Campaign Portfolio'!G15),0,0.2+0.8*(1-ABS(7-'Campaign Portfolio'!F15)/MAX('Campaign Portfolio'!F15-'Campaign Portfolio'!E15,'Campaign Portfolio'!G15-'Campaign Portfolio'!F15)))</x:f>
        <x:v>0.6923076923076923</x:v>
      </x:c>
      <x:c r="I15" s="14" t="n">
        <x:f>IF(OR(8&lt;'Campaign Portfolio'!E15,8&gt;'Campaign Portfolio'!G15),0,0.2+0.8*(1-ABS(8-'Campaign Portfolio'!F15)/MAX('Campaign Portfolio'!F15-'Campaign Portfolio'!E15,'Campaign Portfolio'!G15-'Campaign Portfolio'!F15)))</x:f>
        <x:v>0.7538461538461538</x:v>
      </x:c>
      <x:c r="J15" s="14" t="n">
        <x:f>IF(OR(9&lt;'Campaign Portfolio'!E15,9&gt;'Campaign Portfolio'!G15),0,0.2+0.8*(1-ABS(9-'Campaign Portfolio'!F15)/MAX('Campaign Portfolio'!F15-'Campaign Portfolio'!E15,'Campaign Portfolio'!G15-'Campaign Portfolio'!F15)))</x:f>
        <x:v>0.8153846153846154</x:v>
      </x:c>
      <x:c r="K15" s="14" t="n">
        <x:f>IF(OR(10&lt;'Campaign Portfolio'!E15,10&gt;'Campaign Portfolio'!G15),0,0.2+0.8*(1-ABS(10-'Campaign Portfolio'!F15)/MAX('Campaign Portfolio'!F15-'Campaign Portfolio'!E15,'Campaign Portfolio'!G15-'Campaign Portfolio'!F15)))</x:f>
        <x:v>0.8769230769230769</x:v>
      </x:c>
      <x:c r="L15" s="14" t="n">
        <x:f>IF(OR(11&lt;'Campaign Portfolio'!E15,11&gt;'Campaign Portfolio'!G15),0,0.2+0.8*(1-ABS(11-'Campaign Portfolio'!F15)/MAX('Campaign Portfolio'!F15-'Campaign Portfolio'!E15,'Campaign Portfolio'!G15-'Campaign Portfolio'!F15)))</x:f>
        <x:v>0.9384615384615385</x:v>
      </x:c>
      <x:c r="M15" s="14" t="n">
        <x:f>IF(OR(12&lt;'Campaign Portfolio'!E15,12&gt;'Campaign Portfolio'!G15),0,0.2+0.8*(1-ABS(12-'Campaign Portfolio'!F15)/MAX('Campaign Portfolio'!F15-'Campaign Portfolio'!E15,'Campaign Portfolio'!G15-'Campaign Portfolio'!F15)))</x:f>
        <x:v>1</x:v>
      </x:c>
      <x:c r="N15" s="14" t="n">
        <x:f>IF(OR(13&lt;'Campaign Portfolio'!E15,13&gt;'Campaign Portfolio'!G15),0,0.2+0.8*(1-ABS(13-'Campaign Portfolio'!F15)/MAX('Campaign Portfolio'!F15-'Campaign Portfolio'!E15,'Campaign Portfolio'!G15-'Campaign Portfolio'!F15)))</x:f>
        <x:v>0.9384615384615385</x:v>
      </x:c>
      <x:c r="O15" s="14" t="n">
        <x:f>IF(OR(14&lt;'Campaign Portfolio'!E15,14&gt;'Campaign Portfolio'!G15),0,0.2+0.8*(1-ABS(14-'Campaign Portfolio'!F15)/MAX('Campaign Portfolio'!F15-'Campaign Portfolio'!E15,'Campaign Portfolio'!G15-'Campaign Portfolio'!F15)))</x:f>
        <x:v>0.8769230769230769</x:v>
      </x:c>
      <x:c r="P15" s="14" t="n">
        <x:f>IF(OR(15&lt;'Campaign Portfolio'!E15,15&gt;'Campaign Portfolio'!G15),0,0.2+0.8*(1-ABS(15-'Campaign Portfolio'!F15)/MAX('Campaign Portfolio'!F15-'Campaign Portfolio'!E15,'Campaign Portfolio'!G15-'Campaign Portfolio'!F15)))</x:f>
        <x:v>0.8153846153846154</x:v>
      </x:c>
      <x:c r="Q15" s="14" t="n">
        <x:f>IF(OR(16&lt;'Campaign Portfolio'!E15,16&gt;'Campaign Portfolio'!G15),0,0.2+0.8*(1-ABS(16-'Campaign Portfolio'!F15)/MAX('Campaign Portfolio'!F15-'Campaign Portfolio'!E15,'Campaign Portfolio'!G15-'Campaign Portfolio'!F15)))</x:f>
        <x:v>0.7538461538461538</x:v>
      </x:c>
      <x:c r="R15" s="14" t="n">
        <x:f>IF(OR(17&lt;'Campaign Portfolio'!E15,17&gt;'Campaign Portfolio'!G15),0,0.2+0.8*(1-ABS(17-'Campaign Portfolio'!F15)/MAX('Campaign Portfolio'!F15-'Campaign Portfolio'!E15,'Campaign Portfolio'!G15-'Campaign Portfolio'!F15)))</x:f>
        <x:v>0.6923076923076923</x:v>
      </x:c>
      <x:c r="S15" s="14" t="n">
        <x:f>IF(OR(18&lt;'Campaign Portfolio'!E15,18&gt;'Campaign Portfolio'!G15),0,0.2+0.8*(1-ABS(18-'Campaign Portfolio'!F15)/MAX('Campaign Portfolio'!F15-'Campaign Portfolio'!E15,'Campaign Portfolio'!G15-'Campaign Portfolio'!F15)))</x:f>
        <x:v>0.6307692307692307</x:v>
      </x:c>
      <x:c r="T15" s="14" t="n">
        <x:f>IF(OR(19&lt;'Campaign Portfolio'!E15,19&gt;'Campaign Portfolio'!G15),0,0.2+0.8*(1-ABS(19-'Campaign Portfolio'!F15)/MAX('Campaign Portfolio'!F15-'Campaign Portfolio'!E15,'Campaign Portfolio'!G15-'Campaign Portfolio'!F15)))</x:f>
        <x:v>0.5692307692307692</x:v>
      </x:c>
      <x:c r="U15" s="14" t="n">
        <x:f>IF(OR(20&lt;'Campaign Portfolio'!E15,20&gt;'Campaign Portfolio'!G15),0,0.2+0.8*(1-ABS(20-'Campaign Portfolio'!F15)/MAX('Campaign Portfolio'!F15-'Campaign Portfolio'!E15,'Campaign Portfolio'!G15-'Campaign Portfolio'!F15)))</x:f>
        <x:v>0.5076923076923077</x:v>
      </x:c>
      <x:c r="V15" s="14" t="n">
        <x:f>IF(OR(21&lt;'Campaign Portfolio'!E15,21&gt;'Campaign Portfolio'!G15),0,0.2+0.8*(1-ABS(21-'Campaign Portfolio'!F15)/MAX('Campaign Portfolio'!F15-'Campaign Portfolio'!E15,'Campaign Portfolio'!G15-'Campaign Portfolio'!F15)))</x:f>
        <x:v>0.4461538461538462</x:v>
      </x:c>
      <x:c r="W15" s="14" t="n">
        <x:f>IF(OR(22&lt;'Campaign Portfolio'!E15,22&gt;'Campaign Portfolio'!G15),0,0.2+0.8*(1-ABS(22-'Campaign Portfolio'!F15)/MAX('Campaign Portfolio'!F15-'Campaign Portfolio'!E15,'Campaign Portfolio'!G15-'Campaign Portfolio'!F15)))</x:f>
        <x:v>0.3846153846153846</x:v>
      </x:c>
      <x:c r="X15" s="14" t="n">
        <x:f>IF(OR(23&lt;'Campaign Portfolio'!E15,23&gt;'Campaign Portfolio'!G15),0,0.2+0.8*(1-ABS(23-'Campaign Portfolio'!F15)/MAX('Campaign Portfolio'!F15-'Campaign Portfolio'!E15,'Campaign Portfolio'!G15-'Campaign Portfolio'!F15)))</x:f>
        <x:v>0.3230769230769231</x:v>
      </x:c>
      <x:c r="Y15" s="14" t="n">
        <x:f>IF(OR(24&lt;'Campaign Portfolio'!E15,24&gt;'Campaign Portfolio'!G15),0,0.2+0.8*(1-ABS(24-'Campaign Portfolio'!F15)/MAX('Campaign Portfolio'!F15-'Campaign Portfolio'!E15,'Campaign Portfolio'!G15-'Campaign Portfolio'!F15)))</x:f>
        <x:v>0.2615384615384615</x:v>
      </x:c>
      <x:c r="Z15" s="14" t="n">
        <x:f>IF(OR(25&lt;'Campaign Portfolio'!E15,25&gt;'Campaign Portfolio'!G15),0,0.2+0.8*(1-ABS(25-'Campaign Portfolio'!F15)/MAX('Campaign Portfolio'!F15-'Campaign Portfolio'!E15,'Campaign Portfolio'!G15-'Campaign Portfolio'!F15)))</x:f>
        <x:v>0.2</x:v>
      </x:c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 ht="31" customHeight="1">
      <x:c r="A18" s="16" t="str">
        <x:v>Campaign</x:v>
      </x:c>
      <x:c r="B18" s="16" t="str">
        <x:v>Y1 $B</x:v>
      </x:c>
      <x:c r="C18" s="16" t="str">
        <x:v>Y2 $B</x:v>
      </x:c>
      <x:c r="D18" s="16" t="str">
        <x:v>Y3 $B</x:v>
      </x:c>
      <x:c r="E18" s="16" t="str">
        <x:v>Y4 $B</x:v>
      </x:c>
      <x:c r="F18" s="16" t="str">
        <x:v>Y5 $B</x:v>
      </x:c>
      <x:c r="G18" s="16" t="str">
        <x:v>Y6 $B</x:v>
      </x:c>
      <x:c r="H18" s="16" t="str">
        <x:v>Y7 $B</x:v>
      </x:c>
      <x:c r="I18" s="16" t="str">
        <x:v>Y8 $B</x:v>
      </x:c>
      <x:c r="J18" s="16" t="str">
        <x:v>Y9 $B</x:v>
      </x:c>
      <x:c r="K18" s="16" t="str">
        <x:v>Y10 $B</x:v>
      </x:c>
      <x:c r="L18" s="16" t="str">
        <x:v>Y11 $B</x:v>
      </x:c>
      <x:c r="M18" s="16" t="str">
        <x:v>Y12 $B</x:v>
      </x:c>
      <x:c r="N18" s="16" t="str">
        <x:v>Y13 $B</x:v>
      </x:c>
      <x:c r="O18" s="16" t="str">
        <x:v>Y14 $B</x:v>
      </x:c>
      <x:c r="P18" s="16" t="str">
        <x:v>Y15 $B</x:v>
      </x:c>
      <x:c r="Q18" s="16" t="str">
        <x:v>Y16 $B</x:v>
      </x:c>
      <x:c r="R18" s="16" t="str">
        <x:v>Y17 $B</x:v>
      </x:c>
      <x:c r="S18" s="16" t="str">
        <x:v>Y18 $B</x:v>
      </x:c>
      <x:c r="T18" s="16" t="str">
        <x:v>Y19 $B</x:v>
      </x:c>
      <x:c r="U18" s="16" t="str">
        <x:v>Y20 $B</x:v>
      </x:c>
      <x:c r="V18" s="16" t="str">
        <x:v>Y21 $B</x:v>
      </x:c>
      <x:c r="W18" s="16" t="str">
        <x:v>Y22 $B</x:v>
      </x:c>
      <x:c r="X18" s="16" t="str">
        <x:v>Y23 $B</x:v>
      </x:c>
      <x:c r="Y18" s="16" t="str">
        <x:v>Y24 $B</x:v>
      </x:c>
      <x:c r="Z18" s="16" t="str">
        <x:v>Y25 $B</x:v>
      </x:c>
    </x:row>
    <x:row r="19" ht="15" hidden="0" customHeight="1">
      <x:c r="A19" s="14" t="str">
        <x:v>C01</x:v>
      </x:c>
      <x:c r="B19" s="38" t="n">
        <x:f>'Campaign Portfolio'!C5*B5/SUM(B5:Z5)</x:f>
        <x:v>0.6360424028268551</x:v>
      </x:c>
      <x:c r="C19" s="38" t="n">
        <x:f>'Campaign Portfolio'!C5*C5/SUM(B5:Z5)</x:f>
        <x:v>0.8056537102473498</x:v>
      </x:c>
      <x:c r="D19" s="38" t="n">
        <x:f>'Campaign Portfolio'!C5*D5/SUM(B5:Z5)</x:f>
        <x:v>0.9752650176678443</x:v>
      </x:c>
      <x:c r="E19" s="38" t="n">
        <x:f>'Campaign Portfolio'!C5*E5/SUM(B5:Z5)</x:f>
        <x:v>1.1448763250883394</x:v>
      </x:c>
      <x:c r="F19" s="38" t="n">
        <x:f>'Campaign Portfolio'!C5*F5/SUM(B5:Z5)</x:f>
        <x:v>1.314487632508834</x:v>
      </x:c>
      <x:c r="G19" s="38" t="n">
        <x:f>'Campaign Portfolio'!C5*G5/SUM(B5:Z5)</x:f>
        <x:v>1.4840989399293283</x:v>
      </x:c>
      <x:c r="H19" s="38" t="n">
        <x:f>'Campaign Portfolio'!C5*H5/SUM(B5:Z5)</x:f>
        <x:v>1.314487632508834</x:v>
      </x:c>
      <x:c r="I19" s="38" t="n">
        <x:f>'Campaign Portfolio'!C5*I5/SUM(B5:Z5)</x:f>
        <x:v>1.1448763250883394</x:v>
      </x:c>
      <x:c r="J19" s="38" t="n">
        <x:f>'Campaign Portfolio'!C5*J5/SUM(B5:Z5)</x:f>
        <x:v>0.9752650176678443</x:v>
      </x:c>
      <x:c r="K19" s="38" t="n">
        <x:f>'Campaign Portfolio'!C5*K5/SUM(B5:Z5)</x:f>
        <x:v>0.8056537102473498</x:v>
      </x:c>
      <x:c r="L19" s="38" t="n">
        <x:f>'Campaign Portfolio'!C5*L5/SUM(B5:Z5)</x:f>
        <x:v>0.6360424028268551</x:v>
      </x:c>
      <x:c r="M19" s="38" t="n">
        <x:f>'Campaign Portfolio'!C5*M5/SUM(B5:Z5)</x:f>
        <x:v>0.46643109540636046</x:v>
      </x:c>
      <x:c r="N19" s="38" t="n">
        <x:f>'Campaign Portfolio'!C5*N5/SUM(B5:Z5)</x:f>
        <x:v>0.2968197879858657</x:v>
      </x:c>
      <x:c r="O19" s="38" t="n">
        <x:f>'Campaign Portfolio'!C5*O5/SUM(B5:Z5)</x:f>
        <x:v>0</x:v>
      </x:c>
      <x:c r="P19" s="38" t="n">
        <x:f>'Campaign Portfolio'!C5*P5/SUM(B5:Z5)</x:f>
        <x:v>0</x:v>
      </x:c>
      <x:c r="Q19" s="38" t="n">
        <x:f>'Campaign Portfolio'!C5*Q5/SUM(B5:Z5)</x:f>
        <x:v>0</x:v>
      </x:c>
      <x:c r="R19" s="38" t="n">
        <x:f>'Campaign Portfolio'!C5*R5/SUM(B5:Z5)</x:f>
        <x:v>0</x:v>
      </x:c>
      <x:c r="S19" s="38" t="n">
        <x:f>'Campaign Portfolio'!C5*S5/SUM(B5:Z5)</x:f>
        <x:v>0</x:v>
      </x:c>
      <x:c r="T19" s="38" t="n">
        <x:f>'Campaign Portfolio'!C5*T5/SUM(B5:Z5)</x:f>
        <x:v>0</x:v>
      </x:c>
      <x:c r="U19" s="38" t="n">
        <x:f>'Campaign Portfolio'!C5*U5/SUM(B5:Z5)</x:f>
        <x:v>0</x:v>
      </x:c>
      <x:c r="V19" s="38" t="n">
        <x:f>'Campaign Portfolio'!C5*V5/SUM(B5:Z5)</x:f>
        <x:v>0</x:v>
      </x:c>
      <x:c r="W19" s="38" t="n">
        <x:f>'Campaign Portfolio'!C5*W5/SUM(B5:Z5)</x:f>
        <x:v>0</x:v>
      </x:c>
      <x:c r="X19" s="38" t="n">
        <x:f>'Campaign Portfolio'!C5*X5/SUM(B5:Z5)</x:f>
        <x:v>0</x:v>
      </x:c>
      <x:c r="Y19" s="38" t="n">
        <x:f>'Campaign Portfolio'!C5*Y5/SUM(B5:Z5)</x:f>
        <x:v>0</x:v>
      </x:c>
      <x:c r="Z19" s="38" t="n">
        <x:f>'Campaign Portfolio'!C5*Z5/SUM(B5:Z5)</x:f>
        <x:v>0</x:v>
      </x:c>
    </x:row>
    <x:row r="20" ht="15" hidden="0" customHeight="1">
      <x:c r="A20" s="14" t="str">
        <x:v>C02</x:v>
      </x:c>
      <x:c r="B20" s="38" t="n">
        <x:f>'Campaign Portfolio'!C6*B6/SUM(B6:Z6)</x:f>
        <x:v>0.5625</x:v>
      </x:c>
      <x:c r="C20" s="38" t="n">
        <x:f>'Campaign Portfolio'!C6*C6/SUM(B6:Z6)</x:f>
        <x:v>0.7499999999999999</x:v>
      </x:c>
      <x:c r="D20" s="38" t="n">
        <x:f>'Campaign Portfolio'!C6*D6/SUM(B6:Z6)</x:f>
        <x:v>0.9374999999999999</x:v>
      </x:c>
      <x:c r="E20" s="38" t="n">
        <x:f>'Campaign Portfolio'!C6*E6/SUM(B6:Z6)</x:f>
        <x:v>1.125</x:v>
      </x:c>
      <x:c r="F20" s="38" t="n">
        <x:f>'Campaign Portfolio'!C6*F6/SUM(B6:Z6)</x:f>
        <x:v>1.3124999999999998</x:v>
      </x:c>
      <x:c r="G20" s="38" t="n">
        <x:f>'Campaign Portfolio'!C6*G6/SUM(B6:Z6)</x:f>
        <x:v>1.4999999999999998</x:v>
      </x:c>
      <x:c r="H20" s="38" t="n">
        <x:f>'Campaign Portfolio'!C6*H6/SUM(B6:Z6)</x:f>
        <x:v>1.6875</x:v>
      </x:c>
      <x:c r="I20" s="38" t="n">
        <x:f>'Campaign Portfolio'!C6*I6/SUM(B6:Z6)</x:f>
        <x:v>1.8749999999999998</x:v>
      </x:c>
      <x:c r="J20" s="38" t="n">
        <x:f>'Campaign Portfolio'!C6*J6/SUM(B6:Z6)</x:f>
        <x:v>1.6875</x:v>
      </x:c>
      <x:c r="K20" s="38" t="n">
        <x:f>'Campaign Portfolio'!C6*K6/SUM(B6:Z6)</x:f>
        <x:v>1.4999999999999998</x:v>
      </x:c>
      <x:c r="L20" s="38" t="n">
        <x:f>'Campaign Portfolio'!C6*L6/SUM(B6:Z6)</x:f>
        <x:v>1.3124999999999998</x:v>
      </x:c>
      <x:c r="M20" s="38" t="n">
        <x:f>'Campaign Portfolio'!C6*M6/SUM(B6:Z6)</x:f>
        <x:v>1.125</x:v>
      </x:c>
      <x:c r="N20" s="38" t="n">
        <x:f>'Campaign Portfolio'!C6*N6/SUM(B6:Z6)</x:f>
        <x:v>0.9374999999999999</x:v>
      </x:c>
      <x:c r="O20" s="38" t="n">
        <x:f>'Campaign Portfolio'!C6*O6/SUM(B6:Z6)</x:f>
        <x:v>0.7499999999999999</x:v>
      </x:c>
      <x:c r="P20" s="38" t="n">
        <x:f>'Campaign Portfolio'!C6*P6/SUM(B6:Z6)</x:f>
        <x:v>0.5625</x:v>
      </x:c>
      <x:c r="Q20" s="38" t="n">
        <x:f>'Campaign Portfolio'!C6*Q6/SUM(B6:Z6)</x:f>
        <x:v>0.37499999999999994</x:v>
      </x:c>
      <x:c r="R20" s="38" t="n">
        <x:f>'Campaign Portfolio'!C6*R6/SUM(B6:Z6)</x:f>
        <x:v>0</x:v>
      </x:c>
      <x:c r="S20" s="38" t="n">
        <x:f>'Campaign Portfolio'!C6*S6/SUM(B6:Z6)</x:f>
        <x:v>0</x:v>
      </x:c>
      <x:c r="T20" s="38" t="n">
        <x:f>'Campaign Portfolio'!C6*T6/SUM(B6:Z6)</x:f>
        <x:v>0</x:v>
      </x:c>
      <x:c r="U20" s="38" t="n">
        <x:f>'Campaign Portfolio'!C6*U6/SUM(B6:Z6)</x:f>
        <x:v>0</x:v>
      </x:c>
      <x:c r="V20" s="38" t="n">
        <x:f>'Campaign Portfolio'!C6*V6/SUM(B6:Z6)</x:f>
        <x:v>0</x:v>
      </x:c>
      <x:c r="W20" s="38" t="n">
        <x:f>'Campaign Portfolio'!C6*W6/SUM(B6:Z6)</x:f>
        <x:v>0</x:v>
      </x:c>
      <x:c r="X20" s="38" t="n">
        <x:f>'Campaign Portfolio'!C6*X6/SUM(B6:Z6)</x:f>
        <x:v>0</x:v>
      </x:c>
      <x:c r="Y20" s="38" t="n">
        <x:f>'Campaign Portfolio'!C6*Y6/SUM(B6:Z6)</x:f>
        <x:v>0</x:v>
      </x:c>
      <x:c r="Z20" s="38" t="n">
        <x:f>'Campaign Portfolio'!C6*Z6/SUM(B6:Z6)</x:f>
        <x:v>0</x:v>
      </x:c>
    </x:row>
    <x:row r="21" ht="15" hidden="0" customHeight="1">
      <x:c r="A21" s="14" t="str">
        <x:v>C03</x:v>
      </x:c>
      <x:c r="B21" s="38" t="n">
        <x:f>'Campaign Portfolio'!C7*B7/SUM(B7:Z7)</x:f>
        <x:v>0.2857142857142857</x:v>
      </x:c>
      <x:c r="C21" s="38" t="n">
        <x:f>'Campaign Portfolio'!C7*C7/SUM(B7:Z7)</x:f>
        <x:v>0.42857142857142866</x:v>
      </x:c>
      <x:c r="D21" s="38" t="n">
        <x:f>'Campaign Portfolio'!C7*D7/SUM(B7:Z7)</x:f>
        <x:v>0.5714285714285714</x:v>
      </x:c>
      <x:c r="E21" s="38" t="n">
        <x:f>'Campaign Portfolio'!C7*E7/SUM(B7:Z7)</x:f>
        <x:v>0.7142857142857142</x:v>
      </x:c>
      <x:c r="F21" s="38" t="n">
        <x:f>'Campaign Portfolio'!C7*F7/SUM(B7:Z7)</x:f>
        <x:v>0.8571428571428573</x:v>
      </x:c>
      <x:c r="G21" s="38" t="n">
        <x:f>'Campaign Portfolio'!C7*G7/SUM(B7:Z7)</x:f>
        <x:v>0.9999999999999998</x:v>
      </x:c>
      <x:c r="H21" s="38" t="n">
        <x:f>'Campaign Portfolio'!C7*H7/SUM(B7:Z7)</x:f>
        <x:v>1.1428571428571428</x:v>
      </x:c>
      <x:c r="I21" s="38" t="n">
        <x:f>'Campaign Portfolio'!C7*I7/SUM(B7:Z7)</x:f>
        <x:v>1.2857142857142858</x:v>
      </x:c>
      <x:c r="J21" s="38" t="n">
        <x:f>'Campaign Portfolio'!C7*J7/SUM(B7:Z7)</x:f>
        <x:v>1.4285714285714284</x:v>
      </x:c>
      <x:c r="K21" s="38" t="n">
        <x:f>'Campaign Portfolio'!C7*K7/SUM(B7:Z7)</x:f>
        <x:v>1.2857142857142858</x:v>
      </x:c>
      <x:c r="L21" s="38" t="n">
        <x:f>'Campaign Portfolio'!C7*L7/SUM(B7:Z7)</x:f>
        <x:v>1.1428571428571428</x:v>
      </x:c>
      <x:c r="M21" s="38" t="n">
        <x:f>'Campaign Portfolio'!C7*M7/SUM(B7:Z7)</x:f>
        <x:v>0.9999999999999998</x:v>
      </x:c>
      <x:c r="N21" s="38" t="n">
        <x:f>'Campaign Portfolio'!C7*N7/SUM(B7:Z7)</x:f>
        <x:v>0.8571428571428573</x:v>
      </x:c>
      <x:c r="O21" s="38" t="n">
        <x:f>'Campaign Portfolio'!C7*O7/SUM(B7:Z7)</x:f>
        <x:v>0.7142857142857142</x:v>
      </x:c>
      <x:c r="P21" s="38" t="n">
        <x:f>'Campaign Portfolio'!C7*P7/SUM(B7:Z7)</x:f>
        <x:v>0.5714285714285714</x:v>
      </x:c>
      <x:c r="Q21" s="38" t="n">
        <x:f>'Campaign Portfolio'!C7*Q7/SUM(B7:Z7)</x:f>
        <x:v>0.42857142857142866</x:v>
      </x:c>
      <x:c r="R21" s="38" t="n">
        <x:f>'Campaign Portfolio'!C7*R7/SUM(B7:Z7)</x:f>
        <x:v>0.2857142857142857</x:v>
      </x:c>
      <x:c r="S21" s="38" t="n">
        <x:f>'Campaign Portfolio'!C7*S7/SUM(B7:Z7)</x:f>
        <x:v>0</x:v>
      </x:c>
      <x:c r="T21" s="38" t="n">
        <x:f>'Campaign Portfolio'!C7*T7/SUM(B7:Z7)</x:f>
        <x:v>0</x:v>
      </x:c>
      <x:c r="U21" s="38" t="n">
        <x:f>'Campaign Portfolio'!C7*U7/SUM(B7:Z7)</x:f>
        <x:v>0</x:v>
      </x:c>
      <x:c r="V21" s="38" t="n">
        <x:f>'Campaign Portfolio'!C7*V7/SUM(B7:Z7)</x:f>
        <x:v>0</x:v>
      </x:c>
      <x:c r="W21" s="38" t="n">
        <x:f>'Campaign Portfolio'!C7*W7/SUM(B7:Z7)</x:f>
        <x:v>0</x:v>
      </x:c>
      <x:c r="X21" s="38" t="n">
        <x:f>'Campaign Portfolio'!C7*X7/SUM(B7:Z7)</x:f>
        <x:v>0</x:v>
      </x:c>
      <x:c r="Y21" s="38" t="n">
        <x:f>'Campaign Portfolio'!C7*Y7/SUM(B7:Z7)</x:f>
        <x:v>0</x:v>
      </x:c>
      <x:c r="Z21" s="38" t="n">
        <x:f>'Campaign Portfolio'!C7*Z7/SUM(B7:Z7)</x:f>
        <x:v>0</x:v>
      </x:c>
    </x:row>
    <x:row r="22" ht="15" hidden="0" customHeight="1">
      <x:c r="A22" s="14" t="str">
        <x:v>C04</x:v>
      </x:c>
      <x:c r="B22" s="38" t="n">
        <x:f>'Campaign Portfolio'!C8*B8/SUM(B8:Z8)</x:f>
        <x:v>0.37448559670781906</x:v>
      </x:c>
      <x:c r="C22" s="38" t="n">
        <x:f>'Campaign Portfolio'!C8*C8/SUM(B8:Z8)</x:f>
        <x:v>0.48971193415637854</x:v>
      </x:c>
      <x:c r="D22" s="38" t="n">
        <x:f>'Campaign Portfolio'!C8*D8/SUM(B8:Z8)</x:f>
        <x:v>0.6049382716049383</x:v>
      </x:c>
      <x:c r="E22" s="38" t="n">
        <x:f>'Campaign Portfolio'!C8*E8/SUM(B8:Z8)</x:f>
        <x:v>0.720164609053498</x:v>
      </x:c>
      <x:c r="F22" s="38" t="n">
        <x:f>'Campaign Portfolio'!C8*F8/SUM(B8:Z8)</x:f>
        <x:v>0.8353909465020576</x:v>
      </x:c>
      <x:c r="G22" s="38" t="n">
        <x:f>'Campaign Portfolio'!C8*G8/SUM(B8:Z8)</x:f>
        <x:v>0.9506172839506173</x:v>
      </x:c>
      <x:c r="H22" s="38" t="n">
        <x:f>'Campaign Portfolio'!C8*H8/SUM(B8:Z8)</x:f>
        <x:v>1.0658436213991769</x:v>
      </x:c>
      <x:c r="I22" s="38" t="n">
        <x:f>'Campaign Portfolio'!C8*I8/SUM(B8:Z8)</x:f>
        <x:v>1.1810699588477367</x:v>
      </x:c>
      <x:c r="J22" s="38" t="n">
        <x:f>'Campaign Portfolio'!C8*J8/SUM(B8:Z8)</x:f>
        <x:v>1.2962962962962963</x:v>
      </x:c>
      <x:c r="K22" s="38" t="n">
        <x:f>'Campaign Portfolio'!C8*K8/SUM(B8:Z8)</x:f>
        <x:v>1.1810699588477367</x:v>
      </x:c>
      <x:c r="L22" s="38" t="n">
        <x:f>'Campaign Portfolio'!C8*L8/SUM(B8:Z8)</x:f>
        <x:v>1.0658436213991769</x:v>
      </x:c>
      <x:c r="M22" s="38" t="n">
        <x:f>'Campaign Portfolio'!C8*M8/SUM(B8:Z8)</x:f>
        <x:v>0.9506172839506173</x:v>
      </x:c>
      <x:c r="N22" s="38" t="n">
        <x:f>'Campaign Portfolio'!C8*N8/SUM(B8:Z8)</x:f>
        <x:v>0.8353909465020576</x:v>
      </x:c>
      <x:c r="O22" s="38" t="n">
        <x:f>'Campaign Portfolio'!C8*O8/SUM(B8:Z8)</x:f>
        <x:v>0.720164609053498</x:v>
      </x:c>
      <x:c r="P22" s="38" t="n">
        <x:f>'Campaign Portfolio'!C8*P8/SUM(B8:Z8)</x:f>
        <x:v>0.6049382716049383</x:v>
      </x:c>
      <x:c r="Q22" s="38" t="n">
        <x:f>'Campaign Portfolio'!C8*Q8/SUM(B8:Z8)</x:f>
        <x:v>0.48971193415637854</x:v>
      </x:c>
      <x:c r="R22" s="38" t="n">
        <x:f>'Campaign Portfolio'!C8*R8/SUM(B8:Z8)</x:f>
        <x:v>0.37448559670781906</x:v>
      </x:c>
      <x:c r="S22" s="38" t="n">
        <x:f>'Campaign Portfolio'!C8*S8/SUM(B8:Z8)</x:f>
        <x:v>0.25925925925925924</x:v>
      </x:c>
      <x:c r="T22" s="38" t="n">
        <x:f>'Campaign Portfolio'!C8*T8/SUM(B8:Z8)</x:f>
        <x:v>0</x:v>
      </x:c>
      <x:c r="U22" s="38" t="n">
        <x:f>'Campaign Portfolio'!C8*U8/SUM(B8:Z8)</x:f>
        <x:v>0</x:v>
      </x:c>
      <x:c r="V22" s="38" t="n">
        <x:f>'Campaign Portfolio'!C8*V8/SUM(B8:Z8)</x:f>
        <x:v>0</x:v>
      </x:c>
      <x:c r="W22" s="38" t="n">
        <x:f>'Campaign Portfolio'!C8*W8/SUM(B8:Z8)</x:f>
        <x:v>0</x:v>
      </x:c>
      <x:c r="X22" s="38" t="n">
        <x:f>'Campaign Portfolio'!C8*X8/SUM(B8:Z8)</x:f>
        <x:v>0</x:v>
      </x:c>
      <x:c r="Y22" s="38" t="n">
        <x:f>'Campaign Portfolio'!C8*Y8/SUM(B8:Z8)</x:f>
        <x:v>0</x:v>
      </x:c>
      <x:c r="Z22" s="38" t="n">
        <x:f>'Campaign Portfolio'!C8*Z8/SUM(B8:Z8)</x:f>
        <x:v>0</x:v>
      </x:c>
    </x:row>
    <x:row r="23" ht="15" hidden="0" customHeight="1">
      <x:c r="A23" s="14" t="str">
        <x:v>C05</x:v>
      </x:c>
      <x:c r="B23" s="38" t="n">
        <x:f>'Campaign Portfolio'!C9*B9/SUM(B9:Z9)</x:f>
        <x:v>0.4312896405919661</x:v>
      </x:c>
      <x:c r="C23" s="38" t="n">
        <x:f>'Campaign Portfolio'!C9*C9/SUM(B9:Z9)</x:f>
        <x:v>0.5327695560253699</x:v>
      </x:c>
      <x:c r="D23" s="38" t="n">
        <x:f>'Campaign Portfolio'!C9*D9/SUM(B9:Z9)</x:f>
        <x:v>0.6342494714587738</x:v>
      </x:c>
      <x:c r="E23" s="38" t="n">
        <x:f>'Campaign Portfolio'!C9*E9/SUM(B9:Z9)</x:f>
        <x:v>0.7357293868921776</x:v>
      </x:c>
      <x:c r="F23" s="38" t="n">
        <x:f>'Campaign Portfolio'!C9*F9/SUM(B9:Z9)</x:f>
        <x:v>0.8372093023255813</x:v>
      </x:c>
      <x:c r="G23" s="38" t="n">
        <x:f>'Campaign Portfolio'!C9*G9/SUM(B9:Z9)</x:f>
        <x:v>0.9386892177589851</x:v>
      </x:c>
      <x:c r="H23" s="38" t="n">
        <x:f>'Campaign Portfolio'!C9*H9/SUM(B9:Z9)</x:f>
        <x:v>1.0401691331923888</x:v>
      </x:c>
      <x:c r="I23" s="38" t="n">
        <x:f>'Campaign Portfolio'!C9*I9/SUM(B9:Z9)</x:f>
        <x:v>1.1416490486257926</x:v>
      </x:c>
      <x:c r="J23" s="38" t="n">
        <x:f>'Campaign Portfolio'!C9*J9/SUM(B9:Z9)</x:f>
        <x:v>1.0401691331923888</x:v>
      </x:c>
      <x:c r="K23" s="38" t="n">
        <x:f>'Campaign Portfolio'!C9*K9/SUM(B9:Z9)</x:f>
        <x:v>0.9386892177589851</x:v>
      </x:c>
      <x:c r="L23" s="38" t="n">
        <x:f>'Campaign Portfolio'!C9*L9/SUM(B9:Z9)</x:f>
        <x:v>0.8372093023255813</x:v>
      </x:c>
      <x:c r="M23" s="38" t="n">
        <x:f>'Campaign Portfolio'!C9*M9/SUM(B9:Z9)</x:f>
        <x:v>0.7357293868921776</x:v>
      </x:c>
      <x:c r="N23" s="38" t="n">
        <x:f>'Campaign Portfolio'!C9*N9/SUM(B9:Z9)</x:f>
        <x:v>0.6342494714587738</x:v>
      </x:c>
      <x:c r="O23" s="38" t="n">
        <x:f>'Campaign Portfolio'!C9*O9/SUM(B9:Z9)</x:f>
        <x:v>0.5327695560253699</x:v>
      </x:c>
      <x:c r="P23" s="38" t="n">
        <x:f>'Campaign Portfolio'!C9*P9/SUM(B9:Z9)</x:f>
        <x:v>0.4312896405919661</x:v>
      </x:c>
      <x:c r="Q23" s="38" t="n">
        <x:f>'Campaign Portfolio'!C9*Q9/SUM(B9:Z9)</x:f>
        <x:v>0.3298097251585624</x:v>
      </x:c>
      <x:c r="R23" s="38" t="n">
        <x:f>'Campaign Portfolio'!C9*R9/SUM(B9:Z9)</x:f>
        <x:v>0.22832980972515857</x:v>
      </x:c>
      <x:c r="S23" s="38" t="n">
        <x:f>'Campaign Portfolio'!C9*S9/SUM(B9:Z9)</x:f>
        <x:v>0</x:v>
      </x:c>
      <x:c r="T23" s="38" t="n">
        <x:f>'Campaign Portfolio'!C9*T9/SUM(B9:Z9)</x:f>
        <x:v>0</x:v>
      </x:c>
      <x:c r="U23" s="38" t="n">
        <x:f>'Campaign Portfolio'!C9*U9/SUM(B9:Z9)</x:f>
        <x:v>0</x:v>
      </x:c>
      <x:c r="V23" s="38" t="n">
        <x:f>'Campaign Portfolio'!C9*V9/SUM(B9:Z9)</x:f>
        <x:v>0</x:v>
      </x:c>
      <x:c r="W23" s="38" t="n">
        <x:f>'Campaign Portfolio'!C9*W9/SUM(B9:Z9)</x:f>
        <x:v>0</x:v>
      </x:c>
      <x:c r="X23" s="38" t="n">
        <x:f>'Campaign Portfolio'!C9*X9/SUM(B9:Z9)</x:f>
        <x:v>0</x:v>
      </x:c>
      <x:c r="Y23" s="38" t="n">
        <x:f>'Campaign Portfolio'!C9*Y9/SUM(B9:Z9)</x:f>
        <x:v>0</x:v>
      </x:c>
      <x:c r="Z23" s="38" t="n">
        <x:f>'Campaign Portfolio'!C9*Z9/SUM(B9:Z9)</x:f>
        <x:v>0</x:v>
      </x:c>
    </x:row>
    <x:row r="24" ht="15" hidden="0" customHeight="1">
      <x:c r="A24" s="14" t="str">
        <x:v>C06</x:v>
      </x:c>
      <x:c r="B24" s="38" t="n">
        <x:f>'Campaign Portfolio'!C10*B10/SUM(B10:Z10)</x:f>
        <x:v>0.4301075268817204</x:v>
      </x:c>
      <x:c r="C24" s="38" t="n">
        <x:f>'Campaign Portfolio'!C10*C10/SUM(B10:Z10)</x:f>
        <x:v>0.5376344086021505</x:v>
      </x:c>
      <x:c r="D24" s="38" t="n">
        <x:f>'Campaign Portfolio'!C10*D10/SUM(B10:Z10)</x:f>
        <x:v>0.6451612903225807</x:v>
      </x:c>
      <x:c r="E24" s="38" t="n">
        <x:f>'Campaign Portfolio'!C10*E10/SUM(B10:Z10)</x:f>
        <x:v>0.7526881720430108</x:v>
      </x:c>
      <x:c r="F24" s="38" t="n">
        <x:f>'Campaign Portfolio'!C10*F10/SUM(B10:Z10)</x:f>
        <x:v>0.8602150537634408</x:v>
      </x:c>
      <x:c r="G24" s="38" t="n">
        <x:f>'Campaign Portfolio'!C10*G10/SUM(B10:Z10)</x:f>
        <x:v>0.9677419354838711</x:v>
      </x:c>
      <x:c r="H24" s="38" t="n">
        <x:f>'Campaign Portfolio'!C10*H10/SUM(B10:Z10)</x:f>
        <x:v>1.075268817204301</x:v>
      </x:c>
      <x:c r="I24" s="38" t="n">
        <x:f>'Campaign Portfolio'!C10*I10/SUM(B10:Z10)</x:f>
        <x:v>0.9677419354838711</x:v>
      </x:c>
      <x:c r="J24" s="38" t="n">
        <x:f>'Campaign Portfolio'!C10*J10/SUM(B10:Z10)</x:f>
        <x:v>0.8602150537634408</x:v>
      </x:c>
      <x:c r="K24" s="38" t="n">
        <x:f>'Campaign Portfolio'!C10*K10/SUM(B10:Z10)</x:f>
        <x:v>0.7526881720430108</x:v>
      </x:c>
      <x:c r="L24" s="38" t="n">
        <x:f>'Campaign Portfolio'!C10*L10/SUM(B10:Z10)</x:f>
        <x:v>0.6451612903225807</x:v>
      </x:c>
      <x:c r="M24" s="38" t="n">
        <x:f>'Campaign Portfolio'!C10*M10/SUM(B10:Z10)</x:f>
        <x:v>0.5376344086021505</x:v>
      </x:c>
      <x:c r="N24" s="38" t="n">
        <x:f>'Campaign Portfolio'!C10*N10/SUM(B10:Z10)</x:f>
        <x:v>0.4301075268817204</x:v>
      </x:c>
      <x:c r="O24" s="38" t="n">
        <x:f>'Campaign Portfolio'!C10*O10/SUM(B10:Z10)</x:f>
        <x:v>0.32258064516129037</x:v>
      </x:c>
      <x:c r="P24" s="38" t="n">
        <x:f>'Campaign Portfolio'!C10*P10/SUM(B10:Z10)</x:f>
        <x:v>0.2150537634408602</x:v>
      </x:c>
      <x:c r="Q24" s="38" t="n">
        <x:f>'Campaign Portfolio'!C10*Q10/SUM(B10:Z10)</x:f>
        <x:v>0</x:v>
      </x:c>
      <x:c r="R24" s="38" t="n">
        <x:f>'Campaign Portfolio'!C10*R10/SUM(B10:Z10)</x:f>
        <x:v>0</x:v>
      </x:c>
      <x:c r="S24" s="38" t="n">
        <x:f>'Campaign Portfolio'!C10*S10/SUM(B10:Z10)</x:f>
        <x:v>0</x:v>
      </x:c>
      <x:c r="T24" s="38" t="n">
        <x:f>'Campaign Portfolio'!C10*T10/SUM(B10:Z10)</x:f>
        <x:v>0</x:v>
      </x:c>
      <x:c r="U24" s="38" t="n">
        <x:f>'Campaign Portfolio'!C10*U10/SUM(B10:Z10)</x:f>
        <x:v>0</x:v>
      </x:c>
      <x:c r="V24" s="38" t="n">
        <x:f>'Campaign Portfolio'!C10*V10/SUM(B10:Z10)</x:f>
        <x:v>0</x:v>
      </x:c>
      <x:c r="W24" s="38" t="n">
        <x:f>'Campaign Portfolio'!C10*W10/SUM(B10:Z10)</x:f>
        <x:v>0</x:v>
      </x:c>
      <x:c r="X24" s="38" t="n">
        <x:f>'Campaign Portfolio'!C10*X10/SUM(B10:Z10)</x:f>
        <x:v>0</x:v>
      </x:c>
      <x:c r="Y24" s="38" t="n">
        <x:f>'Campaign Portfolio'!C10*Y10/SUM(B10:Z10)</x:f>
        <x:v>0</x:v>
      </x:c>
      <x:c r="Z24" s="38" t="n">
        <x:f>'Campaign Portfolio'!C10*Z10/SUM(B10:Z10)</x:f>
        <x:v>0</x:v>
      </x:c>
    </x:row>
    <x:row r="25" ht="15" hidden="0" customHeight="1">
      <x:c r="A25" s="14" t="str">
        <x:v>C07</x:v>
      </x:c>
      <x:c r="B25" s="38" t="n">
        <x:f>'Campaign Portfolio'!C11*B11/SUM(B11:Z11)</x:f>
        <x:v>0</x:v>
      </x:c>
      <x:c r="C25" s="38" t="n">
        <x:f>'Campaign Portfolio'!C11*C11/SUM(B11:Z11)</x:f>
        <x:v>0.3594080338266384</x:v>
      </x:c>
      <x:c r="D25" s="38" t="n">
        <x:f>'Campaign Portfolio'!C11*D11/SUM(B11:Z11)</x:f>
        <x:v>0.4439746300211416</x:v>
      </x:c>
      <x:c r="E25" s="38" t="n">
        <x:f>'Campaign Portfolio'!C11*E11/SUM(B11:Z11)</x:f>
        <x:v>0.5285412262156447</x:v>
      </x:c>
      <x:c r="F25" s="38" t="n">
        <x:f>'Campaign Portfolio'!C11*F11/SUM(B11:Z11)</x:f>
        <x:v>0.6131078224101479</x:v>
      </x:c>
      <x:c r="G25" s="38" t="n">
        <x:f>'Campaign Portfolio'!C11*G11/SUM(B11:Z11)</x:f>
        <x:v>0.6976744186046511</x:v>
      </x:c>
      <x:c r="H25" s="38" t="n">
        <x:f>'Campaign Portfolio'!C11*H11/SUM(B11:Z11)</x:f>
        <x:v>0.7822410147991541</x:v>
      </x:c>
      <x:c r="I25" s="38" t="n">
        <x:f>'Campaign Portfolio'!C11*I11/SUM(B11:Z11)</x:f>
        <x:v>0.8668076109936574</x:v>
      </x:c>
      <x:c r="J25" s="38" t="n">
        <x:f>'Campaign Portfolio'!C11*J11/SUM(B11:Z11)</x:f>
        <x:v>0.9513742071881606</x:v>
      </x:c>
      <x:c r="K25" s="38" t="n">
        <x:f>'Campaign Portfolio'!C11*K11/SUM(B11:Z11)</x:f>
        <x:v>0.8668076109936574</x:v>
      </x:c>
      <x:c r="L25" s="38" t="n">
        <x:f>'Campaign Portfolio'!C11*L11/SUM(B11:Z11)</x:f>
        <x:v>0.7822410147991541</x:v>
      </x:c>
      <x:c r="M25" s="38" t="n">
        <x:f>'Campaign Portfolio'!C11*M11/SUM(B11:Z11)</x:f>
        <x:v>0.6976744186046511</x:v>
      </x:c>
      <x:c r="N25" s="38" t="n">
        <x:f>'Campaign Portfolio'!C11*N11/SUM(B11:Z11)</x:f>
        <x:v>0.6131078224101479</x:v>
      </x:c>
      <x:c r="O25" s="38" t="n">
        <x:f>'Campaign Portfolio'!C11*O11/SUM(B11:Z11)</x:f>
        <x:v>0.5285412262156447</x:v>
      </x:c>
      <x:c r="P25" s="38" t="n">
        <x:f>'Campaign Portfolio'!C11*P11/SUM(B11:Z11)</x:f>
        <x:v>0.4439746300211416</x:v>
      </x:c>
      <x:c r="Q25" s="38" t="n">
        <x:f>'Campaign Portfolio'!C11*Q11/SUM(B11:Z11)</x:f>
        <x:v>0.3594080338266384</x:v>
      </x:c>
      <x:c r="R25" s="38" t="n">
        <x:f>'Campaign Portfolio'!C11*R11/SUM(B11:Z11)</x:f>
        <x:v>0.27484143763213537</x:v>
      </x:c>
      <x:c r="S25" s="38" t="n">
        <x:f>'Campaign Portfolio'!C11*S11/SUM(B11:Z11)</x:f>
        <x:v>0.1902748414376321</x:v>
      </x:c>
      <x:c r="T25" s="38" t="n">
        <x:f>'Campaign Portfolio'!C11*T11/SUM(B11:Z11)</x:f>
        <x:v>0</x:v>
      </x:c>
      <x:c r="U25" s="38" t="n">
        <x:f>'Campaign Portfolio'!C11*U11/SUM(B11:Z11)</x:f>
        <x:v>0</x:v>
      </x:c>
      <x:c r="V25" s="38" t="n">
        <x:f>'Campaign Portfolio'!C11*V11/SUM(B11:Z11)</x:f>
        <x:v>0</x:v>
      </x:c>
      <x:c r="W25" s="38" t="n">
        <x:f>'Campaign Portfolio'!C11*W11/SUM(B11:Z11)</x:f>
        <x:v>0</x:v>
      </x:c>
      <x:c r="X25" s="38" t="n">
        <x:f>'Campaign Portfolio'!C11*X11/SUM(B11:Z11)</x:f>
        <x:v>0</x:v>
      </x:c>
      <x:c r="Y25" s="38" t="n">
        <x:f>'Campaign Portfolio'!C11*Y11/SUM(B11:Z11)</x:f>
        <x:v>0</x:v>
      </x:c>
      <x:c r="Z25" s="38" t="n">
        <x:f>'Campaign Portfolio'!C11*Z11/SUM(B11:Z11)</x:f>
        <x:v>0</x:v>
      </x:c>
    </x:row>
    <x:row r="26" ht="15" hidden="0" customHeight="1">
      <x:c r="A26" s="14" t="str">
        <x:v>C08</x:v>
      </x:c>
      <x:c r="B26" s="38" t="n">
        <x:f>'Campaign Portfolio'!C12*B12/SUM(B12:Z12)</x:f>
        <x:v>0.32098765432098775</x:v>
      </x:c>
      <x:c r="C26" s="38" t="n">
        <x:f>'Campaign Portfolio'!C12*C12/SUM(B12:Z12)</x:f>
        <x:v>0.41975308641975306</x:v>
      </x:c>
      <x:c r="D26" s="38" t="n">
        <x:f>'Campaign Portfolio'!C12*D12/SUM(B12:Z12)</x:f>
        <x:v>0.5185185185185185</x:v>
      </x:c>
      <x:c r="E26" s="38" t="n">
        <x:f>'Campaign Portfolio'!C12*E12/SUM(B12:Z12)</x:f>
        <x:v>0.6172839506172839</x:v>
      </x:c>
      <x:c r="F26" s="38" t="n">
        <x:f>'Campaign Portfolio'!C12*F12/SUM(B12:Z12)</x:f>
        <x:v>0.7160493827160495</x:v>
      </x:c>
      <x:c r="G26" s="38" t="n">
        <x:f>'Campaign Portfolio'!C12*G12/SUM(B12:Z12)</x:f>
        <x:v>0.8148148148148149</x:v>
      </x:c>
      <x:c r="H26" s="38" t="n">
        <x:f>'Campaign Portfolio'!C12*H12/SUM(B12:Z12)</x:f>
        <x:v>0.9135802469135802</x:v>
      </x:c>
      <x:c r="I26" s="38" t="n">
        <x:f>'Campaign Portfolio'!C12*I12/SUM(B12:Z12)</x:f>
        <x:v>1.0123456790123457</x:v>
      </x:c>
      <x:c r="J26" s="38" t="n">
        <x:f>'Campaign Portfolio'!C12*J12/SUM(B12:Z12)</x:f>
        <x:v>1.111111111111111</x:v>
      </x:c>
      <x:c r="K26" s="38" t="n">
        <x:f>'Campaign Portfolio'!C12*K12/SUM(B12:Z12)</x:f>
        <x:v>1.0123456790123457</x:v>
      </x:c>
      <x:c r="L26" s="38" t="n">
        <x:f>'Campaign Portfolio'!C12*L12/SUM(B12:Z12)</x:f>
        <x:v>0.9135802469135802</x:v>
      </x:c>
      <x:c r="M26" s="38" t="n">
        <x:f>'Campaign Portfolio'!C12*M12/SUM(B12:Z12)</x:f>
        <x:v>0.8148148148148149</x:v>
      </x:c>
      <x:c r="N26" s="38" t="n">
        <x:f>'Campaign Portfolio'!C12*N12/SUM(B12:Z12)</x:f>
        <x:v>0.7160493827160495</x:v>
      </x:c>
      <x:c r="O26" s="38" t="n">
        <x:f>'Campaign Portfolio'!C12*O12/SUM(B12:Z12)</x:f>
        <x:v>0.6172839506172839</x:v>
      </x:c>
      <x:c r="P26" s="38" t="n">
        <x:f>'Campaign Portfolio'!C12*P12/SUM(B12:Z12)</x:f>
        <x:v>0.5185185185185185</x:v>
      </x:c>
      <x:c r="Q26" s="38" t="n">
        <x:f>'Campaign Portfolio'!C12*Q12/SUM(B12:Z12)</x:f>
        <x:v>0.41975308641975306</x:v>
      </x:c>
      <x:c r="R26" s="38" t="n">
        <x:f>'Campaign Portfolio'!C12*R12/SUM(B12:Z12)</x:f>
        <x:v>0.32098765432098775</x:v>
      </x:c>
      <x:c r="S26" s="38" t="n">
        <x:f>'Campaign Portfolio'!C12*S12/SUM(B12:Z12)</x:f>
        <x:v>0.22222222222222224</x:v>
      </x:c>
      <x:c r="T26" s="38" t="n">
        <x:f>'Campaign Portfolio'!C12*T12/SUM(B12:Z12)</x:f>
        <x:v>0</x:v>
      </x:c>
      <x:c r="U26" s="38" t="n">
        <x:f>'Campaign Portfolio'!C12*U12/SUM(B12:Z12)</x:f>
        <x:v>0</x:v>
      </x:c>
      <x:c r="V26" s="38" t="n">
        <x:f>'Campaign Portfolio'!C12*V12/SUM(B12:Z12)</x:f>
        <x:v>0</x:v>
      </x:c>
      <x:c r="W26" s="38" t="n">
        <x:f>'Campaign Portfolio'!C12*W12/SUM(B12:Z12)</x:f>
        <x:v>0</x:v>
      </x:c>
      <x:c r="X26" s="38" t="n">
        <x:f>'Campaign Portfolio'!C12*X12/SUM(B12:Z12)</x:f>
        <x:v>0</x:v>
      </x:c>
      <x:c r="Y26" s="38" t="n">
        <x:f>'Campaign Portfolio'!C12*Y12/SUM(B12:Z12)</x:f>
        <x:v>0</x:v>
      </x:c>
      <x:c r="Z26" s="38" t="n">
        <x:f>'Campaign Portfolio'!C12*Z12/SUM(B12:Z12)</x:f>
        <x:v>0</x:v>
      </x:c>
    </x:row>
    <x:row r="27" ht="15" hidden="0" customHeight="1">
      <x:c r="A27" s="14" t="str">
        <x:v>C09</x:v>
      </x:c>
      <x:c r="B27" s="38" t="n">
        <x:f>'Campaign Portfolio'!C13*B13/SUM(B13:Z13)</x:f>
        <x:v>0.3440860215053763</x:v>
      </x:c>
      <x:c r="C27" s="38" t="n">
        <x:f>'Campaign Portfolio'!C13*C13/SUM(B13:Z13)</x:f>
        <x:v>0.4301075268817204</x:v>
      </x:c>
      <x:c r="D27" s="38" t="n">
        <x:f>'Campaign Portfolio'!C13*D13/SUM(B13:Z13)</x:f>
        <x:v>0.5161290322580645</x:v>
      </x:c>
      <x:c r="E27" s="38" t="n">
        <x:f>'Campaign Portfolio'!C13*E13/SUM(B13:Z13)</x:f>
        <x:v>0.6021505376344085</x:v>
      </x:c>
      <x:c r="F27" s="38" t="n">
        <x:f>'Campaign Portfolio'!C13*F13/SUM(B13:Z13)</x:f>
        <x:v>0.6881720430107526</x:v>
      </x:c>
      <x:c r="G27" s="38" t="n">
        <x:f>'Campaign Portfolio'!C13*G13/SUM(B13:Z13)</x:f>
        <x:v>0.7741935483870969</x:v>
      </x:c>
      <x:c r="H27" s="38" t="n">
        <x:f>'Campaign Portfolio'!C13*H13/SUM(B13:Z13)</x:f>
        <x:v>0.8602150537634408</x:v>
      </x:c>
      <x:c r="I27" s="38" t="n">
        <x:f>'Campaign Portfolio'!C13*I13/SUM(B13:Z13)</x:f>
        <x:v>0.7741935483870969</x:v>
      </x:c>
      <x:c r="J27" s="38" t="n">
        <x:f>'Campaign Portfolio'!C13*J13/SUM(B13:Z13)</x:f>
        <x:v>0.6881720430107526</x:v>
      </x:c>
      <x:c r="K27" s="38" t="n">
        <x:f>'Campaign Portfolio'!C13*K13/SUM(B13:Z13)</x:f>
        <x:v>0.6021505376344085</x:v>
      </x:c>
      <x:c r="L27" s="38" t="n">
        <x:f>'Campaign Portfolio'!C13*L13/SUM(B13:Z13)</x:f>
        <x:v>0.5161290322580645</x:v>
      </x:c>
      <x:c r="M27" s="38" t="n">
        <x:f>'Campaign Portfolio'!C13*M13/SUM(B13:Z13)</x:f>
        <x:v>0.4301075268817204</x:v>
      </x:c>
      <x:c r="N27" s="38" t="n">
        <x:f>'Campaign Portfolio'!C13*N13/SUM(B13:Z13)</x:f>
        <x:v>0.3440860215053763</x:v>
      </x:c>
      <x:c r="O27" s="38" t="n">
        <x:f>'Campaign Portfolio'!C13*O13/SUM(B13:Z13)</x:f>
        <x:v>0.25806451612903225</x:v>
      </x:c>
      <x:c r="P27" s="38" t="n">
        <x:f>'Campaign Portfolio'!C13*P13/SUM(B13:Z13)</x:f>
        <x:v>0.17204301075268816</x:v>
      </x:c>
      <x:c r="Q27" s="38" t="n">
        <x:f>'Campaign Portfolio'!C13*Q13/SUM(B13:Z13)</x:f>
        <x:v>0</x:v>
      </x:c>
      <x:c r="R27" s="38" t="n">
        <x:f>'Campaign Portfolio'!C13*R13/SUM(B13:Z13)</x:f>
        <x:v>0</x:v>
      </x:c>
      <x:c r="S27" s="38" t="n">
        <x:f>'Campaign Portfolio'!C13*S13/SUM(B13:Z13)</x:f>
        <x:v>0</x:v>
      </x:c>
      <x:c r="T27" s="38" t="n">
        <x:f>'Campaign Portfolio'!C13*T13/SUM(B13:Z13)</x:f>
        <x:v>0</x:v>
      </x:c>
      <x:c r="U27" s="38" t="n">
        <x:f>'Campaign Portfolio'!C13*U13/SUM(B13:Z13)</x:f>
        <x:v>0</x:v>
      </x:c>
      <x:c r="V27" s="38" t="n">
        <x:f>'Campaign Portfolio'!C13*V13/SUM(B13:Z13)</x:f>
        <x:v>0</x:v>
      </x:c>
      <x:c r="W27" s="38" t="n">
        <x:f>'Campaign Portfolio'!C13*W13/SUM(B13:Z13)</x:f>
        <x:v>0</x:v>
      </x:c>
      <x:c r="X27" s="38" t="n">
        <x:f>'Campaign Portfolio'!C13*X13/SUM(B13:Z13)</x:f>
        <x:v>0</x:v>
      </x:c>
      <x:c r="Y27" s="38" t="n">
        <x:f>'Campaign Portfolio'!C13*Y13/SUM(B13:Z13)</x:f>
        <x:v>0</x:v>
      </x:c>
      <x:c r="Z27" s="38" t="n">
        <x:f>'Campaign Portfolio'!C13*Z13/SUM(B13:Z13)</x:f>
        <x:v>0</x:v>
      </x:c>
    </x:row>
    <x:row r="28" ht="15" hidden="0" customHeight="1">
      <x:c r="A28" s="14" t="str">
        <x:v>C10</x:v>
      </x:c>
      <x:c r="B28" s="38" t="n">
        <x:f>'Campaign Portfolio'!C14*B14/SUM(B14:Z14)</x:f>
        <x:v>0</x:v>
      </x:c>
      <x:c r="C28" s="38" t="n">
        <x:f>'Campaign Portfolio'!C14*C14/SUM(B14:Z14)</x:f>
        <x:v>0</x:v>
      </x:c>
      <x:c r="D28" s="38" t="n">
        <x:f>'Campaign Portfolio'!C14*D14/SUM(B14:Z14)</x:f>
        <x:v>0.2326589595375723</x:v>
      </x:c>
      <x:c r="E28" s="38" t="n">
        <x:f>'Campaign Portfolio'!C14*E14/SUM(B14:Z14)</x:f>
        <x:v>0.273121387283237</x:v>
      </x:c>
      <x:c r="F28" s="38" t="n">
        <x:f>'Campaign Portfolio'!C14*F14/SUM(B14:Z14)</x:f>
        <x:v>0.3135838150289018</x:v>
      </x:c>
      <x:c r="G28" s="38" t="n">
        <x:f>'Campaign Portfolio'!C14*G14/SUM(B14:Z14)</x:f>
        <x:v>0.3540462427745664</x:v>
      </x:c>
      <x:c r="H28" s="38" t="n">
        <x:f>'Campaign Portfolio'!C14*H14/SUM(B14:Z14)</x:f>
        <x:v>0.3945086705202313</x:v>
      </x:c>
      <x:c r="I28" s="38" t="n">
        <x:f>'Campaign Portfolio'!C14*I14/SUM(B14:Z14)</x:f>
        <x:v>0.43497109826589603</x:v>
      </x:c>
      <x:c r="J28" s="38" t="n">
        <x:f>'Campaign Portfolio'!C14*J14/SUM(B14:Z14)</x:f>
        <x:v>0.47543352601156064</x:v>
      </x:c>
      <x:c r="K28" s="38" t="n">
        <x:f>'Campaign Portfolio'!C14*K14/SUM(B14:Z14)</x:f>
        <x:v>0.5158959537572254</x:v>
      </x:c>
      <x:c r="L28" s="38" t="n">
        <x:f>'Campaign Portfolio'!C14*L14/SUM(B14:Z14)</x:f>
        <x:v>0.5563583815028902</x:v>
      </x:c>
      <x:c r="M28" s="38" t="n">
        <x:f>'Campaign Portfolio'!C14*M14/SUM(B14:Z14)</x:f>
        <x:v>0.5158959537572254</x:v>
      </x:c>
      <x:c r="N28" s="38" t="n">
        <x:f>'Campaign Portfolio'!C14*N14/SUM(B14:Z14)</x:f>
        <x:v>0.47543352601156064</x:v>
      </x:c>
      <x:c r="O28" s="38" t="n">
        <x:f>'Campaign Portfolio'!C14*O14/SUM(B14:Z14)</x:f>
        <x:v>0.43497109826589603</x:v>
      </x:c>
      <x:c r="P28" s="38" t="n">
        <x:f>'Campaign Portfolio'!C14*P14/SUM(B14:Z14)</x:f>
        <x:v>0.3945086705202313</x:v>
      </x:c>
      <x:c r="Q28" s="38" t="n">
        <x:f>'Campaign Portfolio'!C14*Q14/SUM(B14:Z14)</x:f>
        <x:v>0.3540462427745664</x:v>
      </x:c>
      <x:c r="R28" s="38" t="n">
        <x:f>'Campaign Portfolio'!C14*R14/SUM(B14:Z14)</x:f>
        <x:v>0.3135838150289018</x:v>
      </x:c>
      <x:c r="S28" s="38" t="n">
        <x:f>'Campaign Portfolio'!C14*S14/SUM(B14:Z14)</x:f>
        <x:v>0.273121387283237</x:v>
      </x:c>
      <x:c r="T28" s="38" t="n">
        <x:f>'Campaign Portfolio'!C14*T14/SUM(B14:Z14)</x:f>
        <x:v>0.2326589595375723</x:v>
      </x:c>
      <x:c r="U28" s="38" t="n">
        <x:f>'Campaign Portfolio'!C14*U14/SUM(B14:Z14)</x:f>
        <x:v>0.1921965317919075</x:v>
      </x:c>
      <x:c r="V28" s="38" t="n">
        <x:f>'Campaign Portfolio'!C14*V14/SUM(B14:Z14)</x:f>
        <x:v>0.1517341040462428</x:v>
      </x:c>
      <x:c r="W28" s="38" t="n">
        <x:f>'Campaign Portfolio'!C14*W14/SUM(B14:Z14)</x:f>
        <x:v>0.11127167630057805</x:v>
      </x:c>
      <x:c r="X28" s="38" t="n">
        <x:f>'Campaign Portfolio'!C14*X14/SUM(B14:Z14)</x:f>
        <x:v>0</x:v>
      </x:c>
      <x:c r="Y28" s="38" t="n">
        <x:f>'Campaign Portfolio'!C14*Y14/SUM(B14:Z14)</x:f>
        <x:v>0</x:v>
      </x:c>
      <x:c r="Z28" s="38" t="n">
        <x:f>'Campaign Portfolio'!C14*Z14/SUM(B14:Z14)</x:f>
        <x:v>0</x:v>
      </x:c>
    </x:row>
    <x:row r="29" ht="15" hidden="0" customHeight="1">
      <x:c r="A29" s="14" t="str">
        <x:v>C11</x:v>
      </x:c>
      <x:c r="B29" s="38" t="n">
        <x:f>'Campaign Portfolio'!C15*B15/SUM(B15:Z15)</x:f>
        <x:v>0.2738214643931795</x:v>
      </x:c>
      <x:c r="C29" s="38" t="n">
        <x:f>'Campaign Portfolio'!C15*C15/SUM(B15:Z15)</x:f>
        <x:v>0.32597793380140416</x:v>
      </x:c>
      <x:c r="D29" s="38" t="n">
        <x:f>'Campaign Portfolio'!C15*D15/SUM(B15:Z15)</x:f>
        <x:v>0.3781344032096289</x:v>
      </x:c>
      <x:c r="E29" s="38" t="n">
        <x:f>'Campaign Portfolio'!C15*E15/SUM(B15:Z15)</x:f>
        <x:v>0.4302908726178535</x:v>
      </x:c>
      <x:c r="F29" s="38" t="n">
        <x:f>'Campaign Portfolio'!C15*F15/SUM(B15:Z15)</x:f>
        <x:v>0.48244734202607814</x:v>
      </x:c>
      <x:c r="G29" s="38" t="n">
        <x:f>'Campaign Portfolio'!C15*G15/SUM(B15:Z15)</x:f>
        <x:v>0.5346038114343028</x:v>
      </x:c>
      <x:c r="H29" s="38" t="n">
        <x:f>'Campaign Portfolio'!C15*H15/SUM(B15:Z15)</x:f>
        <x:v>0.5867602808425275</x:v>
      </x:c>
      <x:c r="I29" s="38" t="n">
        <x:f>'Campaign Portfolio'!C15*I15/SUM(B15:Z15)</x:f>
        <x:v>0.6389167502507522</x:v>
      </x:c>
      <x:c r="J29" s="38" t="n">
        <x:f>'Campaign Portfolio'!C15*J15/SUM(B15:Z15)</x:f>
        <x:v>0.6910732196589768</x:v>
      </x:c>
      <x:c r="K29" s="38" t="n">
        <x:f>'Campaign Portfolio'!C15*K15/SUM(B15:Z15)</x:f>
        <x:v>0.7432296890672015</x:v>
      </x:c>
      <x:c r="L29" s="38" t="n">
        <x:f>'Campaign Portfolio'!C15*L15/SUM(B15:Z15)</x:f>
        <x:v>0.7953861584754262</x:v>
      </x:c>
      <x:c r="M29" s="38" t="n">
        <x:f>'Campaign Portfolio'!C15*M15/SUM(B15:Z15)</x:f>
        <x:v>0.8475426278836509</x:v>
      </x:c>
      <x:c r="N29" s="38" t="n">
        <x:f>'Campaign Portfolio'!C15*N15/SUM(B15:Z15)</x:f>
        <x:v>0.7953861584754262</x:v>
      </x:c>
      <x:c r="O29" s="38" t="n">
        <x:f>'Campaign Portfolio'!C15*O15/SUM(B15:Z15)</x:f>
        <x:v>0.7432296890672015</x:v>
      </x:c>
      <x:c r="P29" s="38" t="n">
        <x:f>'Campaign Portfolio'!C15*P15/SUM(B15:Z15)</x:f>
        <x:v>0.6910732196589768</x:v>
      </x:c>
      <x:c r="Q29" s="38" t="n">
        <x:f>'Campaign Portfolio'!C15*Q15/SUM(B15:Z15)</x:f>
        <x:v>0.6389167502507522</x:v>
      </x:c>
      <x:c r="R29" s="38" t="n">
        <x:f>'Campaign Portfolio'!C15*R15/SUM(B15:Z15)</x:f>
        <x:v>0.5867602808425275</x:v>
      </x:c>
      <x:c r="S29" s="38" t="n">
        <x:f>'Campaign Portfolio'!C15*S15/SUM(B15:Z15)</x:f>
        <x:v>0.5346038114343028</x:v>
      </x:c>
      <x:c r="T29" s="38" t="n">
        <x:f>'Campaign Portfolio'!C15*T15/SUM(B15:Z15)</x:f>
        <x:v>0.48244734202607814</x:v>
      </x:c>
      <x:c r="U29" s="38" t="n">
        <x:f>'Campaign Portfolio'!C15*U15/SUM(B15:Z15)</x:f>
        <x:v>0.4302908726178535</x:v>
      </x:c>
      <x:c r="V29" s="38" t="n">
        <x:f>'Campaign Portfolio'!C15*V15/SUM(B15:Z15)</x:f>
        <x:v>0.3781344032096289</x:v>
      </x:c>
      <x:c r="W29" s="38" t="n">
        <x:f>'Campaign Portfolio'!C15*W15/SUM(B15:Z15)</x:f>
        <x:v>0.32597793380140416</x:v>
      </x:c>
      <x:c r="X29" s="38" t="n">
        <x:f>'Campaign Portfolio'!C15*X15/SUM(B15:Z15)</x:f>
        <x:v>0.2738214643931795</x:v>
      </x:c>
      <x:c r="Y29" s="38" t="n">
        <x:f>'Campaign Portfolio'!C15*Y15/SUM(B15:Z15)</x:f>
        <x:v>0.2216649949849548</x:v>
      </x:c>
      <x:c r="Z29" s="38" t="n">
        <x:f>'Campaign Portfolio'!C15*Z15/SUM(B15:Z15)</x:f>
        <x:v>0.16950852557673016</x:v>
      </x:c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 ht="31" customHeight="1">
      <x:c r="A32" s="16" t="str">
        <x:v>Portfolio</x:v>
      </x:c>
      <x:c r="B32" s="16" t="str">
        <x:v>Y1 $B</x:v>
      </x:c>
      <x:c r="C32" s="16" t="str">
        <x:v>Y2 $B</x:v>
      </x:c>
      <x:c r="D32" s="16" t="str">
        <x:v>Y3 $B</x:v>
      </x:c>
      <x:c r="E32" s="16" t="str">
        <x:v>Y4 $B</x:v>
      </x:c>
      <x:c r="F32" s="16" t="str">
        <x:v>Y5 $B</x:v>
      </x:c>
      <x:c r="G32" s="16" t="str">
        <x:v>Y6 $B</x:v>
      </x:c>
      <x:c r="H32" s="16" t="str">
        <x:v>Y7 $B</x:v>
      </x:c>
      <x:c r="I32" s="16" t="str">
        <x:v>Y8 $B</x:v>
      </x:c>
      <x:c r="J32" s="16" t="str">
        <x:v>Y9 $B</x:v>
      </x:c>
      <x:c r="K32" s="16" t="str">
        <x:v>Y10 $B</x:v>
      </x:c>
      <x:c r="L32" s="16" t="str">
        <x:v>Y11 $B</x:v>
      </x:c>
      <x:c r="M32" s="16" t="str">
        <x:v>Y12 $B</x:v>
      </x:c>
      <x:c r="N32" s="16" t="str">
        <x:v>Y13 $B</x:v>
      </x:c>
      <x:c r="O32" s="16" t="str">
        <x:v>Y14 $B</x:v>
      </x:c>
      <x:c r="P32" s="16" t="str">
        <x:v>Y15 $B</x:v>
      </x:c>
      <x:c r="Q32" s="16" t="str">
        <x:v>Y16 $B</x:v>
      </x:c>
      <x:c r="R32" s="16" t="str">
        <x:v>Y17 $B</x:v>
      </x:c>
      <x:c r="S32" s="16" t="str">
        <x:v>Y18 $B</x:v>
      </x:c>
      <x:c r="T32" s="16" t="str">
        <x:v>Y19 $B</x:v>
      </x:c>
      <x:c r="U32" s="16" t="str">
        <x:v>Y20 $B</x:v>
      </x:c>
      <x:c r="V32" s="16" t="str">
        <x:v>Y21 $B</x:v>
      </x:c>
      <x:c r="W32" s="16" t="str">
        <x:v>Y22 $B</x:v>
      </x:c>
      <x:c r="X32" s="16" t="str">
        <x:v>Y23 $B</x:v>
      </x:c>
      <x:c r="Y32" s="16" t="str">
        <x:v>Y24 $B</x:v>
      </x:c>
      <x:c r="Z32" s="16" t="str">
        <x:v>Y25 $B</x:v>
      </x:c>
    </x:row>
    <x:row r="33" ht="15" hidden="0" customHeight="1">
      <x:c r="A33" s="14" t="str">
        <x:v>Annual total</x:v>
      </x:c>
      <x:c r="B33" s="38" t="n">
        <x:f>SUM(B19:B29)</x:f>
        <x:v>3.65903459294219</x:v>
      </x:c>
      <x:c r="C33" s="38" t="n">
        <x:f>SUM(C19:C29)</x:f>
        <x:v>5.079587618532193</x:v>
      </x:c>
      <x:c r="D33" s="38" t="n">
        <x:f>SUM(D19:D29)</x:f>
        <x:v>6.457958166027634</x:v>
      </x:c>
      <x:c r="E33" s="38" t="n">
        <x:f>SUM(E19:E29)</x:f>
        <x:v>7.64413218173117</x:v>
      </x:c>
      <x:c r="F33" s="38" t="n">
        <x:f>SUM(F19:F29)</x:f>
        <x:v>8.8303061974347</x:v>
      </x:c>
      <x:c r="G33" s="38" t="n">
        <x:f>SUM(G19:G29)</x:f>
        <x:v>10.016480213138234</x:v>
      </x:c>
      <x:c r="H33" s="38" t="n">
        <x:f>SUM(H19:H29)</x:f>
        <x:v>10.863431614000778</x:v>
      </x:c>
      <x:c r="I33" s="38" t="n">
        <x:f>SUM(I19:I29)</x:f>
        <x:v>11.323286240669773</x:v>
      </x:c>
      <x:c r="J33" s="38" t="n">
        <x:f>SUM(J19:J29)</x:f>
        <x:v>11.20518103647196</x:v>
      </x:c>
      <x:c r="K33" s="38" t="n">
        <x:f>SUM(K19:K29)</x:f>
        <x:v>10.204244815076205</x:v>
      </x:c>
      <x:c r="L33" s="38" t="n">
        <x:f>SUM(L19:L29)</x:f>
        <x:v>9.20330859368045</x:v>
      </x:c>
      <x:c r="M33" s="38" t="n">
        <x:f>SUM(M19:M29)</x:f>
        <x:v>8.121447516793367</x:v>
      </x:c>
      <x:c r="N33" s="38" t="n">
        <x:f>SUM(N19:N29)</x:f>
        <x:v>6.935273501089834</x:v>
      </x:c>
      <x:c r="O33" s="38" t="n">
        <x:f>SUM(O19:O29)</x:f>
        <x:v>5.62189100482093</x:v>
      </x:c>
      <x:c r="P33" s="38" t="n">
        <x:f>SUM(P19:P29)</x:f>
        <x:v>4.605328296537892</x:v>
      </x:c>
      <x:c r="Q33" s="38" t="n">
        <x:f>SUM(Q19:Q29)</x:f>
        <x:v>3.3952172011580797</x:v>
      </x:c>
      <x:c r="R33" s="38" t="n">
        <x:f>SUM(R19:R29)</x:f>
        <x:v>2.3847028799718157</x:v>
      </x:c>
      <x:c r="S33" s="38" t="n">
        <x:f>SUM(S19:S29)</x:f>
        <x:v>1.4794815216366533</x:v>
      </x:c>
      <x:c r="T33" s="38" t="n">
        <x:f>SUM(T19:T29)</x:f>
        <x:v>0.7151063015636504</x:v>
      </x:c>
      <x:c r="U33" s="38" t="n">
        <x:f>SUM(U19:U29)</x:f>
        <x:v>0.622487404409761</x:v>
      </x:c>
      <x:c r="V33" s="38" t="n">
        <x:f>SUM(V19:V29)</x:f>
        <x:v>0.5298685072558716</x:v>
      </x:c>
      <x:c r="W33" s="38" t="n">
        <x:f>SUM(W19:W29)</x:f>
        <x:v>0.4372496101019822</x:v>
      </x:c>
      <x:c r="X33" s="38" t="n">
        <x:f>SUM(X19:X29)</x:f>
        <x:v>0.2738214643931795</x:v>
      </x:c>
      <x:c r="Y33" s="38" t="n">
        <x:f>SUM(Y19:Y29)</x:f>
        <x:v>0.2216649949849548</x:v>
      </x:c>
      <x:c r="Z33" s="38" t="n">
        <x:f>SUM(Z19:Z29)</x:f>
        <x:v>0.16950852557673016</x:v>
      </x:c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 ht="15" hidden="0" customHeight="1">
      <x:c r="A35" s="14" t="str">
        <x:v>25-year total</x:v>
      </x:c>
      <x:c r="B35" s="20" t="n">
        <x:f>SUM(B33:Z33)</x:f>
        <x:v>129.99999999999997</x:v>
      </x:c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 ht="21.600000381469727" hidden="0" customHeight="1">
      <x:c r="A36" s="14" t="str">
        <x:v>Peak annual spend</x:v>
      </x:c>
      <x:c r="B36" s="20" t="n">
        <x:f>MAX(B33:Z33)</x:f>
        <x:v>11.323286240669773</x:v>
      </x:c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 ht="15" hidden="0" customHeight="1">
      <x:c r="A37" s="14" t="str">
        <x:v>Peak year</x:v>
      </x:c>
      <x:c r="B37" s="14" t="n">
        <x:f>MATCH(B36,B33:Z33,0)</x:f>
        <x:v>8</x:v>
      </x:c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 ht="15" hidden="0" customHeight="1">
      <x:c r="A38" s="14" t="str">
        <x:v>Years 1–10</x:v>
      </x:c>
      <x:c r="B38" s="20" t="n">
        <x:f>SUM(B33:K33)</x:f>
        <x:v>85.28364267602483</x:v>
      </x:c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 ht="15" hidden="0" customHeight="1">
      <x:c r="A39" s="14" t="str">
        <x:v>Years 11–25</x:v>
      </x:c>
      <x:c r="B39" s="20" t="n">
        <x:f>SUM(L33:Z33)</x:f>
        <x:v>44.71635732397515</x:v>
      </x:c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</x:sheetData>
  <x:mergeCells>
    <x:mergeCell ref="A1:Z1"/>
    <x:mergeCell ref="A2:Z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4" hidden="0" customWidth="1"/>
    <x:col min="10" max="10" width="58" hidden="0" customWidth="1"/>
  </x:cols>
  <x:sheetData>
    <x:row r="1" ht="34" customHeight="1">
      <x:c r="A1" s="44" t="str">
        <x:v>Proving-Network Throughput</x:v>
      </x:c>
      <x:c r="B1" s="44"/>
      <x:c r="C1" s="44"/>
      <x:c r="D1" s="44"/>
      <x:c r="E1" s="44"/>
      <x:c r="F1" s="44"/>
      <x:c r="G1" s="44"/>
      <x:c r="H1" s="44"/>
      <x:c r="I1" s="44"/>
      <x:c r="J1" s="44"/>
    </x:row>
    <x:row r="2" ht="30" customHeight="1">
      <x:c r="A2" s="45" t="str">
        <x:v>Average planned test load is a floor. The 80% utilization ceiling protects redesign, maintenance and surprise investigation capacity.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</x:row>
    <x:row r="4" ht="31" customHeight="1">
      <x:c r="A4" s="16" t="str">
        <x:v>Facility</x:v>
      </x:c>
      <x:c r="B4" s="16" t="str">
        <x:v>Events/year capacity</x:v>
      </x:c>
      <x:c r="C4" s="16" t="str">
        <x:v>Assigned experiments</x:v>
      </x:c>
      <x:c r="D4" s="16" t="str">
        <x:v>Total repetitions</x:v>
      </x:c>
      <x:c r="E4" s="16" t="str">
        <x:v>Average test-years</x:v>
      </x:c>
      <x:c r="F4" s="16" t="str">
        <x:v>Average demand/year</x:v>
      </x:c>
      <x:c r="G4" s="16" t="str">
        <x:v>Planning utilization</x:v>
      </x:c>
      <x:c r="H4" s="16" t="str">
        <x:v>Headroom/year</x:v>
      </x:c>
      <x:c r="I4" s="16" t="str">
        <x:v>Queue decision</x:v>
      </x:c>
      <x:c r="J4" s="16" t="str">
        <x:v>Primary bottleneck watch</x:v>
      </x:c>
    </x:row>
    <x:row r="5" ht="43.20000076293945" hidden="0" customHeight="1">
      <x:c r="A5" s="18" t="str">
        <x:v>F01</x:v>
      </x:c>
      <x:c r="B5" s="18" t="n">
        <x:v>100</x:v>
      </x:c>
      <x:c r="C5" s="18" t="n">
        <x:f>COUNTIF('Experiment Register'!C$5:C$50,A5)</x:f>
        <x:v>4</x:v>
      </x:c>
      <x:c r="D5" s="18" t="n">
        <x:f>SUMIF('Experiment Register'!C$5:C$50,A5,'Experiment Register'!I$5:I$50)</x:f>
        <x:v>308</x:v>
      </x:c>
      <x:c r="E5" s="18" t="n">
        <x:f>IF(C5=0,0,AVERAGEIF('Experiment Register'!C$5:C$50,A5,'Experiment Register'!F$5:F$50)-AVERAGEIF('Experiment Register'!C$5:C$50,A5,'Experiment Register'!E$5:E$50)+1)</x:f>
        <x:v>4.5</x:v>
      </x:c>
      <x:c r="F5" s="39" t="n">
        <x:f>IF(E5=0,0,D5/E5)</x:f>
        <x:v>68.44444444444444</x:v>
      </x:c>
      <x:c r="G5" s="39" t="n">
        <x:f>F5/B5</x:f>
        <x:v>0.6844444444444444</x:v>
      </x:c>
      <x:c r="H5" s="39" t="n">
        <x:f>B5*'Controls'!B19-F5</x:f>
        <x:v>11.555555555555557</x:v>
      </x:c>
      <x:c r="I5" s="18" t="str">
        <x:f>IF(G5&lt;='Controls'!B19,"CAPACITY OK","EXPAND / DECONFLICT")</x:f>
        <x:v>CAPACITY OK</x:v>
      </x:c>
      <x:c r="J5" s="18" t="str">
        <x:v>high-flow water/power and debris conditioning</x:v>
      </x:c>
    </x:row>
    <x:row r="6" ht="32.400001525878906" hidden="0" customHeight="1">
      <x:c r="A6" s="14" t="str">
        <x:v>F02</x:v>
      </x:c>
      <x:c r="B6" s="14" t="n">
        <x:v>60</x:v>
      </x:c>
      <x:c r="C6" s="14" t="n">
        <x:f>COUNTIF('Experiment Register'!C$5:C$50,A6)</x:f>
        <x:v>4</x:v>
      </x:c>
      <x:c r="D6" s="14" t="n">
        <x:f>SUMIF('Experiment Register'!C$5:C$50,A6,'Experiment Register'!I$5:I$50)</x:f>
        <x:v>188</x:v>
      </x:c>
      <x:c r="E6" s="14" t="n">
        <x:f>IF(C6=0,0,AVERAGEIF('Experiment Register'!C$5:C$50,A6,'Experiment Register'!F$5:F$50)-AVERAGEIF('Experiment Register'!C$5:C$50,A6,'Experiment Register'!E$5:E$50)+1)</x:f>
        <x:v>4.5</x:v>
      </x:c>
      <x:c r="F6" s="40" t="n">
        <x:f>IF(E6=0,0,D6/E6)</x:f>
        <x:v>41.77777777777778</x:v>
      </x:c>
      <x:c r="G6" s="40" t="n">
        <x:f>F6/B6</x:f>
        <x:v>0.6962962962962963</x:v>
      </x:c>
      <x:c r="H6" s="40" t="n">
        <x:f>B6*'Controls'!B19-F6</x:f>
        <x:v>6.222222222222221</x:v>
      </x:c>
      <x:c r="I6" s="14" t="str">
        <x:f>IF(G6&lt;='Controls'!B19,"CAPACITY OK","EXPAND / DECONFLICT")</x:f>
        <x:v>CAPACITY OK</x:v>
      </x:c>
      <x:c r="J6" s="14" t="str">
        <x:v>crossing permits and route reset</x:v>
      </x:c>
    </x:row>
    <x:row r="7" ht="43.20000076293945" hidden="0" customHeight="1">
      <x:c r="A7" s="18" t="str">
        <x:v>F03</x:v>
      </x:c>
      <x:c r="B7" s="18" t="n">
        <x:v>45</x:v>
      </x:c>
      <x:c r="C7" s="18" t="n">
        <x:f>COUNTIF('Experiment Register'!C$5:C$50,A7)</x:f>
        <x:v>3</x:v>
      </x:c>
      <x:c r="D7" s="18" t="n">
        <x:f>SUMIF('Experiment Register'!C$5:C$50,A7,'Experiment Register'!I$5:I$50)</x:f>
        <x:v>170</x:v>
      </x:c>
      <x:c r="E7" s="18" t="n">
        <x:f>IF(C7=0,0,AVERAGEIF('Experiment Register'!C$5:C$50,A7,'Experiment Register'!F$5:F$50)-AVERAGEIF('Experiment Register'!C$5:C$50,A7,'Experiment Register'!E$5:E$50)+1)</x:f>
        <x:v>5</x:v>
      </x:c>
      <x:c r="F7" s="39" t="n">
        <x:f>IF(E7=0,0,D7/E7)</x:f>
        <x:v>34</x:v>
      </x:c>
      <x:c r="G7" s="39" t="n">
        <x:f>F7/B7</x:f>
        <x:v>0.7555555555555555</x:v>
      </x:c>
      <x:c r="H7" s="39" t="n">
        <x:f>B7*'Controls'!B19-F7</x:f>
        <x:v>2</x:v>
      </x:c>
      <x:c r="I7" s="18" t="str">
        <x:f>IF(G7&lt;='Controls'!B19,"CAPACITY OK","EXPAND / DECONFLICT")</x:f>
        <x:v>CAPACITY OK</x:v>
      </x:c>
      <x:c r="J7" s="18" t="str">
        <x:v>foundation reset and basin drainage</x:v>
      </x:c>
    </x:row>
    <x:row r="8" ht="32.400001525878906" hidden="0" customHeight="1">
      <x:c r="A8" s="14" t="str">
        <x:v>F04</x:v>
      </x:c>
      <x:c r="B8" s="14" t="n">
        <x:v>52</x:v>
      </x:c>
      <x:c r="C8" s="14" t="n">
        <x:f>COUNTIF('Experiment Register'!C$5:C$50,A8)</x:f>
        <x:v>3</x:v>
      </x:c>
      <x:c r="D8" s="14" t="n">
        <x:f>SUMIF('Experiment Register'!C$5:C$50,A8,'Experiment Register'!I$5:I$50)</x:f>
        <x:v>184</x:v>
      </x:c>
      <x:c r="E8" s="14" t="n">
        <x:f>IF(C8=0,0,AVERAGEIF('Experiment Register'!C$5:C$50,A8,'Experiment Register'!F$5:F$50)-AVERAGEIF('Experiment Register'!C$5:C$50,A8,'Experiment Register'!E$5:E$50)+1)</x:f>
        <x:v>4.666666666666667</x:v>
      </x:c>
      <x:c r="F8" s="40" t="n">
        <x:f>IF(E8=0,0,D8/E8)</x:f>
        <x:v>39.42857142857142</x:v>
      </x:c>
      <x:c r="G8" s="40" t="n">
        <x:f>F8/B8</x:f>
        <x:v>0.7582417582417581</x:v>
      </x:c>
      <x:c r="H8" s="40" t="n">
        <x:f>B8*'Controls'!B19-F8</x:f>
        <x:v>2.171428571428578</x:v>
      </x:c>
      <x:c r="I8" s="14" t="str">
        <x:f>IF(G8&lt;='Controls'!B19,"CAPACITY OK","EXPAND / DECONFLICT")</x:f>
        <x:v>CAPACITY OK</x:v>
      </x:c>
      <x:c r="J8" s="14" t="str">
        <x:v>levee rebuild/reset time</x:v>
      </x:c>
    </x:row>
    <x:row r="9" ht="32.400001525878906" hidden="0" customHeight="1">
      <x:c r="A9" s="18" t="str">
        <x:v>F05</x:v>
      </x:c>
      <x:c r="B9" s="18" t="n">
        <x:v>120</x:v>
      </x:c>
      <x:c r="C9" s="18" t="n">
        <x:f>COUNTIF('Experiment Register'!C$5:C$50,A9)</x:f>
        <x:v>3</x:v>
      </x:c>
      <x:c r="D9" s="18" t="n">
        <x:f>SUMIF('Experiment Register'!C$5:C$50,A9,'Experiment Register'!I$5:I$50)</x:f>
        <x:v>280</x:v>
      </x:c>
      <x:c r="E9" s="18" t="n">
        <x:f>IF(C9=0,0,AVERAGEIF('Experiment Register'!C$5:C$50,A9,'Experiment Register'!F$5:F$50)-AVERAGEIF('Experiment Register'!C$5:C$50,A9,'Experiment Register'!E$5:E$50)+1)</x:f>
        <x:v>4.666666666666666</x:v>
      </x:c>
      <x:c r="F9" s="39" t="n">
        <x:f>IF(E9=0,0,D9/E9)</x:f>
        <x:v>60.00000000000001</x:v>
      </x:c>
      <x:c r="G9" s="39" t="n">
        <x:f>F9/B9</x:f>
        <x:v>0.5000000000000001</x:v>
      </x:c>
      <x:c r="H9" s="39" t="n">
        <x:f>B9*'Controls'!B19-F9</x:f>
        <x:v>35.99999999999999</x:v>
      </x:c>
      <x:c r="I9" s="18" t="str">
        <x:f>IF(G9&lt;='Controls'!B19,"CAPACITY OK","EXPAND / DECONFLICT")</x:f>
        <x:v>CAPACITY OK</x:v>
      </x:c>
      <x:c r="J9" s="18" t="str">
        <x:v>human-subject and safety windows</x:v>
      </x:c>
    </x:row>
    <x:row r="10" ht="43.20000076293945" hidden="0" customHeight="1">
      <x:c r="A10" s="14" t="str">
        <x:v>F06</x:v>
      </x:c>
      <x:c r="B10" s="14" t="n">
        <x:v>60</x:v>
      </x:c>
      <x:c r="C10" s="14" t="n">
        <x:f>COUNTIF('Experiment Register'!C$5:C$50,A10)</x:f>
        <x:v>4</x:v>
      </x:c>
      <x:c r="D10" s="14" t="n">
        <x:f>SUMIF('Experiment Register'!C$5:C$50,A10,'Experiment Register'!I$5:I$50)</x:f>
        <x:v>190</x:v>
      </x:c>
      <x:c r="E10" s="14" t="n">
        <x:f>IF(C10=0,0,AVERAGEIF('Experiment Register'!C$5:C$50,A10,'Experiment Register'!F$5:F$50)-AVERAGEIF('Experiment Register'!C$5:C$50,A10,'Experiment Register'!E$5:E$50)+1)</x:f>
        <x:v>5.25</x:v>
      </x:c>
      <x:c r="F10" s="40" t="n">
        <x:f>IF(E10=0,0,D10/E10)</x:f>
        <x:v>36.19047619047619</x:v>
      </x:c>
      <x:c r="G10" s="40" t="n">
        <x:f>F10/B10</x:f>
        <x:v>0.6031746031746031</x:v>
      </x:c>
      <x:c r="H10" s="40" t="n">
        <x:f>B10*'Controls'!B19-F10</x:f>
        <x:v>11.80952380952381</x:v>
      </x:c>
      <x:c r="I10" s="14" t="str">
        <x:f>IF(G10&lt;='Controls'!B19,"CAPACITY OK","EXPAND / DECONFLICT")</x:f>
        <x:v>CAPACITY OK</x:v>
      </x:c>
      <x:c r="J10" s="14" t="str">
        <x:v>natural storm opportunity and range limits</x:v>
      </x:c>
    </x:row>
    <x:row r="11" ht="43.20000076293945" hidden="0" customHeight="1">
      <x:c r="A11" s="18" t="str">
        <x:v>F07</x:v>
      </x:c>
      <x:c r="B11" s="18" t="n">
        <x:v>180</x:v>
      </x:c>
      <x:c r="C11" s="18" t="n">
        <x:f>COUNTIF('Experiment Register'!C$5:C$50,A11)</x:f>
        <x:v>4</x:v>
      </x:c>
      <x:c r="D11" s="18" t="n">
        <x:f>SUMIF('Experiment Register'!C$5:C$50,A11,'Experiment Register'!I$5:I$50)</x:f>
        <x:v>370</x:v>
      </x:c>
      <x:c r="E11" s="18" t="n">
        <x:f>IF(C11=0,0,AVERAGEIF('Experiment Register'!C$5:C$50,A11,'Experiment Register'!F$5:F$50)-AVERAGEIF('Experiment Register'!C$5:C$50,A11,'Experiment Register'!E$5:E$50)+1)</x:f>
        <x:v>4.25</x:v>
      </x:c>
      <x:c r="F11" s="39" t="n">
        <x:f>IF(E11=0,0,D11/E11)</x:f>
        <x:v>87.05882352941177</x:v>
      </x:c>
      <x:c r="G11" s="39" t="n">
        <x:f>F11/B11</x:f>
        <x:v>0.48366013071895425</x:v>
      </x:c>
      <x:c r="H11" s="39" t="n">
        <x:f>B11*'Controls'!B19-F11</x:f>
        <x:v>56.94117647058823</x:v>
      </x:c>
      <x:c r="I11" s="18" t="str">
        <x:f>IF(G11&lt;='Controls'!B19,"CAPACITY OK","EXPAND / DECONFLICT")</x:f>
        <x:v>CAPACITY OK</x:v>
      </x:c>
      <x:c r="J11" s="18" t="str">
        <x:v>machine repair/recovery and terrain reset</x:v>
      </x:c>
    </x:row>
    <x:row r="12" ht="54" hidden="0" customHeight="1">
      <x:c r="A12" s="14" t="str">
        <x:v>F08</x:v>
      </x:c>
      <x:c r="B12" s="14" t="n">
        <x:v>90</x:v>
      </x:c>
      <x:c r="C12" s="14" t="n">
        <x:f>COUNTIF('Experiment Register'!C$5:C$50,A12)</x:f>
        <x:v>3</x:v>
      </x:c>
      <x:c r="D12" s="14" t="n">
        <x:f>SUMIF('Experiment Register'!C$5:C$50,A12,'Experiment Register'!I$5:I$50)</x:f>
        <x:v>250</x:v>
      </x:c>
      <x:c r="E12" s="14" t="n">
        <x:f>IF(C12=0,0,AVERAGEIF('Experiment Register'!C$5:C$50,A12,'Experiment Register'!F$5:F$50)-AVERAGEIF('Experiment Register'!C$5:C$50,A12,'Experiment Register'!E$5:E$50)+1)</x:f>
        <x:v>4.666666666666667</x:v>
      </x:c>
      <x:c r="F12" s="40" t="n">
        <x:f>IF(E12=0,0,D12/E12)</x:f>
        <x:v>53.57142857142857</x:v>
      </x:c>
      <x:c r="G12" s="40" t="n">
        <x:f>F12/B12</x:f>
        <x:v>0.5952380952380952</x:v>
      </x:c>
      <x:c r="H12" s="40" t="n">
        <x:f>B12*'Controls'!B19-F12</x:f>
        <x:v>18.42857142857143</x:v>
      </x:c>
      <x:c r="I12" s="14" t="str">
        <x:f>IF(G12&lt;='Controls'!B19,"CAPACITY OK","EXPAND / DECONFLICT")</x:f>
        <x:v>CAPACITY OK</x:v>
      </x:c>
      <x:c r="J12" s="14" t="str">
        <x:v>waste characterization and closed-loop disposal</x:v>
      </x:c>
    </x:row>
    <x:row r="13" ht="54" hidden="0" customHeight="1">
      <x:c r="A13" s="18" t="str">
        <x:v>F09</x:v>
      </x:c>
      <x:c r="B13" s="18" t="n">
        <x:v>260</x:v>
      </x:c>
      <x:c r="C13" s="18" t="n">
        <x:f>COUNTIF('Experiment Register'!C$5:C$50,A13)</x:f>
        <x:v>3</x:v>
      </x:c>
      <x:c r="D13" s="18" t="n">
        <x:f>SUMIF('Experiment Register'!C$5:C$50,A13,'Experiment Register'!I$5:I$50)</x:f>
        <x:v>84</x:v>
      </x:c>
      <x:c r="E13" s="18" t="n">
        <x:f>IF(C13=0,0,AVERAGEIF('Experiment Register'!C$5:C$50,A13,'Experiment Register'!F$5:F$50)-AVERAGEIF('Experiment Register'!C$5:C$50,A13,'Experiment Register'!E$5:E$50)+1)</x:f>
        <x:v>4</x:v>
      </x:c>
      <x:c r="F13" s="39" t="n">
        <x:f>IF(E13=0,0,D13/E13)</x:f>
        <x:v>21</x:v>
      </x:c>
      <x:c r="G13" s="39" t="n">
        <x:f>F13/B13</x:f>
        <x:v>0.08076923076923077</x:v>
      </x:c>
      <x:c r="H13" s="39" t="n">
        <x:f>B13*'Controls'!B19-F13</x:f>
        <x:v>187</x:v>
      </x:c>
      <x:c r="I13" s="18" t="str">
        <x:f>IF(G13&lt;='Controls'!B19,"CAPACITY OK","EXPAND / DECONFLICT")</x:f>
        <x:v>CAPACITY OK</x:v>
      </x:c>
      <x:c r="J13" s="18" t="str">
        <x:v>truth instrumentation and compute/data curation</x:v>
      </x:c>
    </x:row>
    <x:row r="14" ht="54" hidden="0" customHeight="1">
      <x:c r="A14" s="14" t="str">
        <x:v>F10</x:v>
      </x:c>
      <x:c r="B14" s="14" t="n">
        <x:v>60</x:v>
      </x:c>
      <x:c r="C14" s="14" t="n">
        <x:f>COUNTIF('Experiment Register'!C$5:C$50,A14)</x:f>
        <x:v>15</x:v>
      </x:c>
      <x:c r="D14" s="14" t="n">
        <x:f>SUMIF('Experiment Register'!C$5:C$50,A14,'Experiment Register'!I$5:I$50)</x:f>
        <x:v>310</x:v>
      </x:c>
      <x:c r="E14" s="14" t="n">
        <x:f>IF(C14=0,0,AVERAGEIF('Experiment Register'!C$5:C$50,A14,'Experiment Register'!F$5:F$50)-AVERAGEIF('Experiment Register'!C$5:C$50,A14,'Experiment Register'!E$5:E$50)+1)</x:f>
        <x:v>7.466666666666666</x:v>
      </x:c>
      <x:c r="F14" s="40" t="n">
        <x:f>IF(E14=0,0,D14/E14)</x:f>
        <x:v>41.517857142857146</x:v>
      </x:c>
      <x:c r="G14" s="40" t="n">
        <x:f>F14/B14</x:f>
        <x:v>0.6919642857142858</x:v>
      </x:c>
      <x:c r="H14" s="40" t="n">
        <x:f>B14*'Controls'!B19-F14</x:f>
        <x:v>6.482142857142854</x:v>
      </x:c>
      <x:c r="I14" s="14" t="str">
        <x:f>IF(G14&lt;='Controls'!B19,"CAPACITY OK","EXPAND / DECONFLICT")</x:f>
        <x:v>CAPACITY OK</x:v>
      </x:c>
      <x:c r="J14" s="14" t="str">
        <x:v>formation availability and long-duration occupancy</x:v>
      </x:c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</x:row>
    <x:row r="16" ht="23" customHeight="1">
      <x:c r="A16" s="47" t="str">
        <x:v>Network result</x:v>
      </x:c>
      <x:c r="B16" s="47"/>
      <x:c r="C16" s="47"/>
      <x:c r="D16" s="47"/>
      <x:c r="E16" s="47"/>
      <x:c r="F16" s="47"/>
      <x:c r="G16" s="47"/>
      <x:c r="H16" s="47"/>
      <x:c r="I16" s="47"/>
      <x:c r="J16" s="47"/>
    </x:row>
    <x:row r="17" ht="21.600000381469727" hidden="0" customHeight="1">
      <x:c r="A17" s="14" t="str">
        <x:v>Peak utilization</x:v>
      </x:c>
      <x:c r="B17" s="33" t="n">
        <x:f>MAX(G5:G14)</x:f>
        <x:v>0.7582417582417581</x:v>
      </x:c>
      <x:c r="C17" s="46"/>
      <x:c r="D17" s="46"/>
      <x:c r="E17" s="46"/>
      <x:c r="F17" s="46"/>
      <x:c r="G17" s="46"/>
      <x:c r="H17" s="46"/>
      <x:c r="I17" s="46"/>
      <x:c r="J17" s="46"/>
    </x:row>
    <x:row r="18" ht="21.600000381469727" hidden="0" customHeight="1">
      <x:c r="A18" s="14" t="str">
        <x:v>Facilities over ceiling</x:v>
      </x:c>
      <x:c r="B18" s="14" t="n">
        <x:f>COUNTIF(G5:G14,"&gt;"&amp;'Controls'!B19)</x:f>
        <x:v>0</x:v>
      </x:c>
      <x:c r="C18" s="46"/>
      <x:c r="D18" s="46"/>
      <x:c r="E18" s="46"/>
      <x:c r="F18" s="46"/>
      <x:c r="G18" s="46"/>
      <x:c r="H18" s="46"/>
      <x:c r="I18" s="46"/>
      <x:c r="J18" s="46"/>
    </x:row>
    <x:row r="19" ht="32.400001525878906" hidden="0" customHeight="1">
      <x:c r="A19" s="14" t="str">
        <x:v>Total nominal event capacity</x:v>
      </x:c>
      <x:c r="B19" s="14" t="n">
        <x:f>SUM(B5:B14)</x:f>
        <x:v>1027</x:v>
      </x:c>
      <x:c r="C19" s="46"/>
      <x:c r="D19" s="46"/>
      <x:c r="E19" s="46"/>
      <x:c r="F19" s="46"/>
      <x:c r="G19" s="46"/>
      <x:c r="H19" s="46"/>
      <x:c r="I19" s="46"/>
      <x:c r="J19" s="46"/>
    </x:row>
    <x:row r="20" ht="151.1999969482422" hidden="0" customHeight="1">
      <x:c r="A20" s="14" t="str">
        <x:v>Interpretation</x:v>
      </x:c>
      <x:c r="B20" s="14" t="str">
        <x:v>Average loads do not replace detailed range scheduling; long endurance blocks can monopolize a facility despite low event counts.</x:v>
      </x:c>
      <x:c r="C20" s="46"/>
      <x:c r="D20" s="46"/>
      <x:c r="E20" s="46"/>
      <x:c r="F20" s="46"/>
      <x:c r="G20" s="46"/>
      <x:c r="H20" s="46"/>
      <x:c r="I20" s="46"/>
      <x:c r="J20" s="46"/>
    </x:row>
  </x:sheetData>
  <x:mergeCells>
    <x:mergeCell ref="A1:J1"/>
    <x:mergeCell ref="A2:J2"/>
    <x:mergeCell ref="A16:J1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72" hidden="0" customWidth="1"/>
  </x:cols>
  <x:sheetData>
    <x:row r="1" ht="34" customHeight="1">
      <x:c r="A1" s="44" t="str">
        <x:v>Competing Prototype Cohorts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 ht="30" customHeight="1">
      <x:c r="A2" s="45" t="str">
        <x:v>Planned downselects keep multiple technical paths alive long enough for evidence to defeat premature architectural lock-in.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</x:row>
    <x:row r="4" ht="31" customHeight="1">
      <x:c r="A4" s="16" t="str">
        <x:v>Campaign</x:v>
      </x:c>
      <x:c r="B4" s="16" t="str">
        <x:v>Entrants</x:v>
      </x:c>
      <x:c r="C4" s="16" t="str">
        <x:v>TRL5 paths</x:v>
      </x:c>
      <x:c r="D4" s="16" t="str">
        <x:v>TRL6 paths</x:v>
      </x:c>
      <x:c r="E4" s="16" t="str">
        <x:v>TRL7 paths</x:v>
      </x:c>
      <x:c r="F4" s="16" t="str">
        <x:v>TRL7 total</x:v>
      </x:c>
      <x:c r="G4" s="16" t="str">
        <x:v>Attrition to TRL7</x:v>
      </x:c>
      <x:c r="H4" s="16" t="str">
        <x:v>Minimum at TRL5</x:v>
      </x:c>
      <x:c r="I4" s="16" t="str">
        <x:v>Minimum at TRL7</x:v>
      </x:c>
      <x:c r="J4" s="16" t="str">
        <x:v>Status</x:v>
      </x:c>
      <x:c r="K4" s="16" t="str">
        <x:v>Failure-learning requirement</x:v>
      </x:c>
    </x:row>
    <x:row r="5" ht="97.19999694824219" hidden="0" customHeight="1">
      <x:c r="A5" s="18" t="str">
        <x:v>C01</x:v>
      </x:c>
      <x:c r="B5" s="18" t="n">
        <x:v>5</x:v>
      </x:c>
      <x:c r="C5" s="18" t="n">
        <x:v>4</x:v>
      </x:c>
      <x:c r="D5" s="18" t="n">
        <x:v>3</x:v>
      </x:c>
      <x:c r="E5" s="18" t="n">
        <x:v>2</x:v>
      </x:c>
      <x:c r="F5" s="18" t="n">
        <x:f>E5</x:f>
        <x:v>2</x:v>
      </x:c>
      <x:c r="G5" s="41" t="n">
        <x:f>1-E5/B5</x:f>
        <x:v>0.6</x:v>
      </x:c>
      <x:c r="H5" s="18" t="n">
        <x:f>'Controls'!B16</x:f>
        <x:v>3</x:v>
      </x:c>
      <x:c r="I5" s="18" t="n">
        <x:f>'Controls'!B17</x:f>
        <x:v>2</x:v>
      </x:c>
      <x:c r="J5" s="18" t="str">
        <x:f>IF(AND(C5&gt;=H5,E5&gt;=I5),"COMPETITION HELD","REVIEW LOCK-IN")</x:f>
        <x:v>COMPETITION HELD</x:v>
      </x:c>
      <x:c r="K5" s="18" t="str">
        <x:v>Publish null results, failure configuration, causal hypothesis and next discriminating test.</x:v>
      </x:c>
    </x:row>
    <x:row r="6" ht="97.19999694824219" hidden="0" customHeight="1">
      <x:c r="A6" s="14" t="str">
        <x:v>C02</x:v>
      </x:c>
      <x:c r="B6" s="14" t="n">
        <x:v>6</x:v>
      </x:c>
      <x:c r="C6" s="14" t="n">
        <x:v>5</x:v>
      </x:c>
      <x:c r="D6" s="14" t="n">
        <x:v>3</x:v>
      </x:c>
      <x:c r="E6" s="14" t="n">
        <x:v>2</x:v>
      </x:c>
      <x:c r="F6" s="14" t="n">
        <x:f>E6</x:f>
        <x:v>2</x:v>
      </x:c>
      <x:c r="G6" s="42" t="n">
        <x:f>1-E6/B6</x:f>
        <x:v>0.6666666666666667</x:v>
      </x:c>
      <x:c r="H6" s="14" t="n">
        <x:f>'Controls'!B16</x:f>
        <x:v>3</x:v>
      </x:c>
      <x:c r="I6" s="14" t="n">
        <x:f>'Controls'!B17</x:f>
        <x:v>2</x:v>
      </x:c>
      <x:c r="J6" s="14" t="str">
        <x:f>IF(AND(C6&gt;=H6,E6&gt;=I6),"COMPETITION HELD","REVIEW LOCK-IN")</x:f>
        <x:v>COMPETITION HELD</x:v>
      </x:c>
      <x:c r="K6" s="14" t="str">
        <x:v>Publish null results, failure configuration, causal hypothesis and next discriminating test.</x:v>
      </x:c>
    </x:row>
    <x:row r="7" ht="97.19999694824219" hidden="0" customHeight="1">
      <x:c r="A7" s="18" t="str">
        <x:v>C03</x:v>
      </x:c>
      <x:c r="B7" s="18" t="n">
        <x:v>5</x:v>
      </x:c>
      <x:c r="C7" s="18" t="n">
        <x:v>4</x:v>
      </x:c>
      <x:c r="D7" s="18" t="n">
        <x:v>3</x:v>
      </x:c>
      <x:c r="E7" s="18" t="n">
        <x:v>2</x:v>
      </x:c>
      <x:c r="F7" s="18" t="n">
        <x:f>E7</x:f>
        <x:v>2</x:v>
      </x:c>
      <x:c r="G7" s="41" t="n">
        <x:f>1-E7/B7</x:f>
        <x:v>0.6</x:v>
      </x:c>
      <x:c r="H7" s="18" t="n">
        <x:f>'Controls'!B16</x:f>
        <x:v>3</x:v>
      </x:c>
      <x:c r="I7" s="18" t="n">
        <x:f>'Controls'!B17</x:f>
        <x:v>2</x:v>
      </x:c>
      <x:c r="J7" s="18" t="str">
        <x:f>IF(AND(C7&gt;=H7,E7&gt;=I7),"COMPETITION HELD","REVIEW LOCK-IN")</x:f>
        <x:v>COMPETITION HELD</x:v>
      </x:c>
      <x:c r="K7" s="18" t="str">
        <x:v>Publish null results, failure configuration, causal hypothesis and next discriminating test.</x:v>
      </x:c>
    </x:row>
    <x:row r="8" ht="97.19999694824219" hidden="0" customHeight="1">
      <x:c r="A8" s="14" t="str">
        <x:v>C04</x:v>
      </x:c>
      <x:c r="B8" s="14" t="n">
        <x:v>5</x:v>
      </x:c>
      <x:c r="C8" s="14" t="n">
        <x:v>4</x:v>
      </x:c>
      <x:c r="D8" s="14" t="n">
        <x:v>3</x:v>
      </x:c>
      <x:c r="E8" s="14" t="n">
        <x:v>2</x:v>
      </x:c>
      <x:c r="F8" s="14" t="n">
        <x:f>E8</x:f>
        <x:v>2</x:v>
      </x:c>
      <x:c r="G8" s="42" t="n">
        <x:f>1-E8/B8</x:f>
        <x:v>0.6</x:v>
      </x:c>
      <x:c r="H8" s="14" t="n">
        <x:f>'Controls'!B16</x:f>
        <x:v>3</x:v>
      </x:c>
      <x:c r="I8" s="14" t="n">
        <x:f>'Controls'!B17</x:f>
        <x:v>2</x:v>
      </x:c>
      <x:c r="J8" s="14" t="str">
        <x:f>IF(AND(C8&gt;=H8,E8&gt;=I8),"COMPETITION HELD","REVIEW LOCK-IN")</x:f>
        <x:v>COMPETITION HELD</x:v>
      </x:c>
      <x:c r="K8" s="14" t="str">
        <x:v>Publish null results, failure configuration, causal hypothesis and next discriminating test.</x:v>
      </x:c>
    </x:row>
    <x:row r="9" ht="97.19999694824219" hidden="0" customHeight="1">
      <x:c r="A9" s="18" t="str">
        <x:v>C05</x:v>
      </x:c>
      <x:c r="B9" s="18" t="n">
        <x:v>6</x:v>
      </x:c>
      <x:c r="C9" s="18" t="n">
        <x:v>4</x:v>
      </x:c>
      <x:c r="D9" s="18" t="n">
        <x:v>3</x:v>
      </x:c>
      <x:c r="E9" s="18" t="n">
        <x:v>2</x:v>
      </x:c>
      <x:c r="F9" s="18" t="n">
        <x:f>E9</x:f>
        <x:v>2</x:v>
      </x:c>
      <x:c r="G9" s="41" t="n">
        <x:f>1-E9/B9</x:f>
        <x:v>0.6666666666666667</x:v>
      </x:c>
      <x:c r="H9" s="18" t="n">
        <x:f>'Controls'!B16</x:f>
        <x:v>3</x:v>
      </x:c>
      <x:c r="I9" s="18" t="n">
        <x:f>'Controls'!B17</x:f>
        <x:v>2</x:v>
      </x:c>
      <x:c r="J9" s="18" t="str">
        <x:f>IF(AND(C9&gt;=H9,E9&gt;=I9),"COMPETITION HELD","REVIEW LOCK-IN")</x:f>
        <x:v>COMPETITION HELD</x:v>
      </x:c>
      <x:c r="K9" s="18" t="str">
        <x:v>Publish null results, failure configuration, causal hypothesis and next discriminating test.</x:v>
      </x:c>
    </x:row>
    <x:row r="10" ht="97.19999694824219" hidden="0" customHeight="1">
      <x:c r="A10" s="14" t="str">
        <x:v>C06</x:v>
      </x:c>
      <x:c r="B10" s="14" t="n">
        <x:v>6</x:v>
      </x:c>
      <x:c r="C10" s="14" t="n">
        <x:v>5</x:v>
      </x:c>
      <x:c r="D10" s="14" t="n">
        <x:v>3</x:v>
      </x:c>
      <x:c r="E10" s="14" t="n">
        <x:v>2</x:v>
      </x:c>
      <x:c r="F10" s="14" t="n">
        <x:f>E10</x:f>
        <x:v>2</x:v>
      </x:c>
      <x:c r="G10" s="42" t="n">
        <x:f>1-E10/B10</x:f>
        <x:v>0.6666666666666667</x:v>
      </x:c>
      <x:c r="H10" s="14" t="n">
        <x:f>'Controls'!B16</x:f>
        <x:v>3</x:v>
      </x:c>
      <x:c r="I10" s="14" t="n">
        <x:f>'Controls'!B17</x:f>
        <x:v>2</x:v>
      </x:c>
      <x:c r="J10" s="14" t="str">
        <x:f>IF(AND(C10&gt;=H10,E10&gt;=I10),"COMPETITION HELD","REVIEW LOCK-IN")</x:f>
        <x:v>COMPETITION HELD</x:v>
      </x:c>
      <x:c r="K10" s="14" t="str">
        <x:v>Publish null results, failure configuration, causal hypothesis and next discriminating test.</x:v>
      </x:c>
    </x:row>
    <x:row r="11" ht="97.19999694824219" hidden="0" customHeight="1">
      <x:c r="A11" s="18" t="str">
        <x:v>C07</x:v>
      </x:c>
      <x:c r="B11" s="18" t="n">
        <x:v>5</x:v>
      </x:c>
      <x:c r="C11" s="18" t="n">
        <x:v>4</x:v>
      </x:c>
      <x:c r="D11" s="18" t="n">
        <x:v>3</x:v>
      </x:c>
      <x:c r="E11" s="18" t="n">
        <x:v>2</x:v>
      </x:c>
      <x:c r="F11" s="18" t="n">
        <x:f>E11</x:f>
        <x:v>2</x:v>
      </x:c>
      <x:c r="G11" s="41" t="n">
        <x:f>1-E11/B11</x:f>
        <x:v>0.6</x:v>
      </x:c>
      <x:c r="H11" s="18" t="n">
        <x:f>'Controls'!B16</x:f>
        <x:v>3</x:v>
      </x:c>
      <x:c r="I11" s="18" t="n">
        <x:f>'Controls'!B17</x:f>
        <x:v>2</x:v>
      </x:c>
      <x:c r="J11" s="18" t="str">
        <x:f>IF(AND(C11&gt;=H11,E11&gt;=I11),"COMPETITION HELD","REVIEW LOCK-IN")</x:f>
        <x:v>COMPETITION HELD</x:v>
      </x:c>
      <x:c r="K11" s="18" t="str">
        <x:v>Publish null results, failure configuration, causal hypothesis and next discriminating test.</x:v>
      </x:c>
    </x:row>
    <x:row r="12" ht="97.19999694824219" hidden="0" customHeight="1">
      <x:c r="A12" s="14" t="str">
        <x:v>C08</x:v>
      </x:c>
      <x:c r="B12" s="14" t="n">
        <x:v>6</x:v>
      </x:c>
      <x:c r="C12" s="14" t="n">
        <x:v>5</x:v>
      </x:c>
      <x:c r="D12" s="14" t="n">
        <x:v>3</x:v>
      </x:c>
      <x:c r="E12" s="14" t="n">
        <x:v>2</x:v>
      </x:c>
      <x:c r="F12" s="14" t="n">
        <x:f>E12</x:f>
        <x:v>2</x:v>
      </x:c>
      <x:c r="G12" s="42" t="n">
        <x:f>1-E12/B12</x:f>
        <x:v>0.6666666666666667</x:v>
      </x:c>
      <x:c r="H12" s="14" t="n">
        <x:f>'Controls'!B16</x:f>
        <x:v>3</x:v>
      </x:c>
      <x:c r="I12" s="14" t="n">
        <x:f>'Controls'!B17</x:f>
        <x:v>2</x:v>
      </x:c>
      <x:c r="J12" s="14" t="str">
        <x:f>IF(AND(C12&gt;=H12,E12&gt;=I12),"COMPETITION HELD","REVIEW LOCK-IN")</x:f>
        <x:v>COMPETITION HELD</x:v>
      </x:c>
      <x:c r="K12" s="14" t="str">
        <x:v>Publish null results, failure configuration, causal hypothesis and next discriminating test.</x:v>
      </x:c>
    </x:row>
    <x:row r="13" ht="97.19999694824219" hidden="0" customHeight="1">
      <x:c r="A13" s="18" t="str">
        <x:v>C09</x:v>
      </x:c>
      <x:c r="B13" s="18" t="n">
        <x:v>5</x:v>
      </x:c>
      <x:c r="C13" s="18" t="n">
        <x:v>4</x:v>
      </x:c>
      <x:c r="D13" s="18" t="n">
        <x:v>3</x:v>
      </x:c>
      <x:c r="E13" s="18" t="n">
        <x:v>2</x:v>
      </x:c>
      <x:c r="F13" s="18" t="n">
        <x:f>E13</x:f>
        <x:v>2</x:v>
      </x:c>
      <x:c r="G13" s="41" t="n">
        <x:f>1-E13/B13</x:f>
        <x:v>0.6</x:v>
      </x:c>
      <x:c r="H13" s="18" t="n">
        <x:f>'Controls'!B16</x:f>
        <x:v>3</x:v>
      </x:c>
      <x:c r="I13" s="18" t="n">
        <x:f>'Controls'!B17</x:f>
        <x:v>2</x:v>
      </x:c>
      <x:c r="J13" s="18" t="str">
        <x:f>IF(AND(C13&gt;=H13,E13&gt;=I13),"COMPETITION HELD","REVIEW LOCK-IN")</x:f>
        <x:v>COMPETITION HELD</x:v>
      </x:c>
      <x:c r="K13" s="18" t="str">
        <x:v>Publish null results, failure configuration, causal hypothesis and next discriminating test.</x:v>
      </x:c>
    </x:row>
    <x:row r="14" ht="97.19999694824219" hidden="0" customHeight="1">
      <x:c r="A14" s="14" t="str">
        <x:v>C10</x:v>
      </x:c>
      <x:c r="B14" s="14" t="n">
        <x:v>5</x:v>
      </x:c>
      <x:c r="C14" s="14" t="n">
        <x:v>4</x:v>
      </x:c>
      <x:c r="D14" s="14" t="n">
        <x:v>3</x:v>
      </x:c>
      <x:c r="E14" s="14" t="n">
        <x:v>2</x:v>
      </x:c>
      <x:c r="F14" s="14" t="n">
        <x:f>E14</x:f>
        <x:v>2</x:v>
      </x:c>
      <x:c r="G14" s="42" t="n">
        <x:f>1-E14/B14</x:f>
        <x:v>0.6</x:v>
      </x:c>
      <x:c r="H14" s="14" t="n">
        <x:f>'Controls'!B16</x:f>
        <x:v>3</x:v>
      </x:c>
      <x:c r="I14" s="14" t="n">
        <x:f>'Controls'!B17</x:f>
        <x:v>2</x:v>
      </x:c>
      <x:c r="J14" s="14" t="str">
        <x:f>IF(AND(C14&gt;=H14,E14&gt;=I14),"COMPETITION HELD","REVIEW LOCK-IN")</x:f>
        <x:v>COMPETITION HELD</x:v>
      </x:c>
      <x:c r="K14" s="14" t="str">
        <x:v>Publish null results, failure configuration, causal hypothesis and next discriminating test.</x:v>
      </x:c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</x:row>
    <x:row r="16" ht="23" customHeight="1">
      <x:c r="A16" s="47" t="str">
        <x:v>Cohort totals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</x:row>
    <x:row r="17" ht="21.600000381469727" hidden="0" customHeight="1">
      <x:c r="A17" s="14" t="str">
        <x:v>Initial rival paths</x:v>
      </x:c>
      <x:c r="B17" s="14" t="n">
        <x:f>SUM(B5:B14)</x:f>
        <x:v>54</x:v>
      </x:c>
      <x:c r="C17" s="46"/>
      <x:c r="D17" s="46"/>
      <x:c r="E17" s="46"/>
      <x:c r="F17" s="46"/>
      <x:c r="G17" s="46"/>
      <x:c r="H17" s="46"/>
      <x:c r="I17" s="46"/>
      <x:c r="J17" s="46"/>
      <x:c r="K17" s="46"/>
    </x:row>
    <x:row r="18" ht="21.600000381469727" hidden="0" customHeight="1">
      <x:c r="A18" s="14" t="str">
        <x:v>Paths at TRL5</x:v>
      </x:c>
      <x:c r="B18" s="14" t="n">
        <x:f>SUM(C5:C14)</x:f>
        <x:v>43</x:v>
      </x:c>
      <x:c r="C18" s="46"/>
      <x:c r="D18" s="46"/>
      <x:c r="E18" s="46"/>
      <x:c r="F18" s="46"/>
      <x:c r="G18" s="46"/>
      <x:c r="H18" s="46"/>
      <x:c r="I18" s="46"/>
      <x:c r="J18" s="46"/>
      <x:c r="K18" s="46"/>
    </x:row>
    <x:row r="19" ht="21.600000381469727" hidden="0" customHeight="1">
      <x:c r="A19" s="14" t="str">
        <x:v>Paths at TRL6</x:v>
      </x:c>
      <x:c r="B19" s="14" t="n">
        <x:f>SUM(D5:D14)</x:f>
        <x:v>30</x:v>
      </x:c>
      <x:c r="C19" s="46"/>
      <x:c r="D19" s="46"/>
      <x:c r="E19" s="46"/>
      <x:c r="F19" s="46"/>
      <x:c r="G19" s="46"/>
      <x:c r="H19" s="46"/>
      <x:c r="I19" s="46"/>
      <x:c r="J19" s="46"/>
      <x:c r="K19" s="46"/>
    </x:row>
    <x:row r="20" ht="32.400001525878906" hidden="0" customHeight="1">
      <x:c r="A20" s="14" t="str">
        <x:v>Paths entering TRL7</x:v>
      </x:c>
      <x:c r="B20" s="14" t="n">
        <x:f>SUM(E5:E14)</x:f>
        <x:v>20</x:v>
      </x:c>
      <x:c r="C20" s="46"/>
      <x:c r="D20" s="46"/>
      <x:c r="E20" s="46"/>
      <x:c r="F20" s="46"/>
      <x:c r="G20" s="46"/>
      <x:c r="H20" s="46"/>
      <x:c r="I20" s="46"/>
      <x:c r="J20" s="46"/>
      <x:c r="K20" s="46"/>
    </x:row>
    <x:row r="21" ht="43.20000076293945" hidden="0" customHeight="1">
      <x:c r="A21" s="14" t="str">
        <x:v>Campaigns below competition floor</x:v>
      </x:c>
      <x:c r="B21" s="14" t="n">
        <x:f>COUNTIF(J5:J14,"REVIEW LOCK-IN")</x:f>
        <x:v>0</x:v>
      </x:c>
      <x:c r="C21" s="46"/>
      <x:c r="D21" s="46"/>
      <x:c r="E21" s="46"/>
      <x:c r="F21" s="46"/>
      <x:c r="G21" s="46"/>
      <x:c r="H21" s="46"/>
      <x:c r="I21" s="46"/>
      <x:c r="J21" s="46"/>
      <x:c r="K21" s="46"/>
    </x:row>
  </x:sheetData>
  <x:mergeCells>
    <x:mergeCell ref="A1:K1"/>
    <x:mergeCell ref="A2:K2"/>
    <x:mergeCell ref="A16:K1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4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42" hidden="0" customWidth="1"/>
    <x:col min="10" max="10" width="46" hidden="0" customWidth="1"/>
  </x:cols>
  <x:sheetData>
    <x:row r="1" ht="34" customHeight="1">
      <x:c r="A1" s="44" t="str">
        <x:v>Technology and Manufacturing Readiness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 ht="30" customHeight="1">
      <x:c r="A2" s="45" t="str">
        <x:v>TRL/MRL are evidence coordinates, not calendar promises. Project R-level remains a separate complete-system maturity judgment.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</x:row>
    <x:row r="4" ht="31" customHeight="1">
      <x:c r="A4" s="16" t="str">
        <x:v>ID</x:v>
      </x:c>
      <x:c r="B4" s="16" t="str">
        <x:v>Campaign</x:v>
      </x:c>
      <x:c r="C4" s="16" t="str">
        <x:v>Technology system</x:v>
      </x:c>
      <x:c r="D4" s="16" t="str">
        <x:v>Initial TRL</x:v>
      </x:c>
      <x:c r="E4" s="16" t="str">
        <x:v>Target TRL</x:v>
      </x:c>
      <x:c r="F4" s="16" t="str">
        <x:v>Initial MRL</x:v>
      </x:c>
      <x:c r="G4" s="16" t="str">
        <x:v>Target MRL</x:v>
      </x:c>
      <x:c r="H4" s="16" t="str">
        <x:v>Target year</x:v>
      </x:c>
      <x:c r="I4" s="16" t="str">
        <x:v>Required demonstration</x:v>
      </x:c>
      <x:c r="J4" s="16" t="str">
        <x:v>Dominant evidence</x:v>
      </x:c>
      <x:c r="K4" s="46"/>
    </x:row>
    <x:row r="5" ht="43.20000076293945" hidden="0" customHeight="1">
      <x:c r="A5" s="18" t="str">
        <x:v>T01</x:v>
      </x:c>
      <x:c r="B5" s="18" t="str">
        <x:v>C01</x:v>
      </x:c>
      <x:c r="C5" s="18" t="str">
        <x:v>Operational flood state engine</x:v>
      </x:c>
      <x:c r="D5" s="18" t="n">
        <x:v>3</x:v>
      </x:c>
      <x:c r="E5" s="18" t="n">
        <x:v>7</x:v>
      </x:c>
      <x:c r="F5" s="18" t="n">
        <x:v>2</x:v>
      </x:c>
      <x:c r="G5" s="18" t="n">
        <x:v>6</x:v>
      </x:c>
      <x:c r="H5" s="18" t="n">
        <x:v>13</x:v>
      </x:c>
      <x:c r="I5" s="18" t="str">
        <x:v>Blind regional operational trial</x:v>
      </x:c>
      <x:c r="J5" s="18" t="str">
        <x:v>forecast/action error and interval calibration</x:v>
      </x:c>
      <x:c r="K5" s="46"/>
    </x:row>
    <x:row r="6" ht="43.20000076293945" hidden="0" customHeight="1">
      <x:c r="A6" s="14" t="str">
        <x:v>T02</x:v>
      </x:c>
      <x:c r="B6" s="14" t="str">
        <x:v>C01</x:v>
      </x:c>
      <x:c r="C6" s="14" t="str">
        <x:v>Expendable multimodal sensor mesh</x:v>
      </x:c>
      <x:c r="D6" s="14" t="n">
        <x:v>4</x:v>
      </x:c>
      <x:c r="E6" s="14" t="n">
        <x:v>7</x:v>
      </x:c>
      <x:c r="F6" s="14" t="n">
        <x:v>3</x:v>
      </x:c>
      <x:c r="G6" s="14" t="n">
        <x:v>7</x:v>
      </x:c>
      <x:c r="H6" s="14" t="n">
        <x:v>11</x:v>
      </x:c>
      <x:c r="I6" s="14" t="str">
        <x:v>Sensor fleet in live watershed</x:v>
      </x:c>
      <x:c r="J6" s="14" t="str">
        <x:v>latency, dropout, calibration, recovery</x:v>
      </x:c>
      <x:c r="K6" s="46"/>
    </x:row>
    <x:row r="7" ht="54" hidden="0" customHeight="1">
      <x:c r="A7" s="18" t="str">
        <x:v>T03</x:v>
      </x:c>
      <x:c r="B7" s="18" t="str">
        <x:v>C02</x:v>
      </x:c>
      <x:c r="C7" s="18" t="str">
        <x:v>1–15 m3/s common-drive pump family</x:v>
      </x:c>
      <x:c r="D7" s="18" t="n">
        <x:v>3</x:v>
      </x:c>
      <x:c r="E7" s="18" t="n">
        <x:v>7</x:v>
      </x:c>
      <x:c r="F7" s="18" t="n">
        <x:v>2</x:v>
      </x:c>
      <x:c r="G7" s="18" t="n">
        <x:v>7</x:v>
      </x:c>
      <x:c r="H7" s="18" t="n">
        <x:v>16</x:v>
      </x:c>
      <x:c r="I7" s="18" t="str">
        <x:v>30-day formation endurance</x:v>
      </x:c>
      <x:c r="J7" s="18" t="str">
        <x:v>full curve, wear, availability, maintainability</x:v>
      </x:c>
      <x:c r="K7" s="46"/>
    </x:row>
    <x:row r="8" ht="32.400001525878906" hidden="0" customHeight="1">
      <x:c r="A8" s="14" t="str">
        <x:v>T04</x:v>
      </x:c>
      <x:c r="B8" s="14" t="str">
        <x:v>C02</x:v>
      </x:c>
      <x:c r="C8" s="14" t="str">
        <x:v>Debris-adaptive intake and cleaning</x:v>
      </x:c>
      <x:c r="D8" s="14" t="n">
        <x:v>3</x:v>
      </x:c>
      <x:c r="E8" s="14" t="n">
        <x:v>7</x:v>
      </x:c>
      <x:c r="F8" s="14" t="n">
        <x:v>2</x:v>
      </x:c>
      <x:c r="G8" s="14" t="n">
        <x:v>7</x:v>
      </x:c>
      <x:c r="H8" s="14" t="n">
        <x:v>14</x:v>
      </x:c>
      <x:c r="I8" s="14" t="str">
        <x:v>Full-scale contaminated intake</x:v>
      </x:c>
      <x:c r="J8" s="14" t="str">
        <x:v>derate, jam probability, clearing time</x:v>
      </x:c>
      <x:c r="K8" s="46"/>
    </x:row>
    <x:row r="9" ht="43.20000076293945" hidden="0" customHeight="1">
      <x:c r="A9" s="18" t="str">
        <x:v>T05</x:v>
      </x:c>
      <x:c r="B9" s="18" t="str">
        <x:v>C03</x:v>
      </x:c>
      <x:c r="C9" s="18" t="str">
        <x:v>2 m recoverable drainage trunk</x:v>
      </x:c>
      <x:c r="D9" s="18" t="n">
        <x:v>3</x:v>
      </x:c>
      <x:c r="E9" s="18" t="n">
        <x:v>7</x:v>
      </x:c>
      <x:c r="F9" s="18" t="n">
        <x:v>2</x:v>
      </x:c>
      <x:c r="G9" s="18" t="n">
        <x:v>7</x:v>
      </x:c>
      <x:c r="H9" s="18" t="n">
        <x:v>16</x:v>
      </x:c>
      <x:c r="I9" s="18" t="str">
        <x:v>20 km route trial</x:v>
      </x:c>
      <x:c r="J9" s="18" t="str">
        <x:v>surge, joint, anchor, mass and setup</x:v>
      </x:c>
      <x:c r="K9" s="46"/>
    </x:row>
    <x:row r="10" ht="43.20000076293945" hidden="0" customHeight="1">
      <x:c r="A10" s="14" t="str">
        <x:v>T06</x:v>
      </x:c>
      <x:c r="B10" s="14" t="str">
        <x:v>C03</x:v>
      </x:c>
      <x:c r="C10" s="14" t="str">
        <x:v>Rapid road/rail hydraulic crossing</x:v>
      </x:c>
      <x:c r="D10" s="14" t="n">
        <x:v>2</x:v>
      </x:c>
      <x:c r="E10" s="14" t="n">
        <x:v>7</x:v>
      </x:c>
      <x:c r="F10" s="14" t="n">
        <x:v>2</x:v>
      </x:c>
      <x:c r="G10" s="14" t="n">
        <x:v>6</x:v>
      </x:c>
      <x:c r="H10" s="14" t="n">
        <x:v>15</x:v>
      </x:c>
      <x:c r="I10" s="14" t="str">
        <x:v>Public-interface corridor trial</x:v>
      </x:c>
      <x:c r="J10" s="14" t="str">
        <x:v>closure time, safety, load, recovery</x:v>
      </x:c>
      <x:c r="K10" s="46"/>
    </x:row>
    <x:row r="11" ht="54" hidden="0" customHeight="1">
      <x:c r="A11" s="18" t="str">
        <x:v>T07</x:v>
      </x:c>
      <x:c r="B11" s="18" t="str">
        <x:v>C04</x:v>
      </x:c>
      <x:c r="C11" s="18" t="str">
        <x:v>Self-instrumented adaptive barrier</x:v>
      </x:c>
      <x:c r="D11" s="18" t="n">
        <x:v>3</x:v>
      </x:c>
      <x:c r="E11" s="18" t="n">
        <x:v>7</x:v>
      </x:c>
      <x:c r="F11" s="18" t="n">
        <x:v>2</x:v>
      </x:c>
      <x:c r="G11" s="18" t="n">
        <x:v>7</x:v>
      </x:c>
      <x:c r="H11" s="18" t="n">
        <x:v>17</x:v>
      </x:c>
      <x:c r="I11" s="18" t="str">
        <x:v>Full-scale load-history and exceedance</x:v>
      </x:c>
      <x:c r="J11" s="18" t="str">
        <x:v>hold, seepage, termination, internal drainage</x:v>
      </x:c>
      <x:c r="K11" s="46"/>
    </x:row>
    <x:row r="12" ht="64.80000305175781" hidden="0" customHeight="1">
      <x:c r="A12" s="14" t="str">
        <x:v>T08</x:v>
      </x:c>
      <x:c r="B12" s="14" t="str">
        <x:v>C05</x:v>
      </x:c>
      <x:c r="C12" s="14" t="str">
        <x:v>Active live-flow breach arrest</x:v>
      </x:c>
      <x:c r="D12" s="14" t="n">
        <x:v>2</x:v>
      </x:c>
      <x:c r="E12" s="14" t="n">
        <x:v>7</x:v>
      </x:c>
      <x:c r="F12" s="14" t="n">
        <x:v>2</x:v>
      </x:c>
      <x:c r="G12" s="14" t="n">
        <x:v>6</x:v>
      </x:c>
      <x:c r="H12" s="14" t="n">
        <x:v>16</x:v>
      </x:c>
      <x:c r="I12" s="14" t="str">
        <x:v>Remote-access full-scale breach</x:v>
      </x:c>
      <x:c r="J12" s="14" t="str">
        <x:v>flow reduction, downstream hazard, durable transition</x:v>
      </x:c>
      <x:c r="K12" s="46"/>
    </x:row>
    <x:row r="13" ht="64.80000305175781" hidden="0" customHeight="1">
      <x:c r="A13" s="18" t="str">
        <x:v>T09</x:v>
      </x:c>
      <x:c r="B13" s="18" t="str">
        <x:v>C06</x:v>
      </x:c>
      <x:c r="C13" s="18" t="str">
        <x:v>Mixed autonomous flood fleet</x:v>
      </x:c>
      <x:c r="D13" s="18" t="n">
        <x:v>3</x:v>
      </x:c>
      <x:c r="E13" s="18" t="n">
        <x:v>7</x:v>
      </x:c>
      <x:c r="F13" s="18" t="n">
        <x:v>2</x:v>
      </x:c>
      <x:c r="G13" s="18" t="n">
        <x:v>7</x:v>
      </x:c>
      <x:c r="H13" s="18" t="n">
        <x:v>14</x:v>
      </x:c>
      <x:c r="I13" s="18" t="str">
        <x:v>Cyber/lost-link formation trial</x:v>
      </x:c>
      <x:c r="J13" s="18" t="str">
        <x:v>safe state, human detection, recovery, degraded output</x:v>
      </x:c>
      <x:c r="K13" s="46"/>
    </x:row>
    <x:row r="14" ht="43.20000076293945" hidden="0" customHeight="1">
      <x:c r="A14" s="14" t="str">
        <x:v>T10</x:v>
      </x:c>
      <x:c r="B14" s="14" t="str">
        <x:v>C07</x:v>
      </x:c>
      <x:c r="C14" s="14" t="str">
        <x:v>Optionally crewed wet earthworks</x:v>
      </x:c>
      <x:c r="D14" s="14" t="n">
        <x:v>4</x:v>
      </x:c>
      <x:c r="E14" s="14" t="n">
        <x:v>7</x:v>
      </x:c>
      <x:c r="F14" s="14" t="n">
        <x:v>3</x:v>
      </x:c>
      <x:c r="G14" s="14" t="n">
        <x:v>7</x:v>
      </x:c>
      <x:c r="H14" s="14" t="n">
        <x:v>16</x:v>
      </x:c>
      <x:c r="I14" s="14" t="str">
        <x:v>Breach-to-repair mission</x:v>
      </x:c>
      <x:c r="J14" s="14" t="str">
        <x:v>productivity, stop, exposure, repair</x:v>
      </x:c>
      <x:c r="K14" s="46"/>
    </x:row>
    <x:row r="15" ht="43.20000076293945" hidden="0" customHeight="1">
      <x:c r="A15" s="18" t="str">
        <x:v>T11</x:v>
      </x:c>
      <x:c r="B15" s="18" t="str">
        <x:v>C08</x:v>
      </x:c>
      <x:c r="C15" s="18" t="str">
        <x:v>Low-wake accessible urban craft</x:v>
      </x:c>
      <x:c r="D15" s="18" t="n">
        <x:v>3</x:v>
      </x:c>
      <x:c r="E15" s="18" t="n">
        <x:v>7</x:v>
      </x:c>
      <x:c r="F15" s="18" t="n">
        <x:v>2</x:v>
      </x:c>
      <x:c r="G15" s="18" t="n">
        <x:v>7</x:v>
      </x:c>
      <x:c r="H15" s="18" t="n">
        <x:v>14</x:v>
      </x:c>
      <x:c r="I15" s="18" t="str">
        <x:v>Flooded-city operational trial</x:v>
      </x:c>
      <x:c r="J15" s="18" t="str">
        <x:v>wake, stability, patient flow, obstacles</x:v>
      </x:c>
      <x:c r="K15" s="46"/>
    </x:row>
    <x:row r="16" ht="43.20000076293945" hidden="0" customHeight="1">
      <x:c r="A16" s="14" t="str">
        <x:v>T12</x:v>
      </x:c>
      <x:c r="B16" s="14" t="str">
        <x:v>C08</x:v>
      </x:c>
      <x:c r="C16" s="14" t="str">
        <x:v>Swiftwater/coastal self-righting craft</x:v>
      </x:c>
      <x:c r="D16" s="14" t="n">
        <x:v>3</x:v>
      </x:c>
      <x:c r="E16" s="14" t="n">
        <x:v>7</x:v>
      </x:c>
      <x:c r="F16" s="14" t="n">
        <x:v>2</x:v>
      </x:c>
      <x:c r="G16" s="14" t="n">
        <x:v>7</x:v>
      </x:c>
      <x:c r="H16" s="14" t="n">
        <x:v>17</x:v>
      </x:c>
      <x:c r="I16" s="14" t="str">
        <x:v>Natural-storm operational trial</x:v>
      </x:c>
      <x:c r="J16" s="14" t="str">
        <x:v>control margin, self-righting, crew load</x:v>
      </x:c>
      <x:c r="K16" s="46"/>
    </x:row>
    <x:row r="17" ht="43.20000076293945" hidden="0" customHeight="1">
      <x:c r="A17" s="18" t="str">
        <x:v>T13</x:v>
      </x:c>
      <x:c r="B17" s="18" t="str">
        <x:v>C08</x:v>
      </x:c>
      <x:c r="C17" s="18" t="str">
        <x:v>Heavy amphibious logistics platform</x:v>
      </x:c>
      <x:c r="D17" s="18" t="n">
        <x:v>3</x:v>
      </x:c>
      <x:c r="E17" s="18" t="n">
        <x:v>7</x:v>
      </x:c>
      <x:c r="F17" s="18" t="n">
        <x:v>2</x:v>
      </x:c>
      <x:c r="G17" s="18" t="n">
        <x:v>7</x:v>
      </x:c>
      <x:c r="H17" s="18" t="n">
        <x:v>17</x:v>
      </x:c>
      <x:c r="I17" s="18" t="str">
        <x:v>Wet-gap cargo campaign</x:v>
      </x:c>
      <x:c r="J17" s="18" t="str">
        <x:v>t/day, route damage, availability</x:v>
      </x:c>
      <x:c r="K17" s="46"/>
    </x:row>
    <x:row r="18" ht="32.400001525878906" hidden="0" customHeight="1">
      <x:c r="A18" s="14" t="str">
        <x:v>T14</x:v>
      </x:c>
      <x:c r="B18" s="14" t="str">
        <x:v>C09</x:v>
      </x:c>
      <x:c r="C18" s="14" t="str">
        <x:v>Rapid contamination classifier</x:v>
      </x:c>
      <x:c r="D18" s="14" t="n">
        <x:v>3</x:v>
      </x:c>
      <x:c r="E18" s="14" t="n">
        <x:v>7</x:v>
      </x:c>
      <x:c r="F18" s="14" t="n">
        <x:v>2</x:v>
      </x:c>
      <x:c r="G18" s="14" t="n">
        <x:v>7</x:v>
      </x:c>
      <x:c r="H18" s="14" t="n">
        <x:v>13</x:v>
      </x:c>
      <x:c r="I18" s="14" t="str">
        <x:v>Blind mixed-water field panel</x:v>
      </x:c>
      <x:c r="J18" s="14" t="str">
        <x:v>false safe, latency, maintenance</x:v>
      </x:c>
      <x:c r="K18" s="46"/>
    </x:row>
    <x:row r="19" ht="43.20000076293945" hidden="0" customHeight="1">
      <x:c r="A19" s="18" t="str">
        <x:v>T15</x:v>
      </x:c>
      <x:c r="B19" s="18" t="str">
        <x:v>C09</x:v>
      </x:c>
      <x:c r="C19" s="18" t="str">
        <x:v>Adaptive treatment train</x:v>
      </x:c>
      <x:c r="D19" s="18" t="n">
        <x:v>4</x:v>
      </x:c>
      <x:c r="E19" s="18" t="n">
        <x:v>7</x:v>
      </x:c>
      <x:c r="F19" s="18" t="n">
        <x:v>3</x:v>
      </x:c>
      <x:c r="G19" s="18" t="n">
        <x:v>7</x:v>
      </x:c>
      <x:c r="H19" s="18" t="n">
        <x:v>14</x:v>
      </x:c>
      <x:c r="I19" s="18" t="str">
        <x:v>Basin-to-discharge mission</x:v>
      </x:c>
      <x:c r="J19" s="18" t="str">
        <x:v>envelope, energy, residuals, uptime</x:v>
      </x:c>
      <x:c r="K19" s="46"/>
    </x:row>
    <x:row r="20" ht="43.20000076293945" hidden="0" customHeight="1">
      <x:c r="A20" s="14" t="str">
        <x:v>T16</x:v>
      </x:c>
      <x:c r="B20" s="14" t="str">
        <x:v>C10</x:v>
      </x:c>
      <x:c r="C20" s="14" t="str">
        <x:v>Riverine works carrier system</x:v>
      </x:c>
      <x:c r="D20" s="14" t="n">
        <x:v>3</x:v>
      </x:c>
      <x:c r="E20" s="14" t="n">
        <x:v>7</x:v>
      </x:c>
      <x:c r="F20" s="14" t="n">
        <x:v>2</x:v>
      </x:c>
      <x:c r="G20" s="14" t="n">
        <x:v>6</x:v>
      </x:c>
      <x:c r="H20" s="14" t="n">
        <x:v>19</x:v>
      </x:c>
      <x:c r="I20" s="14" t="str">
        <x:v>Port-denied campaign</x:v>
      </x:c>
      <x:c r="J20" s="14" t="str">
        <x:v>shore flow, cargo, launch, maintenance</x:v>
      </x:c>
      <x:c r="K20" s="46"/>
    </x:row>
    <x:row r="21" ht="43.20000076293945" hidden="0" customHeight="1">
      <x:c r="A21" s="18" t="str">
        <x:v>T17</x:v>
      </x:c>
      <x:c r="B21" s="18" t="str">
        <x:v>C10</x:v>
      </x:c>
      <x:c r="C21" s="18" t="str">
        <x:v>Coastal hydraulic works carrier</x:v>
      </x:c>
      <x:c r="D21" s="18" t="n">
        <x:v>2</x:v>
      </x:c>
      <x:c r="E21" s="18" t="n">
        <x:v>7</x:v>
      </x:c>
      <x:c r="F21" s="18" t="n">
        <x:v>2</x:v>
      </x:c>
      <x:c r="G21" s="18" t="n">
        <x:v>6</x:v>
      </x:c>
      <x:c r="H21" s="18" t="n">
        <x:v>22</x:v>
      </x:c>
      <x:c r="I21" s="18" t="str">
        <x:v>60-day coastal campaign</x:v>
      </x:c>
      <x:c r="J21" s="18" t="str">
        <x:v>stability, corrosion, crew, lifecycle</x:v>
      </x:c>
      <x:c r="K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</x:row>
    <x:row r="23" ht="23" customHeight="1">
      <x:c r="A23" s="47" t="str">
        <x:v>Readiness interpretation</x:v>
      </x:c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</x:row>
    <x:row r="24" ht="31" hidden="0" customHeight="1">
      <x:c r="A24" s="16" t="str">
        <x:v>Coordinate</x:v>
      </x:c>
      <x:c r="B24" s="16" t="str">
        <x:v>Meaning in this program</x:v>
      </x:c>
      <x:c r="C24" s="46"/>
      <x:c r="D24" s="46"/>
      <x:c r="E24" s="46"/>
      <x:c r="F24" s="46"/>
      <x:c r="G24" s="46"/>
      <x:c r="H24" s="46"/>
      <x:c r="I24" s="46"/>
      <x:c r="J24" s="46"/>
      <x:c r="K24" s="46"/>
    </x:row>
    <x:row r="25" ht="108" hidden="0" customHeight="1">
      <x:c r="A25" s="14" t="str">
        <x:v>TRL 6</x:v>
      </x:c>
      <x:c r="B25" s="14" t="str">
        <x:v>High-fidelity prototype addresses critical scale and is demonstrated in a relevant hydraulic environment.</x:v>
      </x:c>
      <x:c r="C25" s="46"/>
      <x:c r="D25" s="46"/>
      <x:c r="E25" s="46"/>
      <x:c r="F25" s="46"/>
      <x:c r="G25" s="46"/>
      <x:c r="H25" s="46"/>
      <x:c r="I25" s="46"/>
      <x:c r="J25" s="46"/>
      <x:c r="K25" s="46"/>
    </x:row>
    <x:row r="26" ht="108" hidden="0" customHeight="1">
      <x:c r="A26" s="14" t="str">
        <x:v>TRL 7</x:v>
      </x:c>
      <x:c r="B26" s="14" t="str">
        <x:v>Near/actual system prototype completes a representative operational mission, not a staged subsystem display.</x:v>
      </x:c>
      <x:c r="C26" s="46"/>
      <x:c r="D26" s="46"/>
      <x:c r="E26" s="46"/>
      <x:c r="F26" s="46"/>
      <x:c r="G26" s="46"/>
      <x:c r="H26" s="46"/>
      <x:c r="I26" s="46"/>
      <x:c r="J26" s="46"/>
      <x:c r="K26" s="46"/>
    </x:row>
    <x:row r="27" ht="108" hidden="0" customHeight="1">
      <x:c r="A27" s="14" t="str">
        <x:v>MRL 6</x:v>
      </x:c>
      <x:c r="B27" s="14" t="str">
        <x:v>Prototype system is made in a production-relevant environment with supply/process risks measured.</x:v>
      </x:c>
      <x:c r="C27" s="46"/>
      <x:c r="D27" s="46"/>
      <x:c r="E27" s="46"/>
      <x:c r="F27" s="46"/>
      <x:c r="G27" s="46"/>
      <x:c r="H27" s="46"/>
      <x:c r="I27" s="46"/>
      <x:c r="J27" s="46"/>
      <x:c r="K27" s="46"/>
    </x:row>
    <x:row r="28" ht="86.4000015258789" hidden="0" customHeight="1">
      <x:c r="A28" s="14" t="str">
        <x:v>MRL 7</x:v>
      </x:c>
      <x:c r="B28" s="14" t="str">
        <x:v>Production-representative articles and processes demonstrate quality, rate and cost learning.</x:v>
      </x:c>
      <x:c r="C28" s="46"/>
      <x:c r="D28" s="46"/>
      <x:c r="E28" s="46"/>
      <x:c r="F28" s="46"/>
      <x:c r="G28" s="46"/>
      <x:c r="H28" s="46"/>
      <x:c r="I28" s="46"/>
      <x:c r="J28" s="46"/>
      <x:c r="K28" s="46"/>
    </x:row>
    <x:row r="29" ht="129.60000610351562" hidden="0" customHeight="1">
      <x:c r="A29" s="14" t="str">
        <x:v>R3</x:v>
      </x:c>
      <x:c r="B29" s="14" t="str">
        <x:v>Project-specific system evidence closes all applicable physics, interface and mission-thread gates; it is not implied by one TRL number.</x:v>
      </x:c>
      <x:c r="C29" s="46"/>
      <x:c r="D29" s="46"/>
      <x:c r="E29" s="46"/>
      <x:c r="F29" s="46"/>
      <x:c r="G29" s="46"/>
      <x:c r="H29" s="46"/>
      <x:c r="I29" s="46"/>
      <x:c r="J29" s="46"/>
      <x:c r="K29" s="46"/>
    </x:row>
  </x:sheetData>
  <x:mergeCells>
    <x:mergeCell ref="A1:K1"/>
    <x:mergeCell ref="A2:K2"/>
    <x:mergeCell ref="A23:K2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48" hidden="0" customWidth="1"/>
    <x:col min="4" max="4" width="48" hidden="0" customWidth="1"/>
    <x:col min="5" max="5" width="40" hidden="0" customWidth="1"/>
    <x:col min="6" max="6" width="34" hidden="0" customWidth="1"/>
    <x:col min="7" max="7" width="34" hidden="0" customWidth="1"/>
    <x:col min="8" max="8" width="12" hidden="0" customWidth="1"/>
    <x:col min="9" max="9" width="36" hidden="0" customWidth="1"/>
    <x:col min="10" max="10" width="50" hidden="0" customWidth="1"/>
    <x:col min="11" max="11" width="10" hidden="0" customWidth="1"/>
  </x:cols>
  <x:sheetData>
    <x:row r="1" ht="34" customHeight="1">
      <x:c r="A1" s="44" t="str">
        <x:v>Pump Intake Protocol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 ht="30" customHeight="1">
      <x:c r="A2" s="45" t="str">
        <x:v>Full-scale evidence contract for credited flow, power, debris behavior, endurance and field maintainability.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</x:row>
    <x:row r="4" ht="31" customHeight="1">
      <x:c r="A4" s="16" t="str">
        <x:v>Protocol ID</x:v>
      </x:c>
      <x:c r="B4" s="16" t="str">
        <x:v>System / question</x:v>
      </x:c>
      <x:c r="C4" s="16" t="str">
        <x:v>Configuration variables</x:v>
      </x:c>
      <x:c r="D4" s="16" t="str">
        <x:v>Environment / disturbance</x:v>
      </x:c>
      <x:c r="E4" s="16" t="str">
        <x:v>Instrumentation</x:v>
      </x:c>
      <x:c r="F4" s="16" t="str">
        <x:v>Primary metric</x:v>
      </x:c>
      <x:c r="G4" s="16" t="str">
        <x:v>Threshold form</x:v>
      </x:c>
      <x:c r="H4" s="16" t="str">
        <x:v>Minimum reps</x:v>
      </x:c>
      <x:c r="I4" s="16" t="str">
        <x:v>Failure termination</x:v>
      </x:c>
      <x:c r="J4" s="16" t="str">
        <x:v>Required data package</x:v>
      </x:c>
      <x:c r="K4" s="16" t="str">
        <x:v>Gate</x:v>
      </x:c>
    </x:row>
    <x:row r="5" ht="86.4000015258789" hidden="0" customHeight="1">
      <x:c r="A5" s="18" t="str">
        <x:v>PI-01</x:v>
      </x:c>
      <x:c r="B5" s="18" t="str">
        <x:v>Hydraulic performance map</x:v>
      </x:c>
      <x:c r="C5" s="18" t="str">
        <x:v>wet end, speed, impeller, drive, manifold, valve state</x:v>
      </x:c>
      <x:c r="D5" s="18" t="str">
        <x:v>20–100% flow; 0–70 m head; hot/cold water</x:v>
      </x:c>
      <x:c r="E5" s="18" t="str">
        <x:v>traceable flow, head, torque, electric power, vibration, temperature</x:v>
      </x:c>
      <x:c r="F5" s="18" t="str">
        <x:v>flow/head/efficiency/NPSH surface</x:v>
      </x:c>
      <x:c r="G5" s="18" t="str">
        <x:v>confidence bounds across full credited envelope</x:v>
      </x:c>
      <x:c r="H5" s="18" t="n">
        <x:v>12</x:v>
      </x:c>
      <x:c r="I5" s="18" t="str">
        <x:v>overspeed, unstable vibration, cavitation damage</x:v>
      </x:c>
      <x:c r="J5" s="18" t="str">
        <x:v>as-built config; calibration; raw &gt;=100 Hz transients; maintenance; uncertainty</x:v>
      </x:c>
      <x:c r="K5" s="18" t="str">
        <x:v>G04</x:v>
      </x:c>
    </x:row>
    <x:row r="6" ht="75.5999984741211" hidden="0" customHeight="1">
      <x:c r="A6" s="14" t="str">
        <x:v>PI-02</x:v>
      </x:c>
      <x:c r="B6" s="14" t="str">
        <x:v>Submergence/cavitation</x:v>
      </x:c>
      <x:c r="C6" s="14" t="str">
        <x:v>sump geometry, intake bell, screen, approach angle</x:v>
      </x:c>
      <x:c r="D6" s="14" t="str">
        <x:v>falling level, vortex, air entrainment, waves</x:v>
      </x:c>
      <x:c r="E6" s="14" t="str">
        <x:v>pressure pulsation, acoustics, high-speed video, vibration</x:v>
      </x:c>
      <x:c r="F6" s="14" t="str">
        <x:v>damage-free operating envelope</x:v>
      </x:c>
      <x:c r="G6" s="14" t="str">
        <x:v>no damaging cavitation or air ingestion inside boundary</x:v>
      </x:c>
      <x:c r="H6" s="14" t="n">
        <x:v>16</x:v>
      </x:c>
      <x:c r="I6" s="14" t="str">
        <x:v>uncontained component damage</x:v>
      </x:c>
      <x:c r="J6" s="14" t="str">
        <x:v>geometry scan; video; pressure/vibration spectra; post-test inspection</x:v>
      </x:c>
      <x:c r="K6" s="14" t="str">
        <x:v>G05</x:v>
      </x:c>
    </x:row>
    <x:row r="7" ht="75.5999984741211" hidden="0" customHeight="1">
      <x:c r="A7" s="18" t="str">
        <x:v>PI-03</x:v>
      </x:c>
      <x:c r="B7" s="18" t="str">
        <x:v>Debris and ragging</x:v>
      </x:c>
      <x:c r="C7" s="18" t="str">
        <x:v>trash rack, cutter, bypass, wet-end clearance</x:v>
      </x:c>
      <x:c r="D7" s="18" t="str">
        <x:v>wood, vegetation, textile, plastic, sediment mixes</x:v>
      </x:c>
      <x:c r="E7" s="18" t="str">
        <x:v>flow loss, torque, jam, clearing action, downstream fragment</x:v>
      </x:c>
      <x:c r="F7" s="18" t="str">
        <x:v>sustained derate and clearing distribution</x:v>
      </x:c>
      <x:c r="G7" s="18" t="str">
        <x:v>&lt;=20% derate; P90 clear &lt;=20 min</x:v>
      </x:c>
      <x:c r="H7" s="18" t="n">
        <x:v>24</x:v>
      </x:c>
      <x:c r="I7" s="18" t="str">
        <x:v>unsafe projectile or motor protection trip</x:v>
      </x:c>
      <x:c r="J7" s="18" t="str">
        <x:v>debris recipe; mass balance; jams; interventions; wear images</x:v>
      </x:c>
      <x:c r="K7" s="18" t="str">
        <x:v>G04/G05</x:v>
      </x:c>
    </x:row>
    <x:row r="8" ht="64.80000305175781" hidden="0" customHeight="1">
      <x:c r="A8" s="14" t="str">
        <x:v>PI-04</x:v>
      </x:c>
      <x:c r="B8" s="14" t="str">
        <x:v>Solids wear</x:v>
      </x:c>
      <x:c r="C8" s="14" t="str">
        <x:v>materials, coatings, seals, bearings</x:v>
      </x:c>
      <x:c r="D8" s="14" t="str">
        <x:v>graded sediment concentration and mineralogy</x:v>
      </x:c>
      <x:c r="E8" s="14" t="str">
        <x:v>efficiency drift, clearances, seal leakage, particle size</x:v>
      </x:c>
      <x:c r="F8" s="14" t="str">
        <x:v>performance retention per solids tonne</x:v>
      </x:c>
      <x:c r="G8" s="14" t="str">
        <x:v>mission availability remains &gt;=92% in endurance block</x:v>
      </x:c>
      <x:c r="H8" s="14" t="n">
        <x:v>12</x:v>
      </x:c>
      <x:c r="I8" s="14" t="str">
        <x:v>seal loss or structural crack</x:v>
      </x:c>
      <x:c r="J8" s="14" t="str">
        <x:v>mass throughput; oil/debris analysis; dimensional metrology</x:v>
      </x:c>
      <x:c r="K8" s="14" t="str">
        <x:v>G04/G19</x:v>
      </x:c>
    </x:row>
    <x:row r="9" ht="64.80000305175781" hidden="0" customHeight="1">
      <x:c r="A9" s="18" t="str">
        <x:v>PI-05</x:v>
      </x:c>
      <x:c r="B9" s="18" t="str">
        <x:v>Multi-pump interaction</x:v>
      </x:c>
      <x:c r="C9" s="18" t="str">
        <x:v>2–8 modules, manifold topology, control laws</x:v>
      </x:c>
      <x:c r="D9" s="18" t="str">
        <x:v>start/stop, valve closure, source loss, blocked branch</x:v>
      </x:c>
      <x:c r="E9" s="18" t="str">
        <x:v>transient pressure, reverse flow, current, control state</x:v>
      </x:c>
      <x:c r="F9" s="18" t="str">
        <x:v>stable transition and isolation</x:v>
      </x:c>
      <x:c r="G9" s="18" t="str">
        <x:v>no propagating trip; transients &lt;=qualified limit</x:v>
      </x:c>
      <x:c r="H9" s="18" t="n">
        <x:v>20</x:v>
      </x:c>
      <x:c r="I9" s="18" t="str">
        <x:v>pressure or electrical protective limit exceeded</x:v>
      </x:c>
      <x:c r="J9" s="18" t="str">
        <x:v>synchronized hydraulic/electrical/event logs; control version</x:v>
      </x:c>
      <x:c r="K9" s="18" t="str">
        <x:v>G06/G07</x:v>
      </x:c>
    </x:row>
    <x:row r="10" ht="64.80000305175781" hidden="0" customHeight="1">
      <x:c r="A10" s="14" t="str">
        <x:v>PI-06</x:v>
      </x:c>
      <x:c r="B10" s="14" t="str">
        <x:v>Thirty-day endurance</x:v>
      </x:c>
      <x:c r="C10" s="14" t="str">
        <x:v>production-representative module and spares</x:v>
      </x:c>
      <x:c r="D10" s="14" t="str">
        <x:v>representative duty cycles, debris injections, crew shifts</x:v>
      </x:c>
      <x:c r="E10" s="14" t="str">
        <x:v>availability, MTTR, interventions, consumables, exposure</x:v>
      </x:c>
      <x:c r="F10" s="14" t="str">
        <x:v>mission availability and maintenance burden</x:v>
      </x:c>
      <x:c r="G10" s="14" t="n">
        <x:v>8</x:v>
      </x:c>
      <x:c r="H10" s="14" t="str">
        <x:v>unsafe failure; inability to isolate failed bay</x:v>
      </x:c>
      <x:c r="I10" s="14" t="n">
        <x:v>8</x:v>
      </x:c>
      <x:c r="J10" s="14" t="str">
        <x:v>full logbook; parts; labor; failure analysis; repaired state</x:v>
      </x:c>
      <x:c r="K10" s="14" t="str">
        <x:v>G04–G06/G16/G19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48" hidden="0" customWidth="1"/>
    <x:col min="4" max="4" width="48" hidden="0" customWidth="1"/>
    <x:col min="5" max="5" width="40" hidden="0" customWidth="1"/>
    <x:col min="6" max="6" width="34" hidden="0" customWidth="1"/>
    <x:col min="7" max="7" width="34" hidden="0" customWidth="1"/>
    <x:col min="8" max="8" width="12" hidden="0" customWidth="1"/>
    <x:col min="9" max="9" width="36" hidden="0" customWidth="1"/>
    <x:col min="10" max="10" width="50" hidden="0" customWidth="1"/>
    <x:col min="11" max="11" width="10" hidden="0" customWidth="1"/>
  </x:cols>
  <x:sheetData>
    <x:row r="1" ht="34" customHeight="1">
      <x:c r="A1" s="44" t="str">
        <x:v>Spine Barrier Breach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 ht="30" customHeight="1">
      <x:c r="A2" s="45" t="str">
        <x:v>Coupled route, exclusion, interior drainage and live-failure protocols. None may be credited in isolation.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</x:row>
    <x:row r="4" ht="31" customHeight="1">
      <x:c r="A4" s="16" t="str">
        <x:v>Protocol ID</x:v>
      </x:c>
      <x:c r="B4" s="16" t="str">
        <x:v>System / question</x:v>
      </x:c>
      <x:c r="C4" s="16" t="str">
        <x:v>Configuration variables</x:v>
      </x:c>
      <x:c r="D4" s="16" t="str">
        <x:v>Environment / disturbance</x:v>
      </x:c>
      <x:c r="E4" s="16" t="str">
        <x:v>Instrumentation</x:v>
      </x:c>
      <x:c r="F4" s="16" t="str">
        <x:v>Primary metric</x:v>
      </x:c>
      <x:c r="G4" s="16" t="str">
        <x:v>Threshold form</x:v>
      </x:c>
      <x:c r="H4" s="16" t="str">
        <x:v>Minimum reps</x:v>
      </x:c>
      <x:c r="I4" s="16" t="str">
        <x:v>Failure termination</x:v>
      </x:c>
      <x:c r="J4" s="16" t="str">
        <x:v>Required data package</x:v>
      </x:c>
      <x:c r="K4" s="16" t="str">
        <x:v>Gate</x:v>
      </x:c>
    </x:row>
    <x:row r="5" ht="64.80000305175781" hidden="0" customHeight="1">
      <x:c r="A5" s="18" t="str">
        <x:v>SBB-01</x:v>
      </x:c>
      <x:c r="B5" s="18" t="str">
        <x:v>Drainage joint transient</x:v>
      </x:c>
      <x:c r="C5" s="18" t="str">
        <x:v>diameter, joint, bend, valve, anchor</x:v>
      </x:c>
      <x:c r="D5" s="18" t="str">
        <x:v>pump trip/start, air pocket, downhill/uphill route</x:v>
      </x:c>
      <x:c r="E5" s="18" t="str">
        <x:v>pressure array, displacement, leak, acoustic event</x:v>
      </x:c>
      <x:c r="F5" s="18" t="str">
        <x:v>peak pressure / movement / leakage</x:v>
      </x:c>
      <x:c r="G5" s="18" t="str">
        <x:v>1.5x operating transient without progressive separation</x:v>
      </x:c>
      <x:c r="H5" s="18" t="n">
        <x:v>12</x:v>
      </x:c>
      <x:c r="I5" s="18" t="str">
        <x:v>rapid unzip or unsafe projectile</x:v>
      </x:c>
      <x:c r="J5" s="18" t="str">
        <x:v>as-built route; transient series; inspections; repair time</x:v>
      </x:c>
      <x:c r="K5" s="18" t="str">
        <x:v>G07</x:v>
      </x:c>
    </x:row>
    <x:row r="6" ht="64.80000305175781" hidden="0" customHeight="1">
      <x:c r="A6" s="14" t="str">
        <x:v>SBB-02</x:v>
      </x:c>
      <x:c r="B6" s="14" t="str">
        <x:v>Full route build/recovery</x:v>
      </x:c>
      <x:c r="C6" s="14" t="str">
        <x:v>trunk kit, crews, robots, crossings</x:v>
      </x:c>
      <x:c r="D6" s="14" t="str">
        <x:v>20 km mixed corridor, rain, route loss</x:v>
      </x:c>
      <x:c r="E6" s="14" t="str">
        <x:v>mass scan, schedule, labor, traffic closure, flow</x:v>
      </x:c>
      <x:c r="F6" s="14" t="str">
        <x:v>m3/s-km per t and setup-hour</x:v>
      </x:c>
      <x:c r="G6" s="14" t="str">
        <x:v>10 m3/s within 96 h; &gt;=90% material recovery</x:v>
      </x:c>
      <x:c r="H6" s="14" t="n">
        <x:v>8</x:v>
      </x:c>
      <x:c r="I6" s="14" t="str">
        <x:v>public safety breach or uncontained release</x:v>
      </x:c>
      <x:c r="J6" s="14" t="str">
        <x:v>item manifest; time-motion; route permits; defects</x:v>
      </x:c>
      <x:c r="K6" s="14" t="str">
        <x:v>G07/G15</x:v>
      </x:c>
    </x:row>
    <x:row r="7" ht="64.80000305175781" hidden="0" customHeight="1">
      <x:c r="A7" s="18" t="str">
        <x:v>SBB-03</x:v>
      </x:c>
      <x:c r="B7" s="18" t="str">
        <x:v>Barrier load history</x:v>
      </x:c>
      <x:c r="C7" s="18" t="str">
        <x:v>panel, foundation, termination, anchors</x:v>
      </x:c>
      <x:c r="D7" s="18" t="str">
        <x:v>hydrostatic, seepage, current, wave, impact, settlement</x:v>
      </x:c>
      <x:c r="E7" s="18" t="str">
        <x:v>pore pressure, strain, displacement, leakage, bathymetry</x:v>
      </x:c>
      <x:c r="F7" s="18" t="str">
        <x:v>probability of hold through spectrum</x:v>
      </x:c>
      <x:c r="G7" s="18" t="str">
        <x:v>no progressive failure; consequence-controlled exceedance</x:v>
      </x:c>
      <x:c r="H7" s="18" t="n">
        <x:v>16</x:v>
      </x:c>
      <x:c r="I7" s="18" t="str">
        <x:v>unexpected occupied-zone inundation</x:v>
      </x:c>
      <x:c r="J7" s="18" t="str">
        <x:v>soil/geometry; load history; video; inspection; failure tree</x:v>
      </x:c>
      <x:c r="K7" s="18" t="str">
        <x:v>G08</x:v>
      </x:c>
    </x:row>
    <x:row r="8" ht="64.80000305175781" hidden="0" customHeight="1">
      <x:c r="A8" s="14" t="str">
        <x:v>SBB-04</x:v>
      </x:c>
      <x:c r="B8" s="14" t="str">
        <x:v>Interior drainage</x:v>
      </x:c>
      <x:c r="C8" s="14" t="str">
        <x:v>barrier plus sumps, backflow, pumps, sewer interfaces</x:v>
      </x:c>
      <x:c r="D8" s="14" t="str">
        <x:v>rain, seepage, sewer inflow, bay failure</x:v>
      </x:c>
      <x:c r="E8" s="14" t="str">
        <x:v>cell depth, flow, pump state, backflow, power</x:v>
      </x:c>
      <x:c r="F8" s="14" t="str">
        <x:v>margin to priority-cell threshold</x:v>
      </x:c>
      <x:c r="G8" s="14" t="str">
        <x:v>positive margin with one bay failed</x:v>
      </x:c>
      <x:c r="H8" s="14" t="n">
        <x:v>12</x:v>
      </x:c>
      <x:c r="I8" s="14" t="str">
        <x:v>priority cell crosses safety threshold</x:v>
      </x:c>
      <x:c r="J8" s="14" t="str">
        <x:v>coupled model; all inflows; control decisions; transfer state</x:v>
      </x:c>
      <x:c r="K8" s="14" t="str">
        <x:v>G08/G14</x:v>
      </x:c>
    </x:row>
    <x:row r="9" ht="64.80000305175781" hidden="0" customHeight="1">
      <x:c r="A9" s="18" t="str">
        <x:v>SBB-05</x:v>
      </x:c>
      <x:c r="B9" s="18" t="str">
        <x:v>Breach growth baseline</x:v>
      </x:c>
      <x:c r="C9" s="18" t="str">
        <x:v>soil/compaction, head, initial notch, structure</x:v>
      </x:c>
      <x:c r="D9" s="18" t="str">
        <x:v>3–6 m head, 12–30 m opening, debris</x:v>
      </x:c>
      <x:c r="E9" s="18" t="str">
        <x:v>geometry, head, velocity, discharge, pore pressure</x:v>
      </x:c>
      <x:c r="F9" s="18" t="str">
        <x:v>growth/discharge predictive coverage</x:v>
      </x:c>
      <x:c r="G9" s="18" t="str">
        <x:v>85–95% coverage for nominal 90% interval</x:v>
      </x:c>
      <x:c r="H9" s="18" t="n">
        <x:v>24</x:v>
      </x:c>
      <x:c r="I9" s="18" t="str">
        <x:v>range containment limit</x:v>
      </x:c>
      <x:c r="J9" s="18" t="str">
        <x:v>full geometry/time series; material properties; uncertainty</x:v>
      </x:c>
      <x:c r="K9" s="18" t="str">
        <x:v>G03/G09</x:v>
      </x:c>
    </x:row>
    <x:row r="10" ht="75.5999984741211" hidden="0" customHeight="1">
      <x:c r="A10" s="14" t="str">
        <x:v>SBB-06</x:v>
      </x:c>
      <x:c r="B10" s="14" t="str">
        <x:v>Live-flow arrest</x:v>
      </x:c>
      <x:c r="C10" s="14" t="str">
        <x:v>competing closure concept, delivery mode, access</x:v>
      </x:c>
      <x:c r="D10" s="14" t="str">
        <x:v>breach matrix plus failed sensor/actuator</x:v>
      </x:c>
      <x:c r="E10" s="14" t="str">
        <x:v>flow reduction, deployment time, downstream debris, exposure</x:v>
      </x:c>
      <x:c r="F10" s="14" t="str">
        <x:v>reduction at 15/30/60 min</x:v>
      </x:c>
      <x:c r="G10" s="14" t="str">
        <x:v>median &gt;=70% at 60 min; no uncontrolled hazard</x:v>
      </x:c>
      <x:c r="H10" s="14" t="n">
        <x:v>24</x:v>
      </x:c>
      <x:c r="I10" s="14" t="str">
        <x:v>downstream missile or crew exposure limit</x:v>
      </x:c>
      <x:c r="J10" s="14" t="str">
        <x:v>configuration; deployment sequence; flow/geometry; failure debris</x:v>
      </x:c>
      <x:c r="K10" s="14" t="str">
        <x:v>G09</x:v>
      </x:c>
    </x:row>
    <x:row r="11" ht="75.5999984741211" hidden="0" customHeight="1">
      <x:c r="A11" s="18" t="str">
        <x:v>SBB-07</x:v>
      </x:c>
      <x:c r="B11" s="18" t="str">
        <x:v>Filtered durable transition</x:v>
      </x:c>
      <x:c r="C11" s="18" t="str">
        <x:v>filter layers, closure fill, armor, drainage</x:v>
      </x:c>
      <x:c r="D11" s="18" t="str">
        <x:v>72 h hold, cycling head, seepage and overtopping</x:v>
      </x:c>
      <x:c r="E11" s="18" t="str">
        <x:v>gradient, turbidity, settlement, deformation</x:v>
      </x:c>
      <x:c r="F11" s="18" t="str">
        <x:v>piping and settlement margin</x:v>
      </x:c>
      <x:c r="G11" s="18" t="str">
        <x:v>no progressive internal erosion through hold</x:v>
      </x:c>
      <x:c r="H11" s="18" t="n">
        <x:v>12</x:v>
      </x:c>
      <x:c r="I11" s="18" t="str">
        <x:v>piping trend crosses stop rule</x:v>
      </x:c>
      <x:c r="J11" s="18" t="str">
        <x:v>materials QA; placement trace; sensors; post-excavation section</x:v>
      </x:c>
      <x:c r="K11" s="18" t="str">
        <x:v>G09/G19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48" hidden="0" customWidth="1"/>
    <x:col min="4" max="4" width="48" hidden="0" customWidth="1"/>
    <x:col min="5" max="5" width="40" hidden="0" customWidth="1"/>
    <x:col min="6" max="6" width="34" hidden="0" customWidth="1"/>
    <x:col min="7" max="7" width="34" hidden="0" customWidth="1"/>
    <x:col min="8" max="8" width="12" hidden="0" customWidth="1"/>
    <x:col min="9" max="9" width="36" hidden="0" customWidth="1"/>
    <x:col min="10" max="10" width="50" hidden="0" customWidth="1"/>
    <x:col min="11" max="11" width="10" hidden="0" customWidth="1"/>
  </x:cols>
  <x:sheetData>
    <x:row r="1" ht="34" customHeight="1">
      <x:c r="A1" s="44" t="str">
        <x:v>Amphibious Autonomy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 ht="30" customHeight="1">
      <x:c r="A2" s="45" t="str">
        <x:v>Separate vehicle classes and bounded autonomy; no universal amphibious label and no autonomy credit without recovery.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</x:row>
    <x:row r="4" ht="31" customHeight="1">
      <x:c r="A4" s="16" t="str">
        <x:v>Protocol ID</x:v>
      </x:c>
      <x:c r="B4" s="16" t="str">
        <x:v>System / question</x:v>
      </x:c>
      <x:c r="C4" s="16" t="str">
        <x:v>Configuration variables</x:v>
      </x:c>
      <x:c r="D4" s="16" t="str">
        <x:v>Environment / disturbance</x:v>
      </x:c>
      <x:c r="E4" s="16" t="str">
        <x:v>Instrumentation</x:v>
      </x:c>
      <x:c r="F4" s="16" t="str">
        <x:v>Primary metric</x:v>
      </x:c>
      <x:c r="G4" s="16" t="str">
        <x:v>Threshold form</x:v>
      </x:c>
      <x:c r="H4" s="16" t="str">
        <x:v>Minimum reps</x:v>
      </x:c>
      <x:c r="I4" s="16" t="str">
        <x:v>Failure termination</x:v>
      </x:c>
      <x:c r="J4" s="16" t="str">
        <x:v>Required data package</x:v>
      </x:c>
      <x:c r="K4" s="16" t="str">
        <x:v>Gate</x:v>
      </x:c>
    </x:row>
    <x:row r="5" ht="64.80000305175781" hidden="0" customHeight="1">
      <x:c r="A5" s="18" t="str">
        <x:v>AA-01</x:v>
      </x:c>
      <x:c r="B5" s="18" t="str">
        <x:v>Urban craft envelope</x:v>
      </x:c>
      <x:c r="C5" s="18" t="str">
        <x:v>hull, propulsion, fender, patient layout</x:v>
      </x:c>
      <x:c r="D5" s="18" t="str">
        <x:v>shallow water, hidden curb/hole/vehicle, wire, narrow turn</x:v>
      </x:c>
      <x:c r="E5" s="18" t="str">
        <x:v>motion, wake, impact, clearance, patient loads</x:v>
      </x:c>
      <x:c r="F5" s="18" t="str">
        <x:v>safe speed–depth–obstacle envelope</x:v>
      </x:c>
      <x:c r="G5" s="18" t="str">
        <x:v>zero capsize; wake/impact below corridor limit</x:v>
      </x:c>
      <x:c r="H5" s="18" t="n">
        <x:v>20</x:v>
      </x:c>
      <x:c r="I5" s="18" t="str">
        <x:v>loss of stability or person strike</x:v>
      </x:c>
      <x:c r="J5" s="18" t="str">
        <x:v>hydrostatics; course truth; video; injury proxy; damage</x:v>
      </x:c>
      <x:c r="K5" s="18" t="str">
        <x:v>G10</x:v>
      </x:c>
    </x:row>
    <x:row r="6" ht="54" hidden="0" customHeight="1">
      <x:c r="A6" s="14" t="str">
        <x:v>AA-02</x:v>
      </x:c>
      <x:c r="B6" s="14" t="str">
        <x:v>Swiftwater craft envelope</x:v>
      </x:c>
      <x:c r="C6" s="14" t="str">
        <x:v>hull, jet/propulsor, self-righting, tether</x:v>
      </x:c>
      <x:c r="D6" s="14" t="str">
        <x:v>current, debris, strainers, night, cold water</x:v>
      </x:c>
      <x:c r="E6" s="14" t="str">
        <x:v>control margin, capsize, righting, crew load</x:v>
      </x:c>
      <x:c r="F6" s="14" t="str">
        <x:v>current–maneuver–recovery boundary</x:v>
      </x:c>
      <x:c r="G6" s="14" t="str">
        <x:v>positive control and self-righting at published limit</x:v>
      </x:c>
      <x:c r="H6" s="14" t="n">
        <x:v>20</x:v>
      </x:c>
      <x:c r="I6" s="14" t="str">
        <x:v>crew ejection or unrecoverable drift</x:v>
      </x:c>
      <x:c r="J6" s="14" t="str">
        <x:v>motion/force; crew physiology; recovery; damage</x:v>
      </x:c>
      <x:c r="K6" s="14" t="str">
        <x:v>G10/G16</x:v>
      </x:c>
    </x:row>
    <x:row r="7" ht="54" hidden="0" customHeight="1">
      <x:c r="A7" s="18" t="str">
        <x:v>AA-03</x:v>
      </x:c>
      <x:c r="B7" s="18" t="str">
        <x:v>Coastal/surf envelope</x:v>
      </x:c>
      <x:c r="C7" s="18" t="str">
        <x:v>craft, launch, propulsion, corrosion state</x:v>
      </x:c>
      <x:c r="D7" s="18" t="str">
        <x:v>surf, wave, wind, tide, salt, damaged quay</x:v>
      </x:c>
      <x:c r="E7" s="18" t="str">
        <x:v>motion, control, launch/recovery, corrosion</x:v>
      </x:c>
      <x:c r="F7" s="18" t="str">
        <x:v>operability and abort boundary</x:v>
      </x:c>
      <x:c r="G7" s="18" t="str">
        <x:v>all runs inside accepted stability/abort envelope</x:v>
      </x:c>
      <x:c r="H7" s="18" t="n">
        <x:v>20</x:v>
      </x:c>
      <x:c r="I7" s="18" t="str">
        <x:v>stability reserve or crew-load stop</x:v>
      </x:c>
      <x:c r="J7" s="18" t="str">
        <x:v>environment truth; vessel state; route; interventions</x:v>
      </x:c>
      <x:c r="K7" s="18" t="str">
        <x:v>G10/G18</x:v>
      </x:c>
    </x:row>
    <x:row r="8" ht="64.80000305175781" hidden="0" customHeight="1">
      <x:c r="A8" s="14" t="str">
        <x:v>AA-04</x:v>
      </x:c>
      <x:c r="B8" s="14" t="str">
        <x:v>Accessible patient flow</x:v>
      </x:c>
      <x:c r="C8" s="14" t="str">
        <x:v>doors/ramps, seating, restraint, medical interface</x:v>
      </x:c>
      <x:c r="D8" s="14" t="str">
        <x:v>wheelchair, stretcher, bariatric, caregiver, low light</x:v>
      </x:c>
      <x:c r="E8" s="14" t="str">
        <x:v>boarding time, force, dignity events, injuries</x:v>
      </x:c>
      <x:c r="F8" s="14" t="str">
        <x:v>throughput by user class</x:v>
      </x:c>
      <x:c r="G8" s="14" t="str">
        <x:v>100% reference users; zero transfer injuries</x:v>
      </x:c>
      <x:c r="H8" s="14" t="n">
        <x:v>12</x:v>
      </x:c>
      <x:c r="I8" s="14" t="str">
        <x:v>unsafe lift/restraint event</x:v>
      </x:c>
      <x:c r="J8" s="14" t="str">
        <x:v>participant protocol; timing; ergonomic/clinical observations</x:v>
      </x:c>
      <x:c r="K8" s="14" t="str">
        <x:v>G10/G16</x:v>
      </x:c>
    </x:row>
    <x:row r="9" ht="54" hidden="0" customHeight="1">
      <x:c r="A9" s="18" t="str">
        <x:v>AA-05</x:v>
      </x:c>
      <x:c r="B9" s="18" t="str">
        <x:v>Autonomy lost-link</x:v>
      </x:c>
      <x:c r="C9" s="18" t="str">
        <x:v>vehicle/surface/air robot, safety kernel</x:v>
      </x:c>
      <x:c r="D9" s="18" t="str">
        <x:v>GNSS loss, corrupt map, occlusion, network partition</x:v>
      </x:c>
      <x:c r="E9" s="18" t="str">
        <x:v>state, path, stop distance, collision/near miss</x:v>
      </x:c>
      <x:c r="F9" s="18" t="str">
        <x:v>safe-state probability and recovery time</x:v>
      </x:c>
      <x:c r="G9" s="18" t="n">
        <x:v>30</x:v>
      </x:c>
      <x:c r="H9" s="18" t="str">
        <x:v>person strike or boundary violation</x:v>
      </x:c>
      <x:c r="I9" s="18" t="str">
        <x:v>&gt;=99.5% safe-state evidence; P90 recovery &lt;=30 min</x:v>
      </x:c>
      <x:c r="J9" s="18" t="str">
        <x:v>G11</x:v>
      </x:c>
      <x:c r="K9" s="18"/>
    </x:row>
    <x:row r="10" ht="75.5999984741211" hidden="0" customHeight="1">
      <x:c r="A10" s="14" t="str">
        <x:v>AA-06</x:v>
      </x:c>
      <x:c r="B10" s="14" t="str">
        <x:v>Human detection</x:v>
      </x:c>
      <x:c r="C10" s="14" t="str">
        <x:v>sensor suite and fusion version</x:v>
      </x:c>
      <x:c r="D10" s="14" t="str">
        <x:v>rain, darkness, reflection, debris, partial submergence</x:v>
      </x:c>
      <x:c r="E10" s="14" t="str">
        <x:v>truth-labeled detection, false alarm, reaction</x:v>
      </x:c>
      <x:c r="F10" s="14" t="str">
        <x:v>sensitivity at operating range</x:v>
      </x:c>
      <x:c r="G10" s="14" t="str">
        <x:v>&gt;=0.995 sensitivity; no collision</x:v>
      </x:c>
      <x:c r="H10" s="14" t="n">
        <x:v>30</x:v>
      </x:c>
      <x:c r="I10" s="14" t="str">
        <x:v>miss inside unavoidable-collision horizon</x:v>
      </x:c>
      <x:c r="J10" s="14" t="str">
        <x:v>truth labels; raw sensors; model/version; false alarms</x:v>
      </x:c>
      <x:c r="K10" s="14" t="str">
        <x:v>G10/G11</x:v>
      </x:c>
    </x:row>
    <x:row r="11" ht="75.5999984741211" hidden="0" customHeight="1">
      <x:c r="A11" s="18" t="str">
        <x:v>AA-07</x:v>
      </x:c>
      <x:c r="B11" s="18" t="str">
        <x:v>Mixed fleet and cyber</x:v>
      </x:c>
      <x:c r="C11" s="18" t="str">
        <x:v>dispatch, deconfliction, command, manual modes</x:v>
      </x:c>
      <x:c r="D11" s="18" t="str">
        <x:v>spoofed object, stale map, link saturation, false command</x:v>
      </x:c>
      <x:c r="E11" s="18" t="str">
        <x:v>unsafe action, detection, service retention</x:v>
      </x:c>
      <x:c r="F11" s="18" t="str">
        <x:v>mission fraction under attack</x:v>
      </x:c>
      <x:c r="G11" s="18" t="str">
        <x:v>no irreversible unsafe command; &gt;=60% manual output</x:v>
      </x:c>
      <x:c r="H11" s="18" t="n">
        <x:v>20</x:v>
      </x:c>
      <x:c r="I11" s="18" t="str">
        <x:v>cross-boundary or unsafe gate/action</x:v>
      </x:c>
      <x:c r="J11" s="18" t="str">
        <x:v>traffic/control logs; injected fault; operator decisions</x:v>
      </x:c>
      <x:c r="K11" s="18" t="str">
        <x:v>G11/G20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48" hidden="0" customWidth="1"/>
    <x:col min="4" max="4" width="48" hidden="0" customWidth="1"/>
    <x:col min="5" max="5" width="40" hidden="0" customWidth="1"/>
    <x:col min="6" max="6" width="34" hidden="0" customWidth="1"/>
    <x:col min="7" max="7" width="34" hidden="0" customWidth="1"/>
    <x:col min="8" max="8" width="12" hidden="0" customWidth="1"/>
    <x:col min="9" max="9" width="36" hidden="0" customWidth="1"/>
    <x:col min="10" max="10" width="50" hidden="0" customWidth="1"/>
    <x:col min="11" max="11" width="10" hidden="0" customWidth="1"/>
  </x:cols>
  <x:sheetData>
    <x:row r="1" ht="34" customHeight="1">
      <x:c r="A1" s="44" t="str">
        <x:v>Contamination Protocol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 ht="30" customHeight="1">
      <x:c r="A2" s="45" t="str">
        <x:v>Environmental quality is a mission output. Moving water without accounting for contaminant fate earns no resilience credit.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</x:row>
    <x:row r="4" ht="31" customHeight="1">
      <x:c r="A4" s="16" t="str">
        <x:v>Protocol ID</x:v>
      </x:c>
      <x:c r="B4" s="16" t="str">
        <x:v>System / question</x:v>
      </x:c>
      <x:c r="C4" s="16" t="str">
        <x:v>Configuration variables</x:v>
      </x:c>
      <x:c r="D4" s="16" t="str">
        <x:v>Environment / disturbance</x:v>
      </x:c>
      <x:c r="E4" s="16" t="str">
        <x:v>Instrumentation</x:v>
      </x:c>
      <x:c r="F4" s="16" t="str">
        <x:v>Primary metric</x:v>
      </x:c>
      <x:c r="G4" s="16" t="str">
        <x:v>Threshold form</x:v>
      </x:c>
      <x:c r="H4" s="16" t="str">
        <x:v>Minimum reps</x:v>
      </x:c>
      <x:c r="I4" s="16" t="str">
        <x:v>Failure termination</x:v>
      </x:c>
      <x:c r="J4" s="16" t="str">
        <x:v>Required data package</x:v>
      </x:c>
      <x:c r="K4" s="16" t="str">
        <x:v>Gate</x:v>
      </x:c>
    </x:row>
    <x:row r="5" ht="75.5999984741211" hidden="0" customHeight="1">
      <x:c r="A5" s="18" t="str">
        <x:v>CP-01</x:v>
      </x:c>
      <x:c r="B5" s="18" t="str">
        <x:v>Rapid hazard classification</x:v>
      </x:c>
      <x:c r="C5" s="18" t="str">
        <x:v>sensor panel, sampling plan, decision thresholds</x:v>
      </x:c>
      <x:c r="D5" s="18" t="str">
        <x:v>sewage, petroleum, metals, salinity, pathogens, unknown mixture</x:v>
      </x:c>
      <x:c r="E5" s="18" t="str">
        <x:v>reference lab comparison, latency, false-safe/false-hazard</x:v>
      </x:c>
      <x:c r="F5" s="18" t="str">
        <x:v>classification error and decision time</x:v>
      </x:c>
      <x:c r="G5" s="18" t="str">
        <x:v>zero critical false-safe; P90 result &lt;=30 min</x:v>
      </x:c>
      <x:c r="H5" s="18" t="n">
        <x:v>24</x:v>
      </x:c>
      <x:c r="I5" s="18" t="str">
        <x:v>false release recommendation</x:v>
      </x:c>
      <x:c r="J5" s="18" t="str">
        <x:v>chain of custody; calibration; raw spectra; lab confirmation</x:v>
      </x:c>
      <x:c r="K5" s="18" t="str">
        <x:v>G13</x:v>
      </x:c>
    </x:row>
    <x:row r="6" ht="64.80000305175781" hidden="0" customHeight="1">
      <x:c r="A6" s="14" t="str">
        <x:v>CP-02</x:v>
      </x:c>
      <x:c r="B6" s="14" t="str">
        <x:v>Treatment envelope</x:v>
      </x:c>
      <x:c r="C6" s="14" t="str">
        <x:v>pretreatment, membranes/media, oxidation, solids</x:v>
      </x:c>
      <x:c r="D6" s="14" t="str">
        <x:v>contaminant/concentration/salinity/turbidity matrix</x:v>
      </x:c>
      <x:c r="E6" s="14" t="str">
        <x:v>in/out concentration, flux, energy, pressure, fouling</x:v>
      </x:c>
      <x:c r="F6" s="14" t="str">
        <x:v>removal and throughput surface</x:v>
      </x:c>
      <x:c r="G6" s="14" t="str">
        <x:v>discharge target met throughout published envelope</x:v>
      </x:c>
      <x:c r="H6" s="14" t="n">
        <x:v>24</x:v>
      </x:c>
      <x:c r="I6" s="14" t="str">
        <x:v>breakthrough above stop rule</x:v>
      </x:c>
      <x:c r="J6" s="14" t="str">
        <x:v>feed recipe; full mass/energy; residuals; maintenance</x:v>
      </x:c>
      <x:c r="K6" s="14" t="str">
        <x:v>G13</x:v>
      </x:c>
    </x:row>
    <x:row r="7" ht="64.80000305175781" hidden="0" customHeight="1">
      <x:c r="A7" s="18" t="str">
        <x:v>CP-03</x:v>
      </x:c>
      <x:c r="B7" s="18" t="str">
        <x:v>Residuals mass balance</x:v>
      </x:c>
      <x:c r="C7" s="18" t="str">
        <x:v>solids separation, storage, stabilization</x:v>
      </x:c>
      <x:c r="D7" s="18" t="str">
        <x:v>30-day variable feed and shock loads</x:v>
      </x:c>
      <x:c r="E7" s="18" t="str">
        <x:v>all influent/product/waste streams and inventory</x:v>
      </x:c>
      <x:c r="F7" s="18" t="str">
        <x:v>mass closure and waste volume</x:v>
      </x:c>
      <x:c r="G7" s="18" t="str">
        <x:v>90–110% mass closure; no uncontained waste</x:v>
      </x:c>
      <x:c r="H7" s="18" t="n">
        <x:v>12</x:v>
      </x:c>
      <x:c r="I7" s="18" t="str">
        <x:v>loss of containment</x:v>
      </x:c>
      <x:c r="J7" s="18" t="str">
        <x:v>weighed streams; samples; storage; disposition manifest</x:v>
      </x:c>
      <x:c r="K7" s="18" t="str">
        <x:v>G13/G19</x:v>
      </x:c>
    </x:row>
    <x:row r="8" ht="75.5999984741211" hidden="0" customHeight="1">
      <x:c r="A8" s="14" t="str">
        <x:v>CP-04</x:v>
      </x:c>
      <x:c r="B8" s="14" t="str">
        <x:v>Accountable discharge</x:v>
      </x:c>
      <x:c r="C8" s="14" t="str">
        <x:v>treatment plus pipe/outfall and plume model</x:v>
      </x:c>
      <x:c r="D8" s="14" t="str">
        <x:v>varying receiving stage, habitat and downstream users</x:v>
      </x:c>
      <x:c r="E8" s="14" t="str">
        <x:v>effluent, plume, sensor network, decision record</x:v>
      </x:c>
      <x:c r="F8" s="14" t="str">
        <x:v>compliance and consequence</x:v>
      </x:c>
      <x:c r="G8" s="14" t="str">
        <x:v>no downstream threshold exceedance; 100% decisions logged</x:v>
      </x:c>
      <x:c r="H8" s="14" t="n">
        <x:v>12</x:v>
      </x:c>
      <x:c r="I8" s="14" t="str">
        <x:v>unexpected plume into protected receptor</x:v>
      </x:c>
      <x:c r="J8" s="14" t="str">
        <x:v>permit-like decision basis; monitoring; model/version; AAR</x:v>
      </x:c>
      <x:c r="K8" s="14" t="str">
        <x:v>G13/G20</x:v>
      </x:c>
    </x:row>
    <x:row r="9" ht="64.80000305175781" hidden="0" customHeight="1">
      <x:c r="A9" s="18" t="str">
        <x:v>CP-05</x:v>
      </x:c>
      <x:c r="B9" s="18" t="str">
        <x:v>Decontamination cycle</x:v>
      </x:c>
      <x:c r="C9" s="18" t="str">
        <x:v>craft/machine/pump, wash and waste capture</x:v>
      </x:c>
      <x:c r="D9" s="18" t="str">
        <x:v>cross-zone movement and repeated crews</x:v>
      </x:c>
      <x:c r="E9" s="18" t="str">
        <x:v>surface samples, waste, cycle time, recontamination</x:v>
      </x:c>
      <x:c r="F9" s="18" t="str">
        <x:v>clearance probability and throughput</x:v>
      </x:c>
      <x:c r="G9" s="18" t="str">
        <x:v>clearance met without exporting wash water</x:v>
      </x:c>
      <x:c r="H9" s="18" t="n">
        <x:v>16</x:v>
      </x:c>
      <x:c r="I9" s="18" t="str">
        <x:v>cross-contamination event</x:v>
      </x:c>
      <x:c r="J9" s="18" t="str">
        <x:v>asset ID; zone chain; wash mass; samples; disposition</x:v>
      </x:c>
      <x:c r="K9" s="18" t="str">
        <x:v>G10/G13/G16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25" hidden="0" customWidth="1"/>
    <x:col min="7" max="7" width="12" hidden="0" customWidth="1"/>
    <x:col min="8" max="8" width="12" hidden="0" customWidth="1"/>
    <x:col min="9" max="9" width="55" hidden="0" customWidth="1"/>
    <x:col min="10" max="10" width="58" hidden="0" customWidth="1"/>
    <x:col min="11" max="11" width="45" hidden="0" customWidth="1"/>
  </x:cols>
  <x:sheetData>
    <x:row r="1" ht="34" customHeight="1">
      <x:c r="A1" s="44" t="str">
        <x:v>Complete Mission-Thread Trials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</x:row>
    <x:row r="2" ht="30" customHeight="1">
      <x:c r="A2" s="45" t="str">
        <x:v>Operational proof escalates from one district to simultaneous theaters. Subsystem success cannot substitute for delivered civilian effect.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</x:row>
    <x:row r="4" ht="31" customHeight="1">
      <x:c r="A4" s="16" t="str">
        <x:v>ID</x:v>
      </x:c>
      <x:c r="B4" s="16" t="str">
        <x:v>Trial</x:v>
      </x:c>
      <x:c r="C4" s="16" t="str">
        <x:v>Start</x:v>
      </x:c>
      <x:c r="D4" s="16" t="str">
        <x:v>Decision year</x:v>
      </x:c>
      <x:c r="E4" s="16" t="str">
        <x:v>R3 gates</x:v>
      </x:c>
      <x:c r="F4" s="16" t="str">
        <x:v>Formation</x:v>
      </x:c>
      <x:c r="G4" s="16" t="str">
        <x:v>Duration</x:v>
      </x:c>
      <x:c r="H4" s="16" t="str">
        <x:v>Unit</x:v>
      </x:c>
      <x:c r="I4" s="16" t="str">
        <x:v>Mission chain</x:v>
      </x:c>
      <x:c r="J4" s="16" t="str">
        <x:v>Pass rule</x:v>
      </x:c>
      <x:c r="K4" s="16" t="str">
        <x:v>Authority / observation</x:v>
      </x:c>
      <x:c r="L4" s="46"/>
      <x:c r="M4" s="46"/>
    </x:row>
    <x:row r="5" ht="54" hidden="0" customHeight="1">
      <x:c r="A5" s="18" t="str">
        <x:v>MT-01</x:v>
      </x:c>
      <x:c r="B5" s="18" t="str">
        <x:v>Forecast river-rise intercept</x:v>
      </x:c>
      <x:c r="C5" s="18" t="n">
        <x:v>5</x:v>
      </x:c>
      <x:c r="D5" s="18" t="n">
        <x:v>7</x:v>
      </x:c>
      <x:c r="E5" s="18" t="n">
        <x:v>3</x:v>
      </x:c>
      <x:c r="F5" s="18" t="str">
        <x:v>FIN cells</x:v>
      </x:c>
      <x:c r="G5" s="18" t="n">
        <x:v>7</x:v>
      </x:c>
      <x:c r="H5" s="18" t="str">
        <x:v>days</x:v>
      </x:c>
      <x:c r="I5" s="18" t="str">
        <x:v>sense → decide → stage → close → warn</x:v>
      </x:c>
      <x:c r="J5" s="18" t="str">
        <x:v>P90 action before local threshold; uncertainty calibrated</x:v>
      </x:c>
      <x:c r="K5" s="18" t="str">
        <x:v>regional authority validates consequences</x:v>
      </x:c>
      <x:c r="L5" s="46"/>
      <x:c r="M5" s="46"/>
    </x:row>
    <x:row r="6" ht="64.80000305175781" hidden="0" customHeight="1">
      <x:c r="A6" s="14" t="str">
        <x:v>MT-02</x:v>
      </x:c>
      <x:c r="B6" s="14" t="str">
        <x:v>Flash/pluvial urban rescue</x:v>
      </x:c>
      <x:c r="C6" s="14" t="n">
        <x:v>6</x:v>
      </x:c>
      <x:c r="D6" s="14" t="n">
        <x:v>9</x:v>
      </x:c>
      <x:c r="E6" s="14" t="n">
        <x:v>5</x:v>
      </x:c>
      <x:c r="F6" s="14" t="str">
        <x:v>FIN + urban craft</x:v>
      </x:c>
      <x:c r="G6" s="14" t="n">
        <x:v>72</x:v>
      </x:c>
      <x:c r="H6" s="14" t="str">
        <x:v>hours</x:v>
      </x:c>
      <x:c r="I6" s="14" t="str">
        <x:v>detect → isolate → search → rescue → decon → handoff</x:v>
      </x:c>
      <x:c r="J6" s="14" t="str">
        <x:v>priority search complete; zero out-of-envelope entry</x:v>
      </x:c>
      <x:c r="K6" s="14" t="str">
        <x:v>independent safety and accessibility evaluation</x:v>
      </x:c>
      <x:c r="L6" s="46"/>
      <x:c r="M6" s="46"/>
    </x:row>
    <x:row r="7" ht="75.5999984741211" hidden="0" customHeight="1">
      <x:c r="A7" s="18" t="str">
        <x:v>MT-03</x:v>
      </x:c>
      <x:c r="B7" s="18" t="str">
        <x:v>Trapped urban basin control</x:v>
      </x:c>
      <x:c r="C7" s="18" t="n">
        <x:v>8</x:v>
      </x:c>
      <x:c r="D7" s="18" t="n">
        <x:v>12</x:v>
      </x:c>
      <x:c r="E7" s="18" t="n">
        <x:v>8</x:v>
      </x:c>
      <x:c r="F7" s="18" t="str">
        <x:v>Inland HCG-100</x:v>
      </x:c>
      <x:c r="G7" s="18" t="n">
        <x:v>30</x:v>
      </x:c>
      <x:c r="H7" s="18" t="str">
        <x:v>days</x:v>
      </x:c>
      <x:c r="I7" s="18" t="str">
        <x:v>survey → barrier/interior control → pump → route → monitor → transfer</x:v>
      </x:c>
      <x:c r="J7" s="18" t="str">
        <x:v>positive net removal and protected-side margin with degraded bay</x:v>
      </x:c>
      <x:c r="K7" s="18" t="str">
        <x:v>RTEA owns hydraulic truth and threshold accounting</x:v>
      </x:c>
      <x:c r="L7" s="46"/>
      <x:c r="M7" s="46"/>
    </x:row>
    <x:row r="8" ht="75.5999984741211" hidden="0" customHeight="1">
      <x:c r="A8" s="14" t="str">
        <x:v>MT-04</x:v>
      </x:c>
      <x:c r="B8" s="14" t="str">
        <x:v>Coastal compound campaign</x:v>
      </x:c>
      <x:c r="C8" s="14" t="n">
        <x:v>9</x:v>
      </x:c>
      <x:c r="D8" s="14" t="n">
        <x:v>14</x:v>
      </x:c>
      <x:c r="E8" s="14" t="n">
        <x:v>10</x:v>
      </x:c>
      <x:c r="F8" s="14" t="str">
        <x:v>Coastal HCG-100</x:v>
      </x:c>
      <x:c r="G8" s="14" t="n">
        <x:v>30</x:v>
      </x:c>
      <x:c r="H8" s="14" t="str">
        <x:v>days</x:v>
      </x:c>
      <x:c r="I8" s="14" t="str">
        <x:v>forecast → stage → exclude → littoral access → pump across tide windows</x:v>
      </x:c>
      <x:c r="J8" s="14" t="str">
        <x:v>service floor through surge/rain/tide; corrosion/crew burden measured</x:v>
      </x:c>
      <x:c r="K8" s="14" t="str">
        <x:v>host authority chooses protected/sacrificed zones</x:v>
      </x:c>
      <x:c r="L8" s="46"/>
      <x:c r="M8" s="46"/>
    </x:row>
    <x:row r="9" ht="86.4000015258789" hidden="0" customHeight="1">
      <x:c r="A9" s="18" t="str">
        <x:v>MT-05</x:v>
      </x:c>
      <x:c r="B9" s="18" t="str">
        <x:v>Remote live breach</x:v>
      </x:c>
      <x:c r="C9" s="18" t="n">
        <x:v>9</x:v>
      </x:c>
      <x:c r="D9" s="18" t="n">
        <x:v>13</x:v>
      </x:c>
      <x:c r="E9" s="18" t="n">
        <x:v>8</x:v>
      </x:c>
      <x:c r="F9" s="18" t="str">
        <x:v>HCG + autonomy + earthworks</x:v>
      </x:c>
      <x:c r="G9" s="18" t="n">
        <x:v>14</x:v>
      </x:c>
      <x:c r="H9" s="18" t="str">
        <x:v>days</x:v>
      </x:c>
      <x:c r="I9" s="18" t="str">
        <x:v>detect → evacuate → reduce flow → filter/close → dewater → repair</x:v>
      </x:c>
      <x:c r="J9" s="18" t="str">
        <x:v>P90 reduction &lt;=6 h; durable closure; downstream harm bounded</x:v>
      </x:c>
      <x:c r="K9" s="18" t="str">
        <x:v>safety board controls destructive and red-zone entry</x:v>
      </x:c>
      <x:c r="L9" s="46"/>
      <x:c r="M9" s="46"/>
    </x:row>
    <x:row r="10" ht="75.5999984741211" hidden="0" customHeight="1">
      <x:c r="A10" s="14" t="str">
        <x:v>MT-06</x:v>
      </x:c>
      <x:c r="B10" s="14" t="str">
        <x:v>Contaminated industrial basin</x:v>
      </x:c>
      <x:c r="C10" s="14" t="n">
        <x:v>10</x:v>
      </x:c>
      <x:c r="D10" s="14" t="n">
        <x:v>15</x:v>
      </x:c>
      <x:c r="E10" s="14" t="n">
        <x:v>6</x:v>
      </x:c>
      <x:c r="F10" s="14" t="str">
        <x:v>HCG + environmental process</x:v>
      </x:c>
      <x:c r="G10" s="14" t="n">
        <x:v>21</x:v>
      </x:c>
      <x:c r="H10" s="14" t="str">
        <x:v>days</x:v>
      </x:c>
      <x:c r="I10" s="14" t="str">
        <x:v>characterize → isolate → treat/route → discharge → residuals</x:v>
      </x:c>
      <x:c r="J10" s="14" t="str">
        <x:v>zero false-safe release; complete mass and decision record</x:v>
      </x:c>
      <x:c r="K10" s="14" t="str">
        <x:v>environmental authority retains discharge decision</x:v>
      </x:c>
      <x:c r="L10" s="46"/>
      <x:c r="M10" s="46"/>
    </x:row>
    <x:row r="11" ht="75.5999984741211" hidden="0" customHeight="1">
      <x:c r="A11" s="18" t="str">
        <x:v>MT-07</x:v>
      </x:c>
      <x:c r="B11" s="18" t="str">
        <x:v>Carrier-supported port-denied region</x:v>
      </x:c>
      <x:c r="C11" s="18" t="n">
        <x:v>13</x:v>
      </x:c>
      <x:c r="D11" s="18" t="n">
        <x:v>19</x:v>
      </x:c>
      <x:c r="E11" s="18" t="n">
        <x:v>12</x:v>
      </x:c>
      <x:c r="F11" s="18" t="str">
        <x:v>Coastal/riverine group</x:v>
      </x:c>
      <x:c r="G11" s="18" t="n">
        <x:v>60</x:v>
      </x:c>
      <x:c r="H11" s="18" t="str">
        <x:v>days</x:v>
      </x:c>
      <x:c r="I11" s="18" t="str">
        <x:v>arrive → launch → open shore interface → sustain → repair → transfer</x:v>
      </x:c>
      <x:c r="J11" s="18" t="str">
        <x:v>no hidden intact-port dependency; &gt;=90% availability</x:v>
      </x:c>
      <x:c r="K11" s="18" t="str">
        <x:v>RTEA audits host/support burden</x:v>
      </x:c>
      <x:c r="L11" s="46"/>
      <x:c r="M11" s="46"/>
    </x:row>
    <x:row r="12" ht="75.5999984741211" hidden="0" customHeight="1">
      <x:c r="A12" s="14" t="str">
        <x:v>MT-08</x:v>
      </x:c>
      <x:c r="B12" s="14" t="str">
        <x:v>Three-theater concurrency</x:v>
      </x:c>
      <x:c r="C12" s="14" t="n">
        <x:v>18</x:v>
      </x:c>
      <x:c r="D12" s="14" t="n">
        <x:v>23</x:v>
      </x:c>
      <x:c r="E12" s="14" t="n">
        <x:v>20</x:v>
      </x:c>
      <x:c r="F12" s="14" t="str">
        <x:v>3 HCG + FIN network</x:v>
      </x:c>
      <x:c r="G12" s="14" t="n">
        <x:v>90</x:v>
      </x:c>
      <x:c r="H12" s="14" t="str">
        <x:v>days</x:v>
      </x:c>
      <x:c r="I12" s="14" t="str">
        <x:v>allocate → deploy → sustain → rotate → reconstitute</x:v>
      </x:c>
      <x:c r="J12" s="14" t="str">
        <x:v>declared 3-theater standard with reserve and recovery</x:v>
      </x:c>
      <x:c r="K12" s="14" t="str">
        <x:v>Secretary sets allocation; RTEA certifies achieved capacity</x:v>
      </x:c>
      <x:c r="L12" s="46"/>
      <x:c r="M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</x:row>
    <x:row r="14" ht="23" customHeight="1">
      <x:c r="A14" s="47" t="str">
        <x:v>Trial doctrine</x:v>
      </x:c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</x:row>
    <x:row r="15" ht="31" hidden="0" customHeight="1">
      <x:c r="A15" s="16" t="str">
        <x:v>Rule</x:v>
      </x:c>
      <x:c r="B15" s="16" t="str">
        <x:v>Application</x:v>
      </x:c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</x:row>
    <x:row r="16" ht="108" hidden="0" customHeight="1">
      <x:c r="A16" s="14" t="str">
        <x:v>Configuration lock</x:v>
      </x:c>
      <x:c r="B16" s="14" t="str">
        <x:v>RTEA freezes hardware, software, crews, spares and support assumptions before scored phase.</x:v>
      </x:c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</x:row>
    <x:row r="17" ht="108" hidden="0" customHeight="1">
      <x:c r="A17" s="14" t="str">
        <x:v>Pre-registration</x:v>
      </x:c>
      <x:c r="B17" s="14" t="str">
        <x:v>Measures, thresholds, missing-data rules, stop rules and decision authority are signed before execution.</x:v>
      </x:c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</x:row>
    <x:row r="18" ht="108" hidden="0" customHeight="1">
      <x:c r="A18" s="14" t="str">
        <x:v>Fault injection</x:v>
      </x:c>
      <x:c r="B18" s="14" t="str">
        <x:v>Every trial includes credible route, power, communications, staff or subsystem loss; graceful degradation is scored.</x:v>
      </x:c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</x:row>
    <x:row r="19" ht="118.80000305175781" hidden="0" customHeight="1">
      <x:c r="A19" s="14" t="str">
        <x:v>Civilian effect</x:v>
      </x:c>
      <x:c r="B19" s="14" t="str">
        <x:v>Credits people/facilities kept below thresholds, safe transfers and residual risk—not equipment activity.</x:v>
      </x:c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</x:row>
    <x:row r="20" ht="118.80000305175781" hidden="0" customHeight="1">
      <x:c r="A20" s="14" t="str">
        <x:v>Failure learning</x:v>
      </x:c>
      <x:c r="B20" s="14" t="str">
        <x:v>A failed test is successful research if configuration and causal evidence are preserved and the next test discriminates.</x:v>
      </x:c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</x:row>
    <x:row r="21" ht="129.60000610351562" hidden="0" customHeight="1">
      <x:c r="A21" s="14" t="str">
        <x:v>No theatrical demonstration</x:v>
      </x:c>
      <x:c r="B21" s="14" t="str">
        <x:v>Rehearsal may train crews; scored evidence uses blind or randomized disturbances wherever ethically and physically feasible.</x:v>
      </x:c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</x:row>
  </x:sheetData>
  <x:mergeCells>
    <x:mergeCell ref="A1:M1"/>
    <x:mergeCell ref="A2:M2"/>
    <x:mergeCell ref="A14:M14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70" hidden="0" customWidth="1"/>
  </x:cols>
  <x:sheetData>
    <x:row r="1" ht="34" customHeight="1">
      <x:c r="A1" s="44" t="str">
        <x:v>Decision Rights and Institutional Firewalls</x:v>
      </x:c>
      <x:c r="B1" s="44"/>
      <x:c r="C1" s="44"/>
      <x:c r="D1" s="44"/>
      <x:c r="E1" s="44"/>
      <x:c r="F1" s="44"/>
      <x:c r="G1" s="44"/>
      <x:c r="H1" s="44"/>
      <x:c r="I1" s="44"/>
      <x:c r="J1" s="44"/>
    </x:row>
    <x:row r="2" ht="30" customHeight="1">
      <x:c r="A2" s="45" t="str">
        <x:v>The invention organization owns hypotheses and resources; the proving authority owns evidence acceptance.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</x:row>
    <x:row r="4" ht="31" customHeight="1">
      <x:c r="A4" s="16" t="str">
        <x:v>Decision</x:v>
      </x:c>
      <x:c r="B4" s="16" t="str">
        <x:v>Accountable owner</x:v>
      </x:c>
      <x:c r="C4" s="16" t="str">
        <x:v>Responsible / consulted</x:v>
      </x:c>
      <x:c r="D4" s="16" t="str">
        <x:v>Independent check</x:v>
      </x:c>
      <x:c r="E4" s="16" t="str">
        <x:v>Final authority</x:v>
      </x:c>
      <x:c r="F4" s="16" t="str">
        <x:v>Required evidence</x:v>
      </x:c>
      <x:c r="G4" s="46"/>
      <x:c r="H4" s="46"/>
      <x:c r="I4" s="46"/>
      <x:c r="J4" s="46"/>
    </x:row>
    <x:row r="5" ht="54" hidden="0" customHeight="1">
      <x:c r="A5" s="18" t="str">
        <x:v>Opportunity framing</x:v>
      </x:c>
      <x:c r="B5" s="18" t="str">
        <x:v>ARPA-R program director</x:v>
      </x:c>
      <x:c r="C5" s="18" t="str">
        <x:v>Flood Service / Joint Effects Command</x:v>
      </x:c>
      <x:c r="D5" s="18" t="str">
        <x:v>RTEA chief scientist</x:v>
      </x:c>
      <x:c r="E5" s="18" t="str">
        <x:v>Secretary/Deputy</x:v>
      </x:c>
      <x:c r="F5" s="18" t="str">
        <x:v>Operational coefficient and decision utility identified</x:v>
      </x:c>
      <x:c r="G5" s="46"/>
      <x:c r="H5" s="46"/>
      <x:c r="I5" s="46"/>
      <x:c r="J5" s="46"/>
    </x:row>
    <x:row r="6" ht="54" hidden="0" customHeight="1">
      <x:c r="A6" s="14" t="str">
        <x:v>Concept competition</x:v>
      </x:c>
      <x:c r="B6" s="14" t="str">
        <x:v>ARPA-R program director</x:v>
      </x:c>
      <x:c r="C6" s="14" t="str">
        <x:v>multiple performers</x:v>
      </x:c>
      <x:c r="D6" s="14" t="str">
        <x:v>RTEA observer</x:v>
      </x:c>
      <x:c r="E6" s="14" t="str">
        <x:v>ARPA-R director</x:v>
      </x:c>
      <x:c r="F6" s="14" t="str">
        <x:v>&gt;=3 paths through TRL5 unless written exception</x:v>
      </x:c>
      <x:c r="G6" s="46"/>
      <x:c r="H6" s="46"/>
      <x:c r="I6" s="46"/>
      <x:c r="J6" s="46"/>
    </x:row>
    <x:row r="7" ht="75.5999984741211" hidden="0" customHeight="1">
      <x:c r="A7" s="18" t="str">
        <x:v>Test-plan approval</x:v>
      </x:c>
      <x:c r="B7" s="18" t="str">
        <x:v>RTEA lead evaluator</x:v>
      </x:c>
      <x:c r="C7" s="18" t="str">
        <x:v>program office + operators</x:v>
      </x:c>
      <x:c r="D7" s="18" t="str">
        <x:v>Safety / environmental / human-subject boards</x:v>
      </x:c>
      <x:c r="E7" s="18" t="str">
        <x:v>RTEA director</x:v>
      </x:c>
      <x:c r="F7" s="18" t="str">
        <x:v>pre-registered measures, thresholds, repetitions and missing-data rules</x:v>
      </x:c>
      <x:c r="G7" s="46"/>
      <x:c r="H7" s="46"/>
      <x:c r="I7" s="46"/>
      <x:c r="J7" s="46"/>
    </x:row>
    <x:row r="8" ht="54" hidden="0" customHeight="1">
      <x:c r="A8" s="14" t="str">
        <x:v>Test configuration lock</x:v>
      </x:c>
      <x:c r="B8" s="14" t="str">
        <x:v>RTEA configuration authority</x:v>
      </x:c>
      <x:c r="C8" s="14" t="str">
        <x:v>performer and service</x:v>
      </x:c>
      <x:c r="D8" s="14" t="str">
        <x:v>independent data custodian</x:v>
      </x:c>
      <x:c r="E8" s="14" t="str">
        <x:v>RTEA director</x:v>
      </x:c>
      <x:c r="F8" s="14" t="str">
        <x:v>hardware/software/crew/support state uniquely identified</x:v>
      </x:c>
      <x:c r="G8" s="46"/>
      <x:c r="H8" s="46"/>
      <x:c r="I8" s="46"/>
      <x:c r="J8" s="46"/>
    </x:row>
    <x:row r="9" ht="64.80000305175781" hidden="0" customHeight="1">
      <x:c r="A9" s="18" t="str">
        <x:v>Test stop</x:v>
      </x:c>
      <x:c r="B9" s="18" t="str">
        <x:v>Safety board / range officer</x:v>
      </x:c>
      <x:c r="C9" s="18" t="str">
        <x:v>any participant may call stop</x:v>
      </x:c>
      <x:c r="D9" s="18" t="str">
        <x:v>RTEA director</x:v>
      </x:c>
      <x:c r="E9" s="18" t="str">
        <x:v>stop does not erase failure; evidence disposition required</x:v>
      </x:c>
      <x:c r="F9" s="18"/>
      <x:c r="G9" s="46"/>
      <x:c r="H9" s="46"/>
      <x:c r="I9" s="46"/>
      <x:c r="J9" s="46"/>
    </x:row>
    <x:row r="10" ht="43.20000076293945" hidden="0" customHeight="1">
      <x:c r="A10" s="14" t="str">
        <x:v>Milestone continuation</x:v>
      </x:c>
      <x:c r="B10" s="14" t="str">
        <x:v>ARPA-R program director</x:v>
      </x:c>
      <x:c r="C10" s="14" t="str">
        <x:v>performer</x:v>
      </x:c>
      <x:c r="D10" s="14" t="str">
        <x:v>RTEA evidence report</x:v>
      </x:c>
      <x:c r="E10" s="14" t="str">
        <x:v>ARPA-R director</x:v>
      </x:c>
      <x:c r="F10" s="14" t="str">
        <x:v>Go/No-Go may redirect, narrow or terminate</x:v>
      </x:c>
      <x:c r="G10" s="46"/>
      <x:c r="H10" s="46"/>
      <x:c r="I10" s="46"/>
      <x:c r="J10" s="46"/>
    </x:row>
    <x:row r="11" ht="54" hidden="0" customHeight="1">
      <x:c r="A11" s="18" t="str">
        <x:v>TRL determination</x:v>
      </x:c>
      <x:c r="B11" s="18" t="str">
        <x:v>RTEA</x:v>
      </x:c>
      <x:c r="C11" s="18" t="str">
        <x:v>program office</x:v>
      </x:c>
      <x:c r="D11" s="18" t="str">
        <x:v>GAO-style independent assessment cell</x:v>
      </x:c>
      <x:c r="E11" s="18" t="str">
        <x:v>RTEA director</x:v>
      </x:c>
      <x:c r="F11" s="18" t="str">
        <x:v>demonstration environment and scale match claim</x:v>
      </x:c>
      <x:c r="G11" s="46"/>
      <x:c r="H11" s="46"/>
      <x:c r="I11" s="46"/>
      <x:c r="J11" s="46"/>
    </x:row>
    <x:row r="12" ht="64.80000305175781" hidden="0" customHeight="1">
      <x:c r="A12" s="14" t="str">
        <x:v>MRL determination</x:v>
      </x:c>
      <x:c r="B12" s="14" t="str">
        <x:v>Industrial Readiness Board</x:v>
      </x:c>
      <x:c r="C12" s="14" t="str">
        <x:v>supplier / prime</x:v>
      </x:c>
      <x:c r="D12" s="14" t="str">
        <x:v>RTEA quality and rate team</x:v>
      </x:c>
      <x:c r="E12" s="14" t="str">
        <x:v>Acquisition executive</x:v>
      </x:c>
      <x:c r="F12" s="14" t="str">
        <x:v>production-representative process, supply, yield, cost and rate evidence</x:v>
      </x:c>
      <x:c r="G12" s="46"/>
      <x:c r="H12" s="46"/>
      <x:c r="I12" s="46"/>
      <x:c r="J12" s="46"/>
    </x:row>
    <x:row r="13" ht="75.5999984741211" hidden="0" customHeight="1">
      <x:c r="A13" s="18" t="str">
        <x:v>R3 system maturity</x:v>
      </x:c>
      <x:c r="B13" s="18" t="str">
        <x:v>RTEA</x:v>
      </x:c>
      <x:c r="C13" s="18" t="str">
        <x:v>Service chief / Joint command</x:v>
      </x:c>
      <x:c r="D13" s="18" t="str">
        <x:v>civil outcome, safety, environmental authorities</x:v>
      </x:c>
      <x:c r="E13" s="18" t="str">
        <x:v>Deputy Secretary</x:v>
      </x:c>
      <x:c r="F13" s="18" t="str">
        <x:v>all applicable physics, interfaces and complete-thread gates accepted</x:v>
      </x:c>
      <x:c r="G13" s="46"/>
      <x:c r="H13" s="46"/>
      <x:c r="I13" s="46"/>
      <x:c r="J13" s="46"/>
    </x:row>
    <x:row r="14" ht="64.80000305175781" hidden="0" customHeight="1">
      <x:c r="A14" s="14" t="str">
        <x:v>Production decision</x:v>
      </x:c>
      <x:c r="B14" s="14" t="str">
        <x:v>Resilience Acquisition Executive</x:v>
      </x:c>
      <x:c r="C14" s="14" t="str">
        <x:v>Service chief</x:v>
      </x:c>
      <x:c r="D14" s="14" t="str">
        <x:v>RTEA + Industrial Readiness Board</x:v>
      </x:c>
      <x:c r="E14" s="14" t="str">
        <x:v>Secretary</x:v>
      </x:c>
      <x:c r="F14" s="14" t="str">
        <x:v>R3 evidence plus production/lifecycle case; TRL alone insufficient</x:v>
      </x:c>
      <x:c r="G14" s="46"/>
      <x:c r="H14" s="46"/>
      <x:c r="I14" s="46"/>
      <x:c r="J14" s="46"/>
    </x:row>
    <x:row r="15" ht="86.4000015258789" hidden="0" customHeight="1">
      <x:c r="A15" s="18" t="str">
        <x:v>Operational employment</x:v>
      </x:c>
      <x:c r="B15" s="18" t="str">
        <x:v>Joint Effects Commander</x:v>
      </x:c>
      <x:c r="C15" s="18" t="str">
        <x:v>civil authority requests/prioritizes</x:v>
      </x:c>
      <x:c r="D15" s="18" t="str">
        <x:v>technical/safety authorities</x:v>
      </x:c>
      <x:c r="E15" s="18" t="str">
        <x:v>two-key authority</x:v>
      </x:c>
      <x:c r="F15" s="18" t="str">
        <x:v>civil authority owns outcome priorities; operational commander owns force employment</x:v>
      </x:c>
      <x:c r="G15" s="46"/>
      <x:c r="H15" s="46"/>
      <x:c r="I15" s="46"/>
      <x:c r="J15" s="46"/>
    </x:row>
    <x:row r="16" ht="64.80000305175781" hidden="0" customHeight="1">
      <x:c r="A16" s="14" t="str">
        <x:v>Rendering authorization</x:v>
      </x:c>
      <x:c r="B16" s="14" t="str">
        <x:v>Research editor / requirement authority</x:v>
      </x:c>
      <x:c r="C16" s="14" t="str">
        <x:v>system program</x:v>
      </x:c>
      <x:c r="D16" s="14" t="str">
        <x:v>RTEA gate record</x:v>
      </x:c>
      <x:c r="E16" s="14" t="str">
        <x:v>project governance</x:v>
      </x:c>
      <x:c r="F16" s="14" t="str">
        <x:v>only after R3 design-relevant evidence makes geometry non-fictional</x:v>
      </x:c>
      <x:c r="G16" s="46"/>
      <x:c r="H16" s="46"/>
      <x:c r="I16" s="46"/>
      <x:c r="J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</x:row>
    <x:row r="18" ht="23" customHeight="1">
      <x:c r="A18" s="47" t="str">
        <x:v>Non-negotiable firewalls</x:v>
      </x:c>
      <x:c r="B18" s="47"/>
      <x:c r="C18" s="47"/>
      <x:c r="D18" s="47"/>
      <x:c r="E18" s="47"/>
      <x:c r="F18" s="47"/>
      <x:c r="G18" s="47"/>
      <x:c r="H18" s="47"/>
      <x:c r="I18" s="47"/>
      <x:c r="J18" s="47"/>
    </x:row>
    <x:row r="19" ht="31" hidden="0" customHeight="1">
      <x:c r="A19" s="16" t="str">
        <x:v>Firewall</x:v>
      </x:c>
      <x:c r="B19" s="16" t="str">
        <x:v>Reason</x:v>
      </x:c>
      <x:c r="C19" s="46"/>
      <x:c r="D19" s="46"/>
      <x:c r="E19" s="46"/>
      <x:c r="F19" s="46"/>
      <x:c r="G19" s="46"/>
      <x:c r="H19" s="46"/>
      <x:c r="I19" s="46"/>
      <x:c r="J19" s="46"/>
    </x:row>
    <x:row r="20" ht="108" hidden="0" customHeight="1">
      <x:c r="A20" s="14" t="str">
        <x:v>Program office cannot certify its own claims</x:v>
      </x:c>
      <x:c r="B20" s="14" t="str">
        <x:v>Optimism and schedule pressure are normal; independence is designed, not assumed.</x:v>
      </x:c>
      <x:c r="C20" s="46"/>
      <x:c r="D20" s="46"/>
      <x:c r="E20" s="46"/>
      <x:c r="F20" s="46"/>
      <x:c r="G20" s="46"/>
      <x:c r="H20" s="46"/>
      <x:c r="I20" s="46"/>
      <x:c r="J20" s="46"/>
    </x:row>
    <x:row r="21" ht="86.4000015258789" hidden="0" customHeight="1">
      <x:c r="A21" s="14" t="str">
        <x:v>Safety stop and technical failure are separate</x:v>
      </x:c>
      <x:c r="B21" s="14" t="str">
        <x:v>Stopping protects people/assets; it does not convert an uncompleted test into a pass.</x:v>
      </x:c>
      <x:c r="C21" s="46"/>
      <x:c r="D21" s="46"/>
      <x:c r="E21" s="46"/>
      <x:c r="F21" s="46"/>
      <x:c r="G21" s="46"/>
      <x:c r="H21" s="46"/>
      <x:c r="I21" s="46"/>
      <x:c r="J21" s="46"/>
    </x:row>
    <x:row r="22" ht="118.80000305175781" hidden="0" customHeight="1">
      <x:c r="A22" s="14" t="str">
        <x:v>Civil priority and physical feasibility are separate</x:v>
      </x:c>
      <x:c r="B22" s="14" t="str">
        <x:v>Legitimate authorities choose outcomes; engineers expose consequences and refuse unsafe actions.</x:v>
      </x:c>
      <x:c r="C22" s="46"/>
      <x:c r="D22" s="46"/>
      <x:c r="E22" s="46"/>
      <x:c r="F22" s="46"/>
      <x:c r="G22" s="46"/>
      <x:c r="H22" s="46"/>
      <x:c r="I22" s="46"/>
      <x:c r="J22" s="46"/>
    </x:row>
    <x:row r="23" ht="108" hidden="0" customHeight="1">
      <x:c r="A23" s="14" t="str">
        <x:v>Data custody is independent</x:v>
      </x:c>
      <x:c r="B23" s="14" t="str">
        <x:v>Raw measurements, configuration and exclusions survive contractor or program turnover.</x:v>
      </x:c>
      <x:c r="C23" s="46"/>
      <x:c r="D23" s="46"/>
      <x:c r="E23" s="46"/>
      <x:c r="F23" s="46"/>
      <x:c r="G23" s="46"/>
      <x:c r="H23" s="46"/>
      <x:c r="I23" s="46"/>
      <x:c r="J23" s="46"/>
    </x:row>
    <x:row r="24" ht="97.19999694824219" hidden="0" customHeight="1">
      <x:c r="A24" s="14" t="str">
        <x:v>Production money cannot buy evidence acceptance</x:v>
      </x:c>
      <x:c r="B24" s="14" t="str">
        <x:v>A sunk-cost program remains cancellable when destructive testing disproves its core claim.</x:v>
      </x:c>
      <x:c r="C24" s="46"/>
      <x:c r="D24" s="46"/>
      <x:c r="E24" s="46"/>
      <x:c r="F24" s="46"/>
      <x:c r="G24" s="46"/>
      <x:c r="H24" s="46"/>
      <x:c r="I24" s="46"/>
      <x:c r="J24" s="46"/>
    </x:row>
  </x:sheetData>
  <x:mergeCells>
    <x:mergeCell ref="A1:J1"/>
    <x:mergeCell ref="A2:J2"/>
    <x:mergeCell ref="A18:J18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7" hidden="0" customWidth="1"/>
    <x:col min="11" max="11" width="17" hidden="0" customWidth="1"/>
    <x:col min="12" max="12" width="63" hidden="0" customWidth="1"/>
  </x:cols>
  <x:sheetData>
    <x:row r="1" ht="34" customHeight="1">
      <x:c r="A1" s="44" t="str">
        <x:v>RDT&amp;E Failure and Cost Sensitivity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</x:row>
    <x:row r="2" ht="30" customHeight="1">
      <x:c r="A2" s="45" t="str">
        <x:v>Innovation portfolios must budget for paths to fail. Scenarios show reserve consumption without pretending risks are independent forecasts.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</x:row>
    <x:row r="4" ht="31" customHeight="1">
      <x:c r="A4" s="16" t="str">
        <x:v>Scenario</x:v>
      </x:c>
      <x:c r="B4" s="16" t="str">
        <x:v>Facility overrun</x:v>
      </x:c>
      <x:c r="C4" s="16" t="str">
        <x:v>Non-facility redesign</x:v>
      </x:c>
      <x:c r="D4" s="16" t="str">
        <x:v>Delay years</x:v>
      </x:c>
      <x:c r="E4" s="16" t="str">
        <x:v>Integration shock</x:v>
      </x:c>
      <x:c r="F4" s="16" t="str">
        <x:v>Calculated need $B</x:v>
      </x:c>
      <x:c r="G4" s="16" t="str">
        <x:v>Above $130B</x:v>
      </x:c>
      <x:c r="H4" s="16" t="str">
        <x:v>Reserve used $B</x:v>
      </x:c>
      <x:c r="I4" s="16" t="str">
        <x:v>Reserve remaining $B</x:v>
      </x:c>
      <x:c r="J4" s="16" t="str">
        <x:v>Reserve sufficient?</x:v>
      </x:c>
      <x:c r="K4" s="16" t="str">
        <x:v>Schedule end</x:v>
      </x:c>
      <x:c r="L4" s="16" t="str">
        <x:v>Decision</x:v>
      </x:c>
    </x:row>
    <x:row r="5" ht="75.5999984741211" hidden="0" customHeight="1">
      <x:c r="A5" s="18" t="str">
        <x:v>Baseline</x:v>
      </x:c>
      <x:c r="B5" s="41" t="n">
        <x:v>0</x:v>
      </x:c>
      <x:c r="C5" s="41" t="n">
        <x:v>0</x:v>
      </x:c>
      <x:c r="D5" s="18" t="n">
        <x:v>0</x:v>
      </x:c>
      <x:c r="E5" s="41" t="n">
        <x:v>0</x:v>
      </x:c>
      <x:c r="F5" s="19" t="n">
        <x:f>'Controls'!B5+B5*'Controls'!B6+C5*'Controls'!B7+D5*'Controls'!B13+E5*'Campaign Portfolio'!C15</x:f>
        <x:v>130</x:v>
      </x:c>
      <x:c r="G5" s="19" t="n">
        <x:f>MAX(0,F5-'Controls'!B5)</x:f>
        <x:v>0</x:v>
      </x:c>
      <x:c r="H5" s="19" t="n">
        <x:f>MIN(G5,'Controls'!B8)</x:f>
        <x:v>0</x:v>
      </x:c>
      <x:c r="I5" s="19" t="n">
        <x:f>'Controls'!B8-H5</x:f>
        <x:v>25</x:v>
      </x:c>
      <x:c r="J5" s="18" t="str">
        <x:f>IF(G5&lt;='Controls'!B8,"YES","NO")</x:f>
        <x:v>YES</x:v>
      </x:c>
      <x:c r="K5" s="18" t="n">
        <x:f>'Controls'!B9+D5</x:f>
        <x:v>25</x:v>
      </x:c>
      <x:c r="L5" s="18" t="str">
        <x:v>Execute with explicit failure allowance inside campaign budgets</x:v>
      </x:c>
    </x:row>
    <x:row r="6" ht="64.80000305175781" hidden="0" customHeight="1">
      <x:c r="A6" s="14" t="str">
        <x:v>Facility stress</x:v>
      </x:c>
      <x:c r="B6" s="42" t="n">
        <x:v>0.25</x:v>
      </x:c>
      <x:c r="C6" s="42" t="n">
        <x:v>0</x:v>
      </x:c>
      <x:c r="D6" s="14" t="n">
        <x:v>0</x:v>
      </x:c>
      <x:c r="E6" s="42" t="n">
        <x:v>0</x:v>
      </x:c>
      <x:c r="F6" s="20" t="n">
        <x:f>'Controls'!B5+B6*'Controls'!B6+C6*'Controls'!B7+D6*'Controls'!B13+E6*'Campaign Portfolio'!C15</x:f>
        <x:v>136</x:v>
      </x:c>
      <x:c r="G6" s="20" t="n">
        <x:f>MAX(0,F6-'Controls'!B5)</x:f>
        <x:v>6</x:v>
      </x:c>
      <x:c r="H6" s="20" t="n">
        <x:f>MIN(G6,'Controls'!B8)</x:f>
        <x:v>6</x:v>
      </x:c>
      <x:c r="I6" s="20" t="n">
        <x:f>'Controls'!B8-H6</x:f>
        <x:v>19</x:v>
      </x:c>
      <x:c r="J6" s="14" t="str">
        <x:f>IF(G6&lt;='Controls'!B8,"YES","NO")</x:f>
        <x:v>YES</x:v>
      </x:c>
      <x:c r="K6" s="14" t="n">
        <x:f>'Controls'!B9+D6</x:f>
        <x:v>25</x:v>
      </x:c>
      <x:c r="L6" s="14" t="str">
        <x:v>Use range design reviews and staged commissioning</x:v>
      </x:c>
    </x:row>
    <x:row r="7" ht="54" hidden="0" customHeight="1">
      <x:c r="A7" s="18" t="str">
        <x:v>Prototype redesign</x:v>
      </x:c>
      <x:c r="B7" s="41" t="n">
        <x:v>0</x:v>
      </x:c>
      <x:c r="C7" s="41" t="n">
        <x:v>0.15</x:v>
      </x:c>
      <x:c r="D7" s="18" t="n">
        <x:v>0</x:v>
      </x:c>
      <x:c r="E7" s="41" t="n">
        <x:v>0</x:v>
      </x:c>
      <x:c r="F7" s="19" t="n">
        <x:f>'Controls'!B5+B7*'Controls'!B6+C7*'Controls'!B7+D7*'Controls'!B13+E7*'Campaign Portfolio'!C15</x:f>
        <x:v>145.9</x:v>
      </x:c>
      <x:c r="G7" s="19" t="n">
        <x:f>MAX(0,F7-'Controls'!B5)</x:f>
        <x:v>15.900000000000006</x:v>
      </x:c>
      <x:c r="H7" s="19" t="n">
        <x:f>MIN(G7,'Controls'!B8)</x:f>
        <x:v>15.900000000000006</x:v>
      </x:c>
      <x:c r="I7" s="19" t="n">
        <x:f>'Controls'!B8-H7</x:f>
        <x:v>9.099999999999994</x:v>
      </x:c>
      <x:c r="J7" s="18" t="str">
        <x:f>IF(G7&lt;='Controls'!B8,"YES","NO")</x:f>
        <x:v>YES</x:v>
      </x:c>
      <x:c r="K7" s="18" t="n">
        <x:f>'Controls'!B9+D7</x:f>
        <x:v>25</x:v>
      </x:c>
      <x:c r="L7" s="18" t="str">
        <x:v>Preserve rival paths; do not hide rework as production</x:v>
      </x:c>
    </x:row>
    <x:row r="8" ht="75.5999984741211" hidden="0" customHeight="1">
      <x:c r="A8" s="14" t="str">
        <x:v>Two-year slip</x:v>
      </x:c>
      <x:c r="B8" s="42" t="n">
        <x:v>0</x:v>
      </x:c>
      <x:c r="C8" s="42" t="n">
        <x:v>0</x:v>
      </x:c>
      <x:c r="D8" s="14" t="n">
        <x:v>2</x:v>
      </x:c>
      <x:c r="E8" s="42" t="n">
        <x:v>0</x:v>
      </x:c>
      <x:c r="F8" s="20" t="n">
        <x:f>'Controls'!B5+B8*'Controls'!B6+C8*'Controls'!B7+D8*'Controls'!B13+E8*'Campaign Portfolio'!C15</x:f>
        <x:v>132.4</x:v>
      </x:c>
      <x:c r="G8" s="20" t="n">
        <x:f>MAX(0,F8-'Controls'!B5)</x:f>
        <x:v>2.4000000000000057</x:v>
      </x:c>
      <x:c r="H8" s="20" t="n">
        <x:f>MIN(G8,'Controls'!B8)</x:f>
        <x:v>2.4000000000000057</x:v>
      </x:c>
      <x:c r="I8" s="20" t="n">
        <x:f>'Controls'!B8-H8</x:f>
        <x:v>22.599999999999994</x:v>
      </x:c>
      <x:c r="J8" s="14" t="str">
        <x:f>IF(G8&lt;='Controls'!B8,"YES","NO")</x:f>
        <x:v>YES</x:v>
      </x:c>
      <x:c r="K8" s="14" t="n">
        <x:f>'Controls'!B9+D8</x:f>
        <x:v>27</x:v>
      </x:c>
      <x:c r="L8" s="14" t="str">
        <x:v>Protect teams and retest interfaces after dormant periods</x:v>
      </x:c>
    </x:row>
    <x:row r="9" ht="43.20000076293945" hidden="0" customHeight="1">
      <x:c r="A9" s="18" t="str">
        <x:v>Integration shock</x:v>
      </x:c>
      <x:c r="B9" s="41" t="n">
        <x:v>0</x:v>
      </x:c>
      <x:c r="C9" s="41" t="n">
        <x:v>0</x:v>
      </x:c>
      <x:c r="D9" s="18" t="n">
        <x:v>0</x:v>
      </x:c>
      <x:c r="E9" s="41" t="n">
        <x:v>0.15</x:v>
      </x:c>
      <x:c r="F9" s="19" t="n">
        <x:f>'Controls'!B5+B9*'Controls'!B6+C9*'Controls'!B7+D9*'Controls'!B13+E9*'Campaign Portfolio'!C15</x:f>
        <x:v>131.95</x:v>
      </x:c>
      <x:c r="G9" s="19" t="n">
        <x:f>MAX(0,F9-'Controls'!B5)</x:f>
        <x:v>1.9499999999999886</x:v>
      </x:c>
      <x:c r="H9" s="19" t="n">
        <x:f>MIN(G9,'Controls'!B8)</x:f>
        <x:v>1.9499999999999886</x:v>
      </x:c>
      <x:c r="I9" s="19" t="n">
        <x:f>'Controls'!B8-H9</x:f>
        <x:v>23.05000000000001</x:v>
      </x:c>
      <x:c r="J9" s="18" t="str">
        <x:f>IF(G9&lt;='Controls'!B8,"YES","NO")</x:f>
        <x:v>YES</x:v>
      </x:c>
      <x:c r="K9" s="18" t="n">
        <x:f>'Controls'!B9+D9</x:f>
        <x:v>25</x:v>
      </x:c>
      <x:c r="L9" s="18" t="str">
        <x:v>Apply to C11 complete-thread/integration program</x:v>
      </x:c>
    </x:row>
    <x:row r="10" ht="75.5999984741211" hidden="0" customHeight="1">
      <x:c r="A10" s="14" t="str">
        <x:v>Compound stress</x:v>
      </x:c>
      <x:c r="B10" s="42" t="n">
        <x:v>0.25</x:v>
      </x:c>
      <x:c r="C10" s="42" t="n">
        <x:v>0.15</x:v>
      </x:c>
      <x:c r="D10" s="14" t="n">
        <x:v>2</x:v>
      </x:c>
      <x:c r="E10" s="42" t="n">
        <x:v>0.15</x:v>
      </x:c>
      <x:c r="F10" s="20" t="n">
        <x:f>'Controls'!B5+B10*'Controls'!B6+C10*'Controls'!B7+D10*'Controls'!B13+E10*'Campaign Portfolio'!C15</x:f>
        <x:v>156.25</x:v>
      </x:c>
      <x:c r="G10" s="20" t="n">
        <x:f>MAX(0,F10-'Controls'!B5)</x:f>
        <x:v>26.25</x:v>
      </x:c>
      <x:c r="H10" s="20" t="n">
        <x:f>MIN(G10,'Controls'!B8)</x:f>
        <x:v>25</x:v>
      </x:c>
      <x:c r="I10" s="20" t="n">
        <x:f>'Controls'!B8-H10</x:f>
        <x:v>0</x:v>
      </x:c>
      <x:c r="J10" s="14" t="str">
        <x:f>IF(G10&lt;='Controls'!B8,"YES","NO")</x:f>
        <x:v>NO</x:v>
      </x:c>
      <x:c r="K10" s="14" t="n">
        <x:f>'Controls'!B9+D10</x:f>
        <x:v>27</x:v>
      </x:c>
      <x:c r="L10" s="14" t="str">
        <x:v>Independent portfolio reset; cancel low-value paths before consuming reserve</x:v>
      </x:c>
    </x:row>
    <x:row r="11" ht="75.5999984741211" hidden="0" customHeight="1">
      <x:c r="A11" s="18" t="str">
        <x:v>Severe compound</x:v>
      </x:c>
      <x:c r="B11" s="41" t="n">
        <x:v>0.4</x:v>
      </x:c>
      <x:c r="C11" s="41" t="n">
        <x:v>0.25</x:v>
      </x:c>
      <x:c r="D11" s="18" t="n">
        <x:v>4</x:v>
      </x:c>
      <x:c r="E11" s="41" t="n">
        <x:v>0.3</x:v>
      </x:c>
      <x:c r="F11" s="19" t="n">
        <x:f>'Controls'!B5+B11*'Controls'!B6+C11*'Controls'!B7+D11*'Controls'!B13+E11*'Campaign Portfolio'!C15</x:f>
        <x:v>174.8</x:v>
      </x:c>
      <x:c r="G11" s="19" t="n">
        <x:f>MAX(0,F11-'Controls'!B5)</x:f>
        <x:v>44.80000000000001</x:v>
      </x:c>
      <x:c r="H11" s="19" t="n">
        <x:f>MIN(G11,'Controls'!B8)</x:f>
        <x:v>25</x:v>
      </x:c>
      <x:c r="I11" s="19" t="n">
        <x:f>'Controls'!B8-H11</x:f>
        <x:v>0</x:v>
      </x:c>
      <x:c r="J11" s="18" t="str">
        <x:f>IF(G11&lt;='Controls'!B8,"YES","NO")</x:f>
        <x:v>NO</x:v>
      </x:c>
      <x:c r="K11" s="18" t="n">
        <x:f>'Controls'!B9+D11</x:f>
        <x:v>29</x:v>
      </x:c>
      <x:c r="L11" s="18" t="str">
        <x:v>Requires scope/sequence decision; reserve cannot be assumed sufficient</x:v>
      </x:c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</x:row>
    <x:row r="13" ht="23" customHeight="1">
      <x:c r="A13" s="47" t="str">
        <x:v>Interpretation</x:v>
      </x:c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</x:row>
    <x:row r="14" ht="31" hidden="0" customHeight="1">
      <x:c r="A14" s="16" t="str">
        <x:v>Finding</x:v>
      </x:c>
      <x:c r="B14" s="16" t="str">
        <x:v>Meaning</x:v>
      </x:c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</x:row>
    <x:row r="15" ht="140.39999389648438" hidden="0" customHeight="1">
      <x:c r="A15" s="14" t="str">
        <x:v>Baseline is not expected-value certainty</x:v>
      </x:c>
      <x:c r="B15" s="14" t="str">
        <x:v>The $130B envelope already funds multiple paths and destructive learning; the sensitivity table tests correlated overruns beyond it.</x:v>
      </x:c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</x:row>
    <x:row r="16" ht="108" hidden="0" customHeight="1">
      <x:c r="A16" s="14" t="str">
        <x:v>Reserve is portfolio insurance</x:v>
      </x:c>
      <x:c r="B16" s="14" t="str">
        <x:v>The adjacent $25B reserve should be released only after RTEA evidence shows which failure is worth redesigning.</x:v>
      </x:c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</x:row>
    <x:row r="17" ht="129.60000610351562" hidden="0" customHeight="1">
      <x:c r="A17" s="14" t="str">
        <x:v>Failure can lower total cost</x:v>
      </x:c>
      <x:c r="B17" s="14" t="str">
        <x:v>Early destructive failure is a benefit when it prevents premature factories, fleets and doctrine around a false premise.</x:v>
      </x:c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</x:row>
    <x:row r="18" ht="129.60000610351562" hidden="0" customHeight="1">
      <x:c r="A18" s="14" t="str">
        <x:v>Delay is technical</x:v>
      </x:c>
      <x:c r="B18" s="14" t="str">
        <x:v>A slip changes obsolescence, workforce continuity, configuration and environmental baselines; it is not only financing timing.</x:v>
      </x:c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</x:row>
  </x:sheetData>
  <x:mergeCells>
    <x:mergeCell ref="A1:L1"/>
    <x:mergeCell ref="A2:L2"/>
    <x:mergeCell ref="A13:L13"/>
  </x:mergeCells>
  <x:pageMargins left="0.7" right="0.7" top="0.75" bottom="0.75" header="0.3" footer="0.3"/>
</x:worksheet>
</file>